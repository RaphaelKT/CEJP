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GRÁFICOS" sheetId="2" state="visible" r:id="rId2"/>
    <sheet xmlns:r="http://schemas.openxmlformats.org/officeDocument/2006/relationships" name="PROCESSOS" sheetId="3" state="visible" r:id="rId3"/>
    <sheet xmlns:r="http://schemas.openxmlformats.org/officeDocument/2006/relationships" name="CADASTROS" sheetId="4" state="visible" r:id="rId4"/>
    <sheet xmlns:r="http://schemas.openxmlformats.org/officeDocument/2006/relationships" name="INSTRUÇÕES" sheetId="5" state="visible" r:id="rId5"/>
    <sheet xmlns:r="http://schemas.openxmlformats.org/officeDocument/2006/relationships" name="CALC" sheetId="6" state="hidden" r:id="rId6"/>
  </sheets>
  <definedNames>
    <definedName name="rNum">PROCESSOS!$A$5:$A$1004</definedName>
    <definedName name="rEmpresa">PROCESSOS!$B$5:$B$1004</definedName>
    <definedName name="rRamo">PROCESSOS!$C$5:$C$1004</definedName>
    <definedName name="rDataFisc">PROCESSOS!$D$5:$D$1004</definedName>
    <definedName name="rNotif">PROCESSOS!$E$5:$E$1004</definedName>
    <definedName name="rTipo">PROCESSOS!$F$5:$F$1004</definedName>
    <definedName name="rStatus">PROCESSOS!$G$5:$G$1004</definedName>
    <definedName name="rResp">PROCESSOS!$H$5:$H$1004</definedName>
    <definedName name="rNumNotif">PROCESSOS!$I$5:$I$1004</definedName>
    <definedName name="rProcOrig">PROCESSOS!$J$5:$J$1004</definedName>
    <definedName name="rDataOrig">PROCESSOS!$K$5:$K$1004</definedName>
    <definedName name="rPrazo">PROCESSOS!$L$5:$L$1004</definedName>
    <definedName name="rDias">PROCESSOS!$M$5:$M$1004</definedName>
    <definedName name="rSit">PROCESSOS!$N$5:$N$1004</definedName>
    <definedName name="rIdade">PROCESSOS!$O$5:$O$1004</definedName>
    <definedName name="PrazoConst">CADASTROS!$M$6</definedName>
    <definedName name="PrazoEsc">CADASTROS!$M$7</definedName>
    <definedName name="DiasAlerta">CADASTROS!$M$8</definedName>
    <definedName name="MetaMensal">CADASTROS!$M$9</definedName>
    <definedName name="critResp">CALC!$C$3</definedName>
    <definedName name="hProx">CALC!$BF$5:$BF$1004</definedName>
    <definedName name="hUlt">CALC!$BG$5:$BG$1004</definedName>
    <definedName name="FiltroResp">PAINEL!$K$7</definedName>
    <definedName name="FiltroAno">PAINEL!$Y$7</definedName>
    <definedName name="_xlnm.Print_Area" localSheetId="0">'PAINEL'!$A$1:$AW$72</definedName>
    <definedName name="_xlnm.Print_Area" localSheetId="1">'GRÁFICOS'!$A$1:$AW$90</definedName>
    <definedName name="_xlnm._FilterDatabase" localSheetId="2" hidden="1">'PROCESSOS'!$A$4:$P$1004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+0;-0;0"/>
    <numFmt numFmtId="166" formatCode="0.0%"/>
    <numFmt numFmtId="167" formatCode="▲ +0;▼ -0;● 0"/>
    <numFmt numFmtId="168" formatCode="0&quot; d&quot;"/>
    <numFmt numFmtId="169" formatCode="0;-0;&quot;–&quot;"/>
  </numFmts>
  <fonts count="4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EADFC8"/>
      <sz val="9"/>
    </font>
    <font>
      <name val="Arial"/>
      <b val="1"/>
      <color rgb="00FFFFFF"/>
      <sz val="10"/>
    </font>
    <font>
      <name val="Arial"/>
      <color rgb="00262626"/>
      <sz val="10"/>
    </font>
    <font>
      <name val="Arial"/>
      <i val="1"/>
      <color rgb="008C96A5"/>
      <sz val="8"/>
    </font>
    <font>
      <name val="Arial"/>
      <b val="1"/>
      <color rgb="001F497D"/>
      <sz val="11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262626"/>
      <sz val="9"/>
    </font>
    <font>
      <name val="Arial"/>
      <color rgb="00404040"/>
      <sz val="9"/>
    </font>
    <font>
      <name val="Arial"/>
      <b val="1"/>
      <color rgb="00262626"/>
      <sz val="9"/>
    </font>
    <font>
      <name val="Arial"/>
      <b val="1"/>
      <color rgb="00FFFFFF"/>
      <sz val="22"/>
    </font>
    <font>
      <name val="Arial"/>
      <color rgb="00EADFC8"/>
      <sz val="10"/>
    </font>
    <font>
      <name val="Arial"/>
      <b val="1"/>
      <color rgb="00EADFC8"/>
      <sz val="8"/>
    </font>
    <font>
      <name val="Arial"/>
      <b val="1"/>
      <color rgb="00FFFFFF"/>
      <sz val="14"/>
    </font>
    <font>
      <name val="Arial"/>
      <color rgb="00EADFC8"/>
      <sz val="8"/>
    </font>
    <font>
      <name val="Arial"/>
      <b val="1"/>
      <color rgb="001F497D"/>
      <sz val="9"/>
    </font>
    <font>
      <name val="Arial"/>
      <b val="1"/>
      <color rgb="001F497D"/>
      <sz val="10"/>
    </font>
    <font>
      <name val="Arial"/>
      <b val="1"/>
      <color rgb="001F497D"/>
      <sz val="8"/>
    </font>
    <font>
      <name val="Arial"/>
      <b val="1"/>
      <color rgb="00595959"/>
      <sz val="8"/>
    </font>
    <font>
      <name val="Arial"/>
      <b val="1"/>
      <color rgb="001F497D"/>
      <sz val="26"/>
    </font>
    <font>
      <name val="Arial"/>
      <b val="1"/>
      <color rgb="008C6D3F"/>
      <sz val="9"/>
    </font>
    <font>
      <name val="Arial"/>
      <b val="1"/>
      <color rgb="004E7D5B"/>
      <sz val="26"/>
    </font>
    <font>
      <name val="Arial"/>
      <b val="1"/>
      <color rgb="004E7D5B"/>
      <sz val="9"/>
    </font>
    <font>
      <name val="Arial"/>
      <b val="1"/>
      <color rgb="008C6D3F"/>
      <sz val="26"/>
    </font>
    <font>
      <name val="Arial"/>
      <b val="1"/>
      <color rgb="00B08D57"/>
      <sz val="9"/>
    </font>
    <font>
      <name val="Arial"/>
      <b val="1"/>
      <color rgb="00FFFFFF"/>
      <sz val="8"/>
    </font>
    <font>
      <name val="Arial"/>
      <color rgb="00595959"/>
      <sz val="8"/>
    </font>
    <font>
      <name val="Arial"/>
      <b val="1"/>
      <color rgb="008C6D3F"/>
      <sz val="8"/>
    </font>
    <font>
      <name val="Arial"/>
      <b val="1"/>
      <color rgb="00595959"/>
      <sz val="9"/>
    </font>
    <font>
      <name val="Arial"/>
      <b val="1"/>
      <color rgb="00262626"/>
      <sz val="10"/>
    </font>
    <font>
      <name val="Arial"/>
      <color rgb="00595959"/>
      <sz val="9"/>
    </font>
    <font>
      <name val="Arial"/>
      <color rgb="004E7D5B"/>
      <sz val="9"/>
    </font>
    <font>
      <name val="Arial"/>
      <color rgb="008C6D3F"/>
      <sz val="9"/>
    </font>
    <font>
      <name val="Arial"/>
      <color rgb="001F497D"/>
      <sz val="9"/>
    </font>
    <font>
      <name val="Arial"/>
      <b val="1"/>
      <color rgb="00FFFFFF"/>
      <sz val="11"/>
    </font>
    <font>
      <name val="Arial"/>
      <b val="1"/>
      <color rgb="001F497D"/>
      <sz val="14"/>
    </font>
    <font>
      <name val="Arial"/>
      <b val="1"/>
      <color rgb="004E7D5B"/>
      <sz val="14"/>
    </font>
    <font>
      <name val="Arial"/>
      <b val="1"/>
      <color rgb="008C6D3F"/>
      <sz val="14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B08D57"/>
        <bgColor rgb="00B08D57"/>
      </patternFill>
    </fill>
    <fill>
      <patternFill patternType="solid">
        <fgColor rgb="00FFFFFF"/>
        <bgColor rgb="00FFFFFF"/>
      </patternFill>
    </fill>
    <fill>
      <patternFill patternType="solid">
        <fgColor rgb="00F3F6FB"/>
        <bgColor rgb="00F3F6FB"/>
      </patternFill>
    </fill>
    <fill>
      <patternFill patternType="solid">
        <fgColor rgb="008C6D3F"/>
        <bgColor rgb="008C6D3F"/>
      </patternFill>
    </fill>
    <fill>
      <patternFill patternType="solid">
        <fgColor rgb="00FAF6EE"/>
        <bgColor rgb="00FAF6EE"/>
      </patternFill>
    </fill>
    <fill>
      <patternFill patternType="solid">
        <fgColor rgb="00F4F6F9"/>
        <bgColor rgb="00F4F6F9"/>
      </patternFill>
    </fill>
    <fill>
      <patternFill patternType="solid">
        <fgColor rgb="00EADFC8"/>
        <bgColor rgb="00EADFC8"/>
      </patternFill>
    </fill>
    <fill>
      <patternFill patternType="solid">
        <fgColor rgb="004E7D5B"/>
        <bgColor rgb="004E7D5B"/>
      </patternFill>
    </fill>
  </fills>
  <borders count="36">
    <border>
      <left/>
      <right/>
      <top/>
      <bottom/>
      <diagonal/>
    </border>
    <border>
      <bottom style="medium">
        <color rgb="00B08D57"/>
      </bottom>
    </border>
    <border>
      <left style="thin">
        <color rgb="00D9DEE7"/>
      </left>
      <right style="thin">
        <color rgb="00D9DEE7"/>
      </right>
      <bottom style="thin">
        <color rgb="00D9DEE7"/>
      </bottom>
    </border>
    <border>
      <bottom style="thin">
        <color rgb="00D9DEE7"/>
      </bottom>
    </border>
    <border>
      <right style="thin">
        <color rgb="00FFFFFF"/>
      </right>
      <bottom style="medium">
        <color rgb="00B08D57"/>
      </bottom>
    </border>
    <border>
      <right style="thin">
        <color rgb="00FFFFFF"/>
      </right>
      <bottom style="medium">
        <color rgb="001F497D"/>
      </bottom>
    </border>
    <border>
      <right style="thin">
        <color rgb="00E4E8EE"/>
      </right>
      <bottom style="thin">
        <color rgb="00E4E8EE"/>
      </bottom>
    </border>
    <border>
      <left style="thin">
        <color rgb="00D9DEE7"/>
      </left>
      <top style="thin">
        <color rgb="00D9DEE7"/>
      </top>
      <bottom style="thin">
        <color rgb="00D9DEE7"/>
      </bottom>
    </border>
    <border>
      <top style="thin">
        <color rgb="00D9DEE7"/>
      </top>
      <bottom style="thin">
        <color rgb="00D9DEE7"/>
      </bottom>
    </border>
    <border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  <border>
      <left style="thin">
        <color rgb="00B08D57"/>
      </left>
      <top style="thin">
        <color rgb="00B08D57"/>
      </top>
      <bottom style="thin">
        <color rgb="00B08D57"/>
      </bottom>
    </border>
    <border>
      <top style="thin">
        <color rgb="00B08D57"/>
      </top>
      <bottom style="thin">
        <color rgb="00B08D57"/>
      </bottom>
    </border>
    <border>
      <right style="thin">
        <color rgb="00B08D57"/>
      </right>
      <top style="thin">
        <color rgb="00B08D57"/>
      </top>
      <bottom style="thin">
        <color rgb="00B08D57"/>
      </bottom>
    </border>
    <border>
      <left style="thin">
        <color rgb="00B08D57"/>
      </left>
      <right style="thin">
        <color rgb="00B08D57"/>
      </right>
      <top style="thin">
        <color rgb="00B08D57"/>
      </top>
      <bottom style="thin">
        <color rgb="00B08D57"/>
      </bottom>
    </border>
    <border>
      <left/>
      <right/>
      <top style="thin">
        <color rgb="00B08D57"/>
      </top>
      <bottom/>
      <diagonal/>
    </border>
    <border>
      <left/>
      <right style="thin">
        <color rgb="00B08D57"/>
      </right>
      <top style="thin">
        <color rgb="00B08D57"/>
      </top>
      <bottom/>
      <diagonal/>
    </border>
    <border>
      <left/>
      <right/>
      <top style="thin">
        <color rgb="00B08D57"/>
      </top>
      <bottom style="thin">
        <color rgb="00B08D57"/>
      </bottom>
      <diagonal/>
    </border>
    <border>
      <left/>
      <right style="thin">
        <color rgb="00B08D57"/>
      </right>
      <top style="thin">
        <color rgb="00B08D57"/>
      </top>
      <bottom style="thin">
        <color rgb="00B08D57"/>
      </bottom>
      <diagonal/>
    </border>
    <border>
      <left/>
      <right/>
      <top/>
      <bottom style="medium">
        <color rgb="00B08D57"/>
      </bottom>
      <diagonal/>
    </border>
    <border>
      <left style="thin">
        <color rgb="00D9DEE7"/>
      </left>
      <top style="thin">
        <color rgb="00D9DEE7"/>
      </top>
    </border>
    <border>
      <top style="thin">
        <color rgb="00D9DEE7"/>
      </top>
    </border>
    <border>
      <right style="thin">
        <color rgb="00D9DEE7"/>
      </right>
      <top style="thin">
        <color rgb="00D9DEE7"/>
      </top>
    </border>
    <border>
      <left style="thin">
        <color rgb="00D9DEE7"/>
      </left>
    </border>
    <border/>
    <border>
      <right style="thin">
        <color rgb="00D9DEE7"/>
      </right>
    </border>
    <border>
      <left style="thin">
        <color rgb="00D9DEE7"/>
      </left>
      <bottom style="medium">
        <color rgb="00B08D57"/>
      </bottom>
    </border>
    <border>
      <right style="thin">
        <color rgb="00D9DEE7"/>
      </right>
      <bottom style="medium">
        <color rgb="00B08D57"/>
      </bottom>
    </border>
    <border>
      <left/>
      <right/>
      <top/>
      <bottom style="thin">
        <color rgb="00D9DEE7"/>
      </bottom>
      <diagonal/>
    </border>
    <border>
      <left style="thin">
        <color rgb="00D9DEE7"/>
      </left>
      <top style="thin">
        <color rgb="00D9DEE7"/>
      </top>
      <bottom style="medium">
        <color rgb="00B08D57"/>
      </bottom>
    </border>
    <border>
      <top style="thin">
        <color rgb="00D9DEE7"/>
      </top>
      <bottom style="medium">
        <color rgb="00B08D57"/>
      </bottom>
    </border>
    <border>
      <right style="thin">
        <color rgb="00D9DEE7"/>
      </right>
      <top style="thin">
        <color rgb="00D9DEE7"/>
      </top>
      <bottom style="medium">
        <color rgb="00B08D57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12" fillId="2" borderId="0" applyAlignment="1" pivotButton="0" quotePrefix="0" xfId="0">
      <alignment horizontal="left" vertical="bottom" indent="1"/>
    </xf>
    <xf numFmtId="0" fontId="14" fillId="2" borderId="0" applyAlignment="1" pivotButton="0" quotePrefix="0" xfId="0">
      <alignment horizontal="right" vertical="bottom"/>
    </xf>
    <xf numFmtId="164" fontId="15" fillId="2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top" indent="1"/>
    </xf>
    <xf numFmtId="0" fontId="16" fillId="2" borderId="0" applyAlignment="1" pivotButton="0" quotePrefix="0" xfId="0">
      <alignment horizontal="right" vertical="top"/>
    </xf>
    <xf numFmtId="0" fontId="0" fillId="3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17" fillId="4" borderId="10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4" pivotButton="0" quotePrefix="0" xfId="0"/>
    <xf numFmtId="0" fontId="18" fillId="7" borderId="1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" fontId="18" fillId="7" borderId="18" applyAlignment="1" pivotButton="0" quotePrefix="0" xfId="0">
      <alignment horizontal="center" vertical="center" wrapText="1"/>
    </xf>
    <xf numFmtId="0" fontId="19" fillId="9" borderId="18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bottom"/>
    </xf>
    <xf numFmtId="0" fontId="0" fillId="0" borderId="23" pivotButton="0" quotePrefix="0" xfId="0"/>
    <xf numFmtId="0" fontId="0" fillId="2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10" borderId="24" pivotButton="0" quotePrefix="0" xfId="0"/>
    <xf numFmtId="0" fontId="0" fillId="3" borderId="24" pivotButton="0" quotePrefix="0" xfId="0"/>
    <xf numFmtId="0" fontId="20" fillId="4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3" fontId="21" fillId="4" borderId="27" applyAlignment="1" pivotButton="0" quotePrefix="0" xfId="0">
      <alignment horizontal="center" vertical="center" wrapText="1"/>
    </xf>
    <xf numFmtId="3" fontId="23" fillId="4" borderId="27" applyAlignment="1" pivotButton="0" quotePrefix="0" xfId="0">
      <alignment horizontal="center" vertical="center" wrapText="1"/>
    </xf>
    <xf numFmtId="3" fontId="25" fillId="4" borderId="27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4" borderId="3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1" pivotButton="0" quotePrefix="0" xfId="0"/>
    <xf numFmtId="166" fontId="22" fillId="4" borderId="3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166" fontId="24" fillId="4" borderId="30" applyAlignment="1" pivotButton="0" quotePrefix="0" xfId="0">
      <alignment horizontal="right" vertical="center"/>
    </xf>
    <xf numFmtId="166" fontId="26" fillId="4" borderId="30" applyAlignment="1" pivotButton="0" quotePrefix="0" xfId="0">
      <alignment horizontal="right" vertical="center"/>
    </xf>
    <xf numFmtId="167" fontId="22" fillId="4" borderId="30" applyAlignment="1" pivotButton="0" quotePrefix="0" xfId="0">
      <alignment horizontal="right" vertical="center"/>
    </xf>
    <xf numFmtId="1" fontId="21" fillId="4" borderId="27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0" fontId="22" fillId="4" borderId="3" applyAlignment="1" pivotButton="0" quotePrefix="0" xfId="0">
      <alignment horizontal="center" vertical="center" wrapText="1"/>
    </xf>
    <xf numFmtId="0" fontId="0" fillId="0" borderId="32" pivotButton="0" quotePrefix="0" xfId="0"/>
    <xf numFmtId="0" fontId="9" fillId="4" borderId="3" applyAlignment="1" pivotButton="0" quotePrefix="0" xfId="0">
      <alignment horizontal="left" vertical="center" indent="1"/>
    </xf>
    <xf numFmtId="0" fontId="28" fillId="4" borderId="3" applyAlignment="1" pivotButton="0" quotePrefix="0" xfId="0">
      <alignment horizontal="left" vertical="center" indent="1"/>
    </xf>
    <xf numFmtId="164" fontId="9" fillId="4" borderId="3" applyAlignment="1" pivotButton="0" quotePrefix="0" xfId="0">
      <alignment horizontal="center" vertical="center" wrapText="1"/>
    </xf>
    <xf numFmtId="168" fontId="17" fillId="4" borderId="3" applyAlignment="1" pivotButton="0" quotePrefix="0" xfId="0">
      <alignment horizontal="center" vertical="center" wrapText="1"/>
    </xf>
    <xf numFmtId="0" fontId="29" fillId="4" borderId="3" applyAlignment="1" pivotButton="0" quotePrefix="0" xfId="0">
      <alignment horizontal="center" vertical="center" wrapText="1"/>
    </xf>
    <xf numFmtId="0" fontId="22" fillId="5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indent="1"/>
    </xf>
    <xf numFmtId="0" fontId="28" fillId="5" borderId="3" applyAlignment="1" pivotButton="0" quotePrefix="0" xfId="0">
      <alignment horizontal="left" vertical="center" indent="1"/>
    </xf>
    <xf numFmtId="164" fontId="9" fillId="5" borderId="3" applyAlignment="1" pivotButton="0" quotePrefix="0" xfId="0">
      <alignment horizontal="center" vertical="center" wrapText="1"/>
    </xf>
    <xf numFmtId="168" fontId="17" fillId="5" borderId="3" applyAlignment="1" pivotButton="0" quotePrefix="0" xfId="0">
      <alignment horizontal="center" vertical="center" wrapText="1"/>
    </xf>
    <xf numFmtId="0" fontId="29" fillId="5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left" vertical="center" indent="1"/>
    </xf>
    <xf numFmtId="1" fontId="11" fillId="4" borderId="3" applyAlignment="1" pivotButton="0" quotePrefix="0" xfId="0">
      <alignment horizontal="center" vertical="center" wrapText="1"/>
    </xf>
    <xf numFmtId="1" fontId="9" fillId="4" borderId="3" applyAlignment="1" pivotButton="0" quotePrefix="0" xfId="0">
      <alignment horizontal="center" vertical="center" wrapText="1"/>
    </xf>
    <xf numFmtId="169" fontId="22" fillId="4" borderId="3" applyAlignment="1" pivotButton="0" quotePrefix="0" xfId="0">
      <alignment horizontal="center" vertical="center" wrapText="1"/>
    </xf>
    <xf numFmtId="166" fontId="20" fillId="4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left" vertical="center" indent="1"/>
    </xf>
    <xf numFmtId="1" fontId="11" fillId="5" borderId="3" applyAlignment="1" pivotButton="0" quotePrefix="0" xfId="0">
      <alignment horizontal="center" vertical="center" wrapText="1"/>
    </xf>
    <xf numFmtId="1" fontId="9" fillId="5" borderId="3" applyAlignment="1" pivotButton="0" quotePrefix="0" xfId="0">
      <alignment horizontal="center" vertical="center" wrapText="1"/>
    </xf>
    <xf numFmtId="169" fontId="22" fillId="5" borderId="3" applyAlignment="1" pivotButton="0" quotePrefix="0" xfId="0">
      <alignment horizontal="center" vertical="center" wrapText="1"/>
    </xf>
    <xf numFmtId="166" fontId="20" fillId="5" borderId="3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 wrapText="1"/>
    </xf>
    <xf numFmtId="1" fontId="17" fillId="7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left" vertical="center" indent="1"/>
    </xf>
    <xf numFmtId="0" fontId="30" fillId="4" borderId="3" applyAlignment="1" pivotButton="0" quotePrefix="0" xfId="0">
      <alignment horizontal="left" vertical="center" indent="1"/>
    </xf>
    <xf numFmtId="0" fontId="22" fillId="7" borderId="1" applyAlignment="1" pivotButton="0" quotePrefix="0" xfId="0">
      <alignment horizontal="left" vertical="center" indent="1"/>
    </xf>
    <xf numFmtId="9" fontId="22" fillId="7" borderId="1" applyAlignment="1" pivotButton="0" quotePrefix="0" xfId="0">
      <alignment horizontal="center" vertical="center" wrapText="1"/>
    </xf>
    <xf numFmtId="9" fontId="17" fillId="9" borderId="1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left" vertical="center" indent="1"/>
    </xf>
    <xf numFmtId="1" fontId="31" fillId="4" borderId="3" applyAlignment="1" pivotButton="0" quotePrefix="0" xfId="0">
      <alignment horizontal="center" vertical="center" wrapText="1"/>
    </xf>
    <xf numFmtId="166" fontId="32" fillId="4" borderId="3" applyAlignment="1" pivotButton="0" quotePrefix="0" xfId="0">
      <alignment horizontal="center" vertical="center" wrapText="1"/>
    </xf>
    <xf numFmtId="0" fontId="33" fillId="4" borderId="3" applyAlignment="1" pivotButton="0" quotePrefix="0" xfId="0">
      <alignment horizontal="left" vertical="center" indent="1"/>
    </xf>
    <xf numFmtId="1" fontId="4" fillId="4" borderId="3" applyAlignment="1" pivotButton="0" quotePrefix="0" xfId="0">
      <alignment horizontal="center" vertical="center" wrapText="1"/>
    </xf>
    <xf numFmtId="1" fontId="18" fillId="7" borderId="3" applyAlignment="1" pivotButton="0" quotePrefix="0" xfId="0">
      <alignment horizontal="center" vertical="center" wrapText="1"/>
    </xf>
    <xf numFmtId="0" fontId="22" fillId="5" borderId="3" applyAlignment="1" pivotButton="0" quotePrefix="0" xfId="0">
      <alignment horizontal="left" vertical="center" indent="1"/>
    </xf>
    <xf numFmtId="1" fontId="31" fillId="5" borderId="3" applyAlignment="1" pivotButton="0" quotePrefix="0" xfId="0">
      <alignment horizontal="center" vertical="center" wrapText="1"/>
    </xf>
    <xf numFmtId="166" fontId="32" fillId="5" borderId="3" applyAlignment="1" pivotButton="0" quotePrefix="0" xfId="0">
      <alignment horizontal="center" vertical="center" wrapText="1"/>
    </xf>
    <xf numFmtId="0" fontId="34" fillId="5" borderId="3" applyAlignment="1" pivotButton="0" quotePrefix="0" xfId="0">
      <alignment horizontal="left" vertical="center" indent="1"/>
    </xf>
    <xf numFmtId="1" fontId="4" fillId="5" borderId="3" applyAlignment="1" pivotButton="0" quotePrefix="0" xfId="0">
      <alignment horizontal="center" vertical="center" wrapText="1"/>
    </xf>
    <xf numFmtId="0" fontId="35" fillId="4" borderId="3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1" fontId="3" fillId="2" borderId="0" applyAlignment="1" pivotButton="0" quotePrefix="0" xfId="0">
      <alignment horizontal="center" vertical="center" wrapText="1"/>
    </xf>
    <xf numFmtId="1" fontId="18" fillId="9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/>
    </xf>
    <xf numFmtId="0" fontId="36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top"/>
    </xf>
    <xf numFmtId="0" fontId="20" fillId="4" borderId="33" applyAlignment="1" pivotButton="0" quotePrefix="0" xfId="0">
      <alignment horizontal="left" vertical="center" indent="1"/>
    </xf>
    <xf numFmtId="0" fontId="0" fillId="0" borderId="34" pivotButton="0" quotePrefix="0" xfId="0"/>
    <xf numFmtId="1" fontId="37" fillId="4" borderId="34" applyAlignment="1" pivotButton="0" quotePrefix="0" xfId="0">
      <alignment horizontal="right" vertical="center" indent="1"/>
    </xf>
    <xf numFmtId="0" fontId="0" fillId="0" borderId="35" pivotButton="0" quotePrefix="0" xfId="0"/>
    <xf numFmtId="1" fontId="38" fillId="4" borderId="34" applyAlignment="1" pivotButton="0" quotePrefix="0" xfId="0">
      <alignment horizontal="right" vertical="center" indent="1"/>
    </xf>
    <xf numFmtId="1" fontId="39" fillId="4" borderId="34" applyAlignment="1" pivotButton="0" quotePrefix="0" xfId="0">
      <alignment horizontal="right" vertical="center" indent="1"/>
    </xf>
    <xf numFmtId="0" fontId="19" fillId="8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8" fillId="2" borderId="4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1" fontId="9" fillId="4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left" vertical="center" indent="1"/>
    </xf>
    <xf numFmtId="164" fontId="9" fillId="4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49" fontId="9" fillId="4" borderId="6" applyAlignment="1" pivotButton="0" quotePrefix="0" xfId="0">
      <alignment horizontal="center" vertical="center"/>
    </xf>
    <xf numFmtId="164" fontId="10" fillId="7" borderId="6" applyAlignment="1" pivotButton="0" quotePrefix="0" xfId="0">
      <alignment horizontal="center" vertical="center"/>
    </xf>
    <xf numFmtId="165" fontId="10" fillId="7" borderId="6" applyAlignment="1" pivotButton="0" quotePrefix="0" xfId="0">
      <alignment horizontal="center" vertical="center"/>
    </xf>
    <xf numFmtId="0" fontId="10" fillId="7" borderId="6" applyAlignment="1" pivotButton="0" quotePrefix="0" xfId="0">
      <alignment horizontal="center" vertical="center"/>
    </xf>
    <xf numFmtId="1" fontId="10" fillId="7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4" fillId="0" borderId="3" applyAlignment="1" pivotButton="0" quotePrefix="0" xfId="0">
      <alignment horizontal="left" vertical="center" indent="1"/>
    </xf>
    <xf numFmtId="0" fontId="6" fillId="7" borderId="3" applyAlignment="1" pivotButton="0" quotePrefix="0" xfId="0">
      <alignment horizontal="center" vertical="center" wrapText="1"/>
    </xf>
    <xf numFmtId="0" fontId="7" fillId="0" borderId="3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bottom"/>
    </xf>
    <xf numFmtId="0" fontId="8" fillId="2" borderId="3" applyAlignment="1" pivotButton="0" quotePrefix="0" xfId="0">
      <alignment vertical="center" wrapText="1" indent="1"/>
    </xf>
    <xf numFmtId="0" fontId="17" fillId="4" borderId="3" applyAlignment="1" pivotButton="0" quotePrefix="0" xfId="0">
      <alignment vertical="center" wrapText="1" indent="1"/>
    </xf>
    <xf numFmtId="0" fontId="9" fillId="4" borderId="3" applyAlignment="1" pivotButton="0" quotePrefix="0" xfId="0">
      <alignment vertical="center" wrapText="1" indent="1"/>
    </xf>
    <xf numFmtId="0" fontId="17" fillId="5" borderId="3" applyAlignment="1" pivotButton="0" quotePrefix="0" xfId="0">
      <alignment vertical="center" wrapText="1" indent="1"/>
    </xf>
    <xf numFmtId="0" fontId="9" fillId="5" borderId="3" applyAlignment="1" pivotButton="0" quotePrefix="0" xfId="0">
      <alignment vertical="center" wrapText="1" indent="1"/>
    </xf>
    <xf numFmtId="0" fontId="9" fillId="0" borderId="0" applyAlignment="1" pivotButton="0" quotePrefix="0" xfId="0">
      <alignment vertical="center" wrapText="1" indent="1"/>
    </xf>
    <xf numFmtId="0" fontId="6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8C6D3F"/>
      </font>
      <fill>
        <patternFill patternType="solid">
          <fgColor rgb="00EADFC8"/>
          <bgColor rgb="00EADFC8"/>
        </patternFill>
      </fill>
    </dxf>
    <dxf>
      <font>
        <name val="Arial"/>
        <b val="1"/>
        <color rgb="00A94442"/>
      </font>
      <fill>
        <patternFill patternType="solid">
          <fgColor rgb="00F6E3E3"/>
          <bgColor rgb="00F6E3E3"/>
        </patternFill>
      </fill>
    </dxf>
    <dxf>
      <font>
        <name val="Arial"/>
        <b val="1"/>
        <color rgb="004E7D5B"/>
      </font>
      <fill>
        <patternFill patternType="solid">
          <fgColor rgb="00E3EFE6"/>
          <bgColor rgb="00E3EFE6"/>
        </patternFill>
      </fill>
    </dxf>
    <dxf>
      <font>
        <name val="Arial"/>
        <b val="1"/>
        <color rgb="001F497D"/>
      </font>
      <fill>
        <patternFill patternType="solid">
          <fgColor rgb="00DCE6F1"/>
          <bgColor rgb="00DCE6F1"/>
        </patternFill>
      </fill>
    </dxf>
    <dxf>
      <font>
        <name val="Arial"/>
        <b val="1"/>
        <color rgb="00A94442"/>
      </font>
    </dxf>
    <dxf>
      <fill>
        <patternFill patternType="solid">
          <fgColor rgb="00F3F6FB"/>
          <bgColor rgb="00F3F6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Fiscalizações por mês × Meta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'CALC'!N5</f>
            </strRef>
          </tx>
          <spPr>
            <a:solidFill xmlns:a="http://schemas.openxmlformats.org/drawingml/2006/main">
              <a:srgbClr val="1F497D"/>
            </a:solidFill>
            <a:ln xmlns:a="http://schemas.openxmlformats.org/drawingml/2006/main">
              <a:solidFill>
                <a:srgbClr val="1F497D"/>
              </a:solidFill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497D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497D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'CALC'!$M$6:$M$17</f>
            </numRef>
          </cat>
          <val>
            <numRef>
              <f>'CALC'!$N$6:$N$17</f>
            </numRef>
          </val>
        </ser>
        <gapWidth val="55"/>
        <axId val="10"/>
        <axId val="100"/>
      </barChart>
      <lineChart>
        <grouping val="standard"/>
        <ser>
          <idx val="1"/>
          <order val="1"/>
          <tx>
            <strRef>
              <f>'CALC'!S5</f>
            </strRef>
          </tx>
          <spPr>
            <a:ln xmlns:a="http://schemas.openxmlformats.org/drawingml/2006/main" w="28575">
              <a:solidFill>
                <a:srgbClr val="B08D5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'CALC'!$S$6:$S$17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EE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Situação dos prazos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E7D5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8D5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497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0"/>
            <showCatName val="0"/>
            <showSerName val="0"/>
            <showPercent val="1"/>
            <showLeaderLines val="0"/>
          </dLbls>
          <cat>
            <numRef>
              <f>'CALC'!$I$11:$I$13</f>
            </numRef>
          </cat>
          <val>
            <numRef>
              <f>'CALC'!$J$11:$J$13</f>
            </numRef>
          </val>
        </ser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Top 10 ramos com mais processos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'CALC'!AX5</f>
            </strRef>
          </tx>
          <spPr>
            <a:solidFill xmlns:a="http://schemas.openxmlformats.org/drawingml/2006/main">
              <a:srgbClr val="1F497D"/>
            </a:solidFill>
            <a:ln xmlns:a="http://schemas.openxmlformats.org/drawingml/2006/main">
              <a:solidFill>
                <a:srgbClr val="1F497D"/>
              </a:solidFill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497D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497D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'CALC'!$AW$6:$AW$15</f>
            </numRef>
          </cat>
          <val>
            <numRef>
              <f>'CALC'!$AX$6:$AX$15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EE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Carga por responsável — Prazo D.P × Decisão D.P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'CALC'!AH5</f>
            </strRef>
          </tx>
          <spPr>
            <a:solidFill xmlns:a="http://schemas.openxmlformats.org/drawingml/2006/main">
              <a:srgbClr val="1F497D"/>
            </a:solidFill>
            <a:ln xmlns:a="http://schemas.openxmlformats.org/drawingml/2006/main">
              <a:solidFill>
                <a:srgbClr val="1F497D"/>
              </a:solidFill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'CALC'!$AF$6:$AF$13</f>
            </numRef>
          </cat>
          <val>
            <numRef>
              <f>'CALC'!$AH$6:$AH$13</f>
            </numRef>
          </val>
        </ser>
        <ser>
          <idx val="1"/>
          <order val="1"/>
          <tx>
            <strRef>
              <f>'CALC'!AI5</f>
            </strRef>
          </tx>
          <spPr>
            <a:solidFill xmlns:a="http://schemas.openxmlformats.org/drawingml/2006/main">
              <a:srgbClr val="B08D57"/>
            </a:solidFill>
            <a:ln xmlns:a="http://schemas.openxmlformats.org/drawingml/2006/main">
              <a:solidFill>
                <a:srgbClr val="B08D57"/>
              </a:solidFill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rial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'CALC'!$AF$6:$AF$13</f>
            </numRef>
          </cat>
          <val>
            <numRef>
              <f>'CALC'!$AI$6:$AI$13</f>
            </numRef>
          </val>
        </ser>
        <gapWidth val="45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EE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Processos por status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97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8D5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1100" b="1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'CALC'!$I$6:$I$7</f>
            </numRef>
          </cat>
          <val>
            <numRef>
              <f>'CALC'!$J$6:$J$7</f>
            </numRef>
          </val>
        </ser>
        <firstSliceAng val="0"/>
        <holeSize val="58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Notificação × Tipo de entrega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'CALC'!J27</f>
            </strRef>
          </tx>
          <spPr>
            <a:solidFill xmlns:a="http://schemas.openxmlformats.org/drawingml/2006/main">
              <a:srgbClr val="1F497D"/>
            </a:solidFill>
            <a:ln xmlns:a="http://schemas.openxmlformats.org/drawingml/2006/main">
              <a:solidFill>
                <a:srgbClr val="1F497D"/>
              </a:solidFill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1F497D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1F497D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'CALC'!$I$28:$I$29</f>
            </numRef>
          </cat>
          <val>
            <numRef>
              <f>'CALC'!$J$28:$J$29</f>
            </numRef>
          </val>
        </ser>
        <ser>
          <idx val="1"/>
          <order val="1"/>
          <tx>
            <strRef>
              <f>'CALC'!K27</f>
            </strRef>
          </tx>
          <spPr>
            <a:solidFill xmlns:a="http://schemas.openxmlformats.org/drawingml/2006/main">
              <a:srgbClr val="B08D57"/>
            </a:solidFill>
            <a:ln xmlns:a="http://schemas.openxmlformats.org/drawingml/2006/main">
              <a:solidFill>
                <a:srgbClr val="B08D57"/>
              </a:solidFill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8C6D3F"/>
                    </a:solidFill>
                    <a:latin typeface="Arial"/>
                  </a:defRPr>
                </a:pPr>
                <a:r>
                  <a:t/>
                </a:r>
                <a:endParaRPr sz="900" b="1">
                  <a:solidFill>
                    <a:srgbClr val="8C6D3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'CALC'!$I$28:$I$29</f>
            </numRef>
          </cat>
          <val>
            <numRef>
              <f>'CALC'!$K$28:$K$29</f>
            </numRef>
          </val>
        </ser>
        <gapWidth val="8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EE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Composição mensal — Constatação × Esclarecimento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'CALC'!O5</f>
            </strRef>
          </tx>
          <spPr>
            <a:solidFill xmlns:a="http://schemas.openxmlformats.org/drawingml/2006/main">
              <a:srgbClr val="1F497D"/>
            </a:solidFill>
            <a:ln xmlns:a="http://schemas.openxmlformats.org/drawingml/2006/main">
              <a:solidFill>
                <a:srgbClr val="1F497D"/>
              </a:solidFill>
              <a:prstDash val="solid"/>
            </a:ln>
          </spPr>
          <cat>
            <numRef>
              <f>'CALC'!$M$6:$M$17</f>
            </numRef>
          </cat>
          <val>
            <numRef>
              <f>'CALC'!$O$6:$O$17</f>
            </numRef>
          </val>
        </ser>
        <ser>
          <idx val="1"/>
          <order val="1"/>
          <tx>
            <strRef>
              <f>'CALC'!P5</f>
            </strRef>
          </tx>
          <spPr>
            <a:solidFill xmlns:a="http://schemas.openxmlformats.org/drawingml/2006/main">
              <a:srgbClr val="B08D57"/>
            </a:solidFill>
            <a:ln xmlns:a="http://schemas.openxmlformats.org/drawingml/2006/main">
              <a:solidFill>
                <a:srgbClr val="B08D57"/>
              </a:solidFill>
              <a:prstDash val="solid"/>
            </a:ln>
          </spPr>
          <cat>
            <numRef>
              <f>'CALC'!$M$6:$M$17</f>
            </numRef>
          </cat>
          <val>
            <numRef>
              <f>'CALC'!$P$6:$P$17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EE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1F497D"/>
                </a:solidFill>
                <a:latin typeface="Arial"/>
              </a:defRPr>
            </a:pPr>
            <a:r>
              <a:rPr sz="1200" b="1">
                <a:solidFill>
                  <a:srgbClr val="1F497D"/>
                </a:solidFill>
                <a:latin typeface="Arial"/>
              </a:rPr>
              <a:t>Realizado acumulado × Meta acumulada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'CALC'!T5</f>
            </strRef>
          </tx>
          <spPr>
            <a:ln xmlns:a="http://schemas.openxmlformats.org/drawingml/2006/main" w="34925">
              <a:solidFill>
                <a:srgbClr val="1F497D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97D"/>
              </a:solidFill>
              <a:ln xmlns:a="http://schemas.openxmlformats.org/drawingml/2006/main">
                <a:solidFill>
                  <a:srgbClr val="1F497D"/>
                </a:solidFill>
                <a:prstDash val="solid"/>
              </a:ln>
            </spPr>
          </marker>
          <cat>
            <numRef>
              <f>'CALC'!$M$6:$M$17</f>
            </numRef>
          </cat>
          <val>
            <numRef>
              <f>'CALC'!$T$6:$T$17</f>
            </numRef>
          </val>
          <smooth val="0"/>
        </ser>
        <ser>
          <idx val="1"/>
          <order val="1"/>
          <tx>
            <strRef>
              <f>'CALC'!U5</f>
            </strRef>
          </tx>
          <spPr>
            <a:ln xmlns:a="http://schemas.openxmlformats.org/drawingml/2006/main" w="28575">
              <a:solidFill>
                <a:srgbClr val="B08D5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'CALC'!$M$6:$M$17</f>
            </numRef>
          </cat>
          <val>
            <numRef>
              <f>'CALC'!$U$6:$U$17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EE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Sistema</author>
  </authors>
  <commentList>
    <comment ref="L4" authorId="0" shapeId="0">
      <text>
        <t>Calculado: DATA DA FISCALIZAÇÃO + prazo do tipo de notificação (parâmetros na aba CADASTROS).</t>
      </text>
    </comment>
    <comment ref="N4" authorId="0" shapeId="0">
      <text>
        <t>EM DECISÃO quando STATUS = DECISÃO D.P. Para PRAZO D.P: VENCIDO, VENCE EM BREVE (≤ antecedência de alerta) ou NO PRAZO.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688000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9</row>
      <rowOff>0</rowOff>
    </from>
    <ext cx="5688000" cy="331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5688000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28</row>
      <rowOff>0</rowOff>
    </from>
    <ext cx="5688000" cy="37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688000" cy="3311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25</col>
      <colOff>0</colOff>
      <row>50</row>
      <rowOff>0</rowOff>
    </from>
    <ext cx="5688000" cy="331199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70</row>
      <rowOff>0</rowOff>
    </from>
    <ext cx="5688000" cy="3311999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25</col>
      <colOff>0</colOff>
      <row>70</row>
      <rowOff>0</rowOff>
    </from>
    <ext cx="5688000" cy="3311999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R&#193;FICOS'!A1" TargetMode="External" Id="rId1"/><Relationship Type="http://schemas.openxmlformats.org/officeDocument/2006/relationships/hyperlink" Target="#'PROCESSOS'!A1" TargetMode="External" Id="rId2"/><Relationship Type="http://schemas.openxmlformats.org/officeDocument/2006/relationships/hyperlink" Target="#'CADASTROS'!A1" TargetMode="External" Id="rId3"/><Relationship Type="http://schemas.openxmlformats.org/officeDocument/2006/relationships/hyperlink" Target="#'INSTRU&#199;&#213;ES'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PAINEL'!A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PAINEL'!A1" TargetMode="External" Id="rId1"/><Relationship Type="http://schemas.openxmlformats.org/officeDocument/2006/relationships/hyperlink" Target="#'GR&#193;FICOS'!A1" TargetMode="External" Id="rId2"/><Relationship Type="http://schemas.openxmlformats.org/officeDocument/2006/relationships/hyperlink" Target="#'PROCESSOS'!A1" TargetMode="External" Id="rId3"/><Relationship Type="http://schemas.openxmlformats.org/officeDocument/2006/relationships/hyperlink" Target="#'CADASTROS'!A1" TargetMode="External" Id="rId4"/><Relationship Type="http://schemas.openxmlformats.org/officeDocument/2006/relationships/hyperlink" Target="#'INSTRU&#199;&#213;ES'!A1" TargetMode="External" Id="rId5"/></Relationships>
</file>

<file path=xl/worksheets/sheet1.xml><?xml version="1.0" encoding="utf-8"?>
<worksheet xmlns="http://schemas.openxmlformats.org/spreadsheetml/2006/main">
  <sheetPr>
    <tabColor rgb="001F497D"/>
    <outlinePr summaryBelow="1" summaryRight="1"/>
    <pageSetUpPr fitToPage="1"/>
  </sheetPr>
  <dimension ref="A1:AW94"/>
  <sheetViews>
    <sheetView showGridLines="0" zoomScale="9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2" customWidth="1" min="49" max="4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 ht="22" customHeight="1">
      <c r="A2" s="2" t="n"/>
      <c r="B2" s="3" t="inlineStr">
        <is>
          <t>PAINEL DE GESTÃO DE PROCESSOS</t>
        </is>
      </c>
      <c r="AE2" s="2" t="n"/>
      <c r="AF2" s="2" t="n"/>
      <c r="AG2" s="2" t="n"/>
      <c r="AH2" s="2" t="n"/>
      <c r="AI2" s="2" t="n"/>
      <c r="AJ2" s="4" t="inlineStr">
        <is>
          <t>ATUALIZADO EM</t>
        </is>
      </c>
      <c r="AW2" s="2" t="n"/>
    </row>
    <row r="3" ht="22" customHeight="1">
      <c r="A3" s="2" t="n"/>
      <c r="AE3" s="2" t="n"/>
      <c r="AF3" s="2" t="n"/>
      <c r="AG3" s="2" t="n"/>
      <c r="AH3" s="2" t="n"/>
      <c r="AI3" s="2" t="n"/>
      <c r="AJ3" s="5">
        <f>TODAY()</f>
        <v>46303.0</v>
      </c>
      <c r="AW3" s="2" t="n"/>
    </row>
    <row r="4" ht="20" customHeight="1">
      <c r="A4" s="2" t="n"/>
      <c r="B4" s="6" t="inlineStr">
        <is>
          <t>Fluxo de Notificações e Fiscalizações  •  Visão do Gerente de Processos</t>
        </is>
      </c>
      <c r="AE4" s="2" t="n"/>
      <c r="AF4" s="2" t="n"/>
      <c r="AG4" s="2" t="n"/>
      <c r="AH4" s="2" t="n"/>
      <c r="AI4" s="2" t="n"/>
      <c r="AJ4" s="7" t="str">
        <f>"Base: "&amp;COUNTA(rEmpresa)&amp;" processos cadastrados"</f>
        <v>Base: 96 processos cadastrados</v>
      </c>
      <c r="AW4" s="2" t="n"/>
    </row>
    <row r="5" ht="4" customHeight="1">
      <c r="A5" s="8" t="n"/>
    </row>
    <row r="6" ht="1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</row>
    <row r="7" ht="24" customHeight="1">
      <c r="A7" s="1" t="n"/>
      <c r="B7" s="9" t="inlineStr">
        <is>
          <t>FILTROS</t>
        </is>
      </c>
      <c r="F7" s="10" t="inlineStr">
        <is>
          <t>Responsável:</t>
        </is>
      </c>
      <c r="G7" s="11" t="n"/>
      <c r="H7" s="11" t="n"/>
      <c r="I7" s="11" t="n"/>
      <c r="J7" s="12" t="n"/>
      <c r="K7" s="13" t="inlineStr">
        <is>
          <t>TODOS</t>
        </is>
      </c>
      <c r="L7" s="14" t="n"/>
      <c r="M7" s="14" t="n"/>
      <c r="N7" s="14" t="n"/>
      <c r="O7" s="14" t="n"/>
      <c r="P7" s="14" t="n"/>
      <c r="Q7" s="14" t="n"/>
      <c r="R7" s="14" t="n"/>
      <c r="S7" s="15" t="n"/>
      <c r="T7" s="10" t="inlineStr">
        <is>
          <t>Ano ref.:</t>
        </is>
      </c>
      <c r="U7" s="11" t="n"/>
      <c r="V7" s="11" t="n"/>
      <c r="W7" s="11" t="n"/>
      <c r="X7" s="12" t="n"/>
      <c r="Y7" s="16" t="n">
        <v>2026</v>
      </c>
      <c r="Z7" s="14" t="n"/>
      <c r="AA7" s="14" t="n"/>
      <c r="AB7" s="15" t="n"/>
      <c r="AC7" s="1" t="n"/>
      <c r="AD7" s="17" t="inlineStr">
        <is>
          <t>▸ GRÁFICOS</t>
        </is>
      </c>
      <c r="AE7" s="14" t="n"/>
      <c r="AF7" s="14" t="n"/>
      <c r="AG7" s="15" t="n"/>
      <c r="AH7" s="1" t="n"/>
      <c r="AI7" s="17" t="inlineStr">
        <is>
          <t>▸ PROCESSOS</t>
        </is>
      </c>
      <c r="AJ7" s="14" t="n"/>
      <c r="AK7" s="14" t="n"/>
      <c r="AL7" s="15" t="n"/>
      <c r="AM7" s="1" t="n"/>
      <c r="AN7" s="17" t="inlineStr">
        <is>
          <t>▸ CADASTROS</t>
        </is>
      </c>
      <c r="AO7" s="14" t="n"/>
      <c r="AP7" s="14" t="n"/>
      <c r="AQ7" s="15" t="n"/>
      <c r="AR7" s="1" t="n"/>
      <c r="AS7" s="17" t="inlineStr">
        <is>
          <t>▸ INSTRUÇÕES</t>
        </is>
      </c>
      <c r="AT7" s="14" t="n"/>
      <c r="AU7" s="14" t="n"/>
      <c r="AV7" s="15" t="n"/>
      <c r="AW7" s="1" t="n"/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</row>
    <row r="9" ht="20" customHeight="1">
      <c r="A9" s="1" t="n"/>
      <c r="B9" s="18" t="inlineStr">
        <is>
          <t>INDICADORES PRINCIPAIS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" t="n"/>
    </row>
    <row r="10" ht="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</row>
    <row r="11" ht="5" customHeight="1">
      <c r="A11" s="1" t="n"/>
      <c r="B11" s="20" t="n"/>
      <c r="C11" s="21" t="n"/>
      <c r="D11" s="21" t="n"/>
      <c r="E11" s="21" t="n"/>
      <c r="F11" s="21" t="n"/>
      <c r="G11" s="21" t="n"/>
      <c r="H11" s="22" t="n"/>
      <c r="I11" s="1" t="n"/>
      <c r="J11" s="20" t="n"/>
      <c r="K11" s="21" t="n"/>
      <c r="L11" s="21" t="n"/>
      <c r="M11" s="21" t="n"/>
      <c r="N11" s="21" t="n"/>
      <c r="O11" s="21" t="n"/>
      <c r="P11" s="22" t="n"/>
      <c r="Q11" s="1" t="n"/>
      <c r="R11" s="20" t="n"/>
      <c r="S11" s="21" t="n"/>
      <c r="T11" s="21" t="n"/>
      <c r="U11" s="21" t="n"/>
      <c r="V11" s="21" t="n"/>
      <c r="W11" s="21" t="n"/>
      <c r="X11" s="22" t="n"/>
      <c r="Y11" s="1" t="n"/>
      <c r="Z11" s="23" t="n"/>
      <c r="AA11" s="21" t="n"/>
      <c r="AB11" s="21" t="n"/>
      <c r="AC11" s="21" t="n"/>
      <c r="AD11" s="21" t="n"/>
      <c r="AE11" s="21" t="n"/>
      <c r="AF11" s="22" t="n"/>
      <c r="AG11" s="1" t="n"/>
      <c r="AH11" s="24" t="n"/>
      <c r="AI11" s="21" t="n"/>
      <c r="AJ11" s="21" t="n"/>
      <c r="AK11" s="21" t="n"/>
      <c r="AL11" s="21" t="n"/>
      <c r="AM11" s="21" t="n"/>
      <c r="AN11" s="22" t="n"/>
      <c r="AO11" s="1" t="n"/>
      <c r="AP11" s="20" t="n"/>
      <c r="AQ11" s="21" t="n"/>
      <c r="AR11" s="21" t="n"/>
      <c r="AS11" s="21" t="n"/>
      <c r="AT11" s="21" t="n"/>
      <c r="AU11" s="21" t="n"/>
      <c r="AV11" s="22" t="n"/>
      <c r="AW11" s="1" t="n"/>
    </row>
    <row r="12" ht="20" customHeight="1">
      <c r="A12" s="1" t="n"/>
      <c r="B12" s="25" t="inlineStr">
        <is>
          <t>TOTAL DE PROCESSOS</t>
        </is>
      </c>
      <c r="C12" s="26" t="n"/>
      <c r="D12" s="26" t="n"/>
      <c r="E12" s="26" t="n"/>
      <c r="F12" s="26" t="n"/>
      <c r="G12" s="26" t="n"/>
      <c r="H12" s="27" t="n"/>
      <c r="I12" s="1" t="n"/>
      <c r="J12" s="25" t="inlineStr">
        <is>
          <t>EM PRAZO D.P</t>
        </is>
      </c>
      <c r="K12" s="26" t="n"/>
      <c r="L12" s="26" t="n"/>
      <c r="M12" s="26" t="n"/>
      <c r="N12" s="26" t="n"/>
      <c r="O12" s="26" t="n"/>
      <c r="P12" s="27" t="n"/>
      <c r="Q12" s="1" t="n"/>
      <c r="R12" s="25" t="inlineStr">
        <is>
          <t>EM DECISÃO D.P</t>
        </is>
      </c>
      <c r="S12" s="26" t="n"/>
      <c r="T12" s="26" t="n"/>
      <c r="U12" s="26" t="n"/>
      <c r="V12" s="26" t="n"/>
      <c r="W12" s="26" t="n"/>
      <c r="X12" s="27" t="n"/>
      <c r="Y12" s="1" t="n"/>
      <c r="Z12" s="25" t="inlineStr">
        <is>
          <t>DENTRO DO PRAZO</t>
        </is>
      </c>
      <c r="AA12" s="26" t="n"/>
      <c r="AB12" s="26" t="n"/>
      <c r="AC12" s="26" t="n"/>
      <c r="AD12" s="26" t="n"/>
      <c r="AE12" s="26" t="n"/>
      <c r="AF12" s="27" t="n"/>
      <c r="AG12" s="1" t="n"/>
      <c r="AH12" s="25" t="str">
        <f>"VENCEM EM ATÉ "&amp;DiasAlerta&amp;" DIAS"</f>
        <v>VENCEM EM ATÉ 5 DIAS</v>
      </c>
      <c r="AI12" s="26" t="n"/>
      <c r="AJ12" s="26" t="n"/>
      <c r="AK12" s="26" t="n"/>
      <c r="AL12" s="26" t="n"/>
      <c r="AM12" s="26" t="n"/>
      <c r="AN12" s="27" t="n"/>
      <c r="AO12" s="1" t="n"/>
      <c r="AP12" s="25" t="inlineStr">
        <is>
          <t>FISCALIZAÇÕES NO MÊS</t>
        </is>
      </c>
      <c r="AQ12" s="26" t="n"/>
      <c r="AR12" s="26" t="n"/>
      <c r="AS12" s="26" t="n"/>
      <c r="AT12" s="26" t="n"/>
      <c r="AU12" s="26" t="n"/>
      <c r="AV12" s="27" t="n"/>
      <c r="AW12" s="1" t="n"/>
    </row>
    <row r="13" ht="22" customHeight="1">
      <c r="A13" s="1" t="n"/>
      <c r="B13" s="28">
        <f>COUNTIFS(rEmpresa,"&lt;&gt;",rResp,critResp)</f>
        <v>96</v>
      </c>
      <c r="C13" s="26" t="n"/>
      <c r="D13" s="26" t="n"/>
      <c r="E13" s="26" t="n"/>
      <c r="F13" s="26" t="n"/>
      <c r="G13" s="26" t="n"/>
      <c r="H13" s="27" t="n"/>
      <c r="I13" s="1" t="n"/>
      <c r="J13" s="28">
        <f>COUNTIFS(rEmpresa,"&lt;&gt;",rResp,critResp,rStatus,"PRAZO D.P")</f>
        <v>29</v>
      </c>
      <c r="K13" s="26" t="n"/>
      <c r="L13" s="26" t="n"/>
      <c r="M13" s="26" t="n"/>
      <c r="N13" s="26" t="n"/>
      <c r="O13" s="26" t="n"/>
      <c r="P13" s="27" t="n"/>
      <c r="Q13" s="1" t="n"/>
      <c r="R13" s="28">
        <f>COUNTIFS(rEmpresa,"&lt;&gt;",rResp,critResp,rStatus,"DECISÃO D.P")</f>
        <v>67</v>
      </c>
      <c r="S13" s="26" t="n"/>
      <c r="T13" s="26" t="n"/>
      <c r="U13" s="26" t="n"/>
      <c r="V13" s="26" t="n"/>
      <c r="W13" s="26" t="n"/>
      <c r="X13" s="27" t="n"/>
      <c r="Y13" s="1" t="n"/>
      <c r="Z13" s="29">
        <f>COUNTIFS(rEmpresa,"&lt;&gt;",rResp,critResp,rSit,"NO PRAZO")</f>
        <v>6</v>
      </c>
      <c r="AA13" s="26" t="n"/>
      <c r="AB13" s="26" t="n"/>
      <c r="AC13" s="26" t="n"/>
      <c r="AD13" s="26" t="n"/>
      <c r="AE13" s="26" t="n"/>
      <c r="AF13" s="27" t="n"/>
      <c r="AG13" s="1" t="n"/>
      <c r="AH13" s="30">
        <f>COUNTIFS(rEmpresa,"&lt;&gt;",rResp,critResp,rSit,"VENCE EM BREVE")</f>
        <v>6</v>
      </c>
      <c r="AI13" s="26" t="n"/>
      <c r="AJ13" s="26" t="n"/>
      <c r="AK13" s="26" t="n"/>
      <c r="AL13" s="26" t="n"/>
      <c r="AM13" s="26" t="n"/>
      <c r="AN13" s="27" t="n"/>
      <c r="AO13" s="1" t="n"/>
      <c r="AP13" s="28">
        <f>COUNTIFS(rEmpresa,"&lt;&gt;",rResp,critResp,rDataFisc,"&gt;="&amp;DATE(YEAR(TODAY()),MONTH(TODAY()),1),rDataFisc,"&lt;"&amp;DATE(YEAR(TODAY()),MONTH(TODAY())+1,1))</f>
        <v>10</v>
      </c>
      <c r="AQ13" s="26" t="n"/>
      <c r="AR13" s="26" t="n"/>
      <c r="AS13" s="26" t="n"/>
      <c r="AT13" s="26" t="n"/>
      <c r="AU13" s="26" t="n"/>
      <c r="AV13" s="27" t="n"/>
      <c r="AW13" s="1" t="n"/>
    </row>
    <row r="14" ht="22" customHeight="1">
      <c r="A14" s="1" t="n"/>
      <c r="B14" s="31" t="n"/>
      <c r="C14" s="26" t="n"/>
      <c r="D14" s="26" t="n"/>
      <c r="E14" s="26" t="n"/>
      <c r="F14" s="26" t="n"/>
      <c r="G14" s="26" t="n"/>
      <c r="H14" s="27" t="n"/>
      <c r="I14" s="1" t="n"/>
      <c r="J14" s="31" t="n"/>
      <c r="K14" s="26" t="n"/>
      <c r="L14" s="26" t="n"/>
      <c r="M14" s="26" t="n"/>
      <c r="N14" s="26" t="n"/>
      <c r="O14" s="26" t="n"/>
      <c r="P14" s="27" t="n"/>
      <c r="Q14" s="1" t="n"/>
      <c r="R14" s="31" t="n"/>
      <c r="S14" s="26" t="n"/>
      <c r="T14" s="26" t="n"/>
      <c r="U14" s="26" t="n"/>
      <c r="V14" s="26" t="n"/>
      <c r="W14" s="26" t="n"/>
      <c r="X14" s="27" t="n"/>
      <c r="Y14" s="1" t="n"/>
      <c r="Z14" s="31" t="n"/>
      <c r="AA14" s="26" t="n"/>
      <c r="AB14" s="26" t="n"/>
      <c r="AC14" s="26" t="n"/>
      <c r="AD14" s="26" t="n"/>
      <c r="AE14" s="26" t="n"/>
      <c r="AF14" s="27" t="n"/>
      <c r="AG14" s="1" t="n"/>
      <c r="AH14" s="31" t="n"/>
      <c r="AI14" s="26" t="n"/>
      <c r="AJ14" s="26" t="n"/>
      <c r="AK14" s="26" t="n"/>
      <c r="AL14" s="26" t="n"/>
      <c r="AM14" s="26" t="n"/>
      <c r="AN14" s="27" t="n"/>
      <c r="AO14" s="1" t="n"/>
      <c r="AP14" s="31" t="n"/>
      <c r="AQ14" s="26" t="n"/>
      <c r="AR14" s="26" t="n"/>
      <c r="AS14" s="26" t="n"/>
      <c r="AT14" s="26" t="n"/>
      <c r="AU14" s="26" t="n"/>
      <c r="AV14" s="27" t="n"/>
      <c r="AW14" s="1" t="n"/>
    </row>
    <row r="15" ht="18" customHeight="1">
      <c r="A15" s="1" t="n"/>
      <c r="B15" s="32" t="inlineStr">
        <is>
          <t>registros na base (filtro aplicado)</t>
        </is>
      </c>
      <c r="C15" s="33" t="n"/>
      <c r="D15" s="33" t="n"/>
      <c r="E15" s="33" t="n"/>
      <c r="F15" s="33" t="n"/>
      <c r="G15" s="33" t="n"/>
      <c r="H15" s="34" t="n"/>
      <c r="I15" s="1" t="n"/>
      <c r="J15" s="35">
        <f>IFERROR(J13/B13,0)</f>
        <v>0.302083333333333</v>
      </c>
      <c r="K15" s="33" t="n"/>
      <c r="L15" s="33" t="n"/>
      <c r="M15" s="36" t="inlineStr">
        <is>
          <t>do total</t>
        </is>
      </c>
      <c r="N15" s="33" t="n"/>
      <c r="O15" s="33" t="n"/>
      <c r="P15" s="34" t="n"/>
      <c r="Q15" s="1" t="n"/>
      <c r="R15" s="35">
        <f>IFERROR(R13/B13,0)</f>
        <v>0.697916666666667</v>
      </c>
      <c r="S15" s="33" t="n"/>
      <c r="T15" s="33" t="n"/>
      <c r="U15" s="36" t="inlineStr">
        <is>
          <t>do total</t>
        </is>
      </c>
      <c r="V15" s="33" t="n"/>
      <c r="W15" s="33" t="n"/>
      <c r="X15" s="34" t="n"/>
      <c r="Y15" s="1" t="n"/>
      <c r="Z15" s="37">
        <f>IFERROR(Z13/J13,0)</f>
        <v>0.206896551724138</v>
      </c>
      <c r="AA15" s="33" t="n"/>
      <c r="AB15" s="33" t="n"/>
      <c r="AC15" s="36" t="inlineStr">
        <is>
          <t>dos em prazo D.P</t>
        </is>
      </c>
      <c r="AD15" s="33" t="n"/>
      <c r="AE15" s="33" t="n"/>
      <c r="AF15" s="34" t="n"/>
      <c r="AG15" s="1" t="n"/>
      <c r="AH15" s="38">
        <f>IFERROR(AH13/J13,0)</f>
        <v>0.206896551724138</v>
      </c>
      <c r="AI15" s="33" t="n"/>
      <c r="AJ15" s="33" t="n"/>
      <c r="AK15" s="36" t="inlineStr">
        <is>
          <t>dos em prazo D.P</t>
        </is>
      </c>
      <c r="AL15" s="33" t="n"/>
      <c r="AM15" s="33" t="n"/>
      <c r="AN15" s="34" t="n"/>
      <c r="AO15" s="1" t="n"/>
      <c r="AP15" s="39">
        <f>AP13-COUNTIFS(rEmpresa,"&lt;&gt;",rResp,critResp,rDataFisc,"&gt;="&amp;DATE(YEAR(TODAY()),MONTH(TODAY())-1,1),rDataFisc,"&lt;"&amp;DATE(YEAR(TODAY()),MONTH(TODAY()),1))</f>
        <v>-13</v>
      </c>
      <c r="AQ15" s="33" t="n"/>
      <c r="AR15" s="33" t="n"/>
      <c r="AS15" s="36" t="inlineStr">
        <is>
          <t>vs mês anterior</t>
        </is>
      </c>
      <c r="AT15" s="33" t="n"/>
      <c r="AU15" s="33" t="n"/>
      <c r="AV15" s="34" t="n"/>
      <c r="AW15" s="1" t="n"/>
    </row>
    <row r="16" ht="1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</row>
    <row r="17" ht="5" customHeight="1">
      <c r="A17" s="1" t="n"/>
      <c r="B17" s="20" t="n"/>
      <c r="C17" s="21" t="n"/>
      <c r="D17" s="21" t="n"/>
      <c r="E17" s="21" t="n"/>
      <c r="F17" s="21" t="n"/>
      <c r="G17" s="21" t="n"/>
      <c r="H17" s="22" t="n"/>
      <c r="I17" s="1" t="n"/>
      <c r="J17" s="20" t="n"/>
      <c r="K17" s="21" t="n"/>
      <c r="L17" s="21" t="n"/>
      <c r="M17" s="21" t="n"/>
      <c r="N17" s="21" t="n"/>
      <c r="O17" s="21" t="n"/>
      <c r="P17" s="22" t="n"/>
      <c r="Q17" s="1" t="n"/>
      <c r="R17" s="20" t="n"/>
      <c r="S17" s="21" t="n"/>
      <c r="T17" s="21" t="n"/>
      <c r="U17" s="21" t="n"/>
      <c r="V17" s="21" t="n"/>
      <c r="W17" s="21" t="n"/>
      <c r="X17" s="22" t="n"/>
      <c r="Y17" s="1" t="n"/>
      <c r="Z17" s="20" t="n"/>
      <c r="AA17" s="21" t="n"/>
      <c r="AB17" s="21" t="n"/>
      <c r="AC17" s="21" t="n"/>
      <c r="AD17" s="21" t="n"/>
      <c r="AE17" s="21" t="n"/>
      <c r="AF17" s="22" t="n"/>
      <c r="AG17" s="1" t="n"/>
      <c r="AH17" s="20" t="n"/>
      <c r="AI17" s="21" t="n"/>
      <c r="AJ17" s="21" t="n"/>
      <c r="AK17" s="21" t="n"/>
      <c r="AL17" s="21" t="n"/>
      <c r="AM17" s="21" t="n"/>
      <c r="AN17" s="22" t="n"/>
      <c r="AO17" s="1" t="n"/>
      <c r="AP17" s="20" t="n"/>
      <c r="AQ17" s="21" t="n"/>
      <c r="AR17" s="21" t="n"/>
      <c r="AS17" s="21" t="n"/>
      <c r="AT17" s="21" t="n"/>
      <c r="AU17" s="21" t="n"/>
      <c r="AV17" s="22" t="n"/>
      <c r="AW17" s="1" t="n"/>
    </row>
    <row r="18" ht="20" customHeight="1">
      <c r="A18" s="1" t="n"/>
      <c r="B18" s="25" t="inlineStr">
        <is>
          <t>NOTIF. DE CONSTATAÇÃO</t>
        </is>
      </c>
      <c r="C18" s="26" t="n"/>
      <c r="D18" s="26" t="n"/>
      <c r="E18" s="26" t="n"/>
      <c r="F18" s="26" t="n"/>
      <c r="G18" s="26" t="n"/>
      <c r="H18" s="27" t="n"/>
      <c r="I18" s="1" t="n"/>
      <c r="J18" s="25" t="inlineStr">
        <is>
          <t>NOTIF. DE ESCLARECIMENTO</t>
        </is>
      </c>
      <c r="K18" s="26" t="n"/>
      <c r="L18" s="26" t="n"/>
      <c r="M18" s="26" t="n"/>
      <c r="N18" s="26" t="n"/>
      <c r="O18" s="26" t="n"/>
      <c r="P18" s="27" t="n"/>
      <c r="Q18" s="1" t="n"/>
      <c r="R18" s="25" t="inlineStr">
        <is>
          <t>NOTIFICAÇÕES PRESENCIAIS</t>
        </is>
      </c>
      <c r="S18" s="26" t="n"/>
      <c r="T18" s="26" t="n"/>
      <c r="U18" s="26" t="n"/>
      <c r="V18" s="26" t="n"/>
      <c r="W18" s="26" t="n"/>
      <c r="X18" s="27" t="n"/>
      <c r="Y18" s="1" t="n"/>
      <c r="Z18" s="25" t="inlineStr">
        <is>
          <t>NOTIFICAÇÕES ELETRÔNICAS</t>
        </is>
      </c>
      <c r="AA18" s="26" t="n"/>
      <c r="AB18" s="26" t="n"/>
      <c r="AC18" s="26" t="n"/>
      <c r="AD18" s="26" t="n"/>
      <c r="AE18" s="26" t="n"/>
      <c r="AF18" s="27" t="n"/>
      <c r="AG18" s="1" t="n"/>
      <c r="AH18" s="25" t="inlineStr">
        <is>
          <t>IDADE MÉDIA DOS PROCESSOS</t>
        </is>
      </c>
      <c r="AI18" s="26" t="n"/>
      <c r="AJ18" s="26" t="n"/>
      <c r="AK18" s="26" t="n"/>
      <c r="AL18" s="26" t="n"/>
      <c r="AM18" s="26" t="n"/>
      <c r="AN18" s="27" t="n"/>
      <c r="AO18" s="1" t="n"/>
      <c r="AP18" s="25" t="inlineStr">
        <is>
          <t>FISCALIZAÇÕES NO ANO REF.</t>
        </is>
      </c>
      <c r="AQ18" s="26" t="n"/>
      <c r="AR18" s="26" t="n"/>
      <c r="AS18" s="26" t="n"/>
      <c r="AT18" s="26" t="n"/>
      <c r="AU18" s="26" t="n"/>
      <c r="AV18" s="27" t="n"/>
      <c r="AW18" s="1" t="n"/>
    </row>
    <row r="19" ht="22" customHeight="1">
      <c r="A19" s="1" t="n"/>
      <c r="B19" s="28">
        <f>COUNTIFS(rEmpresa,"&lt;&gt;",rResp,critResp,rNotif,"NOTIFICAÇÃO DE CONSTATAÇÃO")</f>
        <v>62</v>
      </c>
      <c r="C19" s="26" t="n"/>
      <c r="D19" s="26" t="n"/>
      <c r="E19" s="26" t="n"/>
      <c r="F19" s="26" t="n"/>
      <c r="G19" s="26" t="n"/>
      <c r="H19" s="27" t="n"/>
      <c r="I19" s="1" t="n"/>
      <c r="J19" s="28">
        <f>COUNTIFS(rEmpresa,"&lt;&gt;",rResp,critResp,rNotif,"NOTIFICAÇÃO DE ESCLARECIMENTO")</f>
        <v>34</v>
      </c>
      <c r="K19" s="26" t="n"/>
      <c r="L19" s="26" t="n"/>
      <c r="M19" s="26" t="n"/>
      <c r="N19" s="26" t="n"/>
      <c r="O19" s="26" t="n"/>
      <c r="P19" s="27" t="n"/>
      <c r="Q19" s="1" t="n"/>
      <c r="R19" s="28">
        <f>COUNTIFS(rEmpresa,"&lt;&gt;",rResp,critResp,rTipo,"PRESENCIAL")</f>
        <v>58</v>
      </c>
      <c r="S19" s="26" t="n"/>
      <c r="T19" s="26" t="n"/>
      <c r="U19" s="26" t="n"/>
      <c r="V19" s="26" t="n"/>
      <c r="W19" s="26" t="n"/>
      <c r="X19" s="27" t="n"/>
      <c r="Y19" s="1" t="n"/>
      <c r="Z19" s="28">
        <f>COUNTIFS(rEmpresa,"&lt;&gt;",rResp,critResp,rTipo,"ELETRÔNICA")</f>
        <v>38</v>
      </c>
      <c r="AA19" s="26" t="n"/>
      <c r="AB19" s="26" t="n"/>
      <c r="AC19" s="26" t="n"/>
      <c r="AD19" s="26" t="n"/>
      <c r="AE19" s="26" t="n"/>
      <c r="AF19" s="27" t="n"/>
      <c r="AG19" s="1" t="n"/>
      <c r="AH19" s="40">
        <f>IFERROR(AVERAGEIFS(rIdade,rEmpresa,"&lt;&gt;",rResp,critResp),0)</f>
        <v>83.28125</v>
      </c>
      <c r="AI19" s="26" t="n"/>
      <c r="AJ19" s="26" t="n"/>
      <c r="AK19" s="26" t="n"/>
      <c r="AL19" s="26" t="n"/>
      <c r="AM19" s="26" t="n"/>
      <c r="AN19" s="27" t="n"/>
      <c r="AO19" s="1" t="n"/>
      <c r="AP19" s="28">
        <f>COUNTIFS(rEmpresa,"&lt;&gt;",rResp,critResp,rDataFisc,"&gt;="&amp;DATE(FiltroAno,1,1),rDataFisc,"&lt;"&amp;DATE(FiltroAno+1,1,1))</f>
        <v>96</v>
      </c>
      <c r="AQ19" s="26" t="n"/>
      <c r="AR19" s="26" t="n"/>
      <c r="AS19" s="26" t="n"/>
      <c r="AT19" s="26" t="n"/>
      <c r="AU19" s="26" t="n"/>
      <c r="AV19" s="27" t="n"/>
      <c r="AW19" s="1" t="n"/>
    </row>
    <row r="20" ht="22" customHeight="1">
      <c r="A20" s="1" t="n"/>
      <c r="B20" s="31" t="n"/>
      <c r="C20" s="26" t="n"/>
      <c r="D20" s="26" t="n"/>
      <c r="E20" s="26" t="n"/>
      <c r="F20" s="26" t="n"/>
      <c r="G20" s="26" t="n"/>
      <c r="H20" s="27" t="n"/>
      <c r="I20" s="1" t="n"/>
      <c r="J20" s="31" t="n"/>
      <c r="K20" s="26" t="n"/>
      <c r="L20" s="26" t="n"/>
      <c r="M20" s="26" t="n"/>
      <c r="N20" s="26" t="n"/>
      <c r="O20" s="26" t="n"/>
      <c r="P20" s="27" t="n"/>
      <c r="Q20" s="1" t="n"/>
      <c r="R20" s="31" t="n"/>
      <c r="S20" s="26" t="n"/>
      <c r="T20" s="26" t="n"/>
      <c r="U20" s="26" t="n"/>
      <c r="V20" s="26" t="n"/>
      <c r="W20" s="26" t="n"/>
      <c r="X20" s="27" t="n"/>
      <c r="Y20" s="1" t="n"/>
      <c r="Z20" s="31" t="n"/>
      <c r="AA20" s="26" t="n"/>
      <c r="AB20" s="26" t="n"/>
      <c r="AC20" s="26" t="n"/>
      <c r="AD20" s="26" t="n"/>
      <c r="AE20" s="26" t="n"/>
      <c r="AF20" s="27" t="n"/>
      <c r="AG20" s="1" t="n"/>
      <c r="AH20" s="31" t="n"/>
      <c r="AI20" s="26" t="n"/>
      <c r="AJ20" s="26" t="n"/>
      <c r="AK20" s="26" t="n"/>
      <c r="AL20" s="26" t="n"/>
      <c r="AM20" s="26" t="n"/>
      <c r="AN20" s="27" t="n"/>
      <c r="AO20" s="1" t="n"/>
      <c r="AP20" s="31" t="n"/>
      <c r="AQ20" s="26" t="n"/>
      <c r="AR20" s="26" t="n"/>
      <c r="AS20" s="26" t="n"/>
      <c r="AT20" s="26" t="n"/>
      <c r="AU20" s="26" t="n"/>
      <c r="AV20" s="27" t="n"/>
      <c r="AW20" s="1" t="n"/>
    </row>
    <row r="21" ht="18" customHeight="1">
      <c r="A21" s="1" t="n"/>
      <c r="B21" s="35">
        <f>IFERROR(B19/$B$13,0)</f>
        <v>0.645833333333333</v>
      </c>
      <c r="C21" s="33" t="n"/>
      <c r="D21" s="33" t="n"/>
      <c r="E21" s="36" t="inlineStr">
        <is>
          <t>do total</t>
        </is>
      </c>
      <c r="F21" s="33" t="n"/>
      <c r="G21" s="33" t="n"/>
      <c r="H21" s="34" t="n"/>
      <c r="I21" s="1" t="n"/>
      <c r="J21" s="35">
        <f>IFERROR(J19/$B$13,0)</f>
        <v>0.354166666666667</v>
      </c>
      <c r="K21" s="33" t="n"/>
      <c r="L21" s="33" t="n"/>
      <c r="M21" s="36" t="inlineStr">
        <is>
          <t>do total</t>
        </is>
      </c>
      <c r="N21" s="33" t="n"/>
      <c r="O21" s="33" t="n"/>
      <c r="P21" s="34" t="n"/>
      <c r="Q21" s="1" t="n"/>
      <c r="R21" s="35">
        <f>IFERROR(R19/$B$13,0)</f>
        <v>0.604166666666667</v>
      </c>
      <c r="S21" s="33" t="n"/>
      <c r="T21" s="33" t="n"/>
      <c r="U21" s="36" t="inlineStr">
        <is>
          <t>do total</t>
        </is>
      </c>
      <c r="V21" s="33" t="n"/>
      <c r="W21" s="33" t="n"/>
      <c r="X21" s="34" t="n"/>
      <c r="Y21" s="1" t="n"/>
      <c r="Z21" s="35">
        <f>IFERROR(Z19/$B$13,0)</f>
        <v>0.395833333333333</v>
      </c>
      <c r="AA21" s="33" t="n"/>
      <c r="AB21" s="33" t="n"/>
      <c r="AC21" s="36" t="inlineStr">
        <is>
          <t>do total</t>
        </is>
      </c>
      <c r="AD21" s="33" t="n"/>
      <c r="AE21" s="33" t="n"/>
      <c r="AF21" s="34" t="n"/>
      <c r="AG21" s="1" t="n"/>
      <c r="AH21" s="32" t="inlineStr">
        <is>
          <t>dias desde a fiscalização</t>
        </is>
      </c>
      <c r="AI21" s="33" t="n"/>
      <c r="AJ21" s="33" t="n"/>
      <c r="AK21" s="33" t="n"/>
      <c r="AL21" s="33" t="n"/>
      <c r="AM21" s="33" t="n"/>
      <c r="AN21" s="34" t="n"/>
      <c r="AO21" s="1" t="n"/>
      <c r="AP21" s="35">
        <f>IFERROR(AP19/(MetaMensal*12),0)</f>
        <v>0.666666666666667</v>
      </c>
      <c r="AQ21" s="33" t="n"/>
      <c r="AR21" s="33" t="n"/>
      <c r="AS21" s="36" t="inlineStr">
        <is>
          <t>da meta anual</t>
        </is>
      </c>
      <c r="AT21" s="33" t="n"/>
      <c r="AU21" s="33" t="n"/>
      <c r="AV21" s="34" t="n"/>
      <c r="AW21" s="1" t="n"/>
    </row>
    <row r="22" ht="12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</row>
    <row r="23" ht="20" customHeight="1">
      <c r="A23" s="1" t="n"/>
      <c r="B23" s="18" t="inlineStr">
        <is>
          <t>AGENDA — PRÓXIMOS VENCIMENTOS (TOP 10)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" t="n"/>
      <c r="Z23" s="18" t="inlineStr">
        <is>
          <t>ÚLTIMAS FISCALIZAÇÕES REGISTRADAS (TOP 10)</t>
        </is>
      </c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" t="n"/>
    </row>
    <row r="24" ht="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</row>
    <row r="25" ht="20" customHeight="1">
      <c r="A25" s="1" t="n"/>
      <c r="B25" s="41" t="inlineStr">
        <is>
          <t>#</t>
        </is>
      </c>
      <c r="D25" s="41" t="inlineStr">
        <is>
          <t>EMPRESA</t>
        </is>
      </c>
      <c r="L25" s="41" t="inlineStr">
        <is>
          <t>RESPONSÁVEL</t>
        </is>
      </c>
      <c r="R25" s="41" t="inlineStr">
        <is>
          <t>PRAZO FINAL</t>
        </is>
      </c>
      <c r="V25" s="41" t="inlineStr">
        <is>
          <t>DIAS</t>
        </is>
      </c>
      <c r="Y25" s="1" t="n"/>
      <c r="Z25" s="41" t="inlineStr">
        <is>
          <t>#</t>
        </is>
      </c>
      <c r="AB25" s="41" t="inlineStr">
        <is>
          <t>EMPRESA</t>
        </is>
      </c>
      <c r="AJ25" s="41" t="inlineStr">
        <is>
          <t>RESPONSÁVEL</t>
        </is>
      </c>
      <c r="AP25" s="41" t="inlineStr">
        <is>
          <t>FISCALIZAÇÃO</t>
        </is>
      </c>
      <c r="AT25" s="41" t="inlineStr">
        <is>
          <t>NOTIF.</t>
        </is>
      </c>
      <c r="AW25" s="1" t="n"/>
    </row>
    <row r="26" ht="18" customHeight="1">
      <c r="A26" s="1" t="n"/>
      <c r="B26" s="42">
        <f>IF(CALC!$BJ$5="","",1)</f>
        <v>1</v>
      </c>
      <c r="C26" s="43" t="n"/>
      <c r="D26" s="44" t="str">
        <f>IF(CALC!$BJ$5="",IF(1=1,"✓ Nenhum prazo pendente",""),INDEX(rEmpresa,CALC!$BJ$5))</f>
        <v>Clínica Estrela</v>
      </c>
      <c r="E26" s="43" t="n"/>
      <c r="F26" s="43" t="n"/>
      <c r="G26" s="43" t="n"/>
      <c r="H26" s="43" t="n"/>
      <c r="I26" s="43" t="n"/>
      <c r="J26" s="43" t="n"/>
      <c r="K26" s="43" t="n"/>
      <c r="L26" s="45" t="str">
        <f>IF(CALC!$BJ$5="","",INDEX(rResp,CALC!$BJ$5))</f>
        <v>DIEGO RIBEIRO</v>
      </c>
      <c r="M26" s="43" t="n"/>
      <c r="N26" s="43" t="n"/>
      <c r="O26" s="43" t="n"/>
      <c r="P26" s="43" t="n"/>
      <c r="Q26" s="43" t="n"/>
      <c r="R26" s="46">
        <f>IF(CALC!$BJ$5="","",INDEX(rPrazo,CALC!$BJ$5))</f>
        <v>46303.0</v>
      </c>
      <c r="S26" s="43" t="n"/>
      <c r="T26" s="43" t="n"/>
      <c r="U26" s="43" t="n"/>
      <c r="V26" s="47">
        <f>IF(CALC!$BJ$5="","",INDEX(rDias,CALC!$BJ$5))</f>
        <v>0</v>
      </c>
      <c r="W26" s="43" t="n"/>
      <c r="X26" s="43" t="n"/>
      <c r="Y26" s="1" t="n"/>
      <c r="Z26" s="42">
        <f>IF(CALC!$BK$5="","",1)</f>
        <v>1</v>
      </c>
      <c r="AA26" s="43" t="n"/>
      <c r="AB26" s="44" t="str">
        <f>IF(CALC!$BK$5="",IF(1=1,"Nenhuma fiscalização registrada",""),INDEX(rEmpresa,CALC!$BK$5))</f>
        <v>Escola Vitória</v>
      </c>
      <c r="AC26" s="43" t="n"/>
      <c r="AD26" s="43" t="n"/>
      <c r="AE26" s="43" t="n"/>
      <c r="AF26" s="43" t="n"/>
      <c r="AG26" s="43" t="n"/>
      <c r="AH26" s="43" t="n"/>
      <c r="AI26" s="43" t="n"/>
      <c r="AJ26" s="45" t="str">
        <f>IF(CALC!$BK$5="","",INDEX(rResp,CALC!$BK$5))</f>
        <v>ANA PAULA SOUZA</v>
      </c>
      <c r="AK26" s="43" t="n"/>
      <c r="AL26" s="43" t="n"/>
      <c r="AM26" s="43" t="n"/>
      <c r="AN26" s="43" t="n"/>
      <c r="AO26" s="43" t="n"/>
      <c r="AP26" s="46">
        <f>IF(CALC!$BK$5="","",INDEX(rDataFisc,CALC!$BK$5))</f>
        <v>46303.0</v>
      </c>
      <c r="AQ26" s="43" t="n"/>
      <c r="AR26" s="43" t="n"/>
      <c r="AS26" s="43" t="n"/>
      <c r="AT26" s="48" t="str">
        <f>IF(CALC!$BK$5="","",IF(INDEX(rNotif,CALC!$BK$5)="NOTIFICAÇÃO DE CONSTATAÇÃO","CONST.","ESCLAR."))</f>
        <v>ESCLAR.</v>
      </c>
      <c r="AU26" s="43" t="n"/>
      <c r="AV26" s="43" t="n"/>
      <c r="AW26" s="1" t="n"/>
    </row>
    <row r="27" ht="18" customHeight="1">
      <c r="A27" s="1" t="n"/>
      <c r="B27" s="49">
        <f>IF(CALC!$BJ$6="","",2)</f>
        <v>2</v>
      </c>
      <c r="C27" s="43" t="n"/>
      <c r="D27" s="50" t="str">
        <f>IF(CALC!$BJ$6="",IF(2=1,"✓ Nenhum prazo pendente",""),INDEX(rEmpresa,CALC!$BJ$6))</f>
        <v>Academia Central</v>
      </c>
      <c r="E27" s="43" t="n"/>
      <c r="F27" s="43" t="n"/>
      <c r="G27" s="43" t="n"/>
      <c r="H27" s="43" t="n"/>
      <c r="I27" s="43" t="n"/>
      <c r="J27" s="43" t="n"/>
      <c r="K27" s="43" t="n"/>
      <c r="L27" s="51" t="str">
        <f>IF(CALC!$BJ$6="","",INDEX(rResp,CALC!$BJ$6))</f>
        <v>DIEGO RIBEIRO</v>
      </c>
      <c r="M27" s="43" t="n"/>
      <c r="N27" s="43" t="n"/>
      <c r="O27" s="43" t="n"/>
      <c r="P27" s="43" t="n"/>
      <c r="Q27" s="43" t="n"/>
      <c r="R27" s="52">
        <f>IF(CALC!$BJ$6="","",INDEX(rPrazo,CALC!$BJ$6))</f>
        <v>46304.0</v>
      </c>
      <c r="S27" s="43" t="n"/>
      <c r="T27" s="43" t="n"/>
      <c r="U27" s="43" t="n"/>
      <c r="V27" s="53">
        <f>IF(CALC!$BJ$6="","",INDEX(rDias,CALC!$BJ$6))</f>
        <v>1</v>
      </c>
      <c r="W27" s="43" t="n"/>
      <c r="X27" s="43" t="n"/>
      <c r="Y27" s="1" t="n"/>
      <c r="Z27" s="49">
        <f>IF(CALC!$BK$6="","",2)</f>
        <v>2</v>
      </c>
      <c r="AA27" s="43" t="n"/>
      <c r="AB27" s="50" t="str">
        <f>IF(CALC!$BK$6="",IF(2=1,"Nenhuma fiscalização registrada",""),INDEX(rEmpresa,CALC!$BK$6))</f>
        <v>Banco Aliança</v>
      </c>
      <c r="AC27" s="43" t="n"/>
      <c r="AD27" s="43" t="n"/>
      <c r="AE27" s="43" t="n"/>
      <c r="AF27" s="43" t="n"/>
      <c r="AG27" s="43" t="n"/>
      <c r="AH27" s="43" t="n"/>
      <c r="AI27" s="43" t="n"/>
      <c r="AJ27" s="51" t="str">
        <f>IF(CALC!$BK$6="","",INDEX(rResp,CALC!$BK$6))</f>
        <v>GABRIELA NUNES</v>
      </c>
      <c r="AK27" s="43" t="n"/>
      <c r="AL27" s="43" t="n"/>
      <c r="AM27" s="43" t="n"/>
      <c r="AN27" s="43" t="n"/>
      <c r="AO27" s="43" t="n"/>
      <c r="AP27" s="52">
        <f>IF(CALC!$BK$6="","",INDEX(rDataFisc,CALC!$BK$6))</f>
        <v>46302.0</v>
      </c>
      <c r="AQ27" s="43" t="n"/>
      <c r="AR27" s="43" t="n"/>
      <c r="AS27" s="43" t="n"/>
      <c r="AT27" s="54" t="str">
        <f>IF(CALC!$BK$6="","",IF(INDEX(rNotif,CALC!$BK$6)="NOTIFICAÇÃO DE CONSTATAÇÃO","CONST.","ESCLAR."))</f>
        <v>ESCLAR.</v>
      </c>
      <c r="AU27" s="43" t="n"/>
      <c r="AV27" s="43" t="n"/>
      <c r="AW27" s="1" t="n"/>
    </row>
    <row r="28" ht="18" customHeight="1">
      <c r="A28" s="1" t="n"/>
      <c r="B28" s="42">
        <f>IF(CALC!$BJ$7="","",3)</f>
        <v>3</v>
      </c>
      <c r="C28" s="43" t="n"/>
      <c r="D28" s="44" t="str">
        <f>IF(CALC!$BJ$7="",IF(3=1,"✓ Nenhum prazo pendente",""),INDEX(rEmpresa,CALC!$BJ$7))</f>
        <v>Farmácia Horizonte</v>
      </c>
      <c r="E28" s="43" t="n"/>
      <c r="F28" s="43" t="n"/>
      <c r="G28" s="43" t="n"/>
      <c r="H28" s="43" t="n"/>
      <c r="I28" s="43" t="n"/>
      <c r="J28" s="43" t="n"/>
      <c r="K28" s="43" t="n"/>
      <c r="L28" s="45" t="str">
        <f>IF(CALC!$BJ$7="","",INDEX(rResp,CALC!$BJ$7))</f>
        <v>CARLA MENDES</v>
      </c>
      <c r="M28" s="43" t="n"/>
      <c r="N28" s="43" t="n"/>
      <c r="O28" s="43" t="n"/>
      <c r="P28" s="43" t="n"/>
      <c r="Q28" s="43" t="n"/>
      <c r="R28" s="46">
        <f>IF(CALC!$BJ$7="","",INDEX(rPrazo,CALC!$BJ$7))</f>
        <v>46306.0</v>
      </c>
      <c r="S28" s="43" t="n"/>
      <c r="T28" s="43" t="n"/>
      <c r="U28" s="43" t="n"/>
      <c r="V28" s="47">
        <f>IF(CALC!$BJ$7="","",INDEX(rDias,CALC!$BJ$7))</f>
        <v>3</v>
      </c>
      <c r="W28" s="43" t="n"/>
      <c r="X28" s="43" t="n"/>
      <c r="Y28" s="1" t="n"/>
      <c r="Z28" s="42">
        <f>IF(CALC!$BK$7="","",3)</f>
        <v>3</v>
      </c>
      <c r="AA28" s="43" t="n"/>
      <c r="AB28" s="44" t="str">
        <f>IF(CALC!$BK$7="",IF(3=1,"Nenhuma fiscalização registrada",""),INDEX(rEmpresa,CALC!$BK$7))</f>
        <v>Financeira São Jorge Ltda</v>
      </c>
      <c r="AC28" s="43" t="n"/>
      <c r="AD28" s="43" t="n"/>
      <c r="AE28" s="43" t="n"/>
      <c r="AF28" s="43" t="n"/>
      <c r="AG28" s="43" t="n"/>
      <c r="AH28" s="43" t="n"/>
      <c r="AI28" s="43" t="n"/>
      <c r="AJ28" s="45" t="str">
        <f>IF(CALC!$BK$7="","",INDEX(rResp,CALC!$BK$7))</f>
        <v>GABRIELA NUNES</v>
      </c>
      <c r="AK28" s="43" t="n"/>
      <c r="AL28" s="43" t="n"/>
      <c r="AM28" s="43" t="n"/>
      <c r="AN28" s="43" t="n"/>
      <c r="AO28" s="43" t="n"/>
      <c r="AP28" s="46">
        <f>IF(CALC!$BK$7="","",INDEX(rDataFisc,CALC!$BK$7))</f>
        <v>46302.0</v>
      </c>
      <c r="AQ28" s="43" t="n"/>
      <c r="AR28" s="43" t="n"/>
      <c r="AS28" s="43" t="n"/>
      <c r="AT28" s="48" t="str">
        <f>IF(CALC!$BK$7="","",IF(INDEX(rNotif,CALC!$BK$7)="NOTIFICAÇÃO DE CONSTATAÇÃO","CONST.","ESCLAR."))</f>
        <v>CONST.</v>
      </c>
      <c r="AU28" s="43" t="n"/>
      <c r="AV28" s="43" t="n"/>
      <c r="AW28" s="1" t="n"/>
    </row>
    <row r="29" ht="18" customHeight="1">
      <c r="A29" s="1" t="n"/>
      <c r="B29" s="49">
        <f>IF(CALC!$BJ$8="","",4)</f>
        <v>4</v>
      </c>
      <c r="C29" s="43" t="n"/>
      <c r="D29" s="50" t="str">
        <f>IF(CALC!$BJ$8="",IF(4=1,"✓ Nenhum prazo pendente",""),INDEX(rEmpresa,CALC!$BJ$8))</f>
        <v>Auto Center Central 24h</v>
      </c>
      <c r="E29" s="43" t="n"/>
      <c r="F29" s="43" t="n"/>
      <c r="G29" s="43" t="n"/>
      <c r="H29" s="43" t="n"/>
      <c r="I29" s="43" t="n"/>
      <c r="J29" s="43" t="n"/>
      <c r="K29" s="43" t="n"/>
      <c r="L29" s="51" t="str">
        <f>IF(CALC!$BJ$8="","",INDEX(rResp,CALC!$BJ$8))</f>
        <v>DIEGO RIBEIRO</v>
      </c>
      <c r="M29" s="43" t="n"/>
      <c r="N29" s="43" t="n"/>
      <c r="O29" s="43" t="n"/>
      <c r="P29" s="43" t="n"/>
      <c r="Q29" s="43" t="n"/>
      <c r="R29" s="52">
        <f>IF(CALC!$BJ$8="","",INDEX(rPrazo,CALC!$BJ$8))</f>
        <v>46307.0</v>
      </c>
      <c r="S29" s="43" t="n"/>
      <c r="T29" s="43" t="n"/>
      <c r="U29" s="43" t="n"/>
      <c r="V29" s="53">
        <f>IF(CALC!$BJ$8="","",INDEX(rDias,CALC!$BJ$8))</f>
        <v>4</v>
      </c>
      <c r="W29" s="43" t="n"/>
      <c r="X29" s="43" t="n"/>
      <c r="Y29" s="1" t="n"/>
      <c r="Z29" s="49">
        <f>IF(CALC!$BK$8="","",4)</f>
        <v>4</v>
      </c>
      <c r="AA29" s="43" t="n"/>
      <c r="AB29" s="50" t="str">
        <f>IF(CALC!$BK$8="",IF(4=1,"Nenhuma fiscalização registrada",""),INDEX(rEmpresa,CALC!$BK$8))</f>
        <v>Boutique Aliança</v>
      </c>
      <c r="AC29" s="43" t="n"/>
      <c r="AD29" s="43" t="n"/>
      <c r="AE29" s="43" t="n"/>
      <c r="AF29" s="43" t="n"/>
      <c r="AG29" s="43" t="n"/>
      <c r="AH29" s="43" t="n"/>
      <c r="AI29" s="43" t="n"/>
      <c r="AJ29" s="51" t="str">
        <f>IF(CALC!$BK$8="","",INDEX(rResp,CALC!$BK$8))</f>
        <v>CARLA MENDES</v>
      </c>
      <c r="AK29" s="43" t="n"/>
      <c r="AL29" s="43" t="n"/>
      <c r="AM29" s="43" t="n"/>
      <c r="AN29" s="43" t="n"/>
      <c r="AO29" s="43" t="n"/>
      <c r="AP29" s="52">
        <f>IF(CALC!$BK$8="","",INDEX(rDataFisc,CALC!$BK$8))</f>
        <v>46302.0</v>
      </c>
      <c r="AQ29" s="43" t="n"/>
      <c r="AR29" s="43" t="n"/>
      <c r="AS29" s="43" t="n"/>
      <c r="AT29" s="54" t="str">
        <f>IF(CALC!$BK$8="","",IF(INDEX(rNotif,CALC!$BK$8)="NOTIFICAÇÃO DE CONSTATAÇÃO","CONST.","ESCLAR."))</f>
        <v>ESCLAR.</v>
      </c>
      <c r="AU29" s="43" t="n"/>
      <c r="AV29" s="43" t="n"/>
      <c r="AW29" s="1" t="n"/>
    </row>
    <row r="30" ht="18" customHeight="1">
      <c r="A30" s="1" t="n"/>
      <c r="B30" s="42">
        <f>IF(CALC!$BJ$9="","",5)</f>
        <v>5</v>
      </c>
      <c r="C30" s="43" t="n"/>
      <c r="D30" s="44" t="str">
        <f>IF(CALC!$BJ$9="",IF(5=1,"✓ Nenhum prazo pendente",""),INDEX(rEmpresa,CALC!$BJ$9))</f>
        <v>Churrascaria Bela Vista</v>
      </c>
      <c r="E30" s="43" t="n"/>
      <c r="F30" s="43" t="n"/>
      <c r="G30" s="43" t="n"/>
      <c r="H30" s="43" t="n"/>
      <c r="I30" s="43" t="n"/>
      <c r="J30" s="43" t="n"/>
      <c r="K30" s="43" t="n"/>
      <c r="L30" s="45" t="str">
        <f>IF(CALC!$BJ$9="","",INDEX(rResp,CALC!$BJ$9))</f>
        <v>DIEGO RIBEIRO</v>
      </c>
      <c r="M30" s="43" t="n"/>
      <c r="N30" s="43" t="n"/>
      <c r="O30" s="43" t="n"/>
      <c r="P30" s="43" t="n"/>
      <c r="Q30" s="43" t="n"/>
      <c r="R30" s="46">
        <f>IF(CALC!$BJ$9="","",INDEX(rPrazo,CALC!$BJ$9))</f>
        <v>46308.0</v>
      </c>
      <c r="S30" s="43" t="n"/>
      <c r="T30" s="43" t="n"/>
      <c r="U30" s="43" t="n"/>
      <c r="V30" s="47">
        <f>IF(CALC!$BJ$9="","",INDEX(rDias,CALC!$BJ$9))</f>
        <v>5</v>
      </c>
      <c r="W30" s="43" t="n"/>
      <c r="X30" s="43" t="n"/>
      <c r="Y30" s="1" t="n"/>
      <c r="Z30" s="42">
        <f>IF(CALC!$BK$9="","",5)</f>
        <v>5</v>
      </c>
      <c r="AA30" s="43" t="n"/>
      <c r="AB30" s="44" t="str">
        <f>IF(CALC!$BK$9="",IF(5=1,"Nenhuma fiscalização registrada",""),INDEX(rEmpresa,CALC!$BK$9))</f>
        <v>Escola Real</v>
      </c>
      <c r="AC30" s="43" t="n"/>
      <c r="AD30" s="43" t="n"/>
      <c r="AE30" s="43" t="n"/>
      <c r="AF30" s="43" t="n"/>
      <c r="AG30" s="43" t="n"/>
      <c r="AH30" s="43" t="n"/>
      <c r="AI30" s="43" t="n"/>
      <c r="AJ30" s="45" t="str">
        <f>IF(CALC!$BK$9="","",INDEX(rResp,CALC!$BK$9))</f>
        <v>DIEGO RIBEIRO</v>
      </c>
      <c r="AK30" s="43" t="n"/>
      <c r="AL30" s="43" t="n"/>
      <c r="AM30" s="43" t="n"/>
      <c r="AN30" s="43" t="n"/>
      <c r="AO30" s="43" t="n"/>
      <c r="AP30" s="46">
        <f>IF(CALC!$BK$9="","",INDEX(rDataFisc,CALC!$BK$9))</f>
        <v>46299.0</v>
      </c>
      <c r="AQ30" s="43" t="n"/>
      <c r="AR30" s="43" t="n"/>
      <c r="AS30" s="43" t="n"/>
      <c r="AT30" s="48" t="str">
        <f>IF(CALC!$BK$9="","",IF(INDEX(rNotif,CALC!$BK$9)="NOTIFICAÇÃO DE CONSTATAÇÃO","CONST.","ESCLAR."))</f>
        <v>ESCLAR.</v>
      </c>
      <c r="AU30" s="43" t="n"/>
      <c r="AV30" s="43" t="n"/>
      <c r="AW30" s="1" t="n"/>
    </row>
    <row r="31" ht="18" customHeight="1">
      <c r="A31" s="1" t="n"/>
      <c r="B31" s="49">
        <f>IF(CALC!$BJ$10="","",6)</f>
        <v>6</v>
      </c>
      <c r="C31" s="43" t="n"/>
      <c r="D31" s="50" t="str">
        <f>IF(CALC!$BJ$10="",IF(6=1,"✓ Nenhum prazo pendente",""),INDEX(rEmpresa,CALC!$BJ$10))</f>
        <v>Magazine Central</v>
      </c>
      <c r="E31" s="43" t="n"/>
      <c r="F31" s="43" t="n"/>
      <c r="G31" s="43" t="n"/>
      <c r="H31" s="43" t="n"/>
      <c r="I31" s="43" t="n"/>
      <c r="J31" s="43" t="n"/>
      <c r="K31" s="43" t="n"/>
      <c r="L31" s="51" t="str">
        <f>IF(CALC!$BJ$10="","",INDEX(rResp,CALC!$BJ$10))</f>
        <v>CARLA MENDES</v>
      </c>
      <c r="M31" s="43" t="n"/>
      <c r="N31" s="43" t="n"/>
      <c r="O31" s="43" t="n"/>
      <c r="P31" s="43" t="n"/>
      <c r="Q31" s="43" t="n"/>
      <c r="R31" s="52">
        <f>IF(CALC!$BJ$10="","",INDEX(rPrazo,CALC!$BJ$10))</f>
        <v>46308.0</v>
      </c>
      <c r="S31" s="43" t="n"/>
      <c r="T31" s="43" t="n"/>
      <c r="U31" s="43" t="n"/>
      <c r="V31" s="53">
        <f>IF(CALC!$BJ$10="","",INDEX(rDias,CALC!$BJ$10))</f>
        <v>5</v>
      </c>
      <c r="W31" s="43" t="n"/>
      <c r="X31" s="43" t="n"/>
      <c r="Y31" s="1" t="n"/>
      <c r="Z31" s="49">
        <f>IF(CALC!$BK$10="","",6)</f>
        <v>6</v>
      </c>
      <c r="AA31" s="43" t="n"/>
      <c r="AB31" s="50" t="str">
        <f>IF(CALC!$BK$10="",IF(6=1,"Nenhuma fiscalização registrada",""),INDEX(rEmpresa,CALC!$BK$10))</f>
        <v>Magazine Central</v>
      </c>
      <c r="AC31" s="43" t="n"/>
      <c r="AD31" s="43" t="n"/>
      <c r="AE31" s="43" t="n"/>
      <c r="AF31" s="43" t="n"/>
      <c r="AG31" s="43" t="n"/>
      <c r="AH31" s="43" t="n"/>
      <c r="AI31" s="43" t="n"/>
      <c r="AJ31" s="51" t="str">
        <f>IF(CALC!$BK$10="","",INDEX(rResp,CALC!$BK$10))</f>
        <v>CARLA MENDES</v>
      </c>
      <c r="AK31" s="43" t="n"/>
      <c r="AL31" s="43" t="n"/>
      <c r="AM31" s="43" t="n"/>
      <c r="AN31" s="43" t="n"/>
      <c r="AO31" s="43" t="n"/>
      <c r="AP31" s="52">
        <f>IF(CALC!$BK$10="","",INDEX(rDataFisc,CALC!$BK$10))</f>
        <v>46298.0</v>
      </c>
      <c r="AQ31" s="43" t="n"/>
      <c r="AR31" s="43" t="n"/>
      <c r="AS31" s="43" t="n"/>
      <c r="AT31" s="54" t="str">
        <f>IF(CALC!$BK$10="","",IF(INDEX(rNotif,CALC!$BK$10)="NOTIFICAÇÃO DE CONSTATAÇÃO","CONST.","ESCLAR."))</f>
        <v>CONST.</v>
      </c>
      <c r="AU31" s="43" t="n"/>
      <c r="AV31" s="43" t="n"/>
      <c r="AW31" s="1" t="n"/>
    </row>
    <row r="32" ht="18" customHeight="1">
      <c r="A32" s="1" t="n"/>
      <c r="B32" s="42">
        <f>IF(CALC!$BJ$11="","",7)</f>
        <v>7</v>
      </c>
      <c r="C32" s="43" t="n"/>
      <c r="D32" s="44" t="str">
        <f>IF(CALC!$BJ$11="",IF(7=1,"✓ Nenhum prazo pendente",""),INDEX(rEmpresa,CALC!$BJ$11))</f>
        <v>Posto Real</v>
      </c>
      <c r="E32" s="43" t="n"/>
      <c r="F32" s="43" t="n"/>
      <c r="G32" s="43" t="n"/>
      <c r="H32" s="43" t="n"/>
      <c r="I32" s="43" t="n"/>
      <c r="J32" s="43" t="n"/>
      <c r="K32" s="43" t="n"/>
      <c r="L32" s="45" t="str">
        <f>IF(CALC!$BJ$11="","",INDEX(rResp,CALC!$BJ$11))</f>
        <v>DIEGO RIBEIRO</v>
      </c>
      <c r="M32" s="43" t="n"/>
      <c r="N32" s="43" t="n"/>
      <c r="O32" s="43" t="n"/>
      <c r="P32" s="43" t="n"/>
      <c r="Q32" s="43" t="n"/>
      <c r="R32" s="46">
        <f>IF(CALC!$BJ$11="","",INDEX(rPrazo,CALC!$BJ$11))</f>
        <v>46310.0</v>
      </c>
      <c r="S32" s="43" t="n"/>
      <c r="T32" s="43" t="n"/>
      <c r="U32" s="43" t="n"/>
      <c r="V32" s="47">
        <f>IF(CALC!$BJ$11="","",INDEX(rDias,CALC!$BJ$11))</f>
        <v>7</v>
      </c>
      <c r="W32" s="43" t="n"/>
      <c r="X32" s="43" t="n"/>
      <c r="Y32" s="1" t="n"/>
      <c r="Z32" s="42">
        <f>IF(CALC!$BK$11="","",7)</f>
        <v>7</v>
      </c>
      <c r="AA32" s="43" t="n"/>
      <c r="AB32" s="44" t="str">
        <f>IF(CALC!$BK$11="",IF(7=1,"Nenhuma fiscalização registrada",""),INDEX(rEmpresa,CALC!$BK$11))</f>
        <v>Churrascaria Bela Vista</v>
      </c>
      <c r="AC32" s="43" t="n"/>
      <c r="AD32" s="43" t="n"/>
      <c r="AE32" s="43" t="n"/>
      <c r="AF32" s="43" t="n"/>
      <c r="AG32" s="43" t="n"/>
      <c r="AH32" s="43" t="n"/>
      <c r="AI32" s="43" t="n"/>
      <c r="AJ32" s="45" t="str">
        <f>IF(CALC!$BK$11="","",INDEX(rResp,CALC!$BK$11))</f>
        <v>DIEGO RIBEIRO</v>
      </c>
      <c r="AK32" s="43" t="n"/>
      <c r="AL32" s="43" t="n"/>
      <c r="AM32" s="43" t="n"/>
      <c r="AN32" s="43" t="n"/>
      <c r="AO32" s="43" t="n"/>
      <c r="AP32" s="46">
        <f>IF(CALC!$BK$11="","",INDEX(rDataFisc,CALC!$BK$11))</f>
        <v>46298.0</v>
      </c>
      <c r="AQ32" s="43" t="n"/>
      <c r="AR32" s="43" t="n"/>
      <c r="AS32" s="43" t="n"/>
      <c r="AT32" s="48" t="str">
        <f>IF(CALC!$BK$11="","",IF(INDEX(rNotif,CALC!$BK$11)="NOTIFICAÇÃO DE CONSTATAÇÃO","CONST.","ESCLAR."))</f>
        <v>CONST.</v>
      </c>
      <c r="AU32" s="43" t="n"/>
      <c r="AV32" s="43" t="n"/>
      <c r="AW32" s="1" t="n"/>
    </row>
    <row r="33" ht="18" customHeight="1">
      <c r="A33" s="1" t="n"/>
      <c r="B33" s="49">
        <f>IF(CALC!$BJ$12="","",8)</f>
        <v>8</v>
      </c>
      <c r="C33" s="43" t="n"/>
      <c r="D33" s="50" t="str">
        <f>IF(CALC!$BJ$12="",IF(8=1,"✓ Nenhum prazo pendente",""),INDEX(rEmpresa,CALC!$BJ$12))</f>
        <v>Telecom Bela Vista</v>
      </c>
      <c r="E33" s="43" t="n"/>
      <c r="F33" s="43" t="n"/>
      <c r="G33" s="43" t="n"/>
      <c r="H33" s="43" t="n"/>
      <c r="I33" s="43" t="n"/>
      <c r="J33" s="43" t="n"/>
      <c r="K33" s="43" t="n"/>
      <c r="L33" s="51" t="str">
        <f>IF(CALC!$BJ$12="","",INDEX(rResp,CALC!$BJ$12))</f>
        <v>BRUNO CARVALHO</v>
      </c>
      <c r="M33" s="43" t="n"/>
      <c r="N33" s="43" t="n"/>
      <c r="O33" s="43" t="n"/>
      <c r="P33" s="43" t="n"/>
      <c r="Q33" s="43" t="n"/>
      <c r="R33" s="52">
        <f>IF(CALC!$BJ$12="","",INDEX(rPrazo,CALC!$BJ$12))</f>
        <v>46310.0</v>
      </c>
      <c r="S33" s="43" t="n"/>
      <c r="T33" s="43" t="n"/>
      <c r="U33" s="43" t="n"/>
      <c r="V33" s="53">
        <f>IF(CALC!$BJ$12="","",INDEX(rDias,CALC!$BJ$12))</f>
        <v>7</v>
      </c>
      <c r="W33" s="43" t="n"/>
      <c r="X33" s="43" t="n"/>
      <c r="Y33" s="1" t="n"/>
      <c r="Z33" s="49">
        <f>IF(CALC!$BK$12="","",8)</f>
        <v>8</v>
      </c>
      <c r="AA33" s="43" t="n"/>
      <c r="AB33" s="50" t="str">
        <f>IF(CALC!$BK$12="",IF(8=1,"Nenhuma fiscalização registrada",""),INDEX(rEmpresa,CALC!$BK$12))</f>
        <v>Studio Fitness Vitória</v>
      </c>
      <c r="AC33" s="43" t="n"/>
      <c r="AD33" s="43" t="n"/>
      <c r="AE33" s="43" t="n"/>
      <c r="AF33" s="43" t="n"/>
      <c r="AG33" s="43" t="n"/>
      <c r="AH33" s="43" t="n"/>
      <c r="AI33" s="43" t="n"/>
      <c r="AJ33" s="51" t="str">
        <f>IF(CALC!$BK$12="","",INDEX(rResp,CALC!$BK$12))</f>
        <v>DIEGO RIBEIRO</v>
      </c>
      <c r="AK33" s="43" t="n"/>
      <c r="AL33" s="43" t="n"/>
      <c r="AM33" s="43" t="n"/>
      <c r="AN33" s="43" t="n"/>
      <c r="AO33" s="43" t="n"/>
      <c r="AP33" s="52">
        <f>IF(CALC!$BK$12="","",INDEX(rDataFisc,CALC!$BK$12))</f>
        <v>46297.0</v>
      </c>
      <c r="AQ33" s="43" t="n"/>
      <c r="AR33" s="43" t="n"/>
      <c r="AS33" s="43" t="n"/>
      <c r="AT33" s="54" t="str">
        <f>IF(CALC!$BK$12="","",IF(INDEX(rNotif,CALC!$BK$12)="NOTIFICAÇÃO DE CONSTATAÇÃO","CONST.","ESCLAR."))</f>
        <v>ESCLAR.</v>
      </c>
      <c r="AU33" s="43" t="n"/>
      <c r="AV33" s="43" t="n"/>
      <c r="AW33" s="1" t="n"/>
    </row>
    <row r="34" ht="18" customHeight="1">
      <c r="A34" s="1" t="n"/>
      <c r="B34" s="42">
        <f>IF(CALC!$BJ$13="","",9)</f>
        <v>9</v>
      </c>
      <c r="C34" s="43" t="n"/>
      <c r="D34" s="44" t="str">
        <f>IF(CALC!$BJ$13="",IF(9=1,"✓ Nenhum prazo pendente",""),INDEX(rEmpresa,CALC!$BJ$13))</f>
        <v>Studio Fitness Vitória</v>
      </c>
      <c r="E34" s="43" t="n"/>
      <c r="F34" s="43" t="n"/>
      <c r="G34" s="43" t="n"/>
      <c r="H34" s="43" t="n"/>
      <c r="I34" s="43" t="n"/>
      <c r="J34" s="43" t="n"/>
      <c r="K34" s="43" t="n"/>
      <c r="L34" s="45" t="str">
        <f>IF(CALC!$BJ$13="","",INDEX(rResp,CALC!$BJ$13))</f>
        <v>DIEGO RIBEIRO</v>
      </c>
      <c r="M34" s="43" t="n"/>
      <c r="N34" s="43" t="n"/>
      <c r="O34" s="43" t="n"/>
      <c r="P34" s="43" t="n"/>
      <c r="Q34" s="43" t="n"/>
      <c r="R34" s="46">
        <f>IF(CALC!$BJ$13="","",INDEX(rPrazo,CALC!$BJ$13))</f>
        <v>46312.0</v>
      </c>
      <c r="S34" s="43" t="n"/>
      <c r="T34" s="43" t="n"/>
      <c r="U34" s="43" t="n"/>
      <c r="V34" s="47">
        <f>IF(CALC!$BJ$13="","",INDEX(rDias,CALC!$BJ$13))</f>
        <v>9</v>
      </c>
      <c r="W34" s="43" t="n"/>
      <c r="X34" s="43" t="n"/>
      <c r="Y34" s="1" t="n"/>
      <c r="Z34" s="42">
        <f>IF(CALC!$BK$13="","",9)</f>
        <v>9</v>
      </c>
      <c r="AA34" s="43" t="n"/>
      <c r="AB34" s="44" t="str">
        <f>IF(CALC!$BK$13="",IF(9=1,"Nenhuma fiscalização registrada",""),INDEX(rEmpresa,CALC!$BK$13))</f>
        <v>Farmácia Horizonte</v>
      </c>
      <c r="AC34" s="43" t="n"/>
      <c r="AD34" s="43" t="n"/>
      <c r="AE34" s="43" t="n"/>
      <c r="AF34" s="43" t="n"/>
      <c r="AG34" s="43" t="n"/>
      <c r="AH34" s="43" t="n"/>
      <c r="AI34" s="43" t="n"/>
      <c r="AJ34" s="45" t="str">
        <f>IF(CALC!$BK$13="","",INDEX(rResp,CALC!$BK$13))</f>
        <v>CARLA MENDES</v>
      </c>
      <c r="AK34" s="43" t="n"/>
      <c r="AL34" s="43" t="n"/>
      <c r="AM34" s="43" t="n"/>
      <c r="AN34" s="43" t="n"/>
      <c r="AO34" s="43" t="n"/>
      <c r="AP34" s="46">
        <f>IF(CALC!$BK$13="","",INDEX(rDataFisc,CALC!$BK$13))</f>
        <v>46296.0</v>
      </c>
      <c r="AQ34" s="43" t="n"/>
      <c r="AR34" s="43" t="n"/>
      <c r="AS34" s="43" t="n"/>
      <c r="AT34" s="48" t="str">
        <f>IF(CALC!$BK$13="","",IF(INDEX(rNotif,CALC!$BK$13)="NOTIFICAÇÃO DE CONSTATAÇÃO","CONST.","ESCLAR."))</f>
        <v>CONST.</v>
      </c>
      <c r="AU34" s="43" t="n"/>
      <c r="AV34" s="43" t="n"/>
      <c r="AW34" s="1" t="n"/>
    </row>
    <row r="35" ht="18" customHeight="1">
      <c r="A35" s="1" t="n"/>
      <c r="B35" s="49">
        <f>IF(CALC!$BJ$14="","",10)</f>
        <v>10</v>
      </c>
      <c r="C35" s="43" t="n"/>
      <c r="D35" s="50" t="str">
        <f>IF(CALC!$BJ$14="",IF(10=1,"✓ Nenhum prazo pendente",""),INDEX(rEmpresa,CALC!$BJ$14))</f>
        <v>Financeira São Jorge Ltda</v>
      </c>
      <c r="E35" s="43" t="n"/>
      <c r="F35" s="43" t="n"/>
      <c r="G35" s="43" t="n"/>
      <c r="H35" s="43" t="n"/>
      <c r="I35" s="43" t="n"/>
      <c r="J35" s="43" t="n"/>
      <c r="K35" s="43" t="n"/>
      <c r="L35" s="51" t="str">
        <f>IF(CALC!$BJ$14="","",INDEX(rResp,CALC!$BJ$14))</f>
        <v>GABRIELA NUNES</v>
      </c>
      <c r="M35" s="43" t="n"/>
      <c r="N35" s="43" t="n"/>
      <c r="O35" s="43" t="n"/>
      <c r="P35" s="43" t="n"/>
      <c r="Q35" s="43" t="n"/>
      <c r="R35" s="52">
        <f>IF(CALC!$BJ$14="","",INDEX(rPrazo,CALC!$BJ$14))</f>
        <v>46312.0</v>
      </c>
      <c r="S35" s="43" t="n"/>
      <c r="T35" s="43" t="n"/>
      <c r="U35" s="43" t="n"/>
      <c r="V35" s="53">
        <f>IF(CALC!$BJ$14="","",INDEX(rDias,CALC!$BJ$14))</f>
        <v>9</v>
      </c>
      <c r="W35" s="43" t="n"/>
      <c r="X35" s="43" t="n"/>
      <c r="Y35" s="1" t="n"/>
      <c r="Z35" s="49">
        <f>IF(CALC!$BK$14="","",10)</f>
        <v>10</v>
      </c>
      <c r="AA35" s="43" t="n"/>
      <c r="AB35" s="50" t="str">
        <f>IF(CALC!$BK$14="",IF(10=1,"Nenhuma fiscalização registrada",""),INDEX(rEmpresa,CALC!$BK$14))</f>
        <v>Concessionária Avenida</v>
      </c>
      <c r="AC35" s="43" t="n"/>
      <c r="AD35" s="43" t="n"/>
      <c r="AE35" s="43" t="n"/>
      <c r="AF35" s="43" t="n"/>
      <c r="AG35" s="43" t="n"/>
      <c r="AH35" s="43" t="n"/>
      <c r="AI35" s="43" t="n"/>
      <c r="AJ35" s="51" t="str">
        <f>IF(CALC!$BK$14="","",INDEX(rResp,CALC!$BK$14))</f>
        <v>CARLA MENDES</v>
      </c>
      <c r="AK35" s="43" t="n"/>
      <c r="AL35" s="43" t="n"/>
      <c r="AM35" s="43" t="n"/>
      <c r="AN35" s="43" t="n"/>
      <c r="AO35" s="43" t="n"/>
      <c r="AP35" s="52">
        <f>IF(CALC!$BK$14="","",INDEX(rDataFisc,CALC!$BK$14))</f>
        <v>46296.0</v>
      </c>
      <c r="AQ35" s="43" t="n"/>
      <c r="AR35" s="43" t="n"/>
      <c r="AS35" s="43" t="n"/>
      <c r="AT35" s="54" t="str">
        <f>IF(CALC!$BK$14="","",IF(INDEX(rNotif,CALC!$BK$14)="NOTIFICAÇÃO DE CONSTATAÇÃO","CONST.","ESCLAR."))</f>
        <v>ESCLAR.</v>
      </c>
      <c r="AU35" s="43" t="n"/>
      <c r="AV35" s="43" t="n"/>
      <c r="AW35" s="1" t="n"/>
    </row>
    <row r="36" ht="12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</row>
    <row r="37" ht="20" customHeight="1">
      <c r="A37" s="1" t="n"/>
      <c r="B37" s="18" t="inlineStr">
        <is>
          <t>CARGA DE TRABALHO POR RESPONSÁVEL (EQUIPE)</t>
        </is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" t="n"/>
      <c r="Z37" s="18" t="inlineStr">
        <is>
          <t>DISTRIBUIÇÃO POR RAMO DE ATIVIDADE</t>
        </is>
      </c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" t="n"/>
    </row>
    <row r="38" ht="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</row>
    <row r="39" ht="20" customHeight="1">
      <c r="A39" s="1" t="n"/>
      <c r="B39" s="41" t="inlineStr">
        <is>
          <t>RESPONSÁVEL</t>
        </is>
      </c>
      <c r="I39" s="41" t="inlineStr">
        <is>
          <t>TOTAL</t>
        </is>
      </c>
      <c r="L39" s="41" t="inlineStr">
        <is>
          <t>PRAZO</t>
        </is>
      </c>
      <c r="O39" s="41" t="inlineStr">
        <is>
          <t>DECISÃO</t>
        </is>
      </c>
      <c r="R39" s="41" t="inlineStr">
        <is>
          <t>EM BREVE</t>
        </is>
      </c>
      <c r="U39" s="41" t="inlineStr">
        <is>
          <t>% EQUIPE</t>
        </is>
      </c>
      <c r="Y39" s="1" t="n"/>
      <c r="Z39" s="41" t="inlineStr">
        <is>
          <t>RAMO</t>
        </is>
      </c>
      <c r="AG39" s="41" t="inlineStr">
        <is>
          <t>TOTAL</t>
        </is>
      </c>
      <c r="AJ39" s="41" t="inlineStr">
        <is>
          <t>CONST.</t>
        </is>
      </c>
      <c r="AM39" s="41" t="inlineStr">
        <is>
          <t>ESCLAR.</t>
        </is>
      </c>
      <c r="AP39" s="41" t="inlineStr">
        <is>
          <t>PRAZO</t>
        </is>
      </c>
      <c r="AS39" s="41" t="inlineStr">
        <is>
          <t>% TOTAL</t>
        </is>
      </c>
      <c r="AW39" s="1" t="n"/>
    </row>
    <row r="40" ht="18" customHeight="1">
      <c r="A40" s="1" t="n"/>
      <c r="B40" s="55" t="str">
        <f>CALC!AF6</f>
        <v>DIEGO RIBEIRO</v>
      </c>
      <c r="C40" s="43" t="n"/>
      <c r="D40" s="43" t="n"/>
      <c r="E40" s="43" t="n"/>
      <c r="F40" s="43" t="n"/>
      <c r="G40" s="43" t="n"/>
      <c r="H40" s="43" t="n"/>
      <c r="I40" s="56">
        <f>CALC!AG6</f>
        <v>24</v>
      </c>
      <c r="J40" s="43" t="n"/>
      <c r="K40" s="43" t="n"/>
      <c r="L40" s="57">
        <f>CALC!AH6</f>
        <v>10</v>
      </c>
      <c r="M40" s="43" t="n"/>
      <c r="N40" s="43" t="n"/>
      <c r="O40" s="57">
        <f>CALC!AI6</f>
        <v>14</v>
      </c>
      <c r="P40" s="43" t="n"/>
      <c r="Q40" s="43" t="n"/>
      <c r="R40" s="58">
        <f>CALC!AK6</f>
        <v>4</v>
      </c>
      <c r="S40" s="43" t="n"/>
      <c r="T40" s="43" t="n"/>
      <c r="U40" s="59">
        <f>CALC!AL6</f>
        <v>0.25</v>
      </c>
      <c r="V40" s="43" t="n"/>
      <c r="W40" s="43" t="n"/>
      <c r="X40" s="43" t="n"/>
      <c r="Y40" s="1" t="n"/>
      <c r="Z40" s="55" t="str">
        <f>CALC!AW6</f>
        <v>LOJA</v>
      </c>
      <c r="AA40" s="43" t="n"/>
      <c r="AB40" s="43" t="n"/>
      <c r="AC40" s="43" t="n"/>
      <c r="AD40" s="43" t="n"/>
      <c r="AE40" s="43" t="n"/>
      <c r="AF40" s="43" t="n"/>
      <c r="AG40" s="56">
        <f>CALC!AX6</f>
        <v>14</v>
      </c>
      <c r="AH40" s="43" t="n"/>
      <c r="AI40" s="43" t="n"/>
      <c r="AJ40" s="57">
        <f>CALC!AY6</f>
        <v>7</v>
      </c>
      <c r="AK40" s="43" t="n"/>
      <c r="AL40" s="43" t="n"/>
      <c r="AM40" s="57">
        <f>CALC!AZ6</f>
        <v>7</v>
      </c>
      <c r="AN40" s="43" t="n"/>
      <c r="AO40" s="43" t="n"/>
      <c r="AP40" s="57">
        <f>CALC!BA6</f>
        <v>6</v>
      </c>
      <c r="AQ40" s="43" t="n"/>
      <c r="AR40" s="43" t="n"/>
      <c r="AS40" s="59">
        <f>CALC!BB6</f>
        <v>0.145833333333333</v>
      </c>
      <c r="AT40" s="43" t="n"/>
      <c r="AU40" s="43" t="n"/>
      <c r="AV40" s="43" t="n"/>
      <c r="AW40" s="1" t="n"/>
    </row>
    <row r="41" ht="18" customHeight="1">
      <c r="A41" s="1" t="n"/>
      <c r="B41" s="60" t="str">
        <f>CALC!AF7</f>
        <v>BRUNO CARVALHO</v>
      </c>
      <c r="C41" s="43" t="n"/>
      <c r="D41" s="43" t="n"/>
      <c r="E41" s="43" t="n"/>
      <c r="F41" s="43" t="n"/>
      <c r="G41" s="43" t="n"/>
      <c r="H41" s="43" t="n"/>
      <c r="I41" s="61">
        <f>CALC!AG7</f>
        <v>16</v>
      </c>
      <c r="J41" s="43" t="n"/>
      <c r="K41" s="43" t="n"/>
      <c r="L41" s="62">
        <f>CALC!AH7</f>
        <v>7</v>
      </c>
      <c r="M41" s="43" t="n"/>
      <c r="N41" s="43" t="n"/>
      <c r="O41" s="62">
        <f>CALC!AI7</f>
        <v>9</v>
      </c>
      <c r="P41" s="43" t="n"/>
      <c r="Q41" s="43" t="n"/>
      <c r="R41" s="63">
        <f>CALC!AK7</f>
        <v>0</v>
      </c>
      <c r="S41" s="43" t="n"/>
      <c r="T41" s="43" t="n"/>
      <c r="U41" s="64">
        <f>CALC!AL7</f>
        <v>0.166666666666667</v>
      </c>
      <c r="V41" s="43" t="n"/>
      <c r="W41" s="43" t="n"/>
      <c r="X41" s="43" t="n"/>
      <c r="Y41" s="1" t="n"/>
      <c r="Z41" s="60" t="str">
        <f>CALC!AW7</f>
        <v>SAÚDE</v>
      </c>
      <c r="AA41" s="43" t="n"/>
      <c r="AB41" s="43" t="n"/>
      <c r="AC41" s="43" t="n"/>
      <c r="AD41" s="43" t="n"/>
      <c r="AE41" s="43" t="n"/>
      <c r="AF41" s="43" t="n"/>
      <c r="AG41" s="61">
        <f>CALC!AX7</f>
        <v>14</v>
      </c>
      <c r="AH41" s="43" t="n"/>
      <c r="AI41" s="43" t="n"/>
      <c r="AJ41" s="62">
        <f>CALC!AY7</f>
        <v>10</v>
      </c>
      <c r="AK41" s="43" t="n"/>
      <c r="AL41" s="43" t="n"/>
      <c r="AM41" s="62">
        <f>CALC!AZ7</f>
        <v>4</v>
      </c>
      <c r="AN41" s="43" t="n"/>
      <c r="AO41" s="43" t="n"/>
      <c r="AP41" s="62">
        <f>CALC!BA7</f>
        <v>3</v>
      </c>
      <c r="AQ41" s="43" t="n"/>
      <c r="AR41" s="43" t="n"/>
      <c r="AS41" s="64">
        <f>CALC!BB7</f>
        <v>0.145833333333333</v>
      </c>
      <c r="AT41" s="43" t="n"/>
      <c r="AU41" s="43" t="n"/>
      <c r="AV41" s="43" t="n"/>
      <c r="AW41" s="1" t="n"/>
    </row>
    <row r="42" ht="18" customHeight="1">
      <c r="A42" s="1" t="n"/>
      <c r="B42" s="55" t="str">
        <f>CALC!AF8</f>
        <v>CARLA MENDES</v>
      </c>
      <c r="C42" s="43" t="n"/>
      <c r="D42" s="43" t="n"/>
      <c r="E42" s="43" t="n"/>
      <c r="F42" s="43" t="n"/>
      <c r="G42" s="43" t="n"/>
      <c r="H42" s="43" t="n"/>
      <c r="I42" s="56">
        <f>CALC!AG8</f>
        <v>15</v>
      </c>
      <c r="J42" s="43" t="n"/>
      <c r="K42" s="43" t="n"/>
      <c r="L42" s="57">
        <f>CALC!AH8</f>
        <v>3</v>
      </c>
      <c r="M42" s="43" t="n"/>
      <c r="N42" s="43" t="n"/>
      <c r="O42" s="57">
        <f>CALC!AI8</f>
        <v>12</v>
      </c>
      <c r="P42" s="43" t="n"/>
      <c r="Q42" s="43" t="n"/>
      <c r="R42" s="58">
        <f>CALC!AK8</f>
        <v>2</v>
      </c>
      <c r="S42" s="43" t="n"/>
      <c r="T42" s="43" t="n"/>
      <c r="U42" s="59">
        <f>CALC!AL8</f>
        <v>0.15625</v>
      </c>
      <c r="V42" s="43" t="n"/>
      <c r="W42" s="43" t="n"/>
      <c r="X42" s="43" t="n"/>
      <c r="Y42" s="1" t="n"/>
      <c r="Z42" s="55" t="str">
        <f>CALC!AW8</f>
        <v>RESTAURANTE</v>
      </c>
      <c r="AA42" s="43" t="n"/>
      <c r="AB42" s="43" t="n"/>
      <c r="AC42" s="43" t="n"/>
      <c r="AD42" s="43" t="n"/>
      <c r="AE42" s="43" t="n"/>
      <c r="AF42" s="43" t="n"/>
      <c r="AG42" s="56">
        <f>CALC!AX8</f>
        <v>11</v>
      </c>
      <c r="AH42" s="43" t="n"/>
      <c r="AI42" s="43" t="n"/>
      <c r="AJ42" s="57">
        <f>CALC!AY8</f>
        <v>9</v>
      </c>
      <c r="AK42" s="43" t="n"/>
      <c r="AL42" s="43" t="n"/>
      <c r="AM42" s="57">
        <f>CALC!AZ8</f>
        <v>2</v>
      </c>
      <c r="AN42" s="43" t="n"/>
      <c r="AO42" s="43" t="n"/>
      <c r="AP42" s="57">
        <f>CALC!BA8</f>
        <v>2</v>
      </c>
      <c r="AQ42" s="43" t="n"/>
      <c r="AR42" s="43" t="n"/>
      <c r="AS42" s="59">
        <f>CALC!BB8</f>
        <v>0.114583333333333</v>
      </c>
      <c r="AT42" s="43" t="n"/>
      <c r="AU42" s="43" t="n"/>
      <c r="AV42" s="43" t="n"/>
      <c r="AW42" s="1" t="n"/>
    </row>
    <row r="43" ht="18" customHeight="1">
      <c r="A43" s="1" t="n"/>
      <c r="B43" s="60" t="str">
        <f>CALC!AF9</f>
        <v>EDUARDA LIMA</v>
      </c>
      <c r="C43" s="43" t="n"/>
      <c r="D43" s="43" t="n"/>
      <c r="E43" s="43" t="n"/>
      <c r="F43" s="43" t="n"/>
      <c r="G43" s="43" t="n"/>
      <c r="H43" s="43" t="n"/>
      <c r="I43" s="61">
        <f>CALC!AG9</f>
        <v>13</v>
      </c>
      <c r="J43" s="43" t="n"/>
      <c r="K43" s="43" t="n"/>
      <c r="L43" s="62">
        <f>CALC!AH9</f>
        <v>4</v>
      </c>
      <c r="M43" s="43" t="n"/>
      <c r="N43" s="43" t="n"/>
      <c r="O43" s="62">
        <f>CALC!AI9</f>
        <v>9</v>
      </c>
      <c r="P43" s="43" t="n"/>
      <c r="Q43" s="43" t="n"/>
      <c r="R43" s="63">
        <f>CALC!AK9</f>
        <v>0</v>
      </c>
      <c r="S43" s="43" t="n"/>
      <c r="T43" s="43" t="n"/>
      <c r="U43" s="64">
        <f>CALC!AL9</f>
        <v>0.135416666666667</v>
      </c>
      <c r="V43" s="43" t="n"/>
      <c r="W43" s="43" t="n"/>
      <c r="X43" s="43" t="n"/>
      <c r="Y43" s="1" t="n"/>
      <c r="Z43" s="60" t="str">
        <f>CALC!AW9</f>
        <v>SUPERMERCADO</v>
      </c>
      <c r="AA43" s="43" t="n"/>
      <c r="AB43" s="43" t="n"/>
      <c r="AC43" s="43" t="n"/>
      <c r="AD43" s="43" t="n"/>
      <c r="AE43" s="43" t="n"/>
      <c r="AF43" s="43" t="n"/>
      <c r="AG43" s="61">
        <f>CALC!AX9</f>
        <v>10</v>
      </c>
      <c r="AH43" s="43" t="n"/>
      <c r="AI43" s="43" t="n"/>
      <c r="AJ43" s="62">
        <f>CALC!AY9</f>
        <v>6</v>
      </c>
      <c r="AK43" s="43" t="n"/>
      <c r="AL43" s="43" t="n"/>
      <c r="AM43" s="62">
        <f>CALC!AZ9</f>
        <v>4</v>
      </c>
      <c r="AN43" s="43" t="n"/>
      <c r="AO43" s="43" t="n"/>
      <c r="AP43" s="62">
        <f>CALC!BA9</f>
        <v>2</v>
      </c>
      <c r="AQ43" s="43" t="n"/>
      <c r="AR43" s="43" t="n"/>
      <c r="AS43" s="64">
        <f>CALC!BB9</f>
        <v>0.104166666666667</v>
      </c>
      <c r="AT43" s="43" t="n"/>
      <c r="AU43" s="43" t="n"/>
      <c r="AV43" s="43" t="n"/>
      <c r="AW43" s="1" t="n"/>
    </row>
    <row r="44" ht="18" customHeight="1">
      <c r="A44" s="1" t="n"/>
      <c r="B44" s="55" t="str">
        <f>CALC!AF10</f>
        <v>ANA PAULA SOUZA</v>
      </c>
      <c r="C44" s="43" t="n"/>
      <c r="D44" s="43" t="n"/>
      <c r="E44" s="43" t="n"/>
      <c r="F44" s="43" t="n"/>
      <c r="G44" s="43" t="n"/>
      <c r="H44" s="43" t="n"/>
      <c r="I44" s="56">
        <f>CALC!AG10</f>
        <v>10</v>
      </c>
      <c r="J44" s="43" t="n"/>
      <c r="K44" s="43" t="n"/>
      <c r="L44" s="57">
        <f>CALC!AH10</f>
        <v>2</v>
      </c>
      <c r="M44" s="43" t="n"/>
      <c r="N44" s="43" t="n"/>
      <c r="O44" s="57">
        <f>CALC!AI10</f>
        <v>8</v>
      </c>
      <c r="P44" s="43" t="n"/>
      <c r="Q44" s="43" t="n"/>
      <c r="R44" s="58">
        <f>CALC!AK10</f>
        <v>0</v>
      </c>
      <c r="S44" s="43" t="n"/>
      <c r="T44" s="43" t="n"/>
      <c r="U44" s="59">
        <f>CALC!AL10</f>
        <v>0.104166666666667</v>
      </c>
      <c r="V44" s="43" t="n"/>
      <c r="W44" s="43" t="n"/>
      <c r="X44" s="43" t="n"/>
      <c r="Y44" s="1" t="n"/>
      <c r="Z44" s="55" t="str">
        <f>CALC!AW10</f>
        <v>POSTO DE COMBUSTÍVEL</v>
      </c>
      <c r="AA44" s="43" t="n"/>
      <c r="AB44" s="43" t="n"/>
      <c r="AC44" s="43" t="n"/>
      <c r="AD44" s="43" t="n"/>
      <c r="AE44" s="43" t="n"/>
      <c r="AF44" s="43" t="n"/>
      <c r="AG44" s="56">
        <f>CALC!AX10</f>
        <v>8</v>
      </c>
      <c r="AH44" s="43" t="n"/>
      <c r="AI44" s="43" t="n"/>
      <c r="AJ44" s="57">
        <f>CALC!AY10</f>
        <v>4</v>
      </c>
      <c r="AK44" s="43" t="n"/>
      <c r="AL44" s="43" t="n"/>
      <c r="AM44" s="57">
        <f>CALC!AZ10</f>
        <v>4</v>
      </c>
      <c r="AN44" s="43" t="n"/>
      <c r="AO44" s="43" t="n"/>
      <c r="AP44" s="57">
        <f>CALC!BA10</f>
        <v>2</v>
      </c>
      <c r="AQ44" s="43" t="n"/>
      <c r="AR44" s="43" t="n"/>
      <c r="AS44" s="59">
        <f>CALC!BB10</f>
        <v>0.0833333333333333</v>
      </c>
      <c r="AT44" s="43" t="n"/>
      <c r="AU44" s="43" t="n"/>
      <c r="AV44" s="43" t="n"/>
      <c r="AW44" s="1" t="n"/>
    </row>
    <row r="45" ht="18" customHeight="1">
      <c r="A45" s="1" t="n"/>
      <c r="B45" s="60" t="str">
        <f>CALC!AF11</f>
        <v>FELIPE ARAÚJO</v>
      </c>
      <c r="C45" s="43" t="n"/>
      <c r="D45" s="43" t="n"/>
      <c r="E45" s="43" t="n"/>
      <c r="F45" s="43" t="n"/>
      <c r="G45" s="43" t="n"/>
      <c r="H45" s="43" t="n"/>
      <c r="I45" s="61">
        <f>CALC!AG11</f>
        <v>8</v>
      </c>
      <c r="J45" s="43" t="n"/>
      <c r="K45" s="43" t="n"/>
      <c r="L45" s="62">
        <f>CALC!AH11</f>
        <v>1</v>
      </c>
      <c r="M45" s="43" t="n"/>
      <c r="N45" s="43" t="n"/>
      <c r="O45" s="62">
        <f>CALC!AI11</f>
        <v>7</v>
      </c>
      <c r="P45" s="43" t="n"/>
      <c r="Q45" s="43" t="n"/>
      <c r="R45" s="63">
        <f>CALC!AK11</f>
        <v>0</v>
      </c>
      <c r="S45" s="43" t="n"/>
      <c r="T45" s="43" t="n"/>
      <c r="U45" s="64">
        <f>CALC!AL11</f>
        <v>0.0833333333333333</v>
      </c>
      <c r="V45" s="43" t="n"/>
      <c r="W45" s="43" t="n"/>
      <c r="X45" s="43" t="n"/>
      <c r="Y45" s="1" t="n"/>
      <c r="Z45" s="60" t="str">
        <f>CALC!AW11</f>
        <v>BANCO</v>
      </c>
      <c r="AA45" s="43" t="n"/>
      <c r="AB45" s="43" t="n"/>
      <c r="AC45" s="43" t="n"/>
      <c r="AD45" s="43" t="n"/>
      <c r="AE45" s="43" t="n"/>
      <c r="AF45" s="43" t="n"/>
      <c r="AG45" s="61">
        <f>CALC!AX11</f>
        <v>8</v>
      </c>
      <c r="AH45" s="43" t="n"/>
      <c r="AI45" s="43" t="n"/>
      <c r="AJ45" s="62">
        <f>CALC!AY11</f>
        <v>5</v>
      </c>
      <c r="AK45" s="43" t="n"/>
      <c r="AL45" s="43" t="n"/>
      <c r="AM45" s="62">
        <f>CALC!AZ11</f>
        <v>3</v>
      </c>
      <c r="AN45" s="43" t="n"/>
      <c r="AO45" s="43" t="n"/>
      <c r="AP45" s="62">
        <f>CALC!BA11</f>
        <v>2</v>
      </c>
      <c r="AQ45" s="43" t="n"/>
      <c r="AR45" s="43" t="n"/>
      <c r="AS45" s="64">
        <f>CALC!BB11</f>
        <v>0.0833333333333333</v>
      </c>
      <c r="AT45" s="43" t="n"/>
      <c r="AU45" s="43" t="n"/>
      <c r="AV45" s="43" t="n"/>
      <c r="AW45" s="1" t="n"/>
    </row>
    <row r="46" ht="18" customHeight="1">
      <c r="A46" s="1" t="n"/>
      <c r="B46" s="55" t="str">
        <f>CALC!AF12</f>
        <v>GABRIELA NUNES</v>
      </c>
      <c r="C46" s="43" t="n"/>
      <c r="D46" s="43" t="n"/>
      <c r="E46" s="43" t="n"/>
      <c r="F46" s="43" t="n"/>
      <c r="G46" s="43" t="n"/>
      <c r="H46" s="43" t="n"/>
      <c r="I46" s="56">
        <f>CALC!AG12</f>
        <v>7</v>
      </c>
      <c r="J46" s="43" t="n"/>
      <c r="K46" s="43" t="n"/>
      <c r="L46" s="57">
        <f>CALC!AH12</f>
        <v>2</v>
      </c>
      <c r="M46" s="43" t="n"/>
      <c r="N46" s="43" t="n"/>
      <c r="O46" s="57">
        <f>CALC!AI12</f>
        <v>5</v>
      </c>
      <c r="P46" s="43" t="n"/>
      <c r="Q46" s="43" t="n"/>
      <c r="R46" s="58">
        <f>CALC!AK12</f>
        <v>0</v>
      </c>
      <c r="S46" s="43" t="n"/>
      <c r="T46" s="43" t="n"/>
      <c r="U46" s="59">
        <f>CALC!AL12</f>
        <v>0.0729166666666667</v>
      </c>
      <c r="V46" s="43" t="n"/>
      <c r="W46" s="43" t="n"/>
      <c r="X46" s="43" t="n"/>
      <c r="Y46" s="1" t="n"/>
      <c r="Z46" s="55" t="str">
        <f>CALC!AW12</f>
        <v>ACADEMIA</v>
      </c>
      <c r="AA46" s="43" t="n"/>
      <c r="AB46" s="43" t="n"/>
      <c r="AC46" s="43" t="n"/>
      <c r="AD46" s="43" t="n"/>
      <c r="AE46" s="43" t="n"/>
      <c r="AF46" s="43" t="n"/>
      <c r="AG46" s="56">
        <f>CALC!AX12</f>
        <v>6</v>
      </c>
      <c r="AH46" s="43" t="n"/>
      <c r="AI46" s="43" t="n"/>
      <c r="AJ46" s="57">
        <f>CALC!AY12</f>
        <v>5</v>
      </c>
      <c r="AK46" s="43" t="n"/>
      <c r="AL46" s="43" t="n"/>
      <c r="AM46" s="57">
        <f>CALC!AZ12</f>
        <v>1</v>
      </c>
      <c r="AN46" s="43" t="n"/>
      <c r="AO46" s="43" t="n"/>
      <c r="AP46" s="57">
        <f>CALC!BA12</f>
        <v>2</v>
      </c>
      <c r="AQ46" s="43" t="n"/>
      <c r="AR46" s="43" t="n"/>
      <c r="AS46" s="59">
        <f>CALC!BB12</f>
        <v>0.0625</v>
      </c>
      <c r="AT46" s="43" t="n"/>
      <c r="AU46" s="43" t="n"/>
      <c r="AV46" s="43" t="n"/>
      <c r="AW46" s="1" t="n"/>
    </row>
    <row r="47" ht="18" customHeight="1">
      <c r="A47" s="1" t="n"/>
      <c r="B47" s="60" t="str">
        <f>CALC!AF13</f>
        <v>HENRIQUE COSTA</v>
      </c>
      <c r="C47" s="43" t="n"/>
      <c r="D47" s="43" t="n"/>
      <c r="E47" s="43" t="n"/>
      <c r="F47" s="43" t="n"/>
      <c r="G47" s="43" t="n"/>
      <c r="H47" s="43" t="n"/>
      <c r="I47" s="61">
        <f>CALC!AG13</f>
        <v>3</v>
      </c>
      <c r="J47" s="43" t="n"/>
      <c r="K47" s="43" t="n"/>
      <c r="L47" s="62">
        <f>CALC!AH13</f>
        <v>0</v>
      </c>
      <c r="M47" s="43" t="n"/>
      <c r="N47" s="43" t="n"/>
      <c r="O47" s="62">
        <f>CALC!AI13</f>
        <v>3</v>
      </c>
      <c r="P47" s="43" t="n"/>
      <c r="Q47" s="43" t="n"/>
      <c r="R47" s="63">
        <f>CALC!AK13</f>
        <v>0</v>
      </c>
      <c r="S47" s="43" t="n"/>
      <c r="T47" s="43" t="n"/>
      <c r="U47" s="64">
        <f>CALC!AL13</f>
        <v>0.03125</v>
      </c>
      <c r="V47" s="43" t="n"/>
      <c r="W47" s="43" t="n"/>
      <c r="X47" s="43" t="n"/>
      <c r="Y47" s="1" t="n"/>
      <c r="Z47" s="60" t="str">
        <f>CALC!AW13</f>
        <v>FARMÁCIA</v>
      </c>
      <c r="AA47" s="43" t="n"/>
      <c r="AB47" s="43" t="n"/>
      <c r="AC47" s="43" t="n"/>
      <c r="AD47" s="43" t="n"/>
      <c r="AE47" s="43" t="n"/>
      <c r="AF47" s="43" t="n"/>
      <c r="AG47" s="61">
        <f>CALC!AX13</f>
        <v>6</v>
      </c>
      <c r="AH47" s="43" t="n"/>
      <c r="AI47" s="43" t="n"/>
      <c r="AJ47" s="62">
        <f>CALC!AY13</f>
        <v>6</v>
      </c>
      <c r="AK47" s="43" t="n"/>
      <c r="AL47" s="43" t="n"/>
      <c r="AM47" s="62">
        <f>CALC!AZ13</f>
        <v>0</v>
      </c>
      <c r="AN47" s="43" t="n"/>
      <c r="AO47" s="43" t="n"/>
      <c r="AP47" s="62">
        <f>CALC!BA13</f>
        <v>3</v>
      </c>
      <c r="AQ47" s="43" t="n"/>
      <c r="AR47" s="43" t="n"/>
      <c r="AS47" s="64">
        <f>CALC!BB13</f>
        <v>0.0625</v>
      </c>
      <c r="AT47" s="43" t="n"/>
      <c r="AU47" s="43" t="n"/>
      <c r="AV47" s="43" t="n"/>
      <c r="AW47" s="1" t="n"/>
    </row>
    <row r="48" ht="18" customHeight="1">
      <c r="A48" s="1" t="n"/>
      <c r="B48" s="55" t="str">
        <f>CALC!AF14</f>
        <v/>
      </c>
      <c r="C48" s="43" t="n"/>
      <c r="D48" s="43" t="n"/>
      <c r="E48" s="43" t="n"/>
      <c r="F48" s="43" t="n"/>
      <c r="G48" s="43" t="n"/>
      <c r="H48" s="43" t="n"/>
      <c r="I48" s="56" t="str">
        <f>CALC!AG14</f>
        <v/>
      </c>
      <c r="J48" s="43" t="n"/>
      <c r="K48" s="43" t="n"/>
      <c r="L48" s="57" t="str">
        <f>CALC!AH14</f>
        <v/>
      </c>
      <c r="M48" s="43" t="n"/>
      <c r="N48" s="43" t="n"/>
      <c r="O48" s="57" t="str">
        <f>CALC!AI14</f>
        <v/>
      </c>
      <c r="P48" s="43" t="n"/>
      <c r="Q48" s="43" t="n"/>
      <c r="R48" s="58" t="str">
        <f>CALC!AK14</f>
        <v/>
      </c>
      <c r="S48" s="43" t="n"/>
      <c r="T48" s="43" t="n"/>
      <c r="U48" s="59" t="str">
        <f>CALC!AL14</f>
        <v/>
      </c>
      <c r="V48" s="43" t="n"/>
      <c r="W48" s="43" t="n"/>
      <c r="X48" s="43" t="n"/>
      <c r="Y48" s="1" t="n"/>
      <c r="Z48" s="55" t="str">
        <f>CALC!AW14</f>
        <v>ESCOLA</v>
      </c>
      <c r="AA48" s="43" t="n"/>
      <c r="AB48" s="43" t="n"/>
      <c r="AC48" s="43" t="n"/>
      <c r="AD48" s="43" t="n"/>
      <c r="AE48" s="43" t="n"/>
      <c r="AF48" s="43" t="n"/>
      <c r="AG48" s="56">
        <f>CALC!AX14</f>
        <v>6</v>
      </c>
      <c r="AH48" s="43" t="n"/>
      <c r="AI48" s="43" t="n"/>
      <c r="AJ48" s="57">
        <f>CALC!AY14</f>
        <v>3</v>
      </c>
      <c r="AK48" s="43" t="n"/>
      <c r="AL48" s="43" t="n"/>
      <c r="AM48" s="57">
        <f>CALC!AZ14</f>
        <v>3</v>
      </c>
      <c r="AN48" s="43" t="n"/>
      <c r="AO48" s="43" t="n"/>
      <c r="AP48" s="57">
        <f>CALC!BA14</f>
        <v>2</v>
      </c>
      <c r="AQ48" s="43" t="n"/>
      <c r="AR48" s="43" t="n"/>
      <c r="AS48" s="59">
        <f>CALC!BB14</f>
        <v>0.0625</v>
      </c>
      <c r="AT48" s="43" t="n"/>
      <c r="AU48" s="43" t="n"/>
      <c r="AV48" s="43" t="n"/>
      <c r="AW48" s="1" t="n"/>
    </row>
    <row r="49" ht="18" customHeight="1">
      <c r="A49" s="1" t="n"/>
      <c r="B49" s="60" t="str">
        <f>CALC!AF15</f>
        <v/>
      </c>
      <c r="C49" s="43" t="n"/>
      <c r="D49" s="43" t="n"/>
      <c r="E49" s="43" t="n"/>
      <c r="F49" s="43" t="n"/>
      <c r="G49" s="43" t="n"/>
      <c r="H49" s="43" t="n"/>
      <c r="I49" s="61" t="str">
        <f>CALC!AG15</f>
        <v/>
      </c>
      <c r="J49" s="43" t="n"/>
      <c r="K49" s="43" t="n"/>
      <c r="L49" s="62" t="str">
        <f>CALC!AH15</f>
        <v/>
      </c>
      <c r="M49" s="43" t="n"/>
      <c r="N49" s="43" t="n"/>
      <c r="O49" s="62" t="str">
        <f>CALC!AI15</f>
        <v/>
      </c>
      <c r="P49" s="43" t="n"/>
      <c r="Q49" s="43" t="n"/>
      <c r="R49" s="63" t="str">
        <f>CALC!AK15</f>
        <v/>
      </c>
      <c r="S49" s="43" t="n"/>
      <c r="T49" s="43" t="n"/>
      <c r="U49" s="64" t="str">
        <f>CALC!AL15</f>
        <v/>
      </c>
      <c r="V49" s="43" t="n"/>
      <c r="W49" s="43" t="n"/>
      <c r="X49" s="43" t="n"/>
      <c r="Y49" s="1" t="n"/>
      <c r="Z49" s="60" t="str">
        <f>CALC!AW15</f>
        <v>CONCESSIONÁRIA</v>
      </c>
      <c r="AA49" s="43" t="n"/>
      <c r="AB49" s="43" t="n"/>
      <c r="AC49" s="43" t="n"/>
      <c r="AD49" s="43" t="n"/>
      <c r="AE49" s="43" t="n"/>
      <c r="AF49" s="43" t="n"/>
      <c r="AG49" s="61">
        <f>CALC!AX15</f>
        <v>6</v>
      </c>
      <c r="AH49" s="43" t="n"/>
      <c r="AI49" s="43" t="n"/>
      <c r="AJ49" s="62">
        <f>CALC!AY15</f>
        <v>3</v>
      </c>
      <c r="AK49" s="43" t="n"/>
      <c r="AL49" s="43" t="n"/>
      <c r="AM49" s="62">
        <f>CALC!AZ15</f>
        <v>3</v>
      </c>
      <c r="AN49" s="43" t="n"/>
      <c r="AO49" s="43" t="n"/>
      <c r="AP49" s="62">
        <f>CALC!BA15</f>
        <v>2</v>
      </c>
      <c r="AQ49" s="43" t="n"/>
      <c r="AR49" s="43" t="n"/>
      <c r="AS49" s="64">
        <f>CALC!BB15</f>
        <v>0.0625</v>
      </c>
      <c r="AT49" s="43" t="n"/>
      <c r="AU49" s="43" t="n"/>
      <c r="AV49" s="43" t="n"/>
      <c r="AW49" s="1" t="n"/>
    </row>
    <row r="50" ht="12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</row>
    <row r="51" ht="20" customHeight="1">
      <c r="A51" s="1" t="n"/>
      <c r="B51" s="18" t="str">
        <f>"EVOLUÇÃO MENSAL — ANO "&amp;FiltroAno</f>
        <v>EVOLUÇÃO MENSAL — ANO 2026</v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" t="n"/>
    </row>
    <row r="52" ht="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</row>
    <row r="53" ht="20" customHeight="1">
      <c r="A53" s="1" t="n"/>
      <c r="B53" s="41" t="inlineStr">
        <is>
          <t>INDICADOR</t>
        </is>
      </c>
      <c r="J53" s="41" t="inlineStr">
        <is>
          <t>JAN</t>
        </is>
      </c>
      <c r="M53" s="41" t="inlineStr">
        <is>
          <t>FEV</t>
        </is>
      </c>
      <c r="P53" s="41" t="inlineStr">
        <is>
          <t>MAR</t>
        </is>
      </c>
      <c r="S53" s="41" t="inlineStr">
        <is>
          <t>ABR</t>
        </is>
      </c>
      <c r="V53" s="41" t="inlineStr">
        <is>
          <t>MAI</t>
        </is>
      </c>
      <c r="Y53" s="41" t="inlineStr">
        <is>
          <t>JUN</t>
        </is>
      </c>
      <c r="AB53" s="41" t="inlineStr">
        <is>
          <t>JUL</t>
        </is>
      </c>
      <c r="AE53" s="41" t="inlineStr">
        <is>
          <t>AGO</t>
        </is>
      </c>
      <c r="AH53" s="41" t="inlineStr">
        <is>
          <t>SET</t>
        </is>
      </c>
      <c r="AK53" s="41" t="inlineStr">
        <is>
          <t>OUT</t>
        </is>
      </c>
      <c r="AN53" s="41" t="inlineStr">
        <is>
          <t>NOV</t>
        </is>
      </c>
      <c r="AQ53" s="41" t="inlineStr">
        <is>
          <t>DEZ</t>
        </is>
      </c>
      <c r="AT53" s="65" t="inlineStr">
        <is>
          <t>ANO</t>
        </is>
      </c>
      <c r="AW53" s="1" t="n"/>
    </row>
    <row r="54" ht="18" customHeight="1">
      <c r="A54" s="1" t="n"/>
      <c r="B54" s="55" t="inlineStr">
        <is>
          <t>Fiscalizações</t>
        </is>
      </c>
      <c r="C54" s="43" t="n"/>
      <c r="D54" s="43" t="n"/>
      <c r="E54" s="43" t="n"/>
      <c r="F54" s="43" t="n"/>
      <c r="G54" s="43" t="n"/>
      <c r="H54" s="43" t="n"/>
      <c r="I54" s="43" t="n"/>
      <c r="J54" s="56">
        <f>CALC!N6</f>
        <v>1</v>
      </c>
      <c r="K54" s="43" t="n"/>
      <c r="L54" s="43" t="n"/>
      <c r="M54" s="56">
        <f>CALC!N7</f>
        <v>3</v>
      </c>
      <c r="N54" s="43" t="n"/>
      <c r="O54" s="43" t="n"/>
      <c r="P54" s="56">
        <f>CALC!N8</f>
        <v>4</v>
      </c>
      <c r="Q54" s="43" t="n"/>
      <c r="R54" s="43" t="n"/>
      <c r="S54" s="56">
        <f>CALC!N9</f>
        <v>4</v>
      </c>
      <c r="T54" s="43" t="n"/>
      <c r="U54" s="43" t="n"/>
      <c r="V54" s="56">
        <f>CALC!N10</f>
        <v>13</v>
      </c>
      <c r="W54" s="43" t="n"/>
      <c r="X54" s="43" t="n"/>
      <c r="Y54" s="56">
        <f>CALC!N11</f>
        <v>9</v>
      </c>
      <c r="Z54" s="43" t="n"/>
      <c r="AA54" s="43" t="n"/>
      <c r="AB54" s="56">
        <f>CALC!N12</f>
        <v>16</v>
      </c>
      <c r="AC54" s="43" t="n"/>
      <c r="AD54" s="43" t="n"/>
      <c r="AE54" s="56">
        <f>CALC!N13</f>
        <v>13</v>
      </c>
      <c r="AF54" s="43" t="n"/>
      <c r="AG54" s="43" t="n"/>
      <c r="AH54" s="56">
        <f>CALC!N14</f>
        <v>23</v>
      </c>
      <c r="AI54" s="43" t="n"/>
      <c r="AJ54" s="43" t="n"/>
      <c r="AK54" s="56">
        <f>CALC!N15</f>
        <v>10</v>
      </c>
      <c r="AL54" s="43" t="n"/>
      <c r="AM54" s="43" t="n"/>
      <c r="AN54" s="56">
        <f>CALC!N16</f>
        <v>0</v>
      </c>
      <c r="AO54" s="43" t="n"/>
      <c r="AP54" s="43" t="n"/>
      <c r="AQ54" s="56">
        <f>CALC!N17</f>
        <v>0</v>
      </c>
      <c r="AR54" s="43" t="n"/>
      <c r="AS54" s="43" t="n"/>
      <c r="AT54" s="66">
        <f>SUM(CALC!N6:N17)</f>
        <v>96</v>
      </c>
      <c r="AU54" s="43" t="n"/>
      <c r="AV54" s="43" t="n"/>
      <c r="AW54" s="1" t="n"/>
    </row>
    <row r="55" ht="18" customHeight="1">
      <c r="A55" s="1" t="n"/>
      <c r="B55" s="67" t="inlineStr">
        <is>
          <t>Notif. Constatação</t>
        </is>
      </c>
      <c r="C55" s="43" t="n"/>
      <c r="D55" s="43" t="n"/>
      <c r="E55" s="43" t="n"/>
      <c r="F55" s="43" t="n"/>
      <c r="G55" s="43" t="n"/>
      <c r="H55" s="43" t="n"/>
      <c r="I55" s="43" t="n"/>
      <c r="J55" s="62">
        <f>CALC!O6</f>
        <v>1</v>
      </c>
      <c r="K55" s="43" t="n"/>
      <c r="L55" s="43" t="n"/>
      <c r="M55" s="62">
        <f>CALC!O7</f>
        <v>3</v>
      </c>
      <c r="N55" s="43" t="n"/>
      <c r="O55" s="43" t="n"/>
      <c r="P55" s="62">
        <f>CALC!O8</f>
        <v>4</v>
      </c>
      <c r="Q55" s="43" t="n"/>
      <c r="R55" s="43" t="n"/>
      <c r="S55" s="62">
        <f>CALC!O9</f>
        <v>2</v>
      </c>
      <c r="T55" s="43" t="n"/>
      <c r="U55" s="43" t="n"/>
      <c r="V55" s="62">
        <f>CALC!O10</f>
        <v>9</v>
      </c>
      <c r="W55" s="43" t="n"/>
      <c r="X55" s="43" t="n"/>
      <c r="Y55" s="62">
        <f>CALC!O11</f>
        <v>6</v>
      </c>
      <c r="Z55" s="43" t="n"/>
      <c r="AA55" s="43" t="n"/>
      <c r="AB55" s="62">
        <f>CALC!O12</f>
        <v>11</v>
      </c>
      <c r="AC55" s="43" t="n"/>
      <c r="AD55" s="43" t="n"/>
      <c r="AE55" s="62">
        <f>CALC!O13</f>
        <v>7</v>
      </c>
      <c r="AF55" s="43" t="n"/>
      <c r="AG55" s="43" t="n"/>
      <c r="AH55" s="62">
        <f>CALC!O14</f>
        <v>15</v>
      </c>
      <c r="AI55" s="43" t="n"/>
      <c r="AJ55" s="43" t="n"/>
      <c r="AK55" s="62">
        <f>CALC!O15</f>
        <v>4</v>
      </c>
      <c r="AL55" s="43" t="n"/>
      <c r="AM55" s="43" t="n"/>
      <c r="AN55" s="62">
        <f>CALC!O16</f>
        <v>0</v>
      </c>
      <c r="AO55" s="43" t="n"/>
      <c r="AP55" s="43" t="n"/>
      <c r="AQ55" s="62">
        <f>CALC!O17</f>
        <v>0</v>
      </c>
      <c r="AR55" s="43" t="n"/>
      <c r="AS55" s="43" t="n"/>
      <c r="AT55" s="66">
        <f>SUM(CALC!O6:O17)</f>
        <v>62</v>
      </c>
      <c r="AU55" s="43" t="n"/>
      <c r="AV55" s="43" t="n"/>
      <c r="AW55" s="1" t="n"/>
    </row>
    <row r="56" ht="18" customHeight="1">
      <c r="A56" s="1" t="n"/>
      <c r="B56" s="68" t="inlineStr">
        <is>
          <t>Notif. Esclarecimento</t>
        </is>
      </c>
      <c r="C56" s="43" t="n"/>
      <c r="D56" s="43" t="n"/>
      <c r="E56" s="43" t="n"/>
      <c r="F56" s="43" t="n"/>
      <c r="G56" s="43" t="n"/>
      <c r="H56" s="43" t="n"/>
      <c r="I56" s="43" t="n"/>
      <c r="J56" s="57">
        <f>CALC!P6</f>
        <v>0</v>
      </c>
      <c r="K56" s="43" t="n"/>
      <c r="L56" s="43" t="n"/>
      <c r="M56" s="57">
        <f>CALC!P7</f>
        <v>0</v>
      </c>
      <c r="N56" s="43" t="n"/>
      <c r="O56" s="43" t="n"/>
      <c r="P56" s="57">
        <f>CALC!P8</f>
        <v>0</v>
      </c>
      <c r="Q56" s="43" t="n"/>
      <c r="R56" s="43" t="n"/>
      <c r="S56" s="57">
        <f>CALC!P9</f>
        <v>2</v>
      </c>
      <c r="T56" s="43" t="n"/>
      <c r="U56" s="43" t="n"/>
      <c r="V56" s="57">
        <f>CALC!P10</f>
        <v>4</v>
      </c>
      <c r="W56" s="43" t="n"/>
      <c r="X56" s="43" t="n"/>
      <c r="Y56" s="57">
        <f>CALC!P11</f>
        <v>3</v>
      </c>
      <c r="Z56" s="43" t="n"/>
      <c r="AA56" s="43" t="n"/>
      <c r="AB56" s="57">
        <f>CALC!P12</f>
        <v>5</v>
      </c>
      <c r="AC56" s="43" t="n"/>
      <c r="AD56" s="43" t="n"/>
      <c r="AE56" s="57">
        <f>CALC!P13</f>
        <v>6</v>
      </c>
      <c r="AF56" s="43" t="n"/>
      <c r="AG56" s="43" t="n"/>
      <c r="AH56" s="57">
        <f>CALC!P14</f>
        <v>8</v>
      </c>
      <c r="AI56" s="43" t="n"/>
      <c r="AJ56" s="43" t="n"/>
      <c r="AK56" s="57">
        <f>CALC!P15</f>
        <v>6</v>
      </c>
      <c r="AL56" s="43" t="n"/>
      <c r="AM56" s="43" t="n"/>
      <c r="AN56" s="57">
        <f>CALC!P16</f>
        <v>0</v>
      </c>
      <c r="AO56" s="43" t="n"/>
      <c r="AP56" s="43" t="n"/>
      <c r="AQ56" s="57">
        <f>CALC!P17</f>
        <v>0</v>
      </c>
      <c r="AR56" s="43" t="n"/>
      <c r="AS56" s="43" t="n"/>
      <c r="AT56" s="66">
        <f>SUM(CALC!P6:P17)</f>
        <v>34</v>
      </c>
      <c r="AU56" s="43" t="n"/>
      <c r="AV56" s="43" t="n"/>
      <c r="AW56" s="1" t="n"/>
    </row>
    <row r="57" ht="18" customHeight="1">
      <c r="A57" s="1" t="n"/>
      <c r="B57" s="67" t="inlineStr">
        <is>
          <t>Presenciais</t>
        </is>
      </c>
      <c r="C57" s="43" t="n"/>
      <c r="D57" s="43" t="n"/>
      <c r="E57" s="43" t="n"/>
      <c r="F57" s="43" t="n"/>
      <c r="G57" s="43" t="n"/>
      <c r="H57" s="43" t="n"/>
      <c r="I57" s="43" t="n"/>
      <c r="J57" s="62">
        <f>CALC!Q6</f>
        <v>1</v>
      </c>
      <c r="K57" s="43" t="n"/>
      <c r="L57" s="43" t="n"/>
      <c r="M57" s="62">
        <f>CALC!Q7</f>
        <v>2</v>
      </c>
      <c r="N57" s="43" t="n"/>
      <c r="O57" s="43" t="n"/>
      <c r="P57" s="62">
        <f>CALC!Q8</f>
        <v>3</v>
      </c>
      <c r="Q57" s="43" t="n"/>
      <c r="R57" s="43" t="n"/>
      <c r="S57" s="62">
        <f>CALC!Q9</f>
        <v>3</v>
      </c>
      <c r="T57" s="43" t="n"/>
      <c r="U57" s="43" t="n"/>
      <c r="V57" s="62">
        <f>CALC!Q10</f>
        <v>9</v>
      </c>
      <c r="W57" s="43" t="n"/>
      <c r="X57" s="43" t="n"/>
      <c r="Y57" s="62">
        <f>CALC!Q11</f>
        <v>6</v>
      </c>
      <c r="Z57" s="43" t="n"/>
      <c r="AA57" s="43" t="n"/>
      <c r="AB57" s="62">
        <f>CALC!Q12</f>
        <v>7</v>
      </c>
      <c r="AC57" s="43" t="n"/>
      <c r="AD57" s="43" t="n"/>
      <c r="AE57" s="62">
        <f>CALC!Q13</f>
        <v>7</v>
      </c>
      <c r="AF57" s="43" t="n"/>
      <c r="AG57" s="43" t="n"/>
      <c r="AH57" s="62">
        <f>CALC!Q14</f>
        <v>14</v>
      </c>
      <c r="AI57" s="43" t="n"/>
      <c r="AJ57" s="43" t="n"/>
      <c r="AK57" s="62">
        <f>CALC!Q15</f>
        <v>6</v>
      </c>
      <c r="AL57" s="43" t="n"/>
      <c r="AM57" s="43" t="n"/>
      <c r="AN57" s="62">
        <f>CALC!Q16</f>
        <v>0</v>
      </c>
      <c r="AO57" s="43" t="n"/>
      <c r="AP57" s="43" t="n"/>
      <c r="AQ57" s="62">
        <f>CALC!Q17</f>
        <v>0</v>
      </c>
      <c r="AR57" s="43" t="n"/>
      <c r="AS57" s="43" t="n"/>
      <c r="AT57" s="66">
        <f>SUM(CALC!Q6:Q17)</f>
        <v>58</v>
      </c>
      <c r="AU57" s="43" t="n"/>
      <c r="AV57" s="43" t="n"/>
      <c r="AW57" s="1" t="n"/>
    </row>
    <row r="58" ht="18" customHeight="1">
      <c r="A58" s="1" t="n"/>
      <c r="B58" s="68" t="inlineStr">
        <is>
          <t>Eletrônicas</t>
        </is>
      </c>
      <c r="C58" s="43" t="n"/>
      <c r="D58" s="43" t="n"/>
      <c r="E58" s="43" t="n"/>
      <c r="F58" s="43" t="n"/>
      <c r="G58" s="43" t="n"/>
      <c r="H58" s="43" t="n"/>
      <c r="I58" s="43" t="n"/>
      <c r="J58" s="57">
        <f>CALC!R6</f>
        <v>0</v>
      </c>
      <c r="K58" s="43" t="n"/>
      <c r="L58" s="43" t="n"/>
      <c r="M58" s="57">
        <f>CALC!R7</f>
        <v>1</v>
      </c>
      <c r="N58" s="43" t="n"/>
      <c r="O58" s="43" t="n"/>
      <c r="P58" s="57">
        <f>CALC!R8</f>
        <v>1</v>
      </c>
      <c r="Q58" s="43" t="n"/>
      <c r="R58" s="43" t="n"/>
      <c r="S58" s="57">
        <f>CALC!R9</f>
        <v>1</v>
      </c>
      <c r="T58" s="43" t="n"/>
      <c r="U58" s="43" t="n"/>
      <c r="V58" s="57">
        <f>CALC!R10</f>
        <v>4</v>
      </c>
      <c r="W58" s="43" t="n"/>
      <c r="X58" s="43" t="n"/>
      <c r="Y58" s="57">
        <f>CALC!R11</f>
        <v>3</v>
      </c>
      <c r="Z58" s="43" t="n"/>
      <c r="AA58" s="43" t="n"/>
      <c r="AB58" s="57">
        <f>CALC!R12</f>
        <v>9</v>
      </c>
      <c r="AC58" s="43" t="n"/>
      <c r="AD58" s="43" t="n"/>
      <c r="AE58" s="57">
        <f>CALC!R13</f>
        <v>6</v>
      </c>
      <c r="AF58" s="43" t="n"/>
      <c r="AG58" s="43" t="n"/>
      <c r="AH58" s="57">
        <f>CALC!R14</f>
        <v>9</v>
      </c>
      <c r="AI58" s="43" t="n"/>
      <c r="AJ58" s="43" t="n"/>
      <c r="AK58" s="57">
        <f>CALC!R15</f>
        <v>4</v>
      </c>
      <c r="AL58" s="43" t="n"/>
      <c r="AM58" s="43" t="n"/>
      <c r="AN58" s="57">
        <f>CALC!R16</f>
        <v>0</v>
      </c>
      <c r="AO58" s="43" t="n"/>
      <c r="AP58" s="43" t="n"/>
      <c r="AQ58" s="57">
        <f>CALC!R17</f>
        <v>0</v>
      </c>
      <c r="AR58" s="43" t="n"/>
      <c r="AS58" s="43" t="n"/>
      <c r="AT58" s="66">
        <f>SUM(CALC!R6:R17)</f>
        <v>38</v>
      </c>
      <c r="AU58" s="43" t="n"/>
      <c r="AV58" s="43" t="n"/>
      <c r="AW58" s="1" t="n"/>
    </row>
    <row r="59" ht="18" customHeight="1">
      <c r="A59" s="1" t="n"/>
      <c r="B59" s="67" t="inlineStr">
        <is>
          <t>Meta</t>
        </is>
      </c>
      <c r="C59" s="43" t="n"/>
      <c r="D59" s="43" t="n"/>
      <c r="E59" s="43" t="n"/>
      <c r="F59" s="43" t="n"/>
      <c r="G59" s="43" t="n"/>
      <c r="H59" s="43" t="n"/>
      <c r="I59" s="43" t="n"/>
      <c r="J59" s="62">
        <f>CALC!S6</f>
        <v>12</v>
      </c>
      <c r="K59" s="43" t="n"/>
      <c r="L59" s="43" t="n"/>
      <c r="M59" s="62">
        <f>CALC!S7</f>
        <v>12</v>
      </c>
      <c r="N59" s="43" t="n"/>
      <c r="O59" s="43" t="n"/>
      <c r="P59" s="62">
        <f>CALC!S8</f>
        <v>12</v>
      </c>
      <c r="Q59" s="43" t="n"/>
      <c r="R59" s="43" t="n"/>
      <c r="S59" s="62">
        <f>CALC!S9</f>
        <v>12</v>
      </c>
      <c r="T59" s="43" t="n"/>
      <c r="U59" s="43" t="n"/>
      <c r="V59" s="62">
        <f>CALC!S10</f>
        <v>12</v>
      </c>
      <c r="W59" s="43" t="n"/>
      <c r="X59" s="43" t="n"/>
      <c r="Y59" s="62">
        <f>CALC!S11</f>
        <v>12</v>
      </c>
      <c r="Z59" s="43" t="n"/>
      <c r="AA59" s="43" t="n"/>
      <c r="AB59" s="62">
        <f>CALC!S12</f>
        <v>12</v>
      </c>
      <c r="AC59" s="43" t="n"/>
      <c r="AD59" s="43" t="n"/>
      <c r="AE59" s="62">
        <f>CALC!S13</f>
        <v>12</v>
      </c>
      <c r="AF59" s="43" t="n"/>
      <c r="AG59" s="43" t="n"/>
      <c r="AH59" s="62">
        <f>CALC!S14</f>
        <v>12</v>
      </c>
      <c r="AI59" s="43" t="n"/>
      <c r="AJ59" s="43" t="n"/>
      <c r="AK59" s="62">
        <f>CALC!S15</f>
        <v>12</v>
      </c>
      <c r="AL59" s="43" t="n"/>
      <c r="AM59" s="43" t="n"/>
      <c r="AN59" s="62">
        <f>CALC!S16</f>
        <v>12</v>
      </c>
      <c r="AO59" s="43" t="n"/>
      <c r="AP59" s="43" t="n"/>
      <c r="AQ59" s="62">
        <f>CALC!S17</f>
        <v>12</v>
      </c>
      <c r="AR59" s="43" t="n"/>
      <c r="AS59" s="43" t="n"/>
      <c r="AT59" s="66">
        <f>SUM(CALC!S6:S17)</f>
        <v>144</v>
      </c>
      <c r="AU59" s="43" t="n"/>
      <c r="AV59" s="43" t="n"/>
      <c r="AW59" s="1" t="n"/>
    </row>
    <row r="60" ht="18" customHeight="1">
      <c r="A60" s="1" t="n"/>
      <c r="B60" s="69" t="inlineStr">
        <is>
          <t>Atingimento da meta</t>
        </is>
      </c>
      <c r="C60" s="19" t="n"/>
      <c r="D60" s="19" t="n"/>
      <c r="E60" s="19" t="n"/>
      <c r="F60" s="19" t="n"/>
      <c r="G60" s="19" t="n"/>
      <c r="H60" s="19" t="n"/>
      <c r="I60" s="19" t="n"/>
      <c r="J60" s="70">
        <f>IFERROR(J54/J59,0)</f>
        <v>0.0833333333333333</v>
      </c>
      <c r="K60" s="19" t="n"/>
      <c r="L60" s="19" t="n"/>
      <c r="M60" s="70">
        <f>IFERROR(M54/M59,0)</f>
        <v>0.25</v>
      </c>
      <c r="N60" s="19" t="n"/>
      <c r="O60" s="19" t="n"/>
      <c r="P60" s="70">
        <f>IFERROR(P54/P59,0)</f>
        <v>0.333333333333333</v>
      </c>
      <c r="Q60" s="19" t="n"/>
      <c r="R60" s="19" t="n"/>
      <c r="S60" s="70">
        <f>IFERROR(S54/S59,0)</f>
        <v>0.333333333333333</v>
      </c>
      <c r="T60" s="19" t="n"/>
      <c r="U60" s="19" t="n"/>
      <c r="V60" s="70">
        <f>IFERROR(V54/V59,0)</f>
        <v>1.08333333333333</v>
      </c>
      <c r="W60" s="19" t="n"/>
      <c r="X60" s="19" t="n"/>
      <c r="Y60" s="70">
        <f>IFERROR(Y54/Y59,0)</f>
        <v>0.75</v>
      </c>
      <c r="Z60" s="19" t="n"/>
      <c r="AA60" s="19" t="n"/>
      <c r="AB60" s="70">
        <f>IFERROR(AB54/AB59,0)</f>
        <v>1.33333333333333</v>
      </c>
      <c r="AC60" s="19" t="n"/>
      <c r="AD60" s="19" t="n"/>
      <c r="AE60" s="70">
        <f>IFERROR(AE54/AE59,0)</f>
        <v>1.08333333333333</v>
      </c>
      <c r="AF60" s="19" t="n"/>
      <c r="AG60" s="19" t="n"/>
      <c r="AH60" s="70">
        <f>IFERROR(AH54/AH59,0)</f>
        <v>1.91666666666667</v>
      </c>
      <c r="AI60" s="19" t="n"/>
      <c r="AJ60" s="19" t="n"/>
      <c r="AK60" s="70">
        <f>IFERROR(AK54/AK59,0)</f>
        <v>0.833333333333333</v>
      </c>
      <c r="AL60" s="19" t="n"/>
      <c r="AM60" s="19" t="n"/>
      <c r="AN60" s="70">
        <f>IFERROR(AN54/AN59,0)</f>
        <v>0</v>
      </c>
      <c r="AO60" s="19" t="n"/>
      <c r="AP60" s="19" t="n"/>
      <c r="AQ60" s="70">
        <f>IFERROR(AQ54/AQ59,0)</f>
        <v>0</v>
      </c>
      <c r="AR60" s="19" t="n"/>
      <c r="AS60" s="19" t="n"/>
      <c r="AT60" s="71">
        <f>IFERROR(AT54/AT59,0)</f>
        <v>0.666666666666667</v>
      </c>
      <c r="AU60" s="19" t="n"/>
      <c r="AV60" s="19" t="n"/>
      <c r="AW60" s="1" t="n"/>
    </row>
    <row r="61" ht="12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</row>
    <row r="62" ht="20" customHeight="1">
      <c r="A62" s="1" t="n"/>
      <c r="B62" s="18" t="inlineStr">
        <is>
          <t>SITUAÇÃO DOS PRAZOS</t>
        </is>
      </c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" t="n"/>
      <c r="Z62" s="18" t="inlineStr">
        <is>
          <t>MATRIZ NOTIFICAÇÃO × TIPO DE ENTREGA</t>
        </is>
      </c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" t="n"/>
    </row>
    <row r="63" ht="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</row>
    <row r="64" ht="20" customHeight="1">
      <c r="A64" s="1" t="n"/>
      <c r="B64" s="41" t="inlineStr">
        <is>
          <t>SITUAÇÃO</t>
        </is>
      </c>
      <c r="I64" s="41" t="inlineStr">
        <is>
          <t>QTD.</t>
        </is>
      </c>
      <c r="L64" s="41" t="inlineStr">
        <is>
          <t>%</t>
        </is>
      </c>
      <c r="O64" s="41" t="inlineStr">
        <is>
          <t>PARTICIPAÇÃO</t>
        </is>
      </c>
      <c r="Y64" s="1" t="n"/>
      <c r="Z64" s="41" t="inlineStr">
        <is>
          <t>NOTIFICAÇÃO</t>
        </is>
      </c>
      <c r="AI64" s="41" t="inlineStr">
        <is>
          <t>PRESENCIAL</t>
        </is>
      </c>
      <c r="AN64" s="41" t="inlineStr">
        <is>
          <t>ELETRÔNICA</t>
        </is>
      </c>
      <c r="AS64" s="41" t="inlineStr">
        <is>
          <t>TOTAL</t>
        </is>
      </c>
      <c r="AW64" s="1" t="n"/>
    </row>
    <row r="65" ht="20" customHeight="1">
      <c r="A65" s="1" t="n"/>
      <c r="B65" s="72" t="inlineStr">
        <is>
          <t>●  No prazo</t>
        </is>
      </c>
      <c r="C65" s="43" t="n"/>
      <c r="D65" s="43" t="n"/>
      <c r="E65" s="43" t="n"/>
      <c r="F65" s="43" t="n"/>
      <c r="G65" s="43" t="n"/>
      <c r="H65" s="43" t="n"/>
      <c r="I65" s="73">
        <f>CALC!J11</f>
        <v>6</v>
      </c>
      <c r="J65" s="43" t="n"/>
      <c r="K65" s="43" t="n"/>
      <c r="L65" s="74">
        <f>IFERROR(I65/SUM(CALC!$J$11:$J$13),0)</f>
        <v>0.0759493670886076</v>
      </c>
      <c r="M65" s="43" t="n"/>
      <c r="N65" s="43" t="n"/>
      <c r="O65" s="75" t="str">
        <f>REPT("█",ROUND(L65*28,0))</f>
        <v>██</v>
      </c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1" t="n"/>
      <c r="Z65" s="55" t="inlineStr">
        <is>
          <t>Constatação</t>
        </is>
      </c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76">
        <f>CALC!J28</f>
        <v>34</v>
      </c>
      <c r="AJ65" s="43" t="n"/>
      <c r="AK65" s="43" t="n"/>
      <c r="AL65" s="43" t="n"/>
      <c r="AM65" s="43" t="n"/>
      <c r="AN65" s="76">
        <f>CALC!K28</f>
        <v>28</v>
      </c>
      <c r="AO65" s="43" t="n"/>
      <c r="AP65" s="43" t="n"/>
      <c r="AQ65" s="43" t="n"/>
      <c r="AR65" s="43" t="n"/>
      <c r="AS65" s="77">
        <f>AI65+AN65</f>
        <v>62</v>
      </c>
      <c r="AT65" s="43" t="n"/>
      <c r="AU65" s="43" t="n"/>
      <c r="AV65" s="43" t="n"/>
      <c r="AW65" s="1" t="n"/>
    </row>
    <row r="66" ht="20" customHeight="1">
      <c r="A66" s="1" t="n"/>
      <c r="B66" s="78" t="inlineStr">
        <is>
          <t>●  Vence em breve</t>
        </is>
      </c>
      <c r="C66" s="43" t="n"/>
      <c r="D66" s="43" t="n"/>
      <c r="E66" s="43" t="n"/>
      <c r="F66" s="43" t="n"/>
      <c r="G66" s="43" t="n"/>
      <c r="H66" s="43" t="n"/>
      <c r="I66" s="79">
        <f>CALC!J12</f>
        <v>6</v>
      </c>
      <c r="J66" s="43" t="n"/>
      <c r="K66" s="43" t="n"/>
      <c r="L66" s="80">
        <f>IFERROR(I66/SUM(CALC!$J$11:$J$13),0)</f>
        <v>0.0759493670886076</v>
      </c>
      <c r="M66" s="43" t="n"/>
      <c r="N66" s="43" t="n"/>
      <c r="O66" s="81" t="str">
        <f>REPT("█",ROUND(L66*28,0))</f>
        <v>██</v>
      </c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1" t="n"/>
      <c r="Z66" s="60" t="inlineStr">
        <is>
          <t>Esclarecimento</t>
        </is>
      </c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82">
        <f>CALC!J29</f>
        <v>24</v>
      </c>
      <c r="AJ66" s="43" t="n"/>
      <c r="AK66" s="43" t="n"/>
      <c r="AL66" s="43" t="n"/>
      <c r="AM66" s="43" t="n"/>
      <c r="AN66" s="82">
        <f>CALC!K29</f>
        <v>10</v>
      </c>
      <c r="AO66" s="43" t="n"/>
      <c r="AP66" s="43" t="n"/>
      <c r="AQ66" s="43" t="n"/>
      <c r="AR66" s="43" t="n"/>
      <c r="AS66" s="77">
        <f>AI66+AN66</f>
        <v>34</v>
      </c>
      <c r="AT66" s="43" t="n"/>
      <c r="AU66" s="43" t="n"/>
      <c r="AV66" s="43" t="n"/>
      <c r="AW66" s="1" t="n"/>
    </row>
    <row r="67" ht="20" customHeight="1">
      <c r="A67" s="1" t="n"/>
      <c r="B67" s="55" t="inlineStr">
        <is>
          <t>●  Em decisão</t>
        </is>
      </c>
      <c r="C67" s="43" t="n"/>
      <c r="D67" s="43" t="n"/>
      <c r="E67" s="43" t="n"/>
      <c r="F67" s="43" t="n"/>
      <c r="G67" s="43" t="n"/>
      <c r="H67" s="43" t="n"/>
      <c r="I67" s="73">
        <f>CALC!J13</f>
        <v>67</v>
      </c>
      <c r="J67" s="43" t="n"/>
      <c r="K67" s="43" t="n"/>
      <c r="L67" s="74">
        <f>IFERROR(I67/SUM(CALC!$J$11:$J$13),0)</f>
        <v>0.848101265822785</v>
      </c>
      <c r="M67" s="43" t="n"/>
      <c r="N67" s="43" t="n"/>
      <c r="O67" s="83" t="str">
        <f>REPT("█",ROUND(L67*28,0))</f>
        <v>████████████████████████</v>
      </c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1" t="n"/>
      <c r="Z67" s="84" t="inlineStr">
        <is>
          <t>TOTAL</t>
        </is>
      </c>
      <c r="AI67" s="85">
        <f>AI65+AI66</f>
        <v>58</v>
      </c>
      <c r="AN67" s="85">
        <f>AN65+AN66</f>
        <v>38</v>
      </c>
      <c r="AS67" s="86">
        <f>AS65+AS66</f>
        <v>96</v>
      </c>
      <c r="AW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87" t="inlineStr">
        <is>
          <t>Cores mais intensas indicam maior concentração de notificações.</t>
        </is>
      </c>
      <c r="AW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</row>
    <row r="71" ht="3" customHeight="1">
      <c r="A71" s="1" t="n"/>
      <c r="B71" s="8" t="n"/>
      <c r="AW71" s="1" t="n"/>
    </row>
    <row r="72">
      <c r="A72" s="1" t="n"/>
      <c r="B72" s="87" t="inlineStr">
        <is>
          <t>Fonte: aba PROCESSOS  •  Prazos calculados conforme parâmetros da aba CADASTROS  •  Indicadores recalculados automaticamente a cada abertura do arquivo (data de referência: HOJE).</t>
        </is>
      </c>
      <c r="AW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</row>
  </sheetData>
  <mergeCells count="470">
    <mergeCell ref="L42:N42"/>
    <mergeCell ref="AB29:AI29"/>
    <mergeCell ref="AN60:AP60"/>
    <mergeCell ref="R18:X18"/>
    <mergeCell ref="O47:Q47"/>
    <mergeCell ref="AP45:AR45"/>
    <mergeCell ref="AS64:AV64"/>
    <mergeCell ref="L34:Q34"/>
    <mergeCell ref="AJ26:AO26"/>
    <mergeCell ref="B19:H20"/>
    <mergeCell ref="Z41:AF41"/>
    <mergeCell ref="AG42:AI42"/>
    <mergeCell ref="Z43:AF43"/>
    <mergeCell ref="Z65:AH65"/>
    <mergeCell ref="I49:K49"/>
    <mergeCell ref="L47:N47"/>
    <mergeCell ref="J11:P11"/>
    <mergeCell ref="B25:C25"/>
    <mergeCell ref="AM49:AO49"/>
    <mergeCell ref="AB56:AD56"/>
    <mergeCell ref="B15:H15"/>
    <mergeCell ref="J12:P12"/>
    <mergeCell ref="R33:U33"/>
    <mergeCell ref="AG45:AI45"/>
    <mergeCell ref="AN64:AR64"/>
    <mergeCell ref="O46:Q46"/>
    <mergeCell ref="B13:H14"/>
    <mergeCell ref="AE53:AG53"/>
    <mergeCell ref="AB57:AD57"/>
    <mergeCell ref="AG47:AI47"/>
    <mergeCell ref="I64:K64"/>
    <mergeCell ref="O48:Q48"/>
    <mergeCell ref="AJ32:AO32"/>
    <mergeCell ref="AK15:AN15"/>
    <mergeCell ref="V55:X55"/>
    <mergeCell ref="Y56:AA56"/>
    <mergeCell ref="AC15:AF15"/>
    <mergeCell ref="Z18:AF18"/>
    <mergeCell ref="AJ27:AO27"/>
    <mergeCell ref="J60:L60"/>
    <mergeCell ref="B21:D21"/>
    <mergeCell ref="V29:X29"/>
    <mergeCell ref="AE58:AG58"/>
    <mergeCell ref="AS7:AV7"/>
    <mergeCell ref="J53:L53"/>
    <mergeCell ref="R15:T15"/>
    <mergeCell ref="J19:P20"/>
    <mergeCell ref="O41:Q41"/>
    <mergeCell ref="V31:X31"/>
    <mergeCell ref="Y59:AA59"/>
    <mergeCell ref="J55:L55"/>
    <mergeCell ref="AJ4:AV4"/>
    <mergeCell ref="O43:Q43"/>
    <mergeCell ref="V60:X60"/>
    <mergeCell ref="V32:X32"/>
    <mergeCell ref="I39:K39"/>
    <mergeCell ref="L40:N40"/>
    <mergeCell ref="V26:X26"/>
    <mergeCell ref="AE60:AG60"/>
    <mergeCell ref="R11:X11"/>
    <mergeCell ref="AH54:AJ54"/>
    <mergeCell ref="AJ41:AL41"/>
    <mergeCell ref="J58:L58"/>
    <mergeCell ref="B34:C34"/>
    <mergeCell ref="B28:C28"/>
    <mergeCell ref="R34:U34"/>
    <mergeCell ref="AP26:AS26"/>
    <mergeCell ref="AE55:AG55"/>
    <mergeCell ref="AH56:AJ56"/>
    <mergeCell ref="AJ43:AL43"/>
    <mergeCell ref="AT25:AV25"/>
    <mergeCell ref="B30:C30"/>
    <mergeCell ref="AB58:AD58"/>
    <mergeCell ref="AE59:AG59"/>
    <mergeCell ref="L66:N66"/>
    <mergeCell ref="AH13:AN14"/>
    <mergeCell ref="AG46:AI46"/>
    <mergeCell ref="AG40:AI40"/>
    <mergeCell ref="AB60:AD60"/>
    <mergeCell ref="P59:R59"/>
    <mergeCell ref="D26:K26"/>
    <mergeCell ref="AC21:AF21"/>
    <mergeCell ref="AP44:AR44"/>
    <mergeCell ref="AS15:AV15"/>
    <mergeCell ref="O66:X66"/>
    <mergeCell ref="L25:Q25"/>
    <mergeCell ref="AP18:AV18"/>
    <mergeCell ref="AB25:AI25"/>
    <mergeCell ref="R29:U29"/>
    <mergeCell ref="J21:L21"/>
    <mergeCell ref="Z19:AF20"/>
    <mergeCell ref="R31:U31"/>
    <mergeCell ref="Z15:AB15"/>
    <mergeCell ref="AG43:AI43"/>
    <mergeCell ref="AT30:AV30"/>
    <mergeCell ref="Z23:AV23"/>
    <mergeCell ref="Z12:AF12"/>
    <mergeCell ref="R26:U26"/>
    <mergeCell ref="R12:X12"/>
    <mergeCell ref="L43:N43"/>
    <mergeCell ref="P56:R56"/>
    <mergeCell ref="B9:AV9"/>
    <mergeCell ref="AH11:AN11"/>
    <mergeCell ref="AT33:AV33"/>
    <mergeCell ref="J13:P14"/>
    <mergeCell ref="AP27:AS27"/>
    <mergeCell ref="B49:H49"/>
    <mergeCell ref="AG48:AI48"/>
    <mergeCell ref="B31:C31"/>
    <mergeCell ref="AT35:AV35"/>
    <mergeCell ref="AP25:AS25"/>
    <mergeCell ref="AT34:AV34"/>
    <mergeCell ref="U40:X40"/>
    <mergeCell ref="D27:K27"/>
    <mergeCell ref="AB53:AD53"/>
    <mergeCell ref="U15:X15"/>
    <mergeCell ref="AK56:AM56"/>
    <mergeCell ref="V53:X53"/>
    <mergeCell ref="AJ2:AV2"/>
    <mergeCell ref="AH18:AN18"/>
    <mergeCell ref="AH17:AN17"/>
    <mergeCell ref="M53:O53"/>
    <mergeCell ref="P54:R54"/>
    <mergeCell ref="B42:H42"/>
    <mergeCell ref="M55:O55"/>
    <mergeCell ref="B44:H44"/>
    <mergeCell ref="L28:Q28"/>
    <mergeCell ref="B32:C32"/>
    <mergeCell ref="AB34:AI34"/>
    <mergeCell ref="B26:C26"/>
    <mergeCell ref="AB28:AI28"/>
    <mergeCell ref="R49:T49"/>
    <mergeCell ref="R32:U32"/>
    <mergeCell ref="AT29:AV29"/>
    <mergeCell ref="AB30:AI30"/>
    <mergeCell ref="Z27:AA27"/>
    <mergeCell ref="AK54:AM54"/>
    <mergeCell ref="B59:I59"/>
    <mergeCell ref="B27:C27"/>
    <mergeCell ref="AT58:AV58"/>
    <mergeCell ref="AT54:AV54"/>
    <mergeCell ref="F7:J7"/>
    <mergeCell ref="Z25:AA25"/>
    <mergeCell ref="AS49:AV49"/>
    <mergeCell ref="Z46:AF46"/>
    <mergeCell ref="S53:U53"/>
    <mergeCell ref="V54:X54"/>
    <mergeCell ref="Z40:AF40"/>
    <mergeCell ref="P57:R57"/>
    <mergeCell ref="AH12:AN12"/>
    <mergeCell ref="AS42:AV42"/>
    <mergeCell ref="AG39:AI39"/>
    <mergeCell ref="S55:U55"/>
    <mergeCell ref="AP33:AS33"/>
    <mergeCell ref="U46:X46"/>
    <mergeCell ref="AQ59:AS59"/>
    <mergeCell ref="AS44:AV44"/>
    <mergeCell ref="M56:O56"/>
    <mergeCell ref="AP35:AS35"/>
    <mergeCell ref="U48:X48"/>
    <mergeCell ref="R39:T39"/>
    <mergeCell ref="U41:X41"/>
    <mergeCell ref="AN53:AP53"/>
    <mergeCell ref="AQ54:AS54"/>
    <mergeCell ref="D33:K33"/>
    <mergeCell ref="AK57:AM57"/>
    <mergeCell ref="M21:P21"/>
    <mergeCell ref="S58:U58"/>
    <mergeCell ref="AN67:AR67"/>
    <mergeCell ref="AJ3:AV3"/>
    <mergeCell ref="Y7:AB7"/>
    <mergeCell ref="AI7:AL7"/>
    <mergeCell ref="AP30:AS30"/>
    <mergeCell ref="U43:X43"/>
    <mergeCell ref="AN55:AP55"/>
    <mergeCell ref="AQ56:AS56"/>
    <mergeCell ref="D35:K35"/>
    <mergeCell ref="D34:K34"/>
    <mergeCell ref="AK58:AM58"/>
    <mergeCell ref="B62:X62"/>
    <mergeCell ref="R21:T21"/>
    <mergeCell ref="L30:Q30"/>
    <mergeCell ref="AM39:AO39"/>
    <mergeCell ref="AP40:AR40"/>
    <mergeCell ref="B45:H45"/>
    <mergeCell ref="AK60:AM60"/>
    <mergeCell ref="L29:Q29"/>
    <mergeCell ref="AH15:AJ15"/>
    <mergeCell ref="B47:H47"/>
    <mergeCell ref="AN58:AP58"/>
    <mergeCell ref="L31:Q31"/>
    <mergeCell ref="K7:S7"/>
    <mergeCell ref="AB31:AI31"/>
    <mergeCell ref="B46:H46"/>
    <mergeCell ref="L65:N65"/>
    <mergeCell ref="B48:H48"/>
    <mergeCell ref="AM42:AO42"/>
    <mergeCell ref="T7:X7"/>
    <mergeCell ref="M59:O59"/>
    <mergeCell ref="Z34:AA34"/>
    <mergeCell ref="Z28:AA28"/>
    <mergeCell ref="P60:R60"/>
    <mergeCell ref="AP34:AS34"/>
    <mergeCell ref="AS39:AV39"/>
    <mergeCell ref="AI67:AM67"/>
    <mergeCell ref="Z30:AA30"/>
    <mergeCell ref="M54:O54"/>
    <mergeCell ref="R19:X20"/>
    <mergeCell ref="AS47:AV47"/>
    <mergeCell ref="L45:N45"/>
    <mergeCell ref="L26:Q26"/>
    <mergeCell ref="AB32:AI32"/>
    <mergeCell ref="AN59:AP59"/>
    <mergeCell ref="AB26:AI26"/>
    <mergeCell ref="AH59:AJ59"/>
    <mergeCell ref="I42:K42"/>
    <mergeCell ref="AP46:AR46"/>
    <mergeCell ref="AS65:AV65"/>
    <mergeCell ref="I44:K44"/>
    <mergeCell ref="B57:I57"/>
    <mergeCell ref="AP48:AR48"/>
    <mergeCell ref="Z11:AF11"/>
    <mergeCell ref="AB27:AI27"/>
    <mergeCell ref="AP41:AR41"/>
    <mergeCell ref="P58:R58"/>
    <mergeCell ref="AK53:AM53"/>
    <mergeCell ref="B67:H67"/>
    <mergeCell ref="AP43:AR43"/>
    <mergeCell ref="AM47:AO47"/>
    <mergeCell ref="L32:Q32"/>
    <mergeCell ref="AM46:AO46"/>
    <mergeCell ref="AP13:AV14"/>
    <mergeCell ref="Z39:AF39"/>
    <mergeCell ref="M15:P15"/>
    <mergeCell ref="Y54:AA54"/>
    <mergeCell ref="Z66:AH66"/>
    <mergeCell ref="AM48:AO48"/>
    <mergeCell ref="AM44:AO44"/>
    <mergeCell ref="U39:X39"/>
    <mergeCell ref="O44:Q44"/>
    <mergeCell ref="B64:H64"/>
    <mergeCell ref="AN65:AR65"/>
    <mergeCell ref="R42:T42"/>
    <mergeCell ref="AM45:AO45"/>
    <mergeCell ref="AJ33:AO33"/>
    <mergeCell ref="AJ49:AL49"/>
    <mergeCell ref="AJ35:AO35"/>
    <mergeCell ref="R46:T46"/>
    <mergeCell ref="L46:N46"/>
    <mergeCell ref="B18:H18"/>
    <mergeCell ref="L27:Q27"/>
    <mergeCell ref="AJ44:AL44"/>
    <mergeCell ref="Z68:AV68"/>
    <mergeCell ref="R48:T48"/>
    <mergeCell ref="B11:H11"/>
    <mergeCell ref="L48:N48"/>
    <mergeCell ref="AB55:AD55"/>
    <mergeCell ref="I45:K45"/>
    <mergeCell ref="I47:K47"/>
    <mergeCell ref="AP11:AV11"/>
    <mergeCell ref="R13:X14"/>
    <mergeCell ref="AS66:AV66"/>
    <mergeCell ref="AJ28:AO28"/>
    <mergeCell ref="O64:X64"/>
    <mergeCell ref="AT57:AV57"/>
    <mergeCell ref="AH58:AJ58"/>
    <mergeCell ref="AN7:AQ7"/>
    <mergeCell ref="AJ30:AO30"/>
    <mergeCell ref="A5:AW5"/>
    <mergeCell ref="L41:N41"/>
    <mergeCell ref="AH60:AJ60"/>
    <mergeCell ref="V27:X27"/>
    <mergeCell ref="Z67:AH67"/>
    <mergeCell ref="E21:H21"/>
    <mergeCell ref="V25:X25"/>
    <mergeCell ref="Y57:AA57"/>
    <mergeCell ref="L49:N49"/>
    <mergeCell ref="B29:C29"/>
    <mergeCell ref="AH57:AJ57"/>
    <mergeCell ref="AQ55:AS55"/>
    <mergeCell ref="AS21:AV21"/>
    <mergeCell ref="AE54:AG54"/>
    <mergeCell ref="L67:N67"/>
    <mergeCell ref="B17:H17"/>
    <mergeCell ref="AG41:AI41"/>
    <mergeCell ref="AT28:AV28"/>
    <mergeCell ref="AP39:AR39"/>
    <mergeCell ref="AE56:AG56"/>
    <mergeCell ref="AJ39:AL39"/>
    <mergeCell ref="AM40:AO40"/>
    <mergeCell ref="AB59:AD59"/>
    <mergeCell ref="AG49:AI49"/>
    <mergeCell ref="AT32:AV32"/>
    <mergeCell ref="V59:X59"/>
    <mergeCell ref="I66:K66"/>
    <mergeCell ref="AP17:AV17"/>
    <mergeCell ref="Y60:AA60"/>
    <mergeCell ref="L64:N64"/>
    <mergeCell ref="O67:X67"/>
    <mergeCell ref="I67:K67"/>
    <mergeCell ref="I48:K48"/>
    <mergeCell ref="AP12:AV12"/>
    <mergeCell ref="AP19:AV20"/>
    <mergeCell ref="AH19:AN20"/>
    <mergeCell ref="AJ29:AO29"/>
    <mergeCell ref="Z13:AF14"/>
    <mergeCell ref="AJ31:AO31"/>
    <mergeCell ref="AT60:AV60"/>
    <mergeCell ref="V33:X33"/>
    <mergeCell ref="R44:T44"/>
    <mergeCell ref="R27:U27"/>
    <mergeCell ref="AJ40:AL40"/>
    <mergeCell ref="J57:L57"/>
    <mergeCell ref="Y58:AA58"/>
    <mergeCell ref="V35:X35"/>
    <mergeCell ref="U21:X21"/>
    <mergeCell ref="V34:X34"/>
    <mergeCell ref="I41:K41"/>
    <mergeCell ref="V28:X28"/>
    <mergeCell ref="L39:N39"/>
    <mergeCell ref="I43:K43"/>
    <mergeCell ref="V30:X30"/>
    <mergeCell ref="Z21:AB21"/>
    <mergeCell ref="J18:P18"/>
    <mergeCell ref="AP28:AS28"/>
    <mergeCell ref="AP15:AR15"/>
    <mergeCell ref="AE57:AG57"/>
    <mergeCell ref="J17:P17"/>
    <mergeCell ref="AJ45:AL45"/>
    <mergeCell ref="AT31:AV31"/>
    <mergeCell ref="B71:AV71"/>
    <mergeCell ref="Z37:AV37"/>
    <mergeCell ref="U49:X49"/>
    <mergeCell ref="Z33:AA33"/>
    <mergeCell ref="D28:K28"/>
    <mergeCell ref="Y53:AA53"/>
    <mergeCell ref="V56:X56"/>
    <mergeCell ref="AI66:AM66"/>
    <mergeCell ref="Z35:AA35"/>
    <mergeCell ref="S59:U59"/>
    <mergeCell ref="D30:K30"/>
    <mergeCell ref="Y55:AA55"/>
    <mergeCell ref="R35:U35"/>
    <mergeCell ref="D29:K29"/>
    <mergeCell ref="B40:H40"/>
    <mergeCell ref="AJ48:AL48"/>
    <mergeCell ref="B54:I54"/>
    <mergeCell ref="R45:T45"/>
    <mergeCell ref="AT53:AV53"/>
    <mergeCell ref="B56:I56"/>
    <mergeCell ref="B41:H41"/>
    <mergeCell ref="R47:T47"/>
    <mergeCell ref="AT55:AV55"/>
    <mergeCell ref="R28:U28"/>
    <mergeCell ref="Z49:AF49"/>
    <mergeCell ref="B66:H66"/>
    <mergeCell ref="S54:U54"/>
    <mergeCell ref="AJ25:AO25"/>
    <mergeCell ref="Z29:AA29"/>
    <mergeCell ref="R30:U30"/>
    <mergeCell ref="I65:K65"/>
    <mergeCell ref="P55:R55"/>
    <mergeCell ref="AP29:AS29"/>
    <mergeCell ref="B37:X37"/>
    <mergeCell ref="S56:U56"/>
    <mergeCell ref="AP21:AR21"/>
    <mergeCell ref="AJ46:AL46"/>
    <mergeCell ref="AS40:AV40"/>
    <mergeCell ref="B33:C33"/>
    <mergeCell ref="D25:K25"/>
    <mergeCell ref="AP31:AS31"/>
    <mergeCell ref="Z17:AF17"/>
    <mergeCell ref="AQ57:AS57"/>
    <mergeCell ref="O39:Q39"/>
    <mergeCell ref="R40:T40"/>
    <mergeCell ref="B35:C35"/>
    <mergeCell ref="B2:AD3"/>
    <mergeCell ref="J15:L15"/>
    <mergeCell ref="U42:X42"/>
    <mergeCell ref="AN54:AP54"/>
    <mergeCell ref="AD7:AG7"/>
    <mergeCell ref="D31:K31"/>
    <mergeCell ref="AK55:AM55"/>
    <mergeCell ref="AN56:AP56"/>
    <mergeCell ref="AK59:AM59"/>
    <mergeCell ref="AP49:AR49"/>
    <mergeCell ref="AS45:AV45"/>
    <mergeCell ref="P53:R53"/>
    <mergeCell ref="AH21:AN21"/>
    <mergeCell ref="M57:O57"/>
    <mergeCell ref="D32:K32"/>
    <mergeCell ref="V57:X57"/>
    <mergeCell ref="B43:H43"/>
    <mergeCell ref="R25:U25"/>
    <mergeCell ref="AM41:AO41"/>
    <mergeCell ref="M58:O58"/>
    <mergeCell ref="V58:X58"/>
    <mergeCell ref="U47:X47"/>
    <mergeCell ref="Z31:AA31"/>
    <mergeCell ref="Z42:AF42"/>
    <mergeCell ref="AB33:AI33"/>
    <mergeCell ref="O49:Q49"/>
    <mergeCell ref="AI64:AM64"/>
    <mergeCell ref="R17:X17"/>
    <mergeCell ref="B51:AV51"/>
    <mergeCell ref="S57:U57"/>
    <mergeCell ref="Z44:AF44"/>
    <mergeCell ref="Z32:AA32"/>
    <mergeCell ref="Z26:AA26"/>
    <mergeCell ref="AP32:AS32"/>
    <mergeCell ref="J54:L54"/>
    <mergeCell ref="AI65:AM65"/>
    <mergeCell ref="U44:X44"/>
    <mergeCell ref="R41:T41"/>
    <mergeCell ref="AQ58:AS58"/>
    <mergeCell ref="AT59:AV59"/>
    <mergeCell ref="O42:Q42"/>
    <mergeCell ref="Z45:AF45"/>
    <mergeCell ref="B7:E7"/>
    <mergeCell ref="J56:L56"/>
    <mergeCell ref="AQ60:AS60"/>
    <mergeCell ref="R43:T43"/>
    <mergeCell ref="AT26:AV26"/>
    <mergeCell ref="U45:X45"/>
    <mergeCell ref="Z62:AV62"/>
    <mergeCell ref="AN57:AP57"/>
    <mergeCell ref="B39:H39"/>
    <mergeCell ref="I40:K40"/>
    <mergeCell ref="AS46:AV46"/>
    <mergeCell ref="Z47:AF47"/>
    <mergeCell ref="AP42:AR42"/>
    <mergeCell ref="B55:I55"/>
    <mergeCell ref="AJ42:AL42"/>
    <mergeCell ref="J59:L59"/>
    <mergeCell ref="AS48:AV48"/>
    <mergeCell ref="AH53:AJ53"/>
    <mergeCell ref="AN66:AR66"/>
    <mergeCell ref="AM43:AO43"/>
    <mergeCell ref="M60:O60"/>
    <mergeCell ref="L33:Q33"/>
    <mergeCell ref="Z48:AF48"/>
    <mergeCell ref="B4:AD4"/>
    <mergeCell ref="B65:H65"/>
    <mergeCell ref="AH55:AJ55"/>
    <mergeCell ref="L35:Q35"/>
    <mergeCell ref="B58:I58"/>
    <mergeCell ref="AJ34:AO34"/>
    <mergeCell ref="AB35:AI35"/>
    <mergeCell ref="Z64:AH64"/>
    <mergeCell ref="B72:AV72"/>
    <mergeCell ref="O40:Q40"/>
    <mergeCell ref="L44:N44"/>
    <mergeCell ref="B60:I60"/>
    <mergeCell ref="AS41:AV41"/>
    <mergeCell ref="B53:I53"/>
    <mergeCell ref="B23:X23"/>
    <mergeCell ref="B12:H12"/>
    <mergeCell ref="S60:U60"/>
    <mergeCell ref="AP47:AR47"/>
    <mergeCell ref="AS43:AV43"/>
    <mergeCell ref="AJ47:AL47"/>
    <mergeCell ref="O65:X65"/>
    <mergeCell ref="I46:K46"/>
    <mergeCell ref="AB54:AD54"/>
    <mergeCell ref="AG44:AI44"/>
    <mergeCell ref="AT56:AV56"/>
    <mergeCell ref="AT27:AV27"/>
    <mergeCell ref="O45:Q45"/>
    <mergeCell ref="AQ53:AS53"/>
    <mergeCell ref="AS67:AV67"/>
  </mergeCells>
  <conditionalFormatting sqref="V26:V35">
    <cfRule type="expression" priority="1" dxfId="0">
      <formula>AND(ISNUMBER(V26),V26&lt;=DiasAlerta)</formula>
    </cfRule>
  </conditionalFormatting>
  <conditionalFormatting sqref="U40:U49">
    <cfRule type="dataBar" priority="2">
      <dataBar showValue="1">
        <cfvo type="num" val="0"/>
        <cfvo type="num" val="0.4"/>
        <color rgb="00B08D57"/>
      </dataBar>
    </cfRule>
  </conditionalFormatting>
  <conditionalFormatting sqref="AS40:AS49">
    <cfRule type="dataBar" priority="3">
      <dataBar showValue="1">
        <cfvo type="num" val="0"/>
        <cfvo type="num" val="0.4"/>
        <color rgb="00B08D57"/>
      </dataBar>
    </cfRule>
  </conditionalFormatting>
  <conditionalFormatting sqref="J54 M54 P54 S54 V54 Y54 AB54 AE54 AH54 AK54 AN54 AQ54">
    <cfRule type="colorScale" priority="4">
      <colorScale>
        <cfvo type="min"/>
        <cfvo type="max"/>
        <color rgb="00FFFFFF"/>
        <color rgb="009DB4D6"/>
      </colorScale>
    </cfRule>
  </conditionalFormatting>
  <conditionalFormatting sqref="AI65:AN66">
    <cfRule type="colorScale" priority="5">
      <colorScale>
        <cfvo type="min"/>
        <cfvo type="max"/>
        <color rgb="00FFFFFF"/>
        <color rgb="009DB4D6"/>
      </colorScale>
    </cfRule>
  </conditionalFormatting>
  <dataValidations count="2">
    <dataValidation sqref="K7" showDropDown="0" showInputMessage="1" showErrorMessage="1" allowBlank="0" errorTitle="Filtro inválido" error="Escolha um item da lista." promptTitle="Filtro" prompt="Escolha TODOS ou um responsável." type="list">
      <formula1>CALC!$E$5:$E$20</formula1>
    </dataValidation>
    <dataValidation sqref="Y7" showDropDown="0" showInputMessage="1" showErrorMessage="1" allowBlank="0" errorTitle="Ano inválido" error="Escolha um ano da lista." promptTitle="Ano" prompt="Ano usado na evolução mensal." type="list">
      <formula1>CALC!$G$5:$G$13</formula1>
    </dataValidation>
  </dataValidations>
  <hyperlinks>
    <hyperlink xmlns:r="http://schemas.openxmlformats.org/officeDocument/2006/relationships" ref="AD7" r:id="rId1"/>
    <hyperlink xmlns:r="http://schemas.openxmlformats.org/officeDocument/2006/relationships" ref="AI7" r:id="rId2"/>
    <hyperlink xmlns:r="http://schemas.openxmlformats.org/officeDocument/2006/relationships" ref="AN7" r:id="rId3"/>
    <hyperlink xmlns:r="http://schemas.openxmlformats.org/officeDocument/2006/relationships" ref="AS7" r:id="rId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97D"/>
    <outlinePr summaryBelow="1" summaryRight="1"/>
    <pageSetUpPr fitToPage="1"/>
  </sheetPr>
  <dimension ref="A1:AW10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 ht="22" customHeight="1">
      <c r="A2" s="2" t="n"/>
      <c r="B2" s="3" t="inlineStr">
        <is>
          <t>DASHBOARD ANALÍTICO</t>
        </is>
      </c>
      <c r="AE2" s="2" t="n"/>
      <c r="AF2" s="4" t="inlineStr">
        <is>
          <t>FILTROS ATIVOS (definidos no PAINEL)</t>
        </is>
      </c>
      <c r="AW2" s="2" t="n"/>
    </row>
    <row r="3" ht="22" customHeight="1">
      <c r="A3" s="2" t="n"/>
      <c r="AE3" s="2" t="n"/>
      <c r="AF3" s="88" t="str">
        <f>"Responsável: "&amp;IF(FiltroResp="","TODOS",FiltroResp)</f>
        <v>Responsável: TODOS</v>
      </c>
      <c r="AW3" s="2" t="n"/>
    </row>
    <row r="4" ht="20" customHeight="1">
      <c r="A4" s="2" t="n"/>
      <c r="B4" s="6" t="inlineStr">
        <is>
          <t>Gráficos de acompanhamento do fluxo de notificações</t>
        </is>
      </c>
      <c r="AE4" s="2" t="n"/>
      <c r="AF4" s="89" t="str">
        <f>"Ano de referência: "&amp;FiltroAno</f>
        <v>Ano de referência: 2026</v>
      </c>
      <c r="AW4" s="2" t="n"/>
    </row>
    <row r="5" ht="4" customHeight="1">
      <c r="A5" s="8" t="n"/>
    </row>
    <row r="6" ht="1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</row>
    <row r="7" ht="28" customHeight="1">
      <c r="A7" s="1" t="n"/>
      <c r="B7" s="90" t="inlineStr">
        <is>
          <t>TOTAL</t>
        </is>
      </c>
      <c r="C7" s="91" t="n"/>
      <c r="D7" s="91" t="n"/>
      <c r="E7" s="91" t="n"/>
      <c r="F7" s="92">
        <f>PAINEL!B13</f>
        <v>96</v>
      </c>
      <c r="G7" s="91" t="n"/>
      <c r="H7" s="93" t="n"/>
      <c r="I7" s="1" t="n"/>
      <c r="J7" s="90" t="inlineStr">
        <is>
          <t>PRAZO D.P</t>
        </is>
      </c>
      <c r="K7" s="91" t="n"/>
      <c r="L7" s="91" t="n"/>
      <c r="M7" s="91" t="n"/>
      <c r="N7" s="92">
        <f>PAINEL!J13</f>
        <v>29</v>
      </c>
      <c r="O7" s="91" t="n"/>
      <c r="P7" s="93" t="n"/>
      <c r="Q7" s="1" t="n"/>
      <c r="R7" s="90" t="inlineStr">
        <is>
          <t>DECISÃO D.P</t>
        </is>
      </c>
      <c r="S7" s="91" t="n"/>
      <c r="T7" s="91" t="n"/>
      <c r="U7" s="91" t="n"/>
      <c r="V7" s="92">
        <f>PAINEL!R13</f>
        <v>67</v>
      </c>
      <c r="W7" s="91" t="n"/>
      <c r="X7" s="93" t="n"/>
      <c r="Y7" s="1" t="n"/>
      <c r="Z7" s="90" t="inlineStr">
        <is>
          <t>NO PRAZO</t>
        </is>
      </c>
      <c r="AA7" s="91" t="n"/>
      <c r="AB7" s="91" t="n"/>
      <c r="AC7" s="91" t="n"/>
      <c r="AD7" s="94">
        <f>PAINEL!Z13</f>
        <v>6</v>
      </c>
      <c r="AE7" s="91" t="n"/>
      <c r="AF7" s="93" t="n"/>
      <c r="AG7" s="1" t="n"/>
      <c r="AH7" s="90" t="inlineStr">
        <is>
          <t>EM BREVE</t>
        </is>
      </c>
      <c r="AI7" s="91" t="n"/>
      <c r="AJ7" s="91" t="n"/>
      <c r="AK7" s="91" t="n"/>
      <c r="AL7" s="95">
        <f>PAINEL!AH13</f>
        <v>6</v>
      </c>
      <c r="AM7" s="91" t="n"/>
      <c r="AN7" s="93" t="n"/>
      <c r="AO7" s="1" t="n"/>
      <c r="AP7" s="90" t="inlineStr">
        <is>
          <t>NO MÊS</t>
        </is>
      </c>
      <c r="AQ7" s="91" t="n"/>
      <c r="AR7" s="91" t="n"/>
      <c r="AS7" s="91" t="n"/>
      <c r="AT7" s="92">
        <f>PAINEL!AP13</f>
        <v>10</v>
      </c>
      <c r="AU7" s="91" t="n"/>
      <c r="AV7" s="93" t="n"/>
      <c r="AW7" s="1" t="n"/>
    </row>
    <row r="8" ht="1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96" t="inlineStr">
        <is>
          <t>◂ VOLTAR AO PAINEL</t>
        </is>
      </c>
      <c r="AW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</row>
  </sheetData>
  <mergeCells count="19">
    <mergeCell ref="AL7:AN7"/>
    <mergeCell ref="B4:AD4"/>
    <mergeCell ref="AF3:AV3"/>
    <mergeCell ref="AH7:AK7"/>
    <mergeCell ref="AP7:AS7"/>
    <mergeCell ref="A5:AW5"/>
    <mergeCell ref="AF4:AV4"/>
    <mergeCell ref="B7:E7"/>
    <mergeCell ref="V7:X7"/>
    <mergeCell ref="AN8:AV8"/>
    <mergeCell ref="AD7:AF7"/>
    <mergeCell ref="R7:U7"/>
    <mergeCell ref="Z7:AC7"/>
    <mergeCell ref="AF2:AV2"/>
    <mergeCell ref="AT7:AV7"/>
    <mergeCell ref="N7:P7"/>
    <mergeCell ref="F7:H7"/>
    <mergeCell ref="J7:M7"/>
    <mergeCell ref="B2:AD3"/>
  </mergeCells>
  <hyperlinks>
    <hyperlink xmlns:r="http://schemas.openxmlformats.org/officeDocument/2006/relationships" ref="AN8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B08D57"/>
    <outlinePr summaryBelow="1" summaryRight="1"/>
    <pageSetUpPr/>
  </sheetPr>
  <dimension ref="A1:P1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14" customWidth="1" min="4" max="4"/>
    <col width="33" customWidth="1" min="5" max="5"/>
    <col width="14" customWidth="1" min="6" max="6"/>
    <col width="14" customWidth="1" min="7" max="7"/>
    <col width="22" customWidth="1" min="8" max="8"/>
    <col width="16" customWidth="1" min="9" max="9"/>
    <col width="20" customWidth="1" min="10" max="10"/>
    <col width="13" customWidth="1" min="11" max="11"/>
    <col width="13" customWidth="1" min="12" max="12"/>
    <col width="11" customWidth="1" min="13" max="13"/>
    <col width="17" customWidth="1" min="14" max="14"/>
    <col width="14" customWidth="1" min="15" max="15"/>
    <col width="42" customWidth="1" min="16" max="16"/>
  </cols>
  <sheetData>
    <row r="1" ht="30" customHeight="1">
      <c r="A1" s="97" t="inlineStr">
        <is>
          <t>CONTROLE DE PROCESSOS — FLUXO DE NOTIFICAÇÕES</t>
        </is>
      </c>
    </row>
    <row r="2" ht="18" customHeight="1">
      <c r="A2" s="98" t="str">
        <f>"Base oficial de registros  •  "&amp;COUNTA(rEmpresa)&amp;" processo(s) cadastrado(s)  •  Colunas A–K e P: preenchimento manual   |   Colunas L–O (dourado): cálculo automático"</f>
        <v>Base oficial de registros  •  96 processo(s) cadastrado(s)  •  Colunas A–K e P: preenchimento manual   |   Colunas L–O (dourado): cálculo automático</v>
      </c>
    </row>
    <row r="3" ht="4" customHeight="1">
      <c r="A3" s="8" t="n"/>
    </row>
    <row r="4" ht="34" customHeight="1">
      <c r="A4" s="99" t="inlineStr">
        <is>
          <t>N°</t>
        </is>
      </c>
      <c r="B4" s="99" t="inlineStr">
        <is>
          <t>EMPRESA</t>
        </is>
      </c>
      <c r="C4" s="99" t="inlineStr">
        <is>
          <t>RAMO</t>
        </is>
      </c>
      <c r="D4" s="99" t="inlineStr">
        <is>
          <t>DATA DA
FISCALIZAÇÃO</t>
        </is>
      </c>
      <c r="E4" s="99" t="inlineStr">
        <is>
          <t>NOTIFICAÇÃO</t>
        </is>
      </c>
      <c r="F4" s="99" t="inlineStr">
        <is>
          <t>TIPO</t>
        </is>
      </c>
      <c r="G4" s="99" t="inlineStr">
        <is>
          <t>STATUS</t>
        </is>
      </c>
      <c r="H4" s="99" t="inlineStr">
        <is>
          <t>RESPONSÁVEL</t>
        </is>
      </c>
      <c r="I4" s="99" t="inlineStr">
        <is>
          <t>N° NOTIFICAÇÃO</t>
        </is>
      </c>
      <c r="J4" s="99" t="inlineStr">
        <is>
          <t>PROCESSO ORIGEM</t>
        </is>
      </c>
      <c r="K4" s="99" t="inlineStr">
        <is>
          <t>DATA P.
ORIGEM</t>
        </is>
      </c>
      <c r="L4" s="100" t="inlineStr">
        <is>
          <t>PRAZO
FINAL</t>
        </is>
      </c>
      <c r="M4" s="100" t="inlineStr">
        <is>
          <t>DIAS
RESTANTES</t>
        </is>
      </c>
      <c r="N4" s="100" t="inlineStr">
        <is>
          <t>SITUAÇÃO
DO PRAZO</t>
        </is>
      </c>
      <c r="O4" s="100" t="inlineStr">
        <is>
          <t>DIAS DESDE A
FISCALIZAÇÃO</t>
        </is>
      </c>
      <c r="P4" s="99" t="inlineStr">
        <is>
          <t>OBSERVAÇÕES</t>
        </is>
      </c>
    </row>
    <row r="5" ht="18" customHeight="1">
      <c r="A5" s="101" t="n">
        <v>1</v>
      </c>
      <c r="B5" s="102" t="inlineStr">
        <is>
          <t>Laboratório Atlântico Ltda</t>
        </is>
      </c>
      <c r="C5" s="102" t="inlineStr">
        <is>
          <t>SAÚDE</t>
        </is>
      </c>
      <c r="D5" s="103" t="n">
        <v>46042</v>
      </c>
      <c r="E5" s="102" t="inlineStr">
        <is>
          <t>NOTIFICAÇÃO DE CONSTATAÇÃO</t>
        </is>
      </c>
      <c r="F5" s="104" t="inlineStr">
        <is>
          <t>PRESENCIAL</t>
        </is>
      </c>
      <c r="G5" s="104" t="inlineStr">
        <is>
          <t>PRAZO D.P</t>
        </is>
      </c>
      <c r="H5" s="102" t="inlineStr">
        <is>
          <t>DIEGO RIBEIRO</t>
        </is>
      </c>
      <c r="I5" s="105" t="inlineStr">
        <is>
          <t>0587/2026</t>
        </is>
      </c>
      <c r="J5" s="105" t="inlineStr">
        <is>
          <t>2026.052547/07</t>
        </is>
      </c>
      <c r="K5" s="103" t="n">
        <v>46032</v>
      </c>
      <c r="L5" s="106">
        <f>IF(OR(D5="",E5=""),"",D5+IF(E5="NOTIFICAÇÃO DE CONSTATAÇÃO",PrazoConst,PrazoEsc))</f>
        <v>46052.0</v>
      </c>
      <c r="M5" s="107">
        <f>IF(L5="","",L5-TODAY())</f>
        <v>-251</v>
      </c>
      <c r="N5" s="108" t="str">
        <f>IF(B5="","",IF(G5="DECISÃO D.P","EM DECISÃO",IF(G5="","SEM STATUS",IF(M5="","SEM DATA",IF(M5&lt;0,"VENCIDO",IF(M5&lt;=DiasAlerta,"VENCE EM BREVE","NO PRAZO"))))))</f>
        <v>VENCIDO</v>
      </c>
      <c r="O5" s="109">
        <f>IF(D5="","",TODAY()-D5)</f>
        <v>261</v>
      </c>
      <c r="P5" s="102" t="inlineStr">
        <is>
          <t>Registro de exemplo — os dados de exemplo podem ser apagados (colunas A–K e P).</t>
        </is>
      </c>
    </row>
    <row r="6" ht="18" customHeight="1">
      <c r="A6" s="101" t="n">
        <v>2</v>
      </c>
      <c r="B6" s="102" t="inlineStr">
        <is>
          <t>Boutique Planalto</t>
        </is>
      </c>
      <c r="C6" s="102" t="inlineStr">
        <is>
          <t>LOJA</t>
        </is>
      </c>
      <c r="D6" s="103" t="n">
        <v>46057</v>
      </c>
      <c r="E6" s="102" t="inlineStr">
        <is>
          <t>NOTIFICAÇÃO DE CONSTATAÇÃO</t>
        </is>
      </c>
      <c r="F6" s="104" t="inlineStr">
        <is>
          <t>PRESENCIAL</t>
        </is>
      </c>
      <c r="G6" s="104" t="inlineStr">
        <is>
          <t>DECISÃO D.P</t>
        </is>
      </c>
      <c r="H6" s="102" t="inlineStr">
        <is>
          <t>FELIPE ARAÚJO</t>
        </is>
      </c>
      <c r="I6" s="105" t="inlineStr">
        <is>
          <t>0049/2026</t>
        </is>
      </c>
      <c r="J6" s="105" t="inlineStr">
        <is>
          <t>2025.024777/07</t>
        </is>
      </c>
      <c r="K6" s="103" t="n">
        <v>46000</v>
      </c>
      <c r="L6" s="106">
        <f>IF(OR(D6="",E6=""),"",D6+IF(E6="NOTIFICAÇÃO DE CONSTATAÇÃO",PrazoConst,PrazoEsc))</f>
        <v>46067.0</v>
      </c>
      <c r="M6" s="107">
        <f>IF(L6="","",L6-TODAY())</f>
        <v>-236</v>
      </c>
      <c r="N6" s="108" t="str">
        <f>IF(B6="","",IF(G6="DECISÃO D.P","EM DECISÃO",IF(G6="","SEM STATUS",IF(M6="","SEM DATA",IF(M6&lt;0,"VENCIDO",IF(M6&lt;=DiasAlerta,"VENCE EM BREVE","NO PRAZO"))))))</f>
        <v>EM DECISÃO</v>
      </c>
      <c r="O6" s="109">
        <f>IF(D6="","",TODAY()-D6)</f>
        <v>246</v>
      </c>
      <c r="P6" s="102" t="n"/>
    </row>
    <row r="7" ht="18" customHeight="1">
      <c r="A7" s="101" t="n">
        <v>3</v>
      </c>
      <c r="B7" s="102" t="inlineStr">
        <is>
          <t>Mercado Bom Preço</t>
        </is>
      </c>
      <c r="C7" s="102" t="inlineStr">
        <is>
          <t>SUPERMERCADO</t>
        </is>
      </c>
      <c r="D7" s="103" t="n">
        <v>46071</v>
      </c>
      <c r="E7" s="102" t="inlineStr">
        <is>
          <t>NOTIFICAÇÃO DE CONSTATAÇÃO</t>
        </is>
      </c>
      <c r="F7" s="104" t="inlineStr">
        <is>
          <t>PRESENCIAL</t>
        </is>
      </c>
      <c r="G7" s="104" t="inlineStr">
        <is>
          <t>DECISÃO D.P</t>
        </is>
      </c>
      <c r="H7" s="102" t="inlineStr">
        <is>
          <t>GABRIELA NUNES</t>
        </is>
      </c>
      <c r="I7" s="105" t="inlineStr">
        <is>
          <t>0130/2026</t>
        </is>
      </c>
      <c r="J7" s="105" t="inlineStr">
        <is>
          <t>2025.028692/13</t>
        </is>
      </c>
      <c r="K7" s="103" t="n">
        <v>46001</v>
      </c>
      <c r="L7" s="106">
        <f>IF(OR(D7="",E7=""),"",D7+IF(E7="NOTIFICAÇÃO DE CONSTATAÇÃO",PrazoConst,PrazoEsc))</f>
        <v>46081.0</v>
      </c>
      <c r="M7" s="107">
        <f>IF(L7="","",L7-TODAY())</f>
        <v>-222</v>
      </c>
      <c r="N7" s="108" t="str">
        <f>IF(B7="","",IF(G7="DECISÃO D.P","EM DECISÃO",IF(G7="","SEM STATUS",IF(M7="","SEM DATA",IF(M7&lt;0,"VENCIDO",IF(M7&lt;=DiasAlerta,"VENCE EM BREVE","NO PRAZO"))))))</f>
        <v>EM DECISÃO</v>
      </c>
      <c r="O7" s="109">
        <f>IF(D7="","",TODAY()-D7)</f>
        <v>232</v>
      </c>
      <c r="P7" s="102" t="n"/>
    </row>
    <row r="8" ht="18" customHeight="1">
      <c r="A8" s="101" t="n">
        <v>4</v>
      </c>
      <c r="B8" s="102" t="inlineStr">
        <is>
          <t>Laboratório Horizonte</t>
        </is>
      </c>
      <c r="C8" s="102" t="inlineStr">
        <is>
          <t>SAÚDE</t>
        </is>
      </c>
      <c r="D8" s="103" t="n">
        <v>46076</v>
      </c>
      <c r="E8" s="102" t="inlineStr">
        <is>
          <t>NOTIFICAÇÃO DE CONSTATAÇÃO</t>
        </is>
      </c>
      <c r="F8" s="104" t="inlineStr">
        <is>
          <t>ELETRÔNICA</t>
        </is>
      </c>
      <c r="G8" s="104" t="inlineStr">
        <is>
          <t>DECISÃO D.P</t>
        </is>
      </c>
      <c r="H8" s="102" t="inlineStr">
        <is>
          <t>DIEGO RIBEIRO</t>
        </is>
      </c>
      <c r="I8" s="105" t="inlineStr">
        <is>
          <t>0492/2026</t>
        </is>
      </c>
      <c r="J8" s="105" t="inlineStr">
        <is>
          <t>2025.047616/13</t>
        </is>
      </c>
      <c r="K8" s="103" t="n">
        <v>46017</v>
      </c>
      <c r="L8" s="106">
        <f>IF(OR(D8="",E8=""),"",D8+IF(E8="NOTIFICAÇÃO DE CONSTATAÇÃO",PrazoConst,PrazoEsc))</f>
        <v>46086.0</v>
      </c>
      <c r="M8" s="107">
        <f>IF(L8="","",L8-TODAY())</f>
        <v>-217</v>
      </c>
      <c r="N8" s="108" t="str">
        <f>IF(B8="","",IF(G8="DECISÃO D.P","EM DECISÃO",IF(G8="","SEM STATUS",IF(M8="","SEM DATA",IF(M8&lt;0,"VENCIDO",IF(M8&lt;=DiasAlerta,"VENCE EM BREVE","NO PRAZO"))))))</f>
        <v>EM DECISÃO</v>
      </c>
      <c r="O8" s="109">
        <f>IF(D8="","",TODAY()-D8)</f>
        <v>227</v>
      </c>
      <c r="P8" s="102" t="n"/>
    </row>
    <row r="9" ht="18" customHeight="1">
      <c r="A9" s="101" t="n">
        <v>5</v>
      </c>
      <c r="B9" s="102" t="inlineStr">
        <is>
          <t>Posto Primavera</t>
        </is>
      </c>
      <c r="C9" s="102" t="inlineStr">
        <is>
          <t>POSTO DE COMBUSTÍVEL</t>
        </is>
      </c>
      <c r="D9" s="103" t="n">
        <v>46082</v>
      </c>
      <c r="E9" s="102" t="inlineStr">
        <is>
          <t>NOTIFICAÇÃO DE CONSTATAÇÃO</t>
        </is>
      </c>
      <c r="F9" s="104" t="inlineStr">
        <is>
          <t>PRESENCIAL</t>
        </is>
      </c>
      <c r="G9" s="104" t="inlineStr">
        <is>
          <t>DECISÃO D.P</t>
        </is>
      </c>
      <c r="H9" s="102" t="inlineStr">
        <is>
          <t>GABRIELA NUNES</t>
        </is>
      </c>
      <c r="I9" s="105" t="inlineStr">
        <is>
          <t>0650/2026</t>
        </is>
      </c>
      <c r="J9" s="105" t="inlineStr">
        <is>
          <t>2026.038632/12</t>
        </is>
      </c>
      <c r="K9" s="103" t="n">
        <v>46043</v>
      </c>
      <c r="L9" s="106">
        <f>IF(OR(D9="",E9=""),"",D9+IF(E9="NOTIFICAÇÃO DE CONSTATAÇÃO",PrazoConst,PrazoEsc))</f>
        <v>46092.0</v>
      </c>
      <c r="M9" s="107">
        <f>IF(L9="","",L9-TODAY())</f>
        <v>-211</v>
      </c>
      <c r="N9" s="108" t="str">
        <f>IF(B9="","",IF(G9="DECISÃO D.P","EM DECISÃO",IF(G9="","SEM STATUS",IF(M9="","SEM DATA",IF(M9&lt;0,"VENCIDO",IF(M9&lt;=DiasAlerta,"VENCE EM BREVE","NO PRAZO"))))))</f>
        <v>EM DECISÃO</v>
      </c>
      <c r="O9" s="109">
        <f>IF(D9="","",TODAY()-D9)</f>
        <v>221</v>
      </c>
      <c r="P9" s="102" t="n"/>
    </row>
    <row r="10" ht="18" customHeight="1">
      <c r="A10" s="101" t="n">
        <v>6</v>
      </c>
      <c r="B10" s="102" t="inlineStr">
        <is>
          <t>Colégio Vitória</t>
        </is>
      </c>
      <c r="C10" s="102" t="inlineStr">
        <is>
          <t>ESCOLA</t>
        </is>
      </c>
      <c r="D10" s="103" t="n">
        <v>46093</v>
      </c>
      <c r="E10" s="102" t="inlineStr">
        <is>
          <t>NOTIFICAÇÃO DE CONSTATAÇÃO</t>
        </is>
      </c>
      <c r="F10" s="104" t="inlineStr">
        <is>
          <t>ELETRÔNICA</t>
        </is>
      </c>
      <c r="G10" s="104" t="inlineStr">
        <is>
          <t>PRAZO D.P</t>
        </is>
      </c>
      <c r="H10" s="102" t="inlineStr">
        <is>
          <t>EDUARDA LIMA</t>
        </is>
      </c>
      <c r="I10" s="105" t="inlineStr">
        <is>
          <t>0359/2026</t>
        </is>
      </c>
      <c r="J10" s="105" t="inlineStr">
        <is>
          <t>2026.099466/07</t>
        </is>
      </c>
      <c r="K10" s="103" t="n">
        <v>46044</v>
      </c>
      <c r="L10" s="106">
        <f>IF(OR(D10="",E10=""),"",D10+IF(E10="NOTIFICAÇÃO DE CONSTATAÇÃO",PrazoConst,PrazoEsc))</f>
        <v>46103.0</v>
      </c>
      <c r="M10" s="107">
        <f>IF(L10="","",L10-TODAY())</f>
        <v>-200</v>
      </c>
      <c r="N10" s="108" t="str">
        <f>IF(B10="","",IF(G10="DECISÃO D.P","EM DECISÃO",IF(G10="","SEM STATUS",IF(M10="","SEM DATA",IF(M10&lt;0,"VENCIDO",IF(M10&lt;=DiasAlerta,"VENCE EM BREVE","NO PRAZO"))))))</f>
        <v>VENCIDO</v>
      </c>
      <c r="O10" s="109">
        <f>IF(D10="","",TODAY()-D10)</f>
        <v>210</v>
      </c>
      <c r="P10" s="102" t="n"/>
    </row>
    <row r="11" ht="18" customHeight="1">
      <c r="A11" s="101" t="n">
        <v>7</v>
      </c>
      <c r="B11" s="102" t="inlineStr">
        <is>
          <t>Banco Litoral</t>
        </is>
      </c>
      <c r="C11" s="102" t="inlineStr">
        <is>
          <t>BANCO</t>
        </is>
      </c>
      <c r="D11" s="103" t="n">
        <v>46101</v>
      </c>
      <c r="E11" s="102" t="inlineStr">
        <is>
          <t>NOTIFICAÇÃO DE CONSTATAÇÃO</t>
        </is>
      </c>
      <c r="F11" s="104" t="inlineStr">
        <is>
          <t>PRESENCIAL</t>
        </is>
      </c>
      <c r="G11" s="104" t="inlineStr">
        <is>
          <t>DECISÃO D.P</t>
        </is>
      </c>
      <c r="H11" s="102" t="inlineStr">
        <is>
          <t>DIEGO RIBEIRO</t>
        </is>
      </c>
      <c r="I11" s="105" t="inlineStr">
        <is>
          <t>0152/2026</t>
        </is>
      </c>
      <c r="J11" s="105" t="inlineStr">
        <is>
          <t>2026.034037/01</t>
        </is>
      </c>
      <c r="K11" s="103" t="n">
        <v>46044</v>
      </c>
      <c r="L11" s="106">
        <f>IF(OR(D11="",E11=""),"",D11+IF(E11="NOTIFICAÇÃO DE CONSTATAÇÃO",PrazoConst,PrazoEsc))</f>
        <v>46111.0</v>
      </c>
      <c r="M11" s="107">
        <f>IF(L11="","",L11-TODAY())</f>
        <v>-192</v>
      </c>
      <c r="N11" s="108" t="str">
        <f>IF(B11="","",IF(G11="DECISÃO D.P","EM DECISÃO",IF(G11="","SEM STATUS",IF(M11="","SEM DATA",IF(M11&lt;0,"VENCIDO",IF(M11&lt;=DiasAlerta,"VENCE EM BREVE","NO PRAZO"))))))</f>
        <v>EM DECISÃO</v>
      </c>
      <c r="O11" s="109">
        <f>IF(D11="","",TODAY()-D11)</f>
        <v>202</v>
      </c>
      <c r="P11" s="102" t="n"/>
    </row>
    <row r="12" ht="18" customHeight="1">
      <c r="A12" s="101" t="n">
        <v>8</v>
      </c>
      <c r="B12" s="102" t="inlineStr">
        <is>
          <t>Posto Nova Era</t>
        </is>
      </c>
      <c r="C12" s="102" t="inlineStr">
        <is>
          <t>POSTO DE COMBUSTÍVEL</t>
        </is>
      </c>
      <c r="D12" s="103" t="n">
        <v>46110</v>
      </c>
      <c r="E12" s="102" t="inlineStr">
        <is>
          <t>NOTIFICAÇÃO DE CONSTATAÇÃO</t>
        </is>
      </c>
      <c r="F12" s="104" t="inlineStr">
        <is>
          <t>PRESENCIAL</t>
        </is>
      </c>
      <c r="G12" s="104" t="inlineStr">
        <is>
          <t>PRAZO D.P</t>
        </is>
      </c>
      <c r="H12" s="102" t="inlineStr">
        <is>
          <t>BRUNO CARVALHO</t>
        </is>
      </c>
      <c r="I12" s="105" t="inlineStr">
        <is>
          <t>0863/2026</t>
        </is>
      </c>
      <c r="J12" s="105" t="inlineStr">
        <is>
          <t>2026.094405/09</t>
        </is>
      </c>
      <c r="K12" s="103" t="n">
        <v>46025</v>
      </c>
      <c r="L12" s="106">
        <f>IF(OR(D12="",E12=""),"",D12+IF(E12="NOTIFICAÇÃO DE CONSTATAÇÃO",PrazoConst,PrazoEsc))</f>
        <v>46120.0</v>
      </c>
      <c r="M12" s="107">
        <f>IF(L12="","",L12-TODAY())</f>
        <v>-183</v>
      </c>
      <c r="N12" s="108" t="str">
        <f>IF(B12="","",IF(G12="DECISÃO D.P","EM DECISÃO",IF(G12="","SEM STATUS",IF(M12="","SEM DATA",IF(M12&lt;0,"VENCIDO",IF(M12&lt;=DiasAlerta,"VENCE EM BREVE","NO PRAZO"))))))</f>
        <v>VENCIDO</v>
      </c>
      <c r="O12" s="109">
        <f>IF(D12="","",TODAY()-D12)</f>
        <v>193</v>
      </c>
      <c r="P12" s="102" t="n"/>
    </row>
    <row r="13" ht="18" customHeight="1">
      <c r="A13" s="101" t="n">
        <v>9</v>
      </c>
      <c r="B13" s="102" t="inlineStr">
        <is>
          <t>Clínica Jardim</t>
        </is>
      </c>
      <c r="C13" s="102" t="inlineStr">
        <is>
          <t>SAÚDE</t>
        </is>
      </c>
      <c r="D13" s="103" t="n">
        <v>46121</v>
      </c>
      <c r="E13" s="102" t="inlineStr">
        <is>
          <t>NOTIFICAÇÃO DE ESCLARECIMENTO</t>
        </is>
      </c>
      <c r="F13" s="104" t="inlineStr">
        <is>
          <t>PRESENCIAL</t>
        </is>
      </c>
      <c r="G13" s="104" t="inlineStr">
        <is>
          <t>DECISÃO D.P</t>
        </is>
      </c>
      <c r="H13" s="102" t="inlineStr">
        <is>
          <t>FELIPE ARAÚJO</t>
        </is>
      </c>
      <c r="I13" s="105" t="inlineStr">
        <is>
          <t>0574/2026</t>
        </is>
      </c>
      <c r="J13" s="105" t="inlineStr">
        <is>
          <t>2026.048054/08</t>
        </is>
      </c>
      <c r="K13" s="103" t="n">
        <v>46088</v>
      </c>
      <c r="L13" s="106">
        <f>IF(OR(D13="",E13=""),"",D13+IF(E13="NOTIFICAÇÃO DE CONSTATAÇÃO",PrazoConst,PrazoEsc))</f>
        <v>46136.0</v>
      </c>
      <c r="M13" s="107">
        <f>IF(L13="","",L13-TODAY())</f>
        <v>-167</v>
      </c>
      <c r="N13" s="108" t="str">
        <f>IF(B13="","",IF(G13="DECISÃO D.P","EM DECISÃO",IF(G13="","SEM STATUS",IF(M13="","SEM DATA",IF(M13&lt;0,"VENCIDO",IF(M13&lt;=DiasAlerta,"VENCE EM BREVE","NO PRAZO"))))))</f>
        <v>EM DECISÃO</v>
      </c>
      <c r="O13" s="109">
        <f>IF(D13="","",TODAY()-D13)</f>
        <v>182</v>
      </c>
      <c r="P13" s="102" t="n"/>
    </row>
    <row r="14" ht="18" customHeight="1">
      <c r="A14" s="101" t="n">
        <v>10</v>
      </c>
      <c r="B14" s="102" t="inlineStr">
        <is>
          <t>Auto Posto Primavera Ltda</t>
        </is>
      </c>
      <c r="C14" s="102" t="inlineStr">
        <is>
          <t>POSTO DE COMBUSTÍVEL</t>
        </is>
      </c>
      <c r="D14" s="103" t="n">
        <v>46124</v>
      </c>
      <c r="E14" s="102" t="inlineStr">
        <is>
          <t>NOTIFICAÇÃO DE ESCLARECIMENTO</t>
        </is>
      </c>
      <c r="F14" s="104" t="inlineStr">
        <is>
          <t>PRESENCIAL</t>
        </is>
      </c>
      <c r="G14" s="104" t="inlineStr">
        <is>
          <t>DECISÃO D.P</t>
        </is>
      </c>
      <c r="H14" s="102" t="inlineStr">
        <is>
          <t>GABRIELA NUNES</t>
        </is>
      </c>
      <c r="I14" s="105" t="inlineStr">
        <is>
          <t>0687/2026</t>
        </is>
      </c>
      <c r="J14" s="105" t="inlineStr">
        <is>
          <t>2026.004563/06</t>
        </is>
      </c>
      <c r="K14" s="103" t="n">
        <v>46096</v>
      </c>
      <c r="L14" s="106">
        <f>IF(OR(D14="",E14=""),"",D14+IF(E14="NOTIFICAÇÃO DE CONSTATAÇÃO",PrazoConst,PrazoEsc))</f>
        <v>46139.0</v>
      </c>
      <c r="M14" s="107">
        <f>IF(L14="","",L14-TODAY())</f>
        <v>-164</v>
      </c>
      <c r="N14" s="108" t="str">
        <f>IF(B14="","",IF(G14="DECISÃO D.P","EM DECISÃO",IF(G14="","SEM STATUS",IF(M14="","SEM DATA",IF(M14&lt;0,"VENCIDO",IF(M14&lt;=DiasAlerta,"VENCE EM BREVE","NO PRAZO"))))))</f>
        <v>EM DECISÃO</v>
      </c>
      <c r="O14" s="109">
        <f>IF(D14="","",TODAY()-D14)</f>
        <v>179</v>
      </c>
      <c r="P14" s="102" t="n"/>
    </row>
    <row r="15" ht="18" customHeight="1">
      <c r="A15" s="101" t="n">
        <v>11</v>
      </c>
      <c r="B15" s="102" t="inlineStr">
        <is>
          <t>Posto Boa Esperança 24h</t>
        </is>
      </c>
      <c r="C15" s="102" t="inlineStr">
        <is>
          <t>POSTO DE COMBUSTÍVEL</t>
        </is>
      </c>
      <c r="D15" s="103" t="n">
        <v>46124</v>
      </c>
      <c r="E15" s="102" t="inlineStr">
        <is>
          <t>NOTIFICAÇÃO DE CONSTATAÇÃO</t>
        </is>
      </c>
      <c r="F15" s="104" t="inlineStr">
        <is>
          <t>PRESENCIAL</t>
        </is>
      </c>
      <c r="G15" s="104" t="inlineStr">
        <is>
          <t>DECISÃO D.P</t>
        </is>
      </c>
      <c r="H15" s="102" t="inlineStr">
        <is>
          <t>FELIPE ARAÚJO</t>
        </is>
      </c>
      <c r="I15" s="105" t="inlineStr">
        <is>
          <t>0938/2026</t>
        </is>
      </c>
      <c r="J15" s="105" t="inlineStr">
        <is>
          <t>2026.039920/13</t>
        </is>
      </c>
      <c r="K15" s="103" t="n">
        <v>46104</v>
      </c>
      <c r="L15" s="106">
        <f>IF(OR(D15="",E15=""),"",D15+IF(E15="NOTIFICAÇÃO DE CONSTATAÇÃO",PrazoConst,PrazoEsc))</f>
        <v>46134.0</v>
      </c>
      <c r="M15" s="107">
        <f>IF(L15="","",L15-TODAY())</f>
        <v>-169</v>
      </c>
      <c r="N15" s="108" t="str">
        <f>IF(B15="","",IF(G15="DECISÃO D.P","EM DECISÃO",IF(G15="","SEM STATUS",IF(M15="","SEM DATA",IF(M15&lt;0,"VENCIDO",IF(M15&lt;=DiasAlerta,"VENCE EM BREVE","NO PRAZO"))))))</f>
        <v>EM DECISÃO</v>
      </c>
      <c r="O15" s="109">
        <f>IF(D15="","",TODAY()-D15)</f>
        <v>179</v>
      </c>
      <c r="P15" s="102" t="n"/>
    </row>
    <row r="16" ht="18" customHeight="1">
      <c r="A16" s="101" t="n">
        <v>12</v>
      </c>
      <c r="B16" s="102" t="inlineStr">
        <is>
          <t>Conecta Central</t>
        </is>
      </c>
      <c r="C16" s="102" t="inlineStr">
        <is>
          <t>TELEFONIA</t>
        </is>
      </c>
      <c r="D16" s="103" t="n">
        <v>46137</v>
      </c>
      <c r="E16" s="102" t="inlineStr">
        <is>
          <t>NOTIFICAÇÃO DE CONSTATAÇÃO</t>
        </is>
      </c>
      <c r="F16" s="104" t="inlineStr">
        <is>
          <t>ELETRÔNICA</t>
        </is>
      </c>
      <c r="G16" s="104" t="inlineStr">
        <is>
          <t>DECISÃO D.P</t>
        </is>
      </c>
      <c r="H16" s="102" t="inlineStr">
        <is>
          <t>EDUARDA LIMA</t>
        </is>
      </c>
      <c r="I16" s="105" t="inlineStr">
        <is>
          <t>0553/2026</t>
        </is>
      </c>
      <c r="J16" s="105" t="inlineStr">
        <is>
          <t>2026.020921/10</t>
        </is>
      </c>
      <c r="K16" s="103" t="n">
        <v>46108</v>
      </c>
      <c r="L16" s="106">
        <f>IF(OR(D16="",E16=""),"",D16+IF(E16="NOTIFICAÇÃO DE CONSTATAÇÃO",PrazoConst,PrazoEsc))</f>
        <v>46147.0</v>
      </c>
      <c r="M16" s="107">
        <f>IF(L16="","",L16-TODAY())</f>
        <v>-156</v>
      </c>
      <c r="N16" s="108" t="str">
        <f>IF(B16="","",IF(G16="DECISÃO D.P","EM DECISÃO",IF(G16="","SEM STATUS",IF(M16="","SEM DATA",IF(M16&lt;0,"VENCIDO",IF(M16&lt;=DiasAlerta,"VENCE EM BREVE","NO PRAZO"))))))</f>
        <v>EM DECISÃO</v>
      </c>
      <c r="O16" s="109">
        <f>IF(D16="","",TODAY()-D16)</f>
        <v>166</v>
      </c>
      <c r="P16" s="102" t="n"/>
    </row>
    <row r="17" ht="18" customHeight="1">
      <c r="A17" s="101" t="n">
        <v>13</v>
      </c>
      <c r="B17" s="102" t="inlineStr">
        <is>
          <t>Posto Horizonte Ltda</t>
        </is>
      </c>
      <c r="C17" s="102" t="inlineStr">
        <is>
          <t>POSTO DE COMBUSTÍVEL</t>
        </is>
      </c>
      <c r="D17" s="103" t="n">
        <v>46145</v>
      </c>
      <c r="E17" s="102" t="inlineStr">
        <is>
          <t>NOTIFICAÇÃO DE ESCLARECIMENTO</t>
        </is>
      </c>
      <c r="F17" s="104" t="inlineStr">
        <is>
          <t>ELETRÔNICA</t>
        </is>
      </c>
      <c r="G17" s="104" t="inlineStr">
        <is>
          <t>DECISÃO D.P</t>
        </is>
      </c>
      <c r="H17" s="102" t="inlineStr">
        <is>
          <t>DIEGO RIBEIRO</t>
        </is>
      </c>
      <c r="I17" s="105" t="inlineStr">
        <is>
          <t>0546/2026</t>
        </is>
      </c>
      <c r="J17" s="105" t="inlineStr">
        <is>
          <t>2026.064254/10</t>
        </is>
      </c>
      <c r="K17" s="103" t="n">
        <v>46102</v>
      </c>
      <c r="L17" s="106">
        <f>IF(OR(D17="",E17=""),"",D17+IF(E17="NOTIFICAÇÃO DE CONSTATAÇÃO",PrazoConst,PrazoEsc))</f>
        <v>46160.0</v>
      </c>
      <c r="M17" s="107">
        <f>IF(L17="","",L17-TODAY())</f>
        <v>-143</v>
      </c>
      <c r="N17" s="108" t="str">
        <f>IF(B17="","",IF(G17="DECISÃO D.P","EM DECISÃO",IF(G17="","SEM STATUS",IF(M17="","SEM DATA",IF(M17&lt;0,"VENCIDO",IF(M17&lt;=DiasAlerta,"VENCE EM BREVE","NO PRAZO"))))))</f>
        <v>EM DECISÃO</v>
      </c>
      <c r="O17" s="109">
        <f>IF(D17="","",TODAY()-D17)</f>
        <v>158</v>
      </c>
      <c r="P17" s="102" t="n"/>
    </row>
    <row r="18" ht="18" customHeight="1">
      <c r="A18" s="101" t="n">
        <v>14</v>
      </c>
      <c r="B18" s="102" t="inlineStr">
        <is>
          <t>Conecta Planalto</t>
        </is>
      </c>
      <c r="C18" s="102" t="inlineStr">
        <is>
          <t>TELEFONIA</t>
        </is>
      </c>
      <c r="D18" s="103" t="n">
        <v>46148</v>
      </c>
      <c r="E18" s="102" t="inlineStr">
        <is>
          <t>NOTIFICAÇÃO DE CONSTATAÇÃO</t>
        </is>
      </c>
      <c r="F18" s="104" t="inlineStr">
        <is>
          <t>PRESENCIAL</t>
        </is>
      </c>
      <c r="G18" s="104" t="inlineStr">
        <is>
          <t>DECISÃO D.P</t>
        </is>
      </c>
      <c r="H18" s="102" t="inlineStr">
        <is>
          <t>CARLA MENDES</t>
        </is>
      </c>
      <c r="I18" s="105" t="inlineStr">
        <is>
          <t>0613/2026</t>
        </is>
      </c>
      <c r="J18" s="105" t="inlineStr">
        <is>
          <t>2026.089932/12</t>
        </is>
      </c>
      <c r="K18" s="103" t="n">
        <v>46114</v>
      </c>
      <c r="L18" s="106">
        <f>IF(OR(D18="",E18=""),"",D18+IF(E18="NOTIFICAÇÃO DE CONSTATAÇÃO",PrazoConst,PrazoEsc))</f>
        <v>46158.0</v>
      </c>
      <c r="M18" s="107">
        <f>IF(L18="","",L18-TODAY())</f>
        <v>-145</v>
      </c>
      <c r="N18" s="108" t="str">
        <f>IF(B18="","",IF(G18="DECISÃO D.P","EM DECISÃO",IF(G18="","SEM STATUS",IF(M18="","SEM DATA",IF(M18&lt;0,"VENCIDO",IF(M18&lt;=DiasAlerta,"VENCE EM BREVE","NO PRAZO"))))))</f>
        <v>EM DECISÃO</v>
      </c>
      <c r="O18" s="109">
        <f>IF(D18="","",TODAY()-D18)</f>
        <v>155</v>
      </c>
      <c r="P18" s="102" t="n"/>
    </row>
    <row r="19" ht="18" customHeight="1">
      <c r="A19" s="101" t="n">
        <v>15</v>
      </c>
      <c r="B19" s="102" t="inlineStr">
        <is>
          <t>Supermercado Central Ltda</t>
        </is>
      </c>
      <c r="C19" s="102" t="inlineStr">
        <is>
          <t>SUPERMERCADO</t>
        </is>
      </c>
      <c r="D19" s="103" t="n">
        <v>46149</v>
      </c>
      <c r="E19" s="102" t="inlineStr">
        <is>
          <t>NOTIFICAÇÃO DE ESCLARECIMENTO</t>
        </is>
      </c>
      <c r="F19" s="104" t="inlineStr">
        <is>
          <t>PRESENCIAL</t>
        </is>
      </c>
      <c r="G19" s="104" t="inlineStr">
        <is>
          <t>DECISÃO D.P</t>
        </is>
      </c>
      <c r="H19" s="102" t="inlineStr">
        <is>
          <t>FELIPE ARAÚJO</t>
        </is>
      </c>
      <c r="I19" s="105" t="inlineStr">
        <is>
          <t>0143/2026</t>
        </is>
      </c>
      <c r="J19" s="105" t="inlineStr">
        <is>
          <t>2026.071820/12</t>
        </is>
      </c>
      <c r="K19" s="103" t="n">
        <v>46110</v>
      </c>
      <c r="L19" s="106">
        <f>IF(OR(D19="",E19=""),"",D19+IF(E19="NOTIFICAÇÃO DE CONSTATAÇÃO",PrazoConst,PrazoEsc))</f>
        <v>46164.0</v>
      </c>
      <c r="M19" s="107">
        <f>IF(L19="","",L19-TODAY())</f>
        <v>-139</v>
      </c>
      <c r="N19" s="108" t="str">
        <f>IF(B19="","",IF(G19="DECISÃO D.P","EM DECISÃO",IF(G19="","SEM STATUS",IF(M19="","SEM DATA",IF(M19&lt;0,"VENCIDO",IF(M19&lt;=DiasAlerta,"VENCE EM BREVE","NO PRAZO"))))))</f>
        <v>EM DECISÃO</v>
      </c>
      <c r="O19" s="109">
        <f>IF(D19="","",TODAY()-D19)</f>
        <v>154</v>
      </c>
      <c r="P19" s="102" t="n"/>
    </row>
    <row r="20" ht="18" customHeight="1">
      <c r="A20" s="101" t="n">
        <v>16</v>
      </c>
      <c r="B20" s="102" t="inlineStr">
        <is>
          <t>Escola Vitória</t>
        </is>
      </c>
      <c r="C20" s="102" t="inlineStr">
        <is>
          <t>ESCOLA</t>
        </is>
      </c>
      <c r="D20" s="103" t="n">
        <v>46152</v>
      </c>
      <c r="E20" s="102" t="inlineStr">
        <is>
          <t>NOTIFICAÇÃO DE CONSTATAÇÃO</t>
        </is>
      </c>
      <c r="F20" s="104" t="inlineStr">
        <is>
          <t>ELETRÔNICA</t>
        </is>
      </c>
      <c r="G20" s="104" t="inlineStr">
        <is>
          <t>DECISÃO D.P</t>
        </is>
      </c>
      <c r="H20" s="102" t="inlineStr">
        <is>
          <t>FELIPE ARAÚJO</t>
        </is>
      </c>
      <c r="I20" s="105" t="inlineStr">
        <is>
          <t>0749/2026</t>
        </is>
      </c>
      <c r="J20" s="105" t="inlineStr">
        <is>
          <t>2026.075689/05</t>
        </is>
      </c>
      <c r="K20" s="103" t="n">
        <v>46120</v>
      </c>
      <c r="L20" s="106">
        <f>IF(OR(D20="",E20=""),"",D20+IF(E20="NOTIFICAÇÃO DE CONSTATAÇÃO",PrazoConst,PrazoEsc))</f>
        <v>46162.0</v>
      </c>
      <c r="M20" s="107">
        <f>IF(L20="","",L20-TODAY())</f>
        <v>-141</v>
      </c>
      <c r="N20" s="108" t="str">
        <f>IF(B20="","",IF(G20="DECISÃO D.P","EM DECISÃO",IF(G20="","SEM STATUS",IF(M20="","SEM DATA",IF(M20&lt;0,"VENCIDO",IF(M20&lt;=DiasAlerta,"VENCE EM BREVE","NO PRAZO"))))))</f>
        <v>EM DECISÃO</v>
      </c>
      <c r="O20" s="109">
        <f>IF(D20="","",TODAY()-D20)</f>
        <v>151</v>
      </c>
      <c r="P20" s="102" t="n"/>
    </row>
    <row r="21" ht="18" customHeight="1">
      <c r="A21" s="101" t="n">
        <v>17</v>
      </c>
      <c r="B21" s="102" t="inlineStr">
        <is>
          <t>Conecta Vitória</t>
        </is>
      </c>
      <c r="C21" s="102" t="inlineStr">
        <is>
          <t>TELEFONIA</t>
        </is>
      </c>
      <c r="D21" s="103" t="n">
        <v>46152</v>
      </c>
      <c r="E21" s="102" t="inlineStr">
        <is>
          <t>NOTIFICAÇÃO DE CONSTATAÇÃO</t>
        </is>
      </c>
      <c r="F21" s="104" t="inlineStr">
        <is>
          <t>PRESENCIAL</t>
        </is>
      </c>
      <c r="G21" s="104" t="inlineStr">
        <is>
          <t>DECISÃO D.P</t>
        </is>
      </c>
      <c r="H21" s="102" t="inlineStr">
        <is>
          <t>BRUNO CARVALHO</t>
        </is>
      </c>
      <c r="I21" s="105" t="inlineStr">
        <is>
          <t>0886/2026</t>
        </is>
      </c>
      <c r="J21" s="105" t="inlineStr">
        <is>
          <t>2026.001292/04</t>
        </is>
      </c>
      <c r="K21" s="103" t="n">
        <v>46115</v>
      </c>
      <c r="L21" s="106">
        <f>IF(OR(D21="",E21=""),"",D21+IF(E21="NOTIFICAÇÃO DE CONSTATAÇÃO",PrazoConst,PrazoEsc))</f>
        <v>46162.0</v>
      </c>
      <c r="M21" s="107">
        <f>IF(L21="","",L21-TODAY())</f>
        <v>-141</v>
      </c>
      <c r="N21" s="108" t="str">
        <f>IF(B21="","",IF(G21="DECISÃO D.P","EM DECISÃO",IF(G21="","SEM STATUS",IF(M21="","SEM DATA",IF(M21&lt;0,"VENCIDO",IF(M21&lt;=DiasAlerta,"VENCE EM BREVE","NO PRAZO"))))))</f>
        <v>EM DECISÃO</v>
      </c>
      <c r="O21" s="109">
        <f>IF(D21="","",TODAY()-D21)</f>
        <v>151</v>
      </c>
      <c r="P21" s="102" t="n"/>
    </row>
    <row r="22" ht="18" customHeight="1">
      <c r="A22" s="101" t="n">
        <v>18</v>
      </c>
      <c r="B22" s="102" t="inlineStr">
        <is>
          <t>Hospital Planalto</t>
        </is>
      </c>
      <c r="C22" s="102" t="inlineStr">
        <is>
          <t>SAÚDE</t>
        </is>
      </c>
      <c r="D22" s="103" t="n">
        <v>46155</v>
      </c>
      <c r="E22" s="102" t="inlineStr">
        <is>
          <t>NOTIFICAÇÃO DE CONSTATAÇÃO</t>
        </is>
      </c>
      <c r="F22" s="104" t="inlineStr">
        <is>
          <t>PRESENCIAL</t>
        </is>
      </c>
      <c r="G22" s="104" t="inlineStr">
        <is>
          <t>DECISÃO D.P</t>
        </is>
      </c>
      <c r="H22" s="102" t="inlineStr">
        <is>
          <t>DIEGO RIBEIRO</t>
        </is>
      </c>
      <c r="I22" s="105" t="inlineStr">
        <is>
          <t>0123/2026</t>
        </is>
      </c>
      <c r="J22" s="105" t="inlineStr">
        <is>
          <t>2026.069773/13</t>
        </is>
      </c>
      <c r="K22" s="103" t="n">
        <v>46083</v>
      </c>
      <c r="L22" s="106">
        <f>IF(OR(D22="",E22=""),"",D22+IF(E22="NOTIFICAÇÃO DE CONSTATAÇÃO",PrazoConst,PrazoEsc))</f>
        <v>46165.0</v>
      </c>
      <c r="M22" s="107">
        <f>IF(L22="","",L22-TODAY())</f>
        <v>-138</v>
      </c>
      <c r="N22" s="108" t="str">
        <f>IF(B22="","",IF(G22="DECISÃO D.P","EM DECISÃO",IF(G22="","SEM STATUS",IF(M22="","SEM DATA",IF(M22&lt;0,"VENCIDO",IF(M22&lt;=DiasAlerta,"VENCE EM BREVE","NO PRAZO"))))))</f>
        <v>EM DECISÃO</v>
      </c>
      <c r="O22" s="109">
        <f>IF(D22="","",TODAY()-D22)</f>
        <v>148</v>
      </c>
      <c r="P22" s="102" t="n"/>
    </row>
    <row r="23" ht="18" customHeight="1">
      <c r="A23" s="101" t="n">
        <v>19</v>
      </c>
      <c r="B23" s="102" t="inlineStr">
        <is>
          <t>Clínica Planalto Filial 2</t>
        </is>
      </c>
      <c r="C23" s="102" t="inlineStr">
        <is>
          <t>SAÚDE</t>
        </is>
      </c>
      <c r="D23" s="103" t="n">
        <v>46161</v>
      </c>
      <c r="E23" s="102" t="inlineStr">
        <is>
          <t>NOTIFICAÇÃO DE CONSTATAÇÃO</t>
        </is>
      </c>
      <c r="F23" s="104" t="inlineStr">
        <is>
          <t>ELETRÔNICA</t>
        </is>
      </c>
      <c r="G23" s="104" t="inlineStr">
        <is>
          <t>DECISÃO D.P</t>
        </is>
      </c>
      <c r="H23" s="102" t="inlineStr">
        <is>
          <t>BRUNO CARVALHO</t>
        </is>
      </c>
      <c r="I23" s="105" t="inlineStr">
        <is>
          <t>0453/2026</t>
        </is>
      </c>
      <c r="J23" s="105" t="inlineStr">
        <is>
          <t>2026.087093/12</t>
        </is>
      </c>
      <c r="K23" s="103" t="n">
        <v>46084</v>
      </c>
      <c r="L23" s="106">
        <f>IF(OR(D23="",E23=""),"",D23+IF(E23="NOTIFICAÇÃO DE CONSTATAÇÃO",PrazoConst,PrazoEsc))</f>
        <v>46171.0</v>
      </c>
      <c r="M23" s="107">
        <f>IF(L23="","",L23-TODAY())</f>
        <v>-132</v>
      </c>
      <c r="N23" s="108" t="str">
        <f>IF(B23="","",IF(G23="DECISÃO D.P","EM DECISÃO",IF(G23="","SEM STATUS",IF(M23="","SEM DATA",IF(M23&lt;0,"VENCIDO",IF(M23&lt;=DiasAlerta,"VENCE EM BREVE","NO PRAZO"))))))</f>
        <v>EM DECISÃO</v>
      </c>
      <c r="O23" s="109">
        <f>IF(D23="","",TODAY()-D23)</f>
        <v>142</v>
      </c>
      <c r="P23" s="102" t="n"/>
    </row>
    <row r="24" ht="18" customHeight="1">
      <c r="A24" s="101" t="n">
        <v>20</v>
      </c>
      <c r="B24" s="102" t="inlineStr">
        <is>
          <t>Laboratório Monte Sião Filial 2</t>
        </is>
      </c>
      <c r="C24" s="102" t="inlineStr">
        <is>
          <t>SAÚDE</t>
        </is>
      </c>
      <c r="D24" s="103" t="n">
        <v>46162</v>
      </c>
      <c r="E24" s="102" t="inlineStr">
        <is>
          <t>NOTIFICAÇÃO DE ESCLARECIMENTO</t>
        </is>
      </c>
      <c r="F24" s="104" t="inlineStr">
        <is>
          <t>PRESENCIAL</t>
        </is>
      </c>
      <c r="G24" s="104" t="inlineStr">
        <is>
          <t>DECISÃO D.P</t>
        </is>
      </c>
      <c r="H24" s="102" t="inlineStr">
        <is>
          <t>DIEGO RIBEIRO</t>
        </is>
      </c>
      <c r="I24" s="105" t="inlineStr">
        <is>
          <t>0816/2026</t>
        </is>
      </c>
      <c r="J24" s="105" t="inlineStr">
        <is>
          <t>2026.070508/02</t>
        </is>
      </c>
      <c r="K24" s="103" t="n">
        <v>46090</v>
      </c>
      <c r="L24" s="106">
        <f>IF(OR(D24="",E24=""),"",D24+IF(E24="NOTIFICAÇÃO DE CONSTATAÇÃO",PrazoConst,PrazoEsc))</f>
        <v>46177.0</v>
      </c>
      <c r="M24" s="107">
        <f>IF(L24="","",L24-TODAY())</f>
        <v>-126</v>
      </c>
      <c r="N24" s="108" t="str">
        <f>IF(B24="","",IF(G24="DECISÃO D.P","EM DECISÃO",IF(G24="","SEM STATUS",IF(M24="","SEM DATA",IF(M24&lt;0,"VENCIDO",IF(M24&lt;=DiasAlerta,"VENCE EM BREVE","NO PRAZO"))))))</f>
        <v>EM DECISÃO</v>
      </c>
      <c r="O24" s="109">
        <f>IF(D24="","",TODAY()-D24)</f>
        <v>141</v>
      </c>
      <c r="P24" s="102" t="n"/>
    </row>
    <row r="25" ht="18" customHeight="1">
      <c r="A25" s="101" t="n">
        <v>21</v>
      </c>
      <c r="B25" s="102" t="inlineStr">
        <is>
          <t>Hospital Nova Era Ltda</t>
        </is>
      </c>
      <c r="C25" s="102" t="inlineStr">
        <is>
          <t>SAÚDE</t>
        </is>
      </c>
      <c r="D25" s="103" t="n">
        <v>46163</v>
      </c>
      <c r="E25" s="102" t="inlineStr">
        <is>
          <t>NOTIFICAÇÃO DE ESCLARECIMENTO</t>
        </is>
      </c>
      <c r="F25" s="104" t="inlineStr">
        <is>
          <t>PRESENCIAL</t>
        </is>
      </c>
      <c r="G25" s="104" t="inlineStr">
        <is>
          <t>DECISÃO D.P</t>
        </is>
      </c>
      <c r="H25" s="102" t="inlineStr">
        <is>
          <t>GABRIELA NUNES</t>
        </is>
      </c>
      <c r="I25" s="105" t="inlineStr">
        <is>
          <t>0030/2026</t>
        </is>
      </c>
      <c r="J25" s="105" t="inlineStr">
        <is>
          <t>2026.029958/09</t>
        </is>
      </c>
      <c r="K25" s="103" t="n">
        <v>46120</v>
      </c>
      <c r="L25" s="106">
        <f>IF(OR(D25="",E25=""),"",D25+IF(E25="NOTIFICAÇÃO DE CONSTATAÇÃO",PrazoConst,PrazoEsc))</f>
        <v>46178.0</v>
      </c>
      <c r="M25" s="107">
        <f>IF(L25="","",L25-TODAY())</f>
        <v>-125</v>
      </c>
      <c r="N25" s="108" t="str">
        <f>IF(B25="","",IF(G25="DECISÃO D.P","EM DECISÃO",IF(G25="","SEM STATUS",IF(M25="","SEM DATA",IF(M25&lt;0,"VENCIDO",IF(M25&lt;=DiasAlerta,"VENCE EM BREVE","NO PRAZO"))))))</f>
        <v>EM DECISÃO</v>
      </c>
      <c r="O25" s="109">
        <f>IF(D25="","",TODAY()-D25)</f>
        <v>140</v>
      </c>
      <c r="P25" s="102" t="n"/>
    </row>
    <row r="26" ht="18" customHeight="1">
      <c r="A26" s="101" t="n">
        <v>22</v>
      </c>
      <c r="B26" s="102" t="inlineStr">
        <is>
          <t>Colégio São Jorge</t>
        </is>
      </c>
      <c r="C26" s="102" t="inlineStr">
        <is>
          <t>ESCOLA</t>
        </is>
      </c>
      <c r="D26" s="103" t="n">
        <v>46163</v>
      </c>
      <c r="E26" s="102" t="inlineStr">
        <is>
          <t>NOTIFICAÇÃO DE CONSTATAÇÃO</t>
        </is>
      </c>
      <c r="F26" s="104" t="inlineStr">
        <is>
          <t>ELETRÔNICA</t>
        </is>
      </c>
      <c r="G26" s="104" t="inlineStr">
        <is>
          <t>DECISÃO D.P</t>
        </is>
      </c>
      <c r="H26" s="102" t="inlineStr">
        <is>
          <t>EDUARDA LIMA</t>
        </is>
      </c>
      <c r="I26" s="105" t="inlineStr">
        <is>
          <t>0327/2026</t>
        </is>
      </c>
      <c r="J26" s="105" t="inlineStr">
        <is>
          <t>2026.081601/14</t>
        </is>
      </c>
      <c r="K26" s="103" t="n">
        <v>46104</v>
      </c>
      <c r="L26" s="106">
        <f>IF(OR(D26="",E26=""),"",D26+IF(E26="NOTIFICAÇÃO DE CONSTATAÇÃO",PrazoConst,PrazoEsc))</f>
        <v>46173.0</v>
      </c>
      <c r="M26" s="107">
        <f>IF(L26="","",L26-TODAY())</f>
        <v>-130</v>
      </c>
      <c r="N26" s="108" t="str">
        <f>IF(B26="","",IF(G26="DECISÃO D.P","EM DECISÃO",IF(G26="","SEM STATUS",IF(M26="","SEM DATA",IF(M26&lt;0,"VENCIDO",IF(M26&lt;=DiasAlerta,"VENCE EM BREVE","NO PRAZO"))))))</f>
        <v>EM DECISÃO</v>
      </c>
      <c r="O26" s="109">
        <f>IF(D26="","",TODAY()-D26)</f>
        <v>140</v>
      </c>
      <c r="P26" s="102" t="n"/>
    </row>
    <row r="27" ht="18" customHeight="1">
      <c r="A27" s="101" t="n">
        <v>23</v>
      </c>
      <c r="B27" s="102" t="inlineStr">
        <is>
          <t>Laboratório Vida Plena</t>
        </is>
      </c>
      <c r="C27" s="102" t="inlineStr">
        <is>
          <t>SAÚDE</t>
        </is>
      </c>
      <c r="D27" s="103" t="n">
        <v>46164</v>
      </c>
      <c r="E27" s="102" t="inlineStr">
        <is>
          <t>NOTIFICAÇÃO DE CONSTATAÇÃO</t>
        </is>
      </c>
      <c r="F27" s="104" t="inlineStr">
        <is>
          <t>PRESENCIAL</t>
        </is>
      </c>
      <c r="G27" s="104" t="inlineStr">
        <is>
          <t>DECISÃO D.P</t>
        </is>
      </c>
      <c r="H27" s="102" t="inlineStr">
        <is>
          <t>ANA PAULA SOUZA</t>
        </is>
      </c>
      <c r="I27" s="105" t="inlineStr">
        <is>
          <t>0008/2026</t>
        </is>
      </c>
      <c r="J27" s="105" t="inlineStr">
        <is>
          <t>2026.013406/06</t>
        </is>
      </c>
      <c r="K27" s="103" t="n">
        <v>46152</v>
      </c>
      <c r="L27" s="106">
        <f>IF(OR(D27="",E27=""),"",D27+IF(E27="NOTIFICAÇÃO DE CONSTATAÇÃO",PrazoConst,PrazoEsc))</f>
        <v>46174.0</v>
      </c>
      <c r="M27" s="107">
        <f>IF(L27="","",L27-TODAY())</f>
        <v>-129</v>
      </c>
      <c r="N27" s="108" t="str">
        <f>IF(B27="","",IF(G27="DECISÃO D.P","EM DECISÃO",IF(G27="","SEM STATUS",IF(M27="","SEM DATA",IF(M27&lt;0,"VENCIDO",IF(M27&lt;=DiasAlerta,"VENCE EM BREVE","NO PRAZO"))))))</f>
        <v>EM DECISÃO</v>
      </c>
      <c r="O27" s="109">
        <f>IF(D27="","",TODAY()-D27)</f>
        <v>139</v>
      </c>
      <c r="P27" s="102" t="n"/>
    </row>
    <row r="28" ht="18" customHeight="1">
      <c r="A28" s="101" t="n">
        <v>24</v>
      </c>
      <c r="B28" s="102" t="inlineStr">
        <is>
          <t>Studio Fitness Horizonte</t>
        </is>
      </c>
      <c r="C28" s="102" t="inlineStr">
        <is>
          <t>ACADEMIA</t>
        </is>
      </c>
      <c r="D28" s="103" t="n">
        <v>46166</v>
      </c>
      <c r="E28" s="102" t="inlineStr">
        <is>
          <t>NOTIFICAÇÃO DE CONSTATAÇÃO</t>
        </is>
      </c>
      <c r="F28" s="104" t="inlineStr">
        <is>
          <t>PRESENCIAL</t>
        </is>
      </c>
      <c r="G28" s="104" t="inlineStr">
        <is>
          <t>DECISÃO D.P</t>
        </is>
      </c>
      <c r="H28" s="102" t="inlineStr">
        <is>
          <t>ANA PAULA SOUZA</t>
        </is>
      </c>
      <c r="I28" s="105" t="inlineStr">
        <is>
          <t>0628/2026</t>
        </is>
      </c>
      <c r="J28" s="105" t="inlineStr">
        <is>
          <t>2026.005015/04</t>
        </is>
      </c>
      <c r="K28" s="103" t="n">
        <v>46091</v>
      </c>
      <c r="L28" s="106">
        <f>IF(OR(D28="",E28=""),"",D28+IF(E28="NOTIFICAÇÃO DE CONSTATAÇÃO",PrazoConst,PrazoEsc))</f>
        <v>46176.0</v>
      </c>
      <c r="M28" s="107">
        <f>IF(L28="","",L28-TODAY())</f>
        <v>-127</v>
      </c>
      <c r="N28" s="108" t="str">
        <f>IF(B28="","",IF(G28="DECISÃO D.P","EM DECISÃO",IF(G28="","SEM STATUS",IF(M28="","SEM DATA",IF(M28&lt;0,"VENCIDO",IF(M28&lt;=DiasAlerta,"VENCE EM BREVE","NO PRAZO"))))))</f>
        <v>EM DECISÃO</v>
      </c>
      <c r="O28" s="109">
        <f>IF(D28="","",TODAY()-D28)</f>
        <v>137</v>
      </c>
      <c r="P28" s="102" t="n"/>
    </row>
    <row r="29" ht="18" customHeight="1">
      <c r="A29" s="101" t="n">
        <v>25</v>
      </c>
      <c r="B29" s="102" t="inlineStr">
        <is>
          <t>Supermercado Aliança ME</t>
        </is>
      </c>
      <c r="C29" s="102" t="inlineStr">
        <is>
          <t>SUPERMERCADO</t>
        </is>
      </c>
      <c r="D29" s="103" t="n">
        <v>46168</v>
      </c>
      <c r="E29" s="102" t="inlineStr">
        <is>
          <t>NOTIFICAÇÃO DE CONSTATAÇÃO</t>
        </is>
      </c>
      <c r="F29" s="104" t="inlineStr">
        <is>
          <t>PRESENCIAL</t>
        </is>
      </c>
      <c r="G29" s="104" t="inlineStr">
        <is>
          <t>DECISÃO D.P</t>
        </is>
      </c>
      <c r="H29" s="102" t="inlineStr">
        <is>
          <t>DIEGO RIBEIRO</t>
        </is>
      </c>
      <c r="I29" s="105" t="inlineStr">
        <is>
          <t>0807/2026</t>
        </is>
      </c>
      <c r="J29" s="105" t="inlineStr">
        <is>
          <t>2026.022261/15</t>
        </is>
      </c>
      <c r="K29" s="103" t="n">
        <v>46139</v>
      </c>
      <c r="L29" s="106">
        <f>IF(OR(D29="",E29=""),"",D29+IF(E29="NOTIFICAÇÃO DE CONSTATAÇÃO",PrazoConst,PrazoEsc))</f>
        <v>46178.0</v>
      </c>
      <c r="M29" s="107">
        <f>IF(L29="","",L29-TODAY())</f>
        <v>-125</v>
      </c>
      <c r="N29" s="108" t="str">
        <f>IF(B29="","",IF(G29="DECISÃO D.P","EM DECISÃO",IF(G29="","SEM STATUS",IF(M29="","SEM DATA",IF(M29&lt;0,"VENCIDO",IF(M29&lt;=DiasAlerta,"VENCE EM BREVE","NO PRAZO"))))))</f>
        <v>EM DECISÃO</v>
      </c>
      <c r="O29" s="109">
        <f>IF(D29="","",TODAY()-D29)</f>
        <v>135</v>
      </c>
      <c r="P29" s="102" t="n"/>
    </row>
    <row r="30" ht="18" customHeight="1">
      <c r="A30" s="101" t="n">
        <v>26</v>
      </c>
      <c r="B30" s="102" t="inlineStr">
        <is>
          <t>Concessionária Litoral</t>
        </is>
      </c>
      <c r="C30" s="102" t="inlineStr">
        <is>
          <t>CONCESSIONÁRIA</t>
        </is>
      </c>
      <c r="D30" s="103" t="n">
        <v>46174</v>
      </c>
      <c r="E30" s="102" t="inlineStr">
        <is>
          <t>NOTIFICAÇÃO DE CONSTATAÇÃO</t>
        </is>
      </c>
      <c r="F30" s="104" t="inlineStr">
        <is>
          <t>PRESENCIAL</t>
        </is>
      </c>
      <c r="G30" s="104" t="inlineStr">
        <is>
          <t>DECISÃO D.P</t>
        </is>
      </c>
      <c r="H30" s="102" t="inlineStr">
        <is>
          <t>DIEGO RIBEIRO</t>
        </is>
      </c>
      <c r="I30" s="105" t="inlineStr">
        <is>
          <t>0137/2026</t>
        </is>
      </c>
      <c r="J30" s="105" t="inlineStr">
        <is>
          <t>2026.004709/05</t>
        </is>
      </c>
      <c r="K30" s="103" t="n">
        <v>46156</v>
      </c>
      <c r="L30" s="106">
        <f>IF(OR(D30="",E30=""),"",D30+IF(E30="NOTIFICAÇÃO DE CONSTATAÇÃO",PrazoConst,PrazoEsc))</f>
        <v>46184.0</v>
      </c>
      <c r="M30" s="107">
        <f>IF(L30="","",L30-TODAY())</f>
        <v>-119</v>
      </c>
      <c r="N30" s="108" t="str">
        <f>IF(B30="","",IF(G30="DECISÃO D.P","EM DECISÃO",IF(G30="","SEM STATUS",IF(M30="","SEM DATA",IF(M30&lt;0,"VENCIDO",IF(M30&lt;=DiasAlerta,"VENCE EM BREVE","NO PRAZO"))))))</f>
        <v>EM DECISÃO</v>
      </c>
      <c r="O30" s="109">
        <f>IF(D30="","",TODAY()-D30)</f>
        <v>129</v>
      </c>
      <c r="P30" s="102" t="n"/>
    </row>
    <row r="31" ht="18" customHeight="1">
      <c r="A31" s="101" t="n">
        <v>27</v>
      </c>
      <c r="B31" s="102" t="inlineStr">
        <is>
          <t>Laboratório Vitória</t>
        </is>
      </c>
      <c r="C31" s="102" t="inlineStr">
        <is>
          <t>SAÚDE</t>
        </is>
      </c>
      <c r="D31" s="103" t="n">
        <v>46177</v>
      </c>
      <c r="E31" s="102" t="inlineStr">
        <is>
          <t>NOTIFICAÇÃO DE CONSTATAÇÃO</t>
        </is>
      </c>
      <c r="F31" s="104" t="inlineStr">
        <is>
          <t>ELETRÔNICA</t>
        </is>
      </c>
      <c r="G31" s="104" t="inlineStr">
        <is>
          <t>DECISÃO D.P</t>
        </is>
      </c>
      <c r="H31" s="102" t="inlineStr">
        <is>
          <t>DIEGO RIBEIRO</t>
        </is>
      </c>
      <c r="I31" s="105" t="inlineStr">
        <is>
          <t>0039/2026</t>
        </is>
      </c>
      <c r="J31" s="105" t="inlineStr">
        <is>
          <t>2026.026610/05</t>
        </is>
      </c>
      <c r="K31" s="103" t="n">
        <v>46093</v>
      </c>
      <c r="L31" s="106">
        <f>IF(OR(D31="",E31=""),"",D31+IF(E31="NOTIFICAÇÃO DE CONSTATAÇÃO",PrazoConst,PrazoEsc))</f>
        <v>46187.0</v>
      </c>
      <c r="M31" s="107">
        <f>IF(L31="","",L31-TODAY())</f>
        <v>-116</v>
      </c>
      <c r="N31" s="108" t="str">
        <f>IF(B31="","",IF(G31="DECISÃO D.P","EM DECISÃO",IF(G31="","SEM STATUS",IF(M31="","SEM DATA",IF(M31&lt;0,"VENCIDO",IF(M31&lt;=DiasAlerta,"VENCE EM BREVE","NO PRAZO"))))))</f>
        <v>EM DECISÃO</v>
      </c>
      <c r="O31" s="109">
        <f>IF(D31="","",TODAY()-D31)</f>
        <v>126</v>
      </c>
      <c r="P31" s="102" t="n"/>
    </row>
    <row r="32" ht="18" customHeight="1">
      <c r="A32" s="101" t="n">
        <v>28</v>
      </c>
      <c r="B32" s="102" t="inlineStr">
        <is>
          <t>Posto Monte Sião 24h</t>
        </is>
      </c>
      <c r="C32" s="102" t="inlineStr">
        <is>
          <t>POSTO DE COMBUSTÍVEL</t>
        </is>
      </c>
      <c r="D32" s="103" t="n">
        <v>46190</v>
      </c>
      <c r="E32" s="102" t="inlineStr">
        <is>
          <t>NOTIFICAÇÃO DE ESCLARECIMENTO</t>
        </is>
      </c>
      <c r="F32" s="104" t="inlineStr">
        <is>
          <t>PRESENCIAL</t>
        </is>
      </c>
      <c r="G32" s="104" t="inlineStr">
        <is>
          <t>DECISÃO D.P</t>
        </is>
      </c>
      <c r="H32" s="102" t="inlineStr">
        <is>
          <t>FELIPE ARAÚJO</t>
        </is>
      </c>
      <c r="I32" s="105" t="inlineStr">
        <is>
          <t>0527/2026</t>
        </is>
      </c>
      <c r="J32" s="105" t="inlineStr">
        <is>
          <t>2026.074632/05</t>
        </is>
      </c>
      <c r="K32" s="103" t="n">
        <v>46142</v>
      </c>
      <c r="L32" s="106">
        <f>IF(OR(D32="",E32=""),"",D32+IF(E32="NOTIFICAÇÃO DE CONSTATAÇÃO",PrazoConst,PrazoEsc))</f>
        <v>46205.0</v>
      </c>
      <c r="M32" s="107">
        <f>IF(L32="","",L32-TODAY())</f>
        <v>-98</v>
      </c>
      <c r="N32" s="108" t="str">
        <f>IF(B32="","",IF(G32="DECISÃO D.P","EM DECISÃO",IF(G32="","SEM STATUS",IF(M32="","SEM DATA",IF(M32&lt;0,"VENCIDO",IF(M32&lt;=DiasAlerta,"VENCE EM BREVE","NO PRAZO"))))))</f>
        <v>EM DECISÃO</v>
      </c>
      <c r="O32" s="109">
        <f>IF(D32="","",TODAY()-D32)</f>
        <v>113</v>
      </c>
      <c r="P32" s="102" t="n"/>
    </row>
    <row r="33" ht="18" customHeight="1">
      <c r="A33" s="101" t="n">
        <v>29</v>
      </c>
      <c r="B33" s="102" t="inlineStr">
        <is>
          <t>Financeira Horizonte</t>
        </is>
      </c>
      <c r="C33" s="102" t="inlineStr">
        <is>
          <t>BANCO</t>
        </is>
      </c>
      <c r="D33" s="103" t="n">
        <v>46191</v>
      </c>
      <c r="E33" s="102" t="inlineStr">
        <is>
          <t>NOTIFICAÇÃO DE CONSTATAÇÃO</t>
        </is>
      </c>
      <c r="F33" s="104" t="inlineStr">
        <is>
          <t>PRESENCIAL</t>
        </is>
      </c>
      <c r="G33" s="104" t="inlineStr">
        <is>
          <t>DECISÃO D.P</t>
        </is>
      </c>
      <c r="H33" s="102" t="inlineStr">
        <is>
          <t>CARLA MENDES</t>
        </is>
      </c>
      <c r="I33" s="105" t="inlineStr">
        <is>
          <t>0098/2026</t>
        </is>
      </c>
      <c r="J33" s="105" t="inlineStr">
        <is>
          <t>2026.089893/14</t>
        </is>
      </c>
      <c r="K33" s="103" t="n">
        <v>46123</v>
      </c>
      <c r="L33" s="106">
        <f>IF(OR(D33="",E33=""),"",D33+IF(E33="NOTIFICAÇÃO DE CONSTATAÇÃO",PrazoConst,PrazoEsc))</f>
        <v>46201.0</v>
      </c>
      <c r="M33" s="107">
        <f>IF(L33="","",L33-TODAY())</f>
        <v>-102</v>
      </c>
      <c r="N33" s="108" t="str">
        <f>IF(B33="","",IF(G33="DECISÃO D.P","EM DECISÃO",IF(G33="","SEM STATUS",IF(M33="","SEM DATA",IF(M33&lt;0,"VENCIDO",IF(M33&lt;=DiasAlerta,"VENCE EM BREVE","NO PRAZO"))))))</f>
        <v>EM DECISÃO</v>
      </c>
      <c r="O33" s="109">
        <f>IF(D33="","",TODAY()-D33)</f>
        <v>112</v>
      </c>
      <c r="P33" s="102" t="n"/>
    </row>
    <row r="34" ht="18" customHeight="1">
      <c r="A34" s="101" t="n">
        <v>30</v>
      </c>
      <c r="B34" s="102" t="inlineStr">
        <is>
          <t>Financeira Aliança</t>
        </is>
      </c>
      <c r="C34" s="102" t="inlineStr">
        <is>
          <t>BANCO</t>
        </is>
      </c>
      <c r="D34" s="103" t="n">
        <v>46191</v>
      </c>
      <c r="E34" s="102" t="inlineStr">
        <is>
          <t>NOTIFICAÇÃO DE CONSTATAÇÃO</t>
        </is>
      </c>
      <c r="F34" s="104" t="inlineStr">
        <is>
          <t>ELETRÔNICA</t>
        </is>
      </c>
      <c r="G34" s="104" t="inlineStr">
        <is>
          <t>DECISÃO D.P</t>
        </is>
      </c>
      <c r="H34" s="102" t="inlineStr">
        <is>
          <t>ANA PAULA SOUZA</t>
        </is>
      </c>
      <c r="I34" s="105" t="inlineStr">
        <is>
          <t>0098/2026</t>
        </is>
      </c>
      <c r="J34" s="105" t="inlineStr">
        <is>
          <t>2026.044251/04</t>
        </is>
      </c>
      <c r="K34" s="103" t="n">
        <v>46167</v>
      </c>
      <c r="L34" s="106">
        <f>IF(OR(D34="",E34=""),"",D34+IF(E34="NOTIFICAÇÃO DE CONSTATAÇÃO",PrazoConst,PrazoEsc))</f>
        <v>46201.0</v>
      </c>
      <c r="M34" s="107">
        <f>IF(L34="","",L34-TODAY())</f>
        <v>-102</v>
      </c>
      <c r="N34" s="108" t="str">
        <f>IF(B34="","",IF(G34="DECISÃO D.P","EM DECISÃO",IF(G34="","SEM STATUS",IF(M34="","SEM DATA",IF(M34&lt;0,"VENCIDO",IF(M34&lt;=DiasAlerta,"VENCE EM BREVE","NO PRAZO"))))))</f>
        <v>EM DECISÃO</v>
      </c>
      <c r="O34" s="109">
        <f>IF(D34="","",TODAY()-D34)</f>
        <v>112</v>
      </c>
      <c r="P34" s="102" t="n"/>
    </row>
    <row r="35" ht="18" customHeight="1">
      <c r="A35" s="101" t="n">
        <v>31</v>
      </c>
      <c r="B35" s="102" t="inlineStr">
        <is>
          <t>Studio Fitness Central</t>
        </is>
      </c>
      <c r="C35" s="102" t="inlineStr">
        <is>
          <t>ACADEMIA</t>
        </is>
      </c>
      <c r="D35" s="103" t="n">
        <v>46193</v>
      </c>
      <c r="E35" s="102" t="inlineStr">
        <is>
          <t>NOTIFICAÇÃO DE CONSTATAÇÃO</t>
        </is>
      </c>
      <c r="F35" s="104" t="inlineStr">
        <is>
          <t>PRESENCIAL</t>
        </is>
      </c>
      <c r="G35" s="104" t="inlineStr">
        <is>
          <t>DECISÃO D.P</t>
        </is>
      </c>
      <c r="H35" s="102" t="inlineStr">
        <is>
          <t>BRUNO CARVALHO</t>
        </is>
      </c>
      <c r="I35" s="105" t="inlineStr">
        <is>
          <t>0830/2026</t>
        </is>
      </c>
      <c r="J35" s="105" t="inlineStr">
        <is>
          <t>2026.051489/05</t>
        </is>
      </c>
      <c r="K35" s="103" t="n">
        <v>46180</v>
      </c>
      <c r="L35" s="106">
        <f>IF(OR(D35="",E35=""),"",D35+IF(E35="NOTIFICAÇÃO DE CONSTATAÇÃO",PrazoConst,PrazoEsc))</f>
        <v>46203.0</v>
      </c>
      <c r="M35" s="107">
        <f>IF(L35="","",L35-TODAY())</f>
        <v>-100</v>
      </c>
      <c r="N35" s="108" t="str">
        <f>IF(B35="","",IF(G35="DECISÃO D.P","EM DECISÃO",IF(G35="","SEM STATUS",IF(M35="","SEM DATA",IF(M35&lt;0,"VENCIDO",IF(M35&lt;=DiasAlerta,"VENCE EM BREVE","NO PRAZO"))))))</f>
        <v>EM DECISÃO</v>
      </c>
      <c r="O35" s="109">
        <f>IF(D35="","",TODAY()-D35)</f>
        <v>110</v>
      </c>
      <c r="P35" s="102" t="n"/>
    </row>
    <row r="36" ht="18" customHeight="1">
      <c r="A36" s="101" t="n">
        <v>32</v>
      </c>
      <c r="B36" s="102" t="inlineStr">
        <is>
          <t>Supermercado Planalto Ltda</t>
        </is>
      </c>
      <c r="C36" s="102" t="inlineStr">
        <is>
          <t>SUPERMERCADO</t>
        </is>
      </c>
      <c r="D36" s="103" t="n">
        <v>46200</v>
      </c>
      <c r="E36" s="102" t="inlineStr">
        <is>
          <t>NOTIFICAÇÃO DE ESCLARECIMENTO</t>
        </is>
      </c>
      <c r="F36" s="104" t="inlineStr">
        <is>
          <t>PRESENCIAL</t>
        </is>
      </c>
      <c r="G36" s="104" t="inlineStr">
        <is>
          <t>DECISÃO D.P</t>
        </is>
      </c>
      <c r="H36" s="102" t="inlineStr">
        <is>
          <t>HENRIQUE COSTA</t>
        </is>
      </c>
      <c r="I36" s="105" t="inlineStr">
        <is>
          <t>0394/2026</t>
        </is>
      </c>
      <c r="J36" s="105" t="inlineStr">
        <is>
          <t>2026.070407/08</t>
        </is>
      </c>
      <c r="K36" s="103" t="n">
        <v>46191</v>
      </c>
      <c r="L36" s="106">
        <f>IF(OR(D36="",E36=""),"",D36+IF(E36="NOTIFICAÇÃO DE CONSTATAÇÃO",PrazoConst,PrazoEsc))</f>
        <v>46215.0</v>
      </c>
      <c r="M36" s="107">
        <f>IF(L36="","",L36-TODAY())</f>
        <v>-88</v>
      </c>
      <c r="N36" s="108" t="str">
        <f>IF(B36="","",IF(G36="DECISÃO D.P","EM DECISÃO",IF(G36="","SEM STATUS",IF(M36="","SEM DATA",IF(M36&lt;0,"VENCIDO",IF(M36&lt;=DiasAlerta,"VENCE EM BREVE","NO PRAZO"))))))</f>
        <v>EM DECISÃO</v>
      </c>
      <c r="O36" s="109">
        <f>IF(D36="","",TODAY()-D36)</f>
        <v>103</v>
      </c>
      <c r="P36" s="102" t="n"/>
    </row>
    <row r="37" ht="18" customHeight="1">
      <c r="A37" s="101" t="n">
        <v>33</v>
      </c>
      <c r="B37" s="102" t="inlineStr">
        <is>
          <t>Mercado Vida Plena</t>
        </is>
      </c>
      <c r="C37" s="102" t="inlineStr">
        <is>
          <t>SUPERMERCADO</t>
        </is>
      </c>
      <c r="D37" s="103" t="n">
        <v>46200</v>
      </c>
      <c r="E37" s="102" t="inlineStr">
        <is>
          <t>NOTIFICAÇÃO DE ESCLARECIMENTO</t>
        </is>
      </c>
      <c r="F37" s="104" t="inlineStr">
        <is>
          <t>PRESENCIAL</t>
        </is>
      </c>
      <c r="G37" s="104" t="inlineStr">
        <is>
          <t>DECISÃO D.P</t>
        </is>
      </c>
      <c r="H37" s="102" t="inlineStr">
        <is>
          <t>BRUNO CARVALHO</t>
        </is>
      </c>
      <c r="I37" s="105" t="inlineStr">
        <is>
          <t>0312/2026</t>
        </is>
      </c>
      <c r="J37" s="105" t="inlineStr">
        <is>
          <t>2026.089534/10</t>
        </is>
      </c>
      <c r="K37" s="103" t="n">
        <v>46119</v>
      </c>
      <c r="L37" s="106">
        <f>IF(OR(D37="",E37=""),"",D37+IF(E37="NOTIFICAÇÃO DE CONSTATAÇÃO",PrazoConst,PrazoEsc))</f>
        <v>46215.0</v>
      </c>
      <c r="M37" s="107">
        <f>IF(L37="","",L37-TODAY())</f>
        <v>-88</v>
      </c>
      <c r="N37" s="108" t="str">
        <f>IF(B37="","",IF(G37="DECISÃO D.P","EM DECISÃO",IF(G37="","SEM STATUS",IF(M37="","SEM DATA",IF(M37&lt;0,"VENCIDO",IF(M37&lt;=DiasAlerta,"VENCE EM BREVE","NO PRAZO"))))))</f>
        <v>EM DECISÃO</v>
      </c>
      <c r="O37" s="109">
        <f>IF(D37="","",TODAY()-D37)</f>
        <v>103</v>
      </c>
      <c r="P37" s="102" t="n"/>
    </row>
    <row r="38" ht="18" customHeight="1">
      <c r="A38" s="101" t="n">
        <v>34</v>
      </c>
      <c r="B38" s="102" t="inlineStr">
        <is>
          <t>Farmácia Vitória</t>
        </is>
      </c>
      <c r="C38" s="102" t="inlineStr">
        <is>
          <t>FARMÁCIA</t>
        </is>
      </c>
      <c r="D38" s="103" t="n">
        <v>46201</v>
      </c>
      <c r="E38" s="102" t="inlineStr">
        <is>
          <t>NOTIFICAÇÃO DE CONSTATAÇÃO</t>
        </is>
      </c>
      <c r="F38" s="104" t="inlineStr">
        <is>
          <t>ELETRÔNICA</t>
        </is>
      </c>
      <c r="G38" s="104" t="inlineStr">
        <is>
          <t>DECISÃO D.P</t>
        </is>
      </c>
      <c r="H38" s="102" t="inlineStr">
        <is>
          <t>BRUNO CARVALHO</t>
        </is>
      </c>
      <c r="I38" s="105" t="inlineStr">
        <is>
          <t>0403/2026</t>
        </is>
      </c>
      <c r="J38" s="105" t="inlineStr">
        <is>
          <t>2026.012463/04</t>
        </is>
      </c>
      <c r="K38" s="103" t="n">
        <v>46137</v>
      </c>
      <c r="L38" s="106">
        <f>IF(OR(D38="",E38=""),"",D38+IF(E38="NOTIFICAÇÃO DE CONSTATAÇÃO",PrazoConst,PrazoEsc))</f>
        <v>46211.0</v>
      </c>
      <c r="M38" s="107">
        <f>IF(L38="","",L38-TODAY())</f>
        <v>-92</v>
      </c>
      <c r="N38" s="108" t="str">
        <f>IF(B38="","",IF(G38="DECISÃO D.P","EM DECISÃO",IF(G38="","SEM STATUS",IF(M38="","SEM DATA",IF(M38&lt;0,"VENCIDO",IF(M38&lt;=DiasAlerta,"VENCE EM BREVE","NO PRAZO"))))))</f>
        <v>EM DECISÃO</v>
      </c>
      <c r="O38" s="109">
        <f>IF(D38="","",TODAY()-D38)</f>
        <v>102</v>
      </c>
      <c r="P38" s="102" t="n"/>
    </row>
    <row r="39" ht="18" customHeight="1">
      <c r="A39" s="101" t="n">
        <v>35</v>
      </c>
      <c r="B39" s="102" t="inlineStr">
        <is>
          <t>Boutique Monte Sião ME</t>
        </is>
      </c>
      <c r="C39" s="102" t="inlineStr">
        <is>
          <t>LOJA</t>
        </is>
      </c>
      <c r="D39" s="103" t="n">
        <v>46207</v>
      </c>
      <c r="E39" s="102" t="inlineStr">
        <is>
          <t>NOTIFICAÇÃO DE ESCLARECIMENTO</t>
        </is>
      </c>
      <c r="F39" s="104" t="inlineStr">
        <is>
          <t>ELETRÔNICA</t>
        </is>
      </c>
      <c r="G39" s="104" t="inlineStr">
        <is>
          <t>DECISÃO D.P</t>
        </is>
      </c>
      <c r="H39" s="102" t="inlineStr">
        <is>
          <t>BRUNO CARVALHO</t>
        </is>
      </c>
      <c r="I39" s="105" t="inlineStr">
        <is>
          <t>0649/2026</t>
        </is>
      </c>
      <c r="J39" s="105" t="inlineStr">
        <is>
          <t>2026.099898/12</t>
        </is>
      </c>
      <c r="K39" s="103" t="n">
        <v>46136</v>
      </c>
      <c r="L39" s="106">
        <f>IF(OR(D39="",E39=""),"",D39+IF(E39="NOTIFICAÇÃO DE CONSTATAÇÃO",PrazoConst,PrazoEsc))</f>
        <v>46222.0</v>
      </c>
      <c r="M39" s="107">
        <f>IF(L39="","",L39-TODAY())</f>
        <v>-81</v>
      </c>
      <c r="N39" s="108" t="str">
        <f>IF(B39="","",IF(G39="DECISÃO D.P","EM DECISÃO",IF(G39="","SEM STATUS",IF(M39="","SEM DATA",IF(M39&lt;0,"VENCIDO",IF(M39&lt;=DiasAlerta,"VENCE EM BREVE","NO PRAZO"))))))</f>
        <v>EM DECISÃO</v>
      </c>
      <c r="O39" s="109">
        <f>IF(D39="","",TODAY()-D39)</f>
        <v>96</v>
      </c>
      <c r="P39" s="102" t="n"/>
    </row>
    <row r="40" ht="18" customHeight="1">
      <c r="A40" s="101" t="n">
        <v>36</v>
      </c>
      <c r="B40" s="102" t="inlineStr">
        <is>
          <t>Magazine Primavera</t>
        </is>
      </c>
      <c r="C40" s="102" t="inlineStr">
        <is>
          <t>LOJA</t>
        </is>
      </c>
      <c r="D40" s="103" t="n">
        <v>46207</v>
      </c>
      <c r="E40" s="102" t="inlineStr">
        <is>
          <t>NOTIFICAÇÃO DE CONSTATAÇÃO</t>
        </is>
      </c>
      <c r="F40" s="104" t="inlineStr">
        <is>
          <t>ELETRÔNICA</t>
        </is>
      </c>
      <c r="G40" s="104" t="inlineStr">
        <is>
          <t>DECISÃO D.P</t>
        </is>
      </c>
      <c r="H40" s="102" t="inlineStr">
        <is>
          <t>FELIPE ARAÚJO</t>
        </is>
      </c>
      <c r="I40" s="105" t="inlineStr">
        <is>
          <t>0426/2026</t>
        </is>
      </c>
      <c r="J40" s="105" t="inlineStr">
        <is>
          <t>2026.001756/04</t>
        </is>
      </c>
      <c r="K40" s="103" t="n">
        <v>46151</v>
      </c>
      <c r="L40" s="106">
        <f>IF(OR(D40="",E40=""),"",D40+IF(E40="NOTIFICAÇÃO DE CONSTATAÇÃO",PrazoConst,PrazoEsc))</f>
        <v>46217.0</v>
      </c>
      <c r="M40" s="107">
        <f>IF(L40="","",L40-TODAY())</f>
        <v>-86</v>
      </c>
      <c r="N40" s="108" t="str">
        <f>IF(B40="","",IF(G40="DECISÃO D.P","EM DECISÃO",IF(G40="","SEM STATUS",IF(M40="","SEM DATA",IF(M40&lt;0,"VENCIDO",IF(M40&lt;=DiasAlerta,"VENCE EM BREVE","NO PRAZO"))))))</f>
        <v>EM DECISÃO</v>
      </c>
      <c r="O40" s="109">
        <f>IF(D40="","",TODAY()-D40)</f>
        <v>96</v>
      </c>
      <c r="P40" s="102" t="n"/>
    </row>
    <row r="41" ht="18" customHeight="1">
      <c r="A41" s="101" t="n">
        <v>37</v>
      </c>
      <c r="B41" s="102" t="inlineStr">
        <is>
          <t>Banco Aliança Filial 2</t>
        </is>
      </c>
      <c r="C41" s="102" t="inlineStr">
        <is>
          <t>BANCO</t>
        </is>
      </c>
      <c r="D41" s="103" t="n">
        <v>46210</v>
      </c>
      <c r="E41" s="102" t="inlineStr">
        <is>
          <t>NOTIFICAÇÃO DE CONSTATAÇÃO</t>
        </is>
      </c>
      <c r="F41" s="104" t="inlineStr">
        <is>
          <t>ELETRÔNICA</t>
        </is>
      </c>
      <c r="G41" s="104" t="inlineStr">
        <is>
          <t>DECISÃO D.P</t>
        </is>
      </c>
      <c r="H41" s="102" t="inlineStr">
        <is>
          <t>GABRIELA NUNES</t>
        </is>
      </c>
      <c r="I41" s="105" t="inlineStr">
        <is>
          <t>0659/2026</t>
        </is>
      </c>
      <c r="J41" s="105" t="inlineStr">
        <is>
          <t>2026.050093/02</t>
        </is>
      </c>
      <c r="K41" s="103" t="n">
        <v>46205</v>
      </c>
      <c r="L41" s="106">
        <f>IF(OR(D41="",E41=""),"",D41+IF(E41="NOTIFICAÇÃO DE CONSTATAÇÃO",PrazoConst,PrazoEsc))</f>
        <v>46220.0</v>
      </c>
      <c r="M41" s="107">
        <f>IF(L41="","",L41-TODAY())</f>
        <v>-83</v>
      </c>
      <c r="N41" s="108" t="str">
        <f>IF(B41="","",IF(G41="DECISÃO D.P","EM DECISÃO",IF(G41="","SEM STATUS",IF(M41="","SEM DATA",IF(M41&lt;0,"VENCIDO",IF(M41&lt;=DiasAlerta,"VENCE EM BREVE","NO PRAZO"))))))</f>
        <v>EM DECISÃO</v>
      </c>
      <c r="O41" s="109">
        <f>IF(D41="","",TODAY()-D41)</f>
        <v>93</v>
      </c>
      <c r="P41" s="102" t="n"/>
    </row>
    <row r="42" ht="18" customHeight="1">
      <c r="A42" s="101" t="n">
        <v>38</v>
      </c>
      <c r="B42" s="102" t="inlineStr">
        <is>
          <t>Churrascaria Primavera</t>
        </is>
      </c>
      <c r="C42" s="102" t="inlineStr">
        <is>
          <t>RESTAURANTE</t>
        </is>
      </c>
      <c r="D42" s="103" t="n">
        <v>46211</v>
      </c>
      <c r="E42" s="102" t="inlineStr">
        <is>
          <t>NOTIFICAÇÃO DE ESCLARECIMENTO</t>
        </is>
      </c>
      <c r="F42" s="104" t="inlineStr">
        <is>
          <t>ELETRÔNICA</t>
        </is>
      </c>
      <c r="G42" s="104" t="inlineStr">
        <is>
          <t>DECISÃO D.P</t>
        </is>
      </c>
      <c r="H42" s="102" t="inlineStr">
        <is>
          <t>CARLA MENDES</t>
        </is>
      </c>
      <c r="I42" s="105" t="inlineStr">
        <is>
          <t>0215/2026</t>
        </is>
      </c>
      <c r="J42" s="105" t="inlineStr">
        <is>
          <t>2026.083489/12</t>
        </is>
      </c>
      <c r="K42" s="103" t="n">
        <v>46167</v>
      </c>
      <c r="L42" s="106">
        <f>IF(OR(D42="",E42=""),"",D42+IF(E42="NOTIFICAÇÃO DE CONSTATAÇÃO",PrazoConst,PrazoEsc))</f>
        <v>46226.0</v>
      </c>
      <c r="M42" s="107">
        <f>IF(L42="","",L42-TODAY())</f>
        <v>-77</v>
      </c>
      <c r="N42" s="108" t="str">
        <f>IF(B42="","",IF(G42="DECISÃO D.P","EM DECISÃO",IF(G42="","SEM STATUS",IF(M42="","SEM DATA",IF(M42&lt;0,"VENCIDO",IF(M42&lt;=DiasAlerta,"VENCE EM BREVE","NO PRAZO"))))))</f>
        <v>EM DECISÃO</v>
      </c>
      <c r="O42" s="109">
        <f>IF(D42="","",TODAY()-D42)</f>
        <v>92</v>
      </c>
      <c r="P42" s="102" t="n"/>
    </row>
    <row r="43" ht="18" customHeight="1">
      <c r="A43" s="101" t="n">
        <v>39</v>
      </c>
      <c r="B43" s="102" t="inlineStr">
        <is>
          <t>Supermercado Litoral</t>
        </is>
      </c>
      <c r="C43" s="102" t="inlineStr">
        <is>
          <t>SUPERMERCADO</t>
        </is>
      </c>
      <c r="D43" s="103" t="n">
        <v>46212</v>
      </c>
      <c r="E43" s="102" t="inlineStr">
        <is>
          <t>NOTIFICAÇÃO DE CONSTATAÇÃO</t>
        </is>
      </c>
      <c r="F43" s="104" t="inlineStr">
        <is>
          <t>PRESENCIAL</t>
        </is>
      </c>
      <c r="G43" s="104" t="inlineStr">
        <is>
          <t>DECISÃO D.P</t>
        </is>
      </c>
      <c r="H43" s="102" t="inlineStr">
        <is>
          <t>CARLA MENDES</t>
        </is>
      </c>
      <c r="I43" s="105" t="inlineStr">
        <is>
          <t>0424/2026</t>
        </is>
      </c>
      <c r="J43" s="105" t="inlineStr">
        <is>
          <t>2026.028254/12</t>
        </is>
      </c>
      <c r="K43" s="103" t="n">
        <v>46174</v>
      </c>
      <c r="L43" s="106">
        <f>IF(OR(D43="",E43=""),"",D43+IF(E43="NOTIFICAÇÃO DE CONSTATAÇÃO",PrazoConst,PrazoEsc))</f>
        <v>46222.0</v>
      </c>
      <c r="M43" s="107">
        <f>IF(L43="","",L43-TODAY())</f>
        <v>-81</v>
      </c>
      <c r="N43" s="108" t="str">
        <f>IF(B43="","",IF(G43="DECISÃO D.P","EM DECISÃO",IF(G43="","SEM STATUS",IF(M43="","SEM DATA",IF(M43&lt;0,"VENCIDO",IF(M43&lt;=DiasAlerta,"VENCE EM BREVE","NO PRAZO"))))))</f>
        <v>EM DECISÃO</v>
      </c>
      <c r="O43" s="109">
        <f>IF(D43="","",TODAY()-D43)</f>
        <v>91</v>
      </c>
      <c r="P43" s="102" t="n"/>
    </row>
    <row r="44" ht="18" customHeight="1">
      <c r="A44" s="101" t="n">
        <v>40</v>
      </c>
      <c r="B44" s="102" t="inlineStr">
        <is>
          <t>Auto Center Nova Era</t>
        </is>
      </c>
      <c r="C44" s="102" t="inlineStr">
        <is>
          <t>CONCESSIONÁRIA</t>
        </is>
      </c>
      <c r="D44" s="103" t="n">
        <v>46214</v>
      </c>
      <c r="E44" s="102" t="inlineStr">
        <is>
          <t>NOTIFICAÇÃO DE ESCLARECIMENTO</t>
        </is>
      </c>
      <c r="F44" s="104" t="inlineStr">
        <is>
          <t>PRESENCIAL</t>
        </is>
      </c>
      <c r="G44" s="104" t="inlineStr">
        <is>
          <t>PRAZO D.P</t>
        </is>
      </c>
      <c r="H44" s="102" t="inlineStr">
        <is>
          <t>BRUNO CARVALHO</t>
        </is>
      </c>
      <c r="I44" s="105" t="inlineStr">
        <is>
          <t>0940/2026</t>
        </is>
      </c>
      <c r="J44" s="105" t="inlineStr">
        <is>
          <t>2026.079757/10</t>
        </is>
      </c>
      <c r="K44" s="103" t="n">
        <v>46184</v>
      </c>
      <c r="L44" s="106">
        <f>IF(OR(D44="",E44=""),"",D44+IF(E44="NOTIFICAÇÃO DE CONSTATAÇÃO",PrazoConst,PrazoEsc))</f>
        <v>46229.0</v>
      </c>
      <c r="M44" s="107">
        <f>IF(L44="","",L44-TODAY())</f>
        <v>-74</v>
      </c>
      <c r="N44" s="108" t="str">
        <f>IF(B44="","",IF(G44="DECISÃO D.P","EM DECISÃO",IF(G44="","SEM STATUS",IF(M44="","SEM DATA",IF(M44&lt;0,"VENCIDO",IF(M44&lt;=DiasAlerta,"VENCE EM BREVE","NO PRAZO"))))))</f>
        <v>VENCIDO</v>
      </c>
      <c r="O44" s="109">
        <f>IF(D44="","",TODAY()-D44)</f>
        <v>89</v>
      </c>
      <c r="P44" s="102" t="n"/>
    </row>
    <row r="45" ht="18" customHeight="1">
      <c r="A45" s="101" t="n">
        <v>41</v>
      </c>
      <c r="B45" s="102" t="inlineStr">
        <is>
          <t>Concessionária Nova Era</t>
        </is>
      </c>
      <c r="C45" s="102" t="inlineStr">
        <is>
          <t>CONCESSIONÁRIA</t>
        </is>
      </c>
      <c r="D45" s="103" t="n">
        <v>46215</v>
      </c>
      <c r="E45" s="102" t="inlineStr">
        <is>
          <t>NOTIFICAÇÃO DE CONSTATAÇÃO</t>
        </is>
      </c>
      <c r="F45" s="104" t="inlineStr">
        <is>
          <t>ELETRÔNICA</t>
        </is>
      </c>
      <c r="G45" s="104" t="inlineStr">
        <is>
          <t>DECISÃO D.P</t>
        </is>
      </c>
      <c r="H45" s="102" t="inlineStr">
        <is>
          <t>EDUARDA LIMA</t>
        </is>
      </c>
      <c r="I45" s="105" t="inlineStr">
        <is>
          <t>0352/2026</t>
        </is>
      </c>
      <c r="J45" s="105" t="inlineStr">
        <is>
          <t>2026.042657/10</t>
        </is>
      </c>
      <c r="K45" s="103" t="n">
        <v>46166</v>
      </c>
      <c r="L45" s="106">
        <f>IF(OR(D45="",E45=""),"",D45+IF(E45="NOTIFICAÇÃO DE CONSTATAÇÃO",PrazoConst,PrazoEsc))</f>
        <v>46225.0</v>
      </c>
      <c r="M45" s="107">
        <f>IF(L45="","",L45-TODAY())</f>
        <v>-78</v>
      </c>
      <c r="N45" s="108" t="str">
        <f>IF(B45="","",IF(G45="DECISÃO D.P","EM DECISÃO",IF(G45="","SEM STATUS",IF(M45="","SEM DATA",IF(M45&lt;0,"VENCIDO",IF(M45&lt;=DiasAlerta,"VENCE EM BREVE","NO PRAZO"))))))</f>
        <v>EM DECISÃO</v>
      </c>
      <c r="O45" s="109">
        <f>IF(D45="","",TODAY()-D45)</f>
        <v>88</v>
      </c>
      <c r="P45" s="102" t="n"/>
    </row>
    <row r="46" ht="18" customHeight="1">
      <c r="A46" s="101" t="n">
        <v>42</v>
      </c>
      <c r="B46" s="102" t="inlineStr">
        <is>
          <t>Boutique Aliança</t>
        </is>
      </c>
      <c r="C46" s="102" t="inlineStr">
        <is>
          <t>LOJA</t>
        </is>
      </c>
      <c r="D46" s="103" t="n">
        <v>46219</v>
      </c>
      <c r="E46" s="102" t="inlineStr">
        <is>
          <t>NOTIFICAÇÃO DE ESCLARECIMENTO</t>
        </is>
      </c>
      <c r="F46" s="104" t="inlineStr">
        <is>
          <t>PRESENCIAL</t>
        </is>
      </c>
      <c r="G46" s="104" t="inlineStr">
        <is>
          <t>DECISÃO D.P</t>
        </is>
      </c>
      <c r="H46" s="102" t="inlineStr">
        <is>
          <t>DIEGO RIBEIRO</t>
        </is>
      </c>
      <c r="I46" s="105" t="inlineStr">
        <is>
          <t>0818/2026</t>
        </is>
      </c>
      <c r="J46" s="105" t="inlineStr">
        <is>
          <t>2026.034749/14</t>
        </is>
      </c>
      <c r="K46" s="103" t="n">
        <v>46192</v>
      </c>
      <c r="L46" s="106">
        <f>IF(OR(D46="",E46=""),"",D46+IF(E46="NOTIFICAÇÃO DE CONSTATAÇÃO",PrazoConst,PrazoEsc))</f>
        <v>46234.0</v>
      </c>
      <c r="M46" s="107">
        <f>IF(L46="","",L46-TODAY())</f>
        <v>-69</v>
      </c>
      <c r="N46" s="108" t="str">
        <f>IF(B46="","",IF(G46="DECISÃO D.P","EM DECISÃO",IF(G46="","SEM STATUS",IF(M46="","SEM DATA",IF(M46&lt;0,"VENCIDO",IF(M46&lt;=DiasAlerta,"VENCE EM BREVE","NO PRAZO"))))))</f>
        <v>EM DECISÃO</v>
      </c>
      <c r="O46" s="109">
        <f>IF(D46="","",TODAY()-D46)</f>
        <v>84</v>
      </c>
      <c r="P46" s="102" t="n"/>
    </row>
    <row r="47" ht="18" customHeight="1">
      <c r="A47" s="101" t="n">
        <v>43</v>
      </c>
      <c r="B47" s="102" t="inlineStr">
        <is>
          <t>Farmácia Bom Preço ME</t>
        </is>
      </c>
      <c r="C47" s="102" t="inlineStr">
        <is>
          <t>FARMÁCIA</t>
        </is>
      </c>
      <c r="D47" s="103" t="n">
        <v>46219</v>
      </c>
      <c r="E47" s="102" t="inlineStr">
        <is>
          <t>NOTIFICAÇÃO DE CONSTATAÇÃO</t>
        </is>
      </c>
      <c r="F47" s="104" t="inlineStr">
        <is>
          <t>ELETRÔNICA</t>
        </is>
      </c>
      <c r="G47" s="104" t="inlineStr">
        <is>
          <t>DECISÃO D.P</t>
        </is>
      </c>
      <c r="H47" s="102" t="inlineStr">
        <is>
          <t>DIEGO RIBEIRO</t>
        </is>
      </c>
      <c r="I47" s="105" t="inlineStr">
        <is>
          <t>0383/2026</t>
        </is>
      </c>
      <c r="J47" s="105" t="inlineStr">
        <is>
          <t>2026.072479/02</t>
        </is>
      </c>
      <c r="K47" s="103" t="n">
        <v>46211</v>
      </c>
      <c r="L47" s="106">
        <f>IF(OR(D47="",E47=""),"",D47+IF(E47="NOTIFICAÇÃO DE CONSTATAÇÃO",PrazoConst,PrazoEsc))</f>
        <v>46229.0</v>
      </c>
      <c r="M47" s="107">
        <f>IF(L47="","",L47-TODAY())</f>
        <v>-74</v>
      </c>
      <c r="N47" s="108" t="str">
        <f>IF(B47="","",IF(G47="DECISÃO D.P","EM DECISÃO",IF(G47="","SEM STATUS",IF(M47="","SEM DATA",IF(M47&lt;0,"VENCIDO",IF(M47&lt;=DiasAlerta,"VENCE EM BREVE","NO PRAZO"))))))</f>
        <v>EM DECISÃO</v>
      </c>
      <c r="O47" s="109">
        <f>IF(D47="","",TODAY()-D47)</f>
        <v>84</v>
      </c>
      <c r="P47" s="102" t="n"/>
    </row>
    <row r="48" ht="18" customHeight="1">
      <c r="A48" s="101" t="n">
        <v>44</v>
      </c>
      <c r="B48" s="102" t="inlineStr">
        <is>
          <t>Churrascaria Jardim</t>
        </is>
      </c>
      <c r="C48" s="102" t="inlineStr">
        <is>
          <t>RESTAURANTE</t>
        </is>
      </c>
      <c r="D48" s="103" t="n">
        <v>46220</v>
      </c>
      <c r="E48" s="102" t="inlineStr">
        <is>
          <t>NOTIFICAÇÃO DE CONSTATAÇÃO</t>
        </is>
      </c>
      <c r="F48" s="104" t="inlineStr">
        <is>
          <t>ELETRÔNICA</t>
        </is>
      </c>
      <c r="G48" s="104" t="inlineStr">
        <is>
          <t>DECISÃO D.P</t>
        </is>
      </c>
      <c r="H48" s="102" t="inlineStr">
        <is>
          <t>EDUARDA LIMA</t>
        </is>
      </c>
      <c r="I48" s="105" t="inlineStr">
        <is>
          <t>0965/2026</t>
        </is>
      </c>
      <c r="J48" s="105" t="inlineStr">
        <is>
          <t>2026.043809/01</t>
        </is>
      </c>
      <c r="K48" s="103" t="n">
        <v>46181</v>
      </c>
      <c r="L48" s="106">
        <f>IF(OR(D48="",E48=""),"",D48+IF(E48="NOTIFICAÇÃO DE CONSTATAÇÃO",PrazoConst,PrazoEsc))</f>
        <v>46230.0</v>
      </c>
      <c r="M48" s="107">
        <f>IF(L48="","",L48-TODAY())</f>
        <v>-73</v>
      </c>
      <c r="N48" s="108" t="str">
        <f>IF(B48="","",IF(G48="DECISÃO D.P","EM DECISÃO",IF(G48="","SEM STATUS",IF(M48="","SEM DATA",IF(M48&lt;0,"VENCIDO",IF(M48&lt;=DiasAlerta,"VENCE EM BREVE","NO PRAZO"))))))</f>
        <v>EM DECISÃO</v>
      </c>
      <c r="O48" s="109">
        <f>IF(D48="","",TODAY()-D48)</f>
        <v>83</v>
      </c>
      <c r="P48" s="102" t="n"/>
    </row>
    <row r="49" ht="18" customHeight="1">
      <c r="A49" s="101" t="n">
        <v>45</v>
      </c>
      <c r="B49" s="102" t="inlineStr">
        <is>
          <t>Drogaria Central</t>
        </is>
      </c>
      <c r="C49" s="102" t="inlineStr">
        <is>
          <t>FARMÁCIA</t>
        </is>
      </c>
      <c r="D49" s="103" t="n">
        <v>46223</v>
      </c>
      <c r="E49" s="102" t="inlineStr">
        <is>
          <t>NOTIFICAÇÃO DE CONSTATAÇÃO</t>
        </is>
      </c>
      <c r="F49" s="104" t="inlineStr">
        <is>
          <t>ELETRÔNICA</t>
        </is>
      </c>
      <c r="G49" s="104" t="inlineStr">
        <is>
          <t>DECISÃO D.P</t>
        </is>
      </c>
      <c r="H49" s="102" t="inlineStr">
        <is>
          <t>CARLA MENDES</t>
        </is>
      </c>
      <c r="I49" s="105" t="inlineStr">
        <is>
          <t>0527/2026</t>
        </is>
      </c>
      <c r="J49" s="105" t="inlineStr">
        <is>
          <t>2026.055901/01</t>
        </is>
      </c>
      <c r="K49" s="103" t="n">
        <v>46178</v>
      </c>
      <c r="L49" s="106">
        <f>IF(OR(D49="",E49=""),"",D49+IF(E49="NOTIFICAÇÃO DE CONSTATAÇÃO",PrazoConst,PrazoEsc))</f>
        <v>46233.0</v>
      </c>
      <c r="M49" s="107">
        <f>IF(L49="","",L49-TODAY())</f>
        <v>-70</v>
      </c>
      <c r="N49" s="108" t="str">
        <f>IF(B49="","",IF(G49="DECISÃO D.P","EM DECISÃO",IF(G49="","SEM STATUS",IF(M49="","SEM DATA",IF(M49&lt;0,"VENCIDO",IF(M49&lt;=DiasAlerta,"VENCE EM BREVE","NO PRAZO"))))))</f>
        <v>EM DECISÃO</v>
      </c>
      <c r="O49" s="109">
        <f>IF(D49="","",TODAY()-D49)</f>
        <v>80</v>
      </c>
      <c r="P49" s="102" t="n"/>
    </row>
    <row r="50" ht="18" customHeight="1">
      <c r="A50" s="101" t="n">
        <v>46</v>
      </c>
      <c r="B50" s="102" t="inlineStr">
        <is>
          <t>Loja Ipê Amarelo</t>
        </is>
      </c>
      <c r="C50" s="102" t="inlineStr">
        <is>
          <t>LOJA</t>
        </is>
      </c>
      <c r="D50" s="103" t="n">
        <v>46224</v>
      </c>
      <c r="E50" s="102" t="inlineStr">
        <is>
          <t>NOTIFICAÇÃO DE CONSTATAÇÃO</t>
        </is>
      </c>
      <c r="F50" s="104" t="inlineStr">
        <is>
          <t>ELETRÔNICA</t>
        </is>
      </c>
      <c r="G50" s="104" t="inlineStr">
        <is>
          <t>PRAZO D.P</t>
        </is>
      </c>
      <c r="H50" s="102" t="inlineStr">
        <is>
          <t>BRUNO CARVALHO</t>
        </is>
      </c>
      <c r="I50" s="105" t="inlineStr">
        <is>
          <t>0817/2026</t>
        </is>
      </c>
      <c r="J50" s="105" t="inlineStr">
        <is>
          <t>2026.064663/06</t>
        </is>
      </c>
      <c r="K50" s="103" t="n">
        <v>46149</v>
      </c>
      <c r="L50" s="106">
        <f>IF(OR(D50="",E50=""),"",D50+IF(E50="NOTIFICAÇÃO DE CONSTATAÇÃO",PrazoConst,PrazoEsc))</f>
        <v>46234.0</v>
      </c>
      <c r="M50" s="107">
        <f>IF(L50="","",L50-TODAY())</f>
        <v>-69</v>
      </c>
      <c r="N50" s="108" t="str">
        <f>IF(B50="","",IF(G50="DECISÃO D.P","EM DECISÃO",IF(G50="","SEM STATUS",IF(M50="","SEM DATA",IF(M50&lt;0,"VENCIDO",IF(M50&lt;=DiasAlerta,"VENCE EM BREVE","NO PRAZO"))))))</f>
        <v>VENCIDO</v>
      </c>
      <c r="O50" s="109">
        <f>IF(D50="","",TODAY()-D50)</f>
        <v>79</v>
      </c>
      <c r="P50" s="102" t="n"/>
    </row>
    <row r="51" ht="18" customHeight="1">
      <c r="A51" s="101" t="n">
        <v>47</v>
      </c>
      <c r="B51" s="102" t="inlineStr">
        <is>
          <t>Serviços Primavera</t>
        </is>
      </c>
      <c r="C51" s="102" t="inlineStr">
        <is>
          <t>OUTROS</t>
        </is>
      </c>
      <c r="D51" s="103" t="n">
        <v>46225</v>
      </c>
      <c r="E51" s="102" t="inlineStr">
        <is>
          <t>NOTIFICAÇÃO DE CONSTATAÇÃO</t>
        </is>
      </c>
      <c r="F51" s="104" t="inlineStr">
        <is>
          <t>PRESENCIAL</t>
        </is>
      </c>
      <c r="G51" s="104" t="inlineStr">
        <is>
          <t>PRAZO D.P</t>
        </is>
      </c>
      <c r="H51" s="102" t="inlineStr">
        <is>
          <t>ANA PAULA SOUZA</t>
        </is>
      </c>
      <c r="I51" s="105" t="inlineStr">
        <is>
          <t>0241/2026</t>
        </is>
      </c>
      <c r="J51" s="105" t="inlineStr">
        <is>
          <t>2026.041711/15</t>
        </is>
      </c>
      <c r="K51" s="103" t="n">
        <v>46179</v>
      </c>
      <c r="L51" s="106">
        <f>IF(OR(D51="",E51=""),"",D51+IF(E51="NOTIFICAÇÃO DE CONSTATAÇÃO",PrazoConst,PrazoEsc))</f>
        <v>46235.0</v>
      </c>
      <c r="M51" s="107">
        <f>IF(L51="","",L51-TODAY())</f>
        <v>-68</v>
      </c>
      <c r="N51" s="108" t="str">
        <f>IF(B51="","",IF(G51="DECISÃO D.P","EM DECISÃO",IF(G51="","SEM STATUS",IF(M51="","SEM DATA",IF(M51&lt;0,"VENCIDO",IF(M51&lt;=DiasAlerta,"VENCE EM BREVE","NO PRAZO"))))))</f>
        <v>VENCIDO</v>
      </c>
      <c r="O51" s="109">
        <f>IF(D51="","",TODAY()-D51)</f>
        <v>78</v>
      </c>
      <c r="P51" s="102" t="n"/>
    </row>
    <row r="52" ht="18" customHeight="1">
      <c r="A52" s="101" t="n">
        <v>48</v>
      </c>
      <c r="B52" s="102" t="inlineStr">
        <is>
          <t>Magazine Real</t>
        </is>
      </c>
      <c r="C52" s="102" t="inlineStr">
        <is>
          <t>LOJA</t>
        </is>
      </c>
      <c r="D52" s="103" t="n">
        <v>46228</v>
      </c>
      <c r="E52" s="102" t="inlineStr">
        <is>
          <t>NOTIFICAÇÃO DE ESCLARECIMENTO</t>
        </is>
      </c>
      <c r="F52" s="104" t="inlineStr">
        <is>
          <t>PRESENCIAL</t>
        </is>
      </c>
      <c r="G52" s="104" t="inlineStr">
        <is>
          <t>DECISÃO D.P</t>
        </is>
      </c>
      <c r="H52" s="102" t="inlineStr">
        <is>
          <t>BRUNO CARVALHO</t>
        </is>
      </c>
      <c r="I52" s="105" t="inlineStr">
        <is>
          <t>0775/2026</t>
        </is>
      </c>
      <c r="J52" s="105" t="inlineStr">
        <is>
          <t>2026.053406/05</t>
        </is>
      </c>
      <c r="K52" s="103" t="n">
        <v>46180</v>
      </c>
      <c r="L52" s="106">
        <f>IF(OR(D52="",E52=""),"",D52+IF(E52="NOTIFICAÇÃO DE CONSTATAÇÃO",PrazoConst,PrazoEsc))</f>
        <v>46243.0</v>
      </c>
      <c r="M52" s="107">
        <f>IF(L52="","",L52-TODAY())</f>
        <v>-60</v>
      </c>
      <c r="N52" s="108" t="str">
        <f>IF(B52="","",IF(G52="DECISÃO D.P","EM DECISÃO",IF(G52="","SEM STATUS",IF(M52="","SEM DATA",IF(M52&lt;0,"VENCIDO",IF(M52&lt;=DiasAlerta,"VENCE EM BREVE","NO PRAZO"))))))</f>
        <v>EM DECISÃO</v>
      </c>
      <c r="O52" s="109">
        <f>IF(D52="","",TODAY()-D52)</f>
        <v>75</v>
      </c>
      <c r="P52" s="102" t="n"/>
    </row>
    <row r="53" ht="18" customHeight="1">
      <c r="A53" s="101" t="n">
        <v>49</v>
      </c>
      <c r="B53" s="102" t="inlineStr">
        <is>
          <t>Churrascaria Vitória</t>
        </is>
      </c>
      <c r="C53" s="102" t="inlineStr">
        <is>
          <t>RESTAURANTE</t>
        </is>
      </c>
      <c r="D53" s="103" t="n">
        <v>46231</v>
      </c>
      <c r="E53" s="102" t="inlineStr">
        <is>
          <t>NOTIFICAÇÃO DE CONSTATAÇÃO</t>
        </is>
      </c>
      <c r="F53" s="104" t="inlineStr">
        <is>
          <t>PRESENCIAL</t>
        </is>
      </c>
      <c r="G53" s="104" t="inlineStr">
        <is>
          <t>PRAZO D.P</t>
        </is>
      </c>
      <c r="H53" s="102" t="inlineStr">
        <is>
          <t>DIEGO RIBEIRO</t>
        </is>
      </c>
      <c r="I53" s="105" t="inlineStr">
        <is>
          <t>0811/2026</t>
        </is>
      </c>
      <c r="J53" s="105" t="inlineStr">
        <is>
          <t>2026.034833/13</t>
        </is>
      </c>
      <c r="K53" s="103" t="n">
        <v>46187</v>
      </c>
      <c r="L53" s="106">
        <f>IF(OR(D53="",E53=""),"",D53+IF(E53="NOTIFICAÇÃO DE CONSTATAÇÃO",PrazoConst,PrazoEsc))</f>
        <v>46241.0</v>
      </c>
      <c r="M53" s="107">
        <f>IF(L53="","",L53-TODAY())</f>
        <v>-62</v>
      </c>
      <c r="N53" s="108" t="str">
        <f>IF(B53="","",IF(G53="DECISÃO D.P","EM DECISÃO",IF(G53="","SEM STATUS",IF(M53="","SEM DATA",IF(M53&lt;0,"VENCIDO",IF(M53&lt;=DiasAlerta,"VENCE EM BREVE","NO PRAZO"))))))</f>
        <v>VENCIDO</v>
      </c>
      <c r="O53" s="109">
        <f>IF(D53="","",TODAY()-D53)</f>
        <v>72</v>
      </c>
      <c r="P53" s="102" t="n"/>
    </row>
    <row r="54" ht="18" customHeight="1">
      <c r="A54" s="101" t="n">
        <v>50</v>
      </c>
      <c r="B54" s="102" t="inlineStr">
        <is>
          <t>Hospital Bom Preço</t>
        </is>
      </c>
      <c r="C54" s="102" t="inlineStr">
        <is>
          <t>SAÚDE</t>
        </is>
      </c>
      <c r="D54" s="103" t="n">
        <v>46234</v>
      </c>
      <c r="E54" s="102" t="inlineStr">
        <is>
          <t>NOTIFICAÇÃO DE CONSTATAÇÃO</t>
        </is>
      </c>
      <c r="F54" s="104" t="inlineStr">
        <is>
          <t>PRESENCIAL</t>
        </is>
      </c>
      <c r="G54" s="104" t="inlineStr">
        <is>
          <t>DECISÃO D.P</t>
        </is>
      </c>
      <c r="H54" s="102" t="inlineStr">
        <is>
          <t>ANA PAULA SOUZA</t>
        </is>
      </c>
      <c r="I54" s="105" t="inlineStr">
        <is>
          <t>0382/2026</t>
        </is>
      </c>
      <c r="J54" s="105" t="inlineStr">
        <is>
          <t>2026.090105/08</t>
        </is>
      </c>
      <c r="K54" s="103" t="n">
        <v>46174</v>
      </c>
      <c r="L54" s="106">
        <f>IF(OR(D54="",E54=""),"",D54+IF(E54="NOTIFICAÇÃO DE CONSTATAÇÃO",PrazoConst,PrazoEsc))</f>
        <v>46244.0</v>
      </c>
      <c r="M54" s="107">
        <f>IF(L54="","",L54-TODAY())</f>
        <v>-59</v>
      </c>
      <c r="N54" s="108" t="str">
        <f>IF(B54="","",IF(G54="DECISÃO D.P","EM DECISÃO",IF(G54="","SEM STATUS",IF(M54="","SEM DATA",IF(M54&lt;0,"VENCIDO",IF(M54&lt;=DiasAlerta,"VENCE EM BREVE","NO PRAZO"))))))</f>
        <v>EM DECISÃO</v>
      </c>
      <c r="O54" s="109">
        <f>IF(D54="","",TODAY()-D54)</f>
        <v>69</v>
      </c>
      <c r="P54" s="102" t="n"/>
    </row>
    <row r="55" ht="18" customHeight="1">
      <c r="A55" s="101" t="n">
        <v>51</v>
      </c>
      <c r="B55" s="102" t="inlineStr">
        <is>
          <t>Boutique Vitória</t>
        </is>
      </c>
      <c r="C55" s="102" t="inlineStr">
        <is>
          <t>LOJA</t>
        </is>
      </c>
      <c r="D55" s="103" t="n">
        <v>46235</v>
      </c>
      <c r="E55" s="102" t="inlineStr">
        <is>
          <t>NOTIFICAÇÃO DE CONSTATAÇÃO</t>
        </is>
      </c>
      <c r="F55" s="104" t="inlineStr">
        <is>
          <t>PRESENCIAL</t>
        </is>
      </c>
      <c r="G55" s="104" t="inlineStr">
        <is>
          <t>DECISÃO D.P</t>
        </is>
      </c>
      <c r="H55" s="102" t="inlineStr">
        <is>
          <t>BRUNO CARVALHO</t>
        </is>
      </c>
      <c r="I55" s="105" t="inlineStr">
        <is>
          <t>0491/2026</t>
        </is>
      </c>
      <c r="J55" s="105" t="inlineStr">
        <is>
          <t>2026.035578/06</t>
        </is>
      </c>
      <c r="K55" s="103" t="n">
        <v>46177</v>
      </c>
      <c r="L55" s="106">
        <f>IF(OR(D55="",E55=""),"",D55+IF(E55="NOTIFICAÇÃO DE CONSTATAÇÃO",PrazoConst,PrazoEsc))</f>
        <v>46245.0</v>
      </c>
      <c r="M55" s="107">
        <f>IF(L55="","",L55-TODAY())</f>
        <v>-58</v>
      </c>
      <c r="N55" s="108" t="str">
        <f>IF(B55="","",IF(G55="DECISÃO D.P","EM DECISÃO",IF(G55="","SEM STATUS",IF(M55="","SEM DATA",IF(M55&lt;0,"VENCIDO",IF(M55&lt;=DiasAlerta,"VENCE EM BREVE","NO PRAZO"))))))</f>
        <v>EM DECISÃO</v>
      </c>
      <c r="O55" s="109">
        <f>IF(D55="","",TODAY()-D55)</f>
        <v>68</v>
      </c>
      <c r="P55" s="102" t="n"/>
    </row>
    <row r="56" ht="18" customHeight="1">
      <c r="A56" s="101" t="n">
        <v>52</v>
      </c>
      <c r="B56" s="102" t="inlineStr">
        <is>
          <t>Supermercado Ipê Amarelo Ltda</t>
        </is>
      </c>
      <c r="C56" s="102" t="inlineStr">
        <is>
          <t>SUPERMERCADO</t>
        </is>
      </c>
      <c r="D56" s="103" t="n">
        <v>46236</v>
      </c>
      <c r="E56" s="102" t="inlineStr">
        <is>
          <t>NOTIFICAÇÃO DE CONSTATAÇÃO</t>
        </is>
      </c>
      <c r="F56" s="104" t="inlineStr">
        <is>
          <t>ELETRÔNICA</t>
        </is>
      </c>
      <c r="G56" s="104" t="inlineStr">
        <is>
          <t>DECISÃO D.P</t>
        </is>
      </c>
      <c r="H56" s="102" t="inlineStr">
        <is>
          <t>ANA PAULA SOUZA</t>
        </is>
      </c>
      <c r="I56" s="105" t="inlineStr">
        <is>
          <t>0073/2026</t>
        </is>
      </c>
      <c r="J56" s="105" t="inlineStr">
        <is>
          <t>2026.069264/02</t>
        </is>
      </c>
      <c r="K56" s="103" t="n">
        <v>46154</v>
      </c>
      <c r="L56" s="106">
        <f>IF(OR(D56="",E56=""),"",D56+IF(E56="NOTIFICAÇÃO DE CONSTATAÇÃO",PrazoConst,PrazoEsc))</f>
        <v>46246.0</v>
      </c>
      <c r="M56" s="107">
        <f>IF(L56="","",L56-TODAY())</f>
        <v>-57</v>
      </c>
      <c r="N56" s="108" t="str">
        <f>IF(B56="","",IF(G56="DECISÃO D.P","EM DECISÃO",IF(G56="","SEM STATUS",IF(M56="","SEM DATA",IF(M56&lt;0,"VENCIDO",IF(M56&lt;=DiasAlerta,"VENCE EM BREVE","NO PRAZO"))))))</f>
        <v>EM DECISÃO</v>
      </c>
      <c r="O56" s="109">
        <f>IF(D56="","",TODAY()-D56)</f>
        <v>67</v>
      </c>
      <c r="P56" s="102" t="n"/>
    </row>
    <row r="57" ht="18" customHeight="1">
      <c r="A57" s="101" t="n">
        <v>53</v>
      </c>
      <c r="B57" s="102" t="inlineStr">
        <is>
          <t>Supermercado Avenida</t>
        </is>
      </c>
      <c r="C57" s="102" t="inlineStr">
        <is>
          <t>SUPERMERCADO</t>
        </is>
      </c>
      <c r="D57" s="103" t="n">
        <v>46237</v>
      </c>
      <c r="E57" s="102" t="inlineStr">
        <is>
          <t>NOTIFICAÇÃO DE ESCLARECIMENTO</t>
        </is>
      </c>
      <c r="F57" s="104" t="inlineStr">
        <is>
          <t>PRESENCIAL</t>
        </is>
      </c>
      <c r="G57" s="104" t="inlineStr">
        <is>
          <t>PRAZO D.P</t>
        </is>
      </c>
      <c r="H57" s="102" t="inlineStr">
        <is>
          <t>BRUNO CARVALHO</t>
        </is>
      </c>
      <c r="I57" s="105" t="inlineStr">
        <is>
          <t>0599/2026</t>
        </is>
      </c>
      <c r="J57" s="105" t="inlineStr">
        <is>
          <t>2026.047691/14</t>
        </is>
      </c>
      <c r="K57" s="103" t="n">
        <v>46184</v>
      </c>
      <c r="L57" s="106">
        <f>IF(OR(D57="",E57=""),"",D57+IF(E57="NOTIFICAÇÃO DE CONSTATAÇÃO",PrazoConst,PrazoEsc))</f>
        <v>46252.0</v>
      </c>
      <c r="M57" s="107">
        <f>IF(L57="","",L57-TODAY())</f>
        <v>-51</v>
      </c>
      <c r="N57" s="108" t="str">
        <f>IF(B57="","",IF(G57="DECISÃO D.P","EM DECISÃO",IF(G57="","SEM STATUS",IF(M57="","SEM DATA",IF(M57&lt;0,"VENCIDO",IF(M57&lt;=DiasAlerta,"VENCE EM BREVE","NO PRAZO"))))))</f>
        <v>VENCIDO</v>
      </c>
      <c r="O57" s="109">
        <f>IF(D57="","",TODAY()-D57)</f>
        <v>66</v>
      </c>
      <c r="P57" s="102" t="n"/>
    </row>
    <row r="58" ht="18" customHeight="1">
      <c r="A58" s="101" t="n">
        <v>54</v>
      </c>
      <c r="B58" s="102" t="inlineStr">
        <is>
          <t>Churrascaria Boa Esperança Filial 2</t>
        </is>
      </c>
      <c r="C58" s="102" t="inlineStr">
        <is>
          <t>RESTAURANTE</t>
        </is>
      </c>
      <c r="D58" s="103" t="n">
        <v>46237</v>
      </c>
      <c r="E58" s="102" t="inlineStr">
        <is>
          <t>NOTIFICAÇÃO DE CONSTATAÇÃO</t>
        </is>
      </c>
      <c r="F58" s="104" t="inlineStr">
        <is>
          <t>PRESENCIAL</t>
        </is>
      </c>
      <c r="G58" s="104" t="inlineStr">
        <is>
          <t>DECISÃO D.P</t>
        </is>
      </c>
      <c r="H58" s="102" t="inlineStr">
        <is>
          <t>CARLA MENDES</t>
        </is>
      </c>
      <c r="I58" s="105" t="inlineStr">
        <is>
          <t>0478/2026</t>
        </is>
      </c>
      <c r="J58" s="105" t="inlineStr">
        <is>
          <t>2026.080061/01</t>
        </is>
      </c>
      <c r="K58" s="103" t="n">
        <v>46227</v>
      </c>
      <c r="L58" s="106">
        <f>IF(OR(D58="",E58=""),"",D58+IF(E58="NOTIFICAÇÃO DE CONSTATAÇÃO",PrazoConst,PrazoEsc))</f>
        <v>46247.0</v>
      </c>
      <c r="M58" s="107">
        <f>IF(L58="","",L58-TODAY())</f>
        <v>-56</v>
      </c>
      <c r="N58" s="108" t="str">
        <f>IF(B58="","",IF(G58="DECISÃO D.P","EM DECISÃO",IF(G58="","SEM STATUS",IF(M58="","SEM DATA",IF(M58&lt;0,"VENCIDO",IF(M58&lt;=DiasAlerta,"VENCE EM BREVE","NO PRAZO"))))))</f>
        <v>EM DECISÃO</v>
      </c>
      <c r="O58" s="109">
        <f>IF(D58="","",TODAY()-D58)</f>
        <v>66</v>
      </c>
      <c r="P58" s="102" t="n"/>
    </row>
    <row r="59" ht="18" customHeight="1">
      <c r="A59" s="101" t="n">
        <v>55</v>
      </c>
      <c r="B59" s="102" t="inlineStr">
        <is>
          <t>Magazine Vitória</t>
        </is>
      </c>
      <c r="C59" s="102" t="inlineStr">
        <is>
          <t>LOJA</t>
        </is>
      </c>
      <c r="D59" s="103" t="n">
        <v>46242</v>
      </c>
      <c r="E59" s="102" t="inlineStr">
        <is>
          <t>NOTIFICAÇÃO DE ESCLARECIMENTO</t>
        </is>
      </c>
      <c r="F59" s="104" t="inlineStr">
        <is>
          <t>ELETRÔNICA</t>
        </is>
      </c>
      <c r="G59" s="104" t="inlineStr">
        <is>
          <t>DECISÃO D.P</t>
        </is>
      </c>
      <c r="H59" s="102" t="inlineStr">
        <is>
          <t>HENRIQUE COSTA</t>
        </is>
      </c>
      <c r="I59" s="105" t="inlineStr">
        <is>
          <t>0646/2026</t>
        </is>
      </c>
      <c r="J59" s="105" t="inlineStr">
        <is>
          <t>2026.025904/11</t>
        </is>
      </c>
      <c r="K59" s="103" t="n">
        <v>46233</v>
      </c>
      <c r="L59" s="106">
        <f>IF(OR(D59="",E59=""),"",D59+IF(E59="NOTIFICAÇÃO DE CONSTATAÇÃO",PrazoConst,PrazoEsc))</f>
        <v>46257.0</v>
      </c>
      <c r="M59" s="107">
        <f>IF(L59="","",L59-TODAY())</f>
        <v>-46</v>
      </c>
      <c r="N59" s="108" t="str">
        <f>IF(B59="","",IF(G59="DECISÃO D.P","EM DECISÃO",IF(G59="","SEM STATUS",IF(M59="","SEM DATA",IF(M59&lt;0,"VENCIDO",IF(M59&lt;=DiasAlerta,"VENCE EM BREVE","NO PRAZO"))))))</f>
        <v>EM DECISÃO</v>
      </c>
      <c r="O59" s="109">
        <f>IF(D59="","",TODAY()-D59)</f>
        <v>61</v>
      </c>
      <c r="P59" s="102" t="n"/>
    </row>
    <row r="60" ht="18" customHeight="1">
      <c r="A60" s="101" t="n">
        <v>56</v>
      </c>
      <c r="B60" s="102" t="inlineStr">
        <is>
          <t>Concessionária Vitória</t>
        </is>
      </c>
      <c r="C60" s="102" t="inlineStr">
        <is>
          <t>CONCESSIONÁRIA</t>
        </is>
      </c>
      <c r="D60" s="103" t="n">
        <v>46244</v>
      </c>
      <c r="E60" s="102" t="inlineStr">
        <is>
          <t>NOTIFICAÇÃO DE CONSTATAÇÃO</t>
        </is>
      </c>
      <c r="F60" s="104" t="inlineStr">
        <is>
          <t>PRESENCIAL</t>
        </is>
      </c>
      <c r="G60" s="104" t="inlineStr">
        <is>
          <t>DECISÃO D.P</t>
        </is>
      </c>
      <c r="H60" s="102" t="inlineStr">
        <is>
          <t>DIEGO RIBEIRO</t>
        </is>
      </c>
      <c r="I60" s="105" t="inlineStr">
        <is>
          <t>0486/2026</t>
        </is>
      </c>
      <c r="J60" s="105" t="inlineStr">
        <is>
          <t>2026.041919/04</t>
        </is>
      </c>
      <c r="K60" s="103" t="n">
        <v>46165</v>
      </c>
      <c r="L60" s="106">
        <f>IF(OR(D60="",E60=""),"",D60+IF(E60="NOTIFICAÇÃO DE CONSTATAÇÃO",PrazoConst,PrazoEsc))</f>
        <v>46254.0</v>
      </c>
      <c r="M60" s="107">
        <f>IF(L60="","",L60-TODAY())</f>
        <v>-49</v>
      </c>
      <c r="N60" s="108" t="str">
        <f>IF(B60="","",IF(G60="DECISÃO D.P","EM DECISÃO",IF(G60="","SEM STATUS",IF(M60="","SEM DATA",IF(M60&lt;0,"VENCIDO",IF(M60&lt;=DiasAlerta,"VENCE EM BREVE","NO PRAZO"))))))</f>
        <v>EM DECISÃO</v>
      </c>
      <c r="O60" s="109">
        <f>IF(D60="","",TODAY()-D60)</f>
        <v>59</v>
      </c>
      <c r="P60" s="102" t="n"/>
    </row>
    <row r="61" ht="18" customHeight="1">
      <c r="A61" s="101" t="n">
        <v>57</v>
      </c>
      <c r="B61" s="102" t="inlineStr">
        <is>
          <t>Restaurante Avenida</t>
        </is>
      </c>
      <c r="C61" s="102" t="inlineStr">
        <is>
          <t>RESTAURANTE</t>
        </is>
      </c>
      <c r="D61" s="103" t="n">
        <v>46246</v>
      </c>
      <c r="E61" s="102" t="inlineStr">
        <is>
          <t>NOTIFICAÇÃO DE ESCLARECIMENTO</t>
        </is>
      </c>
      <c r="F61" s="104" t="inlineStr">
        <is>
          <t>ELETRÔNICA</t>
        </is>
      </c>
      <c r="G61" s="104" t="inlineStr">
        <is>
          <t>DECISÃO D.P</t>
        </is>
      </c>
      <c r="H61" s="102" t="inlineStr">
        <is>
          <t>DIEGO RIBEIRO</t>
        </is>
      </c>
      <c r="I61" s="105" t="inlineStr">
        <is>
          <t>0259/2026</t>
        </is>
      </c>
      <c r="J61" s="105" t="inlineStr">
        <is>
          <t>2026.044779/10</t>
        </is>
      </c>
      <c r="K61" s="103" t="n">
        <v>46225</v>
      </c>
      <c r="L61" s="106">
        <f>IF(OR(D61="",E61=""),"",D61+IF(E61="NOTIFICAÇÃO DE CONSTATAÇÃO",PrazoConst,PrazoEsc))</f>
        <v>46261.0</v>
      </c>
      <c r="M61" s="107">
        <f>IF(L61="","",L61-TODAY())</f>
        <v>-42</v>
      </c>
      <c r="N61" s="108" t="str">
        <f>IF(B61="","",IF(G61="DECISÃO D.P","EM DECISÃO",IF(G61="","SEM STATUS",IF(M61="","SEM DATA",IF(M61&lt;0,"VENCIDO",IF(M61&lt;=DiasAlerta,"VENCE EM BREVE","NO PRAZO"))))))</f>
        <v>EM DECISÃO</v>
      </c>
      <c r="O61" s="109">
        <f>IF(D61="","",TODAY()-D61)</f>
        <v>57</v>
      </c>
      <c r="P61" s="102" t="n"/>
    </row>
    <row r="62" ht="18" customHeight="1">
      <c r="A62" s="101" t="n">
        <v>58</v>
      </c>
      <c r="B62" s="102" t="inlineStr">
        <is>
          <t>Magazine Ipê Amarelo</t>
        </is>
      </c>
      <c r="C62" s="102" t="inlineStr">
        <is>
          <t>LOJA</t>
        </is>
      </c>
      <c r="D62" s="103" t="n">
        <v>46248</v>
      </c>
      <c r="E62" s="102" t="inlineStr">
        <is>
          <t>NOTIFICAÇÃO DE ESCLARECIMENTO</t>
        </is>
      </c>
      <c r="F62" s="104" t="inlineStr">
        <is>
          <t>PRESENCIAL</t>
        </is>
      </c>
      <c r="G62" s="104" t="inlineStr">
        <is>
          <t>DECISÃO D.P</t>
        </is>
      </c>
      <c r="H62" s="102" t="inlineStr">
        <is>
          <t>EDUARDA LIMA</t>
        </is>
      </c>
      <c r="I62" s="105" t="inlineStr">
        <is>
          <t>0240/2026</t>
        </is>
      </c>
      <c r="J62" s="105" t="inlineStr">
        <is>
          <t>2026.019804/09</t>
        </is>
      </c>
      <c r="K62" s="103" t="n">
        <v>46201</v>
      </c>
      <c r="L62" s="106">
        <f>IF(OR(D62="",E62=""),"",D62+IF(E62="NOTIFICAÇÃO DE CONSTATAÇÃO",PrazoConst,PrazoEsc))</f>
        <v>46263.0</v>
      </c>
      <c r="M62" s="107">
        <f>IF(L62="","",L62-TODAY())</f>
        <v>-40</v>
      </c>
      <c r="N62" s="108" t="str">
        <f>IF(B62="","",IF(G62="DECISÃO D.P","EM DECISÃO",IF(G62="","SEM STATUS",IF(M62="","SEM DATA",IF(M62&lt;0,"VENCIDO",IF(M62&lt;=DiasAlerta,"VENCE EM BREVE","NO PRAZO"))))))</f>
        <v>EM DECISÃO</v>
      </c>
      <c r="O62" s="109">
        <f>IF(D62="","",TODAY()-D62)</f>
        <v>55</v>
      </c>
      <c r="P62" s="102" t="n"/>
    </row>
    <row r="63" ht="18" customHeight="1">
      <c r="A63" s="101" t="n">
        <v>59</v>
      </c>
      <c r="B63" s="102" t="inlineStr">
        <is>
          <t>Financeira São Jorge</t>
        </is>
      </c>
      <c r="C63" s="102" t="inlineStr">
        <is>
          <t>BANCO</t>
        </is>
      </c>
      <c r="D63" s="103" t="n">
        <v>46249</v>
      </c>
      <c r="E63" s="102" t="inlineStr">
        <is>
          <t>NOTIFICAÇÃO DE ESCLARECIMENTO</t>
        </is>
      </c>
      <c r="F63" s="104" t="inlineStr">
        <is>
          <t>ELETRÔNICA</t>
        </is>
      </c>
      <c r="G63" s="104" t="inlineStr">
        <is>
          <t>DECISÃO D.P</t>
        </is>
      </c>
      <c r="H63" s="102" t="inlineStr">
        <is>
          <t>CARLA MENDES</t>
        </is>
      </c>
      <c r="I63" s="105" t="inlineStr">
        <is>
          <t>0891/2026</t>
        </is>
      </c>
      <c r="J63" s="105" t="inlineStr">
        <is>
          <t>2026.022805/09</t>
        </is>
      </c>
      <c r="K63" s="103" t="n">
        <v>46178</v>
      </c>
      <c r="L63" s="106">
        <f>IF(OR(D63="",E63=""),"",D63+IF(E63="NOTIFICAÇÃO DE CONSTATAÇÃO",PrazoConst,PrazoEsc))</f>
        <v>46264.0</v>
      </c>
      <c r="M63" s="107">
        <f>IF(L63="","",L63-TODAY())</f>
        <v>-39</v>
      </c>
      <c r="N63" s="108" t="str">
        <f>IF(B63="","",IF(G63="DECISÃO D.P","EM DECISÃO",IF(G63="","SEM STATUS",IF(M63="","SEM DATA",IF(M63&lt;0,"VENCIDO",IF(M63&lt;=DiasAlerta,"VENCE EM BREVE","NO PRAZO"))))))</f>
        <v>EM DECISÃO</v>
      </c>
      <c r="O63" s="109">
        <f>IF(D63="","",TODAY()-D63)</f>
        <v>54</v>
      </c>
      <c r="P63" s="102" t="n"/>
    </row>
    <row r="64" ht="18" customHeight="1">
      <c r="A64" s="101" t="n">
        <v>60</v>
      </c>
      <c r="B64" s="102" t="inlineStr">
        <is>
          <t>Banco Jardim</t>
        </is>
      </c>
      <c r="C64" s="102" t="inlineStr">
        <is>
          <t>BANCO</t>
        </is>
      </c>
      <c r="D64" s="103" t="n">
        <v>46256</v>
      </c>
      <c r="E64" s="102" t="inlineStr">
        <is>
          <t>NOTIFICAÇÃO DE ESCLARECIMENTO</t>
        </is>
      </c>
      <c r="F64" s="104" t="inlineStr">
        <is>
          <t>PRESENCIAL</t>
        </is>
      </c>
      <c r="G64" s="104" t="inlineStr">
        <is>
          <t>DECISÃO D.P</t>
        </is>
      </c>
      <c r="H64" s="102" t="inlineStr">
        <is>
          <t>DIEGO RIBEIRO</t>
        </is>
      </c>
      <c r="I64" s="105" t="inlineStr">
        <is>
          <t>0331/2026</t>
        </is>
      </c>
      <c r="J64" s="105" t="inlineStr">
        <is>
          <t>2026.065643/07</t>
        </is>
      </c>
      <c r="K64" s="103" t="n">
        <v>46167</v>
      </c>
      <c r="L64" s="106">
        <f>IF(OR(D64="",E64=""),"",D64+IF(E64="NOTIFICAÇÃO DE CONSTATAÇÃO",PrazoConst,PrazoEsc))</f>
        <v>46271.0</v>
      </c>
      <c r="M64" s="107">
        <f>IF(L64="","",L64-TODAY())</f>
        <v>-32</v>
      </c>
      <c r="N64" s="108" t="str">
        <f>IF(B64="","",IF(G64="DECISÃO D.P","EM DECISÃO",IF(G64="","SEM STATUS",IF(M64="","SEM DATA",IF(M64&lt;0,"VENCIDO",IF(M64&lt;=DiasAlerta,"VENCE EM BREVE","NO PRAZO"))))))</f>
        <v>EM DECISÃO</v>
      </c>
      <c r="O64" s="109">
        <f>IF(D64="","",TODAY()-D64)</f>
        <v>47</v>
      </c>
      <c r="P64" s="102" t="n"/>
    </row>
    <row r="65" ht="18" customHeight="1">
      <c r="A65" s="101" t="n">
        <v>61</v>
      </c>
      <c r="B65" s="102" t="inlineStr">
        <is>
          <t>Laboratório Bela Vista</t>
        </is>
      </c>
      <c r="C65" s="102" t="inlineStr">
        <is>
          <t>SAÚDE</t>
        </is>
      </c>
      <c r="D65" s="103" t="n">
        <v>46260</v>
      </c>
      <c r="E65" s="102" t="inlineStr">
        <is>
          <t>NOTIFICAÇÃO DE CONSTATAÇÃO</t>
        </is>
      </c>
      <c r="F65" s="104" t="inlineStr">
        <is>
          <t>PRESENCIAL</t>
        </is>
      </c>
      <c r="G65" s="104" t="inlineStr">
        <is>
          <t>DECISÃO D.P</t>
        </is>
      </c>
      <c r="H65" s="102" t="inlineStr">
        <is>
          <t>ANA PAULA SOUZA</t>
        </is>
      </c>
      <c r="I65" s="105" t="inlineStr">
        <is>
          <t>0764/2026</t>
        </is>
      </c>
      <c r="J65" s="105" t="inlineStr">
        <is>
          <t>2026.093703/06</t>
        </is>
      </c>
      <c r="K65" s="103" t="n">
        <v>46204</v>
      </c>
      <c r="L65" s="106">
        <f>IF(OR(D65="",E65=""),"",D65+IF(E65="NOTIFICAÇÃO DE CONSTATAÇÃO",PrazoConst,PrazoEsc))</f>
        <v>46270.0</v>
      </c>
      <c r="M65" s="107">
        <f>IF(L65="","",L65-TODAY())</f>
        <v>-33</v>
      </c>
      <c r="N65" s="108" t="str">
        <f>IF(B65="","",IF(G65="DECISÃO D.P","EM DECISÃO",IF(G65="","SEM STATUS",IF(M65="","SEM DATA",IF(M65&lt;0,"VENCIDO",IF(M65&lt;=DiasAlerta,"VENCE EM BREVE","NO PRAZO"))))))</f>
        <v>EM DECISÃO</v>
      </c>
      <c r="O65" s="109">
        <f>IF(D65="","",TODAY()-D65)</f>
        <v>43</v>
      </c>
      <c r="P65" s="102" t="n"/>
    </row>
    <row r="66" ht="18" customHeight="1">
      <c r="A66" s="101" t="n">
        <v>62</v>
      </c>
      <c r="B66" s="102" t="inlineStr">
        <is>
          <t>Farmácia Real</t>
        </is>
      </c>
      <c r="C66" s="102" t="inlineStr">
        <is>
          <t>FARMÁCIA</t>
        </is>
      </c>
      <c r="D66" s="103" t="n">
        <v>46264</v>
      </c>
      <c r="E66" s="102" t="inlineStr">
        <is>
          <t>NOTIFICAÇÃO DE CONSTATAÇÃO</t>
        </is>
      </c>
      <c r="F66" s="104" t="inlineStr">
        <is>
          <t>ELETRÔNICA</t>
        </is>
      </c>
      <c r="G66" s="104" t="inlineStr">
        <is>
          <t>PRAZO D.P</t>
        </is>
      </c>
      <c r="H66" s="102" t="inlineStr">
        <is>
          <t>EDUARDA LIMA</t>
        </is>
      </c>
      <c r="I66" s="105" t="inlineStr">
        <is>
          <t>0882/2026</t>
        </is>
      </c>
      <c r="J66" s="105" t="inlineStr">
        <is>
          <t>2026.090312/15</t>
        </is>
      </c>
      <c r="K66" s="103" t="n">
        <v>46195</v>
      </c>
      <c r="L66" s="106">
        <f>IF(OR(D66="",E66=""),"",D66+IF(E66="NOTIFICAÇÃO DE CONSTATAÇÃO",PrazoConst,PrazoEsc))</f>
        <v>46274.0</v>
      </c>
      <c r="M66" s="107">
        <f>IF(L66="","",L66-TODAY())</f>
        <v>-29</v>
      </c>
      <c r="N66" s="108" t="str">
        <f>IF(B66="","",IF(G66="DECISÃO D.P","EM DECISÃO",IF(G66="","SEM STATUS",IF(M66="","SEM DATA",IF(M66&lt;0,"VENCIDO",IF(M66&lt;=DiasAlerta,"VENCE EM BREVE","NO PRAZO"))))))</f>
        <v>VENCIDO</v>
      </c>
      <c r="O66" s="109">
        <f>IF(D66="","",TODAY()-D66)</f>
        <v>39</v>
      </c>
      <c r="P66" s="102" t="n"/>
    </row>
    <row r="67" ht="18" customHeight="1">
      <c r="A67" s="101" t="n">
        <v>63</v>
      </c>
      <c r="B67" s="102" t="inlineStr">
        <is>
          <t>Studio Fitness Vida Plena</t>
        </is>
      </c>
      <c r="C67" s="102" t="inlineStr">
        <is>
          <t>ACADEMIA</t>
        </is>
      </c>
      <c r="D67" s="103" t="n">
        <v>46264</v>
      </c>
      <c r="E67" s="102" t="inlineStr">
        <is>
          <t>NOTIFICAÇÃO DE CONSTATAÇÃO</t>
        </is>
      </c>
      <c r="F67" s="104" t="inlineStr">
        <is>
          <t>ELETRÔNICA</t>
        </is>
      </c>
      <c r="G67" s="104" t="inlineStr">
        <is>
          <t>DECISÃO D.P</t>
        </is>
      </c>
      <c r="H67" s="102" t="inlineStr">
        <is>
          <t>EDUARDA LIMA</t>
        </is>
      </c>
      <c r="I67" s="105" t="inlineStr">
        <is>
          <t>0705/2026</t>
        </is>
      </c>
      <c r="J67" s="105" t="inlineStr">
        <is>
          <t>2026.016092/03</t>
        </is>
      </c>
      <c r="K67" s="103" t="n">
        <v>46239</v>
      </c>
      <c r="L67" s="106">
        <f>IF(OR(D67="",E67=""),"",D67+IF(E67="NOTIFICAÇÃO DE CONSTATAÇÃO",PrazoConst,PrazoEsc))</f>
        <v>46274.0</v>
      </c>
      <c r="M67" s="107">
        <f>IF(L67="","",L67-TODAY())</f>
        <v>-29</v>
      </c>
      <c r="N67" s="108" t="str">
        <f>IF(B67="","",IF(G67="DECISÃO D.P","EM DECISÃO",IF(G67="","SEM STATUS",IF(M67="","SEM DATA",IF(M67&lt;0,"VENCIDO",IF(M67&lt;=DiasAlerta,"VENCE EM BREVE","NO PRAZO"))))))</f>
        <v>EM DECISÃO</v>
      </c>
      <c r="O67" s="109">
        <f>IF(D67="","",TODAY()-D67)</f>
        <v>39</v>
      </c>
      <c r="P67" s="102" t="n"/>
    </row>
    <row r="68" ht="18" customHeight="1">
      <c r="A68" s="101" t="n">
        <v>64</v>
      </c>
      <c r="B68" s="102" t="inlineStr">
        <is>
          <t>Academia Vitória</t>
        </is>
      </c>
      <c r="C68" s="102" t="inlineStr">
        <is>
          <t>ACADEMIA</t>
        </is>
      </c>
      <c r="D68" s="103" t="n">
        <v>46266</v>
      </c>
      <c r="E68" s="102" t="inlineStr">
        <is>
          <t>NOTIFICAÇÃO DE CONSTATAÇÃO</t>
        </is>
      </c>
      <c r="F68" s="104" t="inlineStr">
        <is>
          <t>ELETRÔNICA</t>
        </is>
      </c>
      <c r="G68" s="104" t="inlineStr">
        <is>
          <t>DECISÃO D.P</t>
        </is>
      </c>
      <c r="H68" s="102" t="inlineStr">
        <is>
          <t>ANA PAULA SOUZA</t>
        </is>
      </c>
      <c r="I68" s="105" t="inlineStr">
        <is>
          <t>0039/2026</t>
        </is>
      </c>
      <c r="J68" s="105" t="inlineStr">
        <is>
          <t>2026.069496/06</t>
        </is>
      </c>
      <c r="K68" s="103" t="n">
        <v>46245</v>
      </c>
      <c r="L68" s="106">
        <f>IF(OR(D68="",E68=""),"",D68+IF(E68="NOTIFICAÇÃO DE CONSTATAÇÃO",PrazoConst,PrazoEsc))</f>
        <v>46276.0</v>
      </c>
      <c r="M68" s="107">
        <f>IF(L68="","",L68-TODAY())</f>
        <v>-27</v>
      </c>
      <c r="N68" s="108" t="str">
        <f>IF(B68="","",IF(G68="DECISÃO D.P","EM DECISÃO",IF(G68="","SEM STATUS",IF(M68="","SEM DATA",IF(M68&lt;0,"VENCIDO",IF(M68&lt;=DiasAlerta,"VENCE EM BREVE","NO PRAZO"))))))</f>
        <v>EM DECISÃO</v>
      </c>
      <c r="O68" s="109">
        <f>IF(D68="","",TODAY()-D68)</f>
        <v>37</v>
      </c>
      <c r="P68" s="102" t="n"/>
    </row>
    <row r="69" ht="18" customHeight="1">
      <c r="A69" s="101" t="n">
        <v>65</v>
      </c>
      <c r="B69" s="102" t="inlineStr">
        <is>
          <t>Churrascaria Estrela</t>
        </is>
      </c>
      <c r="C69" s="102" t="inlineStr">
        <is>
          <t>RESTAURANTE</t>
        </is>
      </c>
      <c r="D69" s="103" t="n">
        <v>46270</v>
      </c>
      <c r="E69" s="102" t="inlineStr">
        <is>
          <t>NOTIFICAÇÃO DE CONSTATAÇÃO</t>
        </is>
      </c>
      <c r="F69" s="104" t="inlineStr">
        <is>
          <t>PRESENCIAL</t>
        </is>
      </c>
      <c r="G69" s="104" t="inlineStr">
        <is>
          <t>DECISÃO D.P</t>
        </is>
      </c>
      <c r="H69" s="102" t="inlineStr">
        <is>
          <t>EDUARDA LIMA</t>
        </is>
      </c>
      <c r="I69" s="105" t="inlineStr">
        <is>
          <t>0483/2026</t>
        </is>
      </c>
      <c r="J69" s="105" t="inlineStr">
        <is>
          <t>2026.010346/15</t>
        </is>
      </c>
      <c r="K69" s="103" t="n">
        <v>46232</v>
      </c>
      <c r="L69" s="106">
        <f>IF(OR(D69="",E69=""),"",D69+IF(E69="NOTIFICAÇÃO DE CONSTATAÇÃO",PrazoConst,PrazoEsc))</f>
        <v>46280.0</v>
      </c>
      <c r="M69" s="107">
        <f>IF(L69="","",L69-TODAY())</f>
        <v>-23</v>
      </c>
      <c r="N69" s="108" t="str">
        <f>IF(B69="","",IF(G69="DECISÃO D.P","EM DECISÃO",IF(G69="","SEM STATUS",IF(M69="","SEM DATA",IF(M69&lt;0,"VENCIDO",IF(M69&lt;=DiasAlerta,"VENCE EM BREVE","NO PRAZO"))))))</f>
        <v>EM DECISÃO</v>
      </c>
      <c r="O69" s="109">
        <f>IF(D69="","",TODAY()-D69)</f>
        <v>33</v>
      </c>
      <c r="P69" s="102" t="n"/>
    </row>
    <row r="70" ht="18" customHeight="1">
      <c r="A70" s="101" t="n">
        <v>66</v>
      </c>
      <c r="B70" s="102" t="inlineStr">
        <is>
          <t>Churrascaria Ipê Amarelo</t>
        </is>
      </c>
      <c r="C70" s="102" t="inlineStr">
        <is>
          <t>RESTAURANTE</t>
        </is>
      </c>
      <c r="D70" s="103" t="n">
        <v>46271</v>
      </c>
      <c r="E70" s="102" t="inlineStr">
        <is>
          <t>NOTIFICAÇÃO DE CONSTATAÇÃO</t>
        </is>
      </c>
      <c r="F70" s="104" t="inlineStr">
        <is>
          <t>ELETRÔNICA</t>
        </is>
      </c>
      <c r="G70" s="104" t="inlineStr">
        <is>
          <t>DECISÃO D.P</t>
        </is>
      </c>
      <c r="H70" s="102" t="inlineStr">
        <is>
          <t>CARLA MENDES</t>
        </is>
      </c>
      <c r="I70" s="105" t="inlineStr">
        <is>
          <t>0854/2026</t>
        </is>
      </c>
      <c r="J70" s="105" t="inlineStr">
        <is>
          <t>2026.032604/04</t>
        </is>
      </c>
      <c r="K70" s="103" t="n">
        <v>46245</v>
      </c>
      <c r="L70" s="106">
        <f>IF(OR(D70="",E70=""),"",D70+IF(E70="NOTIFICAÇÃO DE CONSTATAÇÃO",PrazoConst,PrazoEsc))</f>
        <v>46281.0</v>
      </c>
      <c r="M70" s="107">
        <f>IF(L70="","",L70-TODAY())</f>
        <v>-22</v>
      </c>
      <c r="N70" s="108" t="str">
        <f>IF(B70="","",IF(G70="DECISÃO D.P","EM DECISÃO",IF(G70="","SEM STATUS",IF(M70="","SEM DATA",IF(M70&lt;0,"VENCIDO",IF(M70&lt;=DiasAlerta,"VENCE EM BREVE","NO PRAZO"))))))</f>
        <v>EM DECISÃO</v>
      </c>
      <c r="O70" s="109">
        <f>IF(D70="","",TODAY()-D70)</f>
        <v>32</v>
      </c>
      <c r="P70" s="102" t="n"/>
    </row>
    <row r="71" ht="18" customHeight="1">
      <c r="A71" s="101" t="n">
        <v>67</v>
      </c>
      <c r="B71" s="102" t="inlineStr">
        <is>
          <t>Posto Real Filial 2</t>
        </is>
      </c>
      <c r="C71" s="102" t="inlineStr">
        <is>
          <t>POSTO DE COMBUSTÍVEL</t>
        </is>
      </c>
      <c r="D71" s="103" t="n">
        <v>46271</v>
      </c>
      <c r="E71" s="102" t="inlineStr">
        <is>
          <t>NOTIFICAÇÃO DE CONSTATAÇÃO</t>
        </is>
      </c>
      <c r="F71" s="104" t="inlineStr">
        <is>
          <t>PRESENCIAL</t>
        </is>
      </c>
      <c r="G71" s="104" t="inlineStr">
        <is>
          <t>DECISÃO D.P</t>
        </is>
      </c>
      <c r="H71" s="102" t="inlineStr">
        <is>
          <t>EDUARDA LIMA</t>
        </is>
      </c>
      <c r="I71" s="105" t="inlineStr">
        <is>
          <t>0405/2026</t>
        </is>
      </c>
      <c r="J71" s="105" t="inlineStr">
        <is>
          <t>2026.081795/09</t>
        </is>
      </c>
      <c r="K71" s="103" t="n">
        <v>46240</v>
      </c>
      <c r="L71" s="106">
        <f>IF(OR(D71="",E71=""),"",D71+IF(E71="NOTIFICAÇÃO DE CONSTATAÇÃO",PrazoConst,PrazoEsc))</f>
        <v>46281.0</v>
      </c>
      <c r="M71" s="107">
        <f>IF(L71="","",L71-TODAY())</f>
        <v>-22</v>
      </c>
      <c r="N71" s="108" t="str">
        <f>IF(B71="","",IF(G71="DECISÃO D.P","EM DECISÃO",IF(G71="","SEM STATUS",IF(M71="","SEM DATA",IF(M71&lt;0,"VENCIDO",IF(M71&lt;=DiasAlerta,"VENCE EM BREVE","NO PRAZO"))))))</f>
        <v>EM DECISÃO</v>
      </c>
      <c r="O71" s="109">
        <f>IF(D71="","",TODAY()-D71)</f>
        <v>32</v>
      </c>
      <c r="P71" s="102" t="n"/>
    </row>
    <row r="72" ht="18" customHeight="1">
      <c r="A72" s="101" t="n">
        <v>68</v>
      </c>
      <c r="B72" s="102" t="inlineStr">
        <is>
          <t>Telecom Aliança ME</t>
        </is>
      </c>
      <c r="C72" s="102" t="inlineStr">
        <is>
          <t>TELEFONIA</t>
        </is>
      </c>
      <c r="D72" s="103" t="n">
        <v>46272</v>
      </c>
      <c r="E72" s="102" t="inlineStr">
        <is>
          <t>NOTIFICAÇÃO DE ESCLARECIMENTO</t>
        </is>
      </c>
      <c r="F72" s="104" t="inlineStr">
        <is>
          <t>PRESENCIAL</t>
        </is>
      </c>
      <c r="G72" s="104" t="inlineStr">
        <is>
          <t>DECISÃO D.P</t>
        </is>
      </c>
      <c r="H72" s="102" t="inlineStr">
        <is>
          <t>CARLA MENDES</t>
        </is>
      </c>
      <c r="I72" s="105" t="inlineStr">
        <is>
          <t>0081/2026</t>
        </is>
      </c>
      <c r="J72" s="105" t="inlineStr">
        <is>
          <t>2026.040965/03</t>
        </is>
      </c>
      <c r="K72" s="103" t="n">
        <v>46218</v>
      </c>
      <c r="L72" s="106">
        <f>IF(OR(D72="",E72=""),"",D72+IF(E72="NOTIFICAÇÃO DE CONSTATAÇÃO",PrazoConst,PrazoEsc))</f>
        <v>46287.0</v>
      </c>
      <c r="M72" s="107">
        <f>IF(L72="","",L72-TODAY())</f>
        <v>-16</v>
      </c>
      <c r="N72" s="108" t="str">
        <f>IF(B72="","",IF(G72="DECISÃO D.P","EM DECISÃO",IF(G72="","SEM STATUS",IF(M72="","SEM DATA",IF(M72&lt;0,"VENCIDO",IF(M72&lt;=DiasAlerta,"VENCE EM BREVE","NO PRAZO"))))))</f>
        <v>EM DECISÃO</v>
      </c>
      <c r="O72" s="109">
        <f>IF(D72="","",TODAY()-D72)</f>
        <v>31</v>
      </c>
      <c r="P72" s="102" t="n"/>
    </row>
    <row r="73" ht="18" customHeight="1">
      <c r="A73" s="101" t="n">
        <v>69</v>
      </c>
      <c r="B73" s="102" t="inlineStr">
        <is>
          <t>Restaurante Vida Plena</t>
        </is>
      </c>
      <c r="C73" s="102" t="inlineStr">
        <is>
          <t>RESTAURANTE</t>
        </is>
      </c>
      <c r="D73" s="103" t="n">
        <v>46273</v>
      </c>
      <c r="E73" s="102" t="inlineStr">
        <is>
          <t>NOTIFICAÇÃO DE CONSTATAÇÃO</t>
        </is>
      </c>
      <c r="F73" s="104" t="inlineStr">
        <is>
          <t>ELETRÔNICA</t>
        </is>
      </c>
      <c r="G73" s="104" t="inlineStr">
        <is>
          <t>DECISÃO D.P</t>
        </is>
      </c>
      <c r="H73" s="102" t="inlineStr">
        <is>
          <t>HENRIQUE COSTA</t>
        </is>
      </c>
      <c r="I73" s="105" t="inlineStr">
        <is>
          <t>0815/2026</t>
        </is>
      </c>
      <c r="J73" s="105" t="inlineStr">
        <is>
          <t>2026.099774/03</t>
        </is>
      </c>
      <c r="K73" s="103" t="n">
        <v>46214</v>
      </c>
      <c r="L73" s="106">
        <f>IF(OR(D73="",E73=""),"",D73+IF(E73="NOTIFICAÇÃO DE CONSTATAÇÃO",PrazoConst,PrazoEsc))</f>
        <v>46283.0</v>
      </c>
      <c r="M73" s="107">
        <f>IF(L73="","",L73-TODAY())</f>
        <v>-20</v>
      </c>
      <c r="N73" s="108" t="str">
        <f>IF(B73="","",IF(G73="DECISÃO D.P","EM DECISÃO",IF(G73="","SEM STATUS",IF(M73="","SEM DATA",IF(M73&lt;0,"VENCIDO",IF(M73&lt;=DiasAlerta,"VENCE EM BREVE","NO PRAZO"))))))</f>
        <v>EM DECISÃO</v>
      </c>
      <c r="O73" s="109">
        <f>IF(D73="","",TODAY()-D73)</f>
        <v>30</v>
      </c>
      <c r="P73" s="102" t="n"/>
    </row>
    <row r="74" ht="18" customHeight="1">
      <c r="A74" s="101" t="n">
        <v>70</v>
      </c>
      <c r="B74" s="102" t="inlineStr">
        <is>
          <t>Churrascaria Bela Vista</t>
        </is>
      </c>
      <c r="C74" s="102" t="inlineStr">
        <is>
          <t>RESTAURANTE</t>
        </is>
      </c>
      <c r="D74" s="103" t="n">
        <v>46276</v>
      </c>
      <c r="E74" s="102" t="inlineStr">
        <is>
          <t>NOTIFICAÇÃO DE CONSTATAÇÃO</t>
        </is>
      </c>
      <c r="F74" s="104" t="inlineStr">
        <is>
          <t>PRESENCIAL</t>
        </is>
      </c>
      <c r="G74" s="104" t="inlineStr">
        <is>
          <t>DECISÃO D.P</t>
        </is>
      </c>
      <c r="H74" s="102" t="inlineStr">
        <is>
          <t>EDUARDA LIMA</t>
        </is>
      </c>
      <c r="I74" s="105" t="inlineStr">
        <is>
          <t>0794/2026</t>
        </is>
      </c>
      <c r="J74" s="105" t="inlineStr">
        <is>
          <t>2026.025047/09</t>
        </is>
      </c>
      <c r="K74" s="103" t="n">
        <v>46255</v>
      </c>
      <c r="L74" s="106">
        <f>IF(OR(D74="",E74=""),"",D74+IF(E74="NOTIFICAÇÃO DE CONSTATAÇÃO",PrazoConst,PrazoEsc))</f>
        <v>46286.0</v>
      </c>
      <c r="M74" s="107">
        <f>IF(L74="","",L74-TODAY())</f>
        <v>-17</v>
      </c>
      <c r="N74" s="108" t="str">
        <f>IF(B74="","",IF(G74="DECISÃO D.P","EM DECISÃO",IF(G74="","SEM STATUS",IF(M74="","SEM DATA",IF(M74&lt;0,"VENCIDO",IF(M74&lt;=DiasAlerta,"VENCE EM BREVE","NO PRAZO"))))))</f>
        <v>EM DECISÃO</v>
      </c>
      <c r="O74" s="109">
        <f>IF(D74="","",TODAY()-D74)</f>
        <v>27</v>
      </c>
      <c r="P74" s="102" t="n"/>
    </row>
    <row r="75" ht="18" customHeight="1">
      <c r="A75" s="101" t="n">
        <v>71</v>
      </c>
      <c r="B75" s="102" t="inlineStr">
        <is>
          <t>Clínica Vitória ME</t>
        </is>
      </c>
      <c r="C75" s="102" t="inlineStr">
        <is>
          <t>SAÚDE</t>
        </is>
      </c>
      <c r="D75" s="103" t="n">
        <v>46276</v>
      </c>
      <c r="E75" s="102" t="inlineStr">
        <is>
          <t>NOTIFICAÇÃO DE ESCLARECIMENTO</t>
        </is>
      </c>
      <c r="F75" s="104" t="inlineStr">
        <is>
          <t>PRESENCIAL</t>
        </is>
      </c>
      <c r="G75" s="104" t="inlineStr">
        <is>
          <t>PRAZO D.P</t>
        </is>
      </c>
      <c r="H75" s="102" t="inlineStr">
        <is>
          <t>EDUARDA LIMA</t>
        </is>
      </c>
      <c r="I75" s="105" t="inlineStr">
        <is>
          <t>0391/2026</t>
        </is>
      </c>
      <c r="J75" s="105" t="inlineStr">
        <is>
          <t>2026.081865/05</t>
        </is>
      </c>
      <c r="K75" s="103" t="n">
        <v>46238</v>
      </c>
      <c r="L75" s="106">
        <f>IF(OR(D75="",E75=""),"",D75+IF(E75="NOTIFICAÇÃO DE CONSTATAÇÃO",PrazoConst,PrazoEsc))</f>
        <v>46291.0</v>
      </c>
      <c r="M75" s="107">
        <f>IF(L75="","",L75-TODAY())</f>
        <v>-12</v>
      </c>
      <c r="N75" s="108" t="str">
        <f>IF(B75="","",IF(G75="DECISÃO D.P","EM DECISÃO",IF(G75="","SEM STATUS",IF(M75="","SEM DATA",IF(M75&lt;0,"VENCIDO",IF(M75&lt;=DiasAlerta,"VENCE EM BREVE","NO PRAZO"))))))</f>
        <v>VENCIDO</v>
      </c>
      <c r="O75" s="109">
        <f>IF(D75="","",TODAY()-D75)</f>
        <v>27</v>
      </c>
      <c r="P75" s="102" t="n"/>
    </row>
    <row r="76" ht="18" customHeight="1">
      <c r="A76" s="101" t="n">
        <v>72</v>
      </c>
      <c r="B76" s="102" t="inlineStr">
        <is>
          <t>Churrascaria Jardim</t>
        </is>
      </c>
      <c r="C76" s="102" t="inlineStr">
        <is>
          <t>RESTAURANTE</t>
        </is>
      </c>
      <c r="D76" s="103" t="n">
        <v>46277</v>
      </c>
      <c r="E76" s="102" t="inlineStr">
        <is>
          <t>NOTIFICAÇÃO DE CONSTATAÇÃO</t>
        </is>
      </c>
      <c r="F76" s="104" t="inlineStr">
        <is>
          <t>ELETRÔNICA</t>
        </is>
      </c>
      <c r="G76" s="104" t="inlineStr">
        <is>
          <t>DECISÃO D.P</t>
        </is>
      </c>
      <c r="H76" s="102" t="inlineStr">
        <is>
          <t>CARLA MENDES</t>
        </is>
      </c>
      <c r="I76" s="105" t="inlineStr">
        <is>
          <t>0600/2026</t>
        </is>
      </c>
      <c r="J76" s="105" t="inlineStr">
        <is>
          <t>2026.011819/02</t>
        </is>
      </c>
      <c r="K76" s="103" t="n">
        <v>46228</v>
      </c>
      <c r="L76" s="106">
        <f>IF(OR(D76="",E76=""),"",D76+IF(E76="NOTIFICAÇÃO DE CONSTATAÇÃO",PrazoConst,PrazoEsc))</f>
        <v>46287.0</v>
      </c>
      <c r="M76" s="107">
        <f>IF(L76="","",L76-TODAY())</f>
        <v>-16</v>
      </c>
      <c r="N76" s="108" t="str">
        <f>IF(B76="","",IF(G76="DECISÃO D.P","EM DECISÃO",IF(G76="","SEM STATUS",IF(M76="","SEM DATA",IF(M76&lt;0,"VENCIDO",IF(M76&lt;=DiasAlerta,"VENCE EM BREVE","NO PRAZO"))))))</f>
        <v>EM DECISÃO</v>
      </c>
      <c r="O76" s="109">
        <f>IF(D76="","",TODAY()-D76)</f>
        <v>26</v>
      </c>
      <c r="P76" s="102" t="n"/>
    </row>
    <row r="77" ht="18" customHeight="1">
      <c r="A77" s="101" t="n">
        <v>73</v>
      </c>
      <c r="B77" s="102" t="inlineStr">
        <is>
          <t>Drogaria Nova Era</t>
        </is>
      </c>
      <c r="C77" s="102" t="inlineStr">
        <is>
          <t>FARMÁCIA</t>
        </is>
      </c>
      <c r="D77" s="103" t="n">
        <v>46278</v>
      </c>
      <c r="E77" s="102" t="inlineStr">
        <is>
          <t>NOTIFICAÇÃO DE CONSTATAÇÃO</t>
        </is>
      </c>
      <c r="F77" s="104" t="inlineStr">
        <is>
          <t>PRESENCIAL</t>
        </is>
      </c>
      <c r="G77" s="104" t="inlineStr">
        <is>
          <t>PRAZO D.P</t>
        </is>
      </c>
      <c r="H77" s="102" t="inlineStr">
        <is>
          <t>DIEGO RIBEIRO</t>
        </is>
      </c>
      <c r="I77" s="105" t="inlineStr">
        <is>
          <t>0429/2026</t>
        </is>
      </c>
      <c r="J77" s="105" t="inlineStr">
        <is>
          <t>2026.075285/06</t>
        </is>
      </c>
      <c r="K77" s="103" t="n">
        <v>46188</v>
      </c>
      <c r="L77" s="106">
        <f>IF(OR(D77="",E77=""),"",D77+IF(E77="NOTIFICAÇÃO DE CONSTATAÇÃO",PrazoConst,PrazoEsc))</f>
        <v>46288.0</v>
      </c>
      <c r="M77" s="107">
        <f>IF(L77="","",L77-TODAY())</f>
        <v>-15</v>
      </c>
      <c r="N77" s="108" t="str">
        <f>IF(B77="","",IF(G77="DECISÃO D.P","EM DECISÃO",IF(G77="","SEM STATUS",IF(M77="","SEM DATA",IF(M77&lt;0,"VENCIDO",IF(M77&lt;=DiasAlerta,"VENCE EM BREVE","NO PRAZO"))))))</f>
        <v>VENCIDO</v>
      </c>
      <c r="O77" s="109">
        <f>IF(D77="","",TODAY()-D77)</f>
        <v>25</v>
      </c>
      <c r="P77" s="102" t="n"/>
    </row>
    <row r="78" ht="18" customHeight="1">
      <c r="A78" s="101" t="n">
        <v>74</v>
      </c>
      <c r="B78" s="102" t="inlineStr">
        <is>
          <t>Supermercado Bom Preço</t>
        </is>
      </c>
      <c r="C78" s="102" t="inlineStr">
        <is>
          <t>SUPERMERCADO</t>
        </is>
      </c>
      <c r="D78" s="103" t="n">
        <v>46280</v>
      </c>
      <c r="E78" s="102" t="inlineStr">
        <is>
          <t>NOTIFICAÇÃO DE CONSTATAÇÃO</t>
        </is>
      </c>
      <c r="F78" s="104" t="inlineStr">
        <is>
          <t>PRESENCIAL</t>
        </is>
      </c>
      <c r="G78" s="104" t="inlineStr">
        <is>
          <t>DECISÃO D.P</t>
        </is>
      </c>
      <c r="H78" s="102" t="inlineStr">
        <is>
          <t>CARLA MENDES</t>
        </is>
      </c>
      <c r="I78" s="105" t="inlineStr">
        <is>
          <t>0822/2026</t>
        </is>
      </c>
      <c r="J78" s="105" t="inlineStr">
        <is>
          <t>2026.085665/11</t>
        </is>
      </c>
      <c r="K78" s="103" t="n">
        <v>46252</v>
      </c>
      <c r="L78" s="106">
        <f>IF(OR(D78="",E78=""),"",D78+IF(E78="NOTIFICAÇÃO DE CONSTATAÇÃO",PrazoConst,PrazoEsc))</f>
        <v>46290.0</v>
      </c>
      <c r="M78" s="107">
        <f>IF(L78="","",L78-TODAY())</f>
        <v>-13</v>
      </c>
      <c r="N78" s="108" t="str">
        <f>IF(B78="","",IF(G78="DECISÃO D.P","EM DECISÃO",IF(G78="","SEM STATUS",IF(M78="","SEM DATA",IF(M78&lt;0,"VENCIDO",IF(M78&lt;=DiasAlerta,"VENCE EM BREVE","NO PRAZO"))))))</f>
        <v>EM DECISÃO</v>
      </c>
      <c r="O78" s="109">
        <f>IF(D78="","",TODAY()-D78)</f>
        <v>23</v>
      </c>
      <c r="P78" s="102" t="n"/>
    </row>
    <row r="79" ht="18" customHeight="1">
      <c r="A79" s="101" t="n">
        <v>75</v>
      </c>
      <c r="B79" s="102" t="inlineStr">
        <is>
          <t>Loja Bela Vista</t>
        </is>
      </c>
      <c r="C79" s="102" t="inlineStr">
        <is>
          <t>LOJA</t>
        </is>
      </c>
      <c r="D79" s="103" t="n">
        <v>46281</v>
      </c>
      <c r="E79" s="102" t="inlineStr">
        <is>
          <t>NOTIFICAÇÃO DE CONSTATAÇÃO</t>
        </is>
      </c>
      <c r="F79" s="104" t="inlineStr">
        <is>
          <t>ELETRÔNICA</t>
        </is>
      </c>
      <c r="G79" s="104" t="inlineStr">
        <is>
          <t>PRAZO D.P</t>
        </is>
      </c>
      <c r="H79" s="102" t="inlineStr">
        <is>
          <t>BRUNO CARVALHO</t>
        </is>
      </c>
      <c r="I79" s="105" t="inlineStr">
        <is>
          <t>0467/2026</t>
        </is>
      </c>
      <c r="J79" s="105" t="inlineStr">
        <is>
          <t>2026.083015/11</t>
        </is>
      </c>
      <c r="K79" s="103" t="n">
        <v>46199</v>
      </c>
      <c r="L79" s="106">
        <f>IF(OR(D79="",E79=""),"",D79+IF(E79="NOTIFICAÇÃO DE CONSTATAÇÃO",PrazoConst,PrazoEsc))</f>
        <v>46291.0</v>
      </c>
      <c r="M79" s="107">
        <f>IF(L79="","",L79-TODAY())</f>
        <v>-12</v>
      </c>
      <c r="N79" s="108" t="str">
        <f>IF(B79="","",IF(G79="DECISÃO D.P","EM DECISÃO",IF(G79="","SEM STATUS",IF(M79="","SEM DATA",IF(M79&lt;0,"VENCIDO",IF(M79&lt;=DiasAlerta,"VENCE EM BREVE","NO PRAZO"))))))</f>
        <v>VENCIDO</v>
      </c>
      <c r="O79" s="109">
        <f>IF(D79="","",TODAY()-D79)</f>
        <v>22</v>
      </c>
      <c r="P79" s="102" t="n"/>
    </row>
    <row r="80" ht="18" customHeight="1">
      <c r="A80" s="101" t="n">
        <v>76</v>
      </c>
      <c r="B80" s="102" t="inlineStr">
        <is>
          <t>Serviços Planalto Filial 2</t>
        </is>
      </c>
      <c r="C80" s="102" t="inlineStr">
        <is>
          <t>OUTROS</t>
        </is>
      </c>
      <c r="D80" s="103" t="n">
        <v>46283</v>
      </c>
      <c r="E80" s="102" t="inlineStr">
        <is>
          <t>NOTIFICAÇÃO DE ESCLARECIMENTO</t>
        </is>
      </c>
      <c r="F80" s="104" t="inlineStr">
        <is>
          <t>ELETRÔNICA</t>
        </is>
      </c>
      <c r="G80" s="104" t="inlineStr">
        <is>
          <t>PRAZO D.P</t>
        </is>
      </c>
      <c r="H80" s="102" t="inlineStr">
        <is>
          <t>DIEGO RIBEIRO</t>
        </is>
      </c>
      <c r="I80" s="105" t="inlineStr">
        <is>
          <t>0250/2026</t>
        </is>
      </c>
      <c r="J80" s="105" t="inlineStr">
        <is>
          <t>2026.091890/03</t>
        </is>
      </c>
      <c r="K80" s="103" t="n">
        <v>46218</v>
      </c>
      <c r="L80" s="106">
        <f>IF(OR(D80="",E80=""),"",D80+IF(E80="NOTIFICAÇÃO DE CONSTATAÇÃO",PrazoConst,PrazoEsc))</f>
        <v>46298.0</v>
      </c>
      <c r="M80" s="107">
        <f>IF(L80="","",L80-TODAY())</f>
        <v>-5</v>
      </c>
      <c r="N80" s="108" t="str">
        <f>IF(B80="","",IF(G80="DECISÃO D.P","EM DECISÃO",IF(G80="","SEM STATUS",IF(M80="","SEM DATA",IF(M80&lt;0,"VENCIDO",IF(M80&lt;=DiasAlerta,"VENCE EM BREVE","NO PRAZO"))))))</f>
        <v>VENCIDO</v>
      </c>
      <c r="O80" s="109">
        <f>IF(D80="","",TODAY()-D80)</f>
        <v>20</v>
      </c>
      <c r="P80" s="102" t="n"/>
    </row>
    <row r="81" ht="18" customHeight="1">
      <c r="A81" s="101" t="n">
        <v>77</v>
      </c>
      <c r="B81" s="102" t="inlineStr">
        <is>
          <t>Escola Estrela Ltda</t>
        </is>
      </c>
      <c r="C81" s="102" t="inlineStr">
        <is>
          <t>ESCOLA</t>
        </is>
      </c>
      <c r="D81" s="103" t="n">
        <v>46284</v>
      </c>
      <c r="E81" s="102" t="inlineStr">
        <is>
          <t>NOTIFICAÇÃO DE ESCLARECIMENTO</t>
        </is>
      </c>
      <c r="F81" s="104" t="inlineStr">
        <is>
          <t>PRESENCIAL</t>
        </is>
      </c>
      <c r="G81" s="104" t="inlineStr">
        <is>
          <t>PRAZO D.P</t>
        </is>
      </c>
      <c r="H81" s="102" t="inlineStr">
        <is>
          <t>EDUARDA LIMA</t>
        </is>
      </c>
      <c r="I81" s="105" t="inlineStr">
        <is>
          <t>0589/2026</t>
        </is>
      </c>
      <c r="J81" s="105" t="inlineStr">
        <is>
          <t>2026.081392/08</t>
        </is>
      </c>
      <c r="K81" s="103" t="n">
        <v>46221</v>
      </c>
      <c r="L81" s="106">
        <f>IF(OR(D81="",E81=""),"",D81+IF(E81="NOTIFICAÇÃO DE CONSTATAÇÃO",PrazoConst,PrazoEsc))</f>
        <v>46299.0</v>
      </c>
      <c r="M81" s="107">
        <f>IF(L81="","",L81-TODAY())</f>
        <v>-4</v>
      </c>
      <c r="N81" s="108" t="str">
        <f>IF(B81="","",IF(G81="DECISÃO D.P","EM DECISÃO",IF(G81="","SEM STATUS",IF(M81="","SEM DATA",IF(M81&lt;0,"VENCIDO",IF(M81&lt;=DiasAlerta,"VENCE EM BREVE","NO PRAZO"))))))</f>
        <v>VENCIDO</v>
      </c>
      <c r="O81" s="109">
        <f>IF(D81="","",TODAY()-D81)</f>
        <v>19</v>
      </c>
      <c r="P81" s="102" t="n"/>
    </row>
    <row r="82" ht="18" customHeight="1">
      <c r="A82" s="101" t="n">
        <v>78</v>
      </c>
      <c r="B82" s="102" t="inlineStr">
        <is>
          <t>Magazine Atlântico</t>
        </is>
      </c>
      <c r="C82" s="102" t="inlineStr">
        <is>
          <t>LOJA</t>
        </is>
      </c>
      <c r="D82" s="103" t="n">
        <v>46285</v>
      </c>
      <c r="E82" s="102" t="inlineStr">
        <is>
          <t>NOTIFICAÇÃO DE ESCLARECIMENTO</t>
        </is>
      </c>
      <c r="F82" s="104" t="inlineStr">
        <is>
          <t>PRESENCIAL</t>
        </is>
      </c>
      <c r="G82" s="104" t="inlineStr">
        <is>
          <t>PRAZO D.P</t>
        </is>
      </c>
      <c r="H82" s="102" t="inlineStr">
        <is>
          <t>ANA PAULA SOUZA</t>
        </is>
      </c>
      <c r="I82" s="105" t="inlineStr">
        <is>
          <t>0888/2026</t>
        </is>
      </c>
      <c r="J82" s="105" t="inlineStr">
        <is>
          <t>2026.055333/01</t>
        </is>
      </c>
      <c r="K82" s="103" t="n">
        <v>46248</v>
      </c>
      <c r="L82" s="106">
        <f>IF(OR(D82="",E82=""),"",D82+IF(E82="NOTIFICAÇÃO DE CONSTATAÇÃO",PrazoConst,PrazoEsc))</f>
        <v>46300.0</v>
      </c>
      <c r="M82" s="107">
        <f>IF(L82="","",L82-TODAY())</f>
        <v>-3</v>
      </c>
      <c r="N82" s="108" t="str">
        <f>IF(B82="","",IF(G82="DECISÃO D.P","EM DECISÃO",IF(G82="","SEM STATUS",IF(M82="","SEM DATA",IF(M82&lt;0,"VENCIDO",IF(M82&lt;=DiasAlerta,"VENCE EM BREVE","NO PRAZO"))))))</f>
        <v>VENCIDO</v>
      </c>
      <c r="O82" s="109">
        <f>IF(D82="","",TODAY()-D82)</f>
        <v>18</v>
      </c>
      <c r="P82" s="102" t="n"/>
    </row>
    <row r="83" ht="18" customHeight="1">
      <c r="A83" s="101" t="n">
        <v>79</v>
      </c>
      <c r="B83" s="102" t="inlineStr">
        <is>
          <t>Magazine Estrela ME</t>
        </is>
      </c>
      <c r="C83" s="102" t="inlineStr">
        <is>
          <t>LOJA</t>
        </is>
      </c>
      <c r="D83" s="103" t="n">
        <v>46288</v>
      </c>
      <c r="E83" s="102" t="inlineStr">
        <is>
          <t>NOTIFICAÇÃO DE CONSTATAÇÃO</t>
        </is>
      </c>
      <c r="F83" s="104" t="inlineStr">
        <is>
          <t>ELETRÔNICA</t>
        </is>
      </c>
      <c r="G83" s="104" t="inlineStr">
        <is>
          <t>PRAZO D.P</t>
        </is>
      </c>
      <c r="H83" s="102" t="inlineStr">
        <is>
          <t>FELIPE ARAÚJO</t>
        </is>
      </c>
      <c r="I83" s="105" t="inlineStr">
        <is>
          <t>0194/2026</t>
        </is>
      </c>
      <c r="J83" s="105" t="inlineStr">
        <is>
          <t>2026.094185/11</t>
        </is>
      </c>
      <c r="K83" s="103" t="n">
        <v>46222</v>
      </c>
      <c r="L83" s="106">
        <f>IF(OR(D83="",E83=""),"",D83+IF(E83="NOTIFICAÇÃO DE CONSTATAÇÃO",PrazoConst,PrazoEsc))</f>
        <v>46298.0</v>
      </c>
      <c r="M83" s="107">
        <f>IF(L83="","",L83-TODAY())</f>
        <v>-5</v>
      </c>
      <c r="N83" s="108" t="str">
        <f>IF(B83="","",IF(G83="DECISÃO D.P","EM DECISÃO",IF(G83="","SEM STATUS",IF(M83="","SEM DATA",IF(M83&lt;0,"VENCIDO",IF(M83&lt;=DiasAlerta,"VENCE EM BREVE","NO PRAZO"))))))</f>
        <v>VENCIDO</v>
      </c>
      <c r="O83" s="109">
        <f>IF(D83="","",TODAY()-D83)</f>
        <v>15</v>
      </c>
      <c r="P83" s="102" t="n"/>
    </row>
    <row r="84" ht="18" customHeight="1">
      <c r="A84" s="101" t="n">
        <v>80</v>
      </c>
      <c r="B84" s="102" t="inlineStr">
        <is>
          <t>Mercado Ipê Amarelo</t>
        </is>
      </c>
      <c r="C84" s="102" t="inlineStr">
        <is>
          <t>SUPERMERCADO</t>
        </is>
      </c>
      <c r="D84" s="103" t="n">
        <v>46289</v>
      </c>
      <c r="E84" s="102" t="inlineStr">
        <is>
          <t>NOTIFICAÇÃO DE CONSTATAÇÃO</t>
        </is>
      </c>
      <c r="F84" s="104" t="inlineStr">
        <is>
          <t>PRESENCIAL</t>
        </is>
      </c>
      <c r="G84" s="104" t="inlineStr">
        <is>
          <t>PRAZO D.P</t>
        </is>
      </c>
      <c r="H84" s="102" t="inlineStr">
        <is>
          <t>BRUNO CARVALHO</t>
        </is>
      </c>
      <c r="I84" s="105" t="inlineStr">
        <is>
          <t>0774/2026</t>
        </is>
      </c>
      <c r="J84" s="105" t="inlineStr">
        <is>
          <t>2026.027048/06</t>
        </is>
      </c>
      <c r="K84" s="103" t="n">
        <v>46225</v>
      </c>
      <c r="L84" s="106">
        <f>IF(OR(D84="",E84=""),"",D84+IF(E84="NOTIFICAÇÃO DE CONSTATAÇÃO",PrazoConst,PrazoEsc))</f>
        <v>46299.0</v>
      </c>
      <c r="M84" s="107">
        <f>IF(L84="","",L84-TODAY())</f>
        <v>-4</v>
      </c>
      <c r="N84" s="108" t="str">
        <f>IF(B84="","",IF(G84="DECISÃO D.P","EM DECISÃO",IF(G84="","SEM STATUS",IF(M84="","SEM DATA",IF(M84&lt;0,"VENCIDO",IF(M84&lt;=DiasAlerta,"VENCE EM BREVE","NO PRAZO"))))))</f>
        <v>VENCIDO</v>
      </c>
      <c r="O84" s="109">
        <f>IF(D84="","",TODAY()-D84)</f>
        <v>14</v>
      </c>
      <c r="P84" s="102" t="n"/>
    </row>
    <row r="85" ht="18" customHeight="1">
      <c r="A85" s="101" t="n">
        <v>81</v>
      </c>
      <c r="B85" s="102" t="inlineStr">
        <is>
          <t>Hospital Bela Vista 24h</t>
        </is>
      </c>
      <c r="C85" s="102" t="inlineStr">
        <is>
          <t>SAÚDE</t>
        </is>
      </c>
      <c r="D85" s="103" t="n">
        <v>46291</v>
      </c>
      <c r="E85" s="102" t="inlineStr">
        <is>
          <t>NOTIFICAÇÃO DE CONSTATAÇÃO</t>
        </is>
      </c>
      <c r="F85" s="104" t="inlineStr">
        <is>
          <t>PRESENCIAL</t>
        </is>
      </c>
      <c r="G85" s="104" t="inlineStr">
        <is>
          <t>DECISÃO D.P</t>
        </is>
      </c>
      <c r="H85" s="102" t="inlineStr">
        <is>
          <t>BRUNO CARVALHO</t>
        </is>
      </c>
      <c r="I85" s="105" t="inlineStr">
        <is>
          <t>0498/2026</t>
        </is>
      </c>
      <c r="J85" s="105" t="inlineStr">
        <is>
          <t>2026.068012/13</t>
        </is>
      </c>
      <c r="K85" s="103" t="n">
        <v>46227</v>
      </c>
      <c r="L85" s="106">
        <f>IF(OR(D85="",E85=""),"",D85+IF(E85="NOTIFICAÇÃO DE CONSTATAÇÃO",PrazoConst,PrazoEsc))</f>
        <v>46301.0</v>
      </c>
      <c r="M85" s="107">
        <f>IF(L85="","",L85-TODAY())</f>
        <v>-2</v>
      </c>
      <c r="N85" s="108" t="str">
        <f>IF(B85="","",IF(G85="DECISÃO D.P","EM DECISÃO",IF(G85="","SEM STATUS",IF(M85="","SEM DATA",IF(M85&lt;0,"VENCIDO",IF(M85&lt;=DiasAlerta,"VENCE EM BREVE","NO PRAZO"))))))</f>
        <v>EM DECISÃO</v>
      </c>
      <c r="O85" s="109">
        <f>IF(D85="","",TODAY()-D85)</f>
        <v>12</v>
      </c>
      <c r="P85" s="102" t="n"/>
    </row>
    <row r="86" ht="18" customHeight="1">
      <c r="A86" s="101" t="n">
        <v>82</v>
      </c>
      <c r="B86" s="102" t="inlineStr">
        <is>
          <t>Auto Center Central 24h</t>
        </is>
      </c>
      <c r="C86" s="102" t="inlineStr">
        <is>
          <t>CONCESSIONÁRIA</t>
        </is>
      </c>
      <c r="D86" s="103" t="n">
        <v>46292</v>
      </c>
      <c r="E86" s="102" t="inlineStr">
        <is>
          <t>NOTIFICAÇÃO DE ESCLARECIMENTO</t>
        </is>
      </c>
      <c r="F86" s="104" t="inlineStr">
        <is>
          <t>PRESENCIAL</t>
        </is>
      </c>
      <c r="G86" s="104" t="inlineStr">
        <is>
          <t>PRAZO D.P</t>
        </is>
      </c>
      <c r="H86" s="102" t="inlineStr">
        <is>
          <t>DIEGO RIBEIRO</t>
        </is>
      </c>
      <c r="I86" s="105" t="inlineStr">
        <is>
          <t>0613/2026</t>
        </is>
      </c>
      <c r="J86" s="105" t="inlineStr">
        <is>
          <t>2026.039100/02</t>
        </is>
      </c>
      <c r="K86" s="103" t="n">
        <v>46223</v>
      </c>
      <c r="L86" s="106">
        <f>IF(OR(D86="",E86=""),"",D86+IF(E86="NOTIFICAÇÃO DE CONSTATAÇÃO",PrazoConst,PrazoEsc))</f>
        <v>46307.0</v>
      </c>
      <c r="M86" s="107">
        <f>IF(L86="","",L86-TODAY())</f>
        <v>4</v>
      </c>
      <c r="N86" s="108" t="str">
        <f>IF(B86="","",IF(G86="DECISÃO D.P","EM DECISÃO",IF(G86="","SEM STATUS",IF(M86="","SEM DATA",IF(M86&lt;0,"VENCIDO",IF(M86&lt;=DiasAlerta,"VENCE EM BREVE","NO PRAZO"))))))</f>
        <v>VENCE EM BREVE</v>
      </c>
      <c r="O86" s="109">
        <f>IF(D86="","",TODAY()-D86)</f>
        <v>11</v>
      </c>
      <c r="P86" s="102" t="n"/>
    </row>
    <row r="87" ht="18" customHeight="1">
      <c r="A87" s="101" t="n">
        <v>83</v>
      </c>
      <c r="B87" s="102" t="inlineStr">
        <is>
          <t>Clínica Estrela</t>
        </is>
      </c>
      <c r="C87" s="102" t="inlineStr">
        <is>
          <t>SAÚDE</t>
        </is>
      </c>
      <c r="D87" s="103" t="n">
        <v>46293</v>
      </c>
      <c r="E87" s="102" t="inlineStr">
        <is>
          <t>NOTIFICAÇÃO DE CONSTATAÇÃO</t>
        </is>
      </c>
      <c r="F87" s="104" t="inlineStr">
        <is>
          <t>ELETRÔNICA</t>
        </is>
      </c>
      <c r="G87" s="104" t="inlineStr">
        <is>
          <t>PRAZO D.P</t>
        </is>
      </c>
      <c r="H87" s="102" t="inlineStr">
        <is>
          <t>DIEGO RIBEIRO</t>
        </is>
      </c>
      <c r="I87" s="105" t="inlineStr">
        <is>
          <t>0336/2026</t>
        </is>
      </c>
      <c r="J87" s="105" t="inlineStr">
        <is>
          <t>2026.060000/06</t>
        </is>
      </c>
      <c r="K87" s="103" t="n">
        <v>46250</v>
      </c>
      <c r="L87" s="106">
        <f>IF(OR(D87="",E87=""),"",D87+IF(E87="NOTIFICAÇÃO DE CONSTATAÇÃO",PrazoConst,PrazoEsc))</f>
        <v>46303.0</v>
      </c>
      <c r="M87" s="107">
        <f>IF(L87="","",L87-TODAY())</f>
        <v>0</v>
      </c>
      <c r="N87" s="108" t="str">
        <f>IF(B87="","",IF(G87="DECISÃO D.P","EM DECISÃO",IF(G87="","SEM STATUS",IF(M87="","SEM DATA",IF(M87&lt;0,"VENCIDO",IF(M87&lt;=DiasAlerta,"VENCE EM BREVE","NO PRAZO"))))))</f>
        <v>VENCE EM BREVE</v>
      </c>
      <c r="O87" s="109">
        <f>IF(D87="","",TODAY()-D87)</f>
        <v>10</v>
      </c>
      <c r="P87" s="102" t="n"/>
    </row>
    <row r="88" ht="18" customHeight="1">
      <c r="A88" s="101" t="n">
        <v>84</v>
      </c>
      <c r="B88" s="102" t="inlineStr">
        <is>
          <t>Academia Central</t>
        </is>
      </c>
      <c r="C88" s="102" t="inlineStr">
        <is>
          <t>ACADEMIA</t>
        </is>
      </c>
      <c r="D88" s="103" t="n">
        <v>46294</v>
      </c>
      <c r="E88" s="102" t="inlineStr">
        <is>
          <t>NOTIFICAÇÃO DE CONSTATAÇÃO</t>
        </is>
      </c>
      <c r="F88" s="104" t="inlineStr">
        <is>
          <t>PRESENCIAL</t>
        </is>
      </c>
      <c r="G88" s="104" t="inlineStr">
        <is>
          <t>PRAZO D.P</t>
        </is>
      </c>
      <c r="H88" s="102" t="inlineStr">
        <is>
          <t>DIEGO RIBEIRO</t>
        </is>
      </c>
      <c r="I88" s="105" t="inlineStr">
        <is>
          <t>0202/2026</t>
        </is>
      </c>
      <c r="J88" s="105" t="inlineStr">
        <is>
          <t>2026.002852/02</t>
        </is>
      </c>
      <c r="K88" s="103" t="n">
        <v>46241</v>
      </c>
      <c r="L88" s="106">
        <f>IF(OR(D88="",E88=""),"",D88+IF(E88="NOTIFICAÇÃO DE CONSTATAÇÃO",PrazoConst,PrazoEsc))</f>
        <v>46304.0</v>
      </c>
      <c r="M88" s="107">
        <f>IF(L88="","",L88-TODAY())</f>
        <v>1</v>
      </c>
      <c r="N88" s="108" t="str">
        <f>IF(B88="","",IF(G88="DECISÃO D.P","EM DECISÃO",IF(G88="","SEM STATUS",IF(M88="","SEM DATA",IF(M88&lt;0,"VENCIDO",IF(M88&lt;=DiasAlerta,"VENCE EM BREVE","NO PRAZO"))))))</f>
        <v>VENCE EM BREVE</v>
      </c>
      <c r="O88" s="109">
        <f>IF(D88="","",TODAY()-D88)</f>
        <v>9</v>
      </c>
      <c r="P88" s="102" t="n"/>
    </row>
    <row r="89" ht="18" customHeight="1">
      <c r="A89" s="101" t="n">
        <v>85</v>
      </c>
      <c r="B89" s="102" t="inlineStr">
        <is>
          <t>Posto Real</t>
        </is>
      </c>
      <c r="C89" s="102" t="inlineStr">
        <is>
          <t>POSTO DE COMBUSTÍVEL</t>
        </is>
      </c>
      <c r="D89" s="103" t="n">
        <v>46295</v>
      </c>
      <c r="E89" s="102" t="inlineStr">
        <is>
          <t>NOTIFICAÇÃO DE ESCLARECIMENTO</t>
        </is>
      </c>
      <c r="F89" s="104" t="inlineStr">
        <is>
          <t>ELETRÔNICA</t>
        </is>
      </c>
      <c r="G89" s="104" t="inlineStr">
        <is>
          <t>PRAZO D.P</t>
        </is>
      </c>
      <c r="H89" s="102" t="inlineStr">
        <is>
          <t>DIEGO RIBEIRO</t>
        </is>
      </c>
      <c r="I89" s="105" t="inlineStr">
        <is>
          <t>0295/2026</t>
        </is>
      </c>
      <c r="J89" s="105" t="inlineStr">
        <is>
          <t>2026.019466/15</t>
        </is>
      </c>
      <c r="K89" s="103" t="n">
        <v>46232</v>
      </c>
      <c r="L89" s="106">
        <f>IF(OR(D89="",E89=""),"",D89+IF(E89="NOTIFICAÇÃO DE CONSTATAÇÃO",PrazoConst,PrazoEsc))</f>
        <v>46310.0</v>
      </c>
      <c r="M89" s="107">
        <f>IF(L89="","",L89-TODAY())</f>
        <v>7</v>
      </c>
      <c r="N89" s="108" t="str">
        <f>IF(B89="","",IF(G89="DECISÃO D.P","EM DECISÃO",IF(G89="","SEM STATUS",IF(M89="","SEM DATA",IF(M89&lt;0,"VENCIDO",IF(M89&lt;=DiasAlerta,"VENCE EM BREVE","NO PRAZO"))))))</f>
        <v>NO PRAZO</v>
      </c>
      <c r="O89" s="109">
        <f>IF(D89="","",TODAY()-D89)</f>
        <v>8</v>
      </c>
      <c r="P89" s="102" t="n"/>
    </row>
    <row r="90" ht="18" customHeight="1">
      <c r="A90" s="101" t="n">
        <v>86</v>
      </c>
      <c r="B90" s="102" t="inlineStr">
        <is>
          <t>Telecom Bela Vista</t>
        </is>
      </c>
      <c r="C90" s="102" t="inlineStr">
        <is>
          <t>TELEFONIA</t>
        </is>
      </c>
      <c r="D90" s="103" t="n">
        <v>46295</v>
      </c>
      <c r="E90" s="102" t="inlineStr">
        <is>
          <t>NOTIFICAÇÃO DE ESCLARECIMENTO</t>
        </is>
      </c>
      <c r="F90" s="104" t="inlineStr">
        <is>
          <t>PRESENCIAL</t>
        </is>
      </c>
      <c r="G90" s="104" t="inlineStr">
        <is>
          <t>PRAZO D.P</t>
        </is>
      </c>
      <c r="H90" s="102" t="inlineStr">
        <is>
          <t>BRUNO CARVALHO</t>
        </is>
      </c>
      <c r="I90" s="105" t="inlineStr">
        <is>
          <t>0636/2026</t>
        </is>
      </c>
      <c r="J90" s="105" t="inlineStr">
        <is>
          <t>2026.099547/09</t>
        </is>
      </c>
      <c r="K90" s="103" t="n">
        <v>46285</v>
      </c>
      <c r="L90" s="106">
        <f>IF(OR(D90="",E90=""),"",D90+IF(E90="NOTIFICAÇÃO DE CONSTATAÇÃO",PrazoConst,PrazoEsc))</f>
        <v>46310.0</v>
      </c>
      <c r="M90" s="107">
        <f>IF(L90="","",L90-TODAY())</f>
        <v>7</v>
      </c>
      <c r="N90" s="108" t="str">
        <f>IF(B90="","",IF(G90="DECISÃO D.P","EM DECISÃO",IF(G90="","SEM STATUS",IF(M90="","SEM DATA",IF(M90&lt;0,"VENCIDO",IF(M90&lt;=DiasAlerta,"VENCE EM BREVE","NO PRAZO"))))))</f>
        <v>NO PRAZO</v>
      </c>
      <c r="O90" s="109">
        <f>IF(D90="","",TODAY()-D90)</f>
        <v>8</v>
      </c>
      <c r="P90" s="102" t="n"/>
    </row>
    <row r="91" ht="18" customHeight="1">
      <c r="A91" s="101" t="n">
        <v>87</v>
      </c>
      <c r="B91" s="102" t="inlineStr">
        <is>
          <t>Concessionária Avenida</t>
        </is>
      </c>
      <c r="C91" s="102" t="inlineStr">
        <is>
          <t>CONCESSIONÁRIA</t>
        </is>
      </c>
      <c r="D91" s="103" t="n">
        <v>46296</v>
      </c>
      <c r="E91" s="102" t="inlineStr">
        <is>
          <t>NOTIFICAÇÃO DE ESCLARECIMENTO</t>
        </is>
      </c>
      <c r="F91" s="104" t="inlineStr">
        <is>
          <t>ELETRÔNICA</t>
        </is>
      </c>
      <c r="G91" s="104" t="inlineStr">
        <is>
          <t>DECISÃO D.P</t>
        </is>
      </c>
      <c r="H91" s="102" t="inlineStr">
        <is>
          <t>CARLA MENDES</t>
        </is>
      </c>
      <c r="I91" s="105" t="inlineStr">
        <is>
          <t>0200/2026</t>
        </is>
      </c>
      <c r="J91" s="105" t="inlineStr">
        <is>
          <t>2026.020183/08</t>
        </is>
      </c>
      <c r="K91" s="103" t="n">
        <v>46239</v>
      </c>
      <c r="L91" s="106">
        <f>IF(OR(D91="",E91=""),"",D91+IF(E91="NOTIFICAÇÃO DE CONSTATAÇÃO",PrazoConst,PrazoEsc))</f>
        <v>46311.0</v>
      </c>
      <c r="M91" s="107">
        <f>IF(L91="","",L91-TODAY())</f>
        <v>8</v>
      </c>
      <c r="N91" s="108" t="str">
        <f>IF(B91="","",IF(G91="DECISÃO D.P","EM DECISÃO",IF(G91="","SEM STATUS",IF(M91="","SEM DATA",IF(M91&lt;0,"VENCIDO",IF(M91&lt;=DiasAlerta,"VENCE EM BREVE","NO PRAZO"))))))</f>
        <v>EM DECISÃO</v>
      </c>
      <c r="O91" s="109">
        <f>IF(D91="","",TODAY()-D91)</f>
        <v>7</v>
      </c>
      <c r="P91" s="102" t="n"/>
    </row>
    <row r="92" ht="18" customHeight="1">
      <c r="A92" s="101" t="n">
        <v>88</v>
      </c>
      <c r="B92" s="102" t="inlineStr">
        <is>
          <t>Farmácia Horizonte</t>
        </is>
      </c>
      <c r="C92" s="102" t="inlineStr">
        <is>
          <t>FARMÁCIA</t>
        </is>
      </c>
      <c r="D92" s="103" t="n">
        <v>46296</v>
      </c>
      <c r="E92" s="102" t="inlineStr">
        <is>
          <t>NOTIFICAÇÃO DE CONSTATAÇÃO</t>
        </is>
      </c>
      <c r="F92" s="104" t="inlineStr">
        <is>
          <t>ELETRÔNICA</t>
        </is>
      </c>
      <c r="G92" s="104" t="inlineStr">
        <is>
          <t>PRAZO D.P</t>
        </is>
      </c>
      <c r="H92" s="102" t="inlineStr">
        <is>
          <t>CARLA MENDES</t>
        </is>
      </c>
      <c r="I92" s="105" t="inlineStr">
        <is>
          <t>0100/2026</t>
        </is>
      </c>
      <c r="J92" s="105" t="inlineStr">
        <is>
          <t>2026.088095/08</t>
        </is>
      </c>
      <c r="K92" s="103" t="n">
        <v>46260</v>
      </c>
      <c r="L92" s="106">
        <f>IF(OR(D92="",E92=""),"",D92+IF(E92="NOTIFICAÇÃO DE CONSTATAÇÃO",PrazoConst,PrazoEsc))</f>
        <v>46306.0</v>
      </c>
      <c r="M92" s="107">
        <f>IF(L92="","",L92-TODAY())</f>
        <v>3</v>
      </c>
      <c r="N92" s="108" t="str">
        <f>IF(B92="","",IF(G92="DECISÃO D.P","EM DECISÃO",IF(G92="","SEM STATUS",IF(M92="","SEM DATA",IF(M92&lt;0,"VENCIDO",IF(M92&lt;=DiasAlerta,"VENCE EM BREVE","NO PRAZO"))))))</f>
        <v>VENCE EM BREVE</v>
      </c>
      <c r="O92" s="109">
        <f>IF(D92="","",TODAY()-D92)</f>
        <v>7</v>
      </c>
      <c r="P92" s="102" t="n"/>
    </row>
    <row r="93" ht="18" customHeight="1">
      <c r="A93" s="101" t="n">
        <v>89</v>
      </c>
      <c r="B93" s="102" t="inlineStr">
        <is>
          <t>Studio Fitness Vitória</t>
        </is>
      </c>
      <c r="C93" s="102" t="inlineStr">
        <is>
          <t>ACADEMIA</t>
        </is>
      </c>
      <c r="D93" s="103" t="n">
        <v>46297</v>
      </c>
      <c r="E93" s="102" t="inlineStr">
        <is>
          <t>NOTIFICAÇÃO DE ESCLARECIMENTO</t>
        </is>
      </c>
      <c r="F93" s="104" t="inlineStr">
        <is>
          <t>PRESENCIAL</t>
        </is>
      </c>
      <c r="G93" s="104" t="inlineStr">
        <is>
          <t>PRAZO D.P</t>
        </is>
      </c>
      <c r="H93" s="102" t="inlineStr">
        <is>
          <t>DIEGO RIBEIRO</t>
        </is>
      </c>
      <c r="I93" s="105" t="inlineStr">
        <is>
          <t>0491/2026</t>
        </is>
      </c>
      <c r="J93" s="105" t="inlineStr">
        <is>
          <t>2026.057762/04</t>
        </is>
      </c>
      <c r="K93" s="103" t="n">
        <v>46241</v>
      </c>
      <c r="L93" s="106">
        <f>IF(OR(D93="",E93=""),"",D93+IF(E93="NOTIFICAÇÃO DE CONSTATAÇÃO",PrazoConst,PrazoEsc))</f>
        <v>46312.0</v>
      </c>
      <c r="M93" s="107">
        <f>IF(L93="","",L93-TODAY())</f>
        <v>9</v>
      </c>
      <c r="N93" s="108" t="str">
        <f>IF(B93="","",IF(G93="DECISÃO D.P","EM DECISÃO",IF(G93="","SEM STATUS",IF(M93="","SEM DATA",IF(M93&lt;0,"VENCIDO",IF(M93&lt;=DiasAlerta,"VENCE EM BREVE","NO PRAZO"))))))</f>
        <v>NO PRAZO</v>
      </c>
      <c r="O93" s="109">
        <f>IF(D93="","",TODAY()-D93)</f>
        <v>6</v>
      </c>
      <c r="P93" s="102" t="n"/>
    </row>
    <row r="94" ht="18" customHeight="1">
      <c r="A94" s="101" t="n">
        <v>90</v>
      </c>
      <c r="B94" s="102" t="inlineStr">
        <is>
          <t>Churrascaria Bela Vista</t>
        </is>
      </c>
      <c r="C94" s="102" t="inlineStr">
        <is>
          <t>RESTAURANTE</t>
        </is>
      </c>
      <c r="D94" s="103" t="n">
        <v>46298</v>
      </c>
      <c r="E94" s="102" t="inlineStr">
        <is>
          <t>NOTIFICAÇÃO DE CONSTATAÇÃO</t>
        </is>
      </c>
      <c r="F94" s="104" t="inlineStr">
        <is>
          <t>PRESENCIAL</t>
        </is>
      </c>
      <c r="G94" s="104" t="inlineStr">
        <is>
          <t>PRAZO D.P</t>
        </is>
      </c>
      <c r="H94" s="102" t="inlineStr">
        <is>
          <t>DIEGO RIBEIRO</t>
        </is>
      </c>
      <c r="I94" s="105" t="inlineStr">
        <is>
          <t>0511/2026</t>
        </is>
      </c>
      <c r="J94" s="105" t="inlineStr">
        <is>
          <t>2026.056763/09</t>
        </is>
      </c>
      <c r="K94" s="103" t="n">
        <v>46279</v>
      </c>
      <c r="L94" s="106">
        <f>IF(OR(D94="",E94=""),"",D94+IF(E94="NOTIFICAÇÃO DE CONSTATAÇÃO",PrazoConst,PrazoEsc))</f>
        <v>46308.0</v>
      </c>
      <c r="M94" s="107">
        <f>IF(L94="","",L94-TODAY())</f>
        <v>5</v>
      </c>
      <c r="N94" s="108" t="str">
        <f>IF(B94="","",IF(G94="DECISÃO D.P","EM DECISÃO",IF(G94="","SEM STATUS",IF(M94="","SEM DATA",IF(M94&lt;0,"VENCIDO",IF(M94&lt;=DiasAlerta,"VENCE EM BREVE","NO PRAZO"))))))</f>
        <v>VENCE EM BREVE</v>
      </c>
      <c r="O94" s="109">
        <f>IF(D94="","",TODAY()-D94)</f>
        <v>5</v>
      </c>
      <c r="P94" s="102" t="n"/>
    </row>
    <row r="95" ht="18" customHeight="1">
      <c r="A95" s="101" t="n">
        <v>91</v>
      </c>
      <c r="B95" s="102" t="inlineStr">
        <is>
          <t>Magazine Central</t>
        </is>
      </c>
      <c r="C95" s="102" t="inlineStr">
        <is>
          <t>LOJA</t>
        </is>
      </c>
      <c r="D95" s="103" t="n">
        <v>46298</v>
      </c>
      <c r="E95" s="102" t="inlineStr">
        <is>
          <t>NOTIFICAÇÃO DE CONSTATAÇÃO</t>
        </is>
      </c>
      <c r="F95" s="104" t="inlineStr">
        <is>
          <t>ELETRÔNICA</t>
        </is>
      </c>
      <c r="G95" s="104" t="inlineStr">
        <is>
          <t>PRAZO D.P</t>
        </is>
      </c>
      <c r="H95" s="102" t="inlineStr">
        <is>
          <t>CARLA MENDES</t>
        </is>
      </c>
      <c r="I95" s="105" t="inlineStr">
        <is>
          <t>0039/2026</t>
        </is>
      </c>
      <c r="J95" s="105" t="inlineStr">
        <is>
          <t>2026.023619/02</t>
        </is>
      </c>
      <c r="K95" s="103" t="n">
        <v>46212</v>
      </c>
      <c r="L95" s="106">
        <f>IF(OR(D95="",E95=""),"",D95+IF(E95="NOTIFICAÇÃO DE CONSTATAÇÃO",PrazoConst,PrazoEsc))</f>
        <v>46308.0</v>
      </c>
      <c r="M95" s="107">
        <f>IF(L95="","",L95-TODAY())</f>
        <v>5</v>
      </c>
      <c r="N95" s="108" t="str">
        <f>IF(B95="","",IF(G95="DECISÃO D.P","EM DECISÃO",IF(G95="","SEM STATUS",IF(M95="","SEM DATA",IF(M95&lt;0,"VENCIDO",IF(M95&lt;=DiasAlerta,"VENCE EM BREVE","NO PRAZO"))))))</f>
        <v>VENCE EM BREVE</v>
      </c>
      <c r="O95" s="109">
        <f>IF(D95="","",TODAY()-D95)</f>
        <v>5</v>
      </c>
      <c r="P95" s="102" t="n"/>
    </row>
    <row r="96" ht="18" customHeight="1">
      <c r="A96" s="101" t="n">
        <v>92</v>
      </c>
      <c r="B96" s="102" t="inlineStr">
        <is>
          <t>Escola Real</t>
        </is>
      </c>
      <c r="C96" s="102" t="inlineStr">
        <is>
          <t>ESCOLA</t>
        </is>
      </c>
      <c r="D96" s="103" t="n">
        <v>46299</v>
      </c>
      <c r="E96" s="102" t="inlineStr">
        <is>
          <t>NOTIFICAÇÃO DE ESCLARECIMENTO</t>
        </is>
      </c>
      <c r="F96" s="104" t="inlineStr">
        <is>
          <t>PRESENCIAL</t>
        </is>
      </c>
      <c r="G96" s="104" t="inlineStr">
        <is>
          <t>DECISÃO D.P</t>
        </is>
      </c>
      <c r="H96" s="102" t="inlineStr">
        <is>
          <t>DIEGO RIBEIRO</t>
        </is>
      </c>
      <c r="I96" s="105" t="inlineStr">
        <is>
          <t>0825/2026</t>
        </is>
      </c>
      <c r="J96" s="105" t="inlineStr">
        <is>
          <t>2026.076434/04</t>
        </is>
      </c>
      <c r="K96" s="103" t="n">
        <v>46291</v>
      </c>
      <c r="L96" s="106">
        <f>IF(OR(D96="",E96=""),"",D96+IF(E96="NOTIFICAÇÃO DE CONSTATAÇÃO",PrazoConst,PrazoEsc))</f>
        <v>46314.0</v>
      </c>
      <c r="M96" s="107">
        <f>IF(L96="","",L96-TODAY())</f>
        <v>11</v>
      </c>
      <c r="N96" s="108" t="str">
        <f>IF(B96="","",IF(G96="DECISÃO D.P","EM DECISÃO",IF(G96="","SEM STATUS",IF(M96="","SEM DATA",IF(M96&lt;0,"VENCIDO",IF(M96&lt;=DiasAlerta,"VENCE EM BREVE","NO PRAZO"))))))</f>
        <v>EM DECISÃO</v>
      </c>
      <c r="O96" s="109">
        <f>IF(D96="","",TODAY()-D96)</f>
        <v>4</v>
      </c>
      <c r="P96" s="102" t="n"/>
    </row>
    <row r="97" ht="18" customHeight="1">
      <c r="A97" s="101" t="n">
        <v>93</v>
      </c>
      <c r="B97" s="102" t="inlineStr">
        <is>
          <t>Boutique Aliança</t>
        </is>
      </c>
      <c r="C97" s="102" t="inlineStr">
        <is>
          <t>LOJA</t>
        </is>
      </c>
      <c r="D97" s="103" t="n">
        <v>46302</v>
      </c>
      <c r="E97" s="102" t="inlineStr">
        <is>
          <t>NOTIFICAÇÃO DE ESCLARECIMENTO</t>
        </is>
      </c>
      <c r="F97" s="104" t="inlineStr">
        <is>
          <t>ELETRÔNICA</t>
        </is>
      </c>
      <c r="G97" s="104" t="inlineStr">
        <is>
          <t>PRAZO D.P</t>
        </is>
      </c>
      <c r="H97" s="102" t="inlineStr">
        <is>
          <t>CARLA MENDES</t>
        </is>
      </c>
      <c r="I97" s="105" t="inlineStr">
        <is>
          <t>0587/2026</t>
        </is>
      </c>
      <c r="J97" s="105" t="inlineStr">
        <is>
          <t>2026.096753/13</t>
        </is>
      </c>
      <c r="K97" s="103" t="n">
        <v>46227</v>
      </c>
      <c r="L97" s="106">
        <f>IF(OR(D97="",E97=""),"",D97+IF(E97="NOTIFICAÇÃO DE CONSTATAÇÃO",PrazoConst,PrazoEsc))</f>
        <v>46317.0</v>
      </c>
      <c r="M97" s="107">
        <f>IF(L97="","",L97-TODAY())</f>
        <v>14</v>
      </c>
      <c r="N97" s="108" t="str">
        <f>IF(B97="","",IF(G97="DECISÃO D.P","EM DECISÃO",IF(G97="","SEM STATUS",IF(M97="","SEM DATA",IF(M97&lt;0,"VENCIDO",IF(M97&lt;=DiasAlerta,"VENCE EM BREVE","NO PRAZO"))))))</f>
        <v>NO PRAZO</v>
      </c>
      <c r="O97" s="109">
        <f>IF(D97="","",TODAY()-D97)</f>
        <v>1</v>
      </c>
      <c r="P97" s="102" t="n"/>
    </row>
    <row r="98" ht="18" customHeight="1">
      <c r="A98" s="101" t="n">
        <v>94</v>
      </c>
      <c r="B98" s="102" t="inlineStr">
        <is>
          <t>Financeira São Jorge Ltda</t>
        </is>
      </c>
      <c r="C98" s="102" t="inlineStr">
        <is>
          <t>BANCO</t>
        </is>
      </c>
      <c r="D98" s="103" t="n">
        <v>46302</v>
      </c>
      <c r="E98" s="102" t="inlineStr">
        <is>
          <t>NOTIFICAÇÃO DE CONSTATAÇÃO</t>
        </is>
      </c>
      <c r="F98" s="104" t="inlineStr">
        <is>
          <t>PRESENCIAL</t>
        </is>
      </c>
      <c r="G98" s="104" t="inlineStr">
        <is>
          <t>PRAZO D.P</t>
        </is>
      </c>
      <c r="H98" s="102" t="inlineStr">
        <is>
          <t>GABRIELA NUNES</t>
        </is>
      </c>
      <c r="I98" s="105" t="inlineStr">
        <is>
          <t>0503/2026</t>
        </is>
      </c>
      <c r="J98" s="105" t="inlineStr">
        <is>
          <t>2026.028554/07</t>
        </is>
      </c>
      <c r="K98" s="103" t="n">
        <v>46257</v>
      </c>
      <c r="L98" s="106">
        <f>IF(OR(D98="",E98=""),"",D98+IF(E98="NOTIFICAÇÃO DE CONSTATAÇÃO",PrazoConst,PrazoEsc))</f>
        <v>46312.0</v>
      </c>
      <c r="M98" s="107">
        <f>IF(L98="","",L98-TODAY())</f>
        <v>9</v>
      </c>
      <c r="N98" s="108" t="str">
        <f>IF(B98="","",IF(G98="DECISÃO D.P","EM DECISÃO",IF(G98="","SEM STATUS",IF(M98="","SEM DATA",IF(M98&lt;0,"VENCIDO",IF(M98&lt;=DiasAlerta,"VENCE EM BREVE","NO PRAZO"))))))</f>
        <v>NO PRAZO</v>
      </c>
      <c r="O98" s="109">
        <f>IF(D98="","",TODAY()-D98)</f>
        <v>1</v>
      </c>
      <c r="P98" s="102" t="n"/>
    </row>
    <row r="99" ht="18" customHeight="1">
      <c r="A99" s="101" t="n">
        <v>95</v>
      </c>
      <c r="B99" s="102" t="inlineStr">
        <is>
          <t>Banco Aliança</t>
        </is>
      </c>
      <c r="C99" s="102" t="inlineStr">
        <is>
          <t>BANCO</t>
        </is>
      </c>
      <c r="D99" s="103" t="n">
        <v>46302</v>
      </c>
      <c r="E99" s="102" t="inlineStr">
        <is>
          <t>NOTIFICAÇÃO DE ESCLARECIMENTO</t>
        </is>
      </c>
      <c r="F99" s="104" t="inlineStr">
        <is>
          <t>PRESENCIAL</t>
        </is>
      </c>
      <c r="G99" s="104" t="inlineStr">
        <is>
          <t>PRAZO D.P</t>
        </is>
      </c>
      <c r="H99" s="102" t="inlineStr">
        <is>
          <t>GABRIELA NUNES</t>
        </is>
      </c>
      <c r="I99" s="105" t="inlineStr">
        <is>
          <t>0871/2026</t>
        </is>
      </c>
      <c r="J99" s="105" t="inlineStr">
        <is>
          <t>2026.083138/12</t>
        </is>
      </c>
      <c r="K99" s="103" t="n">
        <v>46282</v>
      </c>
      <c r="L99" s="106">
        <f>IF(OR(D99="",E99=""),"",D99+IF(E99="NOTIFICAÇÃO DE CONSTATAÇÃO",PrazoConst,PrazoEsc))</f>
        <v>46317.0</v>
      </c>
      <c r="M99" s="107">
        <f>IF(L99="","",L99-TODAY())</f>
        <v>14</v>
      </c>
      <c r="N99" s="108" t="str">
        <f>IF(B99="","",IF(G99="DECISÃO D.P","EM DECISÃO",IF(G99="","SEM STATUS",IF(M99="","SEM DATA",IF(M99&lt;0,"VENCIDO",IF(M99&lt;=DiasAlerta,"VENCE EM BREVE","NO PRAZO"))))))</f>
        <v>NO PRAZO</v>
      </c>
      <c r="O99" s="109">
        <f>IF(D99="","",TODAY()-D99)</f>
        <v>1</v>
      </c>
      <c r="P99" s="102" t="n"/>
    </row>
    <row r="100" ht="18" customHeight="1">
      <c r="A100" s="101" t="n">
        <v>96</v>
      </c>
      <c r="B100" s="102" t="inlineStr">
        <is>
          <t>Escola Vitória</t>
        </is>
      </c>
      <c r="C100" s="102" t="inlineStr">
        <is>
          <t>ESCOLA</t>
        </is>
      </c>
      <c r="D100" s="103" t="n">
        <v>46303</v>
      </c>
      <c r="E100" s="102" t="inlineStr">
        <is>
          <t>NOTIFICAÇÃO DE ESCLARECIMENTO</t>
        </is>
      </c>
      <c r="F100" s="104" t="inlineStr">
        <is>
          <t>PRESENCIAL</t>
        </is>
      </c>
      <c r="G100" s="104" t="inlineStr">
        <is>
          <t>DECISÃO D.P</t>
        </is>
      </c>
      <c r="H100" s="102" t="inlineStr">
        <is>
          <t>ANA PAULA SOUZA</t>
        </is>
      </c>
      <c r="I100" s="105" t="inlineStr">
        <is>
          <t>0706/2026</t>
        </is>
      </c>
      <c r="J100" s="105" t="inlineStr">
        <is>
          <t>2026.034925/08</t>
        </is>
      </c>
      <c r="K100" s="103" t="n">
        <v>46233</v>
      </c>
      <c r="L100" s="106">
        <f>IF(OR(D100="",E100=""),"",D100+IF(E100="NOTIFICAÇÃO DE CONSTATAÇÃO",PrazoConst,PrazoEsc))</f>
        <v>46318.0</v>
      </c>
      <c r="M100" s="107">
        <f>IF(L100="","",L100-TODAY())</f>
        <v>15</v>
      </c>
      <c r="N100" s="108" t="str">
        <f>IF(B100="","",IF(G100="DECISÃO D.P","EM DECISÃO",IF(G100="","SEM STATUS",IF(M100="","SEM DATA",IF(M100&lt;0,"VENCIDO",IF(M100&lt;=DiasAlerta,"VENCE EM BREVE","NO PRAZO"))))))</f>
        <v>EM DECISÃO</v>
      </c>
      <c r="O100" s="109">
        <f>IF(D100="","",TODAY()-D100)</f>
        <v>0</v>
      </c>
      <c r="P100" s="102" t="n"/>
    </row>
    <row r="101" ht="18" customHeight="1">
      <c r="A101" s="101" t="n"/>
      <c r="B101" s="102" t="n"/>
      <c r="C101" s="102" t="n"/>
      <c r="D101" s="103" t="n"/>
      <c r="E101" s="102" t="n"/>
      <c r="F101" s="104" t="n"/>
      <c r="G101" s="104" t="n"/>
      <c r="H101" s="102" t="n"/>
      <c r="I101" s="105" t="n"/>
      <c r="J101" s="105" t="n"/>
      <c r="K101" s="103" t="n"/>
      <c r="L101" s="106" t="str">
        <f>IF(OR(D101="",E101=""),"",D101+IF(E101="NOTIFICAÇÃO DE CONSTATAÇÃO",PrazoConst,PrazoEsc))</f>
        <v/>
      </c>
      <c r="M101" s="107" t="str">
        <f>IF(L101="","",L101-TODAY())</f>
        <v/>
      </c>
      <c r="N101" s="108" t="str">
        <f>IF(B101="","",IF(G101="DECISÃO D.P","EM DECISÃO",IF(G101="","SEM STATUS",IF(M101="","SEM DATA",IF(M101&lt;0,"VENCIDO",IF(M101&lt;=DiasAlerta,"VENCE EM BREVE","NO PRAZO"))))))</f>
        <v/>
      </c>
      <c r="O101" s="109" t="str">
        <f>IF(D101="","",TODAY()-D101)</f>
        <v/>
      </c>
      <c r="P101" s="102" t="n"/>
    </row>
    <row r="102" ht="18" customHeight="1">
      <c r="A102" s="101" t="n"/>
      <c r="B102" s="102" t="n"/>
      <c r="C102" s="102" t="n"/>
      <c r="D102" s="103" t="n"/>
      <c r="E102" s="102" t="n"/>
      <c r="F102" s="104" t="n"/>
      <c r="G102" s="104" t="n"/>
      <c r="H102" s="102" t="n"/>
      <c r="I102" s="105" t="n"/>
      <c r="J102" s="105" t="n"/>
      <c r="K102" s="103" t="n"/>
      <c r="L102" s="106" t="str">
        <f>IF(OR(D102="",E102=""),"",D102+IF(E102="NOTIFICAÇÃO DE CONSTATAÇÃO",PrazoConst,PrazoEsc))</f>
        <v/>
      </c>
      <c r="M102" s="107" t="str">
        <f>IF(L102="","",L102-TODAY())</f>
        <v/>
      </c>
      <c r="N102" s="108" t="str">
        <f>IF(B102="","",IF(G102="DECISÃO D.P","EM DECISÃO",IF(G102="","SEM STATUS",IF(M102="","SEM DATA",IF(M102&lt;0,"VENCIDO",IF(M102&lt;=DiasAlerta,"VENCE EM BREVE","NO PRAZO"))))))</f>
        <v/>
      </c>
      <c r="O102" s="109" t="str">
        <f>IF(D102="","",TODAY()-D102)</f>
        <v/>
      </c>
      <c r="P102" s="102" t="n"/>
    </row>
    <row r="103" ht="18" customHeight="1">
      <c r="A103" s="101" t="n"/>
      <c r="B103" s="102" t="n"/>
      <c r="C103" s="102" t="n"/>
      <c r="D103" s="103" t="n"/>
      <c r="E103" s="102" t="n"/>
      <c r="F103" s="104" t="n"/>
      <c r="G103" s="104" t="n"/>
      <c r="H103" s="102" t="n"/>
      <c r="I103" s="105" t="n"/>
      <c r="J103" s="105" t="n"/>
      <c r="K103" s="103" t="n"/>
      <c r="L103" s="106" t="str">
        <f>IF(OR(D103="",E103=""),"",D103+IF(E103="NOTIFICAÇÃO DE CONSTATAÇÃO",PrazoConst,PrazoEsc))</f>
        <v/>
      </c>
      <c r="M103" s="107" t="str">
        <f>IF(L103="","",L103-TODAY())</f>
        <v/>
      </c>
      <c r="N103" s="108" t="str">
        <f>IF(B103="","",IF(G103="DECISÃO D.P","EM DECISÃO",IF(G103="","SEM STATUS",IF(M103="","SEM DATA",IF(M103&lt;0,"VENCIDO",IF(M103&lt;=DiasAlerta,"VENCE EM BREVE","NO PRAZO"))))))</f>
        <v/>
      </c>
      <c r="O103" s="109" t="str">
        <f>IF(D103="","",TODAY()-D103)</f>
        <v/>
      </c>
      <c r="P103" s="102" t="n"/>
    </row>
    <row r="104" ht="18" customHeight="1">
      <c r="A104" s="101" t="n"/>
      <c r="B104" s="102" t="n"/>
      <c r="C104" s="102" t="n"/>
      <c r="D104" s="103" t="n"/>
      <c r="E104" s="102" t="n"/>
      <c r="F104" s="104" t="n"/>
      <c r="G104" s="104" t="n"/>
      <c r="H104" s="102" t="n"/>
      <c r="I104" s="105" t="n"/>
      <c r="J104" s="105" t="n"/>
      <c r="K104" s="103" t="n"/>
      <c r="L104" s="106" t="str">
        <f>IF(OR(D104="",E104=""),"",D104+IF(E104="NOTIFICAÇÃO DE CONSTATAÇÃO",PrazoConst,PrazoEsc))</f>
        <v/>
      </c>
      <c r="M104" s="107" t="str">
        <f>IF(L104="","",L104-TODAY())</f>
        <v/>
      </c>
      <c r="N104" s="108" t="str">
        <f>IF(B104="","",IF(G104="DECISÃO D.P","EM DECISÃO",IF(G104="","SEM STATUS",IF(M104="","SEM DATA",IF(M104&lt;0,"VENCIDO",IF(M104&lt;=DiasAlerta,"VENCE EM BREVE","NO PRAZO"))))))</f>
        <v/>
      </c>
      <c r="O104" s="109" t="str">
        <f>IF(D104="","",TODAY()-D104)</f>
        <v/>
      </c>
      <c r="P104" s="102" t="n"/>
    </row>
    <row r="105" ht="18" customHeight="1">
      <c r="A105" s="101" t="n"/>
      <c r="B105" s="102" t="n"/>
      <c r="C105" s="102" t="n"/>
      <c r="D105" s="103" t="n"/>
      <c r="E105" s="102" t="n"/>
      <c r="F105" s="104" t="n"/>
      <c r="G105" s="104" t="n"/>
      <c r="H105" s="102" t="n"/>
      <c r="I105" s="105" t="n"/>
      <c r="J105" s="105" t="n"/>
      <c r="K105" s="103" t="n"/>
      <c r="L105" s="106" t="str">
        <f>IF(OR(D105="",E105=""),"",D105+IF(E105="NOTIFICAÇÃO DE CONSTATAÇÃO",PrazoConst,PrazoEsc))</f>
        <v/>
      </c>
      <c r="M105" s="107" t="str">
        <f>IF(L105="","",L105-TODAY())</f>
        <v/>
      </c>
      <c r="N105" s="108" t="str">
        <f>IF(B105="","",IF(G105="DECISÃO D.P","EM DECISÃO",IF(G105="","SEM STATUS",IF(M105="","SEM DATA",IF(M105&lt;0,"VENCIDO",IF(M105&lt;=DiasAlerta,"VENCE EM BREVE","NO PRAZO"))))))</f>
        <v/>
      </c>
      <c r="O105" s="109" t="str">
        <f>IF(D105="","",TODAY()-D105)</f>
        <v/>
      </c>
      <c r="P105" s="102" t="n"/>
    </row>
    <row r="106" ht="18" customHeight="1">
      <c r="A106" s="101" t="n"/>
      <c r="B106" s="102" t="n"/>
      <c r="C106" s="102" t="n"/>
      <c r="D106" s="103" t="n"/>
      <c r="E106" s="102" t="n"/>
      <c r="F106" s="104" t="n"/>
      <c r="G106" s="104" t="n"/>
      <c r="H106" s="102" t="n"/>
      <c r="I106" s="105" t="n"/>
      <c r="J106" s="105" t="n"/>
      <c r="K106" s="103" t="n"/>
      <c r="L106" s="106" t="str">
        <f>IF(OR(D106="",E106=""),"",D106+IF(E106="NOTIFICAÇÃO DE CONSTATAÇÃO",PrazoConst,PrazoEsc))</f>
        <v/>
      </c>
      <c r="M106" s="107" t="str">
        <f>IF(L106="","",L106-TODAY())</f>
        <v/>
      </c>
      <c r="N106" s="108" t="str">
        <f>IF(B106="","",IF(G106="DECISÃO D.P","EM DECISÃO",IF(G106="","SEM STATUS",IF(M106="","SEM DATA",IF(M106&lt;0,"VENCIDO",IF(M106&lt;=DiasAlerta,"VENCE EM BREVE","NO PRAZO"))))))</f>
        <v/>
      </c>
      <c r="O106" s="109" t="str">
        <f>IF(D106="","",TODAY()-D106)</f>
        <v/>
      </c>
      <c r="P106" s="102" t="n"/>
    </row>
    <row r="107" ht="18" customHeight="1">
      <c r="A107" s="101" t="n"/>
      <c r="B107" s="102" t="n"/>
      <c r="C107" s="102" t="n"/>
      <c r="D107" s="103" t="n"/>
      <c r="E107" s="102" t="n"/>
      <c r="F107" s="104" t="n"/>
      <c r="G107" s="104" t="n"/>
      <c r="H107" s="102" t="n"/>
      <c r="I107" s="105" t="n"/>
      <c r="J107" s="105" t="n"/>
      <c r="K107" s="103" t="n"/>
      <c r="L107" s="106" t="str">
        <f>IF(OR(D107="",E107=""),"",D107+IF(E107="NOTIFICAÇÃO DE CONSTATAÇÃO",PrazoConst,PrazoEsc))</f>
        <v/>
      </c>
      <c r="M107" s="107" t="str">
        <f>IF(L107="","",L107-TODAY())</f>
        <v/>
      </c>
      <c r="N107" s="108" t="str">
        <f>IF(B107="","",IF(G107="DECISÃO D.P","EM DECISÃO",IF(G107="","SEM STATUS",IF(M107="","SEM DATA",IF(M107&lt;0,"VENCIDO",IF(M107&lt;=DiasAlerta,"VENCE EM BREVE","NO PRAZO"))))))</f>
        <v/>
      </c>
      <c r="O107" s="109" t="str">
        <f>IF(D107="","",TODAY()-D107)</f>
        <v/>
      </c>
      <c r="P107" s="102" t="n"/>
    </row>
    <row r="108" ht="18" customHeight="1">
      <c r="A108" s="101" t="n"/>
      <c r="B108" s="102" t="n"/>
      <c r="C108" s="102" t="n"/>
      <c r="D108" s="103" t="n"/>
      <c r="E108" s="102" t="n"/>
      <c r="F108" s="104" t="n"/>
      <c r="G108" s="104" t="n"/>
      <c r="H108" s="102" t="n"/>
      <c r="I108" s="105" t="n"/>
      <c r="J108" s="105" t="n"/>
      <c r="K108" s="103" t="n"/>
      <c r="L108" s="106" t="str">
        <f>IF(OR(D108="",E108=""),"",D108+IF(E108="NOTIFICAÇÃO DE CONSTATAÇÃO",PrazoConst,PrazoEsc))</f>
        <v/>
      </c>
      <c r="M108" s="107" t="str">
        <f>IF(L108="","",L108-TODAY())</f>
        <v/>
      </c>
      <c r="N108" s="108" t="str">
        <f>IF(B108="","",IF(G108="DECISÃO D.P","EM DECISÃO",IF(G108="","SEM STATUS",IF(M108="","SEM DATA",IF(M108&lt;0,"VENCIDO",IF(M108&lt;=DiasAlerta,"VENCE EM BREVE","NO PRAZO"))))))</f>
        <v/>
      </c>
      <c r="O108" s="109" t="str">
        <f>IF(D108="","",TODAY()-D108)</f>
        <v/>
      </c>
      <c r="P108" s="102" t="n"/>
    </row>
    <row r="109" ht="18" customHeight="1">
      <c r="A109" s="101" t="n"/>
      <c r="B109" s="102" t="n"/>
      <c r="C109" s="102" t="n"/>
      <c r="D109" s="103" t="n"/>
      <c r="E109" s="102" t="n"/>
      <c r="F109" s="104" t="n"/>
      <c r="G109" s="104" t="n"/>
      <c r="H109" s="102" t="n"/>
      <c r="I109" s="105" t="n"/>
      <c r="J109" s="105" t="n"/>
      <c r="K109" s="103" t="n"/>
      <c r="L109" s="106" t="str">
        <f>IF(OR(D109="",E109=""),"",D109+IF(E109="NOTIFICAÇÃO DE CONSTATAÇÃO",PrazoConst,PrazoEsc))</f>
        <v/>
      </c>
      <c r="M109" s="107" t="str">
        <f>IF(L109="","",L109-TODAY())</f>
        <v/>
      </c>
      <c r="N109" s="108" t="str">
        <f>IF(B109="","",IF(G109="DECISÃO D.P","EM DECISÃO",IF(G109="","SEM STATUS",IF(M109="","SEM DATA",IF(M109&lt;0,"VENCIDO",IF(M109&lt;=DiasAlerta,"VENCE EM BREVE","NO PRAZO"))))))</f>
        <v/>
      </c>
      <c r="O109" s="109" t="str">
        <f>IF(D109="","",TODAY()-D109)</f>
        <v/>
      </c>
      <c r="P109" s="102" t="n"/>
    </row>
    <row r="110" ht="18" customHeight="1">
      <c r="A110" s="101" t="n"/>
      <c r="B110" s="102" t="n"/>
      <c r="C110" s="102" t="n"/>
      <c r="D110" s="103" t="n"/>
      <c r="E110" s="102" t="n"/>
      <c r="F110" s="104" t="n"/>
      <c r="G110" s="104" t="n"/>
      <c r="H110" s="102" t="n"/>
      <c r="I110" s="105" t="n"/>
      <c r="J110" s="105" t="n"/>
      <c r="K110" s="103" t="n"/>
      <c r="L110" s="106" t="str">
        <f>IF(OR(D110="",E110=""),"",D110+IF(E110="NOTIFICAÇÃO DE CONSTATAÇÃO",PrazoConst,PrazoEsc))</f>
        <v/>
      </c>
      <c r="M110" s="107" t="str">
        <f>IF(L110="","",L110-TODAY())</f>
        <v/>
      </c>
      <c r="N110" s="108" t="str">
        <f>IF(B110="","",IF(G110="DECISÃO D.P","EM DECISÃO",IF(G110="","SEM STATUS",IF(M110="","SEM DATA",IF(M110&lt;0,"VENCIDO",IF(M110&lt;=DiasAlerta,"VENCE EM BREVE","NO PRAZO"))))))</f>
        <v/>
      </c>
      <c r="O110" s="109" t="str">
        <f>IF(D110="","",TODAY()-D110)</f>
        <v/>
      </c>
      <c r="P110" s="102" t="n"/>
    </row>
    <row r="111" ht="18" customHeight="1">
      <c r="A111" s="101" t="n"/>
      <c r="B111" s="102" t="n"/>
      <c r="C111" s="102" t="n"/>
      <c r="D111" s="103" t="n"/>
      <c r="E111" s="102" t="n"/>
      <c r="F111" s="104" t="n"/>
      <c r="G111" s="104" t="n"/>
      <c r="H111" s="102" t="n"/>
      <c r="I111" s="105" t="n"/>
      <c r="J111" s="105" t="n"/>
      <c r="K111" s="103" t="n"/>
      <c r="L111" s="106" t="str">
        <f>IF(OR(D111="",E111=""),"",D111+IF(E111="NOTIFICAÇÃO DE CONSTATAÇÃO",PrazoConst,PrazoEsc))</f>
        <v/>
      </c>
      <c r="M111" s="107" t="str">
        <f>IF(L111="","",L111-TODAY())</f>
        <v/>
      </c>
      <c r="N111" s="108" t="str">
        <f>IF(B111="","",IF(G111="DECISÃO D.P","EM DECISÃO",IF(G111="","SEM STATUS",IF(M111="","SEM DATA",IF(M111&lt;0,"VENCIDO",IF(M111&lt;=DiasAlerta,"VENCE EM BREVE","NO PRAZO"))))))</f>
        <v/>
      </c>
      <c r="O111" s="109" t="str">
        <f>IF(D111="","",TODAY()-D111)</f>
        <v/>
      </c>
      <c r="P111" s="102" t="n"/>
    </row>
    <row r="112" ht="18" customHeight="1">
      <c r="A112" s="101" t="n"/>
      <c r="B112" s="102" t="n"/>
      <c r="C112" s="102" t="n"/>
      <c r="D112" s="103" t="n"/>
      <c r="E112" s="102" t="n"/>
      <c r="F112" s="104" t="n"/>
      <c r="G112" s="104" t="n"/>
      <c r="H112" s="102" t="n"/>
      <c r="I112" s="105" t="n"/>
      <c r="J112" s="105" t="n"/>
      <c r="K112" s="103" t="n"/>
      <c r="L112" s="106" t="str">
        <f>IF(OR(D112="",E112=""),"",D112+IF(E112="NOTIFICAÇÃO DE CONSTATAÇÃO",PrazoConst,PrazoEsc))</f>
        <v/>
      </c>
      <c r="M112" s="107" t="str">
        <f>IF(L112="","",L112-TODAY())</f>
        <v/>
      </c>
      <c r="N112" s="108" t="str">
        <f>IF(B112="","",IF(G112="DECISÃO D.P","EM DECISÃO",IF(G112="","SEM STATUS",IF(M112="","SEM DATA",IF(M112&lt;0,"VENCIDO",IF(M112&lt;=DiasAlerta,"VENCE EM BREVE","NO PRAZO"))))))</f>
        <v/>
      </c>
      <c r="O112" s="109" t="str">
        <f>IF(D112="","",TODAY()-D112)</f>
        <v/>
      </c>
      <c r="P112" s="102" t="n"/>
    </row>
    <row r="113" ht="18" customHeight="1">
      <c r="A113" s="101" t="n"/>
      <c r="B113" s="102" t="n"/>
      <c r="C113" s="102" t="n"/>
      <c r="D113" s="103" t="n"/>
      <c r="E113" s="102" t="n"/>
      <c r="F113" s="104" t="n"/>
      <c r="G113" s="104" t="n"/>
      <c r="H113" s="102" t="n"/>
      <c r="I113" s="105" t="n"/>
      <c r="J113" s="105" t="n"/>
      <c r="K113" s="103" t="n"/>
      <c r="L113" s="106" t="str">
        <f>IF(OR(D113="",E113=""),"",D113+IF(E113="NOTIFICAÇÃO DE CONSTATAÇÃO",PrazoConst,PrazoEsc))</f>
        <v/>
      </c>
      <c r="M113" s="107" t="str">
        <f>IF(L113="","",L113-TODAY())</f>
        <v/>
      </c>
      <c r="N113" s="108" t="str">
        <f>IF(B113="","",IF(G113="DECISÃO D.P","EM DECISÃO",IF(G113="","SEM STATUS",IF(M113="","SEM DATA",IF(M113&lt;0,"VENCIDO",IF(M113&lt;=DiasAlerta,"VENCE EM BREVE","NO PRAZO"))))))</f>
        <v/>
      </c>
      <c r="O113" s="109" t="str">
        <f>IF(D113="","",TODAY()-D113)</f>
        <v/>
      </c>
      <c r="P113" s="102" t="n"/>
    </row>
    <row r="114" ht="18" customHeight="1">
      <c r="A114" s="101" t="n"/>
      <c r="B114" s="102" t="n"/>
      <c r="C114" s="102" t="n"/>
      <c r="D114" s="103" t="n"/>
      <c r="E114" s="102" t="n"/>
      <c r="F114" s="104" t="n"/>
      <c r="G114" s="104" t="n"/>
      <c r="H114" s="102" t="n"/>
      <c r="I114" s="105" t="n"/>
      <c r="J114" s="105" t="n"/>
      <c r="K114" s="103" t="n"/>
      <c r="L114" s="106" t="str">
        <f>IF(OR(D114="",E114=""),"",D114+IF(E114="NOTIFICAÇÃO DE CONSTATAÇÃO",PrazoConst,PrazoEsc))</f>
        <v/>
      </c>
      <c r="M114" s="107" t="str">
        <f>IF(L114="","",L114-TODAY())</f>
        <v/>
      </c>
      <c r="N114" s="108" t="str">
        <f>IF(B114="","",IF(G114="DECISÃO D.P","EM DECISÃO",IF(G114="","SEM STATUS",IF(M114="","SEM DATA",IF(M114&lt;0,"VENCIDO",IF(M114&lt;=DiasAlerta,"VENCE EM BREVE","NO PRAZO"))))))</f>
        <v/>
      </c>
      <c r="O114" s="109" t="str">
        <f>IF(D114="","",TODAY()-D114)</f>
        <v/>
      </c>
      <c r="P114" s="102" t="n"/>
    </row>
    <row r="115" ht="18" customHeight="1">
      <c r="A115" s="101" t="n"/>
      <c r="B115" s="102" t="n"/>
      <c r="C115" s="102" t="n"/>
      <c r="D115" s="103" t="n"/>
      <c r="E115" s="102" t="n"/>
      <c r="F115" s="104" t="n"/>
      <c r="G115" s="104" t="n"/>
      <c r="H115" s="102" t="n"/>
      <c r="I115" s="105" t="n"/>
      <c r="J115" s="105" t="n"/>
      <c r="K115" s="103" t="n"/>
      <c r="L115" s="106" t="str">
        <f>IF(OR(D115="",E115=""),"",D115+IF(E115="NOTIFICAÇÃO DE CONSTATAÇÃO",PrazoConst,PrazoEsc))</f>
        <v/>
      </c>
      <c r="M115" s="107" t="str">
        <f>IF(L115="","",L115-TODAY())</f>
        <v/>
      </c>
      <c r="N115" s="108" t="str">
        <f>IF(B115="","",IF(G115="DECISÃO D.P","EM DECISÃO",IF(G115="","SEM STATUS",IF(M115="","SEM DATA",IF(M115&lt;0,"VENCIDO",IF(M115&lt;=DiasAlerta,"VENCE EM BREVE","NO PRAZO"))))))</f>
        <v/>
      </c>
      <c r="O115" s="109" t="str">
        <f>IF(D115="","",TODAY()-D115)</f>
        <v/>
      </c>
      <c r="P115" s="102" t="n"/>
    </row>
    <row r="116" ht="18" customHeight="1">
      <c r="A116" s="101" t="n"/>
      <c r="B116" s="102" t="n"/>
      <c r="C116" s="102" t="n"/>
      <c r="D116" s="103" t="n"/>
      <c r="E116" s="102" t="n"/>
      <c r="F116" s="104" t="n"/>
      <c r="G116" s="104" t="n"/>
      <c r="H116" s="102" t="n"/>
      <c r="I116" s="105" t="n"/>
      <c r="J116" s="105" t="n"/>
      <c r="K116" s="103" t="n"/>
      <c r="L116" s="106" t="str">
        <f>IF(OR(D116="",E116=""),"",D116+IF(E116="NOTIFICAÇÃO DE CONSTATAÇÃO",PrazoConst,PrazoEsc))</f>
        <v/>
      </c>
      <c r="M116" s="107" t="str">
        <f>IF(L116="","",L116-TODAY())</f>
        <v/>
      </c>
      <c r="N116" s="108" t="str">
        <f>IF(B116="","",IF(G116="DECISÃO D.P","EM DECISÃO",IF(G116="","SEM STATUS",IF(M116="","SEM DATA",IF(M116&lt;0,"VENCIDO",IF(M116&lt;=DiasAlerta,"VENCE EM BREVE","NO PRAZO"))))))</f>
        <v/>
      </c>
      <c r="O116" s="109" t="str">
        <f>IF(D116="","",TODAY()-D116)</f>
        <v/>
      </c>
      <c r="P116" s="102" t="n"/>
    </row>
    <row r="117" ht="18" customHeight="1">
      <c r="A117" s="101" t="n"/>
      <c r="B117" s="102" t="n"/>
      <c r="C117" s="102" t="n"/>
      <c r="D117" s="103" t="n"/>
      <c r="E117" s="102" t="n"/>
      <c r="F117" s="104" t="n"/>
      <c r="G117" s="104" t="n"/>
      <c r="H117" s="102" t="n"/>
      <c r="I117" s="105" t="n"/>
      <c r="J117" s="105" t="n"/>
      <c r="K117" s="103" t="n"/>
      <c r="L117" s="106" t="str">
        <f>IF(OR(D117="",E117=""),"",D117+IF(E117="NOTIFICAÇÃO DE CONSTATAÇÃO",PrazoConst,PrazoEsc))</f>
        <v/>
      </c>
      <c r="M117" s="107" t="str">
        <f>IF(L117="","",L117-TODAY())</f>
        <v/>
      </c>
      <c r="N117" s="108" t="str">
        <f>IF(B117="","",IF(G117="DECISÃO D.P","EM DECISÃO",IF(G117="","SEM STATUS",IF(M117="","SEM DATA",IF(M117&lt;0,"VENCIDO",IF(M117&lt;=DiasAlerta,"VENCE EM BREVE","NO PRAZO"))))))</f>
        <v/>
      </c>
      <c r="O117" s="109" t="str">
        <f>IF(D117="","",TODAY()-D117)</f>
        <v/>
      </c>
      <c r="P117" s="102" t="n"/>
    </row>
    <row r="118" ht="18" customHeight="1">
      <c r="A118" s="101" t="n"/>
      <c r="B118" s="102" t="n"/>
      <c r="C118" s="102" t="n"/>
      <c r="D118" s="103" t="n"/>
      <c r="E118" s="102" t="n"/>
      <c r="F118" s="104" t="n"/>
      <c r="G118" s="104" t="n"/>
      <c r="H118" s="102" t="n"/>
      <c r="I118" s="105" t="n"/>
      <c r="J118" s="105" t="n"/>
      <c r="K118" s="103" t="n"/>
      <c r="L118" s="106" t="str">
        <f>IF(OR(D118="",E118=""),"",D118+IF(E118="NOTIFICAÇÃO DE CONSTATAÇÃO",PrazoConst,PrazoEsc))</f>
        <v/>
      </c>
      <c r="M118" s="107" t="str">
        <f>IF(L118="","",L118-TODAY())</f>
        <v/>
      </c>
      <c r="N118" s="108" t="str">
        <f>IF(B118="","",IF(G118="DECISÃO D.P","EM DECISÃO",IF(G118="","SEM STATUS",IF(M118="","SEM DATA",IF(M118&lt;0,"VENCIDO",IF(M118&lt;=DiasAlerta,"VENCE EM BREVE","NO PRAZO"))))))</f>
        <v/>
      </c>
      <c r="O118" s="109" t="str">
        <f>IF(D118="","",TODAY()-D118)</f>
        <v/>
      </c>
      <c r="P118" s="102" t="n"/>
    </row>
    <row r="119" ht="18" customHeight="1">
      <c r="A119" s="101" t="n"/>
      <c r="B119" s="102" t="n"/>
      <c r="C119" s="102" t="n"/>
      <c r="D119" s="103" t="n"/>
      <c r="E119" s="102" t="n"/>
      <c r="F119" s="104" t="n"/>
      <c r="G119" s="104" t="n"/>
      <c r="H119" s="102" t="n"/>
      <c r="I119" s="105" t="n"/>
      <c r="J119" s="105" t="n"/>
      <c r="K119" s="103" t="n"/>
      <c r="L119" s="106" t="str">
        <f>IF(OR(D119="",E119=""),"",D119+IF(E119="NOTIFICAÇÃO DE CONSTATAÇÃO",PrazoConst,PrazoEsc))</f>
        <v/>
      </c>
      <c r="M119" s="107" t="str">
        <f>IF(L119="","",L119-TODAY())</f>
        <v/>
      </c>
      <c r="N119" s="108" t="str">
        <f>IF(B119="","",IF(G119="DECISÃO D.P","EM DECISÃO",IF(G119="","SEM STATUS",IF(M119="","SEM DATA",IF(M119&lt;0,"VENCIDO",IF(M119&lt;=DiasAlerta,"VENCE EM BREVE","NO PRAZO"))))))</f>
        <v/>
      </c>
      <c r="O119" s="109" t="str">
        <f>IF(D119="","",TODAY()-D119)</f>
        <v/>
      </c>
      <c r="P119" s="102" t="n"/>
    </row>
    <row r="120" ht="18" customHeight="1">
      <c r="A120" s="101" t="n"/>
      <c r="B120" s="102" t="n"/>
      <c r="C120" s="102" t="n"/>
      <c r="D120" s="103" t="n"/>
      <c r="E120" s="102" t="n"/>
      <c r="F120" s="104" t="n"/>
      <c r="G120" s="104" t="n"/>
      <c r="H120" s="102" t="n"/>
      <c r="I120" s="105" t="n"/>
      <c r="J120" s="105" t="n"/>
      <c r="K120" s="103" t="n"/>
      <c r="L120" s="106" t="str">
        <f>IF(OR(D120="",E120=""),"",D120+IF(E120="NOTIFICAÇÃO DE CONSTATAÇÃO",PrazoConst,PrazoEsc))</f>
        <v/>
      </c>
      <c r="M120" s="107" t="str">
        <f>IF(L120="","",L120-TODAY())</f>
        <v/>
      </c>
      <c r="N120" s="108" t="str">
        <f>IF(B120="","",IF(G120="DECISÃO D.P","EM DECISÃO",IF(G120="","SEM STATUS",IF(M120="","SEM DATA",IF(M120&lt;0,"VENCIDO",IF(M120&lt;=DiasAlerta,"VENCE EM BREVE","NO PRAZO"))))))</f>
        <v/>
      </c>
      <c r="O120" s="109" t="str">
        <f>IF(D120="","",TODAY()-D120)</f>
        <v/>
      </c>
      <c r="P120" s="102" t="n"/>
    </row>
    <row r="121" ht="18" customHeight="1">
      <c r="A121" s="101" t="n"/>
      <c r="B121" s="102" t="n"/>
      <c r="C121" s="102" t="n"/>
      <c r="D121" s="103" t="n"/>
      <c r="E121" s="102" t="n"/>
      <c r="F121" s="104" t="n"/>
      <c r="G121" s="104" t="n"/>
      <c r="H121" s="102" t="n"/>
      <c r="I121" s="105" t="n"/>
      <c r="J121" s="105" t="n"/>
      <c r="K121" s="103" t="n"/>
      <c r="L121" s="106" t="str">
        <f>IF(OR(D121="",E121=""),"",D121+IF(E121="NOTIFICAÇÃO DE CONSTATAÇÃO",PrazoConst,PrazoEsc))</f>
        <v/>
      </c>
      <c r="M121" s="107" t="str">
        <f>IF(L121="","",L121-TODAY())</f>
        <v/>
      </c>
      <c r="N121" s="108" t="str">
        <f>IF(B121="","",IF(G121="DECISÃO D.P","EM DECISÃO",IF(G121="","SEM STATUS",IF(M121="","SEM DATA",IF(M121&lt;0,"VENCIDO",IF(M121&lt;=DiasAlerta,"VENCE EM BREVE","NO PRAZO"))))))</f>
        <v/>
      </c>
      <c r="O121" s="109" t="str">
        <f>IF(D121="","",TODAY()-D121)</f>
        <v/>
      </c>
      <c r="P121" s="102" t="n"/>
    </row>
    <row r="122" ht="18" customHeight="1">
      <c r="A122" s="101" t="n"/>
      <c r="B122" s="102" t="n"/>
      <c r="C122" s="102" t="n"/>
      <c r="D122" s="103" t="n"/>
      <c r="E122" s="102" t="n"/>
      <c r="F122" s="104" t="n"/>
      <c r="G122" s="104" t="n"/>
      <c r="H122" s="102" t="n"/>
      <c r="I122" s="105" t="n"/>
      <c r="J122" s="105" t="n"/>
      <c r="K122" s="103" t="n"/>
      <c r="L122" s="106" t="str">
        <f>IF(OR(D122="",E122=""),"",D122+IF(E122="NOTIFICAÇÃO DE CONSTATAÇÃO",PrazoConst,PrazoEsc))</f>
        <v/>
      </c>
      <c r="M122" s="107" t="str">
        <f>IF(L122="","",L122-TODAY())</f>
        <v/>
      </c>
      <c r="N122" s="108" t="str">
        <f>IF(B122="","",IF(G122="DECISÃO D.P","EM DECISÃO",IF(G122="","SEM STATUS",IF(M122="","SEM DATA",IF(M122&lt;0,"VENCIDO",IF(M122&lt;=DiasAlerta,"VENCE EM BREVE","NO PRAZO"))))))</f>
        <v/>
      </c>
      <c r="O122" s="109" t="str">
        <f>IF(D122="","",TODAY()-D122)</f>
        <v/>
      </c>
      <c r="P122" s="102" t="n"/>
    </row>
    <row r="123" ht="18" customHeight="1">
      <c r="A123" s="101" t="n"/>
      <c r="B123" s="102" t="n"/>
      <c r="C123" s="102" t="n"/>
      <c r="D123" s="103" t="n"/>
      <c r="E123" s="102" t="n"/>
      <c r="F123" s="104" t="n"/>
      <c r="G123" s="104" t="n"/>
      <c r="H123" s="102" t="n"/>
      <c r="I123" s="105" t="n"/>
      <c r="J123" s="105" t="n"/>
      <c r="K123" s="103" t="n"/>
      <c r="L123" s="106" t="str">
        <f>IF(OR(D123="",E123=""),"",D123+IF(E123="NOTIFICAÇÃO DE CONSTATAÇÃO",PrazoConst,PrazoEsc))</f>
        <v/>
      </c>
      <c r="M123" s="107" t="str">
        <f>IF(L123="","",L123-TODAY())</f>
        <v/>
      </c>
      <c r="N123" s="108" t="str">
        <f>IF(B123="","",IF(G123="DECISÃO D.P","EM DECISÃO",IF(G123="","SEM STATUS",IF(M123="","SEM DATA",IF(M123&lt;0,"VENCIDO",IF(M123&lt;=DiasAlerta,"VENCE EM BREVE","NO PRAZO"))))))</f>
        <v/>
      </c>
      <c r="O123" s="109" t="str">
        <f>IF(D123="","",TODAY()-D123)</f>
        <v/>
      </c>
      <c r="P123" s="102" t="n"/>
    </row>
    <row r="124" ht="18" customHeight="1">
      <c r="A124" s="101" t="n"/>
      <c r="B124" s="102" t="n"/>
      <c r="C124" s="102" t="n"/>
      <c r="D124" s="103" t="n"/>
      <c r="E124" s="102" t="n"/>
      <c r="F124" s="104" t="n"/>
      <c r="G124" s="104" t="n"/>
      <c r="H124" s="102" t="n"/>
      <c r="I124" s="105" t="n"/>
      <c r="J124" s="105" t="n"/>
      <c r="K124" s="103" t="n"/>
      <c r="L124" s="106" t="str">
        <f>IF(OR(D124="",E124=""),"",D124+IF(E124="NOTIFICAÇÃO DE CONSTATAÇÃO",PrazoConst,PrazoEsc))</f>
        <v/>
      </c>
      <c r="M124" s="107" t="str">
        <f>IF(L124="","",L124-TODAY())</f>
        <v/>
      </c>
      <c r="N124" s="108" t="str">
        <f>IF(B124="","",IF(G124="DECISÃO D.P","EM DECISÃO",IF(G124="","SEM STATUS",IF(M124="","SEM DATA",IF(M124&lt;0,"VENCIDO",IF(M124&lt;=DiasAlerta,"VENCE EM BREVE","NO PRAZO"))))))</f>
        <v/>
      </c>
      <c r="O124" s="109" t="str">
        <f>IF(D124="","",TODAY()-D124)</f>
        <v/>
      </c>
      <c r="P124" s="102" t="n"/>
    </row>
    <row r="125" ht="18" customHeight="1">
      <c r="A125" s="101" t="n"/>
      <c r="B125" s="102" t="n"/>
      <c r="C125" s="102" t="n"/>
      <c r="D125" s="103" t="n"/>
      <c r="E125" s="102" t="n"/>
      <c r="F125" s="104" t="n"/>
      <c r="G125" s="104" t="n"/>
      <c r="H125" s="102" t="n"/>
      <c r="I125" s="105" t="n"/>
      <c r="J125" s="105" t="n"/>
      <c r="K125" s="103" t="n"/>
      <c r="L125" s="106" t="str">
        <f>IF(OR(D125="",E125=""),"",D125+IF(E125="NOTIFICAÇÃO DE CONSTATAÇÃO",PrazoConst,PrazoEsc))</f>
        <v/>
      </c>
      <c r="M125" s="107" t="str">
        <f>IF(L125="","",L125-TODAY())</f>
        <v/>
      </c>
      <c r="N125" s="108" t="str">
        <f>IF(B125="","",IF(G125="DECISÃO D.P","EM DECISÃO",IF(G125="","SEM STATUS",IF(M125="","SEM DATA",IF(M125&lt;0,"VENCIDO",IF(M125&lt;=DiasAlerta,"VENCE EM BREVE","NO PRAZO"))))))</f>
        <v/>
      </c>
      <c r="O125" s="109" t="str">
        <f>IF(D125="","",TODAY()-D125)</f>
        <v/>
      </c>
      <c r="P125" s="102" t="n"/>
    </row>
    <row r="126" ht="18" customHeight="1">
      <c r="A126" s="101" t="n"/>
      <c r="B126" s="102" t="n"/>
      <c r="C126" s="102" t="n"/>
      <c r="D126" s="103" t="n"/>
      <c r="E126" s="102" t="n"/>
      <c r="F126" s="104" t="n"/>
      <c r="G126" s="104" t="n"/>
      <c r="H126" s="102" t="n"/>
      <c r="I126" s="105" t="n"/>
      <c r="J126" s="105" t="n"/>
      <c r="K126" s="103" t="n"/>
      <c r="L126" s="106" t="str">
        <f>IF(OR(D126="",E126=""),"",D126+IF(E126="NOTIFICAÇÃO DE CONSTATAÇÃO",PrazoConst,PrazoEsc))</f>
        <v/>
      </c>
      <c r="M126" s="107" t="str">
        <f>IF(L126="","",L126-TODAY())</f>
        <v/>
      </c>
      <c r="N126" s="108" t="str">
        <f>IF(B126="","",IF(G126="DECISÃO D.P","EM DECISÃO",IF(G126="","SEM STATUS",IF(M126="","SEM DATA",IF(M126&lt;0,"VENCIDO",IF(M126&lt;=DiasAlerta,"VENCE EM BREVE","NO PRAZO"))))))</f>
        <v/>
      </c>
      <c r="O126" s="109" t="str">
        <f>IF(D126="","",TODAY()-D126)</f>
        <v/>
      </c>
      <c r="P126" s="102" t="n"/>
    </row>
    <row r="127" ht="18" customHeight="1">
      <c r="A127" s="101" t="n"/>
      <c r="B127" s="102" t="n"/>
      <c r="C127" s="102" t="n"/>
      <c r="D127" s="103" t="n"/>
      <c r="E127" s="102" t="n"/>
      <c r="F127" s="104" t="n"/>
      <c r="G127" s="104" t="n"/>
      <c r="H127" s="102" t="n"/>
      <c r="I127" s="105" t="n"/>
      <c r="J127" s="105" t="n"/>
      <c r="K127" s="103" t="n"/>
      <c r="L127" s="106" t="str">
        <f>IF(OR(D127="",E127=""),"",D127+IF(E127="NOTIFICAÇÃO DE CONSTATAÇÃO",PrazoConst,PrazoEsc))</f>
        <v/>
      </c>
      <c r="M127" s="107" t="str">
        <f>IF(L127="","",L127-TODAY())</f>
        <v/>
      </c>
      <c r="N127" s="108" t="str">
        <f>IF(B127="","",IF(G127="DECISÃO D.P","EM DECISÃO",IF(G127="","SEM STATUS",IF(M127="","SEM DATA",IF(M127&lt;0,"VENCIDO",IF(M127&lt;=DiasAlerta,"VENCE EM BREVE","NO PRAZO"))))))</f>
        <v/>
      </c>
      <c r="O127" s="109" t="str">
        <f>IF(D127="","",TODAY()-D127)</f>
        <v/>
      </c>
      <c r="P127" s="102" t="n"/>
    </row>
    <row r="128" ht="18" customHeight="1">
      <c r="A128" s="101" t="n"/>
      <c r="B128" s="102" t="n"/>
      <c r="C128" s="102" t="n"/>
      <c r="D128" s="103" t="n"/>
      <c r="E128" s="102" t="n"/>
      <c r="F128" s="104" t="n"/>
      <c r="G128" s="104" t="n"/>
      <c r="H128" s="102" t="n"/>
      <c r="I128" s="105" t="n"/>
      <c r="J128" s="105" t="n"/>
      <c r="K128" s="103" t="n"/>
      <c r="L128" s="106" t="str">
        <f>IF(OR(D128="",E128=""),"",D128+IF(E128="NOTIFICAÇÃO DE CONSTATAÇÃO",PrazoConst,PrazoEsc))</f>
        <v/>
      </c>
      <c r="M128" s="107" t="str">
        <f>IF(L128="","",L128-TODAY())</f>
        <v/>
      </c>
      <c r="N128" s="108" t="str">
        <f>IF(B128="","",IF(G128="DECISÃO D.P","EM DECISÃO",IF(G128="","SEM STATUS",IF(M128="","SEM DATA",IF(M128&lt;0,"VENCIDO",IF(M128&lt;=DiasAlerta,"VENCE EM BREVE","NO PRAZO"))))))</f>
        <v/>
      </c>
      <c r="O128" s="109" t="str">
        <f>IF(D128="","",TODAY()-D128)</f>
        <v/>
      </c>
      <c r="P128" s="102" t="n"/>
    </row>
    <row r="129" ht="18" customHeight="1">
      <c r="A129" s="101" t="n"/>
      <c r="B129" s="102" t="n"/>
      <c r="C129" s="102" t="n"/>
      <c r="D129" s="103" t="n"/>
      <c r="E129" s="102" t="n"/>
      <c r="F129" s="104" t="n"/>
      <c r="G129" s="104" t="n"/>
      <c r="H129" s="102" t="n"/>
      <c r="I129" s="105" t="n"/>
      <c r="J129" s="105" t="n"/>
      <c r="K129" s="103" t="n"/>
      <c r="L129" s="106" t="str">
        <f>IF(OR(D129="",E129=""),"",D129+IF(E129="NOTIFICAÇÃO DE CONSTATAÇÃO",PrazoConst,PrazoEsc))</f>
        <v/>
      </c>
      <c r="M129" s="107" t="str">
        <f>IF(L129="","",L129-TODAY())</f>
        <v/>
      </c>
      <c r="N129" s="108" t="str">
        <f>IF(B129="","",IF(G129="DECISÃO D.P","EM DECISÃO",IF(G129="","SEM STATUS",IF(M129="","SEM DATA",IF(M129&lt;0,"VENCIDO",IF(M129&lt;=DiasAlerta,"VENCE EM BREVE","NO PRAZO"))))))</f>
        <v/>
      </c>
      <c r="O129" s="109" t="str">
        <f>IF(D129="","",TODAY()-D129)</f>
        <v/>
      </c>
      <c r="P129" s="102" t="n"/>
    </row>
    <row r="130" ht="18" customHeight="1">
      <c r="A130" s="101" t="n"/>
      <c r="B130" s="102" t="n"/>
      <c r="C130" s="102" t="n"/>
      <c r="D130" s="103" t="n"/>
      <c r="E130" s="102" t="n"/>
      <c r="F130" s="104" t="n"/>
      <c r="G130" s="104" t="n"/>
      <c r="H130" s="102" t="n"/>
      <c r="I130" s="105" t="n"/>
      <c r="J130" s="105" t="n"/>
      <c r="K130" s="103" t="n"/>
      <c r="L130" s="106" t="str">
        <f>IF(OR(D130="",E130=""),"",D130+IF(E130="NOTIFICAÇÃO DE CONSTATAÇÃO",PrazoConst,PrazoEsc))</f>
        <v/>
      </c>
      <c r="M130" s="107" t="str">
        <f>IF(L130="","",L130-TODAY())</f>
        <v/>
      </c>
      <c r="N130" s="108" t="str">
        <f>IF(B130="","",IF(G130="DECISÃO D.P","EM DECISÃO",IF(G130="","SEM STATUS",IF(M130="","SEM DATA",IF(M130&lt;0,"VENCIDO",IF(M130&lt;=DiasAlerta,"VENCE EM BREVE","NO PRAZO"))))))</f>
        <v/>
      </c>
      <c r="O130" s="109" t="str">
        <f>IF(D130="","",TODAY()-D130)</f>
        <v/>
      </c>
      <c r="P130" s="102" t="n"/>
    </row>
    <row r="131" ht="18" customHeight="1">
      <c r="A131" s="101" t="n"/>
      <c r="B131" s="102" t="n"/>
      <c r="C131" s="102" t="n"/>
      <c r="D131" s="103" t="n"/>
      <c r="E131" s="102" t="n"/>
      <c r="F131" s="104" t="n"/>
      <c r="G131" s="104" t="n"/>
      <c r="H131" s="102" t="n"/>
      <c r="I131" s="105" t="n"/>
      <c r="J131" s="105" t="n"/>
      <c r="K131" s="103" t="n"/>
      <c r="L131" s="106" t="str">
        <f>IF(OR(D131="",E131=""),"",D131+IF(E131="NOTIFICAÇÃO DE CONSTATAÇÃO",PrazoConst,PrazoEsc))</f>
        <v/>
      </c>
      <c r="M131" s="107" t="str">
        <f>IF(L131="","",L131-TODAY())</f>
        <v/>
      </c>
      <c r="N131" s="108" t="str">
        <f>IF(B131="","",IF(G131="DECISÃO D.P","EM DECISÃO",IF(G131="","SEM STATUS",IF(M131="","SEM DATA",IF(M131&lt;0,"VENCIDO",IF(M131&lt;=DiasAlerta,"VENCE EM BREVE","NO PRAZO"))))))</f>
        <v/>
      </c>
      <c r="O131" s="109" t="str">
        <f>IF(D131="","",TODAY()-D131)</f>
        <v/>
      </c>
      <c r="P131" s="102" t="n"/>
    </row>
    <row r="132" ht="18" customHeight="1">
      <c r="A132" s="101" t="n"/>
      <c r="B132" s="102" t="n"/>
      <c r="C132" s="102" t="n"/>
      <c r="D132" s="103" t="n"/>
      <c r="E132" s="102" t="n"/>
      <c r="F132" s="104" t="n"/>
      <c r="G132" s="104" t="n"/>
      <c r="H132" s="102" t="n"/>
      <c r="I132" s="105" t="n"/>
      <c r="J132" s="105" t="n"/>
      <c r="K132" s="103" t="n"/>
      <c r="L132" s="106" t="str">
        <f>IF(OR(D132="",E132=""),"",D132+IF(E132="NOTIFICAÇÃO DE CONSTATAÇÃO",PrazoConst,PrazoEsc))</f>
        <v/>
      </c>
      <c r="M132" s="107" t="str">
        <f>IF(L132="","",L132-TODAY())</f>
        <v/>
      </c>
      <c r="N132" s="108" t="str">
        <f>IF(B132="","",IF(G132="DECISÃO D.P","EM DECISÃO",IF(G132="","SEM STATUS",IF(M132="","SEM DATA",IF(M132&lt;0,"VENCIDO",IF(M132&lt;=DiasAlerta,"VENCE EM BREVE","NO PRAZO"))))))</f>
        <v/>
      </c>
      <c r="O132" s="109" t="str">
        <f>IF(D132="","",TODAY()-D132)</f>
        <v/>
      </c>
      <c r="P132" s="102" t="n"/>
    </row>
    <row r="133" ht="18" customHeight="1">
      <c r="A133" s="101" t="n"/>
      <c r="B133" s="102" t="n"/>
      <c r="C133" s="102" t="n"/>
      <c r="D133" s="103" t="n"/>
      <c r="E133" s="102" t="n"/>
      <c r="F133" s="104" t="n"/>
      <c r="G133" s="104" t="n"/>
      <c r="H133" s="102" t="n"/>
      <c r="I133" s="105" t="n"/>
      <c r="J133" s="105" t="n"/>
      <c r="K133" s="103" t="n"/>
      <c r="L133" s="106" t="str">
        <f>IF(OR(D133="",E133=""),"",D133+IF(E133="NOTIFICAÇÃO DE CONSTATAÇÃO",PrazoConst,PrazoEsc))</f>
        <v/>
      </c>
      <c r="M133" s="107" t="str">
        <f>IF(L133="","",L133-TODAY())</f>
        <v/>
      </c>
      <c r="N133" s="108" t="str">
        <f>IF(B133="","",IF(G133="DECISÃO D.P","EM DECISÃO",IF(G133="","SEM STATUS",IF(M133="","SEM DATA",IF(M133&lt;0,"VENCIDO",IF(M133&lt;=DiasAlerta,"VENCE EM BREVE","NO PRAZO"))))))</f>
        <v/>
      </c>
      <c r="O133" s="109" t="str">
        <f>IF(D133="","",TODAY()-D133)</f>
        <v/>
      </c>
      <c r="P133" s="102" t="n"/>
    </row>
    <row r="134" ht="18" customHeight="1">
      <c r="A134" s="101" t="n"/>
      <c r="B134" s="102" t="n"/>
      <c r="C134" s="102" t="n"/>
      <c r="D134" s="103" t="n"/>
      <c r="E134" s="102" t="n"/>
      <c r="F134" s="104" t="n"/>
      <c r="G134" s="104" t="n"/>
      <c r="H134" s="102" t="n"/>
      <c r="I134" s="105" t="n"/>
      <c r="J134" s="105" t="n"/>
      <c r="K134" s="103" t="n"/>
      <c r="L134" s="106" t="str">
        <f>IF(OR(D134="",E134=""),"",D134+IF(E134="NOTIFICAÇÃO DE CONSTATAÇÃO",PrazoConst,PrazoEsc))</f>
        <v/>
      </c>
      <c r="M134" s="107" t="str">
        <f>IF(L134="","",L134-TODAY())</f>
        <v/>
      </c>
      <c r="N134" s="108" t="str">
        <f>IF(B134="","",IF(G134="DECISÃO D.P","EM DECISÃO",IF(G134="","SEM STATUS",IF(M134="","SEM DATA",IF(M134&lt;0,"VENCIDO",IF(M134&lt;=DiasAlerta,"VENCE EM BREVE","NO PRAZO"))))))</f>
        <v/>
      </c>
      <c r="O134" s="109" t="str">
        <f>IF(D134="","",TODAY()-D134)</f>
        <v/>
      </c>
      <c r="P134" s="102" t="n"/>
    </row>
    <row r="135" ht="18" customHeight="1">
      <c r="A135" s="101" t="n"/>
      <c r="B135" s="102" t="n"/>
      <c r="C135" s="102" t="n"/>
      <c r="D135" s="103" t="n"/>
      <c r="E135" s="102" t="n"/>
      <c r="F135" s="104" t="n"/>
      <c r="G135" s="104" t="n"/>
      <c r="H135" s="102" t="n"/>
      <c r="I135" s="105" t="n"/>
      <c r="J135" s="105" t="n"/>
      <c r="K135" s="103" t="n"/>
      <c r="L135" s="106" t="str">
        <f>IF(OR(D135="",E135=""),"",D135+IF(E135="NOTIFICAÇÃO DE CONSTATAÇÃO",PrazoConst,PrazoEsc))</f>
        <v/>
      </c>
      <c r="M135" s="107" t="str">
        <f>IF(L135="","",L135-TODAY())</f>
        <v/>
      </c>
      <c r="N135" s="108" t="str">
        <f>IF(B135="","",IF(G135="DECISÃO D.P","EM DECISÃO",IF(G135="","SEM STATUS",IF(M135="","SEM DATA",IF(M135&lt;0,"VENCIDO",IF(M135&lt;=DiasAlerta,"VENCE EM BREVE","NO PRAZO"))))))</f>
        <v/>
      </c>
      <c r="O135" s="109" t="str">
        <f>IF(D135="","",TODAY()-D135)</f>
        <v/>
      </c>
      <c r="P135" s="102" t="n"/>
    </row>
    <row r="136" ht="18" customHeight="1">
      <c r="A136" s="101" t="n"/>
      <c r="B136" s="102" t="n"/>
      <c r="C136" s="102" t="n"/>
      <c r="D136" s="103" t="n"/>
      <c r="E136" s="102" t="n"/>
      <c r="F136" s="104" t="n"/>
      <c r="G136" s="104" t="n"/>
      <c r="H136" s="102" t="n"/>
      <c r="I136" s="105" t="n"/>
      <c r="J136" s="105" t="n"/>
      <c r="K136" s="103" t="n"/>
      <c r="L136" s="106" t="str">
        <f>IF(OR(D136="",E136=""),"",D136+IF(E136="NOTIFICAÇÃO DE CONSTATAÇÃO",PrazoConst,PrazoEsc))</f>
        <v/>
      </c>
      <c r="M136" s="107" t="str">
        <f>IF(L136="","",L136-TODAY())</f>
        <v/>
      </c>
      <c r="N136" s="108" t="str">
        <f>IF(B136="","",IF(G136="DECISÃO D.P","EM DECISÃO",IF(G136="","SEM STATUS",IF(M136="","SEM DATA",IF(M136&lt;0,"VENCIDO",IF(M136&lt;=DiasAlerta,"VENCE EM BREVE","NO PRAZO"))))))</f>
        <v/>
      </c>
      <c r="O136" s="109" t="str">
        <f>IF(D136="","",TODAY()-D136)</f>
        <v/>
      </c>
      <c r="P136" s="102" t="n"/>
    </row>
    <row r="137" ht="18" customHeight="1">
      <c r="A137" s="101" t="n"/>
      <c r="B137" s="102" t="n"/>
      <c r="C137" s="102" t="n"/>
      <c r="D137" s="103" t="n"/>
      <c r="E137" s="102" t="n"/>
      <c r="F137" s="104" t="n"/>
      <c r="G137" s="104" t="n"/>
      <c r="H137" s="102" t="n"/>
      <c r="I137" s="105" t="n"/>
      <c r="J137" s="105" t="n"/>
      <c r="K137" s="103" t="n"/>
      <c r="L137" s="106" t="str">
        <f>IF(OR(D137="",E137=""),"",D137+IF(E137="NOTIFICAÇÃO DE CONSTATAÇÃO",PrazoConst,PrazoEsc))</f>
        <v/>
      </c>
      <c r="M137" s="107" t="str">
        <f>IF(L137="","",L137-TODAY())</f>
        <v/>
      </c>
      <c r="N137" s="108" t="str">
        <f>IF(B137="","",IF(G137="DECISÃO D.P","EM DECISÃO",IF(G137="","SEM STATUS",IF(M137="","SEM DATA",IF(M137&lt;0,"VENCIDO",IF(M137&lt;=DiasAlerta,"VENCE EM BREVE","NO PRAZO"))))))</f>
        <v/>
      </c>
      <c r="O137" s="109" t="str">
        <f>IF(D137="","",TODAY()-D137)</f>
        <v/>
      </c>
      <c r="P137" s="102" t="n"/>
    </row>
    <row r="138" ht="18" customHeight="1">
      <c r="A138" s="101" t="n"/>
      <c r="B138" s="102" t="n"/>
      <c r="C138" s="102" t="n"/>
      <c r="D138" s="103" t="n"/>
      <c r="E138" s="102" t="n"/>
      <c r="F138" s="104" t="n"/>
      <c r="G138" s="104" t="n"/>
      <c r="H138" s="102" t="n"/>
      <c r="I138" s="105" t="n"/>
      <c r="J138" s="105" t="n"/>
      <c r="K138" s="103" t="n"/>
      <c r="L138" s="106" t="str">
        <f>IF(OR(D138="",E138=""),"",D138+IF(E138="NOTIFICAÇÃO DE CONSTATAÇÃO",PrazoConst,PrazoEsc))</f>
        <v/>
      </c>
      <c r="M138" s="107" t="str">
        <f>IF(L138="","",L138-TODAY())</f>
        <v/>
      </c>
      <c r="N138" s="108" t="str">
        <f>IF(B138="","",IF(G138="DECISÃO D.P","EM DECISÃO",IF(G138="","SEM STATUS",IF(M138="","SEM DATA",IF(M138&lt;0,"VENCIDO",IF(M138&lt;=DiasAlerta,"VENCE EM BREVE","NO PRAZO"))))))</f>
        <v/>
      </c>
      <c r="O138" s="109" t="str">
        <f>IF(D138="","",TODAY()-D138)</f>
        <v/>
      </c>
      <c r="P138" s="102" t="n"/>
    </row>
    <row r="139" ht="18" customHeight="1">
      <c r="A139" s="101" t="n"/>
      <c r="B139" s="102" t="n"/>
      <c r="C139" s="102" t="n"/>
      <c r="D139" s="103" t="n"/>
      <c r="E139" s="102" t="n"/>
      <c r="F139" s="104" t="n"/>
      <c r="G139" s="104" t="n"/>
      <c r="H139" s="102" t="n"/>
      <c r="I139" s="105" t="n"/>
      <c r="J139" s="105" t="n"/>
      <c r="K139" s="103" t="n"/>
      <c r="L139" s="106" t="str">
        <f>IF(OR(D139="",E139=""),"",D139+IF(E139="NOTIFICAÇÃO DE CONSTATAÇÃO",PrazoConst,PrazoEsc))</f>
        <v/>
      </c>
      <c r="M139" s="107" t="str">
        <f>IF(L139="","",L139-TODAY())</f>
        <v/>
      </c>
      <c r="N139" s="108" t="str">
        <f>IF(B139="","",IF(G139="DECISÃO D.P","EM DECISÃO",IF(G139="","SEM STATUS",IF(M139="","SEM DATA",IF(M139&lt;0,"VENCIDO",IF(M139&lt;=DiasAlerta,"VENCE EM BREVE","NO PRAZO"))))))</f>
        <v/>
      </c>
      <c r="O139" s="109" t="str">
        <f>IF(D139="","",TODAY()-D139)</f>
        <v/>
      </c>
      <c r="P139" s="102" t="n"/>
    </row>
    <row r="140" ht="18" customHeight="1">
      <c r="A140" s="101" t="n"/>
      <c r="B140" s="102" t="n"/>
      <c r="C140" s="102" t="n"/>
      <c r="D140" s="103" t="n"/>
      <c r="E140" s="102" t="n"/>
      <c r="F140" s="104" t="n"/>
      <c r="G140" s="104" t="n"/>
      <c r="H140" s="102" t="n"/>
      <c r="I140" s="105" t="n"/>
      <c r="J140" s="105" t="n"/>
      <c r="K140" s="103" t="n"/>
      <c r="L140" s="106" t="str">
        <f>IF(OR(D140="",E140=""),"",D140+IF(E140="NOTIFICAÇÃO DE CONSTATAÇÃO",PrazoConst,PrazoEsc))</f>
        <v/>
      </c>
      <c r="M140" s="107" t="str">
        <f>IF(L140="","",L140-TODAY())</f>
        <v/>
      </c>
      <c r="N140" s="108" t="str">
        <f>IF(B140="","",IF(G140="DECISÃO D.P","EM DECISÃO",IF(G140="","SEM STATUS",IF(M140="","SEM DATA",IF(M140&lt;0,"VENCIDO",IF(M140&lt;=DiasAlerta,"VENCE EM BREVE","NO PRAZO"))))))</f>
        <v/>
      </c>
      <c r="O140" s="109" t="str">
        <f>IF(D140="","",TODAY()-D140)</f>
        <v/>
      </c>
      <c r="P140" s="102" t="n"/>
    </row>
    <row r="141" ht="18" customHeight="1">
      <c r="A141" s="101" t="n"/>
      <c r="B141" s="102" t="n"/>
      <c r="C141" s="102" t="n"/>
      <c r="D141" s="103" t="n"/>
      <c r="E141" s="102" t="n"/>
      <c r="F141" s="104" t="n"/>
      <c r="G141" s="104" t="n"/>
      <c r="H141" s="102" t="n"/>
      <c r="I141" s="105" t="n"/>
      <c r="J141" s="105" t="n"/>
      <c r="K141" s="103" t="n"/>
      <c r="L141" s="106" t="str">
        <f>IF(OR(D141="",E141=""),"",D141+IF(E141="NOTIFICAÇÃO DE CONSTATAÇÃO",PrazoConst,PrazoEsc))</f>
        <v/>
      </c>
      <c r="M141" s="107" t="str">
        <f>IF(L141="","",L141-TODAY())</f>
        <v/>
      </c>
      <c r="N141" s="108" t="str">
        <f>IF(B141="","",IF(G141="DECISÃO D.P","EM DECISÃO",IF(G141="","SEM STATUS",IF(M141="","SEM DATA",IF(M141&lt;0,"VENCIDO",IF(M141&lt;=DiasAlerta,"VENCE EM BREVE","NO PRAZO"))))))</f>
        <v/>
      </c>
      <c r="O141" s="109" t="str">
        <f>IF(D141="","",TODAY()-D141)</f>
        <v/>
      </c>
      <c r="P141" s="102" t="n"/>
    </row>
    <row r="142" ht="18" customHeight="1">
      <c r="A142" s="101" t="n"/>
      <c r="B142" s="102" t="n"/>
      <c r="C142" s="102" t="n"/>
      <c r="D142" s="103" t="n"/>
      <c r="E142" s="102" t="n"/>
      <c r="F142" s="104" t="n"/>
      <c r="G142" s="104" t="n"/>
      <c r="H142" s="102" t="n"/>
      <c r="I142" s="105" t="n"/>
      <c r="J142" s="105" t="n"/>
      <c r="K142" s="103" t="n"/>
      <c r="L142" s="106" t="str">
        <f>IF(OR(D142="",E142=""),"",D142+IF(E142="NOTIFICAÇÃO DE CONSTATAÇÃO",PrazoConst,PrazoEsc))</f>
        <v/>
      </c>
      <c r="M142" s="107" t="str">
        <f>IF(L142="","",L142-TODAY())</f>
        <v/>
      </c>
      <c r="N142" s="108" t="str">
        <f>IF(B142="","",IF(G142="DECISÃO D.P","EM DECISÃO",IF(G142="","SEM STATUS",IF(M142="","SEM DATA",IF(M142&lt;0,"VENCIDO",IF(M142&lt;=DiasAlerta,"VENCE EM BREVE","NO PRAZO"))))))</f>
        <v/>
      </c>
      <c r="O142" s="109" t="str">
        <f>IF(D142="","",TODAY()-D142)</f>
        <v/>
      </c>
      <c r="P142" s="102" t="n"/>
    </row>
    <row r="143" ht="18" customHeight="1">
      <c r="A143" s="101" t="n"/>
      <c r="B143" s="102" t="n"/>
      <c r="C143" s="102" t="n"/>
      <c r="D143" s="103" t="n"/>
      <c r="E143" s="102" t="n"/>
      <c r="F143" s="104" t="n"/>
      <c r="G143" s="104" t="n"/>
      <c r="H143" s="102" t="n"/>
      <c r="I143" s="105" t="n"/>
      <c r="J143" s="105" t="n"/>
      <c r="K143" s="103" t="n"/>
      <c r="L143" s="106" t="str">
        <f>IF(OR(D143="",E143=""),"",D143+IF(E143="NOTIFICAÇÃO DE CONSTATAÇÃO",PrazoConst,PrazoEsc))</f>
        <v/>
      </c>
      <c r="M143" s="107" t="str">
        <f>IF(L143="","",L143-TODAY())</f>
        <v/>
      </c>
      <c r="N143" s="108" t="str">
        <f>IF(B143="","",IF(G143="DECISÃO D.P","EM DECISÃO",IF(G143="","SEM STATUS",IF(M143="","SEM DATA",IF(M143&lt;0,"VENCIDO",IF(M143&lt;=DiasAlerta,"VENCE EM BREVE","NO PRAZO"))))))</f>
        <v/>
      </c>
      <c r="O143" s="109" t="str">
        <f>IF(D143="","",TODAY()-D143)</f>
        <v/>
      </c>
      <c r="P143" s="102" t="n"/>
    </row>
    <row r="144" ht="18" customHeight="1">
      <c r="A144" s="101" t="n"/>
      <c r="B144" s="102" t="n"/>
      <c r="C144" s="102" t="n"/>
      <c r="D144" s="103" t="n"/>
      <c r="E144" s="102" t="n"/>
      <c r="F144" s="104" t="n"/>
      <c r="G144" s="104" t="n"/>
      <c r="H144" s="102" t="n"/>
      <c r="I144" s="105" t="n"/>
      <c r="J144" s="105" t="n"/>
      <c r="K144" s="103" t="n"/>
      <c r="L144" s="106" t="str">
        <f>IF(OR(D144="",E144=""),"",D144+IF(E144="NOTIFICAÇÃO DE CONSTATAÇÃO",PrazoConst,PrazoEsc))</f>
        <v/>
      </c>
      <c r="M144" s="107" t="str">
        <f>IF(L144="","",L144-TODAY())</f>
        <v/>
      </c>
      <c r="N144" s="108" t="str">
        <f>IF(B144="","",IF(G144="DECISÃO D.P","EM DECISÃO",IF(G144="","SEM STATUS",IF(M144="","SEM DATA",IF(M144&lt;0,"VENCIDO",IF(M144&lt;=DiasAlerta,"VENCE EM BREVE","NO PRAZO"))))))</f>
        <v/>
      </c>
      <c r="O144" s="109" t="str">
        <f>IF(D144="","",TODAY()-D144)</f>
        <v/>
      </c>
      <c r="P144" s="102" t="n"/>
    </row>
    <row r="145" ht="18" customHeight="1">
      <c r="A145" s="101" t="n"/>
      <c r="B145" s="102" t="n"/>
      <c r="C145" s="102" t="n"/>
      <c r="D145" s="103" t="n"/>
      <c r="E145" s="102" t="n"/>
      <c r="F145" s="104" t="n"/>
      <c r="G145" s="104" t="n"/>
      <c r="H145" s="102" t="n"/>
      <c r="I145" s="105" t="n"/>
      <c r="J145" s="105" t="n"/>
      <c r="K145" s="103" t="n"/>
      <c r="L145" s="106" t="str">
        <f>IF(OR(D145="",E145=""),"",D145+IF(E145="NOTIFICAÇÃO DE CONSTATAÇÃO",PrazoConst,PrazoEsc))</f>
        <v/>
      </c>
      <c r="M145" s="107" t="str">
        <f>IF(L145="","",L145-TODAY())</f>
        <v/>
      </c>
      <c r="N145" s="108" t="str">
        <f>IF(B145="","",IF(G145="DECISÃO D.P","EM DECISÃO",IF(G145="","SEM STATUS",IF(M145="","SEM DATA",IF(M145&lt;0,"VENCIDO",IF(M145&lt;=DiasAlerta,"VENCE EM BREVE","NO PRAZO"))))))</f>
        <v/>
      </c>
      <c r="O145" s="109" t="str">
        <f>IF(D145="","",TODAY()-D145)</f>
        <v/>
      </c>
      <c r="P145" s="102" t="n"/>
    </row>
    <row r="146" ht="18" customHeight="1">
      <c r="A146" s="101" t="n"/>
      <c r="B146" s="102" t="n"/>
      <c r="C146" s="102" t="n"/>
      <c r="D146" s="103" t="n"/>
      <c r="E146" s="102" t="n"/>
      <c r="F146" s="104" t="n"/>
      <c r="G146" s="104" t="n"/>
      <c r="H146" s="102" t="n"/>
      <c r="I146" s="105" t="n"/>
      <c r="J146" s="105" t="n"/>
      <c r="K146" s="103" t="n"/>
      <c r="L146" s="106" t="str">
        <f>IF(OR(D146="",E146=""),"",D146+IF(E146="NOTIFICAÇÃO DE CONSTATAÇÃO",PrazoConst,PrazoEsc))</f>
        <v/>
      </c>
      <c r="M146" s="107" t="str">
        <f>IF(L146="","",L146-TODAY())</f>
        <v/>
      </c>
      <c r="N146" s="108" t="str">
        <f>IF(B146="","",IF(G146="DECISÃO D.P","EM DECISÃO",IF(G146="","SEM STATUS",IF(M146="","SEM DATA",IF(M146&lt;0,"VENCIDO",IF(M146&lt;=DiasAlerta,"VENCE EM BREVE","NO PRAZO"))))))</f>
        <v/>
      </c>
      <c r="O146" s="109" t="str">
        <f>IF(D146="","",TODAY()-D146)</f>
        <v/>
      </c>
      <c r="P146" s="102" t="n"/>
    </row>
    <row r="147" ht="18" customHeight="1">
      <c r="A147" s="101" t="n"/>
      <c r="B147" s="102" t="n"/>
      <c r="C147" s="102" t="n"/>
      <c r="D147" s="103" t="n"/>
      <c r="E147" s="102" t="n"/>
      <c r="F147" s="104" t="n"/>
      <c r="G147" s="104" t="n"/>
      <c r="H147" s="102" t="n"/>
      <c r="I147" s="105" t="n"/>
      <c r="J147" s="105" t="n"/>
      <c r="K147" s="103" t="n"/>
      <c r="L147" s="106" t="str">
        <f>IF(OR(D147="",E147=""),"",D147+IF(E147="NOTIFICAÇÃO DE CONSTATAÇÃO",PrazoConst,PrazoEsc))</f>
        <v/>
      </c>
      <c r="M147" s="107" t="str">
        <f>IF(L147="","",L147-TODAY())</f>
        <v/>
      </c>
      <c r="N147" s="108" t="str">
        <f>IF(B147="","",IF(G147="DECISÃO D.P","EM DECISÃO",IF(G147="","SEM STATUS",IF(M147="","SEM DATA",IF(M147&lt;0,"VENCIDO",IF(M147&lt;=DiasAlerta,"VENCE EM BREVE","NO PRAZO"))))))</f>
        <v/>
      </c>
      <c r="O147" s="109" t="str">
        <f>IF(D147="","",TODAY()-D147)</f>
        <v/>
      </c>
      <c r="P147" s="102" t="n"/>
    </row>
    <row r="148" ht="18" customHeight="1">
      <c r="A148" s="101" t="n"/>
      <c r="B148" s="102" t="n"/>
      <c r="C148" s="102" t="n"/>
      <c r="D148" s="103" t="n"/>
      <c r="E148" s="102" t="n"/>
      <c r="F148" s="104" t="n"/>
      <c r="G148" s="104" t="n"/>
      <c r="H148" s="102" t="n"/>
      <c r="I148" s="105" t="n"/>
      <c r="J148" s="105" t="n"/>
      <c r="K148" s="103" t="n"/>
      <c r="L148" s="106" t="str">
        <f>IF(OR(D148="",E148=""),"",D148+IF(E148="NOTIFICAÇÃO DE CONSTATAÇÃO",PrazoConst,PrazoEsc))</f>
        <v/>
      </c>
      <c r="M148" s="107" t="str">
        <f>IF(L148="","",L148-TODAY())</f>
        <v/>
      </c>
      <c r="N148" s="108" t="str">
        <f>IF(B148="","",IF(G148="DECISÃO D.P","EM DECISÃO",IF(G148="","SEM STATUS",IF(M148="","SEM DATA",IF(M148&lt;0,"VENCIDO",IF(M148&lt;=DiasAlerta,"VENCE EM BREVE","NO PRAZO"))))))</f>
        <v/>
      </c>
      <c r="O148" s="109" t="str">
        <f>IF(D148="","",TODAY()-D148)</f>
        <v/>
      </c>
      <c r="P148" s="102" t="n"/>
    </row>
    <row r="149" ht="18" customHeight="1">
      <c r="A149" s="101" t="n"/>
      <c r="B149" s="102" t="n"/>
      <c r="C149" s="102" t="n"/>
      <c r="D149" s="103" t="n"/>
      <c r="E149" s="102" t="n"/>
      <c r="F149" s="104" t="n"/>
      <c r="G149" s="104" t="n"/>
      <c r="H149" s="102" t="n"/>
      <c r="I149" s="105" t="n"/>
      <c r="J149" s="105" t="n"/>
      <c r="K149" s="103" t="n"/>
      <c r="L149" s="106" t="str">
        <f>IF(OR(D149="",E149=""),"",D149+IF(E149="NOTIFICAÇÃO DE CONSTATAÇÃO",PrazoConst,PrazoEsc))</f>
        <v/>
      </c>
      <c r="M149" s="107" t="str">
        <f>IF(L149="","",L149-TODAY())</f>
        <v/>
      </c>
      <c r="N149" s="108" t="str">
        <f>IF(B149="","",IF(G149="DECISÃO D.P","EM DECISÃO",IF(G149="","SEM STATUS",IF(M149="","SEM DATA",IF(M149&lt;0,"VENCIDO",IF(M149&lt;=DiasAlerta,"VENCE EM BREVE","NO PRAZO"))))))</f>
        <v/>
      </c>
      <c r="O149" s="109" t="str">
        <f>IF(D149="","",TODAY()-D149)</f>
        <v/>
      </c>
      <c r="P149" s="102" t="n"/>
    </row>
    <row r="150" ht="18" customHeight="1">
      <c r="A150" s="101" t="n"/>
      <c r="B150" s="102" t="n"/>
      <c r="C150" s="102" t="n"/>
      <c r="D150" s="103" t="n"/>
      <c r="E150" s="102" t="n"/>
      <c r="F150" s="104" t="n"/>
      <c r="G150" s="104" t="n"/>
      <c r="H150" s="102" t="n"/>
      <c r="I150" s="105" t="n"/>
      <c r="J150" s="105" t="n"/>
      <c r="K150" s="103" t="n"/>
      <c r="L150" s="106" t="str">
        <f>IF(OR(D150="",E150=""),"",D150+IF(E150="NOTIFICAÇÃO DE CONSTATAÇÃO",PrazoConst,PrazoEsc))</f>
        <v/>
      </c>
      <c r="M150" s="107" t="str">
        <f>IF(L150="","",L150-TODAY())</f>
        <v/>
      </c>
      <c r="N150" s="108" t="str">
        <f>IF(B150="","",IF(G150="DECISÃO D.P","EM DECISÃO",IF(G150="","SEM STATUS",IF(M150="","SEM DATA",IF(M150&lt;0,"VENCIDO",IF(M150&lt;=DiasAlerta,"VENCE EM BREVE","NO PRAZO"))))))</f>
        <v/>
      </c>
      <c r="O150" s="109" t="str">
        <f>IF(D150="","",TODAY()-D150)</f>
        <v/>
      </c>
      <c r="P150" s="102" t="n"/>
    </row>
    <row r="151" ht="18" customHeight="1">
      <c r="A151" s="101" t="n"/>
      <c r="B151" s="102" t="n"/>
      <c r="C151" s="102" t="n"/>
      <c r="D151" s="103" t="n"/>
      <c r="E151" s="102" t="n"/>
      <c r="F151" s="104" t="n"/>
      <c r="G151" s="104" t="n"/>
      <c r="H151" s="102" t="n"/>
      <c r="I151" s="105" t="n"/>
      <c r="J151" s="105" t="n"/>
      <c r="K151" s="103" t="n"/>
      <c r="L151" s="106" t="str">
        <f>IF(OR(D151="",E151=""),"",D151+IF(E151="NOTIFICAÇÃO DE CONSTATAÇÃO",PrazoConst,PrazoEsc))</f>
        <v/>
      </c>
      <c r="M151" s="107" t="str">
        <f>IF(L151="","",L151-TODAY())</f>
        <v/>
      </c>
      <c r="N151" s="108" t="str">
        <f>IF(B151="","",IF(G151="DECISÃO D.P","EM DECISÃO",IF(G151="","SEM STATUS",IF(M151="","SEM DATA",IF(M151&lt;0,"VENCIDO",IF(M151&lt;=DiasAlerta,"VENCE EM BREVE","NO PRAZO"))))))</f>
        <v/>
      </c>
      <c r="O151" s="109" t="str">
        <f>IF(D151="","",TODAY()-D151)</f>
        <v/>
      </c>
      <c r="P151" s="102" t="n"/>
    </row>
    <row r="152" ht="18" customHeight="1">
      <c r="A152" s="101" t="n"/>
      <c r="B152" s="102" t="n"/>
      <c r="C152" s="102" t="n"/>
      <c r="D152" s="103" t="n"/>
      <c r="E152" s="102" t="n"/>
      <c r="F152" s="104" t="n"/>
      <c r="G152" s="104" t="n"/>
      <c r="H152" s="102" t="n"/>
      <c r="I152" s="105" t="n"/>
      <c r="J152" s="105" t="n"/>
      <c r="K152" s="103" t="n"/>
      <c r="L152" s="106" t="str">
        <f>IF(OR(D152="",E152=""),"",D152+IF(E152="NOTIFICAÇÃO DE CONSTATAÇÃO",PrazoConst,PrazoEsc))</f>
        <v/>
      </c>
      <c r="M152" s="107" t="str">
        <f>IF(L152="","",L152-TODAY())</f>
        <v/>
      </c>
      <c r="N152" s="108" t="str">
        <f>IF(B152="","",IF(G152="DECISÃO D.P","EM DECISÃO",IF(G152="","SEM STATUS",IF(M152="","SEM DATA",IF(M152&lt;0,"VENCIDO",IF(M152&lt;=DiasAlerta,"VENCE EM BREVE","NO PRAZO"))))))</f>
        <v/>
      </c>
      <c r="O152" s="109" t="str">
        <f>IF(D152="","",TODAY()-D152)</f>
        <v/>
      </c>
      <c r="P152" s="102" t="n"/>
    </row>
    <row r="153" ht="18" customHeight="1">
      <c r="A153" s="101" t="n"/>
      <c r="B153" s="102" t="n"/>
      <c r="C153" s="102" t="n"/>
      <c r="D153" s="103" t="n"/>
      <c r="E153" s="102" t="n"/>
      <c r="F153" s="104" t="n"/>
      <c r="G153" s="104" t="n"/>
      <c r="H153" s="102" t="n"/>
      <c r="I153" s="105" t="n"/>
      <c r="J153" s="105" t="n"/>
      <c r="K153" s="103" t="n"/>
      <c r="L153" s="106" t="str">
        <f>IF(OR(D153="",E153=""),"",D153+IF(E153="NOTIFICAÇÃO DE CONSTATAÇÃO",PrazoConst,PrazoEsc))</f>
        <v/>
      </c>
      <c r="M153" s="107" t="str">
        <f>IF(L153="","",L153-TODAY())</f>
        <v/>
      </c>
      <c r="N153" s="108" t="str">
        <f>IF(B153="","",IF(G153="DECISÃO D.P","EM DECISÃO",IF(G153="","SEM STATUS",IF(M153="","SEM DATA",IF(M153&lt;0,"VENCIDO",IF(M153&lt;=DiasAlerta,"VENCE EM BREVE","NO PRAZO"))))))</f>
        <v/>
      </c>
      <c r="O153" s="109" t="str">
        <f>IF(D153="","",TODAY()-D153)</f>
        <v/>
      </c>
      <c r="P153" s="102" t="n"/>
    </row>
    <row r="154" ht="18" customHeight="1">
      <c r="A154" s="101" t="n"/>
      <c r="B154" s="102" t="n"/>
      <c r="C154" s="102" t="n"/>
      <c r="D154" s="103" t="n"/>
      <c r="E154" s="102" t="n"/>
      <c r="F154" s="104" t="n"/>
      <c r="G154" s="104" t="n"/>
      <c r="H154" s="102" t="n"/>
      <c r="I154" s="105" t="n"/>
      <c r="J154" s="105" t="n"/>
      <c r="K154" s="103" t="n"/>
      <c r="L154" s="106" t="str">
        <f>IF(OR(D154="",E154=""),"",D154+IF(E154="NOTIFICAÇÃO DE CONSTATAÇÃO",PrazoConst,PrazoEsc))</f>
        <v/>
      </c>
      <c r="M154" s="107" t="str">
        <f>IF(L154="","",L154-TODAY())</f>
        <v/>
      </c>
      <c r="N154" s="108" t="str">
        <f>IF(B154="","",IF(G154="DECISÃO D.P","EM DECISÃO",IF(G154="","SEM STATUS",IF(M154="","SEM DATA",IF(M154&lt;0,"VENCIDO",IF(M154&lt;=DiasAlerta,"VENCE EM BREVE","NO PRAZO"))))))</f>
        <v/>
      </c>
      <c r="O154" s="109" t="str">
        <f>IF(D154="","",TODAY()-D154)</f>
        <v/>
      </c>
      <c r="P154" s="102" t="n"/>
    </row>
    <row r="155" ht="18" customHeight="1">
      <c r="A155" s="101" t="n"/>
      <c r="B155" s="102" t="n"/>
      <c r="C155" s="102" t="n"/>
      <c r="D155" s="103" t="n"/>
      <c r="E155" s="102" t="n"/>
      <c r="F155" s="104" t="n"/>
      <c r="G155" s="104" t="n"/>
      <c r="H155" s="102" t="n"/>
      <c r="I155" s="105" t="n"/>
      <c r="J155" s="105" t="n"/>
      <c r="K155" s="103" t="n"/>
      <c r="L155" s="106" t="str">
        <f>IF(OR(D155="",E155=""),"",D155+IF(E155="NOTIFICAÇÃO DE CONSTATAÇÃO",PrazoConst,PrazoEsc))</f>
        <v/>
      </c>
      <c r="M155" s="107" t="str">
        <f>IF(L155="","",L155-TODAY())</f>
        <v/>
      </c>
      <c r="N155" s="108" t="str">
        <f>IF(B155="","",IF(G155="DECISÃO D.P","EM DECISÃO",IF(G155="","SEM STATUS",IF(M155="","SEM DATA",IF(M155&lt;0,"VENCIDO",IF(M155&lt;=DiasAlerta,"VENCE EM BREVE","NO PRAZO"))))))</f>
        <v/>
      </c>
      <c r="O155" s="109" t="str">
        <f>IF(D155="","",TODAY()-D155)</f>
        <v/>
      </c>
      <c r="P155" s="102" t="n"/>
    </row>
    <row r="156" ht="18" customHeight="1">
      <c r="A156" s="101" t="n"/>
      <c r="B156" s="102" t="n"/>
      <c r="C156" s="102" t="n"/>
      <c r="D156" s="103" t="n"/>
      <c r="E156" s="102" t="n"/>
      <c r="F156" s="104" t="n"/>
      <c r="G156" s="104" t="n"/>
      <c r="H156" s="102" t="n"/>
      <c r="I156" s="105" t="n"/>
      <c r="J156" s="105" t="n"/>
      <c r="K156" s="103" t="n"/>
      <c r="L156" s="106" t="str">
        <f>IF(OR(D156="",E156=""),"",D156+IF(E156="NOTIFICAÇÃO DE CONSTATAÇÃO",PrazoConst,PrazoEsc))</f>
        <v/>
      </c>
      <c r="M156" s="107" t="str">
        <f>IF(L156="","",L156-TODAY())</f>
        <v/>
      </c>
      <c r="N156" s="108" t="str">
        <f>IF(B156="","",IF(G156="DECISÃO D.P","EM DECISÃO",IF(G156="","SEM STATUS",IF(M156="","SEM DATA",IF(M156&lt;0,"VENCIDO",IF(M156&lt;=DiasAlerta,"VENCE EM BREVE","NO PRAZO"))))))</f>
        <v/>
      </c>
      <c r="O156" s="109" t="str">
        <f>IF(D156="","",TODAY()-D156)</f>
        <v/>
      </c>
      <c r="P156" s="102" t="n"/>
    </row>
    <row r="157" ht="18" customHeight="1">
      <c r="A157" s="101" t="n"/>
      <c r="B157" s="102" t="n"/>
      <c r="C157" s="102" t="n"/>
      <c r="D157" s="103" t="n"/>
      <c r="E157" s="102" t="n"/>
      <c r="F157" s="104" t="n"/>
      <c r="G157" s="104" t="n"/>
      <c r="H157" s="102" t="n"/>
      <c r="I157" s="105" t="n"/>
      <c r="J157" s="105" t="n"/>
      <c r="K157" s="103" t="n"/>
      <c r="L157" s="106" t="str">
        <f>IF(OR(D157="",E157=""),"",D157+IF(E157="NOTIFICAÇÃO DE CONSTATAÇÃO",PrazoConst,PrazoEsc))</f>
        <v/>
      </c>
      <c r="M157" s="107" t="str">
        <f>IF(L157="","",L157-TODAY())</f>
        <v/>
      </c>
      <c r="N157" s="108" t="str">
        <f>IF(B157="","",IF(G157="DECISÃO D.P","EM DECISÃO",IF(G157="","SEM STATUS",IF(M157="","SEM DATA",IF(M157&lt;0,"VENCIDO",IF(M157&lt;=DiasAlerta,"VENCE EM BREVE","NO PRAZO"))))))</f>
        <v/>
      </c>
      <c r="O157" s="109" t="str">
        <f>IF(D157="","",TODAY()-D157)</f>
        <v/>
      </c>
      <c r="P157" s="102" t="n"/>
    </row>
    <row r="158" ht="18" customHeight="1">
      <c r="A158" s="101" t="n"/>
      <c r="B158" s="102" t="n"/>
      <c r="C158" s="102" t="n"/>
      <c r="D158" s="103" t="n"/>
      <c r="E158" s="102" t="n"/>
      <c r="F158" s="104" t="n"/>
      <c r="G158" s="104" t="n"/>
      <c r="H158" s="102" t="n"/>
      <c r="I158" s="105" t="n"/>
      <c r="J158" s="105" t="n"/>
      <c r="K158" s="103" t="n"/>
      <c r="L158" s="106" t="str">
        <f>IF(OR(D158="",E158=""),"",D158+IF(E158="NOTIFICAÇÃO DE CONSTATAÇÃO",PrazoConst,PrazoEsc))</f>
        <v/>
      </c>
      <c r="M158" s="107" t="str">
        <f>IF(L158="","",L158-TODAY())</f>
        <v/>
      </c>
      <c r="N158" s="108" t="str">
        <f>IF(B158="","",IF(G158="DECISÃO D.P","EM DECISÃO",IF(G158="","SEM STATUS",IF(M158="","SEM DATA",IF(M158&lt;0,"VENCIDO",IF(M158&lt;=DiasAlerta,"VENCE EM BREVE","NO PRAZO"))))))</f>
        <v/>
      </c>
      <c r="O158" s="109" t="str">
        <f>IF(D158="","",TODAY()-D158)</f>
        <v/>
      </c>
      <c r="P158" s="102" t="n"/>
    </row>
    <row r="159" ht="18" customHeight="1">
      <c r="A159" s="101" t="n"/>
      <c r="B159" s="102" t="n"/>
      <c r="C159" s="102" t="n"/>
      <c r="D159" s="103" t="n"/>
      <c r="E159" s="102" t="n"/>
      <c r="F159" s="104" t="n"/>
      <c r="G159" s="104" t="n"/>
      <c r="H159" s="102" t="n"/>
      <c r="I159" s="105" t="n"/>
      <c r="J159" s="105" t="n"/>
      <c r="K159" s="103" t="n"/>
      <c r="L159" s="106" t="str">
        <f>IF(OR(D159="",E159=""),"",D159+IF(E159="NOTIFICAÇÃO DE CONSTATAÇÃO",PrazoConst,PrazoEsc))</f>
        <v/>
      </c>
      <c r="M159" s="107" t="str">
        <f>IF(L159="","",L159-TODAY())</f>
        <v/>
      </c>
      <c r="N159" s="108" t="str">
        <f>IF(B159="","",IF(G159="DECISÃO D.P","EM DECISÃO",IF(G159="","SEM STATUS",IF(M159="","SEM DATA",IF(M159&lt;0,"VENCIDO",IF(M159&lt;=DiasAlerta,"VENCE EM BREVE","NO PRAZO"))))))</f>
        <v/>
      </c>
      <c r="O159" s="109" t="str">
        <f>IF(D159="","",TODAY()-D159)</f>
        <v/>
      </c>
      <c r="P159" s="102" t="n"/>
    </row>
    <row r="160" ht="18" customHeight="1">
      <c r="A160" s="101" t="n"/>
      <c r="B160" s="102" t="n"/>
      <c r="C160" s="102" t="n"/>
      <c r="D160" s="103" t="n"/>
      <c r="E160" s="102" t="n"/>
      <c r="F160" s="104" t="n"/>
      <c r="G160" s="104" t="n"/>
      <c r="H160" s="102" t="n"/>
      <c r="I160" s="105" t="n"/>
      <c r="J160" s="105" t="n"/>
      <c r="K160" s="103" t="n"/>
      <c r="L160" s="106" t="str">
        <f>IF(OR(D160="",E160=""),"",D160+IF(E160="NOTIFICAÇÃO DE CONSTATAÇÃO",PrazoConst,PrazoEsc))</f>
        <v/>
      </c>
      <c r="M160" s="107" t="str">
        <f>IF(L160="","",L160-TODAY())</f>
        <v/>
      </c>
      <c r="N160" s="108" t="str">
        <f>IF(B160="","",IF(G160="DECISÃO D.P","EM DECISÃO",IF(G160="","SEM STATUS",IF(M160="","SEM DATA",IF(M160&lt;0,"VENCIDO",IF(M160&lt;=DiasAlerta,"VENCE EM BREVE","NO PRAZO"))))))</f>
        <v/>
      </c>
      <c r="O160" s="109" t="str">
        <f>IF(D160="","",TODAY()-D160)</f>
        <v/>
      </c>
      <c r="P160" s="102" t="n"/>
    </row>
    <row r="161" ht="18" customHeight="1">
      <c r="A161" s="101" t="n"/>
      <c r="B161" s="102" t="n"/>
      <c r="C161" s="102" t="n"/>
      <c r="D161" s="103" t="n"/>
      <c r="E161" s="102" t="n"/>
      <c r="F161" s="104" t="n"/>
      <c r="G161" s="104" t="n"/>
      <c r="H161" s="102" t="n"/>
      <c r="I161" s="105" t="n"/>
      <c r="J161" s="105" t="n"/>
      <c r="K161" s="103" t="n"/>
      <c r="L161" s="106" t="str">
        <f>IF(OR(D161="",E161=""),"",D161+IF(E161="NOTIFICAÇÃO DE CONSTATAÇÃO",PrazoConst,PrazoEsc))</f>
        <v/>
      </c>
      <c r="M161" s="107" t="str">
        <f>IF(L161="","",L161-TODAY())</f>
        <v/>
      </c>
      <c r="N161" s="108" t="str">
        <f>IF(B161="","",IF(G161="DECISÃO D.P","EM DECISÃO",IF(G161="","SEM STATUS",IF(M161="","SEM DATA",IF(M161&lt;0,"VENCIDO",IF(M161&lt;=DiasAlerta,"VENCE EM BREVE","NO PRAZO"))))))</f>
        <v/>
      </c>
      <c r="O161" s="109" t="str">
        <f>IF(D161="","",TODAY()-D161)</f>
        <v/>
      </c>
      <c r="P161" s="102" t="n"/>
    </row>
    <row r="162" ht="18" customHeight="1">
      <c r="A162" s="101" t="n"/>
      <c r="B162" s="102" t="n"/>
      <c r="C162" s="102" t="n"/>
      <c r="D162" s="103" t="n"/>
      <c r="E162" s="102" t="n"/>
      <c r="F162" s="104" t="n"/>
      <c r="G162" s="104" t="n"/>
      <c r="H162" s="102" t="n"/>
      <c r="I162" s="105" t="n"/>
      <c r="J162" s="105" t="n"/>
      <c r="K162" s="103" t="n"/>
      <c r="L162" s="106" t="str">
        <f>IF(OR(D162="",E162=""),"",D162+IF(E162="NOTIFICAÇÃO DE CONSTATAÇÃO",PrazoConst,PrazoEsc))</f>
        <v/>
      </c>
      <c r="M162" s="107" t="str">
        <f>IF(L162="","",L162-TODAY())</f>
        <v/>
      </c>
      <c r="N162" s="108" t="str">
        <f>IF(B162="","",IF(G162="DECISÃO D.P","EM DECISÃO",IF(G162="","SEM STATUS",IF(M162="","SEM DATA",IF(M162&lt;0,"VENCIDO",IF(M162&lt;=DiasAlerta,"VENCE EM BREVE","NO PRAZO"))))))</f>
        <v/>
      </c>
      <c r="O162" s="109" t="str">
        <f>IF(D162="","",TODAY()-D162)</f>
        <v/>
      </c>
      <c r="P162" s="102" t="n"/>
    </row>
    <row r="163" ht="18" customHeight="1">
      <c r="A163" s="101" t="n"/>
      <c r="B163" s="102" t="n"/>
      <c r="C163" s="102" t="n"/>
      <c r="D163" s="103" t="n"/>
      <c r="E163" s="102" t="n"/>
      <c r="F163" s="104" t="n"/>
      <c r="G163" s="104" t="n"/>
      <c r="H163" s="102" t="n"/>
      <c r="I163" s="105" t="n"/>
      <c r="J163" s="105" t="n"/>
      <c r="K163" s="103" t="n"/>
      <c r="L163" s="106" t="str">
        <f>IF(OR(D163="",E163=""),"",D163+IF(E163="NOTIFICAÇÃO DE CONSTATAÇÃO",PrazoConst,PrazoEsc))</f>
        <v/>
      </c>
      <c r="M163" s="107" t="str">
        <f>IF(L163="","",L163-TODAY())</f>
        <v/>
      </c>
      <c r="N163" s="108" t="str">
        <f>IF(B163="","",IF(G163="DECISÃO D.P","EM DECISÃO",IF(G163="","SEM STATUS",IF(M163="","SEM DATA",IF(M163&lt;0,"VENCIDO",IF(M163&lt;=DiasAlerta,"VENCE EM BREVE","NO PRAZO"))))))</f>
        <v/>
      </c>
      <c r="O163" s="109" t="str">
        <f>IF(D163="","",TODAY()-D163)</f>
        <v/>
      </c>
      <c r="P163" s="102" t="n"/>
    </row>
    <row r="164" ht="18" customHeight="1">
      <c r="A164" s="101" t="n"/>
      <c r="B164" s="102" t="n"/>
      <c r="C164" s="102" t="n"/>
      <c r="D164" s="103" t="n"/>
      <c r="E164" s="102" t="n"/>
      <c r="F164" s="104" t="n"/>
      <c r="G164" s="104" t="n"/>
      <c r="H164" s="102" t="n"/>
      <c r="I164" s="105" t="n"/>
      <c r="J164" s="105" t="n"/>
      <c r="K164" s="103" t="n"/>
      <c r="L164" s="106" t="str">
        <f>IF(OR(D164="",E164=""),"",D164+IF(E164="NOTIFICAÇÃO DE CONSTATAÇÃO",PrazoConst,PrazoEsc))</f>
        <v/>
      </c>
      <c r="M164" s="107" t="str">
        <f>IF(L164="","",L164-TODAY())</f>
        <v/>
      </c>
      <c r="N164" s="108" t="str">
        <f>IF(B164="","",IF(G164="DECISÃO D.P","EM DECISÃO",IF(G164="","SEM STATUS",IF(M164="","SEM DATA",IF(M164&lt;0,"VENCIDO",IF(M164&lt;=DiasAlerta,"VENCE EM BREVE","NO PRAZO"))))))</f>
        <v/>
      </c>
      <c r="O164" s="109" t="str">
        <f>IF(D164="","",TODAY()-D164)</f>
        <v/>
      </c>
      <c r="P164" s="102" t="n"/>
    </row>
    <row r="165" ht="18" customHeight="1">
      <c r="A165" s="101" t="n"/>
      <c r="B165" s="102" t="n"/>
      <c r="C165" s="102" t="n"/>
      <c r="D165" s="103" t="n"/>
      <c r="E165" s="102" t="n"/>
      <c r="F165" s="104" t="n"/>
      <c r="G165" s="104" t="n"/>
      <c r="H165" s="102" t="n"/>
      <c r="I165" s="105" t="n"/>
      <c r="J165" s="105" t="n"/>
      <c r="K165" s="103" t="n"/>
      <c r="L165" s="106" t="str">
        <f>IF(OR(D165="",E165=""),"",D165+IF(E165="NOTIFICAÇÃO DE CONSTATAÇÃO",PrazoConst,PrazoEsc))</f>
        <v/>
      </c>
      <c r="M165" s="107" t="str">
        <f>IF(L165="","",L165-TODAY())</f>
        <v/>
      </c>
      <c r="N165" s="108" t="str">
        <f>IF(B165="","",IF(G165="DECISÃO D.P","EM DECISÃO",IF(G165="","SEM STATUS",IF(M165="","SEM DATA",IF(M165&lt;0,"VENCIDO",IF(M165&lt;=DiasAlerta,"VENCE EM BREVE","NO PRAZO"))))))</f>
        <v/>
      </c>
      <c r="O165" s="109" t="str">
        <f>IF(D165="","",TODAY()-D165)</f>
        <v/>
      </c>
      <c r="P165" s="102" t="n"/>
    </row>
    <row r="166" ht="18" customHeight="1">
      <c r="A166" s="101" t="n"/>
      <c r="B166" s="102" t="n"/>
      <c r="C166" s="102" t="n"/>
      <c r="D166" s="103" t="n"/>
      <c r="E166" s="102" t="n"/>
      <c r="F166" s="104" t="n"/>
      <c r="G166" s="104" t="n"/>
      <c r="H166" s="102" t="n"/>
      <c r="I166" s="105" t="n"/>
      <c r="J166" s="105" t="n"/>
      <c r="K166" s="103" t="n"/>
      <c r="L166" s="106" t="str">
        <f>IF(OR(D166="",E166=""),"",D166+IF(E166="NOTIFICAÇÃO DE CONSTATAÇÃO",PrazoConst,PrazoEsc))</f>
        <v/>
      </c>
      <c r="M166" s="107" t="str">
        <f>IF(L166="","",L166-TODAY())</f>
        <v/>
      </c>
      <c r="N166" s="108" t="str">
        <f>IF(B166="","",IF(G166="DECISÃO D.P","EM DECISÃO",IF(G166="","SEM STATUS",IF(M166="","SEM DATA",IF(M166&lt;0,"VENCIDO",IF(M166&lt;=DiasAlerta,"VENCE EM BREVE","NO PRAZO"))))))</f>
        <v/>
      </c>
      <c r="O166" s="109" t="str">
        <f>IF(D166="","",TODAY()-D166)</f>
        <v/>
      </c>
      <c r="P166" s="102" t="n"/>
    </row>
    <row r="167" ht="18" customHeight="1">
      <c r="A167" s="101" t="n"/>
      <c r="B167" s="102" t="n"/>
      <c r="C167" s="102" t="n"/>
      <c r="D167" s="103" t="n"/>
      <c r="E167" s="102" t="n"/>
      <c r="F167" s="104" t="n"/>
      <c r="G167" s="104" t="n"/>
      <c r="H167" s="102" t="n"/>
      <c r="I167" s="105" t="n"/>
      <c r="J167" s="105" t="n"/>
      <c r="K167" s="103" t="n"/>
      <c r="L167" s="106" t="str">
        <f>IF(OR(D167="",E167=""),"",D167+IF(E167="NOTIFICAÇÃO DE CONSTATAÇÃO",PrazoConst,PrazoEsc))</f>
        <v/>
      </c>
      <c r="M167" s="107" t="str">
        <f>IF(L167="","",L167-TODAY())</f>
        <v/>
      </c>
      <c r="N167" s="108" t="str">
        <f>IF(B167="","",IF(G167="DECISÃO D.P","EM DECISÃO",IF(G167="","SEM STATUS",IF(M167="","SEM DATA",IF(M167&lt;0,"VENCIDO",IF(M167&lt;=DiasAlerta,"VENCE EM BREVE","NO PRAZO"))))))</f>
        <v/>
      </c>
      <c r="O167" s="109" t="str">
        <f>IF(D167="","",TODAY()-D167)</f>
        <v/>
      </c>
      <c r="P167" s="102" t="n"/>
    </row>
    <row r="168" ht="18" customHeight="1">
      <c r="A168" s="101" t="n"/>
      <c r="B168" s="102" t="n"/>
      <c r="C168" s="102" t="n"/>
      <c r="D168" s="103" t="n"/>
      <c r="E168" s="102" t="n"/>
      <c r="F168" s="104" t="n"/>
      <c r="G168" s="104" t="n"/>
      <c r="H168" s="102" t="n"/>
      <c r="I168" s="105" t="n"/>
      <c r="J168" s="105" t="n"/>
      <c r="K168" s="103" t="n"/>
      <c r="L168" s="106" t="str">
        <f>IF(OR(D168="",E168=""),"",D168+IF(E168="NOTIFICAÇÃO DE CONSTATAÇÃO",PrazoConst,PrazoEsc))</f>
        <v/>
      </c>
      <c r="M168" s="107" t="str">
        <f>IF(L168="","",L168-TODAY())</f>
        <v/>
      </c>
      <c r="N168" s="108" t="str">
        <f>IF(B168="","",IF(G168="DECISÃO D.P","EM DECISÃO",IF(G168="","SEM STATUS",IF(M168="","SEM DATA",IF(M168&lt;0,"VENCIDO",IF(M168&lt;=DiasAlerta,"VENCE EM BREVE","NO PRAZO"))))))</f>
        <v/>
      </c>
      <c r="O168" s="109" t="str">
        <f>IF(D168="","",TODAY()-D168)</f>
        <v/>
      </c>
      <c r="P168" s="102" t="n"/>
    </row>
    <row r="169" ht="18" customHeight="1">
      <c r="A169" s="101" t="n"/>
      <c r="B169" s="102" t="n"/>
      <c r="C169" s="102" t="n"/>
      <c r="D169" s="103" t="n"/>
      <c r="E169" s="102" t="n"/>
      <c r="F169" s="104" t="n"/>
      <c r="G169" s="104" t="n"/>
      <c r="H169" s="102" t="n"/>
      <c r="I169" s="105" t="n"/>
      <c r="J169" s="105" t="n"/>
      <c r="K169" s="103" t="n"/>
      <c r="L169" s="106" t="str">
        <f>IF(OR(D169="",E169=""),"",D169+IF(E169="NOTIFICAÇÃO DE CONSTATAÇÃO",PrazoConst,PrazoEsc))</f>
        <v/>
      </c>
      <c r="M169" s="107" t="str">
        <f>IF(L169="","",L169-TODAY())</f>
        <v/>
      </c>
      <c r="N169" s="108" t="str">
        <f>IF(B169="","",IF(G169="DECISÃO D.P","EM DECISÃO",IF(G169="","SEM STATUS",IF(M169="","SEM DATA",IF(M169&lt;0,"VENCIDO",IF(M169&lt;=DiasAlerta,"VENCE EM BREVE","NO PRAZO"))))))</f>
        <v/>
      </c>
      <c r="O169" s="109" t="str">
        <f>IF(D169="","",TODAY()-D169)</f>
        <v/>
      </c>
      <c r="P169" s="102" t="n"/>
    </row>
    <row r="170" ht="18" customHeight="1">
      <c r="A170" s="101" t="n"/>
      <c r="B170" s="102" t="n"/>
      <c r="C170" s="102" t="n"/>
      <c r="D170" s="103" t="n"/>
      <c r="E170" s="102" t="n"/>
      <c r="F170" s="104" t="n"/>
      <c r="G170" s="104" t="n"/>
      <c r="H170" s="102" t="n"/>
      <c r="I170" s="105" t="n"/>
      <c r="J170" s="105" t="n"/>
      <c r="K170" s="103" t="n"/>
      <c r="L170" s="106" t="str">
        <f>IF(OR(D170="",E170=""),"",D170+IF(E170="NOTIFICAÇÃO DE CONSTATAÇÃO",PrazoConst,PrazoEsc))</f>
        <v/>
      </c>
      <c r="M170" s="107" t="str">
        <f>IF(L170="","",L170-TODAY())</f>
        <v/>
      </c>
      <c r="N170" s="108" t="str">
        <f>IF(B170="","",IF(G170="DECISÃO D.P","EM DECISÃO",IF(G170="","SEM STATUS",IF(M170="","SEM DATA",IF(M170&lt;0,"VENCIDO",IF(M170&lt;=DiasAlerta,"VENCE EM BREVE","NO PRAZO"))))))</f>
        <v/>
      </c>
      <c r="O170" s="109" t="str">
        <f>IF(D170="","",TODAY()-D170)</f>
        <v/>
      </c>
      <c r="P170" s="102" t="n"/>
    </row>
    <row r="171" ht="18" customHeight="1">
      <c r="A171" s="101" t="n"/>
      <c r="B171" s="102" t="n"/>
      <c r="C171" s="102" t="n"/>
      <c r="D171" s="103" t="n"/>
      <c r="E171" s="102" t="n"/>
      <c r="F171" s="104" t="n"/>
      <c r="G171" s="104" t="n"/>
      <c r="H171" s="102" t="n"/>
      <c r="I171" s="105" t="n"/>
      <c r="J171" s="105" t="n"/>
      <c r="K171" s="103" t="n"/>
      <c r="L171" s="106" t="str">
        <f>IF(OR(D171="",E171=""),"",D171+IF(E171="NOTIFICAÇÃO DE CONSTATAÇÃO",PrazoConst,PrazoEsc))</f>
        <v/>
      </c>
      <c r="M171" s="107" t="str">
        <f>IF(L171="","",L171-TODAY())</f>
        <v/>
      </c>
      <c r="N171" s="108" t="str">
        <f>IF(B171="","",IF(G171="DECISÃO D.P","EM DECISÃO",IF(G171="","SEM STATUS",IF(M171="","SEM DATA",IF(M171&lt;0,"VENCIDO",IF(M171&lt;=DiasAlerta,"VENCE EM BREVE","NO PRAZO"))))))</f>
        <v/>
      </c>
      <c r="O171" s="109" t="str">
        <f>IF(D171="","",TODAY()-D171)</f>
        <v/>
      </c>
      <c r="P171" s="102" t="n"/>
    </row>
    <row r="172" ht="18" customHeight="1">
      <c r="A172" s="101" t="n"/>
      <c r="B172" s="102" t="n"/>
      <c r="C172" s="102" t="n"/>
      <c r="D172" s="103" t="n"/>
      <c r="E172" s="102" t="n"/>
      <c r="F172" s="104" t="n"/>
      <c r="G172" s="104" t="n"/>
      <c r="H172" s="102" t="n"/>
      <c r="I172" s="105" t="n"/>
      <c r="J172" s="105" t="n"/>
      <c r="K172" s="103" t="n"/>
      <c r="L172" s="106" t="str">
        <f>IF(OR(D172="",E172=""),"",D172+IF(E172="NOTIFICAÇÃO DE CONSTATAÇÃO",PrazoConst,PrazoEsc))</f>
        <v/>
      </c>
      <c r="M172" s="107" t="str">
        <f>IF(L172="","",L172-TODAY())</f>
        <v/>
      </c>
      <c r="N172" s="108" t="str">
        <f>IF(B172="","",IF(G172="DECISÃO D.P","EM DECISÃO",IF(G172="","SEM STATUS",IF(M172="","SEM DATA",IF(M172&lt;0,"VENCIDO",IF(M172&lt;=DiasAlerta,"VENCE EM BREVE","NO PRAZO"))))))</f>
        <v/>
      </c>
      <c r="O172" s="109" t="str">
        <f>IF(D172="","",TODAY()-D172)</f>
        <v/>
      </c>
      <c r="P172" s="102" t="n"/>
    </row>
    <row r="173" ht="18" customHeight="1">
      <c r="A173" s="101" t="n"/>
      <c r="B173" s="102" t="n"/>
      <c r="C173" s="102" t="n"/>
      <c r="D173" s="103" t="n"/>
      <c r="E173" s="102" t="n"/>
      <c r="F173" s="104" t="n"/>
      <c r="G173" s="104" t="n"/>
      <c r="H173" s="102" t="n"/>
      <c r="I173" s="105" t="n"/>
      <c r="J173" s="105" t="n"/>
      <c r="K173" s="103" t="n"/>
      <c r="L173" s="106" t="str">
        <f>IF(OR(D173="",E173=""),"",D173+IF(E173="NOTIFICAÇÃO DE CONSTATAÇÃO",PrazoConst,PrazoEsc))</f>
        <v/>
      </c>
      <c r="M173" s="107" t="str">
        <f>IF(L173="","",L173-TODAY())</f>
        <v/>
      </c>
      <c r="N173" s="108" t="str">
        <f>IF(B173="","",IF(G173="DECISÃO D.P","EM DECISÃO",IF(G173="","SEM STATUS",IF(M173="","SEM DATA",IF(M173&lt;0,"VENCIDO",IF(M173&lt;=DiasAlerta,"VENCE EM BREVE","NO PRAZO"))))))</f>
        <v/>
      </c>
      <c r="O173" s="109" t="str">
        <f>IF(D173="","",TODAY()-D173)</f>
        <v/>
      </c>
      <c r="P173" s="102" t="n"/>
    </row>
    <row r="174" ht="18" customHeight="1">
      <c r="A174" s="101" t="n"/>
      <c r="B174" s="102" t="n"/>
      <c r="C174" s="102" t="n"/>
      <c r="D174" s="103" t="n"/>
      <c r="E174" s="102" t="n"/>
      <c r="F174" s="104" t="n"/>
      <c r="G174" s="104" t="n"/>
      <c r="H174" s="102" t="n"/>
      <c r="I174" s="105" t="n"/>
      <c r="J174" s="105" t="n"/>
      <c r="K174" s="103" t="n"/>
      <c r="L174" s="106" t="str">
        <f>IF(OR(D174="",E174=""),"",D174+IF(E174="NOTIFICAÇÃO DE CONSTATAÇÃO",PrazoConst,PrazoEsc))</f>
        <v/>
      </c>
      <c r="M174" s="107" t="str">
        <f>IF(L174="","",L174-TODAY())</f>
        <v/>
      </c>
      <c r="N174" s="108" t="str">
        <f>IF(B174="","",IF(G174="DECISÃO D.P","EM DECISÃO",IF(G174="","SEM STATUS",IF(M174="","SEM DATA",IF(M174&lt;0,"VENCIDO",IF(M174&lt;=DiasAlerta,"VENCE EM BREVE","NO PRAZO"))))))</f>
        <v/>
      </c>
      <c r="O174" s="109" t="str">
        <f>IF(D174="","",TODAY()-D174)</f>
        <v/>
      </c>
      <c r="P174" s="102" t="n"/>
    </row>
    <row r="175" ht="18" customHeight="1">
      <c r="A175" s="101" t="n"/>
      <c r="B175" s="102" t="n"/>
      <c r="C175" s="102" t="n"/>
      <c r="D175" s="103" t="n"/>
      <c r="E175" s="102" t="n"/>
      <c r="F175" s="104" t="n"/>
      <c r="G175" s="104" t="n"/>
      <c r="H175" s="102" t="n"/>
      <c r="I175" s="105" t="n"/>
      <c r="J175" s="105" t="n"/>
      <c r="K175" s="103" t="n"/>
      <c r="L175" s="106" t="str">
        <f>IF(OR(D175="",E175=""),"",D175+IF(E175="NOTIFICAÇÃO DE CONSTATAÇÃO",PrazoConst,PrazoEsc))</f>
        <v/>
      </c>
      <c r="M175" s="107" t="str">
        <f>IF(L175="","",L175-TODAY())</f>
        <v/>
      </c>
      <c r="N175" s="108" t="str">
        <f>IF(B175="","",IF(G175="DECISÃO D.P","EM DECISÃO",IF(G175="","SEM STATUS",IF(M175="","SEM DATA",IF(M175&lt;0,"VENCIDO",IF(M175&lt;=DiasAlerta,"VENCE EM BREVE","NO PRAZO"))))))</f>
        <v/>
      </c>
      <c r="O175" s="109" t="str">
        <f>IF(D175="","",TODAY()-D175)</f>
        <v/>
      </c>
      <c r="P175" s="102" t="n"/>
    </row>
    <row r="176" ht="18" customHeight="1">
      <c r="A176" s="101" t="n"/>
      <c r="B176" s="102" t="n"/>
      <c r="C176" s="102" t="n"/>
      <c r="D176" s="103" t="n"/>
      <c r="E176" s="102" t="n"/>
      <c r="F176" s="104" t="n"/>
      <c r="G176" s="104" t="n"/>
      <c r="H176" s="102" t="n"/>
      <c r="I176" s="105" t="n"/>
      <c r="J176" s="105" t="n"/>
      <c r="K176" s="103" t="n"/>
      <c r="L176" s="106" t="str">
        <f>IF(OR(D176="",E176=""),"",D176+IF(E176="NOTIFICAÇÃO DE CONSTATAÇÃO",PrazoConst,PrazoEsc))</f>
        <v/>
      </c>
      <c r="M176" s="107" t="str">
        <f>IF(L176="","",L176-TODAY())</f>
        <v/>
      </c>
      <c r="N176" s="108" t="str">
        <f>IF(B176="","",IF(G176="DECISÃO D.P","EM DECISÃO",IF(G176="","SEM STATUS",IF(M176="","SEM DATA",IF(M176&lt;0,"VENCIDO",IF(M176&lt;=DiasAlerta,"VENCE EM BREVE","NO PRAZO"))))))</f>
        <v/>
      </c>
      <c r="O176" s="109" t="str">
        <f>IF(D176="","",TODAY()-D176)</f>
        <v/>
      </c>
      <c r="P176" s="102" t="n"/>
    </row>
    <row r="177" ht="18" customHeight="1">
      <c r="A177" s="101" t="n"/>
      <c r="B177" s="102" t="n"/>
      <c r="C177" s="102" t="n"/>
      <c r="D177" s="103" t="n"/>
      <c r="E177" s="102" t="n"/>
      <c r="F177" s="104" t="n"/>
      <c r="G177" s="104" t="n"/>
      <c r="H177" s="102" t="n"/>
      <c r="I177" s="105" t="n"/>
      <c r="J177" s="105" t="n"/>
      <c r="K177" s="103" t="n"/>
      <c r="L177" s="106" t="str">
        <f>IF(OR(D177="",E177=""),"",D177+IF(E177="NOTIFICAÇÃO DE CONSTATAÇÃO",PrazoConst,PrazoEsc))</f>
        <v/>
      </c>
      <c r="M177" s="107" t="str">
        <f>IF(L177="","",L177-TODAY())</f>
        <v/>
      </c>
      <c r="N177" s="108" t="str">
        <f>IF(B177="","",IF(G177="DECISÃO D.P","EM DECISÃO",IF(G177="","SEM STATUS",IF(M177="","SEM DATA",IF(M177&lt;0,"VENCIDO",IF(M177&lt;=DiasAlerta,"VENCE EM BREVE","NO PRAZO"))))))</f>
        <v/>
      </c>
      <c r="O177" s="109" t="str">
        <f>IF(D177="","",TODAY()-D177)</f>
        <v/>
      </c>
      <c r="P177" s="102" t="n"/>
    </row>
    <row r="178" ht="18" customHeight="1">
      <c r="A178" s="101" t="n"/>
      <c r="B178" s="102" t="n"/>
      <c r="C178" s="102" t="n"/>
      <c r="D178" s="103" t="n"/>
      <c r="E178" s="102" t="n"/>
      <c r="F178" s="104" t="n"/>
      <c r="G178" s="104" t="n"/>
      <c r="H178" s="102" t="n"/>
      <c r="I178" s="105" t="n"/>
      <c r="J178" s="105" t="n"/>
      <c r="K178" s="103" t="n"/>
      <c r="L178" s="106" t="str">
        <f>IF(OR(D178="",E178=""),"",D178+IF(E178="NOTIFICAÇÃO DE CONSTATAÇÃO",PrazoConst,PrazoEsc))</f>
        <v/>
      </c>
      <c r="M178" s="107" t="str">
        <f>IF(L178="","",L178-TODAY())</f>
        <v/>
      </c>
      <c r="N178" s="108" t="str">
        <f>IF(B178="","",IF(G178="DECISÃO D.P","EM DECISÃO",IF(G178="","SEM STATUS",IF(M178="","SEM DATA",IF(M178&lt;0,"VENCIDO",IF(M178&lt;=DiasAlerta,"VENCE EM BREVE","NO PRAZO"))))))</f>
        <v/>
      </c>
      <c r="O178" s="109" t="str">
        <f>IF(D178="","",TODAY()-D178)</f>
        <v/>
      </c>
      <c r="P178" s="102" t="n"/>
    </row>
    <row r="179" ht="18" customHeight="1">
      <c r="A179" s="101" t="n"/>
      <c r="B179" s="102" t="n"/>
      <c r="C179" s="102" t="n"/>
      <c r="D179" s="103" t="n"/>
      <c r="E179" s="102" t="n"/>
      <c r="F179" s="104" t="n"/>
      <c r="G179" s="104" t="n"/>
      <c r="H179" s="102" t="n"/>
      <c r="I179" s="105" t="n"/>
      <c r="J179" s="105" t="n"/>
      <c r="K179" s="103" t="n"/>
      <c r="L179" s="106" t="str">
        <f>IF(OR(D179="",E179=""),"",D179+IF(E179="NOTIFICAÇÃO DE CONSTATAÇÃO",PrazoConst,PrazoEsc))</f>
        <v/>
      </c>
      <c r="M179" s="107" t="str">
        <f>IF(L179="","",L179-TODAY())</f>
        <v/>
      </c>
      <c r="N179" s="108" t="str">
        <f>IF(B179="","",IF(G179="DECISÃO D.P","EM DECISÃO",IF(G179="","SEM STATUS",IF(M179="","SEM DATA",IF(M179&lt;0,"VENCIDO",IF(M179&lt;=DiasAlerta,"VENCE EM BREVE","NO PRAZO"))))))</f>
        <v/>
      </c>
      <c r="O179" s="109" t="str">
        <f>IF(D179="","",TODAY()-D179)</f>
        <v/>
      </c>
      <c r="P179" s="102" t="n"/>
    </row>
    <row r="180" ht="18" customHeight="1">
      <c r="A180" s="101" t="n"/>
      <c r="B180" s="102" t="n"/>
      <c r="C180" s="102" t="n"/>
      <c r="D180" s="103" t="n"/>
      <c r="E180" s="102" t="n"/>
      <c r="F180" s="104" t="n"/>
      <c r="G180" s="104" t="n"/>
      <c r="H180" s="102" t="n"/>
      <c r="I180" s="105" t="n"/>
      <c r="J180" s="105" t="n"/>
      <c r="K180" s="103" t="n"/>
      <c r="L180" s="106" t="str">
        <f>IF(OR(D180="",E180=""),"",D180+IF(E180="NOTIFICAÇÃO DE CONSTATAÇÃO",PrazoConst,PrazoEsc))</f>
        <v/>
      </c>
      <c r="M180" s="107" t="str">
        <f>IF(L180="","",L180-TODAY())</f>
        <v/>
      </c>
      <c r="N180" s="108" t="str">
        <f>IF(B180="","",IF(G180="DECISÃO D.P","EM DECISÃO",IF(G180="","SEM STATUS",IF(M180="","SEM DATA",IF(M180&lt;0,"VENCIDO",IF(M180&lt;=DiasAlerta,"VENCE EM BREVE","NO PRAZO"))))))</f>
        <v/>
      </c>
      <c r="O180" s="109" t="str">
        <f>IF(D180="","",TODAY()-D180)</f>
        <v/>
      </c>
      <c r="P180" s="102" t="n"/>
    </row>
    <row r="181" ht="18" customHeight="1">
      <c r="A181" s="101" t="n"/>
      <c r="B181" s="102" t="n"/>
      <c r="C181" s="102" t="n"/>
      <c r="D181" s="103" t="n"/>
      <c r="E181" s="102" t="n"/>
      <c r="F181" s="104" t="n"/>
      <c r="G181" s="104" t="n"/>
      <c r="H181" s="102" t="n"/>
      <c r="I181" s="105" t="n"/>
      <c r="J181" s="105" t="n"/>
      <c r="K181" s="103" t="n"/>
      <c r="L181" s="106" t="str">
        <f>IF(OR(D181="",E181=""),"",D181+IF(E181="NOTIFICAÇÃO DE CONSTATAÇÃO",PrazoConst,PrazoEsc))</f>
        <v/>
      </c>
      <c r="M181" s="107" t="str">
        <f>IF(L181="","",L181-TODAY())</f>
        <v/>
      </c>
      <c r="N181" s="108" t="str">
        <f>IF(B181="","",IF(G181="DECISÃO D.P","EM DECISÃO",IF(G181="","SEM STATUS",IF(M181="","SEM DATA",IF(M181&lt;0,"VENCIDO",IF(M181&lt;=DiasAlerta,"VENCE EM BREVE","NO PRAZO"))))))</f>
        <v/>
      </c>
      <c r="O181" s="109" t="str">
        <f>IF(D181="","",TODAY()-D181)</f>
        <v/>
      </c>
      <c r="P181" s="102" t="n"/>
    </row>
    <row r="182" ht="18" customHeight="1">
      <c r="A182" s="101" t="n"/>
      <c r="B182" s="102" t="n"/>
      <c r="C182" s="102" t="n"/>
      <c r="D182" s="103" t="n"/>
      <c r="E182" s="102" t="n"/>
      <c r="F182" s="104" t="n"/>
      <c r="G182" s="104" t="n"/>
      <c r="H182" s="102" t="n"/>
      <c r="I182" s="105" t="n"/>
      <c r="J182" s="105" t="n"/>
      <c r="K182" s="103" t="n"/>
      <c r="L182" s="106" t="str">
        <f>IF(OR(D182="",E182=""),"",D182+IF(E182="NOTIFICAÇÃO DE CONSTATAÇÃO",PrazoConst,PrazoEsc))</f>
        <v/>
      </c>
      <c r="M182" s="107" t="str">
        <f>IF(L182="","",L182-TODAY())</f>
        <v/>
      </c>
      <c r="N182" s="108" t="str">
        <f>IF(B182="","",IF(G182="DECISÃO D.P","EM DECISÃO",IF(G182="","SEM STATUS",IF(M182="","SEM DATA",IF(M182&lt;0,"VENCIDO",IF(M182&lt;=DiasAlerta,"VENCE EM BREVE","NO PRAZO"))))))</f>
        <v/>
      </c>
      <c r="O182" s="109" t="str">
        <f>IF(D182="","",TODAY()-D182)</f>
        <v/>
      </c>
      <c r="P182" s="102" t="n"/>
    </row>
    <row r="183" ht="18" customHeight="1">
      <c r="A183" s="101" t="n"/>
      <c r="B183" s="102" t="n"/>
      <c r="C183" s="102" t="n"/>
      <c r="D183" s="103" t="n"/>
      <c r="E183" s="102" t="n"/>
      <c r="F183" s="104" t="n"/>
      <c r="G183" s="104" t="n"/>
      <c r="H183" s="102" t="n"/>
      <c r="I183" s="105" t="n"/>
      <c r="J183" s="105" t="n"/>
      <c r="K183" s="103" t="n"/>
      <c r="L183" s="106" t="str">
        <f>IF(OR(D183="",E183=""),"",D183+IF(E183="NOTIFICAÇÃO DE CONSTATAÇÃO",PrazoConst,PrazoEsc))</f>
        <v/>
      </c>
      <c r="M183" s="107" t="str">
        <f>IF(L183="","",L183-TODAY())</f>
        <v/>
      </c>
      <c r="N183" s="108" t="str">
        <f>IF(B183="","",IF(G183="DECISÃO D.P","EM DECISÃO",IF(G183="","SEM STATUS",IF(M183="","SEM DATA",IF(M183&lt;0,"VENCIDO",IF(M183&lt;=DiasAlerta,"VENCE EM BREVE","NO PRAZO"))))))</f>
        <v/>
      </c>
      <c r="O183" s="109" t="str">
        <f>IF(D183="","",TODAY()-D183)</f>
        <v/>
      </c>
      <c r="P183" s="102" t="n"/>
    </row>
    <row r="184" ht="18" customHeight="1">
      <c r="A184" s="101" t="n"/>
      <c r="B184" s="102" t="n"/>
      <c r="C184" s="102" t="n"/>
      <c r="D184" s="103" t="n"/>
      <c r="E184" s="102" t="n"/>
      <c r="F184" s="104" t="n"/>
      <c r="G184" s="104" t="n"/>
      <c r="H184" s="102" t="n"/>
      <c r="I184" s="105" t="n"/>
      <c r="J184" s="105" t="n"/>
      <c r="K184" s="103" t="n"/>
      <c r="L184" s="106" t="str">
        <f>IF(OR(D184="",E184=""),"",D184+IF(E184="NOTIFICAÇÃO DE CONSTATAÇÃO",PrazoConst,PrazoEsc))</f>
        <v/>
      </c>
      <c r="M184" s="107" t="str">
        <f>IF(L184="","",L184-TODAY())</f>
        <v/>
      </c>
      <c r="N184" s="108" t="str">
        <f>IF(B184="","",IF(G184="DECISÃO D.P","EM DECISÃO",IF(G184="","SEM STATUS",IF(M184="","SEM DATA",IF(M184&lt;0,"VENCIDO",IF(M184&lt;=DiasAlerta,"VENCE EM BREVE","NO PRAZO"))))))</f>
        <v/>
      </c>
      <c r="O184" s="109" t="str">
        <f>IF(D184="","",TODAY()-D184)</f>
        <v/>
      </c>
      <c r="P184" s="102" t="n"/>
    </row>
    <row r="185" ht="18" customHeight="1">
      <c r="A185" s="101" t="n"/>
      <c r="B185" s="102" t="n"/>
      <c r="C185" s="102" t="n"/>
      <c r="D185" s="103" t="n"/>
      <c r="E185" s="102" t="n"/>
      <c r="F185" s="104" t="n"/>
      <c r="G185" s="104" t="n"/>
      <c r="H185" s="102" t="n"/>
      <c r="I185" s="105" t="n"/>
      <c r="J185" s="105" t="n"/>
      <c r="K185" s="103" t="n"/>
      <c r="L185" s="106" t="str">
        <f>IF(OR(D185="",E185=""),"",D185+IF(E185="NOTIFICAÇÃO DE CONSTATAÇÃO",PrazoConst,PrazoEsc))</f>
        <v/>
      </c>
      <c r="M185" s="107" t="str">
        <f>IF(L185="","",L185-TODAY())</f>
        <v/>
      </c>
      <c r="N185" s="108" t="str">
        <f>IF(B185="","",IF(G185="DECISÃO D.P","EM DECISÃO",IF(G185="","SEM STATUS",IF(M185="","SEM DATA",IF(M185&lt;0,"VENCIDO",IF(M185&lt;=DiasAlerta,"VENCE EM BREVE","NO PRAZO"))))))</f>
        <v/>
      </c>
      <c r="O185" s="109" t="str">
        <f>IF(D185="","",TODAY()-D185)</f>
        <v/>
      </c>
      <c r="P185" s="102" t="n"/>
    </row>
    <row r="186" ht="18" customHeight="1">
      <c r="A186" s="101" t="n"/>
      <c r="B186" s="102" t="n"/>
      <c r="C186" s="102" t="n"/>
      <c r="D186" s="103" t="n"/>
      <c r="E186" s="102" t="n"/>
      <c r="F186" s="104" t="n"/>
      <c r="G186" s="104" t="n"/>
      <c r="H186" s="102" t="n"/>
      <c r="I186" s="105" t="n"/>
      <c r="J186" s="105" t="n"/>
      <c r="K186" s="103" t="n"/>
      <c r="L186" s="106" t="str">
        <f>IF(OR(D186="",E186=""),"",D186+IF(E186="NOTIFICAÇÃO DE CONSTATAÇÃO",PrazoConst,PrazoEsc))</f>
        <v/>
      </c>
      <c r="M186" s="107" t="str">
        <f>IF(L186="","",L186-TODAY())</f>
        <v/>
      </c>
      <c r="N186" s="108" t="str">
        <f>IF(B186="","",IF(G186="DECISÃO D.P","EM DECISÃO",IF(G186="","SEM STATUS",IF(M186="","SEM DATA",IF(M186&lt;0,"VENCIDO",IF(M186&lt;=DiasAlerta,"VENCE EM BREVE","NO PRAZO"))))))</f>
        <v/>
      </c>
      <c r="O186" s="109" t="str">
        <f>IF(D186="","",TODAY()-D186)</f>
        <v/>
      </c>
      <c r="P186" s="102" t="n"/>
    </row>
    <row r="187" ht="18" customHeight="1">
      <c r="A187" s="101" t="n"/>
      <c r="B187" s="102" t="n"/>
      <c r="C187" s="102" t="n"/>
      <c r="D187" s="103" t="n"/>
      <c r="E187" s="102" t="n"/>
      <c r="F187" s="104" t="n"/>
      <c r="G187" s="104" t="n"/>
      <c r="H187" s="102" t="n"/>
      <c r="I187" s="105" t="n"/>
      <c r="J187" s="105" t="n"/>
      <c r="K187" s="103" t="n"/>
      <c r="L187" s="106" t="str">
        <f>IF(OR(D187="",E187=""),"",D187+IF(E187="NOTIFICAÇÃO DE CONSTATAÇÃO",PrazoConst,PrazoEsc))</f>
        <v/>
      </c>
      <c r="M187" s="107" t="str">
        <f>IF(L187="","",L187-TODAY())</f>
        <v/>
      </c>
      <c r="N187" s="108" t="str">
        <f>IF(B187="","",IF(G187="DECISÃO D.P","EM DECISÃO",IF(G187="","SEM STATUS",IF(M187="","SEM DATA",IF(M187&lt;0,"VENCIDO",IF(M187&lt;=DiasAlerta,"VENCE EM BREVE","NO PRAZO"))))))</f>
        <v/>
      </c>
      <c r="O187" s="109" t="str">
        <f>IF(D187="","",TODAY()-D187)</f>
        <v/>
      </c>
      <c r="P187" s="102" t="n"/>
    </row>
    <row r="188" ht="18" customHeight="1">
      <c r="A188" s="101" t="n"/>
      <c r="B188" s="102" t="n"/>
      <c r="C188" s="102" t="n"/>
      <c r="D188" s="103" t="n"/>
      <c r="E188" s="102" t="n"/>
      <c r="F188" s="104" t="n"/>
      <c r="G188" s="104" t="n"/>
      <c r="H188" s="102" t="n"/>
      <c r="I188" s="105" t="n"/>
      <c r="J188" s="105" t="n"/>
      <c r="K188" s="103" t="n"/>
      <c r="L188" s="106" t="str">
        <f>IF(OR(D188="",E188=""),"",D188+IF(E188="NOTIFICAÇÃO DE CONSTATAÇÃO",PrazoConst,PrazoEsc))</f>
        <v/>
      </c>
      <c r="M188" s="107" t="str">
        <f>IF(L188="","",L188-TODAY())</f>
        <v/>
      </c>
      <c r="N188" s="108" t="str">
        <f>IF(B188="","",IF(G188="DECISÃO D.P","EM DECISÃO",IF(G188="","SEM STATUS",IF(M188="","SEM DATA",IF(M188&lt;0,"VENCIDO",IF(M188&lt;=DiasAlerta,"VENCE EM BREVE","NO PRAZO"))))))</f>
        <v/>
      </c>
      <c r="O188" s="109" t="str">
        <f>IF(D188="","",TODAY()-D188)</f>
        <v/>
      </c>
      <c r="P188" s="102" t="n"/>
    </row>
    <row r="189" ht="18" customHeight="1">
      <c r="A189" s="101" t="n"/>
      <c r="B189" s="102" t="n"/>
      <c r="C189" s="102" t="n"/>
      <c r="D189" s="103" t="n"/>
      <c r="E189" s="102" t="n"/>
      <c r="F189" s="104" t="n"/>
      <c r="G189" s="104" t="n"/>
      <c r="H189" s="102" t="n"/>
      <c r="I189" s="105" t="n"/>
      <c r="J189" s="105" t="n"/>
      <c r="K189" s="103" t="n"/>
      <c r="L189" s="106" t="str">
        <f>IF(OR(D189="",E189=""),"",D189+IF(E189="NOTIFICAÇÃO DE CONSTATAÇÃO",PrazoConst,PrazoEsc))</f>
        <v/>
      </c>
      <c r="M189" s="107" t="str">
        <f>IF(L189="","",L189-TODAY())</f>
        <v/>
      </c>
      <c r="N189" s="108" t="str">
        <f>IF(B189="","",IF(G189="DECISÃO D.P","EM DECISÃO",IF(G189="","SEM STATUS",IF(M189="","SEM DATA",IF(M189&lt;0,"VENCIDO",IF(M189&lt;=DiasAlerta,"VENCE EM BREVE","NO PRAZO"))))))</f>
        <v/>
      </c>
      <c r="O189" s="109" t="str">
        <f>IF(D189="","",TODAY()-D189)</f>
        <v/>
      </c>
      <c r="P189" s="102" t="n"/>
    </row>
    <row r="190" ht="18" customHeight="1">
      <c r="A190" s="101" t="n"/>
      <c r="B190" s="102" t="n"/>
      <c r="C190" s="102" t="n"/>
      <c r="D190" s="103" t="n"/>
      <c r="E190" s="102" t="n"/>
      <c r="F190" s="104" t="n"/>
      <c r="G190" s="104" t="n"/>
      <c r="H190" s="102" t="n"/>
      <c r="I190" s="105" t="n"/>
      <c r="J190" s="105" t="n"/>
      <c r="K190" s="103" t="n"/>
      <c r="L190" s="106" t="str">
        <f>IF(OR(D190="",E190=""),"",D190+IF(E190="NOTIFICAÇÃO DE CONSTATAÇÃO",PrazoConst,PrazoEsc))</f>
        <v/>
      </c>
      <c r="M190" s="107" t="str">
        <f>IF(L190="","",L190-TODAY())</f>
        <v/>
      </c>
      <c r="N190" s="108" t="str">
        <f>IF(B190="","",IF(G190="DECISÃO D.P","EM DECISÃO",IF(G190="","SEM STATUS",IF(M190="","SEM DATA",IF(M190&lt;0,"VENCIDO",IF(M190&lt;=DiasAlerta,"VENCE EM BREVE","NO PRAZO"))))))</f>
        <v/>
      </c>
      <c r="O190" s="109" t="str">
        <f>IF(D190="","",TODAY()-D190)</f>
        <v/>
      </c>
      <c r="P190" s="102" t="n"/>
    </row>
    <row r="191" ht="18" customHeight="1">
      <c r="A191" s="101" t="n"/>
      <c r="B191" s="102" t="n"/>
      <c r="C191" s="102" t="n"/>
      <c r="D191" s="103" t="n"/>
      <c r="E191" s="102" t="n"/>
      <c r="F191" s="104" t="n"/>
      <c r="G191" s="104" t="n"/>
      <c r="H191" s="102" t="n"/>
      <c r="I191" s="105" t="n"/>
      <c r="J191" s="105" t="n"/>
      <c r="K191" s="103" t="n"/>
      <c r="L191" s="106" t="str">
        <f>IF(OR(D191="",E191=""),"",D191+IF(E191="NOTIFICAÇÃO DE CONSTATAÇÃO",PrazoConst,PrazoEsc))</f>
        <v/>
      </c>
      <c r="M191" s="107" t="str">
        <f>IF(L191="","",L191-TODAY())</f>
        <v/>
      </c>
      <c r="N191" s="108" t="str">
        <f>IF(B191="","",IF(G191="DECISÃO D.P","EM DECISÃO",IF(G191="","SEM STATUS",IF(M191="","SEM DATA",IF(M191&lt;0,"VENCIDO",IF(M191&lt;=DiasAlerta,"VENCE EM BREVE","NO PRAZO"))))))</f>
        <v/>
      </c>
      <c r="O191" s="109" t="str">
        <f>IF(D191="","",TODAY()-D191)</f>
        <v/>
      </c>
      <c r="P191" s="102" t="n"/>
    </row>
    <row r="192" ht="18" customHeight="1">
      <c r="A192" s="101" t="n"/>
      <c r="B192" s="102" t="n"/>
      <c r="C192" s="102" t="n"/>
      <c r="D192" s="103" t="n"/>
      <c r="E192" s="102" t="n"/>
      <c r="F192" s="104" t="n"/>
      <c r="G192" s="104" t="n"/>
      <c r="H192" s="102" t="n"/>
      <c r="I192" s="105" t="n"/>
      <c r="J192" s="105" t="n"/>
      <c r="K192" s="103" t="n"/>
      <c r="L192" s="106" t="str">
        <f>IF(OR(D192="",E192=""),"",D192+IF(E192="NOTIFICAÇÃO DE CONSTATAÇÃO",PrazoConst,PrazoEsc))</f>
        <v/>
      </c>
      <c r="M192" s="107" t="str">
        <f>IF(L192="","",L192-TODAY())</f>
        <v/>
      </c>
      <c r="N192" s="108" t="str">
        <f>IF(B192="","",IF(G192="DECISÃO D.P","EM DECISÃO",IF(G192="","SEM STATUS",IF(M192="","SEM DATA",IF(M192&lt;0,"VENCIDO",IF(M192&lt;=DiasAlerta,"VENCE EM BREVE","NO PRAZO"))))))</f>
        <v/>
      </c>
      <c r="O192" s="109" t="str">
        <f>IF(D192="","",TODAY()-D192)</f>
        <v/>
      </c>
      <c r="P192" s="102" t="n"/>
    </row>
    <row r="193" ht="18" customHeight="1">
      <c r="A193" s="101" t="n"/>
      <c r="B193" s="102" t="n"/>
      <c r="C193" s="102" t="n"/>
      <c r="D193" s="103" t="n"/>
      <c r="E193" s="102" t="n"/>
      <c r="F193" s="104" t="n"/>
      <c r="G193" s="104" t="n"/>
      <c r="H193" s="102" t="n"/>
      <c r="I193" s="105" t="n"/>
      <c r="J193" s="105" t="n"/>
      <c r="K193" s="103" t="n"/>
      <c r="L193" s="106" t="str">
        <f>IF(OR(D193="",E193=""),"",D193+IF(E193="NOTIFICAÇÃO DE CONSTATAÇÃO",PrazoConst,PrazoEsc))</f>
        <v/>
      </c>
      <c r="M193" s="107" t="str">
        <f>IF(L193="","",L193-TODAY())</f>
        <v/>
      </c>
      <c r="N193" s="108" t="str">
        <f>IF(B193="","",IF(G193="DECISÃO D.P","EM DECISÃO",IF(G193="","SEM STATUS",IF(M193="","SEM DATA",IF(M193&lt;0,"VENCIDO",IF(M193&lt;=DiasAlerta,"VENCE EM BREVE","NO PRAZO"))))))</f>
        <v/>
      </c>
      <c r="O193" s="109" t="str">
        <f>IF(D193="","",TODAY()-D193)</f>
        <v/>
      </c>
      <c r="P193" s="102" t="n"/>
    </row>
    <row r="194" ht="18" customHeight="1">
      <c r="A194" s="101" t="n"/>
      <c r="B194" s="102" t="n"/>
      <c r="C194" s="102" t="n"/>
      <c r="D194" s="103" t="n"/>
      <c r="E194" s="102" t="n"/>
      <c r="F194" s="104" t="n"/>
      <c r="G194" s="104" t="n"/>
      <c r="H194" s="102" t="n"/>
      <c r="I194" s="105" t="n"/>
      <c r="J194" s="105" t="n"/>
      <c r="K194" s="103" t="n"/>
      <c r="L194" s="106" t="str">
        <f>IF(OR(D194="",E194=""),"",D194+IF(E194="NOTIFICAÇÃO DE CONSTATAÇÃO",PrazoConst,PrazoEsc))</f>
        <v/>
      </c>
      <c r="M194" s="107" t="str">
        <f>IF(L194="","",L194-TODAY())</f>
        <v/>
      </c>
      <c r="N194" s="108" t="str">
        <f>IF(B194="","",IF(G194="DECISÃO D.P","EM DECISÃO",IF(G194="","SEM STATUS",IF(M194="","SEM DATA",IF(M194&lt;0,"VENCIDO",IF(M194&lt;=DiasAlerta,"VENCE EM BREVE","NO PRAZO"))))))</f>
        <v/>
      </c>
      <c r="O194" s="109" t="str">
        <f>IF(D194="","",TODAY()-D194)</f>
        <v/>
      </c>
      <c r="P194" s="102" t="n"/>
    </row>
    <row r="195" ht="18" customHeight="1">
      <c r="A195" s="101" t="n"/>
      <c r="B195" s="102" t="n"/>
      <c r="C195" s="102" t="n"/>
      <c r="D195" s="103" t="n"/>
      <c r="E195" s="102" t="n"/>
      <c r="F195" s="104" t="n"/>
      <c r="G195" s="104" t="n"/>
      <c r="H195" s="102" t="n"/>
      <c r="I195" s="105" t="n"/>
      <c r="J195" s="105" t="n"/>
      <c r="K195" s="103" t="n"/>
      <c r="L195" s="106" t="str">
        <f>IF(OR(D195="",E195=""),"",D195+IF(E195="NOTIFICAÇÃO DE CONSTATAÇÃO",PrazoConst,PrazoEsc))</f>
        <v/>
      </c>
      <c r="M195" s="107" t="str">
        <f>IF(L195="","",L195-TODAY())</f>
        <v/>
      </c>
      <c r="N195" s="108" t="str">
        <f>IF(B195="","",IF(G195="DECISÃO D.P","EM DECISÃO",IF(G195="","SEM STATUS",IF(M195="","SEM DATA",IF(M195&lt;0,"VENCIDO",IF(M195&lt;=DiasAlerta,"VENCE EM BREVE","NO PRAZO"))))))</f>
        <v/>
      </c>
      <c r="O195" s="109" t="str">
        <f>IF(D195="","",TODAY()-D195)</f>
        <v/>
      </c>
      <c r="P195" s="102" t="n"/>
    </row>
    <row r="196" ht="18" customHeight="1">
      <c r="A196" s="101" t="n"/>
      <c r="B196" s="102" t="n"/>
      <c r="C196" s="102" t="n"/>
      <c r="D196" s="103" t="n"/>
      <c r="E196" s="102" t="n"/>
      <c r="F196" s="104" t="n"/>
      <c r="G196" s="104" t="n"/>
      <c r="H196" s="102" t="n"/>
      <c r="I196" s="105" t="n"/>
      <c r="J196" s="105" t="n"/>
      <c r="K196" s="103" t="n"/>
      <c r="L196" s="106" t="str">
        <f>IF(OR(D196="",E196=""),"",D196+IF(E196="NOTIFICAÇÃO DE CONSTATAÇÃO",PrazoConst,PrazoEsc))</f>
        <v/>
      </c>
      <c r="M196" s="107" t="str">
        <f>IF(L196="","",L196-TODAY())</f>
        <v/>
      </c>
      <c r="N196" s="108" t="str">
        <f>IF(B196="","",IF(G196="DECISÃO D.P","EM DECISÃO",IF(G196="","SEM STATUS",IF(M196="","SEM DATA",IF(M196&lt;0,"VENCIDO",IF(M196&lt;=DiasAlerta,"VENCE EM BREVE","NO PRAZO"))))))</f>
        <v/>
      </c>
      <c r="O196" s="109" t="str">
        <f>IF(D196="","",TODAY()-D196)</f>
        <v/>
      </c>
      <c r="P196" s="102" t="n"/>
    </row>
    <row r="197" ht="18" customHeight="1">
      <c r="A197" s="101" t="n"/>
      <c r="B197" s="102" t="n"/>
      <c r="C197" s="102" t="n"/>
      <c r="D197" s="103" t="n"/>
      <c r="E197" s="102" t="n"/>
      <c r="F197" s="104" t="n"/>
      <c r="G197" s="104" t="n"/>
      <c r="H197" s="102" t="n"/>
      <c r="I197" s="105" t="n"/>
      <c r="J197" s="105" t="n"/>
      <c r="K197" s="103" t="n"/>
      <c r="L197" s="106" t="str">
        <f>IF(OR(D197="",E197=""),"",D197+IF(E197="NOTIFICAÇÃO DE CONSTATAÇÃO",PrazoConst,PrazoEsc))</f>
        <v/>
      </c>
      <c r="M197" s="107" t="str">
        <f>IF(L197="","",L197-TODAY())</f>
        <v/>
      </c>
      <c r="N197" s="108" t="str">
        <f>IF(B197="","",IF(G197="DECISÃO D.P","EM DECISÃO",IF(G197="","SEM STATUS",IF(M197="","SEM DATA",IF(M197&lt;0,"VENCIDO",IF(M197&lt;=DiasAlerta,"VENCE EM BREVE","NO PRAZO"))))))</f>
        <v/>
      </c>
      <c r="O197" s="109" t="str">
        <f>IF(D197="","",TODAY()-D197)</f>
        <v/>
      </c>
      <c r="P197" s="102" t="n"/>
    </row>
    <row r="198" ht="18" customHeight="1">
      <c r="A198" s="101" t="n"/>
      <c r="B198" s="102" t="n"/>
      <c r="C198" s="102" t="n"/>
      <c r="D198" s="103" t="n"/>
      <c r="E198" s="102" t="n"/>
      <c r="F198" s="104" t="n"/>
      <c r="G198" s="104" t="n"/>
      <c r="H198" s="102" t="n"/>
      <c r="I198" s="105" t="n"/>
      <c r="J198" s="105" t="n"/>
      <c r="K198" s="103" t="n"/>
      <c r="L198" s="106" t="str">
        <f>IF(OR(D198="",E198=""),"",D198+IF(E198="NOTIFICAÇÃO DE CONSTATAÇÃO",PrazoConst,PrazoEsc))</f>
        <v/>
      </c>
      <c r="M198" s="107" t="str">
        <f>IF(L198="","",L198-TODAY())</f>
        <v/>
      </c>
      <c r="N198" s="108" t="str">
        <f>IF(B198="","",IF(G198="DECISÃO D.P","EM DECISÃO",IF(G198="","SEM STATUS",IF(M198="","SEM DATA",IF(M198&lt;0,"VENCIDO",IF(M198&lt;=DiasAlerta,"VENCE EM BREVE","NO PRAZO"))))))</f>
        <v/>
      </c>
      <c r="O198" s="109" t="str">
        <f>IF(D198="","",TODAY()-D198)</f>
        <v/>
      </c>
      <c r="P198" s="102" t="n"/>
    </row>
    <row r="199" ht="18" customHeight="1">
      <c r="A199" s="101" t="n"/>
      <c r="B199" s="102" t="n"/>
      <c r="C199" s="102" t="n"/>
      <c r="D199" s="103" t="n"/>
      <c r="E199" s="102" t="n"/>
      <c r="F199" s="104" t="n"/>
      <c r="G199" s="104" t="n"/>
      <c r="H199" s="102" t="n"/>
      <c r="I199" s="105" t="n"/>
      <c r="J199" s="105" t="n"/>
      <c r="K199" s="103" t="n"/>
      <c r="L199" s="106" t="str">
        <f>IF(OR(D199="",E199=""),"",D199+IF(E199="NOTIFICAÇÃO DE CONSTATAÇÃO",PrazoConst,PrazoEsc))</f>
        <v/>
      </c>
      <c r="M199" s="107" t="str">
        <f>IF(L199="","",L199-TODAY())</f>
        <v/>
      </c>
      <c r="N199" s="108" t="str">
        <f>IF(B199="","",IF(G199="DECISÃO D.P","EM DECISÃO",IF(G199="","SEM STATUS",IF(M199="","SEM DATA",IF(M199&lt;0,"VENCIDO",IF(M199&lt;=DiasAlerta,"VENCE EM BREVE","NO PRAZO"))))))</f>
        <v/>
      </c>
      <c r="O199" s="109" t="str">
        <f>IF(D199="","",TODAY()-D199)</f>
        <v/>
      </c>
      <c r="P199" s="102" t="n"/>
    </row>
    <row r="200" ht="18" customHeight="1">
      <c r="A200" s="101" t="n"/>
      <c r="B200" s="102" t="n"/>
      <c r="C200" s="102" t="n"/>
      <c r="D200" s="103" t="n"/>
      <c r="E200" s="102" t="n"/>
      <c r="F200" s="104" t="n"/>
      <c r="G200" s="104" t="n"/>
      <c r="H200" s="102" t="n"/>
      <c r="I200" s="105" t="n"/>
      <c r="J200" s="105" t="n"/>
      <c r="K200" s="103" t="n"/>
      <c r="L200" s="106" t="str">
        <f>IF(OR(D200="",E200=""),"",D200+IF(E200="NOTIFICAÇÃO DE CONSTATAÇÃO",PrazoConst,PrazoEsc))</f>
        <v/>
      </c>
      <c r="M200" s="107" t="str">
        <f>IF(L200="","",L200-TODAY())</f>
        <v/>
      </c>
      <c r="N200" s="108" t="str">
        <f>IF(B200="","",IF(G200="DECISÃO D.P","EM DECISÃO",IF(G200="","SEM STATUS",IF(M200="","SEM DATA",IF(M200&lt;0,"VENCIDO",IF(M200&lt;=DiasAlerta,"VENCE EM BREVE","NO PRAZO"))))))</f>
        <v/>
      </c>
      <c r="O200" s="109" t="str">
        <f>IF(D200="","",TODAY()-D200)</f>
        <v/>
      </c>
      <c r="P200" s="102" t="n"/>
    </row>
    <row r="201" ht="18" customHeight="1">
      <c r="A201" s="101" t="n"/>
      <c r="B201" s="102" t="n"/>
      <c r="C201" s="102" t="n"/>
      <c r="D201" s="103" t="n"/>
      <c r="E201" s="102" t="n"/>
      <c r="F201" s="104" t="n"/>
      <c r="G201" s="104" t="n"/>
      <c r="H201" s="102" t="n"/>
      <c r="I201" s="105" t="n"/>
      <c r="J201" s="105" t="n"/>
      <c r="K201" s="103" t="n"/>
      <c r="L201" s="106" t="str">
        <f>IF(OR(D201="",E201=""),"",D201+IF(E201="NOTIFICAÇÃO DE CONSTATAÇÃO",PrazoConst,PrazoEsc))</f>
        <v/>
      </c>
      <c r="M201" s="107" t="str">
        <f>IF(L201="","",L201-TODAY())</f>
        <v/>
      </c>
      <c r="N201" s="108" t="str">
        <f>IF(B201="","",IF(G201="DECISÃO D.P","EM DECISÃO",IF(G201="","SEM STATUS",IF(M201="","SEM DATA",IF(M201&lt;0,"VENCIDO",IF(M201&lt;=DiasAlerta,"VENCE EM BREVE","NO PRAZO"))))))</f>
        <v/>
      </c>
      <c r="O201" s="109" t="str">
        <f>IF(D201="","",TODAY()-D201)</f>
        <v/>
      </c>
      <c r="P201" s="102" t="n"/>
    </row>
    <row r="202" ht="18" customHeight="1">
      <c r="A202" s="101" t="n"/>
      <c r="B202" s="102" t="n"/>
      <c r="C202" s="102" t="n"/>
      <c r="D202" s="103" t="n"/>
      <c r="E202" s="102" t="n"/>
      <c r="F202" s="104" t="n"/>
      <c r="G202" s="104" t="n"/>
      <c r="H202" s="102" t="n"/>
      <c r="I202" s="105" t="n"/>
      <c r="J202" s="105" t="n"/>
      <c r="K202" s="103" t="n"/>
      <c r="L202" s="106" t="str">
        <f>IF(OR(D202="",E202=""),"",D202+IF(E202="NOTIFICAÇÃO DE CONSTATAÇÃO",PrazoConst,PrazoEsc))</f>
        <v/>
      </c>
      <c r="M202" s="107" t="str">
        <f>IF(L202="","",L202-TODAY())</f>
        <v/>
      </c>
      <c r="N202" s="108" t="str">
        <f>IF(B202="","",IF(G202="DECISÃO D.P","EM DECISÃO",IF(G202="","SEM STATUS",IF(M202="","SEM DATA",IF(M202&lt;0,"VENCIDO",IF(M202&lt;=DiasAlerta,"VENCE EM BREVE","NO PRAZO"))))))</f>
        <v/>
      </c>
      <c r="O202" s="109" t="str">
        <f>IF(D202="","",TODAY()-D202)</f>
        <v/>
      </c>
      <c r="P202" s="102" t="n"/>
    </row>
    <row r="203" ht="18" customHeight="1">
      <c r="A203" s="101" t="n"/>
      <c r="B203" s="102" t="n"/>
      <c r="C203" s="102" t="n"/>
      <c r="D203" s="103" t="n"/>
      <c r="E203" s="102" t="n"/>
      <c r="F203" s="104" t="n"/>
      <c r="G203" s="104" t="n"/>
      <c r="H203" s="102" t="n"/>
      <c r="I203" s="105" t="n"/>
      <c r="J203" s="105" t="n"/>
      <c r="K203" s="103" t="n"/>
      <c r="L203" s="106" t="str">
        <f>IF(OR(D203="",E203=""),"",D203+IF(E203="NOTIFICAÇÃO DE CONSTATAÇÃO",PrazoConst,PrazoEsc))</f>
        <v/>
      </c>
      <c r="M203" s="107" t="str">
        <f>IF(L203="","",L203-TODAY())</f>
        <v/>
      </c>
      <c r="N203" s="108" t="str">
        <f>IF(B203="","",IF(G203="DECISÃO D.P","EM DECISÃO",IF(G203="","SEM STATUS",IF(M203="","SEM DATA",IF(M203&lt;0,"VENCIDO",IF(M203&lt;=DiasAlerta,"VENCE EM BREVE","NO PRAZO"))))))</f>
        <v/>
      </c>
      <c r="O203" s="109" t="str">
        <f>IF(D203="","",TODAY()-D203)</f>
        <v/>
      </c>
      <c r="P203" s="102" t="n"/>
    </row>
    <row r="204" ht="18" customHeight="1">
      <c r="A204" s="101" t="n"/>
      <c r="B204" s="102" t="n"/>
      <c r="C204" s="102" t="n"/>
      <c r="D204" s="103" t="n"/>
      <c r="E204" s="102" t="n"/>
      <c r="F204" s="104" t="n"/>
      <c r="G204" s="104" t="n"/>
      <c r="H204" s="102" t="n"/>
      <c r="I204" s="105" t="n"/>
      <c r="J204" s="105" t="n"/>
      <c r="K204" s="103" t="n"/>
      <c r="L204" s="106" t="str">
        <f>IF(OR(D204="",E204=""),"",D204+IF(E204="NOTIFICAÇÃO DE CONSTATAÇÃO",PrazoConst,PrazoEsc))</f>
        <v/>
      </c>
      <c r="M204" s="107" t="str">
        <f>IF(L204="","",L204-TODAY())</f>
        <v/>
      </c>
      <c r="N204" s="108" t="str">
        <f>IF(B204="","",IF(G204="DECISÃO D.P","EM DECISÃO",IF(G204="","SEM STATUS",IF(M204="","SEM DATA",IF(M204&lt;0,"VENCIDO",IF(M204&lt;=DiasAlerta,"VENCE EM BREVE","NO PRAZO"))))))</f>
        <v/>
      </c>
      <c r="O204" s="109" t="str">
        <f>IF(D204="","",TODAY()-D204)</f>
        <v/>
      </c>
      <c r="P204" s="102" t="n"/>
    </row>
    <row r="205" ht="18" customHeight="1">
      <c r="A205" s="101" t="n"/>
      <c r="B205" s="102" t="n"/>
      <c r="C205" s="102" t="n"/>
      <c r="D205" s="103" t="n"/>
      <c r="E205" s="102" t="n"/>
      <c r="F205" s="104" t="n"/>
      <c r="G205" s="104" t="n"/>
      <c r="H205" s="102" t="n"/>
      <c r="I205" s="105" t="n"/>
      <c r="J205" s="105" t="n"/>
      <c r="K205" s="103" t="n"/>
      <c r="L205" s="106" t="str">
        <f>IF(OR(D205="",E205=""),"",D205+IF(E205="NOTIFICAÇÃO DE CONSTATAÇÃO",PrazoConst,PrazoEsc))</f>
        <v/>
      </c>
      <c r="M205" s="107" t="str">
        <f>IF(L205="","",L205-TODAY())</f>
        <v/>
      </c>
      <c r="N205" s="108" t="str">
        <f>IF(B205="","",IF(G205="DECISÃO D.P","EM DECISÃO",IF(G205="","SEM STATUS",IF(M205="","SEM DATA",IF(M205&lt;0,"VENCIDO",IF(M205&lt;=DiasAlerta,"VENCE EM BREVE","NO PRAZO"))))))</f>
        <v/>
      </c>
      <c r="O205" s="109" t="str">
        <f>IF(D205="","",TODAY()-D205)</f>
        <v/>
      </c>
      <c r="P205" s="102" t="n"/>
    </row>
    <row r="206" ht="18" customHeight="1">
      <c r="A206" s="101" t="n"/>
      <c r="B206" s="102" t="n"/>
      <c r="C206" s="102" t="n"/>
      <c r="D206" s="103" t="n"/>
      <c r="E206" s="102" t="n"/>
      <c r="F206" s="104" t="n"/>
      <c r="G206" s="104" t="n"/>
      <c r="H206" s="102" t="n"/>
      <c r="I206" s="105" t="n"/>
      <c r="J206" s="105" t="n"/>
      <c r="K206" s="103" t="n"/>
      <c r="L206" s="106" t="str">
        <f>IF(OR(D206="",E206=""),"",D206+IF(E206="NOTIFICAÇÃO DE CONSTATAÇÃO",PrazoConst,PrazoEsc))</f>
        <v/>
      </c>
      <c r="M206" s="107" t="str">
        <f>IF(L206="","",L206-TODAY())</f>
        <v/>
      </c>
      <c r="N206" s="108" t="str">
        <f>IF(B206="","",IF(G206="DECISÃO D.P","EM DECISÃO",IF(G206="","SEM STATUS",IF(M206="","SEM DATA",IF(M206&lt;0,"VENCIDO",IF(M206&lt;=DiasAlerta,"VENCE EM BREVE","NO PRAZO"))))))</f>
        <v/>
      </c>
      <c r="O206" s="109" t="str">
        <f>IF(D206="","",TODAY()-D206)</f>
        <v/>
      </c>
      <c r="P206" s="102" t="n"/>
    </row>
    <row r="207" ht="18" customHeight="1">
      <c r="A207" s="101" t="n"/>
      <c r="B207" s="102" t="n"/>
      <c r="C207" s="102" t="n"/>
      <c r="D207" s="103" t="n"/>
      <c r="E207" s="102" t="n"/>
      <c r="F207" s="104" t="n"/>
      <c r="G207" s="104" t="n"/>
      <c r="H207" s="102" t="n"/>
      <c r="I207" s="105" t="n"/>
      <c r="J207" s="105" t="n"/>
      <c r="K207" s="103" t="n"/>
      <c r="L207" s="106" t="str">
        <f>IF(OR(D207="",E207=""),"",D207+IF(E207="NOTIFICAÇÃO DE CONSTATAÇÃO",PrazoConst,PrazoEsc))</f>
        <v/>
      </c>
      <c r="M207" s="107" t="str">
        <f>IF(L207="","",L207-TODAY())</f>
        <v/>
      </c>
      <c r="N207" s="108" t="str">
        <f>IF(B207="","",IF(G207="DECISÃO D.P","EM DECISÃO",IF(G207="","SEM STATUS",IF(M207="","SEM DATA",IF(M207&lt;0,"VENCIDO",IF(M207&lt;=DiasAlerta,"VENCE EM BREVE","NO PRAZO"))))))</f>
        <v/>
      </c>
      <c r="O207" s="109" t="str">
        <f>IF(D207="","",TODAY()-D207)</f>
        <v/>
      </c>
      <c r="P207" s="102" t="n"/>
    </row>
    <row r="208" ht="18" customHeight="1">
      <c r="A208" s="101" t="n"/>
      <c r="B208" s="102" t="n"/>
      <c r="C208" s="102" t="n"/>
      <c r="D208" s="103" t="n"/>
      <c r="E208" s="102" t="n"/>
      <c r="F208" s="104" t="n"/>
      <c r="G208" s="104" t="n"/>
      <c r="H208" s="102" t="n"/>
      <c r="I208" s="105" t="n"/>
      <c r="J208" s="105" t="n"/>
      <c r="K208" s="103" t="n"/>
      <c r="L208" s="106" t="str">
        <f>IF(OR(D208="",E208=""),"",D208+IF(E208="NOTIFICAÇÃO DE CONSTATAÇÃO",PrazoConst,PrazoEsc))</f>
        <v/>
      </c>
      <c r="M208" s="107" t="str">
        <f>IF(L208="","",L208-TODAY())</f>
        <v/>
      </c>
      <c r="N208" s="108" t="str">
        <f>IF(B208="","",IF(G208="DECISÃO D.P","EM DECISÃO",IF(G208="","SEM STATUS",IF(M208="","SEM DATA",IF(M208&lt;0,"VENCIDO",IF(M208&lt;=DiasAlerta,"VENCE EM BREVE","NO PRAZO"))))))</f>
        <v/>
      </c>
      <c r="O208" s="109" t="str">
        <f>IF(D208="","",TODAY()-D208)</f>
        <v/>
      </c>
      <c r="P208" s="102" t="n"/>
    </row>
    <row r="209" ht="18" customHeight="1">
      <c r="A209" s="101" t="n"/>
      <c r="B209" s="102" t="n"/>
      <c r="C209" s="102" t="n"/>
      <c r="D209" s="103" t="n"/>
      <c r="E209" s="102" t="n"/>
      <c r="F209" s="104" t="n"/>
      <c r="G209" s="104" t="n"/>
      <c r="H209" s="102" t="n"/>
      <c r="I209" s="105" t="n"/>
      <c r="J209" s="105" t="n"/>
      <c r="K209" s="103" t="n"/>
      <c r="L209" s="106" t="str">
        <f>IF(OR(D209="",E209=""),"",D209+IF(E209="NOTIFICAÇÃO DE CONSTATAÇÃO",PrazoConst,PrazoEsc))</f>
        <v/>
      </c>
      <c r="M209" s="107" t="str">
        <f>IF(L209="","",L209-TODAY())</f>
        <v/>
      </c>
      <c r="N209" s="108" t="str">
        <f>IF(B209="","",IF(G209="DECISÃO D.P","EM DECISÃO",IF(G209="","SEM STATUS",IF(M209="","SEM DATA",IF(M209&lt;0,"VENCIDO",IF(M209&lt;=DiasAlerta,"VENCE EM BREVE","NO PRAZO"))))))</f>
        <v/>
      </c>
      <c r="O209" s="109" t="str">
        <f>IF(D209="","",TODAY()-D209)</f>
        <v/>
      </c>
      <c r="P209" s="102" t="n"/>
    </row>
    <row r="210" ht="18" customHeight="1">
      <c r="A210" s="101" t="n"/>
      <c r="B210" s="102" t="n"/>
      <c r="C210" s="102" t="n"/>
      <c r="D210" s="103" t="n"/>
      <c r="E210" s="102" t="n"/>
      <c r="F210" s="104" t="n"/>
      <c r="G210" s="104" t="n"/>
      <c r="H210" s="102" t="n"/>
      <c r="I210" s="105" t="n"/>
      <c r="J210" s="105" t="n"/>
      <c r="K210" s="103" t="n"/>
      <c r="L210" s="106" t="str">
        <f>IF(OR(D210="",E210=""),"",D210+IF(E210="NOTIFICAÇÃO DE CONSTATAÇÃO",PrazoConst,PrazoEsc))</f>
        <v/>
      </c>
      <c r="M210" s="107" t="str">
        <f>IF(L210="","",L210-TODAY())</f>
        <v/>
      </c>
      <c r="N210" s="108" t="str">
        <f>IF(B210="","",IF(G210="DECISÃO D.P","EM DECISÃO",IF(G210="","SEM STATUS",IF(M210="","SEM DATA",IF(M210&lt;0,"VENCIDO",IF(M210&lt;=DiasAlerta,"VENCE EM BREVE","NO PRAZO"))))))</f>
        <v/>
      </c>
      <c r="O210" s="109" t="str">
        <f>IF(D210="","",TODAY()-D210)</f>
        <v/>
      </c>
      <c r="P210" s="102" t="n"/>
    </row>
    <row r="211" ht="18" customHeight="1">
      <c r="A211" s="101" t="n"/>
      <c r="B211" s="102" t="n"/>
      <c r="C211" s="102" t="n"/>
      <c r="D211" s="103" t="n"/>
      <c r="E211" s="102" t="n"/>
      <c r="F211" s="104" t="n"/>
      <c r="G211" s="104" t="n"/>
      <c r="H211" s="102" t="n"/>
      <c r="I211" s="105" t="n"/>
      <c r="J211" s="105" t="n"/>
      <c r="K211" s="103" t="n"/>
      <c r="L211" s="106" t="str">
        <f>IF(OR(D211="",E211=""),"",D211+IF(E211="NOTIFICAÇÃO DE CONSTATAÇÃO",PrazoConst,PrazoEsc))</f>
        <v/>
      </c>
      <c r="M211" s="107" t="str">
        <f>IF(L211="","",L211-TODAY())</f>
        <v/>
      </c>
      <c r="N211" s="108" t="str">
        <f>IF(B211="","",IF(G211="DECISÃO D.P","EM DECISÃO",IF(G211="","SEM STATUS",IF(M211="","SEM DATA",IF(M211&lt;0,"VENCIDO",IF(M211&lt;=DiasAlerta,"VENCE EM BREVE","NO PRAZO"))))))</f>
        <v/>
      </c>
      <c r="O211" s="109" t="str">
        <f>IF(D211="","",TODAY()-D211)</f>
        <v/>
      </c>
      <c r="P211" s="102" t="n"/>
    </row>
    <row r="212" ht="18" customHeight="1">
      <c r="A212" s="101" t="n"/>
      <c r="B212" s="102" t="n"/>
      <c r="C212" s="102" t="n"/>
      <c r="D212" s="103" t="n"/>
      <c r="E212" s="102" t="n"/>
      <c r="F212" s="104" t="n"/>
      <c r="G212" s="104" t="n"/>
      <c r="H212" s="102" t="n"/>
      <c r="I212" s="105" t="n"/>
      <c r="J212" s="105" t="n"/>
      <c r="K212" s="103" t="n"/>
      <c r="L212" s="106" t="str">
        <f>IF(OR(D212="",E212=""),"",D212+IF(E212="NOTIFICAÇÃO DE CONSTATAÇÃO",PrazoConst,PrazoEsc))</f>
        <v/>
      </c>
      <c r="M212" s="107" t="str">
        <f>IF(L212="","",L212-TODAY())</f>
        <v/>
      </c>
      <c r="N212" s="108" t="str">
        <f>IF(B212="","",IF(G212="DECISÃO D.P","EM DECISÃO",IF(G212="","SEM STATUS",IF(M212="","SEM DATA",IF(M212&lt;0,"VENCIDO",IF(M212&lt;=DiasAlerta,"VENCE EM BREVE","NO PRAZO"))))))</f>
        <v/>
      </c>
      <c r="O212" s="109" t="str">
        <f>IF(D212="","",TODAY()-D212)</f>
        <v/>
      </c>
      <c r="P212" s="102" t="n"/>
    </row>
    <row r="213" ht="18" customHeight="1">
      <c r="A213" s="101" t="n"/>
      <c r="B213" s="102" t="n"/>
      <c r="C213" s="102" t="n"/>
      <c r="D213" s="103" t="n"/>
      <c r="E213" s="102" t="n"/>
      <c r="F213" s="104" t="n"/>
      <c r="G213" s="104" t="n"/>
      <c r="H213" s="102" t="n"/>
      <c r="I213" s="105" t="n"/>
      <c r="J213" s="105" t="n"/>
      <c r="K213" s="103" t="n"/>
      <c r="L213" s="106" t="str">
        <f>IF(OR(D213="",E213=""),"",D213+IF(E213="NOTIFICAÇÃO DE CONSTATAÇÃO",PrazoConst,PrazoEsc))</f>
        <v/>
      </c>
      <c r="M213" s="107" t="str">
        <f>IF(L213="","",L213-TODAY())</f>
        <v/>
      </c>
      <c r="N213" s="108" t="str">
        <f>IF(B213="","",IF(G213="DECISÃO D.P","EM DECISÃO",IF(G213="","SEM STATUS",IF(M213="","SEM DATA",IF(M213&lt;0,"VENCIDO",IF(M213&lt;=DiasAlerta,"VENCE EM BREVE","NO PRAZO"))))))</f>
        <v/>
      </c>
      <c r="O213" s="109" t="str">
        <f>IF(D213="","",TODAY()-D213)</f>
        <v/>
      </c>
      <c r="P213" s="102" t="n"/>
    </row>
    <row r="214" ht="18" customHeight="1">
      <c r="A214" s="101" t="n"/>
      <c r="B214" s="102" t="n"/>
      <c r="C214" s="102" t="n"/>
      <c r="D214" s="103" t="n"/>
      <c r="E214" s="102" t="n"/>
      <c r="F214" s="104" t="n"/>
      <c r="G214" s="104" t="n"/>
      <c r="H214" s="102" t="n"/>
      <c r="I214" s="105" t="n"/>
      <c r="J214" s="105" t="n"/>
      <c r="K214" s="103" t="n"/>
      <c r="L214" s="106" t="str">
        <f>IF(OR(D214="",E214=""),"",D214+IF(E214="NOTIFICAÇÃO DE CONSTATAÇÃO",PrazoConst,PrazoEsc))</f>
        <v/>
      </c>
      <c r="M214" s="107" t="str">
        <f>IF(L214="","",L214-TODAY())</f>
        <v/>
      </c>
      <c r="N214" s="108" t="str">
        <f>IF(B214="","",IF(G214="DECISÃO D.P","EM DECISÃO",IF(G214="","SEM STATUS",IF(M214="","SEM DATA",IF(M214&lt;0,"VENCIDO",IF(M214&lt;=DiasAlerta,"VENCE EM BREVE","NO PRAZO"))))))</f>
        <v/>
      </c>
      <c r="O214" s="109" t="str">
        <f>IF(D214="","",TODAY()-D214)</f>
        <v/>
      </c>
      <c r="P214" s="102" t="n"/>
    </row>
    <row r="215" ht="18" customHeight="1">
      <c r="A215" s="101" t="n"/>
      <c r="B215" s="102" t="n"/>
      <c r="C215" s="102" t="n"/>
      <c r="D215" s="103" t="n"/>
      <c r="E215" s="102" t="n"/>
      <c r="F215" s="104" t="n"/>
      <c r="G215" s="104" t="n"/>
      <c r="H215" s="102" t="n"/>
      <c r="I215" s="105" t="n"/>
      <c r="J215" s="105" t="n"/>
      <c r="K215" s="103" t="n"/>
      <c r="L215" s="106" t="str">
        <f>IF(OR(D215="",E215=""),"",D215+IF(E215="NOTIFICAÇÃO DE CONSTATAÇÃO",PrazoConst,PrazoEsc))</f>
        <v/>
      </c>
      <c r="M215" s="107" t="str">
        <f>IF(L215="","",L215-TODAY())</f>
        <v/>
      </c>
      <c r="N215" s="108" t="str">
        <f>IF(B215="","",IF(G215="DECISÃO D.P","EM DECISÃO",IF(G215="","SEM STATUS",IF(M215="","SEM DATA",IF(M215&lt;0,"VENCIDO",IF(M215&lt;=DiasAlerta,"VENCE EM BREVE","NO PRAZO"))))))</f>
        <v/>
      </c>
      <c r="O215" s="109" t="str">
        <f>IF(D215="","",TODAY()-D215)</f>
        <v/>
      </c>
      <c r="P215" s="102" t="n"/>
    </row>
    <row r="216" ht="18" customHeight="1">
      <c r="A216" s="101" t="n"/>
      <c r="B216" s="102" t="n"/>
      <c r="C216" s="102" t="n"/>
      <c r="D216" s="103" t="n"/>
      <c r="E216" s="102" t="n"/>
      <c r="F216" s="104" t="n"/>
      <c r="G216" s="104" t="n"/>
      <c r="H216" s="102" t="n"/>
      <c r="I216" s="105" t="n"/>
      <c r="J216" s="105" t="n"/>
      <c r="K216" s="103" t="n"/>
      <c r="L216" s="106" t="str">
        <f>IF(OR(D216="",E216=""),"",D216+IF(E216="NOTIFICAÇÃO DE CONSTATAÇÃO",PrazoConst,PrazoEsc))</f>
        <v/>
      </c>
      <c r="M216" s="107" t="str">
        <f>IF(L216="","",L216-TODAY())</f>
        <v/>
      </c>
      <c r="N216" s="108" t="str">
        <f>IF(B216="","",IF(G216="DECISÃO D.P","EM DECISÃO",IF(G216="","SEM STATUS",IF(M216="","SEM DATA",IF(M216&lt;0,"VENCIDO",IF(M216&lt;=DiasAlerta,"VENCE EM BREVE","NO PRAZO"))))))</f>
        <v/>
      </c>
      <c r="O216" s="109" t="str">
        <f>IF(D216="","",TODAY()-D216)</f>
        <v/>
      </c>
      <c r="P216" s="102" t="n"/>
    </row>
    <row r="217" ht="18" customHeight="1">
      <c r="A217" s="101" t="n"/>
      <c r="B217" s="102" t="n"/>
      <c r="C217" s="102" t="n"/>
      <c r="D217" s="103" t="n"/>
      <c r="E217" s="102" t="n"/>
      <c r="F217" s="104" t="n"/>
      <c r="G217" s="104" t="n"/>
      <c r="H217" s="102" t="n"/>
      <c r="I217" s="105" t="n"/>
      <c r="J217" s="105" t="n"/>
      <c r="K217" s="103" t="n"/>
      <c r="L217" s="106" t="str">
        <f>IF(OR(D217="",E217=""),"",D217+IF(E217="NOTIFICAÇÃO DE CONSTATAÇÃO",PrazoConst,PrazoEsc))</f>
        <v/>
      </c>
      <c r="M217" s="107" t="str">
        <f>IF(L217="","",L217-TODAY())</f>
        <v/>
      </c>
      <c r="N217" s="108" t="str">
        <f>IF(B217="","",IF(G217="DECISÃO D.P","EM DECISÃO",IF(G217="","SEM STATUS",IF(M217="","SEM DATA",IF(M217&lt;0,"VENCIDO",IF(M217&lt;=DiasAlerta,"VENCE EM BREVE","NO PRAZO"))))))</f>
        <v/>
      </c>
      <c r="O217" s="109" t="str">
        <f>IF(D217="","",TODAY()-D217)</f>
        <v/>
      </c>
      <c r="P217" s="102" t="n"/>
    </row>
    <row r="218" ht="18" customHeight="1">
      <c r="A218" s="101" t="n"/>
      <c r="B218" s="102" t="n"/>
      <c r="C218" s="102" t="n"/>
      <c r="D218" s="103" t="n"/>
      <c r="E218" s="102" t="n"/>
      <c r="F218" s="104" t="n"/>
      <c r="G218" s="104" t="n"/>
      <c r="H218" s="102" t="n"/>
      <c r="I218" s="105" t="n"/>
      <c r="J218" s="105" t="n"/>
      <c r="K218" s="103" t="n"/>
      <c r="L218" s="106" t="str">
        <f>IF(OR(D218="",E218=""),"",D218+IF(E218="NOTIFICAÇÃO DE CONSTATAÇÃO",PrazoConst,PrazoEsc))</f>
        <v/>
      </c>
      <c r="M218" s="107" t="str">
        <f>IF(L218="","",L218-TODAY())</f>
        <v/>
      </c>
      <c r="N218" s="108" t="str">
        <f>IF(B218="","",IF(G218="DECISÃO D.P","EM DECISÃO",IF(G218="","SEM STATUS",IF(M218="","SEM DATA",IF(M218&lt;0,"VENCIDO",IF(M218&lt;=DiasAlerta,"VENCE EM BREVE","NO PRAZO"))))))</f>
        <v/>
      </c>
      <c r="O218" s="109" t="str">
        <f>IF(D218="","",TODAY()-D218)</f>
        <v/>
      </c>
      <c r="P218" s="102" t="n"/>
    </row>
    <row r="219" ht="18" customHeight="1">
      <c r="A219" s="101" t="n"/>
      <c r="B219" s="102" t="n"/>
      <c r="C219" s="102" t="n"/>
      <c r="D219" s="103" t="n"/>
      <c r="E219" s="102" t="n"/>
      <c r="F219" s="104" t="n"/>
      <c r="G219" s="104" t="n"/>
      <c r="H219" s="102" t="n"/>
      <c r="I219" s="105" t="n"/>
      <c r="J219" s="105" t="n"/>
      <c r="K219" s="103" t="n"/>
      <c r="L219" s="106" t="str">
        <f>IF(OR(D219="",E219=""),"",D219+IF(E219="NOTIFICAÇÃO DE CONSTATAÇÃO",PrazoConst,PrazoEsc))</f>
        <v/>
      </c>
      <c r="M219" s="107" t="str">
        <f>IF(L219="","",L219-TODAY())</f>
        <v/>
      </c>
      <c r="N219" s="108" t="str">
        <f>IF(B219="","",IF(G219="DECISÃO D.P","EM DECISÃO",IF(G219="","SEM STATUS",IF(M219="","SEM DATA",IF(M219&lt;0,"VENCIDO",IF(M219&lt;=DiasAlerta,"VENCE EM BREVE","NO PRAZO"))))))</f>
        <v/>
      </c>
      <c r="O219" s="109" t="str">
        <f>IF(D219="","",TODAY()-D219)</f>
        <v/>
      </c>
      <c r="P219" s="102" t="n"/>
    </row>
    <row r="220" ht="18" customHeight="1">
      <c r="A220" s="101" t="n"/>
      <c r="B220" s="102" t="n"/>
      <c r="C220" s="102" t="n"/>
      <c r="D220" s="103" t="n"/>
      <c r="E220" s="102" t="n"/>
      <c r="F220" s="104" t="n"/>
      <c r="G220" s="104" t="n"/>
      <c r="H220" s="102" t="n"/>
      <c r="I220" s="105" t="n"/>
      <c r="J220" s="105" t="n"/>
      <c r="K220" s="103" t="n"/>
      <c r="L220" s="106" t="str">
        <f>IF(OR(D220="",E220=""),"",D220+IF(E220="NOTIFICAÇÃO DE CONSTATAÇÃO",PrazoConst,PrazoEsc))</f>
        <v/>
      </c>
      <c r="M220" s="107" t="str">
        <f>IF(L220="","",L220-TODAY())</f>
        <v/>
      </c>
      <c r="N220" s="108" t="str">
        <f>IF(B220="","",IF(G220="DECISÃO D.P","EM DECISÃO",IF(G220="","SEM STATUS",IF(M220="","SEM DATA",IF(M220&lt;0,"VENCIDO",IF(M220&lt;=DiasAlerta,"VENCE EM BREVE","NO PRAZO"))))))</f>
        <v/>
      </c>
      <c r="O220" s="109" t="str">
        <f>IF(D220="","",TODAY()-D220)</f>
        <v/>
      </c>
      <c r="P220" s="102" t="n"/>
    </row>
    <row r="221" ht="18" customHeight="1">
      <c r="A221" s="101" t="n"/>
      <c r="B221" s="102" t="n"/>
      <c r="C221" s="102" t="n"/>
      <c r="D221" s="103" t="n"/>
      <c r="E221" s="102" t="n"/>
      <c r="F221" s="104" t="n"/>
      <c r="G221" s="104" t="n"/>
      <c r="H221" s="102" t="n"/>
      <c r="I221" s="105" t="n"/>
      <c r="J221" s="105" t="n"/>
      <c r="K221" s="103" t="n"/>
      <c r="L221" s="106" t="str">
        <f>IF(OR(D221="",E221=""),"",D221+IF(E221="NOTIFICAÇÃO DE CONSTATAÇÃO",PrazoConst,PrazoEsc))</f>
        <v/>
      </c>
      <c r="M221" s="107" t="str">
        <f>IF(L221="","",L221-TODAY())</f>
        <v/>
      </c>
      <c r="N221" s="108" t="str">
        <f>IF(B221="","",IF(G221="DECISÃO D.P","EM DECISÃO",IF(G221="","SEM STATUS",IF(M221="","SEM DATA",IF(M221&lt;0,"VENCIDO",IF(M221&lt;=DiasAlerta,"VENCE EM BREVE","NO PRAZO"))))))</f>
        <v/>
      </c>
      <c r="O221" s="109" t="str">
        <f>IF(D221="","",TODAY()-D221)</f>
        <v/>
      </c>
      <c r="P221" s="102" t="n"/>
    </row>
    <row r="222" ht="18" customHeight="1">
      <c r="A222" s="101" t="n"/>
      <c r="B222" s="102" t="n"/>
      <c r="C222" s="102" t="n"/>
      <c r="D222" s="103" t="n"/>
      <c r="E222" s="102" t="n"/>
      <c r="F222" s="104" t="n"/>
      <c r="G222" s="104" t="n"/>
      <c r="H222" s="102" t="n"/>
      <c r="I222" s="105" t="n"/>
      <c r="J222" s="105" t="n"/>
      <c r="K222" s="103" t="n"/>
      <c r="L222" s="106" t="str">
        <f>IF(OR(D222="",E222=""),"",D222+IF(E222="NOTIFICAÇÃO DE CONSTATAÇÃO",PrazoConst,PrazoEsc))</f>
        <v/>
      </c>
      <c r="M222" s="107" t="str">
        <f>IF(L222="","",L222-TODAY())</f>
        <v/>
      </c>
      <c r="N222" s="108" t="str">
        <f>IF(B222="","",IF(G222="DECISÃO D.P","EM DECISÃO",IF(G222="","SEM STATUS",IF(M222="","SEM DATA",IF(M222&lt;0,"VENCIDO",IF(M222&lt;=DiasAlerta,"VENCE EM BREVE","NO PRAZO"))))))</f>
        <v/>
      </c>
      <c r="O222" s="109" t="str">
        <f>IF(D222="","",TODAY()-D222)</f>
        <v/>
      </c>
      <c r="P222" s="102" t="n"/>
    </row>
    <row r="223" ht="18" customHeight="1">
      <c r="A223" s="101" t="n"/>
      <c r="B223" s="102" t="n"/>
      <c r="C223" s="102" t="n"/>
      <c r="D223" s="103" t="n"/>
      <c r="E223" s="102" t="n"/>
      <c r="F223" s="104" t="n"/>
      <c r="G223" s="104" t="n"/>
      <c r="H223" s="102" t="n"/>
      <c r="I223" s="105" t="n"/>
      <c r="J223" s="105" t="n"/>
      <c r="K223" s="103" t="n"/>
      <c r="L223" s="106" t="str">
        <f>IF(OR(D223="",E223=""),"",D223+IF(E223="NOTIFICAÇÃO DE CONSTATAÇÃO",PrazoConst,PrazoEsc))</f>
        <v/>
      </c>
      <c r="M223" s="107" t="str">
        <f>IF(L223="","",L223-TODAY())</f>
        <v/>
      </c>
      <c r="N223" s="108" t="str">
        <f>IF(B223="","",IF(G223="DECISÃO D.P","EM DECISÃO",IF(G223="","SEM STATUS",IF(M223="","SEM DATA",IF(M223&lt;0,"VENCIDO",IF(M223&lt;=DiasAlerta,"VENCE EM BREVE","NO PRAZO"))))))</f>
        <v/>
      </c>
      <c r="O223" s="109" t="str">
        <f>IF(D223="","",TODAY()-D223)</f>
        <v/>
      </c>
      <c r="P223" s="102" t="n"/>
    </row>
    <row r="224" ht="18" customHeight="1">
      <c r="A224" s="101" t="n"/>
      <c r="B224" s="102" t="n"/>
      <c r="C224" s="102" t="n"/>
      <c r="D224" s="103" t="n"/>
      <c r="E224" s="102" t="n"/>
      <c r="F224" s="104" t="n"/>
      <c r="G224" s="104" t="n"/>
      <c r="H224" s="102" t="n"/>
      <c r="I224" s="105" t="n"/>
      <c r="J224" s="105" t="n"/>
      <c r="K224" s="103" t="n"/>
      <c r="L224" s="106" t="str">
        <f>IF(OR(D224="",E224=""),"",D224+IF(E224="NOTIFICAÇÃO DE CONSTATAÇÃO",PrazoConst,PrazoEsc))</f>
        <v/>
      </c>
      <c r="M224" s="107" t="str">
        <f>IF(L224="","",L224-TODAY())</f>
        <v/>
      </c>
      <c r="N224" s="108" t="str">
        <f>IF(B224="","",IF(G224="DECISÃO D.P","EM DECISÃO",IF(G224="","SEM STATUS",IF(M224="","SEM DATA",IF(M224&lt;0,"VENCIDO",IF(M224&lt;=DiasAlerta,"VENCE EM BREVE","NO PRAZO"))))))</f>
        <v/>
      </c>
      <c r="O224" s="109" t="str">
        <f>IF(D224="","",TODAY()-D224)</f>
        <v/>
      </c>
      <c r="P224" s="102" t="n"/>
    </row>
    <row r="225" ht="18" customHeight="1">
      <c r="A225" s="101" t="n"/>
      <c r="B225" s="102" t="n"/>
      <c r="C225" s="102" t="n"/>
      <c r="D225" s="103" t="n"/>
      <c r="E225" s="102" t="n"/>
      <c r="F225" s="104" t="n"/>
      <c r="G225" s="104" t="n"/>
      <c r="H225" s="102" t="n"/>
      <c r="I225" s="105" t="n"/>
      <c r="J225" s="105" t="n"/>
      <c r="K225" s="103" t="n"/>
      <c r="L225" s="106" t="str">
        <f>IF(OR(D225="",E225=""),"",D225+IF(E225="NOTIFICAÇÃO DE CONSTATAÇÃO",PrazoConst,PrazoEsc))</f>
        <v/>
      </c>
      <c r="M225" s="107" t="str">
        <f>IF(L225="","",L225-TODAY())</f>
        <v/>
      </c>
      <c r="N225" s="108" t="str">
        <f>IF(B225="","",IF(G225="DECISÃO D.P","EM DECISÃO",IF(G225="","SEM STATUS",IF(M225="","SEM DATA",IF(M225&lt;0,"VENCIDO",IF(M225&lt;=DiasAlerta,"VENCE EM BREVE","NO PRAZO"))))))</f>
        <v/>
      </c>
      <c r="O225" s="109" t="str">
        <f>IF(D225="","",TODAY()-D225)</f>
        <v/>
      </c>
      <c r="P225" s="102" t="n"/>
    </row>
    <row r="226" ht="18" customHeight="1">
      <c r="A226" s="101" t="n"/>
      <c r="B226" s="102" t="n"/>
      <c r="C226" s="102" t="n"/>
      <c r="D226" s="103" t="n"/>
      <c r="E226" s="102" t="n"/>
      <c r="F226" s="104" t="n"/>
      <c r="G226" s="104" t="n"/>
      <c r="H226" s="102" t="n"/>
      <c r="I226" s="105" t="n"/>
      <c r="J226" s="105" t="n"/>
      <c r="K226" s="103" t="n"/>
      <c r="L226" s="106" t="str">
        <f>IF(OR(D226="",E226=""),"",D226+IF(E226="NOTIFICAÇÃO DE CONSTATAÇÃO",PrazoConst,PrazoEsc))</f>
        <v/>
      </c>
      <c r="M226" s="107" t="str">
        <f>IF(L226="","",L226-TODAY())</f>
        <v/>
      </c>
      <c r="N226" s="108" t="str">
        <f>IF(B226="","",IF(G226="DECISÃO D.P","EM DECISÃO",IF(G226="","SEM STATUS",IF(M226="","SEM DATA",IF(M226&lt;0,"VENCIDO",IF(M226&lt;=DiasAlerta,"VENCE EM BREVE","NO PRAZO"))))))</f>
        <v/>
      </c>
      <c r="O226" s="109" t="str">
        <f>IF(D226="","",TODAY()-D226)</f>
        <v/>
      </c>
      <c r="P226" s="102" t="n"/>
    </row>
    <row r="227" ht="18" customHeight="1">
      <c r="A227" s="101" t="n"/>
      <c r="B227" s="102" t="n"/>
      <c r="C227" s="102" t="n"/>
      <c r="D227" s="103" t="n"/>
      <c r="E227" s="102" t="n"/>
      <c r="F227" s="104" t="n"/>
      <c r="G227" s="104" t="n"/>
      <c r="H227" s="102" t="n"/>
      <c r="I227" s="105" t="n"/>
      <c r="J227" s="105" t="n"/>
      <c r="K227" s="103" t="n"/>
      <c r="L227" s="106" t="str">
        <f>IF(OR(D227="",E227=""),"",D227+IF(E227="NOTIFICAÇÃO DE CONSTATAÇÃO",PrazoConst,PrazoEsc))</f>
        <v/>
      </c>
      <c r="M227" s="107" t="str">
        <f>IF(L227="","",L227-TODAY())</f>
        <v/>
      </c>
      <c r="N227" s="108" t="str">
        <f>IF(B227="","",IF(G227="DECISÃO D.P","EM DECISÃO",IF(G227="","SEM STATUS",IF(M227="","SEM DATA",IF(M227&lt;0,"VENCIDO",IF(M227&lt;=DiasAlerta,"VENCE EM BREVE","NO PRAZO"))))))</f>
        <v/>
      </c>
      <c r="O227" s="109" t="str">
        <f>IF(D227="","",TODAY()-D227)</f>
        <v/>
      </c>
      <c r="P227" s="102" t="n"/>
    </row>
    <row r="228" ht="18" customHeight="1">
      <c r="A228" s="101" t="n"/>
      <c r="B228" s="102" t="n"/>
      <c r="C228" s="102" t="n"/>
      <c r="D228" s="103" t="n"/>
      <c r="E228" s="102" t="n"/>
      <c r="F228" s="104" t="n"/>
      <c r="G228" s="104" t="n"/>
      <c r="H228" s="102" t="n"/>
      <c r="I228" s="105" t="n"/>
      <c r="J228" s="105" t="n"/>
      <c r="K228" s="103" t="n"/>
      <c r="L228" s="106" t="str">
        <f>IF(OR(D228="",E228=""),"",D228+IF(E228="NOTIFICAÇÃO DE CONSTATAÇÃO",PrazoConst,PrazoEsc))</f>
        <v/>
      </c>
      <c r="M228" s="107" t="str">
        <f>IF(L228="","",L228-TODAY())</f>
        <v/>
      </c>
      <c r="N228" s="108" t="str">
        <f>IF(B228="","",IF(G228="DECISÃO D.P","EM DECISÃO",IF(G228="","SEM STATUS",IF(M228="","SEM DATA",IF(M228&lt;0,"VENCIDO",IF(M228&lt;=DiasAlerta,"VENCE EM BREVE","NO PRAZO"))))))</f>
        <v/>
      </c>
      <c r="O228" s="109" t="str">
        <f>IF(D228="","",TODAY()-D228)</f>
        <v/>
      </c>
      <c r="P228" s="102" t="n"/>
    </row>
    <row r="229" ht="18" customHeight="1">
      <c r="A229" s="101" t="n"/>
      <c r="B229" s="102" t="n"/>
      <c r="C229" s="102" t="n"/>
      <c r="D229" s="103" t="n"/>
      <c r="E229" s="102" t="n"/>
      <c r="F229" s="104" t="n"/>
      <c r="G229" s="104" t="n"/>
      <c r="H229" s="102" t="n"/>
      <c r="I229" s="105" t="n"/>
      <c r="J229" s="105" t="n"/>
      <c r="K229" s="103" t="n"/>
      <c r="L229" s="106" t="str">
        <f>IF(OR(D229="",E229=""),"",D229+IF(E229="NOTIFICAÇÃO DE CONSTATAÇÃO",PrazoConst,PrazoEsc))</f>
        <v/>
      </c>
      <c r="M229" s="107" t="str">
        <f>IF(L229="","",L229-TODAY())</f>
        <v/>
      </c>
      <c r="N229" s="108" t="str">
        <f>IF(B229="","",IF(G229="DECISÃO D.P","EM DECISÃO",IF(G229="","SEM STATUS",IF(M229="","SEM DATA",IF(M229&lt;0,"VENCIDO",IF(M229&lt;=DiasAlerta,"VENCE EM BREVE","NO PRAZO"))))))</f>
        <v/>
      </c>
      <c r="O229" s="109" t="str">
        <f>IF(D229="","",TODAY()-D229)</f>
        <v/>
      </c>
      <c r="P229" s="102" t="n"/>
    </row>
    <row r="230" ht="18" customHeight="1">
      <c r="A230" s="101" t="n"/>
      <c r="B230" s="102" t="n"/>
      <c r="C230" s="102" t="n"/>
      <c r="D230" s="103" t="n"/>
      <c r="E230" s="102" t="n"/>
      <c r="F230" s="104" t="n"/>
      <c r="G230" s="104" t="n"/>
      <c r="H230" s="102" t="n"/>
      <c r="I230" s="105" t="n"/>
      <c r="J230" s="105" t="n"/>
      <c r="K230" s="103" t="n"/>
      <c r="L230" s="106" t="str">
        <f>IF(OR(D230="",E230=""),"",D230+IF(E230="NOTIFICAÇÃO DE CONSTATAÇÃO",PrazoConst,PrazoEsc))</f>
        <v/>
      </c>
      <c r="M230" s="107" t="str">
        <f>IF(L230="","",L230-TODAY())</f>
        <v/>
      </c>
      <c r="N230" s="108" t="str">
        <f>IF(B230="","",IF(G230="DECISÃO D.P","EM DECISÃO",IF(G230="","SEM STATUS",IF(M230="","SEM DATA",IF(M230&lt;0,"VENCIDO",IF(M230&lt;=DiasAlerta,"VENCE EM BREVE","NO PRAZO"))))))</f>
        <v/>
      </c>
      <c r="O230" s="109" t="str">
        <f>IF(D230="","",TODAY()-D230)</f>
        <v/>
      </c>
      <c r="P230" s="102" t="n"/>
    </row>
    <row r="231" ht="18" customHeight="1">
      <c r="A231" s="101" t="n"/>
      <c r="B231" s="102" t="n"/>
      <c r="C231" s="102" t="n"/>
      <c r="D231" s="103" t="n"/>
      <c r="E231" s="102" t="n"/>
      <c r="F231" s="104" t="n"/>
      <c r="G231" s="104" t="n"/>
      <c r="H231" s="102" t="n"/>
      <c r="I231" s="105" t="n"/>
      <c r="J231" s="105" t="n"/>
      <c r="K231" s="103" t="n"/>
      <c r="L231" s="106" t="str">
        <f>IF(OR(D231="",E231=""),"",D231+IF(E231="NOTIFICAÇÃO DE CONSTATAÇÃO",PrazoConst,PrazoEsc))</f>
        <v/>
      </c>
      <c r="M231" s="107" t="str">
        <f>IF(L231="","",L231-TODAY())</f>
        <v/>
      </c>
      <c r="N231" s="108" t="str">
        <f>IF(B231="","",IF(G231="DECISÃO D.P","EM DECISÃO",IF(G231="","SEM STATUS",IF(M231="","SEM DATA",IF(M231&lt;0,"VENCIDO",IF(M231&lt;=DiasAlerta,"VENCE EM BREVE","NO PRAZO"))))))</f>
        <v/>
      </c>
      <c r="O231" s="109" t="str">
        <f>IF(D231="","",TODAY()-D231)</f>
        <v/>
      </c>
      <c r="P231" s="102" t="n"/>
    </row>
    <row r="232" ht="18" customHeight="1">
      <c r="A232" s="101" t="n"/>
      <c r="B232" s="102" t="n"/>
      <c r="C232" s="102" t="n"/>
      <c r="D232" s="103" t="n"/>
      <c r="E232" s="102" t="n"/>
      <c r="F232" s="104" t="n"/>
      <c r="G232" s="104" t="n"/>
      <c r="H232" s="102" t="n"/>
      <c r="I232" s="105" t="n"/>
      <c r="J232" s="105" t="n"/>
      <c r="K232" s="103" t="n"/>
      <c r="L232" s="106" t="str">
        <f>IF(OR(D232="",E232=""),"",D232+IF(E232="NOTIFICAÇÃO DE CONSTATAÇÃO",PrazoConst,PrazoEsc))</f>
        <v/>
      </c>
      <c r="M232" s="107" t="str">
        <f>IF(L232="","",L232-TODAY())</f>
        <v/>
      </c>
      <c r="N232" s="108" t="str">
        <f>IF(B232="","",IF(G232="DECISÃO D.P","EM DECISÃO",IF(G232="","SEM STATUS",IF(M232="","SEM DATA",IF(M232&lt;0,"VENCIDO",IF(M232&lt;=DiasAlerta,"VENCE EM BREVE","NO PRAZO"))))))</f>
        <v/>
      </c>
      <c r="O232" s="109" t="str">
        <f>IF(D232="","",TODAY()-D232)</f>
        <v/>
      </c>
      <c r="P232" s="102" t="n"/>
    </row>
    <row r="233" ht="18" customHeight="1">
      <c r="A233" s="101" t="n"/>
      <c r="B233" s="102" t="n"/>
      <c r="C233" s="102" t="n"/>
      <c r="D233" s="103" t="n"/>
      <c r="E233" s="102" t="n"/>
      <c r="F233" s="104" t="n"/>
      <c r="G233" s="104" t="n"/>
      <c r="H233" s="102" t="n"/>
      <c r="I233" s="105" t="n"/>
      <c r="J233" s="105" t="n"/>
      <c r="K233" s="103" t="n"/>
      <c r="L233" s="106" t="str">
        <f>IF(OR(D233="",E233=""),"",D233+IF(E233="NOTIFICAÇÃO DE CONSTATAÇÃO",PrazoConst,PrazoEsc))</f>
        <v/>
      </c>
      <c r="M233" s="107" t="str">
        <f>IF(L233="","",L233-TODAY())</f>
        <v/>
      </c>
      <c r="N233" s="108" t="str">
        <f>IF(B233="","",IF(G233="DECISÃO D.P","EM DECISÃO",IF(G233="","SEM STATUS",IF(M233="","SEM DATA",IF(M233&lt;0,"VENCIDO",IF(M233&lt;=DiasAlerta,"VENCE EM BREVE","NO PRAZO"))))))</f>
        <v/>
      </c>
      <c r="O233" s="109" t="str">
        <f>IF(D233="","",TODAY()-D233)</f>
        <v/>
      </c>
      <c r="P233" s="102" t="n"/>
    </row>
    <row r="234" ht="18" customHeight="1">
      <c r="A234" s="101" t="n"/>
      <c r="B234" s="102" t="n"/>
      <c r="C234" s="102" t="n"/>
      <c r="D234" s="103" t="n"/>
      <c r="E234" s="102" t="n"/>
      <c r="F234" s="104" t="n"/>
      <c r="G234" s="104" t="n"/>
      <c r="H234" s="102" t="n"/>
      <c r="I234" s="105" t="n"/>
      <c r="J234" s="105" t="n"/>
      <c r="K234" s="103" t="n"/>
      <c r="L234" s="106" t="str">
        <f>IF(OR(D234="",E234=""),"",D234+IF(E234="NOTIFICAÇÃO DE CONSTATAÇÃO",PrazoConst,PrazoEsc))</f>
        <v/>
      </c>
      <c r="M234" s="107" t="str">
        <f>IF(L234="","",L234-TODAY())</f>
        <v/>
      </c>
      <c r="N234" s="108" t="str">
        <f>IF(B234="","",IF(G234="DECISÃO D.P","EM DECISÃO",IF(G234="","SEM STATUS",IF(M234="","SEM DATA",IF(M234&lt;0,"VENCIDO",IF(M234&lt;=DiasAlerta,"VENCE EM BREVE","NO PRAZO"))))))</f>
        <v/>
      </c>
      <c r="O234" s="109" t="str">
        <f>IF(D234="","",TODAY()-D234)</f>
        <v/>
      </c>
      <c r="P234" s="102" t="n"/>
    </row>
    <row r="235" ht="18" customHeight="1">
      <c r="A235" s="101" t="n"/>
      <c r="B235" s="102" t="n"/>
      <c r="C235" s="102" t="n"/>
      <c r="D235" s="103" t="n"/>
      <c r="E235" s="102" t="n"/>
      <c r="F235" s="104" t="n"/>
      <c r="G235" s="104" t="n"/>
      <c r="H235" s="102" t="n"/>
      <c r="I235" s="105" t="n"/>
      <c r="J235" s="105" t="n"/>
      <c r="K235" s="103" t="n"/>
      <c r="L235" s="106" t="str">
        <f>IF(OR(D235="",E235=""),"",D235+IF(E235="NOTIFICAÇÃO DE CONSTATAÇÃO",PrazoConst,PrazoEsc))</f>
        <v/>
      </c>
      <c r="M235" s="107" t="str">
        <f>IF(L235="","",L235-TODAY())</f>
        <v/>
      </c>
      <c r="N235" s="108" t="str">
        <f>IF(B235="","",IF(G235="DECISÃO D.P","EM DECISÃO",IF(G235="","SEM STATUS",IF(M235="","SEM DATA",IF(M235&lt;0,"VENCIDO",IF(M235&lt;=DiasAlerta,"VENCE EM BREVE","NO PRAZO"))))))</f>
        <v/>
      </c>
      <c r="O235" s="109" t="str">
        <f>IF(D235="","",TODAY()-D235)</f>
        <v/>
      </c>
      <c r="P235" s="102" t="n"/>
    </row>
    <row r="236" ht="18" customHeight="1">
      <c r="A236" s="101" t="n"/>
      <c r="B236" s="102" t="n"/>
      <c r="C236" s="102" t="n"/>
      <c r="D236" s="103" t="n"/>
      <c r="E236" s="102" t="n"/>
      <c r="F236" s="104" t="n"/>
      <c r="G236" s="104" t="n"/>
      <c r="H236" s="102" t="n"/>
      <c r="I236" s="105" t="n"/>
      <c r="J236" s="105" t="n"/>
      <c r="K236" s="103" t="n"/>
      <c r="L236" s="106" t="str">
        <f>IF(OR(D236="",E236=""),"",D236+IF(E236="NOTIFICAÇÃO DE CONSTATAÇÃO",PrazoConst,PrazoEsc))</f>
        <v/>
      </c>
      <c r="M236" s="107" t="str">
        <f>IF(L236="","",L236-TODAY())</f>
        <v/>
      </c>
      <c r="N236" s="108" t="str">
        <f>IF(B236="","",IF(G236="DECISÃO D.P","EM DECISÃO",IF(G236="","SEM STATUS",IF(M236="","SEM DATA",IF(M236&lt;0,"VENCIDO",IF(M236&lt;=DiasAlerta,"VENCE EM BREVE","NO PRAZO"))))))</f>
        <v/>
      </c>
      <c r="O236" s="109" t="str">
        <f>IF(D236="","",TODAY()-D236)</f>
        <v/>
      </c>
      <c r="P236" s="102" t="n"/>
    </row>
    <row r="237" ht="18" customHeight="1">
      <c r="A237" s="101" t="n"/>
      <c r="B237" s="102" t="n"/>
      <c r="C237" s="102" t="n"/>
      <c r="D237" s="103" t="n"/>
      <c r="E237" s="102" t="n"/>
      <c r="F237" s="104" t="n"/>
      <c r="G237" s="104" t="n"/>
      <c r="H237" s="102" t="n"/>
      <c r="I237" s="105" t="n"/>
      <c r="J237" s="105" t="n"/>
      <c r="K237" s="103" t="n"/>
      <c r="L237" s="106" t="str">
        <f>IF(OR(D237="",E237=""),"",D237+IF(E237="NOTIFICAÇÃO DE CONSTATAÇÃO",PrazoConst,PrazoEsc))</f>
        <v/>
      </c>
      <c r="M237" s="107" t="str">
        <f>IF(L237="","",L237-TODAY())</f>
        <v/>
      </c>
      <c r="N237" s="108" t="str">
        <f>IF(B237="","",IF(G237="DECISÃO D.P","EM DECISÃO",IF(G237="","SEM STATUS",IF(M237="","SEM DATA",IF(M237&lt;0,"VENCIDO",IF(M237&lt;=DiasAlerta,"VENCE EM BREVE","NO PRAZO"))))))</f>
        <v/>
      </c>
      <c r="O237" s="109" t="str">
        <f>IF(D237="","",TODAY()-D237)</f>
        <v/>
      </c>
      <c r="P237" s="102" t="n"/>
    </row>
    <row r="238" ht="18" customHeight="1">
      <c r="A238" s="101" t="n"/>
      <c r="B238" s="102" t="n"/>
      <c r="C238" s="102" t="n"/>
      <c r="D238" s="103" t="n"/>
      <c r="E238" s="102" t="n"/>
      <c r="F238" s="104" t="n"/>
      <c r="G238" s="104" t="n"/>
      <c r="H238" s="102" t="n"/>
      <c r="I238" s="105" t="n"/>
      <c r="J238" s="105" t="n"/>
      <c r="K238" s="103" t="n"/>
      <c r="L238" s="106" t="str">
        <f>IF(OR(D238="",E238=""),"",D238+IF(E238="NOTIFICAÇÃO DE CONSTATAÇÃO",PrazoConst,PrazoEsc))</f>
        <v/>
      </c>
      <c r="M238" s="107" t="str">
        <f>IF(L238="","",L238-TODAY())</f>
        <v/>
      </c>
      <c r="N238" s="108" t="str">
        <f>IF(B238="","",IF(G238="DECISÃO D.P","EM DECISÃO",IF(G238="","SEM STATUS",IF(M238="","SEM DATA",IF(M238&lt;0,"VENCIDO",IF(M238&lt;=DiasAlerta,"VENCE EM BREVE","NO PRAZO"))))))</f>
        <v/>
      </c>
      <c r="O238" s="109" t="str">
        <f>IF(D238="","",TODAY()-D238)</f>
        <v/>
      </c>
      <c r="P238" s="102" t="n"/>
    </row>
    <row r="239" ht="18" customHeight="1">
      <c r="A239" s="101" t="n"/>
      <c r="B239" s="102" t="n"/>
      <c r="C239" s="102" t="n"/>
      <c r="D239" s="103" t="n"/>
      <c r="E239" s="102" t="n"/>
      <c r="F239" s="104" t="n"/>
      <c r="G239" s="104" t="n"/>
      <c r="H239" s="102" t="n"/>
      <c r="I239" s="105" t="n"/>
      <c r="J239" s="105" t="n"/>
      <c r="K239" s="103" t="n"/>
      <c r="L239" s="106" t="str">
        <f>IF(OR(D239="",E239=""),"",D239+IF(E239="NOTIFICAÇÃO DE CONSTATAÇÃO",PrazoConst,PrazoEsc))</f>
        <v/>
      </c>
      <c r="M239" s="107" t="str">
        <f>IF(L239="","",L239-TODAY())</f>
        <v/>
      </c>
      <c r="N239" s="108" t="str">
        <f>IF(B239="","",IF(G239="DECISÃO D.P","EM DECISÃO",IF(G239="","SEM STATUS",IF(M239="","SEM DATA",IF(M239&lt;0,"VENCIDO",IF(M239&lt;=DiasAlerta,"VENCE EM BREVE","NO PRAZO"))))))</f>
        <v/>
      </c>
      <c r="O239" s="109" t="str">
        <f>IF(D239="","",TODAY()-D239)</f>
        <v/>
      </c>
      <c r="P239" s="102" t="n"/>
    </row>
    <row r="240" ht="18" customHeight="1">
      <c r="A240" s="101" t="n"/>
      <c r="B240" s="102" t="n"/>
      <c r="C240" s="102" t="n"/>
      <c r="D240" s="103" t="n"/>
      <c r="E240" s="102" t="n"/>
      <c r="F240" s="104" t="n"/>
      <c r="G240" s="104" t="n"/>
      <c r="H240" s="102" t="n"/>
      <c r="I240" s="105" t="n"/>
      <c r="J240" s="105" t="n"/>
      <c r="K240" s="103" t="n"/>
      <c r="L240" s="106" t="str">
        <f>IF(OR(D240="",E240=""),"",D240+IF(E240="NOTIFICAÇÃO DE CONSTATAÇÃO",PrazoConst,PrazoEsc))</f>
        <v/>
      </c>
      <c r="M240" s="107" t="str">
        <f>IF(L240="","",L240-TODAY())</f>
        <v/>
      </c>
      <c r="N240" s="108" t="str">
        <f>IF(B240="","",IF(G240="DECISÃO D.P","EM DECISÃO",IF(G240="","SEM STATUS",IF(M240="","SEM DATA",IF(M240&lt;0,"VENCIDO",IF(M240&lt;=DiasAlerta,"VENCE EM BREVE","NO PRAZO"))))))</f>
        <v/>
      </c>
      <c r="O240" s="109" t="str">
        <f>IF(D240="","",TODAY()-D240)</f>
        <v/>
      </c>
      <c r="P240" s="102" t="n"/>
    </row>
    <row r="241" ht="18" customHeight="1">
      <c r="A241" s="101" t="n"/>
      <c r="B241" s="102" t="n"/>
      <c r="C241" s="102" t="n"/>
      <c r="D241" s="103" t="n"/>
      <c r="E241" s="102" t="n"/>
      <c r="F241" s="104" t="n"/>
      <c r="G241" s="104" t="n"/>
      <c r="H241" s="102" t="n"/>
      <c r="I241" s="105" t="n"/>
      <c r="J241" s="105" t="n"/>
      <c r="K241" s="103" t="n"/>
      <c r="L241" s="106" t="str">
        <f>IF(OR(D241="",E241=""),"",D241+IF(E241="NOTIFICAÇÃO DE CONSTATAÇÃO",PrazoConst,PrazoEsc))</f>
        <v/>
      </c>
      <c r="M241" s="107" t="str">
        <f>IF(L241="","",L241-TODAY())</f>
        <v/>
      </c>
      <c r="N241" s="108" t="str">
        <f>IF(B241="","",IF(G241="DECISÃO D.P","EM DECISÃO",IF(G241="","SEM STATUS",IF(M241="","SEM DATA",IF(M241&lt;0,"VENCIDO",IF(M241&lt;=DiasAlerta,"VENCE EM BREVE","NO PRAZO"))))))</f>
        <v/>
      </c>
      <c r="O241" s="109" t="str">
        <f>IF(D241="","",TODAY()-D241)</f>
        <v/>
      </c>
      <c r="P241" s="102" t="n"/>
    </row>
    <row r="242" ht="18" customHeight="1">
      <c r="A242" s="101" t="n"/>
      <c r="B242" s="102" t="n"/>
      <c r="C242" s="102" t="n"/>
      <c r="D242" s="103" t="n"/>
      <c r="E242" s="102" t="n"/>
      <c r="F242" s="104" t="n"/>
      <c r="G242" s="104" t="n"/>
      <c r="H242" s="102" t="n"/>
      <c r="I242" s="105" t="n"/>
      <c r="J242" s="105" t="n"/>
      <c r="K242" s="103" t="n"/>
      <c r="L242" s="106" t="str">
        <f>IF(OR(D242="",E242=""),"",D242+IF(E242="NOTIFICAÇÃO DE CONSTATAÇÃO",PrazoConst,PrazoEsc))</f>
        <v/>
      </c>
      <c r="M242" s="107" t="str">
        <f>IF(L242="","",L242-TODAY())</f>
        <v/>
      </c>
      <c r="N242" s="108" t="str">
        <f>IF(B242="","",IF(G242="DECISÃO D.P","EM DECISÃO",IF(G242="","SEM STATUS",IF(M242="","SEM DATA",IF(M242&lt;0,"VENCIDO",IF(M242&lt;=DiasAlerta,"VENCE EM BREVE","NO PRAZO"))))))</f>
        <v/>
      </c>
      <c r="O242" s="109" t="str">
        <f>IF(D242="","",TODAY()-D242)</f>
        <v/>
      </c>
      <c r="P242" s="102" t="n"/>
    </row>
    <row r="243" ht="18" customHeight="1">
      <c r="A243" s="101" t="n"/>
      <c r="B243" s="102" t="n"/>
      <c r="C243" s="102" t="n"/>
      <c r="D243" s="103" t="n"/>
      <c r="E243" s="102" t="n"/>
      <c r="F243" s="104" t="n"/>
      <c r="G243" s="104" t="n"/>
      <c r="H243" s="102" t="n"/>
      <c r="I243" s="105" t="n"/>
      <c r="J243" s="105" t="n"/>
      <c r="K243" s="103" t="n"/>
      <c r="L243" s="106" t="str">
        <f>IF(OR(D243="",E243=""),"",D243+IF(E243="NOTIFICAÇÃO DE CONSTATAÇÃO",PrazoConst,PrazoEsc))</f>
        <v/>
      </c>
      <c r="M243" s="107" t="str">
        <f>IF(L243="","",L243-TODAY())</f>
        <v/>
      </c>
      <c r="N243" s="108" t="str">
        <f>IF(B243="","",IF(G243="DECISÃO D.P","EM DECISÃO",IF(G243="","SEM STATUS",IF(M243="","SEM DATA",IF(M243&lt;0,"VENCIDO",IF(M243&lt;=DiasAlerta,"VENCE EM BREVE","NO PRAZO"))))))</f>
        <v/>
      </c>
      <c r="O243" s="109" t="str">
        <f>IF(D243="","",TODAY()-D243)</f>
        <v/>
      </c>
      <c r="P243" s="102" t="n"/>
    </row>
    <row r="244" ht="18" customHeight="1">
      <c r="A244" s="101" t="n"/>
      <c r="B244" s="102" t="n"/>
      <c r="C244" s="102" t="n"/>
      <c r="D244" s="103" t="n"/>
      <c r="E244" s="102" t="n"/>
      <c r="F244" s="104" t="n"/>
      <c r="G244" s="104" t="n"/>
      <c r="H244" s="102" t="n"/>
      <c r="I244" s="105" t="n"/>
      <c r="J244" s="105" t="n"/>
      <c r="K244" s="103" t="n"/>
      <c r="L244" s="106" t="str">
        <f>IF(OR(D244="",E244=""),"",D244+IF(E244="NOTIFICAÇÃO DE CONSTATAÇÃO",PrazoConst,PrazoEsc))</f>
        <v/>
      </c>
      <c r="M244" s="107" t="str">
        <f>IF(L244="","",L244-TODAY())</f>
        <v/>
      </c>
      <c r="N244" s="108" t="str">
        <f>IF(B244="","",IF(G244="DECISÃO D.P","EM DECISÃO",IF(G244="","SEM STATUS",IF(M244="","SEM DATA",IF(M244&lt;0,"VENCIDO",IF(M244&lt;=DiasAlerta,"VENCE EM BREVE","NO PRAZO"))))))</f>
        <v/>
      </c>
      <c r="O244" s="109" t="str">
        <f>IF(D244="","",TODAY()-D244)</f>
        <v/>
      </c>
      <c r="P244" s="102" t="n"/>
    </row>
    <row r="245" ht="18" customHeight="1">
      <c r="A245" s="101" t="n"/>
      <c r="B245" s="102" t="n"/>
      <c r="C245" s="102" t="n"/>
      <c r="D245" s="103" t="n"/>
      <c r="E245" s="102" t="n"/>
      <c r="F245" s="104" t="n"/>
      <c r="G245" s="104" t="n"/>
      <c r="H245" s="102" t="n"/>
      <c r="I245" s="105" t="n"/>
      <c r="J245" s="105" t="n"/>
      <c r="K245" s="103" t="n"/>
      <c r="L245" s="106" t="str">
        <f>IF(OR(D245="",E245=""),"",D245+IF(E245="NOTIFICAÇÃO DE CONSTATAÇÃO",PrazoConst,PrazoEsc))</f>
        <v/>
      </c>
      <c r="M245" s="107" t="str">
        <f>IF(L245="","",L245-TODAY())</f>
        <v/>
      </c>
      <c r="N245" s="108" t="str">
        <f>IF(B245="","",IF(G245="DECISÃO D.P","EM DECISÃO",IF(G245="","SEM STATUS",IF(M245="","SEM DATA",IF(M245&lt;0,"VENCIDO",IF(M245&lt;=DiasAlerta,"VENCE EM BREVE","NO PRAZO"))))))</f>
        <v/>
      </c>
      <c r="O245" s="109" t="str">
        <f>IF(D245="","",TODAY()-D245)</f>
        <v/>
      </c>
      <c r="P245" s="102" t="n"/>
    </row>
    <row r="246" ht="18" customHeight="1">
      <c r="A246" s="101" t="n"/>
      <c r="B246" s="102" t="n"/>
      <c r="C246" s="102" t="n"/>
      <c r="D246" s="103" t="n"/>
      <c r="E246" s="102" t="n"/>
      <c r="F246" s="104" t="n"/>
      <c r="G246" s="104" t="n"/>
      <c r="H246" s="102" t="n"/>
      <c r="I246" s="105" t="n"/>
      <c r="J246" s="105" t="n"/>
      <c r="K246" s="103" t="n"/>
      <c r="L246" s="106" t="str">
        <f>IF(OR(D246="",E246=""),"",D246+IF(E246="NOTIFICAÇÃO DE CONSTATAÇÃO",PrazoConst,PrazoEsc))</f>
        <v/>
      </c>
      <c r="M246" s="107" t="str">
        <f>IF(L246="","",L246-TODAY())</f>
        <v/>
      </c>
      <c r="N246" s="108" t="str">
        <f>IF(B246="","",IF(G246="DECISÃO D.P","EM DECISÃO",IF(G246="","SEM STATUS",IF(M246="","SEM DATA",IF(M246&lt;0,"VENCIDO",IF(M246&lt;=DiasAlerta,"VENCE EM BREVE","NO PRAZO"))))))</f>
        <v/>
      </c>
      <c r="O246" s="109" t="str">
        <f>IF(D246="","",TODAY()-D246)</f>
        <v/>
      </c>
      <c r="P246" s="102" t="n"/>
    </row>
    <row r="247" ht="18" customHeight="1">
      <c r="A247" s="101" t="n"/>
      <c r="B247" s="102" t="n"/>
      <c r="C247" s="102" t="n"/>
      <c r="D247" s="103" t="n"/>
      <c r="E247" s="102" t="n"/>
      <c r="F247" s="104" t="n"/>
      <c r="G247" s="104" t="n"/>
      <c r="H247" s="102" t="n"/>
      <c r="I247" s="105" t="n"/>
      <c r="J247" s="105" t="n"/>
      <c r="K247" s="103" t="n"/>
      <c r="L247" s="106" t="str">
        <f>IF(OR(D247="",E247=""),"",D247+IF(E247="NOTIFICAÇÃO DE CONSTATAÇÃO",PrazoConst,PrazoEsc))</f>
        <v/>
      </c>
      <c r="M247" s="107" t="str">
        <f>IF(L247="","",L247-TODAY())</f>
        <v/>
      </c>
      <c r="N247" s="108" t="str">
        <f>IF(B247="","",IF(G247="DECISÃO D.P","EM DECISÃO",IF(G247="","SEM STATUS",IF(M247="","SEM DATA",IF(M247&lt;0,"VENCIDO",IF(M247&lt;=DiasAlerta,"VENCE EM BREVE","NO PRAZO"))))))</f>
        <v/>
      </c>
      <c r="O247" s="109" t="str">
        <f>IF(D247="","",TODAY()-D247)</f>
        <v/>
      </c>
      <c r="P247" s="102" t="n"/>
    </row>
    <row r="248" ht="18" customHeight="1">
      <c r="A248" s="101" t="n"/>
      <c r="B248" s="102" t="n"/>
      <c r="C248" s="102" t="n"/>
      <c r="D248" s="103" t="n"/>
      <c r="E248" s="102" t="n"/>
      <c r="F248" s="104" t="n"/>
      <c r="G248" s="104" t="n"/>
      <c r="H248" s="102" t="n"/>
      <c r="I248" s="105" t="n"/>
      <c r="J248" s="105" t="n"/>
      <c r="K248" s="103" t="n"/>
      <c r="L248" s="106" t="str">
        <f>IF(OR(D248="",E248=""),"",D248+IF(E248="NOTIFICAÇÃO DE CONSTATAÇÃO",PrazoConst,PrazoEsc))</f>
        <v/>
      </c>
      <c r="M248" s="107" t="str">
        <f>IF(L248="","",L248-TODAY())</f>
        <v/>
      </c>
      <c r="N248" s="108" t="str">
        <f>IF(B248="","",IF(G248="DECISÃO D.P","EM DECISÃO",IF(G248="","SEM STATUS",IF(M248="","SEM DATA",IF(M248&lt;0,"VENCIDO",IF(M248&lt;=DiasAlerta,"VENCE EM BREVE","NO PRAZO"))))))</f>
        <v/>
      </c>
      <c r="O248" s="109" t="str">
        <f>IF(D248="","",TODAY()-D248)</f>
        <v/>
      </c>
      <c r="P248" s="102" t="n"/>
    </row>
    <row r="249" ht="18" customHeight="1">
      <c r="A249" s="101" t="n"/>
      <c r="B249" s="102" t="n"/>
      <c r="C249" s="102" t="n"/>
      <c r="D249" s="103" t="n"/>
      <c r="E249" s="102" t="n"/>
      <c r="F249" s="104" t="n"/>
      <c r="G249" s="104" t="n"/>
      <c r="H249" s="102" t="n"/>
      <c r="I249" s="105" t="n"/>
      <c r="J249" s="105" t="n"/>
      <c r="K249" s="103" t="n"/>
      <c r="L249" s="106" t="str">
        <f>IF(OR(D249="",E249=""),"",D249+IF(E249="NOTIFICAÇÃO DE CONSTATAÇÃO",PrazoConst,PrazoEsc))</f>
        <v/>
      </c>
      <c r="M249" s="107" t="str">
        <f>IF(L249="","",L249-TODAY())</f>
        <v/>
      </c>
      <c r="N249" s="108" t="str">
        <f>IF(B249="","",IF(G249="DECISÃO D.P","EM DECISÃO",IF(G249="","SEM STATUS",IF(M249="","SEM DATA",IF(M249&lt;0,"VENCIDO",IF(M249&lt;=DiasAlerta,"VENCE EM BREVE","NO PRAZO"))))))</f>
        <v/>
      </c>
      <c r="O249" s="109" t="str">
        <f>IF(D249="","",TODAY()-D249)</f>
        <v/>
      </c>
      <c r="P249" s="102" t="n"/>
    </row>
    <row r="250" ht="18" customHeight="1">
      <c r="A250" s="101" t="n"/>
      <c r="B250" s="102" t="n"/>
      <c r="C250" s="102" t="n"/>
      <c r="D250" s="103" t="n"/>
      <c r="E250" s="102" t="n"/>
      <c r="F250" s="104" t="n"/>
      <c r="G250" s="104" t="n"/>
      <c r="H250" s="102" t="n"/>
      <c r="I250" s="105" t="n"/>
      <c r="J250" s="105" t="n"/>
      <c r="K250" s="103" t="n"/>
      <c r="L250" s="106" t="str">
        <f>IF(OR(D250="",E250=""),"",D250+IF(E250="NOTIFICAÇÃO DE CONSTATAÇÃO",PrazoConst,PrazoEsc))</f>
        <v/>
      </c>
      <c r="M250" s="107" t="str">
        <f>IF(L250="","",L250-TODAY())</f>
        <v/>
      </c>
      <c r="N250" s="108" t="str">
        <f>IF(B250="","",IF(G250="DECISÃO D.P","EM DECISÃO",IF(G250="","SEM STATUS",IF(M250="","SEM DATA",IF(M250&lt;0,"VENCIDO",IF(M250&lt;=DiasAlerta,"VENCE EM BREVE","NO PRAZO"))))))</f>
        <v/>
      </c>
      <c r="O250" s="109" t="str">
        <f>IF(D250="","",TODAY()-D250)</f>
        <v/>
      </c>
      <c r="P250" s="102" t="n"/>
    </row>
    <row r="251" ht="18" customHeight="1">
      <c r="A251" s="101" t="n"/>
      <c r="B251" s="102" t="n"/>
      <c r="C251" s="102" t="n"/>
      <c r="D251" s="103" t="n"/>
      <c r="E251" s="102" t="n"/>
      <c r="F251" s="104" t="n"/>
      <c r="G251" s="104" t="n"/>
      <c r="H251" s="102" t="n"/>
      <c r="I251" s="105" t="n"/>
      <c r="J251" s="105" t="n"/>
      <c r="K251" s="103" t="n"/>
      <c r="L251" s="106" t="str">
        <f>IF(OR(D251="",E251=""),"",D251+IF(E251="NOTIFICAÇÃO DE CONSTATAÇÃO",PrazoConst,PrazoEsc))</f>
        <v/>
      </c>
      <c r="M251" s="107" t="str">
        <f>IF(L251="","",L251-TODAY())</f>
        <v/>
      </c>
      <c r="N251" s="108" t="str">
        <f>IF(B251="","",IF(G251="DECISÃO D.P","EM DECISÃO",IF(G251="","SEM STATUS",IF(M251="","SEM DATA",IF(M251&lt;0,"VENCIDO",IF(M251&lt;=DiasAlerta,"VENCE EM BREVE","NO PRAZO"))))))</f>
        <v/>
      </c>
      <c r="O251" s="109" t="str">
        <f>IF(D251="","",TODAY()-D251)</f>
        <v/>
      </c>
      <c r="P251" s="102" t="n"/>
    </row>
    <row r="252" ht="18" customHeight="1">
      <c r="A252" s="101" t="n"/>
      <c r="B252" s="102" t="n"/>
      <c r="C252" s="102" t="n"/>
      <c r="D252" s="103" t="n"/>
      <c r="E252" s="102" t="n"/>
      <c r="F252" s="104" t="n"/>
      <c r="G252" s="104" t="n"/>
      <c r="H252" s="102" t="n"/>
      <c r="I252" s="105" t="n"/>
      <c r="J252" s="105" t="n"/>
      <c r="K252" s="103" t="n"/>
      <c r="L252" s="106" t="str">
        <f>IF(OR(D252="",E252=""),"",D252+IF(E252="NOTIFICAÇÃO DE CONSTATAÇÃO",PrazoConst,PrazoEsc))</f>
        <v/>
      </c>
      <c r="M252" s="107" t="str">
        <f>IF(L252="","",L252-TODAY())</f>
        <v/>
      </c>
      <c r="N252" s="108" t="str">
        <f>IF(B252="","",IF(G252="DECISÃO D.P","EM DECISÃO",IF(G252="","SEM STATUS",IF(M252="","SEM DATA",IF(M252&lt;0,"VENCIDO",IF(M252&lt;=DiasAlerta,"VENCE EM BREVE","NO PRAZO"))))))</f>
        <v/>
      </c>
      <c r="O252" s="109" t="str">
        <f>IF(D252="","",TODAY()-D252)</f>
        <v/>
      </c>
      <c r="P252" s="102" t="n"/>
    </row>
    <row r="253" ht="18" customHeight="1">
      <c r="A253" s="101" t="n"/>
      <c r="B253" s="102" t="n"/>
      <c r="C253" s="102" t="n"/>
      <c r="D253" s="103" t="n"/>
      <c r="E253" s="102" t="n"/>
      <c r="F253" s="104" t="n"/>
      <c r="G253" s="104" t="n"/>
      <c r="H253" s="102" t="n"/>
      <c r="I253" s="105" t="n"/>
      <c r="J253" s="105" t="n"/>
      <c r="K253" s="103" t="n"/>
      <c r="L253" s="106" t="str">
        <f>IF(OR(D253="",E253=""),"",D253+IF(E253="NOTIFICAÇÃO DE CONSTATAÇÃO",PrazoConst,PrazoEsc))</f>
        <v/>
      </c>
      <c r="M253" s="107" t="str">
        <f>IF(L253="","",L253-TODAY())</f>
        <v/>
      </c>
      <c r="N253" s="108" t="str">
        <f>IF(B253="","",IF(G253="DECISÃO D.P","EM DECISÃO",IF(G253="","SEM STATUS",IF(M253="","SEM DATA",IF(M253&lt;0,"VENCIDO",IF(M253&lt;=DiasAlerta,"VENCE EM BREVE","NO PRAZO"))))))</f>
        <v/>
      </c>
      <c r="O253" s="109" t="str">
        <f>IF(D253="","",TODAY()-D253)</f>
        <v/>
      </c>
      <c r="P253" s="102" t="n"/>
    </row>
    <row r="254" ht="18" customHeight="1">
      <c r="A254" s="101" t="n"/>
      <c r="B254" s="102" t="n"/>
      <c r="C254" s="102" t="n"/>
      <c r="D254" s="103" t="n"/>
      <c r="E254" s="102" t="n"/>
      <c r="F254" s="104" t="n"/>
      <c r="G254" s="104" t="n"/>
      <c r="H254" s="102" t="n"/>
      <c r="I254" s="105" t="n"/>
      <c r="J254" s="105" t="n"/>
      <c r="K254" s="103" t="n"/>
      <c r="L254" s="106" t="str">
        <f>IF(OR(D254="",E254=""),"",D254+IF(E254="NOTIFICAÇÃO DE CONSTATAÇÃO",PrazoConst,PrazoEsc))</f>
        <v/>
      </c>
      <c r="M254" s="107" t="str">
        <f>IF(L254="","",L254-TODAY())</f>
        <v/>
      </c>
      <c r="N254" s="108" t="str">
        <f>IF(B254="","",IF(G254="DECISÃO D.P","EM DECISÃO",IF(G254="","SEM STATUS",IF(M254="","SEM DATA",IF(M254&lt;0,"VENCIDO",IF(M254&lt;=DiasAlerta,"VENCE EM BREVE","NO PRAZO"))))))</f>
        <v/>
      </c>
      <c r="O254" s="109" t="str">
        <f>IF(D254="","",TODAY()-D254)</f>
        <v/>
      </c>
      <c r="P254" s="102" t="n"/>
    </row>
    <row r="255" ht="18" customHeight="1">
      <c r="A255" s="101" t="n"/>
      <c r="B255" s="102" t="n"/>
      <c r="C255" s="102" t="n"/>
      <c r="D255" s="103" t="n"/>
      <c r="E255" s="102" t="n"/>
      <c r="F255" s="104" t="n"/>
      <c r="G255" s="104" t="n"/>
      <c r="H255" s="102" t="n"/>
      <c r="I255" s="105" t="n"/>
      <c r="J255" s="105" t="n"/>
      <c r="K255" s="103" t="n"/>
      <c r="L255" s="106" t="str">
        <f>IF(OR(D255="",E255=""),"",D255+IF(E255="NOTIFICAÇÃO DE CONSTATAÇÃO",PrazoConst,PrazoEsc))</f>
        <v/>
      </c>
      <c r="M255" s="107" t="str">
        <f>IF(L255="","",L255-TODAY())</f>
        <v/>
      </c>
      <c r="N255" s="108" t="str">
        <f>IF(B255="","",IF(G255="DECISÃO D.P","EM DECISÃO",IF(G255="","SEM STATUS",IF(M255="","SEM DATA",IF(M255&lt;0,"VENCIDO",IF(M255&lt;=DiasAlerta,"VENCE EM BREVE","NO PRAZO"))))))</f>
        <v/>
      </c>
      <c r="O255" s="109" t="str">
        <f>IF(D255="","",TODAY()-D255)</f>
        <v/>
      </c>
      <c r="P255" s="102" t="n"/>
    </row>
    <row r="256" ht="18" customHeight="1">
      <c r="A256" s="101" t="n"/>
      <c r="B256" s="102" t="n"/>
      <c r="C256" s="102" t="n"/>
      <c r="D256" s="103" t="n"/>
      <c r="E256" s="102" t="n"/>
      <c r="F256" s="104" t="n"/>
      <c r="G256" s="104" t="n"/>
      <c r="H256" s="102" t="n"/>
      <c r="I256" s="105" t="n"/>
      <c r="J256" s="105" t="n"/>
      <c r="K256" s="103" t="n"/>
      <c r="L256" s="106" t="str">
        <f>IF(OR(D256="",E256=""),"",D256+IF(E256="NOTIFICAÇÃO DE CONSTATAÇÃO",PrazoConst,PrazoEsc))</f>
        <v/>
      </c>
      <c r="M256" s="107" t="str">
        <f>IF(L256="","",L256-TODAY())</f>
        <v/>
      </c>
      <c r="N256" s="108" t="str">
        <f>IF(B256="","",IF(G256="DECISÃO D.P","EM DECISÃO",IF(G256="","SEM STATUS",IF(M256="","SEM DATA",IF(M256&lt;0,"VENCIDO",IF(M256&lt;=DiasAlerta,"VENCE EM BREVE","NO PRAZO"))))))</f>
        <v/>
      </c>
      <c r="O256" s="109" t="str">
        <f>IF(D256="","",TODAY()-D256)</f>
        <v/>
      </c>
      <c r="P256" s="102" t="n"/>
    </row>
    <row r="257" ht="18" customHeight="1">
      <c r="A257" s="101" t="n"/>
      <c r="B257" s="102" t="n"/>
      <c r="C257" s="102" t="n"/>
      <c r="D257" s="103" t="n"/>
      <c r="E257" s="102" t="n"/>
      <c r="F257" s="104" t="n"/>
      <c r="G257" s="104" t="n"/>
      <c r="H257" s="102" t="n"/>
      <c r="I257" s="105" t="n"/>
      <c r="J257" s="105" t="n"/>
      <c r="K257" s="103" t="n"/>
      <c r="L257" s="106" t="str">
        <f>IF(OR(D257="",E257=""),"",D257+IF(E257="NOTIFICAÇÃO DE CONSTATAÇÃO",PrazoConst,PrazoEsc))</f>
        <v/>
      </c>
      <c r="M257" s="107" t="str">
        <f>IF(L257="","",L257-TODAY())</f>
        <v/>
      </c>
      <c r="N257" s="108" t="str">
        <f>IF(B257="","",IF(G257="DECISÃO D.P","EM DECISÃO",IF(G257="","SEM STATUS",IF(M257="","SEM DATA",IF(M257&lt;0,"VENCIDO",IF(M257&lt;=DiasAlerta,"VENCE EM BREVE","NO PRAZO"))))))</f>
        <v/>
      </c>
      <c r="O257" s="109" t="str">
        <f>IF(D257="","",TODAY()-D257)</f>
        <v/>
      </c>
      <c r="P257" s="102" t="n"/>
    </row>
    <row r="258" ht="18" customHeight="1">
      <c r="A258" s="101" t="n"/>
      <c r="B258" s="102" t="n"/>
      <c r="C258" s="102" t="n"/>
      <c r="D258" s="103" t="n"/>
      <c r="E258" s="102" t="n"/>
      <c r="F258" s="104" t="n"/>
      <c r="G258" s="104" t="n"/>
      <c r="H258" s="102" t="n"/>
      <c r="I258" s="105" t="n"/>
      <c r="J258" s="105" t="n"/>
      <c r="K258" s="103" t="n"/>
      <c r="L258" s="106" t="str">
        <f>IF(OR(D258="",E258=""),"",D258+IF(E258="NOTIFICAÇÃO DE CONSTATAÇÃO",PrazoConst,PrazoEsc))</f>
        <v/>
      </c>
      <c r="M258" s="107" t="str">
        <f>IF(L258="","",L258-TODAY())</f>
        <v/>
      </c>
      <c r="N258" s="108" t="str">
        <f>IF(B258="","",IF(G258="DECISÃO D.P","EM DECISÃO",IF(G258="","SEM STATUS",IF(M258="","SEM DATA",IF(M258&lt;0,"VENCIDO",IF(M258&lt;=DiasAlerta,"VENCE EM BREVE","NO PRAZO"))))))</f>
        <v/>
      </c>
      <c r="O258" s="109" t="str">
        <f>IF(D258="","",TODAY()-D258)</f>
        <v/>
      </c>
      <c r="P258" s="102" t="n"/>
    </row>
    <row r="259" ht="18" customHeight="1">
      <c r="A259" s="101" t="n"/>
      <c r="B259" s="102" t="n"/>
      <c r="C259" s="102" t="n"/>
      <c r="D259" s="103" t="n"/>
      <c r="E259" s="102" t="n"/>
      <c r="F259" s="104" t="n"/>
      <c r="G259" s="104" t="n"/>
      <c r="H259" s="102" t="n"/>
      <c r="I259" s="105" t="n"/>
      <c r="J259" s="105" t="n"/>
      <c r="K259" s="103" t="n"/>
      <c r="L259" s="106" t="str">
        <f>IF(OR(D259="",E259=""),"",D259+IF(E259="NOTIFICAÇÃO DE CONSTATAÇÃO",PrazoConst,PrazoEsc))</f>
        <v/>
      </c>
      <c r="M259" s="107" t="str">
        <f>IF(L259="","",L259-TODAY())</f>
        <v/>
      </c>
      <c r="N259" s="108" t="str">
        <f>IF(B259="","",IF(G259="DECISÃO D.P","EM DECISÃO",IF(G259="","SEM STATUS",IF(M259="","SEM DATA",IF(M259&lt;0,"VENCIDO",IF(M259&lt;=DiasAlerta,"VENCE EM BREVE","NO PRAZO"))))))</f>
        <v/>
      </c>
      <c r="O259" s="109" t="str">
        <f>IF(D259="","",TODAY()-D259)</f>
        <v/>
      </c>
      <c r="P259" s="102" t="n"/>
    </row>
    <row r="260" ht="18" customHeight="1">
      <c r="A260" s="101" t="n"/>
      <c r="B260" s="102" t="n"/>
      <c r="C260" s="102" t="n"/>
      <c r="D260" s="103" t="n"/>
      <c r="E260" s="102" t="n"/>
      <c r="F260" s="104" t="n"/>
      <c r="G260" s="104" t="n"/>
      <c r="H260" s="102" t="n"/>
      <c r="I260" s="105" t="n"/>
      <c r="J260" s="105" t="n"/>
      <c r="K260" s="103" t="n"/>
      <c r="L260" s="106" t="str">
        <f>IF(OR(D260="",E260=""),"",D260+IF(E260="NOTIFICAÇÃO DE CONSTATAÇÃO",PrazoConst,PrazoEsc))</f>
        <v/>
      </c>
      <c r="M260" s="107" t="str">
        <f>IF(L260="","",L260-TODAY())</f>
        <v/>
      </c>
      <c r="N260" s="108" t="str">
        <f>IF(B260="","",IF(G260="DECISÃO D.P","EM DECISÃO",IF(G260="","SEM STATUS",IF(M260="","SEM DATA",IF(M260&lt;0,"VENCIDO",IF(M260&lt;=DiasAlerta,"VENCE EM BREVE","NO PRAZO"))))))</f>
        <v/>
      </c>
      <c r="O260" s="109" t="str">
        <f>IF(D260="","",TODAY()-D260)</f>
        <v/>
      </c>
      <c r="P260" s="102" t="n"/>
    </row>
    <row r="261" ht="18" customHeight="1">
      <c r="A261" s="101" t="n"/>
      <c r="B261" s="102" t="n"/>
      <c r="C261" s="102" t="n"/>
      <c r="D261" s="103" t="n"/>
      <c r="E261" s="102" t="n"/>
      <c r="F261" s="104" t="n"/>
      <c r="G261" s="104" t="n"/>
      <c r="H261" s="102" t="n"/>
      <c r="I261" s="105" t="n"/>
      <c r="J261" s="105" t="n"/>
      <c r="K261" s="103" t="n"/>
      <c r="L261" s="106" t="str">
        <f>IF(OR(D261="",E261=""),"",D261+IF(E261="NOTIFICAÇÃO DE CONSTATAÇÃO",PrazoConst,PrazoEsc))</f>
        <v/>
      </c>
      <c r="M261" s="107" t="str">
        <f>IF(L261="","",L261-TODAY())</f>
        <v/>
      </c>
      <c r="N261" s="108" t="str">
        <f>IF(B261="","",IF(G261="DECISÃO D.P","EM DECISÃO",IF(G261="","SEM STATUS",IF(M261="","SEM DATA",IF(M261&lt;0,"VENCIDO",IF(M261&lt;=DiasAlerta,"VENCE EM BREVE","NO PRAZO"))))))</f>
        <v/>
      </c>
      <c r="O261" s="109" t="str">
        <f>IF(D261="","",TODAY()-D261)</f>
        <v/>
      </c>
      <c r="P261" s="102" t="n"/>
    </row>
    <row r="262" ht="18" customHeight="1">
      <c r="A262" s="101" t="n"/>
      <c r="B262" s="102" t="n"/>
      <c r="C262" s="102" t="n"/>
      <c r="D262" s="103" t="n"/>
      <c r="E262" s="102" t="n"/>
      <c r="F262" s="104" t="n"/>
      <c r="G262" s="104" t="n"/>
      <c r="H262" s="102" t="n"/>
      <c r="I262" s="105" t="n"/>
      <c r="J262" s="105" t="n"/>
      <c r="K262" s="103" t="n"/>
      <c r="L262" s="106" t="str">
        <f>IF(OR(D262="",E262=""),"",D262+IF(E262="NOTIFICAÇÃO DE CONSTATAÇÃO",PrazoConst,PrazoEsc))</f>
        <v/>
      </c>
      <c r="M262" s="107" t="str">
        <f>IF(L262="","",L262-TODAY())</f>
        <v/>
      </c>
      <c r="N262" s="108" t="str">
        <f>IF(B262="","",IF(G262="DECISÃO D.P","EM DECISÃO",IF(G262="","SEM STATUS",IF(M262="","SEM DATA",IF(M262&lt;0,"VENCIDO",IF(M262&lt;=DiasAlerta,"VENCE EM BREVE","NO PRAZO"))))))</f>
        <v/>
      </c>
      <c r="O262" s="109" t="str">
        <f>IF(D262="","",TODAY()-D262)</f>
        <v/>
      </c>
      <c r="P262" s="102" t="n"/>
    </row>
    <row r="263" ht="18" customHeight="1">
      <c r="A263" s="101" t="n"/>
      <c r="B263" s="102" t="n"/>
      <c r="C263" s="102" t="n"/>
      <c r="D263" s="103" t="n"/>
      <c r="E263" s="102" t="n"/>
      <c r="F263" s="104" t="n"/>
      <c r="G263" s="104" t="n"/>
      <c r="H263" s="102" t="n"/>
      <c r="I263" s="105" t="n"/>
      <c r="J263" s="105" t="n"/>
      <c r="K263" s="103" t="n"/>
      <c r="L263" s="106" t="str">
        <f>IF(OR(D263="",E263=""),"",D263+IF(E263="NOTIFICAÇÃO DE CONSTATAÇÃO",PrazoConst,PrazoEsc))</f>
        <v/>
      </c>
      <c r="M263" s="107" t="str">
        <f>IF(L263="","",L263-TODAY())</f>
        <v/>
      </c>
      <c r="N263" s="108" t="str">
        <f>IF(B263="","",IF(G263="DECISÃO D.P","EM DECISÃO",IF(G263="","SEM STATUS",IF(M263="","SEM DATA",IF(M263&lt;0,"VENCIDO",IF(M263&lt;=DiasAlerta,"VENCE EM BREVE","NO PRAZO"))))))</f>
        <v/>
      </c>
      <c r="O263" s="109" t="str">
        <f>IF(D263="","",TODAY()-D263)</f>
        <v/>
      </c>
      <c r="P263" s="102" t="n"/>
    </row>
    <row r="264" ht="18" customHeight="1">
      <c r="A264" s="101" t="n"/>
      <c r="B264" s="102" t="n"/>
      <c r="C264" s="102" t="n"/>
      <c r="D264" s="103" t="n"/>
      <c r="E264" s="102" t="n"/>
      <c r="F264" s="104" t="n"/>
      <c r="G264" s="104" t="n"/>
      <c r="H264" s="102" t="n"/>
      <c r="I264" s="105" t="n"/>
      <c r="J264" s="105" t="n"/>
      <c r="K264" s="103" t="n"/>
      <c r="L264" s="106" t="str">
        <f>IF(OR(D264="",E264=""),"",D264+IF(E264="NOTIFICAÇÃO DE CONSTATAÇÃO",PrazoConst,PrazoEsc))</f>
        <v/>
      </c>
      <c r="M264" s="107" t="str">
        <f>IF(L264="","",L264-TODAY())</f>
        <v/>
      </c>
      <c r="N264" s="108" t="str">
        <f>IF(B264="","",IF(G264="DECISÃO D.P","EM DECISÃO",IF(G264="","SEM STATUS",IF(M264="","SEM DATA",IF(M264&lt;0,"VENCIDO",IF(M264&lt;=DiasAlerta,"VENCE EM BREVE","NO PRAZO"))))))</f>
        <v/>
      </c>
      <c r="O264" s="109" t="str">
        <f>IF(D264="","",TODAY()-D264)</f>
        <v/>
      </c>
      <c r="P264" s="102" t="n"/>
    </row>
    <row r="265" ht="18" customHeight="1">
      <c r="A265" s="101" t="n"/>
      <c r="B265" s="102" t="n"/>
      <c r="C265" s="102" t="n"/>
      <c r="D265" s="103" t="n"/>
      <c r="E265" s="102" t="n"/>
      <c r="F265" s="104" t="n"/>
      <c r="G265" s="104" t="n"/>
      <c r="H265" s="102" t="n"/>
      <c r="I265" s="105" t="n"/>
      <c r="J265" s="105" t="n"/>
      <c r="K265" s="103" t="n"/>
      <c r="L265" s="106" t="str">
        <f>IF(OR(D265="",E265=""),"",D265+IF(E265="NOTIFICAÇÃO DE CONSTATAÇÃO",PrazoConst,PrazoEsc))</f>
        <v/>
      </c>
      <c r="M265" s="107" t="str">
        <f>IF(L265="","",L265-TODAY())</f>
        <v/>
      </c>
      <c r="N265" s="108" t="str">
        <f>IF(B265="","",IF(G265="DECISÃO D.P","EM DECISÃO",IF(G265="","SEM STATUS",IF(M265="","SEM DATA",IF(M265&lt;0,"VENCIDO",IF(M265&lt;=DiasAlerta,"VENCE EM BREVE","NO PRAZO"))))))</f>
        <v/>
      </c>
      <c r="O265" s="109" t="str">
        <f>IF(D265="","",TODAY()-D265)</f>
        <v/>
      </c>
      <c r="P265" s="102" t="n"/>
    </row>
    <row r="266" ht="18" customHeight="1">
      <c r="A266" s="101" t="n"/>
      <c r="B266" s="102" t="n"/>
      <c r="C266" s="102" t="n"/>
      <c r="D266" s="103" t="n"/>
      <c r="E266" s="102" t="n"/>
      <c r="F266" s="104" t="n"/>
      <c r="G266" s="104" t="n"/>
      <c r="H266" s="102" t="n"/>
      <c r="I266" s="105" t="n"/>
      <c r="J266" s="105" t="n"/>
      <c r="K266" s="103" t="n"/>
      <c r="L266" s="106" t="str">
        <f>IF(OR(D266="",E266=""),"",D266+IF(E266="NOTIFICAÇÃO DE CONSTATAÇÃO",PrazoConst,PrazoEsc))</f>
        <v/>
      </c>
      <c r="M266" s="107" t="str">
        <f>IF(L266="","",L266-TODAY())</f>
        <v/>
      </c>
      <c r="N266" s="108" t="str">
        <f>IF(B266="","",IF(G266="DECISÃO D.P","EM DECISÃO",IF(G266="","SEM STATUS",IF(M266="","SEM DATA",IF(M266&lt;0,"VENCIDO",IF(M266&lt;=DiasAlerta,"VENCE EM BREVE","NO PRAZO"))))))</f>
        <v/>
      </c>
      <c r="O266" s="109" t="str">
        <f>IF(D266="","",TODAY()-D266)</f>
        <v/>
      </c>
      <c r="P266" s="102" t="n"/>
    </row>
    <row r="267" ht="18" customHeight="1">
      <c r="A267" s="101" t="n"/>
      <c r="B267" s="102" t="n"/>
      <c r="C267" s="102" t="n"/>
      <c r="D267" s="103" t="n"/>
      <c r="E267" s="102" t="n"/>
      <c r="F267" s="104" t="n"/>
      <c r="G267" s="104" t="n"/>
      <c r="H267" s="102" t="n"/>
      <c r="I267" s="105" t="n"/>
      <c r="J267" s="105" t="n"/>
      <c r="K267" s="103" t="n"/>
      <c r="L267" s="106" t="str">
        <f>IF(OR(D267="",E267=""),"",D267+IF(E267="NOTIFICAÇÃO DE CONSTATAÇÃO",PrazoConst,PrazoEsc))</f>
        <v/>
      </c>
      <c r="M267" s="107" t="str">
        <f>IF(L267="","",L267-TODAY())</f>
        <v/>
      </c>
      <c r="N267" s="108" t="str">
        <f>IF(B267="","",IF(G267="DECISÃO D.P","EM DECISÃO",IF(G267="","SEM STATUS",IF(M267="","SEM DATA",IF(M267&lt;0,"VENCIDO",IF(M267&lt;=DiasAlerta,"VENCE EM BREVE","NO PRAZO"))))))</f>
        <v/>
      </c>
      <c r="O267" s="109" t="str">
        <f>IF(D267="","",TODAY()-D267)</f>
        <v/>
      </c>
      <c r="P267" s="102" t="n"/>
    </row>
    <row r="268" ht="18" customHeight="1">
      <c r="A268" s="101" t="n"/>
      <c r="B268" s="102" t="n"/>
      <c r="C268" s="102" t="n"/>
      <c r="D268" s="103" t="n"/>
      <c r="E268" s="102" t="n"/>
      <c r="F268" s="104" t="n"/>
      <c r="G268" s="104" t="n"/>
      <c r="H268" s="102" t="n"/>
      <c r="I268" s="105" t="n"/>
      <c r="J268" s="105" t="n"/>
      <c r="K268" s="103" t="n"/>
      <c r="L268" s="106" t="str">
        <f>IF(OR(D268="",E268=""),"",D268+IF(E268="NOTIFICAÇÃO DE CONSTATAÇÃO",PrazoConst,PrazoEsc))</f>
        <v/>
      </c>
      <c r="M268" s="107" t="str">
        <f>IF(L268="","",L268-TODAY())</f>
        <v/>
      </c>
      <c r="N268" s="108" t="str">
        <f>IF(B268="","",IF(G268="DECISÃO D.P","EM DECISÃO",IF(G268="","SEM STATUS",IF(M268="","SEM DATA",IF(M268&lt;0,"VENCIDO",IF(M268&lt;=DiasAlerta,"VENCE EM BREVE","NO PRAZO"))))))</f>
        <v/>
      </c>
      <c r="O268" s="109" t="str">
        <f>IF(D268="","",TODAY()-D268)</f>
        <v/>
      </c>
      <c r="P268" s="102" t="n"/>
    </row>
    <row r="269" ht="18" customHeight="1">
      <c r="A269" s="101" t="n"/>
      <c r="B269" s="102" t="n"/>
      <c r="C269" s="102" t="n"/>
      <c r="D269" s="103" t="n"/>
      <c r="E269" s="102" t="n"/>
      <c r="F269" s="104" t="n"/>
      <c r="G269" s="104" t="n"/>
      <c r="H269" s="102" t="n"/>
      <c r="I269" s="105" t="n"/>
      <c r="J269" s="105" t="n"/>
      <c r="K269" s="103" t="n"/>
      <c r="L269" s="106" t="str">
        <f>IF(OR(D269="",E269=""),"",D269+IF(E269="NOTIFICAÇÃO DE CONSTATAÇÃO",PrazoConst,PrazoEsc))</f>
        <v/>
      </c>
      <c r="M269" s="107" t="str">
        <f>IF(L269="","",L269-TODAY())</f>
        <v/>
      </c>
      <c r="N269" s="108" t="str">
        <f>IF(B269="","",IF(G269="DECISÃO D.P","EM DECISÃO",IF(G269="","SEM STATUS",IF(M269="","SEM DATA",IF(M269&lt;0,"VENCIDO",IF(M269&lt;=DiasAlerta,"VENCE EM BREVE","NO PRAZO"))))))</f>
        <v/>
      </c>
      <c r="O269" s="109" t="str">
        <f>IF(D269="","",TODAY()-D269)</f>
        <v/>
      </c>
      <c r="P269" s="102" t="n"/>
    </row>
    <row r="270" ht="18" customHeight="1">
      <c r="A270" s="101" t="n"/>
      <c r="B270" s="102" t="n"/>
      <c r="C270" s="102" t="n"/>
      <c r="D270" s="103" t="n"/>
      <c r="E270" s="102" t="n"/>
      <c r="F270" s="104" t="n"/>
      <c r="G270" s="104" t="n"/>
      <c r="H270" s="102" t="n"/>
      <c r="I270" s="105" t="n"/>
      <c r="J270" s="105" t="n"/>
      <c r="K270" s="103" t="n"/>
      <c r="L270" s="106" t="str">
        <f>IF(OR(D270="",E270=""),"",D270+IF(E270="NOTIFICAÇÃO DE CONSTATAÇÃO",PrazoConst,PrazoEsc))</f>
        <v/>
      </c>
      <c r="M270" s="107" t="str">
        <f>IF(L270="","",L270-TODAY())</f>
        <v/>
      </c>
      <c r="N270" s="108" t="str">
        <f>IF(B270="","",IF(G270="DECISÃO D.P","EM DECISÃO",IF(G270="","SEM STATUS",IF(M270="","SEM DATA",IF(M270&lt;0,"VENCIDO",IF(M270&lt;=DiasAlerta,"VENCE EM BREVE","NO PRAZO"))))))</f>
        <v/>
      </c>
      <c r="O270" s="109" t="str">
        <f>IF(D270="","",TODAY()-D270)</f>
        <v/>
      </c>
      <c r="P270" s="102" t="n"/>
    </row>
    <row r="271" ht="18" customHeight="1">
      <c r="A271" s="101" t="n"/>
      <c r="B271" s="102" t="n"/>
      <c r="C271" s="102" t="n"/>
      <c r="D271" s="103" t="n"/>
      <c r="E271" s="102" t="n"/>
      <c r="F271" s="104" t="n"/>
      <c r="G271" s="104" t="n"/>
      <c r="H271" s="102" t="n"/>
      <c r="I271" s="105" t="n"/>
      <c r="J271" s="105" t="n"/>
      <c r="K271" s="103" t="n"/>
      <c r="L271" s="106" t="str">
        <f>IF(OR(D271="",E271=""),"",D271+IF(E271="NOTIFICAÇÃO DE CONSTATAÇÃO",PrazoConst,PrazoEsc))</f>
        <v/>
      </c>
      <c r="M271" s="107" t="str">
        <f>IF(L271="","",L271-TODAY())</f>
        <v/>
      </c>
      <c r="N271" s="108" t="str">
        <f>IF(B271="","",IF(G271="DECISÃO D.P","EM DECISÃO",IF(G271="","SEM STATUS",IF(M271="","SEM DATA",IF(M271&lt;0,"VENCIDO",IF(M271&lt;=DiasAlerta,"VENCE EM BREVE","NO PRAZO"))))))</f>
        <v/>
      </c>
      <c r="O271" s="109" t="str">
        <f>IF(D271="","",TODAY()-D271)</f>
        <v/>
      </c>
      <c r="P271" s="102" t="n"/>
    </row>
    <row r="272" ht="18" customHeight="1">
      <c r="A272" s="101" t="n"/>
      <c r="B272" s="102" t="n"/>
      <c r="C272" s="102" t="n"/>
      <c r="D272" s="103" t="n"/>
      <c r="E272" s="102" t="n"/>
      <c r="F272" s="104" t="n"/>
      <c r="G272" s="104" t="n"/>
      <c r="H272" s="102" t="n"/>
      <c r="I272" s="105" t="n"/>
      <c r="J272" s="105" t="n"/>
      <c r="K272" s="103" t="n"/>
      <c r="L272" s="106" t="str">
        <f>IF(OR(D272="",E272=""),"",D272+IF(E272="NOTIFICAÇÃO DE CONSTATAÇÃO",PrazoConst,PrazoEsc))</f>
        <v/>
      </c>
      <c r="M272" s="107" t="str">
        <f>IF(L272="","",L272-TODAY())</f>
        <v/>
      </c>
      <c r="N272" s="108" t="str">
        <f>IF(B272="","",IF(G272="DECISÃO D.P","EM DECISÃO",IF(G272="","SEM STATUS",IF(M272="","SEM DATA",IF(M272&lt;0,"VENCIDO",IF(M272&lt;=DiasAlerta,"VENCE EM BREVE","NO PRAZO"))))))</f>
        <v/>
      </c>
      <c r="O272" s="109" t="str">
        <f>IF(D272="","",TODAY()-D272)</f>
        <v/>
      </c>
      <c r="P272" s="102" t="n"/>
    </row>
    <row r="273" ht="18" customHeight="1">
      <c r="A273" s="101" t="n"/>
      <c r="B273" s="102" t="n"/>
      <c r="C273" s="102" t="n"/>
      <c r="D273" s="103" t="n"/>
      <c r="E273" s="102" t="n"/>
      <c r="F273" s="104" t="n"/>
      <c r="G273" s="104" t="n"/>
      <c r="H273" s="102" t="n"/>
      <c r="I273" s="105" t="n"/>
      <c r="J273" s="105" t="n"/>
      <c r="K273" s="103" t="n"/>
      <c r="L273" s="106" t="str">
        <f>IF(OR(D273="",E273=""),"",D273+IF(E273="NOTIFICAÇÃO DE CONSTATAÇÃO",PrazoConst,PrazoEsc))</f>
        <v/>
      </c>
      <c r="M273" s="107" t="str">
        <f>IF(L273="","",L273-TODAY())</f>
        <v/>
      </c>
      <c r="N273" s="108" t="str">
        <f>IF(B273="","",IF(G273="DECISÃO D.P","EM DECISÃO",IF(G273="","SEM STATUS",IF(M273="","SEM DATA",IF(M273&lt;0,"VENCIDO",IF(M273&lt;=DiasAlerta,"VENCE EM BREVE","NO PRAZO"))))))</f>
        <v/>
      </c>
      <c r="O273" s="109" t="str">
        <f>IF(D273="","",TODAY()-D273)</f>
        <v/>
      </c>
      <c r="P273" s="102" t="n"/>
    </row>
    <row r="274" ht="18" customHeight="1">
      <c r="A274" s="101" t="n"/>
      <c r="B274" s="102" t="n"/>
      <c r="C274" s="102" t="n"/>
      <c r="D274" s="103" t="n"/>
      <c r="E274" s="102" t="n"/>
      <c r="F274" s="104" t="n"/>
      <c r="G274" s="104" t="n"/>
      <c r="H274" s="102" t="n"/>
      <c r="I274" s="105" t="n"/>
      <c r="J274" s="105" t="n"/>
      <c r="K274" s="103" t="n"/>
      <c r="L274" s="106" t="str">
        <f>IF(OR(D274="",E274=""),"",D274+IF(E274="NOTIFICAÇÃO DE CONSTATAÇÃO",PrazoConst,PrazoEsc))</f>
        <v/>
      </c>
      <c r="M274" s="107" t="str">
        <f>IF(L274="","",L274-TODAY())</f>
        <v/>
      </c>
      <c r="N274" s="108" t="str">
        <f>IF(B274="","",IF(G274="DECISÃO D.P","EM DECISÃO",IF(G274="","SEM STATUS",IF(M274="","SEM DATA",IF(M274&lt;0,"VENCIDO",IF(M274&lt;=DiasAlerta,"VENCE EM BREVE","NO PRAZO"))))))</f>
        <v/>
      </c>
      <c r="O274" s="109" t="str">
        <f>IF(D274="","",TODAY()-D274)</f>
        <v/>
      </c>
      <c r="P274" s="102" t="n"/>
    </row>
    <row r="275" ht="18" customHeight="1">
      <c r="A275" s="101" t="n"/>
      <c r="B275" s="102" t="n"/>
      <c r="C275" s="102" t="n"/>
      <c r="D275" s="103" t="n"/>
      <c r="E275" s="102" t="n"/>
      <c r="F275" s="104" t="n"/>
      <c r="G275" s="104" t="n"/>
      <c r="H275" s="102" t="n"/>
      <c r="I275" s="105" t="n"/>
      <c r="J275" s="105" t="n"/>
      <c r="K275" s="103" t="n"/>
      <c r="L275" s="106" t="str">
        <f>IF(OR(D275="",E275=""),"",D275+IF(E275="NOTIFICAÇÃO DE CONSTATAÇÃO",PrazoConst,PrazoEsc))</f>
        <v/>
      </c>
      <c r="M275" s="107" t="str">
        <f>IF(L275="","",L275-TODAY())</f>
        <v/>
      </c>
      <c r="N275" s="108" t="str">
        <f>IF(B275="","",IF(G275="DECISÃO D.P","EM DECISÃO",IF(G275="","SEM STATUS",IF(M275="","SEM DATA",IF(M275&lt;0,"VENCIDO",IF(M275&lt;=DiasAlerta,"VENCE EM BREVE","NO PRAZO"))))))</f>
        <v/>
      </c>
      <c r="O275" s="109" t="str">
        <f>IF(D275="","",TODAY()-D275)</f>
        <v/>
      </c>
      <c r="P275" s="102" t="n"/>
    </row>
    <row r="276" ht="18" customHeight="1">
      <c r="A276" s="101" t="n"/>
      <c r="B276" s="102" t="n"/>
      <c r="C276" s="102" t="n"/>
      <c r="D276" s="103" t="n"/>
      <c r="E276" s="102" t="n"/>
      <c r="F276" s="104" t="n"/>
      <c r="G276" s="104" t="n"/>
      <c r="H276" s="102" t="n"/>
      <c r="I276" s="105" t="n"/>
      <c r="J276" s="105" t="n"/>
      <c r="K276" s="103" t="n"/>
      <c r="L276" s="106" t="str">
        <f>IF(OR(D276="",E276=""),"",D276+IF(E276="NOTIFICAÇÃO DE CONSTATAÇÃO",PrazoConst,PrazoEsc))</f>
        <v/>
      </c>
      <c r="M276" s="107" t="str">
        <f>IF(L276="","",L276-TODAY())</f>
        <v/>
      </c>
      <c r="N276" s="108" t="str">
        <f>IF(B276="","",IF(G276="DECISÃO D.P","EM DECISÃO",IF(G276="","SEM STATUS",IF(M276="","SEM DATA",IF(M276&lt;0,"VENCIDO",IF(M276&lt;=DiasAlerta,"VENCE EM BREVE","NO PRAZO"))))))</f>
        <v/>
      </c>
      <c r="O276" s="109" t="str">
        <f>IF(D276="","",TODAY()-D276)</f>
        <v/>
      </c>
      <c r="P276" s="102" t="n"/>
    </row>
    <row r="277" ht="18" customHeight="1">
      <c r="A277" s="101" t="n"/>
      <c r="B277" s="102" t="n"/>
      <c r="C277" s="102" t="n"/>
      <c r="D277" s="103" t="n"/>
      <c r="E277" s="102" t="n"/>
      <c r="F277" s="104" t="n"/>
      <c r="G277" s="104" t="n"/>
      <c r="H277" s="102" t="n"/>
      <c r="I277" s="105" t="n"/>
      <c r="J277" s="105" t="n"/>
      <c r="K277" s="103" t="n"/>
      <c r="L277" s="106" t="str">
        <f>IF(OR(D277="",E277=""),"",D277+IF(E277="NOTIFICAÇÃO DE CONSTATAÇÃO",PrazoConst,PrazoEsc))</f>
        <v/>
      </c>
      <c r="M277" s="107" t="str">
        <f>IF(L277="","",L277-TODAY())</f>
        <v/>
      </c>
      <c r="N277" s="108" t="str">
        <f>IF(B277="","",IF(G277="DECISÃO D.P","EM DECISÃO",IF(G277="","SEM STATUS",IF(M277="","SEM DATA",IF(M277&lt;0,"VENCIDO",IF(M277&lt;=DiasAlerta,"VENCE EM BREVE","NO PRAZO"))))))</f>
        <v/>
      </c>
      <c r="O277" s="109" t="str">
        <f>IF(D277="","",TODAY()-D277)</f>
        <v/>
      </c>
      <c r="P277" s="102" t="n"/>
    </row>
    <row r="278" ht="18" customHeight="1">
      <c r="A278" s="101" t="n"/>
      <c r="B278" s="102" t="n"/>
      <c r="C278" s="102" t="n"/>
      <c r="D278" s="103" t="n"/>
      <c r="E278" s="102" t="n"/>
      <c r="F278" s="104" t="n"/>
      <c r="G278" s="104" t="n"/>
      <c r="H278" s="102" t="n"/>
      <c r="I278" s="105" t="n"/>
      <c r="J278" s="105" t="n"/>
      <c r="K278" s="103" t="n"/>
      <c r="L278" s="106" t="str">
        <f>IF(OR(D278="",E278=""),"",D278+IF(E278="NOTIFICAÇÃO DE CONSTATAÇÃO",PrazoConst,PrazoEsc))</f>
        <v/>
      </c>
      <c r="M278" s="107" t="str">
        <f>IF(L278="","",L278-TODAY())</f>
        <v/>
      </c>
      <c r="N278" s="108" t="str">
        <f>IF(B278="","",IF(G278="DECISÃO D.P","EM DECISÃO",IF(G278="","SEM STATUS",IF(M278="","SEM DATA",IF(M278&lt;0,"VENCIDO",IF(M278&lt;=DiasAlerta,"VENCE EM BREVE","NO PRAZO"))))))</f>
        <v/>
      </c>
      <c r="O278" s="109" t="str">
        <f>IF(D278="","",TODAY()-D278)</f>
        <v/>
      </c>
      <c r="P278" s="102" t="n"/>
    </row>
    <row r="279" ht="18" customHeight="1">
      <c r="A279" s="101" t="n"/>
      <c r="B279" s="102" t="n"/>
      <c r="C279" s="102" t="n"/>
      <c r="D279" s="103" t="n"/>
      <c r="E279" s="102" t="n"/>
      <c r="F279" s="104" t="n"/>
      <c r="G279" s="104" t="n"/>
      <c r="H279" s="102" t="n"/>
      <c r="I279" s="105" t="n"/>
      <c r="J279" s="105" t="n"/>
      <c r="K279" s="103" t="n"/>
      <c r="L279" s="106" t="str">
        <f>IF(OR(D279="",E279=""),"",D279+IF(E279="NOTIFICAÇÃO DE CONSTATAÇÃO",PrazoConst,PrazoEsc))</f>
        <v/>
      </c>
      <c r="M279" s="107" t="str">
        <f>IF(L279="","",L279-TODAY())</f>
        <v/>
      </c>
      <c r="N279" s="108" t="str">
        <f>IF(B279="","",IF(G279="DECISÃO D.P","EM DECISÃO",IF(G279="","SEM STATUS",IF(M279="","SEM DATA",IF(M279&lt;0,"VENCIDO",IF(M279&lt;=DiasAlerta,"VENCE EM BREVE","NO PRAZO"))))))</f>
        <v/>
      </c>
      <c r="O279" s="109" t="str">
        <f>IF(D279="","",TODAY()-D279)</f>
        <v/>
      </c>
      <c r="P279" s="102" t="n"/>
    </row>
    <row r="280" ht="18" customHeight="1">
      <c r="A280" s="101" t="n"/>
      <c r="B280" s="102" t="n"/>
      <c r="C280" s="102" t="n"/>
      <c r="D280" s="103" t="n"/>
      <c r="E280" s="102" t="n"/>
      <c r="F280" s="104" t="n"/>
      <c r="G280" s="104" t="n"/>
      <c r="H280" s="102" t="n"/>
      <c r="I280" s="105" t="n"/>
      <c r="J280" s="105" t="n"/>
      <c r="K280" s="103" t="n"/>
      <c r="L280" s="106" t="str">
        <f>IF(OR(D280="",E280=""),"",D280+IF(E280="NOTIFICAÇÃO DE CONSTATAÇÃO",PrazoConst,PrazoEsc))</f>
        <v/>
      </c>
      <c r="M280" s="107" t="str">
        <f>IF(L280="","",L280-TODAY())</f>
        <v/>
      </c>
      <c r="N280" s="108" t="str">
        <f>IF(B280="","",IF(G280="DECISÃO D.P","EM DECISÃO",IF(G280="","SEM STATUS",IF(M280="","SEM DATA",IF(M280&lt;0,"VENCIDO",IF(M280&lt;=DiasAlerta,"VENCE EM BREVE","NO PRAZO"))))))</f>
        <v/>
      </c>
      <c r="O280" s="109" t="str">
        <f>IF(D280="","",TODAY()-D280)</f>
        <v/>
      </c>
      <c r="P280" s="102" t="n"/>
    </row>
    <row r="281" ht="18" customHeight="1">
      <c r="A281" s="101" t="n"/>
      <c r="B281" s="102" t="n"/>
      <c r="C281" s="102" t="n"/>
      <c r="D281" s="103" t="n"/>
      <c r="E281" s="102" t="n"/>
      <c r="F281" s="104" t="n"/>
      <c r="G281" s="104" t="n"/>
      <c r="H281" s="102" t="n"/>
      <c r="I281" s="105" t="n"/>
      <c r="J281" s="105" t="n"/>
      <c r="K281" s="103" t="n"/>
      <c r="L281" s="106" t="str">
        <f>IF(OR(D281="",E281=""),"",D281+IF(E281="NOTIFICAÇÃO DE CONSTATAÇÃO",PrazoConst,PrazoEsc))</f>
        <v/>
      </c>
      <c r="M281" s="107" t="str">
        <f>IF(L281="","",L281-TODAY())</f>
        <v/>
      </c>
      <c r="N281" s="108" t="str">
        <f>IF(B281="","",IF(G281="DECISÃO D.P","EM DECISÃO",IF(G281="","SEM STATUS",IF(M281="","SEM DATA",IF(M281&lt;0,"VENCIDO",IF(M281&lt;=DiasAlerta,"VENCE EM BREVE","NO PRAZO"))))))</f>
        <v/>
      </c>
      <c r="O281" s="109" t="str">
        <f>IF(D281="","",TODAY()-D281)</f>
        <v/>
      </c>
      <c r="P281" s="102" t="n"/>
    </row>
    <row r="282" ht="18" customHeight="1">
      <c r="A282" s="101" t="n"/>
      <c r="B282" s="102" t="n"/>
      <c r="C282" s="102" t="n"/>
      <c r="D282" s="103" t="n"/>
      <c r="E282" s="102" t="n"/>
      <c r="F282" s="104" t="n"/>
      <c r="G282" s="104" t="n"/>
      <c r="H282" s="102" t="n"/>
      <c r="I282" s="105" t="n"/>
      <c r="J282" s="105" t="n"/>
      <c r="K282" s="103" t="n"/>
      <c r="L282" s="106" t="str">
        <f>IF(OR(D282="",E282=""),"",D282+IF(E282="NOTIFICAÇÃO DE CONSTATAÇÃO",PrazoConst,PrazoEsc))</f>
        <v/>
      </c>
      <c r="M282" s="107" t="str">
        <f>IF(L282="","",L282-TODAY())</f>
        <v/>
      </c>
      <c r="N282" s="108" t="str">
        <f>IF(B282="","",IF(G282="DECISÃO D.P","EM DECISÃO",IF(G282="","SEM STATUS",IF(M282="","SEM DATA",IF(M282&lt;0,"VENCIDO",IF(M282&lt;=DiasAlerta,"VENCE EM BREVE","NO PRAZO"))))))</f>
        <v/>
      </c>
      <c r="O282" s="109" t="str">
        <f>IF(D282="","",TODAY()-D282)</f>
        <v/>
      </c>
      <c r="P282" s="102" t="n"/>
    </row>
    <row r="283" ht="18" customHeight="1">
      <c r="A283" s="101" t="n"/>
      <c r="B283" s="102" t="n"/>
      <c r="C283" s="102" t="n"/>
      <c r="D283" s="103" t="n"/>
      <c r="E283" s="102" t="n"/>
      <c r="F283" s="104" t="n"/>
      <c r="G283" s="104" t="n"/>
      <c r="H283" s="102" t="n"/>
      <c r="I283" s="105" t="n"/>
      <c r="J283" s="105" t="n"/>
      <c r="K283" s="103" t="n"/>
      <c r="L283" s="106" t="str">
        <f>IF(OR(D283="",E283=""),"",D283+IF(E283="NOTIFICAÇÃO DE CONSTATAÇÃO",PrazoConst,PrazoEsc))</f>
        <v/>
      </c>
      <c r="M283" s="107" t="str">
        <f>IF(L283="","",L283-TODAY())</f>
        <v/>
      </c>
      <c r="N283" s="108" t="str">
        <f>IF(B283="","",IF(G283="DECISÃO D.P","EM DECISÃO",IF(G283="","SEM STATUS",IF(M283="","SEM DATA",IF(M283&lt;0,"VENCIDO",IF(M283&lt;=DiasAlerta,"VENCE EM BREVE","NO PRAZO"))))))</f>
        <v/>
      </c>
      <c r="O283" s="109" t="str">
        <f>IF(D283="","",TODAY()-D283)</f>
        <v/>
      </c>
      <c r="P283" s="102" t="n"/>
    </row>
    <row r="284" ht="18" customHeight="1">
      <c r="A284" s="101" t="n"/>
      <c r="B284" s="102" t="n"/>
      <c r="C284" s="102" t="n"/>
      <c r="D284" s="103" t="n"/>
      <c r="E284" s="102" t="n"/>
      <c r="F284" s="104" t="n"/>
      <c r="G284" s="104" t="n"/>
      <c r="H284" s="102" t="n"/>
      <c r="I284" s="105" t="n"/>
      <c r="J284" s="105" t="n"/>
      <c r="K284" s="103" t="n"/>
      <c r="L284" s="106" t="str">
        <f>IF(OR(D284="",E284=""),"",D284+IF(E284="NOTIFICAÇÃO DE CONSTATAÇÃO",PrazoConst,PrazoEsc))</f>
        <v/>
      </c>
      <c r="M284" s="107" t="str">
        <f>IF(L284="","",L284-TODAY())</f>
        <v/>
      </c>
      <c r="N284" s="108" t="str">
        <f>IF(B284="","",IF(G284="DECISÃO D.P","EM DECISÃO",IF(G284="","SEM STATUS",IF(M284="","SEM DATA",IF(M284&lt;0,"VENCIDO",IF(M284&lt;=DiasAlerta,"VENCE EM BREVE","NO PRAZO"))))))</f>
        <v/>
      </c>
      <c r="O284" s="109" t="str">
        <f>IF(D284="","",TODAY()-D284)</f>
        <v/>
      </c>
      <c r="P284" s="102" t="n"/>
    </row>
    <row r="285" ht="18" customHeight="1">
      <c r="A285" s="101" t="n"/>
      <c r="B285" s="102" t="n"/>
      <c r="C285" s="102" t="n"/>
      <c r="D285" s="103" t="n"/>
      <c r="E285" s="102" t="n"/>
      <c r="F285" s="104" t="n"/>
      <c r="G285" s="104" t="n"/>
      <c r="H285" s="102" t="n"/>
      <c r="I285" s="105" t="n"/>
      <c r="J285" s="105" t="n"/>
      <c r="K285" s="103" t="n"/>
      <c r="L285" s="106" t="str">
        <f>IF(OR(D285="",E285=""),"",D285+IF(E285="NOTIFICAÇÃO DE CONSTATAÇÃO",PrazoConst,PrazoEsc))</f>
        <v/>
      </c>
      <c r="M285" s="107" t="str">
        <f>IF(L285="","",L285-TODAY())</f>
        <v/>
      </c>
      <c r="N285" s="108" t="str">
        <f>IF(B285="","",IF(G285="DECISÃO D.P","EM DECISÃO",IF(G285="","SEM STATUS",IF(M285="","SEM DATA",IF(M285&lt;0,"VENCIDO",IF(M285&lt;=DiasAlerta,"VENCE EM BREVE","NO PRAZO"))))))</f>
        <v/>
      </c>
      <c r="O285" s="109" t="str">
        <f>IF(D285="","",TODAY()-D285)</f>
        <v/>
      </c>
      <c r="P285" s="102" t="n"/>
    </row>
    <row r="286" ht="18" customHeight="1">
      <c r="A286" s="101" t="n"/>
      <c r="B286" s="102" t="n"/>
      <c r="C286" s="102" t="n"/>
      <c r="D286" s="103" t="n"/>
      <c r="E286" s="102" t="n"/>
      <c r="F286" s="104" t="n"/>
      <c r="G286" s="104" t="n"/>
      <c r="H286" s="102" t="n"/>
      <c r="I286" s="105" t="n"/>
      <c r="J286" s="105" t="n"/>
      <c r="K286" s="103" t="n"/>
      <c r="L286" s="106" t="str">
        <f>IF(OR(D286="",E286=""),"",D286+IF(E286="NOTIFICAÇÃO DE CONSTATAÇÃO",PrazoConst,PrazoEsc))</f>
        <v/>
      </c>
      <c r="M286" s="107" t="str">
        <f>IF(L286="","",L286-TODAY())</f>
        <v/>
      </c>
      <c r="N286" s="108" t="str">
        <f>IF(B286="","",IF(G286="DECISÃO D.P","EM DECISÃO",IF(G286="","SEM STATUS",IF(M286="","SEM DATA",IF(M286&lt;0,"VENCIDO",IF(M286&lt;=DiasAlerta,"VENCE EM BREVE","NO PRAZO"))))))</f>
        <v/>
      </c>
      <c r="O286" s="109" t="str">
        <f>IF(D286="","",TODAY()-D286)</f>
        <v/>
      </c>
      <c r="P286" s="102" t="n"/>
    </row>
    <row r="287" ht="18" customHeight="1">
      <c r="A287" s="101" t="n"/>
      <c r="B287" s="102" t="n"/>
      <c r="C287" s="102" t="n"/>
      <c r="D287" s="103" t="n"/>
      <c r="E287" s="102" t="n"/>
      <c r="F287" s="104" t="n"/>
      <c r="G287" s="104" t="n"/>
      <c r="H287" s="102" t="n"/>
      <c r="I287" s="105" t="n"/>
      <c r="J287" s="105" t="n"/>
      <c r="K287" s="103" t="n"/>
      <c r="L287" s="106" t="str">
        <f>IF(OR(D287="",E287=""),"",D287+IF(E287="NOTIFICAÇÃO DE CONSTATAÇÃO",PrazoConst,PrazoEsc))</f>
        <v/>
      </c>
      <c r="M287" s="107" t="str">
        <f>IF(L287="","",L287-TODAY())</f>
        <v/>
      </c>
      <c r="N287" s="108" t="str">
        <f>IF(B287="","",IF(G287="DECISÃO D.P","EM DECISÃO",IF(G287="","SEM STATUS",IF(M287="","SEM DATA",IF(M287&lt;0,"VENCIDO",IF(M287&lt;=DiasAlerta,"VENCE EM BREVE","NO PRAZO"))))))</f>
        <v/>
      </c>
      <c r="O287" s="109" t="str">
        <f>IF(D287="","",TODAY()-D287)</f>
        <v/>
      </c>
      <c r="P287" s="102" t="n"/>
    </row>
    <row r="288" ht="18" customHeight="1">
      <c r="A288" s="101" t="n"/>
      <c r="B288" s="102" t="n"/>
      <c r="C288" s="102" t="n"/>
      <c r="D288" s="103" t="n"/>
      <c r="E288" s="102" t="n"/>
      <c r="F288" s="104" t="n"/>
      <c r="G288" s="104" t="n"/>
      <c r="H288" s="102" t="n"/>
      <c r="I288" s="105" t="n"/>
      <c r="J288" s="105" t="n"/>
      <c r="K288" s="103" t="n"/>
      <c r="L288" s="106" t="str">
        <f>IF(OR(D288="",E288=""),"",D288+IF(E288="NOTIFICAÇÃO DE CONSTATAÇÃO",PrazoConst,PrazoEsc))</f>
        <v/>
      </c>
      <c r="M288" s="107" t="str">
        <f>IF(L288="","",L288-TODAY())</f>
        <v/>
      </c>
      <c r="N288" s="108" t="str">
        <f>IF(B288="","",IF(G288="DECISÃO D.P","EM DECISÃO",IF(G288="","SEM STATUS",IF(M288="","SEM DATA",IF(M288&lt;0,"VENCIDO",IF(M288&lt;=DiasAlerta,"VENCE EM BREVE","NO PRAZO"))))))</f>
        <v/>
      </c>
      <c r="O288" s="109" t="str">
        <f>IF(D288="","",TODAY()-D288)</f>
        <v/>
      </c>
      <c r="P288" s="102" t="n"/>
    </row>
    <row r="289" ht="18" customHeight="1">
      <c r="A289" s="101" t="n"/>
      <c r="B289" s="102" t="n"/>
      <c r="C289" s="102" t="n"/>
      <c r="D289" s="103" t="n"/>
      <c r="E289" s="102" t="n"/>
      <c r="F289" s="104" t="n"/>
      <c r="G289" s="104" t="n"/>
      <c r="H289" s="102" t="n"/>
      <c r="I289" s="105" t="n"/>
      <c r="J289" s="105" t="n"/>
      <c r="K289" s="103" t="n"/>
      <c r="L289" s="106" t="str">
        <f>IF(OR(D289="",E289=""),"",D289+IF(E289="NOTIFICAÇÃO DE CONSTATAÇÃO",PrazoConst,PrazoEsc))</f>
        <v/>
      </c>
      <c r="M289" s="107" t="str">
        <f>IF(L289="","",L289-TODAY())</f>
        <v/>
      </c>
      <c r="N289" s="108" t="str">
        <f>IF(B289="","",IF(G289="DECISÃO D.P","EM DECISÃO",IF(G289="","SEM STATUS",IF(M289="","SEM DATA",IF(M289&lt;0,"VENCIDO",IF(M289&lt;=DiasAlerta,"VENCE EM BREVE","NO PRAZO"))))))</f>
        <v/>
      </c>
      <c r="O289" s="109" t="str">
        <f>IF(D289="","",TODAY()-D289)</f>
        <v/>
      </c>
      <c r="P289" s="102" t="n"/>
    </row>
    <row r="290" ht="18" customHeight="1">
      <c r="A290" s="101" t="n"/>
      <c r="B290" s="102" t="n"/>
      <c r="C290" s="102" t="n"/>
      <c r="D290" s="103" t="n"/>
      <c r="E290" s="102" t="n"/>
      <c r="F290" s="104" t="n"/>
      <c r="G290" s="104" t="n"/>
      <c r="H290" s="102" t="n"/>
      <c r="I290" s="105" t="n"/>
      <c r="J290" s="105" t="n"/>
      <c r="K290" s="103" t="n"/>
      <c r="L290" s="106" t="str">
        <f>IF(OR(D290="",E290=""),"",D290+IF(E290="NOTIFICAÇÃO DE CONSTATAÇÃO",PrazoConst,PrazoEsc))</f>
        <v/>
      </c>
      <c r="M290" s="107" t="str">
        <f>IF(L290="","",L290-TODAY())</f>
        <v/>
      </c>
      <c r="N290" s="108" t="str">
        <f>IF(B290="","",IF(G290="DECISÃO D.P","EM DECISÃO",IF(G290="","SEM STATUS",IF(M290="","SEM DATA",IF(M290&lt;0,"VENCIDO",IF(M290&lt;=DiasAlerta,"VENCE EM BREVE","NO PRAZO"))))))</f>
        <v/>
      </c>
      <c r="O290" s="109" t="str">
        <f>IF(D290="","",TODAY()-D290)</f>
        <v/>
      </c>
      <c r="P290" s="102" t="n"/>
    </row>
    <row r="291" ht="18" customHeight="1">
      <c r="A291" s="101" t="n"/>
      <c r="B291" s="102" t="n"/>
      <c r="C291" s="102" t="n"/>
      <c r="D291" s="103" t="n"/>
      <c r="E291" s="102" t="n"/>
      <c r="F291" s="104" t="n"/>
      <c r="G291" s="104" t="n"/>
      <c r="H291" s="102" t="n"/>
      <c r="I291" s="105" t="n"/>
      <c r="J291" s="105" t="n"/>
      <c r="K291" s="103" t="n"/>
      <c r="L291" s="106" t="str">
        <f>IF(OR(D291="",E291=""),"",D291+IF(E291="NOTIFICAÇÃO DE CONSTATAÇÃO",PrazoConst,PrazoEsc))</f>
        <v/>
      </c>
      <c r="M291" s="107" t="str">
        <f>IF(L291="","",L291-TODAY())</f>
        <v/>
      </c>
      <c r="N291" s="108" t="str">
        <f>IF(B291="","",IF(G291="DECISÃO D.P","EM DECISÃO",IF(G291="","SEM STATUS",IF(M291="","SEM DATA",IF(M291&lt;0,"VENCIDO",IF(M291&lt;=DiasAlerta,"VENCE EM BREVE","NO PRAZO"))))))</f>
        <v/>
      </c>
      <c r="O291" s="109" t="str">
        <f>IF(D291="","",TODAY()-D291)</f>
        <v/>
      </c>
      <c r="P291" s="102" t="n"/>
    </row>
    <row r="292" ht="18" customHeight="1">
      <c r="A292" s="101" t="n"/>
      <c r="B292" s="102" t="n"/>
      <c r="C292" s="102" t="n"/>
      <c r="D292" s="103" t="n"/>
      <c r="E292" s="102" t="n"/>
      <c r="F292" s="104" t="n"/>
      <c r="G292" s="104" t="n"/>
      <c r="H292" s="102" t="n"/>
      <c r="I292" s="105" t="n"/>
      <c r="J292" s="105" t="n"/>
      <c r="K292" s="103" t="n"/>
      <c r="L292" s="106" t="str">
        <f>IF(OR(D292="",E292=""),"",D292+IF(E292="NOTIFICAÇÃO DE CONSTATAÇÃO",PrazoConst,PrazoEsc))</f>
        <v/>
      </c>
      <c r="M292" s="107" t="str">
        <f>IF(L292="","",L292-TODAY())</f>
        <v/>
      </c>
      <c r="N292" s="108" t="str">
        <f>IF(B292="","",IF(G292="DECISÃO D.P","EM DECISÃO",IF(G292="","SEM STATUS",IF(M292="","SEM DATA",IF(M292&lt;0,"VENCIDO",IF(M292&lt;=DiasAlerta,"VENCE EM BREVE","NO PRAZO"))))))</f>
        <v/>
      </c>
      <c r="O292" s="109" t="str">
        <f>IF(D292="","",TODAY()-D292)</f>
        <v/>
      </c>
      <c r="P292" s="102" t="n"/>
    </row>
    <row r="293" ht="18" customHeight="1">
      <c r="A293" s="101" t="n"/>
      <c r="B293" s="102" t="n"/>
      <c r="C293" s="102" t="n"/>
      <c r="D293" s="103" t="n"/>
      <c r="E293" s="102" t="n"/>
      <c r="F293" s="104" t="n"/>
      <c r="G293" s="104" t="n"/>
      <c r="H293" s="102" t="n"/>
      <c r="I293" s="105" t="n"/>
      <c r="J293" s="105" t="n"/>
      <c r="K293" s="103" t="n"/>
      <c r="L293" s="106" t="str">
        <f>IF(OR(D293="",E293=""),"",D293+IF(E293="NOTIFICAÇÃO DE CONSTATAÇÃO",PrazoConst,PrazoEsc))</f>
        <v/>
      </c>
      <c r="M293" s="107" t="str">
        <f>IF(L293="","",L293-TODAY())</f>
        <v/>
      </c>
      <c r="N293" s="108" t="str">
        <f>IF(B293="","",IF(G293="DECISÃO D.P","EM DECISÃO",IF(G293="","SEM STATUS",IF(M293="","SEM DATA",IF(M293&lt;0,"VENCIDO",IF(M293&lt;=DiasAlerta,"VENCE EM BREVE","NO PRAZO"))))))</f>
        <v/>
      </c>
      <c r="O293" s="109" t="str">
        <f>IF(D293="","",TODAY()-D293)</f>
        <v/>
      </c>
      <c r="P293" s="102" t="n"/>
    </row>
    <row r="294" ht="18" customHeight="1">
      <c r="A294" s="101" t="n"/>
      <c r="B294" s="102" t="n"/>
      <c r="C294" s="102" t="n"/>
      <c r="D294" s="103" t="n"/>
      <c r="E294" s="102" t="n"/>
      <c r="F294" s="104" t="n"/>
      <c r="G294" s="104" t="n"/>
      <c r="H294" s="102" t="n"/>
      <c r="I294" s="105" t="n"/>
      <c r="J294" s="105" t="n"/>
      <c r="K294" s="103" t="n"/>
      <c r="L294" s="106" t="str">
        <f>IF(OR(D294="",E294=""),"",D294+IF(E294="NOTIFICAÇÃO DE CONSTATAÇÃO",PrazoConst,PrazoEsc))</f>
        <v/>
      </c>
      <c r="M294" s="107" t="str">
        <f>IF(L294="","",L294-TODAY())</f>
        <v/>
      </c>
      <c r="N294" s="108" t="str">
        <f>IF(B294="","",IF(G294="DECISÃO D.P","EM DECISÃO",IF(G294="","SEM STATUS",IF(M294="","SEM DATA",IF(M294&lt;0,"VENCIDO",IF(M294&lt;=DiasAlerta,"VENCE EM BREVE","NO PRAZO"))))))</f>
        <v/>
      </c>
      <c r="O294" s="109" t="str">
        <f>IF(D294="","",TODAY()-D294)</f>
        <v/>
      </c>
      <c r="P294" s="102" t="n"/>
    </row>
    <row r="295" ht="18" customHeight="1">
      <c r="A295" s="101" t="n"/>
      <c r="B295" s="102" t="n"/>
      <c r="C295" s="102" t="n"/>
      <c r="D295" s="103" t="n"/>
      <c r="E295" s="102" t="n"/>
      <c r="F295" s="104" t="n"/>
      <c r="G295" s="104" t="n"/>
      <c r="H295" s="102" t="n"/>
      <c r="I295" s="105" t="n"/>
      <c r="J295" s="105" t="n"/>
      <c r="K295" s="103" t="n"/>
      <c r="L295" s="106" t="str">
        <f>IF(OR(D295="",E295=""),"",D295+IF(E295="NOTIFICAÇÃO DE CONSTATAÇÃO",PrazoConst,PrazoEsc))</f>
        <v/>
      </c>
      <c r="M295" s="107" t="str">
        <f>IF(L295="","",L295-TODAY())</f>
        <v/>
      </c>
      <c r="N295" s="108" t="str">
        <f>IF(B295="","",IF(G295="DECISÃO D.P","EM DECISÃO",IF(G295="","SEM STATUS",IF(M295="","SEM DATA",IF(M295&lt;0,"VENCIDO",IF(M295&lt;=DiasAlerta,"VENCE EM BREVE","NO PRAZO"))))))</f>
        <v/>
      </c>
      <c r="O295" s="109" t="str">
        <f>IF(D295="","",TODAY()-D295)</f>
        <v/>
      </c>
      <c r="P295" s="102" t="n"/>
    </row>
    <row r="296" ht="18" customHeight="1">
      <c r="A296" s="101" t="n"/>
      <c r="B296" s="102" t="n"/>
      <c r="C296" s="102" t="n"/>
      <c r="D296" s="103" t="n"/>
      <c r="E296" s="102" t="n"/>
      <c r="F296" s="104" t="n"/>
      <c r="G296" s="104" t="n"/>
      <c r="H296" s="102" t="n"/>
      <c r="I296" s="105" t="n"/>
      <c r="J296" s="105" t="n"/>
      <c r="K296" s="103" t="n"/>
      <c r="L296" s="106" t="str">
        <f>IF(OR(D296="",E296=""),"",D296+IF(E296="NOTIFICAÇÃO DE CONSTATAÇÃO",PrazoConst,PrazoEsc))</f>
        <v/>
      </c>
      <c r="M296" s="107" t="str">
        <f>IF(L296="","",L296-TODAY())</f>
        <v/>
      </c>
      <c r="N296" s="108" t="str">
        <f>IF(B296="","",IF(G296="DECISÃO D.P","EM DECISÃO",IF(G296="","SEM STATUS",IF(M296="","SEM DATA",IF(M296&lt;0,"VENCIDO",IF(M296&lt;=DiasAlerta,"VENCE EM BREVE","NO PRAZO"))))))</f>
        <v/>
      </c>
      <c r="O296" s="109" t="str">
        <f>IF(D296="","",TODAY()-D296)</f>
        <v/>
      </c>
      <c r="P296" s="102" t="n"/>
    </row>
    <row r="297" ht="18" customHeight="1">
      <c r="A297" s="101" t="n"/>
      <c r="B297" s="102" t="n"/>
      <c r="C297" s="102" t="n"/>
      <c r="D297" s="103" t="n"/>
      <c r="E297" s="102" t="n"/>
      <c r="F297" s="104" t="n"/>
      <c r="G297" s="104" t="n"/>
      <c r="H297" s="102" t="n"/>
      <c r="I297" s="105" t="n"/>
      <c r="J297" s="105" t="n"/>
      <c r="K297" s="103" t="n"/>
      <c r="L297" s="106" t="str">
        <f>IF(OR(D297="",E297=""),"",D297+IF(E297="NOTIFICAÇÃO DE CONSTATAÇÃO",PrazoConst,PrazoEsc))</f>
        <v/>
      </c>
      <c r="M297" s="107" t="str">
        <f>IF(L297="","",L297-TODAY())</f>
        <v/>
      </c>
      <c r="N297" s="108" t="str">
        <f>IF(B297="","",IF(G297="DECISÃO D.P","EM DECISÃO",IF(G297="","SEM STATUS",IF(M297="","SEM DATA",IF(M297&lt;0,"VENCIDO",IF(M297&lt;=DiasAlerta,"VENCE EM BREVE","NO PRAZO"))))))</f>
        <v/>
      </c>
      <c r="O297" s="109" t="str">
        <f>IF(D297="","",TODAY()-D297)</f>
        <v/>
      </c>
      <c r="P297" s="102" t="n"/>
    </row>
    <row r="298" ht="18" customHeight="1">
      <c r="A298" s="101" t="n"/>
      <c r="B298" s="102" t="n"/>
      <c r="C298" s="102" t="n"/>
      <c r="D298" s="103" t="n"/>
      <c r="E298" s="102" t="n"/>
      <c r="F298" s="104" t="n"/>
      <c r="G298" s="104" t="n"/>
      <c r="H298" s="102" t="n"/>
      <c r="I298" s="105" t="n"/>
      <c r="J298" s="105" t="n"/>
      <c r="K298" s="103" t="n"/>
      <c r="L298" s="106" t="str">
        <f>IF(OR(D298="",E298=""),"",D298+IF(E298="NOTIFICAÇÃO DE CONSTATAÇÃO",PrazoConst,PrazoEsc))</f>
        <v/>
      </c>
      <c r="M298" s="107" t="str">
        <f>IF(L298="","",L298-TODAY())</f>
        <v/>
      </c>
      <c r="N298" s="108" t="str">
        <f>IF(B298="","",IF(G298="DECISÃO D.P","EM DECISÃO",IF(G298="","SEM STATUS",IF(M298="","SEM DATA",IF(M298&lt;0,"VENCIDO",IF(M298&lt;=DiasAlerta,"VENCE EM BREVE","NO PRAZO"))))))</f>
        <v/>
      </c>
      <c r="O298" s="109" t="str">
        <f>IF(D298="","",TODAY()-D298)</f>
        <v/>
      </c>
      <c r="P298" s="102" t="n"/>
    </row>
    <row r="299" ht="18" customHeight="1">
      <c r="A299" s="101" t="n"/>
      <c r="B299" s="102" t="n"/>
      <c r="C299" s="102" t="n"/>
      <c r="D299" s="103" t="n"/>
      <c r="E299" s="102" t="n"/>
      <c r="F299" s="104" t="n"/>
      <c r="G299" s="104" t="n"/>
      <c r="H299" s="102" t="n"/>
      <c r="I299" s="105" t="n"/>
      <c r="J299" s="105" t="n"/>
      <c r="K299" s="103" t="n"/>
      <c r="L299" s="106" t="str">
        <f>IF(OR(D299="",E299=""),"",D299+IF(E299="NOTIFICAÇÃO DE CONSTATAÇÃO",PrazoConst,PrazoEsc))</f>
        <v/>
      </c>
      <c r="M299" s="107" t="str">
        <f>IF(L299="","",L299-TODAY())</f>
        <v/>
      </c>
      <c r="N299" s="108" t="str">
        <f>IF(B299="","",IF(G299="DECISÃO D.P","EM DECISÃO",IF(G299="","SEM STATUS",IF(M299="","SEM DATA",IF(M299&lt;0,"VENCIDO",IF(M299&lt;=DiasAlerta,"VENCE EM BREVE","NO PRAZO"))))))</f>
        <v/>
      </c>
      <c r="O299" s="109" t="str">
        <f>IF(D299="","",TODAY()-D299)</f>
        <v/>
      </c>
      <c r="P299" s="102" t="n"/>
    </row>
    <row r="300" ht="18" customHeight="1">
      <c r="A300" s="101" t="n"/>
      <c r="B300" s="102" t="n"/>
      <c r="C300" s="102" t="n"/>
      <c r="D300" s="103" t="n"/>
      <c r="E300" s="102" t="n"/>
      <c r="F300" s="104" t="n"/>
      <c r="G300" s="104" t="n"/>
      <c r="H300" s="102" t="n"/>
      <c r="I300" s="105" t="n"/>
      <c r="J300" s="105" t="n"/>
      <c r="K300" s="103" t="n"/>
      <c r="L300" s="106" t="str">
        <f>IF(OR(D300="",E300=""),"",D300+IF(E300="NOTIFICAÇÃO DE CONSTATAÇÃO",PrazoConst,PrazoEsc))</f>
        <v/>
      </c>
      <c r="M300" s="107" t="str">
        <f>IF(L300="","",L300-TODAY())</f>
        <v/>
      </c>
      <c r="N300" s="108" t="str">
        <f>IF(B300="","",IF(G300="DECISÃO D.P","EM DECISÃO",IF(G300="","SEM STATUS",IF(M300="","SEM DATA",IF(M300&lt;0,"VENCIDO",IF(M300&lt;=DiasAlerta,"VENCE EM BREVE","NO PRAZO"))))))</f>
        <v/>
      </c>
      <c r="O300" s="109" t="str">
        <f>IF(D300="","",TODAY()-D300)</f>
        <v/>
      </c>
      <c r="P300" s="102" t="n"/>
    </row>
    <row r="301" ht="18" customHeight="1">
      <c r="A301" s="101" t="n"/>
      <c r="B301" s="102" t="n"/>
      <c r="C301" s="102" t="n"/>
      <c r="D301" s="103" t="n"/>
      <c r="E301" s="102" t="n"/>
      <c r="F301" s="104" t="n"/>
      <c r="G301" s="104" t="n"/>
      <c r="H301" s="102" t="n"/>
      <c r="I301" s="105" t="n"/>
      <c r="J301" s="105" t="n"/>
      <c r="K301" s="103" t="n"/>
      <c r="L301" s="106" t="str">
        <f>IF(OR(D301="",E301=""),"",D301+IF(E301="NOTIFICAÇÃO DE CONSTATAÇÃO",PrazoConst,PrazoEsc))</f>
        <v/>
      </c>
      <c r="M301" s="107" t="str">
        <f>IF(L301="","",L301-TODAY())</f>
        <v/>
      </c>
      <c r="N301" s="108" t="str">
        <f>IF(B301="","",IF(G301="DECISÃO D.P","EM DECISÃO",IF(G301="","SEM STATUS",IF(M301="","SEM DATA",IF(M301&lt;0,"VENCIDO",IF(M301&lt;=DiasAlerta,"VENCE EM BREVE","NO PRAZO"))))))</f>
        <v/>
      </c>
      <c r="O301" s="109" t="str">
        <f>IF(D301="","",TODAY()-D301)</f>
        <v/>
      </c>
      <c r="P301" s="102" t="n"/>
    </row>
    <row r="302" ht="18" customHeight="1">
      <c r="A302" s="101" t="n"/>
      <c r="B302" s="102" t="n"/>
      <c r="C302" s="102" t="n"/>
      <c r="D302" s="103" t="n"/>
      <c r="E302" s="102" t="n"/>
      <c r="F302" s="104" t="n"/>
      <c r="G302" s="104" t="n"/>
      <c r="H302" s="102" t="n"/>
      <c r="I302" s="105" t="n"/>
      <c r="J302" s="105" t="n"/>
      <c r="K302" s="103" t="n"/>
      <c r="L302" s="106" t="str">
        <f>IF(OR(D302="",E302=""),"",D302+IF(E302="NOTIFICAÇÃO DE CONSTATAÇÃO",PrazoConst,PrazoEsc))</f>
        <v/>
      </c>
      <c r="M302" s="107" t="str">
        <f>IF(L302="","",L302-TODAY())</f>
        <v/>
      </c>
      <c r="N302" s="108" t="str">
        <f>IF(B302="","",IF(G302="DECISÃO D.P","EM DECISÃO",IF(G302="","SEM STATUS",IF(M302="","SEM DATA",IF(M302&lt;0,"VENCIDO",IF(M302&lt;=DiasAlerta,"VENCE EM BREVE","NO PRAZO"))))))</f>
        <v/>
      </c>
      <c r="O302" s="109" t="str">
        <f>IF(D302="","",TODAY()-D302)</f>
        <v/>
      </c>
      <c r="P302" s="102" t="n"/>
    </row>
    <row r="303" ht="18" customHeight="1">
      <c r="A303" s="101" t="n"/>
      <c r="B303" s="102" t="n"/>
      <c r="C303" s="102" t="n"/>
      <c r="D303" s="103" t="n"/>
      <c r="E303" s="102" t="n"/>
      <c r="F303" s="104" t="n"/>
      <c r="G303" s="104" t="n"/>
      <c r="H303" s="102" t="n"/>
      <c r="I303" s="105" t="n"/>
      <c r="J303" s="105" t="n"/>
      <c r="K303" s="103" t="n"/>
      <c r="L303" s="106" t="str">
        <f>IF(OR(D303="",E303=""),"",D303+IF(E303="NOTIFICAÇÃO DE CONSTATAÇÃO",PrazoConst,PrazoEsc))</f>
        <v/>
      </c>
      <c r="M303" s="107" t="str">
        <f>IF(L303="","",L303-TODAY())</f>
        <v/>
      </c>
      <c r="N303" s="108" t="str">
        <f>IF(B303="","",IF(G303="DECISÃO D.P","EM DECISÃO",IF(G303="","SEM STATUS",IF(M303="","SEM DATA",IF(M303&lt;0,"VENCIDO",IF(M303&lt;=DiasAlerta,"VENCE EM BREVE","NO PRAZO"))))))</f>
        <v/>
      </c>
      <c r="O303" s="109" t="str">
        <f>IF(D303="","",TODAY()-D303)</f>
        <v/>
      </c>
      <c r="P303" s="102" t="n"/>
    </row>
    <row r="304" ht="18" customHeight="1">
      <c r="A304" s="101" t="n"/>
      <c r="B304" s="102" t="n"/>
      <c r="C304" s="102" t="n"/>
      <c r="D304" s="103" t="n"/>
      <c r="E304" s="102" t="n"/>
      <c r="F304" s="104" t="n"/>
      <c r="G304" s="104" t="n"/>
      <c r="H304" s="102" t="n"/>
      <c r="I304" s="105" t="n"/>
      <c r="J304" s="105" t="n"/>
      <c r="K304" s="103" t="n"/>
      <c r="L304" s="106" t="str">
        <f>IF(OR(D304="",E304=""),"",D304+IF(E304="NOTIFICAÇÃO DE CONSTATAÇÃO",PrazoConst,PrazoEsc))</f>
        <v/>
      </c>
      <c r="M304" s="107" t="str">
        <f>IF(L304="","",L304-TODAY())</f>
        <v/>
      </c>
      <c r="N304" s="108" t="str">
        <f>IF(B304="","",IF(G304="DECISÃO D.P","EM DECISÃO",IF(G304="","SEM STATUS",IF(M304="","SEM DATA",IF(M304&lt;0,"VENCIDO",IF(M304&lt;=DiasAlerta,"VENCE EM BREVE","NO PRAZO"))))))</f>
        <v/>
      </c>
      <c r="O304" s="109" t="str">
        <f>IF(D304="","",TODAY()-D304)</f>
        <v/>
      </c>
      <c r="P304" s="102" t="n"/>
    </row>
    <row r="305" ht="18" customHeight="1">
      <c r="A305" s="101" t="n"/>
      <c r="B305" s="102" t="n"/>
      <c r="C305" s="102" t="n"/>
      <c r="D305" s="103" t="n"/>
      <c r="E305" s="102" t="n"/>
      <c r="F305" s="104" t="n"/>
      <c r="G305" s="104" t="n"/>
      <c r="H305" s="102" t="n"/>
      <c r="I305" s="105" t="n"/>
      <c r="J305" s="105" t="n"/>
      <c r="K305" s="103" t="n"/>
      <c r="L305" s="106" t="str">
        <f>IF(OR(D305="",E305=""),"",D305+IF(E305="NOTIFICAÇÃO DE CONSTATAÇÃO",PrazoConst,PrazoEsc))</f>
        <v/>
      </c>
      <c r="M305" s="107" t="str">
        <f>IF(L305="","",L305-TODAY())</f>
        <v/>
      </c>
      <c r="N305" s="108" t="str">
        <f>IF(B305="","",IF(G305="DECISÃO D.P","EM DECISÃO",IF(G305="","SEM STATUS",IF(M305="","SEM DATA",IF(M305&lt;0,"VENCIDO",IF(M305&lt;=DiasAlerta,"VENCE EM BREVE","NO PRAZO"))))))</f>
        <v/>
      </c>
      <c r="O305" s="109" t="str">
        <f>IF(D305="","",TODAY()-D305)</f>
        <v/>
      </c>
      <c r="P305" s="102" t="n"/>
    </row>
    <row r="306" ht="18" customHeight="1">
      <c r="A306" s="101" t="n"/>
      <c r="B306" s="102" t="n"/>
      <c r="C306" s="102" t="n"/>
      <c r="D306" s="103" t="n"/>
      <c r="E306" s="102" t="n"/>
      <c r="F306" s="104" t="n"/>
      <c r="G306" s="104" t="n"/>
      <c r="H306" s="102" t="n"/>
      <c r="I306" s="105" t="n"/>
      <c r="J306" s="105" t="n"/>
      <c r="K306" s="103" t="n"/>
      <c r="L306" s="106" t="str">
        <f>IF(OR(D306="",E306=""),"",D306+IF(E306="NOTIFICAÇÃO DE CONSTATAÇÃO",PrazoConst,PrazoEsc))</f>
        <v/>
      </c>
      <c r="M306" s="107" t="str">
        <f>IF(L306="","",L306-TODAY())</f>
        <v/>
      </c>
      <c r="N306" s="108" t="str">
        <f>IF(B306="","",IF(G306="DECISÃO D.P","EM DECISÃO",IF(G306="","SEM STATUS",IF(M306="","SEM DATA",IF(M306&lt;0,"VENCIDO",IF(M306&lt;=DiasAlerta,"VENCE EM BREVE","NO PRAZO"))))))</f>
        <v/>
      </c>
      <c r="O306" s="109" t="str">
        <f>IF(D306="","",TODAY()-D306)</f>
        <v/>
      </c>
      <c r="P306" s="102" t="n"/>
    </row>
    <row r="307" ht="18" customHeight="1">
      <c r="A307" s="101" t="n"/>
      <c r="B307" s="102" t="n"/>
      <c r="C307" s="102" t="n"/>
      <c r="D307" s="103" t="n"/>
      <c r="E307" s="102" t="n"/>
      <c r="F307" s="104" t="n"/>
      <c r="G307" s="104" t="n"/>
      <c r="H307" s="102" t="n"/>
      <c r="I307" s="105" t="n"/>
      <c r="J307" s="105" t="n"/>
      <c r="K307" s="103" t="n"/>
      <c r="L307" s="106" t="str">
        <f>IF(OR(D307="",E307=""),"",D307+IF(E307="NOTIFICAÇÃO DE CONSTATAÇÃO",PrazoConst,PrazoEsc))</f>
        <v/>
      </c>
      <c r="M307" s="107" t="str">
        <f>IF(L307="","",L307-TODAY())</f>
        <v/>
      </c>
      <c r="N307" s="108" t="str">
        <f>IF(B307="","",IF(G307="DECISÃO D.P","EM DECISÃO",IF(G307="","SEM STATUS",IF(M307="","SEM DATA",IF(M307&lt;0,"VENCIDO",IF(M307&lt;=DiasAlerta,"VENCE EM BREVE","NO PRAZO"))))))</f>
        <v/>
      </c>
      <c r="O307" s="109" t="str">
        <f>IF(D307="","",TODAY()-D307)</f>
        <v/>
      </c>
      <c r="P307" s="102" t="n"/>
    </row>
    <row r="308" ht="18" customHeight="1">
      <c r="A308" s="101" t="n"/>
      <c r="B308" s="102" t="n"/>
      <c r="C308" s="102" t="n"/>
      <c r="D308" s="103" t="n"/>
      <c r="E308" s="102" t="n"/>
      <c r="F308" s="104" t="n"/>
      <c r="G308" s="104" t="n"/>
      <c r="H308" s="102" t="n"/>
      <c r="I308" s="105" t="n"/>
      <c r="J308" s="105" t="n"/>
      <c r="K308" s="103" t="n"/>
      <c r="L308" s="106" t="str">
        <f>IF(OR(D308="",E308=""),"",D308+IF(E308="NOTIFICAÇÃO DE CONSTATAÇÃO",PrazoConst,PrazoEsc))</f>
        <v/>
      </c>
      <c r="M308" s="107" t="str">
        <f>IF(L308="","",L308-TODAY())</f>
        <v/>
      </c>
      <c r="N308" s="108" t="str">
        <f>IF(B308="","",IF(G308="DECISÃO D.P","EM DECISÃO",IF(G308="","SEM STATUS",IF(M308="","SEM DATA",IF(M308&lt;0,"VENCIDO",IF(M308&lt;=DiasAlerta,"VENCE EM BREVE","NO PRAZO"))))))</f>
        <v/>
      </c>
      <c r="O308" s="109" t="str">
        <f>IF(D308="","",TODAY()-D308)</f>
        <v/>
      </c>
      <c r="P308" s="102" t="n"/>
    </row>
    <row r="309" ht="18" customHeight="1">
      <c r="A309" s="101" t="n"/>
      <c r="B309" s="102" t="n"/>
      <c r="C309" s="102" t="n"/>
      <c r="D309" s="103" t="n"/>
      <c r="E309" s="102" t="n"/>
      <c r="F309" s="104" t="n"/>
      <c r="G309" s="104" t="n"/>
      <c r="H309" s="102" t="n"/>
      <c r="I309" s="105" t="n"/>
      <c r="J309" s="105" t="n"/>
      <c r="K309" s="103" t="n"/>
      <c r="L309" s="106" t="str">
        <f>IF(OR(D309="",E309=""),"",D309+IF(E309="NOTIFICAÇÃO DE CONSTATAÇÃO",PrazoConst,PrazoEsc))</f>
        <v/>
      </c>
      <c r="M309" s="107" t="str">
        <f>IF(L309="","",L309-TODAY())</f>
        <v/>
      </c>
      <c r="N309" s="108" t="str">
        <f>IF(B309="","",IF(G309="DECISÃO D.P","EM DECISÃO",IF(G309="","SEM STATUS",IF(M309="","SEM DATA",IF(M309&lt;0,"VENCIDO",IF(M309&lt;=DiasAlerta,"VENCE EM BREVE","NO PRAZO"))))))</f>
        <v/>
      </c>
      <c r="O309" s="109" t="str">
        <f>IF(D309="","",TODAY()-D309)</f>
        <v/>
      </c>
      <c r="P309" s="102" t="n"/>
    </row>
    <row r="310" ht="18" customHeight="1">
      <c r="A310" s="101" t="n"/>
      <c r="B310" s="102" t="n"/>
      <c r="C310" s="102" t="n"/>
      <c r="D310" s="103" t="n"/>
      <c r="E310" s="102" t="n"/>
      <c r="F310" s="104" t="n"/>
      <c r="G310" s="104" t="n"/>
      <c r="H310" s="102" t="n"/>
      <c r="I310" s="105" t="n"/>
      <c r="J310" s="105" t="n"/>
      <c r="K310" s="103" t="n"/>
      <c r="L310" s="106" t="str">
        <f>IF(OR(D310="",E310=""),"",D310+IF(E310="NOTIFICAÇÃO DE CONSTATAÇÃO",PrazoConst,PrazoEsc))</f>
        <v/>
      </c>
      <c r="M310" s="107" t="str">
        <f>IF(L310="","",L310-TODAY())</f>
        <v/>
      </c>
      <c r="N310" s="108" t="str">
        <f>IF(B310="","",IF(G310="DECISÃO D.P","EM DECISÃO",IF(G310="","SEM STATUS",IF(M310="","SEM DATA",IF(M310&lt;0,"VENCIDO",IF(M310&lt;=DiasAlerta,"VENCE EM BREVE","NO PRAZO"))))))</f>
        <v/>
      </c>
      <c r="O310" s="109" t="str">
        <f>IF(D310="","",TODAY()-D310)</f>
        <v/>
      </c>
      <c r="P310" s="102" t="n"/>
    </row>
    <row r="311" ht="18" customHeight="1">
      <c r="A311" s="101" t="n"/>
      <c r="B311" s="102" t="n"/>
      <c r="C311" s="102" t="n"/>
      <c r="D311" s="103" t="n"/>
      <c r="E311" s="102" t="n"/>
      <c r="F311" s="104" t="n"/>
      <c r="G311" s="104" t="n"/>
      <c r="H311" s="102" t="n"/>
      <c r="I311" s="105" t="n"/>
      <c r="J311" s="105" t="n"/>
      <c r="K311" s="103" t="n"/>
      <c r="L311" s="106" t="str">
        <f>IF(OR(D311="",E311=""),"",D311+IF(E311="NOTIFICAÇÃO DE CONSTATAÇÃO",PrazoConst,PrazoEsc))</f>
        <v/>
      </c>
      <c r="M311" s="107" t="str">
        <f>IF(L311="","",L311-TODAY())</f>
        <v/>
      </c>
      <c r="N311" s="108" t="str">
        <f>IF(B311="","",IF(G311="DECISÃO D.P","EM DECISÃO",IF(G311="","SEM STATUS",IF(M311="","SEM DATA",IF(M311&lt;0,"VENCIDO",IF(M311&lt;=DiasAlerta,"VENCE EM BREVE","NO PRAZO"))))))</f>
        <v/>
      </c>
      <c r="O311" s="109" t="str">
        <f>IF(D311="","",TODAY()-D311)</f>
        <v/>
      </c>
      <c r="P311" s="102" t="n"/>
    </row>
    <row r="312" ht="18" customHeight="1">
      <c r="A312" s="101" t="n"/>
      <c r="B312" s="102" t="n"/>
      <c r="C312" s="102" t="n"/>
      <c r="D312" s="103" t="n"/>
      <c r="E312" s="102" t="n"/>
      <c r="F312" s="104" t="n"/>
      <c r="G312" s="104" t="n"/>
      <c r="H312" s="102" t="n"/>
      <c r="I312" s="105" t="n"/>
      <c r="J312" s="105" t="n"/>
      <c r="K312" s="103" t="n"/>
      <c r="L312" s="106" t="str">
        <f>IF(OR(D312="",E312=""),"",D312+IF(E312="NOTIFICAÇÃO DE CONSTATAÇÃO",PrazoConst,PrazoEsc))</f>
        <v/>
      </c>
      <c r="M312" s="107" t="str">
        <f>IF(L312="","",L312-TODAY())</f>
        <v/>
      </c>
      <c r="N312" s="108" t="str">
        <f>IF(B312="","",IF(G312="DECISÃO D.P","EM DECISÃO",IF(G312="","SEM STATUS",IF(M312="","SEM DATA",IF(M312&lt;0,"VENCIDO",IF(M312&lt;=DiasAlerta,"VENCE EM BREVE","NO PRAZO"))))))</f>
        <v/>
      </c>
      <c r="O312" s="109" t="str">
        <f>IF(D312="","",TODAY()-D312)</f>
        <v/>
      </c>
      <c r="P312" s="102" t="n"/>
    </row>
    <row r="313" ht="18" customHeight="1">
      <c r="A313" s="101" t="n"/>
      <c r="B313" s="102" t="n"/>
      <c r="C313" s="102" t="n"/>
      <c r="D313" s="103" t="n"/>
      <c r="E313" s="102" t="n"/>
      <c r="F313" s="104" t="n"/>
      <c r="G313" s="104" t="n"/>
      <c r="H313" s="102" t="n"/>
      <c r="I313" s="105" t="n"/>
      <c r="J313" s="105" t="n"/>
      <c r="K313" s="103" t="n"/>
      <c r="L313" s="106" t="str">
        <f>IF(OR(D313="",E313=""),"",D313+IF(E313="NOTIFICAÇÃO DE CONSTATAÇÃO",PrazoConst,PrazoEsc))</f>
        <v/>
      </c>
      <c r="M313" s="107" t="str">
        <f>IF(L313="","",L313-TODAY())</f>
        <v/>
      </c>
      <c r="N313" s="108" t="str">
        <f>IF(B313="","",IF(G313="DECISÃO D.P","EM DECISÃO",IF(G313="","SEM STATUS",IF(M313="","SEM DATA",IF(M313&lt;0,"VENCIDO",IF(M313&lt;=DiasAlerta,"VENCE EM BREVE","NO PRAZO"))))))</f>
        <v/>
      </c>
      <c r="O313" s="109" t="str">
        <f>IF(D313="","",TODAY()-D313)</f>
        <v/>
      </c>
      <c r="P313" s="102" t="n"/>
    </row>
    <row r="314" ht="18" customHeight="1">
      <c r="A314" s="101" t="n"/>
      <c r="B314" s="102" t="n"/>
      <c r="C314" s="102" t="n"/>
      <c r="D314" s="103" t="n"/>
      <c r="E314" s="102" t="n"/>
      <c r="F314" s="104" t="n"/>
      <c r="G314" s="104" t="n"/>
      <c r="H314" s="102" t="n"/>
      <c r="I314" s="105" t="n"/>
      <c r="J314" s="105" t="n"/>
      <c r="K314" s="103" t="n"/>
      <c r="L314" s="106" t="str">
        <f>IF(OR(D314="",E314=""),"",D314+IF(E314="NOTIFICAÇÃO DE CONSTATAÇÃO",PrazoConst,PrazoEsc))</f>
        <v/>
      </c>
      <c r="M314" s="107" t="str">
        <f>IF(L314="","",L314-TODAY())</f>
        <v/>
      </c>
      <c r="N314" s="108" t="str">
        <f>IF(B314="","",IF(G314="DECISÃO D.P","EM DECISÃO",IF(G314="","SEM STATUS",IF(M314="","SEM DATA",IF(M314&lt;0,"VENCIDO",IF(M314&lt;=DiasAlerta,"VENCE EM BREVE","NO PRAZO"))))))</f>
        <v/>
      </c>
      <c r="O314" s="109" t="str">
        <f>IF(D314="","",TODAY()-D314)</f>
        <v/>
      </c>
      <c r="P314" s="102" t="n"/>
    </row>
    <row r="315" ht="18" customHeight="1">
      <c r="A315" s="101" t="n"/>
      <c r="B315" s="102" t="n"/>
      <c r="C315" s="102" t="n"/>
      <c r="D315" s="103" t="n"/>
      <c r="E315" s="102" t="n"/>
      <c r="F315" s="104" t="n"/>
      <c r="G315" s="104" t="n"/>
      <c r="H315" s="102" t="n"/>
      <c r="I315" s="105" t="n"/>
      <c r="J315" s="105" t="n"/>
      <c r="K315" s="103" t="n"/>
      <c r="L315" s="106" t="str">
        <f>IF(OR(D315="",E315=""),"",D315+IF(E315="NOTIFICAÇÃO DE CONSTATAÇÃO",PrazoConst,PrazoEsc))</f>
        <v/>
      </c>
      <c r="M315" s="107" t="str">
        <f>IF(L315="","",L315-TODAY())</f>
        <v/>
      </c>
      <c r="N315" s="108" t="str">
        <f>IF(B315="","",IF(G315="DECISÃO D.P","EM DECISÃO",IF(G315="","SEM STATUS",IF(M315="","SEM DATA",IF(M315&lt;0,"VENCIDO",IF(M315&lt;=DiasAlerta,"VENCE EM BREVE","NO PRAZO"))))))</f>
        <v/>
      </c>
      <c r="O315" s="109" t="str">
        <f>IF(D315="","",TODAY()-D315)</f>
        <v/>
      </c>
      <c r="P315" s="102" t="n"/>
    </row>
    <row r="316" ht="18" customHeight="1">
      <c r="A316" s="101" t="n"/>
      <c r="B316" s="102" t="n"/>
      <c r="C316" s="102" t="n"/>
      <c r="D316" s="103" t="n"/>
      <c r="E316" s="102" t="n"/>
      <c r="F316" s="104" t="n"/>
      <c r="G316" s="104" t="n"/>
      <c r="H316" s="102" t="n"/>
      <c r="I316" s="105" t="n"/>
      <c r="J316" s="105" t="n"/>
      <c r="K316" s="103" t="n"/>
      <c r="L316" s="106" t="str">
        <f>IF(OR(D316="",E316=""),"",D316+IF(E316="NOTIFICAÇÃO DE CONSTATAÇÃO",PrazoConst,PrazoEsc))</f>
        <v/>
      </c>
      <c r="M316" s="107" t="str">
        <f>IF(L316="","",L316-TODAY())</f>
        <v/>
      </c>
      <c r="N316" s="108" t="str">
        <f>IF(B316="","",IF(G316="DECISÃO D.P","EM DECISÃO",IF(G316="","SEM STATUS",IF(M316="","SEM DATA",IF(M316&lt;0,"VENCIDO",IF(M316&lt;=DiasAlerta,"VENCE EM BREVE","NO PRAZO"))))))</f>
        <v/>
      </c>
      <c r="O316" s="109" t="str">
        <f>IF(D316="","",TODAY()-D316)</f>
        <v/>
      </c>
      <c r="P316" s="102" t="n"/>
    </row>
    <row r="317" ht="18" customHeight="1">
      <c r="A317" s="101" t="n"/>
      <c r="B317" s="102" t="n"/>
      <c r="C317" s="102" t="n"/>
      <c r="D317" s="103" t="n"/>
      <c r="E317" s="102" t="n"/>
      <c r="F317" s="104" t="n"/>
      <c r="G317" s="104" t="n"/>
      <c r="H317" s="102" t="n"/>
      <c r="I317" s="105" t="n"/>
      <c r="J317" s="105" t="n"/>
      <c r="K317" s="103" t="n"/>
      <c r="L317" s="106" t="str">
        <f>IF(OR(D317="",E317=""),"",D317+IF(E317="NOTIFICAÇÃO DE CONSTATAÇÃO",PrazoConst,PrazoEsc))</f>
        <v/>
      </c>
      <c r="M317" s="107" t="str">
        <f>IF(L317="","",L317-TODAY())</f>
        <v/>
      </c>
      <c r="N317" s="108" t="str">
        <f>IF(B317="","",IF(G317="DECISÃO D.P","EM DECISÃO",IF(G317="","SEM STATUS",IF(M317="","SEM DATA",IF(M317&lt;0,"VENCIDO",IF(M317&lt;=DiasAlerta,"VENCE EM BREVE","NO PRAZO"))))))</f>
        <v/>
      </c>
      <c r="O317" s="109" t="str">
        <f>IF(D317="","",TODAY()-D317)</f>
        <v/>
      </c>
      <c r="P317" s="102" t="n"/>
    </row>
    <row r="318" ht="18" customHeight="1">
      <c r="A318" s="101" t="n"/>
      <c r="B318" s="102" t="n"/>
      <c r="C318" s="102" t="n"/>
      <c r="D318" s="103" t="n"/>
      <c r="E318" s="102" t="n"/>
      <c r="F318" s="104" t="n"/>
      <c r="G318" s="104" t="n"/>
      <c r="H318" s="102" t="n"/>
      <c r="I318" s="105" t="n"/>
      <c r="J318" s="105" t="n"/>
      <c r="K318" s="103" t="n"/>
      <c r="L318" s="106" t="str">
        <f>IF(OR(D318="",E318=""),"",D318+IF(E318="NOTIFICAÇÃO DE CONSTATAÇÃO",PrazoConst,PrazoEsc))</f>
        <v/>
      </c>
      <c r="M318" s="107" t="str">
        <f>IF(L318="","",L318-TODAY())</f>
        <v/>
      </c>
      <c r="N318" s="108" t="str">
        <f>IF(B318="","",IF(G318="DECISÃO D.P","EM DECISÃO",IF(G318="","SEM STATUS",IF(M318="","SEM DATA",IF(M318&lt;0,"VENCIDO",IF(M318&lt;=DiasAlerta,"VENCE EM BREVE","NO PRAZO"))))))</f>
        <v/>
      </c>
      <c r="O318" s="109" t="str">
        <f>IF(D318="","",TODAY()-D318)</f>
        <v/>
      </c>
      <c r="P318" s="102" t="n"/>
    </row>
    <row r="319" ht="18" customHeight="1">
      <c r="A319" s="101" t="n"/>
      <c r="B319" s="102" t="n"/>
      <c r="C319" s="102" t="n"/>
      <c r="D319" s="103" t="n"/>
      <c r="E319" s="102" t="n"/>
      <c r="F319" s="104" t="n"/>
      <c r="G319" s="104" t="n"/>
      <c r="H319" s="102" t="n"/>
      <c r="I319" s="105" t="n"/>
      <c r="J319" s="105" t="n"/>
      <c r="K319" s="103" t="n"/>
      <c r="L319" s="106" t="str">
        <f>IF(OR(D319="",E319=""),"",D319+IF(E319="NOTIFICAÇÃO DE CONSTATAÇÃO",PrazoConst,PrazoEsc))</f>
        <v/>
      </c>
      <c r="M319" s="107" t="str">
        <f>IF(L319="","",L319-TODAY())</f>
        <v/>
      </c>
      <c r="N319" s="108" t="str">
        <f>IF(B319="","",IF(G319="DECISÃO D.P","EM DECISÃO",IF(G319="","SEM STATUS",IF(M319="","SEM DATA",IF(M319&lt;0,"VENCIDO",IF(M319&lt;=DiasAlerta,"VENCE EM BREVE","NO PRAZO"))))))</f>
        <v/>
      </c>
      <c r="O319" s="109" t="str">
        <f>IF(D319="","",TODAY()-D319)</f>
        <v/>
      </c>
      <c r="P319" s="102" t="n"/>
    </row>
    <row r="320" ht="18" customHeight="1">
      <c r="A320" s="101" t="n"/>
      <c r="B320" s="102" t="n"/>
      <c r="C320" s="102" t="n"/>
      <c r="D320" s="103" t="n"/>
      <c r="E320" s="102" t="n"/>
      <c r="F320" s="104" t="n"/>
      <c r="G320" s="104" t="n"/>
      <c r="H320" s="102" t="n"/>
      <c r="I320" s="105" t="n"/>
      <c r="J320" s="105" t="n"/>
      <c r="K320" s="103" t="n"/>
      <c r="L320" s="106" t="str">
        <f>IF(OR(D320="",E320=""),"",D320+IF(E320="NOTIFICAÇÃO DE CONSTATAÇÃO",PrazoConst,PrazoEsc))</f>
        <v/>
      </c>
      <c r="M320" s="107" t="str">
        <f>IF(L320="","",L320-TODAY())</f>
        <v/>
      </c>
      <c r="N320" s="108" t="str">
        <f>IF(B320="","",IF(G320="DECISÃO D.P","EM DECISÃO",IF(G320="","SEM STATUS",IF(M320="","SEM DATA",IF(M320&lt;0,"VENCIDO",IF(M320&lt;=DiasAlerta,"VENCE EM BREVE","NO PRAZO"))))))</f>
        <v/>
      </c>
      <c r="O320" s="109" t="str">
        <f>IF(D320="","",TODAY()-D320)</f>
        <v/>
      </c>
      <c r="P320" s="102" t="n"/>
    </row>
    <row r="321" ht="18" customHeight="1">
      <c r="A321" s="101" t="n"/>
      <c r="B321" s="102" t="n"/>
      <c r="C321" s="102" t="n"/>
      <c r="D321" s="103" t="n"/>
      <c r="E321" s="102" t="n"/>
      <c r="F321" s="104" t="n"/>
      <c r="G321" s="104" t="n"/>
      <c r="H321" s="102" t="n"/>
      <c r="I321" s="105" t="n"/>
      <c r="J321" s="105" t="n"/>
      <c r="K321" s="103" t="n"/>
      <c r="L321" s="106" t="str">
        <f>IF(OR(D321="",E321=""),"",D321+IF(E321="NOTIFICAÇÃO DE CONSTATAÇÃO",PrazoConst,PrazoEsc))</f>
        <v/>
      </c>
      <c r="M321" s="107" t="str">
        <f>IF(L321="","",L321-TODAY())</f>
        <v/>
      </c>
      <c r="N321" s="108" t="str">
        <f>IF(B321="","",IF(G321="DECISÃO D.P","EM DECISÃO",IF(G321="","SEM STATUS",IF(M321="","SEM DATA",IF(M321&lt;0,"VENCIDO",IF(M321&lt;=DiasAlerta,"VENCE EM BREVE","NO PRAZO"))))))</f>
        <v/>
      </c>
      <c r="O321" s="109" t="str">
        <f>IF(D321="","",TODAY()-D321)</f>
        <v/>
      </c>
      <c r="P321" s="102" t="n"/>
    </row>
    <row r="322" ht="18" customHeight="1">
      <c r="A322" s="101" t="n"/>
      <c r="B322" s="102" t="n"/>
      <c r="C322" s="102" t="n"/>
      <c r="D322" s="103" t="n"/>
      <c r="E322" s="102" t="n"/>
      <c r="F322" s="104" t="n"/>
      <c r="G322" s="104" t="n"/>
      <c r="H322" s="102" t="n"/>
      <c r="I322" s="105" t="n"/>
      <c r="J322" s="105" t="n"/>
      <c r="K322" s="103" t="n"/>
      <c r="L322" s="106" t="str">
        <f>IF(OR(D322="",E322=""),"",D322+IF(E322="NOTIFICAÇÃO DE CONSTATAÇÃO",PrazoConst,PrazoEsc))</f>
        <v/>
      </c>
      <c r="M322" s="107" t="str">
        <f>IF(L322="","",L322-TODAY())</f>
        <v/>
      </c>
      <c r="N322" s="108" t="str">
        <f>IF(B322="","",IF(G322="DECISÃO D.P","EM DECISÃO",IF(G322="","SEM STATUS",IF(M322="","SEM DATA",IF(M322&lt;0,"VENCIDO",IF(M322&lt;=DiasAlerta,"VENCE EM BREVE","NO PRAZO"))))))</f>
        <v/>
      </c>
      <c r="O322" s="109" t="str">
        <f>IF(D322="","",TODAY()-D322)</f>
        <v/>
      </c>
      <c r="P322" s="102" t="n"/>
    </row>
    <row r="323" ht="18" customHeight="1">
      <c r="A323" s="101" t="n"/>
      <c r="B323" s="102" t="n"/>
      <c r="C323" s="102" t="n"/>
      <c r="D323" s="103" t="n"/>
      <c r="E323" s="102" t="n"/>
      <c r="F323" s="104" t="n"/>
      <c r="G323" s="104" t="n"/>
      <c r="H323" s="102" t="n"/>
      <c r="I323" s="105" t="n"/>
      <c r="J323" s="105" t="n"/>
      <c r="K323" s="103" t="n"/>
      <c r="L323" s="106" t="str">
        <f>IF(OR(D323="",E323=""),"",D323+IF(E323="NOTIFICAÇÃO DE CONSTATAÇÃO",PrazoConst,PrazoEsc))</f>
        <v/>
      </c>
      <c r="M323" s="107" t="str">
        <f>IF(L323="","",L323-TODAY())</f>
        <v/>
      </c>
      <c r="N323" s="108" t="str">
        <f>IF(B323="","",IF(G323="DECISÃO D.P","EM DECISÃO",IF(G323="","SEM STATUS",IF(M323="","SEM DATA",IF(M323&lt;0,"VENCIDO",IF(M323&lt;=DiasAlerta,"VENCE EM BREVE","NO PRAZO"))))))</f>
        <v/>
      </c>
      <c r="O323" s="109" t="str">
        <f>IF(D323="","",TODAY()-D323)</f>
        <v/>
      </c>
      <c r="P323" s="102" t="n"/>
    </row>
    <row r="324" ht="18" customHeight="1">
      <c r="A324" s="101" t="n"/>
      <c r="B324" s="102" t="n"/>
      <c r="C324" s="102" t="n"/>
      <c r="D324" s="103" t="n"/>
      <c r="E324" s="102" t="n"/>
      <c r="F324" s="104" t="n"/>
      <c r="G324" s="104" t="n"/>
      <c r="H324" s="102" t="n"/>
      <c r="I324" s="105" t="n"/>
      <c r="J324" s="105" t="n"/>
      <c r="K324" s="103" t="n"/>
      <c r="L324" s="106" t="str">
        <f>IF(OR(D324="",E324=""),"",D324+IF(E324="NOTIFICAÇÃO DE CONSTATAÇÃO",PrazoConst,PrazoEsc))</f>
        <v/>
      </c>
      <c r="M324" s="107" t="str">
        <f>IF(L324="","",L324-TODAY())</f>
        <v/>
      </c>
      <c r="N324" s="108" t="str">
        <f>IF(B324="","",IF(G324="DECISÃO D.P","EM DECISÃO",IF(G324="","SEM STATUS",IF(M324="","SEM DATA",IF(M324&lt;0,"VENCIDO",IF(M324&lt;=DiasAlerta,"VENCE EM BREVE","NO PRAZO"))))))</f>
        <v/>
      </c>
      <c r="O324" s="109" t="str">
        <f>IF(D324="","",TODAY()-D324)</f>
        <v/>
      </c>
      <c r="P324" s="102" t="n"/>
    </row>
    <row r="325" ht="18" customHeight="1">
      <c r="A325" s="101" t="n"/>
      <c r="B325" s="102" t="n"/>
      <c r="C325" s="102" t="n"/>
      <c r="D325" s="103" t="n"/>
      <c r="E325" s="102" t="n"/>
      <c r="F325" s="104" t="n"/>
      <c r="G325" s="104" t="n"/>
      <c r="H325" s="102" t="n"/>
      <c r="I325" s="105" t="n"/>
      <c r="J325" s="105" t="n"/>
      <c r="K325" s="103" t="n"/>
      <c r="L325" s="106" t="str">
        <f>IF(OR(D325="",E325=""),"",D325+IF(E325="NOTIFICAÇÃO DE CONSTATAÇÃO",PrazoConst,PrazoEsc))</f>
        <v/>
      </c>
      <c r="M325" s="107" t="str">
        <f>IF(L325="","",L325-TODAY())</f>
        <v/>
      </c>
      <c r="N325" s="108" t="str">
        <f>IF(B325="","",IF(G325="DECISÃO D.P","EM DECISÃO",IF(G325="","SEM STATUS",IF(M325="","SEM DATA",IF(M325&lt;0,"VENCIDO",IF(M325&lt;=DiasAlerta,"VENCE EM BREVE","NO PRAZO"))))))</f>
        <v/>
      </c>
      <c r="O325" s="109" t="str">
        <f>IF(D325="","",TODAY()-D325)</f>
        <v/>
      </c>
      <c r="P325" s="102" t="n"/>
    </row>
    <row r="326" ht="18" customHeight="1">
      <c r="A326" s="101" t="n"/>
      <c r="B326" s="102" t="n"/>
      <c r="C326" s="102" t="n"/>
      <c r="D326" s="103" t="n"/>
      <c r="E326" s="102" t="n"/>
      <c r="F326" s="104" t="n"/>
      <c r="G326" s="104" t="n"/>
      <c r="H326" s="102" t="n"/>
      <c r="I326" s="105" t="n"/>
      <c r="J326" s="105" t="n"/>
      <c r="K326" s="103" t="n"/>
      <c r="L326" s="106" t="str">
        <f>IF(OR(D326="",E326=""),"",D326+IF(E326="NOTIFICAÇÃO DE CONSTATAÇÃO",PrazoConst,PrazoEsc))</f>
        <v/>
      </c>
      <c r="M326" s="107" t="str">
        <f>IF(L326="","",L326-TODAY())</f>
        <v/>
      </c>
      <c r="N326" s="108" t="str">
        <f>IF(B326="","",IF(G326="DECISÃO D.P","EM DECISÃO",IF(G326="","SEM STATUS",IF(M326="","SEM DATA",IF(M326&lt;0,"VENCIDO",IF(M326&lt;=DiasAlerta,"VENCE EM BREVE","NO PRAZO"))))))</f>
        <v/>
      </c>
      <c r="O326" s="109" t="str">
        <f>IF(D326="","",TODAY()-D326)</f>
        <v/>
      </c>
      <c r="P326" s="102" t="n"/>
    </row>
    <row r="327" ht="18" customHeight="1">
      <c r="A327" s="101" t="n"/>
      <c r="B327" s="102" t="n"/>
      <c r="C327" s="102" t="n"/>
      <c r="D327" s="103" t="n"/>
      <c r="E327" s="102" t="n"/>
      <c r="F327" s="104" t="n"/>
      <c r="G327" s="104" t="n"/>
      <c r="H327" s="102" t="n"/>
      <c r="I327" s="105" t="n"/>
      <c r="J327" s="105" t="n"/>
      <c r="K327" s="103" t="n"/>
      <c r="L327" s="106" t="str">
        <f>IF(OR(D327="",E327=""),"",D327+IF(E327="NOTIFICAÇÃO DE CONSTATAÇÃO",PrazoConst,PrazoEsc))</f>
        <v/>
      </c>
      <c r="M327" s="107" t="str">
        <f>IF(L327="","",L327-TODAY())</f>
        <v/>
      </c>
      <c r="N327" s="108" t="str">
        <f>IF(B327="","",IF(G327="DECISÃO D.P","EM DECISÃO",IF(G327="","SEM STATUS",IF(M327="","SEM DATA",IF(M327&lt;0,"VENCIDO",IF(M327&lt;=DiasAlerta,"VENCE EM BREVE","NO PRAZO"))))))</f>
        <v/>
      </c>
      <c r="O327" s="109" t="str">
        <f>IF(D327="","",TODAY()-D327)</f>
        <v/>
      </c>
      <c r="P327" s="102" t="n"/>
    </row>
    <row r="328" ht="18" customHeight="1">
      <c r="A328" s="101" t="n"/>
      <c r="B328" s="102" t="n"/>
      <c r="C328" s="102" t="n"/>
      <c r="D328" s="103" t="n"/>
      <c r="E328" s="102" t="n"/>
      <c r="F328" s="104" t="n"/>
      <c r="G328" s="104" t="n"/>
      <c r="H328" s="102" t="n"/>
      <c r="I328" s="105" t="n"/>
      <c r="J328" s="105" t="n"/>
      <c r="K328" s="103" t="n"/>
      <c r="L328" s="106" t="str">
        <f>IF(OR(D328="",E328=""),"",D328+IF(E328="NOTIFICAÇÃO DE CONSTATAÇÃO",PrazoConst,PrazoEsc))</f>
        <v/>
      </c>
      <c r="M328" s="107" t="str">
        <f>IF(L328="","",L328-TODAY())</f>
        <v/>
      </c>
      <c r="N328" s="108" t="str">
        <f>IF(B328="","",IF(G328="DECISÃO D.P","EM DECISÃO",IF(G328="","SEM STATUS",IF(M328="","SEM DATA",IF(M328&lt;0,"VENCIDO",IF(M328&lt;=DiasAlerta,"VENCE EM BREVE","NO PRAZO"))))))</f>
        <v/>
      </c>
      <c r="O328" s="109" t="str">
        <f>IF(D328="","",TODAY()-D328)</f>
        <v/>
      </c>
      <c r="P328" s="102" t="n"/>
    </row>
    <row r="329" ht="18" customHeight="1">
      <c r="A329" s="101" t="n"/>
      <c r="B329" s="102" t="n"/>
      <c r="C329" s="102" t="n"/>
      <c r="D329" s="103" t="n"/>
      <c r="E329" s="102" t="n"/>
      <c r="F329" s="104" t="n"/>
      <c r="G329" s="104" t="n"/>
      <c r="H329" s="102" t="n"/>
      <c r="I329" s="105" t="n"/>
      <c r="J329" s="105" t="n"/>
      <c r="K329" s="103" t="n"/>
      <c r="L329" s="106" t="str">
        <f>IF(OR(D329="",E329=""),"",D329+IF(E329="NOTIFICAÇÃO DE CONSTATAÇÃO",PrazoConst,PrazoEsc))</f>
        <v/>
      </c>
      <c r="M329" s="107" t="str">
        <f>IF(L329="","",L329-TODAY())</f>
        <v/>
      </c>
      <c r="N329" s="108" t="str">
        <f>IF(B329="","",IF(G329="DECISÃO D.P","EM DECISÃO",IF(G329="","SEM STATUS",IF(M329="","SEM DATA",IF(M329&lt;0,"VENCIDO",IF(M329&lt;=DiasAlerta,"VENCE EM BREVE","NO PRAZO"))))))</f>
        <v/>
      </c>
      <c r="O329" s="109" t="str">
        <f>IF(D329="","",TODAY()-D329)</f>
        <v/>
      </c>
      <c r="P329" s="102" t="n"/>
    </row>
    <row r="330" ht="18" customHeight="1">
      <c r="A330" s="101" t="n"/>
      <c r="B330" s="102" t="n"/>
      <c r="C330" s="102" t="n"/>
      <c r="D330" s="103" t="n"/>
      <c r="E330" s="102" t="n"/>
      <c r="F330" s="104" t="n"/>
      <c r="G330" s="104" t="n"/>
      <c r="H330" s="102" t="n"/>
      <c r="I330" s="105" t="n"/>
      <c r="J330" s="105" t="n"/>
      <c r="K330" s="103" t="n"/>
      <c r="L330" s="106" t="str">
        <f>IF(OR(D330="",E330=""),"",D330+IF(E330="NOTIFICAÇÃO DE CONSTATAÇÃO",PrazoConst,PrazoEsc))</f>
        <v/>
      </c>
      <c r="M330" s="107" t="str">
        <f>IF(L330="","",L330-TODAY())</f>
        <v/>
      </c>
      <c r="N330" s="108" t="str">
        <f>IF(B330="","",IF(G330="DECISÃO D.P","EM DECISÃO",IF(G330="","SEM STATUS",IF(M330="","SEM DATA",IF(M330&lt;0,"VENCIDO",IF(M330&lt;=DiasAlerta,"VENCE EM BREVE","NO PRAZO"))))))</f>
        <v/>
      </c>
      <c r="O330" s="109" t="str">
        <f>IF(D330="","",TODAY()-D330)</f>
        <v/>
      </c>
      <c r="P330" s="102" t="n"/>
    </row>
    <row r="331" ht="18" customHeight="1">
      <c r="A331" s="101" t="n"/>
      <c r="B331" s="102" t="n"/>
      <c r="C331" s="102" t="n"/>
      <c r="D331" s="103" t="n"/>
      <c r="E331" s="102" t="n"/>
      <c r="F331" s="104" t="n"/>
      <c r="G331" s="104" t="n"/>
      <c r="H331" s="102" t="n"/>
      <c r="I331" s="105" t="n"/>
      <c r="J331" s="105" t="n"/>
      <c r="K331" s="103" t="n"/>
      <c r="L331" s="106" t="str">
        <f>IF(OR(D331="",E331=""),"",D331+IF(E331="NOTIFICAÇÃO DE CONSTATAÇÃO",PrazoConst,PrazoEsc))</f>
        <v/>
      </c>
      <c r="M331" s="107" t="str">
        <f>IF(L331="","",L331-TODAY())</f>
        <v/>
      </c>
      <c r="N331" s="108" t="str">
        <f>IF(B331="","",IF(G331="DECISÃO D.P","EM DECISÃO",IF(G331="","SEM STATUS",IF(M331="","SEM DATA",IF(M331&lt;0,"VENCIDO",IF(M331&lt;=DiasAlerta,"VENCE EM BREVE","NO PRAZO"))))))</f>
        <v/>
      </c>
      <c r="O331" s="109" t="str">
        <f>IF(D331="","",TODAY()-D331)</f>
        <v/>
      </c>
      <c r="P331" s="102" t="n"/>
    </row>
    <row r="332" ht="18" customHeight="1">
      <c r="A332" s="101" t="n"/>
      <c r="B332" s="102" t="n"/>
      <c r="C332" s="102" t="n"/>
      <c r="D332" s="103" t="n"/>
      <c r="E332" s="102" t="n"/>
      <c r="F332" s="104" t="n"/>
      <c r="G332" s="104" t="n"/>
      <c r="H332" s="102" t="n"/>
      <c r="I332" s="105" t="n"/>
      <c r="J332" s="105" t="n"/>
      <c r="K332" s="103" t="n"/>
      <c r="L332" s="106" t="str">
        <f>IF(OR(D332="",E332=""),"",D332+IF(E332="NOTIFICAÇÃO DE CONSTATAÇÃO",PrazoConst,PrazoEsc))</f>
        <v/>
      </c>
      <c r="M332" s="107" t="str">
        <f>IF(L332="","",L332-TODAY())</f>
        <v/>
      </c>
      <c r="N332" s="108" t="str">
        <f>IF(B332="","",IF(G332="DECISÃO D.P","EM DECISÃO",IF(G332="","SEM STATUS",IF(M332="","SEM DATA",IF(M332&lt;0,"VENCIDO",IF(M332&lt;=DiasAlerta,"VENCE EM BREVE","NO PRAZO"))))))</f>
        <v/>
      </c>
      <c r="O332" s="109" t="str">
        <f>IF(D332="","",TODAY()-D332)</f>
        <v/>
      </c>
      <c r="P332" s="102" t="n"/>
    </row>
    <row r="333" ht="18" customHeight="1">
      <c r="A333" s="101" t="n"/>
      <c r="B333" s="102" t="n"/>
      <c r="C333" s="102" t="n"/>
      <c r="D333" s="103" t="n"/>
      <c r="E333" s="102" t="n"/>
      <c r="F333" s="104" t="n"/>
      <c r="G333" s="104" t="n"/>
      <c r="H333" s="102" t="n"/>
      <c r="I333" s="105" t="n"/>
      <c r="J333" s="105" t="n"/>
      <c r="K333" s="103" t="n"/>
      <c r="L333" s="106" t="str">
        <f>IF(OR(D333="",E333=""),"",D333+IF(E333="NOTIFICAÇÃO DE CONSTATAÇÃO",PrazoConst,PrazoEsc))</f>
        <v/>
      </c>
      <c r="M333" s="107" t="str">
        <f>IF(L333="","",L333-TODAY())</f>
        <v/>
      </c>
      <c r="N333" s="108" t="str">
        <f>IF(B333="","",IF(G333="DECISÃO D.P","EM DECISÃO",IF(G333="","SEM STATUS",IF(M333="","SEM DATA",IF(M333&lt;0,"VENCIDO",IF(M333&lt;=DiasAlerta,"VENCE EM BREVE","NO PRAZO"))))))</f>
        <v/>
      </c>
      <c r="O333" s="109" t="str">
        <f>IF(D333="","",TODAY()-D333)</f>
        <v/>
      </c>
      <c r="P333" s="102" t="n"/>
    </row>
    <row r="334" ht="18" customHeight="1">
      <c r="A334" s="101" t="n"/>
      <c r="B334" s="102" t="n"/>
      <c r="C334" s="102" t="n"/>
      <c r="D334" s="103" t="n"/>
      <c r="E334" s="102" t="n"/>
      <c r="F334" s="104" t="n"/>
      <c r="G334" s="104" t="n"/>
      <c r="H334" s="102" t="n"/>
      <c r="I334" s="105" t="n"/>
      <c r="J334" s="105" t="n"/>
      <c r="K334" s="103" t="n"/>
      <c r="L334" s="106" t="str">
        <f>IF(OR(D334="",E334=""),"",D334+IF(E334="NOTIFICAÇÃO DE CONSTATAÇÃO",PrazoConst,PrazoEsc))</f>
        <v/>
      </c>
      <c r="M334" s="107" t="str">
        <f>IF(L334="","",L334-TODAY())</f>
        <v/>
      </c>
      <c r="N334" s="108" t="str">
        <f>IF(B334="","",IF(G334="DECISÃO D.P","EM DECISÃO",IF(G334="","SEM STATUS",IF(M334="","SEM DATA",IF(M334&lt;0,"VENCIDO",IF(M334&lt;=DiasAlerta,"VENCE EM BREVE","NO PRAZO"))))))</f>
        <v/>
      </c>
      <c r="O334" s="109" t="str">
        <f>IF(D334="","",TODAY()-D334)</f>
        <v/>
      </c>
      <c r="P334" s="102" t="n"/>
    </row>
    <row r="335" ht="18" customHeight="1">
      <c r="A335" s="101" t="n"/>
      <c r="B335" s="102" t="n"/>
      <c r="C335" s="102" t="n"/>
      <c r="D335" s="103" t="n"/>
      <c r="E335" s="102" t="n"/>
      <c r="F335" s="104" t="n"/>
      <c r="G335" s="104" t="n"/>
      <c r="H335" s="102" t="n"/>
      <c r="I335" s="105" t="n"/>
      <c r="J335" s="105" t="n"/>
      <c r="K335" s="103" t="n"/>
      <c r="L335" s="106" t="str">
        <f>IF(OR(D335="",E335=""),"",D335+IF(E335="NOTIFICAÇÃO DE CONSTATAÇÃO",PrazoConst,PrazoEsc))</f>
        <v/>
      </c>
      <c r="M335" s="107" t="str">
        <f>IF(L335="","",L335-TODAY())</f>
        <v/>
      </c>
      <c r="N335" s="108" t="str">
        <f>IF(B335="","",IF(G335="DECISÃO D.P","EM DECISÃO",IF(G335="","SEM STATUS",IF(M335="","SEM DATA",IF(M335&lt;0,"VENCIDO",IF(M335&lt;=DiasAlerta,"VENCE EM BREVE","NO PRAZO"))))))</f>
        <v/>
      </c>
      <c r="O335" s="109" t="str">
        <f>IF(D335="","",TODAY()-D335)</f>
        <v/>
      </c>
      <c r="P335" s="102" t="n"/>
    </row>
    <row r="336" ht="18" customHeight="1">
      <c r="A336" s="101" t="n"/>
      <c r="B336" s="102" t="n"/>
      <c r="C336" s="102" t="n"/>
      <c r="D336" s="103" t="n"/>
      <c r="E336" s="102" t="n"/>
      <c r="F336" s="104" t="n"/>
      <c r="G336" s="104" t="n"/>
      <c r="H336" s="102" t="n"/>
      <c r="I336" s="105" t="n"/>
      <c r="J336" s="105" t="n"/>
      <c r="K336" s="103" t="n"/>
      <c r="L336" s="106" t="str">
        <f>IF(OR(D336="",E336=""),"",D336+IF(E336="NOTIFICAÇÃO DE CONSTATAÇÃO",PrazoConst,PrazoEsc))</f>
        <v/>
      </c>
      <c r="M336" s="107" t="str">
        <f>IF(L336="","",L336-TODAY())</f>
        <v/>
      </c>
      <c r="N336" s="108" t="str">
        <f>IF(B336="","",IF(G336="DECISÃO D.P","EM DECISÃO",IF(G336="","SEM STATUS",IF(M336="","SEM DATA",IF(M336&lt;0,"VENCIDO",IF(M336&lt;=DiasAlerta,"VENCE EM BREVE","NO PRAZO"))))))</f>
        <v/>
      </c>
      <c r="O336" s="109" t="str">
        <f>IF(D336="","",TODAY()-D336)</f>
        <v/>
      </c>
      <c r="P336" s="102" t="n"/>
    </row>
    <row r="337" ht="18" customHeight="1">
      <c r="A337" s="101" t="n"/>
      <c r="B337" s="102" t="n"/>
      <c r="C337" s="102" t="n"/>
      <c r="D337" s="103" t="n"/>
      <c r="E337" s="102" t="n"/>
      <c r="F337" s="104" t="n"/>
      <c r="G337" s="104" t="n"/>
      <c r="H337" s="102" t="n"/>
      <c r="I337" s="105" t="n"/>
      <c r="J337" s="105" t="n"/>
      <c r="K337" s="103" t="n"/>
      <c r="L337" s="106" t="str">
        <f>IF(OR(D337="",E337=""),"",D337+IF(E337="NOTIFICAÇÃO DE CONSTATAÇÃO",PrazoConst,PrazoEsc))</f>
        <v/>
      </c>
      <c r="M337" s="107" t="str">
        <f>IF(L337="","",L337-TODAY())</f>
        <v/>
      </c>
      <c r="N337" s="108" t="str">
        <f>IF(B337="","",IF(G337="DECISÃO D.P","EM DECISÃO",IF(G337="","SEM STATUS",IF(M337="","SEM DATA",IF(M337&lt;0,"VENCIDO",IF(M337&lt;=DiasAlerta,"VENCE EM BREVE","NO PRAZO"))))))</f>
        <v/>
      </c>
      <c r="O337" s="109" t="str">
        <f>IF(D337="","",TODAY()-D337)</f>
        <v/>
      </c>
      <c r="P337" s="102" t="n"/>
    </row>
    <row r="338" ht="18" customHeight="1">
      <c r="A338" s="101" t="n"/>
      <c r="B338" s="102" t="n"/>
      <c r="C338" s="102" t="n"/>
      <c r="D338" s="103" t="n"/>
      <c r="E338" s="102" t="n"/>
      <c r="F338" s="104" t="n"/>
      <c r="G338" s="104" t="n"/>
      <c r="H338" s="102" t="n"/>
      <c r="I338" s="105" t="n"/>
      <c r="J338" s="105" t="n"/>
      <c r="K338" s="103" t="n"/>
      <c r="L338" s="106" t="str">
        <f>IF(OR(D338="",E338=""),"",D338+IF(E338="NOTIFICAÇÃO DE CONSTATAÇÃO",PrazoConst,PrazoEsc))</f>
        <v/>
      </c>
      <c r="M338" s="107" t="str">
        <f>IF(L338="","",L338-TODAY())</f>
        <v/>
      </c>
      <c r="N338" s="108" t="str">
        <f>IF(B338="","",IF(G338="DECISÃO D.P","EM DECISÃO",IF(G338="","SEM STATUS",IF(M338="","SEM DATA",IF(M338&lt;0,"VENCIDO",IF(M338&lt;=DiasAlerta,"VENCE EM BREVE","NO PRAZO"))))))</f>
        <v/>
      </c>
      <c r="O338" s="109" t="str">
        <f>IF(D338="","",TODAY()-D338)</f>
        <v/>
      </c>
      <c r="P338" s="102" t="n"/>
    </row>
    <row r="339" ht="18" customHeight="1">
      <c r="A339" s="101" t="n"/>
      <c r="B339" s="102" t="n"/>
      <c r="C339" s="102" t="n"/>
      <c r="D339" s="103" t="n"/>
      <c r="E339" s="102" t="n"/>
      <c r="F339" s="104" t="n"/>
      <c r="G339" s="104" t="n"/>
      <c r="H339" s="102" t="n"/>
      <c r="I339" s="105" t="n"/>
      <c r="J339" s="105" t="n"/>
      <c r="K339" s="103" t="n"/>
      <c r="L339" s="106" t="str">
        <f>IF(OR(D339="",E339=""),"",D339+IF(E339="NOTIFICAÇÃO DE CONSTATAÇÃO",PrazoConst,PrazoEsc))</f>
        <v/>
      </c>
      <c r="M339" s="107" t="str">
        <f>IF(L339="","",L339-TODAY())</f>
        <v/>
      </c>
      <c r="N339" s="108" t="str">
        <f>IF(B339="","",IF(G339="DECISÃO D.P","EM DECISÃO",IF(G339="","SEM STATUS",IF(M339="","SEM DATA",IF(M339&lt;0,"VENCIDO",IF(M339&lt;=DiasAlerta,"VENCE EM BREVE","NO PRAZO"))))))</f>
        <v/>
      </c>
      <c r="O339" s="109" t="str">
        <f>IF(D339="","",TODAY()-D339)</f>
        <v/>
      </c>
      <c r="P339" s="102" t="n"/>
    </row>
    <row r="340" ht="18" customHeight="1">
      <c r="A340" s="101" t="n"/>
      <c r="B340" s="102" t="n"/>
      <c r="C340" s="102" t="n"/>
      <c r="D340" s="103" t="n"/>
      <c r="E340" s="102" t="n"/>
      <c r="F340" s="104" t="n"/>
      <c r="G340" s="104" t="n"/>
      <c r="H340" s="102" t="n"/>
      <c r="I340" s="105" t="n"/>
      <c r="J340" s="105" t="n"/>
      <c r="K340" s="103" t="n"/>
      <c r="L340" s="106" t="str">
        <f>IF(OR(D340="",E340=""),"",D340+IF(E340="NOTIFICAÇÃO DE CONSTATAÇÃO",PrazoConst,PrazoEsc))</f>
        <v/>
      </c>
      <c r="M340" s="107" t="str">
        <f>IF(L340="","",L340-TODAY())</f>
        <v/>
      </c>
      <c r="N340" s="108" t="str">
        <f>IF(B340="","",IF(G340="DECISÃO D.P","EM DECISÃO",IF(G340="","SEM STATUS",IF(M340="","SEM DATA",IF(M340&lt;0,"VENCIDO",IF(M340&lt;=DiasAlerta,"VENCE EM BREVE","NO PRAZO"))))))</f>
        <v/>
      </c>
      <c r="O340" s="109" t="str">
        <f>IF(D340="","",TODAY()-D340)</f>
        <v/>
      </c>
      <c r="P340" s="102" t="n"/>
    </row>
    <row r="341" ht="18" customHeight="1">
      <c r="A341" s="101" t="n"/>
      <c r="B341" s="102" t="n"/>
      <c r="C341" s="102" t="n"/>
      <c r="D341" s="103" t="n"/>
      <c r="E341" s="102" t="n"/>
      <c r="F341" s="104" t="n"/>
      <c r="G341" s="104" t="n"/>
      <c r="H341" s="102" t="n"/>
      <c r="I341" s="105" t="n"/>
      <c r="J341" s="105" t="n"/>
      <c r="K341" s="103" t="n"/>
      <c r="L341" s="106" t="str">
        <f>IF(OR(D341="",E341=""),"",D341+IF(E341="NOTIFICAÇÃO DE CONSTATAÇÃO",PrazoConst,PrazoEsc))</f>
        <v/>
      </c>
      <c r="M341" s="107" t="str">
        <f>IF(L341="","",L341-TODAY())</f>
        <v/>
      </c>
      <c r="N341" s="108" t="str">
        <f>IF(B341="","",IF(G341="DECISÃO D.P","EM DECISÃO",IF(G341="","SEM STATUS",IF(M341="","SEM DATA",IF(M341&lt;0,"VENCIDO",IF(M341&lt;=DiasAlerta,"VENCE EM BREVE","NO PRAZO"))))))</f>
        <v/>
      </c>
      <c r="O341" s="109" t="str">
        <f>IF(D341="","",TODAY()-D341)</f>
        <v/>
      </c>
      <c r="P341" s="102" t="n"/>
    </row>
    <row r="342" ht="18" customHeight="1">
      <c r="A342" s="101" t="n"/>
      <c r="B342" s="102" t="n"/>
      <c r="C342" s="102" t="n"/>
      <c r="D342" s="103" t="n"/>
      <c r="E342" s="102" t="n"/>
      <c r="F342" s="104" t="n"/>
      <c r="G342" s="104" t="n"/>
      <c r="H342" s="102" t="n"/>
      <c r="I342" s="105" t="n"/>
      <c r="J342" s="105" t="n"/>
      <c r="K342" s="103" t="n"/>
      <c r="L342" s="106" t="str">
        <f>IF(OR(D342="",E342=""),"",D342+IF(E342="NOTIFICAÇÃO DE CONSTATAÇÃO",PrazoConst,PrazoEsc))</f>
        <v/>
      </c>
      <c r="M342" s="107" t="str">
        <f>IF(L342="","",L342-TODAY())</f>
        <v/>
      </c>
      <c r="N342" s="108" t="str">
        <f>IF(B342="","",IF(G342="DECISÃO D.P","EM DECISÃO",IF(G342="","SEM STATUS",IF(M342="","SEM DATA",IF(M342&lt;0,"VENCIDO",IF(M342&lt;=DiasAlerta,"VENCE EM BREVE","NO PRAZO"))))))</f>
        <v/>
      </c>
      <c r="O342" s="109" t="str">
        <f>IF(D342="","",TODAY()-D342)</f>
        <v/>
      </c>
      <c r="P342" s="102" t="n"/>
    </row>
    <row r="343" ht="18" customHeight="1">
      <c r="A343" s="101" t="n"/>
      <c r="B343" s="102" t="n"/>
      <c r="C343" s="102" t="n"/>
      <c r="D343" s="103" t="n"/>
      <c r="E343" s="102" t="n"/>
      <c r="F343" s="104" t="n"/>
      <c r="G343" s="104" t="n"/>
      <c r="H343" s="102" t="n"/>
      <c r="I343" s="105" t="n"/>
      <c r="J343" s="105" t="n"/>
      <c r="K343" s="103" t="n"/>
      <c r="L343" s="106" t="str">
        <f>IF(OR(D343="",E343=""),"",D343+IF(E343="NOTIFICAÇÃO DE CONSTATAÇÃO",PrazoConst,PrazoEsc))</f>
        <v/>
      </c>
      <c r="M343" s="107" t="str">
        <f>IF(L343="","",L343-TODAY())</f>
        <v/>
      </c>
      <c r="N343" s="108" t="str">
        <f>IF(B343="","",IF(G343="DECISÃO D.P","EM DECISÃO",IF(G343="","SEM STATUS",IF(M343="","SEM DATA",IF(M343&lt;0,"VENCIDO",IF(M343&lt;=DiasAlerta,"VENCE EM BREVE","NO PRAZO"))))))</f>
        <v/>
      </c>
      <c r="O343" s="109" t="str">
        <f>IF(D343="","",TODAY()-D343)</f>
        <v/>
      </c>
      <c r="P343" s="102" t="n"/>
    </row>
    <row r="344" ht="18" customHeight="1">
      <c r="A344" s="101" t="n"/>
      <c r="B344" s="102" t="n"/>
      <c r="C344" s="102" t="n"/>
      <c r="D344" s="103" t="n"/>
      <c r="E344" s="102" t="n"/>
      <c r="F344" s="104" t="n"/>
      <c r="G344" s="104" t="n"/>
      <c r="H344" s="102" t="n"/>
      <c r="I344" s="105" t="n"/>
      <c r="J344" s="105" t="n"/>
      <c r="K344" s="103" t="n"/>
      <c r="L344" s="106" t="str">
        <f>IF(OR(D344="",E344=""),"",D344+IF(E344="NOTIFICAÇÃO DE CONSTATAÇÃO",PrazoConst,PrazoEsc))</f>
        <v/>
      </c>
      <c r="M344" s="107" t="str">
        <f>IF(L344="","",L344-TODAY())</f>
        <v/>
      </c>
      <c r="N344" s="108" t="str">
        <f>IF(B344="","",IF(G344="DECISÃO D.P","EM DECISÃO",IF(G344="","SEM STATUS",IF(M344="","SEM DATA",IF(M344&lt;0,"VENCIDO",IF(M344&lt;=DiasAlerta,"VENCE EM BREVE","NO PRAZO"))))))</f>
        <v/>
      </c>
      <c r="O344" s="109" t="str">
        <f>IF(D344="","",TODAY()-D344)</f>
        <v/>
      </c>
      <c r="P344" s="102" t="n"/>
    </row>
    <row r="345" ht="18" customHeight="1">
      <c r="A345" s="101" t="n"/>
      <c r="B345" s="102" t="n"/>
      <c r="C345" s="102" t="n"/>
      <c r="D345" s="103" t="n"/>
      <c r="E345" s="102" t="n"/>
      <c r="F345" s="104" t="n"/>
      <c r="G345" s="104" t="n"/>
      <c r="H345" s="102" t="n"/>
      <c r="I345" s="105" t="n"/>
      <c r="J345" s="105" t="n"/>
      <c r="K345" s="103" t="n"/>
      <c r="L345" s="106" t="str">
        <f>IF(OR(D345="",E345=""),"",D345+IF(E345="NOTIFICAÇÃO DE CONSTATAÇÃO",PrazoConst,PrazoEsc))</f>
        <v/>
      </c>
      <c r="M345" s="107" t="str">
        <f>IF(L345="","",L345-TODAY())</f>
        <v/>
      </c>
      <c r="N345" s="108" t="str">
        <f>IF(B345="","",IF(G345="DECISÃO D.P","EM DECISÃO",IF(G345="","SEM STATUS",IF(M345="","SEM DATA",IF(M345&lt;0,"VENCIDO",IF(M345&lt;=DiasAlerta,"VENCE EM BREVE","NO PRAZO"))))))</f>
        <v/>
      </c>
      <c r="O345" s="109" t="str">
        <f>IF(D345="","",TODAY()-D345)</f>
        <v/>
      </c>
      <c r="P345" s="102" t="n"/>
    </row>
    <row r="346" ht="18" customHeight="1">
      <c r="A346" s="101" t="n"/>
      <c r="B346" s="102" t="n"/>
      <c r="C346" s="102" t="n"/>
      <c r="D346" s="103" t="n"/>
      <c r="E346" s="102" t="n"/>
      <c r="F346" s="104" t="n"/>
      <c r="G346" s="104" t="n"/>
      <c r="H346" s="102" t="n"/>
      <c r="I346" s="105" t="n"/>
      <c r="J346" s="105" t="n"/>
      <c r="K346" s="103" t="n"/>
      <c r="L346" s="106" t="str">
        <f>IF(OR(D346="",E346=""),"",D346+IF(E346="NOTIFICAÇÃO DE CONSTATAÇÃO",PrazoConst,PrazoEsc))</f>
        <v/>
      </c>
      <c r="M346" s="107" t="str">
        <f>IF(L346="","",L346-TODAY())</f>
        <v/>
      </c>
      <c r="N346" s="108" t="str">
        <f>IF(B346="","",IF(G346="DECISÃO D.P","EM DECISÃO",IF(G346="","SEM STATUS",IF(M346="","SEM DATA",IF(M346&lt;0,"VENCIDO",IF(M346&lt;=DiasAlerta,"VENCE EM BREVE","NO PRAZO"))))))</f>
        <v/>
      </c>
      <c r="O346" s="109" t="str">
        <f>IF(D346="","",TODAY()-D346)</f>
        <v/>
      </c>
      <c r="P346" s="102" t="n"/>
    </row>
    <row r="347" ht="18" customHeight="1">
      <c r="A347" s="101" t="n"/>
      <c r="B347" s="102" t="n"/>
      <c r="C347" s="102" t="n"/>
      <c r="D347" s="103" t="n"/>
      <c r="E347" s="102" t="n"/>
      <c r="F347" s="104" t="n"/>
      <c r="G347" s="104" t="n"/>
      <c r="H347" s="102" t="n"/>
      <c r="I347" s="105" t="n"/>
      <c r="J347" s="105" t="n"/>
      <c r="K347" s="103" t="n"/>
      <c r="L347" s="106" t="str">
        <f>IF(OR(D347="",E347=""),"",D347+IF(E347="NOTIFICAÇÃO DE CONSTATAÇÃO",PrazoConst,PrazoEsc))</f>
        <v/>
      </c>
      <c r="M347" s="107" t="str">
        <f>IF(L347="","",L347-TODAY())</f>
        <v/>
      </c>
      <c r="N347" s="108" t="str">
        <f>IF(B347="","",IF(G347="DECISÃO D.P","EM DECISÃO",IF(G347="","SEM STATUS",IF(M347="","SEM DATA",IF(M347&lt;0,"VENCIDO",IF(M347&lt;=DiasAlerta,"VENCE EM BREVE","NO PRAZO"))))))</f>
        <v/>
      </c>
      <c r="O347" s="109" t="str">
        <f>IF(D347="","",TODAY()-D347)</f>
        <v/>
      </c>
      <c r="P347" s="102" t="n"/>
    </row>
    <row r="348" ht="18" customHeight="1">
      <c r="A348" s="101" t="n"/>
      <c r="B348" s="102" t="n"/>
      <c r="C348" s="102" t="n"/>
      <c r="D348" s="103" t="n"/>
      <c r="E348" s="102" t="n"/>
      <c r="F348" s="104" t="n"/>
      <c r="G348" s="104" t="n"/>
      <c r="H348" s="102" t="n"/>
      <c r="I348" s="105" t="n"/>
      <c r="J348" s="105" t="n"/>
      <c r="K348" s="103" t="n"/>
      <c r="L348" s="106" t="str">
        <f>IF(OR(D348="",E348=""),"",D348+IF(E348="NOTIFICAÇÃO DE CONSTATAÇÃO",PrazoConst,PrazoEsc))</f>
        <v/>
      </c>
      <c r="M348" s="107" t="str">
        <f>IF(L348="","",L348-TODAY())</f>
        <v/>
      </c>
      <c r="N348" s="108" t="str">
        <f>IF(B348="","",IF(G348="DECISÃO D.P","EM DECISÃO",IF(G348="","SEM STATUS",IF(M348="","SEM DATA",IF(M348&lt;0,"VENCIDO",IF(M348&lt;=DiasAlerta,"VENCE EM BREVE","NO PRAZO"))))))</f>
        <v/>
      </c>
      <c r="O348" s="109" t="str">
        <f>IF(D348="","",TODAY()-D348)</f>
        <v/>
      </c>
      <c r="P348" s="102" t="n"/>
    </row>
    <row r="349" ht="18" customHeight="1">
      <c r="A349" s="101" t="n"/>
      <c r="B349" s="102" t="n"/>
      <c r="C349" s="102" t="n"/>
      <c r="D349" s="103" t="n"/>
      <c r="E349" s="102" t="n"/>
      <c r="F349" s="104" t="n"/>
      <c r="G349" s="104" t="n"/>
      <c r="H349" s="102" t="n"/>
      <c r="I349" s="105" t="n"/>
      <c r="J349" s="105" t="n"/>
      <c r="K349" s="103" t="n"/>
      <c r="L349" s="106" t="str">
        <f>IF(OR(D349="",E349=""),"",D349+IF(E349="NOTIFICAÇÃO DE CONSTATAÇÃO",PrazoConst,PrazoEsc))</f>
        <v/>
      </c>
      <c r="M349" s="107" t="str">
        <f>IF(L349="","",L349-TODAY())</f>
        <v/>
      </c>
      <c r="N349" s="108" t="str">
        <f>IF(B349="","",IF(G349="DECISÃO D.P","EM DECISÃO",IF(G349="","SEM STATUS",IF(M349="","SEM DATA",IF(M349&lt;0,"VENCIDO",IF(M349&lt;=DiasAlerta,"VENCE EM BREVE","NO PRAZO"))))))</f>
        <v/>
      </c>
      <c r="O349" s="109" t="str">
        <f>IF(D349="","",TODAY()-D349)</f>
        <v/>
      </c>
      <c r="P349" s="102" t="n"/>
    </row>
    <row r="350" ht="18" customHeight="1">
      <c r="A350" s="101" t="n"/>
      <c r="B350" s="102" t="n"/>
      <c r="C350" s="102" t="n"/>
      <c r="D350" s="103" t="n"/>
      <c r="E350" s="102" t="n"/>
      <c r="F350" s="104" t="n"/>
      <c r="G350" s="104" t="n"/>
      <c r="H350" s="102" t="n"/>
      <c r="I350" s="105" t="n"/>
      <c r="J350" s="105" t="n"/>
      <c r="K350" s="103" t="n"/>
      <c r="L350" s="106" t="str">
        <f>IF(OR(D350="",E350=""),"",D350+IF(E350="NOTIFICAÇÃO DE CONSTATAÇÃO",PrazoConst,PrazoEsc))</f>
        <v/>
      </c>
      <c r="M350" s="107" t="str">
        <f>IF(L350="","",L350-TODAY())</f>
        <v/>
      </c>
      <c r="N350" s="108" t="str">
        <f>IF(B350="","",IF(G350="DECISÃO D.P","EM DECISÃO",IF(G350="","SEM STATUS",IF(M350="","SEM DATA",IF(M350&lt;0,"VENCIDO",IF(M350&lt;=DiasAlerta,"VENCE EM BREVE","NO PRAZO"))))))</f>
        <v/>
      </c>
      <c r="O350" s="109" t="str">
        <f>IF(D350="","",TODAY()-D350)</f>
        <v/>
      </c>
      <c r="P350" s="102" t="n"/>
    </row>
    <row r="351" ht="18" customHeight="1">
      <c r="A351" s="101" t="n"/>
      <c r="B351" s="102" t="n"/>
      <c r="C351" s="102" t="n"/>
      <c r="D351" s="103" t="n"/>
      <c r="E351" s="102" t="n"/>
      <c r="F351" s="104" t="n"/>
      <c r="G351" s="104" t="n"/>
      <c r="H351" s="102" t="n"/>
      <c r="I351" s="105" t="n"/>
      <c r="J351" s="105" t="n"/>
      <c r="K351" s="103" t="n"/>
      <c r="L351" s="106" t="str">
        <f>IF(OR(D351="",E351=""),"",D351+IF(E351="NOTIFICAÇÃO DE CONSTATAÇÃO",PrazoConst,PrazoEsc))</f>
        <v/>
      </c>
      <c r="M351" s="107" t="str">
        <f>IF(L351="","",L351-TODAY())</f>
        <v/>
      </c>
      <c r="N351" s="108" t="str">
        <f>IF(B351="","",IF(G351="DECISÃO D.P","EM DECISÃO",IF(G351="","SEM STATUS",IF(M351="","SEM DATA",IF(M351&lt;0,"VENCIDO",IF(M351&lt;=DiasAlerta,"VENCE EM BREVE","NO PRAZO"))))))</f>
        <v/>
      </c>
      <c r="O351" s="109" t="str">
        <f>IF(D351="","",TODAY()-D351)</f>
        <v/>
      </c>
      <c r="P351" s="102" t="n"/>
    </row>
    <row r="352" ht="18" customHeight="1">
      <c r="A352" s="101" t="n"/>
      <c r="B352" s="102" t="n"/>
      <c r="C352" s="102" t="n"/>
      <c r="D352" s="103" t="n"/>
      <c r="E352" s="102" t="n"/>
      <c r="F352" s="104" t="n"/>
      <c r="G352" s="104" t="n"/>
      <c r="H352" s="102" t="n"/>
      <c r="I352" s="105" t="n"/>
      <c r="J352" s="105" t="n"/>
      <c r="K352" s="103" t="n"/>
      <c r="L352" s="106" t="str">
        <f>IF(OR(D352="",E352=""),"",D352+IF(E352="NOTIFICAÇÃO DE CONSTATAÇÃO",PrazoConst,PrazoEsc))</f>
        <v/>
      </c>
      <c r="M352" s="107" t="str">
        <f>IF(L352="","",L352-TODAY())</f>
        <v/>
      </c>
      <c r="N352" s="108" t="str">
        <f>IF(B352="","",IF(G352="DECISÃO D.P","EM DECISÃO",IF(G352="","SEM STATUS",IF(M352="","SEM DATA",IF(M352&lt;0,"VENCIDO",IF(M352&lt;=DiasAlerta,"VENCE EM BREVE","NO PRAZO"))))))</f>
        <v/>
      </c>
      <c r="O352" s="109" t="str">
        <f>IF(D352="","",TODAY()-D352)</f>
        <v/>
      </c>
      <c r="P352" s="102" t="n"/>
    </row>
    <row r="353" ht="18" customHeight="1">
      <c r="A353" s="101" t="n"/>
      <c r="B353" s="102" t="n"/>
      <c r="C353" s="102" t="n"/>
      <c r="D353" s="103" t="n"/>
      <c r="E353" s="102" t="n"/>
      <c r="F353" s="104" t="n"/>
      <c r="G353" s="104" t="n"/>
      <c r="H353" s="102" t="n"/>
      <c r="I353" s="105" t="n"/>
      <c r="J353" s="105" t="n"/>
      <c r="K353" s="103" t="n"/>
      <c r="L353" s="106" t="str">
        <f>IF(OR(D353="",E353=""),"",D353+IF(E353="NOTIFICAÇÃO DE CONSTATAÇÃO",PrazoConst,PrazoEsc))</f>
        <v/>
      </c>
      <c r="M353" s="107" t="str">
        <f>IF(L353="","",L353-TODAY())</f>
        <v/>
      </c>
      <c r="N353" s="108" t="str">
        <f>IF(B353="","",IF(G353="DECISÃO D.P","EM DECISÃO",IF(G353="","SEM STATUS",IF(M353="","SEM DATA",IF(M353&lt;0,"VENCIDO",IF(M353&lt;=DiasAlerta,"VENCE EM BREVE","NO PRAZO"))))))</f>
        <v/>
      </c>
      <c r="O353" s="109" t="str">
        <f>IF(D353="","",TODAY()-D353)</f>
        <v/>
      </c>
      <c r="P353" s="102" t="n"/>
    </row>
    <row r="354" ht="18" customHeight="1">
      <c r="A354" s="101" t="n"/>
      <c r="B354" s="102" t="n"/>
      <c r="C354" s="102" t="n"/>
      <c r="D354" s="103" t="n"/>
      <c r="E354" s="102" t="n"/>
      <c r="F354" s="104" t="n"/>
      <c r="G354" s="104" t="n"/>
      <c r="H354" s="102" t="n"/>
      <c r="I354" s="105" t="n"/>
      <c r="J354" s="105" t="n"/>
      <c r="K354" s="103" t="n"/>
      <c r="L354" s="106" t="str">
        <f>IF(OR(D354="",E354=""),"",D354+IF(E354="NOTIFICAÇÃO DE CONSTATAÇÃO",PrazoConst,PrazoEsc))</f>
        <v/>
      </c>
      <c r="M354" s="107" t="str">
        <f>IF(L354="","",L354-TODAY())</f>
        <v/>
      </c>
      <c r="N354" s="108" t="str">
        <f>IF(B354="","",IF(G354="DECISÃO D.P","EM DECISÃO",IF(G354="","SEM STATUS",IF(M354="","SEM DATA",IF(M354&lt;0,"VENCIDO",IF(M354&lt;=DiasAlerta,"VENCE EM BREVE","NO PRAZO"))))))</f>
        <v/>
      </c>
      <c r="O354" s="109" t="str">
        <f>IF(D354="","",TODAY()-D354)</f>
        <v/>
      </c>
      <c r="P354" s="102" t="n"/>
    </row>
    <row r="355" ht="18" customHeight="1">
      <c r="A355" s="101" t="n"/>
      <c r="B355" s="102" t="n"/>
      <c r="C355" s="102" t="n"/>
      <c r="D355" s="103" t="n"/>
      <c r="E355" s="102" t="n"/>
      <c r="F355" s="104" t="n"/>
      <c r="G355" s="104" t="n"/>
      <c r="H355" s="102" t="n"/>
      <c r="I355" s="105" t="n"/>
      <c r="J355" s="105" t="n"/>
      <c r="K355" s="103" t="n"/>
      <c r="L355" s="106" t="str">
        <f>IF(OR(D355="",E355=""),"",D355+IF(E355="NOTIFICAÇÃO DE CONSTATAÇÃO",PrazoConst,PrazoEsc))</f>
        <v/>
      </c>
      <c r="M355" s="107" t="str">
        <f>IF(L355="","",L355-TODAY())</f>
        <v/>
      </c>
      <c r="N355" s="108" t="str">
        <f>IF(B355="","",IF(G355="DECISÃO D.P","EM DECISÃO",IF(G355="","SEM STATUS",IF(M355="","SEM DATA",IF(M355&lt;0,"VENCIDO",IF(M355&lt;=DiasAlerta,"VENCE EM BREVE","NO PRAZO"))))))</f>
        <v/>
      </c>
      <c r="O355" s="109" t="str">
        <f>IF(D355="","",TODAY()-D355)</f>
        <v/>
      </c>
      <c r="P355" s="102" t="n"/>
    </row>
    <row r="356" ht="18" customHeight="1">
      <c r="A356" s="101" t="n"/>
      <c r="B356" s="102" t="n"/>
      <c r="C356" s="102" t="n"/>
      <c r="D356" s="103" t="n"/>
      <c r="E356" s="102" t="n"/>
      <c r="F356" s="104" t="n"/>
      <c r="G356" s="104" t="n"/>
      <c r="H356" s="102" t="n"/>
      <c r="I356" s="105" t="n"/>
      <c r="J356" s="105" t="n"/>
      <c r="K356" s="103" t="n"/>
      <c r="L356" s="106" t="str">
        <f>IF(OR(D356="",E356=""),"",D356+IF(E356="NOTIFICAÇÃO DE CONSTATAÇÃO",PrazoConst,PrazoEsc))</f>
        <v/>
      </c>
      <c r="M356" s="107" t="str">
        <f>IF(L356="","",L356-TODAY())</f>
        <v/>
      </c>
      <c r="N356" s="108" t="str">
        <f>IF(B356="","",IF(G356="DECISÃO D.P","EM DECISÃO",IF(G356="","SEM STATUS",IF(M356="","SEM DATA",IF(M356&lt;0,"VENCIDO",IF(M356&lt;=DiasAlerta,"VENCE EM BREVE","NO PRAZO"))))))</f>
        <v/>
      </c>
      <c r="O356" s="109" t="str">
        <f>IF(D356="","",TODAY()-D356)</f>
        <v/>
      </c>
      <c r="P356" s="102" t="n"/>
    </row>
    <row r="357" ht="18" customHeight="1">
      <c r="A357" s="101" t="n"/>
      <c r="B357" s="102" t="n"/>
      <c r="C357" s="102" t="n"/>
      <c r="D357" s="103" t="n"/>
      <c r="E357" s="102" t="n"/>
      <c r="F357" s="104" t="n"/>
      <c r="G357" s="104" t="n"/>
      <c r="H357" s="102" t="n"/>
      <c r="I357" s="105" t="n"/>
      <c r="J357" s="105" t="n"/>
      <c r="K357" s="103" t="n"/>
      <c r="L357" s="106" t="str">
        <f>IF(OR(D357="",E357=""),"",D357+IF(E357="NOTIFICAÇÃO DE CONSTATAÇÃO",PrazoConst,PrazoEsc))</f>
        <v/>
      </c>
      <c r="M357" s="107" t="str">
        <f>IF(L357="","",L357-TODAY())</f>
        <v/>
      </c>
      <c r="N357" s="108" t="str">
        <f>IF(B357="","",IF(G357="DECISÃO D.P","EM DECISÃO",IF(G357="","SEM STATUS",IF(M357="","SEM DATA",IF(M357&lt;0,"VENCIDO",IF(M357&lt;=DiasAlerta,"VENCE EM BREVE","NO PRAZO"))))))</f>
        <v/>
      </c>
      <c r="O357" s="109" t="str">
        <f>IF(D357="","",TODAY()-D357)</f>
        <v/>
      </c>
      <c r="P357" s="102" t="n"/>
    </row>
    <row r="358" ht="18" customHeight="1">
      <c r="A358" s="101" t="n"/>
      <c r="B358" s="102" t="n"/>
      <c r="C358" s="102" t="n"/>
      <c r="D358" s="103" t="n"/>
      <c r="E358" s="102" t="n"/>
      <c r="F358" s="104" t="n"/>
      <c r="G358" s="104" t="n"/>
      <c r="H358" s="102" t="n"/>
      <c r="I358" s="105" t="n"/>
      <c r="J358" s="105" t="n"/>
      <c r="K358" s="103" t="n"/>
      <c r="L358" s="106" t="str">
        <f>IF(OR(D358="",E358=""),"",D358+IF(E358="NOTIFICAÇÃO DE CONSTATAÇÃO",PrazoConst,PrazoEsc))</f>
        <v/>
      </c>
      <c r="M358" s="107" t="str">
        <f>IF(L358="","",L358-TODAY())</f>
        <v/>
      </c>
      <c r="N358" s="108" t="str">
        <f>IF(B358="","",IF(G358="DECISÃO D.P","EM DECISÃO",IF(G358="","SEM STATUS",IF(M358="","SEM DATA",IF(M358&lt;0,"VENCIDO",IF(M358&lt;=DiasAlerta,"VENCE EM BREVE","NO PRAZO"))))))</f>
        <v/>
      </c>
      <c r="O358" s="109" t="str">
        <f>IF(D358="","",TODAY()-D358)</f>
        <v/>
      </c>
      <c r="P358" s="102" t="n"/>
    </row>
    <row r="359" ht="18" customHeight="1">
      <c r="A359" s="101" t="n"/>
      <c r="B359" s="102" t="n"/>
      <c r="C359" s="102" t="n"/>
      <c r="D359" s="103" t="n"/>
      <c r="E359" s="102" t="n"/>
      <c r="F359" s="104" t="n"/>
      <c r="G359" s="104" t="n"/>
      <c r="H359" s="102" t="n"/>
      <c r="I359" s="105" t="n"/>
      <c r="J359" s="105" t="n"/>
      <c r="K359" s="103" t="n"/>
      <c r="L359" s="106" t="str">
        <f>IF(OR(D359="",E359=""),"",D359+IF(E359="NOTIFICAÇÃO DE CONSTATAÇÃO",PrazoConst,PrazoEsc))</f>
        <v/>
      </c>
      <c r="M359" s="107" t="str">
        <f>IF(L359="","",L359-TODAY())</f>
        <v/>
      </c>
      <c r="N359" s="108" t="str">
        <f>IF(B359="","",IF(G359="DECISÃO D.P","EM DECISÃO",IF(G359="","SEM STATUS",IF(M359="","SEM DATA",IF(M359&lt;0,"VENCIDO",IF(M359&lt;=DiasAlerta,"VENCE EM BREVE","NO PRAZO"))))))</f>
        <v/>
      </c>
      <c r="O359" s="109" t="str">
        <f>IF(D359="","",TODAY()-D359)</f>
        <v/>
      </c>
      <c r="P359" s="102" t="n"/>
    </row>
    <row r="360" ht="18" customHeight="1">
      <c r="A360" s="101" t="n"/>
      <c r="B360" s="102" t="n"/>
      <c r="C360" s="102" t="n"/>
      <c r="D360" s="103" t="n"/>
      <c r="E360" s="102" t="n"/>
      <c r="F360" s="104" t="n"/>
      <c r="G360" s="104" t="n"/>
      <c r="H360" s="102" t="n"/>
      <c r="I360" s="105" t="n"/>
      <c r="J360" s="105" t="n"/>
      <c r="K360" s="103" t="n"/>
      <c r="L360" s="106" t="str">
        <f>IF(OR(D360="",E360=""),"",D360+IF(E360="NOTIFICAÇÃO DE CONSTATAÇÃO",PrazoConst,PrazoEsc))</f>
        <v/>
      </c>
      <c r="M360" s="107" t="str">
        <f>IF(L360="","",L360-TODAY())</f>
        <v/>
      </c>
      <c r="N360" s="108" t="str">
        <f>IF(B360="","",IF(G360="DECISÃO D.P","EM DECISÃO",IF(G360="","SEM STATUS",IF(M360="","SEM DATA",IF(M360&lt;0,"VENCIDO",IF(M360&lt;=DiasAlerta,"VENCE EM BREVE","NO PRAZO"))))))</f>
        <v/>
      </c>
      <c r="O360" s="109" t="str">
        <f>IF(D360="","",TODAY()-D360)</f>
        <v/>
      </c>
      <c r="P360" s="102" t="n"/>
    </row>
    <row r="361" ht="18" customHeight="1">
      <c r="A361" s="101" t="n"/>
      <c r="B361" s="102" t="n"/>
      <c r="C361" s="102" t="n"/>
      <c r="D361" s="103" t="n"/>
      <c r="E361" s="102" t="n"/>
      <c r="F361" s="104" t="n"/>
      <c r="G361" s="104" t="n"/>
      <c r="H361" s="102" t="n"/>
      <c r="I361" s="105" t="n"/>
      <c r="J361" s="105" t="n"/>
      <c r="K361" s="103" t="n"/>
      <c r="L361" s="106" t="str">
        <f>IF(OR(D361="",E361=""),"",D361+IF(E361="NOTIFICAÇÃO DE CONSTATAÇÃO",PrazoConst,PrazoEsc))</f>
        <v/>
      </c>
      <c r="M361" s="107" t="str">
        <f>IF(L361="","",L361-TODAY())</f>
        <v/>
      </c>
      <c r="N361" s="108" t="str">
        <f>IF(B361="","",IF(G361="DECISÃO D.P","EM DECISÃO",IF(G361="","SEM STATUS",IF(M361="","SEM DATA",IF(M361&lt;0,"VENCIDO",IF(M361&lt;=DiasAlerta,"VENCE EM BREVE","NO PRAZO"))))))</f>
        <v/>
      </c>
      <c r="O361" s="109" t="str">
        <f>IF(D361="","",TODAY()-D361)</f>
        <v/>
      </c>
      <c r="P361" s="102" t="n"/>
    </row>
    <row r="362" ht="18" customHeight="1">
      <c r="A362" s="101" t="n"/>
      <c r="B362" s="102" t="n"/>
      <c r="C362" s="102" t="n"/>
      <c r="D362" s="103" t="n"/>
      <c r="E362" s="102" t="n"/>
      <c r="F362" s="104" t="n"/>
      <c r="G362" s="104" t="n"/>
      <c r="H362" s="102" t="n"/>
      <c r="I362" s="105" t="n"/>
      <c r="J362" s="105" t="n"/>
      <c r="K362" s="103" t="n"/>
      <c r="L362" s="106" t="str">
        <f>IF(OR(D362="",E362=""),"",D362+IF(E362="NOTIFICAÇÃO DE CONSTATAÇÃO",PrazoConst,PrazoEsc))</f>
        <v/>
      </c>
      <c r="M362" s="107" t="str">
        <f>IF(L362="","",L362-TODAY())</f>
        <v/>
      </c>
      <c r="N362" s="108" t="str">
        <f>IF(B362="","",IF(G362="DECISÃO D.P","EM DECISÃO",IF(G362="","SEM STATUS",IF(M362="","SEM DATA",IF(M362&lt;0,"VENCIDO",IF(M362&lt;=DiasAlerta,"VENCE EM BREVE","NO PRAZO"))))))</f>
        <v/>
      </c>
      <c r="O362" s="109" t="str">
        <f>IF(D362="","",TODAY()-D362)</f>
        <v/>
      </c>
      <c r="P362" s="102" t="n"/>
    </row>
    <row r="363" ht="18" customHeight="1">
      <c r="A363" s="101" t="n"/>
      <c r="B363" s="102" t="n"/>
      <c r="C363" s="102" t="n"/>
      <c r="D363" s="103" t="n"/>
      <c r="E363" s="102" t="n"/>
      <c r="F363" s="104" t="n"/>
      <c r="G363" s="104" t="n"/>
      <c r="H363" s="102" t="n"/>
      <c r="I363" s="105" t="n"/>
      <c r="J363" s="105" t="n"/>
      <c r="K363" s="103" t="n"/>
      <c r="L363" s="106" t="str">
        <f>IF(OR(D363="",E363=""),"",D363+IF(E363="NOTIFICAÇÃO DE CONSTATAÇÃO",PrazoConst,PrazoEsc))</f>
        <v/>
      </c>
      <c r="M363" s="107" t="str">
        <f>IF(L363="","",L363-TODAY())</f>
        <v/>
      </c>
      <c r="N363" s="108" t="str">
        <f>IF(B363="","",IF(G363="DECISÃO D.P","EM DECISÃO",IF(G363="","SEM STATUS",IF(M363="","SEM DATA",IF(M363&lt;0,"VENCIDO",IF(M363&lt;=DiasAlerta,"VENCE EM BREVE","NO PRAZO"))))))</f>
        <v/>
      </c>
      <c r="O363" s="109" t="str">
        <f>IF(D363="","",TODAY()-D363)</f>
        <v/>
      </c>
      <c r="P363" s="102" t="n"/>
    </row>
    <row r="364" ht="18" customHeight="1">
      <c r="A364" s="101" t="n"/>
      <c r="B364" s="102" t="n"/>
      <c r="C364" s="102" t="n"/>
      <c r="D364" s="103" t="n"/>
      <c r="E364" s="102" t="n"/>
      <c r="F364" s="104" t="n"/>
      <c r="G364" s="104" t="n"/>
      <c r="H364" s="102" t="n"/>
      <c r="I364" s="105" t="n"/>
      <c r="J364" s="105" t="n"/>
      <c r="K364" s="103" t="n"/>
      <c r="L364" s="106" t="str">
        <f>IF(OR(D364="",E364=""),"",D364+IF(E364="NOTIFICAÇÃO DE CONSTATAÇÃO",PrazoConst,PrazoEsc))</f>
        <v/>
      </c>
      <c r="M364" s="107" t="str">
        <f>IF(L364="","",L364-TODAY())</f>
        <v/>
      </c>
      <c r="N364" s="108" t="str">
        <f>IF(B364="","",IF(G364="DECISÃO D.P","EM DECISÃO",IF(G364="","SEM STATUS",IF(M364="","SEM DATA",IF(M364&lt;0,"VENCIDO",IF(M364&lt;=DiasAlerta,"VENCE EM BREVE","NO PRAZO"))))))</f>
        <v/>
      </c>
      <c r="O364" s="109" t="str">
        <f>IF(D364="","",TODAY()-D364)</f>
        <v/>
      </c>
      <c r="P364" s="102" t="n"/>
    </row>
    <row r="365" ht="18" customHeight="1">
      <c r="A365" s="101" t="n"/>
      <c r="B365" s="102" t="n"/>
      <c r="C365" s="102" t="n"/>
      <c r="D365" s="103" t="n"/>
      <c r="E365" s="102" t="n"/>
      <c r="F365" s="104" t="n"/>
      <c r="G365" s="104" t="n"/>
      <c r="H365" s="102" t="n"/>
      <c r="I365" s="105" t="n"/>
      <c r="J365" s="105" t="n"/>
      <c r="K365" s="103" t="n"/>
      <c r="L365" s="106" t="str">
        <f>IF(OR(D365="",E365=""),"",D365+IF(E365="NOTIFICAÇÃO DE CONSTATAÇÃO",PrazoConst,PrazoEsc))</f>
        <v/>
      </c>
      <c r="M365" s="107" t="str">
        <f>IF(L365="","",L365-TODAY())</f>
        <v/>
      </c>
      <c r="N365" s="108" t="str">
        <f>IF(B365="","",IF(G365="DECISÃO D.P","EM DECISÃO",IF(G365="","SEM STATUS",IF(M365="","SEM DATA",IF(M365&lt;0,"VENCIDO",IF(M365&lt;=DiasAlerta,"VENCE EM BREVE","NO PRAZO"))))))</f>
        <v/>
      </c>
      <c r="O365" s="109" t="str">
        <f>IF(D365="","",TODAY()-D365)</f>
        <v/>
      </c>
      <c r="P365" s="102" t="n"/>
    </row>
    <row r="366" ht="18" customHeight="1">
      <c r="A366" s="101" t="n"/>
      <c r="B366" s="102" t="n"/>
      <c r="C366" s="102" t="n"/>
      <c r="D366" s="103" t="n"/>
      <c r="E366" s="102" t="n"/>
      <c r="F366" s="104" t="n"/>
      <c r="G366" s="104" t="n"/>
      <c r="H366" s="102" t="n"/>
      <c r="I366" s="105" t="n"/>
      <c r="J366" s="105" t="n"/>
      <c r="K366" s="103" t="n"/>
      <c r="L366" s="106" t="str">
        <f>IF(OR(D366="",E366=""),"",D366+IF(E366="NOTIFICAÇÃO DE CONSTATAÇÃO",PrazoConst,PrazoEsc))</f>
        <v/>
      </c>
      <c r="M366" s="107" t="str">
        <f>IF(L366="","",L366-TODAY())</f>
        <v/>
      </c>
      <c r="N366" s="108" t="str">
        <f>IF(B366="","",IF(G366="DECISÃO D.P","EM DECISÃO",IF(G366="","SEM STATUS",IF(M366="","SEM DATA",IF(M366&lt;0,"VENCIDO",IF(M366&lt;=DiasAlerta,"VENCE EM BREVE","NO PRAZO"))))))</f>
        <v/>
      </c>
      <c r="O366" s="109" t="str">
        <f>IF(D366="","",TODAY()-D366)</f>
        <v/>
      </c>
      <c r="P366" s="102" t="n"/>
    </row>
    <row r="367" ht="18" customHeight="1">
      <c r="A367" s="101" t="n"/>
      <c r="B367" s="102" t="n"/>
      <c r="C367" s="102" t="n"/>
      <c r="D367" s="103" t="n"/>
      <c r="E367" s="102" t="n"/>
      <c r="F367" s="104" t="n"/>
      <c r="G367" s="104" t="n"/>
      <c r="H367" s="102" t="n"/>
      <c r="I367" s="105" t="n"/>
      <c r="J367" s="105" t="n"/>
      <c r="K367" s="103" t="n"/>
      <c r="L367" s="106" t="str">
        <f>IF(OR(D367="",E367=""),"",D367+IF(E367="NOTIFICAÇÃO DE CONSTATAÇÃO",PrazoConst,PrazoEsc))</f>
        <v/>
      </c>
      <c r="M367" s="107" t="str">
        <f>IF(L367="","",L367-TODAY())</f>
        <v/>
      </c>
      <c r="N367" s="108" t="str">
        <f>IF(B367="","",IF(G367="DECISÃO D.P","EM DECISÃO",IF(G367="","SEM STATUS",IF(M367="","SEM DATA",IF(M367&lt;0,"VENCIDO",IF(M367&lt;=DiasAlerta,"VENCE EM BREVE","NO PRAZO"))))))</f>
        <v/>
      </c>
      <c r="O367" s="109" t="str">
        <f>IF(D367="","",TODAY()-D367)</f>
        <v/>
      </c>
      <c r="P367" s="102" t="n"/>
    </row>
    <row r="368" ht="18" customHeight="1">
      <c r="A368" s="101" t="n"/>
      <c r="B368" s="102" t="n"/>
      <c r="C368" s="102" t="n"/>
      <c r="D368" s="103" t="n"/>
      <c r="E368" s="102" t="n"/>
      <c r="F368" s="104" t="n"/>
      <c r="G368" s="104" t="n"/>
      <c r="H368" s="102" t="n"/>
      <c r="I368" s="105" t="n"/>
      <c r="J368" s="105" t="n"/>
      <c r="K368" s="103" t="n"/>
      <c r="L368" s="106" t="str">
        <f>IF(OR(D368="",E368=""),"",D368+IF(E368="NOTIFICAÇÃO DE CONSTATAÇÃO",PrazoConst,PrazoEsc))</f>
        <v/>
      </c>
      <c r="M368" s="107" t="str">
        <f>IF(L368="","",L368-TODAY())</f>
        <v/>
      </c>
      <c r="N368" s="108" t="str">
        <f>IF(B368="","",IF(G368="DECISÃO D.P","EM DECISÃO",IF(G368="","SEM STATUS",IF(M368="","SEM DATA",IF(M368&lt;0,"VENCIDO",IF(M368&lt;=DiasAlerta,"VENCE EM BREVE","NO PRAZO"))))))</f>
        <v/>
      </c>
      <c r="O368" s="109" t="str">
        <f>IF(D368="","",TODAY()-D368)</f>
        <v/>
      </c>
      <c r="P368" s="102" t="n"/>
    </row>
    <row r="369" ht="18" customHeight="1">
      <c r="A369" s="101" t="n"/>
      <c r="B369" s="102" t="n"/>
      <c r="C369" s="102" t="n"/>
      <c r="D369" s="103" t="n"/>
      <c r="E369" s="102" t="n"/>
      <c r="F369" s="104" t="n"/>
      <c r="G369" s="104" t="n"/>
      <c r="H369" s="102" t="n"/>
      <c r="I369" s="105" t="n"/>
      <c r="J369" s="105" t="n"/>
      <c r="K369" s="103" t="n"/>
      <c r="L369" s="106" t="str">
        <f>IF(OR(D369="",E369=""),"",D369+IF(E369="NOTIFICAÇÃO DE CONSTATAÇÃO",PrazoConst,PrazoEsc))</f>
        <v/>
      </c>
      <c r="M369" s="107" t="str">
        <f>IF(L369="","",L369-TODAY())</f>
        <v/>
      </c>
      <c r="N369" s="108" t="str">
        <f>IF(B369="","",IF(G369="DECISÃO D.P","EM DECISÃO",IF(G369="","SEM STATUS",IF(M369="","SEM DATA",IF(M369&lt;0,"VENCIDO",IF(M369&lt;=DiasAlerta,"VENCE EM BREVE","NO PRAZO"))))))</f>
        <v/>
      </c>
      <c r="O369" s="109" t="str">
        <f>IF(D369="","",TODAY()-D369)</f>
        <v/>
      </c>
      <c r="P369" s="102" t="n"/>
    </row>
    <row r="370" ht="18" customHeight="1">
      <c r="A370" s="101" t="n"/>
      <c r="B370" s="102" t="n"/>
      <c r="C370" s="102" t="n"/>
      <c r="D370" s="103" t="n"/>
      <c r="E370" s="102" t="n"/>
      <c r="F370" s="104" t="n"/>
      <c r="G370" s="104" t="n"/>
      <c r="H370" s="102" t="n"/>
      <c r="I370" s="105" t="n"/>
      <c r="J370" s="105" t="n"/>
      <c r="K370" s="103" t="n"/>
      <c r="L370" s="106" t="str">
        <f>IF(OR(D370="",E370=""),"",D370+IF(E370="NOTIFICAÇÃO DE CONSTATAÇÃO",PrazoConst,PrazoEsc))</f>
        <v/>
      </c>
      <c r="M370" s="107" t="str">
        <f>IF(L370="","",L370-TODAY())</f>
        <v/>
      </c>
      <c r="N370" s="108" t="str">
        <f>IF(B370="","",IF(G370="DECISÃO D.P","EM DECISÃO",IF(G370="","SEM STATUS",IF(M370="","SEM DATA",IF(M370&lt;0,"VENCIDO",IF(M370&lt;=DiasAlerta,"VENCE EM BREVE","NO PRAZO"))))))</f>
        <v/>
      </c>
      <c r="O370" s="109" t="str">
        <f>IF(D370="","",TODAY()-D370)</f>
        <v/>
      </c>
      <c r="P370" s="102" t="n"/>
    </row>
    <row r="371" ht="18" customHeight="1">
      <c r="A371" s="101" t="n"/>
      <c r="B371" s="102" t="n"/>
      <c r="C371" s="102" t="n"/>
      <c r="D371" s="103" t="n"/>
      <c r="E371" s="102" t="n"/>
      <c r="F371" s="104" t="n"/>
      <c r="G371" s="104" t="n"/>
      <c r="H371" s="102" t="n"/>
      <c r="I371" s="105" t="n"/>
      <c r="J371" s="105" t="n"/>
      <c r="K371" s="103" t="n"/>
      <c r="L371" s="106" t="str">
        <f>IF(OR(D371="",E371=""),"",D371+IF(E371="NOTIFICAÇÃO DE CONSTATAÇÃO",PrazoConst,PrazoEsc))</f>
        <v/>
      </c>
      <c r="M371" s="107" t="str">
        <f>IF(L371="","",L371-TODAY())</f>
        <v/>
      </c>
      <c r="N371" s="108" t="str">
        <f>IF(B371="","",IF(G371="DECISÃO D.P","EM DECISÃO",IF(G371="","SEM STATUS",IF(M371="","SEM DATA",IF(M371&lt;0,"VENCIDO",IF(M371&lt;=DiasAlerta,"VENCE EM BREVE","NO PRAZO"))))))</f>
        <v/>
      </c>
      <c r="O371" s="109" t="str">
        <f>IF(D371="","",TODAY()-D371)</f>
        <v/>
      </c>
      <c r="P371" s="102" t="n"/>
    </row>
    <row r="372" ht="18" customHeight="1">
      <c r="A372" s="101" t="n"/>
      <c r="B372" s="102" t="n"/>
      <c r="C372" s="102" t="n"/>
      <c r="D372" s="103" t="n"/>
      <c r="E372" s="102" t="n"/>
      <c r="F372" s="104" t="n"/>
      <c r="G372" s="104" t="n"/>
      <c r="H372" s="102" t="n"/>
      <c r="I372" s="105" t="n"/>
      <c r="J372" s="105" t="n"/>
      <c r="K372" s="103" t="n"/>
      <c r="L372" s="106" t="str">
        <f>IF(OR(D372="",E372=""),"",D372+IF(E372="NOTIFICAÇÃO DE CONSTATAÇÃO",PrazoConst,PrazoEsc))</f>
        <v/>
      </c>
      <c r="M372" s="107" t="str">
        <f>IF(L372="","",L372-TODAY())</f>
        <v/>
      </c>
      <c r="N372" s="108" t="str">
        <f>IF(B372="","",IF(G372="DECISÃO D.P","EM DECISÃO",IF(G372="","SEM STATUS",IF(M372="","SEM DATA",IF(M372&lt;0,"VENCIDO",IF(M372&lt;=DiasAlerta,"VENCE EM BREVE","NO PRAZO"))))))</f>
        <v/>
      </c>
      <c r="O372" s="109" t="str">
        <f>IF(D372="","",TODAY()-D372)</f>
        <v/>
      </c>
      <c r="P372" s="102" t="n"/>
    </row>
    <row r="373" ht="18" customHeight="1">
      <c r="A373" s="101" t="n"/>
      <c r="B373" s="102" t="n"/>
      <c r="C373" s="102" t="n"/>
      <c r="D373" s="103" t="n"/>
      <c r="E373" s="102" t="n"/>
      <c r="F373" s="104" t="n"/>
      <c r="G373" s="104" t="n"/>
      <c r="H373" s="102" t="n"/>
      <c r="I373" s="105" t="n"/>
      <c r="J373" s="105" t="n"/>
      <c r="K373" s="103" t="n"/>
      <c r="L373" s="106" t="str">
        <f>IF(OR(D373="",E373=""),"",D373+IF(E373="NOTIFICAÇÃO DE CONSTATAÇÃO",PrazoConst,PrazoEsc))</f>
        <v/>
      </c>
      <c r="M373" s="107" t="str">
        <f>IF(L373="","",L373-TODAY())</f>
        <v/>
      </c>
      <c r="N373" s="108" t="str">
        <f>IF(B373="","",IF(G373="DECISÃO D.P","EM DECISÃO",IF(G373="","SEM STATUS",IF(M373="","SEM DATA",IF(M373&lt;0,"VENCIDO",IF(M373&lt;=DiasAlerta,"VENCE EM BREVE","NO PRAZO"))))))</f>
        <v/>
      </c>
      <c r="O373" s="109" t="str">
        <f>IF(D373="","",TODAY()-D373)</f>
        <v/>
      </c>
      <c r="P373" s="102" t="n"/>
    </row>
    <row r="374" ht="18" customHeight="1">
      <c r="A374" s="101" t="n"/>
      <c r="B374" s="102" t="n"/>
      <c r="C374" s="102" t="n"/>
      <c r="D374" s="103" t="n"/>
      <c r="E374" s="102" t="n"/>
      <c r="F374" s="104" t="n"/>
      <c r="G374" s="104" t="n"/>
      <c r="H374" s="102" t="n"/>
      <c r="I374" s="105" t="n"/>
      <c r="J374" s="105" t="n"/>
      <c r="K374" s="103" t="n"/>
      <c r="L374" s="106" t="str">
        <f>IF(OR(D374="",E374=""),"",D374+IF(E374="NOTIFICAÇÃO DE CONSTATAÇÃO",PrazoConst,PrazoEsc))</f>
        <v/>
      </c>
      <c r="M374" s="107" t="str">
        <f>IF(L374="","",L374-TODAY())</f>
        <v/>
      </c>
      <c r="N374" s="108" t="str">
        <f>IF(B374="","",IF(G374="DECISÃO D.P","EM DECISÃO",IF(G374="","SEM STATUS",IF(M374="","SEM DATA",IF(M374&lt;0,"VENCIDO",IF(M374&lt;=DiasAlerta,"VENCE EM BREVE","NO PRAZO"))))))</f>
        <v/>
      </c>
      <c r="O374" s="109" t="str">
        <f>IF(D374="","",TODAY()-D374)</f>
        <v/>
      </c>
      <c r="P374" s="102" t="n"/>
    </row>
    <row r="375" ht="18" customHeight="1">
      <c r="A375" s="101" t="n"/>
      <c r="B375" s="102" t="n"/>
      <c r="C375" s="102" t="n"/>
      <c r="D375" s="103" t="n"/>
      <c r="E375" s="102" t="n"/>
      <c r="F375" s="104" t="n"/>
      <c r="G375" s="104" t="n"/>
      <c r="H375" s="102" t="n"/>
      <c r="I375" s="105" t="n"/>
      <c r="J375" s="105" t="n"/>
      <c r="K375" s="103" t="n"/>
      <c r="L375" s="106" t="str">
        <f>IF(OR(D375="",E375=""),"",D375+IF(E375="NOTIFICAÇÃO DE CONSTATAÇÃO",PrazoConst,PrazoEsc))</f>
        <v/>
      </c>
      <c r="M375" s="107" t="str">
        <f>IF(L375="","",L375-TODAY())</f>
        <v/>
      </c>
      <c r="N375" s="108" t="str">
        <f>IF(B375="","",IF(G375="DECISÃO D.P","EM DECISÃO",IF(G375="","SEM STATUS",IF(M375="","SEM DATA",IF(M375&lt;0,"VENCIDO",IF(M375&lt;=DiasAlerta,"VENCE EM BREVE","NO PRAZO"))))))</f>
        <v/>
      </c>
      <c r="O375" s="109" t="str">
        <f>IF(D375="","",TODAY()-D375)</f>
        <v/>
      </c>
      <c r="P375" s="102" t="n"/>
    </row>
    <row r="376" ht="18" customHeight="1">
      <c r="A376" s="101" t="n"/>
      <c r="B376" s="102" t="n"/>
      <c r="C376" s="102" t="n"/>
      <c r="D376" s="103" t="n"/>
      <c r="E376" s="102" t="n"/>
      <c r="F376" s="104" t="n"/>
      <c r="G376" s="104" t="n"/>
      <c r="H376" s="102" t="n"/>
      <c r="I376" s="105" t="n"/>
      <c r="J376" s="105" t="n"/>
      <c r="K376" s="103" t="n"/>
      <c r="L376" s="106" t="str">
        <f>IF(OR(D376="",E376=""),"",D376+IF(E376="NOTIFICAÇÃO DE CONSTATAÇÃO",PrazoConst,PrazoEsc))</f>
        <v/>
      </c>
      <c r="M376" s="107" t="str">
        <f>IF(L376="","",L376-TODAY())</f>
        <v/>
      </c>
      <c r="N376" s="108" t="str">
        <f>IF(B376="","",IF(G376="DECISÃO D.P","EM DECISÃO",IF(G376="","SEM STATUS",IF(M376="","SEM DATA",IF(M376&lt;0,"VENCIDO",IF(M376&lt;=DiasAlerta,"VENCE EM BREVE","NO PRAZO"))))))</f>
        <v/>
      </c>
      <c r="O376" s="109" t="str">
        <f>IF(D376="","",TODAY()-D376)</f>
        <v/>
      </c>
      <c r="P376" s="102" t="n"/>
    </row>
    <row r="377" ht="18" customHeight="1">
      <c r="A377" s="101" t="n"/>
      <c r="B377" s="102" t="n"/>
      <c r="C377" s="102" t="n"/>
      <c r="D377" s="103" t="n"/>
      <c r="E377" s="102" t="n"/>
      <c r="F377" s="104" t="n"/>
      <c r="G377" s="104" t="n"/>
      <c r="H377" s="102" t="n"/>
      <c r="I377" s="105" t="n"/>
      <c r="J377" s="105" t="n"/>
      <c r="K377" s="103" t="n"/>
      <c r="L377" s="106" t="str">
        <f>IF(OR(D377="",E377=""),"",D377+IF(E377="NOTIFICAÇÃO DE CONSTATAÇÃO",PrazoConst,PrazoEsc))</f>
        <v/>
      </c>
      <c r="M377" s="107" t="str">
        <f>IF(L377="","",L377-TODAY())</f>
        <v/>
      </c>
      <c r="N377" s="108" t="str">
        <f>IF(B377="","",IF(G377="DECISÃO D.P","EM DECISÃO",IF(G377="","SEM STATUS",IF(M377="","SEM DATA",IF(M377&lt;0,"VENCIDO",IF(M377&lt;=DiasAlerta,"VENCE EM BREVE","NO PRAZO"))))))</f>
        <v/>
      </c>
      <c r="O377" s="109" t="str">
        <f>IF(D377="","",TODAY()-D377)</f>
        <v/>
      </c>
      <c r="P377" s="102" t="n"/>
    </row>
    <row r="378" ht="18" customHeight="1">
      <c r="A378" s="101" t="n"/>
      <c r="B378" s="102" t="n"/>
      <c r="C378" s="102" t="n"/>
      <c r="D378" s="103" t="n"/>
      <c r="E378" s="102" t="n"/>
      <c r="F378" s="104" t="n"/>
      <c r="G378" s="104" t="n"/>
      <c r="H378" s="102" t="n"/>
      <c r="I378" s="105" t="n"/>
      <c r="J378" s="105" t="n"/>
      <c r="K378" s="103" t="n"/>
      <c r="L378" s="106" t="str">
        <f>IF(OR(D378="",E378=""),"",D378+IF(E378="NOTIFICAÇÃO DE CONSTATAÇÃO",PrazoConst,PrazoEsc))</f>
        <v/>
      </c>
      <c r="M378" s="107" t="str">
        <f>IF(L378="","",L378-TODAY())</f>
        <v/>
      </c>
      <c r="N378" s="108" t="str">
        <f>IF(B378="","",IF(G378="DECISÃO D.P","EM DECISÃO",IF(G378="","SEM STATUS",IF(M378="","SEM DATA",IF(M378&lt;0,"VENCIDO",IF(M378&lt;=DiasAlerta,"VENCE EM BREVE","NO PRAZO"))))))</f>
        <v/>
      </c>
      <c r="O378" s="109" t="str">
        <f>IF(D378="","",TODAY()-D378)</f>
        <v/>
      </c>
      <c r="P378" s="102" t="n"/>
    </row>
    <row r="379" ht="18" customHeight="1">
      <c r="A379" s="101" t="n"/>
      <c r="B379" s="102" t="n"/>
      <c r="C379" s="102" t="n"/>
      <c r="D379" s="103" t="n"/>
      <c r="E379" s="102" t="n"/>
      <c r="F379" s="104" t="n"/>
      <c r="G379" s="104" t="n"/>
      <c r="H379" s="102" t="n"/>
      <c r="I379" s="105" t="n"/>
      <c r="J379" s="105" t="n"/>
      <c r="K379" s="103" t="n"/>
      <c r="L379" s="106" t="str">
        <f>IF(OR(D379="",E379=""),"",D379+IF(E379="NOTIFICAÇÃO DE CONSTATAÇÃO",PrazoConst,PrazoEsc))</f>
        <v/>
      </c>
      <c r="M379" s="107" t="str">
        <f>IF(L379="","",L379-TODAY())</f>
        <v/>
      </c>
      <c r="N379" s="108" t="str">
        <f>IF(B379="","",IF(G379="DECISÃO D.P","EM DECISÃO",IF(G379="","SEM STATUS",IF(M379="","SEM DATA",IF(M379&lt;0,"VENCIDO",IF(M379&lt;=DiasAlerta,"VENCE EM BREVE","NO PRAZO"))))))</f>
        <v/>
      </c>
      <c r="O379" s="109" t="str">
        <f>IF(D379="","",TODAY()-D379)</f>
        <v/>
      </c>
      <c r="P379" s="102" t="n"/>
    </row>
    <row r="380" ht="18" customHeight="1">
      <c r="A380" s="101" t="n"/>
      <c r="B380" s="102" t="n"/>
      <c r="C380" s="102" t="n"/>
      <c r="D380" s="103" t="n"/>
      <c r="E380" s="102" t="n"/>
      <c r="F380" s="104" t="n"/>
      <c r="G380" s="104" t="n"/>
      <c r="H380" s="102" t="n"/>
      <c r="I380" s="105" t="n"/>
      <c r="J380" s="105" t="n"/>
      <c r="K380" s="103" t="n"/>
      <c r="L380" s="106" t="str">
        <f>IF(OR(D380="",E380=""),"",D380+IF(E380="NOTIFICAÇÃO DE CONSTATAÇÃO",PrazoConst,PrazoEsc))</f>
        <v/>
      </c>
      <c r="M380" s="107" t="str">
        <f>IF(L380="","",L380-TODAY())</f>
        <v/>
      </c>
      <c r="N380" s="108" t="str">
        <f>IF(B380="","",IF(G380="DECISÃO D.P","EM DECISÃO",IF(G380="","SEM STATUS",IF(M380="","SEM DATA",IF(M380&lt;0,"VENCIDO",IF(M380&lt;=DiasAlerta,"VENCE EM BREVE","NO PRAZO"))))))</f>
        <v/>
      </c>
      <c r="O380" s="109" t="str">
        <f>IF(D380="","",TODAY()-D380)</f>
        <v/>
      </c>
      <c r="P380" s="102" t="n"/>
    </row>
    <row r="381" ht="18" customHeight="1">
      <c r="A381" s="101" t="n"/>
      <c r="B381" s="102" t="n"/>
      <c r="C381" s="102" t="n"/>
      <c r="D381" s="103" t="n"/>
      <c r="E381" s="102" t="n"/>
      <c r="F381" s="104" t="n"/>
      <c r="G381" s="104" t="n"/>
      <c r="H381" s="102" t="n"/>
      <c r="I381" s="105" t="n"/>
      <c r="J381" s="105" t="n"/>
      <c r="K381" s="103" t="n"/>
      <c r="L381" s="106" t="str">
        <f>IF(OR(D381="",E381=""),"",D381+IF(E381="NOTIFICAÇÃO DE CONSTATAÇÃO",PrazoConst,PrazoEsc))</f>
        <v/>
      </c>
      <c r="M381" s="107" t="str">
        <f>IF(L381="","",L381-TODAY())</f>
        <v/>
      </c>
      <c r="N381" s="108" t="str">
        <f>IF(B381="","",IF(G381="DECISÃO D.P","EM DECISÃO",IF(G381="","SEM STATUS",IF(M381="","SEM DATA",IF(M381&lt;0,"VENCIDO",IF(M381&lt;=DiasAlerta,"VENCE EM BREVE","NO PRAZO"))))))</f>
        <v/>
      </c>
      <c r="O381" s="109" t="str">
        <f>IF(D381="","",TODAY()-D381)</f>
        <v/>
      </c>
      <c r="P381" s="102" t="n"/>
    </row>
    <row r="382" ht="18" customHeight="1">
      <c r="A382" s="101" t="n"/>
      <c r="B382" s="102" t="n"/>
      <c r="C382" s="102" t="n"/>
      <c r="D382" s="103" t="n"/>
      <c r="E382" s="102" t="n"/>
      <c r="F382" s="104" t="n"/>
      <c r="G382" s="104" t="n"/>
      <c r="H382" s="102" t="n"/>
      <c r="I382" s="105" t="n"/>
      <c r="J382" s="105" t="n"/>
      <c r="K382" s="103" t="n"/>
      <c r="L382" s="106" t="str">
        <f>IF(OR(D382="",E382=""),"",D382+IF(E382="NOTIFICAÇÃO DE CONSTATAÇÃO",PrazoConst,PrazoEsc))</f>
        <v/>
      </c>
      <c r="M382" s="107" t="str">
        <f>IF(L382="","",L382-TODAY())</f>
        <v/>
      </c>
      <c r="N382" s="108" t="str">
        <f>IF(B382="","",IF(G382="DECISÃO D.P","EM DECISÃO",IF(G382="","SEM STATUS",IF(M382="","SEM DATA",IF(M382&lt;0,"VENCIDO",IF(M382&lt;=DiasAlerta,"VENCE EM BREVE","NO PRAZO"))))))</f>
        <v/>
      </c>
      <c r="O382" s="109" t="str">
        <f>IF(D382="","",TODAY()-D382)</f>
        <v/>
      </c>
      <c r="P382" s="102" t="n"/>
    </row>
    <row r="383" ht="18" customHeight="1">
      <c r="A383" s="101" t="n"/>
      <c r="B383" s="102" t="n"/>
      <c r="C383" s="102" t="n"/>
      <c r="D383" s="103" t="n"/>
      <c r="E383" s="102" t="n"/>
      <c r="F383" s="104" t="n"/>
      <c r="G383" s="104" t="n"/>
      <c r="H383" s="102" t="n"/>
      <c r="I383" s="105" t="n"/>
      <c r="J383" s="105" t="n"/>
      <c r="K383" s="103" t="n"/>
      <c r="L383" s="106" t="str">
        <f>IF(OR(D383="",E383=""),"",D383+IF(E383="NOTIFICAÇÃO DE CONSTATAÇÃO",PrazoConst,PrazoEsc))</f>
        <v/>
      </c>
      <c r="M383" s="107" t="str">
        <f>IF(L383="","",L383-TODAY())</f>
        <v/>
      </c>
      <c r="N383" s="108" t="str">
        <f>IF(B383="","",IF(G383="DECISÃO D.P","EM DECISÃO",IF(G383="","SEM STATUS",IF(M383="","SEM DATA",IF(M383&lt;0,"VENCIDO",IF(M383&lt;=DiasAlerta,"VENCE EM BREVE","NO PRAZO"))))))</f>
        <v/>
      </c>
      <c r="O383" s="109" t="str">
        <f>IF(D383="","",TODAY()-D383)</f>
        <v/>
      </c>
      <c r="P383" s="102" t="n"/>
    </row>
    <row r="384" ht="18" customHeight="1">
      <c r="A384" s="101" t="n"/>
      <c r="B384" s="102" t="n"/>
      <c r="C384" s="102" t="n"/>
      <c r="D384" s="103" t="n"/>
      <c r="E384" s="102" t="n"/>
      <c r="F384" s="104" t="n"/>
      <c r="G384" s="104" t="n"/>
      <c r="H384" s="102" t="n"/>
      <c r="I384" s="105" t="n"/>
      <c r="J384" s="105" t="n"/>
      <c r="K384" s="103" t="n"/>
      <c r="L384" s="106" t="str">
        <f>IF(OR(D384="",E384=""),"",D384+IF(E384="NOTIFICAÇÃO DE CONSTATAÇÃO",PrazoConst,PrazoEsc))</f>
        <v/>
      </c>
      <c r="M384" s="107" t="str">
        <f>IF(L384="","",L384-TODAY())</f>
        <v/>
      </c>
      <c r="N384" s="108" t="str">
        <f>IF(B384="","",IF(G384="DECISÃO D.P","EM DECISÃO",IF(G384="","SEM STATUS",IF(M384="","SEM DATA",IF(M384&lt;0,"VENCIDO",IF(M384&lt;=DiasAlerta,"VENCE EM BREVE","NO PRAZO"))))))</f>
        <v/>
      </c>
      <c r="O384" s="109" t="str">
        <f>IF(D384="","",TODAY()-D384)</f>
        <v/>
      </c>
      <c r="P384" s="102" t="n"/>
    </row>
    <row r="385" ht="18" customHeight="1">
      <c r="A385" s="101" t="n"/>
      <c r="B385" s="102" t="n"/>
      <c r="C385" s="102" t="n"/>
      <c r="D385" s="103" t="n"/>
      <c r="E385" s="102" t="n"/>
      <c r="F385" s="104" t="n"/>
      <c r="G385" s="104" t="n"/>
      <c r="H385" s="102" t="n"/>
      <c r="I385" s="105" t="n"/>
      <c r="J385" s="105" t="n"/>
      <c r="K385" s="103" t="n"/>
      <c r="L385" s="106" t="str">
        <f>IF(OR(D385="",E385=""),"",D385+IF(E385="NOTIFICAÇÃO DE CONSTATAÇÃO",PrazoConst,PrazoEsc))</f>
        <v/>
      </c>
      <c r="M385" s="107" t="str">
        <f>IF(L385="","",L385-TODAY())</f>
        <v/>
      </c>
      <c r="N385" s="108" t="str">
        <f>IF(B385="","",IF(G385="DECISÃO D.P","EM DECISÃO",IF(G385="","SEM STATUS",IF(M385="","SEM DATA",IF(M385&lt;0,"VENCIDO",IF(M385&lt;=DiasAlerta,"VENCE EM BREVE","NO PRAZO"))))))</f>
        <v/>
      </c>
      <c r="O385" s="109" t="str">
        <f>IF(D385="","",TODAY()-D385)</f>
        <v/>
      </c>
      <c r="P385" s="102" t="n"/>
    </row>
    <row r="386" ht="18" customHeight="1">
      <c r="A386" s="101" t="n"/>
      <c r="B386" s="102" t="n"/>
      <c r="C386" s="102" t="n"/>
      <c r="D386" s="103" t="n"/>
      <c r="E386" s="102" t="n"/>
      <c r="F386" s="104" t="n"/>
      <c r="G386" s="104" t="n"/>
      <c r="H386" s="102" t="n"/>
      <c r="I386" s="105" t="n"/>
      <c r="J386" s="105" t="n"/>
      <c r="K386" s="103" t="n"/>
      <c r="L386" s="106" t="str">
        <f>IF(OR(D386="",E386=""),"",D386+IF(E386="NOTIFICAÇÃO DE CONSTATAÇÃO",PrazoConst,PrazoEsc))</f>
        <v/>
      </c>
      <c r="M386" s="107" t="str">
        <f>IF(L386="","",L386-TODAY())</f>
        <v/>
      </c>
      <c r="N386" s="108" t="str">
        <f>IF(B386="","",IF(G386="DECISÃO D.P","EM DECISÃO",IF(G386="","SEM STATUS",IF(M386="","SEM DATA",IF(M386&lt;0,"VENCIDO",IF(M386&lt;=DiasAlerta,"VENCE EM BREVE","NO PRAZO"))))))</f>
        <v/>
      </c>
      <c r="O386" s="109" t="str">
        <f>IF(D386="","",TODAY()-D386)</f>
        <v/>
      </c>
      <c r="P386" s="102" t="n"/>
    </row>
    <row r="387" ht="18" customHeight="1">
      <c r="A387" s="101" t="n"/>
      <c r="B387" s="102" t="n"/>
      <c r="C387" s="102" t="n"/>
      <c r="D387" s="103" t="n"/>
      <c r="E387" s="102" t="n"/>
      <c r="F387" s="104" t="n"/>
      <c r="G387" s="104" t="n"/>
      <c r="H387" s="102" t="n"/>
      <c r="I387" s="105" t="n"/>
      <c r="J387" s="105" t="n"/>
      <c r="K387" s="103" t="n"/>
      <c r="L387" s="106" t="str">
        <f>IF(OR(D387="",E387=""),"",D387+IF(E387="NOTIFICAÇÃO DE CONSTATAÇÃO",PrazoConst,PrazoEsc))</f>
        <v/>
      </c>
      <c r="M387" s="107" t="str">
        <f>IF(L387="","",L387-TODAY())</f>
        <v/>
      </c>
      <c r="N387" s="108" t="str">
        <f>IF(B387="","",IF(G387="DECISÃO D.P","EM DECISÃO",IF(G387="","SEM STATUS",IF(M387="","SEM DATA",IF(M387&lt;0,"VENCIDO",IF(M387&lt;=DiasAlerta,"VENCE EM BREVE","NO PRAZO"))))))</f>
        <v/>
      </c>
      <c r="O387" s="109" t="str">
        <f>IF(D387="","",TODAY()-D387)</f>
        <v/>
      </c>
      <c r="P387" s="102" t="n"/>
    </row>
    <row r="388" ht="18" customHeight="1">
      <c r="A388" s="101" t="n"/>
      <c r="B388" s="102" t="n"/>
      <c r="C388" s="102" t="n"/>
      <c r="D388" s="103" t="n"/>
      <c r="E388" s="102" t="n"/>
      <c r="F388" s="104" t="n"/>
      <c r="G388" s="104" t="n"/>
      <c r="H388" s="102" t="n"/>
      <c r="I388" s="105" t="n"/>
      <c r="J388" s="105" t="n"/>
      <c r="K388" s="103" t="n"/>
      <c r="L388" s="106" t="str">
        <f>IF(OR(D388="",E388=""),"",D388+IF(E388="NOTIFICAÇÃO DE CONSTATAÇÃO",PrazoConst,PrazoEsc))</f>
        <v/>
      </c>
      <c r="M388" s="107" t="str">
        <f>IF(L388="","",L388-TODAY())</f>
        <v/>
      </c>
      <c r="N388" s="108" t="str">
        <f>IF(B388="","",IF(G388="DECISÃO D.P","EM DECISÃO",IF(G388="","SEM STATUS",IF(M388="","SEM DATA",IF(M388&lt;0,"VENCIDO",IF(M388&lt;=DiasAlerta,"VENCE EM BREVE","NO PRAZO"))))))</f>
        <v/>
      </c>
      <c r="O388" s="109" t="str">
        <f>IF(D388="","",TODAY()-D388)</f>
        <v/>
      </c>
      <c r="P388" s="102" t="n"/>
    </row>
    <row r="389" ht="18" customHeight="1">
      <c r="A389" s="101" t="n"/>
      <c r="B389" s="102" t="n"/>
      <c r="C389" s="102" t="n"/>
      <c r="D389" s="103" t="n"/>
      <c r="E389" s="102" t="n"/>
      <c r="F389" s="104" t="n"/>
      <c r="G389" s="104" t="n"/>
      <c r="H389" s="102" t="n"/>
      <c r="I389" s="105" t="n"/>
      <c r="J389" s="105" t="n"/>
      <c r="K389" s="103" t="n"/>
      <c r="L389" s="106" t="str">
        <f>IF(OR(D389="",E389=""),"",D389+IF(E389="NOTIFICAÇÃO DE CONSTATAÇÃO",PrazoConst,PrazoEsc))</f>
        <v/>
      </c>
      <c r="M389" s="107" t="str">
        <f>IF(L389="","",L389-TODAY())</f>
        <v/>
      </c>
      <c r="N389" s="108" t="str">
        <f>IF(B389="","",IF(G389="DECISÃO D.P","EM DECISÃO",IF(G389="","SEM STATUS",IF(M389="","SEM DATA",IF(M389&lt;0,"VENCIDO",IF(M389&lt;=DiasAlerta,"VENCE EM BREVE","NO PRAZO"))))))</f>
        <v/>
      </c>
      <c r="O389" s="109" t="str">
        <f>IF(D389="","",TODAY()-D389)</f>
        <v/>
      </c>
      <c r="P389" s="102" t="n"/>
    </row>
    <row r="390" ht="18" customHeight="1">
      <c r="A390" s="101" t="n"/>
      <c r="B390" s="102" t="n"/>
      <c r="C390" s="102" t="n"/>
      <c r="D390" s="103" t="n"/>
      <c r="E390" s="102" t="n"/>
      <c r="F390" s="104" t="n"/>
      <c r="G390" s="104" t="n"/>
      <c r="H390" s="102" t="n"/>
      <c r="I390" s="105" t="n"/>
      <c r="J390" s="105" t="n"/>
      <c r="K390" s="103" t="n"/>
      <c r="L390" s="106" t="str">
        <f>IF(OR(D390="",E390=""),"",D390+IF(E390="NOTIFICAÇÃO DE CONSTATAÇÃO",PrazoConst,PrazoEsc))</f>
        <v/>
      </c>
      <c r="M390" s="107" t="str">
        <f>IF(L390="","",L390-TODAY())</f>
        <v/>
      </c>
      <c r="N390" s="108" t="str">
        <f>IF(B390="","",IF(G390="DECISÃO D.P","EM DECISÃO",IF(G390="","SEM STATUS",IF(M390="","SEM DATA",IF(M390&lt;0,"VENCIDO",IF(M390&lt;=DiasAlerta,"VENCE EM BREVE","NO PRAZO"))))))</f>
        <v/>
      </c>
      <c r="O390" s="109" t="str">
        <f>IF(D390="","",TODAY()-D390)</f>
        <v/>
      </c>
      <c r="P390" s="102" t="n"/>
    </row>
    <row r="391" ht="18" customHeight="1">
      <c r="A391" s="101" t="n"/>
      <c r="B391" s="102" t="n"/>
      <c r="C391" s="102" t="n"/>
      <c r="D391" s="103" t="n"/>
      <c r="E391" s="102" t="n"/>
      <c r="F391" s="104" t="n"/>
      <c r="G391" s="104" t="n"/>
      <c r="H391" s="102" t="n"/>
      <c r="I391" s="105" t="n"/>
      <c r="J391" s="105" t="n"/>
      <c r="K391" s="103" t="n"/>
      <c r="L391" s="106" t="str">
        <f>IF(OR(D391="",E391=""),"",D391+IF(E391="NOTIFICAÇÃO DE CONSTATAÇÃO",PrazoConst,PrazoEsc))</f>
        <v/>
      </c>
      <c r="M391" s="107" t="str">
        <f>IF(L391="","",L391-TODAY())</f>
        <v/>
      </c>
      <c r="N391" s="108" t="str">
        <f>IF(B391="","",IF(G391="DECISÃO D.P","EM DECISÃO",IF(G391="","SEM STATUS",IF(M391="","SEM DATA",IF(M391&lt;0,"VENCIDO",IF(M391&lt;=DiasAlerta,"VENCE EM BREVE","NO PRAZO"))))))</f>
        <v/>
      </c>
      <c r="O391" s="109" t="str">
        <f>IF(D391="","",TODAY()-D391)</f>
        <v/>
      </c>
      <c r="P391" s="102" t="n"/>
    </row>
    <row r="392" ht="18" customHeight="1">
      <c r="A392" s="101" t="n"/>
      <c r="B392" s="102" t="n"/>
      <c r="C392" s="102" t="n"/>
      <c r="D392" s="103" t="n"/>
      <c r="E392" s="102" t="n"/>
      <c r="F392" s="104" t="n"/>
      <c r="G392" s="104" t="n"/>
      <c r="H392" s="102" t="n"/>
      <c r="I392" s="105" t="n"/>
      <c r="J392" s="105" t="n"/>
      <c r="K392" s="103" t="n"/>
      <c r="L392" s="106" t="str">
        <f>IF(OR(D392="",E392=""),"",D392+IF(E392="NOTIFICAÇÃO DE CONSTATAÇÃO",PrazoConst,PrazoEsc))</f>
        <v/>
      </c>
      <c r="M392" s="107" t="str">
        <f>IF(L392="","",L392-TODAY())</f>
        <v/>
      </c>
      <c r="N392" s="108" t="str">
        <f>IF(B392="","",IF(G392="DECISÃO D.P","EM DECISÃO",IF(G392="","SEM STATUS",IF(M392="","SEM DATA",IF(M392&lt;0,"VENCIDO",IF(M392&lt;=DiasAlerta,"VENCE EM BREVE","NO PRAZO"))))))</f>
        <v/>
      </c>
      <c r="O392" s="109" t="str">
        <f>IF(D392="","",TODAY()-D392)</f>
        <v/>
      </c>
      <c r="P392" s="102" t="n"/>
    </row>
    <row r="393" ht="18" customHeight="1">
      <c r="A393" s="101" t="n"/>
      <c r="B393" s="102" t="n"/>
      <c r="C393" s="102" t="n"/>
      <c r="D393" s="103" t="n"/>
      <c r="E393" s="102" t="n"/>
      <c r="F393" s="104" t="n"/>
      <c r="G393" s="104" t="n"/>
      <c r="H393" s="102" t="n"/>
      <c r="I393" s="105" t="n"/>
      <c r="J393" s="105" t="n"/>
      <c r="K393" s="103" t="n"/>
      <c r="L393" s="106" t="str">
        <f>IF(OR(D393="",E393=""),"",D393+IF(E393="NOTIFICAÇÃO DE CONSTATAÇÃO",PrazoConst,PrazoEsc))</f>
        <v/>
      </c>
      <c r="M393" s="107" t="str">
        <f>IF(L393="","",L393-TODAY())</f>
        <v/>
      </c>
      <c r="N393" s="108" t="str">
        <f>IF(B393="","",IF(G393="DECISÃO D.P","EM DECISÃO",IF(G393="","SEM STATUS",IF(M393="","SEM DATA",IF(M393&lt;0,"VENCIDO",IF(M393&lt;=DiasAlerta,"VENCE EM BREVE","NO PRAZO"))))))</f>
        <v/>
      </c>
      <c r="O393" s="109" t="str">
        <f>IF(D393="","",TODAY()-D393)</f>
        <v/>
      </c>
      <c r="P393" s="102" t="n"/>
    </row>
    <row r="394" ht="18" customHeight="1">
      <c r="A394" s="101" t="n"/>
      <c r="B394" s="102" t="n"/>
      <c r="C394" s="102" t="n"/>
      <c r="D394" s="103" t="n"/>
      <c r="E394" s="102" t="n"/>
      <c r="F394" s="104" t="n"/>
      <c r="G394" s="104" t="n"/>
      <c r="H394" s="102" t="n"/>
      <c r="I394" s="105" t="n"/>
      <c r="J394" s="105" t="n"/>
      <c r="K394" s="103" t="n"/>
      <c r="L394" s="106" t="str">
        <f>IF(OR(D394="",E394=""),"",D394+IF(E394="NOTIFICAÇÃO DE CONSTATAÇÃO",PrazoConst,PrazoEsc))</f>
        <v/>
      </c>
      <c r="M394" s="107" t="str">
        <f>IF(L394="","",L394-TODAY())</f>
        <v/>
      </c>
      <c r="N394" s="108" t="str">
        <f>IF(B394="","",IF(G394="DECISÃO D.P","EM DECISÃO",IF(G394="","SEM STATUS",IF(M394="","SEM DATA",IF(M394&lt;0,"VENCIDO",IF(M394&lt;=DiasAlerta,"VENCE EM BREVE","NO PRAZO"))))))</f>
        <v/>
      </c>
      <c r="O394" s="109" t="str">
        <f>IF(D394="","",TODAY()-D394)</f>
        <v/>
      </c>
      <c r="P394" s="102" t="n"/>
    </row>
    <row r="395" ht="18" customHeight="1">
      <c r="A395" s="101" t="n"/>
      <c r="B395" s="102" t="n"/>
      <c r="C395" s="102" t="n"/>
      <c r="D395" s="103" t="n"/>
      <c r="E395" s="102" t="n"/>
      <c r="F395" s="104" t="n"/>
      <c r="G395" s="104" t="n"/>
      <c r="H395" s="102" t="n"/>
      <c r="I395" s="105" t="n"/>
      <c r="J395" s="105" t="n"/>
      <c r="K395" s="103" t="n"/>
      <c r="L395" s="106" t="str">
        <f>IF(OR(D395="",E395=""),"",D395+IF(E395="NOTIFICAÇÃO DE CONSTATAÇÃO",PrazoConst,PrazoEsc))</f>
        <v/>
      </c>
      <c r="M395" s="107" t="str">
        <f>IF(L395="","",L395-TODAY())</f>
        <v/>
      </c>
      <c r="N395" s="108" t="str">
        <f>IF(B395="","",IF(G395="DECISÃO D.P","EM DECISÃO",IF(G395="","SEM STATUS",IF(M395="","SEM DATA",IF(M395&lt;0,"VENCIDO",IF(M395&lt;=DiasAlerta,"VENCE EM BREVE","NO PRAZO"))))))</f>
        <v/>
      </c>
      <c r="O395" s="109" t="str">
        <f>IF(D395="","",TODAY()-D395)</f>
        <v/>
      </c>
      <c r="P395" s="102" t="n"/>
    </row>
    <row r="396" ht="18" customHeight="1">
      <c r="A396" s="101" t="n"/>
      <c r="B396" s="102" t="n"/>
      <c r="C396" s="102" t="n"/>
      <c r="D396" s="103" t="n"/>
      <c r="E396" s="102" t="n"/>
      <c r="F396" s="104" t="n"/>
      <c r="G396" s="104" t="n"/>
      <c r="H396" s="102" t="n"/>
      <c r="I396" s="105" t="n"/>
      <c r="J396" s="105" t="n"/>
      <c r="K396" s="103" t="n"/>
      <c r="L396" s="106" t="str">
        <f>IF(OR(D396="",E396=""),"",D396+IF(E396="NOTIFICAÇÃO DE CONSTATAÇÃO",PrazoConst,PrazoEsc))</f>
        <v/>
      </c>
      <c r="M396" s="107" t="str">
        <f>IF(L396="","",L396-TODAY())</f>
        <v/>
      </c>
      <c r="N396" s="108" t="str">
        <f>IF(B396="","",IF(G396="DECISÃO D.P","EM DECISÃO",IF(G396="","SEM STATUS",IF(M396="","SEM DATA",IF(M396&lt;0,"VENCIDO",IF(M396&lt;=DiasAlerta,"VENCE EM BREVE","NO PRAZO"))))))</f>
        <v/>
      </c>
      <c r="O396" s="109" t="str">
        <f>IF(D396="","",TODAY()-D396)</f>
        <v/>
      </c>
      <c r="P396" s="102" t="n"/>
    </row>
    <row r="397" ht="18" customHeight="1">
      <c r="A397" s="101" t="n"/>
      <c r="B397" s="102" t="n"/>
      <c r="C397" s="102" t="n"/>
      <c r="D397" s="103" t="n"/>
      <c r="E397" s="102" t="n"/>
      <c r="F397" s="104" t="n"/>
      <c r="G397" s="104" t="n"/>
      <c r="H397" s="102" t="n"/>
      <c r="I397" s="105" t="n"/>
      <c r="J397" s="105" t="n"/>
      <c r="K397" s="103" t="n"/>
      <c r="L397" s="106" t="str">
        <f>IF(OR(D397="",E397=""),"",D397+IF(E397="NOTIFICAÇÃO DE CONSTATAÇÃO",PrazoConst,PrazoEsc))</f>
        <v/>
      </c>
      <c r="M397" s="107" t="str">
        <f>IF(L397="","",L397-TODAY())</f>
        <v/>
      </c>
      <c r="N397" s="108" t="str">
        <f>IF(B397="","",IF(G397="DECISÃO D.P","EM DECISÃO",IF(G397="","SEM STATUS",IF(M397="","SEM DATA",IF(M397&lt;0,"VENCIDO",IF(M397&lt;=DiasAlerta,"VENCE EM BREVE","NO PRAZO"))))))</f>
        <v/>
      </c>
      <c r="O397" s="109" t="str">
        <f>IF(D397="","",TODAY()-D397)</f>
        <v/>
      </c>
      <c r="P397" s="102" t="n"/>
    </row>
    <row r="398" ht="18" customHeight="1">
      <c r="A398" s="101" t="n"/>
      <c r="B398" s="102" t="n"/>
      <c r="C398" s="102" t="n"/>
      <c r="D398" s="103" t="n"/>
      <c r="E398" s="102" t="n"/>
      <c r="F398" s="104" t="n"/>
      <c r="G398" s="104" t="n"/>
      <c r="H398" s="102" t="n"/>
      <c r="I398" s="105" t="n"/>
      <c r="J398" s="105" t="n"/>
      <c r="K398" s="103" t="n"/>
      <c r="L398" s="106" t="str">
        <f>IF(OR(D398="",E398=""),"",D398+IF(E398="NOTIFICAÇÃO DE CONSTATAÇÃO",PrazoConst,PrazoEsc))</f>
        <v/>
      </c>
      <c r="M398" s="107" t="str">
        <f>IF(L398="","",L398-TODAY())</f>
        <v/>
      </c>
      <c r="N398" s="108" t="str">
        <f>IF(B398="","",IF(G398="DECISÃO D.P","EM DECISÃO",IF(G398="","SEM STATUS",IF(M398="","SEM DATA",IF(M398&lt;0,"VENCIDO",IF(M398&lt;=DiasAlerta,"VENCE EM BREVE","NO PRAZO"))))))</f>
        <v/>
      </c>
      <c r="O398" s="109" t="str">
        <f>IF(D398="","",TODAY()-D398)</f>
        <v/>
      </c>
      <c r="P398" s="102" t="n"/>
    </row>
    <row r="399" ht="18" customHeight="1">
      <c r="A399" s="101" t="n"/>
      <c r="B399" s="102" t="n"/>
      <c r="C399" s="102" t="n"/>
      <c r="D399" s="103" t="n"/>
      <c r="E399" s="102" t="n"/>
      <c r="F399" s="104" t="n"/>
      <c r="G399" s="104" t="n"/>
      <c r="H399" s="102" t="n"/>
      <c r="I399" s="105" t="n"/>
      <c r="J399" s="105" t="n"/>
      <c r="K399" s="103" t="n"/>
      <c r="L399" s="106" t="str">
        <f>IF(OR(D399="",E399=""),"",D399+IF(E399="NOTIFICAÇÃO DE CONSTATAÇÃO",PrazoConst,PrazoEsc))</f>
        <v/>
      </c>
      <c r="M399" s="107" t="str">
        <f>IF(L399="","",L399-TODAY())</f>
        <v/>
      </c>
      <c r="N399" s="108" t="str">
        <f>IF(B399="","",IF(G399="DECISÃO D.P","EM DECISÃO",IF(G399="","SEM STATUS",IF(M399="","SEM DATA",IF(M399&lt;0,"VENCIDO",IF(M399&lt;=DiasAlerta,"VENCE EM BREVE","NO PRAZO"))))))</f>
        <v/>
      </c>
      <c r="O399" s="109" t="str">
        <f>IF(D399="","",TODAY()-D399)</f>
        <v/>
      </c>
      <c r="P399" s="102" t="n"/>
    </row>
    <row r="400" ht="18" customHeight="1">
      <c r="A400" s="101" t="n"/>
      <c r="B400" s="102" t="n"/>
      <c r="C400" s="102" t="n"/>
      <c r="D400" s="103" t="n"/>
      <c r="E400" s="102" t="n"/>
      <c r="F400" s="104" t="n"/>
      <c r="G400" s="104" t="n"/>
      <c r="H400" s="102" t="n"/>
      <c r="I400" s="105" t="n"/>
      <c r="J400" s="105" t="n"/>
      <c r="K400" s="103" t="n"/>
      <c r="L400" s="106" t="str">
        <f>IF(OR(D400="",E400=""),"",D400+IF(E400="NOTIFICAÇÃO DE CONSTATAÇÃO",PrazoConst,PrazoEsc))</f>
        <v/>
      </c>
      <c r="M400" s="107" t="str">
        <f>IF(L400="","",L400-TODAY())</f>
        <v/>
      </c>
      <c r="N400" s="108" t="str">
        <f>IF(B400="","",IF(G400="DECISÃO D.P","EM DECISÃO",IF(G400="","SEM STATUS",IF(M400="","SEM DATA",IF(M400&lt;0,"VENCIDO",IF(M400&lt;=DiasAlerta,"VENCE EM BREVE","NO PRAZO"))))))</f>
        <v/>
      </c>
      <c r="O400" s="109" t="str">
        <f>IF(D400="","",TODAY()-D400)</f>
        <v/>
      </c>
      <c r="P400" s="102" t="n"/>
    </row>
    <row r="401" ht="18" customHeight="1">
      <c r="A401" s="101" t="n"/>
      <c r="B401" s="102" t="n"/>
      <c r="C401" s="102" t="n"/>
      <c r="D401" s="103" t="n"/>
      <c r="E401" s="102" t="n"/>
      <c r="F401" s="104" t="n"/>
      <c r="G401" s="104" t="n"/>
      <c r="H401" s="102" t="n"/>
      <c r="I401" s="105" t="n"/>
      <c r="J401" s="105" t="n"/>
      <c r="K401" s="103" t="n"/>
      <c r="L401" s="106" t="str">
        <f>IF(OR(D401="",E401=""),"",D401+IF(E401="NOTIFICAÇÃO DE CONSTATAÇÃO",PrazoConst,PrazoEsc))</f>
        <v/>
      </c>
      <c r="M401" s="107" t="str">
        <f>IF(L401="","",L401-TODAY())</f>
        <v/>
      </c>
      <c r="N401" s="108" t="str">
        <f>IF(B401="","",IF(G401="DECISÃO D.P","EM DECISÃO",IF(G401="","SEM STATUS",IF(M401="","SEM DATA",IF(M401&lt;0,"VENCIDO",IF(M401&lt;=DiasAlerta,"VENCE EM BREVE","NO PRAZO"))))))</f>
        <v/>
      </c>
      <c r="O401" s="109" t="str">
        <f>IF(D401="","",TODAY()-D401)</f>
        <v/>
      </c>
      <c r="P401" s="102" t="n"/>
    </row>
    <row r="402" ht="18" customHeight="1">
      <c r="A402" s="101" t="n"/>
      <c r="B402" s="102" t="n"/>
      <c r="C402" s="102" t="n"/>
      <c r="D402" s="103" t="n"/>
      <c r="E402" s="102" t="n"/>
      <c r="F402" s="104" t="n"/>
      <c r="G402" s="104" t="n"/>
      <c r="H402" s="102" t="n"/>
      <c r="I402" s="105" t="n"/>
      <c r="J402" s="105" t="n"/>
      <c r="K402" s="103" t="n"/>
      <c r="L402" s="106" t="str">
        <f>IF(OR(D402="",E402=""),"",D402+IF(E402="NOTIFICAÇÃO DE CONSTATAÇÃO",PrazoConst,PrazoEsc))</f>
        <v/>
      </c>
      <c r="M402" s="107" t="str">
        <f>IF(L402="","",L402-TODAY())</f>
        <v/>
      </c>
      <c r="N402" s="108" t="str">
        <f>IF(B402="","",IF(G402="DECISÃO D.P","EM DECISÃO",IF(G402="","SEM STATUS",IF(M402="","SEM DATA",IF(M402&lt;0,"VENCIDO",IF(M402&lt;=DiasAlerta,"VENCE EM BREVE","NO PRAZO"))))))</f>
        <v/>
      </c>
      <c r="O402" s="109" t="str">
        <f>IF(D402="","",TODAY()-D402)</f>
        <v/>
      </c>
      <c r="P402" s="102" t="n"/>
    </row>
    <row r="403" ht="18" customHeight="1">
      <c r="A403" s="101" t="n"/>
      <c r="B403" s="102" t="n"/>
      <c r="C403" s="102" t="n"/>
      <c r="D403" s="103" t="n"/>
      <c r="E403" s="102" t="n"/>
      <c r="F403" s="104" t="n"/>
      <c r="G403" s="104" t="n"/>
      <c r="H403" s="102" t="n"/>
      <c r="I403" s="105" t="n"/>
      <c r="J403" s="105" t="n"/>
      <c r="K403" s="103" t="n"/>
      <c r="L403" s="106" t="str">
        <f>IF(OR(D403="",E403=""),"",D403+IF(E403="NOTIFICAÇÃO DE CONSTATAÇÃO",PrazoConst,PrazoEsc))</f>
        <v/>
      </c>
      <c r="M403" s="107" t="str">
        <f>IF(L403="","",L403-TODAY())</f>
        <v/>
      </c>
      <c r="N403" s="108" t="str">
        <f>IF(B403="","",IF(G403="DECISÃO D.P","EM DECISÃO",IF(G403="","SEM STATUS",IF(M403="","SEM DATA",IF(M403&lt;0,"VENCIDO",IF(M403&lt;=DiasAlerta,"VENCE EM BREVE","NO PRAZO"))))))</f>
        <v/>
      </c>
      <c r="O403" s="109" t="str">
        <f>IF(D403="","",TODAY()-D403)</f>
        <v/>
      </c>
      <c r="P403" s="102" t="n"/>
    </row>
    <row r="404" ht="18" customHeight="1">
      <c r="A404" s="101" t="n"/>
      <c r="B404" s="102" t="n"/>
      <c r="C404" s="102" t="n"/>
      <c r="D404" s="103" t="n"/>
      <c r="E404" s="102" t="n"/>
      <c r="F404" s="104" t="n"/>
      <c r="G404" s="104" t="n"/>
      <c r="H404" s="102" t="n"/>
      <c r="I404" s="105" t="n"/>
      <c r="J404" s="105" t="n"/>
      <c r="K404" s="103" t="n"/>
      <c r="L404" s="106" t="str">
        <f>IF(OR(D404="",E404=""),"",D404+IF(E404="NOTIFICAÇÃO DE CONSTATAÇÃO",PrazoConst,PrazoEsc))</f>
        <v/>
      </c>
      <c r="M404" s="107" t="str">
        <f>IF(L404="","",L404-TODAY())</f>
        <v/>
      </c>
      <c r="N404" s="108" t="str">
        <f>IF(B404="","",IF(G404="DECISÃO D.P","EM DECISÃO",IF(G404="","SEM STATUS",IF(M404="","SEM DATA",IF(M404&lt;0,"VENCIDO",IF(M404&lt;=DiasAlerta,"VENCE EM BREVE","NO PRAZO"))))))</f>
        <v/>
      </c>
      <c r="O404" s="109" t="str">
        <f>IF(D404="","",TODAY()-D404)</f>
        <v/>
      </c>
      <c r="P404" s="102" t="n"/>
    </row>
    <row r="405" ht="18" customHeight="1">
      <c r="A405" s="101" t="n"/>
      <c r="B405" s="102" t="n"/>
      <c r="C405" s="102" t="n"/>
      <c r="D405" s="103" t="n"/>
      <c r="E405" s="102" t="n"/>
      <c r="F405" s="104" t="n"/>
      <c r="G405" s="104" t="n"/>
      <c r="H405" s="102" t="n"/>
      <c r="I405" s="105" t="n"/>
      <c r="J405" s="105" t="n"/>
      <c r="K405" s="103" t="n"/>
      <c r="L405" s="106" t="str">
        <f>IF(OR(D405="",E405=""),"",D405+IF(E405="NOTIFICAÇÃO DE CONSTATAÇÃO",PrazoConst,PrazoEsc))</f>
        <v/>
      </c>
      <c r="M405" s="107" t="str">
        <f>IF(L405="","",L405-TODAY())</f>
        <v/>
      </c>
      <c r="N405" s="108" t="str">
        <f>IF(B405="","",IF(G405="DECISÃO D.P","EM DECISÃO",IF(G405="","SEM STATUS",IF(M405="","SEM DATA",IF(M405&lt;0,"VENCIDO",IF(M405&lt;=DiasAlerta,"VENCE EM BREVE","NO PRAZO"))))))</f>
        <v/>
      </c>
      <c r="O405" s="109" t="str">
        <f>IF(D405="","",TODAY()-D405)</f>
        <v/>
      </c>
      <c r="P405" s="102" t="n"/>
    </row>
    <row r="406" ht="18" customHeight="1">
      <c r="A406" s="101" t="n"/>
      <c r="B406" s="102" t="n"/>
      <c r="C406" s="102" t="n"/>
      <c r="D406" s="103" t="n"/>
      <c r="E406" s="102" t="n"/>
      <c r="F406" s="104" t="n"/>
      <c r="G406" s="104" t="n"/>
      <c r="H406" s="102" t="n"/>
      <c r="I406" s="105" t="n"/>
      <c r="J406" s="105" t="n"/>
      <c r="K406" s="103" t="n"/>
      <c r="L406" s="106" t="str">
        <f>IF(OR(D406="",E406=""),"",D406+IF(E406="NOTIFICAÇÃO DE CONSTATAÇÃO",PrazoConst,PrazoEsc))</f>
        <v/>
      </c>
      <c r="M406" s="107" t="str">
        <f>IF(L406="","",L406-TODAY())</f>
        <v/>
      </c>
      <c r="N406" s="108" t="str">
        <f>IF(B406="","",IF(G406="DECISÃO D.P","EM DECISÃO",IF(G406="","SEM STATUS",IF(M406="","SEM DATA",IF(M406&lt;0,"VENCIDO",IF(M406&lt;=DiasAlerta,"VENCE EM BREVE","NO PRAZO"))))))</f>
        <v/>
      </c>
      <c r="O406" s="109" t="str">
        <f>IF(D406="","",TODAY()-D406)</f>
        <v/>
      </c>
      <c r="P406" s="102" t="n"/>
    </row>
    <row r="407" ht="18" customHeight="1">
      <c r="A407" s="101" t="n"/>
      <c r="B407" s="102" t="n"/>
      <c r="C407" s="102" t="n"/>
      <c r="D407" s="103" t="n"/>
      <c r="E407" s="102" t="n"/>
      <c r="F407" s="104" t="n"/>
      <c r="G407" s="104" t="n"/>
      <c r="H407" s="102" t="n"/>
      <c r="I407" s="105" t="n"/>
      <c r="J407" s="105" t="n"/>
      <c r="K407" s="103" t="n"/>
      <c r="L407" s="106" t="str">
        <f>IF(OR(D407="",E407=""),"",D407+IF(E407="NOTIFICAÇÃO DE CONSTATAÇÃO",PrazoConst,PrazoEsc))</f>
        <v/>
      </c>
      <c r="M407" s="107" t="str">
        <f>IF(L407="","",L407-TODAY())</f>
        <v/>
      </c>
      <c r="N407" s="108" t="str">
        <f>IF(B407="","",IF(G407="DECISÃO D.P","EM DECISÃO",IF(G407="","SEM STATUS",IF(M407="","SEM DATA",IF(M407&lt;0,"VENCIDO",IF(M407&lt;=DiasAlerta,"VENCE EM BREVE","NO PRAZO"))))))</f>
        <v/>
      </c>
      <c r="O407" s="109" t="str">
        <f>IF(D407="","",TODAY()-D407)</f>
        <v/>
      </c>
      <c r="P407" s="102" t="n"/>
    </row>
    <row r="408" ht="18" customHeight="1">
      <c r="A408" s="101" t="n"/>
      <c r="B408" s="102" t="n"/>
      <c r="C408" s="102" t="n"/>
      <c r="D408" s="103" t="n"/>
      <c r="E408" s="102" t="n"/>
      <c r="F408" s="104" t="n"/>
      <c r="G408" s="104" t="n"/>
      <c r="H408" s="102" t="n"/>
      <c r="I408" s="105" t="n"/>
      <c r="J408" s="105" t="n"/>
      <c r="K408" s="103" t="n"/>
      <c r="L408" s="106" t="str">
        <f>IF(OR(D408="",E408=""),"",D408+IF(E408="NOTIFICAÇÃO DE CONSTATAÇÃO",PrazoConst,PrazoEsc))</f>
        <v/>
      </c>
      <c r="M408" s="107" t="str">
        <f>IF(L408="","",L408-TODAY())</f>
        <v/>
      </c>
      <c r="N408" s="108" t="str">
        <f>IF(B408="","",IF(G408="DECISÃO D.P","EM DECISÃO",IF(G408="","SEM STATUS",IF(M408="","SEM DATA",IF(M408&lt;0,"VENCIDO",IF(M408&lt;=DiasAlerta,"VENCE EM BREVE","NO PRAZO"))))))</f>
        <v/>
      </c>
      <c r="O408" s="109" t="str">
        <f>IF(D408="","",TODAY()-D408)</f>
        <v/>
      </c>
      <c r="P408" s="102" t="n"/>
    </row>
    <row r="409" ht="18" customHeight="1">
      <c r="A409" s="101" t="n"/>
      <c r="B409" s="102" t="n"/>
      <c r="C409" s="102" t="n"/>
      <c r="D409" s="103" t="n"/>
      <c r="E409" s="102" t="n"/>
      <c r="F409" s="104" t="n"/>
      <c r="G409" s="104" t="n"/>
      <c r="H409" s="102" t="n"/>
      <c r="I409" s="105" t="n"/>
      <c r="J409" s="105" t="n"/>
      <c r="K409" s="103" t="n"/>
      <c r="L409" s="106" t="str">
        <f>IF(OR(D409="",E409=""),"",D409+IF(E409="NOTIFICAÇÃO DE CONSTATAÇÃO",PrazoConst,PrazoEsc))</f>
        <v/>
      </c>
      <c r="M409" s="107" t="str">
        <f>IF(L409="","",L409-TODAY())</f>
        <v/>
      </c>
      <c r="N409" s="108" t="str">
        <f>IF(B409="","",IF(G409="DECISÃO D.P","EM DECISÃO",IF(G409="","SEM STATUS",IF(M409="","SEM DATA",IF(M409&lt;0,"VENCIDO",IF(M409&lt;=DiasAlerta,"VENCE EM BREVE","NO PRAZO"))))))</f>
        <v/>
      </c>
      <c r="O409" s="109" t="str">
        <f>IF(D409="","",TODAY()-D409)</f>
        <v/>
      </c>
      <c r="P409" s="102" t="n"/>
    </row>
    <row r="410" ht="18" customHeight="1">
      <c r="A410" s="101" t="n"/>
      <c r="B410" s="102" t="n"/>
      <c r="C410" s="102" t="n"/>
      <c r="D410" s="103" t="n"/>
      <c r="E410" s="102" t="n"/>
      <c r="F410" s="104" t="n"/>
      <c r="G410" s="104" t="n"/>
      <c r="H410" s="102" t="n"/>
      <c r="I410" s="105" t="n"/>
      <c r="J410" s="105" t="n"/>
      <c r="K410" s="103" t="n"/>
      <c r="L410" s="106" t="str">
        <f>IF(OR(D410="",E410=""),"",D410+IF(E410="NOTIFICAÇÃO DE CONSTATAÇÃO",PrazoConst,PrazoEsc))</f>
        <v/>
      </c>
      <c r="M410" s="107" t="str">
        <f>IF(L410="","",L410-TODAY())</f>
        <v/>
      </c>
      <c r="N410" s="108" t="str">
        <f>IF(B410="","",IF(G410="DECISÃO D.P","EM DECISÃO",IF(G410="","SEM STATUS",IF(M410="","SEM DATA",IF(M410&lt;0,"VENCIDO",IF(M410&lt;=DiasAlerta,"VENCE EM BREVE","NO PRAZO"))))))</f>
        <v/>
      </c>
      <c r="O410" s="109" t="str">
        <f>IF(D410="","",TODAY()-D410)</f>
        <v/>
      </c>
      <c r="P410" s="102" t="n"/>
    </row>
    <row r="411" ht="18" customHeight="1">
      <c r="A411" s="101" t="n"/>
      <c r="B411" s="102" t="n"/>
      <c r="C411" s="102" t="n"/>
      <c r="D411" s="103" t="n"/>
      <c r="E411" s="102" t="n"/>
      <c r="F411" s="104" t="n"/>
      <c r="G411" s="104" t="n"/>
      <c r="H411" s="102" t="n"/>
      <c r="I411" s="105" t="n"/>
      <c r="J411" s="105" t="n"/>
      <c r="K411" s="103" t="n"/>
      <c r="L411" s="106" t="str">
        <f>IF(OR(D411="",E411=""),"",D411+IF(E411="NOTIFICAÇÃO DE CONSTATAÇÃO",PrazoConst,PrazoEsc))</f>
        <v/>
      </c>
      <c r="M411" s="107" t="str">
        <f>IF(L411="","",L411-TODAY())</f>
        <v/>
      </c>
      <c r="N411" s="108" t="str">
        <f>IF(B411="","",IF(G411="DECISÃO D.P","EM DECISÃO",IF(G411="","SEM STATUS",IF(M411="","SEM DATA",IF(M411&lt;0,"VENCIDO",IF(M411&lt;=DiasAlerta,"VENCE EM BREVE","NO PRAZO"))))))</f>
        <v/>
      </c>
      <c r="O411" s="109" t="str">
        <f>IF(D411="","",TODAY()-D411)</f>
        <v/>
      </c>
      <c r="P411" s="102" t="n"/>
    </row>
    <row r="412" ht="18" customHeight="1">
      <c r="A412" s="101" t="n"/>
      <c r="B412" s="102" t="n"/>
      <c r="C412" s="102" t="n"/>
      <c r="D412" s="103" t="n"/>
      <c r="E412" s="102" t="n"/>
      <c r="F412" s="104" t="n"/>
      <c r="G412" s="104" t="n"/>
      <c r="H412" s="102" t="n"/>
      <c r="I412" s="105" t="n"/>
      <c r="J412" s="105" t="n"/>
      <c r="K412" s="103" t="n"/>
      <c r="L412" s="106" t="str">
        <f>IF(OR(D412="",E412=""),"",D412+IF(E412="NOTIFICAÇÃO DE CONSTATAÇÃO",PrazoConst,PrazoEsc))</f>
        <v/>
      </c>
      <c r="M412" s="107" t="str">
        <f>IF(L412="","",L412-TODAY())</f>
        <v/>
      </c>
      <c r="N412" s="108" t="str">
        <f>IF(B412="","",IF(G412="DECISÃO D.P","EM DECISÃO",IF(G412="","SEM STATUS",IF(M412="","SEM DATA",IF(M412&lt;0,"VENCIDO",IF(M412&lt;=DiasAlerta,"VENCE EM BREVE","NO PRAZO"))))))</f>
        <v/>
      </c>
      <c r="O412" s="109" t="str">
        <f>IF(D412="","",TODAY()-D412)</f>
        <v/>
      </c>
      <c r="P412" s="102" t="n"/>
    </row>
    <row r="413" ht="18" customHeight="1">
      <c r="A413" s="101" t="n"/>
      <c r="B413" s="102" t="n"/>
      <c r="C413" s="102" t="n"/>
      <c r="D413" s="103" t="n"/>
      <c r="E413" s="102" t="n"/>
      <c r="F413" s="104" t="n"/>
      <c r="G413" s="104" t="n"/>
      <c r="H413" s="102" t="n"/>
      <c r="I413" s="105" t="n"/>
      <c r="J413" s="105" t="n"/>
      <c r="K413" s="103" t="n"/>
      <c r="L413" s="106" t="str">
        <f>IF(OR(D413="",E413=""),"",D413+IF(E413="NOTIFICAÇÃO DE CONSTATAÇÃO",PrazoConst,PrazoEsc))</f>
        <v/>
      </c>
      <c r="M413" s="107" t="str">
        <f>IF(L413="","",L413-TODAY())</f>
        <v/>
      </c>
      <c r="N413" s="108" t="str">
        <f>IF(B413="","",IF(G413="DECISÃO D.P","EM DECISÃO",IF(G413="","SEM STATUS",IF(M413="","SEM DATA",IF(M413&lt;0,"VENCIDO",IF(M413&lt;=DiasAlerta,"VENCE EM BREVE","NO PRAZO"))))))</f>
        <v/>
      </c>
      <c r="O413" s="109" t="str">
        <f>IF(D413="","",TODAY()-D413)</f>
        <v/>
      </c>
      <c r="P413" s="102" t="n"/>
    </row>
    <row r="414" ht="18" customHeight="1">
      <c r="A414" s="101" t="n"/>
      <c r="B414" s="102" t="n"/>
      <c r="C414" s="102" t="n"/>
      <c r="D414" s="103" t="n"/>
      <c r="E414" s="102" t="n"/>
      <c r="F414" s="104" t="n"/>
      <c r="G414" s="104" t="n"/>
      <c r="H414" s="102" t="n"/>
      <c r="I414" s="105" t="n"/>
      <c r="J414" s="105" t="n"/>
      <c r="K414" s="103" t="n"/>
      <c r="L414" s="106" t="str">
        <f>IF(OR(D414="",E414=""),"",D414+IF(E414="NOTIFICAÇÃO DE CONSTATAÇÃO",PrazoConst,PrazoEsc))</f>
        <v/>
      </c>
      <c r="M414" s="107" t="str">
        <f>IF(L414="","",L414-TODAY())</f>
        <v/>
      </c>
      <c r="N414" s="108" t="str">
        <f>IF(B414="","",IF(G414="DECISÃO D.P","EM DECISÃO",IF(G414="","SEM STATUS",IF(M414="","SEM DATA",IF(M414&lt;0,"VENCIDO",IF(M414&lt;=DiasAlerta,"VENCE EM BREVE","NO PRAZO"))))))</f>
        <v/>
      </c>
      <c r="O414" s="109" t="str">
        <f>IF(D414="","",TODAY()-D414)</f>
        <v/>
      </c>
      <c r="P414" s="102" t="n"/>
    </row>
    <row r="415" ht="18" customHeight="1">
      <c r="A415" s="101" t="n"/>
      <c r="B415" s="102" t="n"/>
      <c r="C415" s="102" t="n"/>
      <c r="D415" s="103" t="n"/>
      <c r="E415" s="102" t="n"/>
      <c r="F415" s="104" t="n"/>
      <c r="G415" s="104" t="n"/>
      <c r="H415" s="102" t="n"/>
      <c r="I415" s="105" t="n"/>
      <c r="J415" s="105" t="n"/>
      <c r="K415" s="103" t="n"/>
      <c r="L415" s="106" t="str">
        <f>IF(OR(D415="",E415=""),"",D415+IF(E415="NOTIFICAÇÃO DE CONSTATAÇÃO",PrazoConst,PrazoEsc))</f>
        <v/>
      </c>
      <c r="M415" s="107" t="str">
        <f>IF(L415="","",L415-TODAY())</f>
        <v/>
      </c>
      <c r="N415" s="108" t="str">
        <f>IF(B415="","",IF(G415="DECISÃO D.P","EM DECISÃO",IF(G415="","SEM STATUS",IF(M415="","SEM DATA",IF(M415&lt;0,"VENCIDO",IF(M415&lt;=DiasAlerta,"VENCE EM BREVE","NO PRAZO"))))))</f>
        <v/>
      </c>
      <c r="O415" s="109" t="str">
        <f>IF(D415="","",TODAY()-D415)</f>
        <v/>
      </c>
      <c r="P415" s="102" t="n"/>
    </row>
    <row r="416" ht="18" customHeight="1">
      <c r="A416" s="101" t="n"/>
      <c r="B416" s="102" t="n"/>
      <c r="C416" s="102" t="n"/>
      <c r="D416" s="103" t="n"/>
      <c r="E416" s="102" t="n"/>
      <c r="F416" s="104" t="n"/>
      <c r="G416" s="104" t="n"/>
      <c r="H416" s="102" t="n"/>
      <c r="I416" s="105" t="n"/>
      <c r="J416" s="105" t="n"/>
      <c r="K416" s="103" t="n"/>
      <c r="L416" s="106" t="str">
        <f>IF(OR(D416="",E416=""),"",D416+IF(E416="NOTIFICAÇÃO DE CONSTATAÇÃO",PrazoConst,PrazoEsc))</f>
        <v/>
      </c>
      <c r="M416" s="107" t="str">
        <f>IF(L416="","",L416-TODAY())</f>
        <v/>
      </c>
      <c r="N416" s="108" t="str">
        <f>IF(B416="","",IF(G416="DECISÃO D.P","EM DECISÃO",IF(G416="","SEM STATUS",IF(M416="","SEM DATA",IF(M416&lt;0,"VENCIDO",IF(M416&lt;=DiasAlerta,"VENCE EM BREVE","NO PRAZO"))))))</f>
        <v/>
      </c>
      <c r="O416" s="109" t="str">
        <f>IF(D416="","",TODAY()-D416)</f>
        <v/>
      </c>
      <c r="P416" s="102" t="n"/>
    </row>
    <row r="417" ht="18" customHeight="1">
      <c r="A417" s="101" t="n"/>
      <c r="B417" s="102" t="n"/>
      <c r="C417" s="102" t="n"/>
      <c r="D417" s="103" t="n"/>
      <c r="E417" s="102" t="n"/>
      <c r="F417" s="104" t="n"/>
      <c r="G417" s="104" t="n"/>
      <c r="H417" s="102" t="n"/>
      <c r="I417" s="105" t="n"/>
      <c r="J417" s="105" t="n"/>
      <c r="K417" s="103" t="n"/>
      <c r="L417" s="106" t="str">
        <f>IF(OR(D417="",E417=""),"",D417+IF(E417="NOTIFICAÇÃO DE CONSTATAÇÃO",PrazoConst,PrazoEsc))</f>
        <v/>
      </c>
      <c r="M417" s="107" t="str">
        <f>IF(L417="","",L417-TODAY())</f>
        <v/>
      </c>
      <c r="N417" s="108" t="str">
        <f>IF(B417="","",IF(G417="DECISÃO D.P","EM DECISÃO",IF(G417="","SEM STATUS",IF(M417="","SEM DATA",IF(M417&lt;0,"VENCIDO",IF(M417&lt;=DiasAlerta,"VENCE EM BREVE","NO PRAZO"))))))</f>
        <v/>
      </c>
      <c r="O417" s="109" t="str">
        <f>IF(D417="","",TODAY()-D417)</f>
        <v/>
      </c>
      <c r="P417" s="102" t="n"/>
    </row>
    <row r="418" ht="18" customHeight="1">
      <c r="A418" s="101" t="n"/>
      <c r="B418" s="102" t="n"/>
      <c r="C418" s="102" t="n"/>
      <c r="D418" s="103" t="n"/>
      <c r="E418" s="102" t="n"/>
      <c r="F418" s="104" t="n"/>
      <c r="G418" s="104" t="n"/>
      <c r="H418" s="102" t="n"/>
      <c r="I418" s="105" t="n"/>
      <c r="J418" s="105" t="n"/>
      <c r="K418" s="103" t="n"/>
      <c r="L418" s="106" t="str">
        <f>IF(OR(D418="",E418=""),"",D418+IF(E418="NOTIFICAÇÃO DE CONSTATAÇÃO",PrazoConst,PrazoEsc))</f>
        <v/>
      </c>
      <c r="M418" s="107" t="str">
        <f>IF(L418="","",L418-TODAY())</f>
        <v/>
      </c>
      <c r="N418" s="108" t="str">
        <f>IF(B418="","",IF(G418="DECISÃO D.P","EM DECISÃO",IF(G418="","SEM STATUS",IF(M418="","SEM DATA",IF(M418&lt;0,"VENCIDO",IF(M418&lt;=DiasAlerta,"VENCE EM BREVE","NO PRAZO"))))))</f>
        <v/>
      </c>
      <c r="O418" s="109" t="str">
        <f>IF(D418="","",TODAY()-D418)</f>
        <v/>
      </c>
      <c r="P418" s="102" t="n"/>
    </row>
    <row r="419" ht="18" customHeight="1">
      <c r="A419" s="101" t="n"/>
      <c r="B419" s="102" t="n"/>
      <c r="C419" s="102" t="n"/>
      <c r="D419" s="103" t="n"/>
      <c r="E419" s="102" t="n"/>
      <c r="F419" s="104" t="n"/>
      <c r="G419" s="104" t="n"/>
      <c r="H419" s="102" t="n"/>
      <c r="I419" s="105" t="n"/>
      <c r="J419" s="105" t="n"/>
      <c r="K419" s="103" t="n"/>
      <c r="L419" s="106" t="str">
        <f>IF(OR(D419="",E419=""),"",D419+IF(E419="NOTIFICAÇÃO DE CONSTATAÇÃO",PrazoConst,PrazoEsc))</f>
        <v/>
      </c>
      <c r="M419" s="107" t="str">
        <f>IF(L419="","",L419-TODAY())</f>
        <v/>
      </c>
      <c r="N419" s="108" t="str">
        <f>IF(B419="","",IF(G419="DECISÃO D.P","EM DECISÃO",IF(G419="","SEM STATUS",IF(M419="","SEM DATA",IF(M419&lt;0,"VENCIDO",IF(M419&lt;=DiasAlerta,"VENCE EM BREVE","NO PRAZO"))))))</f>
        <v/>
      </c>
      <c r="O419" s="109" t="str">
        <f>IF(D419="","",TODAY()-D419)</f>
        <v/>
      </c>
      <c r="P419" s="102" t="n"/>
    </row>
    <row r="420" ht="18" customHeight="1">
      <c r="A420" s="101" t="n"/>
      <c r="B420" s="102" t="n"/>
      <c r="C420" s="102" t="n"/>
      <c r="D420" s="103" t="n"/>
      <c r="E420" s="102" t="n"/>
      <c r="F420" s="104" t="n"/>
      <c r="G420" s="104" t="n"/>
      <c r="H420" s="102" t="n"/>
      <c r="I420" s="105" t="n"/>
      <c r="J420" s="105" t="n"/>
      <c r="K420" s="103" t="n"/>
      <c r="L420" s="106" t="str">
        <f>IF(OR(D420="",E420=""),"",D420+IF(E420="NOTIFICAÇÃO DE CONSTATAÇÃO",PrazoConst,PrazoEsc))</f>
        <v/>
      </c>
      <c r="M420" s="107" t="str">
        <f>IF(L420="","",L420-TODAY())</f>
        <v/>
      </c>
      <c r="N420" s="108" t="str">
        <f>IF(B420="","",IF(G420="DECISÃO D.P","EM DECISÃO",IF(G420="","SEM STATUS",IF(M420="","SEM DATA",IF(M420&lt;0,"VENCIDO",IF(M420&lt;=DiasAlerta,"VENCE EM BREVE","NO PRAZO"))))))</f>
        <v/>
      </c>
      <c r="O420" s="109" t="str">
        <f>IF(D420="","",TODAY()-D420)</f>
        <v/>
      </c>
      <c r="P420" s="102" t="n"/>
    </row>
    <row r="421" ht="18" customHeight="1">
      <c r="A421" s="101" t="n"/>
      <c r="B421" s="102" t="n"/>
      <c r="C421" s="102" t="n"/>
      <c r="D421" s="103" t="n"/>
      <c r="E421" s="102" t="n"/>
      <c r="F421" s="104" t="n"/>
      <c r="G421" s="104" t="n"/>
      <c r="H421" s="102" t="n"/>
      <c r="I421" s="105" t="n"/>
      <c r="J421" s="105" t="n"/>
      <c r="K421" s="103" t="n"/>
      <c r="L421" s="106" t="str">
        <f>IF(OR(D421="",E421=""),"",D421+IF(E421="NOTIFICAÇÃO DE CONSTATAÇÃO",PrazoConst,PrazoEsc))</f>
        <v/>
      </c>
      <c r="M421" s="107" t="str">
        <f>IF(L421="","",L421-TODAY())</f>
        <v/>
      </c>
      <c r="N421" s="108" t="str">
        <f>IF(B421="","",IF(G421="DECISÃO D.P","EM DECISÃO",IF(G421="","SEM STATUS",IF(M421="","SEM DATA",IF(M421&lt;0,"VENCIDO",IF(M421&lt;=DiasAlerta,"VENCE EM BREVE","NO PRAZO"))))))</f>
        <v/>
      </c>
      <c r="O421" s="109" t="str">
        <f>IF(D421="","",TODAY()-D421)</f>
        <v/>
      </c>
      <c r="P421" s="102" t="n"/>
    </row>
    <row r="422" ht="18" customHeight="1">
      <c r="A422" s="101" t="n"/>
      <c r="B422" s="102" t="n"/>
      <c r="C422" s="102" t="n"/>
      <c r="D422" s="103" t="n"/>
      <c r="E422" s="102" t="n"/>
      <c r="F422" s="104" t="n"/>
      <c r="G422" s="104" t="n"/>
      <c r="H422" s="102" t="n"/>
      <c r="I422" s="105" t="n"/>
      <c r="J422" s="105" t="n"/>
      <c r="K422" s="103" t="n"/>
      <c r="L422" s="106" t="str">
        <f>IF(OR(D422="",E422=""),"",D422+IF(E422="NOTIFICAÇÃO DE CONSTATAÇÃO",PrazoConst,PrazoEsc))</f>
        <v/>
      </c>
      <c r="M422" s="107" t="str">
        <f>IF(L422="","",L422-TODAY())</f>
        <v/>
      </c>
      <c r="N422" s="108" t="str">
        <f>IF(B422="","",IF(G422="DECISÃO D.P","EM DECISÃO",IF(G422="","SEM STATUS",IF(M422="","SEM DATA",IF(M422&lt;0,"VENCIDO",IF(M422&lt;=DiasAlerta,"VENCE EM BREVE","NO PRAZO"))))))</f>
        <v/>
      </c>
      <c r="O422" s="109" t="str">
        <f>IF(D422="","",TODAY()-D422)</f>
        <v/>
      </c>
      <c r="P422" s="102" t="n"/>
    </row>
    <row r="423" ht="18" customHeight="1">
      <c r="A423" s="101" t="n"/>
      <c r="B423" s="102" t="n"/>
      <c r="C423" s="102" t="n"/>
      <c r="D423" s="103" t="n"/>
      <c r="E423" s="102" t="n"/>
      <c r="F423" s="104" t="n"/>
      <c r="G423" s="104" t="n"/>
      <c r="H423" s="102" t="n"/>
      <c r="I423" s="105" t="n"/>
      <c r="J423" s="105" t="n"/>
      <c r="K423" s="103" t="n"/>
      <c r="L423" s="106" t="str">
        <f>IF(OR(D423="",E423=""),"",D423+IF(E423="NOTIFICAÇÃO DE CONSTATAÇÃO",PrazoConst,PrazoEsc))</f>
        <v/>
      </c>
      <c r="M423" s="107" t="str">
        <f>IF(L423="","",L423-TODAY())</f>
        <v/>
      </c>
      <c r="N423" s="108" t="str">
        <f>IF(B423="","",IF(G423="DECISÃO D.P","EM DECISÃO",IF(G423="","SEM STATUS",IF(M423="","SEM DATA",IF(M423&lt;0,"VENCIDO",IF(M423&lt;=DiasAlerta,"VENCE EM BREVE","NO PRAZO"))))))</f>
        <v/>
      </c>
      <c r="O423" s="109" t="str">
        <f>IF(D423="","",TODAY()-D423)</f>
        <v/>
      </c>
      <c r="P423" s="102" t="n"/>
    </row>
    <row r="424" ht="18" customHeight="1">
      <c r="A424" s="101" t="n"/>
      <c r="B424" s="102" t="n"/>
      <c r="C424" s="102" t="n"/>
      <c r="D424" s="103" t="n"/>
      <c r="E424" s="102" t="n"/>
      <c r="F424" s="104" t="n"/>
      <c r="G424" s="104" t="n"/>
      <c r="H424" s="102" t="n"/>
      <c r="I424" s="105" t="n"/>
      <c r="J424" s="105" t="n"/>
      <c r="K424" s="103" t="n"/>
      <c r="L424" s="106" t="str">
        <f>IF(OR(D424="",E424=""),"",D424+IF(E424="NOTIFICAÇÃO DE CONSTATAÇÃO",PrazoConst,PrazoEsc))</f>
        <v/>
      </c>
      <c r="M424" s="107" t="str">
        <f>IF(L424="","",L424-TODAY())</f>
        <v/>
      </c>
      <c r="N424" s="108" t="str">
        <f>IF(B424="","",IF(G424="DECISÃO D.P","EM DECISÃO",IF(G424="","SEM STATUS",IF(M424="","SEM DATA",IF(M424&lt;0,"VENCIDO",IF(M424&lt;=DiasAlerta,"VENCE EM BREVE","NO PRAZO"))))))</f>
        <v/>
      </c>
      <c r="O424" s="109" t="str">
        <f>IF(D424="","",TODAY()-D424)</f>
        <v/>
      </c>
      <c r="P424" s="102" t="n"/>
    </row>
    <row r="425" ht="18" customHeight="1">
      <c r="A425" s="101" t="n"/>
      <c r="B425" s="102" t="n"/>
      <c r="C425" s="102" t="n"/>
      <c r="D425" s="103" t="n"/>
      <c r="E425" s="102" t="n"/>
      <c r="F425" s="104" t="n"/>
      <c r="G425" s="104" t="n"/>
      <c r="H425" s="102" t="n"/>
      <c r="I425" s="105" t="n"/>
      <c r="J425" s="105" t="n"/>
      <c r="K425" s="103" t="n"/>
      <c r="L425" s="106" t="str">
        <f>IF(OR(D425="",E425=""),"",D425+IF(E425="NOTIFICAÇÃO DE CONSTATAÇÃO",PrazoConst,PrazoEsc))</f>
        <v/>
      </c>
      <c r="M425" s="107" t="str">
        <f>IF(L425="","",L425-TODAY())</f>
        <v/>
      </c>
      <c r="N425" s="108" t="str">
        <f>IF(B425="","",IF(G425="DECISÃO D.P","EM DECISÃO",IF(G425="","SEM STATUS",IF(M425="","SEM DATA",IF(M425&lt;0,"VENCIDO",IF(M425&lt;=DiasAlerta,"VENCE EM BREVE","NO PRAZO"))))))</f>
        <v/>
      </c>
      <c r="O425" s="109" t="str">
        <f>IF(D425="","",TODAY()-D425)</f>
        <v/>
      </c>
      <c r="P425" s="102" t="n"/>
    </row>
    <row r="426" ht="18" customHeight="1">
      <c r="A426" s="101" t="n"/>
      <c r="B426" s="102" t="n"/>
      <c r="C426" s="102" t="n"/>
      <c r="D426" s="103" t="n"/>
      <c r="E426" s="102" t="n"/>
      <c r="F426" s="104" t="n"/>
      <c r="G426" s="104" t="n"/>
      <c r="H426" s="102" t="n"/>
      <c r="I426" s="105" t="n"/>
      <c r="J426" s="105" t="n"/>
      <c r="K426" s="103" t="n"/>
      <c r="L426" s="106" t="str">
        <f>IF(OR(D426="",E426=""),"",D426+IF(E426="NOTIFICAÇÃO DE CONSTATAÇÃO",PrazoConst,PrazoEsc))</f>
        <v/>
      </c>
      <c r="M426" s="107" t="str">
        <f>IF(L426="","",L426-TODAY())</f>
        <v/>
      </c>
      <c r="N426" s="108" t="str">
        <f>IF(B426="","",IF(G426="DECISÃO D.P","EM DECISÃO",IF(G426="","SEM STATUS",IF(M426="","SEM DATA",IF(M426&lt;0,"VENCIDO",IF(M426&lt;=DiasAlerta,"VENCE EM BREVE","NO PRAZO"))))))</f>
        <v/>
      </c>
      <c r="O426" s="109" t="str">
        <f>IF(D426="","",TODAY()-D426)</f>
        <v/>
      </c>
      <c r="P426" s="102" t="n"/>
    </row>
    <row r="427" ht="18" customHeight="1">
      <c r="A427" s="101" t="n"/>
      <c r="B427" s="102" t="n"/>
      <c r="C427" s="102" t="n"/>
      <c r="D427" s="103" t="n"/>
      <c r="E427" s="102" t="n"/>
      <c r="F427" s="104" t="n"/>
      <c r="G427" s="104" t="n"/>
      <c r="H427" s="102" t="n"/>
      <c r="I427" s="105" t="n"/>
      <c r="J427" s="105" t="n"/>
      <c r="K427" s="103" t="n"/>
      <c r="L427" s="106" t="str">
        <f>IF(OR(D427="",E427=""),"",D427+IF(E427="NOTIFICAÇÃO DE CONSTATAÇÃO",PrazoConst,PrazoEsc))</f>
        <v/>
      </c>
      <c r="M427" s="107" t="str">
        <f>IF(L427="","",L427-TODAY())</f>
        <v/>
      </c>
      <c r="N427" s="108" t="str">
        <f>IF(B427="","",IF(G427="DECISÃO D.P","EM DECISÃO",IF(G427="","SEM STATUS",IF(M427="","SEM DATA",IF(M427&lt;0,"VENCIDO",IF(M427&lt;=DiasAlerta,"VENCE EM BREVE","NO PRAZO"))))))</f>
        <v/>
      </c>
      <c r="O427" s="109" t="str">
        <f>IF(D427="","",TODAY()-D427)</f>
        <v/>
      </c>
      <c r="P427" s="102" t="n"/>
    </row>
    <row r="428" ht="18" customHeight="1">
      <c r="A428" s="101" t="n"/>
      <c r="B428" s="102" t="n"/>
      <c r="C428" s="102" t="n"/>
      <c r="D428" s="103" t="n"/>
      <c r="E428" s="102" t="n"/>
      <c r="F428" s="104" t="n"/>
      <c r="G428" s="104" t="n"/>
      <c r="H428" s="102" t="n"/>
      <c r="I428" s="105" t="n"/>
      <c r="J428" s="105" t="n"/>
      <c r="K428" s="103" t="n"/>
      <c r="L428" s="106" t="str">
        <f>IF(OR(D428="",E428=""),"",D428+IF(E428="NOTIFICAÇÃO DE CONSTATAÇÃO",PrazoConst,PrazoEsc))</f>
        <v/>
      </c>
      <c r="M428" s="107" t="str">
        <f>IF(L428="","",L428-TODAY())</f>
        <v/>
      </c>
      <c r="N428" s="108" t="str">
        <f>IF(B428="","",IF(G428="DECISÃO D.P","EM DECISÃO",IF(G428="","SEM STATUS",IF(M428="","SEM DATA",IF(M428&lt;0,"VENCIDO",IF(M428&lt;=DiasAlerta,"VENCE EM BREVE","NO PRAZO"))))))</f>
        <v/>
      </c>
      <c r="O428" s="109" t="str">
        <f>IF(D428="","",TODAY()-D428)</f>
        <v/>
      </c>
      <c r="P428" s="102" t="n"/>
    </row>
    <row r="429" ht="18" customHeight="1">
      <c r="A429" s="101" t="n"/>
      <c r="B429" s="102" t="n"/>
      <c r="C429" s="102" t="n"/>
      <c r="D429" s="103" t="n"/>
      <c r="E429" s="102" t="n"/>
      <c r="F429" s="104" t="n"/>
      <c r="G429" s="104" t="n"/>
      <c r="H429" s="102" t="n"/>
      <c r="I429" s="105" t="n"/>
      <c r="J429" s="105" t="n"/>
      <c r="K429" s="103" t="n"/>
      <c r="L429" s="106" t="str">
        <f>IF(OR(D429="",E429=""),"",D429+IF(E429="NOTIFICAÇÃO DE CONSTATAÇÃO",PrazoConst,PrazoEsc))</f>
        <v/>
      </c>
      <c r="M429" s="107" t="str">
        <f>IF(L429="","",L429-TODAY())</f>
        <v/>
      </c>
      <c r="N429" s="108" t="str">
        <f>IF(B429="","",IF(G429="DECISÃO D.P","EM DECISÃO",IF(G429="","SEM STATUS",IF(M429="","SEM DATA",IF(M429&lt;0,"VENCIDO",IF(M429&lt;=DiasAlerta,"VENCE EM BREVE","NO PRAZO"))))))</f>
        <v/>
      </c>
      <c r="O429" s="109" t="str">
        <f>IF(D429="","",TODAY()-D429)</f>
        <v/>
      </c>
      <c r="P429" s="102" t="n"/>
    </row>
    <row r="430" ht="18" customHeight="1">
      <c r="A430" s="101" t="n"/>
      <c r="B430" s="102" t="n"/>
      <c r="C430" s="102" t="n"/>
      <c r="D430" s="103" t="n"/>
      <c r="E430" s="102" t="n"/>
      <c r="F430" s="104" t="n"/>
      <c r="G430" s="104" t="n"/>
      <c r="H430" s="102" t="n"/>
      <c r="I430" s="105" t="n"/>
      <c r="J430" s="105" t="n"/>
      <c r="K430" s="103" t="n"/>
      <c r="L430" s="106" t="str">
        <f>IF(OR(D430="",E430=""),"",D430+IF(E430="NOTIFICAÇÃO DE CONSTATAÇÃO",PrazoConst,PrazoEsc))</f>
        <v/>
      </c>
      <c r="M430" s="107" t="str">
        <f>IF(L430="","",L430-TODAY())</f>
        <v/>
      </c>
      <c r="N430" s="108" t="str">
        <f>IF(B430="","",IF(G430="DECISÃO D.P","EM DECISÃO",IF(G430="","SEM STATUS",IF(M430="","SEM DATA",IF(M430&lt;0,"VENCIDO",IF(M430&lt;=DiasAlerta,"VENCE EM BREVE","NO PRAZO"))))))</f>
        <v/>
      </c>
      <c r="O430" s="109" t="str">
        <f>IF(D430="","",TODAY()-D430)</f>
        <v/>
      </c>
      <c r="P430" s="102" t="n"/>
    </row>
    <row r="431" ht="18" customHeight="1">
      <c r="A431" s="101" t="n"/>
      <c r="B431" s="102" t="n"/>
      <c r="C431" s="102" t="n"/>
      <c r="D431" s="103" t="n"/>
      <c r="E431" s="102" t="n"/>
      <c r="F431" s="104" t="n"/>
      <c r="G431" s="104" t="n"/>
      <c r="H431" s="102" t="n"/>
      <c r="I431" s="105" t="n"/>
      <c r="J431" s="105" t="n"/>
      <c r="K431" s="103" t="n"/>
      <c r="L431" s="106" t="str">
        <f>IF(OR(D431="",E431=""),"",D431+IF(E431="NOTIFICAÇÃO DE CONSTATAÇÃO",PrazoConst,PrazoEsc))</f>
        <v/>
      </c>
      <c r="M431" s="107" t="str">
        <f>IF(L431="","",L431-TODAY())</f>
        <v/>
      </c>
      <c r="N431" s="108" t="str">
        <f>IF(B431="","",IF(G431="DECISÃO D.P","EM DECISÃO",IF(G431="","SEM STATUS",IF(M431="","SEM DATA",IF(M431&lt;0,"VENCIDO",IF(M431&lt;=DiasAlerta,"VENCE EM BREVE","NO PRAZO"))))))</f>
        <v/>
      </c>
      <c r="O431" s="109" t="str">
        <f>IF(D431="","",TODAY()-D431)</f>
        <v/>
      </c>
      <c r="P431" s="102" t="n"/>
    </row>
    <row r="432" ht="18" customHeight="1">
      <c r="A432" s="101" t="n"/>
      <c r="B432" s="102" t="n"/>
      <c r="C432" s="102" t="n"/>
      <c r="D432" s="103" t="n"/>
      <c r="E432" s="102" t="n"/>
      <c r="F432" s="104" t="n"/>
      <c r="G432" s="104" t="n"/>
      <c r="H432" s="102" t="n"/>
      <c r="I432" s="105" t="n"/>
      <c r="J432" s="105" t="n"/>
      <c r="K432" s="103" t="n"/>
      <c r="L432" s="106" t="str">
        <f>IF(OR(D432="",E432=""),"",D432+IF(E432="NOTIFICAÇÃO DE CONSTATAÇÃO",PrazoConst,PrazoEsc))</f>
        <v/>
      </c>
      <c r="M432" s="107" t="str">
        <f>IF(L432="","",L432-TODAY())</f>
        <v/>
      </c>
      <c r="N432" s="108" t="str">
        <f>IF(B432="","",IF(G432="DECISÃO D.P","EM DECISÃO",IF(G432="","SEM STATUS",IF(M432="","SEM DATA",IF(M432&lt;0,"VENCIDO",IF(M432&lt;=DiasAlerta,"VENCE EM BREVE","NO PRAZO"))))))</f>
        <v/>
      </c>
      <c r="O432" s="109" t="str">
        <f>IF(D432="","",TODAY()-D432)</f>
        <v/>
      </c>
      <c r="P432" s="102" t="n"/>
    </row>
    <row r="433" ht="18" customHeight="1">
      <c r="A433" s="101" t="n"/>
      <c r="B433" s="102" t="n"/>
      <c r="C433" s="102" t="n"/>
      <c r="D433" s="103" t="n"/>
      <c r="E433" s="102" t="n"/>
      <c r="F433" s="104" t="n"/>
      <c r="G433" s="104" t="n"/>
      <c r="H433" s="102" t="n"/>
      <c r="I433" s="105" t="n"/>
      <c r="J433" s="105" t="n"/>
      <c r="K433" s="103" t="n"/>
      <c r="L433" s="106" t="str">
        <f>IF(OR(D433="",E433=""),"",D433+IF(E433="NOTIFICAÇÃO DE CONSTATAÇÃO",PrazoConst,PrazoEsc))</f>
        <v/>
      </c>
      <c r="M433" s="107" t="str">
        <f>IF(L433="","",L433-TODAY())</f>
        <v/>
      </c>
      <c r="N433" s="108" t="str">
        <f>IF(B433="","",IF(G433="DECISÃO D.P","EM DECISÃO",IF(G433="","SEM STATUS",IF(M433="","SEM DATA",IF(M433&lt;0,"VENCIDO",IF(M433&lt;=DiasAlerta,"VENCE EM BREVE","NO PRAZO"))))))</f>
        <v/>
      </c>
      <c r="O433" s="109" t="str">
        <f>IF(D433="","",TODAY()-D433)</f>
        <v/>
      </c>
      <c r="P433" s="102" t="n"/>
    </row>
    <row r="434" ht="18" customHeight="1">
      <c r="A434" s="101" t="n"/>
      <c r="B434" s="102" t="n"/>
      <c r="C434" s="102" t="n"/>
      <c r="D434" s="103" t="n"/>
      <c r="E434" s="102" t="n"/>
      <c r="F434" s="104" t="n"/>
      <c r="G434" s="104" t="n"/>
      <c r="H434" s="102" t="n"/>
      <c r="I434" s="105" t="n"/>
      <c r="J434" s="105" t="n"/>
      <c r="K434" s="103" t="n"/>
      <c r="L434" s="106" t="str">
        <f>IF(OR(D434="",E434=""),"",D434+IF(E434="NOTIFICAÇÃO DE CONSTATAÇÃO",PrazoConst,PrazoEsc))</f>
        <v/>
      </c>
      <c r="M434" s="107" t="str">
        <f>IF(L434="","",L434-TODAY())</f>
        <v/>
      </c>
      <c r="N434" s="108" t="str">
        <f>IF(B434="","",IF(G434="DECISÃO D.P","EM DECISÃO",IF(G434="","SEM STATUS",IF(M434="","SEM DATA",IF(M434&lt;0,"VENCIDO",IF(M434&lt;=DiasAlerta,"VENCE EM BREVE","NO PRAZO"))))))</f>
        <v/>
      </c>
      <c r="O434" s="109" t="str">
        <f>IF(D434="","",TODAY()-D434)</f>
        <v/>
      </c>
      <c r="P434" s="102" t="n"/>
    </row>
    <row r="435" ht="18" customHeight="1">
      <c r="A435" s="101" t="n"/>
      <c r="B435" s="102" t="n"/>
      <c r="C435" s="102" t="n"/>
      <c r="D435" s="103" t="n"/>
      <c r="E435" s="102" t="n"/>
      <c r="F435" s="104" t="n"/>
      <c r="G435" s="104" t="n"/>
      <c r="H435" s="102" t="n"/>
      <c r="I435" s="105" t="n"/>
      <c r="J435" s="105" t="n"/>
      <c r="K435" s="103" t="n"/>
      <c r="L435" s="106" t="str">
        <f>IF(OR(D435="",E435=""),"",D435+IF(E435="NOTIFICAÇÃO DE CONSTATAÇÃO",PrazoConst,PrazoEsc))</f>
        <v/>
      </c>
      <c r="M435" s="107" t="str">
        <f>IF(L435="","",L435-TODAY())</f>
        <v/>
      </c>
      <c r="N435" s="108" t="str">
        <f>IF(B435="","",IF(G435="DECISÃO D.P","EM DECISÃO",IF(G435="","SEM STATUS",IF(M435="","SEM DATA",IF(M435&lt;0,"VENCIDO",IF(M435&lt;=DiasAlerta,"VENCE EM BREVE","NO PRAZO"))))))</f>
        <v/>
      </c>
      <c r="O435" s="109" t="str">
        <f>IF(D435="","",TODAY()-D435)</f>
        <v/>
      </c>
      <c r="P435" s="102" t="n"/>
    </row>
    <row r="436" ht="18" customHeight="1">
      <c r="A436" s="101" t="n"/>
      <c r="B436" s="102" t="n"/>
      <c r="C436" s="102" t="n"/>
      <c r="D436" s="103" t="n"/>
      <c r="E436" s="102" t="n"/>
      <c r="F436" s="104" t="n"/>
      <c r="G436" s="104" t="n"/>
      <c r="H436" s="102" t="n"/>
      <c r="I436" s="105" t="n"/>
      <c r="J436" s="105" t="n"/>
      <c r="K436" s="103" t="n"/>
      <c r="L436" s="106" t="str">
        <f>IF(OR(D436="",E436=""),"",D436+IF(E436="NOTIFICAÇÃO DE CONSTATAÇÃO",PrazoConst,PrazoEsc))</f>
        <v/>
      </c>
      <c r="M436" s="107" t="str">
        <f>IF(L436="","",L436-TODAY())</f>
        <v/>
      </c>
      <c r="N436" s="108" t="str">
        <f>IF(B436="","",IF(G436="DECISÃO D.P","EM DECISÃO",IF(G436="","SEM STATUS",IF(M436="","SEM DATA",IF(M436&lt;0,"VENCIDO",IF(M436&lt;=DiasAlerta,"VENCE EM BREVE","NO PRAZO"))))))</f>
        <v/>
      </c>
      <c r="O436" s="109" t="str">
        <f>IF(D436="","",TODAY()-D436)</f>
        <v/>
      </c>
      <c r="P436" s="102" t="n"/>
    </row>
    <row r="437" ht="18" customHeight="1">
      <c r="A437" s="101" t="n"/>
      <c r="B437" s="102" t="n"/>
      <c r="C437" s="102" t="n"/>
      <c r="D437" s="103" t="n"/>
      <c r="E437" s="102" t="n"/>
      <c r="F437" s="104" t="n"/>
      <c r="G437" s="104" t="n"/>
      <c r="H437" s="102" t="n"/>
      <c r="I437" s="105" t="n"/>
      <c r="J437" s="105" t="n"/>
      <c r="K437" s="103" t="n"/>
      <c r="L437" s="106" t="str">
        <f>IF(OR(D437="",E437=""),"",D437+IF(E437="NOTIFICAÇÃO DE CONSTATAÇÃO",PrazoConst,PrazoEsc))</f>
        <v/>
      </c>
      <c r="M437" s="107" t="str">
        <f>IF(L437="","",L437-TODAY())</f>
        <v/>
      </c>
      <c r="N437" s="108" t="str">
        <f>IF(B437="","",IF(G437="DECISÃO D.P","EM DECISÃO",IF(G437="","SEM STATUS",IF(M437="","SEM DATA",IF(M437&lt;0,"VENCIDO",IF(M437&lt;=DiasAlerta,"VENCE EM BREVE","NO PRAZO"))))))</f>
        <v/>
      </c>
      <c r="O437" s="109" t="str">
        <f>IF(D437="","",TODAY()-D437)</f>
        <v/>
      </c>
      <c r="P437" s="102" t="n"/>
    </row>
    <row r="438" ht="18" customHeight="1">
      <c r="A438" s="101" t="n"/>
      <c r="B438" s="102" t="n"/>
      <c r="C438" s="102" t="n"/>
      <c r="D438" s="103" t="n"/>
      <c r="E438" s="102" t="n"/>
      <c r="F438" s="104" t="n"/>
      <c r="G438" s="104" t="n"/>
      <c r="H438" s="102" t="n"/>
      <c r="I438" s="105" t="n"/>
      <c r="J438" s="105" t="n"/>
      <c r="K438" s="103" t="n"/>
      <c r="L438" s="106" t="str">
        <f>IF(OR(D438="",E438=""),"",D438+IF(E438="NOTIFICAÇÃO DE CONSTATAÇÃO",PrazoConst,PrazoEsc))</f>
        <v/>
      </c>
      <c r="M438" s="107" t="str">
        <f>IF(L438="","",L438-TODAY())</f>
        <v/>
      </c>
      <c r="N438" s="108" t="str">
        <f>IF(B438="","",IF(G438="DECISÃO D.P","EM DECISÃO",IF(G438="","SEM STATUS",IF(M438="","SEM DATA",IF(M438&lt;0,"VENCIDO",IF(M438&lt;=DiasAlerta,"VENCE EM BREVE","NO PRAZO"))))))</f>
        <v/>
      </c>
      <c r="O438" s="109" t="str">
        <f>IF(D438="","",TODAY()-D438)</f>
        <v/>
      </c>
      <c r="P438" s="102" t="n"/>
    </row>
    <row r="439" ht="18" customHeight="1">
      <c r="A439" s="101" t="n"/>
      <c r="B439" s="102" t="n"/>
      <c r="C439" s="102" t="n"/>
      <c r="D439" s="103" t="n"/>
      <c r="E439" s="102" t="n"/>
      <c r="F439" s="104" t="n"/>
      <c r="G439" s="104" t="n"/>
      <c r="H439" s="102" t="n"/>
      <c r="I439" s="105" t="n"/>
      <c r="J439" s="105" t="n"/>
      <c r="K439" s="103" t="n"/>
      <c r="L439" s="106" t="str">
        <f>IF(OR(D439="",E439=""),"",D439+IF(E439="NOTIFICAÇÃO DE CONSTATAÇÃO",PrazoConst,PrazoEsc))</f>
        <v/>
      </c>
      <c r="M439" s="107" t="str">
        <f>IF(L439="","",L439-TODAY())</f>
        <v/>
      </c>
      <c r="N439" s="108" t="str">
        <f>IF(B439="","",IF(G439="DECISÃO D.P","EM DECISÃO",IF(G439="","SEM STATUS",IF(M439="","SEM DATA",IF(M439&lt;0,"VENCIDO",IF(M439&lt;=DiasAlerta,"VENCE EM BREVE","NO PRAZO"))))))</f>
        <v/>
      </c>
      <c r="O439" s="109" t="str">
        <f>IF(D439="","",TODAY()-D439)</f>
        <v/>
      </c>
      <c r="P439" s="102" t="n"/>
    </row>
    <row r="440" ht="18" customHeight="1">
      <c r="A440" s="101" t="n"/>
      <c r="B440" s="102" t="n"/>
      <c r="C440" s="102" t="n"/>
      <c r="D440" s="103" t="n"/>
      <c r="E440" s="102" t="n"/>
      <c r="F440" s="104" t="n"/>
      <c r="G440" s="104" t="n"/>
      <c r="H440" s="102" t="n"/>
      <c r="I440" s="105" t="n"/>
      <c r="J440" s="105" t="n"/>
      <c r="K440" s="103" t="n"/>
      <c r="L440" s="106" t="str">
        <f>IF(OR(D440="",E440=""),"",D440+IF(E440="NOTIFICAÇÃO DE CONSTATAÇÃO",PrazoConst,PrazoEsc))</f>
        <v/>
      </c>
      <c r="M440" s="107" t="str">
        <f>IF(L440="","",L440-TODAY())</f>
        <v/>
      </c>
      <c r="N440" s="108" t="str">
        <f>IF(B440="","",IF(G440="DECISÃO D.P","EM DECISÃO",IF(G440="","SEM STATUS",IF(M440="","SEM DATA",IF(M440&lt;0,"VENCIDO",IF(M440&lt;=DiasAlerta,"VENCE EM BREVE","NO PRAZO"))))))</f>
        <v/>
      </c>
      <c r="O440" s="109" t="str">
        <f>IF(D440="","",TODAY()-D440)</f>
        <v/>
      </c>
      <c r="P440" s="102" t="n"/>
    </row>
    <row r="441" ht="18" customHeight="1">
      <c r="A441" s="101" t="n"/>
      <c r="B441" s="102" t="n"/>
      <c r="C441" s="102" t="n"/>
      <c r="D441" s="103" t="n"/>
      <c r="E441" s="102" t="n"/>
      <c r="F441" s="104" t="n"/>
      <c r="G441" s="104" t="n"/>
      <c r="H441" s="102" t="n"/>
      <c r="I441" s="105" t="n"/>
      <c r="J441" s="105" t="n"/>
      <c r="K441" s="103" t="n"/>
      <c r="L441" s="106" t="str">
        <f>IF(OR(D441="",E441=""),"",D441+IF(E441="NOTIFICAÇÃO DE CONSTATAÇÃO",PrazoConst,PrazoEsc))</f>
        <v/>
      </c>
      <c r="M441" s="107" t="str">
        <f>IF(L441="","",L441-TODAY())</f>
        <v/>
      </c>
      <c r="N441" s="108" t="str">
        <f>IF(B441="","",IF(G441="DECISÃO D.P","EM DECISÃO",IF(G441="","SEM STATUS",IF(M441="","SEM DATA",IF(M441&lt;0,"VENCIDO",IF(M441&lt;=DiasAlerta,"VENCE EM BREVE","NO PRAZO"))))))</f>
        <v/>
      </c>
      <c r="O441" s="109" t="str">
        <f>IF(D441="","",TODAY()-D441)</f>
        <v/>
      </c>
      <c r="P441" s="102" t="n"/>
    </row>
    <row r="442" ht="18" customHeight="1">
      <c r="A442" s="101" t="n"/>
      <c r="B442" s="102" t="n"/>
      <c r="C442" s="102" t="n"/>
      <c r="D442" s="103" t="n"/>
      <c r="E442" s="102" t="n"/>
      <c r="F442" s="104" t="n"/>
      <c r="G442" s="104" t="n"/>
      <c r="H442" s="102" t="n"/>
      <c r="I442" s="105" t="n"/>
      <c r="J442" s="105" t="n"/>
      <c r="K442" s="103" t="n"/>
      <c r="L442" s="106" t="str">
        <f>IF(OR(D442="",E442=""),"",D442+IF(E442="NOTIFICAÇÃO DE CONSTATAÇÃO",PrazoConst,PrazoEsc))</f>
        <v/>
      </c>
      <c r="M442" s="107" t="str">
        <f>IF(L442="","",L442-TODAY())</f>
        <v/>
      </c>
      <c r="N442" s="108" t="str">
        <f>IF(B442="","",IF(G442="DECISÃO D.P","EM DECISÃO",IF(G442="","SEM STATUS",IF(M442="","SEM DATA",IF(M442&lt;0,"VENCIDO",IF(M442&lt;=DiasAlerta,"VENCE EM BREVE","NO PRAZO"))))))</f>
        <v/>
      </c>
      <c r="O442" s="109" t="str">
        <f>IF(D442="","",TODAY()-D442)</f>
        <v/>
      </c>
      <c r="P442" s="102" t="n"/>
    </row>
    <row r="443" ht="18" customHeight="1">
      <c r="A443" s="101" t="n"/>
      <c r="B443" s="102" t="n"/>
      <c r="C443" s="102" t="n"/>
      <c r="D443" s="103" t="n"/>
      <c r="E443" s="102" t="n"/>
      <c r="F443" s="104" t="n"/>
      <c r="G443" s="104" t="n"/>
      <c r="H443" s="102" t="n"/>
      <c r="I443" s="105" t="n"/>
      <c r="J443" s="105" t="n"/>
      <c r="K443" s="103" t="n"/>
      <c r="L443" s="106" t="str">
        <f>IF(OR(D443="",E443=""),"",D443+IF(E443="NOTIFICAÇÃO DE CONSTATAÇÃO",PrazoConst,PrazoEsc))</f>
        <v/>
      </c>
      <c r="M443" s="107" t="str">
        <f>IF(L443="","",L443-TODAY())</f>
        <v/>
      </c>
      <c r="N443" s="108" t="str">
        <f>IF(B443="","",IF(G443="DECISÃO D.P","EM DECISÃO",IF(G443="","SEM STATUS",IF(M443="","SEM DATA",IF(M443&lt;0,"VENCIDO",IF(M443&lt;=DiasAlerta,"VENCE EM BREVE","NO PRAZO"))))))</f>
        <v/>
      </c>
      <c r="O443" s="109" t="str">
        <f>IF(D443="","",TODAY()-D443)</f>
        <v/>
      </c>
      <c r="P443" s="102" t="n"/>
    </row>
    <row r="444" ht="18" customHeight="1">
      <c r="A444" s="101" t="n"/>
      <c r="B444" s="102" t="n"/>
      <c r="C444" s="102" t="n"/>
      <c r="D444" s="103" t="n"/>
      <c r="E444" s="102" t="n"/>
      <c r="F444" s="104" t="n"/>
      <c r="G444" s="104" t="n"/>
      <c r="H444" s="102" t="n"/>
      <c r="I444" s="105" t="n"/>
      <c r="J444" s="105" t="n"/>
      <c r="K444" s="103" t="n"/>
      <c r="L444" s="106" t="str">
        <f>IF(OR(D444="",E444=""),"",D444+IF(E444="NOTIFICAÇÃO DE CONSTATAÇÃO",PrazoConst,PrazoEsc))</f>
        <v/>
      </c>
      <c r="M444" s="107" t="str">
        <f>IF(L444="","",L444-TODAY())</f>
        <v/>
      </c>
      <c r="N444" s="108" t="str">
        <f>IF(B444="","",IF(G444="DECISÃO D.P","EM DECISÃO",IF(G444="","SEM STATUS",IF(M444="","SEM DATA",IF(M444&lt;0,"VENCIDO",IF(M444&lt;=DiasAlerta,"VENCE EM BREVE","NO PRAZO"))))))</f>
        <v/>
      </c>
      <c r="O444" s="109" t="str">
        <f>IF(D444="","",TODAY()-D444)</f>
        <v/>
      </c>
      <c r="P444" s="102" t="n"/>
    </row>
    <row r="445" ht="18" customHeight="1">
      <c r="A445" s="101" t="n"/>
      <c r="B445" s="102" t="n"/>
      <c r="C445" s="102" t="n"/>
      <c r="D445" s="103" t="n"/>
      <c r="E445" s="102" t="n"/>
      <c r="F445" s="104" t="n"/>
      <c r="G445" s="104" t="n"/>
      <c r="H445" s="102" t="n"/>
      <c r="I445" s="105" t="n"/>
      <c r="J445" s="105" t="n"/>
      <c r="K445" s="103" t="n"/>
      <c r="L445" s="106" t="str">
        <f>IF(OR(D445="",E445=""),"",D445+IF(E445="NOTIFICAÇÃO DE CONSTATAÇÃO",PrazoConst,PrazoEsc))</f>
        <v/>
      </c>
      <c r="M445" s="107" t="str">
        <f>IF(L445="","",L445-TODAY())</f>
        <v/>
      </c>
      <c r="N445" s="108" t="str">
        <f>IF(B445="","",IF(G445="DECISÃO D.P","EM DECISÃO",IF(G445="","SEM STATUS",IF(M445="","SEM DATA",IF(M445&lt;0,"VENCIDO",IF(M445&lt;=DiasAlerta,"VENCE EM BREVE","NO PRAZO"))))))</f>
        <v/>
      </c>
      <c r="O445" s="109" t="str">
        <f>IF(D445="","",TODAY()-D445)</f>
        <v/>
      </c>
      <c r="P445" s="102" t="n"/>
    </row>
    <row r="446" ht="18" customHeight="1">
      <c r="A446" s="101" t="n"/>
      <c r="B446" s="102" t="n"/>
      <c r="C446" s="102" t="n"/>
      <c r="D446" s="103" t="n"/>
      <c r="E446" s="102" t="n"/>
      <c r="F446" s="104" t="n"/>
      <c r="G446" s="104" t="n"/>
      <c r="H446" s="102" t="n"/>
      <c r="I446" s="105" t="n"/>
      <c r="J446" s="105" t="n"/>
      <c r="K446" s="103" t="n"/>
      <c r="L446" s="106" t="str">
        <f>IF(OR(D446="",E446=""),"",D446+IF(E446="NOTIFICAÇÃO DE CONSTATAÇÃO",PrazoConst,PrazoEsc))</f>
        <v/>
      </c>
      <c r="M446" s="107" t="str">
        <f>IF(L446="","",L446-TODAY())</f>
        <v/>
      </c>
      <c r="N446" s="108" t="str">
        <f>IF(B446="","",IF(G446="DECISÃO D.P","EM DECISÃO",IF(G446="","SEM STATUS",IF(M446="","SEM DATA",IF(M446&lt;0,"VENCIDO",IF(M446&lt;=DiasAlerta,"VENCE EM BREVE","NO PRAZO"))))))</f>
        <v/>
      </c>
      <c r="O446" s="109" t="str">
        <f>IF(D446="","",TODAY()-D446)</f>
        <v/>
      </c>
      <c r="P446" s="102" t="n"/>
    </row>
    <row r="447" ht="18" customHeight="1">
      <c r="A447" s="101" t="n"/>
      <c r="B447" s="102" t="n"/>
      <c r="C447" s="102" t="n"/>
      <c r="D447" s="103" t="n"/>
      <c r="E447" s="102" t="n"/>
      <c r="F447" s="104" t="n"/>
      <c r="G447" s="104" t="n"/>
      <c r="H447" s="102" t="n"/>
      <c r="I447" s="105" t="n"/>
      <c r="J447" s="105" t="n"/>
      <c r="K447" s="103" t="n"/>
      <c r="L447" s="106" t="str">
        <f>IF(OR(D447="",E447=""),"",D447+IF(E447="NOTIFICAÇÃO DE CONSTATAÇÃO",PrazoConst,PrazoEsc))</f>
        <v/>
      </c>
      <c r="M447" s="107" t="str">
        <f>IF(L447="","",L447-TODAY())</f>
        <v/>
      </c>
      <c r="N447" s="108" t="str">
        <f>IF(B447="","",IF(G447="DECISÃO D.P","EM DECISÃO",IF(G447="","SEM STATUS",IF(M447="","SEM DATA",IF(M447&lt;0,"VENCIDO",IF(M447&lt;=DiasAlerta,"VENCE EM BREVE","NO PRAZO"))))))</f>
        <v/>
      </c>
      <c r="O447" s="109" t="str">
        <f>IF(D447="","",TODAY()-D447)</f>
        <v/>
      </c>
      <c r="P447" s="102" t="n"/>
    </row>
    <row r="448" ht="18" customHeight="1">
      <c r="A448" s="101" t="n"/>
      <c r="B448" s="102" t="n"/>
      <c r="C448" s="102" t="n"/>
      <c r="D448" s="103" t="n"/>
      <c r="E448" s="102" t="n"/>
      <c r="F448" s="104" t="n"/>
      <c r="G448" s="104" t="n"/>
      <c r="H448" s="102" t="n"/>
      <c r="I448" s="105" t="n"/>
      <c r="J448" s="105" t="n"/>
      <c r="K448" s="103" t="n"/>
      <c r="L448" s="106" t="str">
        <f>IF(OR(D448="",E448=""),"",D448+IF(E448="NOTIFICAÇÃO DE CONSTATAÇÃO",PrazoConst,PrazoEsc))</f>
        <v/>
      </c>
      <c r="M448" s="107" t="str">
        <f>IF(L448="","",L448-TODAY())</f>
        <v/>
      </c>
      <c r="N448" s="108" t="str">
        <f>IF(B448="","",IF(G448="DECISÃO D.P","EM DECISÃO",IF(G448="","SEM STATUS",IF(M448="","SEM DATA",IF(M448&lt;0,"VENCIDO",IF(M448&lt;=DiasAlerta,"VENCE EM BREVE","NO PRAZO"))))))</f>
        <v/>
      </c>
      <c r="O448" s="109" t="str">
        <f>IF(D448="","",TODAY()-D448)</f>
        <v/>
      </c>
      <c r="P448" s="102" t="n"/>
    </row>
    <row r="449" ht="18" customHeight="1">
      <c r="A449" s="101" t="n"/>
      <c r="B449" s="102" t="n"/>
      <c r="C449" s="102" t="n"/>
      <c r="D449" s="103" t="n"/>
      <c r="E449" s="102" t="n"/>
      <c r="F449" s="104" t="n"/>
      <c r="G449" s="104" t="n"/>
      <c r="H449" s="102" t="n"/>
      <c r="I449" s="105" t="n"/>
      <c r="J449" s="105" t="n"/>
      <c r="K449" s="103" t="n"/>
      <c r="L449" s="106" t="str">
        <f>IF(OR(D449="",E449=""),"",D449+IF(E449="NOTIFICAÇÃO DE CONSTATAÇÃO",PrazoConst,PrazoEsc))</f>
        <v/>
      </c>
      <c r="M449" s="107" t="str">
        <f>IF(L449="","",L449-TODAY())</f>
        <v/>
      </c>
      <c r="N449" s="108" t="str">
        <f>IF(B449="","",IF(G449="DECISÃO D.P","EM DECISÃO",IF(G449="","SEM STATUS",IF(M449="","SEM DATA",IF(M449&lt;0,"VENCIDO",IF(M449&lt;=DiasAlerta,"VENCE EM BREVE","NO PRAZO"))))))</f>
        <v/>
      </c>
      <c r="O449" s="109" t="str">
        <f>IF(D449="","",TODAY()-D449)</f>
        <v/>
      </c>
      <c r="P449" s="102" t="n"/>
    </row>
    <row r="450" ht="18" customHeight="1">
      <c r="A450" s="101" t="n"/>
      <c r="B450" s="102" t="n"/>
      <c r="C450" s="102" t="n"/>
      <c r="D450" s="103" t="n"/>
      <c r="E450" s="102" t="n"/>
      <c r="F450" s="104" t="n"/>
      <c r="G450" s="104" t="n"/>
      <c r="H450" s="102" t="n"/>
      <c r="I450" s="105" t="n"/>
      <c r="J450" s="105" t="n"/>
      <c r="K450" s="103" t="n"/>
      <c r="L450" s="106" t="str">
        <f>IF(OR(D450="",E450=""),"",D450+IF(E450="NOTIFICAÇÃO DE CONSTATAÇÃO",PrazoConst,PrazoEsc))</f>
        <v/>
      </c>
      <c r="M450" s="107" t="str">
        <f>IF(L450="","",L450-TODAY())</f>
        <v/>
      </c>
      <c r="N450" s="108" t="str">
        <f>IF(B450="","",IF(G450="DECISÃO D.P","EM DECISÃO",IF(G450="","SEM STATUS",IF(M450="","SEM DATA",IF(M450&lt;0,"VENCIDO",IF(M450&lt;=DiasAlerta,"VENCE EM BREVE","NO PRAZO"))))))</f>
        <v/>
      </c>
      <c r="O450" s="109" t="str">
        <f>IF(D450="","",TODAY()-D450)</f>
        <v/>
      </c>
      <c r="P450" s="102" t="n"/>
    </row>
    <row r="451" ht="18" customHeight="1">
      <c r="A451" s="101" t="n"/>
      <c r="B451" s="102" t="n"/>
      <c r="C451" s="102" t="n"/>
      <c r="D451" s="103" t="n"/>
      <c r="E451" s="102" t="n"/>
      <c r="F451" s="104" t="n"/>
      <c r="G451" s="104" t="n"/>
      <c r="H451" s="102" t="n"/>
      <c r="I451" s="105" t="n"/>
      <c r="J451" s="105" t="n"/>
      <c r="K451" s="103" t="n"/>
      <c r="L451" s="106" t="str">
        <f>IF(OR(D451="",E451=""),"",D451+IF(E451="NOTIFICAÇÃO DE CONSTATAÇÃO",PrazoConst,PrazoEsc))</f>
        <v/>
      </c>
      <c r="M451" s="107" t="str">
        <f>IF(L451="","",L451-TODAY())</f>
        <v/>
      </c>
      <c r="N451" s="108" t="str">
        <f>IF(B451="","",IF(G451="DECISÃO D.P","EM DECISÃO",IF(G451="","SEM STATUS",IF(M451="","SEM DATA",IF(M451&lt;0,"VENCIDO",IF(M451&lt;=DiasAlerta,"VENCE EM BREVE","NO PRAZO"))))))</f>
        <v/>
      </c>
      <c r="O451" s="109" t="str">
        <f>IF(D451="","",TODAY()-D451)</f>
        <v/>
      </c>
      <c r="P451" s="102" t="n"/>
    </row>
    <row r="452" ht="18" customHeight="1">
      <c r="A452" s="101" t="n"/>
      <c r="B452" s="102" t="n"/>
      <c r="C452" s="102" t="n"/>
      <c r="D452" s="103" t="n"/>
      <c r="E452" s="102" t="n"/>
      <c r="F452" s="104" t="n"/>
      <c r="G452" s="104" t="n"/>
      <c r="H452" s="102" t="n"/>
      <c r="I452" s="105" t="n"/>
      <c r="J452" s="105" t="n"/>
      <c r="K452" s="103" t="n"/>
      <c r="L452" s="106" t="str">
        <f>IF(OR(D452="",E452=""),"",D452+IF(E452="NOTIFICAÇÃO DE CONSTATAÇÃO",PrazoConst,PrazoEsc))</f>
        <v/>
      </c>
      <c r="M452" s="107" t="str">
        <f>IF(L452="","",L452-TODAY())</f>
        <v/>
      </c>
      <c r="N452" s="108" t="str">
        <f>IF(B452="","",IF(G452="DECISÃO D.P","EM DECISÃO",IF(G452="","SEM STATUS",IF(M452="","SEM DATA",IF(M452&lt;0,"VENCIDO",IF(M452&lt;=DiasAlerta,"VENCE EM BREVE","NO PRAZO"))))))</f>
        <v/>
      </c>
      <c r="O452" s="109" t="str">
        <f>IF(D452="","",TODAY()-D452)</f>
        <v/>
      </c>
      <c r="P452" s="102" t="n"/>
    </row>
    <row r="453" ht="18" customHeight="1">
      <c r="A453" s="101" t="n"/>
      <c r="B453" s="102" t="n"/>
      <c r="C453" s="102" t="n"/>
      <c r="D453" s="103" t="n"/>
      <c r="E453" s="102" t="n"/>
      <c r="F453" s="104" t="n"/>
      <c r="G453" s="104" t="n"/>
      <c r="H453" s="102" t="n"/>
      <c r="I453" s="105" t="n"/>
      <c r="J453" s="105" t="n"/>
      <c r="K453" s="103" t="n"/>
      <c r="L453" s="106" t="str">
        <f>IF(OR(D453="",E453=""),"",D453+IF(E453="NOTIFICAÇÃO DE CONSTATAÇÃO",PrazoConst,PrazoEsc))</f>
        <v/>
      </c>
      <c r="M453" s="107" t="str">
        <f>IF(L453="","",L453-TODAY())</f>
        <v/>
      </c>
      <c r="N453" s="108" t="str">
        <f>IF(B453="","",IF(G453="DECISÃO D.P","EM DECISÃO",IF(G453="","SEM STATUS",IF(M453="","SEM DATA",IF(M453&lt;0,"VENCIDO",IF(M453&lt;=DiasAlerta,"VENCE EM BREVE","NO PRAZO"))))))</f>
        <v/>
      </c>
      <c r="O453" s="109" t="str">
        <f>IF(D453="","",TODAY()-D453)</f>
        <v/>
      </c>
      <c r="P453" s="102" t="n"/>
    </row>
    <row r="454" ht="18" customHeight="1">
      <c r="A454" s="101" t="n"/>
      <c r="B454" s="102" t="n"/>
      <c r="C454" s="102" t="n"/>
      <c r="D454" s="103" t="n"/>
      <c r="E454" s="102" t="n"/>
      <c r="F454" s="104" t="n"/>
      <c r="G454" s="104" t="n"/>
      <c r="H454" s="102" t="n"/>
      <c r="I454" s="105" t="n"/>
      <c r="J454" s="105" t="n"/>
      <c r="K454" s="103" t="n"/>
      <c r="L454" s="106" t="str">
        <f>IF(OR(D454="",E454=""),"",D454+IF(E454="NOTIFICAÇÃO DE CONSTATAÇÃO",PrazoConst,PrazoEsc))</f>
        <v/>
      </c>
      <c r="M454" s="107" t="str">
        <f>IF(L454="","",L454-TODAY())</f>
        <v/>
      </c>
      <c r="N454" s="108" t="str">
        <f>IF(B454="","",IF(G454="DECISÃO D.P","EM DECISÃO",IF(G454="","SEM STATUS",IF(M454="","SEM DATA",IF(M454&lt;0,"VENCIDO",IF(M454&lt;=DiasAlerta,"VENCE EM BREVE","NO PRAZO"))))))</f>
        <v/>
      </c>
      <c r="O454" s="109" t="str">
        <f>IF(D454="","",TODAY()-D454)</f>
        <v/>
      </c>
      <c r="P454" s="102" t="n"/>
    </row>
    <row r="455" ht="18" customHeight="1">
      <c r="A455" s="101" t="n"/>
      <c r="B455" s="102" t="n"/>
      <c r="C455" s="102" t="n"/>
      <c r="D455" s="103" t="n"/>
      <c r="E455" s="102" t="n"/>
      <c r="F455" s="104" t="n"/>
      <c r="G455" s="104" t="n"/>
      <c r="H455" s="102" t="n"/>
      <c r="I455" s="105" t="n"/>
      <c r="J455" s="105" t="n"/>
      <c r="K455" s="103" t="n"/>
      <c r="L455" s="106" t="str">
        <f>IF(OR(D455="",E455=""),"",D455+IF(E455="NOTIFICAÇÃO DE CONSTATAÇÃO",PrazoConst,PrazoEsc))</f>
        <v/>
      </c>
      <c r="M455" s="107" t="str">
        <f>IF(L455="","",L455-TODAY())</f>
        <v/>
      </c>
      <c r="N455" s="108" t="str">
        <f>IF(B455="","",IF(G455="DECISÃO D.P","EM DECISÃO",IF(G455="","SEM STATUS",IF(M455="","SEM DATA",IF(M455&lt;0,"VENCIDO",IF(M455&lt;=DiasAlerta,"VENCE EM BREVE","NO PRAZO"))))))</f>
        <v/>
      </c>
      <c r="O455" s="109" t="str">
        <f>IF(D455="","",TODAY()-D455)</f>
        <v/>
      </c>
      <c r="P455" s="102" t="n"/>
    </row>
    <row r="456" ht="18" customHeight="1">
      <c r="A456" s="101" t="n"/>
      <c r="B456" s="102" t="n"/>
      <c r="C456" s="102" t="n"/>
      <c r="D456" s="103" t="n"/>
      <c r="E456" s="102" t="n"/>
      <c r="F456" s="104" t="n"/>
      <c r="G456" s="104" t="n"/>
      <c r="H456" s="102" t="n"/>
      <c r="I456" s="105" t="n"/>
      <c r="J456" s="105" t="n"/>
      <c r="K456" s="103" t="n"/>
      <c r="L456" s="106" t="str">
        <f>IF(OR(D456="",E456=""),"",D456+IF(E456="NOTIFICAÇÃO DE CONSTATAÇÃO",PrazoConst,PrazoEsc))</f>
        <v/>
      </c>
      <c r="M456" s="107" t="str">
        <f>IF(L456="","",L456-TODAY())</f>
        <v/>
      </c>
      <c r="N456" s="108" t="str">
        <f>IF(B456="","",IF(G456="DECISÃO D.P","EM DECISÃO",IF(G456="","SEM STATUS",IF(M456="","SEM DATA",IF(M456&lt;0,"VENCIDO",IF(M456&lt;=DiasAlerta,"VENCE EM BREVE","NO PRAZO"))))))</f>
        <v/>
      </c>
      <c r="O456" s="109" t="str">
        <f>IF(D456="","",TODAY()-D456)</f>
        <v/>
      </c>
      <c r="P456" s="102" t="n"/>
    </row>
    <row r="457" ht="18" customHeight="1">
      <c r="A457" s="101" t="n"/>
      <c r="B457" s="102" t="n"/>
      <c r="C457" s="102" t="n"/>
      <c r="D457" s="103" t="n"/>
      <c r="E457" s="102" t="n"/>
      <c r="F457" s="104" t="n"/>
      <c r="G457" s="104" t="n"/>
      <c r="H457" s="102" t="n"/>
      <c r="I457" s="105" t="n"/>
      <c r="J457" s="105" t="n"/>
      <c r="K457" s="103" t="n"/>
      <c r="L457" s="106" t="str">
        <f>IF(OR(D457="",E457=""),"",D457+IF(E457="NOTIFICAÇÃO DE CONSTATAÇÃO",PrazoConst,PrazoEsc))</f>
        <v/>
      </c>
      <c r="M457" s="107" t="str">
        <f>IF(L457="","",L457-TODAY())</f>
        <v/>
      </c>
      <c r="N457" s="108" t="str">
        <f>IF(B457="","",IF(G457="DECISÃO D.P","EM DECISÃO",IF(G457="","SEM STATUS",IF(M457="","SEM DATA",IF(M457&lt;0,"VENCIDO",IF(M457&lt;=DiasAlerta,"VENCE EM BREVE","NO PRAZO"))))))</f>
        <v/>
      </c>
      <c r="O457" s="109" t="str">
        <f>IF(D457="","",TODAY()-D457)</f>
        <v/>
      </c>
      <c r="P457" s="102" t="n"/>
    </row>
    <row r="458" ht="18" customHeight="1">
      <c r="A458" s="101" t="n"/>
      <c r="B458" s="102" t="n"/>
      <c r="C458" s="102" t="n"/>
      <c r="D458" s="103" t="n"/>
      <c r="E458" s="102" t="n"/>
      <c r="F458" s="104" t="n"/>
      <c r="G458" s="104" t="n"/>
      <c r="H458" s="102" t="n"/>
      <c r="I458" s="105" t="n"/>
      <c r="J458" s="105" t="n"/>
      <c r="K458" s="103" t="n"/>
      <c r="L458" s="106" t="str">
        <f>IF(OR(D458="",E458=""),"",D458+IF(E458="NOTIFICAÇÃO DE CONSTATAÇÃO",PrazoConst,PrazoEsc))</f>
        <v/>
      </c>
      <c r="M458" s="107" t="str">
        <f>IF(L458="","",L458-TODAY())</f>
        <v/>
      </c>
      <c r="N458" s="108" t="str">
        <f>IF(B458="","",IF(G458="DECISÃO D.P","EM DECISÃO",IF(G458="","SEM STATUS",IF(M458="","SEM DATA",IF(M458&lt;0,"VENCIDO",IF(M458&lt;=DiasAlerta,"VENCE EM BREVE","NO PRAZO"))))))</f>
        <v/>
      </c>
      <c r="O458" s="109" t="str">
        <f>IF(D458="","",TODAY()-D458)</f>
        <v/>
      </c>
      <c r="P458" s="102" t="n"/>
    </row>
    <row r="459" ht="18" customHeight="1">
      <c r="A459" s="101" t="n"/>
      <c r="B459" s="102" t="n"/>
      <c r="C459" s="102" t="n"/>
      <c r="D459" s="103" t="n"/>
      <c r="E459" s="102" t="n"/>
      <c r="F459" s="104" t="n"/>
      <c r="G459" s="104" t="n"/>
      <c r="H459" s="102" t="n"/>
      <c r="I459" s="105" t="n"/>
      <c r="J459" s="105" t="n"/>
      <c r="K459" s="103" t="n"/>
      <c r="L459" s="106" t="str">
        <f>IF(OR(D459="",E459=""),"",D459+IF(E459="NOTIFICAÇÃO DE CONSTATAÇÃO",PrazoConst,PrazoEsc))</f>
        <v/>
      </c>
      <c r="M459" s="107" t="str">
        <f>IF(L459="","",L459-TODAY())</f>
        <v/>
      </c>
      <c r="N459" s="108" t="str">
        <f>IF(B459="","",IF(G459="DECISÃO D.P","EM DECISÃO",IF(G459="","SEM STATUS",IF(M459="","SEM DATA",IF(M459&lt;0,"VENCIDO",IF(M459&lt;=DiasAlerta,"VENCE EM BREVE","NO PRAZO"))))))</f>
        <v/>
      </c>
      <c r="O459" s="109" t="str">
        <f>IF(D459="","",TODAY()-D459)</f>
        <v/>
      </c>
      <c r="P459" s="102" t="n"/>
    </row>
    <row r="460" ht="18" customHeight="1">
      <c r="A460" s="101" t="n"/>
      <c r="B460" s="102" t="n"/>
      <c r="C460" s="102" t="n"/>
      <c r="D460" s="103" t="n"/>
      <c r="E460" s="102" t="n"/>
      <c r="F460" s="104" t="n"/>
      <c r="G460" s="104" t="n"/>
      <c r="H460" s="102" t="n"/>
      <c r="I460" s="105" t="n"/>
      <c r="J460" s="105" t="n"/>
      <c r="K460" s="103" t="n"/>
      <c r="L460" s="106" t="str">
        <f>IF(OR(D460="",E460=""),"",D460+IF(E460="NOTIFICAÇÃO DE CONSTATAÇÃO",PrazoConst,PrazoEsc))</f>
        <v/>
      </c>
      <c r="M460" s="107" t="str">
        <f>IF(L460="","",L460-TODAY())</f>
        <v/>
      </c>
      <c r="N460" s="108" t="str">
        <f>IF(B460="","",IF(G460="DECISÃO D.P","EM DECISÃO",IF(G460="","SEM STATUS",IF(M460="","SEM DATA",IF(M460&lt;0,"VENCIDO",IF(M460&lt;=DiasAlerta,"VENCE EM BREVE","NO PRAZO"))))))</f>
        <v/>
      </c>
      <c r="O460" s="109" t="str">
        <f>IF(D460="","",TODAY()-D460)</f>
        <v/>
      </c>
      <c r="P460" s="102" t="n"/>
    </row>
    <row r="461" ht="18" customHeight="1">
      <c r="A461" s="101" t="n"/>
      <c r="B461" s="102" t="n"/>
      <c r="C461" s="102" t="n"/>
      <c r="D461" s="103" t="n"/>
      <c r="E461" s="102" t="n"/>
      <c r="F461" s="104" t="n"/>
      <c r="G461" s="104" t="n"/>
      <c r="H461" s="102" t="n"/>
      <c r="I461" s="105" t="n"/>
      <c r="J461" s="105" t="n"/>
      <c r="K461" s="103" t="n"/>
      <c r="L461" s="106" t="str">
        <f>IF(OR(D461="",E461=""),"",D461+IF(E461="NOTIFICAÇÃO DE CONSTATAÇÃO",PrazoConst,PrazoEsc))</f>
        <v/>
      </c>
      <c r="M461" s="107" t="str">
        <f>IF(L461="","",L461-TODAY())</f>
        <v/>
      </c>
      <c r="N461" s="108" t="str">
        <f>IF(B461="","",IF(G461="DECISÃO D.P","EM DECISÃO",IF(G461="","SEM STATUS",IF(M461="","SEM DATA",IF(M461&lt;0,"VENCIDO",IF(M461&lt;=DiasAlerta,"VENCE EM BREVE","NO PRAZO"))))))</f>
        <v/>
      </c>
      <c r="O461" s="109" t="str">
        <f>IF(D461="","",TODAY()-D461)</f>
        <v/>
      </c>
      <c r="P461" s="102" t="n"/>
    </row>
    <row r="462" ht="18" customHeight="1">
      <c r="A462" s="101" t="n"/>
      <c r="B462" s="102" t="n"/>
      <c r="C462" s="102" t="n"/>
      <c r="D462" s="103" t="n"/>
      <c r="E462" s="102" t="n"/>
      <c r="F462" s="104" t="n"/>
      <c r="G462" s="104" t="n"/>
      <c r="H462" s="102" t="n"/>
      <c r="I462" s="105" t="n"/>
      <c r="J462" s="105" t="n"/>
      <c r="K462" s="103" t="n"/>
      <c r="L462" s="106" t="str">
        <f>IF(OR(D462="",E462=""),"",D462+IF(E462="NOTIFICAÇÃO DE CONSTATAÇÃO",PrazoConst,PrazoEsc))</f>
        <v/>
      </c>
      <c r="M462" s="107" t="str">
        <f>IF(L462="","",L462-TODAY())</f>
        <v/>
      </c>
      <c r="N462" s="108" t="str">
        <f>IF(B462="","",IF(G462="DECISÃO D.P","EM DECISÃO",IF(G462="","SEM STATUS",IF(M462="","SEM DATA",IF(M462&lt;0,"VENCIDO",IF(M462&lt;=DiasAlerta,"VENCE EM BREVE","NO PRAZO"))))))</f>
        <v/>
      </c>
      <c r="O462" s="109" t="str">
        <f>IF(D462="","",TODAY()-D462)</f>
        <v/>
      </c>
      <c r="P462" s="102" t="n"/>
    </row>
    <row r="463" ht="18" customHeight="1">
      <c r="A463" s="101" t="n"/>
      <c r="B463" s="102" t="n"/>
      <c r="C463" s="102" t="n"/>
      <c r="D463" s="103" t="n"/>
      <c r="E463" s="102" t="n"/>
      <c r="F463" s="104" t="n"/>
      <c r="G463" s="104" t="n"/>
      <c r="H463" s="102" t="n"/>
      <c r="I463" s="105" t="n"/>
      <c r="J463" s="105" t="n"/>
      <c r="K463" s="103" t="n"/>
      <c r="L463" s="106" t="str">
        <f>IF(OR(D463="",E463=""),"",D463+IF(E463="NOTIFICAÇÃO DE CONSTATAÇÃO",PrazoConst,PrazoEsc))</f>
        <v/>
      </c>
      <c r="M463" s="107" t="str">
        <f>IF(L463="","",L463-TODAY())</f>
        <v/>
      </c>
      <c r="N463" s="108" t="str">
        <f>IF(B463="","",IF(G463="DECISÃO D.P","EM DECISÃO",IF(G463="","SEM STATUS",IF(M463="","SEM DATA",IF(M463&lt;0,"VENCIDO",IF(M463&lt;=DiasAlerta,"VENCE EM BREVE","NO PRAZO"))))))</f>
        <v/>
      </c>
      <c r="O463" s="109" t="str">
        <f>IF(D463="","",TODAY()-D463)</f>
        <v/>
      </c>
      <c r="P463" s="102" t="n"/>
    </row>
    <row r="464" ht="18" customHeight="1">
      <c r="A464" s="101" t="n"/>
      <c r="B464" s="102" t="n"/>
      <c r="C464" s="102" t="n"/>
      <c r="D464" s="103" t="n"/>
      <c r="E464" s="102" t="n"/>
      <c r="F464" s="104" t="n"/>
      <c r="G464" s="104" t="n"/>
      <c r="H464" s="102" t="n"/>
      <c r="I464" s="105" t="n"/>
      <c r="J464" s="105" t="n"/>
      <c r="K464" s="103" t="n"/>
      <c r="L464" s="106" t="str">
        <f>IF(OR(D464="",E464=""),"",D464+IF(E464="NOTIFICAÇÃO DE CONSTATAÇÃO",PrazoConst,PrazoEsc))</f>
        <v/>
      </c>
      <c r="M464" s="107" t="str">
        <f>IF(L464="","",L464-TODAY())</f>
        <v/>
      </c>
      <c r="N464" s="108" t="str">
        <f>IF(B464="","",IF(G464="DECISÃO D.P","EM DECISÃO",IF(G464="","SEM STATUS",IF(M464="","SEM DATA",IF(M464&lt;0,"VENCIDO",IF(M464&lt;=DiasAlerta,"VENCE EM BREVE","NO PRAZO"))))))</f>
        <v/>
      </c>
      <c r="O464" s="109" t="str">
        <f>IF(D464="","",TODAY()-D464)</f>
        <v/>
      </c>
      <c r="P464" s="102" t="n"/>
    </row>
    <row r="465" ht="18" customHeight="1">
      <c r="A465" s="101" t="n"/>
      <c r="B465" s="102" t="n"/>
      <c r="C465" s="102" t="n"/>
      <c r="D465" s="103" t="n"/>
      <c r="E465" s="102" t="n"/>
      <c r="F465" s="104" t="n"/>
      <c r="G465" s="104" t="n"/>
      <c r="H465" s="102" t="n"/>
      <c r="I465" s="105" t="n"/>
      <c r="J465" s="105" t="n"/>
      <c r="K465" s="103" t="n"/>
      <c r="L465" s="106" t="str">
        <f>IF(OR(D465="",E465=""),"",D465+IF(E465="NOTIFICAÇÃO DE CONSTATAÇÃO",PrazoConst,PrazoEsc))</f>
        <v/>
      </c>
      <c r="M465" s="107" t="str">
        <f>IF(L465="","",L465-TODAY())</f>
        <v/>
      </c>
      <c r="N465" s="108" t="str">
        <f>IF(B465="","",IF(G465="DECISÃO D.P","EM DECISÃO",IF(G465="","SEM STATUS",IF(M465="","SEM DATA",IF(M465&lt;0,"VENCIDO",IF(M465&lt;=DiasAlerta,"VENCE EM BREVE","NO PRAZO"))))))</f>
        <v/>
      </c>
      <c r="O465" s="109" t="str">
        <f>IF(D465="","",TODAY()-D465)</f>
        <v/>
      </c>
      <c r="P465" s="102" t="n"/>
    </row>
    <row r="466" ht="18" customHeight="1">
      <c r="A466" s="101" t="n"/>
      <c r="B466" s="102" t="n"/>
      <c r="C466" s="102" t="n"/>
      <c r="D466" s="103" t="n"/>
      <c r="E466" s="102" t="n"/>
      <c r="F466" s="104" t="n"/>
      <c r="G466" s="104" t="n"/>
      <c r="H466" s="102" t="n"/>
      <c r="I466" s="105" t="n"/>
      <c r="J466" s="105" t="n"/>
      <c r="K466" s="103" t="n"/>
      <c r="L466" s="106" t="str">
        <f>IF(OR(D466="",E466=""),"",D466+IF(E466="NOTIFICAÇÃO DE CONSTATAÇÃO",PrazoConst,PrazoEsc))</f>
        <v/>
      </c>
      <c r="M466" s="107" t="str">
        <f>IF(L466="","",L466-TODAY())</f>
        <v/>
      </c>
      <c r="N466" s="108" t="str">
        <f>IF(B466="","",IF(G466="DECISÃO D.P","EM DECISÃO",IF(G466="","SEM STATUS",IF(M466="","SEM DATA",IF(M466&lt;0,"VENCIDO",IF(M466&lt;=DiasAlerta,"VENCE EM BREVE","NO PRAZO"))))))</f>
        <v/>
      </c>
      <c r="O466" s="109" t="str">
        <f>IF(D466="","",TODAY()-D466)</f>
        <v/>
      </c>
      <c r="P466" s="102" t="n"/>
    </row>
    <row r="467" ht="18" customHeight="1">
      <c r="A467" s="101" t="n"/>
      <c r="B467" s="102" t="n"/>
      <c r="C467" s="102" t="n"/>
      <c r="D467" s="103" t="n"/>
      <c r="E467" s="102" t="n"/>
      <c r="F467" s="104" t="n"/>
      <c r="G467" s="104" t="n"/>
      <c r="H467" s="102" t="n"/>
      <c r="I467" s="105" t="n"/>
      <c r="J467" s="105" t="n"/>
      <c r="K467" s="103" t="n"/>
      <c r="L467" s="106" t="str">
        <f>IF(OR(D467="",E467=""),"",D467+IF(E467="NOTIFICAÇÃO DE CONSTATAÇÃO",PrazoConst,PrazoEsc))</f>
        <v/>
      </c>
      <c r="M467" s="107" t="str">
        <f>IF(L467="","",L467-TODAY())</f>
        <v/>
      </c>
      <c r="N467" s="108" t="str">
        <f>IF(B467="","",IF(G467="DECISÃO D.P","EM DECISÃO",IF(G467="","SEM STATUS",IF(M467="","SEM DATA",IF(M467&lt;0,"VENCIDO",IF(M467&lt;=DiasAlerta,"VENCE EM BREVE","NO PRAZO"))))))</f>
        <v/>
      </c>
      <c r="O467" s="109" t="str">
        <f>IF(D467="","",TODAY()-D467)</f>
        <v/>
      </c>
      <c r="P467" s="102" t="n"/>
    </row>
    <row r="468" ht="18" customHeight="1">
      <c r="A468" s="101" t="n"/>
      <c r="B468" s="102" t="n"/>
      <c r="C468" s="102" t="n"/>
      <c r="D468" s="103" t="n"/>
      <c r="E468" s="102" t="n"/>
      <c r="F468" s="104" t="n"/>
      <c r="G468" s="104" t="n"/>
      <c r="H468" s="102" t="n"/>
      <c r="I468" s="105" t="n"/>
      <c r="J468" s="105" t="n"/>
      <c r="K468" s="103" t="n"/>
      <c r="L468" s="106" t="str">
        <f>IF(OR(D468="",E468=""),"",D468+IF(E468="NOTIFICAÇÃO DE CONSTATAÇÃO",PrazoConst,PrazoEsc))</f>
        <v/>
      </c>
      <c r="M468" s="107" t="str">
        <f>IF(L468="","",L468-TODAY())</f>
        <v/>
      </c>
      <c r="N468" s="108" t="str">
        <f>IF(B468="","",IF(G468="DECISÃO D.P","EM DECISÃO",IF(G468="","SEM STATUS",IF(M468="","SEM DATA",IF(M468&lt;0,"VENCIDO",IF(M468&lt;=DiasAlerta,"VENCE EM BREVE","NO PRAZO"))))))</f>
        <v/>
      </c>
      <c r="O468" s="109" t="str">
        <f>IF(D468="","",TODAY()-D468)</f>
        <v/>
      </c>
      <c r="P468" s="102" t="n"/>
    </row>
    <row r="469" ht="18" customHeight="1">
      <c r="A469" s="101" t="n"/>
      <c r="B469" s="102" t="n"/>
      <c r="C469" s="102" t="n"/>
      <c r="D469" s="103" t="n"/>
      <c r="E469" s="102" t="n"/>
      <c r="F469" s="104" t="n"/>
      <c r="G469" s="104" t="n"/>
      <c r="H469" s="102" t="n"/>
      <c r="I469" s="105" t="n"/>
      <c r="J469" s="105" t="n"/>
      <c r="K469" s="103" t="n"/>
      <c r="L469" s="106" t="str">
        <f>IF(OR(D469="",E469=""),"",D469+IF(E469="NOTIFICAÇÃO DE CONSTATAÇÃO",PrazoConst,PrazoEsc))</f>
        <v/>
      </c>
      <c r="M469" s="107" t="str">
        <f>IF(L469="","",L469-TODAY())</f>
        <v/>
      </c>
      <c r="N469" s="108" t="str">
        <f>IF(B469="","",IF(G469="DECISÃO D.P","EM DECISÃO",IF(G469="","SEM STATUS",IF(M469="","SEM DATA",IF(M469&lt;0,"VENCIDO",IF(M469&lt;=DiasAlerta,"VENCE EM BREVE","NO PRAZO"))))))</f>
        <v/>
      </c>
      <c r="O469" s="109" t="str">
        <f>IF(D469="","",TODAY()-D469)</f>
        <v/>
      </c>
      <c r="P469" s="102" t="n"/>
    </row>
    <row r="470" ht="18" customHeight="1">
      <c r="A470" s="101" t="n"/>
      <c r="B470" s="102" t="n"/>
      <c r="C470" s="102" t="n"/>
      <c r="D470" s="103" t="n"/>
      <c r="E470" s="102" t="n"/>
      <c r="F470" s="104" t="n"/>
      <c r="G470" s="104" t="n"/>
      <c r="H470" s="102" t="n"/>
      <c r="I470" s="105" t="n"/>
      <c r="J470" s="105" t="n"/>
      <c r="K470" s="103" t="n"/>
      <c r="L470" s="106" t="str">
        <f>IF(OR(D470="",E470=""),"",D470+IF(E470="NOTIFICAÇÃO DE CONSTATAÇÃO",PrazoConst,PrazoEsc))</f>
        <v/>
      </c>
      <c r="M470" s="107" t="str">
        <f>IF(L470="","",L470-TODAY())</f>
        <v/>
      </c>
      <c r="N470" s="108" t="str">
        <f>IF(B470="","",IF(G470="DECISÃO D.P","EM DECISÃO",IF(G470="","SEM STATUS",IF(M470="","SEM DATA",IF(M470&lt;0,"VENCIDO",IF(M470&lt;=DiasAlerta,"VENCE EM BREVE","NO PRAZO"))))))</f>
        <v/>
      </c>
      <c r="O470" s="109" t="str">
        <f>IF(D470="","",TODAY()-D470)</f>
        <v/>
      </c>
      <c r="P470" s="102" t="n"/>
    </row>
    <row r="471" ht="18" customHeight="1">
      <c r="A471" s="101" t="n"/>
      <c r="B471" s="102" t="n"/>
      <c r="C471" s="102" t="n"/>
      <c r="D471" s="103" t="n"/>
      <c r="E471" s="102" t="n"/>
      <c r="F471" s="104" t="n"/>
      <c r="G471" s="104" t="n"/>
      <c r="H471" s="102" t="n"/>
      <c r="I471" s="105" t="n"/>
      <c r="J471" s="105" t="n"/>
      <c r="K471" s="103" t="n"/>
      <c r="L471" s="106" t="str">
        <f>IF(OR(D471="",E471=""),"",D471+IF(E471="NOTIFICAÇÃO DE CONSTATAÇÃO",PrazoConst,PrazoEsc))</f>
        <v/>
      </c>
      <c r="M471" s="107" t="str">
        <f>IF(L471="","",L471-TODAY())</f>
        <v/>
      </c>
      <c r="N471" s="108" t="str">
        <f>IF(B471="","",IF(G471="DECISÃO D.P","EM DECISÃO",IF(G471="","SEM STATUS",IF(M471="","SEM DATA",IF(M471&lt;0,"VENCIDO",IF(M471&lt;=DiasAlerta,"VENCE EM BREVE","NO PRAZO"))))))</f>
        <v/>
      </c>
      <c r="O471" s="109" t="str">
        <f>IF(D471="","",TODAY()-D471)</f>
        <v/>
      </c>
      <c r="P471" s="102" t="n"/>
    </row>
    <row r="472" ht="18" customHeight="1">
      <c r="A472" s="101" t="n"/>
      <c r="B472" s="102" t="n"/>
      <c r="C472" s="102" t="n"/>
      <c r="D472" s="103" t="n"/>
      <c r="E472" s="102" t="n"/>
      <c r="F472" s="104" t="n"/>
      <c r="G472" s="104" t="n"/>
      <c r="H472" s="102" t="n"/>
      <c r="I472" s="105" t="n"/>
      <c r="J472" s="105" t="n"/>
      <c r="K472" s="103" t="n"/>
      <c r="L472" s="106" t="str">
        <f>IF(OR(D472="",E472=""),"",D472+IF(E472="NOTIFICAÇÃO DE CONSTATAÇÃO",PrazoConst,PrazoEsc))</f>
        <v/>
      </c>
      <c r="M472" s="107" t="str">
        <f>IF(L472="","",L472-TODAY())</f>
        <v/>
      </c>
      <c r="N472" s="108" t="str">
        <f>IF(B472="","",IF(G472="DECISÃO D.P","EM DECISÃO",IF(G472="","SEM STATUS",IF(M472="","SEM DATA",IF(M472&lt;0,"VENCIDO",IF(M472&lt;=DiasAlerta,"VENCE EM BREVE","NO PRAZO"))))))</f>
        <v/>
      </c>
      <c r="O472" s="109" t="str">
        <f>IF(D472="","",TODAY()-D472)</f>
        <v/>
      </c>
      <c r="P472" s="102" t="n"/>
    </row>
    <row r="473" ht="18" customHeight="1">
      <c r="A473" s="101" t="n"/>
      <c r="B473" s="102" t="n"/>
      <c r="C473" s="102" t="n"/>
      <c r="D473" s="103" t="n"/>
      <c r="E473" s="102" t="n"/>
      <c r="F473" s="104" t="n"/>
      <c r="G473" s="104" t="n"/>
      <c r="H473" s="102" t="n"/>
      <c r="I473" s="105" t="n"/>
      <c r="J473" s="105" t="n"/>
      <c r="K473" s="103" t="n"/>
      <c r="L473" s="106" t="str">
        <f>IF(OR(D473="",E473=""),"",D473+IF(E473="NOTIFICAÇÃO DE CONSTATAÇÃO",PrazoConst,PrazoEsc))</f>
        <v/>
      </c>
      <c r="M473" s="107" t="str">
        <f>IF(L473="","",L473-TODAY())</f>
        <v/>
      </c>
      <c r="N473" s="108" t="str">
        <f>IF(B473="","",IF(G473="DECISÃO D.P","EM DECISÃO",IF(G473="","SEM STATUS",IF(M473="","SEM DATA",IF(M473&lt;0,"VENCIDO",IF(M473&lt;=DiasAlerta,"VENCE EM BREVE","NO PRAZO"))))))</f>
        <v/>
      </c>
      <c r="O473" s="109" t="str">
        <f>IF(D473="","",TODAY()-D473)</f>
        <v/>
      </c>
      <c r="P473" s="102" t="n"/>
    </row>
    <row r="474" ht="18" customHeight="1">
      <c r="A474" s="101" t="n"/>
      <c r="B474" s="102" t="n"/>
      <c r="C474" s="102" t="n"/>
      <c r="D474" s="103" t="n"/>
      <c r="E474" s="102" t="n"/>
      <c r="F474" s="104" t="n"/>
      <c r="G474" s="104" t="n"/>
      <c r="H474" s="102" t="n"/>
      <c r="I474" s="105" t="n"/>
      <c r="J474" s="105" t="n"/>
      <c r="K474" s="103" t="n"/>
      <c r="L474" s="106" t="str">
        <f>IF(OR(D474="",E474=""),"",D474+IF(E474="NOTIFICAÇÃO DE CONSTATAÇÃO",PrazoConst,PrazoEsc))</f>
        <v/>
      </c>
      <c r="M474" s="107" t="str">
        <f>IF(L474="","",L474-TODAY())</f>
        <v/>
      </c>
      <c r="N474" s="108" t="str">
        <f>IF(B474="","",IF(G474="DECISÃO D.P","EM DECISÃO",IF(G474="","SEM STATUS",IF(M474="","SEM DATA",IF(M474&lt;0,"VENCIDO",IF(M474&lt;=DiasAlerta,"VENCE EM BREVE","NO PRAZO"))))))</f>
        <v/>
      </c>
      <c r="O474" s="109" t="str">
        <f>IF(D474="","",TODAY()-D474)</f>
        <v/>
      </c>
      <c r="P474" s="102" t="n"/>
    </row>
    <row r="475" ht="18" customHeight="1">
      <c r="A475" s="101" t="n"/>
      <c r="B475" s="102" t="n"/>
      <c r="C475" s="102" t="n"/>
      <c r="D475" s="103" t="n"/>
      <c r="E475" s="102" t="n"/>
      <c r="F475" s="104" t="n"/>
      <c r="G475" s="104" t="n"/>
      <c r="H475" s="102" t="n"/>
      <c r="I475" s="105" t="n"/>
      <c r="J475" s="105" t="n"/>
      <c r="K475" s="103" t="n"/>
      <c r="L475" s="106" t="str">
        <f>IF(OR(D475="",E475=""),"",D475+IF(E475="NOTIFICAÇÃO DE CONSTATAÇÃO",PrazoConst,PrazoEsc))</f>
        <v/>
      </c>
      <c r="M475" s="107" t="str">
        <f>IF(L475="","",L475-TODAY())</f>
        <v/>
      </c>
      <c r="N475" s="108" t="str">
        <f>IF(B475="","",IF(G475="DECISÃO D.P","EM DECISÃO",IF(G475="","SEM STATUS",IF(M475="","SEM DATA",IF(M475&lt;0,"VENCIDO",IF(M475&lt;=DiasAlerta,"VENCE EM BREVE","NO PRAZO"))))))</f>
        <v/>
      </c>
      <c r="O475" s="109" t="str">
        <f>IF(D475="","",TODAY()-D475)</f>
        <v/>
      </c>
      <c r="P475" s="102" t="n"/>
    </row>
    <row r="476" ht="18" customHeight="1">
      <c r="A476" s="101" t="n"/>
      <c r="B476" s="102" t="n"/>
      <c r="C476" s="102" t="n"/>
      <c r="D476" s="103" t="n"/>
      <c r="E476" s="102" t="n"/>
      <c r="F476" s="104" t="n"/>
      <c r="G476" s="104" t="n"/>
      <c r="H476" s="102" t="n"/>
      <c r="I476" s="105" t="n"/>
      <c r="J476" s="105" t="n"/>
      <c r="K476" s="103" t="n"/>
      <c r="L476" s="106" t="str">
        <f>IF(OR(D476="",E476=""),"",D476+IF(E476="NOTIFICAÇÃO DE CONSTATAÇÃO",PrazoConst,PrazoEsc))</f>
        <v/>
      </c>
      <c r="M476" s="107" t="str">
        <f>IF(L476="","",L476-TODAY())</f>
        <v/>
      </c>
      <c r="N476" s="108" t="str">
        <f>IF(B476="","",IF(G476="DECISÃO D.P","EM DECISÃO",IF(G476="","SEM STATUS",IF(M476="","SEM DATA",IF(M476&lt;0,"VENCIDO",IF(M476&lt;=DiasAlerta,"VENCE EM BREVE","NO PRAZO"))))))</f>
        <v/>
      </c>
      <c r="O476" s="109" t="str">
        <f>IF(D476="","",TODAY()-D476)</f>
        <v/>
      </c>
      <c r="P476" s="102" t="n"/>
    </row>
    <row r="477" ht="18" customHeight="1">
      <c r="A477" s="101" t="n"/>
      <c r="B477" s="102" t="n"/>
      <c r="C477" s="102" t="n"/>
      <c r="D477" s="103" t="n"/>
      <c r="E477" s="102" t="n"/>
      <c r="F477" s="104" t="n"/>
      <c r="G477" s="104" t="n"/>
      <c r="H477" s="102" t="n"/>
      <c r="I477" s="105" t="n"/>
      <c r="J477" s="105" t="n"/>
      <c r="K477" s="103" t="n"/>
      <c r="L477" s="106" t="str">
        <f>IF(OR(D477="",E477=""),"",D477+IF(E477="NOTIFICAÇÃO DE CONSTATAÇÃO",PrazoConst,PrazoEsc))</f>
        <v/>
      </c>
      <c r="M477" s="107" t="str">
        <f>IF(L477="","",L477-TODAY())</f>
        <v/>
      </c>
      <c r="N477" s="108" t="str">
        <f>IF(B477="","",IF(G477="DECISÃO D.P","EM DECISÃO",IF(G477="","SEM STATUS",IF(M477="","SEM DATA",IF(M477&lt;0,"VENCIDO",IF(M477&lt;=DiasAlerta,"VENCE EM BREVE","NO PRAZO"))))))</f>
        <v/>
      </c>
      <c r="O477" s="109" t="str">
        <f>IF(D477="","",TODAY()-D477)</f>
        <v/>
      </c>
      <c r="P477" s="102" t="n"/>
    </row>
    <row r="478" ht="18" customHeight="1">
      <c r="A478" s="101" t="n"/>
      <c r="B478" s="102" t="n"/>
      <c r="C478" s="102" t="n"/>
      <c r="D478" s="103" t="n"/>
      <c r="E478" s="102" t="n"/>
      <c r="F478" s="104" t="n"/>
      <c r="G478" s="104" t="n"/>
      <c r="H478" s="102" t="n"/>
      <c r="I478" s="105" t="n"/>
      <c r="J478" s="105" t="n"/>
      <c r="K478" s="103" t="n"/>
      <c r="L478" s="106" t="str">
        <f>IF(OR(D478="",E478=""),"",D478+IF(E478="NOTIFICAÇÃO DE CONSTATAÇÃO",PrazoConst,PrazoEsc))</f>
        <v/>
      </c>
      <c r="M478" s="107" t="str">
        <f>IF(L478="","",L478-TODAY())</f>
        <v/>
      </c>
      <c r="N478" s="108" t="str">
        <f>IF(B478="","",IF(G478="DECISÃO D.P","EM DECISÃO",IF(G478="","SEM STATUS",IF(M478="","SEM DATA",IF(M478&lt;0,"VENCIDO",IF(M478&lt;=DiasAlerta,"VENCE EM BREVE","NO PRAZO"))))))</f>
        <v/>
      </c>
      <c r="O478" s="109" t="str">
        <f>IF(D478="","",TODAY()-D478)</f>
        <v/>
      </c>
      <c r="P478" s="102" t="n"/>
    </row>
    <row r="479" ht="18" customHeight="1">
      <c r="A479" s="101" t="n"/>
      <c r="B479" s="102" t="n"/>
      <c r="C479" s="102" t="n"/>
      <c r="D479" s="103" t="n"/>
      <c r="E479" s="102" t="n"/>
      <c r="F479" s="104" t="n"/>
      <c r="G479" s="104" t="n"/>
      <c r="H479" s="102" t="n"/>
      <c r="I479" s="105" t="n"/>
      <c r="J479" s="105" t="n"/>
      <c r="K479" s="103" t="n"/>
      <c r="L479" s="106" t="str">
        <f>IF(OR(D479="",E479=""),"",D479+IF(E479="NOTIFICAÇÃO DE CONSTATAÇÃO",PrazoConst,PrazoEsc))</f>
        <v/>
      </c>
      <c r="M479" s="107" t="str">
        <f>IF(L479="","",L479-TODAY())</f>
        <v/>
      </c>
      <c r="N479" s="108" t="str">
        <f>IF(B479="","",IF(G479="DECISÃO D.P","EM DECISÃO",IF(G479="","SEM STATUS",IF(M479="","SEM DATA",IF(M479&lt;0,"VENCIDO",IF(M479&lt;=DiasAlerta,"VENCE EM BREVE","NO PRAZO"))))))</f>
        <v/>
      </c>
      <c r="O479" s="109" t="str">
        <f>IF(D479="","",TODAY()-D479)</f>
        <v/>
      </c>
      <c r="P479" s="102" t="n"/>
    </row>
    <row r="480" ht="18" customHeight="1">
      <c r="A480" s="101" t="n"/>
      <c r="B480" s="102" t="n"/>
      <c r="C480" s="102" t="n"/>
      <c r="D480" s="103" t="n"/>
      <c r="E480" s="102" t="n"/>
      <c r="F480" s="104" t="n"/>
      <c r="G480" s="104" t="n"/>
      <c r="H480" s="102" t="n"/>
      <c r="I480" s="105" t="n"/>
      <c r="J480" s="105" t="n"/>
      <c r="K480" s="103" t="n"/>
      <c r="L480" s="106" t="str">
        <f>IF(OR(D480="",E480=""),"",D480+IF(E480="NOTIFICAÇÃO DE CONSTATAÇÃO",PrazoConst,PrazoEsc))</f>
        <v/>
      </c>
      <c r="M480" s="107" t="str">
        <f>IF(L480="","",L480-TODAY())</f>
        <v/>
      </c>
      <c r="N480" s="108" t="str">
        <f>IF(B480="","",IF(G480="DECISÃO D.P","EM DECISÃO",IF(G480="","SEM STATUS",IF(M480="","SEM DATA",IF(M480&lt;0,"VENCIDO",IF(M480&lt;=DiasAlerta,"VENCE EM BREVE","NO PRAZO"))))))</f>
        <v/>
      </c>
      <c r="O480" s="109" t="str">
        <f>IF(D480="","",TODAY()-D480)</f>
        <v/>
      </c>
      <c r="P480" s="102" t="n"/>
    </row>
    <row r="481" ht="18" customHeight="1">
      <c r="A481" s="101" t="n"/>
      <c r="B481" s="102" t="n"/>
      <c r="C481" s="102" t="n"/>
      <c r="D481" s="103" t="n"/>
      <c r="E481" s="102" t="n"/>
      <c r="F481" s="104" t="n"/>
      <c r="G481" s="104" t="n"/>
      <c r="H481" s="102" t="n"/>
      <c r="I481" s="105" t="n"/>
      <c r="J481" s="105" t="n"/>
      <c r="K481" s="103" t="n"/>
      <c r="L481" s="106" t="str">
        <f>IF(OR(D481="",E481=""),"",D481+IF(E481="NOTIFICAÇÃO DE CONSTATAÇÃO",PrazoConst,PrazoEsc))</f>
        <v/>
      </c>
      <c r="M481" s="107" t="str">
        <f>IF(L481="","",L481-TODAY())</f>
        <v/>
      </c>
      <c r="N481" s="108" t="str">
        <f>IF(B481="","",IF(G481="DECISÃO D.P","EM DECISÃO",IF(G481="","SEM STATUS",IF(M481="","SEM DATA",IF(M481&lt;0,"VENCIDO",IF(M481&lt;=DiasAlerta,"VENCE EM BREVE","NO PRAZO"))))))</f>
        <v/>
      </c>
      <c r="O481" s="109" t="str">
        <f>IF(D481="","",TODAY()-D481)</f>
        <v/>
      </c>
      <c r="P481" s="102" t="n"/>
    </row>
    <row r="482" ht="18" customHeight="1">
      <c r="A482" s="101" t="n"/>
      <c r="B482" s="102" t="n"/>
      <c r="C482" s="102" t="n"/>
      <c r="D482" s="103" t="n"/>
      <c r="E482" s="102" t="n"/>
      <c r="F482" s="104" t="n"/>
      <c r="G482" s="104" t="n"/>
      <c r="H482" s="102" t="n"/>
      <c r="I482" s="105" t="n"/>
      <c r="J482" s="105" t="n"/>
      <c r="K482" s="103" t="n"/>
      <c r="L482" s="106" t="str">
        <f>IF(OR(D482="",E482=""),"",D482+IF(E482="NOTIFICAÇÃO DE CONSTATAÇÃO",PrazoConst,PrazoEsc))</f>
        <v/>
      </c>
      <c r="M482" s="107" t="str">
        <f>IF(L482="","",L482-TODAY())</f>
        <v/>
      </c>
      <c r="N482" s="108" t="str">
        <f>IF(B482="","",IF(G482="DECISÃO D.P","EM DECISÃO",IF(G482="","SEM STATUS",IF(M482="","SEM DATA",IF(M482&lt;0,"VENCIDO",IF(M482&lt;=DiasAlerta,"VENCE EM BREVE","NO PRAZO"))))))</f>
        <v/>
      </c>
      <c r="O482" s="109" t="str">
        <f>IF(D482="","",TODAY()-D482)</f>
        <v/>
      </c>
      <c r="P482" s="102" t="n"/>
    </row>
    <row r="483" ht="18" customHeight="1">
      <c r="A483" s="101" t="n"/>
      <c r="B483" s="102" t="n"/>
      <c r="C483" s="102" t="n"/>
      <c r="D483" s="103" t="n"/>
      <c r="E483" s="102" t="n"/>
      <c r="F483" s="104" t="n"/>
      <c r="G483" s="104" t="n"/>
      <c r="H483" s="102" t="n"/>
      <c r="I483" s="105" t="n"/>
      <c r="J483" s="105" t="n"/>
      <c r="K483" s="103" t="n"/>
      <c r="L483" s="106" t="str">
        <f>IF(OR(D483="",E483=""),"",D483+IF(E483="NOTIFICAÇÃO DE CONSTATAÇÃO",PrazoConst,PrazoEsc))</f>
        <v/>
      </c>
      <c r="M483" s="107" t="str">
        <f>IF(L483="","",L483-TODAY())</f>
        <v/>
      </c>
      <c r="N483" s="108" t="str">
        <f>IF(B483="","",IF(G483="DECISÃO D.P","EM DECISÃO",IF(G483="","SEM STATUS",IF(M483="","SEM DATA",IF(M483&lt;0,"VENCIDO",IF(M483&lt;=DiasAlerta,"VENCE EM BREVE","NO PRAZO"))))))</f>
        <v/>
      </c>
      <c r="O483" s="109" t="str">
        <f>IF(D483="","",TODAY()-D483)</f>
        <v/>
      </c>
      <c r="P483" s="102" t="n"/>
    </row>
    <row r="484" ht="18" customHeight="1">
      <c r="A484" s="101" t="n"/>
      <c r="B484" s="102" t="n"/>
      <c r="C484" s="102" t="n"/>
      <c r="D484" s="103" t="n"/>
      <c r="E484" s="102" t="n"/>
      <c r="F484" s="104" t="n"/>
      <c r="G484" s="104" t="n"/>
      <c r="H484" s="102" t="n"/>
      <c r="I484" s="105" t="n"/>
      <c r="J484" s="105" t="n"/>
      <c r="K484" s="103" t="n"/>
      <c r="L484" s="106" t="str">
        <f>IF(OR(D484="",E484=""),"",D484+IF(E484="NOTIFICAÇÃO DE CONSTATAÇÃO",PrazoConst,PrazoEsc))</f>
        <v/>
      </c>
      <c r="M484" s="107" t="str">
        <f>IF(L484="","",L484-TODAY())</f>
        <v/>
      </c>
      <c r="N484" s="108" t="str">
        <f>IF(B484="","",IF(G484="DECISÃO D.P","EM DECISÃO",IF(G484="","SEM STATUS",IF(M484="","SEM DATA",IF(M484&lt;0,"VENCIDO",IF(M484&lt;=DiasAlerta,"VENCE EM BREVE","NO PRAZO"))))))</f>
        <v/>
      </c>
      <c r="O484" s="109" t="str">
        <f>IF(D484="","",TODAY()-D484)</f>
        <v/>
      </c>
      <c r="P484" s="102" t="n"/>
    </row>
    <row r="485" ht="18" customHeight="1">
      <c r="A485" s="101" t="n"/>
      <c r="B485" s="102" t="n"/>
      <c r="C485" s="102" t="n"/>
      <c r="D485" s="103" t="n"/>
      <c r="E485" s="102" t="n"/>
      <c r="F485" s="104" t="n"/>
      <c r="G485" s="104" t="n"/>
      <c r="H485" s="102" t="n"/>
      <c r="I485" s="105" t="n"/>
      <c r="J485" s="105" t="n"/>
      <c r="K485" s="103" t="n"/>
      <c r="L485" s="106" t="str">
        <f>IF(OR(D485="",E485=""),"",D485+IF(E485="NOTIFICAÇÃO DE CONSTATAÇÃO",PrazoConst,PrazoEsc))</f>
        <v/>
      </c>
      <c r="M485" s="107" t="str">
        <f>IF(L485="","",L485-TODAY())</f>
        <v/>
      </c>
      <c r="N485" s="108" t="str">
        <f>IF(B485="","",IF(G485="DECISÃO D.P","EM DECISÃO",IF(G485="","SEM STATUS",IF(M485="","SEM DATA",IF(M485&lt;0,"VENCIDO",IF(M485&lt;=DiasAlerta,"VENCE EM BREVE","NO PRAZO"))))))</f>
        <v/>
      </c>
      <c r="O485" s="109" t="str">
        <f>IF(D485="","",TODAY()-D485)</f>
        <v/>
      </c>
      <c r="P485" s="102" t="n"/>
    </row>
    <row r="486" ht="18" customHeight="1">
      <c r="A486" s="101" t="n"/>
      <c r="B486" s="102" t="n"/>
      <c r="C486" s="102" t="n"/>
      <c r="D486" s="103" t="n"/>
      <c r="E486" s="102" t="n"/>
      <c r="F486" s="104" t="n"/>
      <c r="G486" s="104" t="n"/>
      <c r="H486" s="102" t="n"/>
      <c r="I486" s="105" t="n"/>
      <c r="J486" s="105" t="n"/>
      <c r="K486" s="103" t="n"/>
      <c r="L486" s="106" t="str">
        <f>IF(OR(D486="",E486=""),"",D486+IF(E486="NOTIFICAÇÃO DE CONSTATAÇÃO",PrazoConst,PrazoEsc))</f>
        <v/>
      </c>
      <c r="M486" s="107" t="str">
        <f>IF(L486="","",L486-TODAY())</f>
        <v/>
      </c>
      <c r="N486" s="108" t="str">
        <f>IF(B486="","",IF(G486="DECISÃO D.P","EM DECISÃO",IF(G486="","SEM STATUS",IF(M486="","SEM DATA",IF(M486&lt;0,"VENCIDO",IF(M486&lt;=DiasAlerta,"VENCE EM BREVE","NO PRAZO"))))))</f>
        <v/>
      </c>
      <c r="O486" s="109" t="str">
        <f>IF(D486="","",TODAY()-D486)</f>
        <v/>
      </c>
      <c r="P486" s="102" t="n"/>
    </row>
    <row r="487" ht="18" customHeight="1">
      <c r="A487" s="101" t="n"/>
      <c r="B487" s="102" t="n"/>
      <c r="C487" s="102" t="n"/>
      <c r="D487" s="103" t="n"/>
      <c r="E487" s="102" t="n"/>
      <c r="F487" s="104" t="n"/>
      <c r="G487" s="104" t="n"/>
      <c r="H487" s="102" t="n"/>
      <c r="I487" s="105" t="n"/>
      <c r="J487" s="105" t="n"/>
      <c r="K487" s="103" t="n"/>
      <c r="L487" s="106" t="str">
        <f>IF(OR(D487="",E487=""),"",D487+IF(E487="NOTIFICAÇÃO DE CONSTATAÇÃO",PrazoConst,PrazoEsc))</f>
        <v/>
      </c>
      <c r="M487" s="107" t="str">
        <f>IF(L487="","",L487-TODAY())</f>
        <v/>
      </c>
      <c r="N487" s="108" t="str">
        <f>IF(B487="","",IF(G487="DECISÃO D.P","EM DECISÃO",IF(G487="","SEM STATUS",IF(M487="","SEM DATA",IF(M487&lt;0,"VENCIDO",IF(M487&lt;=DiasAlerta,"VENCE EM BREVE","NO PRAZO"))))))</f>
        <v/>
      </c>
      <c r="O487" s="109" t="str">
        <f>IF(D487="","",TODAY()-D487)</f>
        <v/>
      </c>
      <c r="P487" s="102" t="n"/>
    </row>
    <row r="488" ht="18" customHeight="1">
      <c r="A488" s="101" t="n"/>
      <c r="B488" s="102" t="n"/>
      <c r="C488" s="102" t="n"/>
      <c r="D488" s="103" t="n"/>
      <c r="E488" s="102" t="n"/>
      <c r="F488" s="104" t="n"/>
      <c r="G488" s="104" t="n"/>
      <c r="H488" s="102" t="n"/>
      <c r="I488" s="105" t="n"/>
      <c r="J488" s="105" t="n"/>
      <c r="K488" s="103" t="n"/>
      <c r="L488" s="106" t="str">
        <f>IF(OR(D488="",E488=""),"",D488+IF(E488="NOTIFICAÇÃO DE CONSTATAÇÃO",PrazoConst,PrazoEsc))</f>
        <v/>
      </c>
      <c r="M488" s="107" t="str">
        <f>IF(L488="","",L488-TODAY())</f>
        <v/>
      </c>
      <c r="N488" s="108" t="str">
        <f>IF(B488="","",IF(G488="DECISÃO D.P","EM DECISÃO",IF(G488="","SEM STATUS",IF(M488="","SEM DATA",IF(M488&lt;0,"VENCIDO",IF(M488&lt;=DiasAlerta,"VENCE EM BREVE","NO PRAZO"))))))</f>
        <v/>
      </c>
      <c r="O488" s="109" t="str">
        <f>IF(D488="","",TODAY()-D488)</f>
        <v/>
      </c>
      <c r="P488" s="102" t="n"/>
    </row>
    <row r="489" ht="18" customHeight="1">
      <c r="A489" s="101" t="n"/>
      <c r="B489" s="102" t="n"/>
      <c r="C489" s="102" t="n"/>
      <c r="D489" s="103" t="n"/>
      <c r="E489" s="102" t="n"/>
      <c r="F489" s="104" t="n"/>
      <c r="G489" s="104" t="n"/>
      <c r="H489" s="102" t="n"/>
      <c r="I489" s="105" t="n"/>
      <c r="J489" s="105" t="n"/>
      <c r="K489" s="103" t="n"/>
      <c r="L489" s="106" t="str">
        <f>IF(OR(D489="",E489=""),"",D489+IF(E489="NOTIFICAÇÃO DE CONSTATAÇÃO",PrazoConst,PrazoEsc))</f>
        <v/>
      </c>
      <c r="M489" s="107" t="str">
        <f>IF(L489="","",L489-TODAY())</f>
        <v/>
      </c>
      <c r="N489" s="108" t="str">
        <f>IF(B489="","",IF(G489="DECISÃO D.P","EM DECISÃO",IF(G489="","SEM STATUS",IF(M489="","SEM DATA",IF(M489&lt;0,"VENCIDO",IF(M489&lt;=DiasAlerta,"VENCE EM BREVE","NO PRAZO"))))))</f>
        <v/>
      </c>
      <c r="O489" s="109" t="str">
        <f>IF(D489="","",TODAY()-D489)</f>
        <v/>
      </c>
      <c r="P489" s="102" t="n"/>
    </row>
    <row r="490" ht="18" customHeight="1">
      <c r="A490" s="101" t="n"/>
      <c r="B490" s="102" t="n"/>
      <c r="C490" s="102" t="n"/>
      <c r="D490" s="103" t="n"/>
      <c r="E490" s="102" t="n"/>
      <c r="F490" s="104" t="n"/>
      <c r="G490" s="104" t="n"/>
      <c r="H490" s="102" t="n"/>
      <c r="I490" s="105" t="n"/>
      <c r="J490" s="105" t="n"/>
      <c r="K490" s="103" t="n"/>
      <c r="L490" s="106" t="str">
        <f>IF(OR(D490="",E490=""),"",D490+IF(E490="NOTIFICAÇÃO DE CONSTATAÇÃO",PrazoConst,PrazoEsc))</f>
        <v/>
      </c>
      <c r="M490" s="107" t="str">
        <f>IF(L490="","",L490-TODAY())</f>
        <v/>
      </c>
      <c r="N490" s="108" t="str">
        <f>IF(B490="","",IF(G490="DECISÃO D.P","EM DECISÃO",IF(G490="","SEM STATUS",IF(M490="","SEM DATA",IF(M490&lt;0,"VENCIDO",IF(M490&lt;=DiasAlerta,"VENCE EM BREVE","NO PRAZO"))))))</f>
        <v/>
      </c>
      <c r="O490" s="109" t="str">
        <f>IF(D490="","",TODAY()-D490)</f>
        <v/>
      </c>
      <c r="P490" s="102" t="n"/>
    </row>
    <row r="491" ht="18" customHeight="1">
      <c r="A491" s="101" t="n"/>
      <c r="B491" s="102" t="n"/>
      <c r="C491" s="102" t="n"/>
      <c r="D491" s="103" t="n"/>
      <c r="E491" s="102" t="n"/>
      <c r="F491" s="104" t="n"/>
      <c r="G491" s="104" t="n"/>
      <c r="H491" s="102" t="n"/>
      <c r="I491" s="105" t="n"/>
      <c r="J491" s="105" t="n"/>
      <c r="K491" s="103" t="n"/>
      <c r="L491" s="106" t="str">
        <f>IF(OR(D491="",E491=""),"",D491+IF(E491="NOTIFICAÇÃO DE CONSTATAÇÃO",PrazoConst,PrazoEsc))</f>
        <v/>
      </c>
      <c r="M491" s="107" t="str">
        <f>IF(L491="","",L491-TODAY())</f>
        <v/>
      </c>
      <c r="N491" s="108" t="str">
        <f>IF(B491="","",IF(G491="DECISÃO D.P","EM DECISÃO",IF(G491="","SEM STATUS",IF(M491="","SEM DATA",IF(M491&lt;0,"VENCIDO",IF(M491&lt;=DiasAlerta,"VENCE EM BREVE","NO PRAZO"))))))</f>
        <v/>
      </c>
      <c r="O491" s="109" t="str">
        <f>IF(D491="","",TODAY()-D491)</f>
        <v/>
      </c>
      <c r="P491" s="102" t="n"/>
    </row>
    <row r="492" ht="18" customHeight="1">
      <c r="A492" s="101" t="n"/>
      <c r="B492" s="102" t="n"/>
      <c r="C492" s="102" t="n"/>
      <c r="D492" s="103" t="n"/>
      <c r="E492" s="102" t="n"/>
      <c r="F492" s="104" t="n"/>
      <c r="G492" s="104" t="n"/>
      <c r="H492" s="102" t="n"/>
      <c r="I492" s="105" t="n"/>
      <c r="J492" s="105" t="n"/>
      <c r="K492" s="103" t="n"/>
      <c r="L492" s="106" t="str">
        <f>IF(OR(D492="",E492=""),"",D492+IF(E492="NOTIFICAÇÃO DE CONSTATAÇÃO",PrazoConst,PrazoEsc))</f>
        <v/>
      </c>
      <c r="M492" s="107" t="str">
        <f>IF(L492="","",L492-TODAY())</f>
        <v/>
      </c>
      <c r="N492" s="108" t="str">
        <f>IF(B492="","",IF(G492="DECISÃO D.P","EM DECISÃO",IF(G492="","SEM STATUS",IF(M492="","SEM DATA",IF(M492&lt;0,"VENCIDO",IF(M492&lt;=DiasAlerta,"VENCE EM BREVE","NO PRAZO"))))))</f>
        <v/>
      </c>
      <c r="O492" s="109" t="str">
        <f>IF(D492="","",TODAY()-D492)</f>
        <v/>
      </c>
      <c r="P492" s="102" t="n"/>
    </row>
    <row r="493" ht="18" customHeight="1">
      <c r="A493" s="101" t="n"/>
      <c r="B493" s="102" t="n"/>
      <c r="C493" s="102" t="n"/>
      <c r="D493" s="103" t="n"/>
      <c r="E493" s="102" t="n"/>
      <c r="F493" s="104" t="n"/>
      <c r="G493" s="104" t="n"/>
      <c r="H493" s="102" t="n"/>
      <c r="I493" s="105" t="n"/>
      <c r="J493" s="105" t="n"/>
      <c r="K493" s="103" t="n"/>
      <c r="L493" s="106" t="str">
        <f>IF(OR(D493="",E493=""),"",D493+IF(E493="NOTIFICAÇÃO DE CONSTATAÇÃO",PrazoConst,PrazoEsc))</f>
        <v/>
      </c>
      <c r="M493" s="107" t="str">
        <f>IF(L493="","",L493-TODAY())</f>
        <v/>
      </c>
      <c r="N493" s="108" t="str">
        <f>IF(B493="","",IF(G493="DECISÃO D.P","EM DECISÃO",IF(G493="","SEM STATUS",IF(M493="","SEM DATA",IF(M493&lt;0,"VENCIDO",IF(M493&lt;=DiasAlerta,"VENCE EM BREVE","NO PRAZO"))))))</f>
        <v/>
      </c>
      <c r="O493" s="109" t="str">
        <f>IF(D493="","",TODAY()-D493)</f>
        <v/>
      </c>
      <c r="P493" s="102" t="n"/>
    </row>
    <row r="494" ht="18" customHeight="1">
      <c r="A494" s="101" t="n"/>
      <c r="B494" s="102" t="n"/>
      <c r="C494" s="102" t="n"/>
      <c r="D494" s="103" t="n"/>
      <c r="E494" s="102" t="n"/>
      <c r="F494" s="104" t="n"/>
      <c r="G494" s="104" t="n"/>
      <c r="H494" s="102" t="n"/>
      <c r="I494" s="105" t="n"/>
      <c r="J494" s="105" t="n"/>
      <c r="K494" s="103" t="n"/>
      <c r="L494" s="106" t="str">
        <f>IF(OR(D494="",E494=""),"",D494+IF(E494="NOTIFICAÇÃO DE CONSTATAÇÃO",PrazoConst,PrazoEsc))</f>
        <v/>
      </c>
      <c r="M494" s="107" t="str">
        <f>IF(L494="","",L494-TODAY())</f>
        <v/>
      </c>
      <c r="N494" s="108" t="str">
        <f>IF(B494="","",IF(G494="DECISÃO D.P","EM DECISÃO",IF(G494="","SEM STATUS",IF(M494="","SEM DATA",IF(M494&lt;0,"VENCIDO",IF(M494&lt;=DiasAlerta,"VENCE EM BREVE","NO PRAZO"))))))</f>
        <v/>
      </c>
      <c r="O494" s="109" t="str">
        <f>IF(D494="","",TODAY()-D494)</f>
        <v/>
      </c>
      <c r="P494" s="102" t="n"/>
    </row>
    <row r="495" ht="18" customHeight="1">
      <c r="A495" s="101" t="n"/>
      <c r="B495" s="102" t="n"/>
      <c r="C495" s="102" t="n"/>
      <c r="D495" s="103" t="n"/>
      <c r="E495" s="102" t="n"/>
      <c r="F495" s="104" t="n"/>
      <c r="G495" s="104" t="n"/>
      <c r="H495" s="102" t="n"/>
      <c r="I495" s="105" t="n"/>
      <c r="J495" s="105" t="n"/>
      <c r="K495" s="103" t="n"/>
      <c r="L495" s="106" t="str">
        <f>IF(OR(D495="",E495=""),"",D495+IF(E495="NOTIFICAÇÃO DE CONSTATAÇÃO",PrazoConst,PrazoEsc))</f>
        <v/>
      </c>
      <c r="M495" s="107" t="str">
        <f>IF(L495="","",L495-TODAY())</f>
        <v/>
      </c>
      <c r="N495" s="108" t="str">
        <f>IF(B495="","",IF(G495="DECISÃO D.P","EM DECISÃO",IF(G495="","SEM STATUS",IF(M495="","SEM DATA",IF(M495&lt;0,"VENCIDO",IF(M495&lt;=DiasAlerta,"VENCE EM BREVE","NO PRAZO"))))))</f>
        <v/>
      </c>
      <c r="O495" s="109" t="str">
        <f>IF(D495="","",TODAY()-D495)</f>
        <v/>
      </c>
      <c r="P495" s="102" t="n"/>
    </row>
    <row r="496" ht="18" customHeight="1">
      <c r="A496" s="101" t="n"/>
      <c r="B496" s="102" t="n"/>
      <c r="C496" s="102" t="n"/>
      <c r="D496" s="103" t="n"/>
      <c r="E496" s="102" t="n"/>
      <c r="F496" s="104" t="n"/>
      <c r="G496" s="104" t="n"/>
      <c r="H496" s="102" t="n"/>
      <c r="I496" s="105" t="n"/>
      <c r="J496" s="105" t="n"/>
      <c r="K496" s="103" t="n"/>
      <c r="L496" s="106" t="str">
        <f>IF(OR(D496="",E496=""),"",D496+IF(E496="NOTIFICAÇÃO DE CONSTATAÇÃO",PrazoConst,PrazoEsc))</f>
        <v/>
      </c>
      <c r="M496" s="107" t="str">
        <f>IF(L496="","",L496-TODAY())</f>
        <v/>
      </c>
      <c r="N496" s="108" t="str">
        <f>IF(B496="","",IF(G496="DECISÃO D.P","EM DECISÃO",IF(G496="","SEM STATUS",IF(M496="","SEM DATA",IF(M496&lt;0,"VENCIDO",IF(M496&lt;=DiasAlerta,"VENCE EM BREVE","NO PRAZO"))))))</f>
        <v/>
      </c>
      <c r="O496" s="109" t="str">
        <f>IF(D496="","",TODAY()-D496)</f>
        <v/>
      </c>
      <c r="P496" s="102" t="n"/>
    </row>
    <row r="497" ht="18" customHeight="1">
      <c r="A497" s="101" t="n"/>
      <c r="B497" s="102" t="n"/>
      <c r="C497" s="102" t="n"/>
      <c r="D497" s="103" t="n"/>
      <c r="E497" s="102" t="n"/>
      <c r="F497" s="104" t="n"/>
      <c r="G497" s="104" t="n"/>
      <c r="H497" s="102" t="n"/>
      <c r="I497" s="105" t="n"/>
      <c r="J497" s="105" t="n"/>
      <c r="K497" s="103" t="n"/>
      <c r="L497" s="106" t="str">
        <f>IF(OR(D497="",E497=""),"",D497+IF(E497="NOTIFICAÇÃO DE CONSTATAÇÃO",PrazoConst,PrazoEsc))</f>
        <v/>
      </c>
      <c r="M497" s="107" t="str">
        <f>IF(L497="","",L497-TODAY())</f>
        <v/>
      </c>
      <c r="N497" s="108" t="str">
        <f>IF(B497="","",IF(G497="DECISÃO D.P","EM DECISÃO",IF(G497="","SEM STATUS",IF(M497="","SEM DATA",IF(M497&lt;0,"VENCIDO",IF(M497&lt;=DiasAlerta,"VENCE EM BREVE","NO PRAZO"))))))</f>
        <v/>
      </c>
      <c r="O497" s="109" t="str">
        <f>IF(D497="","",TODAY()-D497)</f>
        <v/>
      </c>
      <c r="P497" s="102" t="n"/>
    </row>
    <row r="498" ht="18" customHeight="1">
      <c r="A498" s="101" t="n"/>
      <c r="B498" s="102" t="n"/>
      <c r="C498" s="102" t="n"/>
      <c r="D498" s="103" t="n"/>
      <c r="E498" s="102" t="n"/>
      <c r="F498" s="104" t="n"/>
      <c r="G498" s="104" t="n"/>
      <c r="H498" s="102" t="n"/>
      <c r="I498" s="105" t="n"/>
      <c r="J498" s="105" t="n"/>
      <c r="K498" s="103" t="n"/>
      <c r="L498" s="106" t="str">
        <f>IF(OR(D498="",E498=""),"",D498+IF(E498="NOTIFICAÇÃO DE CONSTATAÇÃO",PrazoConst,PrazoEsc))</f>
        <v/>
      </c>
      <c r="M498" s="107" t="str">
        <f>IF(L498="","",L498-TODAY())</f>
        <v/>
      </c>
      <c r="N498" s="108" t="str">
        <f>IF(B498="","",IF(G498="DECISÃO D.P","EM DECISÃO",IF(G498="","SEM STATUS",IF(M498="","SEM DATA",IF(M498&lt;0,"VENCIDO",IF(M498&lt;=DiasAlerta,"VENCE EM BREVE","NO PRAZO"))))))</f>
        <v/>
      </c>
      <c r="O498" s="109" t="str">
        <f>IF(D498="","",TODAY()-D498)</f>
        <v/>
      </c>
      <c r="P498" s="102" t="n"/>
    </row>
    <row r="499" ht="18" customHeight="1">
      <c r="A499" s="101" t="n"/>
      <c r="B499" s="102" t="n"/>
      <c r="C499" s="102" t="n"/>
      <c r="D499" s="103" t="n"/>
      <c r="E499" s="102" t="n"/>
      <c r="F499" s="104" t="n"/>
      <c r="G499" s="104" t="n"/>
      <c r="H499" s="102" t="n"/>
      <c r="I499" s="105" t="n"/>
      <c r="J499" s="105" t="n"/>
      <c r="K499" s="103" t="n"/>
      <c r="L499" s="106" t="str">
        <f>IF(OR(D499="",E499=""),"",D499+IF(E499="NOTIFICAÇÃO DE CONSTATAÇÃO",PrazoConst,PrazoEsc))</f>
        <v/>
      </c>
      <c r="M499" s="107" t="str">
        <f>IF(L499="","",L499-TODAY())</f>
        <v/>
      </c>
      <c r="N499" s="108" t="str">
        <f>IF(B499="","",IF(G499="DECISÃO D.P","EM DECISÃO",IF(G499="","SEM STATUS",IF(M499="","SEM DATA",IF(M499&lt;0,"VENCIDO",IF(M499&lt;=DiasAlerta,"VENCE EM BREVE","NO PRAZO"))))))</f>
        <v/>
      </c>
      <c r="O499" s="109" t="str">
        <f>IF(D499="","",TODAY()-D499)</f>
        <v/>
      </c>
      <c r="P499" s="102" t="n"/>
    </row>
    <row r="500" ht="18" customHeight="1">
      <c r="A500" s="101" t="n"/>
      <c r="B500" s="102" t="n"/>
      <c r="C500" s="102" t="n"/>
      <c r="D500" s="103" t="n"/>
      <c r="E500" s="102" t="n"/>
      <c r="F500" s="104" t="n"/>
      <c r="G500" s="104" t="n"/>
      <c r="H500" s="102" t="n"/>
      <c r="I500" s="105" t="n"/>
      <c r="J500" s="105" t="n"/>
      <c r="K500" s="103" t="n"/>
      <c r="L500" s="106" t="str">
        <f>IF(OR(D500="",E500=""),"",D500+IF(E500="NOTIFICAÇÃO DE CONSTATAÇÃO",PrazoConst,PrazoEsc))</f>
        <v/>
      </c>
      <c r="M500" s="107" t="str">
        <f>IF(L500="","",L500-TODAY())</f>
        <v/>
      </c>
      <c r="N500" s="108" t="str">
        <f>IF(B500="","",IF(G500="DECISÃO D.P","EM DECISÃO",IF(G500="","SEM STATUS",IF(M500="","SEM DATA",IF(M500&lt;0,"VENCIDO",IF(M500&lt;=DiasAlerta,"VENCE EM BREVE","NO PRAZO"))))))</f>
        <v/>
      </c>
      <c r="O500" s="109" t="str">
        <f>IF(D500="","",TODAY()-D500)</f>
        <v/>
      </c>
      <c r="P500" s="102" t="n"/>
    </row>
    <row r="501" ht="18" customHeight="1">
      <c r="A501" s="101" t="n"/>
      <c r="B501" s="102" t="n"/>
      <c r="C501" s="102" t="n"/>
      <c r="D501" s="103" t="n"/>
      <c r="E501" s="102" t="n"/>
      <c r="F501" s="104" t="n"/>
      <c r="G501" s="104" t="n"/>
      <c r="H501" s="102" t="n"/>
      <c r="I501" s="105" t="n"/>
      <c r="J501" s="105" t="n"/>
      <c r="K501" s="103" t="n"/>
      <c r="L501" s="106" t="str">
        <f>IF(OR(D501="",E501=""),"",D501+IF(E501="NOTIFICAÇÃO DE CONSTATAÇÃO",PrazoConst,PrazoEsc))</f>
        <v/>
      </c>
      <c r="M501" s="107" t="str">
        <f>IF(L501="","",L501-TODAY())</f>
        <v/>
      </c>
      <c r="N501" s="108" t="str">
        <f>IF(B501="","",IF(G501="DECISÃO D.P","EM DECISÃO",IF(G501="","SEM STATUS",IF(M501="","SEM DATA",IF(M501&lt;0,"VENCIDO",IF(M501&lt;=DiasAlerta,"VENCE EM BREVE","NO PRAZO"))))))</f>
        <v/>
      </c>
      <c r="O501" s="109" t="str">
        <f>IF(D501="","",TODAY()-D501)</f>
        <v/>
      </c>
      <c r="P501" s="102" t="n"/>
    </row>
    <row r="502" ht="18" customHeight="1">
      <c r="A502" s="101" t="n"/>
      <c r="B502" s="102" t="n"/>
      <c r="C502" s="102" t="n"/>
      <c r="D502" s="103" t="n"/>
      <c r="E502" s="102" t="n"/>
      <c r="F502" s="104" t="n"/>
      <c r="G502" s="104" t="n"/>
      <c r="H502" s="102" t="n"/>
      <c r="I502" s="105" t="n"/>
      <c r="J502" s="105" t="n"/>
      <c r="K502" s="103" t="n"/>
      <c r="L502" s="106" t="str">
        <f>IF(OR(D502="",E502=""),"",D502+IF(E502="NOTIFICAÇÃO DE CONSTATAÇÃO",PrazoConst,PrazoEsc))</f>
        <v/>
      </c>
      <c r="M502" s="107" t="str">
        <f>IF(L502="","",L502-TODAY())</f>
        <v/>
      </c>
      <c r="N502" s="108" t="str">
        <f>IF(B502="","",IF(G502="DECISÃO D.P","EM DECISÃO",IF(G502="","SEM STATUS",IF(M502="","SEM DATA",IF(M502&lt;0,"VENCIDO",IF(M502&lt;=DiasAlerta,"VENCE EM BREVE","NO PRAZO"))))))</f>
        <v/>
      </c>
      <c r="O502" s="109" t="str">
        <f>IF(D502="","",TODAY()-D502)</f>
        <v/>
      </c>
      <c r="P502" s="102" t="n"/>
    </row>
    <row r="503" ht="18" customHeight="1">
      <c r="A503" s="101" t="n"/>
      <c r="B503" s="102" t="n"/>
      <c r="C503" s="102" t="n"/>
      <c r="D503" s="103" t="n"/>
      <c r="E503" s="102" t="n"/>
      <c r="F503" s="104" t="n"/>
      <c r="G503" s="104" t="n"/>
      <c r="H503" s="102" t="n"/>
      <c r="I503" s="105" t="n"/>
      <c r="J503" s="105" t="n"/>
      <c r="K503" s="103" t="n"/>
      <c r="L503" s="106" t="str">
        <f>IF(OR(D503="",E503=""),"",D503+IF(E503="NOTIFICAÇÃO DE CONSTATAÇÃO",PrazoConst,PrazoEsc))</f>
        <v/>
      </c>
      <c r="M503" s="107" t="str">
        <f>IF(L503="","",L503-TODAY())</f>
        <v/>
      </c>
      <c r="N503" s="108" t="str">
        <f>IF(B503="","",IF(G503="DECISÃO D.P","EM DECISÃO",IF(G503="","SEM STATUS",IF(M503="","SEM DATA",IF(M503&lt;0,"VENCIDO",IF(M503&lt;=DiasAlerta,"VENCE EM BREVE","NO PRAZO"))))))</f>
        <v/>
      </c>
      <c r="O503" s="109" t="str">
        <f>IF(D503="","",TODAY()-D503)</f>
        <v/>
      </c>
      <c r="P503" s="102" t="n"/>
    </row>
    <row r="504" ht="18" customHeight="1">
      <c r="A504" s="101" t="n"/>
      <c r="B504" s="102" t="n"/>
      <c r="C504" s="102" t="n"/>
      <c r="D504" s="103" t="n"/>
      <c r="E504" s="102" t="n"/>
      <c r="F504" s="104" t="n"/>
      <c r="G504" s="104" t="n"/>
      <c r="H504" s="102" t="n"/>
      <c r="I504" s="105" t="n"/>
      <c r="J504" s="105" t="n"/>
      <c r="K504" s="103" t="n"/>
      <c r="L504" s="106" t="str">
        <f>IF(OR(D504="",E504=""),"",D504+IF(E504="NOTIFICAÇÃO DE CONSTATAÇÃO",PrazoConst,PrazoEsc))</f>
        <v/>
      </c>
      <c r="M504" s="107" t="str">
        <f>IF(L504="","",L504-TODAY())</f>
        <v/>
      </c>
      <c r="N504" s="108" t="str">
        <f>IF(B504="","",IF(G504="DECISÃO D.P","EM DECISÃO",IF(G504="","SEM STATUS",IF(M504="","SEM DATA",IF(M504&lt;0,"VENCIDO",IF(M504&lt;=DiasAlerta,"VENCE EM BREVE","NO PRAZO"))))))</f>
        <v/>
      </c>
      <c r="O504" s="109" t="str">
        <f>IF(D504="","",TODAY()-D504)</f>
        <v/>
      </c>
      <c r="P504" s="102" t="n"/>
    </row>
    <row r="505" ht="18" customHeight="1">
      <c r="A505" s="101" t="n"/>
      <c r="B505" s="102" t="n"/>
      <c r="C505" s="102" t="n"/>
      <c r="D505" s="103" t="n"/>
      <c r="E505" s="102" t="n"/>
      <c r="F505" s="104" t="n"/>
      <c r="G505" s="104" t="n"/>
      <c r="H505" s="102" t="n"/>
      <c r="I505" s="105" t="n"/>
      <c r="J505" s="105" t="n"/>
      <c r="K505" s="103" t="n"/>
      <c r="L505" s="106" t="str">
        <f>IF(OR(D505="",E505=""),"",D505+IF(E505="NOTIFICAÇÃO DE CONSTATAÇÃO",PrazoConst,PrazoEsc))</f>
        <v/>
      </c>
      <c r="M505" s="107" t="str">
        <f>IF(L505="","",L505-TODAY())</f>
        <v/>
      </c>
      <c r="N505" s="108" t="str">
        <f>IF(B505="","",IF(G505="DECISÃO D.P","EM DECISÃO",IF(G505="","SEM STATUS",IF(M505="","SEM DATA",IF(M505&lt;0,"VENCIDO",IF(M505&lt;=DiasAlerta,"VENCE EM BREVE","NO PRAZO"))))))</f>
        <v/>
      </c>
      <c r="O505" s="109" t="str">
        <f>IF(D505="","",TODAY()-D505)</f>
        <v/>
      </c>
      <c r="P505" s="102" t="n"/>
    </row>
    <row r="506" ht="18" customHeight="1">
      <c r="A506" s="101" t="n"/>
      <c r="B506" s="102" t="n"/>
      <c r="C506" s="102" t="n"/>
      <c r="D506" s="103" t="n"/>
      <c r="E506" s="102" t="n"/>
      <c r="F506" s="104" t="n"/>
      <c r="G506" s="104" t="n"/>
      <c r="H506" s="102" t="n"/>
      <c r="I506" s="105" t="n"/>
      <c r="J506" s="105" t="n"/>
      <c r="K506" s="103" t="n"/>
      <c r="L506" s="106" t="str">
        <f>IF(OR(D506="",E506=""),"",D506+IF(E506="NOTIFICAÇÃO DE CONSTATAÇÃO",PrazoConst,PrazoEsc))</f>
        <v/>
      </c>
      <c r="M506" s="107" t="str">
        <f>IF(L506="","",L506-TODAY())</f>
        <v/>
      </c>
      <c r="N506" s="108" t="str">
        <f>IF(B506="","",IF(G506="DECISÃO D.P","EM DECISÃO",IF(G506="","SEM STATUS",IF(M506="","SEM DATA",IF(M506&lt;0,"VENCIDO",IF(M506&lt;=DiasAlerta,"VENCE EM BREVE","NO PRAZO"))))))</f>
        <v/>
      </c>
      <c r="O506" s="109" t="str">
        <f>IF(D506="","",TODAY()-D506)</f>
        <v/>
      </c>
      <c r="P506" s="102" t="n"/>
    </row>
    <row r="507" ht="18" customHeight="1">
      <c r="A507" s="101" t="n"/>
      <c r="B507" s="102" t="n"/>
      <c r="C507" s="102" t="n"/>
      <c r="D507" s="103" t="n"/>
      <c r="E507" s="102" t="n"/>
      <c r="F507" s="104" t="n"/>
      <c r="G507" s="104" t="n"/>
      <c r="H507" s="102" t="n"/>
      <c r="I507" s="105" t="n"/>
      <c r="J507" s="105" t="n"/>
      <c r="K507" s="103" t="n"/>
      <c r="L507" s="106" t="str">
        <f>IF(OR(D507="",E507=""),"",D507+IF(E507="NOTIFICAÇÃO DE CONSTATAÇÃO",PrazoConst,PrazoEsc))</f>
        <v/>
      </c>
      <c r="M507" s="107" t="str">
        <f>IF(L507="","",L507-TODAY())</f>
        <v/>
      </c>
      <c r="N507" s="108" t="str">
        <f>IF(B507="","",IF(G507="DECISÃO D.P","EM DECISÃO",IF(G507="","SEM STATUS",IF(M507="","SEM DATA",IF(M507&lt;0,"VENCIDO",IF(M507&lt;=DiasAlerta,"VENCE EM BREVE","NO PRAZO"))))))</f>
        <v/>
      </c>
      <c r="O507" s="109" t="str">
        <f>IF(D507="","",TODAY()-D507)</f>
        <v/>
      </c>
      <c r="P507" s="102" t="n"/>
    </row>
    <row r="508" ht="18" customHeight="1">
      <c r="A508" s="101" t="n"/>
      <c r="B508" s="102" t="n"/>
      <c r="C508" s="102" t="n"/>
      <c r="D508" s="103" t="n"/>
      <c r="E508" s="102" t="n"/>
      <c r="F508" s="104" t="n"/>
      <c r="G508" s="104" t="n"/>
      <c r="H508" s="102" t="n"/>
      <c r="I508" s="105" t="n"/>
      <c r="J508" s="105" t="n"/>
      <c r="K508" s="103" t="n"/>
      <c r="L508" s="106" t="str">
        <f>IF(OR(D508="",E508=""),"",D508+IF(E508="NOTIFICAÇÃO DE CONSTATAÇÃO",PrazoConst,PrazoEsc))</f>
        <v/>
      </c>
      <c r="M508" s="107" t="str">
        <f>IF(L508="","",L508-TODAY())</f>
        <v/>
      </c>
      <c r="N508" s="108" t="str">
        <f>IF(B508="","",IF(G508="DECISÃO D.P","EM DECISÃO",IF(G508="","SEM STATUS",IF(M508="","SEM DATA",IF(M508&lt;0,"VENCIDO",IF(M508&lt;=DiasAlerta,"VENCE EM BREVE","NO PRAZO"))))))</f>
        <v/>
      </c>
      <c r="O508" s="109" t="str">
        <f>IF(D508="","",TODAY()-D508)</f>
        <v/>
      </c>
      <c r="P508" s="102" t="n"/>
    </row>
    <row r="509" ht="18" customHeight="1">
      <c r="A509" s="101" t="n"/>
      <c r="B509" s="102" t="n"/>
      <c r="C509" s="102" t="n"/>
      <c r="D509" s="103" t="n"/>
      <c r="E509" s="102" t="n"/>
      <c r="F509" s="104" t="n"/>
      <c r="G509" s="104" t="n"/>
      <c r="H509" s="102" t="n"/>
      <c r="I509" s="105" t="n"/>
      <c r="J509" s="105" t="n"/>
      <c r="K509" s="103" t="n"/>
      <c r="L509" s="106" t="str">
        <f>IF(OR(D509="",E509=""),"",D509+IF(E509="NOTIFICAÇÃO DE CONSTATAÇÃO",PrazoConst,PrazoEsc))</f>
        <v/>
      </c>
      <c r="M509" s="107" t="str">
        <f>IF(L509="","",L509-TODAY())</f>
        <v/>
      </c>
      <c r="N509" s="108" t="str">
        <f>IF(B509="","",IF(G509="DECISÃO D.P","EM DECISÃO",IF(G509="","SEM STATUS",IF(M509="","SEM DATA",IF(M509&lt;0,"VENCIDO",IF(M509&lt;=DiasAlerta,"VENCE EM BREVE","NO PRAZO"))))))</f>
        <v/>
      </c>
      <c r="O509" s="109" t="str">
        <f>IF(D509="","",TODAY()-D509)</f>
        <v/>
      </c>
      <c r="P509" s="102" t="n"/>
    </row>
    <row r="510" ht="18" customHeight="1">
      <c r="A510" s="101" t="n"/>
      <c r="B510" s="102" t="n"/>
      <c r="C510" s="102" t="n"/>
      <c r="D510" s="103" t="n"/>
      <c r="E510" s="102" t="n"/>
      <c r="F510" s="104" t="n"/>
      <c r="G510" s="104" t="n"/>
      <c r="H510" s="102" t="n"/>
      <c r="I510" s="105" t="n"/>
      <c r="J510" s="105" t="n"/>
      <c r="K510" s="103" t="n"/>
      <c r="L510" s="106" t="str">
        <f>IF(OR(D510="",E510=""),"",D510+IF(E510="NOTIFICAÇÃO DE CONSTATAÇÃO",PrazoConst,PrazoEsc))</f>
        <v/>
      </c>
      <c r="M510" s="107" t="str">
        <f>IF(L510="","",L510-TODAY())</f>
        <v/>
      </c>
      <c r="N510" s="108" t="str">
        <f>IF(B510="","",IF(G510="DECISÃO D.P","EM DECISÃO",IF(G510="","SEM STATUS",IF(M510="","SEM DATA",IF(M510&lt;0,"VENCIDO",IF(M510&lt;=DiasAlerta,"VENCE EM BREVE","NO PRAZO"))))))</f>
        <v/>
      </c>
      <c r="O510" s="109" t="str">
        <f>IF(D510="","",TODAY()-D510)</f>
        <v/>
      </c>
      <c r="P510" s="102" t="n"/>
    </row>
    <row r="511" ht="18" customHeight="1">
      <c r="A511" s="101" t="n"/>
      <c r="B511" s="102" t="n"/>
      <c r="C511" s="102" t="n"/>
      <c r="D511" s="103" t="n"/>
      <c r="E511" s="102" t="n"/>
      <c r="F511" s="104" t="n"/>
      <c r="G511" s="104" t="n"/>
      <c r="H511" s="102" t="n"/>
      <c r="I511" s="105" t="n"/>
      <c r="J511" s="105" t="n"/>
      <c r="K511" s="103" t="n"/>
      <c r="L511" s="106" t="str">
        <f>IF(OR(D511="",E511=""),"",D511+IF(E511="NOTIFICAÇÃO DE CONSTATAÇÃO",PrazoConst,PrazoEsc))</f>
        <v/>
      </c>
      <c r="M511" s="107" t="str">
        <f>IF(L511="","",L511-TODAY())</f>
        <v/>
      </c>
      <c r="N511" s="108" t="str">
        <f>IF(B511="","",IF(G511="DECISÃO D.P","EM DECISÃO",IF(G511="","SEM STATUS",IF(M511="","SEM DATA",IF(M511&lt;0,"VENCIDO",IF(M511&lt;=DiasAlerta,"VENCE EM BREVE","NO PRAZO"))))))</f>
        <v/>
      </c>
      <c r="O511" s="109" t="str">
        <f>IF(D511="","",TODAY()-D511)</f>
        <v/>
      </c>
      <c r="P511" s="102" t="n"/>
    </row>
    <row r="512" ht="18" customHeight="1">
      <c r="A512" s="101" t="n"/>
      <c r="B512" s="102" t="n"/>
      <c r="C512" s="102" t="n"/>
      <c r="D512" s="103" t="n"/>
      <c r="E512" s="102" t="n"/>
      <c r="F512" s="104" t="n"/>
      <c r="G512" s="104" t="n"/>
      <c r="H512" s="102" t="n"/>
      <c r="I512" s="105" t="n"/>
      <c r="J512" s="105" t="n"/>
      <c r="K512" s="103" t="n"/>
      <c r="L512" s="106" t="str">
        <f>IF(OR(D512="",E512=""),"",D512+IF(E512="NOTIFICAÇÃO DE CONSTATAÇÃO",PrazoConst,PrazoEsc))</f>
        <v/>
      </c>
      <c r="M512" s="107" t="str">
        <f>IF(L512="","",L512-TODAY())</f>
        <v/>
      </c>
      <c r="N512" s="108" t="str">
        <f>IF(B512="","",IF(G512="DECISÃO D.P","EM DECISÃO",IF(G512="","SEM STATUS",IF(M512="","SEM DATA",IF(M512&lt;0,"VENCIDO",IF(M512&lt;=DiasAlerta,"VENCE EM BREVE","NO PRAZO"))))))</f>
        <v/>
      </c>
      <c r="O512" s="109" t="str">
        <f>IF(D512="","",TODAY()-D512)</f>
        <v/>
      </c>
      <c r="P512" s="102" t="n"/>
    </row>
    <row r="513" ht="18" customHeight="1">
      <c r="A513" s="101" t="n"/>
      <c r="B513" s="102" t="n"/>
      <c r="C513" s="102" t="n"/>
      <c r="D513" s="103" t="n"/>
      <c r="E513" s="102" t="n"/>
      <c r="F513" s="104" t="n"/>
      <c r="G513" s="104" t="n"/>
      <c r="H513" s="102" t="n"/>
      <c r="I513" s="105" t="n"/>
      <c r="J513" s="105" t="n"/>
      <c r="K513" s="103" t="n"/>
      <c r="L513" s="106" t="str">
        <f>IF(OR(D513="",E513=""),"",D513+IF(E513="NOTIFICAÇÃO DE CONSTATAÇÃO",PrazoConst,PrazoEsc))</f>
        <v/>
      </c>
      <c r="M513" s="107" t="str">
        <f>IF(L513="","",L513-TODAY())</f>
        <v/>
      </c>
      <c r="N513" s="108" t="str">
        <f>IF(B513="","",IF(G513="DECISÃO D.P","EM DECISÃO",IF(G513="","SEM STATUS",IF(M513="","SEM DATA",IF(M513&lt;0,"VENCIDO",IF(M513&lt;=DiasAlerta,"VENCE EM BREVE","NO PRAZO"))))))</f>
        <v/>
      </c>
      <c r="O513" s="109" t="str">
        <f>IF(D513="","",TODAY()-D513)</f>
        <v/>
      </c>
      <c r="P513" s="102" t="n"/>
    </row>
    <row r="514" ht="18" customHeight="1">
      <c r="A514" s="101" t="n"/>
      <c r="B514" s="102" t="n"/>
      <c r="C514" s="102" t="n"/>
      <c r="D514" s="103" t="n"/>
      <c r="E514" s="102" t="n"/>
      <c r="F514" s="104" t="n"/>
      <c r="G514" s="104" t="n"/>
      <c r="H514" s="102" t="n"/>
      <c r="I514" s="105" t="n"/>
      <c r="J514" s="105" t="n"/>
      <c r="K514" s="103" t="n"/>
      <c r="L514" s="106" t="str">
        <f>IF(OR(D514="",E514=""),"",D514+IF(E514="NOTIFICAÇÃO DE CONSTATAÇÃO",PrazoConst,PrazoEsc))</f>
        <v/>
      </c>
      <c r="M514" s="107" t="str">
        <f>IF(L514="","",L514-TODAY())</f>
        <v/>
      </c>
      <c r="N514" s="108" t="str">
        <f>IF(B514="","",IF(G514="DECISÃO D.P","EM DECISÃO",IF(G514="","SEM STATUS",IF(M514="","SEM DATA",IF(M514&lt;0,"VENCIDO",IF(M514&lt;=DiasAlerta,"VENCE EM BREVE","NO PRAZO"))))))</f>
        <v/>
      </c>
      <c r="O514" s="109" t="str">
        <f>IF(D514="","",TODAY()-D514)</f>
        <v/>
      </c>
      <c r="P514" s="102" t="n"/>
    </row>
    <row r="515" ht="18" customHeight="1">
      <c r="A515" s="101" t="n"/>
      <c r="B515" s="102" t="n"/>
      <c r="C515" s="102" t="n"/>
      <c r="D515" s="103" t="n"/>
      <c r="E515" s="102" t="n"/>
      <c r="F515" s="104" t="n"/>
      <c r="G515" s="104" t="n"/>
      <c r="H515" s="102" t="n"/>
      <c r="I515" s="105" t="n"/>
      <c r="J515" s="105" t="n"/>
      <c r="K515" s="103" t="n"/>
      <c r="L515" s="106" t="str">
        <f>IF(OR(D515="",E515=""),"",D515+IF(E515="NOTIFICAÇÃO DE CONSTATAÇÃO",PrazoConst,PrazoEsc))</f>
        <v/>
      </c>
      <c r="M515" s="107" t="str">
        <f>IF(L515="","",L515-TODAY())</f>
        <v/>
      </c>
      <c r="N515" s="108" t="str">
        <f>IF(B515="","",IF(G515="DECISÃO D.P","EM DECISÃO",IF(G515="","SEM STATUS",IF(M515="","SEM DATA",IF(M515&lt;0,"VENCIDO",IF(M515&lt;=DiasAlerta,"VENCE EM BREVE","NO PRAZO"))))))</f>
        <v/>
      </c>
      <c r="O515" s="109" t="str">
        <f>IF(D515="","",TODAY()-D515)</f>
        <v/>
      </c>
      <c r="P515" s="102" t="n"/>
    </row>
    <row r="516" ht="18" customHeight="1">
      <c r="A516" s="101" t="n"/>
      <c r="B516" s="102" t="n"/>
      <c r="C516" s="102" t="n"/>
      <c r="D516" s="103" t="n"/>
      <c r="E516" s="102" t="n"/>
      <c r="F516" s="104" t="n"/>
      <c r="G516" s="104" t="n"/>
      <c r="H516" s="102" t="n"/>
      <c r="I516" s="105" t="n"/>
      <c r="J516" s="105" t="n"/>
      <c r="K516" s="103" t="n"/>
      <c r="L516" s="106" t="str">
        <f>IF(OR(D516="",E516=""),"",D516+IF(E516="NOTIFICAÇÃO DE CONSTATAÇÃO",PrazoConst,PrazoEsc))</f>
        <v/>
      </c>
      <c r="M516" s="107" t="str">
        <f>IF(L516="","",L516-TODAY())</f>
        <v/>
      </c>
      <c r="N516" s="108" t="str">
        <f>IF(B516="","",IF(G516="DECISÃO D.P","EM DECISÃO",IF(G516="","SEM STATUS",IF(M516="","SEM DATA",IF(M516&lt;0,"VENCIDO",IF(M516&lt;=DiasAlerta,"VENCE EM BREVE","NO PRAZO"))))))</f>
        <v/>
      </c>
      <c r="O516" s="109" t="str">
        <f>IF(D516="","",TODAY()-D516)</f>
        <v/>
      </c>
      <c r="P516" s="102" t="n"/>
    </row>
    <row r="517" ht="18" customHeight="1">
      <c r="A517" s="101" t="n"/>
      <c r="B517" s="102" t="n"/>
      <c r="C517" s="102" t="n"/>
      <c r="D517" s="103" t="n"/>
      <c r="E517" s="102" t="n"/>
      <c r="F517" s="104" t="n"/>
      <c r="G517" s="104" t="n"/>
      <c r="H517" s="102" t="n"/>
      <c r="I517" s="105" t="n"/>
      <c r="J517" s="105" t="n"/>
      <c r="K517" s="103" t="n"/>
      <c r="L517" s="106" t="str">
        <f>IF(OR(D517="",E517=""),"",D517+IF(E517="NOTIFICAÇÃO DE CONSTATAÇÃO",PrazoConst,PrazoEsc))</f>
        <v/>
      </c>
      <c r="M517" s="107" t="str">
        <f>IF(L517="","",L517-TODAY())</f>
        <v/>
      </c>
      <c r="N517" s="108" t="str">
        <f>IF(B517="","",IF(G517="DECISÃO D.P","EM DECISÃO",IF(G517="","SEM STATUS",IF(M517="","SEM DATA",IF(M517&lt;0,"VENCIDO",IF(M517&lt;=DiasAlerta,"VENCE EM BREVE","NO PRAZO"))))))</f>
        <v/>
      </c>
      <c r="O517" s="109" t="str">
        <f>IF(D517="","",TODAY()-D517)</f>
        <v/>
      </c>
      <c r="P517" s="102" t="n"/>
    </row>
    <row r="518" ht="18" customHeight="1">
      <c r="A518" s="101" t="n"/>
      <c r="B518" s="102" t="n"/>
      <c r="C518" s="102" t="n"/>
      <c r="D518" s="103" t="n"/>
      <c r="E518" s="102" t="n"/>
      <c r="F518" s="104" t="n"/>
      <c r="G518" s="104" t="n"/>
      <c r="H518" s="102" t="n"/>
      <c r="I518" s="105" t="n"/>
      <c r="J518" s="105" t="n"/>
      <c r="K518" s="103" t="n"/>
      <c r="L518" s="106" t="str">
        <f>IF(OR(D518="",E518=""),"",D518+IF(E518="NOTIFICAÇÃO DE CONSTATAÇÃO",PrazoConst,PrazoEsc))</f>
        <v/>
      </c>
      <c r="M518" s="107" t="str">
        <f>IF(L518="","",L518-TODAY())</f>
        <v/>
      </c>
      <c r="N518" s="108" t="str">
        <f>IF(B518="","",IF(G518="DECISÃO D.P","EM DECISÃO",IF(G518="","SEM STATUS",IF(M518="","SEM DATA",IF(M518&lt;0,"VENCIDO",IF(M518&lt;=DiasAlerta,"VENCE EM BREVE","NO PRAZO"))))))</f>
        <v/>
      </c>
      <c r="O518" s="109" t="str">
        <f>IF(D518="","",TODAY()-D518)</f>
        <v/>
      </c>
      <c r="P518" s="102" t="n"/>
    </row>
    <row r="519" ht="18" customHeight="1">
      <c r="A519" s="101" t="n"/>
      <c r="B519" s="102" t="n"/>
      <c r="C519" s="102" t="n"/>
      <c r="D519" s="103" t="n"/>
      <c r="E519" s="102" t="n"/>
      <c r="F519" s="104" t="n"/>
      <c r="G519" s="104" t="n"/>
      <c r="H519" s="102" t="n"/>
      <c r="I519" s="105" t="n"/>
      <c r="J519" s="105" t="n"/>
      <c r="K519" s="103" t="n"/>
      <c r="L519" s="106" t="str">
        <f>IF(OR(D519="",E519=""),"",D519+IF(E519="NOTIFICAÇÃO DE CONSTATAÇÃO",PrazoConst,PrazoEsc))</f>
        <v/>
      </c>
      <c r="M519" s="107" t="str">
        <f>IF(L519="","",L519-TODAY())</f>
        <v/>
      </c>
      <c r="N519" s="108" t="str">
        <f>IF(B519="","",IF(G519="DECISÃO D.P","EM DECISÃO",IF(G519="","SEM STATUS",IF(M519="","SEM DATA",IF(M519&lt;0,"VENCIDO",IF(M519&lt;=DiasAlerta,"VENCE EM BREVE","NO PRAZO"))))))</f>
        <v/>
      </c>
      <c r="O519" s="109" t="str">
        <f>IF(D519="","",TODAY()-D519)</f>
        <v/>
      </c>
      <c r="P519" s="102" t="n"/>
    </row>
    <row r="520" ht="18" customHeight="1">
      <c r="A520" s="101" t="n"/>
      <c r="B520" s="102" t="n"/>
      <c r="C520" s="102" t="n"/>
      <c r="D520" s="103" t="n"/>
      <c r="E520" s="102" t="n"/>
      <c r="F520" s="104" t="n"/>
      <c r="G520" s="104" t="n"/>
      <c r="H520" s="102" t="n"/>
      <c r="I520" s="105" t="n"/>
      <c r="J520" s="105" t="n"/>
      <c r="K520" s="103" t="n"/>
      <c r="L520" s="106" t="str">
        <f>IF(OR(D520="",E520=""),"",D520+IF(E520="NOTIFICAÇÃO DE CONSTATAÇÃO",PrazoConst,PrazoEsc))</f>
        <v/>
      </c>
      <c r="M520" s="107" t="str">
        <f>IF(L520="","",L520-TODAY())</f>
        <v/>
      </c>
      <c r="N520" s="108" t="str">
        <f>IF(B520="","",IF(G520="DECISÃO D.P","EM DECISÃO",IF(G520="","SEM STATUS",IF(M520="","SEM DATA",IF(M520&lt;0,"VENCIDO",IF(M520&lt;=DiasAlerta,"VENCE EM BREVE","NO PRAZO"))))))</f>
        <v/>
      </c>
      <c r="O520" s="109" t="str">
        <f>IF(D520="","",TODAY()-D520)</f>
        <v/>
      </c>
      <c r="P520" s="102" t="n"/>
    </row>
    <row r="521" ht="18" customHeight="1">
      <c r="A521" s="101" t="n"/>
      <c r="B521" s="102" t="n"/>
      <c r="C521" s="102" t="n"/>
      <c r="D521" s="103" t="n"/>
      <c r="E521" s="102" t="n"/>
      <c r="F521" s="104" t="n"/>
      <c r="G521" s="104" t="n"/>
      <c r="H521" s="102" t="n"/>
      <c r="I521" s="105" t="n"/>
      <c r="J521" s="105" t="n"/>
      <c r="K521" s="103" t="n"/>
      <c r="L521" s="106" t="str">
        <f>IF(OR(D521="",E521=""),"",D521+IF(E521="NOTIFICAÇÃO DE CONSTATAÇÃO",PrazoConst,PrazoEsc))</f>
        <v/>
      </c>
      <c r="M521" s="107" t="str">
        <f>IF(L521="","",L521-TODAY())</f>
        <v/>
      </c>
      <c r="N521" s="108" t="str">
        <f>IF(B521="","",IF(G521="DECISÃO D.P","EM DECISÃO",IF(G521="","SEM STATUS",IF(M521="","SEM DATA",IF(M521&lt;0,"VENCIDO",IF(M521&lt;=DiasAlerta,"VENCE EM BREVE","NO PRAZO"))))))</f>
        <v/>
      </c>
      <c r="O521" s="109" t="str">
        <f>IF(D521="","",TODAY()-D521)</f>
        <v/>
      </c>
      <c r="P521" s="102" t="n"/>
    </row>
    <row r="522" ht="18" customHeight="1">
      <c r="A522" s="101" t="n"/>
      <c r="B522" s="102" t="n"/>
      <c r="C522" s="102" t="n"/>
      <c r="D522" s="103" t="n"/>
      <c r="E522" s="102" t="n"/>
      <c r="F522" s="104" t="n"/>
      <c r="G522" s="104" t="n"/>
      <c r="H522" s="102" t="n"/>
      <c r="I522" s="105" t="n"/>
      <c r="J522" s="105" t="n"/>
      <c r="K522" s="103" t="n"/>
      <c r="L522" s="106" t="str">
        <f>IF(OR(D522="",E522=""),"",D522+IF(E522="NOTIFICAÇÃO DE CONSTATAÇÃO",PrazoConst,PrazoEsc))</f>
        <v/>
      </c>
      <c r="M522" s="107" t="str">
        <f>IF(L522="","",L522-TODAY())</f>
        <v/>
      </c>
      <c r="N522" s="108" t="str">
        <f>IF(B522="","",IF(G522="DECISÃO D.P","EM DECISÃO",IF(G522="","SEM STATUS",IF(M522="","SEM DATA",IF(M522&lt;0,"VENCIDO",IF(M522&lt;=DiasAlerta,"VENCE EM BREVE","NO PRAZO"))))))</f>
        <v/>
      </c>
      <c r="O522" s="109" t="str">
        <f>IF(D522="","",TODAY()-D522)</f>
        <v/>
      </c>
      <c r="P522" s="102" t="n"/>
    </row>
    <row r="523" ht="18" customHeight="1">
      <c r="A523" s="101" t="n"/>
      <c r="B523" s="102" t="n"/>
      <c r="C523" s="102" t="n"/>
      <c r="D523" s="103" t="n"/>
      <c r="E523" s="102" t="n"/>
      <c r="F523" s="104" t="n"/>
      <c r="G523" s="104" t="n"/>
      <c r="H523" s="102" t="n"/>
      <c r="I523" s="105" t="n"/>
      <c r="J523" s="105" t="n"/>
      <c r="K523" s="103" t="n"/>
      <c r="L523" s="106" t="str">
        <f>IF(OR(D523="",E523=""),"",D523+IF(E523="NOTIFICAÇÃO DE CONSTATAÇÃO",PrazoConst,PrazoEsc))</f>
        <v/>
      </c>
      <c r="M523" s="107" t="str">
        <f>IF(L523="","",L523-TODAY())</f>
        <v/>
      </c>
      <c r="N523" s="108" t="str">
        <f>IF(B523="","",IF(G523="DECISÃO D.P","EM DECISÃO",IF(G523="","SEM STATUS",IF(M523="","SEM DATA",IF(M523&lt;0,"VENCIDO",IF(M523&lt;=DiasAlerta,"VENCE EM BREVE","NO PRAZO"))))))</f>
        <v/>
      </c>
      <c r="O523" s="109" t="str">
        <f>IF(D523="","",TODAY()-D523)</f>
        <v/>
      </c>
      <c r="P523" s="102" t="n"/>
    </row>
    <row r="524" ht="18" customHeight="1">
      <c r="A524" s="101" t="n"/>
      <c r="B524" s="102" t="n"/>
      <c r="C524" s="102" t="n"/>
      <c r="D524" s="103" t="n"/>
      <c r="E524" s="102" t="n"/>
      <c r="F524" s="104" t="n"/>
      <c r="G524" s="104" t="n"/>
      <c r="H524" s="102" t="n"/>
      <c r="I524" s="105" t="n"/>
      <c r="J524" s="105" t="n"/>
      <c r="K524" s="103" t="n"/>
      <c r="L524" s="106" t="str">
        <f>IF(OR(D524="",E524=""),"",D524+IF(E524="NOTIFICAÇÃO DE CONSTATAÇÃO",PrazoConst,PrazoEsc))</f>
        <v/>
      </c>
      <c r="M524" s="107" t="str">
        <f>IF(L524="","",L524-TODAY())</f>
        <v/>
      </c>
      <c r="N524" s="108" t="str">
        <f>IF(B524="","",IF(G524="DECISÃO D.P","EM DECISÃO",IF(G524="","SEM STATUS",IF(M524="","SEM DATA",IF(M524&lt;0,"VENCIDO",IF(M524&lt;=DiasAlerta,"VENCE EM BREVE","NO PRAZO"))))))</f>
        <v/>
      </c>
      <c r="O524" s="109" t="str">
        <f>IF(D524="","",TODAY()-D524)</f>
        <v/>
      </c>
      <c r="P524" s="102" t="n"/>
    </row>
    <row r="525" ht="18" customHeight="1">
      <c r="A525" s="101" t="n"/>
      <c r="B525" s="102" t="n"/>
      <c r="C525" s="102" t="n"/>
      <c r="D525" s="103" t="n"/>
      <c r="E525" s="102" t="n"/>
      <c r="F525" s="104" t="n"/>
      <c r="G525" s="104" t="n"/>
      <c r="H525" s="102" t="n"/>
      <c r="I525" s="105" t="n"/>
      <c r="J525" s="105" t="n"/>
      <c r="K525" s="103" t="n"/>
      <c r="L525" s="106" t="str">
        <f>IF(OR(D525="",E525=""),"",D525+IF(E525="NOTIFICAÇÃO DE CONSTATAÇÃO",PrazoConst,PrazoEsc))</f>
        <v/>
      </c>
      <c r="M525" s="107" t="str">
        <f>IF(L525="","",L525-TODAY())</f>
        <v/>
      </c>
      <c r="N525" s="108" t="str">
        <f>IF(B525="","",IF(G525="DECISÃO D.P","EM DECISÃO",IF(G525="","SEM STATUS",IF(M525="","SEM DATA",IF(M525&lt;0,"VENCIDO",IF(M525&lt;=DiasAlerta,"VENCE EM BREVE","NO PRAZO"))))))</f>
        <v/>
      </c>
      <c r="O525" s="109" t="str">
        <f>IF(D525="","",TODAY()-D525)</f>
        <v/>
      </c>
      <c r="P525" s="102" t="n"/>
    </row>
    <row r="526" ht="18" customHeight="1">
      <c r="A526" s="101" t="n"/>
      <c r="B526" s="102" t="n"/>
      <c r="C526" s="102" t="n"/>
      <c r="D526" s="103" t="n"/>
      <c r="E526" s="102" t="n"/>
      <c r="F526" s="104" t="n"/>
      <c r="G526" s="104" t="n"/>
      <c r="H526" s="102" t="n"/>
      <c r="I526" s="105" t="n"/>
      <c r="J526" s="105" t="n"/>
      <c r="K526" s="103" t="n"/>
      <c r="L526" s="106" t="str">
        <f>IF(OR(D526="",E526=""),"",D526+IF(E526="NOTIFICAÇÃO DE CONSTATAÇÃO",PrazoConst,PrazoEsc))</f>
        <v/>
      </c>
      <c r="M526" s="107" t="str">
        <f>IF(L526="","",L526-TODAY())</f>
        <v/>
      </c>
      <c r="N526" s="108" t="str">
        <f>IF(B526="","",IF(G526="DECISÃO D.P","EM DECISÃO",IF(G526="","SEM STATUS",IF(M526="","SEM DATA",IF(M526&lt;0,"VENCIDO",IF(M526&lt;=DiasAlerta,"VENCE EM BREVE","NO PRAZO"))))))</f>
        <v/>
      </c>
      <c r="O526" s="109" t="str">
        <f>IF(D526="","",TODAY()-D526)</f>
        <v/>
      </c>
      <c r="P526" s="102" t="n"/>
    </row>
    <row r="527" ht="18" customHeight="1">
      <c r="A527" s="101" t="n"/>
      <c r="B527" s="102" t="n"/>
      <c r="C527" s="102" t="n"/>
      <c r="D527" s="103" t="n"/>
      <c r="E527" s="102" t="n"/>
      <c r="F527" s="104" t="n"/>
      <c r="G527" s="104" t="n"/>
      <c r="H527" s="102" t="n"/>
      <c r="I527" s="105" t="n"/>
      <c r="J527" s="105" t="n"/>
      <c r="K527" s="103" t="n"/>
      <c r="L527" s="106" t="str">
        <f>IF(OR(D527="",E527=""),"",D527+IF(E527="NOTIFICAÇÃO DE CONSTATAÇÃO",PrazoConst,PrazoEsc))</f>
        <v/>
      </c>
      <c r="M527" s="107" t="str">
        <f>IF(L527="","",L527-TODAY())</f>
        <v/>
      </c>
      <c r="N527" s="108" t="str">
        <f>IF(B527="","",IF(G527="DECISÃO D.P","EM DECISÃO",IF(G527="","SEM STATUS",IF(M527="","SEM DATA",IF(M527&lt;0,"VENCIDO",IF(M527&lt;=DiasAlerta,"VENCE EM BREVE","NO PRAZO"))))))</f>
        <v/>
      </c>
      <c r="O527" s="109" t="str">
        <f>IF(D527="","",TODAY()-D527)</f>
        <v/>
      </c>
      <c r="P527" s="102" t="n"/>
    </row>
    <row r="528" ht="18" customHeight="1">
      <c r="A528" s="101" t="n"/>
      <c r="B528" s="102" t="n"/>
      <c r="C528" s="102" t="n"/>
      <c r="D528" s="103" t="n"/>
      <c r="E528" s="102" t="n"/>
      <c r="F528" s="104" t="n"/>
      <c r="G528" s="104" t="n"/>
      <c r="H528" s="102" t="n"/>
      <c r="I528" s="105" t="n"/>
      <c r="J528" s="105" t="n"/>
      <c r="K528" s="103" t="n"/>
      <c r="L528" s="106" t="str">
        <f>IF(OR(D528="",E528=""),"",D528+IF(E528="NOTIFICAÇÃO DE CONSTATAÇÃO",PrazoConst,PrazoEsc))</f>
        <v/>
      </c>
      <c r="M528" s="107" t="str">
        <f>IF(L528="","",L528-TODAY())</f>
        <v/>
      </c>
      <c r="N528" s="108" t="str">
        <f>IF(B528="","",IF(G528="DECISÃO D.P","EM DECISÃO",IF(G528="","SEM STATUS",IF(M528="","SEM DATA",IF(M528&lt;0,"VENCIDO",IF(M528&lt;=DiasAlerta,"VENCE EM BREVE","NO PRAZO"))))))</f>
        <v/>
      </c>
      <c r="O528" s="109" t="str">
        <f>IF(D528="","",TODAY()-D528)</f>
        <v/>
      </c>
      <c r="P528" s="102" t="n"/>
    </row>
    <row r="529" ht="18" customHeight="1">
      <c r="A529" s="101" t="n"/>
      <c r="B529" s="102" t="n"/>
      <c r="C529" s="102" t="n"/>
      <c r="D529" s="103" t="n"/>
      <c r="E529" s="102" t="n"/>
      <c r="F529" s="104" t="n"/>
      <c r="G529" s="104" t="n"/>
      <c r="H529" s="102" t="n"/>
      <c r="I529" s="105" t="n"/>
      <c r="J529" s="105" t="n"/>
      <c r="K529" s="103" t="n"/>
      <c r="L529" s="106" t="str">
        <f>IF(OR(D529="",E529=""),"",D529+IF(E529="NOTIFICAÇÃO DE CONSTATAÇÃO",PrazoConst,PrazoEsc))</f>
        <v/>
      </c>
      <c r="M529" s="107" t="str">
        <f>IF(L529="","",L529-TODAY())</f>
        <v/>
      </c>
      <c r="N529" s="108" t="str">
        <f>IF(B529="","",IF(G529="DECISÃO D.P","EM DECISÃO",IF(G529="","SEM STATUS",IF(M529="","SEM DATA",IF(M529&lt;0,"VENCIDO",IF(M529&lt;=DiasAlerta,"VENCE EM BREVE","NO PRAZO"))))))</f>
        <v/>
      </c>
      <c r="O529" s="109" t="str">
        <f>IF(D529="","",TODAY()-D529)</f>
        <v/>
      </c>
      <c r="P529" s="102" t="n"/>
    </row>
    <row r="530" ht="18" customHeight="1">
      <c r="A530" s="101" t="n"/>
      <c r="B530" s="102" t="n"/>
      <c r="C530" s="102" t="n"/>
      <c r="D530" s="103" t="n"/>
      <c r="E530" s="102" t="n"/>
      <c r="F530" s="104" t="n"/>
      <c r="G530" s="104" t="n"/>
      <c r="H530" s="102" t="n"/>
      <c r="I530" s="105" t="n"/>
      <c r="J530" s="105" t="n"/>
      <c r="K530" s="103" t="n"/>
      <c r="L530" s="106" t="str">
        <f>IF(OR(D530="",E530=""),"",D530+IF(E530="NOTIFICAÇÃO DE CONSTATAÇÃO",PrazoConst,PrazoEsc))</f>
        <v/>
      </c>
      <c r="M530" s="107" t="str">
        <f>IF(L530="","",L530-TODAY())</f>
        <v/>
      </c>
      <c r="N530" s="108" t="str">
        <f>IF(B530="","",IF(G530="DECISÃO D.P","EM DECISÃO",IF(G530="","SEM STATUS",IF(M530="","SEM DATA",IF(M530&lt;0,"VENCIDO",IF(M530&lt;=DiasAlerta,"VENCE EM BREVE","NO PRAZO"))))))</f>
        <v/>
      </c>
      <c r="O530" s="109" t="str">
        <f>IF(D530="","",TODAY()-D530)</f>
        <v/>
      </c>
      <c r="P530" s="102" t="n"/>
    </row>
    <row r="531" ht="18" customHeight="1">
      <c r="A531" s="101" t="n"/>
      <c r="B531" s="102" t="n"/>
      <c r="C531" s="102" t="n"/>
      <c r="D531" s="103" t="n"/>
      <c r="E531" s="102" t="n"/>
      <c r="F531" s="104" t="n"/>
      <c r="G531" s="104" t="n"/>
      <c r="H531" s="102" t="n"/>
      <c r="I531" s="105" t="n"/>
      <c r="J531" s="105" t="n"/>
      <c r="K531" s="103" t="n"/>
      <c r="L531" s="106" t="str">
        <f>IF(OR(D531="",E531=""),"",D531+IF(E531="NOTIFICAÇÃO DE CONSTATAÇÃO",PrazoConst,PrazoEsc))</f>
        <v/>
      </c>
      <c r="M531" s="107" t="str">
        <f>IF(L531="","",L531-TODAY())</f>
        <v/>
      </c>
      <c r="N531" s="108" t="str">
        <f>IF(B531="","",IF(G531="DECISÃO D.P","EM DECISÃO",IF(G531="","SEM STATUS",IF(M531="","SEM DATA",IF(M531&lt;0,"VENCIDO",IF(M531&lt;=DiasAlerta,"VENCE EM BREVE","NO PRAZO"))))))</f>
        <v/>
      </c>
      <c r="O531" s="109" t="str">
        <f>IF(D531="","",TODAY()-D531)</f>
        <v/>
      </c>
      <c r="P531" s="102" t="n"/>
    </row>
    <row r="532" ht="18" customHeight="1">
      <c r="A532" s="101" t="n"/>
      <c r="B532" s="102" t="n"/>
      <c r="C532" s="102" t="n"/>
      <c r="D532" s="103" t="n"/>
      <c r="E532" s="102" t="n"/>
      <c r="F532" s="104" t="n"/>
      <c r="G532" s="104" t="n"/>
      <c r="H532" s="102" t="n"/>
      <c r="I532" s="105" t="n"/>
      <c r="J532" s="105" t="n"/>
      <c r="K532" s="103" t="n"/>
      <c r="L532" s="106" t="str">
        <f>IF(OR(D532="",E532=""),"",D532+IF(E532="NOTIFICAÇÃO DE CONSTATAÇÃO",PrazoConst,PrazoEsc))</f>
        <v/>
      </c>
      <c r="M532" s="107" t="str">
        <f>IF(L532="","",L532-TODAY())</f>
        <v/>
      </c>
      <c r="N532" s="108" t="str">
        <f>IF(B532="","",IF(G532="DECISÃO D.P","EM DECISÃO",IF(G532="","SEM STATUS",IF(M532="","SEM DATA",IF(M532&lt;0,"VENCIDO",IF(M532&lt;=DiasAlerta,"VENCE EM BREVE","NO PRAZO"))))))</f>
        <v/>
      </c>
      <c r="O532" s="109" t="str">
        <f>IF(D532="","",TODAY()-D532)</f>
        <v/>
      </c>
      <c r="P532" s="102" t="n"/>
    </row>
    <row r="533" ht="18" customHeight="1">
      <c r="A533" s="101" t="n"/>
      <c r="B533" s="102" t="n"/>
      <c r="C533" s="102" t="n"/>
      <c r="D533" s="103" t="n"/>
      <c r="E533" s="102" t="n"/>
      <c r="F533" s="104" t="n"/>
      <c r="G533" s="104" t="n"/>
      <c r="H533" s="102" t="n"/>
      <c r="I533" s="105" t="n"/>
      <c r="J533" s="105" t="n"/>
      <c r="K533" s="103" t="n"/>
      <c r="L533" s="106" t="str">
        <f>IF(OR(D533="",E533=""),"",D533+IF(E533="NOTIFICAÇÃO DE CONSTATAÇÃO",PrazoConst,PrazoEsc))</f>
        <v/>
      </c>
      <c r="M533" s="107" t="str">
        <f>IF(L533="","",L533-TODAY())</f>
        <v/>
      </c>
      <c r="N533" s="108" t="str">
        <f>IF(B533="","",IF(G533="DECISÃO D.P","EM DECISÃO",IF(G533="","SEM STATUS",IF(M533="","SEM DATA",IF(M533&lt;0,"VENCIDO",IF(M533&lt;=DiasAlerta,"VENCE EM BREVE","NO PRAZO"))))))</f>
        <v/>
      </c>
      <c r="O533" s="109" t="str">
        <f>IF(D533="","",TODAY()-D533)</f>
        <v/>
      </c>
      <c r="P533" s="102" t="n"/>
    </row>
    <row r="534" ht="18" customHeight="1">
      <c r="A534" s="101" t="n"/>
      <c r="B534" s="102" t="n"/>
      <c r="C534" s="102" t="n"/>
      <c r="D534" s="103" t="n"/>
      <c r="E534" s="102" t="n"/>
      <c r="F534" s="104" t="n"/>
      <c r="G534" s="104" t="n"/>
      <c r="H534" s="102" t="n"/>
      <c r="I534" s="105" t="n"/>
      <c r="J534" s="105" t="n"/>
      <c r="K534" s="103" t="n"/>
      <c r="L534" s="106" t="str">
        <f>IF(OR(D534="",E534=""),"",D534+IF(E534="NOTIFICAÇÃO DE CONSTATAÇÃO",PrazoConst,PrazoEsc))</f>
        <v/>
      </c>
      <c r="M534" s="107" t="str">
        <f>IF(L534="","",L534-TODAY())</f>
        <v/>
      </c>
      <c r="N534" s="108" t="str">
        <f>IF(B534="","",IF(G534="DECISÃO D.P","EM DECISÃO",IF(G534="","SEM STATUS",IF(M534="","SEM DATA",IF(M534&lt;0,"VENCIDO",IF(M534&lt;=DiasAlerta,"VENCE EM BREVE","NO PRAZO"))))))</f>
        <v/>
      </c>
      <c r="O534" s="109" t="str">
        <f>IF(D534="","",TODAY()-D534)</f>
        <v/>
      </c>
      <c r="P534" s="102" t="n"/>
    </row>
    <row r="535" ht="18" customHeight="1">
      <c r="A535" s="101" t="n"/>
      <c r="B535" s="102" t="n"/>
      <c r="C535" s="102" t="n"/>
      <c r="D535" s="103" t="n"/>
      <c r="E535" s="102" t="n"/>
      <c r="F535" s="104" t="n"/>
      <c r="G535" s="104" t="n"/>
      <c r="H535" s="102" t="n"/>
      <c r="I535" s="105" t="n"/>
      <c r="J535" s="105" t="n"/>
      <c r="K535" s="103" t="n"/>
      <c r="L535" s="106" t="str">
        <f>IF(OR(D535="",E535=""),"",D535+IF(E535="NOTIFICAÇÃO DE CONSTATAÇÃO",PrazoConst,PrazoEsc))</f>
        <v/>
      </c>
      <c r="M535" s="107" t="str">
        <f>IF(L535="","",L535-TODAY())</f>
        <v/>
      </c>
      <c r="N535" s="108" t="str">
        <f>IF(B535="","",IF(G535="DECISÃO D.P","EM DECISÃO",IF(G535="","SEM STATUS",IF(M535="","SEM DATA",IF(M535&lt;0,"VENCIDO",IF(M535&lt;=DiasAlerta,"VENCE EM BREVE","NO PRAZO"))))))</f>
        <v/>
      </c>
      <c r="O535" s="109" t="str">
        <f>IF(D535="","",TODAY()-D535)</f>
        <v/>
      </c>
      <c r="P535" s="102" t="n"/>
    </row>
    <row r="536" ht="18" customHeight="1">
      <c r="A536" s="101" t="n"/>
      <c r="B536" s="102" t="n"/>
      <c r="C536" s="102" t="n"/>
      <c r="D536" s="103" t="n"/>
      <c r="E536" s="102" t="n"/>
      <c r="F536" s="104" t="n"/>
      <c r="G536" s="104" t="n"/>
      <c r="H536" s="102" t="n"/>
      <c r="I536" s="105" t="n"/>
      <c r="J536" s="105" t="n"/>
      <c r="K536" s="103" t="n"/>
      <c r="L536" s="106" t="str">
        <f>IF(OR(D536="",E536=""),"",D536+IF(E536="NOTIFICAÇÃO DE CONSTATAÇÃO",PrazoConst,PrazoEsc))</f>
        <v/>
      </c>
      <c r="M536" s="107" t="str">
        <f>IF(L536="","",L536-TODAY())</f>
        <v/>
      </c>
      <c r="N536" s="108" t="str">
        <f>IF(B536="","",IF(G536="DECISÃO D.P","EM DECISÃO",IF(G536="","SEM STATUS",IF(M536="","SEM DATA",IF(M536&lt;0,"VENCIDO",IF(M536&lt;=DiasAlerta,"VENCE EM BREVE","NO PRAZO"))))))</f>
        <v/>
      </c>
      <c r="O536" s="109" t="str">
        <f>IF(D536="","",TODAY()-D536)</f>
        <v/>
      </c>
      <c r="P536" s="102" t="n"/>
    </row>
    <row r="537" ht="18" customHeight="1">
      <c r="A537" s="101" t="n"/>
      <c r="B537" s="102" t="n"/>
      <c r="C537" s="102" t="n"/>
      <c r="D537" s="103" t="n"/>
      <c r="E537" s="102" t="n"/>
      <c r="F537" s="104" t="n"/>
      <c r="G537" s="104" t="n"/>
      <c r="H537" s="102" t="n"/>
      <c r="I537" s="105" t="n"/>
      <c r="J537" s="105" t="n"/>
      <c r="K537" s="103" t="n"/>
      <c r="L537" s="106" t="str">
        <f>IF(OR(D537="",E537=""),"",D537+IF(E537="NOTIFICAÇÃO DE CONSTATAÇÃO",PrazoConst,PrazoEsc))</f>
        <v/>
      </c>
      <c r="M537" s="107" t="str">
        <f>IF(L537="","",L537-TODAY())</f>
        <v/>
      </c>
      <c r="N537" s="108" t="str">
        <f>IF(B537="","",IF(G537="DECISÃO D.P","EM DECISÃO",IF(G537="","SEM STATUS",IF(M537="","SEM DATA",IF(M537&lt;0,"VENCIDO",IF(M537&lt;=DiasAlerta,"VENCE EM BREVE","NO PRAZO"))))))</f>
        <v/>
      </c>
      <c r="O537" s="109" t="str">
        <f>IF(D537="","",TODAY()-D537)</f>
        <v/>
      </c>
      <c r="P537" s="102" t="n"/>
    </row>
    <row r="538" ht="18" customHeight="1">
      <c r="A538" s="101" t="n"/>
      <c r="B538" s="102" t="n"/>
      <c r="C538" s="102" t="n"/>
      <c r="D538" s="103" t="n"/>
      <c r="E538" s="102" t="n"/>
      <c r="F538" s="104" t="n"/>
      <c r="G538" s="104" t="n"/>
      <c r="H538" s="102" t="n"/>
      <c r="I538" s="105" t="n"/>
      <c r="J538" s="105" t="n"/>
      <c r="K538" s="103" t="n"/>
      <c r="L538" s="106" t="str">
        <f>IF(OR(D538="",E538=""),"",D538+IF(E538="NOTIFICAÇÃO DE CONSTATAÇÃO",PrazoConst,PrazoEsc))</f>
        <v/>
      </c>
      <c r="M538" s="107" t="str">
        <f>IF(L538="","",L538-TODAY())</f>
        <v/>
      </c>
      <c r="N538" s="108" t="str">
        <f>IF(B538="","",IF(G538="DECISÃO D.P","EM DECISÃO",IF(G538="","SEM STATUS",IF(M538="","SEM DATA",IF(M538&lt;0,"VENCIDO",IF(M538&lt;=DiasAlerta,"VENCE EM BREVE","NO PRAZO"))))))</f>
        <v/>
      </c>
      <c r="O538" s="109" t="str">
        <f>IF(D538="","",TODAY()-D538)</f>
        <v/>
      </c>
      <c r="P538" s="102" t="n"/>
    </row>
    <row r="539" ht="18" customHeight="1">
      <c r="A539" s="101" t="n"/>
      <c r="B539" s="102" t="n"/>
      <c r="C539" s="102" t="n"/>
      <c r="D539" s="103" t="n"/>
      <c r="E539" s="102" t="n"/>
      <c r="F539" s="104" t="n"/>
      <c r="G539" s="104" t="n"/>
      <c r="H539" s="102" t="n"/>
      <c r="I539" s="105" t="n"/>
      <c r="J539" s="105" t="n"/>
      <c r="K539" s="103" t="n"/>
      <c r="L539" s="106" t="str">
        <f>IF(OR(D539="",E539=""),"",D539+IF(E539="NOTIFICAÇÃO DE CONSTATAÇÃO",PrazoConst,PrazoEsc))</f>
        <v/>
      </c>
      <c r="M539" s="107" t="str">
        <f>IF(L539="","",L539-TODAY())</f>
        <v/>
      </c>
      <c r="N539" s="108" t="str">
        <f>IF(B539="","",IF(G539="DECISÃO D.P","EM DECISÃO",IF(G539="","SEM STATUS",IF(M539="","SEM DATA",IF(M539&lt;0,"VENCIDO",IF(M539&lt;=DiasAlerta,"VENCE EM BREVE","NO PRAZO"))))))</f>
        <v/>
      </c>
      <c r="O539" s="109" t="str">
        <f>IF(D539="","",TODAY()-D539)</f>
        <v/>
      </c>
      <c r="P539" s="102" t="n"/>
    </row>
    <row r="540" ht="18" customHeight="1">
      <c r="A540" s="101" t="n"/>
      <c r="B540" s="102" t="n"/>
      <c r="C540" s="102" t="n"/>
      <c r="D540" s="103" t="n"/>
      <c r="E540" s="102" t="n"/>
      <c r="F540" s="104" t="n"/>
      <c r="G540" s="104" t="n"/>
      <c r="H540" s="102" t="n"/>
      <c r="I540" s="105" t="n"/>
      <c r="J540" s="105" t="n"/>
      <c r="K540" s="103" t="n"/>
      <c r="L540" s="106" t="str">
        <f>IF(OR(D540="",E540=""),"",D540+IF(E540="NOTIFICAÇÃO DE CONSTATAÇÃO",PrazoConst,PrazoEsc))</f>
        <v/>
      </c>
      <c r="M540" s="107" t="str">
        <f>IF(L540="","",L540-TODAY())</f>
        <v/>
      </c>
      <c r="N540" s="108" t="str">
        <f>IF(B540="","",IF(G540="DECISÃO D.P","EM DECISÃO",IF(G540="","SEM STATUS",IF(M540="","SEM DATA",IF(M540&lt;0,"VENCIDO",IF(M540&lt;=DiasAlerta,"VENCE EM BREVE","NO PRAZO"))))))</f>
        <v/>
      </c>
      <c r="O540" s="109" t="str">
        <f>IF(D540="","",TODAY()-D540)</f>
        <v/>
      </c>
      <c r="P540" s="102" t="n"/>
    </row>
    <row r="541" ht="18" customHeight="1">
      <c r="A541" s="101" t="n"/>
      <c r="B541" s="102" t="n"/>
      <c r="C541" s="102" t="n"/>
      <c r="D541" s="103" t="n"/>
      <c r="E541" s="102" t="n"/>
      <c r="F541" s="104" t="n"/>
      <c r="G541" s="104" t="n"/>
      <c r="H541" s="102" t="n"/>
      <c r="I541" s="105" t="n"/>
      <c r="J541" s="105" t="n"/>
      <c r="K541" s="103" t="n"/>
      <c r="L541" s="106" t="str">
        <f>IF(OR(D541="",E541=""),"",D541+IF(E541="NOTIFICAÇÃO DE CONSTATAÇÃO",PrazoConst,PrazoEsc))</f>
        <v/>
      </c>
      <c r="M541" s="107" t="str">
        <f>IF(L541="","",L541-TODAY())</f>
        <v/>
      </c>
      <c r="N541" s="108" t="str">
        <f>IF(B541="","",IF(G541="DECISÃO D.P","EM DECISÃO",IF(G541="","SEM STATUS",IF(M541="","SEM DATA",IF(M541&lt;0,"VENCIDO",IF(M541&lt;=DiasAlerta,"VENCE EM BREVE","NO PRAZO"))))))</f>
        <v/>
      </c>
      <c r="O541" s="109" t="str">
        <f>IF(D541="","",TODAY()-D541)</f>
        <v/>
      </c>
      <c r="P541" s="102" t="n"/>
    </row>
    <row r="542" ht="18" customHeight="1">
      <c r="A542" s="101" t="n"/>
      <c r="B542" s="102" t="n"/>
      <c r="C542" s="102" t="n"/>
      <c r="D542" s="103" t="n"/>
      <c r="E542" s="102" t="n"/>
      <c r="F542" s="104" t="n"/>
      <c r="G542" s="104" t="n"/>
      <c r="H542" s="102" t="n"/>
      <c r="I542" s="105" t="n"/>
      <c r="J542" s="105" t="n"/>
      <c r="K542" s="103" t="n"/>
      <c r="L542" s="106" t="str">
        <f>IF(OR(D542="",E542=""),"",D542+IF(E542="NOTIFICAÇÃO DE CONSTATAÇÃO",PrazoConst,PrazoEsc))</f>
        <v/>
      </c>
      <c r="M542" s="107" t="str">
        <f>IF(L542="","",L542-TODAY())</f>
        <v/>
      </c>
      <c r="N542" s="108" t="str">
        <f>IF(B542="","",IF(G542="DECISÃO D.P","EM DECISÃO",IF(G542="","SEM STATUS",IF(M542="","SEM DATA",IF(M542&lt;0,"VENCIDO",IF(M542&lt;=DiasAlerta,"VENCE EM BREVE","NO PRAZO"))))))</f>
        <v/>
      </c>
      <c r="O542" s="109" t="str">
        <f>IF(D542="","",TODAY()-D542)</f>
        <v/>
      </c>
      <c r="P542" s="102" t="n"/>
    </row>
    <row r="543" ht="18" customHeight="1">
      <c r="A543" s="101" t="n"/>
      <c r="B543" s="102" t="n"/>
      <c r="C543" s="102" t="n"/>
      <c r="D543" s="103" t="n"/>
      <c r="E543" s="102" t="n"/>
      <c r="F543" s="104" t="n"/>
      <c r="G543" s="104" t="n"/>
      <c r="H543" s="102" t="n"/>
      <c r="I543" s="105" t="n"/>
      <c r="J543" s="105" t="n"/>
      <c r="K543" s="103" t="n"/>
      <c r="L543" s="106" t="str">
        <f>IF(OR(D543="",E543=""),"",D543+IF(E543="NOTIFICAÇÃO DE CONSTATAÇÃO",PrazoConst,PrazoEsc))</f>
        <v/>
      </c>
      <c r="M543" s="107" t="str">
        <f>IF(L543="","",L543-TODAY())</f>
        <v/>
      </c>
      <c r="N543" s="108" t="str">
        <f>IF(B543="","",IF(G543="DECISÃO D.P","EM DECISÃO",IF(G543="","SEM STATUS",IF(M543="","SEM DATA",IF(M543&lt;0,"VENCIDO",IF(M543&lt;=DiasAlerta,"VENCE EM BREVE","NO PRAZO"))))))</f>
        <v/>
      </c>
      <c r="O543" s="109" t="str">
        <f>IF(D543="","",TODAY()-D543)</f>
        <v/>
      </c>
      <c r="P543" s="102" t="n"/>
    </row>
    <row r="544" ht="18" customHeight="1">
      <c r="A544" s="101" t="n"/>
      <c r="B544" s="102" t="n"/>
      <c r="C544" s="102" t="n"/>
      <c r="D544" s="103" t="n"/>
      <c r="E544" s="102" t="n"/>
      <c r="F544" s="104" t="n"/>
      <c r="G544" s="104" t="n"/>
      <c r="H544" s="102" t="n"/>
      <c r="I544" s="105" t="n"/>
      <c r="J544" s="105" t="n"/>
      <c r="K544" s="103" t="n"/>
      <c r="L544" s="106" t="str">
        <f>IF(OR(D544="",E544=""),"",D544+IF(E544="NOTIFICAÇÃO DE CONSTATAÇÃO",PrazoConst,PrazoEsc))</f>
        <v/>
      </c>
      <c r="M544" s="107" t="str">
        <f>IF(L544="","",L544-TODAY())</f>
        <v/>
      </c>
      <c r="N544" s="108" t="str">
        <f>IF(B544="","",IF(G544="DECISÃO D.P","EM DECISÃO",IF(G544="","SEM STATUS",IF(M544="","SEM DATA",IF(M544&lt;0,"VENCIDO",IF(M544&lt;=DiasAlerta,"VENCE EM BREVE","NO PRAZO"))))))</f>
        <v/>
      </c>
      <c r="O544" s="109" t="str">
        <f>IF(D544="","",TODAY()-D544)</f>
        <v/>
      </c>
      <c r="P544" s="102" t="n"/>
    </row>
    <row r="545" ht="18" customHeight="1">
      <c r="A545" s="101" t="n"/>
      <c r="B545" s="102" t="n"/>
      <c r="C545" s="102" t="n"/>
      <c r="D545" s="103" t="n"/>
      <c r="E545" s="102" t="n"/>
      <c r="F545" s="104" t="n"/>
      <c r="G545" s="104" t="n"/>
      <c r="H545" s="102" t="n"/>
      <c r="I545" s="105" t="n"/>
      <c r="J545" s="105" t="n"/>
      <c r="K545" s="103" t="n"/>
      <c r="L545" s="106" t="str">
        <f>IF(OR(D545="",E545=""),"",D545+IF(E545="NOTIFICAÇÃO DE CONSTATAÇÃO",PrazoConst,PrazoEsc))</f>
        <v/>
      </c>
      <c r="M545" s="107" t="str">
        <f>IF(L545="","",L545-TODAY())</f>
        <v/>
      </c>
      <c r="N545" s="108" t="str">
        <f>IF(B545="","",IF(G545="DECISÃO D.P","EM DECISÃO",IF(G545="","SEM STATUS",IF(M545="","SEM DATA",IF(M545&lt;0,"VENCIDO",IF(M545&lt;=DiasAlerta,"VENCE EM BREVE","NO PRAZO"))))))</f>
        <v/>
      </c>
      <c r="O545" s="109" t="str">
        <f>IF(D545="","",TODAY()-D545)</f>
        <v/>
      </c>
      <c r="P545" s="102" t="n"/>
    </row>
    <row r="546" ht="18" customHeight="1">
      <c r="A546" s="101" t="n"/>
      <c r="B546" s="102" t="n"/>
      <c r="C546" s="102" t="n"/>
      <c r="D546" s="103" t="n"/>
      <c r="E546" s="102" t="n"/>
      <c r="F546" s="104" t="n"/>
      <c r="G546" s="104" t="n"/>
      <c r="H546" s="102" t="n"/>
      <c r="I546" s="105" t="n"/>
      <c r="J546" s="105" t="n"/>
      <c r="K546" s="103" t="n"/>
      <c r="L546" s="106" t="str">
        <f>IF(OR(D546="",E546=""),"",D546+IF(E546="NOTIFICAÇÃO DE CONSTATAÇÃO",PrazoConst,PrazoEsc))</f>
        <v/>
      </c>
      <c r="M546" s="107" t="str">
        <f>IF(L546="","",L546-TODAY())</f>
        <v/>
      </c>
      <c r="N546" s="108" t="str">
        <f>IF(B546="","",IF(G546="DECISÃO D.P","EM DECISÃO",IF(G546="","SEM STATUS",IF(M546="","SEM DATA",IF(M546&lt;0,"VENCIDO",IF(M546&lt;=DiasAlerta,"VENCE EM BREVE","NO PRAZO"))))))</f>
        <v/>
      </c>
      <c r="O546" s="109" t="str">
        <f>IF(D546="","",TODAY()-D546)</f>
        <v/>
      </c>
      <c r="P546" s="102" t="n"/>
    </row>
    <row r="547" ht="18" customHeight="1">
      <c r="A547" s="101" t="n"/>
      <c r="B547" s="102" t="n"/>
      <c r="C547" s="102" t="n"/>
      <c r="D547" s="103" t="n"/>
      <c r="E547" s="102" t="n"/>
      <c r="F547" s="104" t="n"/>
      <c r="G547" s="104" t="n"/>
      <c r="H547" s="102" t="n"/>
      <c r="I547" s="105" t="n"/>
      <c r="J547" s="105" t="n"/>
      <c r="K547" s="103" t="n"/>
      <c r="L547" s="106" t="str">
        <f>IF(OR(D547="",E547=""),"",D547+IF(E547="NOTIFICAÇÃO DE CONSTATAÇÃO",PrazoConst,PrazoEsc))</f>
        <v/>
      </c>
      <c r="M547" s="107" t="str">
        <f>IF(L547="","",L547-TODAY())</f>
        <v/>
      </c>
      <c r="N547" s="108" t="str">
        <f>IF(B547="","",IF(G547="DECISÃO D.P","EM DECISÃO",IF(G547="","SEM STATUS",IF(M547="","SEM DATA",IF(M547&lt;0,"VENCIDO",IF(M547&lt;=DiasAlerta,"VENCE EM BREVE","NO PRAZO"))))))</f>
        <v/>
      </c>
      <c r="O547" s="109" t="str">
        <f>IF(D547="","",TODAY()-D547)</f>
        <v/>
      </c>
      <c r="P547" s="102" t="n"/>
    </row>
    <row r="548" ht="18" customHeight="1">
      <c r="A548" s="101" t="n"/>
      <c r="B548" s="102" t="n"/>
      <c r="C548" s="102" t="n"/>
      <c r="D548" s="103" t="n"/>
      <c r="E548" s="102" t="n"/>
      <c r="F548" s="104" t="n"/>
      <c r="G548" s="104" t="n"/>
      <c r="H548" s="102" t="n"/>
      <c r="I548" s="105" t="n"/>
      <c r="J548" s="105" t="n"/>
      <c r="K548" s="103" t="n"/>
      <c r="L548" s="106" t="str">
        <f>IF(OR(D548="",E548=""),"",D548+IF(E548="NOTIFICAÇÃO DE CONSTATAÇÃO",PrazoConst,PrazoEsc))</f>
        <v/>
      </c>
      <c r="M548" s="107" t="str">
        <f>IF(L548="","",L548-TODAY())</f>
        <v/>
      </c>
      <c r="N548" s="108" t="str">
        <f>IF(B548="","",IF(G548="DECISÃO D.P","EM DECISÃO",IF(G548="","SEM STATUS",IF(M548="","SEM DATA",IF(M548&lt;0,"VENCIDO",IF(M548&lt;=DiasAlerta,"VENCE EM BREVE","NO PRAZO"))))))</f>
        <v/>
      </c>
      <c r="O548" s="109" t="str">
        <f>IF(D548="","",TODAY()-D548)</f>
        <v/>
      </c>
      <c r="P548" s="102" t="n"/>
    </row>
    <row r="549" ht="18" customHeight="1">
      <c r="A549" s="101" t="n"/>
      <c r="B549" s="102" t="n"/>
      <c r="C549" s="102" t="n"/>
      <c r="D549" s="103" t="n"/>
      <c r="E549" s="102" t="n"/>
      <c r="F549" s="104" t="n"/>
      <c r="G549" s="104" t="n"/>
      <c r="H549" s="102" t="n"/>
      <c r="I549" s="105" t="n"/>
      <c r="J549" s="105" t="n"/>
      <c r="K549" s="103" t="n"/>
      <c r="L549" s="106" t="str">
        <f>IF(OR(D549="",E549=""),"",D549+IF(E549="NOTIFICAÇÃO DE CONSTATAÇÃO",PrazoConst,PrazoEsc))</f>
        <v/>
      </c>
      <c r="M549" s="107" t="str">
        <f>IF(L549="","",L549-TODAY())</f>
        <v/>
      </c>
      <c r="N549" s="108" t="str">
        <f>IF(B549="","",IF(G549="DECISÃO D.P","EM DECISÃO",IF(G549="","SEM STATUS",IF(M549="","SEM DATA",IF(M549&lt;0,"VENCIDO",IF(M549&lt;=DiasAlerta,"VENCE EM BREVE","NO PRAZO"))))))</f>
        <v/>
      </c>
      <c r="O549" s="109" t="str">
        <f>IF(D549="","",TODAY()-D549)</f>
        <v/>
      </c>
      <c r="P549" s="102" t="n"/>
    </row>
    <row r="550" ht="18" customHeight="1">
      <c r="A550" s="101" t="n"/>
      <c r="B550" s="102" t="n"/>
      <c r="C550" s="102" t="n"/>
      <c r="D550" s="103" t="n"/>
      <c r="E550" s="102" t="n"/>
      <c r="F550" s="104" t="n"/>
      <c r="G550" s="104" t="n"/>
      <c r="H550" s="102" t="n"/>
      <c r="I550" s="105" t="n"/>
      <c r="J550" s="105" t="n"/>
      <c r="K550" s="103" t="n"/>
      <c r="L550" s="106" t="str">
        <f>IF(OR(D550="",E550=""),"",D550+IF(E550="NOTIFICAÇÃO DE CONSTATAÇÃO",PrazoConst,PrazoEsc))</f>
        <v/>
      </c>
      <c r="M550" s="107" t="str">
        <f>IF(L550="","",L550-TODAY())</f>
        <v/>
      </c>
      <c r="N550" s="108" t="str">
        <f>IF(B550="","",IF(G550="DECISÃO D.P","EM DECISÃO",IF(G550="","SEM STATUS",IF(M550="","SEM DATA",IF(M550&lt;0,"VENCIDO",IF(M550&lt;=DiasAlerta,"VENCE EM BREVE","NO PRAZO"))))))</f>
        <v/>
      </c>
      <c r="O550" s="109" t="str">
        <f>IF(D550="","",TODAY()-D550)</f>
        <v/>
      </c>
      <c r="P550" s="102" t="n"/>
    </row>
    <row r="551" ht="18" customHeight="1">
      <c r="A551" s="101" t="n"/>
      <c r="B551" s="102" t="n"/>
      <c r="C551" s="102" t="n"/>
      <c r="D551" s="103" t="n"/>
      <c r="E551" s="102" t="n"/>
      <c r="F551" s="104" t="n"/>
      <c r="G551" s="104" t="n"/>
      <c r="H551" s="102" t="n"/>
      <c r="I551" s="105" t="n"/>
      <c r="J551" s="105" t="n"/>
      <c r="K551" s="103" t="n"/>
      <c r="L551" s="106" t="str">
        <f>IF(OR(D551="",E551=""),"",D551+IF(E551="NOTIFICAÇÃO DE CONSTATAÇÃO",PrazoConst,PrazoEsc))</f>
        <v/>
      </c>
      <c r="M551" s="107" t="str">
        <f>IF(L551="","",L551-TODAY())</f>
        <v/>
      </c>
      <c r="N551" s="108" t="str">
        <f>IF(B551="","",IF(G551="DECISÃO D.P","EM DECISÃO",IF(G551="","SEM STATUS",IF(M551="","SEM DATA",IF(M551&lt;0,"VENCIDO",IF(M551&lt;=DiasAlerta,"VENCE EM BREVE","NO PRAZO"))))))</f>
        <v/>
      </c>
      <c r="O551" s="109" t="str">
        <f>IF(D551="","",TODAY()-D551)</f>
        <v/>
      </c>
      <c r="P551" s="102" t="n"/>
    </row>
    <row r="552" ht="18" customHeight="1">
      <c r="A552" s="101" t="n"/>
      <c r="B552" s="102" t="n"/>
      <c r="C552" s="102" t="n"/>
      <c r="D552" s="103" t="n"/>
      <c r="E552" s="102" t="n"/>
      <c r="F552" s="104" t="n"/>
      <c r="G552" s="104" t="n"/>
      <c r="H552" s="102" t="n"/>
      <c r="I552" s="105" t="n"/>
      <c r="J552" s="105" t="n"/>
      <c r="K552" s="103" t="n"/>
      <c r="L552" s="106" t="str">
        <f>IF(OR(D552="",E552=""),"",D552+IF(E552="NOTIFICAÇÃO DE CONSTATAÇÃO",PrazoConst,PrazoEsc))</f>
        <v/>
      </c>
      <c r="M552" s="107" t="str">
        <f>IF(L552="","",L552-TODAY())</f>
        <v/>
      </c>
      <c r="N552" s="108" t="str">
        <f>IF(B552="","",IF(G552="DECISÃO D.P","EM DECISÃO",IF(G552="","SEM STATUS",IF(M552="","SEM DATA",IF(M552&lt;0,"VENCIDO",IF(M552&lt;=DiasAlerta,"VENCE EM BREVE","NO PRAZO"))))))</f>
        <v/>
      </c>
      <c r="O552" s="109" t="str">
        <f>IF(D552="","",TODAY()-D552)</f>
        <v/>
      </c>
      <c r="P552" s="102" t="n"/>
    </row>
    <row r="553" ht="18" customHeight="1">
      <c r="A553" s="101" t="n"/>
      <c r="B553" s="102" t="n"/>
      <c r="C553" s="102" t="n"/>
      <c r="D553" s="103" t="n"/>
      <c r="E553" s="102" t="n"/>
      <c r="F553" s="104" t="n"/>
      <c r="G553" s="104" t="n"/>
      <c r="H553" s="102" t="n"/>
      <c r="I553" s="105" t="n"/>
      <c r="J553" s="105" t="n"/>
      <c r="K553" s="103" t="n"/>
      <c r="L553" s="106" t="str">
        <f>IF(OR(D553="",E553=""),"",D553+IF(E553="NOTIFICAÇÃO DE CONSTATAÇÃO",PrazoConst,PrazoEsc))</f>
        <v/>
      </c>
      <c r="M553" s="107" t="str">
        <f>IF(L553="","",L553-TODAY())</f>
        <v/>
      </c>
      <c r="N553" s="108" t="str">
        <f>IF(B553="","",IF(G553="DECISÃO D.P","EM DECISÃO",IF(G553="","SEM STATUS",IF(M553="","SEM DATA",IF(M553&lt;0,"VENCIDO",IF(M553&lt;=DiasAlerta,"VENCE EM BREVE","NO PRAZO"))))))</f>
        <v/>
      </c>
      <c r="O553" s="109" t="str">
        <f>IF(D553="","",TODAY()-D553)</f>
        <v/>
      </c>
      <c r="P553" s="102" t="n"/>
    </row>
    <row r="554" ht="18" customHeight="1">
      <c r="A554" s="101" t="n"/>
      <c r="B554" s="102" t="n"/>
      <c r="C554" s="102" t="n"/>
      <c r="D554" s="103" t="n"/>
      <c r="E554" s="102" t="n"/>
      <c r="F554" s="104" t="n"/>
      <c r="G554" s="104" t="n"/>
      <c r="H554" s="102" t="n"/>
      <c r="I554" s="105" t="n"/>
      <c r="J554" s="105" t="n"/>
      <c r="K554" s="103" t="n"/>
      <c r="L554" s="106" t="str">
        <f>IF(OR(D554="",E554=""),"",D554+IF(E554="NOTIFICAÇÃO DE CONSTATAÇÃO",PrazoConst,PrazoEsc))</f>
        <v/>
      </c>
      <c r="M554" s="107" t="str">
        <f>IF(L554="","",L554-TODAY())</f>
        <v/>
      </c>
      <c r="N554" s="108" t="str">
        <f>IF(B554="","",IF(G554="DECISÃO D.P","EM DECISÃO",IF(G554="","SEM STATUS",IF(M554="","SEM DATA",IF(M554&lt;0,"VENCIDO",IF(M554&lt;=DiasAlerta,"VENCE EM BREVE","NO PRAZO"))))))</f>
        <v/>
      </c>
      <c r="O554" s="109" t="str">
        <f>IF(D554="","",TODAY()-D554)</f>
        <v/>
      </c>
      <c r="P554" s="102" t="n"/>
    </row>
    <row r="555" ht="18" customHeight="1">
      <c r="A555" s="101" t="n"/>
      <c r="B555" s="102" t="n"/>
      <c r="C555" s="102" t="n"/>
      <c r="D555" s="103" t="n"/>
      <c r="E555" s="102" t="n"/>
      <c r="F555" s="104" t="n"/>
      <c r="G555" s="104" t="n"/>
      <c r="H555" s="102" t="n"/>
      <c r="I555" s="105" t="n"/>
      <c r="J555" s="105" t="n"/>
      <c r="K555" s="103" t="n"/>
      <c r="L555" s="106" t="str">
        <f>IF(OR(D555="",E555=""),"",D555+IF(E555="NOTIFICAÇÃO DE CONSTATAÇÃO",PrazoConst,PrazoEsc))</f>
        <v/>
      </c>
      <c r="M555" s="107" t="str">
        <f>IF(L555="","",L555-TODAY())</f>
        <v/>
      </c>
      <c r="N555" s="108" t="str">
        <f>IF(B555="","",IF(G555="DECISÃO D.P","EM DECISÃO",IF(G555="","SEM STATUS",IF(M555="","SEM DATA",IF(M555&lt;0,"VENCIDO",IF(M555&lt;=DiasAlerta,"VENCE EM BREVE","NO PRAZO"))))))</f>
        <v/>
      </c>
      <c r="O555" s="109" t="str">
        <f>IF(D555="","",TODAY()-D555)</f>
        <v/>
      </c>
      <c r="P555" s="102" t="n"/>
    </row>
    <row r="556" ht="18" customHeight="1">
      <c r="A556" s="101" t="n"/>
      <c r="B556" s="102" t="n"/>
      <c r="C556" s="102" t="n"/>
      <c r="D556" s="103" t="n"/>
      <c r="E556" s="102" t="n"/>
      <c r="F556" s="104" t="n"/>
      <c r="G556" s="104" t="n"/>
      <c r="H556" s="102" t="n"/>
      <c r="I556" s="105" t="n"/>
      <c r="J556" s="105" t="n"/>
      <c r="K556" s="103" t="n"/>
      <c r="L556" s="106" t="str">
        <f>IF(OR(D556="",E556=""),"",D556+IF(E556="NOTIFICAÇÃO DE CONSTATAÇÃO",PrazoConst,PrazoEsc))</f>
        <v/>
      </c>
      <c r="M556" s="107" t="str">
        <f>IF(L556="","",L556-TODAY())</f>
        <v/>
      </c>
      <c r="N556" s="108" t="str">
        <f>IF(B556="","",IF(G556="DECISÃO D.P","EM DECISÃO",IF(G556="","SEM STATUS",IF(M556="","SEM DATA",IF(M556&lt;0,"VENCIDO",IF(M556&lt;=DiasAlerta,"VENCE EM BREVE","NO PRAZO"))))))</f>
        <v/>
      </c>
      <c r="O556" s="109" t="str">
        <f>IF(D556="","",TODAY()-D556)</f>
        <v/>
      </c>
      <c r="P556" s="102" t="n"/>
    </row>
    <row r="557" ht="18" customHeight="1">
      <c r="A557" s="101" t="n"/>
      <c r="B557" s="102" t="n"/>
      <c r="C557" s="102" t="n"/>
      <c r="D557" s="103" t="n"/>
      <c r="E557" s="102" t="n"/>
      <c r="F557" s="104" t="n"/>
      <c r="G557" s="104" t="n"/>
      <c r="H557" s="102" t="n"/>
      <c r="I557" s="105" t="n"/>
      <c r="J557" s="105" t="n"/>
      <c r="K557" s="103" t="n"/>
      <c r="L557" s="106" t="str">
        <f>IF(OR(D557="",E557=""),"",D557+IF(E557="NOTIFICAÇÃO DE CONSTATAÇÃO",PrazoConst,PrazoEsc))</f>
        <v/>
      </c>
      <c r="M557" s="107" t="str">
        <f>IF(L557="","",L557-TODAY())</f>
        <v/>
      </c>
      <c r="N557" s="108" t="str">
        <f>IF(B557="","",IF(G557="DECISÃO D.P","EM DECISÃO",IF(G557="","SEM STATUS",IF(M557="","SEM DATA",IF(M557&lt;0,"VENCIDO",IF(M557&lt;=DiasAlerta,"VENCE EM BREVE","NO PRAZO"))))))</f>
        <v/>
      </c>
      <c r="O557" s="109" t="str">
        <f>IF(D557="","",TODAY()-D557)</f>
        <v/>
      </c>
      <c r="P557" s="102" t="n"/>
    </row>
    <row r="558" ht="18" customHeight="1">
      <c r="A558" s="101" t="n"/>
      <c r="B558" s="102" t="n"/>
      <c r="C558" s="102" t="n"/>
      <c r="D558" s="103" t="n"/>
      <c r="E558" s="102" t="n"/>
      <c r="F558" s="104" t="n"/>
      <c r="G558" s="104" t="n"/>
      <c r="H558" s="102" t="n"/>
      <c r="I558" s="105" t="n"/>
      <c r="J558" s="105" t="n"/>
      <c r="K558" s="103" t="n"/>
      <c r="L558" s="106" t="str">
        <f>IF(OR(D558="",E558=""),"",D558+IF(E558="NOTIFICAÇÃO DE CONSTATAÇÃO",PrazoConst,PrazoEsc))</f>
        <v/>
      </c>
      <c r="M558" s="107" t="str">
        <f>IF(L558="","",L558-TODAY())</f>
        <v/>
      </c>
      <c r="N558" s="108" t="str">
        <f>IF(B558="","",IF(G558="DECISÃO D.P","EM DECISÃO",IF(G558="","SEM STATUS",IF(M558="","SEM DATA",IF(M558&lt;0,"VENCIDO",IF(M558&lt;=DiasAlerta,"VENCE EM BREVE","NO PRAZO"))))))</f>
        <v/>
      </c>
      <c r="O558" s="109" t="str">
        <f>IF(D558="","",TODAY()-D558)</f>
        <v/>
      </c>
      <c r="P558" s="102" t="n"/>
    </row>
    <row r="559" ht="18" customHeight="1">
      <c r="A559" s="101" t="n"/>
      <c r="B559" s="102" t="n"/>
      <c r="C559" s="102" t="n"/>
      <c r="D559" s="103" t="n"/>
      <c r="E559" s="102" t="n"/>
      <c r="F559" s="104" t="n"/>
      <c r="G559" s="104" t="n"/>
      <c r="H559" s="102" t="n"/>
      <c r="I559" s="105" t="n"/>
      <c r="J559" s="105" t="n"/>
      <c r="K559" s="103" t="n"/>
      <c r="L559" s="106" t="str">
        <f>IF(OR(D559="",E559=""),"",D559+IF(E559="NOTIFICAÇÃO DE CONSTATAÇÃO",PrazoConst,PrazoEsc))</f>
        <v/>
      </c>
      <c r="M559" s="107" t="str">
        <f>IF(L559="","",L559-TODAY())</f>
        <v/>
      </c>
      <c r="N559" s="108" t="str">
        <f>IF(B559="","",IF(G559="DECISÃO D.P","EM DECISÃO",IF(G559="","SEM STATUS",IF(M559="","SEM DATA",IF(M559&lt;0,"VENCIDO",IF(M559&lt;=DiasAlerta,"VENCE EM BREVE","NO PRAZO"))))))</f>
        <v/>
      </c>
      <c r="O559" s="109" t="str">
        <f>IF(D559="","",TODAY()-D559)</f>
        <v/>
      </c>
      <c r="P559" s="102" t="n"/>
    </row>
    <row r="560" ht="18" customHeight="1">
      <c r="A560" s="101" t="n"/>
      <c r="B560" s="102" t="n"/>
      <c r="C560" s="102" t="n"/>
      <c r="D560" s="103" t="n"/>
      <c r="E560" s="102" t="n"/>
      <c r="F560" s="104" t="n"/>
      <c r="G560" s="104" t="n"/>
      <c r="H560" s="102" t="n"/>
      <c r="I560" s="105" t="n"/>
      <c r="J560" s="105" t="n"/>
      <c r="K560" s="103" t="n"/>
      <c r="L560" s="106" t="str">
        <f>IF(OR(D560="",E560=""),"",D560+IF(E560="NOTIFICAÇÃO DE CONSTATAÇÃO",PrazoConst,PrazoEsc))</f>
        <v/>
      </c>
      <c r="M560" s="107" t="str">
        <f>IF(L560="","",L560-TODAY())</f>
        <v/>
      </c>
      <c r="N560" s="108" t="str">
        <f>IF(B560="","",IF(G560="DECISÃO D.P","EM DECISÃO",IF(G560="","SEM STATUS",IF(M560="","SEM DATA",IF(M560&lt;0,"VENCIDO",IF(M560&lt;=DiasAlerta,"VENCE EM BREVE","NO PRAZO"))))))</f>
        <v/>
      </c>
      <c r="O560" s="109" t="str">
        <f>IF(D560="","",TODAY()-D560)</f>
        <v/>
      </c>
      <c r="P560" s="102" t="n"/>
    </row>
    <row r="561" ht="18" customHeight="1">
      <c r="A561" s="101" t="n"/>
      <c r="B561" s="102" t="n"/>
      <c r="C561" s="102" t="n"/>
      <c r="D561" s="103" t="n"/>
      <c r="E561" s="102" t="n"/>
      <c r="F561" s="104" t="n"/>
      <c r="G561" s="104" t="n"/>
      <c r="H561" s="102" t="n"/>
      <c r="I561" s="105" t="n"/>
      <c r="J561" s="105" t="n"/>
      <c r="K561" s="103" t="n"/>
      <c r="L561" s="106" t="str">
        <f>IF(OR(D561="",E561=""),"",D561+IF(E561="NOTIFICAÇÃO DE CONSTATAÇÃO",PrazoConst,PrazoEsc))</f>
        <v/>
      </c>
      <c r="M561" s="107" t="str">
        <f>IF(L561="","",L561-TODAY())</f>
        <v/>
      </c>
      <c r="N561" s="108" t="str">
        <f>IF(B561="","",IF(G561="DECISÃO D.P","EM DECISÃO",IF(G561="","SEM STATUS",IF(M561="","SEM DATA",IF(M561&lt;0,"VENCIDO",IF(M561&lt;=DiasAlerta,"VENCE EM BREVE","NO PRAZO"))))))</f>
        <v/>
      </c>
      <c r="O561" s="109" t="str">
        <f>IF(D561="","",TODAY()-D561)</f>
        <v/>
      </c>
      <c r="P561" s="102" t="n"/>
    </row>
    <row r="562" ht="18" customHeight="1">
      <c r="A562" s="101" t="n"/>
      <c r="B562" s="102" t="n"/>
      <c r="C562" s="102" t="n"/>
      <c r="D562" s="103" t="n"/>
      <c r="E562" s="102" t="n"/>
      <c r="F562" s="104" t="n"/>
      <c r="G562" s="104" t="n"/>
      <c r="H562" s="102" t="n"/>
      <c r="I562" s="105" t="n"/>
      <c r="J562" s="105" t="n"/>
      <c r="K562" s="103" t="n"/>
      <c r="L562" s="106" t="str">
        <f>IF(OR(D562="",E562=""),"",D562+IF(E562="NOTIFICAÇÃO DE CONSTATAÇÃO",PrazoConst,PrazoEsc))</f>
        <v/>
      </c>
      <c r="M562" s="107" t="str">
        <f>IF(L562="","",L562-TODAY())</f>
        <v/>
      </c>
      <c r="N562" s="108" t="str">
        <f>IF(B562="","",IF(G562="DECISÃO D.P","EM DECISÃO",IF(G562="","SEM STATUS",IF(M562="","SEM DATA",IF(M562&lt;0,"VENCIDO",IF(M562&lt;=DiasAlerta,"VENCE EM BREVE","NO PRAZO"))))))</f>
        <v/>
      </c>
      <c r="O562" s="109" t="str">
        <f>IF(D562="","",TODAY()-D562)</f>
        <v/>
      </c>
      <c r="P562" s="102" t="n"/>
    </row>
    <row r="563" ht="18" customHeight="1">
      <c r="A563" s="101" t="n"/>
      <c r="B563" s="102" t="n"/>
      <c r="C563" s="102" t="n"/>
      <c r="D563" s="103" t="n"/>
      <c r="E563" s="102" t="n"/>
      <c r="F563" s="104" t="n"/>
      <c r="G563" s="104" t="n"/>
      <c r="H563" s="102" t="n"/>
      <c r="I563" s="105" t="n"/>
      <c r="J563" s="105" t="n"/>
      <c r="K563" s="103" t="n"/>
      <c r="L563" s="106" t="str">
        <f>IF(OR(D563="",E563=""),"",D563+IF(E563="NOTIFICAÇÃO DE CONSTATAÇÃO",PrazoConst,PrazoEsc))</f>
        <v/>
      </c>
      <c r="M563" s="107" t="str">
        <f>IF(L563="","",L563-TODAY())</f>
        <v/>
      </c>
      <c r="N563" s="108" t="str">
        <f>IF(B563="","",IF(G563="DECISÃO D.P","EM DECISÃO",IF(G563="","SEM STATUS",IF(M563="","SEM DATA",IF(M563&lt;0,"VENCIDO",IF(M563&lt;=DiasAlerta,"VENCE EM BREVE","NO PRAZO"))))))</f>
        <v/>
      </c>
      <c r="O563" s="109" t="str">
        <f>IF(D563="","",TODAY()-D563)</f>
        <v/>
      </c>
      <c r="P563" s="102" t="n"/>
    </row>
    <row r="564" ht="18" customHeight="1">
      <c r="A564" s="101" t="n"/>
      <c r="B564" s="102" t="n"/>
      <c r="C564" s="102" t="n"/>
      <c r="D564" s="103" t="n"/>
      <c r="E564" s="102" t="n"/>
      <c r="F564" s="104" t="n"/>
      <c r="G564" s="104" t="n"/>
      <c r="H564" s="102" t="n"/>
      <c r="I564" s="105" t="n"/>
      <c r="J564" s="105" t="n"/>
      <c r="K564" s="103" t="n"/>
      <c r="L564" s="106" t="str">
        <f>IF(OR(D564="",E564=""),"",D564+IF(E564="NOTIFICAÇÃO DE CONSTATAÇÃO",PrazoConst,PrazoEsc))</f>
        <v/>
      </c>
      <c r="M564" s="107" t="str">
        <f>IF(L564="","",L564-TODAY())</f>
        <v/>
      </c>
      <c r="N564" s="108" t="str">
        <f>IF(B564="","",IF(G564="DECISÃO D.P","EM DECISÃO",IF(G564="","SEM STATUS",IF(M564="","SEM DATA",IF(M564&lt;0,"VENCIDO",IF(M564&lt;=DiasAlerta,"VENCE EM BREVE","NO PRAZO"))))))</f>
        <v/>
      </c>
      <c r="O564" s="109" t="str">
        <f>IF(D564="","",TODAY()-D564)</f>
        <v/>
      </c>
      <c r="P564" s="102" t="n"/>
    </row>
    <row r="565" ht="18" customHeight="1">
      <c r="A565" s="101" t="n"/>
      <c r="B565" s="102" t="n"/>
      <c r="C565" s="102" t="n"/>
      <c r="D565" s="103" t="n"/>
      <c r="E565" s="102" t="n"/>
      <c r="F565" s="104" t="n"/>
      <c r="G565" s="104" t="n"/>
      <c r="H565" s="102" t="n"/>
      <c r="I565" s="105" t="n"/>
      <c r="J565" s="105" t="n"/>
      <c r="K565" s="103" t="n"/>
      <c r="L565" s="106" t="str">
        <f>IF(OR(D565="",E565=""),"",D565+IF(E565="NOTIFICAÇÃO DE CONSTATAÇÃO",PrazoConst,PrazoEsc))</f>
        <v/>
      </c>
      <c r="M565" s="107" t="str">
        <f>IF(L565="","",L565-TODAY())</f>
        <v/>
      </c>
      <c r="N565" s="108" t="str">
        <f>IF(B565="","",IF(G565="DECISÃO D.P","EM DECISÃO",IF(G565="","SEM STATUS",IF(M565="","SEM DATA",IF(M565&lt;0,"VENCIDO",IF(M565&lt;=DiasAlerta,"VENCE EM BREVE","NO PRAZO"))))))</f>
        <v/>
      </c>
      <c r="O565" s="109" t="str">
        <f>IF(D565="","",TODAY()-D565)</f>
        <v/>
      </c>
      <c r="P565" s="102" t="n"/>
    </row>
    <row r="566" ht="18" customHeight="1">
      <c r="A566" s="101" t="n"/>
      <c r="B566" s="102" t="n"/>
      <c r="C566" s="102" t="n"/>
      <c r="D566" s="103" t="n"/>
      <c r="E566" s="102" t="n"/>
      <c r="F566" s="104" t="n"/>
      <c r="G566" s="104" t="n"/>
      <c r="H566" s="102" t="n"/>
      <c r="I566" s="105" t="n"/>
      <c r="J566" s="105" t="n"/>
      <c r="K566" s="103" t="n"/>
      <c r="L566" s="106" t="str">
        <f>IF(OR(D566="",E566=""),"",D566+IF(E566="NOTIFICAÇÃO DE CONSTATAÇÃO",PrazoConst,PrazoEsc))</f>
        <v/>
      </c>
      <c r="M566" s="107" t="str">
        <f>IF(L566="","",L566-TODAY())</f>
        <v/>
      </c>
      <c r="N566" s="108" t="str">
        <f>IF(B566="","",IF(G566="DECISÃO D.P","EM DECISÃO",IF(G566="","SEM STATUS",IF(M566="","SEM DATA",IF(M566&lt;0,"VENCIDO",IF(M566&lt;=DiasAlerta,"VENCE EM BREVE","NO PRAZO"))))))</f>
        <v/>
      </c>
      <c r="O566" s="109" t="str">
        <f>IF(D566="","",TODAY()-D566)</f>
        <v/>
      </c>
      <c r="P566" s="102" t="n"/>
    </row>
    <row r="567" ht="18" customHeight="1">
      <c r="A567" s="101" t="n"/>
      <c r="B567" s="102" t="n"/>
      <c r="C567" s="102" t="n"/>
      <c r="D567" s="103" t="n"/>
      <c r="E567" s="102" t="n"/>
      <c r="F567" s="104" t="n"/>
      <c r="G567" s="104" t="n"/>
      <c r="H567" s="102" t="n"/>
      <c r="I567" s="105" t="n"/>
      <c r="J567" s="105" t="n"/>
      <c r="K567" s="103" t="n"/>
      <c r="L567" s="106" t="str">
        <f>IF(OR(D567="",E567=""),"",D567+IF(E567="NOTIFICAÇÃO DE CONSTATAÇÃO",PrazoConst,PrazoEsc))</f>
        <v/>
      </c>
      <c r="M567" s="107" t="str">
        <f>IF(L567="","",L567-TODAY())</f>
        <v/>
      </c>
      <c r="N567" s="108" t="str">
        <f>IF(B567="","",IF(G567="DECISÃO D.P","EM DECISÃO",IF(G567="","SEM STATUS",IF(M567="","SEM DATA",IF(M567&lt;0,"VENCIDO",IF(M567&lt;=DiasAlerta,"VENCE EM BREVE","NO PRAZO"))))))</f>
        <v/>
      </c>
      <c r="O567" s="109" t="str">
        <f>IF(D567="","",TODAY()-D567)</f>
        <v/>
      </c>
      <c r="P567" s="102" t="n"/>
    </row>
    <row r="568" ht="18" customHeight="1">
      <c r="A568" s="101" t="n"/>
      <c r="B568" s="102" t="n"/>
      <c r="C568" s="102" t="n"/>
      <c r="D568" s="103" t="n"/>
      <c r="E568" s="102" t="n"/>
      <c r="F568" s="104" t="n"/>
      <c r="G568" s="104" t="n"/>
      <c r="H568" s="102" t="n"/>
      <c r="I568" s="105" t="n"/>
      <c r="J568" s="105" t="n"/>
      <c r="K568" s="103" t="n"/>
      <c r="L568" s="106" t="str">
        <f>IF(OR(D568="",E568=""),"",D568+IF(E568="NOTIFICAÇÃO DE CONSTATAÇÃO",PrazoConst,PrazoEsc))</f>
        <v/>
      </c>
      <c r="M568" s="107" t="str">
        <f>IF(L568="","",L568-TODAY())</f>
        <v/>
      </c>
      <c r="N568" s="108" t="str">
        <f>IF(B568="","",IF(G568="DECISÃO D.P","EM DECISÃO",IF(G568="","SEM STATUS",IF(M568="","SEM DATA",IF(M568&lt;0,"VENCIDO",IF(M568&lt;=DiasAlerta,"VENCE EM BREVE","NO PRAZO"))))))</f>
        <v/>
      </c>
      <c r="O568" s="109" t="str">
        <f>IF(D568="","",TODAY()-D568)</f>
        <v/>
      </c>
      <c r="P568" s="102" t="n"/>
    </row>
    <row r="569" ht="18" customHeight="1">
      <c r="A569" s="101" t="n"/>
      <c r="B569" s="102" t="n"/>
      <c r="C569" s="102" t="n"/>
      <c r="D569" s="103" t="n"/>
      <c r="E569" s="102" t="n"/>
      <c r="F569" s="104" t="n"/>
      <c r="G569" s="104" t="n"/>
      <c r="H569" s="102" t="n"/>
      <c r="I569" s="105" t="n"/>
      <c r="J569" s="105" t="n"/>
      <c r="K569" s="103" t="n"/>
      <c r="L569" s="106" t="str">
        <f>IF(OR(D569="",E569=""),"",D569+IF(E569="NOTIFICAÇÃO DE CONSTATAÇÃO",PrazoConst,PrazoEsc))</f>
        <v/>
      </c>
      <c r="M569" s="107" t="str">
        <f>IF(L569="","",L569-TODAY())</f>
        <v/>
      </c>
      <c r="N569" s="108" t="str">
        <f>IF(B569="","",IF(G569="DECISÃO D.P","EM DECISÃO",IF(G569="","SEM STATUS",IF(M569="","SEM DATA",IF(M569&lt;0,"VENCIDO",IF(M569&lt;=DiasAlerta,"VENCE EM BREVE","NO PRAZO"))))))</f>
        <v/>
      </c>
      <c r="O569" s="109" t="str">
        <f>IF(D569="","",TODAY()-D569)</f>
        <v/>
      </c>
      <c r="P569" s="102" t="n"/>
    </row>
    <row r="570" ht="18" customHeight="1">
      <c r="A570" s="101" t="n"/>
      <c r="B570" s="102" t="n"/>
      <c r="C570" s="102" t="n"/>
      <c r="D570" s="103" t="n"/>
      <c r="E570" s="102" t="n"/>
      <c r="F570" s="104" t="n"/>
      <c r="G570" s="104" t="n"/>
      <c r="H570" s="102" t="n"/>
      <c r="I570" s="105" t="n"/>
      <c r="J570" s="105" t="n"/>
      <c r="K570" s="103" t="n"/>
      <c r="L570" s="106" t="str">
        <f>IF(OR(D570="",E570=""),"",D570+IF(E570="NOTIFICAÇÃO DE CONSTATAÇÃO",PrazoConst,PrazoEsc))</f>
        <v/>
      </c>
      <c r="M570" s="107" t="str">
        <f>IF(L570="","",L570-TODAY())</f>
        <v/>
      </c>
      <c r="N570" s="108" t="str">
        <f>IF(B570="","",IF(G570="DECISÃO D.P","EM DECISÃO",IF(G570="","SEM STATUS",IF(M570="","SEM DATA",IF(M570&lt;0,"VENCIDO",IF(M570&lt;=DiasAlerta,"VENCE EM BREVE","NO PRAZO"))))))</f>
        <v/>
      </c>
      <c r="O570" s="109" t="str">
        <f>IF(D570="","",TODAY()-D570)</f>
        <v/>
      </c>
      <c r="P570" s="102" t="n"/>
    </row>
    <row r="571" ht="18" customHeight="1">
      <c r="A571" s="101" t="n"/>
      <c r="B571" s="102" t="n"/>
      <c r="C571" s="102" t="n"/>
      <c r="D571" s="103" t="n"/>
      <c r="E571" s="102" t="n"/>
      <c r="F571" s="104" t="n"/>
      <c r="G571" s="104" t="n"/>
      <c r="H571" s="102" t="n"/>
      <c r="I571" s="105" t="n"/>
      <c r="J571" s="105" t="n"/>
      <c r="K571" s="103" t="n"/>
      <c r="L571" s="106" t="str">
        <f>IF(OR(D571="",E571=""),"",D571+IF(E571="NOTIFICAÇÃO DE CONSTATAÇÃO",PrazoConst,PrazoEsc))</f>
        <v/>
      </c>
      <c r="M571" s="107" t="str">
        <f>IF(L571="","",L571-TODAY())</f>
        <v/>
      </c>
      <c r="N571" s="108" t="str">
        <f>IF(B571="","",IF(G571="DECISÃO D.P","EM DECISÃO",IF(G571="","SEM STATUS",IF(M571="","SEM DATA",IF(M571&lt;0,"VENCIDO",IF(M571&lt;=DiasAlerta,"VENCE EM BREVE","NO PRAZO"))))))</f>
        <v/>
      </c>
      <c r="O571" s="109" t="str">
        <f>IF(D571="","",TODAY()-D571)</f>
        <v/>
      </c>
      <c r="P571" s="102" t="n"/>
    </row>
    <row r="572" ht="18" customHeight="1">
      <c r="A572" s="101" t="n"/>
      <c r="B572" s="102" t="n"/>
      <c r="C572" s="102" t="n"/>
      <c r="D572" s="103" t="n"/>
      <c r="E572" s="102" t="n"/>
      <c r="F572" s="104" t="n"/>
      <c r="G572" s="104" t="n"/>
      <c r="H572" s="102" t="n"/>
      <c r="I572" s="105" t="n"/>
      <c r="J572" s="105" t="n"/>
      <c r="K572" s="103" t="n"/>
      <c r="L572" s="106" t="str">
        <f>IF(OR(D572="",E572=""),"",D572+IF(E572="NOTIFICAÇÃO DE CONSTATAÇÃO",PrazoConst,PrazoEsc))</f>
        <v/>
      </c>
      <c r="M572" s="107" t="str">
        <f>IF(L572="","",L572-TODAY())</f>
        <v/>
      </c>
      <c r="N572" s="108" t="str">
        <f>IF(B572="","",IF(G572="DECISÃO D.P","EM DECISÃO",IF(G572="","SEM STATUS",IF(M572="","SEM DATA",IF(M572&lt;0,"VENCIDO",IF(M572&lt;=DiasAlerta,"VENCE EM BREVE","NO PRAZO"))))))</f>
        <v/>
      </c>
      <c r="O572" s="109" t="str">
        <f>IF(D572="","",TODAY()-D572)</f>
        <v/>
      </c>
      <c r="P572" s="102" t="n"/>
    </row>
    <row r="573" ht="18" customHeight="1">
      <c r="A573" s="101" t="n"/>
      <c r="B573" s="102" t="n"/>
      <c r="C573" s="102" t="n"/>
      <c r="D573" s="103" t="n"/>
      <c r="E573" s="102" t="n"/>
      <c r="F573" s="104" t="n"/>
      <c r="G573" s="104" t="n"/>
      <c r="H573" s="102" t="n"/>
      <c r="I573" s="105" t="n"/>
      <c r="J573" s="105" t="n"/>
      <c r="K573" s="103" t="n"/>
      <c r="L573" s="106" t="str">
        <f>IF(OR(D573="",E573=""),"",D573+IF(E573="NOTIFICAÇÃO DE CONSTATAÇÃO",PrazoConst,PrazoEsc))</f>
        <v/>
      </c>
      <c r="M573" s="107" t="str">
        <f>IF(L573="","",L573-TODAY())</f>
        <v/>
      </c>
      <c r="N573" s="108" t="str">
        <f>IF(B573="","",IF(G573="DECISÃO D.P","EM DECISÃO",IF(G573="","SEM STATUS",IF(M573="","SEM DATA",IF(M573&lt;0,"VENCIDO",IF(M573&lt;=DiasAlerta,"VENCE EM BREVE","NO PRAZO"))))))</f>
        <v/>
      </c>
      <c r="O573" s="109" t="str">
        <f>IF(D573="","",TODAY()-D573)</f>
        <v/>
      </c>
      <c r="P573" s="102" t="n"/>
    </row>
    <row r="574" ht="18" customHeight="1">
      <c r="A574" s="101" t="n"/>
      <c r="B574" s="102" t="n"/>
      <c r="C574" s="102" t="n"/>
      <c r="D574" s="103" t="n"/>
      <c r="E574" s="102" t="n"/>
      <c r="F574" s="104" t="n"/>
      <c r="G574" s="104" t="n"/>
      <c r="H574" s="102" t="n"/>
      <c r="I574" s="105" t="n"/>
      <c r="J574" s="105" t="n"/>
      <c r="K574" s="103" t="n"/>
      <c r="L574" s="106" t="str">
        <f>IF(OR(D574="",E574=""),"",D574+IF(E574="NOTIFICAÇÃO DE CONSTATAÇÃO",PrazoConst,PrazoEsc))</f>
        <v/>
      </c>
      <c r="M574" s="107" t="str">
        <f>IF(L574="","",L574-TODAY())</f>
        <v/>
      </c>
      <c r="N574" s="108" t="str">
        <f>IF(B574="","",IF(G574="DECISÃO D.P","EM DECISÃO",IF(G574="","SEM STATUS",IF(M574="","SEM DATA",IF(M574&lt;0,"VENCIDO",IF(M574&lt;=DiasAlerta,"VENCE EM BREVE","NO PRAZO"))))))</f>
        <v/>
      </c>
      <c r="O574" s="109" t="str">
        <f>IF(D574="","",TODAY()-D574)</f>
        <v/>
      </c>
      <c r="P574" s="102" t="n"/>
    </row>
    <row r="575" ht="18" customHeight="1">
      <c r="A575" s="101" t="n"/>
      <c r="B575" s="102" t="n"/>
      <c r="C575" s="102" t="n"/>
      <c r="D575" s="103" t="n"/>
      <c r="E575" s="102" t="n"/>
      <c r="F575" s="104" t="n"/>
      <c r="G575" s="104" t="n"/>
      <c r="H575" s="102" t="n"/>
      <c r="I575" s="105" t="n"/>
      <c r="J575" s="105" t="n"/>
      <c r="K575" s="103" t="n"/>
      <c r="L575" s="106" t="str">
        <f>IF(OR(D575="",E575=""),"",D575+IF(E575="NOTIFICAÇÃO DE CONSTATAÇÃO",PrazoConst,PrazoEsc))</f>
        <v/>
      </c>
      <c r="M575" s="107" t="str">
        <f>IF(L575="","",L575-TODAY())</f>
        <v/>
      </c>
      <c r="N575" s="108" t="str">
        <f>IF(B575="","",IF(G575="DECISÃO D.P","EM DECISÃO",IF(G575="","SEM STATUS",IF(M575="","SEM DATA",IF(M575&lt;0,"VENCIDO",IF(M575&lt;=DiasAlerta,"VENCE EM BREVE","NO PRAZO"))))))</f>
        <v/>
      </c>
      <c r="O575" s="109" t="str">
        <f>IF(D575="","",TODAY()-D575)</f>
        <v/>
      </c>
      <c r="P575" s="102" t="n"/>
    </row>
    <row r="576" ht="18" customHeight="1">
      <c r="A576" s="101" t="n"/>
      <c r="B576" s="102" t="n"/>
      <c r="C576" s="102" t="n"/>
      <c r="D576" s="103" t="n"/>
      <c r="E576" s="102" t="n"/>
      <c r="F576" s="104" t="n"/>
      <c r="G576" s="104" t="n"/>
      <c r="H576" s="102" t="n"/>
      <c r="I576" s="105" t="n"/>
      <c r="J576" s="105" t="n"/>
      <c r="K576" s="103" t="n"/>
      <c r="L576" s="106" t="str">
        <f>IF(OR(D576="",E576=""),"",D576+IF(E576="NOTIFICAÇÃO DE CONSTATAÇÃO",PrazoConst,PrazoEsc))</f>
        <v/>
      </c>
      <c r="M576" s="107" t="str">
        <f>IF(L576="","",L576-TODAY())</f>
        <v/>
      </c>
      <c r="N576" s="108" t="str">
        <f>IF(B576="","",IF(G576="DECISÃO D.P","EM DECISÃO",IF(G576="","SEM STATUS",IF(M576="","SEM DATA",IF(M576&lt;0,"VENCIDO",IF(M576&lt;=DiasAlerta,"VENCE EM BREVE","NO PRAZO"))))))</f>
        <v/>
      </c>
      <c r="O576" s="109" t="str">
        <f>IF(D576="","",TODAY()-D576)</f>
        <v/>
      </c>
      <c r="P576" s="102" t="n"/>
    </row>
    <row r="577" ht="18" customHeight="1">
      <c r="A577" s="101" t="n"/>
      <c r="B577" s="102" t="n"/>
      <c r="C577" s="102" t="n"/>
      <c r="D577" s="103" t="n"/>
      <c r="E577" s="102" t="n"/>
      <c r="F577" s="104" t="n"/>
      <c r="G577" s="104" t="n"/>
      <c r="H577" s="102" t="n"/>
      <c r="I577" s="105" t="n"/>
      <c r="J577" s="105" t="n"/>
      <c r="K577" s="103" t="n"/>
      <c r="L577" s="106" t="str">
        <f>IF(OR(D577="",E577=""),"",D577+IF(E577="NOTIFICAÇÃO DE CONSTATAÇÃO",PrazoConst,PrazoEsc))</f>
        <v/>
      </c>
      <c r="M577" s="107" t="str">
        <f>IF(L577="","",L577-TODAY())</f>
        <v/>
      </c>
      <c r="N577" s="108" t="str">
        <f>IF(B577="","",IF(G577="DECISÃO D.P","EM DECISÃO",IF(G577="","SEM STATUS",IF(M577="","SEM DATA",IF(M577&lt;0,"VENCIDO",IF(M577&lt;=DiasAlerta,"VENCE EM BREVE","NO PRAZO"))))))</f>
        <v/>
      </c>
      <c r="O577" s="109" t="str">
        <f>IF(D577="","",TODAY()-D577)</f>
        <v/>
      </c>
      <c r="P577" s="102" t="n"/>
    </row>
    <row r="578" ht="18" customHeight="1">
      <c r="A578" s="101" t="n"/>
      <c r="B578" s="102" t="n"/>
      <c r="C578" s="102" t="n"/>
      <c r="D578" s="103" t="n"/>
      <c r="E578" s="102" t="n"/>
      <c r="F578" s="104" t="n"/>
      <c r="G578" s="104" t="n"/>
      <c r="H578" s="102" t="n"/>
      <c r="I578" s="105" t="n"/>
      <c r="J578" s="105" t="n"/>
      <c r="K578" s="103" t="n"/>
      <c r="L578" s="106" t="str">
        <f>IF(OR(D578="",E578=""),"",D578+IF(E578="NOTIFICAÇÃO DE CONSTATAÇÃO",PrazoConst,PrazoEsc))</f>
        <v/>
      </c>
      <c r="M578" s="107" t="str">
        <f>IF(L578="","",L578-TODAY())</f>
        <v/>
      </c>
      <c r="N578" s="108" t="str">
        <f>IF(B578="","",IF(G578="DECISÃO D.P","EM DECISÃO",IF(G578="","SEM STATUS",IF(M578="","SEM DATA",IF(M578&lt;0,"VENCIDO",IF(M578&lt;=DiasAlerta,"VENCE EM BREVE","NO PRAZO"))))))</f>
        <v/>
      </c>
      <c r="O578" s="109" t="str">
        <f>IF(D578="","",TODAY()-D578)</f>
        <v/>
      </c>
      <c r="P578" s="102" t="n"/>
    </row>
    <row r="579" ht="18" customHeight="1">
      <c r="A579" s="101" t="n"/>
      <c r="B579" s="102" t="n"/>
      <c r="C579" s="102" t="n"/>
      <c r="D579" s="103" t="n"/>
      <c r="E579" s="102" t="n"/>
      <c r="F579" s="104" t="n"/>
      <c r="G579" s="104" t="n"/>
      <c r="H579" s="102" t="n"/>
      <c r="I579" s="105" t="n"/>
      <c r="J579" s="105" t="n"/>
      <c r="K579" s="103" t="n"/>
      <c r="L579" s="106" t="str">
        <f>IF(OR(D579="",E579=""),"",D579+IF(E579="NOTIFICAÇÃO DE CONSTATAÇÃO",PrazoConst,PrazoEsc))</f>
        <v/>
      </c>
      <c r="M579" s="107" t="str">
        <f>IF(L579="","",L579-TODAY())</f>
        <v/>
      </c>
      <c r="N579" s="108" t="str">
        <f>IF(B579="","",IF(G579="DECISÃO D.P","EM DECISÃO",IF(G579="","SEM STATUS",IF(M579="","SEM DATA",IF(M579&lt;0,"VENCIDO",IF(M579&lt;=DiasAlerta,"VENCE EM BREVE","NO PRAZO"))))))</f>
        <v/>
      </c>
      <c r="O579" s="109" t="str">
        <f>IF(D579="","",TODAY()-D579)</f>
        <v/>
      </c>
      <c r="P579" s="102" t="n"/>
    </row>
    <row r="580" ht="18" customHeight="1">
      <c r="A580" s="101" t="n"/>
      <c r="B580" s="102" t="n"/>
      <c r="C580" s="102" t="n"/>
      <c r="D580" s="103" t="n"/>
      <c r="E580" s="102" t="n"/>
      <c r="F580" s="104" t="n"/>
      <c r="G580" s="104" t="n"/>
      <c r="H580" s="102" t="n"/>
      <c r="I580" s="105" t="n"/>
      <c r="J580" s="105" t="n"/>
      <c r="K580" s="103" t="n"/>
      <c r="L580" s="106" t="str">
        <f>IF(OR(D580="",E580=""),"",D580+IF(E580="NOTIFICAÇÃO DE CONSTATAÇÃO",PrazoConst,PrazoEsc))</f>
        <v/>
      </c>
      <c r="M580" s="107" t="str">
        <f>IF(L580="","",L580-TODAY())</f>
        <v/>
      </c>
      <c r="N580" s="108" t="str">
        <f>IF(B580="","",IF(G580="DECISÃO D.P","EM DECISÃO",IF(G580="","SEM STATUS",IF(M580="","SEM DATA",IF(M580&lt;0,"VENCIDO",IF(M580&lt;=DiasAlerta,"VENCE EM BREVE","NO PRAZO"))))))</f>
        <v/>
      </c>
      <c r="O580" s="109" t="str">
        <f>IF(D580="","",TODAY()-D580)</f>
        <v/>
      </c>
      <c r="P580" s="102" t="n"/>
    </row>
    <row r="581" ht="18" customHeight="1">
      <c r="A581" s="101" t="n"/>
      <c r="B581" s="102" t="n"/>
      <c r="C581" s="102" t="n"/>
      <c r="D581" s="103" t="n"/>
      <c r="E581" s="102" t="n"/>
      <c r="F581" s="104" t="n"/>
      <c r="G581" s="104" t="n"/>
      <c r="H581" s="102" t="n"/>
      <c r="I581" s="105" t="n"/>
      <c r="J581" s="105" t="n"/>
      <c r="K581" s="103" t="n"/>
      <c r="L581" s="106" t="str">
        <f>IF(OR(D581="",E581=""),"",D581+IF(E581="NOTIFICAÇÃO DE CONSTATAÇÃO",PrazoConst,PrazoEsc))</f>
        <v/>
      </c>
      <c r="M581" s="107" t="str">
        <f>IF(L581="","",L581-TODAY())</f>
        <v/>
      </c>
      <c r="N581" s="108" t="str">
        <f>IF(B581="","",IF(G581="DECISÃO D.P","EM DECISÃO",IF(G581="","SEM STATUS",IF(M581="","SEM DATA",IF(M581&lt;0,"VENCIDO",IF(M581&lt;=DiasAlerta,"VENCE EM BREVE","NO PRAZO"))))))</f>
        <v/>
      </c>
      <c r="O581" s="109" t="str">
        <f>IF(D581="","",TODAY()-D581)</f>
        <v/>
      </c>
      <c r="P581" s="102" t="n"/>
    </row>
    <row r="582" ht="18" customHeight="1">
      <c r="A582" s="101" t="n"/>
      <c r="B582" s="102" t="n"/>
      <c r="C582" s="102" t="n"/>
      <c r="D582" s="103" t="n"/>
      <c r="E582" s="102" t="n"/>
      <c r="F582" s="104" t="n"/>
      <c r="G582" s="104" t="n"/>
      <c r="H582" s="102" t="n"/>
      <c r="I582" s="105" t="n"/>
      <c r="J582" s="105" t="n"/>
      <c r="K582" s="103" t="n"/>
      <c r="L582" s="106" t="str">
        <f>IF(OR(D582="",E582=""),"",D582+IF(E582="NOTIFICAÇÃO DE CONSTATAÇÃO",PrazoConst,PrazoEsc))</f>
        <v/>
      </c>
      <c r="M582" s="107" t="str">
        <f>IF(L582="","",L582-TODAY())</f>
        <v/>
      </c>
      <c r="N582" s="108" t="str">
        <f>IF(B582="","",IF(G582="DECISÃO D.P","EM DECISÃO",IF(G582="","SEM STATUS",IF(M582="","SEM DATA",IF(M582&lt;0,"VENCIDO",IF(M582&lt;=DiasAlerta,"VENCE EM BREVE","NO PRAZO"))))))</f>
        <v/>
      </c>
      <c r="O582" s="109" t="str">
        <f>IF(D582="","",TODAY()-D582)</f>
        <v/>
      </c>
      <c r="P582" s="102" t="n"/>
    </row>
    <row r="583" ht="18" customHeight="1">
      <c r="A583" s="101" t="n"/>
      <c r="B583" s="102" t="n"/>
      <c r="C583" s="102" t="n"/>
      <c r="D583" s="103" t="n"/>
      <c r="E583" s="102" t="n"/>
      <c r="F583" s="104" t="n"/>
      <c r="G583" s="104" t="n"/>
      <c r="H583" s="102" t="n"/>
      <c r="I583" s="105" t="n"/>
      <c r="J583" s="105" t="n"/>
      <c r="K583" s="103" t="n"/>
      <c r="L583" s="106" t="str">
        <f>IF(OR(D583="",E583=""),"",D583+IF(E583="NOTIFICAÇÃO DE CONSTATAÇÃO",PrazoConst,PrazoEsc))</f>
        <v/>
      </c>
      <c r="M583" s="107" t="str">
        <f>IF(L583="","",L583-TODAY())</f>
        <v/>
      </c>
      <c r="N583" s="108" t="str">
        <f>IF(B583="","",IF(G583="DECISÃO D.P","EM DECISÃO",IF(G583="","SEM STATUS",IF(M583="","SEM DATA",IF(M583&lt;0,"VENCIDO",IF(M583&lt;=DiasAlerta,"VENCE EM BREVE","NO PRAZO"))))))</f>
        <v/>
      </c>
      <c r="O583" s="109" t="str">
        <f>IF(D583="","",TODAY()-D583)</f>
        <v/>
      </c>
      <c r="P583" s="102" t="n"/>
    </row>
    <row r="584" ht="18" customHeight="1">
      <c r="A584" s="101" t="n"/>
      <c r="B584" s="102" t="n"/>
      <c r="C584" s="102" t="n"/>
      <c r="D584" s="103" t="n"/>
      <c r="E584" s="102" t="n"/>
      <c r="F584" s="104" t="n"/>
      <c r="G584" s="104" t="n"/>
      <c r="H584" s="102" t="n"/>
      <c r="I584" s="105" t="n"/>
      <c r="J584" s="105" t="n"/>
      <c r="K584" s="103" t="n"/>
      <c r="L584" s="106" t="str">
        <f>IF(OR(D584="",E584=""),"",D584+IF(E584="NOTIFICAÇÃO DE CONSTATAÇÃO",PrazoConst,PrazoEsc))</f>
        <v/>
      </c>
      <c r="M584" s="107" t="str">
        <f>IF(L584="","",L584-TODAY())</f>
        <v/>
      </c>
      <c r="N584" s="108" t="str">
        <f>IF(B584="","",IF(G584="DECISÃO D.P","EM DECISÃO",IF(G584="","SEM STATUS",IF(M584="","SEM DATA",IF(M584&lt;0,"VENCIDO",IF(M584&lt;=DiasAlerta,"VENCE EM BREVE","NO PRAZO"))))))</f>
        <v/>
      </c>
      <c r="O584" s="109" t="str">
        <f>IF(D584="","",TODAY()-D584)</f>
        <v/>
      </c>
      <c r="P584" s="102" t="n"/>
    </row>
    <row r="585" ht="18" customHeight="1">
      <c r="A585" s="101" t="n"/>
      <c r="B585" s="102" t="n"/>
      <c r="C585" s="102" t="n"/>
      <c r="D585" s="103" t="n"/>
      <c r="E585" s="102" t="n"/>
      <c r="F585" s="104" t="n"/>
      <c r="G585" s="104" t="n"/>
      <c r="H585" s="102" t="n"/>
      <c r="I585" s="105" t="n"/>
      <c r="J585" s="105" t="n"/>
      <c r="K585" s="103" t="n"/>
      <c r="L585" s="106" t="str">
        <f>IF(OR(D585="",E585=""),"",D585+IF(E585="NOTIFICAÇÃO DE CONSTATAÇÃO",PrazoConst,PrazoEsc))</f>
        <v/>
      </c>
      <c r="M585" s="107" t="str">
        <f>IF(L585="","",L585-TODAY())</f>
        <v/>
      </c>
      <c r="N585" s="108" t="str">
        <f>IF(B585="","",IF(G585="DECISÃO D.P","EM DECISÃO",IF(G585="","SEM STATUS",IF(M585="","SEM DATA",IF(M585&lt;0,"VENCIDO",IF(M585&lt;=DiasAlerta,"VENCE EM BREVE","NO PRAZO"))))))</f>
        <v/>
      </c>
      <c r="O585" s="109" t="str">
        <f>IF(D585="","",TODAY()-D585)</f>
        <v/>
      </c>
      <c r="P585" s="102" t="n"/>
    </row>
    <row r="586" ht="18" customHeight="1">
      <c r="A586" s="101" t="n"/>
      <c r="B586" s="102" t="n"/>
      <c r="C586" s="102" t="n"/>
      <c r="D586" s="103" t="n"/>
      <c r="E586" s="102" t="n"/>
      <c r="F586" s="104" t="n"/>
      <c r="G586" s="104" t="n"/>
      <c r="H586" s="102" t="n"/>
      <c r="I586" s="105" t="n"/>
      <c r="J586" s="105" t="n"/>
      <c r="K586" s="103" t="n"/>
      <c r="L586" s="106" t="str">
        <f>IF(OR(D586="",E586=""),"",D586+IF(E586="NOTIFICAÇÃO DE CONSTATAÇÃO",PrazoConst,PrazoEsc))</f>
        <v/>
      </c>
      <c r="M586" s="107" t="str">
        <f>IF(L586="","",L586-TODAY())</f>
        <v/>
      </c>
      <c r="N586" s="108" t="str">
        <f>IF(B586="","",IF(G586="DECISÃO D.P","EM DECISÃO",IF(G586="","SEM STATUS",IF(M586="","SEM DATA",IF(M586&lt;0,"VENCIDO",IF(M586&lt;=DiasAlerta,"VENCE EM BREVE","NO PRAZO"))))))</f>
        <v/>
      </c>
      <c r="O586" s="109" t="str">
        <f>IF(D586="","",TODAY()-D586)</f>
        <v/>
      </c>
      <c r="P586" s="102" t="n"/>
    </row>
    <row r="587" ht="18" customHeight="1">
      <c r="A587" s="101" t="n"/>
      <c r="B587" s="102" t="n"/>
      <c r="C587" s="102" t="n"/>
      <c r="D587" s="103" t="n"/>
      <c r="E587" s="102" t="n"/>
      <c r="F587" s="104" t="n"/>
      <c r="G587" s="104" t="n"/>
      <c r="H587" s="102" t="n"/>
      <c r="I587" s="105" t="n"/>
      <c r="J587" s="105" t="n"/>
      <c r="K587" s="103" t="n"/>
      <c r="L587" s="106" t="str">
        <f>IF(OR(D587="",E587=""),"",D587+IF(E587="NOTIFICAÇÃO DE CONSTATAÇÃO",PrazoConst,PrazoEsc))</f>
        <v/>
      </c>
      <c r="M587" s="107" t="str">
        <f>IF(L587="","",L587-TODAY())</f>
        <v/>
      </c>
      <c r="N587" s="108" t="str">
        <f>IF(B587="","",IF(G587="DECISÃO D.P","EM DECISÃO",IF(G587="","SEM STATUS",IF(M587="","SEM DATA",IF(M587&lt;0,"VENCIDO",IF(M587&lt;=DiasAlerta,"VENCE EM BREVE","NO PRAZO"))))))</f>
        <v/>
      </c>
      <c r="O587" s="109" t="str">
        <f>IF(D587="","",TODAY()-D587)</f>
        <v/>
      </c>
      <c r="P587" s="102" t="n"/>
    </row>
    <row r="588" ht="18" customHeight="1">
      <c r="A588" s="101" t="n"/>
      <c r="B588" s="102" t="n"/>
      <c r="C588" s="102" t="n"/>
      <c r="D588" s="103" t="n"/>
      <c r="E588" s="102" t="n"/>
      <c r="F588" s="104" t="n"/>
      <c r="G588" s="104" t="n"/>
      <c r="H588" s="102" t="n"/>
      <c r="I588" s="105" t="n"/>
      <c r="J588" s="105" t="n"/>
      <c r="K588" s="103" t="n"/>
      <c r="L588" s="106" t="str">
        <f>IF(OR(D588="",E588=""),"",D588+IF(E588="NOTIFICAÇÃO DE CONSTATAÇÃO",PrazoConst,PrazoEsc))</f>
        <v/>
      </c>
      <c r="M588" s="107" t="str">
        <f>IF(L588="","",L588-TODAY())</f>
        <v/>
      </c>
      <c r="N588" s="108" t="str">
        <f>IF(B588="","",IF(G588="DECISÃO D.P","EM DECISÃO",IF(G588="","SEM STATUS",IF(M588="","SEM DATA",IF(M588&lt;0,"VENCIDO",IF(M588&lt;=DiasAlerta,"VENCE EM BREVE","NO PRAZO"))))))</f>
        <v/>
      </c>
      <c r="O588" s="109" t="str">
        <f>IF(D588="","",TODAY()-D588)</f>
        <v/>
      </c>
      <c r="P588" s="102" t="n"/>
    </row>
    <row r="589" ht="18" customHeight="1">
      <c r="A589" s="101" t="n"/>
      <c r="B589" s="102" t="n"/>
      <c r="C589" s="102" t="n"/>
      <c r="D589" s="103" t="n"/>
      <c r="E589" s="102" t="n"/>
      <c r="F589" s="104" t="n"/>
      <c r="G589" s="104" t="n"/>
      <c r="H589" s="102" t="n"/>
      <c r="I589" s="105" t="n"/>
      <c r="J589" s="105" t="n"/>
      <c r="K589" s="103" t="n"/>
      <c r="L589" s="106" t="str">
        <f>IF(OR(D589="",E589=""),"",D589+IF(E589="NOTIFICAÇÃO DE CONSTATAÇÃO",PrazoConst,PrazoEsc))</f>
        <v/>
      </c>
      <c r="M589" s="107" t="str">
        <f>IF(L589="","",L589-TODAY())</f>
        <v/>
      </c>
      <c r="N589" s="108" t="str">
        <f>IF(B589="","",IF(G589="DECISÃO D.P","EM DECISÃO",IF(G589="","SEM STATUS",IF(M589="","SEM DATA",IF(M589&lt;0,"VENCIDO",IF(M589&lt;=DiasAlerta,"VENCE EM BREVE","NO PRAZO"))))))</f>
        <v/>
      </c>
      <c r="O589" s="109" t="str">
        <f>IF(D589="","",TODAY()-D589)</f>
        <v/>
      </c>
      <c r="P589" s="102" t="n"/>
    </row>
    <row r="590" ht="18" customHeight="1">
      <c r="A590" s="101" t="n"/>
      <c r="B590" s="102" t="n"/>
      <c r="C590" s="102" t="n"/>
      <c r="D590" s="103" t="n"/>
      <c r="E590" s="102" t="n"/>
      <c r="F590" s="104" t="n"/>
      <c r="G590" s="104" t="n"/>
      <c r="H590" s="102" t="n"/>
      <c r="I590" s="105" t="n"/>
      <c r="J590" s="105" t="n"/>
      <c r="K590" s="103" t="n"/>
      <c r="L590" s="106" t="str">
        <f>IF(OR(D590="",E590=""),"",D590+IF(E590="NOTIFICAÇÃO DE CONSTATAÇÃO",PrazoConst,PrazoEsc))</f>
        <v/>
      </c>
      <c r="M590" s="107" t="str">
        <f>IF(L590="","",L590-TODAY())</f>
        <v/>
      </c>
      <c r="N590" s="108" t="str">
        <f>IF(B590="","",IF(G590="DECISÃO D.P","EM DECISÃO",IF(G590="","SEM STATUS",IF(M590="","SEM DATA",IF(M590&lt;0,"VENCIDO",IF(M590&lt;=DiasAlerta,"VENCE EM BREVE","NO PRAZO"))))))</f>
        <v/>
      </c>
      <c r="O590" s="109" t="str">
        <f>IF(D590="","",TODAY()-D590)</f>
        <v/>
      </c>
      <c r="P590" s="102" t="n"/>
    </row>
    <row r="591" ht="18" customHeight="1">
      <c r="A591" s="101" t="n"/>
      <c r="B591" s="102" t="n"/>
      <c r="C591" s="102" t="n"/>
      <c r="D591" s="103" t="n"/>
      <c r="E591" s="102" t="n"/>
      <c r="F591" s="104" t="n"/>
      <c r="G591" s="104" t="n"/>
      <c r="H591" s="102" t="n"/>
      <c r="I591" s="105" t="n"/>
      <c r="J591" s="105" t="n"/>
      <c r="K591" s="103" t="n"/>
      <c r="L591" s="106" t="str">
        <f>IF(OR(D591="",E591=""),"",D591+IF(E591="NOTIFICAÇÃO DE CONSTATAÇÃO",PrazoConst,PrazoEsc))</f>
        <v/>
      </c>
      <c r="M591" s="107" t="str">
        <f>IF(L591="","",L591-TODAY())</f>
        <v/>
      </c>
      <c r="N591" s="108" t="str">
        <f>IF(B591="","",IF(G591="DECISÃO D.P","EM DECISÃO",IF(G591="","SEM STATUS",IF(M591="","SEM DATA",IF(M591&lt;0,"VENCIDO",IF(M591&lt;=DiasAlerta,"VENCE EM BREVE","NO PRAZO"))))))</f>
        <v/>
      </c>
      <c r="O591" s="109" t="str">
        <f>IF(D591="","",TODAY()-D591)</f>
        <v/>
      </c>
      <c r="P591" s="102" t="n"/>
    </row>
    <row r="592" ht="18" customHeight="1">
      <c r="A592" s="101" t="n"/>
      <c r="B592" s="102" t="n"/>
      <c r="C592" s="102" t="n"/>
      <c r="D592" s="103" t="n"/>
      <c r="E592" s="102" t="n"/>
      <c r="F592" s="104" t="n"/>
      <c r="G592" s="104" t="n"/>
      <c r="H592" s="102" t="n"/>
      <c r="I592" s="105" t="n"/>
      <c r="J592" s="105" t="n"/>
      <c r="K592" s="103" t="n"/>
      <c r="L592" s="106" t="str">
        <f>IF(OR(D592="",E592=""),"",D592+IF(E592="NOTIFICAÇÃO DE CONSTATAÇÃO",PrazoConst,PrazoEsc))</f>
        <v/>
      </c>
      <c r="M592" s="107" t="str">
        <f>IF(L592="","",L592-TODAY())</f>
        <v/>
      </c>
      <c r="N592" s="108" t="str">
        <f>IF(B592="","",IF(G592="DECISÃO D.P","EM DECISÃO",IF(G592="","SEM STATUS",IF(M592="","SEM DATA",IF(M592&lt;0,"VENCIDO",IF(M592&lt;=DiasAlerta,"VENCE EM BREVE","NO PRAZO"))))))</f>
        <v/>
      </c>
      <c r="O592" s="109" t="str">
        <f>IF(D592="","",TODAY()-D592)</f>
        <v/>
      </c>
      <c r="P592" s="102" t="n"/>
    </row>
    <row r="593" ht="18" customHeight="1">
      <c r="A593" s="101" t="n"/>
      <c r="B593" s="102" t="n"/>
      <c r="C593" s="102" t="n"/>
      <c r="D593" s="103" t="n"/>
      <c r="E593" s="102" t="n"/>
      <c r="F593" s="104" t="n"/>
      <c r="G593" s="104" t="n"/>
      <c r="H593" s="102" t="n"/>
      <c r="I593" s="105" t="n"/>
      <c r="J593" s="105" t="n"/>
      <c r="K593" s="103" t="n"/>
      <c r="L593" s="106" t="str">
        <f>IF(OR(D593="",E593=""),"",D593+IF(E593="NOTIFICAÇÃO DE CONSTATAÇÃO",PrazoConst,PrazoEsc))</f>
        <v/>
      </c>
      <c r="M593" s="107" t="str">
        <f>IF(L593="","",L593-TODAY())</f>
        <v/>
      </c>
      <c r="N593" s="108" t="str">
        <f>IF(B593="","",IF(G593="DECISÃO D.P","EM DECISÃO",IF(G593="","SEM STATUS",IF(M593="","SEM DATA",IF(M593&lt;0,"VENCIDO",IF(M593&lt;=DiasAlerta,"VENCE EM BREVE","NO PRAZO"))))))</f>
        <v/>
      </c>
      <c r="O593" s="109" t="str">
        <f>IF(D593="","",TODAY()-D593)</f>
        <v/>
      </c>
      <c r="P593" s="102" t="n"/>
    </row>
    <row r="594" ht="18" customHeight="1">
      <c r="A594" s="101" t="n"/>
      <c r="B594" s="102" t="n"/>
      <c r="C594" s="102" t="n"/>
      <c r="D594" s="103" t="n"/>
      <c r="E594" s="102" t="n"/>
      <c r="F594" s="104" t="n"/>
      <c r="G594" s="104" t="n"/>
      <c r="H594" s="102" t="n"/>
      <c r="I594" s="105" t="n"/>
      <c r="J594" s="105" t="n"/>
      <c r="K594" s="103" t="n"/>
      <c r="L594" s="106" t="str">
        <f>IF(OR(D594="",E594=""),"",D594+IF(E594="NOTIFICAÇÃO DE CONSTATAÇÃO",PrazoConst,PrazoEsc))</f>
        <v/>
      </c>
      <c r="M594" s="107" t="str">
        <f>IF(L594="","",L594-TODAY())</f>
        <v/>
      </c>
      <c r="N594" s="108" t="str">
        <f>IF(B594="","",IF(G594="DECISÃO D.P","EM DECISÃO",IF(G594="","SEM STATUS",IF(M594="","SEM DATA",IF(M594&lt;0,"VENCIDO",IF(M594&lt;=DiasAlerta,"VENCE EM BREVE","NO PRAZO"))))))</f>
        <v/>
      </c>
      <c r="O594" s="109" t="str">
        <f>IF(D594="","",TODAY()-D594)</f>
        <v/>
      </c>
      <c r="P594" s="102" t="n"/>
    </row>
    <row r="595" ht="18" customHeight="1">
      <c r="A595" s="101" t="n"/>
      <c r="B595" s="102" t="n"/>
      <c r="C595" s="102" t="n"/>
      <c r="D595" s="103" t="n"/>
      <c r="E595" s="102" t="n"/>
      <c r="F595" s="104" t="n"/>
      <c r="G595" s="104" t="n"/>
      <c r="H595" s="102" t="n"/>
      <c r="I595" s="105" t="n"/>
      <c r="J595" s="105" t="n"/>
      <c r="K595" s="103" t="n"/>
      <c r="L595" s="106" t="str">
        <f>IF(OR(D595="",E595=""),"",D595+IF(E595="NOTIFICAÇÃO DE CONSTATAÇÃO",PrazoConst,PrazoEsc))</f>
        <v/>
      </c>
      <c r="M595" s="107" t="str">
        <f>IF(L595="","",L595-TODAY())</f>
        <v/>
      </c>
      <c r="N595" s="108" t="str">
        <f>IF(B595="","",IF(G595="DECISÃO D.P","EM DECISÃO",IF(G595="","SEM STATUS",IF(M595="","SEM DATA",IF(M595&lt;0,"VENCIDO",IF(M595&lt;=DiasAlerta,"VENCE EM BREVE","NO PRAZO"))))))</f>
        <v/>
      </c>
      <c r="O595" s="109" t="str">
        <f>IF(D595="","",TODAY()-D595)</f>
        <v/>
      </c>
      <c r="P595" s="102" t="n"/>
    </row>
    <row r="596" ht="18" customHeight="1">
      <c r="A596" s="101" t="n"/>
      <c r="B596" s="102" t="n"/>
      <c r="C596" s="102" t="n"/>
      <c r="D596" s="103" t="n"/>
      <c r="E596" s="102" t="n"/>
      <c r="F596" s="104" t="n"/>
      <c r="G596" s="104" t="n"/>
      <c r="H596" s="102" t="n"/>
      <c r="I596" s="105" t="n"/>
      <c r="J596" s="105" t="n"/>
      <c r="K596" s="103" t="n"/>
      <c r="L596" s="106" t="str">
        <f>IF(OR(D596="",E596=""),"",D596+IF(E596="NOTIFICAÇÃO DE CONSTATAÇÃO",PrazoConst,PrazoEsc))</f>
        <v/>
      </c>
      <c r="M596" s="107" t="str">
        <f>IF(L596="","",L596-TODAY())</f>
        <v/>
      </c>
      <c r="N596" s="108" t="str">
        <f>IF(B596="","",IF(G596="DECISÃO D.P","EM DECISÃO",IF(G596="","SEM STATUS",IF(M596="","SEM DATA",IF(M596&lt;0,"VENCIDO",IF(M596&lt;=DiasAlerta,"VENCE EM BREVE","NO PRAZO"))))))</f>
        <v/>
      </c>
      <c r="O596" s="109" t="str">
        <f>IF(D596="","",TODAY()-D596)</f>
        <v/>
      </c>
      <c r="P596" s="102" t="n"/>
    </row>
    <row r="597" ht="18" customHeight="1">
      <c r="A597" s="101" t="n"/>
      <c r="B597" s="102" t="n"/>
      <c r="C597" s="102" t="n"/>
      <c r="D597" s="103" t="n"/>
      <c r="E597" s="102" t="n"/>
      <c r="F597" s="104" t="n"/>
      <c r="G597" s="104" t="n"/>
      <c r="H597" s="102" t="n"/>
      <c r="I597" s="105" t="n"/>
      <c r="J597" s="105" t="n"/>
      <c r="K597" s="103" t="n"/>
      <c r="L597" s="106" t="str">
        <f>IF(OR(D597="",E597=""),"",D597+IF(E597="NOTIFICAÇÃO DE CONSTATAÇÃO",PrazoConst,PrazoEsc))</f>
        <v/>
      </c>
      <c r="M597" s="107" t="str">
        <f>IF(L597="","",L597-TODAY())</f>
        <v/>
      </c>
      <c r="N597" s="108" t="str">
        <f>IF(B597="","",IF(G597="DECISÃO D.P","EM DECISÃO",IF(G597="","SEM STATUS",IF(M597="","SEM DATA",IF(M597&lt;0,"VENCIDO",IF(M597&lt;=DiasAlerta,"VENCE EM BREVE","NO PRAZO"))))))</f>
        <v/>
      </c>
      <c r="O597" s="109" t="str">
        <f>IF(D597="","",TODAY()-D597)</f>
        <v/>
      </c>
      <c r="P597" s="102" t="n"/>
    </row>
    <row r="598" ht="18" customHeight="1">
      <c r="A598" s="101" t="n"/>
      <c r="B598" s="102" t="n"/>
      <c r="C598" s="102" t="n"/>
      <c r="D598" s="103" t="n"/>
      <c r="E598" s="102" t="n"/>
      <c r="F598" s="104" t="n"/>
      <c r="G598" s="104" t="n"/>
      <c r="H598" s="102" t="n"/>
      <c r="I598" s="105" t="n"/>
      <c r="J598" s="105" t="n"/>
      <c r="K598" s="103" t="n"/>
      <c r="L598" s="106" t="str">
        <f>IF(OR(D598="",E598=""),"",D598+IF(E598="NOTIFICAÇÃO DE CONSTATAÇÃO",PrazoConst,PrazoEsc))</f>
        <v/>
      </c>
      <c r="M598" s="107" t="str">
        <f>IF(L598="","",L598-TODAY())</f>
        <v/>
      </c>
      <c r="N598" s="108" t="str">
        <f>IF(B598="","",IF(G598="DECISÃO D.P","EM DECISÃO",IF(G598="","SEM STATUS",IF(M598="","SEM DATA",IF(M598&lt;0,"VENCIDO",IF(M598&lt;=DiasAlerta,"VENCE EM BREVE","NO PRAZO"))))))</f>
        <v/>
      </c>
      <c r="O598" s="109" t="str">
        <f>IF(D598="","",TODAY()-D598)</f>
        <v/>
      </c>
      <c r="P598" s="102" t="n"/>
    </row>
    <row r="599" ht="18" customHeight="1">
      <c r="A599" s="101" t="n"/>
      <c r="B599" s="102" t="n"/>
      <c r="C599" s="102" t="n"/>
      <c r="D599" s="103" t="n"/>
      <c r="E599" s="102" t="n"/>
      <c r="F599" s="104" t="n"/>
      <c r="G599" s="104" t="n"/>
      <c r="H599" s="102" t="n"/>
      <c r="I599" s="105" t="n"/>
      <c r="J599" s="105" t="n"/>
      <c r="K599" s="103" t="n"/>
      <c r="L599" s="106" t="str">
        <f>IF(OR(D599="",E599=""),"",D599+IF(E599="NOTIFICAÇÃO DE CONSTATAÇÃO",PrazoConst,PrazoEsc))</f>
        <v/>
      </c>
      <c r="M599" s="107" t="str">
        <f>IF(L599="","",L599-TODAY())</f>
        <v/>
      </c>
      <c r="N599" s="108" t="str">
        <f>IF(B599="","",IF(G599="DECISÃO D.P","EM DECISÃO",IF(G599="","SEM STATUS",IF(M599="","SEM DATA",IF(M599&lt;0,"VENCIDO",IF(M599&lt;=DiasAlerta,"VENCE EM BREVE","NO PRAZO"))))))</f>
        <v/>
      </c>
      <c r="O599" s="109" t="str">
        <f>IF(D599="","",TODAY()-D599)</f>
        <v/>
      </c>
      <c r="P599" s="102" t="n"/>
    </row>
    <row r="600" ht="18" customHeight="1">
      <c r="A600" s="101" t="n"/>
      <c r="B600" s="102" t="n"/>
      <c r="C600" s="102" t="n"/>
      <c r="D600" s="103" t="n"/>
      <c r="E600" s="102" t="n"/>
      <c r="F600" s="104" t="n"/>
      <c r="G600" s="104" t="n"/>
      <c r="H600" s="102" t="n"/>
      <c r="I600" s="105" t="n"/>
      <c r="J600" s="105" t="n"/>
      <c r="K600" s="103" t="n"/>
      <c r="L600" s="106" t="str">
        <f>IF(OR(D600="",E600=""),"",D600+IF(E600="NOTIFICAÇÃO DE CONSTATAÇÃO",PrazoConst,PrazoEsc))</f>
        <v/>
      </c>
      <c r="M600" s="107" t="str">
        <f>IF(L600="","",L600-TODAY())</f>
        <v/>
      </c>
      <c r="N600" s="108" t="str">
        <f>IF(B600="","",IF(G600="DECISÃO D.P","EM DECISÃO",IF(G600="","SEM STATUS",IF(M600="","SEM DATA",IF(M600&lt;0,"VENCIDO",IF(M600&lt;=DiasAlerta,"VENCE EM BREVE","NO PRAZO"))))))</f>
        <v/>
      </c>
      <c r="O600" s="109" t="str">
        <f>IF(D600="","",TODAY()-D600)</f>
        <v/>
      </c>
      <c r="P600" s="102" t="n"/>
    </row>
    <row r="601" ht="18" customHeight="1">
      <c r="A601" s="101" t="n"/>
      <c r="B601" s="102" t="n"/>
      <c r="C601" s="102" t="n"/>
      <c r="D601" s="103" t="n"/>
      <c r="E601" s="102" t="n"/>
      <c r="F601" s="104" t="n"/>
      <c r="G601" s="104" t="n"/>
      <c r="H601" s="102" t="n"/>
      <c r="I601" s="105" t="n"/>
      <c r="J601" s="105" t="n"/>
      <c r="K601" s="103" t="n"/>
      <c r="L601" s="106" t="str">
        <f>IF(OR(D601="",E601=""),"",D601+IF(E601="NOTIFICAÇÃO DE CONSTATAÇÃO",PrazoConst,PrazoEsc))</f>
        <v/>
      </c>
      <c r="M601" s="107" t="str">
        <f>IF(L601="","",L601-TODAY())</f>
        <v/>
      </c>
      <c r="N601" s="108" t="str">
        <f>IF(B601="","",IF(G601="DECISÃO D.P","EM DECISÃO",IF(G601="","SEM STATUS",IF(M601="","SEM DATA",IF(M601&lt;0,"VENCIDO",IF(M601&lt;=DiasAlerta,"VENCE EM BREVE","NO PRAZO"))))))</f>
        <v/>
      </c>
      <c r="O601" s="109" t="str">
        <f>IF(D601="","",TODAY()-D601)</f>
        <v/>
      </c>
      <c r="P601" s="102" t="n"/>
    </row>
    <row r="602" ht="18" customHeight="1">
      <c r="A602" s="101" t="n"/>
      <c r="B602" s="102" t="n"/>
      <c r="C602" s="102" t="n"/>
      <c r="D602" s="103" t="n"/>
      <c r="E602" s="102" t="n"/>
      <c r="F602" s="104" t="n"/>
      <c r="G602" s="104" t="n"/>
      <c r="H602" s="102" t="n"/>
      <c r="I602" s="105" t="n"/>
      <c r="J602" s="105" t="n"/>
      <c r="K602" s="103" t="n"/>
      <c r="L602" s="106" t="str">
        <f>IF(OR(D602="",E602=""),"",D602+IF(E602="NOTIFICAÇÃO DE CONSTATAÇÃO",PrazoConst,PrazoEsc))</f>
        <v/>
      </c>
      <c r="M602" s="107" t="str">
        <f>IF(L602="","",L602-TODAY())</f>
        <v/>
      </c>
      <c r="N602" s="108" t="str">
        <f>IF(B602="","",IF(G602="DECISÃO D.P","EM DECISÃO",IF(G602="","SEM STATUS",IF(M602="","SEM DATA",IF(M602&lt;0,"VENCIDO",IF(M602&lt;=DiasAlerta,"VENCE EM BREVE","NO PRAZO"))))))</f>
        <v/>
      </c>
      <c r="O602" s="109" t="str">
        <f>IF(D602="","",TODAY()-D602)</f>
        <v/>
      </c>
      <c r="P602" s="102" t="n"/>
    </row>
    <row r="603" ht="18" customHeight="1">
      <c r="A603" s="101" t="n"/>
      <c r="B603" s="102" t="n"/>
      <c r="C603" s="102" t="n"/>
      <c r="D603" s="103" t="n"/>
      <c r="E603" s="102" t="n"/>
      <c r="F603" s="104" t="n"/>
      <c r="G603" s="104" t="n"/>
      <c r="H603" s="102" t="n"/>
      <c r="I603" s="105" t="n"/>
      <c r="J603" s="105" t="n"/>
      <c r="K603" s="103" t="n"/>
      <c r="L603" s="106" t="str">
        <f>IF(OR(D603="",E603=""),"",D603+IF(E603="NOTIFICAÇÃO DE CONSTATAÇÃO",PrazoConst,PrazoEsc))</f>
        <v/>
      </c>
      <c r="M603" s="107" t="str">
        <f>IF(L603="","",L603-TODAY())</f>
        <v/>
      </c>
      <c r="N603" s="108" t="str">
        <f>IF(B603="","",IF(G603="DECISÃO D.P","EM DECISÃO",IF(G603="","SEM STATUS",IF(M603="","SEM DATA",IF(M603&lt;0,"VENCIDO",IF(M603&lt;=DiasAlerta,"VENCE EM BREVE","NO PRAZO"))))))</f>
        <v/>
      </c>
      <c r="O603" s="109" t="str">
        <f>IF(D603="","",TODAY()-D603)</f>
        <v/>
      </c>
      <c r="P603" s="102" t="n"/>
    </row>
    <row r="604" ht="18" customHeight="1">
      <c r="A604" s="101" t="n"/>
      <c r="B604" s="102" t="n"/>
      <c r="C604" s="102" t="n"/>
      <c r="D604" s="103" t="n"/>
      <c r="E604" s="102" t="n"/>
      <c r="F604" s="104" t="n"/>
      <c r="G604" s="104" t="n"/>
      <c r="H604" s="102" t="n"/>
      <c r="I604" s="105" t="n"/>
      <c r="J604" s="105" t="n"/>
      <c r="K604" s="103" t="n"/>
      <c r="L604" s="106" t="str">
        <f>IF(OR(D604="",E604=""),"",D604+IF(E604="NOTIFICAÇÃO DE CONSTATAÇÃO",PrazoConst,PrazoEsc))</f>
        <v/>
      </c>
      <c r="M604" s="107" t="str">
        <f>IF(L604="","",L604-TODAY())</f>
        <v/>
      </c>
      <c r="N604" s="108" t="str">
        <f>IF(B604="","",IF(G604="DECISÃO D.P","EM DECISÃO",IF(G604="","SEM STATUS",IF(M604="","SEM DATA",IF(M604&lt;0,"VENCIDO",IF(M604&lt;=DiasAlerta,"VENCE EM BREVE","NO PRAZO"))))))</f>
        <v/>
      </c>
      <c r="O604" s="109" t="str">
        <f>IF(D604="","",TODAY()-D604)</f>
        <v/>
      </c>
      <c r="P604" s="102" t="n"/>
    </row>
    <row r="605" ht="18" customHeight="1">
      <c r="A605" s="101" t="n"/>
      <c r="B605" s="102" t="n"/>
      <c r="C605" s="102" t="n"/>
      <c r="D605" s="103" t="n"/>
      <c r="E605" s="102" t="n"/>
      <c r="F605" s="104" t="n"/>
      <c r="G605" s="104" t="n"/>
      <c r="H605" s="102" t="n"/>
      <c r="I605" s="105" t="n"/>
      <c r="J605" s="105" t="n"/>
      <c r="K605" s="103" t="n"/>
      <c r="L605" s="106" t="str">
        <f>IF(OR(D605="",E605=""),"",D605+IF(E605="NOTIFICAÇÃO DE CONSTATAÇÃO",PrazoConst,PrazoEsc))</f>
        <v/>
      </c>
      <c r="M605" s="107" t="str">
        <f>IF(L605="","",L605-TODAY())</f>
        <v/>
      </c>
      <c r="N605" s="108" t="str">
        <f>IF(B605="","",IF(G605="DECISÃO D.P","EM DECISÃO",IF(G605="","SEM STATUS",IF(M605="","SEM DATA",IF(M605&lt;0,"VENCIDO",IF(M605&lt;=DiasAlerta,"VENCE EM BREVE","NO PRAZO"))))))</f>
        <v/>
      </c>
      <c r="O605" s="109" t="str">
        <f>IF(D605="","",TODAY()-D605)</f>
        <v/>
      </c>
      <c r="P605" s="102" t="n"/>
    </row>
    <row r="606" ht="18" customHeight="1">
      <c r="A606" s="101" t="n"/>
      <c r="B606" s="102" t="n"/>
      <c r="C606" s="102" t="n"/>
      <c r="D606" s="103" t="n"/>
      <c r="E606" s="102" t="n"/>
      <c r="F606" s="104" t="n"/>
      <c r="G606" s="104" t="n"/>
      <c r="H606" s="102" t="n"/>
      <c r="I606" s="105" t="n"/>
      <c r="J606" s="105" t="n"/>
      <c r="K606" s="103" t="n"/>
      <c r="L606" s="106" t="str">
        <f>IF(OR(D606="",E606=""),"",D606+IF(E606="NOTIFICAÇÃO DE CONSTATAÇÃO",PrazoConst,PrazoEsc))</f>
        <v/>
      </c>
      <c r="M606" s="107" t="str">
        <f>IF(L606="","",L606-TODAY())</f>
        <v/>
      </c>
      <c r="N606" s="108" t="str">
        <f>IF(B606="","",IF(G606="DECISÃO D.P","EM DECISÃO",IF(G606="","SEM STATUS",IF(M606="","SEM DATA",IF(M606&lt;0,"VENCIDO",IF(M606&lt;=DiasAlerta,"VENCE EM BREVE","NO PRAZO"))))))</f>
        <v/>
      </c>
      <c r="O606" s="109" t="str">
        <f>IF(D606="","",TODAY()-D606)</f>
        <v/>
      </c>
      <c r="P606" s="102" t="n"/>
    </row>
    <row r="607" ht="18" customHeight="1">
      <c r="A607" s="101" t="n"/>
      <c r="B607" s="102" t="n"/>
      <c r="C607" s="102" t="n"/>
      <c r="D607" s="103" t="n"/>
      <c r="E607" s="102" t="n"/>
      <c r="F607" s="104" t="n"/>
      <c r="G607" s="104" t="n"/>
      <c r="H607" s="102" t="n"/>
      <c r="I607" s="105" t="n"/>
      <c r="J607" s="105" t="n"/>
      <c r="K607" s="103" t="n"/>
      <c r="L607" s="106" t="str">
        <f>IF(OR(D607="",E607=""),"",D607+IF(E607="NOTIFICAÇÃO DE CONSTATAÇÃO",PrazoConst,PrazoEsc))</f>
        <v/>
      </c>
      <c r="M607" s="107" t="str">
        <f>IF(L607="","",L607-TODAY())</f>
        <v/>
      </c>
      <c r="N607" s="108" t="str">
        <f>IF(B607="","",IF(G607="DECISÃO D.P","EM DECISÃO",IF(G607="","SEM STATUS",IF(M607="","SEM DATA",IF(M607&lt;0,"VENCIDO",IF(M607&lt;=DiasAlerta,"VENCE EM BREVE","NO PRAZO"))))))</f>
        <v/>
      </c>
      <c r="O607" s="109" t="str">
        <f>IF(D607="","",TODAY()-D607)</f>
        <v/>
      </c>
      <c r="P607" s="102" t="n"/>
    </row>
    <row r="608" ht="18" customHeight="1">
      <c r="A608" s="101" t="n"/>
      <c r="B608" s="102" t="n"/>
      <c r="C608" s="102" t="n"/>
      <c r="D608" s="103" t="n"/>
      <c r="E608" s="102" t="n"/>
      <c r="F608" s="104" t="n"/>
      <c r="G608" s="104" t="n"/>
      <c r="H608" s="102" t="n"/>
      <c r="I608" s="105" t="n"/>
      <c r="J608" s="105" t="n"/>
      <c r="K608" s="103" t="n"/>
      <c r="L608" s="106" t="str">
        <f>IF(OR(D608="",E608=""),"",D608+IF(E608="NOTIFICAÇÃO DE CONSTATAÇÃO",PrazoConst,PrazoEsc))</f>
        <v/>
      </c>
      <c r="M608" s="107" t="str">
        <f>IF(L608="","",L608-TODAY())</f>
        <v/>
      </c>
      <c r="N608" s="108" t="str">
        <f>IF(B608="","",IF(G608="DECISÃO D.P","EM DECISÃO",IF(G608="","SEM STATUS",IF(M608="","SEM DATA",IF(M608&lt;0,"VENCIDO",IF(M608&lt;=DiasAlerta,"VENCE EM BREVE","NO PRAZO"))))))</f>
        <v/>
      </c>
      <c r="O608" s="109" t="str">
        <f>IF(D608="","",TODAY()-D608)</f>
        <v/>
      </c>
      <c r="P608" s="102" t="n"/>
    </row>
    <row r="609" ht="18" customHeight="1">
      <c r="A609" s="101" t="n"/>
      <c r="B609" s="102" t="n"/>
      <c r="C609" s="102" t="n"/>
      <c r="D609" s="103" t="n"/>
      <c r="E609" s="102" t="n"/>
      <c r="F609" s="104" t="n"/>
      <c r="G609" s="104" t="n"/>
      <c r="H609" s="102" t="n"/>
      <c r="I609" s="105" t="n"/>
      <c r="J609" s="105" t="n"/>
      <c r="K609" s="103" t="n"/>
      <c r="L609" s="106" t="str">
        <f>IF(OR(D609="",E609=""),"",D609+IF(E609="NOTIFICAÇÃO DE CONSTATAÇÃO",PrazoConst,PrazoEsc))</f>
        <v/>
      </c>
      <c r="M609" s="107" t="str">
        <f>IF(L609="","",L609-TODAY())</f>
        <v/>
      </c>
      <c r="N609" s="108" t="str">
        <f>IF(B609="","",IF(G609="DECISÃO D.P","EM DECISÃO",IF(G609="","SEM STATUS",IF(M609="","SEM DATA",IF(M609&lt;0,"VENCIDO",IF(M609&lt;=DiasAlerta,"VENCE EM BREVE","NO PRAZO"))))))</f>
        <v/>
      </c>
      <c r="O609" s="109" t="str">
        <f>IF(D609="","",TODAY()-D609)</f>
        <v/>
      </c>
      <c r="P609" s="102" t="n"/>
    </row>
    <row r="610" ht="18" customHeight="1">
      <c r="A610" s="101" t="n"/>
      <c r="B610" s="102" t="n"/>
      <c r="C610" s="102" t="n"/>
      <c r="D610" s="103" t="n"/>
      <c r="E610" s="102" t="n"/>
      <c r="F610" s="104" t="n"/>
      <c r="G610" s="104" t="n"/>
      <c r="H610" s="102" t="n"/>
      <c r="I610" s="105" t="n"/>
      <c r="J610" s="105" t="n"/>
      <c r="K610" s="103" t="n"/>
      <c r="L610" s="106" t="str">
        <f>IF(OR(D610="",E610=""),"",D610+IF(E610="NOTIFICAÇÃO DE CONSTATAÇÃO",PrazoConst,PrazoEsc))</f>
        <v/>
      </c>
      <c r="M610" s="107" t="str">
        <f>IF(L610="","",L610-TODAY())</f>
        <v/>
      </c>
      <c r="N610" s="108" t="str">
        <f>IF(B610="","",IF(G610="DECISÃO D.P","EM DECISÃO",IF(G610="","SEM STATUS",IF(M610="","SEM DATA",IF(M610&lt;0,"VENCIDO",IF(M610&lt;=DiasAlerta,"VENCE EM BREVE","NO PRAZO"))))))</f>
        <v/>
      </c>
      <c r="O610" s="109" t="str">
        <f>IF(D610="","",TODAY()-D610)</f>
        <v/>
      </c>
      <c r="P610" s="102" t="n"/>
    </row>
    <row r="611" ht="18" customHeight="1">
      <c r="A611" s="101" t="n"/>
      <c r="B611" s="102" t="n"/>
      <c r="C611" s="102" t="n"/>
      <c r="D611" s="103" t="n"/>
      <c r="E611" s="102" t="n"/>
      <c r="F611" s="104" t="n"/>
      <c r="G611" s="104" t="n"/>
      <c r="H611" s="102" t="n"/>
      <c r="I611" s="105" t="n"/>
      <c r="J611" s="105" t="n"/>
      <c r="K611" s="103" t="n"/>
      <c r="L611" s="106" t="str">
        <f>IF(OR(D611="",E611=""),"",D611+IF(E611="NOTIFICAÇÃO DE CONSTATAÇÃO",PrazoConst,PrazoEsc))</f>
        <v/>
      </c>
      <c r="M611" s="107" t="str">
        <f>IF(L611="","",L611-TODAY())</f>
        <v/>
      </c>
      <c r="N611" s="108" t="str">
        <f>IF(B611="","",IF(G611="DECISÃO D.P","EM DECISÃO",IF(G611="","SEM STATUS",IF(M611="","SEM DATA",IF(M611&lt;0,"VENCIDO",IF(M611&lt;=DiasAlerta,"VENCE EM BREVE","NO PRAZO"))))))</f>
        <v/>
      </c>
      <c r="O611" s="109" t="str">
        <f>IF(D611="","",TODAY()-D611)</f>
        <v/>
      </c>
      <c r="P611" s="102" t="n"/>
    </row>
    <row r="612" ht="18" customHeight="1">
      <c r="A612" s="101" t="n"/>
      <c r="B612" s="102" t="n"/>
      <c r="C612" s="102" t="n"/>
      <c r="D612" s="103" t="n"/>
      <c r="E612" s="102" t="n"/>
      <c r="F612" s="104" t="n"/>
      <c r="G612" s="104" t="n"/>
      <c r="H612" s="102" t="n"/>
      <c r="I612" s="105" t="n"/>
      <c r="J612" s="105" t="n"/>
      <c r="K612" s="103" t="n"/>
      <c r="L612" s="106" t="str">
        <f>IF(OR(D612="",E612=""),"",D612+IF(E612="NOTIFICAÇÃO DE CONSTATAÇÃO",PrazoConst,PrazoEsc))</f>
        <v/>
      </c>
      <c r="M612" s="107" t="str">
        <f>IF(L612="","",L612-TODAY())</f>
        <v/>
      </c>
      <c r="N612" s="108" t="str">
        <f>IF(B612="","",IF(G612="DECISÃO D.P","EM DECISÃO",IF(G612="","SEM STATUS",IF(M612="","SEM DATA",IF(M612&lt;0,"VENCIDO",IF(M612&lt;=DiasAlerta,"VENCE EM BREVE","NO PRAZO"))))))</f>
        <v/>
      </c>
      <c r="O612" s="109" t="str">
        <f>IF(D612="","",TODAY()-D612)</f>
        <v/>
      </c>
      <c r="P612" s="102" t="n"/>
    </row>
    <row r="613" ht="18" customHeight="1">
      <c r="A613" s="101" t="n"/>
      <c r="B613" s="102" t="n"/>
      <c r="C613" s="102" t="n"/>
      <c r="D613" s="103" t="n"/>
      <c r="E613" s="102" t="n"/>
      <c r="F613" s="104" t="n"/>
      <c r="G613" s="104" t="n"/>
      <c r="H613" s="102" t="n"/>
      <c r="I613" s="105" t="n"/>
      <c r="J613" s="105" t="n"/>
      <c r="K613" s="103" t="n"/>
      <c r="L613" s="106" t="str">
        <f>IF(OR(D613="",E613=""),"",D613+IF(E613="NOTIFICAÇÃO DE CONSTATAÇÃO",PrazoConst,PrazoEsc))</f>
        <v/>
      </c>
      <c r="M613" s="107" t="str">
        <f>IF(L613="","",L613-TODAY())</f>
        <v/>
      </c>
      <c r="N613" s="108" t="str">
        <f>IF(B613="","",IF(G613="DECISÃO D.P","EM DECISÃO",IF(G613="","SEM STATUS",IF(M613="","SEM DATA",IF(M613&lt;0,"VENCIDO",IF(M613&lt;=DiasAlerta,"VENCE EM BREVE","NO PRAZO"))))))</f>
        <v/>
      </c>
      <c r="O613" s="109" t="str">
        <f>IF(D613="","",TODAY()-D613)</f>
        <v/>
      </c>
      <c r="P613" s="102" t="n"/>
    </row>
    <row r="614" ht="18" customHeight="1">
      <c r="A614" s="101" t="n"/>
      <c r="B614" s="102" t="n"/>
      <c r="C614" s="102" t="n"/>
      <c r="D614" s="103" t="n"/>
      <c r="E614" s="102" t="n"/>
      <c r="F614" s="104" t="n"/>
      <c r="G614" s="104" t="n"/>
      <c r="H614" s="102" t="n"/>
      <c r="I614" s="105" t="n"/>
      <c r="J614" s="105" t="n"/>
      <c r="K614" s="103" t="n"/>
      <c r="L614" s="106" t="str">
        <f>IF(OR(D614="",E614=""),"",D614+IF(E614="NOTIFICAÇÃO DE CONSTATAÇÃO",PrazoConst,PrazoEsc))</f>
        <v/>
      </c>
      <c r="M614" s="107" t="str">
        <f>IF(L614="","",L614-TODAY())</f>
        <v/>
      </c>
      <c r="N614" s="108" t="str">
        <f>IF(B614="","",IF(G614="DECISÃO D.P","EM DECISÃO",IF(G614="","SEM STATUS",IF(M614="","SEM DATA",IF(M614&lt;0,"VENCIDO",IF(M614&lt;=DiasAlerta,"VENCE EM BREVE","NO PRAZO"))))))</f>
        <v/>
      </c>
      <c r="O614" s="109" t="str">
        <f>IF(D614="","",TODAY()-D614)</f>
        <v/>
      </c>
      <c r="P614" s="102" t="n"/>
    </row>
    <row r="615" ht="18" customHeight="1">
      <c r="A615" s="101" t="n"/>
      <c r="B615" s="102" t="n"/>
      <c r="C615" s="102" t="n"/>
      <c r="D615" s="103" t="n"/>
      <c r="E615" s="102" t="n"/>
      <c r="F615" s="104" t="n"/>
      <c r="G615" s="104" t="n"/>
      <c r="H615" s="102" t="n"/>
      <c r="I615" s="105" t="n"/>
      <c r="J615" s="105" t="n"/>
      <c r="K615" s="103" t="n"/>
      <c r="L615" s="106" t="str">
        <f>IF(OR(D615="",E615=""),"",D615+IF(E615="NOTIFICAÇÃO DE CONSTATAÇÃO",PrazoConst,PrazoEsc))</f>
        <v/>
      </c>
      <c r="M615" s="107" t="str">
        <f>IF(L615="","",L615-TODAY())</f>
        <v/>
      </c>
      <c r="N615" s="108" t="str">
        <f>IF(B615="","",IF(G615="DECISÃO D.P","EM DECISÃO",IF(G615="","SEM STATUS",IF(M615="","SEM DATA",IF(M615&lt;0,"VENCIDO",IF(M615&lt;=DiasAlerta,"VENCE EM BREVE","NO PRAZO"))))))</f>
        <v/>
      </c>
      <c r="O615" s="109" t="str">
        <f>IF(D615="","",TODAY()-D615)</f>
        <v/>
      </c>
      <c r="P615" s="102" t="n"/>
    </row>
    <row r="616" ht="18" customHeight="1">
      <c r="A616" s="101" t="n"/>
      <c r="B616" s="102" t="n"/>
      <c r="C616" s="102" t="n"/>
      <c r="D616" s="103" t="n"/>
      <c r="E616" s="102" t="n"/>
      <c r="F616" s="104" t="n"/>
      <c r="G616" s="104" t="n"/>
      <c r="H616" s="102" t="n"/>
      <c r="I616" s="105" t="n"/>
      <c r="J616" s="105" t="n"/>
      <c r="K616" s="103" t="n"/>
      <c r="L616" s="106" t="str">
        <f>IF(OR(D616="",E616=""),"",D616+IF(E616="NOTIFICAÇÃO DE CONSTATAÇÃO",PrazoConst,PrazoEsc))</f>
        <v/>
      </c>
      <c r="M616" s="107" t="str">
        <f>IF(L616="","",L616-TODAY())</f>
        <v/>
      </c>
      <c r="N616" s="108" t="str">
        <f>IF(B616="","",IF(G616="DECISÃO D.P","EM DECISÃO",IF(G616="","SEM STATUS",IF(M616="","SEM DATA",IF(M616&lt;0,"VENCIDO",IF(M616&lt;=DiasAlerta,"VENCE EM BREVE","NO PRAZO"))))))</f>
        <v/>
      </c>
      <c r="O616" s="109" t="str">
        <f>IF(D616="","",TODAY()-D616)</f>
        <v/>
      </c>
      <c r="P616" s="102" t="n"/>
    </row>
    <row r="617" ht="18" customHeight="1">
      <c r="A617" s="101" t="n"/>
      <c r="B617" s="102" t="n"/>
      <c r="C617" s="102" t="n"/>
      <c r="D617" s="103" t="n"/>
      <c r="E617" s="102" t="n"/>
      <c r="F617" s="104" t="n"/>
      <c r="G617" s="104" t="n"/>
      <c r="H617" s="102" t="n"/>
      <c r="I617" s="105" t="n"/>
      <c r="J617" s="105" t="n"/>
      <c r="K617" s="103" t="n"/>
      <c r="L617" s="106" t="str">
        <f>IF(OR(D617="",E617=""),"",D617+IF(E617="NOTIFICAÇÃO DE CONSTATAÇÃO",PrazoConst,PrazoEsc))</f>
        <v/>
      </c>
      <c r="M617" s="107" t="str">
        <f>IF(L617="","",L617-TODAY())</f>
        <v/>
      </c>
      <c r="N617" s="108" t="str">
        <f>IF(B617="","",IF(G617="DECISÃO D.P","EM DECISÃO",IF(G617="","SEM STATUS",IF(M617="","SEM DATA",IF(M617&lt;0,"VENCIDO",IF(M617&lt;=DiasAlerta,"VENCE EM BREVE","NO PRAZO"))))))</f>
        <v/>
      </c>
      <c r="O617" s="109" t="str">
        <f>IF(D617="","",TODAY()-D617)</f>
        <v/>
      </c>
      <c r="P617" s="102" t="n"/>
    </row>
    <row r="618" ht="18" customHeight="1">
      <c r="A618" s="101" t="n"/>
      <c r="B618" s="102" t="n"/>
      <c r="C618" s="102" t="n"/>
      <c r="D618" s="103" t="n"/>
      <c r="E618" s="102" t="n"/>
      <c r="F618" s="104" t="n"/>
      <c r="G618" s="104" t="n"/>
      <c r="H618" s="102" t="n"/>
      <c r="I618" s="105" t="n"/>
      <c r="J618" s="105" t="n"/>
      <c r="K618" s="103" t="n"/>
      <c r="L618" s="106" t="str">
        <f>IF(OR(D618="",E618=""),"",D618+IF(E618="NOTIFICAÇÃO DE CONSTATAÇÃO",PrazoConst,PrazoEsc))</f>
        <v/>
      </c>
      <c r="M618" s="107" t="str">
        <f>IF(L618="","",L618-TODAY())</f>
        <v/>
      </c>
      <c r="N618" s="108" t="str">
        <f>IF(B618="","",IF(G618="DECISÃO D.P","EM DECISÃO",IF(G618="","SEM STATUS",IF(M618="","SEM DATA",IF(M618&lt;0,"VENCIDO",IF(M618&lt;=DiasAlerta,"VENCE EM BREVE","NO PRAZO"))))))</f>
        <v/>
      </c>
      <c r="O618" s="109" t="str">
        <f>IF(D618="","",TODAY()-D618)</f>
        <v/>
      </c>
      <c r="P618" s="102" t="n"/>
    </row>
    <row r="619" ht="18" customHeight="1">
      <c r="A619" s="101" t="n"/>
      <c r="B619" s="102" t="n"/>
      <c r="C619" s="102" t="n"/>
      <c r="D619" s="103" t="n"/>
      <c r="E619" s="102" t="n"/>
      <c r="F619" s="104" t="n"/>
      <c r="G619" s="104" t="n"/>
      <c r="H619" s="102" t="n"/>
      <c r="I619" s="105" t="n"/>
      <c r="J619" s="105" t="n"/>
      <c r="K619" s="103" t="n"/>
      <c r="L619" s="106" t="str">
        <f>IF(OR(D619="",E619=""),"",D619+IF(E619="NOTIFICAÇÃO DE CONSTATAÇÃO",PrazoConst,PrazoEsc))</f>
        <v/>
      </c>
      <c r="M619" s="107" t="str">
        <f>IF(L619="","",L619-TODAY())</f>
        <v/>
      </c>
      <c r="N619" s="108" t="str">
        <f>IF(B619="","",IF(G619="DECISÃO D.P","EM DECISÃO",IF(G619="","SEM STATUS",IF(M619="","SEM DATA",IF(M619&lt;0,"VENCIDO",IF(M619&lt;=DiasAlerta,"VENCE EM BREVE","NO PRAZO"))))))</f>
        <v/>
      </c>
      <c r="O619" s="109" t="str">
        <f>IF(D619="","",TODAY()-D619)</f>
        <v/>
      </c>
      <c r="P619" s="102" t="n"/>
    </row>
    <row r="620" ht="18" customHeight="1">
      <c r="A620" s="101" t="n"/>
      <c r="B620" s="102" t="n"/>
      <c r="C620" s="102" t="n"/>
      <c r="D620" s="103" t="n"/>
      <c r="E620" s="102" t="n"/>
      <c r="F620" s="104" t="n"/>
      <c r="G620" s="104" t="n"/>
      <c r="H620" s="102" t="n"/>
      <c r="I620" s="105" t="n"/>
      <c r="J620" s="105" t="n"/>
      <c r="K620" s="103" t="n"/>
      <c r="L620" s="106" t="str">
        <f>IF(OR(D620="",E620=""),"",D620+IF(E620="NOTIFICAÇÃO DE CONSTATAÇÃO",PrazoConst,PrazoEsc))</f>
        <v/>
      </c>
      <c r="M620" s="107" t="str">
        <f>IF(L620="","",L620-TODAY())</f>
        <v/>
      </c>
      <c r="N620" s="108" t="str">
        <f>IF(B620="","",IF(G620="DECISÃO D.P","EM DECISÃO",IF(G620="","SEM STATUS",IF(M620="","SEM DATA",IF(M620&lt;0,"VENCIDO",IF(M620&lt;=DiasAlerta,"VENCE EM BREVE","NO PRAZO"))))))</f>
        <v/>
      </c>
      <c r="O620" s="109" t="str">
        <f>IF(D620="","",TODAY()-D620)</f>
        <v/>
      </c>
      <c r="P620" s="102" t="n"/>
    </row>
    <row r="621" ht="18" customHeight="1">
      <c r="A621" s="101" t="n"/>
      <c r="B621" s="102" t="n"/>
      <c r="C621" s="102" t="n"/>
      <c r="D621" s="103" t="n"/>
      <c r="E621" s="102" t="n"/>
      <c r="F621" s="104" t="n"/>
      <c r="G621" s="104" t="n"/>
      <c r="H621" s="102" t="n"/>
      <c r="I621" s="105" t="n"/>
      <c r="J621" s="105" t="n"/>
      <c r="K621" s="103" t="n"/>
      <c r="L621" s="106" t="str">
        <f>IF(OR(D621="",E621=""),"",D621+IF(E621="NOTIFICAÇÃO DE CONSTATAÇÃO",PrazoConst,PrazoEsc))</f>
        <v/>
      </c>
      <c r="M621" s="107" t="str">
        <f>IF(L621="","",L621-TODAY())</f>
        <v/>
      </c>
      <c r="N621" s="108" t="str">
        <f>IF(B621="","",IF(G621="DECISÃO D.P","EM DECISÃO",IF(G621="","SEM STATUS",IF(M621="","SEM DATA",IF(M621&lt;0,"VENCIDO",IF(M621&lt;=DiasAlerta,"VENCE EM BREVE","NO PRAZO"))))))</f>
        <v/>
      </c>
      <c r="O621" s="109" t="str">
        <f>IF(D621="","",TODAY()-D621)</f>
        <v/>
      </c>
      <c r="P621" s="102" t="n"/>
    </row>
    <row r="622" ht="18" customHeight="1">
      <c r="A622" s="101" t="n"/>
      <c r="B622" s="102" t="n"/>
      <c r="C622" s="102" t="n"/>
      <c r="D622" s="103" t="n"/>
      <c r="E622" s="102" t="n"/>
      <c r="F622" s="104" t="n"/>
      <c r="G622" s="104" t="n"/>
      <c r="H622" s="102" t="n"/>
      <c r="I622" s="105" t="n"/>
      <c r="J622" s="105" t="n"/>
      <c r="K622" s="103" t="n"/>
      <c r="L622" s="106" t="str">
        <f>IF(OR(D622="",E622=""),"",D622+IF(E622="NOTIFICAÇÃO DE CONSTATAÇÃO",PrazoConst,PrazoEsc))</f>
        <v/>
      </c>
      <c r="M622" s="107" t="str">
        <f>IF(L622="","",L622-TODAY())</f>
        <v/>
      </c>
      <c r="N622" s="108" t="str">
        <f>IF(B622="","",IF(G622="DECISÃO D.P","EM DECISÃO",IF(G622="","SEM STATUS",IF(M622="","SEM DATA",IF(M622&lt;0,"VENCIDO",IF(M622&lt;=DiasAlerta,"VENCE EM BREVE","NO PRAZO"))))))</f>
        <v/>
      </c>
      <c r="O622" s="109" t="str">
        <f>IF(D622="","",TODAY()-D622)</f>
        <v/>
      </c>
      <c r="P622" s="102" t="n"/>
    </row>
    <row r="623" ht="18" customHeight="1">
      <c r="A623" s="101" t="n"/>
      <c r="B623" s="102" t="n"/>
      <c r="C623" s="102" t="n"/>
      <c r="D623" s="103" t="n"/>
      <c r="E623" s="102" t="n"/>
      <c r="F623" s="104" t="n"/>
      <c r="G623" s="104" t="n"/>
      <c r="H623" s="102" t="n"/>
      <c r="I623" s="105" t="n"/>
      <c r="J623" s="105" t="n"/>
      <c r="K623" s="103" t="n"/>
      <c r="L623" s="106" t="str">
        <f>IF(OR(D623="",E623=""),"",D623+IF(E623="NOTIFICAÇÃO DE CONSTATAÇÃO",PrazoConst,PrazoEsc))</f>
        <v/>
      </c>
      <c r="M623" s="107" t="str">
        <f>IF(L623="","",L623-TODAY())</f>
        <v/>
      </c>
      <c r="N623" s="108" t="str">
        <f>IF(B623="","",IF(G623="DECISÃO D.P","EM DECISÃO",IF(G623="","SEM STATUS",IF(M623="","SEM DATA",IF(M623&lt;0,"VENCIDO",IF(M623&lt;=DiasAlerta,"VENCE EM BREVE","NO PRAZO"))))))</f>
        <v/>
      </c>
      <c r="O623" s="109" t="str">
        <f>IF(D623="","",TODAY()-D623)</f>
        <v/>
      </c>
      <c r="P623" s="102" t="n"/>
    </row>
    <row r="624" ht="18" customHeight="1">
      <c r="A624" s="101" t="n"/>
      <c r="B624" s="102" t="n"/>
      <c r="C624" s="102" t="n"/>
      <c r="D624" s="103" t="n"/>
      <c r="E624" s="102" t="n"/>
      <c r="F624" s="104" t="n"/>
      <c r="G624" s="104" t="n"/>
      <c r="H624" s="102" t="n"/>
      <c r="I624" s="105" t="n"/>
      <c r="J624" s="105" t="n"/>
      <c r="K624" s="103" t="n"/>
      <c r="L624" s="106" t="str">
        <f>IF(OR(D624="",E624=""),"",D624+IF(E624="NOTIFICAÇÃO DE CONSTATAÇÃO",PrazoConst,PrazoEsc))</f>
        <v/>
      </c>
      <c r="M624" s="107" t="str">
        <f>IF(L624="","",L624-TODAY())</f>
        <v/>
      </c>
      <c r="N624" s="108" t="str">
        <f>IF(B624="","",IF(G624="DECISÃO D.P","EM DECISÃO",IF(G624="","SEM STATUS",IF(M624="","SEM DATA",IF(M624&lt;0,"VENCIDO",IF(M624&lt;=DiasAlerta,"VENCE EM BREVE","NO PRAZO"))))))</f>
        <v/>
      </c>
      <c r="O624" s="109" t="str">
        <f>IF(D624="","",TODAY()-D624)</f>
        <v/>
      </c>
      <c r="P624" s="102" t="n"/>
    </row>
    <row r="625" ht="18" customHeight="1">
      <c r="A625" s="101" t="n"/>
      <c r="B625" s="102" t="n"/>
      <c r="C625" s="102" t="n"/>
      <c r="D625" s="103" t="n"/>
      <c r="E625" s="102" t="n"/>
      <c r="F625" s="104" t="n"/>
      <c r="G625" s="104" t="n"/>
      <c r="H625" s="102" t="n"/>
      <c r="I625" s="105" t="n"/>
      <c r="J625" s="105" t="n"/>
      <c r="K625" s="103" t="n"/>
      <c r="L625" s="106" t="str">
        <f>IF(OR(D625="",E625=""),"",D625+IF(E625="NOTIFICAÇÃO DE CONSTATAÇÃO",PrazoConst,PrazoEsc))</f>
        <v/>
      </c>
      <c r="M625" s="107" t="str">
        <f>IF(L625="","",L625-TODAY())</f>
        <v/>
      </c>
      <c r="N625" s="108" t="str">
        <f>IF(B625="","",IF(G625="DECISÃO D.P","EM DECISÃO",IF(G625="","SEM STATUS",IF(M625="","SEM DATA",IF(M625&lt;0,"VENCIDO",IF(M625&lt;=DiasAlerta,"VENCE EM BREVE","NO PRAZO"))))))</f>
        <v/>
      </c>
      <c r="O625" s="109" t="str">
        <f>IF(D625="","",TODAY()-D625)</f>
        <v/>
      </c>
      <c r="P625" s="102" t="n"/>
    </row>
    <row r="626" ht="18" customHeight="1">
      <c r="A626" s="101" t="n"/>
      <c r="B626" s="102" t="n"/>
      <c r="C626" s="102" t="n"/>
      <c r="D626" s="103" t="n"/>
      <c r="E626" s="102" t="n"/>
      <c r="F626" s="104" t="n"/>
      <c r="G626" s="104" t="n"/>
      <c r="H626" s="102" t="n"/>
      <c r="I626" s="105" t="n"/>
      <c r="J626" s="105" t="n"/>
      <c r="K626" s="103" t="n"/>
      <c r="L626" s="106" t="str">
        <f>IF(OR(D626="",E626=""),"",D626+IF(E626="NOTIFICAÇÃO DE CONSTATAÇÃO",PrazoConst,PrazoEsc))</f>
        <v/>
      </c>
      <c r="M626" s="107" t="str">
        <f>IF(L626="","",L626-TODAY())</f>
        <v/>
      </c>
      <c r="N626" s="108" t="str">
        <f>IF(B626="","",IF(G626="DECISÃO D.P","EM DECISÃO",IF(G626="","SEM STATUS",IF(M626="","SEM DATA",IF(M626&lt;0,"VENCIDO",IF(M626&lt;=DiasAlerta,"VENCE EM BREVE","NO PRAZO"))))))</f>
        <v/>
      </c>
      <c r="O626" s="109" t="str">
        <f>IF(D626="","",TODAY()-D626)</f>
        <v/>
      </c>
      <c r="P626" s="102" t="n"/>
    </row>
    <row r="627" ht="18" customHeight="1">
      <c r="A627" s="101" t="n"/>
      <c r="B627" s="102" t="n"/>
      <c r="C627" s="102" t="n"/>
      <c r="D627" s="103" t="n"/>
      <c r="E627" s="102" t="n"/>
      <c r="F627" s="104" t="n"/>
      <c r="G627" s="104" t="n"/>
      <c r="H627" s="102" t="n"/>
      <c r="I627" s="105" t="n"/>
      <c r="J627" s="105" t="n"/>
      <c r="K627" s="103" t="n"/>
      <c r="L627" s="106" t="str">
        <f>IF(OR(D627="",E627=""),"",D627+IF(E627="NOTIFICAÇÃO DE CONSTATAÇÃO",PrazoConst,PrazoEsc))</f>
        <v/>
      </c>
      <c r="M627" s="107" t="str">
        <f>IF(L627="","",L627-TODAY())</f>
        <v/>
      </c>
      <c r="N627" s="108" t="str">
        <f>IF(B627="","",IF(G627="DECISÃO D.P","EM DECISÃO",IF(G627="","SEM STATUS",IF(M627="","SEM DATA",IF(M627&lt;0,"VENCIDO",IF(M627&lt;=DiasAlerta,"VENCE EM BREVE","NO PRAZO"))))))</f>
        <v/>
      </c>
      <c r="O627" s="109" t="str">
        <f>IF(D627="","",TODAY()-D627)</f>
        <v/>
      </c>
      <c r="P627" s="102" t="n"/>
    </row>
    <row r="628" ht="18" customHeight="1">
      <c r="A628" s="101" t="n"/>
      <c r="B628" s="102" t="n"/>
      <c r="C628" s="102" t="n"/>
      <c r="D628" s="103" t="n"/>
      <c r="E628" s="102" t="n"/>
      <c r="F628" s="104" t="n"/>
      <c r="G628" s="104" t="n"/>
      <c r="H628" s="102" t="n"/>
      <c r="I628" s="105" t="n"/>
      <c r="J628" s="105" t="n"/>
      <c r="K628" s="103" t="n"/>
      <c r="L628" s="106" t="str">
        <f>IF(OR(D628="",E628=""),"",D628+IF(E628="NOTIFICAÇÃO DE CONSTATAÇÃO",PrazoConst,PrazoEsc))</f>
        <v/>
      </c>
      <c r="M628" s="107" t="str">
        <f>IF(L628="","",L628-TODAY())</f>
        <v/>
      </c>
      <c r="N628" s="108" t="str">
        <f>IF(B628="","",IF(G628="DECISÃO D.P","EM DECISÃO",IF(G628="","SEM STATUS",IF(M628="","SEM DATA",IF(M628&lt;0,"VENCIDO",IF(M628&lt;=DiasAlerta,"VENCE EM BREVE","NO PRAZO"))))))</f>
        <v/>
      </c>
      <c r="O628" s="109" t="str">
        <f>IF(D628="","",TODAY()-D628)</f>
        <v/>
      </c>
      <c r="P628" s="102" t="n"/>
    </row>
    <row r="629" ht="18" customHeight="1">
      <c r="A629" s="101" t="n"/>
      <c r="B629" s="102" t="n"/>
      <c r="C629" s="102" t="n"/>
      <c r="D629" s="103" t="n"/>
      <c r="E629" s="102" t="n"/>
      <c r="F629" s="104" t="n"/>
      <c r="G629" s="104" t="n"/>
      <c r="H629" s="102" t="n"/>
      <c r="I629" s="105" t="n"/>
      <c r="J629" s="105" t="n"/>
      <c r="K629" s="103" t="n"/>
      <c r="L629" s="106" t="str">
        <f>IF(OR(D629="",E629=""),"",D629+IF(E629="NOTIFICAÇÃO DE CONSTATAÇÃO",PrazoConst,PrazoEsc))</f>
        <v/>
      </c>
      <c r="M629" s="107" t="str">
        <f>IF(L629="","",L629-TODAY())</f>
        <v/>
      </c>
      <c r="N629" s="108" t="str">
        <f>IF(B629="","",IF(G629="DECISÃO D.P","EM DECISÃO",IF(G629="","SEM STATUS",IF(M629="","SEM DATA",IF(M629&lt;0,"VENCIDO",IF(M629&lt;=DiasAlerta,"VENCE EM BREVE","NO PRAZO"))))))</f>
        <v/>
      </c>
      <c r="O629" s="109" t="str">
        <f>IF(D629="","",TODAY()-D629)</f>
        <v/>
      </c>
      <c r="P629" s="102" t="n"/>
    </row>
    <row r="630" ht="18" customHeight="1">
      <c r="A630" s="101" t="n"/>
      <c r="B630" s="102" t="n"/>
      <c r="C630" s="102" t="n"/>
      <c r="D630" s="103" t="n"/>
      <c r="E630" s="102" t="n"/>
      <c r="F630" s="104" t="n"/>
      <c r="G630" s="104" t="n"/>
      <c r="H630" s="102" t="n"/>
      <c r="I630" s="105" t="n"/>
      <c r="J630" s="105" t="n"/>
      <c r="K630" s="103" t="n"/>
      <c r="L630" s="106" t="str">
        <f>IF(OR(D630="",E630=""),"",D630+IF(E630="NOTIFICAÇÃO DE CONSTATAÇÃO",PrazoConst,PrazoEsc))</f>
        <v/>
      </c>
      <c r="M630" s="107" t="str">
        <f>IF(L630="","",L630-TODAY())</f>
        <v/>
      </c>
      <c r="N630" s="108" t="str">
        <f>IF(B630="","",IF(G630="DECISÃO D.P","EM DECISÃO",IF(G630="","SEM STATUS",IF(M630="","SEM DATA",IF(M630&lt;0,"VENCIDO",IF(M630&lt;=DiasAlerta,"VENCE EM BREVE","NO PRAZO"))))))</f>
        <v/>
      </c>
      <c r="O630" s="109" t="str">
        <f>IF(D630="","",TODAY()-D630)</f>
        <v/>
      </c>
      <c r="P630" s="102" t="n"/>
    </row>
    <row r="631" ht="18" customHeight="1">
      <c r="A631" s="101" t="n"/>
      <c r="B631" s="102" t="n"/>
      <c r="C631" s="102" t="n"/>
      <c r="D631" s="103" t="n"/>
      <c r="E631" s="102" t="n"/>
      <c r="F631" s="104" t="n"/>
      <c r="G631" s="104" t="n"/>
      <c r="H631" s="102" t="n"/>
      <c r="I631" s="105" t="n"/>
      <c r="J631" s="105" t="n"/>
      <c r="K631" s="103" t="n"/>
      <c r="L631" s="106" t="str">
        <f>IF(OR(D631="",E631=""),"",D631+IF(E631="NOTIFICAÇÃO DE CONSTATAÇÃO",PrazoConst,PrazoEsc))</f>
        <v/>
      </c>
      <c r="M631" s="107" t="str">
        <f>IF(L631="","",L631-TODAY())</f>
        <v/>
      </c>
      <c r="N631" s="108" t="str">
        <f>IF(B631="","",IF(G631="DECISÃO D.P","EM DECISÃO",IF(G631="","SEM STATUS",IF(M631="","SEM DATA",IF(M631&lt;0,"VENCIDO",IF(M631&lt;=DiasAlerta,"VENCE EM BREVE","NO PRAZO"))))))</f>
        <v/>
      </c>
      <c r="O631" s="109" t="str">
        <f>IF(D631="","",TODAY()-D631)</f>
        <v/>
      </c>
      <c r="P631" s="102" t="n"/>
    </row>
    <row r="632" ht="18" customHeight="1">
      <c r="A632" s="101" t="n"/>
      <c r="B632" s="102" t="n"/>
      <c r="C632" s="102" t="n"/>
      <c r="D632" s="103" t="n"/>
      <c r="E632" s="102" t="n"/>
      <c r="F632" s="104" t="n"/>
      <c r="G632" s="104" t="n"/>
      <c r="H632" s="102" t="n"/>
      <c r="I632" s="105" t="n"/>
      <c r="J632" s="105" t="n"/>
      <c r="K632" s="103" t="n"/>
      <c r="L632" s="106" t="str">
        <f>IF(OR(D632="",E632=""),"",D632+IF(E632="NOTIFICAÇÃO DE CONSTATAÇÃO",PrazoConst,PrazoEsc))</f>
        <v/>
      </c>
      <c r="M632" s="107" t="str">
        <f>IF(L632="","",L632-TODAY())</f>
        <v/>
      </c>
      <c r="N632" s="108" t="str">
        <f>IF(B632="","",IF(G632="DECISÃO D.P","EM DECISÃO",IF(G632="","SEM STATUS",IF(M632="","SEM DATA",IF(M632&lt;0,"VENCIDO",IF(M632&lt;=DiasAlerta,"VENCE EM BREVE","NO PRAZO"))))))</f>
        <v/>
      </c>
      <c r="O632" s="109" t="str">
        <f>IF(D632="","",TODAY()-D632)</f>
        <v/>
      </c>
      <c r="P632" s="102" t="n"/>
    </row>
    <row r="633" ht="18" customHeight="1">
      <c r="A633" s="101" t="n"/>
      <c r="B633" s="102" t="n"/>
      <c r="C633" s="102" t="n"/>
      <c r="D633" s="103" t="n"/>
      <c r="E633" s="102" t="n"/>
      <c r="F633" s="104" t="n"/>
      <c r="G633" s="104" t="n"/>
      <c r="H633" s="102" t="n"/>
      <c r="I633" s="105" t="n"/>
      <c r="J633" s="105" t="n"/>
      <c r="K633" s="103" t="n"/>
      <c r="L633" s="106" t="str">
        <f>IF(OR(D633="",E633=""),"",D633+IF(E633="NOTIFICAÇÃO DE CONSTATAÇÃO",PrazoConst,PrazoEsc))</f>
        <v/>
      </c>
      <c r="M633" s="107" t="str">
        <f>IF(L633="","",L633-TODAY())</f>
        <v/>
      </c>
      <c r="N633" s="108" t="str">
        <f>IF(B633="","",IF(G633="DECISÃO D.P","EM DECISÃO",IF(G633="","SEM STATUS",IF(M633="","SEM DATA",IF(M633&lt;0,"VENCIDO",IF(M633&lt;=DiasAlerta,"VENCE EM BREVE","NO PRAZO"))))))</f>
        <v/>
      </c>
      <c r="O633" s="109" t="str">
        <f>IF(D633="","",TODAY()-D633)</f>
        <v/>
      </c>
      <c r="P633" s="102" t="n"/>
    </row>
    <row r="634" ht="18" customHeight="1">
      <c r="A634" s="101" t="n"/>
      <c r="B634" s="102" t="n"/>
      <c r="C634" s="102" t="n"/>
      <c r="D634" s="103" t="n"/>
      <c r="E634" s="102" t="n"/>
      <c r="F634" s="104" t="n"/>
      <c r="G634" s="104" t="n"/>
      <c r="H634" s="102" t="n"/>
      <c r="I634" s="105" t="n"/>
      <c r="J634" s="105" t="n"/>
      <c r="K634" s="103" t="n"/>
      <c r="L634" s="106" t="str">
        <f>IF(OR(D634="",E634=""),"",D634+IF(E634="NOTIFICAÇÃO DE CONSTATAÇÃO",PrazoConst,PrazoEsc))</f>
        <v/>
      </c>
      <c r="M634" s="107" t="str">
        <f>IF(L634="","",L634-TODAY())</f>
        <v/>
      </c>
      <c r="N634" s="108" t="str">
        <f>IF(B634="","",IF(G634="DECISÃO D.P","EM DECISÃO",IF(G634="","SEM STATUS",IF(M634="","SEM DATA",IF(M634&lt;0,"VENCIDO",IF(M634&lt;=DiasAlerta,"VENCE EM BREVE","NO PRAZO"))))))</f>
        <v/>
      </c>
      <c r="O634" s="109" t="str">
        <f>IF(D634="","",TODAY()-D634)</f>
        <v/>
      </c>
      <c r="P634" s="102" t="n"/>
    </row>
    <row r="635" ht="18" customHeight="1">
      <c r="A635" s="101" t="n"/>
      <c r="B635" s="102" t="n"/>
      <c r="C635" s="102" t="n"/>
      <c r="D635" s="103" t="n"/>
      <c r="E635" s="102" t="n"/>
      <c r="F635" s="104" t="n"/>
      <c r="G635" s="104" t="n"/>
      <c r="H635" s="102" t="n"/>
      <c r="I635" s="105" t="n"/>
      <c r="J635" s="105" t="n"/>
      <c r="K635" s="103" t="n"/>
      <c r="L635" s="106" t="str">
        <f>IF(OR(D635="",E635=""),"",D635+IF(E635="NOTIFICAÇÃO DE CONSTATAÇÃO",PrazoConst,PrazoEsc))</f>
        <v/>
      </c>
      <c r="M635" s="107" t="str">
        <f>IF(L635="","",L635-TODAY())</f>
        <v/>
      </c>
      <c r="N635" s="108" t="str">
        <f>IF(B635="","",IF(G635="DECISÃO D.P","EM DECISÃO",IF(G635="","SEM STATUS",IF(M635="","SEM DATA",IF(M635&lt;0,"VENCIDO",IF(M635&lt;=DiasAlerta,"VENCE EM BREVE","NO PRAZO"))))))</f>
        <v/>
      </c>
      <c r="O635" s="109" t="str">
        <f>IF(D635="","",TODAY()-D635)</f>
        <v/>
      </c>
      <c r="P635" s="102" t="n"/>
    </row>
    <row r="636" ht="18" customHeight="1">
      <c r="A636" s="101" t="n"/>
      <c r="B636" s="102" t="n"/>
      <c r="C636" s="102" t="n"/>
      <c r="D636" s="103" t="n"/>
      <c r="E636" s="102" t="n"/>
      <c r="F636" s="104" t="n"/>
      <c r="G636" s="104" t="n"/>
      <c r="H636" s="102" t="n"/>
      <c r="I636" s="105" t="n"/>
      <c r="J636" s="105" t="n"/>
      <c r="K636" s="103" t="n"/>
      <c r="L636" s="106" t="str">
        <f>IF(OR(D636="",E636=""),"",D636+IF(E636="NOTIFICAÇÃO DE CONSTATAÇÃO",PrazoConst,PrazoEsc))</f>
        <v/>
      </c>
      <c r="M636" s="107" t="str">
        <f>IF(L636="","",L636-TODAY())</f>
        <v/>
      </c>
      <c r="N636" s="108" t="str">
        <f>IF(B636="","",IF(G636="DECISÃO D.P","EM DECISÃO",IF(G636="","SEM STATUS",IF(M636="","SEM DATA",IF(M636&lt;0,"VENCIDO",IF(M636&lt;=DiasAlerta,"VENCE EM BREVE","NO PRAZO"))))))</f>
        <v/>
      </c>
      <c r="O636" s="109" t="str">
        <f>IF(D636="","",TODAY()-D636)</f>
        <v/>
      </c>
      <c r="P636" s="102" t="n"/>
    </row>
    <row r="637" ht="18" customHeight="1">
      <c r="A637" s="101" t="n"/>
      <c r="B637" s="102" t="n"/>
      <c r="C637" s="102" t="n"/>
      <c r="D637" s="103" t="n"/>
      <c r="E637" s="102" t="n"/>
      <c r="F637" s="104" t="n"/>
      <c r="G637" s="104" t="n"/>
      <c r="H637" s="102" t="n"/>
      <c r="I637" s="105" t="n"/>
      <c r="J637" s="105" t="n"/>
      <c r="K637" s="103" t="n"/>
      <c r="L637" s="106" t="str">
        <f>IF(OR(D637="",E637=""),"",D637+IF(E637="NOTIFICAÇÃO DE CONSTATAÇÃO",PrazoConst,PrazoEsc))</f>
        <v/>
      </c>
      <c r="M637" s="107" t="str">
        <f>IF(L637="","",L637-TODAY())</f>
        <v/>
      </c>
      <c r="N637" s="108" t="str">
        <f>IF(B637="","",IF(G637="DECISÃO D.P","EM DECISÃO",IF(G637="","SEM STATUS",IF(M637="","SEM DATA",IF(M637&lt;0,"VENCIDO",IF(M637&lt;=DiasAlerta,"VENCE EM BREVE","NO PRAZO"))))))</f>
        <v/>
      </c>
      <c r="O637" s="109" t="str">
        <f>IF(D637="","",TODAY()-D637)</f>
        <v/>
      </c>
      <c r="P637" s="102" t="n"/>
    </row>
    <row r="638" ht="18" customHeight="1">
      <c r="A638" s="101" t="n"/>
      <c r="B638" s="102" t="n"/>
      <c r="C638" s="102" t="n"/>
      <c r="D638" s="103" t="n"/>
      <c r="E638" s="102" t="n"/>
      <c r="F638" s="104" t="n"/>
      <c r="G638" s="104" t="n"/>
      <c r="H638" s="102" t="n"/>
      <c r="I638" s="105" t="n"/>
      <c r="J638" s="105" t="n"/>
      <c r="K638" s="103" t="n"/>
      <c r="L638" s="106" t="str">
        <f>IF(OR(D638="",E638=""),"",D638+IF(E638="NOTIFICAÇÃO DE CONSTATAÇÃO",PrazoConst,PrazoEsc))</f>
        <v/>
      </c>
      <c r="M638" s="107" t="str">
        <f>IF(L638="","",L638-TODAY())</f>
        <v/>
      </c>
      <c r="N638" s="108" t="str">
        <f>IF(B638="","",IF(G638="DECISÃO D.P","EM DECISÃO",IF(G638="","SEM STATUS",IF(M638="","SEM DATA",IF(M638&lt;0,"VENCIDO",IF(M638&lt;=DiasAlerta,"VENCE EM BREVE","NO PRAZO"))))))</f>
        <v/>
      </c>
      <c r="O638" s="109" t="str">
        <f>IF(D638="","",TODAY()-D638)</f>
        <v/>
      </c>
      <c r="P638" s="102" t="n"/>
    </row>
    <row r="639" ht="18" customHeight="1">
      <c r="A639" s="101" t="n"/>
      <c r="B639" s="102" t="n"/>
      <c r="C639" s="102" t="n"/>
      <c r="D639" s="103" t="n"/>
      <c r="E639" s="102" t="n"/>
      <c r="F639" s="104" t="n"/>
      <c r="G639" s="104" t="n"/>
      <c r="H639" s="102" t="n"/>
      <c r="I639" s="105" t="n"/>
      <c r="J639" s="105" t="n"/>
      <c r="K639" s="103" t="n"/>
      <c r="L639" s="106" t="str">
        <f>IF(OR(D639="",E639=""),"",D639+IF(E639="NOTIFICAÇÃO DE CONSTATAÇÃO",PrazoConst,PrazoEsc))</f>
        <v/>
      </c>
      <c r="M639" s="107" t="str">
        <f>IF(L639="","",L639-TODAY())</f>
        <v/>
      </c>
      <c r="N639" s="108" t="str">
        <f>IF(B639="","",IF(G639="DECISÃO D.P","EM DECISÃO",IF(G639="","SEM STATUS",IF(M639="","SEM DATA",IF(M639&lt;0,"VENCIDO",IF(M639&lt;=DiasAlerta,"VENCE EM BREVE","NO PRAZO"))))))</f>
        <v/>
      </c>
      <c r="O639" s="109" t="str">
        <f>IF(D639="","",TODAY()-D639)</f>
        <v/>
      </c>
      <c r="P639" s="102" t="n"/>
    </row>
    <row r="640" ht="18" customHeight="1">
      <c r="A640" s="101" t="n"/>
      <c r="B640" s="102" t="n"/>
      <c r="C640" s="102" t="n"/>
      <c r="D640" s="103" t="n"/>
      <c r="E640" s="102" t="n"/>
      <c r="F640" s="104" t="n"/>
      <c r="G640" s="104" t="n"/>
      <c r="H640" s="102" t="n"/>
      <c r="I640" s="105" t="n"/>
      <c r="J640" s="105" t="n"/>
      <c r="K640" s="103" t="n"/>
      <c r="L640" s="106" t="str">
        <f>IF(OR(D640="",E640=""),"",D640+IF(E640="NOTIFICAÇÃO DE CONSTATAÇÃO",PrazoConst,PrazoEsc))</f>
        <v/>
      </c>
      <c r="M640" s="107" t="str">
        <f>IF(L640="","",L640-TODAY())</f>
        <v/>
      </c>
      <c r="N640" s="108" t="str">
        <f>IF(B640="","",IF(G640="DECISÃO D.P","EM DECISÃO",IF(G640="","SEM STATUS",IF(M640="","SEM DATA",IF(M640&lt;0,"VENCIDO",IF(M640&lt;=DiasAlerta,"VENCE EM BREVE","NO PRAZO"))))))</f>
        <v/>
      </c>
      <c r="O640" s="109" t="str">
        <f>IF(D640="","",TODAY()-D640)</f>
        <v/>
      </c>
      <c r="P640" s="102" t="n"/>
    </row>
    <row r="641" ht="18" customHeight="1">
      <c r="A641" s="101" t="n"/>
      <c r="B641" s="102" t="n"/>
      <c r="C641" s="102" t="n"/>
      <c r="D641" s="103" t="n"/>
      <c r="E641" s="102" t="n"/>
      <c r="F641" s="104" t="n"/>
      <c r="G641" s="104" t="n"/>
      <c r="H641" s="102" t="n"/>
      <c r="I641" s="105" t="n"/>
      <c r="J641" s="105" t="n"/>
      <c r="K641" s="103" t="n"/>
      <c r="L641" s="106" t="str">
        <f>IF(OR(D641="",E641=""),"",D641+IF(E641="NOTIFICAÇÃO DE CONSTATAÇÃO",PrazoConst,PrazoEsc))</f>
        <v/>
      </c>
      <c r="M641" s="107" t="str">
        <f>IF(L641="","",L641-TODAY())</f>
        <v/>
      </c>
      <c r="N641" s="108" t="str">
        <f>IF(B641="","",IF(G641="DECISÃO D.P","EM DECISÃO",IF(G641="","SEM STATUS",IF(M641="","SEM DATA",IF(M641&lt;0,"VENCIDO",IF(M641&lt;=DiasAlerta,"VENCE EM BREVE","NO PRAZO"))))))</f>
        <v/>
      </c>
      <c r="O641" s="109" t="str">
        <f>IF(D641="","",TODAY()-D641)</f>
        <v/>
      </c>
      <c r="P641" s="102" t="n"/>
    </row>
    <row r="642" ht="18" customHeight="1">
      <c r="A642" s="101" t="n"/>
      <c r="B642" s="102" t="n"/>
      <c r="C642" s="102" t="n"/>
      <c r="D642" s="103" t="n"/>
      <c r="E642" s="102" t="n"/>
      <c r="F642" s="104" t="n"/>
      <c r="G642" s="104" t="n"/>
      <c r="H642" s="102" t="n"/>
      <c r="I642" s="105" t="n"/>
      <c r="J642" s="105" t="n"/>
      <c r="K642" s="103" t="n"/>
      <c r="L642" s="106" t="str">
        <f>IF(OR(D642="",E642=""),"",D642+IF(E642="NOTIFICAÇÃO DE CONSTATAÇÃO",PrazoConst,PrazoEsc))</f>
        <v/>
      </c>
      <c r="M642" s="107" t="str">
        <f>IF(L642="","",L642-TODAY())</f>
        <v/>
      </c>
      <c r="N642" s="108" t="str">
        <f>IF(B642="","",IF(G642="DECISÃO D.P","EM DECISÃO",IF(G642="","SEM STATUS",IF(M642="","SEM DATA",IF(M642&lt;0,"VENCIDO",IF(M642&lt;=DiasAlerta,"VENCE EM BREVE","NO PRAZO"))))))</f>
        <v/>
      </c>
      <c r="O642" s="109" t="str">
        <f>IF(D642="","",TODAY()-D642)</f>
        <v/>
      </c>
      <c r="P642" s="102" t="n"/>
    </row>
    <row r="643" ht="18" customHeight="1">
      <c r="A643" s="101" t="n"/>
      <c r="B643" s="102" t="n"/>
      <c r="C643" s="102" t="n"/>
      <c r="D643" s="103" t="n"/>
      <c r="E643" s="102" t="n"/>
      <c r="F643" s="104" t="n"/>
      <c r="G643" s="104" t="n"/>
      <c r="H643" s="102" t="n"/>
      <c r="I643" s="105" t="n"/>
      <c r="J643" s="105" t="n"/>
      <c r="K643" s="103" t="n"/>
      <c r="L643" s="106" t="str">
        <f>IF(OR(D643="",E643=""),"",D643+IF(E643="NOTIFICAÇÃO DE CONSTATAÇÃO",PrazoConst,PrazoEsc))</f>
        <v/>
      </c>
      <c r="M643" s="107" t="str">
        <f>IF(L643="","",L643-TODAY())</f>
        <v/>
      </c>
      <c r="N643" s="108" t="str">
        <f>IF(B643="","",IF(G643="DECISÃO D.P","EM DECISÃO",IF(G643="","SEM STATUS",IF(M643="","SEM DATA",IF(M643&lt;0,"VENCIDO",IF(M643&lt;=DiasAlerta,"VENCE EM BREVE","NO PRAZO"))))))</f>
        <v/>
      </c>
      <c r="O643" s="109" t="str">
        <f>IF(D643="","",TODAY()-D643)</f>
        <v/>
      </c>
      <c r="P643" s="102" t="n"/>
    </row>
    <row r="644" ht="18" customHeight="1">
      <c r="A644" s="101" t="n"/>
      <c r="B644" s="102" t="n"/>
      <c r="C644" s="102" t="n"/>
      <c r="D644" s="103" t="n"/>
      <c r="E644" s="102" t="n"/>
      <c r="F644" s="104" t="n"/>
      <c r="G644" s="104" t="n"/>
      <c r="H644" s="102" t="n"/>
      <c r="I644" s="105" t="n"/>
      <c r="J644" s="105" t="n"/>
      <c r="K644" s="103" t="n"/>
      <c r="L644" s="106" t="str">
        <f>IF(OR(D644="",E644=""),"",D644+IF(E644="NOTIFICAÇÃO DE CONSTATAÇÃO",PrazoConst,PrazoEsc))</f>
        <v/>
      </c>
      <c r="M644" s="107" t="str">
        <f>IF(L644="","",L644-TODAY())</f>
        <v/>
      </c>
      <c r="N644" s="108" t="str">
        <f>IF(B644="","",IF(G644="DECISÃO D.P","EM DECISÃO",IF(G644="","SEM STATUS",IF(M644="","SEM DATA",IF(M644&lt;0,"VENCIDO",IF(M644&lt;=DiasAlerta,"VENCE EM BREVE","NO PRAZO"))))))</f>
        <v/>
      </c>
      <c r="O644" s="109" t="str">
        <f>IF(D644="","",TODAY()-D644)</f>
        <v/>
      </c>
      <c r="P644" s="102" t="n"/>
    </row>
    <row r="645" ht="18" customHeight="1">
      <c r="A645" s="101" t="n"/>
      <c r="B645" s="102" t="n"/>
      <c r="C645" s="102" t="n"/>
      <c r="D645" s="103" t="n"/>
      <c r="E645" s="102" t="n"/>
      <c r="F645" s="104" t="n"/>
      <c r="G645" s="104" t="n"/>
      <c r="H645" s="102" t="n"/>
      <c r="I645" s="105" t="n"/>
      <c r="J645" s="105" t="n"/>
      <c r="K645" s="103" t="n"/>
      <c r="L645" s="106" t="str">
        <f>IF(OR(D645="",E645=""),"",D645+IF(E645="NOTIFICAÇÃO DE CONSTATAÇÃO",PrazoConst,PrazoEsc))</f>
        <v/>
      </c>
      <c r="M645" s="107" t="str">
        <f>IF(L645="","",L645-TODAY())</f>
        <v/>
      </c>
      <c r="N645" s="108" t="str">
        <f>IF(B645="","",IF(G645="DECISÃO D.P","EM DECISÃO",IF(G645="","SEM STATUS",IF(M645="","SEM DATA",IF(M645&lt;0,"VENCIDO",IF(M645&lt;=DiasAlerta,"VENCE EM BREVE","NO PRAZO"))))))</f>
        <v/>
      </c>
      <c r="O645" s="109" t="str">
        <f>IF(D645="","",TODAY()-D645)</f>
        <v/>
      </c>
      <c r="P645" s="102" t="n"/>
    </row>
    <row r="646" ht="18" customHeight="1">
      <c r="A646" s="101" t="n"/>
      <c r="B646" s="102" t="n"/>
      <c r="C646" s="102" t="n"/>
      <c r="D646" s="103" t="n"/>
      <c r="E646" s="102" t="n"/>
      <c r="F646" s="104" t="n"/>
      <c r="G646" s="104" t="n"/>
      <c r="H646" s="102" t="n"/>
      <c r="I646" s="105" t="n"/>
      <c r="J646" s="105" t="n"/>
      <c r="K646" s="103" t="n"/>
      <c r="L646" s="106" t="str">
        <f>IF(OR(D646="",E646=""),"",D646+IF(E646="NOTIFICAÇÃO DE CONSTATAÇÃO",PrazoConst,PrazoEsc))</f>
        <v/>
      </c>
      <c r="M646" s="107" t="str">
        <f>IF(L646="","",L646-TODAY())</f>
        <v/>
      </c>
      <c r="N646" s="108" t="str">
        <f>IF(B646="","",IF(G646="DECISÃO D.P","EM DECISÃO",IF(G646="","SEM STATUS",IF(M646="","SEM DATA",IF(M646&lt;0,"VENCIDO",IF(M646&lt;=DiasAlerta,"VENCE EM BREVE","NO PRAZO"))))))</f>
        <v/>
      </c>
      <c r="O646" s="109" t="str">
        <f>IF(D646="","",TODAY()-D646)</f>
        <v/>
      </c>
      <c r="P646" s="102" t="n"/>
    </row>
    <row r="647" ht="18" customHeight="1">
      <c r="A647" s="101" t="n"/>
      <c r="B647" s="102" t="n"/>
      <c r="C647" s="102" t="n"/>
      <c r="D647" s="103" t="n"/>
      <c r="E647" s="102" t="n"/>
      <c r="F647" s="104" t="n"/>
      <c r="G647" s="104" t="n"/>
      <c r="H647" s="102" t="n"/>
      <c r="I647" s="105" t="n"/>
      <c r="J647" s="105" t="n"/>
      <c r="K647" s="103" t="n"/>
      <c r="L647" s="106" t="str">
        <f>IF(OR(D647="",E647=""),"",D647+IF(E647="NOTIFICAÇÃO DE CONSTATAÇÃO",PrazoConst,PrazoEsc))</f>
        <v/>
      </c>
      <c r="M647" s="107" t="str">
        <f>IF(L647="","",L647-TODAY())</f>
        <v/>
      </c>
      <c r="N647" s="108" t="str">
        <f>IF(B647="","",IF(G647="DECISÃO D.P","EM DECISÃO",IF(G647="","SEM STATUS",IF(M647="","SEM DATA",IF(M647&lt;0,"VENCIDO",IF(M647&lt;=DiasAlerta,"VENCE EM BREVE","NO PRAZO"))))))</f>
        <v/>
      </c>
      <c r="O647" s="109" t="str">
        <f>IF(D647="","",TODAY()-D647)</f>
        <v/>
      </c>
      <c r="P647" s="102" t="n"/>
    </row>
    <row r="648" ht="18" customHeight="1">
      <c r="A648" s="101" t="n"/>
      <c r="B648" s="102" t="n"/>
      <c r="C648" s="102" t="n"/>
      <c r="D648" s="103" t="n"/>
      <c r="E648" s="102" t="n"/>
      <c r="F648" s="104" t="n"/>
      <c r="G648" s="104" t="n"/>
      <c r="H648" s="102" t="n"/>
      <c r="I648" s="105" t="n"/>
      <c r="J648" s="105" t="n"/>
      <c r="K648" s="103" t="n"/>
      <c r="L648" s="106" t="str">
        <f>IF(OR(D648="",E648=""),"",D648+IF(E648="NOTIFICAÇÃO DE CONSTATAÇÃO",PrazoConst,PrazoEsc))</f>
        <v/>
      </c>
      <c r="M648" s="107" t="str">
        <f>IF(L648="","",L648-TODAY())</f>
        <v/>
      </c>
      <c r="N648" s="108" t="str">
        <f>IF(B648="","",IF(G648="DECISÃO D.P","EM DECISÃO",IF(G648="","SEM STATUS",IF(M648="","SEM DATA",IF(M648&lt;0,"VENCIDO",IF(M648&lt;=DiasAlerta,"VENCE EM BREVE","NO PRAZO"))))))</f>
        <v/>
      </c>
      <c r="O648" s="109" t="str">
        <f>IF(D648="","",TODAY()-D648)</f>
        <v/>
      </c>
      <c r="P648" s="102" t="n"/>
    </row>
    <row r="649" ht="18" customHeight="1">
      <c r="A649" s="101" t="n"/>
      <c r="B649" s="102" t="n"/>
      <c r="C649" s="102" t="n"/>
      <c r="D649" s="103" t="n"/>
      <c r="E649" s="102" t="n"/>
      <c r="F649" s="104" t="n"/>
      <c r="G649" s="104" t="n"/>
      <c r="H649" s="102" t="n"/>
      <c r="I649" s="105" t="n"/>
      <c r="J649" s="105" t="n"/>
      <c r="K649" s="103" t="n"/>
      <c r="L649" s="106" t="str">
        <f>IF(OR(D649="",E649=""),"",D649+IF(E649="NOTIFICAÇÃO DE CONSTATAÇÃO",PrazoConst,PrazoEsc))</f>
        <v/>
      </c>
      <c r="M649" s="107" t="str">
        <f>IF(L649="","",L649-TODAY())</f>
        <v/>
      </c>
      <c r="N649" s="108" t="str">
        <f>IF(B649="","",IF(G649="DECISÃO D.P","EM DECISÃO",IF(G649="","SEM STATUS",IF(M649="","SEM DATA",IF(M649&lt;0,"VENCIDO",IF(M649&lt;=DiasAlerta,"VENCE EM BREVE","NO PRAZO"))))))</f>
        <v/>
      </c>
      <c r="O649" s="109" t="str">
        <f>IF(D649="","",TODAY()-D649)</f>
        <v/>
      </c>
      <c r="P649" s="102" t="n"/>
    </row>
    <row r="650" ht="18" customHeight="1">
      <c r="A650" s="101" t="n"/>
      <c r="B650" s="102" t="n"/>
      <c r="C650" s="102" t="n"/>
      <c r="D650" s="103" t="n"/>
      <c r="E650" s="102" t="n"/>
      <c r="F650" s="104" t="n"/>
      <c r="G650" s="104" t="n"/>
      <c r="H650" s="102" t="n"/>
      <c r="I650" s="105" t="n"/>
      <c r="J650" s="105" t="n"/>
      <c r="K650" s="103" t="n"/>
      <c r="L650" s="106" t="str">
        <f>IF(OR(D650="",E650=""),"",D650+IF(E650="NOTIFICAÇÃO DE CONSTATAÇÃO",PrazoConst,PrazoEsc))</f>
        <v/>
      </c>
      <c r="M650" s="107" t="str">
        <f>IF(L650="","",L650-TODAY())</f>
        <v/>
      </c>
      <c r="N650" s="108" t="str">
        <f>IF(B650="","",IF(G650="DECISÃO D.P","EM DECISÃO",IF(G650="","SEM STATUS",IF(M650="","SEM DATA",IF(M650&lt;0,"VENCIDO",IF(M650&lt;=DiasAlerta,"VENCE EM BREVE","NO PRAZO"))))))</f>
        <v/>
      </c>
      <c r="O650" s="109" t="str">
        <f>IF(D650="","",TODAY()-D650)</f>
        <v/>
      </c>
      <c r="P650" s="102" t="n"/>
    </row>
    <row r="651" ht="18" customHeight="1">
      <c r="A651" s="101" t="n"/>
      <c r="B651" s="102" t="n"/>
      <c r="C651" s="102" t="n"/>
      <c r="D651" s="103" t="n"/>
      <c r="E651" s="102" t="n"/>
      <c r="F651" s="104" t="n"/>
      <c r="G651" s="104" t="n"/>
      <c r="H651" s="102" t="n"/>
      <c r="I651" s="105" t="n"/>
      <c r="J651" s="105" t="n"/>
      <c r="K651" s="103" t="n"/>
      <c r="L651" s="106" t="str">
        <f>IF(OR(D651="",E651=""),"",D651+IF(E651="NOTIFICAÇÃO DE CONSTATAÇÃO",PrazoConst,PrazoEsc))</f>
        <v/>
      </c>
      <c r="M651" s="107" t="str">
        <f>IF(L651="","",L651-TODAY())</f>
        <v/>
      </c>
      <c r="N651" s="108" t="str">
        <f>IF(B651="","",IF(G651="DECISÃO D.P","EM DECISÃO",IF(G651="","SEM STATUS",IF(M651="","SEM DATA",IF(M651&lt;0,"VENCIDO",IF(M651&lt;=DiasAlerta,"VENCE EM BREVE","NO PRAZO"))))))</f>
        <v/>
      </c>
      <c r="O651" s="109" t="str">
        <f>IF(D651="","",TODAY()-D651)</f>
        <v/>
      </c>
      <c r="P651" s="102" t="n"/>
    </row>
    <row r="652" ht="18" customHeight="1">
      <c r="A652" s="101" t="n"/>
      <c r="B652" s="102" t="n"/>
      <c r="C652" s="102" t="n"/>
      <c r="D652" s="103" t="n"/>
      <c r="E652" s="102" t="n"/>
      <c r="F652" s="104" t="n"/>
      <c r="G652" s="104" t="n"/>
      <c r="H652" s="102" t="n"/>
      <c r="I652" s="105" t="n"/>
      <c r="J652" s="105" t="n"/>
      <c r="K652" s="103" t="n"/>
      <c r="L652" s="106" t="str">
        <f>IF(OR(D652="",E652=""),"",D652+IF(E652="NOTIFICAÇÃO DE CONSTATAÇÃO",PrazoConst,PrazoEsc))</f>
        <v/>
      </c>
      <c r="M652" s="107" t="str">
        <f>IF(L652="","",L652-TODAY())</f>
        <v/>
      </c>
      <c r="N652" s="108" t="str">
        <f>IF(B652="","",IF(G652="DECISÃO D.P","EM DECISÃO",IF(G652="","SEM STATUS",IF(M652="","SEM DATA",IF(M652&lt;0,"VENCIDO",IF(M652&lt;=DiasAlerta,"VENCE EM BREVE","NO PRAZO"))))))</f>
        <v/>
      </c>
      <c r="O652" s="109" t="str">
        <f>IF(D652="","",TODAY()-D652)</f>
        <v/>
      </c>
      <c r="P652" s="102" t="n"/>
    </row>
    <row r="653" ht="18" customHeight="1">
      <c r="A653" s="101" t="n"/>
      <c r="B653" s="102" t="n"/>
      <c r="C653" s="102" t="n"/>
      <c r="D653" s="103" t="n"/>
      <c r="E653" s="102" t="n"/>
      <c r="F653" s="104" t="n"/>
      <c r="G653" s="104" t="n"/>
      <c r="H653" s="102" t="n"/>
      <c r="I653" s="105" t="n"/>
      <c r="J653" s="105" t="n"/>
      <c r="K653" s="103" t="n"/>
      <c r="L653" s="106" t="str">
        <f>IF(OR(D653="",E653=""),"",D653+IF(E653="NOTIFICAÇÃO DE CONSTATAÇÃO",PrazoConst,PrazoEsc))</f>
        <v/>
      </c>
      <c r="M653" s="107" t="str">
        <f>IF(L653="","",L653-TODAY())</f>
        <v/>
      </c>
      <c r="N653" s="108" t="str">
        <f>IF(B653="","",IF(G653="DECISÃO D.P","EM DECISÃO",IF(G653="","SEM STATUS",IF(M653="","SEM DATA",IF(M653&lt;0,"VENCIDO",IF(M653&lt;=DiasAlerta,"VENCE EM BREVE","NO PRAZO"))))))</f>
        <v/>
      </c>
      <c r="O653" s="109" t="str">
        <f>IF(D653="","",TODAY()-D653)</f>
        <v/>
      </c>
      <c r="P653" s="102" t="n"/>
    </row>
    <row r="654" ht="18" customHeight="1">
      <c r="A654" s="101" t="n"/>
      <c r="B654" s="102" t="n"/>
      <c r="C654" s="102" t="n"/>
      <c r="D654" s="103" t="n"/>
      <c r="E654" s="102" t="n"/>
      <c r="F654" s="104" t="n"/>
      <c r="G654" s="104" t="n"/>
      <c r="H654" s="102" t="n"/>
      <c r="I654" s="105" t="n"/>
      <c r="J654" s="105" t="n"/>
      <c r="K654" s="103" t="n"/>
      <c r="L654" s="106" t="str">
        <f>IF(OR(D654="",E654=""),"",D654+IF(E654="NOTIFICAÇÃO DE CONSTATAÇÃO",PrazoConst,PrazoEsc))</f>
        <v/>
      </c>
      <c r="M654" s="107" t="str">
        <f>IF(L654="","",L654-TODAY())</f>
        <v/>
      </c>
      <c r="N654" s="108" t="str">
        <f>IF(B654="","",IF(G654="DECISÃO D.P","EM DECISÃO",IF(G654="","SEM STATUS",IF(M654="","SEM DATA",IF(M654&lt;0,"VENCIDO",IF(M654&lt;=DiasAlerta,"VENCE EM BREVE","NO PRAZO"))))))</f>
        <v/>
      </c>
      <c r="O654" s="109" t="str">
        <f>IF(D654="","",TODAY()-D654)</f>
        <v/>
      </c>
      <c r="P654" s="102" t="n"/>
    </row>
    <row r="655" ht="18" customHeight="1">
      <c r="A655" s="101" t="n"/>
      <c r="B655" s="102" t="n"/>
      <c r="C655" s="102" t="n"/>
      <c r="D655" s="103" t="n"/>
      <c r="E655" s="102" t="n"/>
      <c r="F655" s="104" t="n"/>
      <c r="G655" s="104" t="n"/>
      <c r="H655" s="102" t="n"/>
      <c r="I655" s="105" t="n"/>
      <c r="J655" s="105" t="n"/>
      <c r="K655" s="103" t="n"/>
      <c r="L655" s="106" t="str">
        <f>IF(OR(D655="",E655=""),"",D655+IF(E655="NOTIFICAÇÃO DE CONSTATAÇÃO",PrazoConst,PrazoEsc))</f>
        <v/>
      </c>
      <c r="M655" s="107" t="str">
        <f>IF(L655="","",L655-TODAY())</f>
        <v/>
      </c>
      <c r="N655" s="108" t="str">
        <f>IF(B655="","",IF(G655="DECISÃO D.P","EM DECISÃO",IF(G655="","SEM STATUS",IF(M655="","SEM DATA",IF(M655&lt;0,"VENCIDO",IF(M655&lt;=DiasAlerta,"VENCE EM BREVE","NO PRAZO"))))))</f>
        <v/>
      </c>
      <c r="O655" s="109" t="str">
        <f>IF(D655="","",TODAY()-D655)</f>
        <v/>
      </c>
      <c r="P655" s="102" t="n"/>
    </row>
    <row r="656" ht="18" customHeight="1">
      <c r="A656" s="101" t="n"/>
      <c r="B656" s="102" t="n"/>
      <c r="C656" s="102" t="n"/>
      <c r="D656" s="103" t="n"/>
      <c r="E656" s="102" t="n"/>
      <c r="F656" s="104" t="n"/>
      <c r="G656" s="104" t="n"/>
      <c r="H656" s="102" t="n"/>
      <c r="I656" s="105" t="n"/>
      <c r="J656" s="105" t="n"/>
      <c r="K656" s="103" t="n"/>
      <c r="L656" s="106" t="str">
        <f>IF(OR(D656="",E656=""),"",D656+IF(E656="NOTIFICAÇÃO DE CONSTATAÇÃO",PrazoConst,PrazoEsc))</f>
        <v/>
      </c>
      <c r="M656" s="107" t="str">
        <f>IF(L656="","",L656-TODAY())</f>
        <v/>
      </c>
      <c r="N656" s="108" t="str">
        <f>IF(B656="","",IF(G656="DECISÃO D.P","EM DECISÃO",IF(G656="","SEM STATUS",IF(M656="","SEM DATA",IF(M656&lt;0,"VENCIDO",IF(M656&lt;=DiasAlerta,"VENCE EM BREVE","NO PRAZO"))))))</f>
        <v/>
      </c>
      <c r="O656" s="109" t="str">
        <f>IF(D656="","",TODAY()-D656)</f>
        <v/>
      </c>
      <c r="P656" s="102" t="n"/>
    </row>
    <row r="657" ht="18" customHeight="1">
      <c r="A657" s="101" t="n"/>
      <c r="B657" s="102" t="n"/>
      <c r="C657" s="102" t="n"/>
      <c r="D657" s="103" t="n"/>
      <c r="E657" s="102" t="n"/>
      <c r="F657" s="104" t="n"/>
      <c r="G657" s="104" t="n"/>
      <c r="H657" s="102" t="n"/>
      <c r="I657" s="105" t="n"/>
      <c r="J657" s="105" t="n"/>
      <c r="K657" s="103" t="n"/>
      <c r="L657" s="106" t="str">
        <f>IF(OR(D657="",E657=""),"",D657+IF(E657="NOTIFICAÇÃO DE CONSTATAÇÃO",PrazoConst,PrazoEsc))</f>
        <v/>
      </c>
      <c r="M657" s="107" t="str">
        <f>IF(L657="","",L657-TODAY())</f>
        <v/>
      </c>
      <c r="N657" s="108" t="str">
        <f>IF(B657="","",IF(G657="DECISÃO D.P","EM DECISÃO",IF(G657="","SEM STATUS",IF(M657="","SEM DATA",IF(M657&lt;0,"VENCIDO",IF(M657&lt;=DiasAlerta,"VENCE EM BREVE","NO PRAZO"))))))</f>
        <v/>
      </c>
      <c r="O657" s="109" t="str">
        <f>IF(D657="","",TODAY()-D657)</f>
        <v/>
      </c>
      <c r="P657" s="102" t="n"/>
    </row>
    <row r="658" ht="18" customHeight="1">
      <c r="A658" s="101" t="n"/>
      <c r="B658" s="102" t="n"/>
      <c r="C658" s="102" t="n"/>
      <c r="D658" s="103" t="n"/>
      <c r="E658" s="102" t="n"/>
      <c r="F658" s="104" t="n"/>
      <c r="G658" s="104" t="n"/>
      <c r="H658" s="102" t="n"/>
      <c r="I658" s="105" t="n"/>
      <c r="J658" s="105" t="n"/>
      <c r="K658" s="103" t="n"/>
      <c r="L658" s="106" t="str">
        <f>IF(OR(D658="",E658=""),"",D658+IF(E658="NOTIFICAÇÃO DE CONSTATAÇÃO",PrazoConst,PrazoEsc))</f>
        <v/>
      </c>
      <c r="M658" s="107" t="str">
        <f>IF(L658="","",L658-TODAY())</f>
        <v/>
      </c>
      <c r="N658" s="108" t="str">
        <f>IF(B658="","",IF(G658="DECISÃO D.P","EM DECISÃO",IF(G658="","SEM STATUS",IF(M658="","SEM DATA",IF(M658&lt;0,"VENCIDO",IF(M658&lt;=DiasAlerta,"VENCE EM BREVE","NO PRAZO"))))))</f>
        <v/>
      </c>
      <c r="O658" s="109" t="str">
        <f>IF(D658="","",TODAY()-D658)</f>
        <v/>
      </c>
      <c r="P658" s="102" t="n"/>
    </row>
    <row r="659" ht="18" customHeight="1">
      <c r="A659" s="101" t="n"/>
      <c r="B659" s="102" t="n"/>
      <c r="C659" s="102" t="n"/>
      <c r="D659" s="103" t="n"/>
      <c r="E659" s="102" t="n"/>
      <c r="F659" s="104" t="n"/>
      <c r="G659" s="104" t="n"/>
      <c r="H659" s="102" t="n"/>
      <c r="I659" s="105" t="n"/>
      <c r="J659" s="105" t="n"/>
      <c r="K659" s="103" t="n"/>
      <c r="L659" s="106" t="str">
        <f>IF(OR(D659="",E659=""),"",D659+IF(E659="NOTIFICAÇÃO DE CONSTATAÇÃO",PrazoConst,PrazoEsc))</f>
        <v/>
      </c>
      <c r="M659" s="107" t="str">
        <f>IF(L659="","",L659-TODAY())</f>
        <v/>
      </c>
      <c r="N659" s="108" t="str">
        <f>IF(B659="","",IF(G659="DECISÃO D.P","EM DECISÃO",IF(G659="","SEM STATUS",IF(M659="","SEM DATA",IF(M659&lt;0,"VENCIDO",IF(M659&lt;=DiasAlerta,"VENCE EM BREVE","NO PRAZO"))))))</f>
        <v/>
      </c>
      <c r="O659" s="109" t="str">
        <f>IF(D659="","",TODAY()-D659)</f>
        <v/>
      </c>
      <c r="P659" s="102" t="n"/>
    </row>
    <row r="660" ht="18" customHeight="1">
      <c r="A660" s="101" t="n"/>
      <c r="B660" s="102" t="n"/>
      <c r="C660" s="102" t="n"/>
      <c r="D660" s="103" t="n"/>
      <c r="E660" s="102" t="n"/>
      <c r="F660" s="104" t="n"/>
      <c r="G660" s="104" t="n"/>
      <c r="H660" s="102" t="n"/>
      <c r="I660" s="105" t="n"/>
      <c r="J660" s="105" t="n"/>
      <c r="K660" s="103" t="n"/>
      <c r="L660" s="106" t="str">
        <f>IF(OR(D660="",E660=""),"",D660+IF(E660="NOTIFICAÇÃO DE CONSTATAÇÃO",PrazoConst,PrazoEsc))</f>
        <v/>
      </c>
      <c r="M660" s="107" t="str">
        <f>IF(L660="","",L660-TODAY())</f>
        <v/>
      </c>
      <c r="N660" s="108" t="str">
        <f>IF(B660="","",IF(G660="DECISÃO D.P","EM DECISÃO",IF(G660="","SEM STATUS",IF(M660="","SEM DATA",IF(M660&lt;0,"VENCIDO",IF(M660&lt;=DiasAlerta,"VENCE EM BREVE","NO PRAZO"))))))</f>
        <v/>
      </c>
      <c r="O660" s="109" t="str">
        <f>IF(D660="","",TODAY()-D660)</f>
        <v/>
      </c>
      <c r="P660" s="102" t="n"/>
    </row>
    <row r="661" ht="18" customHeight="1">
      <c r="A661" s="101" t="n"/>
      <c r="B661" s="102" t="n"/>
      <c r="C661" s="102" t="n"/>
      <c r="D661" s="103" t="n"/>
      <c r="E661" s="102" t="n"/>
      <c r="F661" s="104" t="n"/>
      <c r="G661" s="104" t="n"/>
      <c r="H661" s="102" t="n"/>
      <c r="I661" s="105" t="n"/>
      <c r="J661" s="105" t="n"/>
      <c r="K661" s="103" t="n"/>
      <c r="L661" s="106" t="str">
        <f>IF(OR(D661="",E661=""),"",D661+IF(E661="NOTIFICAÇÃO DE CONSTATAÇÃO",PrazoConst,PrazoEsc))</f>
        <v/>
      </c>
      <c r="M661" s="107" t="str">
        <f>IF(L661="","",L661-TODAY())</f>
        <v/>
      </c>
      <c r="N661" s="108" t="str">
        <f>IF(B661="","",IF(G661="DECISÃO D.P","EM DECISÃO",IF(G661="","SEM STATUS",IF(M661="","SEM DATA",IF(M661&lt;0,"VENCIDO",IF(M661&lt;=DiasAlerta,"VENCE EM BREVE","NO PRAZO"))))))</f>
        <v/>
      </c>
      <c r="O661" s="109" t="str">
        <f>IF(D661="","",TODAY()-D661)</f>
        <v/>
      </c>
      <c r="P661" s="102" t="n"/>
    </row>
    <row r="662" ht="18" customHeight="1">
      <c r="A662" s="101" t="n"/>
      <c r="B662" s="102" t="n"/>
      <c r="C662" s="102" t="n"/>
      <c r="D662" s="103" t="n"/>
      <c r="E662" s="102" t="n"/>
      <c r="F662" s="104" t="n"/>
      <c r="G662" s="104" t="n"/>
      <c r="H662" s="102" t="n"/>
      <c r="I662" s="105" t="n"/>
      <c r="J662" s="105" t="n"/>
      <c r="K662" s="103" t="n"/>
      <c r="L662" s="106" t="str">
        <f>IF(OR(D662="",E662=""),"",D662+IF(E662="NOTIFICAÇÃO DE CONSTATAÇÃO",PrazoConst,PrazoEsc))</f>
        <v/>
      </c>
      <c r="M662" s="107" t="str">
        <f>IF(L662="","",L662-TODAY())</f>
        <v/>
      </c>
      <c r="N662" s="108" t="str">
        <f>IF(B662="","",IF(G662="DECISÃO D.P","EM DECISÃO",IF(G662="","SEM STATUS",IF(M662="","SEM DATA",IF(M662&lt;0,"VENCIDO",IF(M662&lt;=DiasAlerta,"VENCE EM BREVE","NO PRAZO"))))))</f>
        <v/>
      </c>
      <c r="O662" s="109" t="str">
        <f>IF(D662="","",TODAY()-D662)</f>
        <v/>
      </c>
      <c r="P662" s="102" t="n"/>
    </row>
    <row r="663" ht="18" customHeight="1">
      <c r="A663" s="101" t="n"/>
      <c r="B663" s="102" t="n"/>
      <c r="C663" s="102" t="n"/>
      <c r="D663" s="103" t="n"/>
      <c r="E663" s="102" t="n"/>
      <c r="F663" s="104" t="n"/>
      <c r="G663" s="104" t="n"/>
      <c r="H663" s="102" t="n"/>
      <c r="I663" s="105" t="n"/>
      <c r="J663" s="105" t="n"/>
      <c r="K663" s="103" t="n"/>
      <c r="L663" s="106" t="str">
        <f>IF(OR(D663="",E663=""),"",D663+IF(E663="NOTIFICAÇÃO DE CONSTATAÇÃO",PrazoConst,PrazoEsc))</f>
        <v/>
      </c>
      <c r="M663" s="107" t="str">
        <f>IF(L663="","",L663-TODAY())</f>
        <v/>
      </c>
      <c r="N663" s="108" t="str">
        <f>IF(B663="","",IF(G663="DECISÃO D.P","EM DECISÃO",IF(G663="","SEM STATUS",IF(M663="","SEM DATA",IF(M663&lt;0,"VENCIDO",IF(M663&lt;=DiasAlerta,"VENCE EM BREVE","NO PRAZO"))))))</f>
        <v/>
      </c>
      <c r="O663" s="109" t="str">
        <f>IF(D663="","",TODAY()-D663)</f>
        <v/>
      </c>
      <c r="P663" s="102" t="n"/>
    </row>
    <row r="664" ht="18" customHeight="1">
      <c r="A664" s="101" t="n"/>
      <c r="B664" s="102" t="n"/>
      <c r="C664" s="102" t="n"/>
      <c r="D664" s="103" t="n"/>
      <c r="E664" s="102" t="n"/>
      <c r="F664" s="104" t="n"/>
      <c r="G664" s="104" t="n"/>
      <c r="H664" s="102" t="n"/>
      <c r="I664" s="105" t="n"/>
      <c r="J664" s="105" t="n"/>
      <c r="K664" s="103" t="n"/>
      <c r="L664" s="106" t="str">
        <f>IF(OR(D664="",E664=""),"",D664+IF(E664="NOTIFICAÇÃO DE CONSTATAÇÃO",PrazoConst,PrazoEsc))</f>
        <v/>
      </c>
      <c r="M664" s="107" t="str">
        <f>IF(L664="","",L664-TODAY())</f>
        <v/>
      </c>
      <c r="N664" s="108" t="str">
        <f>IF(B664="","",IF(G664="DECISÃO D.P","EM DECISÃO",IF(G664="","SEM STATUS",IF(M664="","SEM DATA",IF(M664&lt;0,"VENCIDO",IF(M664&lt;=DiasAlerta,"VENCE EM BREVE","NO PRAZO"))))))</f>
        <v/>
      </c>
      <c r="O664" s="109" t="str">
        <f>IF(D664="","",TODAY()-D664)</f>
        <v/>
      </c>
      <c r="P664" s="102" t="n"/>
    </row>
    <row r="665" ht="18" customHeight="1">
      <c r="A665" s="101" t="n"/>
      <c r="B665" s="102" t="n"/>
      <c r="C665" s="102" t="n"/>
      <c r="D665" s="103" t="n"/>
      <c r="E665" s="102" t="n"/>
      <c r="F665" s="104" t="n"/>
      <c r="G665" s="104" t="n"/>
      <c r="H665" s="102" t="n"/>
      <c r="I665" s="105" t="n"/>
      <c r="J665" s="105" t="n"/>
      <c r="K665" s="103" t="n"/>
      <c r="L665" s="106" t="str">
        <f>IF(OR(D665="",E665=""),"",D665+IF(E665="NOTIFICAÇÃO DE CONSTATAÇÃO",PrazoConst,PrazoEsc))</f>
        <v/>
      </c>
      <c r="M665" s="107" t="str">
        <f>IF(L665="","",L665-TODAY())</f>
        <v/>
      </c>
      <c r="N665" s="108" t="str">
        <f>IF(B665="","",IF(G665="DECISÃO D.P","EM DECISÃO",IF(G665="","SEM STATUS",IF(M665="","SEM DATA",IF(M665&lt;0,"VENCIDO",IF(M665&lt;=DiasAlerta,"VENCE EM BREVE","NO PRAZO"))))))</f>
        <v/>
      </c>
      <c r="O665" s="109" t="str">
        <f>IF(D665="","",TODAY()-D665)</f>
        <v/>
      </c>
      <c r="P665" s="102" t="n"/>
    </row>
    <row r="666" ht="18" customHeight="1">
      <c r="A666" s="101" t="n"/>
      <c r="B666" s="102" t="n"/>
      <c r="C666" s="102" t="n"/>
      <c r="D666" s="103" t="n"/>
      <c r="E666" s="102" t="n"/>
      <c r="F666" s="104" t="n"/>
      <c r="G666" s="104" t="n"/>
      <c r="H666" s="102" t="n"/>
      <c r="I666" s="105" t="n"/>
      <c r="J666" s="105" t="n"/>
      <c r="K666" s="103" t="n"/>
      <c r="L666" s="106" t="str">
        <f>IF(OR(D666="",E666=""),"",D666+IF(E666="NOTIFICAÇÃO DE CONSTATAÇÃO",PrazoConst,PrazoEsc))</f>
        <v/>
      </c>
      <c r="M666" s="107" t="str">
        <f>IF(L666="","",L666-TODAY())</f>
        <v/>
      </c>
      <c r="N666" s="108" t="str">
        <f>IF(B666="","",IF(G666="DECISÃO D.P","EM DECISÃO",IF(G666="","SEM STATUS",IF(M666="","SEM DATA",IF(M666&lt;0,"VENCIDO",IF(M666&lt;=DiasAlerta,"VENCE EM BREVE","NO PRAZO"))))))</f>
        <v/>
      </c>
      <c r="O666" s="109" t="str">
        <f>IF(D666="","",TODAY()-D666)</f>
        <v/>
      </c>
      <c r="P666" s="102" t="n"/>
    </row>
    <row r="667" ht="18" customHeight="1">
      <c r="A667" s="101" t="n"/>
      <c r="B667" s="102" t="n"/>
      <c r="C667" s="102" t="n"/>
      <c r="D667" s="103" t="n"/>
      <c r="E667" s="102" t="n"/>
      <c r="F667" s="104" t="n"/>
      <c r="G667" s="104" t="n"/>
      <c r="H667" s="102" t="n"/>
      <c r="I667" s="105" t="n"/>
      <c r="J667" s="105" t="n"/>
      <c r="K667" s="103" t="n"/>
      <c r="L667" s="106" t="str">
        <f>IF(OR(D667="",E667=""),"",D667+IF(E667="NOTIFICAÇÃO DE CONSTATAÇÃO",PrazoConst,PrazoEsc))</f>
        <v/>
      </c>
      <c r="M667" s="107" t="str">
        <f>IF(L667="","",L667-TODAY())</f>
        <v/>
      </c>
      <c r="N667" s="108" t="str">
        <f>IF(B667="","",IF(G667="DECISÃO D.P","EM DECISÃO",IF(G667="","SEM STATUS",IF(M667="","SEM DATA",IF(M667&lt;0,"VENCIDO",IF(M667&lt;=DiasAlerta,"VENCE EM BREVE","NO PRAZO"))))))</f>
        <v/>
      </c>
      <c r="O667" s="109" t="str">
        <f>IF(D667="","",TODAY()-D667)</f>
        <v/>
      </c>
      <c r="P667" s="102" t="n"/>
    </row>
    <row r="668" ht="18" customHeight="1">
      <c r="A668" s="101" t="n"/>
      <c r="B668" s="102" t="n"/>
      <c r="C668" s="102" t="n"/>
      <c r="D668" s="103" t="n"/>
      <c r="E668" s="102" t="n"/>
      <c r="F668" s="104" t="n"/>
      <c r="G668" s="104" t="n"/>
      <c r="H668" s="102" t="n"/>
      <c r="I668" s="105" t="n"/>
      <c r="J668" s="105" t="n"/>
      <c r="K668" s="103" t="n"/>
      <c r="L668" s="106" t="str">
        <f>IF(OR(D668="",E668=""),"",D668+IF(E668="NOTIFICAÇÃO DE CONSTATAÇÃO",PrazoConst,PrazoEsc))</f>
        <v/>
      </c>
      <c r="M668" s="107" t="str">
        <f>IF(L668="","",L668-TODAY())</f>
        <v/>
      </c>
      <c r="N668" s="108" t="str">
        <f>IF(B668="","",IF(G668="DECISÃO D.P","EM DECISÃO",IF(G668="","SEM STATUS",IF(M668="","SEM DATA",IF(M668&lt;0,"VENCIDO",IF(M668&lt;=DiasAlerta,"VENCE EM BREVE","NO PRAZO"))))))</f>
        <v/>
      </c>
      <c r="O668" s="109" t="str">
        <f>IF(D668="","",TODAY()-D668)</f>
        <v/>
      </c>
      <c r="P668" s="102" t="n"/>
    </row>
    <row r="669" ht="18" customHeight="1">
      <c r="A669" s="101" t="n"/>
      <c r="B669" s="102" t="n"/>
      <c r="C669" s="102" t="n"/>
      <c r="D669" s="103" t="n"/>
      <c r="E669" s="102" t="n"/>
      <c r="F669" s="104" t="n"/>
      <c r="G669" s="104" t="n"/>
      <c r="H669" s="102" t="n"/>
      <c r="I669" s="105" t="n"/>
      <c r="J669" s="105" t="n"/>
      <c r="K669" s="103" t="n"/>
      <c r="L669" s="106" t="str">
        <f>IF(OR(D669="",E669=""),"",D669+IF(E669="NOTIFICAÇÃO DE CONSTATAÇÃO",PrazoConst,PrazoEsc))</f>
        <v/>
      </c>
      <c r="M669" s="107" t="str">
        <f>IF(L669="","",L669-TODAY())</f>
        <v/>
      </c>
      <c r="N669" s="108" t="str">
        <f>IF(B669="","",IF(G669="DECISÃO D.P","EM DECISÃO",IF(G669="","SEM STATUS",IF(M669="","SEM DATA",IF(M669&lt;0,"VENCIDO",IF(M669&lt;=DiasAlerta,"VENCE EM BREVE","NO PRAZO"))))))</f>
        <v/>
      </c>
      <c r="O669" s="109" t="str">
        <f>IF(D669="","",TODAY()-D669)</f>
        <v/>
      </c>
      <c r="P669" s="102" t="n"/>
    </row>
    <row r="670" ht="18" customHeight="1">
      <c r="A670" s="101" t="n"/>
      <c r="B670" s="102" t="n"/>
      <c r="C670" s="102" t="n"/>
      <c r="D670" s="103" t="n"/>
      <c r="E670" s="102" t="n"/>
      <c r="F670" s="104" t="n"/>
      <c r="G670" s="104" t="n"/>
      <c r="H670" s="102" t="n"/>
      <c r="I670" s="105" t="n"/>
      <c r="J670" s="105" t="n"/>
      <c r="K670" s="103" t="n"/>
      <c r="L670" s="106" t="str">
        <f>IF(OR(D670="",E670=""),"",D670+IF(E670="NOTIFICAÇÃO DE CONSTATAÇÃO",PrazoConst,PrazoEsc))</f>
        <v/>
      </c>
      <c r="M670" s="107" t="str">
        <f>IF(L670="","",L670-TODAY())</f>
        <v/>
      </c>
      <c r="N670" s="108" t="str">
        <f>IF(B670="","",IF(G670="DECISÃO D.P","EM DECISÃO",IF(G670="","SEM STATUS",IF(M670="","SEM DATA",IF(M670&lt;0,"VENCIDO",IF(M670&lt;=DiasAlerta,"VENCE EM BREVE","NO PRAZO"))))))</f>
        <v/>
      </c>
      <c r="O670" s="109" t="str">
        <f>IF(D670="","",TODAY()-D670)</f>
        <v/>
      </c>
      <c r="P670" s="102" t="n"/>
    </row>
    <row r="671" ht="18" customHeight="1">
      <c r="A671" s="101" t="n"/>
      <c r="B671" s="102" t="n"/>
      <c r="C671" s="102" t="n"/>
      <c r="D671" s="103" t="n"/>
      <c r="E671" s="102" t="n"/>
      <c r="F671" s="104" t="n"/>
      <c r="G671" s="104" t="n"/>
      <c r="H671" s="102" t="n"/>
      <c r="I671" s="105" t="n"/>
      <c r="J671" s="105" t="n"/>
      <c r="K671" s="103" t="n"/>
      <c r="L671" s="106" t="str">
        <f>IF(OR(D671="",E671=""),"",D671+IF(E671="NOTIFICAÇÃO DE CONSTATAÇÃO",PrazoConst,PrazoEsc))</f>
        <v/>
      </c>
      <c r="M671" s="107" t="str">
        <f>IF(L671="","",L671-TODAY())</f>
        <v/>
      </c>
      <c r="N671" s="108" t="str">
        <f>IF(B671="","",IF(G671="DECISÃO D.P","EM DECISÃO",IF(G671="","SEM STATUS",IF(M671="","SEM DATA",IF(M671&lt;0,"VENCIDO",IF(M671&lt;=DiasAlerta,"VENCE EM BREVE","NO PRAZO"))))))</f>
        <v/>
      </c>
      <c r="O671" s="109" t="str">
        <f>IF(D671="","",TODAY()-D671)</f>
        <v/>
      </c>
      <c r="P671" s="102" t="n"/>
    </row>
    <row r="672" ht="18" customHeight="1">
      <c r="A672" s="101" t="n"/>
      <c r="B672" s="102" t="n"/>
      <c r="C672" s="102" t="n"/>
      <c r="D672" s="103" t="n"/>
      <c r="E672" s="102" t="n"/>
      <c r="F672" s="104" t="n"/>
      <c r="G672" s="104" t="n"/>
      <c r="H672" s="102" t="n"/>
      <c r="I672" s="105" t="n"/>
      <c r="J672" s="105" t="n"/>
      <c r="K672" s="103" t="n"/>
      <c r="L672" s="106" t="str">
        <f>IF(OR(D672="",E672=""),"",D672+IF(E672="NOTIFICAÇÃO DE CONSTATAÇÃO",PrazoConst,PrazoEsc))</f>
        <v/>
      </c>
      <c r="M672" s="107" t="str">
        <f>IF(L672="","",L672-TODAY())</f>
        <v/>
      </c>
      <c r="N672" s="108" t="str">
        <f>IF(B672="","",IF(G672="DECISÃO D.P","EM DECISÃO",IF(G672="","SEM STATUS",IF(M672="","SEM DATA",IF(M672&lt;0,"VENCIDO",IF(M672&lt;=DiasAlerta,"VENCE EM BREVE","NO PRAZO"))))))</f>
        <v/>
      </c>
      <c r="O672" s="109" t="str">
        <f>IF(D672="","",TODAY()-D672)</f>
        <v/>
      </c>
      <c r="P672" s="102" t="n"/>
    </row>
    <row r="673" ht="18" customHeight="1">
      <c r="A673" s="101" t="n"/>
      <c r="B673" s="102" t="n"/>
      <c r="C673" s="102" t="n"/>
      <c r="D673" s="103" t="n"/>
      <c r="E673" s="102" t="n"/>
      <c r="F673" s="104" t="n"/>
      <c r="G673" s="104" t="n"/>
      <c r="H673" s="102" t="n"/>
      <c r="I673" s="105" t="n"/>
      <c r="J673" s="105" t="n"/>
      <c r="K673" s="103" t="n"/>
      <c r="L673" s="106" t="str">
        <f>IF(OR(D673="",E673=""),"",D673+IF(E673="NOTIFICAÇÃO DE CONSTATAÇÃO",PrazoConst,PrazoEsc))</f>
        <v/>
      </c>
      <c r="M673" s="107" t="str">
        <f>IF(L673="","",L673-TODAY())</f>
        <v/>
      </c>
      <c r="N673" s="108" t="str">
        <f>IF(B673="","",IF(G673="DECISÃO D.P","EM DECISÃO",IF(G673="","SEM STATUS",IF(M673="","SEM DATA",IF(M673&lt;0,"VENCIDO",IF(M673&lt;=DiasAlerta,"VENCE EM BREVE","NO PRAZO"))))))</f>
        <v/>
      </c>
      <c r="O673" s="109" t="str">
        <f>IF(D673="","",TODAY()-D673)</f>
        <v/>
      </c>
      <c r="P673" s="102" t="n"/>
    </row>
    <row r="674" ht="18" customHeight="1">
      <c r="A674" s="101" t="n"/>
      <c r="B674" s="102" t="n"/>
      <c r="C674" s="102" t="n"/>
      <c r="D674" s="103" t="n"/>
      <c r="E674" s="102" t="n"/>
      <c r="F674" s="104" t="n"/>
      <c r="G674" s="104" t="n"/>
      <c r="H674" s="102" t="n"/>
      <c r="I674" s="105" t="n"/>
      <c r="J674" s="105" t="n"/>
      <c r="K674" s="103" t="n"/>
      <c r="L674" s="106" t="str">
        <f>IF(OR(D674="",E674=""),"",D674+IF(E674="NOTIFICAÇÃO DE CONSTATAÇÃO",PrazoConst,PrazoEsc))</f>
        <v/>
      </c>
      <c r="M674" s="107" t="str">
        <f>IF(L674="","",L674-TODAY())</f>
        <v/>
      </c>
      <c r="N674" s="108" t="str">
        <f>IF(B674="","",IF(G674="DECISÃO D.P","EM DECISÃO",IF(G674="","SEM STATUS",IF(M674="","SEM DATA",IF(M674&lt;0,"VENCIDO",IF(M674&lt;=DiasAlerta,"VENCE EM BREVE","NO PRAZO"))))))</f>
        <v/>
      </c>
      <c r="O674" s="109" t="str">
        <f>IF(D674="","",TODAY()-D674)</f>
        <v/>
      </c>
      <c r="P674" s="102" t="n"/>
    </row>
    <row r="675" ht="18" customHeight="1">
      <c r="A675" s="101" t="n"/>
      <c r="B675" s="102" t="n"/>
      <c r="C675" s="102" t="n"/>
      <c r="D675" s="103" t="n"/>
      <c r="E675" s="102" t="n"/>
      <c r="F675" s="104" t="n"/>
      <c r="G675" s="104" t="n"/>
      <c r="H675" s="102" t="n"/>
      <c r="I675" s="105" t="n"/>
      <c r="J675" s="105" t="n"/>
      <c r="K675" s="103" t="n"/>
      <c r="L675" s="106" t="str">
        <f>IF(OR(D675="",E675=""),"",D675+IF(E675="NOTIFICAÇÃO DE CONSTATAÇÃO",PrazoConst,PrazoEsc))</f>
        <v/>
      </c>
      <c r="M675" s="107" t="str">
        <f>IF(L675="","",L675-TODAY())</f>
        <v/>
      </c>
      <c r="N675" s="108" t="str">
        <f>IF(B675="","",IF(G675="DECISÃO D.P","EM DECISÃO",IF(G675="","SEM STATUS",IF(M675="","SEM DATA",IF(M675&lt;0,"VENCIDO",IF(M675&lt;=DiasAlerta,"VENCE EM BREVE","NO PRAZO"))))))</f>
        <v/>
      </c>
      <c r="O675" s="109" t="str">
        <f>IF(D675="","",TODAY()-D675)</f>
        <v/>
      </c>
      <c r="P675" s="102" t="n"/>
    </row>
    <row r="676" ht="18" customHeight="1">
      <c r="A676" s="101" t="n"/>
      <c r="B676" s="102" t="n"/>
      <c r="C676" s="102" t="n"/>
      <c r="D676" s="103" t="n"/>
      <c r="E676" s="102" t="n"/>
      <c r="F676" s="104" t="n"/>
      <c r="G676" s="104" t="n"/>
      <c r="H676" s="102" t="n"/>
      <c r="I676" s="105" t="n"/>
      <c r="J676" s="105" t="n"/>
      <c r="K676" s="103" t="n"/>
      <c r="L676" s="106" t="str">
        <f>IF(OR(D676="",E676=""),"",D676+IF(E676="NOTIFICAÇÃO DE CONSTATAÇÃO",PrazoConst,PrazoEsc))</f>
        <v/>
      </c>
      <c r="M676" s="107" t="str">
        <f>IF(L676="","",L676-TODAY())</f>
        <v/>
      </c>
      <c r="N676" s="108" t="str">
        <f>IF(B676="","",IF(G676="DECISÃO D.P","EM DECISÃO",IF(G676="","SEM STATUS",IF(M676="","SEM DATA",IF(M676&lt;0,"VENCIDO",IF(M676&lt;=DiasAlerta,"VENCE EM BREVE","NO PRAZO"))))))</f>
        <v/>
      </c>
      <c r="O676" s="109" t="str">
        <f>IF(D676="","",TODAY()-D676)</f>
        <v/>
      </c>
      <c r="P676" s="102" t="n"/>
    </row>
    <row r="677" ht="18" customHeight="1">
      <c r="A677" s="101" t="n"/>
      <c r="B677" s="102" t="n"/>
      <c r="C677" s="102" t="n"/>
      <c r="D677" s="103" t="n"/>
      <c r="E677" s="102" t="n"/>
      <c r="F677" s="104" t="n"/>
      <c r="G677" s="104" t="n"/>
      <c r="H677" s="102" t="n"/>
      <c r="I677" s="105" t="n"/>
      <c r="J677" s="105" t="n"/>
      <c r="K677" s="103" t="n"/>
      <c r="L677" s="106" t="str">
        <f>IF(OR(D677="",E677=""),"",D677+IF(E677="NOTIFICAÇÃO DE CONSTATAÇÃO",PrazoConst,PrazoEsc))</f>
        <v/>
      </c>
      <c r="M677" s="107" t="str">
        <f>IF(L677="","",L677-TODAY())</f>
        <v/>
      </c>
      <c r="N677" s="108" t="str">
        <f>IF(B677="","",IF(G677="DECISÃO D.P","EM DECISÃO",IF(G677="","SEM STATUS",IF(M677="","SEM DATA",IF(M677&lt;0,"VENCIDO",IF(M677&lt;=DiasAlerta,"VENCE EM BREVE","NO PRAZO"))))))</f>
        <v/>
      </c>
      <c r="O677" s="109" t="str">
        <f>IF(D677="","",TODAY()-D677)</f>
        <v/>
      </c>
      <c r="P677" s="102" t="n"/>
    </row>
    <row r="678" ht="18" customHeight="1">
      <c r="A678" s="101" t="n"/>
      <c r="B678" s="102" t="n"/>
      <c r="C678" s="102" t="n"/>
      <c r="D678" s="103" t="n"/>
      <c r="E678" s="102" t="n"/>
      <c r="F678" s="104" t="n"/>
      <c r="G678" s="104" t="n"/>
      <c r="H678" s="102" t="n"/>
      <c r="I678" s="105" t="n"/>
      <c r="J678" s="105" t="n"/>
      <c r="K678" s="103" t="n"/>
      <c r="L678" s="106" t="str">
        <f>IF(OR(D678="",E678=""),"",D678+IF(E678="NOTIFICAÇÃO DE CONSTATAÇÃO",PrazoConst,PrazoEsc))</f>
        <v/>
      </c>
      <c r="M678" s="107" t="str">
        <f>IF(L678="","",L678-TODAY())</f>
        <v/>
      </c>
      <c r="N678" s="108" t="str">
        <f>IF(B678="","",IF(G678="DECISÃO D.P","EM DECISÃO",IF(G678="","SEM STATUS",IF(M678="","SEM DATA",IF(M678&lt;0,"VENCIDO",IF(M678&lt;=DiasAlerta,"VENCE EM BREVE","NO PRAZO"))))))</f>
        <v/>
      </c>
      <c r="O678" s="109" t="str">
        <f>IF(D678="","",TODAY()-D678)</f>
        <v/>
      </c>
      <c r="P678" s="102" t="n"/>
    </row>
    <row r="679" ht="18" customHeight="1">
      <c r="A679" s="101" t="n"/>
      <c r="B679" s="102" t="n"/>
      <c r="C679" s="102" t="n"/>
      <c r="D679" s="103" t="n"/>
      <c r="E679" s="102" t="n"/>
      <c r="F679" s="104" t="n"/>
      <c r="G679" s="104" t="n"/>
      <c r="H679" s="102" t="n"/>
      <c r="I679" s="105" t="n"/>
      <c r="J679" s="105" t="n"/>
      <c r="K679" s="103" t="n"/>
      <c r="L679" s="106" t="str">
        <f>IF(OR(D679="",E679=""),"",D679+IF(E679="NOTIFICAÇÃO DE CONSTATAÇÃO",PrazoConst,PrazoEsc))</f>
        <v/>
      </c>
      <c r="M679" s="107" t="str">
        <f>IF(L679="","",L679-TODAY())</f>
        <v/>
      </c>
      <c r="N679" s="108" t="str">
        <f>IF(B679="","",IF(G679="DECISÃO D.P","EM DECISÃO",IF(G679="","SEM STATUS",IF(M679="","SEM DATA",IF(M679&lt;0,"VENCIDO",IF(M679&lt;=DiasAlerta,"VENCE EM BREVE","NO PRAZO"))))))</f>
        <v/>
      </c>
      <c r="O679" s="109" t="str">
        <f>IF(D679="","",TODAY()-D679)</f>
        <v/>
      </c>
      <c r="P679" s="102" t="n"/>
    </row>
    <row r="680" ht="18" customHeight="1">
      <c r="A680" s="101" t="n"/>
      <c r="B680" s="102" t="n"/>
      <c r="C680" s="102" t="n"/>
      <c r="D680" s="103" t="n"/>
      <c r="E680" s="102" t="n"/>
      <c r="F680" s="104" t="n"/>
      <c r="G680" s="104" t="n"/>
      <c r="H680" s="102" t="n"/>
      <c r="I680" s="105" t="n"/>
      <c r="J680" s="105" t="n"/>
      <c r="K680" s="103" t="n"/>
      <c r="L680" s="106" t="str">
        <f>IF(OR(D680="",E680=""),"",D680+IF(E680="NOTIFICAÇÃO DE CONSTATAÇÃO",PrazoConst,PrazoEsc))</f>
        <v/>
      </c>
      <c r="M680" s="107" t="str">
        <f>IF(L680="","",L680-TODAY())</f>
        <v/>
      </c>
      <c r="N680" s="108" t="str">
        <f>IF(B680="","",IF(G680="DECISÃO D.P","EM DECISÃO",IF(G680="","SEM STATUS",IF(M680="","SEM DATA",IF(M680&lt;0,"VENCIDO",IF(M680&lt;=DiasAlerta,"VENCE EM BREVE","NO PRAZO"))))))</f>
        <v/>
      </c>
      <c r="O680" s="109" t="str">
        <f>IF(D680="","",TODAY()-D680)</f>
        <v/>
      </c>
      <c r="P680" s="102" t="n"/>
    </row>
    <row r="681" ht="18" customHeight="1">
      <c r="A681" s="101" t="n"/>
      <c r="B681" s="102" t="n"/>
      <c r="C681" s="102" t="n"/>
      <c r="D681" s="103" t="n"/>
      <c r="E681" s="102" t="n"/>
      <c r="F681" s="104" t="n"/>
      <c r="G681" s="104" t="n"/>
      <c r="H681" s="102" t="n"/>
      <c r="I681" s="105" t="n"/>
      <c r="J681" s="105" t="n"/>
      <c r="K681" s="103" t="n"/>
      <c r="L681" s="106" t="str">
        <f>IF(OR(D681="",E681=""),"",D681+IF(E681="NOTIFICAÇÃO DE CONSTATAÇÃO",PrazoConst,PrazoEsc))</f>
        <v/>
      </c>
      <c r="M681" s="107" t="str">
        <f>IF(L681="","",L681-TODAY())</f>
        <v/>
      </c>
      <c r="N681" s="108" t="str">
        <f>IF(B681="","",IF(G681="DECISÃO D.P","EM DECISÃO",IF(G681="","SEM STATUS",IF(M681="","SEM DATA",IF(M681&lt;0,"VENCIDO",IF(M681&lt;=DiasAlerta,"VENCE EM BREVE","NO PRAZO"))))))</f>
        <v/>
      </c>
      <c r="O681" s="109" t="str">
        <f>IF(D681="","",TODAY()-D681)</f>
        <v/>
      </c>
      <c r="P681" s="102" t="n"/>
    </row>
    <row r="682" ht="18" customHeight="1">
      <c r="A682" s="101" t="n"/>
      <c r="B682" s="102" t="n"/>
      <c r="C682" s="102" t="n"/>
      <c r="D682" s="103" t="n"/>
      <c r="E682" s="102" t="n"/>
      <c r="F682" s="104" t="n"/>
      <c r="G682" s="104" t="n"/>
      <c r="H682" s="102" t="n"/>
      <c r="I682" s="105" t="n"/>
      <c r="J682" s="105" t="n"/>
      <c r="K682" s="103" t="n"/>
      <c r="L682" s="106" t="str">
        <f>IF(OR(D682="",E682=""),"",D682+IF(E682="NOTIFICAÇÃO DE CONSTATAÇÃO",PrazoConst,PrazoEsc))</f>
        <v/>
      </c>
      <c r="M682" s="107" t="str">
        <f>IF(L682="","",L682-TODAY())</f>
        <v/>
      </c>
      <c r="N682" s="108" t="str">
        <f>IF(B682="","",IF(G682="DECISÃO D.P","EM DECISÃO",IF(G682="","SEM STATUS",IF(M682="","SEM DATA",IF(M682&lt;0,"VENCIDO",IF(M682&lt;=DiasAlerta,"VENCE EM BREVE","NO PRAZO"))))))</f>
        <v/>
      </c>
      <c r="O682" s="109" t="str">
        <f>IF(D682="","",TODAY()-D682)</f>
        <v/>
      </c>
      <c r="P682" s="102" t="n"/>
    </row>
    <row r="683" ht="18" customHeight="1">
      <c r="A683" s="101" t="n"/>
      <c r="B683" s="102" t="n"/>
      <c r="C683" s="102" t="n"/>
      <c r="D683" s="103" t="n"/>
      <c r="E683" s="102" t="n"/>
      <c r="F683" s="104" t="n"/>
      <c r="G683" s="104" t="n"/>
      <c r="H683" s="102" t="n"/>
      <c r="I683" s="105" t="n"/>
      <c r="J683" s="105" t="n"/>
      <c r="K683" s="103" t="n"/>
      <c r="L683" s="106" t="str">
        <f>IF(OR(D683="",E683=""),"",D683+IF(E683="NOTIFICAÇÃO DE CONSTATAÇÃO",PrazoConst,PrazoEsc))</f>
        <v/>
      </c>
      <c r="M683" s="107" t="str">
        <f>IF(L683="","",L683-TODAY())</f>
        <v/>
      </c>
      <c r="N683" s="108" t="str">
        <f>IF(B683="","",IF(G683="DECISÃO D.P","EM DECISÃO",IF(G683="","SEM STATUS",IF(M683="","SEM DATA",IF(M683&lt;0,"VENCIDO",IF(M683&lt;=DiasAlerta,"VENCE EM BREVE","NO PRAZO"))))))</f>
        <v/>
      </c>
      <c r="O683" s="109" t="str">
        <f>IF(D683="","",TODAY()-D683)</f>
        <v/>
      </c>
      <c r="P683" s="102" t="n"/>
    </row>
    <row r="684" ht="18" customHeight="1">
      <c r="A684" s="101" t="n"/>
      <c r="B684" s="102" t="n"/>
      <c r="C684" s="102" t="n"/>
      <c r="D684" s="103" t="n"/>
      <c r="E684" s="102" t="n"/>
      <c r="F684" s="104" t="n"/>
      <c r="G684" s="104" t="n"/>
      <c r="H684" s="102" t="n"/>
      <c r="I684" s="105" t="n"/>
      <c r="J684" s="105" t="n"/>
      <c r="K684" s="103" t="n"/>
      <c r="L684" s="106" t="str">
        <f>IF(OR(D684="",E684=""),"",D684+IF(E684="NOTIFICAÇÃO DE CONSTATAÇÃO",PrazoConst,PrazoEsc))</f>
        <v/>
      </c>
      <c r="M684" s="107" t="str">
        <f>IF(L684="","",L684-TODAY())</f>
        <v/>
      </c>
      <c r="N684" s="108" t="str">
        <f>IF(B684="","",IF(G684="DECISÃO D.P","EM DECISÃO",IF(G684="","SEM STATUS",IF(M684="","SEM DATA",IF(M684&lt;0,"VENCIDO",IF(M684&lt;=DiasAlerta,"VENCE EM BREVE","NO PRAZO"))))))</f>
        <v/>
      </c>
      <c r="O684" s="109" t="str">
        <f>IF(D684="","",TODAY()-D684)</f>
        <v/>
      </c>
      <c r="P684" s="102" t="n"/>
    </row>
    <row r="685" ht="18" customHeight="1">
      <c r="A685" s="101" t="n"/>
      <c r="B685" s="102" t="n"/>
      <c r="C685" s="102" t="n"/>
      <c r="D685" s="103" t="n"/>
      <c r="E685" s="102" t="n"/>
      <c r="F685" s="104" t="n"/>
      <c r="G685" s="104" t="n"/>
      <c r="H685" s="102" t="n"/>
      <c r="I685" s="105" t="n"/>
      <c r="J685" s="105" t="n"/>
      <c r="K685" s="103" t="n"/>
      <c r="L685" s="106" t="str">
        <f>IF(OR(D685="",E685=""),"",D685+IF(E685="NOTIFICAÇÃO DE CONSTATAÇÃO",PrazoConst,PrazoEsc))</f>
        <v/>
      </c>
      <c r="M685" s="107" t="str">
        <f>IF(L685="","",L685-TODAY())</f>
        <v/>
      </c>
      <c r="N685" s="108" t="str">
        <f>IF(B685="","",IF(G685="DECISÃO D.P","EM DECISÃO",IF(G685="","SEM STATUS",IF(M685="","SEM DATA",IF(M685&lt;0,"VENCIDO",IF(M685&lt;=DiasAlerta,"VENCE EM BREVE","NO PRAZO"))))))</f>
        <v/>
      </c>
      <c r="O685" s="109" t="str">
        <f>IF(D685="","",TODAY()-D685)</f>
        <v/>
      </c>
      <c r="P685" s="102" t="n"/>
    </row>
    <row r="686" ht="18" customHeight="1">
      <c r="A686" s="101" t="n"/>
      <c r="B686" s="102" t="n"/>
      <c r="C686" s="102" t="n"/>
      <c r="D686" s="103" t="n"/>
      <c r="E686" s="102" t="n"/>
      <c r="F686" s="104" t="n"/>
      <c r="G686" s="104" t="n"/>
      <c r="H686" s="102" t="n"/>
      <c r="I686" s="105" t="n"/>
      <c r="J686" s="105" t="n"/>
      <c r="K686" s="103" t="n"/>
      <c r="L686" s="106" t="str">
        <f>IF(OR(D686="",E686=""),"",D686+IF(E686="NOTIFICAÇÃO DE CONSTATAÇÃO",PrazoConst,PrazoEsc))</f>
        <v/>
      </c>
      <c r="M686" s="107" t="str">
        <f>IF(L686="","",L686-TODAY())</f>
        <v/>
      </c>
      <c r="N686" s="108" t="str">
        <f>IF(B686="","",IF(G686="DECISÃO D.P","EM DECISÃO",IF(G686="","SEM STATUS",IF(M686="","SEM DATA",IF(M686&lt;0,"VENCIDO",IF(M686&lt;=DiasAlerta,"VENCE EM BREVE","NO PRAZO"))))))</f>
        <v/>
      </c>
      <c r="O686" s="109" t="str">
        <f>IF(D686="","",TODAY()-D686)</f>
        <v/>
      </c>
      <c r="P686" s="102" t="n"/>
    </row>
    <row r="687" ht="18" customHeight="1">
      <c r="A687" s="101" t="n"/>
      <c r="B687" s="102" t="n"/>
      <c r="C687" s="102" t="n"/>
      <c r="D687" s="103" t="n"/>
      <c r="E687" s="102" t="n"/>
      <c r="F687" s="104" t="n"/>
      <c r="G687" s="104" t="n"/>
      <c r="H687" s="102" t="n"/>
      <c r="I687" s="105" t="n"/>
      <c r="J687" s="105" t="n"/>
      <c r="K687" s="103" t="n"/>
      <c r="L687" s="106" t="str">
        <f>IF(OR(D687="",E687=""),"",D687+IF(E687="NOTIFICAÇÃO DE CONSTATAÇÃO",PrazoConst,PrazoEsc))</f>
        <v/>
      </c>
      <c r="M687" s="107" t="str">
        <f>IF(L687="","",L687-TODAY())</f>
        <v/>
      </c>
      <c r="N687" s="108" t="str">
        <f>IF(B687="","",IF(G687="DECISÃO D.P","EM DECISÃO",IF(G687="","SEM STATUS",IF(M687="","SEM DATA",IF(M687&lt;0,"VENCIDO",IF(M687&lt;=DiasAlerta,"VENCE EM BREVE","NO PRAZO"))))))</f>
        <v/>
      </c>
      <c r="O687" s="109" t="str">
        <f>IF(D687="","",TODAY()-D687)</f>
        <v/>
      </c>
      <c r="P687" s="102" t="n"/>
    </row>
    <row r="688" ht="18" customHeight="1">
      <c r="A688" s="101" t="n"/>
      <c r="B688" s="102" t="n"/>
      <c r="C688" s="102" t="n"/>
      <c r="D688" s="103" t="n"/>
      <c r="E688" s="102" t="n"/>
      <c r="F688" s="104" t="n"/>
      <c r="G688" s="104" t="n"/>
      <c r="H688" s="102" t="n"/>
      <c r="I688" s="105" t="n"/>
      <c r="J688" s="105" t="n"/>
      <c r="K688" s="103" t="n"/>
      <c r="L688" s="106" t="str">
        <f>IF(OR(D688="",E688=""),"",D688+IF(E688="NOTIFICAÇÃO DE CONSTATAÇÃO",PrazoConst,PrazoEsc))</f>
        <v/>
      </c>
      <c r="M688" s="107" t="str">
        <f>IF(L688="","",L688-TODAY())</f>
        <v/>
      </c>
      <c r="N688" s="108" t="str">
        <f>IF(B688="","",IF(G688="DECISÃO D.P","EM DECISÃO",IF(G688="","SEM STATUS",IF(M688="","SEM DATA",IF(M688&lt;0,"VENCIDO",IF(M688&lt;=DiasAlerta,"VENCE EM BREVE","NO PRAZO"))))))</f>
        <v/>
      </c>
      <c r="O688" s="109" t="str">
        <f>IF(D688="","",TODAY()-D688)</f>
        <v/>
      </c>
      <c r="P688" s="102" t="n"/>
    </row>
    <row r="689" ht="18" customHeight="1">
      <c r="A689" s="101" t="n"/>
      <c r="B689" s="102" t="n"/>
      <c r="C689" s="102" t="n"/>
      <c r="D689" s="103" t="n"/>
      <c r="E689" s="102" t="n"/>
      <c r="F689" s="104" t="n"/>
      <c r="G689" s="104" t="n"/>
      <c r="H689" s="102" t="n"/>
      <c r="I689" s="105" t="n"/>
      <c r="J689" s="105" t="n"/>
      <c r="K689" s="103" t="n"/>
      <c r="L689" s="106" t="str">
        <f>IF(OR(D689="",E689=""),"",D689+IF(E689="NOTIFICAÇÃO DE CONSTATAÇÃO",PrazoConst,PrazoEsc))</f>
        <v/>
      </c>
      <c r="M689" s="107" t="str">
        <f>IF(L689="","",L689-TODAY())</f>
        <v/>
      </c>
      <c r="N689" s="108" t="str">
        <f>IF(B689="","",IF(G689="DECISÃO D.P","EM DECISÃO",IF(G689="","SEM STATUS",IF(M689="","SEM DATA",IF(M689&lt;0,"VENCIDO",IF(M689&lt;=DiasAlerta,"VENCE EM BREVE","NO PRAZO"))))))</f>
        <v/>
      </c>
      <c r="O689" s="109" t="str">
        <f>IF(D689="","",TODAY()-D689)</f>
        <v/>
      </c>
      <c r="P689" s="102" t="n"/>
    </row>
    <row r="690" ht="18" customHeight="1">
      <c r="A690" s="101" t="n"/>
      <c r="B690" s="102" t="n"/>
      <c r="C690" s="102" t="n"/>
      <c r="D690" s="103" t="n"/>
      <c r="E690" s="102" t="n"/>
      <c r="F690" s="104" t="n"/>
      <c r="G690" s="104" t="n"/>
      <c r="H690" s="102" t="n"/>
      <c r="I690" s="105" t="n"/>
      <c r="J690" s="105" t="n"/>
      <c r="K690" s="103" t="n"/>
      <c r="L690" s="106" t="str">
        <f>IF(OR(D690="",E690=""),"",D690+IF(E690="NOTIFICAÇÃO DE CONSTATAÇÃO",PrazoConst,PrazoEsc))</f>
        <v/>
      </c>
      <c r="M690" s="107" t="str">
        <f>IF(L690="","",L690-TODAY())</f>
        <v/>
      </c>
      <c r="N690" s="108" t="str">
        <f>IF(B690="","",IF(G690="DECISÃO D.P","EM DECISÃO",IF(G690="","SEM STATUS",IF(M690="","SEM DATA",IF(M690&lt;0,"VENCIDO",IF(M690&lt;=DiasAlerta,"VENCE EM BREVE","NO PRAZO"))))))</f>
        <v/>
      </c>
      <c r="O690" s="109" t="str">
        <f>IF(D690="","",TODAY()-D690)</f>
        <v/>
      </c>
      <c r="P690" s="102" t="n"/>
    </row>
    <row r="691" ht="18" customHeight="1">
      <c r="A691" s="101" t="n"/>
      <c r="B691" s="102" t="n"/>
      <c r="C691" s="102" t="n"/>
      <c r="D691" s="103" t="n"/>
      <c r="E691" s="102" t="n"/>
      <c r="F691" s="104" t="n"/>
      <c r="G691" s="104" t="n"/>
      <c r="H691" s="102" t="n"/>
      <c r="I691" s="105" t="n"/>
      <c r="J691" s="105" t="n"/>
      <c r="K691" s="103" t="n"/>
      <c r="L691" s="106" t="str">
        <f>IF(OR(D691="",E691=""),"",D691+IF(E691="NOTIFICAÇÃO DE CONSTATAÇÃO",PrazoConst,PrazoEsc))</f>
        <v/>
      </c>
      <c r="M691" s="107" t="str">
        <f>IF(L691="","",L691-TODAY())</f>
        <v/>
      </c>
      <c r="N691" s="108" t="str">
        <f>IF(B691="","",IF(G691="DECISÃO D.P","EM DECISÃO",IF(G691="","SEM STATUS",IF(M691="","SEM DATA",IF(M691&lt;0,"VENCIDO",IF(M691&lt;=DiasAlerta,"VENCE EM BREVE","NO PRAZO"))))))</f>
        <v/>
      </c>
      <c r="O691" s="109" t="str">
        <f>IF(D691="","",TODAY()-D691)</f>
        <v/>
      </c>
      <c r="P691" s="102" t="n"/>
    </row>
    <row r="692" ht="18" customHeight="1">
      <c r="A692" s="101" t="n"/>
      <c r="B692" s="102" t="n"/>
      <c r="C692" s="102" t="n"/>
      <c r="D692" s="103" t="n"/>
      <c r="E692" s="102" t="n"/>
      <c r="F692" s="104" t="n"/>
      <c r="G692" s="104" t="n"/>
      <c r="H692" s="102" t="n"/>
      <c r="I692" s="105" t="n"/>
      <c r="J692" s="105" t="n"/>
      <c r="K692" s="103" t="n"/>
      <c r="L692" s="106" t="str">
        <f>IF(OR(D692="",E692=""),"",D692+IF(E692="NOTIFICAÇÃO DE CONSTATAÇÃO",PrazoConst,PrazoEsc))</f>
        <v/>
      </c>
      <c r="M692" s="107" t="str">
        <f>IF(L692="","",L692-TODAY())</f>
        <v/>
      </c>
      <c r="N692" s="108" t="str">
        <f>IF(B692="","",IF(G692="DECISÃO D.P","EM DECISÃO",IF(G692="","SEM STATUS",IF(M692="","SEM DATA",IF(M692&lt;0,"VENCIDO",IF(M692&lt;=DiasAlerta,"VENCE EM BREVE","NO PRAZO"))))))</f>
        <v/>
      </c>
      <c r="O692" s="109" t="str">
        <f>IF(D692="","",TODAY()-D692)</f>
        <v/>
      </c>
      <c r="P692" s="102" t="n"/>
    </row>
    <row r="693" ht="18" customHeight="1">
      <c r="A693" s="101" t="n"/>
      <c r="B693" s="102" t="n"/>
      <c r="C693" s="102" t="n"/>
      <c r="D693" s="103" t="n"/>
      <c r="E693" s="102" t="n"/>
      <c r="F693" s="104" t="n"/>
      <c r="G693" s="104" t="n"/>
      <c r="H693" s="102" t="n"/>
      <c r="I693" s="105" t="n"/>
      <c r="J693" s="105" t="n"/>
      <c r="K693" s="103" t="n"/>
      <c r="L693" s="106" t="str">
        <f>IF(OR(D693="",E693=""),"",D693+IF(E693="NOTIFICAÇÃO DE CONSTATAÇÃO",PrazoConst,PrazoEsc))</f>
        <v/>
      </c>
      <c r="M693" s="107" t="str">
        <f>IF(L693="","",L693-TODAY())</f>
        <v/>
      </c>
      <c r="N693" s="108" t="str">
        <f>IF(B693="","",IF(G693="DECISÃO D.P","EM DECISÃO",IF(G693="","SEM STATUS",IF(M693="","SEM DATA",IF(M693&lt;0,"VENCIDO",IF(M693&lt;=DiasAlerta,"VENCE EM BREVE","NO PRAZO"))))))</f>
        <v/>
      </c>
      <c r="O693" s="109" t="str">
        <f>IF(D693="","",TODAY()-D693)</f>
        <v/>
      </c>
      <c r="P693" s="102" t="n"/>
    </row>
    <row r="694" ht="18" customHeight="1">
      <c r="A694" s="101" t="n"/>
      <c r="B694" s="102" t="n"/>
      <c r="C694" s="102" t="n"/>
      <c r="D694" s="103" t="n"/>
      <c r="E694" s="102" t="n"/>
      <c r="F694" s="104" t="n"/>
      <c r="G694" s="104" t="n"/>
      <c r="H694" s="102" t="n"/>
      <c r="I694" s="105" t="n"/>
      <c r="J694" s="105" t="n"/>
      <c r="K694" s="103" t="n"/>
      <c r="L694" s="106" t="str">
        <f>IF(OR(D694="",E694=""),"",D694+IF(E694="NOTIFICAÇÃO DE CONSTATAÇÃO",PrazoConst,PrazoEsc))</f>
        <v/>
      </c>
      <c r="M694" s="107" t="str">
        <f>IF(L694="","",L694-TODAY())</f>
        <v/>
      </c>
      <c r="N694" s="108" t="str">
        <f>IF(B694="","",IF(G694="DECISÃO D.P","EM DECISÃO",IF(G694="","SEM STATUS",IF(M694="","SEM DATA",IF(M694&lt;0,"VENCIDO",IF(M694&lt;=DiasAlerta,"VENCE EM BREVE","NO PRAZO"))))))</f>
        <v/>
      </c>
      <c r="O694" s="109" t="str">
        <f>IF(D694="","",TODAY()-D694)</f>
        <v/>
      </c>
      <c r="P694" s="102" t="n"/>
    </row>
    <row r="695" ht="18" customHeight="1">
      <c r="A695" s="101" t="n"/>
      <c r="B695" s="102" t="n"/>
      <c r="C695" s="102" t="n"/>
      <c r="D695" s="103" t="n"/>
      <c r="E695" s="102" t="n"/>
      <c r="F695" s="104" t="n"/>
      <c r="G695" s="104" t="n"/>
      <c r="H695" s="102" t="n"/>
      <c r="I695" s="105" t="n"/>
      <c r="J695" s="105" t="n"/>
      <c r="K695" s="103" t="n"/>
      <c r="L695" s="106" t="str">
        <f>IF(OR(D695="",E695=""),"",D695+IF(E695="NOTIFICAÇÃO DE CONSTATAÇÃO",PrazoConst,PrazoEsc))</f>
        <v/>
      </c>
      <c r="M695" s="107" t="str">
        <f>IF(L695="","",L695-TODAY())</f>
        <v/>
      </c>
      <c r="N695" s="108" t="str">
        <f>IF(B695="","",IF(G695="DECISÃO D.P","EM DECISÃO",IF(G695="","SEM STATUS",IF(M695="","SEM DATA",IF(M695&lt;0,"VENCIDO",IF(M695&lt;=DiasAlerta,"VENCE EM BREVE","NO PRAZO"))))))</f>
        <v/>
      </c>
      <c r="O695" s="109" t="str">
        <f>IF(D695="","",TODAY()-D695)</f>
        <v/>
      </c>
      <c r="P695" s="102" t="n"/>
    </row>
    <row r="696" ht="18" customHeight="1">
      <c r="A696" s="101" t="n"/>
      <c r="B696" s="102" t="n"/>
      <c r="C696" s="102" t="n"/>
      <c r="D696" s="103" t="n"/>
      <c r="E696" s="102" t="n"/>
      <c r="F696" s="104" t="n"/>
      <c r="G696" s="104" t="n"/>
      <c r="H696" s="102" t="n"/>
      <c r="I696" s="105" t="n"/>
      <c r="J696" s="105" t="n"/>
      <c r="K696" s="103" t="n"/>
      <c r="L696" s="106" t="str">
        <f>IF(OR(D696="",E696=""),"",D696+IF(E696="NOTIFICAÇÃO DE CONSTATAÇÃO",PrazoConst,PrazoEsc))</f>
        <v/>
      </c>
      <c r="M696" s="107" t="str">
        <f>IF(L696="","",L696-TODAY())</f>
        <v/>
      </c>
      <c r="N696" s="108" t="str">
        <f>IF(B696="","",IF(G696="DECISÃO D.P","EM DECISÃO",IF(G696="","SEM STATUS",IF(M696="","SEM DATA",IF(M696&lt;0,"VENCIDO",IF(M696&lt;=DiasAlerta,"VENCE EM BREVE","NO PRAZO"))))))</f>
        <v/>
      </c>
      <c r="O696" s="109" t="str">
        <f>IF(D696="","",TODAY()-D696)</f>
        <v/>
      </c>
      <c r="P696" s="102" t="n"/>
    </row>
    <row r="697" ht="18" customHeight="1">
      <c r="A697" s="101" t="n"/>
      <c r="B697" s="102" t="n"/>
      <c r="C697" s="102" t="n"/>
      <c r="D697" s="103" t="n"/>
      <c r="E697" s="102" t="n"/>
      <c r="F697" s="104" t="n"/>
      <c r="G697" s="104" t="n"/>
      <c r="H697" s="102" t="n"/>
      <c r="I697" s="105" t="n"/>
      <c r="J697" s="105" t="n"/>
      <c r="K697" s="103" t="n"/>
      <c r="L697" s="106" t="str">
        <f>IF(OR(D697="",E697=""),"",D697+IF(E697="NOTIFICAÇÃO DE CONSTATAÇÃO",PrazoConst,PrazoEsc))</f>
        <v/>
      </c>
      <c r="M697" s="107" t="str">
        <f>IF(L697="","",L697-TODAY())</f>
        <v/>
      </c>
      <c r="N697" s="108" t="str">
        <f>IF(B697="","",IF(G697="DECISÃO D.P","EM DECISÃO",IF(G697="","SEM STATUS",IF(M697="","SEM DATA",IF(M697&lt;0,"VENCIDO",IF(M697&lt;=DiasAlerta,"VENCE EM BREVE","NO PRAZO"))))))</f>
        <v/>
      </c>
      <c r="O697" s="109" t="str">
        <f>IF(D697="","",TODAY()-D697)</f>
        <v/>
      </c>
      <c r="P697" s="102" t="n"/>
    </row>
    <row r="698" ht="18" customHeight="1">
      <c r="A698" s="101" t="n"/>
      <c r="B698" s="102" t="n"/>
      <c r="C698" s="102" t="n"/>
      <c r="D698" s="103" t="n"/>
      <c r="E698" s="102" t="n"/>
      <c r="F698" s="104" t="n"/>
      <c r="G698" s="104" t="n"/>
      <c r="H698" s="102" t="n"/>
      <c r="I698" s="105" t="n"/>
      <c r="J698" s="105" t="n"/>
      <c r="K698" s="103" t="n"/>
      <c r="L698" s="106" t="str">
        <f>IF(OR(D698="",E698=""),"",D698+IF(E698="NOTIFICAÇÃO DE CONSTATAÇÃO",PrazoConst,PrazoEsc))</f>
        <v/>
      </c>
      <c r="M698" s="107" t="str">
        <f>IF(L698="","",L698-TODAY())</f>
        <v/>
      </c>
      <c r="N698" s="108" t="str">
        <f>IF(B698="","",IF(G698="DECISÃO D.P","EM DECISÃO",IF(G698="","SEM STATUS",IF(M698="","SEM DATA",IF(M698&lt;0,"VENCIDO",IF(M698&lt;=DiasAlerta,"VENCE EM BREVE","NO PRAZO"))))))</f>
        <v/>
      </c>
      <c r="O698" s="109" t="str">
        <f>IF(D698="","",TODAY()-D698)</f>
        <v/>
      </c>
      <c r="P698" s="102" t="n"/>
    </row>
    <row r="699" ht="18" customHeight="1">
      <c r="A699" s="101" t="n"/>
      <c r="B699" s="102" t="n"/>
      <c r="C699" s="102" t="n"/>
      <c r="D699" s="103" t="n"/>
      <c r="E699" s="102" t="n"/>
      <c r="F699" s="104" t="n"/>
      <c r="G699" s="104" t="n"/>
      <c r="H699" s="102" t="n"/>
      <c r="I699" s="105" t="n"/>
      <c r="J699" s="105" t="n"/>
      <c r="K699" s="103" t="n"/>
      <c r="L699" s="106" t="str">
        <f>IF(OR(D699="",E699=""),"",D699+IF(E699="NOTIFICAÇÃO DE CONSTATAÇÃO",PrazoConst,PrazoEsc))</f>
        <v/>
      </c>
      <c r="M699" s="107" t="str">
        <f>IF(L699="","",L699-TODAY())</f>
        <v/>
      </c>
      <c r="N699" s="108" t="str">
        <f>IF(B699="","",IF(G699="DECISÃO D.P","EM DECISÃO",IF(G699="","SEM STATUS",IF(M699="","SEM DATA",IF(M699&lt;0,"VENCIDO",IF(M699&lt;=DiasAlerta,"VENCE EM BREVE","NO PRAZO"))))))</f>
        <v/>
      </c>
      <c r="O699" s="109" t="str">
        <f>IF(D699="","",TODAY()-D699)</f>
        <v/>
      </c>
      <c r="P699" s="102" t="n"/>
    </row>
    <row r="700" ht="18" customHeight="1">
      <c r="A700" s="101" t="n"/>
      <c r="B700" s="102" t="n"/>
      <c r="C700" s="102" t="n"/>
      <c r="D700" s="103" t="n"/>
      <c r="E700" s="102" t="n"/>
      <c r="F700" s="104" t="n"/>
      <c r="G700" s="104" t="n"/>
      <c r="H700" s="102" t="n"/>
      <c r="I700" s="105" t="n"/>
      <c r="J700" s="105" t="n"/>
      <c r="K700" s="103" t="n"/>
      <c r="L700" s="106" t="str">
        <f>IF(OR(D700="",E700=""),"",D700+IF(E700="NOTIFICAÇÃO DE CONSTATAÇÃO",PrazoConst,PrazoEsc))</f>
        <v/>
      </c>
      <c r="M700" s="107" t="str">
        <f>IF(L700="","",L700-TODAY())</f>
        <v/>
      </c>
      <c r="N700" s="108" t="str">
        <f>IF(B700="","",IF(G700="DECISÃO D.P","EM DECISÃO",IF(G700="","SEM STATUS",IF(M700="","SEM DATA",IF(M700&lt;0,"VENCIDO",IF(M700&lt;=DiasAlerta,"VENCE EM BREVE","NO PRAZO"))))))</f>
        <v/>
      </c>
      <c r="O700" s="109" t="str">
        <f>IF(D700="","",TODAY()-D700)</f>
        <v/>
      </c>
      <c r="P700" s="102" t="n"/>
    </row>
    <row r="701" ht="18" customHeight="1">
      <c r="A701" s="101" t="n"/>
      <c r="B701" s="102" t="n"/>
      <c r="C701" s="102" t="n"/>
      <c r="D701" s="103" t="n"/>
      <c r="E701" s="102" t="n"/>
      <c r="F701" s="104" t="n"/>
      <c r="G701" s="104" t="n"/>
      <c r="H701" s="102" t="n"/>
      <c r="I701" s="105" t="n"/>
      <c r="J701" s="105" t="n"/>
      <c r="K701" s="103" t="n"/>
      <c r="L701" s="106" t="str">
        <f>IF(OR(D701="",E701=""),"",D701+IF(E701="NOTIFICAÇÃO DE CONSTATAÇÃO",PrazoConst,PrazoEsc))</f>
        <v/>
      </c>
      <c r="M701" s="107" t="str">
        <f>IF(L701="","",L701-TODAY())</f>
        <v/>
      </c>
      <c r="N701" s="108" t="str">
        <f>IF(B701="","",IF(G701="DECISÃO D.P","EM DECISÃO",IF(G701="","SEM STATUS",IF(M701="","SEM DATA",IF(M701&lt;0,"VENCIDO",IF(M701&lt;=DiasAlerta,"VENCE EM BREVE","NO PRAZO"))))))</f>
        <v/>
      </c>
      <c r="O701" s="109" t="str">
        <f>IF(D701="","",TODAY()-D701)</f>
        <v/>
      </c>
      <c r="P701" s="102" t="n"/>
    </row>
    <row r="702" ht="18" customHeight="1">
      <c r="A702" s="101" t="n"/>
      <c r="B702" s="102" t="n"/>
      <c r="C702" s="102" t="n"/>
      <c r="D702" s="103" t="n"/>
      <c r="E702" s="102" t="n"/>
      <c r="F702" s="104" t="n"/>
      <c r="G702" s="104" t="n"/>
      <c r="H702" s="102" t="n"/>
      <c r="I702" s="105" t="n"/>
      <c r="J702" s="105" t="n"/>
      <c r="K702" s="103" t="n"/>
      <c r="L702" s="106" t="str">
        <f>IF(OR(D702="",E702=""),"",D702+IF(E702="NOTIFICAÇÃO DE CONSTATAÇÃO",PrazoConst,PrazoEsc))</f>
        <v/>
      </c>
      <c r="M702" s="107" t="str">
        <f>IF(L702="","",L702-TODAY())</f>
        <v/>
      </c>
      <c r="N702" s="108" t="str">
        <f>IF(B702="","",IF(G702="DECISÃO D.P","EM DECISÃO",IF(G702="","SEM STATUS",IF(M702="","SEM DATA",IF(M702&lt;0,"VENCIDO",IF(M702&lt;=DiasAlerta,"VENCE EM BREVE","NO PRAZO"))))))</f>
        <v/>
      </c>
      <c r="O702" s="109" t="str">
        <f>IF(D702="","",TODAY()-D702)</f>
        <v/>
      </c>
      <c r="P702" s="102" t="n"/>
    </row>
    <row r="703" ht="18" customHeight="1">
      <c r="A703" s="101" t="n"/>
      <c r="B703" s="102" t="n"/>
      <c r="C703" s="102" t="n"/>
      <c r="D703" s="103" t="n"/>
      <c r="E703" s="102" t="n"/>
      <c r="F703" s="104" t="n"/>
      <c r="G703" s="104" t="n"/>
      <c r="H703" s="102" t="n"/>
      <c r="I703" s="105" t="n"/>
      <c r="J703" s="105" t="n"/>
      <c r="K703" s="103" t="n"/>
      <c r="L703" s="106" t="str">
        <f>IF(OR(D703="",E703=""),"",D703+IF(E703="NOTIFICAÇÃO DE CONSTATAÇÃO",PrazoConst,PrazoEsc))</f>
        <v/>
      </c>
      <c r="M703" s="107" t="str">
        <f>IF(L703="","",L703-TODAY())</f>
        <v/>
      </c>
      <c r="N703" s="108" t="str">
        <f>IF(B703="","",IF(G703="DECISÃO D.P","EM DECISÃO",IF(G703="","SEM STATUS",IF(M703="","SEM DATA",IF(M703&lt;0,"VENCIDO",IF(M703&lt;=DiasAlerta,"VENCE EM BREVE","NO PRAZO"))))))</f>
        <v/>
      </c>
      <c r="O703" s="109" t="str">
        <f>IF(D703="","",TODAY()-D703)</f>
        <v/>
      </c>
      <c r="P703" s="102" t="n"/>
    </row>
    <row r="704" ht="18" customHeight="1">
      <c r="A704" s="101" t="n"/>
      <c r="B704" s="102" t="n"/>
      <c r="C704" s="102" t="n"/>
      <c r="D704" s="103" t="n"/>
      <c r="E704" s="102" t="n"/>
      <c r="F704" s="104" t="n"/>
      <c r="G704" s="104" t="n"/>
      <c r="H704" s="102" t="n"/>
      <c r="I704" s="105" t="n"/>
      <c r="J704" s="105" t="n"/>
      <c r="K704" s="103" t="n"/>
      <c r="L704" s="106" t="str">
        <f>IF(OR(D704="",E704=""),"",D704+IF(E704="NOTIFICAÇÃO DE CONSTATAÇÃO",PrazoConst,PrazoEsc))</f>
        <v/>
      </c>
      <c r="M704" s="107" t="str">
        <f>IF(L704="","",L704-TODAY())</f>
        <v/>
      </c>
      <c r="N704" s="108" t="str">
        <f>IF(B704="","",IF(G704="DECISÃO D.P","EM DECISÃO",IF(G704="","SEM STATUS",IF(M704="","SEM DATA",IF(M704&lt;0,"VENCIDO",IF(M704&lt;=DiasAlerta,"VENCE EM BREVE","NO PRAZO"))))))</f>
        <v/>
      </c>
      <c r="O704" s="109" t="str">
        <f>IF(D704="","",TODAY()-D704)</f>
        <v/>
      </c>
      <c r="P704" s="102" t="n"/>
    </row>
    <row r="705" ht="18" customHeight="1">
      <c r="A705" s="101" t="n"/>
      <c r="B705" s="102" t="n"/>
      <c r="C705" s="102" t="n"/>
      <c r="D705" s="103" t="n"/>
      <c r="E705" s="102" t="n"/>
      <c r="F705" s="104" t="n"/>
      <c r="G705" s="104" t="n"/>
      <c r="H705" s="102" t="n"/>
      <c r="I705" s="105" t="n"/>
      <c r="J705" s="105" t="n"/>
      <c r="K705" s="103" t="n"/>
      <c r="L705" s="106" t="str">
        <f>IF(OR(D705="",E705=""),"",D705+IF(E705="NOTIFICAÇÃO DE CONSTATAÇÃO",PrazoConst,PrazoEsc))</f>
        <v/>
      </c>
      <c r="M705" s="107" t="str">
        <f>IF(L705="","",L705-TODAY())</f>
        <v/>
      </c>
      <c r="N705" s="108" t="str">
        <f>IF(B705="","",IF(G705="DECISÃO D.P","EM DECISÃO",IF(G705="","SEM STATUS",IF(M705="","SEM DATA",IF(M705&lt;0,"VENCIDO",IF(M705&lt;=DiasAlerta,"VENCE EM BREVE","NO PRAZO"))))))</f>
        <v/>
      </c>
      <c r="O705" s="109" t="str">
        <f>IF(D705="","",TODAY()-D705)</f>
        <v/>
      </c>
      <c r="P705" s="102" t="n"/>
    </row>
    <row r="706" ht="18" customHeight="1">
      <c r="A706" s="101" t="n"/>
      <c r="B706" s="102" t="n"/>
      <c r="C706" s="102" t="n"/>
      <c r="D706" s="103" t="n"/>
      <c r="E706" s="102" t="n"/>
      <c r="F706" s="104" t="n"/>
      <c r="G706" s="104" t="n"/>
      <c r="H706" s="102" t="n"/>
      <c r="I706" s="105" t="n"/>
      <c r="J706" s="105" t="n"/>
      <c r="K706" s="103" t="n"/>
      <c r="L706" s="106" t="str">
        <f>IF(OR(D706="",E706=""),"",D706+IF(E706="NOTIFICAÇÃO DE CONSTATAÇÃO",PrazoConst,PrazoEsc))</f>
        <v/>
      </c>
      <c r="M706" s="107" t="str">
        <f>IF(L706="","",L706-TODAY())</f>
        <v/>
      </c>
      <c r="N706" s="108" t="str">
        <f>IF(B706="","",IF(G706="DECISÃO D.P","EM DECISÃO",IF(G706="","SEM STATUS",IF(M706="","SEM DATA",IF(M706&lt;0,"VENCIDO",IF(M706&lt;=DiasAlerta,"VENCE EM BREVE","NO PRAZO"))))))</f>
        <v/>
      </c>
      <c r="O706" s="109" t="str">
        <f>IF(D706="","",TODAY()-D706)</f>
        <v/>
      </c>
      <c r="P706" s="102" t="n"/>
    </row>
    <row r="707" ht="18" customHeight="1">
      <c r="A707" s="101" t="n"/>
      <c r="B707" s="102" t="n"/>
      <c r="C707" s="102" t="n"/>
      <c r="D707" s="103" t="n"/>
      <c r="E707" s="102" t="n"/>
      <c r="F707" s="104" t="n"/>
      <c r="G707" s="104" t="n"/>
      <c r="H707" s="102" t="n"/>
      <c r="I707" s="105" t="n"/>
      <c r="J707" s="105" t="n"/>
      <c r="K707" s="103" t="n"/>
      <c r="L707" s="106" t="str">
        <f>IF(OR(D707="",E707=""),"",D707+IF(E707="NOTIFICAÇÃO DE CONSTATAÇÃO",PrazoConst,PrazoEsc))</f>
        <v/>
      </c>
      <c r="M707" s="107" t="str">
        <f>IF(L707="","",L707-TODAY())</f>
        <v/>
      </c>
      <c r="N707" s="108" t="str">
        <f>IF(B707="","",IF(G707="DECISÃO D.P","EM DECISÃO",IF(G707="","SEM STATUS",IF(M707="","SEM DATA",IF(M707&lt;0,"VENCIDO",IF(M707&lt;=DiasAlerta,"VENCE EM BREVE","NO PRAZO"))))))</f>
        <v/>
      </c>
      <c r="O707" s="109" t="str">
        <f>IF(D707="","",TODAY()-D707)</f>
        <v/>
      </c>
      <c r="P707" s="102" t="n"/>
    </row>
    <row r="708" ht="18" customHeight="1">
      <c r="A708" s="101" t="n"/>
      <c r="B708" s="102" t="n"/>
      <c r="C708" s="102" t="n"/>
      <c r="D708" s="103" t="n"/>
      <c r="E708" s="102" t="n"/>
      <c r="F708" s="104" t="n"/>
      <c r="G708" s="104" t="n"/>
      <c r="H708" s="102" t="n"/>
      <c r="I708" s="105" t="n"/>
      <c r="J708" s="105" t="n"/>
      <c r="K708" s="103" t="n"/>
      <c r="L708" s="106" t="str">
        <f>IF(OR(D708="",E708=""),"",D708+IF(E708="NOTIFICAÇÃO DE CONSTATAÇÃO",PrazoConst,PrazoEsc))</f>
        <v/>
      </c>
      <c r="M708" s="107" t="str">
        <f>IF(L708="","",L708-TODAY())</f>
        <v/>
      </c>
      <c r="N708" s="108" t="str">
        <f>IF(B708="","",IF(G708="DECISÃO D.P","EM DECISÃO",IF(G708="","SEM STATUS",IF(M708="","SEM DATA",IF(M708&lt;0,"VENCIDO",IF(M708&lt;=DiasAlerta,"VENCE EM BREVE","NO PRAZO"))))))</f>
        <v/>
      </c>
      <c r="O708" s="109" t="str">
        <f>IF(D708="","",TODAY()-D708)</f>
        <v/>
      </c>
      <c r="P708" s="102" t="n"/>
    </row>
    <row r="709" ht="18" customHeight="1">
      <c r="A709" s="101" t="n"/>
      <c r="B709" s="102" t="n"/>
      <c r="C709" s="102" t="n"/>
      <c r="D709" s="103" t="n"/>
      <c r="E709" s="102" t="n"/>
      <c r="F709" s="104" t="n"/>
      <c r="G709" s="104" t="n"/>
      <c r="H709" s="102" t="n"/>
      <c r="I709" s="105" t="n"/>
      <c r="J709" s="105" t="n"/>
      <c r="K709" s="103" t="n"/>
      <c r="L709" s="106" t="str">
        <f>IF(OR(D709="",E709=""),"",D709+IF(E709="NOTIFICAÇÃO DE CONSTATAÇÃO",PrazoConst,PrazoEsc))</f>
        <v/>
      </c>
      <c r="M709" s="107" t="str">
        <f>IF(L709="","",L709-TODAY())</f>
        <v/>
      </c>
      <c r="N709" s="108" t="str">
        <f>IF(B709="","",IF(G709="DECISÃO D.P","EM DECISÃO",IF(G709="","SEM STATUS",IF(M709="","SEM DATA",IF(M709&lt;0,"VENCIDO",IF(M709&lt;=DiasAlerta,"VENCE EM BREVE","NO PRAZO"))))))</f>
        <v/>
      </c>
      <c r="O709" s="109" t="str">
        <f>IF(D709="","",TODAY()-D709)</f>
        <v/>
      </c>
      <c r="P709" s="102" t="n"/>
    </row>
    <row r="710" ht="18" customHeight="1">
      <c r="A710" s="101" t="n"/>
      <c r="B710" s="102" t="n"/>
      <c r="C710" s="102" t="n"/>
      <c r="D710" s="103" t="n"/>
      <c r="E710" s="102" t="n"/>
      <c r="F710" s="104" t="n"/>
      <c r="G710" s="104" t="n"/>
      <c r="H710" s="102" t="n"/>
      <c r="I710" s="105" t="n"/>
      <c r="J710" s="105" t="n"/>
      <c r="K710" s="103" t="n"/>
      <c r="L710" s="106" t="str">
        <f>IF(OR(D710="",E710=""),"",D710+IF(E710="NOTIFICAÇÃO DE CONSTATAÇÃO",PrazoConst,PrazoEsc))</f>
        <v/>
      </c>
      <c r="M710" s="107" t="str">
        <f>IF(L710="","",L710-TODAY())</f>
        <v/>
      </c>
      <c r="N710" s="108" t="str">
        <f>IF(B710="","",IF(G710="DECISÃO D.P","EM DECISÃO",IF(G710="","SEM STATUS",IF(M710="","SEM DATA",IF(M710&lt;0,"VENCIDO",IF(M710&lt;=DiasAlerta,"VENCE EM BREVE","NO PRAZO"))))))</f>
        <v/>
      </c>
      <c r="O710" s="109" t="str">
        <f>IF(D710="","",TODAY()-D710)</f>
        <v/>
      </c>
      <c r="P710" s="102" t="n"/>
    </row>
    <row r="711" ht="18" customHeight="1">
      <c r="A711" s="101" t="n"/>
      <c r="B711" s="102" t="n"/>
      <c r="C711" s="102" t="n"/>
      <c r="D711" s="103" t="n"/>
      <c r="E711" s="102" t="n"/>
      <c r="F711" s="104" t="n"/>
      <c r="G711" s="104" t="n"/>
      <c r="H711" s="102" t="n"/>
      <c r="I711" s="105" t="n"/>
      <c r="J711" s="105" t="n"/>
      <c r="K711" s="103" t="n"/>
      <c r="L711" s="106" t="str">
        <f>IF(OR(D711="",E711=""),"",D711+IF(E711="NOTIFICAÇÃO DE CONSTATAÇÃO",PrazoConst,PrazoEsc))</f>
        <v/>
      </c>
      <c r="M711" s="107" t="str">
        <f>IF(L711="","",L711-TODAY())</f>
        <v/>
      </c>
      <c r="N711" s="108" t="str">
        <f>IF(B711="","",IF(G711="DECISÃO D.P","EM DECISÃO",IF(G711="","SEM STATUS",IF(M711="","SEM DATA",IF(M711&lt;0,"VENCIDO",IF(M711&lt;=DiasAlerta,"VENCE EM BREVE","NO PRAZO"))))))</f>
        <v/>
      </c>
      <c r="O711" s="109" t="str">
        <f>IF(D711="","",TODAY()-D711)</f>
        <v/>
      </c>
      <c r="P711" s="102" t="n"/>
    </row>
    <row r="712" ht="18" customHeight="1">
      <c r="A712" s="101" t="n"/>
      <c r="B712" s="102" t="n"/>
      <c r="C712" s="102" t="n"/>
      <c r="D712" s="103" t="n"/>
      <c r="E712" s="102" t="n"/>
      <c r="F712" s="104" t="n"/>
      <c r="G712" s="104" t="n"/>
      <c r="H712" s="102" t="n"/>
      <c r="I712" s="105" t="n"/>
      <c r="J712" s="105" t="n"/>
      <c r="K712" s="103" t="n"/>
      <c r="L712" s="106" t="str">
        <f>IF(OR(D712="",E712=""),"",D712+IF(E712="NOTIFICAÇÃO DE CONSTATAÇÃO",PrazoConst,PrazoEsc))</f>
        <v/>
      </c>
      <c r="M712" s="107" t="str">
        <f>IF(L712="","",L712-TODAY())</f>
        <v/>
      </c>
      <c r="N712" s="108" t="str">
        <f>IF(B712="","",IF(G712="DECISÃO D.P","EM DECISÃO",IF(G712="","SEM STATUS",IF(M712="","SEM DATA",IF(M712&lt;0,"VENCIDO",IF(M712&lt;=DiasAlerta,"VENCE EM BREVE","NO PRAZO"))))))</f>
        <v/>
      </c>
      <c r="O712" s="109" t="str">
        <f>IF(D712="","",TODAY()-D712)</f>
        <v/>
      </c>
      <c r="P712" s="102" t="n"/>
    </row>
    <row r="713" ht="18" customHeight="1">
      <c r="A713" s="101" t="n"/>
      <c r="B713" s="102" t="n"/>
      <c r="C713" s="102" t="n"/>
      <c r="D713" s="103" t="n"/>
      <c r="E713" s="102" t="n"/>
      <c r="F713" s="104" t="n"/>
      <c r="G713" s="104" t="n"/>
      <c r="H713" s="102" t="n"/>
      <c r="I713" s="105" t="n"/>
      <c r="J713" s="105" t="n"/>
      <c r="K713" s="103" t="n"/>
      <c r="L713" s="106" t="str">
        <f>IF(OR(D713="",E713=""),"",D713+IF(E713="NOTIFICAÇÃO DE CONSTATAÇÃO",PrazoConst,PrazoEsc))</f>
        <v/>
      </c>
      <c r="M713" s="107" t="str">
        <f>IF(L713="","",L713-TODAY())</f>
        <v/>
      </c>
      <c r="N713" s="108" t="str">
        <f>IF(B713="","",IF(G713="DECISÃO D.P","EM DECISÃO",IF(G713="","SEM STATUS",IF(M713="","SEM DATA",IF(M713&lt;0,"VENCIDO",IF(M713&lt;=DiasAlerta,"VENCE EM BREVE","NO PRAZO"))))))</f>
        <v/>
      </c>
      <c r="O713" s="109" t="str">
        <f>IF(D713="","",TODAY()-D713)</f>
        <v/>
      </c>
      <c r="P713" s="102" t="n"/>
    </row>
    <row r="714" ht="18" customHeight="1">
      <c r="A714" s="101" t="n"/>
      <c r="B714" s="102" t="n"/>
      <c r="C714" s="102" t="n"/>
      <c r="D714" s="103" t="n"/>
      <c r="E714" s="102" t="n"/>
      <c r="F714" s="104" t="n"/>
      <c r="G714" s="104" t="n"/>
      <c r="H714" s="102" t="n"/>
      <c r="I714" s="105" t="n"/>
      <c r="J714" s="105" t="n"/>
      <c r="K714" s="103" t="n"/>
      <c r="L714" s="106" t="str">
        <f>IF(OR(D714="",E714=""),"",D714+IF(E714="NOTIFICAÇÃO DE CONSTATAÇÃO",PrazoConst,PrazoEsc))</f>
        <v/>
      </c>
      <c r="M714" s="107" t="str">
        <f>IF(L714="","",L714-TODAY())</f>
        <v/>
      </c>
      <c r="N714" s="108" t="str">
        <f>IF(B714="","",IF(G714="DECISÃO D.P","EM DECISÃO",IF(G714="","SEM STATUS",IF(M714="","SEM DATA",IF(M714&lt;0,"VENCIDO",IF(M714&lt;=DiasAlerta,"VENCE EM BREVE","NO PRAZO"))))))</f>
        <v/>
      </c>
      <c r="O714" s="109" t="str">
        <f>IF(D714="","",TODAY()-D714)</f>
        <v/>
      </c>
      <c r="P714" s="102" t="n"/>
    </row>
    <row r="715" ht="18" customHeight="1">
      <c r="A715" s="101" t="n"/>
      <c r="B715" s="102" t="n"/>
      <c r="C715" s="102" t="n"/>
      <c r="D715" s="103" t="n"/>
      <c r="E715" s="102" t="n"/>
      <c r="F715" s="104" t="n"/>
      <c r="G715" s="104" t="n"/>
      <c r="H715" s="102" t="n"/>
      <c r="I715" s="105" t="n"/>
      <c r="J715" s="105" t="n"/>
      <c r="K715" s="103" t="n"/>
      <c r="L715" s="106" t="str">
        <f>IF(OR(D715="",E715=""),"",D715+IF(E715="NOTIFICAÇÃO DE CONSTATAÇÃO",PrazoConst,PrazoEsc))</f>
        <v/>
      </c>
      <c r="M715" s="107" t="str">
        <f>IF(L715="","",L715-TODAY())</f>
        <v/>
      </c>
      <c r="N715" s="108" t="str">
        <f>IF(B715="","",IF(G715="DECISÃO D.P","EM DECISÃO",IF(G715="","SEM STATUS",IF(M715="","SEM DATA",IF(M715&lt;0,"VENCIDO",IF(M715&lt;=DiasAlerta,"VENCE EM BREVE","NO PRAZO"))))))</f>
        <v/>
      </c>
      <c r="O715" s="109" t="str">
        <f>IF(D715="","",TODAY()-D715)</f>
        <v/>
      </c>
      <c r="P715" s="102" t="n"/>
    </row>
    <row r="716" ht="18" customHeight="1">
      <c r="A716" s="101" t="n"/>
      <c r="B716" s="102" t="n"/>
      <c r="C716" s="102" t="n"/>
      <c r="D716" s="103" t="n"/>
      <c r="E716" s="102" t="n"/>
      <c r="F716" s="104" t="n"/>
      <c r="G716" s="104" t="n"/>
      <c r="H716" s="102" t="n"/>
      <c r="I716" s="105" t="n"/>
      <c r="J716" s="105" t="n"/>
      <c r="K716" s="103" t="n"/>
      <c r="L716" s="106" t="str">
        <f>IF(OR(D716="",E716=""),"",D716+IF(E716="NOTIFICAÇÃO DE CONSTATAÇÃO",PrazoConst,PrazoEsc))</f>
        <v/>
      </c>
      <c r="M716" s="107" t="str">
        <f>IF(L716="","",L716-TODAY())</f>
        <v/>
      </c>
      <c r="N716" s="108" t="str">
        <f>IF(B716="","",IF(G716="DECISÃO D.P","EM DECISÃO",IF(G716="","SEM STATUS",IF(M716="","SEM DATA",IF(M716&lt;0,"VENCIDO",IF(M716&lt;=DiasAlerta,"VENCE EM BREVE","NO PRAZO"))))))</f>
        <v/>
      </c>
      <c r="O716" s="109" t="str">
        <f>IF(D716="","",TODAY()-D716)</f>
        <v/>
      </c>
      <c r="P716" s="102" t="n"/>
    </row>
    <row r="717" ht="18" customHeight="1">
      <c r="A717" s="101" t="n"/>
      <c r="B717" s="102" t="n"/>
      <c r="C717" s="102" t="n"/>
      <c r="D717" s="103" t="n"/>
      <c r="E717" s="102" t="n"/>
      <c r="F717" s="104" t="n"/>
      <c r="G717" s="104" t="n"/>
      <c r="H717" s="102" t="n"/>
      <c r="I717" s="105" t="n"/>
      <c r="J717" s="105" t="n"/>
      <c r="K717" s="103" t="n"/>
      <c r="L717" s="106" t="str">
        <f>IF(OR(D717="",E717=""),"",D717+IF(E717="NOTIFICAÇÃO DE CONSTATAÇÃO",PrazoConst,PrazoEsc))</f>
        <v/>
      </c>
      <c r="M717" s="107" t="str">
        <f>IF(L717="","",L717-TODAY())</f>
        <v/>
      </c>
      <c r="N717" s="108" t="str">
        <f>IF(B717="","",IF(G717="DECISÃO D.P","EM DECISÃO",IF(G717="","SEM STATUS",IF(M717="","SEM DATA",IF(M717&lt;0,"VENCIDO",IF(M717&lt;=DiasAlerta,"VENCE EM BREVE","NO PRAZO"))))))</f>
        <v/>
      </c>
      <c r="O717" s="109" t="str">
        <f>IF(D717="","",TODAY()-D717)</f>
        <v/>
      </c>
      <c r="P717" s="102" t="n"/>
    </row>
    <row r="718" ht="18" customHeight="1">
      <c r="A718" s="101" t="n"/>
      <c r="B718" s="102" t="n"/>
      <c r="C718" s="102" t="n"/>
      <c r="D718" s="103" t="n"/>
      <c r="E718" s="102" t="n"/>
      <c r="F718" s="104" t="n"/>
      <c r="G718" s="104" t="n"/>
      <c r="H718" s="102" t="n"/>
      <c r="I718" s="105" t="n"/>
      <c r="J718" s="105" t="n"/>
      <c r="K718" s="103" t="n"/>
      <c r="L718" s="106" t="str">
        <f>IF(OR(D718="",E718=""),"",D718+IF(E718="NOTIFICAÇÃO DE CONSTATAÇÃO",PrazoConst,PrazoEsc))</f>
        <v/>
      </c>
      <c r="M718" s="107" t="str">
        <f>IF(L718="","",L718-TODAY())</f>
        <v/>
      </c>
      <c r="N718" s="108" t="str">
        <f>IF(B718="","",IF(G718="DECISÃO D.P","EM DECISÃO",IF(G718="","SEM STATUS",IF(M718="","SEM DATA",IF(M718&lt;0,"VENCIDO",IF(M718&lt;=DiasAlerta,"VENCE EM BREVE","NO PRAZO"))))))</f>
        <v/>
      </c>
      <c r="O718" s="109" t="str">
        <f>IF(D718="","",TODAY()-D718)</f>
        <v/>
      </c>
      <c r="P718" s="102" t="n"/>
    </row>
    <row r="719" ht="18" customHeight="1">
      <c r="A719" s="101" t="n"/>
      <c r="B719" s="102" t="n"/>
      <c r="C719" s="102" t="n"/>
      <c r="D719" s="103" t="n"/>
      <c r="E719" s="102" t="n"/>
      <c r="F719" s="104" t="n"/>
      <c r="G719" s="104" t="n"/>
      <c r="H719" s="102" t="n"/>
      <c r="I719" s="105" t="n"/>
      <c r="J719" s="105" t="n"/>
      <c r="K719" s="103" t="n"/>
      <c r="L719" s="106" t="str">
        <f>IF(OR(D719="",E719=""),"",D719+IF(E719="NOTIFICAÇÃO DE CONSTATAÇÃO",PrazoConst,PrazoEsc))</f>
        <v/>
      </c>
      <c r="M719" s="107" t="str">
        <f>IF(L719="","",L719-TODAY())</f>
        <v/>
      </c>
      <c r="N719" s="108" t="str">
        <f>IF(B719="","",IF(G719="DECISÃO D.P","EM DECISÃO",IF(G719="","SEM STATUS",IF(M719="","SEM DATA",IF(M719&lt;0,"VENCIDO",IF(M719&lt;=DiasAlerta,"VENCE EM BREVE","NO PRAZO"))))))</f>
        <v/>
      </c>
      <c r="O719" s="109" t="str">
        <f>IF(D719="","",TODAY()-D719)</f>
        <v/>
      </c>
      <c r="P719" s="102" t="n"/>
    </row>
    <row r="720" ht="18" customHeight="1">
      <c r="A720" s="101" t="n"/>
      <c r="B720" s="102" t="n"/>
      <c r="C720" s="102" t="n"/>
      <c r="D720" s="103" t="n"/>
      <c r="E720" s="102" t="n"/>
      <c r="F720" s="104" t="n"/>
      <c r="G720" s="104" t="n"/>
      <c r="H720" s="102" t="n"/>
      <c r="I720" s="105" t="n"/>
      <c r="J720" s="105" t="n"/>
      <c r="K720" s="103" t="n"/>
      <c r="L720" s="106" t="str">
        <f>IF(OR(D720="",E720=""),"",D720+IF(E720="NOTIFICAÇÃO DE CONSTATAÇÃO",PrazoConst,PrazoEsc))</f>
        <v/>
      </c>
      <c r="M720" s="107" t="str">
        <f>IF(L720="","",L720-TODAY())</f>
        <v/>
      </c>
      <c r="N720" s="108" t="str">
        <f>IF(B720="","",IF(G720="DECISÃO D.P","EM DECISÃO",IF(G720="","SEM STATUS",IF(M720="","SEM DATA",IF(M720&lt;0,"VENCIDO",IF(M720&lt;=DiasAlerta,"VENCE EM BREVE","NO PRAZO"))))))</f>
        <v/>
      </c>
      <c r="O720" s="109" t="str">
        <f>IF(D720="","",TODAY()-D720)</f>
        <v/>
      </c>
      <c r="P720" s="102" t="n"/>
    </row>
    <row r="721" ht="18" customHeight="1">
      <c r="A721" s="101" t="n"/>
      <c r="B721" s="102" t="n"/>
      <c r="C721" s="102" t="n"/>
      <c r="D721" s="103" t="n"/>
      <c r="E721" s="102" t="n"/>
      <c r="F721" s="104" t="n"/>
      <c r="G721" s="104" t="n"/>
      <c r="H721" s="102" t="n"/>
      <c r="I721" s="105" t="n"/>
      <c r="J721" s="105" t="n"/>
      <c r="K721" s="103" t="n"/>
      <c r="L721" s="106" t="str">
        <f>IF(OR(D721="",E721=""),"",D721+IF(E721="NOTIFICAÇÃO DE CONSTATAÇÃO",PrazoConst,PrazoEsc))</f>
        <v/>
      </c>
      <c r="M721" s="107" t="str">
        <f>IF(L721="","",L721-TODAY())</f>
        <v/>
      </c>
      <c r="N721" s="108" t="str">
        <f>IF(B721="","",IF(G721="DECISÃO D.P","EM DECISÃO",IF(G721="","SEM STATUS",IF(M721="","SEM DATA",IF(M721&lt;0,"VENCIDO",IF(M721&lt;=DiasAlerta,"VENCE EM BREVE","NO PRAZO"))))))</f>
        <v/>
      </c>
      <c r="O721" s="109" t="str">
        <f>IF(D721="","",TODAY()-D721)</f>
        <v/>
      </c>
      <c r="P721" s="102" t="n"/>
    </row>
    <row r="722" ht="18" customHeight="1">
      <c r="A722" s="101" t="n"/>
      <c r="B722" s="102" t="n"/>
      <c r="C722" s="102" t="n"/>
      <c r="D722" s="103" t="n"/>
      <c r="E722" s="102" t="n"/>
      <c r="F722" s="104" t="n"/>
      <c r="G722" s="104" t="n"/>
      <c r="H722" s="102" t="n"/>
      <c r="I722" s="105" t="n"/>
      <c r="J722" s="105" t="n"/>
      <c r="K722" s="103" t="n"/>
      <c r="L722" s="106" t="str">
        <f>IF(OR(D722="",E722=""),"",D722+IF(E722="NOTIFICAÇÃO DE CONSTATAÇÃO",PrazoConst,PrazoEsc))</f>
        <v/>
      </c>
      <c r="M722" s="107" t="str">
        <f>IF(L722="","",L722-TODAY())</f>
        <v/>
      </c>
      <c r="N722" s="108" t="str">
        <f>IF(B722="","",IF(G722="DECISÃO D.P","EM DECISÃO",IF(G722="","SEM STATUS",IF(M722="","SEM DATA",IF(M722&lt;0,"VENCIDO",IF(M722&lt;=DiasAlerta,"VENCE EM BREVE","NO PRAZO"))))))</f>
        <v/>
      </c>
      <c r="O722" s="109" t="str">
        <f>IF(D722="","",TODAY()-D722)</f>
        <v/>
      </c>
      <c r="P722" s="102" t="n"/>
    </row>
    <row r="723" ht="18" customHeight="1">
      <c r="A723" s="101" t="n"/>
      <c r="B723" s="102" t="n"/>
      <c r="C723" s="102" t="n"/>
      <c r="D723" s="103" t="n"/>
      <c r="E723" s="102" t="n"/>
      <c r="F723" s="104" t="n"/>
      <c r="G723" s="104" t="n"/>
      <c r="H723" s="102" t="n"/>
      <c r="I723" s="105" t="n"/>
      <c r="J723" s="105" t="n"/>
      <c r="K723" s="103" t="n"/>
      <c r="L723" s="106" t="str">
        <f>IF(OR(D723="",E723=""),"",D723+IF(E723="NOTIFICAÇÃO DE CONSTATAÇÃO",PrazoConst,PrazoEsc))</f>
        <v/>
      </c>
      <c r="M723" s="107" t="str">
        <f>IF(L723="","",L723-TODAY())</f>
        <v/>
      </c>
      <c r="N723" s="108" t="str">
        <f>IF(B723="","",IF(G723="DECISÃO D.P","EM DECISÃO",IF(G723="","SEM STATUS",IF(M723="","SEM DATA",IF(M723&lt;0,"VENCIDO",IF(M723&lt;=DiasAlerta,"VENCE EM BREVE","NO PRAZO"))))))</f>
        <v/>
      </c>
      <c r="O723" s="109" t="str">
        <f>IF(D723="","",TODAY()-D723)</f>
        <v/>
      </c>
      <c r="P723" s="102" t="n"/>
    </row>
    <row r="724" ht="18" customHeight="1">
      <c r="A724" s="101" t="n"/>
      <c r="B724" s="102" t="n"/>
      <c r="C724" s="102" t="n"/>
      <c r="D724" s="103" t="n"/>
      <c r="E724" s="102" t="n"/>
      <c r="F724" s="104" t="n"/>
      <c r="G724" s="104" t="n"/>
      <c r="H724" s="102" t="n"/>
      <c r="I724" s="105" t="n"/>
      <c r="J724" s="105" t="n"/>
      <c r="K724" s="103" t="n"/>
      <c r="L724" s="106" t="str">
        <f>IF(OR(D724="",E724=""),"",D724+IF(E724="NOTIFICAÇÃO DE CONSTATAÇÃO",PrazoConst,PrazoEsc))</f>
        <v/>
      </c>
      <c r="M724" s="107" t="str">
        <f>IF(L724="","",L724-TODAY())</f>
        <v/>
      </c>
      <c r="N724" s="108" t="str">
        <f>IF(B724="","",IF(G724="DECISÃO D.P","EM DECISÃO",IF(G724="","SEM STATUS",IF(M724="","SEM DATA",IF(M724&lt;0,"VENCIDO",IF(M724&lt;=DiasAlerta,"VENCE EM BREVE","NO PRAZO"))))))</f>
        <v/>
      </c>
      <c r="O724" s="109" t="str">
        <f>IF(D724="","",TODAY()-D724)</f>
        <v/>
      </c>
      <c r="P724" s="102" t="n"/>
    </row>
    <row r="725" ht="18" customHeight="1">
      <c r="A725" s="101" t="n"/>
      <c r="B725" s="102" t="n"/>
      <c r="C725" s="102" t="n"/>
      <c r="D725" s="103" t="n"/>
      <c r="E725" s="102" t="n"/>
      <c r="F725" s="104" t="n"/>
      <c r="G725" s="104" t="n"/>
      <c r="H725" s="102" t="n"/>
      <c r="I725" s="105" t="n"/>
      <c r="J725" s="105" t="n"/>
      <c r="K725" s="103" t="n"/>
      <c r="L725" s="106" t="str">
        <f>IF(OR(D725="",E725=""),"",D725+IF(E725="NOTIFICAÇÃO DE CONSTATAÇÃO",PrazoConst,PrazoEsc))</f>
        <v/>
      </c>
      <c r="M725" s="107" t="str">
        <f>IF(L725="","",L725-TODAY())</f>
        <v/>
      </c>
      <c r="N725" s="108" t="str">
        <f>IF(B725="","",IF(G725="DECISÃO D.P","EM DECISÃO",IF(G725="","SEM STATUS",IF(M725="","SEM DATA",IF(M725&lt;0,"VENCIDO",IF(M725&lt;=DiasAlerta,"VENCE EM BREVE","NO PRAZO"))))))</f>
        <v/>
      </c>
      <c r="O725" s="109" t="str">
        <f>IF(D725="","",TODAY()-D725)</f>
        <v/>
      </c>
      <c r="P725" s="102" t="n"/>
    </row>
    <row r="726" ht="18" customHeight="1">
      <c r="A726" s="101" t="n"/>
      <c r="B726" s="102" t="n"/>
      <c r="C726" s="102" t="n"/>
      <c r="D726" s="103" t="n"/>
      <c r="E726" s="102" t="n"/>
      <c r="F726" s="104" t="n"/>
      <c r="G726" s="104" t="n"/>
      <c r="H726" s="102" t="n"/>
      <c r="I726" s="105" t="n"/>
      <c r="J726" s="105" t="n"/>
      <c r="K726" s="103" t="n"/>
      <c r="L726" s="106" t="str">
        <f>IF(OR(D726="",E726=""),"",D726+IF(E726="NOTIFICAÇÃO DE CONSTATAÇÃO",PrazoConst,PrazoEsc))</f>
        <v/>
      </c>
      <c r="M726" s="107" t="str">
        <f>IF(L726="","",L726-TODAY())</f>
        <v/>
      </c>
      <c r="N726" s="108" t="str">
        <f>IF(B726="","",IF(G726="DECISÃO D.P","EM DECISÃO",IF(G726="","SEM STATUS",IF(M726="","SEM DATA",IF(M726&lt;0,"VENCIDO",IF(M726&lt;=DiasAlerta,"VENCE EM BREVE","NO PRAZO"))))))</f>
        <v/>
      </c>
      <c r="O726" s="109" t="str">
        <f>IF(D726="","",TODAY()-D726)</f>
        <v/>
      </c>
      <c r="P726" s="102" t="n"/>
    </row>
    <row r="727" ht="18" customHeight="1">
      <c r="A727" s="101" t="n"/>
      <c r="B727" s="102" t="n"/>
      <c r="C727" s="102" t="n"/>
      <c r="D727" s="103" t="n"/>
      <c r="E727" s="102" t="n"/>
      <c r="F727" s="104" t="n"/>
      <c r="G727" s="104" t="n"/>
      <c r="H727" s="102" t="n"/>
      <c r="I727" s="105" t="n"/>
      <c r="J727" s="105" t="n"/>
      <c r="K727" s="103" t="n"/>
      <c r="L727" s="106" t="str">
        <f>IF(OR(D727="",E727=""),"",D727+IF(E727="NOTIFICAÇÃO DE CONSTATAÇÃO",PrazoConst,PrazoEsc))</f>
        <v/>
      </c>
      <c r="M727" s="107" t="str">
        <f>IF(L727="","",L727-TODAY())</f>
        <v/>
      </c>
      <c r="N727" s="108" t="str">
        <f>IF(B727="","",IF(G727="DECISÃO D.P","EM DECISÃO",IF(G727="","SEM STATUS",IF(M727="","SEM DATA",IF(M727&lt;0,"VENCIDO",IF(M727&lt;=DiasAlerta,"VENCE EM BREVE","NO PRAZO"))))))</f>
        <v/>
      </c>
      <c r="O727" s="109" t="str">
        <f>IF(D727="","",TODAY()-D727)</f>
        <v/>
      </c>
      <c r="P727" s="102" t="n"/>
    </row>
    <row r="728" ht="18" customHeight="1">
      <c r="A728" s="101" t="n"/>
      <c r="B728" s="102" t="n"/>
      <c r="C728" s="102" t="n"/>
      <c r="D728" s="103" t="n"/>
      <c r="E728" s="102" t="n"/>
      <c r="F728" s="104" t="n"/>
      <c r="G728" s="104" t="n"/>
      <c r="H728" s="102" t="n"/>
      <c r="I728" s="105" t="n"/>
      <c r="J728" s="105" t="n"/>
      <c r="K728" s="103" t="n"/>
      <c r="L728" s="106" t="str">
        <f>IF(OR(D728="",E728=""),"",D728+IF(E728="NOTIFICAÇÃO DE CONSTATAÇÃO",PrazoConst,PrazoEsc))</f>
        <v/>
      </c>
      <c r="M728" s="107" t="str">
        <f>IF(L728="","",L728-TODAY())</f>
        <v/>
      </c>
      <c r="N728" s="108" t="str">
        <f>IF(B728="","",IF(G728="DECISÃO D.P","EM DECISÃO",IF(G728="","SEM STATUS",IF(M728="","SEM DATA",IF(M728&lt;0,"VENCIDO",IF(M728&lt;=DiasAlerta,"VENCE EM BREVE","NO PRAZO"))))))</f>
        <v/>
      </c>
      <c r="O728" s="109" t="str">
        <f>IF(D728="","",TODAY()-D728)</f>
        <v/>
      </c>
      <c r="P728" s="102" t="n"/>
    </row>
    <row r="729" ht="18" customHeight="1">
      <c r="A729" s="101" t="n"/>
      <c r="B729" s="102" t="n"/>
      <c r="C729" s="102" t="n"/>
      <c r="D729" s="103" t="n"/>
      <c r="E729" s="102" t="n"/>
      <c r="F729" s="104" t="n"/>
      <c r="G729" s="104" t="n"/>
      <c r="H729" s="102" t="n"/>
      <c r="I729" s="105" t="n"/>
      <c r="J729" s="105" t="n"/>
      <c r="K729" s="103" t="n"/>
      <c r="L729" s="106" t="str">
        <f>IF(OR(D729="",E729=""),"",D729+IF(E729="NOTIFICAÇÃO DE CONSTATAÇÃO",PrazoConst,PrazoEsc))</f>
        <v/>
      </c>
      <c r="M729" s="107" t="str">
        <f>IF(L729="","",L729-TODAY())</f>
        <v/>
      </c>
      <c r="N729" s="108" t="str">
        <f>IF(B729="","",IF(G729="DECISÃO D.P","EM DECISÃO",IF(G729="","SEM STATUS",IF(M729="","SEM DATA",IF(M729&lt;0,"VENCIDO",IF(M729&lt;=DiasAlerta,"VENCE EM BREVE","NO PRAZO"))))))</f>
        <v/>
      </c>
      <c r="O729" s="109" t="str">
        <f>IF(D729="","",TODAY()-D729)</f>
        <v/>
      </c>
      <c r="P729" s="102" t="n"/>
    </row>
    <row r="730" ht="18" customHeight="1">
      <c r="A730" s="101" t="n"/>
      <c r="B730" s="102" t="n"/>
      <c r="C730" s="102" t="n"/>
      <c r="D730" s="103" t="n"/>
      <c r="E730" s="102" t="n"/>
      <c r="F730" s="104" t="n"/>
      <c r="G730" s="104" t="n"/>
      <c r="H730" s="102" t="n"/>
      <c r="I730" s="105" t="n"/>
      <c r="J730" s="105" t="n"/>
      <c r="K730" s="103" t="n"/>
      <c r="L730" s="106" t="str">
        <f>IF(OR(D730="",E730=""),"",D730+IF(E730="NOTIFICAÇÃO DE CONSTATAÇÃO",PrazoConst,PrazoEsc))</f>
        <v/>
      </c>
      <c r="M730" s="107" t="str">
        <f>IF(L730="","",L730-TODAY())</f>
        <v/>
      </c>
      <c r="N730" s="108" t="str">
        <f>IF(B730="","",IF(G730="DECISÃO D.P","EM DECISÃO",IF(G730="","SEM STATUS",IF(M730="","SEM DATA",IF(M730&lt;0,"VENCIDO",IF(M730&lt;=DiasAlerta,"VENCE EM BREVE","NO PRAZO"))))))</f>
        <v/>
      </c>
      <c r="O730" s="109" t="str">
        <f>IF(D730="","",TODAY()-D730)</f>
        <v/>
      </c>
      <c r="P730" s="102" t="n"/>
    </row>
    <row r="731" ht="18" customHeight="1">
      <c r="A731" s="101" t="n"/>
      <c r="B731" s="102" t="n"/>
      <c r="C731" s="102" t="n"/>
      <c r="D731" s="103" t="n"/>
      <c r="E731" s="102" t="n"/>
      <c r="F731" s="104" t="n"/>
      <c r="G731" s="104" t="n"/>
      <c r="H731" s="102" t="n"/>
      <c r="I731" s="105" t="n"/>
      <c r="J731" s="105" t="n"/>
      <c r="K731" s="103" t="n"/>
      <c r="L731" s="106" t="str">
        <f>IF(OR(D731="",E731=""),"",D731+IF(E731="NOTIFICAÇÃO DE CONSTATAÇÃO",PrazoConst,PrazoEsc))</f>
        <v/>
      </c>
      <c r="M731" s="107" t="str">
        <f>IF(L731="","",L731-TODAY())</f>
        <v/>
      </c>
      <c r="N731" s="108" t="str">
        <f>IF(B731="","",IF(G731="DECISÃO D.P","EM DECISÃO",IF(G731="","SEM STATUS",IF(M731="","SEM DATA",IF(M731&lt;0,"VENCIDO",IF(M731&lt;=DiasAlerta,"VENCE EM BREVE","NO PRAZO"))))))</f>
        <v/>
      </c>
      <c r="O731" s="109" t="str">
        <f>IF(D731="","",TODAY()-D731)</f>
        <v/>
      </c>
      <c r="P731" s="102" t="n"/>
    </row>
    <row r="732" ht="18" customHeight="1">
      <c r="A732" s="101" t="n"/>
      <c r="B732" s="102" t="n"/>
      <c r="C732" s="102" t="n"/>
      <c r="D732" s="103" t="n"/>
      <c r="E732" s="102" t="n"/>
      <c r="F732" s="104" t="n"/>
      <c r="G732" s="104" t="n"/>
      <c r="H732" s="102" t="n"/>
      <c r="I732" s="105" t="n"/>
      <c r="J732" s="105" t="n"/>
      <c r="K732" s="103" t="n"/>
      <c r="L732" s="106" t="str">
        <f>IF(OR(D732="",E732=""),"",D732+IF(E732="NOTIFICAÇÃO DE CONSTATAÇÃO",PrazoConst,PrazoEsc))</f>
        <v/>
      </c>
      <c r="M732" s="107" t="str">
        <f>IF(L732="","",L732-TODAY())</f>
        <v/>
      </c>
      <c r="N732" s="108" t="str">
        <f>IF(B732="","",IF(G732="DECISÃO D.P","EM DECISÃO",IF(G732="","SEM STATUS",IF(M732="","SEM DATA",IF(M732&lt;0,"VENCIDO",IF(M732&lt;=DiasAlerta,"VENCE EM BREVE","NO PRAZO"))))))</f>
        <v/>
      </c>
      <c r="O732" s="109" t="str">
        <f>IF(D732="","",TODAY()-D732)</f>
        <v/>
      </c>
      <c r="P732" s="102" t="n"/>
    </row>
    <row r="733" ht="18" customHeight="1">
      <c r="A733" s="101" t="n"/>
      <c r="B733" s="102" t="n"/>
      <c r="C733" s="102" t="n"/>
      <c r="D733" s="103" t="n"/>
      <c r="E733" s="102" t="n"/>
      <c r="F733" s="104" t="n"/>
      <c r="G733" s="104" t="n"/>
      <c r="H733" s="102" t="n"/>
      <c r="I733" s="105" t="n"/>
      <c r="J733" s="105" t="n"/>
      <c r="K733" s="103" t="n"/>
      <c r="L733" s="106" t="str">
        <f>IF(OR(D733="",E733=""),"",D733+IF(E733="NOTIFICAÇÃO DE CONSTATAÇÃO",PrazoConst,PrazoEsc))</f>
        <v/>
      </c>
      <c r="M733" s="107" t="str">
        <f>IF(L733="","",L733-TODAY())</f>
        <v/>
      </c>
      <c r="N733" s="108" t="str">
        <f>IF(B733="","",IF(G733="DECISÃO D.P","EM DECISÃO",IF(G733="","SEM STATUS",IF(M733="","SEM DATA",IF(M733&lt;0,"VENCIDO",IF(M733&lt;=DiasAlerta,"VENCE EM BREVE","NO PRAZO"))))))</f>
        <v/>
      </c>
      <c r="O733" s="109" t="str">
        <f>IF(D733="","",TODAY()-D733)</f>
        <v/>
      </c>
      <c r="P733" s="102" t="n"/>
    </row>
    <row r="734" ht="18" customHeight="1">
      <c r="A734" s="101" t="n"/>
      <c r="B734" s="102" t="n"/>
      <c r="C734" s="102" t="n"/>
      <c r="D734" s="103" t="n"/>
      <c r="E734" s="102" t="n"/>
      <c r="F734" s="104" t="n"/>
      <c r="G734" s="104" t="n"/>
      <c r="H734" s="102" t="n"/>
      <c r="I734" s="105" t="n"/>
      <c r="J734" s="105" t="n"/>
      <c r="K734" s="103" t="n"/>
      <c r="L734" s="106" t="str">
        <f>IF(OR(D734="",E734=""),"",D734+IF(E734="NOTIFICAÇÃO DE CONSTATAÇÃO",PrazoConst,PrazoEsc))</f>
        <v/>
      </c>
      <c r="M734" s="107" t="str">
        <f>IF(L734="","",L734-TODAY())</f>
        <v/>
      </c>
      <c r="N734" s="108" t="str">
        <f>IF(B734="","",IF(G734="DECISÃO D.P","EM DECISÃO",IF(G734="","SEM STATUS",IF(M734="","SEM DATA",IF(M734&lt;0,"VENCIDO",IF(M734&lt;=DiasAlerta,"VENCE EM BREVE","NO PRAZO"))))))</f>
        <v/>
      </c>
      <c r="O734" s="109" t="str">
        <f>IF(D734="","",TODAY()-D734)</f>
        <v/>
      </c>
      <c r="P734" s="102" t="n"/>
    </row>
    <row r="735" ht="18" customHeight="1">
      <c r="A735" s="101" t="n"/>
      <c r="B735" s="102" t="n"/>
      <c r="C735" s="102" t="n"/>
      <c r="D735" s="103" t="n"/>
      <c r="E735" s="102" t="n"/>
      <c r="F735" s="104" t="n"/>
      <c r="G735" s="104" t="n"/>
      <c r="H735" s="102" t="n"/>
      <c r="I735" s="105" t="n"/>
      <c r="J735" s="105" t="n"/>
      <c r="K735" s="103" t="n"/>
      <c r="L735" s="106" t="str">
        <f>IF(OR(D735="",E735=""),"",D735+IF(E735="NOTIFICAÇÃO DE CONSTATAÇÃO",PrazoConst,PrazoEsc))</f>
        <v/>
      </c>
      <c r="M735" s="107" t="str">
        <f>IF(L735="","",L735-TODAY())</f>
        <v/>
      </c>
      <c r="N735" s="108" t="str">
        <f>IF(B735="","",IF(G735="DECISÃO D.P","EM DECISÃO",IF(G735="","SEM STATUS",IF(M735="","SEM DATA",IF(M735&lt;0,"VENCIDO",IF(M735&lt;=DiasAlerta,"VENCE EM BREVE","NO PRAZO"))))))</f>
        <v/>
      </c>
      <c r="O735" s="109" t="str">
        <f>IF(D735="","",TODAY()-D735)</f>
        <v/>
      </c>
      <c r="P735" s="102" t="n"/>
    </row>
    <row r="736" ht="18" customHeight="1">
      <c r="A736" s="101" t="n"/>
      <c r="B736" s="102" t="n"/>
      <c r="C736" s="102" t="n"/>
      <c r="D736" s="103" t="n"/>
      <c r="E736" s="102" t="n"/>
      <c r="F736" s="104" t="n"/>
      <c r="G736" s="104" t="n"/>
      <c r="H736" s="102" t="n"/>
      <c r="I736" s="105" t="n"/>
      <c r="J736" s="105" t="n"/>
      <c r="K736" s="103" t="n"/>
      <c r="L736" s="106" t="str">
        <f>IF(OR(D736="",E736=""),"",D736+IF(E736="NOTIFICAÇÃO DE CONSTATAÇÃO",PrazoConst,PrazoEsc))</f>
        <v/>
      </c>
      <c r="M736" s="107" t="str">
        <f>IF(L736="","",L736-TODAY())</f>
        <v/>
      </c>
      <c r="N736" s="108" t="str">
        <f>IF(B736="","",IF(G736="DECISÃO D.P","EM DECISÃO",IF(G736="","SEM STATUS",IF(M736="","SEM DATA",IF(M736&lt;0,"VENCIDO",IF(M736&lt;=DiasAlerta,"VENCE EM BREVE","NO PRAZO"))))))</f>
        <v/>
      </c>
      <c r="O736" s="109" t="str">
        <f>IF(D736="","",TODAY()-D736)</f>
        <v/>
      </c>
      <c r="P736" s="102" t="n"/>
    </row>
    <row r="737" ht="18" customHeight="1">
      <c r="A737" s="101" t="n"/>
      <c r="B737" s="102" t="n"/>
      <c r="C737" s="102" t="n"/>
      <c r="D737" s="103" t="n"/>
      <c r="E737" s="102" t="n"/>
      <c r="F737" s="104" t="n"/>
      <c r="G737" s="104" t="n"/>
      <c r="H737" s="102" t="n"/>
      <c r="I737" s="105" t="n"/>
      <c r="J737" s="105" t="n"/>
      <c r="K737" s="103" t="n"/>
      <c r="L737" s="106" t="str">
        <f>IF(OR(D737="",E737=""),"",D737+IF(E737="NOTIFICAÇÃO DE CONSTATAÇÃO",PrazoConst,PrazoEsc))</f>
        <v/>
      </c>
      <c r="M737" s="107" t="str">
        <f>IF(L737="","",L737-TODAY())</f>
        <v/>
      </c>
      <c r="N737" s="108" t="str">
        <f>IF(B737="","",IF(G737="DECISÃO D.P","EM DECISÃO",IF(G737="","SEM STATUS",IF(M737="","SEM DATA",IF(M737&lt;0,"VENCIDO",IF(M737&lt;=DiasAlerta,"VENCE EM BREVE","NO PRAZO"))))))</f>
        <v/>
      </c>
      <c r="O737" s="109" t="str">
        <f>IF(D737="","",TODAY()-D737)</f>
        <v/>
      </c>
      <c r="P737" s="102" t="n"/>
    </row>
    <row r="738" ht="18" customHeight="1">
      <c r="A738" s="101" t="n"/>
      <c r="B738" s="102" t="n"/>
      <c r="C738" s="102" t="n"/>
      <c r="D738" s="103" t="n"/>
      <c r="E738" s="102" t="n"/>
      <c r="F738" s="104" t="n"/>
      <c r="G738" s="104" t="n"/>
      <c r="H738" s="102" t="n"/>
      <c r="I738" s="105" t="n"/>
      <c r="J738" s="105" t="n"/>
      <c r="K738" s="103" t="n"/>
      <c r="L738" s="106" t="str">
        <f>IF(OR(D738="",E738=""),"",D738+IF(E738="NOTIFICAÇÃO DE CONSTATAÇÃO",PrazoConst,PrazoEsc))</f>
        <v/>
      </c>
      <c r="M738" s="107" t="str">
        <f>IF(L738="","",L738-TODAY())</f>
        <v/>
      </c>
      <c r="N738" s="108" t="str">
        <f>IF(B738="","",IF(G738="DECISÃO D.P","EM DECISÃO",IF(G738="","SEM STATUS",IF(M738="","SEM DATA",IF(M738&lt;0,"VENCIDO",IF(M738&lt;=DiasAlerta,"VENCE EM BREVE","NO PRAZO"))))))</f>
        <v/>
      </c>
      <c r="O738" s="109" t="str">
        <f>IF(D738="","",TODAY()-D738)</f>
        <v/>
      </c>
      <c r="P738" s="102" t="n"/>
    </row>
    <row r="739" ht="18" customHeight="1">
      <c r="A739" s="101" t="n"/>
      <c r="B739" s="102" t="n"/>
      <c r="C739" s="102" t="n"/>
      <c r="D739" s="103" t="n"/>
      <c r="E739" s="102" t="n"/>
      <c r="F739" s="104" t="n"/>
      <c r="G739" s="104" t="n"/>
      <c r="H739" s="102" t="n"/>
      <c r="I739" s="105" t="n"/>
      <c r="J739" s="105" t="n"/>
      <c r="K739" s="103" t="n"/>
      <c r="L739" s="106" t="str">
        <f>IF(OR(D739="",E739=""),"",D739+IF(E739="NOTIFICAÇÃO DE CONSTATAÇÃO",PrazoConst,PrazoEsc))</f>
        <v/>
      </c>
      <c r="M739" s="107" t="str">
        <f>IF(L739="","",L739-TODAY())</f>
        <v/>
      </c>
      <c r="N739" s="108" t="str">
        <f>IF(B739="","",IF(G739="DECISÃO D.P","EM DECISÃO",IF(G739="","SEM STATUS",IF(M739="","SEM DATA",IF(M739&lt;0,"VENCIDO",IF(M739&lt;=DiasAlerta,"VENCE EM BREVE","NO PRAZO"))))))</f>
        <v/>
      </c>
      <c r="O739" s="109" t="str">
        <f>IF(D739="","",TODAY()-D739)</f>
        <v/>
      </c>
      <c r="P739" s="102" t="n"/>
    </row>
    <row r="740" ht="18" customHeight="1">
      <c r="A740" s="101" t="n"/>
      <c r="B740" s="102" t="n"/>
      <c r="C740" s="102" t="n"/>
      <c r="D740" s="103" t="n"/>
      <c r="E740" s="102" t="n"/>
      <c r="F740" s="104" t="n"/>
      <c r="G740" s="104" t="n"/>
      <c r="H740" s="102" t="n"/>
      <c r="I740" s="105" t="n"/>
      <c r="J740" s="105" t="n"/>
      <c r="K740" s="103" t="n"/>
      <c r="L740" s="106" t="str">
        <f>IF(OR(D740="",E740=""),"",D740+IF(E740="NOTIFICAÇÃO DE CONSTATAÇÃO",PrazoConst,PrazoEsc))</f>
        <v/>
      </c>
      <c r="M740" s="107" t="str">
        <f>IF(L740="","",L740-TODAY())</f>
        <v/>
      </c>
      <c r="N740" s="108" t="str">
        <f>IF(B740="","",IF(G740="DECISÃO D.P","EM DECISÃO",IF(G740="","SEM STATUS",IF(M740="","SEM DATA",IF(M740&lt;0,"VENCIDO",IF(M740&lt;=DiasAlerta,"VENCE EM BREVE","NO PRAZO"))))))</f>
        <v/>
      </c>
      <c r="O740" s="109" t="str">
        <f>IF(D740="","",TODAY()-D740)</f>
        <v/>
      </c>
      <c r="P740" s="102" t="n"/>
    </row>
    <row r="741" ht="18" customHeight="1">
      <c r="A741" s="101" t="n"/>
      <c r="B741" s="102" t="n"/>
      <c r="C741" s="102" t="n"/>
      <c r="D741" s="103" t="n"/>
      <c r="E741" s="102" t="n"/>
      <c r="F741" s="104" t="n"/>
      <c r="G741" s="104" t="n"/>
      <c r="H741" s="102" t="n"/>
      <c r="I741" s="105" t="n"/>
      <c r="J741" s="105" t="n"/>
      <c r="K741" s="103" t="n"/>
      <c r="L741" s="106" t="str">
        <f>IF(OR(D741="",E741=""),"",D741+IF(E741="NOTIFICAÇÃO DE CONSTATAÇÃO",PrazoConst,PrazoEsc))</f>
        <v/>
      </c>
      <c r="M741" s="107" t="str">
        <f>IF(L741="","",L741-TODAY())</f>
        <v/>
      </c>
      <c r="N741" s="108" t="str">
        <f>IF(B741="","",IF(G741="DECISÃO D.P","EM DECISÃO",IF(G741="","SEM STATUS",IF(M741="","SEM DATA",IF(M741&lt;0,"VENCIDO",IF(M741&lt;=DiasAlerta,"VENCE EM BREVE","NO PRAZO"))))))</f>
        <v/>
      </c>
      <c r="O741" s="109" t="str">
        <f>IF(D741="","",TODAY()-D741)</f>
        <v/>
      </c>
      <c r="P741" s="102" t="n"/>
    </row>
    <row r="742" ht="18" customHeight="1">
      <c r="A742" s="101" t="n"/>
      <c r="B742" s="102" t="n"/>
      <c r="C742" s="102" t="n"/>
      <c r="D742" s="103" t="n"/>
      <c r="E742" s="102" t="n"/>
      <c r="F742" s="104" t="n"/>
      <c r="G742" s="104" t="n"/>
      <c r="H742" s="102" t="n"/>
      <c r="I742" s="105" t="n"/>
      <c r="J742" s="105" t="n"/>
      <c r="K742" s="103" t="n"/>
      <c r="L742" s="106" t="str">
        <f>IF(OR(D742="",E742=""),"",D742+IF(E742="NOTIFICAÇÃO DE CONSTATAÇÃO",PrazoConst,PrazoEsc))</f>
        <v/>
      </c>
      <c r="M742" s="107" t="str">
        <f>IF(L742="","",L742-TODAY())</f>
        <v/>
      </c>
      <c r="N742" s="108" t="str">
        <f>IF(B742="","",IF(G742="DECISÃO D.P","EM DECISÃO",IF(G742="","SEM STATUS",IF(M742="","SEM DATA",IF(M742&lt;0,"VENCIDO",IF(M742&lt;=DiasAlerta,"VENCE EM BREVE","NO PRAZO"))))))</f>
        <v/>
      </c>
      <c r="O742" s="109" t="str">
        <f>IF(D742="","",TODAY()-D742)</f>
        <v/>
      </c>
      <c r="P742" s="102" t="n"/>
    </row>
    <row r="743" ht="18" customHeight="1">
      <c r="A743" s="101" t="n"/>
      <c r="B743" s="102" t="n"/>
      <c r="C743" s="102" t="n"/>
      <c r="D743" s="103" t="n"/>
      <c r="E743" s="102" t="n"/>
      <c r="F743" s="104" t="n"/>
      <c r="G743" s="104" t="n"/>
      <c r="H743" s="102" t="n"/>
      <c r="I743" s="105" t="n"/>
      <c r="J743" s="105" t="n"/>
      <c r="K743" s="103" t="n"/>
      <c r="L743" s="106" t="str">
        <f>IF(OR(D743="",E743=""),"",D743+IF(E743="NOTIFICAÇÃO DE CONSTATAÇÃO",PrazoConst,PrazoEsc))</f>
        <v/>
      </c>
      <c r="M743" s="107" t="str">
        <f>IF(L743="","",L743-TODAY())</f>
        <v/>
      </c>
      <c r="N743" s="108" t="str">
        <f>IF(B743="","",IF(G743="DECISÃO D.P","EM DECISÃO",IF(G743="","SEM STATUS",IF(M743="","SEM DATA",IF(M743&lt;0,"VENCIDO",IF(M743&lt;=DiasAlerta,"VENCE EM BREVE","NO PRAZO"))))))</f>
        <v/>
      </c>
      <c r="O743" s="109" t="str">
        <f>IF(D743="","",TODAY()-D743)</f>
        <v/>
      </c>
      <c r="P743" s="102" t="n"/>
    </row>
    <row r="744" ht="18" customHeight="1">
      <c r="A744" s="101" t="n"/>
      <c r="B744" s="102" t="n"/>
      <c r="C744" s="102" t="n"/>
      <c r="D744" s="103" t="n"/>
      <c r="E744" s="102" t="n"/>
      <c r="F744" s="104" t="n"/>
      <c r="G744" s="104" t="n"/>
      <c r="H744" s="102" t="n"/>
      <c r="I744" s="105" t="n"/>
      <c r="J744" s="105" t="n"/>
      <c r="K744" s="103" t="n"/>
      <c r="L744" s="106" t="str">
        <f>IF(OR(D744="",E744=""),"",D744+IF(E744="NOTIFICAÇÃO DE CONSTATAÇÃO",PrazoConst,PrazoEsc))</f>
        <v/>
      </c>
      <c r="M744" s="107" t="str">
        <f>IF(L744="","",L744-TODAY())</f>
        <v/>
      </c>
      <c r="N744" s="108" t="str">
        <f>IF(B744="","",IF(G744="DECISÃO D.P","EM DECISÃO",IF(G744="","SEM STATUS",IF(M744="","SEM DATA",IF(M744&lt;0,"VENCIDO",IF(M744&lt;=DiasAlerta,"VENCE EM BREVE","NO PRAZO"))))))</f>
        <v/>
      </c>
      <c r="O744" s="109" t="str">
        <f>IF(D744="","",TODAY()-D744)</f>
        <v/>
      </c>
      <c r="P744" s="102" t="n"/>
    </row>
    <row r="745" ht="18" customHeight="1">
      <c r="A745" s="101" t="n"/>
      <c r="B745" s="102" t="n"/>
      <c r="C745" s="102" t="n"/>
      <c r="D745" s="103" t="n"/>
      <c r="E745" s="102" t="n"/>
      <c r="F745" s="104" t="n"/>
      <c r="G745" s="104" t="n"/>
      <c r="H745" s="102" t="n"/>
      <c r="I745" s="105" t="n"/>
      <c r="J745" s="105" t="n"/>
      <c r="K745" s="103" t="n"/>
      <c r="L745" s="106" t="str">
        <f>IF(OR(D745="",E745=""),"",D745+IF(E745="NOTIFICAÇÃO DE CONSTATAÇÃO",PrazoConst,PrazoEsc))</f>
        <v/>
      </c>
      <c r="M745" s="107" t="str">
        <f>IF(L745="","",L745-TODAY())</f>
        <v/>
      </c>
      <c r="N745" s="108" t="str">
        <f>IF(B745="","",IF(G745="DECISÃO D.P","EM DECISÃO",IF(G745="","SEM STATUS",IF(M745="","SEM DATA",IF(M745&lt;0,"VENCIDO",IF(M745&lt;=DiasAlerta,"VENCE EM BREVE","NO PRAZO"))))))</f>
        <v/>
      </c>
      <c r="O745" s="109" t="str">
        <f>IF(D745="","",TODAY()-D745)</f>
        <v/>
      </c>
      <c r="P745" s="102" t="n"/>
    </row>
    <row r="746" ht="18" customHeight="1">
      <c r="A746" s="101" t="n"/>
      <c r="B746" s="102" t="n"/>
      <c r="C746" s="102" t="n"/>
      <c r="D746" s="103" t="n"/>
      <c r="E746" s="102" t="n"/>
      <c r="F746" s="104" t="n"/>
      <c r="G746" s="104" t="n"/>
      <c r="H746" s="102" t="n"/>
      <c r="I746" s="105" t="n"/>
      <c r="J746" s="105" t="n"/>
      <c r="K746" s="103" t="n"/>
      <c r="L746" s="106" t="str">
        <f>IF(OR(D746="",E746=""),"",D746+IF(E746="NOTIFICAÇÃO DE CONSTATAÇÃO",PrazoConst,PrazoEsc))</f>
        <v/>
      </c>
      <c r="M746" s="107" t="str">
        <f>IF(L746="","",L746-TODAY())</f>
        <v/>
      </c>
      <c r="N746" s="108" t="str">
        <f>IF(B746="","",IF(G746="DECISÃO D.P","EM DECISÃO",IF(G746="","SEM STATUS",IF(M746="","SEM DATA",IF(M746&lt;0,"VENCIDO",IF(M746&lt;=DiasAlerta,"VENCE EM BREVE","NO PRAZO"))))))</f>
        <v/>
      </c>
      <c r="O746" s="109" t="str">
        <f>IF(D746="","",TODAY()-D746)</f>
        <v/>
      </c>
      <c r="P746" s="102" t="n"/>
    </row>
    <row r="747" ht="18" customHeight="1">
      <c r="A747" s="101" t="n"/>
      <c r="B747" s="102" t="n"/>
      <c r="C747" s="102" t="n"/>
      <c r="D747" s="103" t="n"/>
      <c r="E747" s="102" t="n"/>
      <c r="F747" s="104" t="n"/>
      <c r="G747" s="104" t="n"/>
      <c r="H747" s="102" t="n"/>
      <c r="I747" s="105" t="n"/>
      <c r="J747" s="105" t="n"/>
      <c r="K747" s="103" t="n"/>
      <c r="L747" s="106" t="str">
        <f>IF(OR(D747="",E747=""),"",D747+IF(E747="NOTIFICAÇÃO DE CONSTATAÇÃO",PrazoConst,PrazoEsc))</f>
        <v/>
      </c>
      <c r="M747" s="107" t="str">
        <f>IF(L747="","",L747-TODAY())</f>
        <v/>
      </c>
      <c r="N747" s="108" t="str">
        <f>IF(B747="","",IF(G747="DECISÃO D.P","EM DECISÃO",IF(G747="","SEM STATUS",IF(M747="","SEM DATA",IF(M747&lt;0,"VENCIDO",IF(M747&lt;=DiasAlerta,"VENCE EM BREVE","NO PRAZO"))))))</f>
        <v/>
      </c>
      <c r="O747" s="109" t="str">
        <f>IF(D747="","",TODAY()-D747)</f>
        <v/>
      </c>
      <c r="P747" s="102" t="n"/>
    </row>
    <row r="748" ht="18" customHeight="1">
      <c r="A748" s="101" t="n"/>
      <c r="B748" s="102" t="n"/>
      <c r="C748" s="102" t="n"/>
      <c r="D748" s="103" t="n"/>
      <c r="E748" s="102" t="n"/>
      <c r="F748" s="104" t="n"/>
      <c r="G748" s="104" t="n"/>
      <c r="H748" s="102" t="n"/>
      <c r="I748" s="105" t="n"/>
      <c r="J748" s="105" t="n"/>
      <c r="K748" s="103" t="n"/>
      <c r="L748" s="106" t="str">
        <f>IF(OR(D748="",E748=""),"",D748+IF(E748="NOTIFICAÇÃO DE CONSTATAÇÃO",PrazoConst,PrazoEsc))</f>
        <v/>
      </c>
      <c r="M748" s="107" t="str">
        <f>IF(L748="","",L748-TODAY())</f>
        <v/>
      </c>
      <c r="N748" s="108" t="str">
        <f>IF(B748="","",IF(G748="DECISÃO D.P","EM DECISÃO",IF(G748="","SEM STATUS",IF(M748="","SEM DATA",IF(M748&lt;0,"VENCIDO",IF(M748&lt;=DiasAlerta,"VENCE EM BREVE","NO PRAZO"))))))</f>
        <v/>
      </c>
      <c r="O748" s="109" t="str">
        <f>IF(D748="","",TODAY()-D748)</f>
        <v/>
      </c>
      <c r="P748" s="102" t="n"/>
    </row>
    <row r="749" ht="18" customHeight="1">
      <c r="A749" s="101" t="n"/>
      <c r="B749" s="102" t="n"/>
      <c r="C749" s="102" t="n"/>
      <c r="D749" s="103" t="n"/>
      <c r="E749" s="102" t="n"/>
      <c r="F749" s="104" t="n"/>
      <c r="G749" s="104" t="n"/>
      <c r="H749" s="102" t="n"/>
      <c r="I749" s="105" t="n"/>
      <c r="J749" s="105" t="n"/>
      <c r="K749" s="103" t="n"/>
      <c r="L749" s="106" t="str">
        <f>IF(OR(D749="",E749=""),"",D749+IF(E749="NOTIFICAÇÃO DE CONSTATAÇÃO",PrazoConst,PrazoEsc))</f>
        <v/>
      </c>
      <c r="M749" s="107" t="str">
        <f>IF(L749="","",L749-TODAY())</f>
        <v/>
      </c>
      <c r="N749" s="108" t="str">
        <f>IF(B749="","",IF(G749="DECISÃO D.P","EM DECISÃO",IF(G749="","SEM STATUS",IF(M749="","SEM DATA",IF(M749&lt;0,"VENCIDO",IF(M749&lt;=DiasAlerta,"VENCE EM BREVE","NO PRAZO"))))))</f>
        <v/>
      </c>
      <c r="O749" s="109" t="str">
        <f>IF(D749="","",TODAY()-D749)</f>
        <v/>
      </c>
      <c r="P749" s="102" t="n"/>
    </row>
    <row r="750" ht="18" customHeight="1">
      <c r="A750" s="101" t="n"/>
      <c r="B750" s="102" t="n"/>
      <c r="C750" s="102" t="n"/>
      <c r="D750" s="103" t="n"/>
      <c r="E750" s="102" t="n"/>
      <c r="F750" s="104" t="n"/>
      <c r="G750" s="104" t="n"/>
      <c r="H750" s="102" t="n"/>
      <c r="I750" s="105" t="n"/>
      <c r="J750" s="105" t="n"/>
      <c r="K750" s="103" t="n"/>
      <c r="L750" s="106" t="str">
        <f>IF(OR(D750="",E750=""),"",D750+IF(E750="NOTIFICAÇÃO DE CONSTATAÇÃO",PrazoConst,PrazoEsc))</f>
        <v/>
      </c>
      <c r="M750" s="107" t="str">
        <f>IF(L750="","",L750-TODAY())</f>
        <v/>
      </c>
      <c r="N750" s="108" t="str">
        <f>IF(B750="","",IF(G750="DECISÃO D.P","EM DECISÃO",IF(G750="","SEM STATUS",IF(M750="","SEM DATA",IF(M750&lt;0,"VENCIDO",IF(M750&lt;=DiasAlerta,"VENCE EM BREVE","NO PRAZO"))))))</f>
        <v/>
      </c>
      <c r="O750" s="109" t="str">
        <f>IF(D750="","",TODAY()-D750)</f>
        <v/>
      </c>
      <c r="P750" s="102" t="n"/>
    </row>
    <row r="751" ht="18" customHeight="1">
      <c r="A751" s="101" t="n"/>
      <c r="B751" s="102" t="n"/>
      <c r="C751" s="102" t="n"/>
      <c r="D751" s="103" t="n"/>
      <c r="E751" s="102" t="n"/>
      <c r="F751" s="104" t="n"/>
      <c r="G751" s="104" t="n"/>
      <c r="H751" s="102" t="n"/>
      <c r="I751" s="105" t="n"/>
      <c r="J751" s="105" t="n"/>
      <c r="K751" s="103" t="n"/>
      <c r="L751" s="106" t="str">
        <f>IF(OR(D751="",E751=""),"",D751+IF(E751="NOTIFICAÇÃO DE CONSTATAÇÃO",PrazoConst,PrazoEsc))</f>
        <v/>
      </c>
      <c r="M751" s="107" t="str">
        <f>IF(L751="","",L751-TODAY())</f>
        <v/>
      </c>
      <c r="N751" s="108" t="str">
        <f>IF(B751="","",IF(G751="DECISÃO D.P","EM DECISÃO",IF(G751="","SEM STATUS",IF(M751="","SEM DATA",IF(M751&lt;0,"VENCIDO",IF(M751&lt;=DiasAlerta,"VENCE EM BREVE","NO PRAZO"))))))</f>
        <v/>
      </c>
      <c r="O751" s="109" t="str">
        <f>IF(D751="","",TODAY()-D751)</f>
        <v/>
      </c>
      <c r="P751" s="102" t="n"/>
    </row>
    <row r="752" ht="18" customHeight="1">
      <c r="A752" s="101" t="n"/>
      <c r="B752" s="102" t="n"/>
      <c r="C752" s="102" t="n"/>
      <c r="D752" s="103" t="n"/>
      <c r="E752" s="102" t="n"/>
      <c r="F752" s="104" t="n"/>
      <c r="G752" s="104" t="n"/>
      <c r="H752" s="102" t="n"/>
      <c r="I752" s="105" t="n"/>
      <c r="J752" s="105" t="n"/>
      <c r="K752" s="103" t="n"/>
      <c r="L752" s="106" t="str">
        <f>IF(OR(D752="",E752=""),"",D752+IF(E752="NOTIFICAÇÃO DE CONSTATAÇÃO",PrazoConst,PrazoEsc))</f>
        <v/>
      </c>
      <c r="M752" s="107" t="str">
        <f>IF(L752="","",L752-TODAY())</f>
        <v/>
      </c>
      <c r="N752" s="108" t="str">
        <f>IF(B752="","",IF(G752="DECISÃO D.P","EM DECISÃO",IF(G752="","SEM STATUS",IF(M752="","SEM DATA",IF(M752&lt;0,"VENCIDO",IF(M752&lt;=DiasAlerta,"VENCE EM BREVE","NO PRAZO"))))))</f>
        <v/>
      </c>
      <c r="O752" s="109" t="str">
        <f>IF(D752="","",TODAY()-D752)</f>
        <v/>
      </c>
      <c r="P752" s="102" t="n"/>
    </row>
    <row r="753" ht="18" customHeight="1">
      <c r="A753" s="101" t="n"/>
      <c r="B753" s="102" t="n"/>
      <c r="C753" s="102" t="n"/>
      <c r="D753" s="103" t="n"/>
      <c r="E753" s="102" t="n"/>
      <c r="F753" s="104" t="n"/>
      <c r="G753" s="104" t="n"/>
      <c r="H753" s="102" t="n"/>
      <c r="I753" s="105" t="n"/>
      <c r="J753" s="105" t="n"/>
      <c r="K753" s="103" t="n"/>
      <c r="L753" s="106" t="str">
        <f>IF(OR(D753="",E753=""),"",D753+IF(E753="NOTIFICAÇÃO DE CONSTATAÇÃO",PrazoConst,PrazoEsc))</f>
        <v/>
      </c>
      <c r="M753" s="107" t="str">
        <f>IF(L753="","",L753-TODAY())</f>
        <v/>
      </c>
      <c r="N753" s="108" t="str">
        <f>IF(B753="","",IF(G753="DECISÃO D.P","EM DECISÃO",IF(G753="","SEM STATUS",IF(M753="","SEM DATA",IF(M753&lt;0,"VENCIDO",IF(M753&lt;=DiasAlerta,"VENCE EM BREVE","NO PRAZO"))))))</f>
        <v/>
      </c>
      <c r="O753" s="109" t="str">
        <f>IF(D753="","",TODAY()-D753)</f>
        <v/>
      </c>
      <c r="P753" s="102" t="n"/>
    </row>
    <row r="754" ht="18" customHeight="1">
      <c r="A754" s="101" t="n"/>
      <c r="B754" s="102" t="n"/>
      <c r="C754" s="102" t="n"/>
      <c r="D754" s="103" t="n"/>
      <c r="E754" s="102" t="n"/>
      <c r="F754" s="104" t="n"/>
      <c r="G754" s="104" t="n"/>
      <c r="H754" s="102" t="n"/>
      <c r="I754" s="105" t="n"/>
      <c r="J754" s="105" t="n"/>
      <c r="K754" s="103" t="n"/>
      <c r="L754" s="106" t="str">
        <f>IF(OR(D754="",E754=""),"",D754+IF(E754="NOTIFICAÇÃO DE CONSTATAÇÃO",PrazoConst,PrazoEsc))</f>
        <v/>
      </c>
      <c r="M754" s="107" t="str">
        <f>IF(L754="","",L754-TODAY())</f>
        <v/>
      </c>
      <c r="N754" s="108" t="str">
        <f>IF(B754="","",IF(G754="DECISÃO D.P","EM DECISÃO",IF(G754="","SEM STATUS",IF(M754="","SEM DATA",IF(M754&lt;0,"VENCIDO",IF(M754&lt;=DiasAlerta,"VENCE EM BREVE","NO PRAZO"))))))</f>
        <v/>
      </c>
      <c r="O754" s="109" t="str">
        <f>IF(D754="","",TODAY()-D754)</f>
        <v/>
      </c>
      <c r="P754" s="102" t="n"/>
    </row>
    <row r="755" ht="18" customHeight="1">
      <c r="A755" s="101" t="n"/>
      <c r="B755" s="102" t="n"/>
      <c r="C755" s="102" t="n"/>
      <c r="D755" s="103" t="n"/>
      <c r="E755" s="102" t="n"/>
      <c r="F755" s="104" t="n"/>
      <c r="G755" s="104" t="n"/>
      <c r="H755" s="102" t="n"/>
      <c r="I755" s="105" t="n"/>
      <c r="J755" s="105" t="n"/>
      <c r="K755" s="103" t="n"/>
      <c r="L755" s="106" t="str">
        <f>IF(OR(D755="",E755=""),"",D755+IF(E755="NOTIFICAÇÃO DE CONSTATAÇÃO",PrazoConst,PrazoEsc))</f>
        <v/>
      </c>
      <c r="M755" s="107" t="str">
        <f>IF(L755="","",L755-TODAY())</f>
        <v/>
      </c>
      <c r="N755" s="108" t="str">
        <f>IF(B755="","",IF(G755="DECISÃO D.P","EM DECISÃO",IF(G755="","SEM STATUS",IF(M755="","SEM DATA",IF(M755&lt;0,"VENCIDO",IF(M755&lt;=DiasAlerta,"VENCE EM BREVE","NO PRAZO"))))))</f>
        <v/>
      </c>
      <c r="O755" s="109" t="str">
        <f>IF(D755="","",TODAY()-D755)</f>
        <v/>
      </c>
      <c r="P755" s="102" t="n"/>
    </row>
    <row r="756" ht="18" customHeight="1">
      <c r="A756" s="101" t="n"/>
      <c r="B756" s="102" t="n"/>
      <c r="C756" s="102" t="n"/>
      <c r="D756" s="103" t="n"/>
      <c r="E756" s="102" t="n"/>
      <c r="F756" s="104" t="n"/>
      <c r="G756" s="104" t="n"/>
      <c r="H756" s="102" t="n"/>
      <c r="I756" s="105" t="n"/>
      <c r="J756" s="105" t="n"/>
      <c r="K756" s="103" t="n"/>
      <c r="L756" s="106" t="str">
        <f>IF(OR(D756="",E756=""),"",D756+IF(E756="NOTIFICAÇÃO DE CONSTATAÇÃO",PrazoConst,PrazoEsc))</f>
        <v/>
      </c>
      <c r="M756" s="107" t="str">
        <f>IF(L756="","",L756-TODAY())</f>
        <v/>
      </c>
      <c r="N756" s="108" t="str">
        <f>IF(B756="","",IF(G756="DECISÃO D.P","EM DECISÃO",IF(G756="","SEM STATUS",IF(M756="","SEM DATA",IF(M756&lt;0,"VENCIDO",IF(M756&lt;=DiasAlerta,"VENCE EM BREVE","NO PRAZO"))))))</f>
        <v/>
      </c>
      <c r="O756" s="109" t="str">
        <f>IF(D756="","",TODAY()-D756)</f>
        <v/>
      </c>
      <c r="P756" s="102" t="n"/>
    </row>
    <row r="757" ht="18" customHeight="1">
      <c r="A757" s="101" t="n"/>
      <c r="B757" s="102" t="n"/>
      <c r="C757" s="102" t="n"/>
      <c r="D757" s="103" t="n"/>
      <c r="E757" s="102" t="n"/>
      <c r="F757" s="104" t="n"/>
      <c r="G757" s="104" t="n"/>
      <c r="H757" s="102" t="n"/>
      <c r="I757" s="105" t="n"/>
      <c r="J757" s="105" t="n"/>
      <c r="K757" s="103" t="n"/>
      <c r="L757" s="106" t="str">
        <f>IF(OR(D757="",E757=""),"",D757+IF(E757="NOTIFICAÇÃO DE CONSTATAÇÃO",PrazoConst,PrazoEsc))</f>
        <v/>
      </c>
      <c r="M757" s="107" t="str">
        <f>IF(L757="","",L757-TODAY())</f>
        <v/>
      </c>
      <c r="N757" s="108" t="str">
        <f>IF(B757="","",IF(G757="DECISÃO D.P","EM DECISÃO",IF(G757="","SEM STATUS",IF(M757="","SEM DATA",IF(M757&lt;0,"VENCIDO",IF(M757&lt;=DiasAlerta,"VENCE EM BREVE","NO PRAZO"))))))</f>
        <v/>
      </c>
      <c r="O757" s="109" t="str">
        <f>IF(D757="","",TODAY()-D757)</f>
        <v/>
      </c>
      <c r="P757" s="102" t="n"/>
    </row>
    <row r="758" ht="18" customHeight="1">
      <c r="A758" s="101" t="n"/>
      <c r="B758" s="102" t="n"/>
      <c r="C758" s="102" t="n"/>
      <c r="D758" s="103" t="n"/>
      <c r="E758" s="102" t="n"/>
      <c r="F758" s="104" t="n"/>
      <c r="G758" s="104" t="n"/>
      <c r="H758" s="102" t="n"/>
      <c r="I758" s="105" t="n"/>
      <c r="J758" s="105" t="n"/>
      <c r="K758" s="103" t="n"/>
      <c r="L758" s="106" t="str">
        <f>IF(OR(D758="",E758=""),"",D758+IF(E758="NOTIFICAÇÃO DE CONSTATAÇÃO",PrazoConst,PrazoEsc))</f>
        <v/>
      </c>
      <c r="M758" s="107" t="str">
        <f>IF(L758="","",L758-TODAY())</f>
        <v/>
      </c>
      <c r="N758" s="108" t="str">
        <f>IF(B758="","",IF(G758="DECISÃO D.P","EM DECISÃO",IF(G758="","SEM STATUS",IF(M758="","SEM DATA",IF(M758&lt;0,"VENCIDO",IF(M758&lt;=DiasAlerta,"VENCE EM BREVE","NO PRAZO"))))))</f>
        <v/>
      </c>
      <c r="O758" s="109" t="str">
        <f>IF(D758="","",TODAY()-D758)</f>
        <v/>
      </c>
      <c r="P758" s="102" t="n"/>
    </row>
    <row r="759" ht="18" customHeight="1">
      <c r="A759" s="101" t="n"/>
      <c r="B759" s="102" t="n"/>
      <c r="C759" s="102" t="n"/>
      <c r="D759" s="103" t="n"/>
      <c r="E759" s="102" t="n"/>
      <c r="F759" s="104" t="n"/>
      <c r="G759" s="104" t="n"/>
      <c r="H759" s="102" t="n"/>
      <c r="I759" s="105" t="n"/>
      <c r="J759" s="105" t="n"/>
      <c r="K759" s="103" t="n"/>
      <c r="L759" s="106" t="str">
        <f>IF(OR(D759="",E759=""),"",D759+IF(E759="NOTIFICAÇÃO DE CONSTATAÇÃO",PrazoConst,PrazoEsc))</f>
        <v/>
      </c>
      <c r="M759" s="107" t="str">
        <f>IF(L759="","",L759-TODAY())</f>
        <v/>
      </c>
      <c r="N759" s="108" t="str">
        <f>IF(B759="","",IF(G759="DECISÃO D.P","EM DECISÃO",IF(G759="","SEM STATUS",IF(M759="","SEM DATA",IF(M759&lt;0,"VENCIDO",IF(M759&lt;=DiasAlerta,"VENCE EM BREVE","NO PRAZO"))))))</f>
        <v/>
      </c>
      <c r="O759" s="109" t="str">
        <f>IF(D759="","",TODAY()-D759)</f>
        <v/>
      </c>
      <c r="P759" s="102" t="n"/>
    </row>
    <row r="760" ht="18" customHeight="1">
      <c r="A760" s="101" t="n"/>
      <c r="B760" s="102" t="n"/>
      <c r="C760" s="102" t="n"/>
      <c r="D760" s="103" t="n"/>
      <c r="E760" s="102" t="n"/>
      <c r="F760" s="104" t="n"/>
      <c r="G760" s="104" t="n"/>
      <c r="H760" s="102" t="n"/>
      <c r="I760" s="105" t="n"/>
      <c r="J760" s="105" t="n"/>
      <c r="K760" s="103" t="n"/>
      <c r="L760" s="106" t="str">
        <f>IF(OR(D760="",E760=""),"",D760+IF(E760="NOTIFICAÇÃO DE CONSTATAÇÃO",PrazoConst,PrazoEsc))</f>
        <v/>
      </c>
      <c r="M760" s="107" t="str">
        <f>IF(L760="","",L760-TODAY())</f>
        <v/>
      </c>
      <c r="N760" s="108" t="str">
        <f>IF(B760="","",IF(G760="DECISÃO D.P","EM DECISÃO",IF(G760="","SEM STATUS",IF(M760="","SEM DATA",IF(M760&lt;0,"VENCIDO",IF(M760&lt;=DiasAlerta,"VENCE EM BREVE","NO PRAZO"))))))</f>
        <v/>
      </c>
      <c r="O760" s="109" t="str">
        <f>IF(D760="","",TODAY()-D760)</f>
        <v/>
      </c>
      <c r="P760" s="102" t="n"/>
    </row>
    <row r="761" ht="18" customHeight="1">
      <c r="A761" s="101" t="n"/>
      <c r="B761" s="102" t="n"/>
      <c r="C761" s="102" t="n"/>
      <c r="D761" s="103" t="n"/>
      <c r="E761" s="102" t="n"/>
      <c r="F761" s="104" t="n"/>
      <c r="G761" s="104" t="n"/>
      <c r="H761" s="102" t="n"/>
      <c r="I761" s="105" t="n"/>
      <c r="J761" s="105" t="n"/>
      <c r="K761" s="103" t="n"/>
      <c r="L761" s="106" t="str">
        <f>IF(OR(D761="",E761=""),"",D761+IF(E761="NOTIFICAÇÃO DE CONSTATAÇÃO",PrazoConst,PrazoEsc))</f>
        <v/>
      </c>
      <c r="M761" s="107" t="str">
        <f>IF(L761="","",L761-TODAY())</f>
        <v/>
      </c>
      <c r="N761" s="108" t="str">
        <f>IF(B761="","",IF(G761="DECISÃO D.P","EM DECISÃO",IF(G761="","SEM STATUS",IF(M761="","SEM DATA",IF(M761&lt;0,"VENCIDO",IF(M761&lt;=DiasAlerta,"VENCE EM BREVE","NO PRAZO"))))))</f>
        <v/>
      </c>
      <c r="O761" s="109" t="str">
        <f>IF(D761="","",TODAY()-D761)</f>
        <v/>
      </c>
      <c r="P761" s="102" t="n"/>
    </row>
    <row r="762" ht="18" customHeight="1">
      <c r="A762" s="101" t="n"/>
      <c r="B762" s="102" t="n"/>
      <c r="C762" s="102" t="n"/>
      <c r="D762" s="103" t="n"/>
      <c r="E762" s="102" t="n"/>
      <c r="F762" s="104" t="n"/>
      <c r="G762" s="104" t="n"/>
      <c r="H762" s="102" t="n"/>
      <c r="I762" s="105" t="n"/>
      <c r="J762" s="105" t="n"/>
      <c r="K762" s="103" t="n"/>
      <c r="L762" s="106" t="str">
        <f>IF(OR(D762="",E762=""),"",D762+IF(E762="NOTIFICAÇÃO DE CONSTATAÇÃO",PrazoConst,PrazoEsc))</f>
        <v/>
      </c>
      <c r="M762" s="107" t="str">
        <f>IF(L762="","",L762-TODAY())</f>
        <v/>
      </c>
      <c r="N762" s="108" t="str">
        <f>IF(B762="","",IF(G762="DECISÃO D.P","EM DECISÃO",IF(G762="","SEM STATUS",IF(M762="","SEM DATA",IF(M762&lt;0,"VENCIDO",IF(M762&lt;=DiasAlerta,"VENCE EM BREVE","NO PRAZO"))))))</f>
        <v/>
      </c>
      <c r="O762" s="109" t="str">
        <f>IF(D762="","",TODAY()-D762)</f>
        <v/>
      </c>
      <c r="P762" s="102" t="n"/>
    </row>
    <row r="763" ht="18" customHeight="1">
      <c r="A763" s="101" t="n"/>
      <c r="B763" s="102" t="n"/>
      <c r="C763" s="102" t="n"/>
      <c r="D763" s="103" t="n"/>
      <c r="E763" s="102" t="n"/>
      <c r="F763" s="104" t="n"/>
      <c r="G763" s="104" t="n"/>
      <c r="H763" s="102" t="n"/>
      <c r="I763" s="105" t="n"/>
      <c r="J763" s="105" t="n"/>
      <c r="K763" s="103" t="n"/>
      <c r="L763" s="106" t="str">
        <f>IF(OR(D763="",E763=""),"",D763+IF(E763="NOTIFICAÇÃO DE CONSTATAÇÃO",PrazoConst,PrazoEsc))</f>
        <v/>
      </c>
      <c r="M763" s="107" t="str">
        <f>IF(L763="","",L763-TODAY())</f>
        <v/>
      </c>
      <c r="N763" s="108" t="str">
        <f>IF(B763="","",IF(G763="DECISÃO D.P","EM DECISÃO",IF(G763="","SEM STATUS",IF(M763="","SEM DATA",IF(M763&lt;0,"VENCIDO",IF(M763&lt;=DiasAlerta,"VENCE EM BREVE","NO PRAZO"))))))</f>
        <v/>
      </c>
      <c r="O763" s="109" t="str">
        <f>IF(D763="","",TODAY()-D763)</f>
        <v/>
      </c>
      <c r="P763" s="102" t="n"/>
    </row>
    <row r="764" ht="18" customHeight="1">
      <c r="A764" s="101" t="n"/>
      <c r="B764" s="102" t="n"/>
      <c r="C764" s="102" t="n"/>
      <c r="D764" s="103" t="n"/>
      <c r="E764" s="102" t="n"/>
      <c r="F764" s="104" t="n"/>
      <c r="G764" s="104" t="n"/>
      <c r="H764" s="102" t="n"/>
      <c r="I764" s="105" t="n"/>
      <c r="J764" s="105" t="n"/>
      <c r="K764" s="103" t="n"/>
      <c r="L764" s="106" t="str">
        <f>IF(OR(D764="",E764=""),"",D764+IF(E764="NOTIFICAÇÃO DE CONSTATAÇÃO",PrazoConst,PrazoEsc))</f>
        <v/>
      </c>
      <c r="M764" s="107" t="str">
        <f>IF(L764="","",L764-TODAY())</f>
        <v/>
      </c>
      <c r="N764" s="108" t="str">
        <f>IF(B764="","",IF(G764="DECISÃO D.P","EM DECISÃO",IF(G764="","SEM STATUS",IF(M764="","SEM DATA",IF(M764&lt;0,"VENCIDO",IF(M764&lt;=DiasAlerta,"VENCE EM BREVE","NO PRAZO"))))))</f>
        <v/>
      </c>
      <c r="O764" s="109" t="str">
        <f>IF(D764="","",TODAY()-D764)</f>
        <v/>
      </c>
      <c r="P764" s="102" t="n"/>
    </row>
    <row r="765" ht="18" customHeight="1">
      <c r="A765" s="101" t="n"/>
      <c r="B765" s="102" t="n"/>
      <c r="C765" s="102" t="n"/>
      <c r="D765" s="103" t="n"/>
      <c r="E765" s="102" t="n"/>
      <c r="F765" s="104" t="n"/>
      <c r="G765" s="104" t="n"/>
      <c r="H765" s="102" t="n"/>
      <c r="I765" s="105" t="n"/>
      <c r="J765" s="105" t="n"/>
      <c r="K765" s="103" t="n"/>
      <c r="L765" s="106" t="str">
        <f>IF(OR(D765="",E765=""),"",D765+IF(E765="NOTIFICAÇÃO DE CONSTATAÇÃO",PrazoConst,PrazoEsc))</f>
        <v/>
      </c>
      <c r="M765" s="107" t="str">
        <f>IF(L765="","",L765-TODAY())</f>
        <v/>
      </c>
      <c r="N765" s="108" t="str">
        <f>IF(B765="","",IF(G765="DECISÃO D.P","EM DECISÃO",IF(G765="","SEM STATUS",IF(M765="","SEM DATA",IF(M765&lt;0,"VENCIDO",IF(M765&lt;=DiasAlerta,"VENCE EM BREVE","NO PRAZO"))))))</f>
        <v/>
      </c>
      <c r="O765" s="109" t="str">
        <f>IF(D765="","",TODAY()-D765)</f>
        <v/>
      </c>
      <c r="P765" s="102" t="n"/>
    </row>
    <row r="766" ht="18" customHeight="1">
      <c r="A766" s="101" t="n"/>
      <c r="B766" s="102" t="n"/>
      <c r="C766" s="102" t="n"/>
      <c r="D766" s="103" t="n"/>
      <c r="E766" s="102" t="n"/>
      <c r="F766" s="104" t="n"/>
      <c r="G766" s="104" t="n"/>
      <c r="H766" s="102" t="n"/>
      <c r="I766" s="105" t="n"/>
      <c r="J766" s="105" t="n"/>
      <c r="K766" s="103" t="n"/>
      <c r="L766" s="106" t="str">
        <f>IF(OR(D766="",E766=""),"",D766+IF(E766="NOTIFICAÇÃO DE CONSTATAÇÃO",PrazoConst,PrazoEsc))</f>
        <v/>
      </c>
      <c r="M766" s="107" t="str">
        <f>IF(L766="","",L766-TODAY())</f>
        <v/>
      </c>
      <c r="N766" s="108" t="str">
        <f>IF(B766="","",IF(G766="DECISÃO D.P","EM DECISÃO",IF(G766="","SEM STATUS",IF(M766="","SEM DATA",IF(M766&lt;0,"VENCIDO",IF(M766&lt;=DiasAlerta,"VENCE EM BREVE","NO PRAZO"))))))</f>
        <v/>
      </c>
      <c r="O766" s="109" t="str">
        <f>IF(D766="","",TODAY()-D766)</f>
        <v/>
      </c>
      <c r="P766" s="102" t="n"/>
    </row>
    <row r="767" ht="18" customHeight="1">
      <c r="A767" s="101" t="n"/>
      <c r="B767" s="102" t="n"/>
      <c r="C767" s="102" t="n"/>
      <c r="D767" s="103" t="n"/>
      <c r="E767" s="102" t="n"/>
      <c r="F767" s="104" t="n"/>
      <c r="G767" s="104" t="n"/>
      <c r="H767" s="102" t="n"/>
      <c r="I767" s="105" t="n"/>
      <c r="J767" s="105" t="n"/>
      <c r="K767" s="103" t="n"/>
      <c r="L767" s="106" t="str">
        <f>IF(OR(D767="",E767=""),"",D767+IF(E767="NOTIFICAÇÃO DE CONSTATAÇÃO",PrazoConst,PrazoEsc))</f>
        <v/>
      </c>
      <c r="M767" s="107" t="str">
        <f>IF(L767="","",L767-TODAY())</f>
        <v/>
      </c>
      <c r="N767" s="108" t="str">
        <f>IF(B767="","",IF(G767="DECISÃO D.P","EM DECISÃO",IF(G767="","SEM STATUS",IF(M767="","SEM DATA",IF(M767&lt;0,"VENCIDO",IF(M767&lt;=DiasAlerta,"VENCE EM BREVE","NO PRAZO"))))))</f>
        <v/>
      </c>
      <c r="O767" s="109" t="str">
        <f>IF(D767="","",TODAY()-D767)</f>
        <v/>
      </c>
      <c r="P767" s="102" t="n"/>
    </row>
    <row r="768" ht="18" customHeight="1">
      <c r="A768" s="101" t="n"/>
      <c r="B768" s="102" t="n"/>
      <c r="C768" s="102" t="n"/>
      <c r="D768" s="103" t="n"/>
      <c r="E768" s="102" t="n"/>
      <c r="F768" s="104" t="n"/>
      <c r="G768" s="104" t="n"/>
      <c r="H768" s="102" t="n"/>
      <c r="I768" s="105" t="n"/>
      <c r="J768" s="105" t="n"/>
      <c r="K768" s="103" t="n"/>
      <c r="L768" s="106" t="str">
        <f>IF(OR(D768="",E768=""),"",D768+IF(E768="NOTIFICAÇÃO DE CONSTATAÇÃO",PrazoConst,PrazoEsc))</f>
        <v/>
      </c>
      <c r="M768" s="107" t="str">
        <f>IF(L768="","",L768-TODAY())</f>
        <v/>
      </c>
      <c r="N768" s="108" t="str">
        <f>IF(B768="","",IF(G768="DECISÃO D.P","EM DECISÃO",IF(G768="","SEM STATUS",IF(M768="","SEM DATA",IF(M768&lt;0,"VENCIDO",IF(M768&lt;=DiasAlerta,"VENCE EM BREVE","NO PRAZO"))))))</f>
        <v/>
      </c>
      <c r="O768" s="109" t="str">
        <f>IF(D768="","",TODAY()-D768)</f>
        <v/>
      </c>
      <c r="P768" s="102" t="n"/>
    </row>
    <row r="769" ht="18" customHeight="1">
      <c r="A769" s="101" t="n"/>
      <c r="B769" s="102" t="n"/>
      <c r="C769" s="102" t="n"/>
      <c r="D769" s="103" t="n"/>
      <c r="E769" s="102" t="n"/>
      <c r="F769" s="104" t="n"/>
      <c r="G769" s="104" t="n"/>
      <c r="H769" s="102" t="n"/>
      <c r="I769" s="105" t="n"/>
      <c r="J769" s="105" t="n"/>
      <c r="K769" s="103" t="n"/>
      <c r="L769" s="106" t="str">
        <f>IF(OR(D769="",E769=""),"",D769+IF(E769="NOTIFICAÇÃO DE CONSTATAÇÃO",PrazoConst,PrazoEsc))</f>
        <v/>
      </c>
      <c r="M769" s="107" t="str">
        <f>IF(L769="","",L769-TODAY())</f>
        <v/>
      </c>
      <c r="N769" s="108" t="str">
        <f>IF(B769="","",IF(G769="DECISÃO D.P","EM DECISÃO",IF(G769="","SEM STATUS",IF(M769="","SEM DATA",IF(M769&lt;0,"VENCIDO",IF(M769&lt;=DiasAlerta,"VENCE EM BREVE","NO PRAZO"))))))</f>
        <v/>
      </c>
      <c r="O769" s="109" t="str">
        <f>IF(D769="","",TODAY()-D769)</f>
        <v/>
      </c>
      <c r="P769" s="102" t="n"/>
    </row>
    <row r="770" ht="18" customHeight="1">
      <c r="A770" s="101" t="n"/>
      <c r="B770" s="102" t="n"/>
      <c r="C770" s="102" t="n"/>
      <c r="D770" s="103" t="n"/>
      <c r="E770" s="102" t="n"/>
      <c r="F770" s="104" t="n"/>
      <c r="G770" s="104" t="n"/>
      <c r="H770" s="102" t="n"/>
      <c r="I770" s="105" t="n"/>
      <c r="J770" s="105" t="n"/>
      <c r="K770" s="103" t="n"/>
      <c r="L770" s="106" t="str">
        <f>IF(OR(D770="",E770=""),"",D770+IF(E770="NOTIFICAÇÃO DE CONSTATAÇÃO",PrazoConst,PrazoEsc))</f>
        <v/>
      </c>
      <c r="M770" s="107" t="str">
        <f>IF(L770="","",L770-TODAY())</f>
        <v/>
      </c>
      <c r="N770" s="108" t="str">
        <f>IF(B770="","",IF(G770="DECISÃO D.P","EM DECISÃO",IF(G770="","SEM STATUS",IF(M770="","SEM DATA",IF(M770&lt;0,"VENCIDO",IF(M770&lt;=DiasAlerta,"VENCE EM BREVE","NO PRAZO"))))))</f>
        <v/>
      </c>
      <c r="O770" s="109" t="str">
        <f>IF(D770="","",TODAY()-D770)</f>
        <v/>
      </c>
      <c r="P770" s="102" t="n"/>
    </row>
    <row r="771" ht="18" customHeight="1">
      <c r="A771" s="101" t="n"/>
      <c r="B771" s="102" t="n"/>
      <c r="C771" s="102" t="n"/>
      <c r="D771" s="103" t="n"/>
      <c r="E771" s="102" t="n"/>
      <c r="F771" s="104" t="n"/>
      <c r="G771" s="104" t="n"/>
      <c r="H771" s="102" t="n"/>
      <c r="I771" s="105" t="n"/>
      <c r="J771" s="105" t="n"/>
      <c r="K771" s="103" t="n"/>
      <c r="L771" s="106" t="str">
        <f>IF(OR(D771="",E771=""),"",D771+IF(E771="NOTIFICAÇÃO DE CONSTATAÇÃO",PrazoConst,PrazoEsc))</f>
        <v/>
      </c>
      <c r="M771" s="107" t="str">
        <f>IF(L771="","",L771-TODAY())</f>
        <v/>
      </c>
      <c r="N771" s="108" t="str">
        <f>IF(B771="","",IF(G771="DECISÃO D.P","EM DECISÃO",IF(G771="","SEM STATUS",IF(M771="","SEM DATA",IF(M771&lt;0,"VENCIDO",IF(M771&lt;=DiasAlerta,"VENCE EM BREVE","NO PRAZO"))))))</f>
        <v/>
      </c>
      <c r="O771" s="109" t="str">
        <f>IF(D771="","",TODAY()-D771)</f>
        <v/>
      </c>
      <c r="P771" s="102" t="n"/>
    </row>
    <row r="772" ht="18" customHeight="1">
      <c r="A772" s="101" t="n"/>
      <c r="B772" s="102" t="n"/>
      <c r="C772" s="102" t="n"/>
      <c r="D772" s="103" t="n"/>
      <c r="E772" s="102" t="n"/>
      <c r="F772" s="104" t="n"/>
      <c r="G772" s="104" t="n"/>
      <c r="H772" s="102" t="n"/>
      <c r="I772" s="105" t="n"/>
      <c r="J772" s="105" t="n"/>
      <c r="K772" s="103" t="n"/>
      <c r="L772" s="106" t="str">
        <f>IF(OR(D772="",E772=""),"",D772+IF(E772="NOTIFICAÇÃO DE CONSTATAÇÃO",PrazoConst,PrazoEsc))</f>
        <v/>
      </c>
      <c r="M772" s="107" t="str">
        <f>IF(L772="","",L772-TODAY())</f>
        <v/>
      </c>
      <c r="N772" s="108" t="str">
        <f>IF(B772="","",IF(G772="DECISÃO D.P","EM DECISÃO",IF(G772="","SEM STATUS",IF(M772="","SEM DATA",IF(M772&lt;0,"VENCIDO",IF(M772&lt;=DiasAlerta,"VENCE EM BREVE","NO PRAZO"))))))</f>
        <v/>
      </c>
      <c r="O772" s="109" t="str">
        <f>IF(D772="","",TODAY()-D772)</f>
        <v/>
      </c>
      <c r="P772" s="102" t="n"/>
    </row>
    <row r="773" ht="18" customHeight="1">
      <c r="A773" s="101" t="n"/>
      <c r="B773" s="102" t="n"/>
      <c r="C773" s="102" t="n"/>
      <c r="D773" s="103" t="n"/>
      <c r="E773" s="102" t="n"/>
      <c r="F773" s="104" t="n"/>
      <c r="G773" s="104" t="n"/>
      <c r="H773" s="102" t="n"/>
      <c r="I773" s="105" t="n"/>
      <c r="J773" s="105" t="n"/>
      <c r="K773" s="103" t="n"/>
      <c r="L773" s="106" t="str">
        <f>IF(OR(D773="",E773=""),"",D773+IF(E773="NOTIFICAÇÃO DE CONSTATAÇÃO",PrazoConst,PrazoEsc))</f>
        <v/>
      </c>
      <c r="M773" s="107" t="str">
        <f>IF(L773="","",L773-TODAY())</f>
        <v/>
      </c>
      <c r="N773" s="108" t="str">
        <f>IF(B773="","",IF(G773="DECISÃO D.P","EM DECISÃO",IF(G773="","SEM STATUS",IF(M773="","SEM DATA",IF(M773&lt;0,"VENCIDO",IF(M773&lt;=DiasAlerta,"VENCE EM BREVE","NO PRAZO"))))))</f>
        <v/>
      </c>
      <c r="O773" s="109" t="str">
        <f>IF(D773="","",TODAY()-D773)</f>
        <v/>
      </c>
      <c r="P773" s="102" t="n"/>
    </row>
    <row r="774" ht="18" customHeight="1">
      <c r="A774" s="101" t="n"/>
      <c r="B774" s="102" t="n"/>
      <c r="C774" s="102" t="n"/>
      <c r="D774" s="103" t="n"/>
      <c r="E774" s="102" t="n"/>
      <c r="F774" s="104" t="n"/>
      <c r="G774" s="104" t="n"/>
      <c r="H774" s="102" t="n"/>
      <c r="I774" s="105" t="n"/>
      <c r="J774" s="105" t="n"/>
      <c r="K774" s="103" t="n"/>
      <c r="L774" s="106" t="str">
        <f>IF(OR(D774="",E774=""),"",D774+IF(E774="NOTIFICAÇÃO DE CONSTATAÇÃO",PrazoConst,PrazoEsc))</f>
        <v/>
      </c>
      <c r="M774" s="107" t="str">
        <f>IF(L774="","",L774-TODAY())</f>
        <v/>
      </c>
      <c r="N774" s="108" t="str">
        <f>IF(B774="","",IF(G774="DECISÃO D.P","EM DECISÃO",IF(G774="","SEM STATUS",IF(M774="","SEM DATA",IF(M774&lt;0,"VENCIDO",IF(M774&lt;=DiasAlerta,"VENCE EM BREVE","NO PRAZO"))))))</f>
        <v/>
      </c>
      <c r="O774" s="109" t="str">
        <f>IF(D774="","",TODAY()-D774)</f>
        <v/>
      </c>
      <c r="P774" s="102" t="n"/>
    </row>
    <row r="775" ht="18" customHeight="1">
      <c r="A775" s="101" t="n"/>
      <c r="B775" s="102" t="n"/>
      <c r="C775" s="102" t="n"/>
      <c r="D775" s="103" t="n"/>
      <c r="E775" s="102" t="n"/>
      <c r="F775" s="104" t="n"/>
      <c r="G775" s="104" t="n"/>
      <c r="H775" s="102" t="n"/>
      <c r="I775" s="105" t="n"/>
      <c r="J775" s="105" t="n"/>
      <c r="K775" s="103" t="n"/>
      <c r="L775" s="106" t="str">
        <f>IF(OR(D775="",E775=""),"",D775+IF(E775="NOTIFICAÇÃO DE CONSTATAÇÃO",PrazoConst,PrazoEsc))</f>
        <v/>
      </c>
      <c r="M775" s="107" t="str">
        <f>IF(L775="","",L775-TODAY())</f>
        <v/>
      </c>
      <c r="N775" s="108" t="str">
        <f>IF(B775="","",IF(G775="DECISÃO D.P","EM DECISÃO",IF(G775="","SEM STATUS",IF(M775="","SEM DATA",IF(M775&lt;0,"VENCIDO",IF(M775&lt;=DiasAlerta,"VENCE EM BREVE","NO PRAZO"))))))</f>
        <v/>
      </c>
      <c r="O775" s="109" t="str">
        <f>IF(D775="","",TODAY()-D775)</f>
        <v/>
      </c>
      <c r="P775" s="102" t="n"/>
    </row>
    <row r="776" ht="18" customHeight="1">
      <c r="A776" s="101" t="n"/>
      <c r="B776" s="102" t="n"/>
      <c r="C776" s="102" t="n"/>
      <c r="D776" s="103" t="n"/>
      <c r="E776" s="102" t="n"/>
      <c r="F776" s="104" t="n"/>
      <c r="G776" s="104" t="n"/>
      <c r="H776" s="102" t="n"/>
      <c r="I776" s="105" t="n"/>
      <c r="J776" s="105" t="n"/>
      <c r="K776" s="103" t="n"/>
      <c r="L776" s="106" t="str">
        <f>IF(OR(D776="",E776=""),"",D776+IF(E776="NOTIFICAÇÃO DE CONSTATAÇÃO",PrazoConst,PrazoEsc))</f>
        <v/>
      </c>
      <c r="M776" s="107" t="str">
        <f>IF(L776="","",L776-TODAY())</f>
        <v/>
      </c>
      <c r="N776" s="108" t="str">
        <f>IF(B776="","",IF(G776="DECISÃO D.P","EM DECISÃO",IF(G776="","SEM STATUS",IF(M776="","SEM DATA",IF(M776&lt;0,"VENCIDO",IF(M776&lt;=DiasAlerta,"VENCE EM BREVE","NO PRAZO"))))))</f>
        <v/>
      </c>
      <c r="O776" s="109" t="str">
        <f>IF(D776="","",TODAY()-D776)</f>
        <v/>
      </c>
      <c r="P776" s="102" t="n"/>
    </row>
    <row r="777" ht="18" customHeight="1">
      <c r="A777" s="101" t="n"/>
      <c r="B777" s="102" t="n"/>
      <c r="C777" s="102" t="n"/>
      <c r="D777" s="103" t="n"/>
      <c r="E777" s="102" t="n"/>
      <c r="F777" s="104" t="n"/>
      <c r="G777" s="104" t="n"/>
      <c r="H777" s="102" t="n"/>
      <c r="I777" s="105" t="n"/>
      <c r="J777" s="105" t="n"/>
      <c r="K777" s="103" t="n"/>
      <c r="L777" s="106" t="str">
        <f>IF(OR(D777="",E777=""),"",D777+IF(E777="NOTIFICAÇÃO DE CONSTATAÇÃO",PrazoConst,PrazoEsc))</f>
        <v/>
      </c>
      <c r="M777" s="107" t="str">
        <f>IF(L777="","",L777-TODAY())</f>
        <v/>
      </c>
      <c r="N777" s="108" t="str">
        <f>IF(B777="","",IF(G777="DECISÃO D.P","EM DECISÃO",IF(G777="","SEM STATUS",IF(M777="","SEM DATA",IF(M777&lt;0,"VENCIDO",IF(M777&lt;=DiasAlerta,"VENCE EM BREVE","NO PRAZO"))))))</f>
        <v/>
      </c>
      <c r="O777" s="109" t="str">
        <f>IF(D777="","",TODAY()-D777)</f>
        <v/>
      </c>
      <c r="P777" s="102" t="n"/>
    </row>
    <row r="778" ht="18" customHeight="1">
      <c r="A778" s="101" t="n"/>
      <c r="B778" s="102" t="n"/>
      <c r="C778" s="102" t="n"/>
      <c r="D778" s="103" t="n"/>
      <c r="E778" s="102" t="n"/>
      <c r="F778" s="104" t="n"/>
      <c r="G778" s="104" t="n"/>
      <c r="H778" s="102" t="n"/>
      <c r="I778" s="105" t="n"/>
      <c r="J778" s="105" t="n"/>
      <c r="K778" s="103" t="n"/>
      <c r="L778" s="106" t="str">
        <f>IF(OR(D778="",E778=""),"",D778+IF(E778="NOTIFICAÇÃO DE CONSTATAÇÃO",PrazoConst,PrazoEsc))</f>
        <v/>
      </c>
      <c r="M778" s="107" t="str">
        <f>IF(L778="","",L778-TODAY())</f>
        <v/>
      </c>
      <c r="N778" s="108" t="str">
        <f>IF(B778="","",IF(G778="DECISÃO D.P","EM DECISÃO",IF(G778="","SEM STATUS",IF(M778="","SEM DATA",IF(M778&lt;0,"VENCIDO",IF(M778&lt;=DiasAlerta,"VENCE EM BREVE","NO PRAZO"))))))</f>
        <v/>
      </c>
      <c r="O778" s="109" t="str">
        <f>IF(D778="","",TODAY()-D778)</f>
        <v/>
      </c>
      <c r="P778" s="102" t="n"/>
    </row>
    <row r="779" ht="18" customHeight="1">
      <c r="A779" s="101" t="n"/>
      <c r="B779" s="102" t="n"/>
      <c r="C779" s="102" t="n"/>
      <c r="D779" s="103" t="n"/>
      <c r="E779" s="102" t="n"/>
      <c r="F779" s="104" t="n"/>
      <c r="G779" s="104" t="n"/>
      <c r="H779" s="102" t="n"/>
      <c r="I779" s="105" t="n"/>
      <c r="J779" s="105" t="n"/>
      <c r="K779" s="103" t="n"/>
      <c r="L779" s="106" t="str">
        <f>IF(OR(D779="",E779=""),"",D779+IF(E779="NOTIFICAÇÃO DE CONSTATAÇÃO",PrazoConst,PrazoEsc))</f>
        <v/>
      </c>
      <c r="M779" s="107" t="str">
        <f>IF(L779="","",L779-TODAY())</f>
        <v/>
      </c>
      <c r="N779" s="108" t="str">
        <f>IF(B779="","",IF(G779="DECISÃO D.P","EM DECISÃO",IF(G779="","SEM STATUS",IF(M779="","SEM DATA",IF(M779&lt;0,"VENCIDO",IF(M779&lt;=DiasAlerta,"VENCE EM BREVE","NO PRAZO"))))))</f>
        <v/>
      </c>
      <c r="O779" s="109" t="str">
        <f>IF(D779="","",TODAY()-D779)</f>
        <v/>
      </c>
      <c r="P779" s="102" t="n"/>
    </row>
    <row r="780" ht="18" customHeight="1">
      <c r="A780" s="101" t="n"/>
      <c r="B780" s="102" t="n"/>
      <c r="C780" s="102" t="n"/>
      <c r="D780" s="103" t="n"/>
      <c r="E780" s="102" t="n"/>
      <c r="F780" s="104" t="n"/>
      <c r="G780" s="104" t="n"/>
      <c r="H780" s="102" t="n"/>
      <c r="I780" s="105" t="n"/>
      <c r="J780" s="105" t="n"/>
      <c r="K780" s="103" t="n"/>
      <c r="L780" s="106" t="str">
        <f>IF(OR(D780="",E780=""),"",D780+IF(E780="NOTIFICAÇÃO DE CONSTATAÇÃO",PrazoConst,PrazoEsc))</f>
        <v/>
      </c>
      <c r="M780" s="107" t="str">
        <f>IF(L780="","",L780-TODAY())</f>
        <v/>
      </c>
      <c r="N780" s="108" t="str">
        <f>IF(B780="","",IF(G780="DECISÃO D.P","EM DECISÃO",IF(G780="","SEM STATUS",IF(M780="","SEM DATA",IF(M780&lt;0,"VENCIDO",IF(M780&lt;=DiasAlerta,"VENCE EM BREVE","NO PRAZO"))))))</f>
        <v/>
      </c>
      <c r="O780" s="109" t="str">
        <f>IF(D780="","",TODAY()-D780)</f>
        <v/>
      </c>
      <c r="P780" s="102" t="n"/>
    </row>
    <row r="781" ht="18" customHeight="1">
      <c r="A781" s="101" t="n"/>
      <c r="B781" s="102" t="n"/>
      <c r="C781" s="102" t="n"/>
      <c r="D781" s="103" t="n"/>
      <c r="E781" s="102" t="n"/>
      <c r="F781" s="104" t="n"/>
      <c r="G781" s="104" t="n"/>
      <c r="H781" s="102" t="n"/>
      <c r="I781" s="105" t="n"/>
      <c r="J781" s="105" t="n"/>
      <c r="K781" s="103" t="n"/>
      <c r="L781" s="106" t="str">
        <f>IF(OR(D781="",E781=""),"",D781+IF(E781="NOTIFICAÇÃO DE CONSTATAÇÃO",PrazoConst,PrazoEsc))</f>
        <v/>
      </c>
      <c r="M781" s="107" t="str">
        <f>IF(L781="","",L781-TODAY())</f>
        <v/>
      </c>
      <c r="N781" s="108" t="str">
        <f>IF(B781="","",IF(G781="DECISÃO D.P","EM DECISÃO",IF(G781="","SEM STATUS",IF(M781="","SEM DATA",IF(M781&lt;0,"VENCIDO",IF(M781&lt;=DiasAlerta,"VENCE EM BREVE","NO PRAZO"))))))</f>
        <v/>
      </c>
      <c r="O781" s="109" t="str">
        <f>IF(D781="","",TODAY()-D781)</f>
        <v/>
      </c>
      <c r="P781" s="102" t="n"/>
    </row>
    <row r="782" ht="18" customHeight="1">
      <c r="A782" s="101" t="n"/>
      <c r="B782" s="102" t="n"/>
      <c r="C782" s="102" t="n"/>
      <c r="D782" s="103" t="n"/>
      <c r="E782" s="102" t="n"/>
      <c r="F782" s="104" t="n"/>
      <c r="G782" s="104" t="n"/>
      <c r="H782" s="102" t="n"/>
      <c r="I782" s="105" t="n"/>
      <c r="J782" s="105" t="n"/>
      <c r="K782" s="103" t="n"/>
      <c r="L782" s="106" t="str">
        <f>IF(OR(D782="",E782=""),"",D782+IF(E782="NOTIFICAÇÃO DE CONSTATAÇÃO",PrazoConst,PrazoEsc))</f>
        <v/>
      </c>
      <c r="M782" s="107" t="str">
        <f>IF(L782="","",L782-TODAY())</f>
        <v/>
      </c>
      <c r="N782" s="108" t="str">
        <f>IF(B782="","",IF(G782="DECISÃO D.P","EM DECISÃO",IF(G782="","SEM STATUS",IF(M782="","SEM DATA",IF(M782&lt;0,"VENCIDO",IF(M782&lt;=DiasAlerta,"VENCE EM BREVE","NO PRAZO"))))))</f>
        <v/>
      </c>
      <c r="O782" s="109" t="str">
        <f>IF(D782="","",TODAY()-D782)</f>
        <v/>
      </c>
      <c r="P782" s="102" t="n"/>
    </row>
    <row r="783" ht="18" customHeight="1">
      <c r="A783" s="101" t="n"/>
      <c r="B783" s="102" t="n"/>
      <c r="C783" s="102" t="n"/>
      <c r="D783" s="103" t="n"/>
      <c r="E783" s="102" t="n"/>
      <c r="F783" s="104" t="n"/>
      <c r="G783" s="104" t="n"/>
      <c r="H783" s="102" t="n"/>
      <c r="I783" s="105" t="n"/>
      <c r="J783" s="105" t="n"/>
      <c r="K783" s="103" t="n"/>
      <c r="L783" s="106" t="str">
        <f>IF(OR(D783="",E783=""),"",D783+IF(E783="NOTIFICAÇÃO DE CONSTATAÇÃO",PrazoConst,PrazoEsc))</f>
        <v/>
      </c>
      <c r="M783" s="107" t="str">
        <f>IF(L783="","",L783-TODAY())</f>
        <v/>
      </c>
      <c r="N783" s="108" t="str">
        <f>IF(B783="","",IF(G783="DECISÃO D.P","EM DECISÃO",IF(G783="","SEM STATUS",IF(M783="","SEM DATA",IF(M783&lt;0,"VENCIDO",IF(M783&lt;=DiasAlerta,"VENCE EM BREVE","NO PRAZO"))))))</f>
        <v/>
      </c>
      <c r="O783" s="109" t="str">
        <f>IF(D783="","",TODAY()-D783)</f>
        <v/>
      </c>
      <c r="P783" s="102" t="n"/>
    </row>
    <row r="784" ht="18" customHeight="1">
      <c r="A784" s="101" t="n"/>
      <c r="B784" s="102" t="n"/>
      <c r="C784" s="102" t="n"/>
      <c r="D784" s="103" t="n"/>
      <c r="E784" s="102" t="n"/>
      <c r="F784" s="104" t="n"/>
      <c r="G784" s="104" t="n"/>
      <c r="H784" s="102" t="n"/>
      <c r="I784" s="105" t="n"/>
      <c r="J784" s="105" t="n"/>
      <c r="K784" s="103" t="n"/>
      <c r="L784" s="106" t="str">
        <f>IF(OR(D784="",E784=""),"",D784+IF(E784="NOTIFICAÇÃO DE CONSTATAÇÃO",PrazoConst,PrazoEsc))</f>
        <v/>
      </c>
      <c r="M784" s="107" t="str">
        <f>IF(L784="","",L784-TODAY())</f>
        <v/>
      </c>
      <c r="N784" s="108" t="str">
        <f>IF(B784="","",IF(G784="DECISÃO D.P","EM DECISÃO",IF(G784="","SEM STATUS",IF(M784="","SEM DATA",IF(M784&lt;0,"VENCIDO",IF(M784&lt;=DiasAlerta,"VENCE EM BREVE","NO PRAZO"))))))</f>
        <v/>
      </c>
      <c r="O784" s="109" t="str">
        <f>IF(D784="","",TODAY()-D784)</f>
        <v/>
      </c>
      <c r="P784" s="102" t="n"/>
    </row>
    <row r="785" ht="18" customHeight="1">
      <c r="A785" s="101" t="n"/>
      <c r="B785" s="102" t="n"/>
      <c r="C785" s="102" t="n"/>
      <c r="D785" s="103" t="n"/>
      <c r="E785" s="102" t="n"/>
      <c r="F785" s="104" t="n"/>
      <c r="G785" s="104" t="n"/>
      <c r="H785" s="102" t="n"/>
      <c r="I785" s="105" t="n"/>
      <c r="J785" s="105" t="n"/>
      <c r="K785" s="103" t="n"/>
      <c r="L785" s="106" t="str">
        <f>IF(OR(D785="",E785=""),"",D785+IF(E785="NOTIFICAÇÃO DE CONSTATAÇÃO",PrazoConst,PrazoEsc))</f>
        <v/>
      </c>
      <c r="M785" s="107" t="str">
        <f>IF(L785="","",L785-TODAY())</f>
        <v/>
      </c>
      <c r="N785" s="108" t="str">
        <f>IF(B785="","",IF(G785="DECISÃO D.P","EM DECISÃO",IF(G785="","SEM STATUS",IF(M785="","SEM DATA",IF(M785&lt;0,"VENCIDO",IF(M785&lt;=DiasAlerta,"VENCE EM BREVE","NO PRAZO"))))))</f>
        <v/>
      </c>
      <c r="O785" s="109" t="str">
        <f>IF(D785="","",TODAY()-D785)</f>
        <v/>
      </c>
      <c r="P785" s="102" t="n"/>
    </row>
    <row r="786" ht="18" customHeight="1">
      <c r="A786" s="101" t="n"/>
      <c r="B786" s="102" t="n"/>
      <c r="C786" s="102" t="n"/>
      <c r="D786" s="103" t="n"/>
      <c r="E786" s="102" t="n"/>
      <c r="F786" s="104" t="n"/>
      <c r="G786" s="104" t="n"/>
      <c r="H786" s="102" t="n"/>
      <c r="I786" s="105" t="n"/>
      <c r="J786" s="105" t="n"/>
      <c r="K786" s="103" t="n"/>
      <c r="L786" s="106" t="str">
        <f>IF(OR(D786="",E786=""),"",D786+IF(E786="NOTIFICAÇÃO DE CONSTATAÇÃO",PrazoConst,PrazoEsc))</f>
        <v/>
      </c>
      <c r="M786" s="107" t="str">
        <f>IF(L786="","",L786-TODAY())</f>
        <v/>
      </c>
      <c r="N786" s="108" t="str">
        <f>IF(B786="","",IF(G786="DECISÃO D.P","EM DECISÃO",IF(G786="","SEM STATUS",IF(M786="","SEM DATA",IF(M786&lt;0,"VENCIDO",IF(M786&lt;=DiasAlerta,"VENCE EM BREVE","NO PRAZO"))))))</f>
        <v/>
      </c>
      <c r="O786" s="109" t="str">
        <f>IF(D786="","",TODAY()-D786)</f>
        <v/>
      </c>
      <c r="P786" s="102" t="n"/>
    </row>
    <row r="787" ht="18" customHeight="1">
      <c r="A787" s="101" t="n"/>
      <c r="B787" s="102" t="n"/>
      <c r="C787" s="102" t="n"/>
      <c r="D787" s="103" t="n"/>
      <c r="E787" s="102" t="n"/>
      <c r="F787" s="104" t="n"/>
      <c r="G787" s="104" t="n"/>
      <c r="H787" s="102" t="n"/>
      <c r="I787" s="105" t="n"/>
      <c r="J787" s="105" t="n"/>
      <c r="K787" s="103" t="n"/>
      <c r="L787" s="106" t="str">
        <f>IF(OR(D787="",E787=""),"",D787+IF(E787="NOTIFICAÇÃO DE CONSTATAÇÃO",PrazoConst,PrazoEsc))</f>
        <v/>
      </c>
      <c r="M787" s="107" t="str">
        <f>IF(L787="","",L787-TODAY())</f>
        <v/>
      </c>
      <c r="N787" s="108" t="str">
        <f>IF(B787="","",IF(G787="DECISÃO D.P","EM DECISÃO",IF(G787="","SEM STATUS",IF(M787="","SEM DATA",IF(M787&lt;0,"VENCIDO",IF(M787&lt;=DiasAlerta,"VENCE EM BREVE","NO PRAZO"))))))</f>
        <v/>
      </c>
      <c r="O787" s="109" t="str">
        <f>IF(D787="","",TODAY()-D787)</f>
        <v/>
      </c>
      <c r="P787" s="102" t="n"/>
    </row>
    <row r="788" ht="18" customHeight="1">
      <c r="A788" s="101" t="n"/>
      <c r="B788" s="102" t="n"/>
      <c r="C788" s="102" t="n"/>
      <c r="D788" s="103" t="n"/>
      <c r="E788" s="102" t="n"/>
      <c r="F788" s="104" t="n"/>
      <c r="G788" s="104" t="n"/>
      <c r="H788" s="102" t="n"/>
      <c r="I788" s="105" t="n"/>
      <c r="J788" s="105" t="n"/>
      <c r="K788" s="103" t="n"/>
      <c r="L788" s="106" t="str">
        <f>IF(OR(D788="",E788=""),"",D788+IF(E788="NOTIFICAÇÃO DE CONSTATAÇÃO",PrazoConst,PrazoEsc))</f>
        <v/>
      </c>
      <c r="M788" s="107" t="str">
        <f>IF(L788="","",L788-TODAY())</f>
        <v/>
      </c>
      <c r="N788" s="108" t="str">
        <f>IF(B788="","",IF(G788="DECISÃO D.P","EM DECISÃO",IF(G788="","SEM STATUS",IF(M788="","SEM DATA",IF(M788&lt;0,"VENCIDO",IF(M788&lt;=DiasAlerta,"VENCE EM BREVE","NO PRAZO"))))))</f>
        <v/>
      </c>
      <c r="O788" s="109" t="str">
        <f>IF(D788="","",TODAY()-D788)</f>
        <v/>
      </c>
      <c r="P788" s="102" t="n"/>
    </row>
    <row r="789" ht="18" customHeight="1">
      <c r="A789" s="101" t="n"/>
      <c r="B789" s="102" t="n"/>
      <c r="C789" s="102" t="n"/>
      <c r="D789" s="103" t="n"/>
      <c r="E789" s="102" t="n"/>
      <c r="F789" s="104" t="n"/>
      <c r="G789" s="104" t="n"/>
      <c r="H789" s="102" t="n"/>
      <c r="I789" s="105" t="n"/>
      <c r="J789" s="105" t="n"/>
      <c r="K789" s="103" t="n"/>
      <c r="L789" s="106" t="str">
        <f>IF(OR(D789="",E789=""),"",D789+IF(E789="NOTIFICAÇÃO DE CONSTATAÇÃO",PrazoConst,PrazoEsc))</f>
        <v/>
      </c>
      <c r="M789" s="107" t="str">
        <f>IF(L789="","",L789-TODAY())</f>
        <v/>
      </c>
      <c r="N789" s="108" t="str">
        <f>IF(B789="","",IF(G789="DECISÃO D.P","EM DECISÃO",IF(G789="","SEM STATUS",IF(M789="","SEM DATA",IF(M789&lt;0,"VENCIDO",IF(M789&lt;=DiasAlerta,"VENCE EM BREVE","NO PRAZO"))))))</f>
        <v/>
      </c>
      <c r="O789" s="109" t="str">
        <f>IF(D789="","",TODAY()-D789)</f>
        <v/>
      </c>
      <c r="P789" s="102" t="n"/>
    </row>
    <row r="790" ht="18" customHeight="1">
      <c r="A790" s="101" t="n"/>
      <c r="B790" s="102" t="n"/>
      <c r="C790" s="102" t="n"/>
      <c r="D790" s="103" t="n"/>
      <c r="E790" s="102" t="n"/>
      <c r="F790" s="104" t="n"/>
      <c r="G790" s="104" t="n"/>
      <c r="H790" s="102" t="n"/>
      <c r="I790" s="105" t="n"/>
      <c r="J790" s="105" t="n"/>
      <c r="K790" s="103" t="n"/>
      <c r="L790" s="106" t="str">
        <f>IF(OR(D790="",E790=""),"",D790+IF(E790="NOTIFICAÇÃO DE CONSTATAÇÃO",PrazoConst,PrazoEsc))</f>
        <v/>
      </c>
      <c r="M790" s="107" t="str">
        <f>IF(L790="","",L790-TODAY())</f>
        <v/>
      </c>
      <c r="N790" s="108" t="str">
        <f>IF(B790="","",IF(G790="DECISÃO D.P","EM DECISÃO",IF(G790="","SEM STATUS",IF(M790="","SEM DATA",IF(M790&lt;0,"VENCIDO",IF(M790&lt;=DiasAlerta,"VENCE EM BREVE","NO PRAZO"))))))</f>
        <v/>
      </c>
      <c r="O790" s="109" t="str">
        <f>IF(D790="","",TODAY()-D790)</f>
        <v/>
      </c>
      <c r="P790" s="102" t="n"/>
    </row>
    <row r="791" ht="18" customHeight="1">
      <c r="A791" s="101" t="n"/>
      <c r="B791" s="102" t="n"/>
      <c r="C791" s="102" t="n"/>
      <c r="D791" s="103" t="n"/>
      <c r="E791" s="102" t="n"/>
      <c r="F791" s="104" t="n"/>
      <c r="G791" s="104" t="n"/>
      <c r="H791" s="102" t="n"/>
      <c r="I791" s="105" t="n"/>
      <c r="J791" s="105" t="n"/>
      <c r="K791" s="103" t="n"/>
      <c r="L791" s="106" t="str">
        <f>IF(OR(D791="",E791=""),"",D791+IF(E791="NOTIFICAÇÃO DE CONSTATAÇÃO",PrazoConst,PrazoEsc))</f>
        <v/>
      </c>
      <c r="M791" s="107" t="str">
        <f>IF(L791="","",L791-TODAY())</f>
        <v/>
      </c>
      <c r="N791" s="108" t="str">
        <f>IF(B791="","",IF(G791="DECISÃO D.P","EM DECISÃO",IF(G791="","SEM STATUS",IF(M791="","SEM DATA",IF(M791&lt;0,"VENCIDO",IF(M791&lt;=DiasAlerta,"VENCE EM BREVE","NO PRAZO"))))))</f>
        <v/>
      </c>
      <c r="O791" s="109" t="str">
        <f>IF(D791="","",TODAY()-D791)</f>
        <v/>
      </c>
      <c r="P791" s="102" t="n"/>
    </row>
    <row r="792" ht="18" customHeight="1">
      <c r="A792" s="101" t="n"/>
      <c r="B792" s="102" t="n"/>
      <c r="C792" s="102" t="n"/>
      <c r="D792" s="103" t="n"/>
      <c r="E792" s="102" t="n"/>
      <c r="F792" s="104" t="n"/>
      <c r="G792" s="104" t="n"/>
      <c r="H792" s="102" t="n"/>
      <c r="I792" s="105" t="n"/>
      <c r="J792" s="105" t="n"/>
      <c r="K792" s="103" t="n"/>
      <c r="L792" s="106" t="str">
        <f>IF(OR(D792="",E792=""),"",D792+IF(E792="NOTIFICAÇÃO DE CONSTATAÇÃO",PrazoConst,PrazoEsc))</f>
        <v/>
      </c>
      <c r="M792" s="107" t="str">
        <f>IF(L792="","",L792-TODAY())</f>
        <v/>
      </c>
      <c r="N792" s="108" t="str">
        <f>IF(B792="","",IF(G792="DECISÃO D.P","EM DECISÃO",IF(G792="","SEM STATUS",IF(M792="","SEM DATA",IF(M792&lt;0,"VENCIDO",IF(M792&lt;=DiasAlerta,"VENCE EM BREVE","NO PRAZO"))))))</f>
        <v/>
      </c>
      <c r="O792" s="109" t="str">
        <f>IF(D792="","",TODAY()-D792)</f>
        <v/>
      </c>
      <c r="P792" s="102" t="n"/>
    </row>
    <row r="793" ht="18" customHeight="1">
      <c r="A793" s="101" t="n"/>
      <c r="B793" s="102" t="n"/>
      <c r="C793" s="102" t="n"/>
      <c r="D793" s="103" t="n"/>
      <c r="E793" s="102" t="n"/>
      <c r="F793" s="104" t="n"/>
      <c r="G793" s="104" t="n"/>
      <c r="H793" s="102" t="n"/>
      <c r="I793" s="105" t="n"/>
      <c r="J793" s="105" t="n"/>
      <c r="K793" s="103" t="n"/>
      <c r="L793" s="106" t="str">
        <f>IF(OR(D793="",E793=""),"",D793+IF(E793="NOTIFICAÇÃO DE CONSTATAÇÃO",PrazoConst,PrazoEsc))</f>
        <v/>
      </c>
      <c r="M793" s="107" t="str">
        <f>IF(L793="","",L793-TODAY())</f>
        <v/>
      </c>
      <c r="N793" s="108" t="str">
        <f>IF(B793="","",IF(G793="DECISÃO D.P","EM DECISÃO",IF(G793="","SEM STATUS",IF(M793="","SEM DATA",IF(M793&lt;0,"VENCIDO",IF(M793&lt;=DiasAlerta,"VENCE EM BREVE","NO PRAZO"))))))</f>
        <v/>
      </c>
      <c r="O793" s="109" t="str">
        <f>IF(D793="","",TODAY()-D793)</f>
        <v/>
      </c>
      <c r="P793" s="102" t="n"/>
    </row>
    <row r="794" ht="18" customHeight="1">
      <c r="A794" s="101" t="n"/>
      <c r="B794" s="102" t="n"/>
      <c r="C794" s="102" t="n"/>
      <c r="D794" s="103" t="n"/>
      <c r="E794" s="102" t="n"/>
      <c r="F794" s="104" t="n"/>
      <c r="G794" s="104" t="n"/>
      <c r="H794" s="102" t="n"/>
      <c r="I794" s="105" t="n"/>
      <c r="J794" s="105" t="n"/>
      <c r="K794" s="103" t="n"/>
      <c r="L794" s="106" t="str">
        <f>IF(OR(D794="",E794=""),"",D794+IF(E794="NOTIFICAÇÃO DE CONSTATAÇÃO",PrazoConst,PrazoEsc))</f>
        <v/>
      </c>
      <c r="M794" s="107" t="str">
        <f>IF(L794="","",L794-TODAY())</f>
        <v/>
      </c>
      <c r="N794" s="108" t="str">
        <f>IF(B794="","",IF(G794="DECISÃO D.P","EM DECISÃO",IF(G794="","SEM STATUS",IF(M794="","SEM DATA",IF(M794&lt;0,"VENCIDO",IF(M794&lt;=DiasAlerta,"VENCE EM BREVE","NO PRAZO"))))))</f>
        <v/>
      </c>
      <c r="O794" s="109" t="str">
        <f>IF(D794="","",TODAY()-D794)</f>
        <v/>
      </c>
      <c r="P794" s="102" t="n"/>
    </row>
    <row r="795" ht="18" customHeight="1">
      <c r="A795" s="101" t="n"/>
      <c r="B795" s="102" t="n"/>
      <c r="C795" s="102" t="n"/>
      <c r="D795" s="103" t="n"/>
      <c r="E795" s="102" t="n"/>
      <c r="F795" s="104" t="n"/>
      <c r="G795" s="104" t="n"/>
      <c r="H795" s="102" t="n"/>
      <c r="I795" s="105" t="n"/>
      <c r="J795" s="105" t="n"/>
      <c r="K795" s="103" t="n"/>
      <c r="L795" s="106" t="str">
        <f>IF(OR(D795="",E795=""),"",D795+IF(E795="NOTIFICAÇÃO DE CONSTATAÇÃO",PrazoConst,PrazoEsc))</f>
        <v/>
      </c>
      <c r="M795" s="107" t="str">
        <f>IF(L795="","",L795-TODAY())</f>
        <v/>
      </c>
      <c r="N795" s="108" t="str">
        <f>IF(B795="","",IF(G795="DECISÃO D.P","EM DECISÃO",IF(G795="","SEM STATUS",IF(M795="","SEM DATA",IF(M795&lt;0,"VENCIDO",IF(M795&lt;=DiasAlerta,"VENCE EM BREVE","NO PRAZO"))))))</f>
        <v/>
      </c>
      <c r="O795" s="109" t="str">
        <f>IF(D795="","",TODAY()-D795)</f>
        <v/>
      </c>
      <c r="P795" s="102" t="n"/>
    </row>
    <row r="796" ht="18" customHeight="1">
      <c r="A796" s="101" t="n"/>
      <c r="B796" s="102" t="n"/>
      <c r="C796" s="102" t="n"/>
      <c r="D796" s="103" t="n"/>
      <c r="E796" s="102" t="n"/>
      <c r="F796" s="104" t="n"/>
      <c r="G796" s="104" t="n"/>
      <c r="H796" s="102" t="n"/>
      <c r="I796" s="105" t="n"/>
      <c r="J796" s="105" t="n"/>
      <c r="K796" s="103" t="n"/>
      <c r="L796" s="106" t="str">
        <f>IF(OR(D796="",E796=""),"",D796+IF(E796="NOTIFICAÇÃO DE CONSTATAÇÃO",PrazoConst,PrazoEsc))</f>
        <v/>
      </c>
      <c r="M796" s="107" t="str">
        <f>IF(L796="","",L796-TODAY())</f>
        <v/>
      </c>
      <c r="N796" s="108" t="str">
        <f>IF(B796="","",IF(G796="DECISÃO D.P","EM DECISÃO",IF(G796="","SEM STATUS",IF(M796="","SEM DATA",IF(M796&lt;0,"VENCIDO",IF(M796&lt;=DiasAlerta,"VENCE EM BREVE","NO PRAZO"))))))</f>
        <v/>
      </c>
      <c r="O796" s="109" t="str">
        <f>IF(D796="","",TODAY()-D796)</f>
        <v/>
      </c>
      <c r="P796" s="102" t="n"/>
    </row>
    <row r="797" ht="18" customHeight="1">
      <c r="A797" s="101" t="n"/>
      <c r="B797" s="102" t="n"/>
      <c r="C797" s="102" t="n"/>
      <c r="D797" s="103" t="n"/>
      <c r="E797" s="102" t="n"/>
      <c r="F797" s="104" t="n"/>
      <c r="G797" s="104" t="n"/>
      <c r="H797" s="102" t="n"/>
      <c r="I797" s="105" t="n"/>
      <c r="J797" s="105" t="n"/>
      <c r="K797" s="103" t="n"/>
      <c r="L797" s="106" t="str">
        <f>IF(OR(D797="",E797=""),"",D797+IF(E797="NOTIFICAÇÃO DE CONSTATAÇÃO",PrazoConst,PrazoEsc))</f>
        <v/>
      </c>
      <c r="M797" s="107" t="str">
        <f>IF(L797="","",L797-TODAY())</f>
        <v/>
      </c>
      <c r="N797" s="108" t="str">
        <f>IF(B797="","",IF(G797="DECISÃO D.P","EM DECISÃO",IF(G797="","SEM STATUS",IF(M797="","SEM DATA",IF(M797&lt;0,"VENCIDO",IF(M797&lt;=DiasAlerta,"VENCE EM BREVE","NO PRAZO"))))))</f>
        <v/>
      </c>
      <c r="O797" s="109" t="str">
        <f>IF(D797="","",TODAY()-D797)</f>
        <v/>
      </c>
      <c r="P797" s="102" t="n"/>
    </row>
    <row r="798" ht="18" customHeight="1">
      <c r="A798" s="101" t="n"/>
      <c r="B798" s="102" t="n"/>
      <c r="C798" s="102" t="n"/>
      <c r="D798" s="103" t="n"/>
      <c r="E798" s="102" t="n"/>
      <c r="F798" s="104" t="n"/>
      <c r="G798" s="104" t="n"/>
      <c r="H798" s="102" t="n"/>
      <c r="I798" s="105" t="n"/>
      <c r="J798" s="105" t="n"/>
      <c r="K798" s="103" t="n"/>
      <c r="L798" s="106" t="str">
        <f>IF(OR(D798="",E798=""),"",D798+IF(E798="NOTIFICAÇÃO DE CONSTATAÇÃO",PrazoConst,PrazoEsc))</f>
        <v/>
      </c>
      <c r="M798" s="107" t="str">
        <f>IF(L798="","",L798-TODAY())</f>
        <v/>
      </c>
      <c r="N798" s="108" t="str">
        <f>IF(B798="","",IF(G798="DECISÃO D.P","EM DECISÃO",IF(G798="","SEM STATUS",IF(M798="","SEM DATA",IF(M798&lt;0,"VENCIDO",IF(M798&lt;=DiasAlerta,"VENCE EM BREVE","NO PRAZO"))))))</f>
        <v/>
      </c>
      <c r="O798" s="109" t="str">
        <f>IF(D798="","",TODAY()-D798)</f>
        <v/>
      </c>
      <c r="P798" s="102" t="n"/>
    </row>
    <row r="799" ht="18" customHeight="1">
      <c r="A799" s="101" t="n"/>
      <c r="B799" s="102" t="n"/>
      <c r="C799" s="102" t="n"/>
      <c r="D799" s="103" t="n"/>
      <c r="E799" s="102" t="n"/>
      <c r="F799" s="104" t="n"/>
      <c r="G799" s="104" t="n"/>
      <c r="H799" s="102" t="n"/>
      <c r="I799" s="105" t="n"/>
      <c r="J799" s="105" t="n"/>
      <c r="K799" s="103" t="n"/>
      <c r="L799" s="106" t="str">
        <f>IF(OR(D799="",E799=""),"",D799+IF(E799="NOTIFICAÇÃO DE CONSTATAÇÃO",PrazoConst,PrazoEsc))</f>
        <v/>
      </c>
      <c r="M799" s="107" t="str">
        <f>IF(L799="","",L799-TODAY())</f>
        <v/>
      </c>
      <c r="N799" s="108" t="str">
        <f>IF(B799="","",IF(G799="DECISÃO D.P","EM DECISÃO",IF(G799="","SEM STATUS",IF(M799="","SEM DATA",IF(M799&lt;0,"VENCIDO",IF(M799&lt;=DiasAlerta,"VENCE EM BREVE","NO PRAZO"))))))</f>
        <v/>
      </c>
      <c r="O799" s="109" t="str">
        <f>IF(D799="","",TODAY()-D799)</f>
        <v/>
      </c>
      <c r="P799" s="102" t="n"/>
    </row>
    <row r="800" ht="18" customHeight="1">
      <c r="A800" s="101" t="n"/>
      <c r="B800" s="102" t="n"/>
      <c r="C800" s="102" t="n"/>
      <c r="D800" s="103" t="n"/>
      <c r="E800" s="102" t="n"/>
      <c r="F800" s="104" t="n"/>
      <c r="G800" s="104" t="n"/>
      <c r="H800" s="102" t="n"/>
      <c r="I800" s="105" t="n"/>
      <c r="J800" s="105" t="n"/>
      <c r="K800" s="103" t="n"/>
      <c r="L800" s="106" t="str">
        <f>IF(OR(D800="",E800=""),"",D800+IF(E800="NOTIFICAÇÃO DE CONSTATAÇÃO",PrazoConst,PrazoEsc))</f>
        <v/>
      </c>
      <c r="M800" s="107" t="str">
        <f>IF(L800="","",L800-TODAY())</f>
        <v/>
      </c>
      <c r="N800" s="108" t="str">
        <f>IF(B800="","",IF(G800="DECISÃO D.P","EM DECISÃO",IF(G800="","SEM STATUS",IF(M800="","SEM DATA",IF(M800&lt;0,"VENCIDO",IF(M800&lt;=DiasAlerta,"VENCE EM BREVE","NO PRAZO"))))))</f>
        <v/>
      </c>
      <c r="O800" s="109" t="str">
        <f>IF(D800="","",TODAY()-D800)</f>
        <v/>
      </c>
      <c r="P800" s="102" t="n"/>
    </row>
    <row r="801" ht="18" customHeight="1">
      <c r="A801" s="101" t="n"/>
      <c r="B801" s="102" t="n"/>
      <c r="C801" s="102" t="n"/>
      <c r="D801" s="103" t="n"/>
      <c r="E801" s="102" t="n"/>
      <c r="F801" s="104" t="n"/>
      <c r="G801" s="104" t="n"/>
      <c r="H801" s="102" t="n"/>
      <c r="I801" s="105" t="n"/>
      <c r="J801" s="105" t="n"/>
      <c r="K801" s="103" t="n"/>
      <c r="L801" s="106" t="str">
        <f>IF(OR(D801="",E801=""),"",D801+IF(E801="NOTIFICAÇÃO DE CONSTATAÇÃO",PrazoConst,PrazoEsc))</f>
        <v/>
      </c>
      <c r="M801" s="107" t="str">
        <f>IF(L801="","",L801-TODAY())</f>
        <v/>
      </c>
      <c r="N801" s="108" t="str">
        <f>IF(B801="","",IF(G801="DECISÃO D.P","EM DECISÃO",IF(G801="","SEM STATUS",IF(M801="","SEM DATA",IF(M801&lt;0,"VENCIDO",IF(M801&lt;=DiasAlerta,"VENCE EM BREVE","NO PRAZO"))))))</f>
        <v/>
      </c>
      <c r="O801" s="109" t="str">
        <f>IF(D801="","",TODAY()-D801)</f>
        <v/>
      </c>
      <c r="P801" s="102" t="n"/>
    </row>
    <row r="802" ht="18" customHeight="1">
      <c r="A802" s="101" t="n"/>
      <c r="B802" s="102" t="n"/>
      <c r="C802" s="102" t="n"/>
      <c r="D802" s="103" t="n"/>
      <c r="E802" s="102" t="n"/>
      <c r="F802" s="104" t="n"/>
      <c r="G802" s="104" t="n"/>
      <c r="H802" s="102" t="n"/>
      <c r="I802" s="105" t="n"/>
      <c r="J802" s="105" t="n"/>
      <c r="K802" s="103" t="n"/>
      <c r="L802" s="106" t="str">
        <f>IF(OR(D802="",E802=""),"",D802+IF(E802="NOTIFICAÇÃO DE CONSTATAÇÃO",PrazoConst,PrazoEsc))</f>
        <v/>
      </c>
      <c r="M802" s="107" t="str">
        <f>IF(L802="","",L802-TODAY())</f>
        <v/>
      </c>
      <c r="N802" s="108" t="str">
        <f>IF(B802="","",IF(G802="DECISÃO D.P","EM DECISÃO",IF(G802="","SEM STATUS",IF(M802="","SEM DATA",IF(M802&lt;0,"VENCIDO",IF(M802&lt;=DiasAlerta,"VENCE EM BREVE","NO PRAZO"))))))</f>
        <v/>
      </c>
      <c r="O802" s="109" t="str">
        <f>IF(D802="","",TODAY()-D802)</f>
        <v/>
      </c>
      <c r="P802" s="102" t="n"/>
    </row>
    <row r="803" ht="18" customHeight="1">
      <c r="A803" s="101" t="n"/>
      <c r="B803" s="102" t="n"/>
      <c r="C803" s="102" t="n"/>
      <c r="D803" s="103" t="n"/>
      <c r="E803" s="102" t="n"/>
      <c r="F803" s="104" t="n"/>
      <c r="G803" s="104" t="n"/>
      <c r="H803" s="102" t="n"/>
      <c r="I803" s="105" t="n"/>
      <c r="J803" s="105" t="n"/>
      <c r="K803" s="103" t="n"/>
      <c r="L803" s="106" t="str">
        <f>IF(OR(D803="",E803=""),"",D803+IF(E803="NOTIFICAÇÃO DE CONSTATAÇÃO",PrazoConst,PrazoEsc))</f>
        <v/>
      </c>
      <c r="M803" s="107" t="str">
        <f>IF(L803="","",L803-TODAY())</f>
        <v/>
      </c>
      <c r="N803" s="108" t="str">
        <f>IF(B803="","",IF(G803="DECISÃO D.P","EM DECISÃO",IF(G803="","SEM STATUS",IF(M803="","SEM DATA",IF(M803&lt;0,"VENCIDO",IF(M803&lt;=DiasAlerta,"VENCE EM BREVE","NO PRAZO"))))))</f>
        <v/>
      </c>
      <c r="O803" s="109" t="str">
        <f>IF(D803="","",TODAY()-D803)</f>
        <v/>
      </c>
      <c r="P803" s="102" t="n"/>
    </row>
    <row r="804" ht="18" customHeight="1">
      <c r="A804" s="101" t="n"/>
      <c r="B804" s="102" t="n"/>
      <c r="C804" s="102" t="n"/>
      <c r="D804" s="103" t="n"/>
      <c r="E804" s="102" t="n"/>
      <c r="F804" s="104" t="n"/>
      <c r="G804" s="104" t="n"/>
      <c r="H804" s="102" t="n"/>
      <c r="I804" s="105" t="n"/>
      <c r="J804" s="105" t="n"/>
      <c r="K804" s="103" t="n"/>
      <c r="L804" s="106" t="str">
        <f>IF(OR(D804="",E804=""),"",D804+IF(E804="NOTIFICAÇÃO DE CONSTATAÇÃO",PrazoConst,PrazoEsc))</f>
        <v/>
      </c>
      <c r="M804" s="107" t="str">
        <f>IF(L804="","",L804-TODAY())</f>
        <v/>
      </c>
      <c r="N804" s="108" t="str">
        <f>IF(B804="","",IF(G804="DECISÃO D.P","EM DECISÃO",IF(G804="","SEM STATUS",IF(M804="","SEM DATA",IF(M804&lt;0,"VENCIDO",IF(M804&lt;=DiasAlerta,"VENCE EM BREVE","NO PRAZO"))))))</f>
        <v/>
      </c>
      <c r="O804" s="109" t="str">
        <f>IF(D804="","",TODAY()-D804)</f>
        <v/>
      </c>
      <c r="P804" s="102" t="n"/>
    </row>
    <row r="805" ht="18" customHeight="1">
      <c r="A805" s="101" t="n"/>
      <c r="B805" s="102" t="n"/>
      <c r="C805" s="102" t="n"/>
      <c r="D805" s="103" t="n"/>
      <c r="E805" s="102" t="n"/>
      <c r="F805" s="104" t="n"/>
      <c r="G805" s="104" t="n"/>
      <c r="H805" s="102" t="n"/>
      <c r="I805" s="105" t="n"/>
      <c r="J805" s="105" t="n"/>
      <c r="K805" s="103" t="n"/>
      <c r="L805" s="106" t="str">
        <f>IF(OR(D805="",E805=""),"",D805+IF(E805="NOTIFICAÇÃO DE CONSTATAÇÃO",PrazoConst,PrazoEsc))</f>
        <v/>
      </c>
      <c r="M805" s="107" t="str">
        <f>IF(L805="","",L805-TODAY())</f>
        <v/>
      </c>
      <c r="N805" s="108" t="str">
        <f>IF(B805="","",IF(G805="DECISÃO D.P","EM DECISÃO",IF(G805="","SEM STATUS",IF(M805="","SEM DATA",IF(M805&lt;0,"VENCIDO",IF(M805&lt;=DiasAlerta,"VENCE EM BREVE","NO PRAZO"))))))</f>
        <v/>
      </c>
      <c r="O805" s="109" t="str">
        <f>IF(D805="","",TODAY()-D805)</f>
        <v/>
      </c>
      <c r="P805" s="102" t="n"/>
    </row>
    <row r="806" ht="18" customHeight="1">
      <c r="A806" s="101" t="n"/>
      <c r="B806" s="102" t="n"/>
      <c r="C806" s="102" t="n"/>
      <c r="D806" s="103" t="n"/>
      <c r="E806" s="102" t="n"/>
      <c r="F806" s="104" t="n"/>
      <c r="G806" s="104" t="n"/>
      <c r="H806" s="102" t="n"/>
      <c r="I806" s="105" t="n"/>
      <c r="J806" s="105" t="n"/>
      <c r="K806" s="103" t="n"/>
      <c r="L806" s="106" t="str">
        <f>IF(OR(D806="",E806=""),"",D806+IF(E806="NOTIFICAÇÃO DE CONSTATAÇÃO",PrazoConst,PrazoEsc))</f>
        <v/>
      </c>
      <c r="M806" s="107" t="str">
        <f>IF(L806="","",L806-TODAY())</f>
        <v/>
      </c>
      <c r="N806" s="108" t="str">
        <f>IF(B806="","",IF(G806="DECISÃO D.P","EM DECISÃO",IF(G806="","SEM STATUS",IF(M806="","SEM DATA",IF(M806&lt;0,"VENCIDO",IF(M806&lt;=DiasAlerta,"VENCE EM BREVE","NO PRAZO"))))))</f>
        <v/>
      </c>
      <c r="O806" s="109" t="str">
        <f>IF(D806="","",TODAY()-D806)</f>
        <v/>
      </c>
      <c r="P806" s="102" t="n"/>
    </row>
    <row r="807" ht="18" customHeight="1">
      <c r="A807" s="101" t="n"/>
      <c r="B807" s="102" t="n"/>
      <c r="C807" s="102" t="n"/>
      <c r="D807" s="103" t="n"/>
      <c r="E807" s="102" t="n"/>
      <c r="F807" s="104" t="n"/>
      <c r="G807" s="104" t="n"/>
      <c r="H807" s="102" t="n"/>
      <c r="I807" s="105" t="n"/>
      <c r="J807" s="105" t="n"/>
      <c r="K807" s="103" t="n"/>
      <c r="L807" s="106" t="str">
        <f>IF(OR(D807="",E807=""),"",D807+IF(E807="NOTIFICAÇÃO DE CONSTATAÇÃO",PrazoConst,PrazoEsc))</f>
        <v/>
      </c>
      <c r="M807" s="107" t="str">
        <f>IF(L807="","",L807-TODAY())</f>
        <v/>
      </c>
      <c r="N807" s="108" t="str">
        <f>IF(B807="","",IF(G807="DECISÃO D.P","EM DECISÃO",IF(G807="","SEM STATUS",IF(M807="","SEM DATA",IF(M807&lt;0,"VENCIDO",IF(M807&lt;=DiasAlerta,"VENCE EM BREVE","NO PRAZO"))))))</f>
        <v/>
      </c>
      <c r="O807" s="109" t="str">
        <f>IF(D807="","",TODAY()-D807)</f>
        <v/>
      </c>
      <c r="P807" s="102" t="n"/>
    </row>
    <row r="808" ht="18" customHeight="1">
      <c r="A808" s="101" t="n"/>
      <c r="B808" s="102" t="n"/>
      <c r="C808" s="102" t="n"/>
      <c r="D808" s="103" t="n"/>
      <c r="E808" s="102" t="n"/>
      <c r="F808" s="104" t="n"/>
      <c r="G808" s="104" t="n"/>
      <c r="H808" s="102" t="n"/>
      <c r="I808" s="105" t="n"/>
      <c r="J808" s="105" t="n"/>
      <c r="K808" s="103" t="n"/>
      <c r="L808" s="106" t="str">
        <f>IF(OR(D808="",E808=""),"",D808+IF(E808="NOTIFICAÇÃO DE CONSTATAÇÃO",PrazoConst,PrazoEsc))</f>
        <v/>
      </c>
      <c r="M808" s="107" t="str">
        <f>IF(L808="","",L808-TODAY())</f>
        <v/>
      </c>
      <c r="N808" s="108" t="str">
        <f>IF(B808="","",IF(G808="DECISÃO D.P","EM DECISÃO",IF(G808="","SEM STATUS",IF(M808="","SEM DATA",IF(M808&lt;0,"VENCIDO",IF(M808&lt;=DiasAlerta,"VENCE EM BREVE","NO PRAZO"))))))</f>
        <v/>
      </c>
      <c r="O808" s="109" t="str">
        <f>IF(D808="","",TODAY()-D808)</f>
        <v/>
      </c>
      <c r="P808" s="102" t="n"/>
    </row>
    <row r="809" ht="18" customHeight="1">
      <c r="A809" s="101" t="n"/>
      <c r="B809" s="102" t="n"/>
      <c r="C809" s="102" t="n"/>
      <c r="D809" s="103" t="n"/>
      <c r="E809" s="102" t="n"/>
      <c r="F809" s="104" t="n"/>
      <c r="G809" s="104" t="n"/>
      <c r="H809" s="102" t="n"/>
      <c r="I809" s="105" t="n"/>
      <c r="J809" s="105" t="n"/>
      <c r="K809" s="103" t="n"/>
      <c r="L809" s="106" t="str">
        <f>IF(OR(D809="",E809=""),"",D809+IF(E809="NOTIFICAÇÃO DE CONSTATAÇÃO",PrazoConst,PrazoEsc))</f>
        <v/>
      </c>
      <c r="M809" s="107" t="str">
        <f>IF(L809="","",L809-TODAY())</f>
        <v/>
      </c>
      <c r="N809" s="108" t="str">
        <f>IF(B809="","",IF(G809="DECISÃO D.P","EM DECISÃO",IF(G809="","SEM STATUS",IF(M809="","SEM DATA",IF(M809&lt;0,"VENCIDO",IF(M809&lt;=DiasAlerta,"VENCE EM BREVE","NO PRAZO"))))))</f>
        <v/>
      </c>
      <c r="O809" s="109" t="str">
        <f>IF(D809="","",TODAY()-D809)</f>
        <v/>
      </c>
      <c r="P809" s="102" t="n"/>
    </row>
    <row r="810" ht="18" customHeight="1">
      <c r="A810" s="101" t="n"/>
      <c r="B810" s="102" t="n"/>
      <c r="C810" s="102" t="n"/>
      <c r="D810" s="103" t="n"/>
      <c r="E810" s="102" t="n"/>
      <c r="F810" s="104" t="n"/>
      <c r="G810" s="104" t="n"/>
      <c r="H810" s="102" t="n"/>
      <c r="I810" s="105" t="n"/>
      <c r="J810" s="105" t="n"/>
      <c r="K810" s="103" t="n"/>
      <c r="L810" s="106" t="str">
        <f>IF(OR(D810="",E810=""),"",D810+IF(E810="NOTIFICAÇÃO DE CONSTATAÇÃO",PrazoConst,PrazoEsc))</f>
        <v/>
      </c>
      <c r="M810" s="107" t="str">
        <f>IF(L810="","",L810-TODAY())</f>
        <v/>
      </c>
      <c r="N810" s="108" t="str">
        <f>IF(B810="","",IF(G810="DECISÃO D.P","EM DECISÃO",IF(G810="","SEM STATUS",IF(M810="","SEM DATA",IF(M810&lt;0,"VENCIDO",IF(M810&lt;=DiasAlerta,"VENCE EM BREVE","NO PRAZO"))))))</f>
        <v/>
      </c>
      <c r="O810" s="109" t="str">
        <f>IF(D810="","",TODAY()-D810)</f>
        <v/>
      </c>
      <c r="P810" s="102" t="n"/>
    </row>
    <row r="811" ht="18" customHeight="1">
      <c r="A811" s="101" t="n"/>
      <c r="B811" s="102" t="n"/>
      <c r="C811" s="102" t="n"/>
      <c r="D811" s="103" t="n"/>
      <c r="E811" s="102" t="n"/>
      <c r="F811" s="104" t="n"/>
      <c r="G811" s="104" t="n"/>
      <c r="H811" s="102" t="n"/>
      <c r="I811" s="105" t="n"/>
      <c r="J811" s="105" t="n"/>
      <c r="K811" s="103" t="n"/>
      <c r="L811" s="106" t="str">
        <f>IF(OR(D811="",E811=""),"",D811+IF(E811="NOTIFICAÇÃO DE CONSTATAÇÃO",PrazoConst,PrazoEsc))</f>
        <v/>
      </c>
      <c r="M811" s="107" t="str">
        <f>IF(L811="","",L811-TODAY())</f>
        <v/>
      </c>
      <c r="N811" s="108" t="str">
        <f>IF(B811="","",IF(G811="DECISÃO D.P","EM DECISÃO",IF(G811="","SEM STATUS",IF(M811="","SEM DATA",IF(M811&lt;0,"VENCIDO",IF(M811&lt;=DiasAlerta,"VENCE EM BREVE","NO PRAZO"))))))</f>
        <v/>
      </c>
      <c r="O811" s="109" t="str">
        <f>IF(D811="","",TODAY()-D811)</f>
        <v/>
      </c>
      <c r="P811" s="102" t="n"/>
    </row>
    <row r="812" ht="18" customHeight="1">
      <c r="A812" s="101" t="n"/>
      <c r="B812" s="102" t="n"/>
      <c r="C812" s="102" t="n"/>
      <c r="D812" s="103" t="n"/>
      <c r="E812" s="102" t="n"/>
      <c r="F812" s="104" t="n"/>
      <c r="G812" s="104" t="n"/>
      <c r="H812" s="102" t="n"/>
      <c r="I812" s="105" t="n"/>
      <c r="J812" s="105" t="n"/>
      <c r="K812" s="103" t="n"/>
      <c r="L812" s="106" t="str">
        <f>IF(OR(D812="",E812=""),"",D812+IF(E812="NOTIFICAÇÃO DE CONSTATAÇÃO",PrazoConst,PrazoEsc))</f>
        <v/>
      </c>
      <c r="M812" s="107" t="str">
        <f>IF(L812="","",L812-TODAY())</f>
        <v/>
      </c>
      <c r="N812" s="108" t="str">
        <f>IF(B812="","",IF(G812="DECISÃO D.P","EM DECISÃO",IF(G812="","SEM STATUS",IF(M812="","SEM DATA",IF(M812&lt;0,"VENCIDO",IF(M812&lt;=DiasAlerta,"VENCE EM BREVE","NO PRAZO"))))))</f>
        <v/>
      </c>
      <c r="O812" s="109" t="str">
        <f>IF(D812="","",TODAY()-D812)</f>
        <v/>
      </c>
      <c r="P812" s="102" t="n"/>
    </row>
    <row r="813" ht="18" customHeight="1">
      <c r="A813" s="101" t="n"/>
      <c r="B813" s="102" t="n"/>
      <c r="C813" s="102" t="n"/>
      <c r="D813" s="103" t="n"/>
      <c r="E813" s="102" t="n"/>
      <c r="F813" s="104" t="n"/>
      <c r="G813" s="104" t="n"/>
      <c r="H813" s="102" t="n"/>
      <c r="I813" s="105" t="n"/>
      <c r="J813" s="105" t="n"/>
      <c r="K813" s="103" t="n"/>
      <c r="L813" s="106" t="str">
        <f>IF(OR(D813="",E813=""),"",D813+IF(E813="NOTIFICAÇÃO DE CONSTATAÇÃO",PrazoConst,PrazoEsc))</f>
        <v/>
      </c>
      <c r="M813" s="107" t="str">
        <f>IF(L813="","",L813-TODAY())</f>
        <v/>
      </c>
      <c r="N813" s="108" t="str">
        <f>IF(B813="","",IF(G813="DECISÃO D.P","EM DECISÃO",IF(G813="","SEM STATUS",IF(M813="","SEM DATA",IF(M813&lt;0,"VENCIDO",IF(M813&lt;=DiasAlerta,"VENCE EM BREVE","NO PRAZO"))))))</f>
        <v/>
      </c>
      <c r="O813" s="109" t="str">
        <f>IF(D813="","",TODAY()-D813)</f>
        <v/>
      </c>
      <c r="P813" s="102" t="n"/>
    </row>
    <row r="814" ht="18" customHeight="1">
      <c r="A814" s="101" t="n"/>
      <c r="B814" s="102" t="n"/>
      <c r="C814" s="102" t="n"/>
      <c r="D814" s="103" t="n"/>
      <c r="E814" s="102" t="n"/>
      <c r="F814" s="104" t="n"/>
      <c r="G814" s="104" t="n"/>
      <c r="H814" s="102" t="n"/>
      <c r="I814" s="105" t="n"/>
      <c r="J814" s="105" t="n"/>
      <c r="K814" s="103" t="n"/>
      <c r="L814" s="106" t="str">
        <f>IF(OR(D814="",E814=""),"",D814+IF(E814="NOTIFICAÇÃO DE CONSTATAÇÃO",PrazoConst,PrazoEsc))</f>
        <v/>
      </c>
      <c r="M814" s="107" t="str">
        <f>IF(L814="","",L814-TODAY())</f>
        <v/>
      </c>
      <c r="N814" s="108" t="str">
        <f>IF(B814="","",IF(G814="DECISÃO D.P","EM DECISÃO",IF(G814="","SEM STATUS",IF(M814="","SEM DATA",IF(M814&lt;0,"VENCIDO",IF(M814&lt;=DiasAlerta,"VENCE EM BREVE","NO PRAZO"))))))</f>
        <v/>
      </c>
      <c r="O814" s="109" t="str">
        <f>IF(D814="","",TODAY()-D814)</f>
        <v/>
      </c>
      <c r="P814" s="102" t="n"/>
    </row>
    <row r="815" ht="18" customHeight="1">
      <c r="A815" s="101" t="n"/>
      <c r="B815" s="102" t="n"/>
      <c r="C815" s="102" t="n"/>
      <c r="D815" s="103" t="n"/>
      <c r="E815" s="102" t="n"/>
      <c r="F815" s="104" t="n"/>
      <c r="G815" s="104" t="n"/>
      <c r="H815" s="102" t="n"/>
      <c r="I815" s="105" t="n"/>
      <c r="J815" s="105" t="n"/>
      <c r="K815" s="103" t="n"/>
      <c r="L815" s="106" t="str">
        <f>IF(OR(D815="",E815=""),"",D815+IF(E815="NOTIFICAÇÃO DE CONSTATAÇÃO",PrazoConst,PrazoEsc))</f>
        <v/>
      </c>
      <c r="M815" s="107" t="str">
        <f>IF(L815="","",L815-TODAY())</f>
        <v/>
      </c>
      <c r="N815" s="108" t="str">
        <f>IF(B815="","",IF(G815="DECISÃO D.P","EM DECISÃO",IF(G815="","SEM STATUS",IF(M815="","SEM DATA",IF(M815&lt;0,"VENCIDO",IF(M815&lt;=DiasAlerta,"VENCE EM BREVE","NO PRAZO"))))))</f>
        <v/>
      </c>
      <c r="O815" s="109" t="str">
        <f>IF(D815="","",TODAY()-D815)</f>
        <v/>
      </c>
      <c r="P815" s="102" t="n"/>
    </row>
    <row r="816" ht="18" customHeight="1">
      <c r="A816" s="101" t="n"/>
      <c r="B816" s="102" t="n"/>
      <c r="C816" s="102" t="n"/>
      <c r="D816" s="103" t="n"/>
      <c r="E816" s="102" t="n"/>
      <c r="F816" s="104" t="n"/>
      <c r="G816" s="104" t="n"/>
      <c r="H816" s="102" t="n"/>
      <c r="I816" s="105" t="n"/>
      <c r="J816" s="105" t="n"/>
      <c r="K816" s="103" t="n"/>
      <c r="L816" s="106" t="str">
        <f>IF(OR(D816="",E816=""),"",D816+IF(E816="NOTIFICAÇÃO DE CONSTATAÇÃO",PrazoConst,PrazoEsc))</f>
        <v/>
      </c>
      <c r="M816" s="107" t="str">
        <f>IF(L816="","",L816-TODAY())</f>
        <v/>
      </c>
      <c r="N816" s="108" t="str">
        <f>IF(B816="","",IF(G816="DECISÃO D.P","EM DECISÃO",IF(G816="","SEM STATUS",IF(M816="","SEM DATA",IF(M816&lt;0,"VENCIDO",IF(M816&lt;=DiasAlerta,"VENCE EM BREVE","NO PRAZO"))))))</f>
        <v/>
      </c>
      <c r="O816" s="109" t="str">
        <f>IF(D816="","",TODAY()-D816)</f>
        <v/>
      </c>
      <c r="P816" s="102" t="n"/>
    </row>
    <row r="817" ht="18" customHeight="1">
      <c r="A817" s="101" t="n"/>
      <c r="B817" s="102" t="n"/>
      <c r="C817" s="102" t="n"/>
      <c r="D817" s="103" t="n"/>
      <c r="E817" s="102" t="n"/>
      <c r="F817" s="104" t="n"/>
      <c r="G817" s="104" t="n"/>
      <c r="H817" s="102" t="n"/>
      <c r="I817" s="105" t="n"/>
      <c r="J817" s="105" t="n"/>
      <c r="K817" s="103" t="n"/>
      <c r="L817" s="106" t="str">
        <f>IF(OR(D817="",E817=""),"",D817+IF(E817="NOTIFICAÇÃO DE CONSTATAÇÃO",PrazoConst,PrazoEsc))</f>
        <v/>
      </c>
      <c r="M817" s="107" t="str">
        <f>IF(L817="","",L817-TODAY())</f>
        <v/>
      </c>
      <c r="N817" s="108" t="str">
        <f>IF(B817="","",IF(G817="DECISÃO D.P","EM DECISÃO",IF(G817="","SEM STATUS",IF(M817="","SEM DATA",IF(M817&lt;0,"VENCIDO",IF(M817&lt;=DiasAlerta,"VENCE EM BREVE","NO PRAZO"))))))</f>
        <v/>
      </c>
      <c r="O817" s="109" t="str">
        <f>IF(D817="","",TODAY()-D817)</f>
        <v/>
      </c>
      <c r="P817" s="102" t="n"/>
    </row>
    <row r="818" ht="18" customHeight="1">
      <c r="A818" s="101" t="n"/>
      <c r="B818" s="102" t="n"/>
      <c r="C818" s="102" t="n"/>
      <c r="D818" s="103" t="n"/>
      <c r="E818" s="102" t="n"/>
      <c r="F818" s="104" t="n"/>
      <c r="G818" s="104" t="n"/>
      <c r="H818" s="102" t="n"/>
      <c r="I818" s="105" t="n"/>
      <c r="J818" s="105" t="n"/>
      <c r="K818" s="103" t="n"/>
      <c r="L818" s="106" t="str">
        <f>IF(OR(D818="",E818=""),"",D818+IF(E818="NOTIFICAÇÃO DE CONSTATAÇÃO",PrazoConst,PrazoEsc))</f>
        <v/>
      </c>
      <c r="M818" s="107" t="str">
        <f>IF(L818="","",L818-TODAY())</f>
        <v/>
      </c>
      <c r="N818" s="108" t="str">
        <f>IF(B818="","",IF(G818="DECISÃO D.P","EM DECISÃO",IF(G818="","SEM STATUS",IF(M818="","SEM DATA",IF(M818&lt;0,"VENCIDO",IF(M818&lt;=DiasAlerta,"VENCE EM BREVE","NO PRAZO"))))))</f>
        <v/>
      </c>
      <c r="O818" s="109" t="str">
        <f>IF(D818="","",TODAY()-D818)</f>
        <v/>
      </c>
      <c r="P818" s="102" t="n"/>
    </row>
    <row r="819" ht="18" customHeight="1">
      <c r="A819" s="101" t="n"/>
      <c r="B819" s="102" t="n"/>
      <c r="C819" s="102" t="n"/>
      <c r="D819" s="103" t="n"/>
      <c r="E819" s="102" t="n"/>
      <c r="F819" s="104" t="n"/>
      <c r="G819" s="104" t="n"/>
      <c r="H819" s="102" t="n"/>
      <c r="I819" s="105" t="n"/>
      <c r="J819" s="105" t="n"/>
      <c r="K819" s="103" t="n"/>
      <c r="L819" s="106" t="str">
        <f>IF(OR(D819="",E819=""),"",D819+IF(E819="NOTIFICAÇÃO DE CONSTATAÇÃO",PrazoConst,PrazoEsc))</f>
        <v/>
      </c>
      <c r="M819" s="107" t="str">
        <f>IF(L819="","",L819-TODAY())</f>
        <v/>
      </c>
      <c r="N819" s="108" t="str">
        <f>IF(B819="","",IF(G819="DECISÃO D.P","EM DECISÃO",IF(G819="","SEM STATUS",IF(M819="","SEM DATA",IF(M819&lt;0,"VENCIDO",IF(M819&lt;=DiasAlerta,"VENCE EM BREVE","NO PRAZO"))))))</f>
        <v/>
      </c>
      <c r="O819" s="109" t="str">
        <f>IF(D819="","",TODAY()-D819)</f>
        <v/>
      </c>
      <c r="P819" s="102" t="n"/>
    </row>
    <row r="820" ht="18" customHeight="1">
      <c r="A820" s="101" t="n"/>
      <c r="B820" s="102" t="n"/>
      <c r="C820" s="102" t="n"/>
      <c r="D820" s="103" t="n"/>
      <c r="E820" s="102" t="n"/>
      <c r="F820" s="104" t="n"/>
      <c r="G820" s="104" t="n"/>
      <c r="H820" s="102" t="n"/>
      <c r="I820" s="105" t="n"/>
      <c r="J820" s="105" t="n"/>
      <c r="K820" s="103" t="n"/>
      <c r="L820" s="106" t="str">
        <f>IF(OR(D820="",E820=""),"",D820+IF(E820="NOTIFICAÇÃO DE CONSTATAÇÃO",PrazoConst,PrazoEsc))</f>
        <v/>
      </c>
      <c r="M820" s="107" t="str">
        <f>IF(L820="","",L820-TODAY())</f>
        <v/>
      </c>
      <c r="N820" s="108" t="str">
        <f>IF(B820="","",IF(G820="DECISÃO D.P","EM DECISÃO",IF(G820="","SEM STATUS",IF(M820="","SEM DATA",IF(M820&lt;0,"VENCIDO",IF(M820&lt;=DiasAlerta,"VENCE EM BREVE","NO PRAZO"))))))</f>
        <v/>
      </c>
      <c r="O820" s="109" t="str">
        <f>IF(D820="","",TODAY()-D820)</f>
        <v/>
      </c>
      <c r="P820" s="102" t="n"/>
    </row>
    <row r="821" ht="18" customHeight="1">
      <c r="A821" s="101" t="n"/>
      <c r="B821" s="102" t="n"/>
      <c r="C821" s="102" t="n"/>
      <c r="D821" s="103" t="n"/>
      <c r="E821" s="102" t="n"/>
      <c r="F821" s="104" t="n"/>
      <c r="G821" s="104" t="n"/>
      <c r="H821" s="102" t="n"/>
      <c r="I821" s="105" t="n"/>
      <c r="J821" s="105" t="n"/>
      <c r="K821" s="103" t="n"/>
      <c r="L821" s="106" t="str">
        <f>IF(OR(D821="",E821=""),"",D821+IF(E821="NOTIFICAÇÃO DE CONSTATAÇÃO",PrazoConst,PrazoEsc))</f>
        <v/>
      </c>
      <c r="M821" s="107" t="str">
        <f>IF(L821="","",L821-TODAY())</f>
        <v/>
      </c>
      <c r="N821" s="108" t="str">
        <f>IF(B821="","",IF(G821="DECISÃO D.P","EM DECISÃO",IF(G821="","SEM STATUS",IF(M821="","SEM DATA",IF(M821&lt;0,"VENCIDO",IF(M821&lt;=DiasAlerta,"VENCE EM BREVE","NO PRAZO"))))))</f>
        <v/>
      </c>
      <c r="O821" s="109" t="str">
        <f>IF(D821="","",TODAY()-D821)</f>
        <v/>
      </c>
      <c r="P821" s="102" t="n"/>
    </row>
    <row r="822" ht="18" customHeight="1">
      <c r="A822" s="101" t="n"/>
      <c r="B822" s="102" t="n"/>
      <c r="C822" s="102" t="n"/>
      <c r="D822" s="103" t="n"/>
      <c r="E822" s="102" t="n"/>
      <c r="F822" s="104" t="n"/>
      <c r="G822" s="104" t="n"/>
      <c r="H822" s="102" t="n"/>
      <c r="I822" s="105" t="n"/>
      <c r="J822" s="105" t="n"/>
      <c r="K822" s="103" t="n"/>
      <c r="L822" s="106" t="str">
        <f>IF(OR(D822="",E822=""),"",D822+IF(E822="NOTIFICAÇÃO DE CONSTATAÇÃO",PrazoConst,PrazoEsc))</f>
        <v/>
      </c>
      <c r="M822" s="107" t="str">
        <f>IF(L822="","",L822-TODAY())</f>
        <v/>
      </c>
      <c r="N822" s="108" t="str">
        <f>IF(B822="","",IF(G822="DECISÃO D.P","EM DECISÃO",IF(G822="","SEM STATUS",IF(M822="","SEM DATA",IF(M822&lt;0,"VENCIDO",IF(M822&lt;=DiasAlerta,"VENCE EM BREVE","NO PRAZO"))))))</f>
        <v/>
      </c>
      <c r="O822" s="109" t="str">
        <f>IF(D822="","",TODAY()-D822)</f>
        <v/>
      </c>
      <c r="P822" s="102" t="n"/>
    </row>
    <row r="823" ht="18" customHeight="1">
      <c r="A823" s="101" t="n"/>
      <c r="B823" s="102" t="n"/>
      <c r="C823" s="102" t="n"/>
      <c r="D823" s="103" t="n"/>
      <c r="E823" s="102" t="n"/>
      <c r="F823" s="104" t="n"/>
      <c r="G823" s="104" t="n"/>
      <c r="H823" s="102" t="n"/>
      <c r="I823" s="105" t="n"/>
      <c r="J823" s="105" t="n"/>
      <c r="K823" s="103" t="n"/>
      <c r="L823" s="106" t="str">
        <f>IF(OR(D823="",E823=""),"",D823+IF(E823="NOTIFICAÇÃO DE CONSTATAÇÃO",PrazoConst,PrazoEsc))</f>
        <v/>
      </c>
      <c r="M823" s="107" t="str">
        <f>IF(L823="","",L823-TODAY())</f>
        <v/>
      </c>
      <c r="N823" s="108" t="str">
        <f>IF(B823="","",IF(G823="DECISÃO D.P","EM DECISÃO",IF(G823="","SEM STATUS",IF(M823="","SEM DATA",IF(M823&lt;0,"VENCIDO",IF(M823&lt;=DiasAlerta,"VENCE EM BREVE","NO PRAZO"))))))</f>
        <v/>
      </c>
      <c r="O823" s="109" t="str">
        <f>IF(D823="","",TODAY()-D823)</f>
        <v/>
      </c>
      <c r="P823" s="102" t="n"/>
    </row>
    <row r="824" ht="18" customHeight="1">
      <c r="A824" s="101" t="n"/>
      <c r="B824" s="102" t="n"/>
      <c r="C824" s="102" t="n"/>
      <c r="D824" s="103" t="n"/>
      <c r="E824" s="102" t="n"/>
      <c r="F824" s="104" t="n"/>
      <c r="G824" s="104" t="n"/>
      <c r="H824" s="102" t="n"/>
      <c r="I824" s="105" t="n"/>
      <c r="J824" s="105" t="n"/>
      <c r="K824" s="103" t="n"/>
      <c r="L824" s="106" t="str">
        <f>IF(OR(D824="",E824=""),"",D824+IF(E824="NOTIFICAÇÃO DE CONSTATAÇÃO",PrazoConst,PrazoEsc))</f>
        <v/>
      </c>
      <c r="M824" s="107" t="str">
        <f>IF(L824="","",L824-TODAY())</f>
        <v/>
      </c>
      <c r="N824" s="108" t="str">
        <f>IF(B824="","",IF(G824="DECISÃO D.P","EM DECISÃO",IF(G824="","SEM STATUS",IF(M824="","SEM DATA",IF(M824&lt;0,"VENCIDO",IF(M824&lt;=DiasAlerta,"VENCE EM BREVE","NO PRAZO"))))))</f>
        <v/>
      </c>
      <c r="O824" s="109" t="str">
        <f>IF(D824="","",TODAY()-D824)</f>
        <v/>
      </c>
      <c r="P824" s="102" t="n"/>
    </row>
    <row r="825" ht="18" customHeight="1">
      <c r="A825" s="101" t="n"/>
      <c r="B825" s="102" t="n"/>
      <c r="C825" s="102" t="n"/>
      <c r="D825" s="103" t="n"/>
      <c r="E825" s="102" t="n"/>
      <c r="F825" s="104" t="n"/>
      <c r="G825" s="104" t="n"/>
      <c r="H825" s="102" t="n"/>
      <c r="I825" s="105" t="n"/>
      <c r="J825" s="105" t="n"/>
      <c r="K825" s="103" t="n"/>
      <c r="L825" s="106" t="str">
        <f>IF(OR(D825="",E825=""),"",D825+IF(E825="NOTIFICAÇÃO DE CONSTATAÇÃO",PrazoConst,PrazoEsc))</f>
        <v/>
      </c>
      <c r="M825" s="107" t="str">
        <f>IF(L825="","",L825-TODAY())</f>
        <v/>
      </c>
      <c r="N825" s="108" t="str">
        <f>IF(B825="","",IF(G825="DECISÃO D.P","EM DECISÃO",IF(G825="","SEM STATUS",IF(M825="","SEM DATA",IF(M825&lt;0,"VENCIDO",IF(M825&lt;=DiasAlerta,"VENCE EM BREVE","NO PRAZO"))))))</f>
        <v/>
      </c>
      <c r="O825" s="109" t="str">
        <f>IF(D825="","",TODAY()-D825)</f>
        <v/>
      </c>
      <c r="P825" s="102" t="n"/>
    </row>
    <row r="826" ht="18" customHeight="1">
      <c r="A826" s="101" t="n"/>
      <c r="B826" s="102" t="n"/>
      <c r="C826" s="102" t="n"/>
      <c r="D826" s="103" t="n"/>
      <c r="E826" s="102" t="n"/>
      <c r="F826" s="104" t="n"/>
      <c r="G826" s="104" t="n"/>
      <c r="H826" s="102" t="n"/>
      <c r="I826" s="105" t="n"/>
      <c r="J826" s="105" t="n"/>
      <c r="K826" s="103" t="n"/>
      <c r="L826" s="106" t="str">
        <f>IF(OR(D826="",E826=""),"",D826+IF(E826="NOTIFICAÇÃO DE CONSTATAÇÃO",PrazoConst,PrazoEsc))</f>
        <v/>
      </c>
      <c r="M826" s="107" t="str">
        <f>IF(L826="","",L826-TODAY())</f>
        <v/>
      </c>
      <c r="N826" s="108" t="str">
        <f>IF(B826="","",IF(G826="DECISÃO D.P","EM DECISÃO",IF(G826="","SEM STATUS",IF(M826="","SEM DATA",IF(M826&lt;0,"VENCIDO",IF(M826&lt;=DiasAlerta,"VENCE EM BREVE","NO PRAZO"))))))</f>
        <v/>
      </c>
      <c r="O826" s="109" t="str">
        <f>IF(D826="","",TODAY()-D826)</f>
        <v/>
      </c>
      <c r="P826" s="102" t="n"/>
    </row>
    <row r="827" ht="18" customHeight="1">
      <c r="A827" s="101" t="n"/>
      <c r="B827" s="102" t="n"/>
      <c r="C827" s="102" t="n"/>
      <c r="D827" s="103" t="n"/>
      <c r="E827" s="102" t="n"/>
      <c r="F827" s="104" t="n"/>
      <c r="G827" s="104" t="n"/>
      <c r="H827" s="102" t="n"/>
      <c r="I827" s="105" t="n"/>
      <c r="J827" s="105" t="n"/>
      <c r="K827" s="103" t="n"/>
      <c r="L827" s="106" t="str">
        <f>IF(OR(D827="",E827=""),"",D827+IF(E827="NOTIFICAÇÃO DE CONSTATAÇÃO",PrazoConst,PrazoEsc))</f>
        <v/>
      </c>
      <c r="M827" s="107" t="str">
        <f>IF(L827="","",L827-TODAY())</f>
        <v/>
      </c>
      <c r="N827" s="108" t="str">
        <f>IF(B827="","",IF(G827="DECISÃO D.P","EM DECISÃO",IF(G827="","SEM STATUS",IF(M827="","SEM DATA",IF(M827&lt;0,"VENCIDO",IF(M827&lt;=DiasAlerta,"VENCE EM BREVE","NO PRAZO"))))))</f>
        <v/>
      </c>
      <c r="O827" s="109" t="str">
        <f>IF(D827="","",TODAY()-D827)</f>
        <v/>
      </c>
      <c r="P827" s="102" t="n"/>
    </row>
    <row r="828" ht="18" customHeight="1">
      <c r="A828" s="101" t="n"/>
      <c r="B828" s="102" t="n"/>
      <c r="C828" s="102" t="n"/>
      <c r="D828" s="103" t="n"/>
      <c r="E828" s="102" t="n"/>
      <c r="F828" s="104" t="n"/>
      <c r="G828" s="104" t="n"/>
      <c r="H828" s="102" t="n"/>
      <c r="I828" s="105" t="n"/>
      <c r="J828" s="105" t="n"/>
      <c r="K828" s="103" t="n"/>
      <c r="L828" s="106" t="str">
        <f>IF(OR(D828="",E828=""),"",D828+IF(E828="NOTIFICAÇÃO DE CONSTATAÇÃO",PrazoConst,PrazoEsc))</f>
        <v/>
      </c>
      <c r="M828" s="107" t="str">
        <f>IF(L828="","",L828-TODAY())</f>
        <v/>
      </c>
      <c r="N828" s="108" t="str">
        <f>IF(B828="","",IF(G828="DECISÃO D.P","EM DECISÃO",IF(G828="","SEM STATUS",IF(M828="","SEM DATA",IF(M828&lt;0,"VENCIDO",IF(M828&lt;=DiasAlerta,"VENCE EM BREVE","NO PRAZO"))))))</f>
        <v/>
      </c>
      <c r="O828" s="109" t="str">
        <f>IF(D828="","",TODAY()-D828)</f>
        <v/>
      </c>
      <c r="P828" s="102" t="n"/>
    </row>
    <row r="829" ht="18" customHeight="1">
      <c r="A829" s="101" t="n"/>
      <c r="B829" s="102" t="n"/>
      <c r="C829" s="102" t="n"/>
      <c r="D829" s="103" t="n"/>
      <c r="E829" s="102" t="n"/>
      <c r="F829" s="104" t="n"/>
      <c r="G829" s="104" t="n"/>
      <c r="H829" s="102" t="n"/>
      <c r="I829" s="105" t="n"/>
      <c r="J829" s="105" t="n"/>
      <c r="K829" s="103" t="n"/>
      <c r="L829" s="106" t="str">
        <f>IF(OR(D829="",E829=""),"",D829+IF(E829="NOTIFICAÇÃO DE CONSTATAÇÃO",PrazoConst,PrazoEsc))</f>
        <v/>
      </c>
      <c r="M829" s="107" t="str">
        <f>IF(L829="","",L829-TODAY())</f>
        <v/>
      </c>
      <c r="N829" s="108" t="str">
        <f>IF(B829="","",IF(G829="DECISÃO D.P","EM DECISÃO",IF(G829="","SEM STATUS",IF(M829="","SEM DATA",IF(M829&lt;0,"VENCIDO",IF(M829&lt;=DiasAlerta,"VENCE EM BREVE","NO PRAZO"))))))</f>
        <v/>
      </c>
      <c r="O829" s="109" t="str">
        <f>IF(D829="","",TODAY()-D829)</f>
        <v/>
      </c>
      <c r="P829" s="102" t="n"/>
    </row>
    <row r="830" ht="18" customHeight="1">
      <c r="A830" s="101" t="n"/>
      <c r="B830" s="102" t="n"/>
      <c r="C830" s="102" t="n"/>
      <c r="D830" s="103" t="n"/>
      <c r="E830" s="102" t="n"/>
      <c r="F830" s="104" t="n"/>
      <c r="G830" s="104" t="n"/>
      <c r="H830" s="102" t="n"/>
      <c r="I830" s="105" t="n"/>
      <c r="J830" s="105" t="n"/>
      <c r="K830" s="103" t="n"/>
      <c r="L830" s="106" t="str">
        <f>IF(OR(D830="",E830=""),"",D830+IF(E830="NOTIFICAÇÃO DE CONSTATAÇÃO",PrazoConst,PrazoEsc))</f>
        <v/>
      </c>
      <c r="M830" s="107" t="str">
        <f>IF(L830="","",L830-TODAY())</f>
        <v/>
      </c>
      <c r="N830" s="108" t="str">
        <f>IF(B830="","",IF(G830="DECISÃO D.P","EM DECISÃO",IF(G830="","SEM STATUS",IF(M830="","SEM DATA",IF(M830&lt;0,"VENCIDO",IF(M830&lt;=DiasAlerta,"VENCE EM BREVE","NO PRAZO"))))))</f>
        <v/>
      </c>
      <c r="O830" s="109" t="str">
        <f>IF(D830="","",TODAY()-D830)</f>
        <v/>
      </c>
      <c r="P830" s="102" t="n"/>
    </row>
    <row r="831" ht="18" customHeight="1">
      <c r="A831" s="101" t="n"/>
      <c r="B831" s="102" t="n"/>
      <c r="C831" s="102" t="n"/>
      <c r="D831" s="103" t="n"/>
      <c r="E831" s="102" t="n"/>
      <c r="F831" s="104" t="n"/>
      <c r="G831" s="104" t="n"/>
      <c r="H831" s="102" t="n"/>
      <c r="I831" s="105" t="n"/>
      <c r="J831" s="105" t="n"/>
      <c r="K831" s="103" t="n"/>
      <c r="L831" s="106" t="str">
        <f>IF(OR(D831="",E831=""),"",D831+IF(E831="NOTIFICAÇÃO DE CONSTATAÇÃO",PrazoConst,PrazoEsc))</f>
        <v/>
      </c>
      <c r="M831" s="107" t="str">
        <f>IF(L831="","",L831-TODAY())</f>
        <v/>
      </c>
      <c r="N831" s="108" t="str">
        <f>IF(B831="","",IF(G831="DECISÃO D.P","EM DECISÃO",IF(G831="","SEM STATUS",IF(M831="","SEM DATA",IF(M831&lt;0,"VENCIDO",IF(M831&lt;=DiasAlerta,"VENCE EM BREVE","NO PRAZO"))))))</f>
        <v/>
      </c>
      <c r="O831" s="109" t="str">
        <f>IF(D831="","",TODAY()-D831)</f>
        <v/>
      </c>
      <c r="P831" s="102" t="n"/>
    </row>
    <row r="832" ht="18" customHeight="1">
      <c r="A832" s="101" t="n"/>
      <c r="B832" s="102" t="n"/>
      <c r="C832" s="102" t="n"/>
      <c r="D832" s="103" t="n"/>
      <c r="E832" s="102" t="n"/>
      <c r="F832" s="104" t="n"/>
      <c r="G832" s="104" t="n"/>
      <c r="H832" s="102" t="n"/>
      <c r="I832" s="105" t="n"/>
      <c r="J832" s="105" t="n"/>
      <c r="K832" s="103" t="n"/>
      <c r="L832" s="106" t="str">
        <f>IF(OR(D832="",E832=""),"",D832+IF(E832="NOTIFICAÇÃO DE CONSTATAÇÃO",PrazoConst,PrazoEsc))</f>
        <v/>
      </c>
      <c r="M832" s="107" t="str">
        <f>IF(L832="","",L832-TODAY())</f>
        <v/>
      </c>
      <c r="N832" s="108" t="str">
        <f>IF(B832="","",IF(G832="DECISÃO D.P","EM DECISÃO",IF(G832="","SEM STATUS",IF(M832="","SEM DATA",IF(M832&lt;0,"VENCIDO",IF(M832&lt;=DiasAlerta,"VENCE EM BREVE","NO PRAZO"))))))</f>
        <v/>
      </c>
      <c r="O832" s="109" t="str">
        <f>IF(D832="","",TODAY()-D832)</f>
        <v/>
      </c>
      <c r="P832" s="102" t="n"/>
    </row>
    <row r="833" ht="18" customHeight="1">
      <c r="A833" s="101" t="n"/>
      <c r="B833" s="102" t="n"/>
      <c r="C833" s="102" t="n"/>
      <c r="D833" s="103" t="n"/>
      <c r="E833" s="102" t="n"/>
      <c r="F833" s="104" t="n"/>
      <c r="G833" s="104" t="n"/>
      <c r="H833" s="102" t="n"/>
      <c r="I833" s="105" t="n"/>
      <c r="J833" s="105" t="n"/>
      <c r="K833" s="103" t="n"/>
      <c r="L833" s="106" t="str">
        <f>IF(OR(D833="",E833=""),"",D833+IF(E833="NOTIFICAÇÃO DE CONSTATAÇÃO",PrazoConst,PrazoEsc))</f>
        <v/>
      </c>
      <c r="M833" s="107" t="str">
        <f>IF(L833="","",L833-TODAY())</f>
        <v/>
      </c>
      <c r="N833" s="108" t="str">
        <f>IF(B833="","",IF(G833="DECISÃO D.P","EM DECISÃO",IF(G833="","SEM STATUS",IF(M833="","SEM DATA",IF(M833&lt;0,"VENCIDO",IF(M833&lt;=DiasAlerta,"VENCE EM BREVE","NO PRAZO"))))))</f>
        <v/>
      </c>
      <c r="O833" s="109" t="str">
        <f>IF(D833="","",TODAY()-D833)</f>
        <v/>
      </c>
      <c r="P833" s="102" t="n"/>
    </row>
    <row r="834" ht="18" customHeight="1">
      <c r="A834" s="101" t="n"/>
      <c r="B834" s="102" t="n"/>
      <c r="C834" s="102" t="n"/>
      <c r="D834" s="103" t="n"/>
      <c r="E834" s="102" t="n"/>
      <c r="F834" s="104" t="n"/>
      <c r="G834" s="104" t="n"/>
      <c r="H834" s="102" t="n"/>
      <c r="I834" s="105" t="n"/>
      <c r="J834" s="105" t="n"/>
      <c r="K834" s="103" t="n"/>
      <c r="L834" s="106" t="str">
        <f>IF(OR(D834="",E834=""),"",D834+IF(E834="NOTIFICAÇÃO DE CONSTATAÇÃO",PrazoConst,PrazoEsc))</f>
        <v/>
      </c>
      <c r="M834" s="107" t="str">
        <f>IF(L834="","",L834-TODAY())</f>
        <v/>
      </c>
      <c r="N834" s="108" t="str">
        <f>IF(B834="","",IF(G834="DECISÃO D.P","EM DECISÃO",IF(G834="","SEM STATUS",IF(M834="","SEM DATA",IF(M834&lt;0,"VENCIDO",IF(M834&lt;=DiasAlerta,"VENCE EM BREVE","NO PRAZO"))))))</f>
        <v/>
      </c>
      <c r="O834" s="109" t="str">
        <f>IF(D834="","",TODAY()-D834)</f>
        <v/>
      </c>
      <c r="P834" s="102" t="n"/>
    </row>
    <row r="835" ht="18" customHeight="1">
      <c r="A835" s="101" t="n"/>
      <c r="B835" s="102" t="n"/>
      <c r="C835" s="102" t="n"/>
      <c r="D835" s="103" t="n"/>
      <c r="E835" s="102" t="n"/>
      <c r="F835" s="104" t="n"/>
      <c r="G835" s="104" t="n"/>
      <c r="H835" s="102" t="n"/>
      <c r="I835" s="105" t="n"/>
      <c r="J835" s="105" t="n"/>
      <c r="K835" s="103" t="n"/>
      <c r="L835" s="106" t="str">
        <f>IF(OR(D835="",E835=""),"",D835+IF(E835="NOTIFICAÇÃO DE CONSTATAÇÃO",PrazoConst,PrazoEsc))</f>
        <v/>
      </c>
      <c r="M835" s="107" t="str">
        <f>IF(L835="","",L835-TODAY())</f>
        <v/>
      </c>
      <c r="N835" s="108" t="str">
        <f>IF(B835="","",IF(G835="DECISÃO D.P","EM DECISÃO",IF(G835="","SEM STATUS",IF(M835="","SEM DATA",IF(M835&lt;0,"VENCIDO",IF(M835&lt;=DiasAlerta,"VENCE EM BREVE","NO PRAZO"))))))</f>
        <v/>
      </c>
      <c r="O835" s="109" t="str">
        <f>IF(D835="","",TODAY()-D835)</f>
        <v/>
      </c>
      <c r="P835" s="102" t="n"/>
    </row>
    <row r="836" ht="18" customHeight="1">
      <c r="A836" s="101" t="n"/>
      <c r="B836" s="102" t="n"/>
      <c r="C836" s="102" t="n"/>
      <c r="D836" s="103" t="n"/>
      <c r="E836" s="102" t="n"/>
      <c r="F836" s="104" t="n"/>
      <c r="G836" s="104" t="n"/>
      <c r="H836" s="102" t="n"/>
      <c r="I836" s="105" t="n"/>
      <c r="J836" s="105" t="n"/>
      <c r="K836" s="103" t="n"/>
      <c r="L836" s="106" t="str">
        <f>IF(OR(D836="",E836=""),"",D836+IF(E836="NOTIFICAÇÃO DE CONSTATAÇÃO",PrazoConst,PrazoEsc))</f>
        <v/>
      </c>
      <c r="M836" s="107" t="str">
        <f>IF(L836="","",L836-TODAY())</f>
        <v/>
      </c>
      <c r="N836" s="108" t="str">
        <f>IF(B836="","",IF(G836="DECISÃO D.P","EM DECISÃO",IF(G836="","SEM STATUS",IF(M836="","SEM DATA",IF(M836&lt;0,"VENCIDO",IF(M836&lt;=DiasAlerta,"VENCE EM BREVE","NO PRAZO"))))))</f>
        <v/>
      </c>
      <c r="O836" s="109" t="str">
        <f>IF(D836="","",TODAY()-D836)</f>
        <v/>
      </c>
      <c r="P836" s="102" t="n"/>
    </row>
    <row r="837" ht="18" customHeight="1">
      <c r="A837" s="101" t="n"/>
      <c r="B837" s="102" t="n"/>
      <c r="C837" s="102" t="n"/>
      <c r="D837" s="103" t="n"/>
      <c r="E837" s="102" t="n"/>
      <c r="F837" s="104" t="n"/>
      <c r="G837" s="104" t="n"/>
      <c r="H837" s="102" t="n"/>
      <c r="I837" s="105" t="n"/>
      <c r="J837" s="105" t="n"/>
      <c r="K837" s="103" t="n"/>
      <c r="L837" s="106" t="str">
        <f>IF(OR(D837="",E837=""),"",D837+IF(E837="NOTIFICAÇÃO DE CONSTATAÇÃO",PrazoConst,PrazoEsc))</f>
        <v/>
      </c>
      <c r="M837" s="107" t="str">
        <f>IF(L837="","",L837-TODAY())</f>
        <v/>
      </c>
      <c r="N837" s="108" t="str">
        <f>IF(B837="","",IF(G837="DECISÃO D.P","EM DECISÃO",IF(G837="","SEM STATUS",IF(M837="","SEM DATA",IF(M837&lt;0,"VENCIDO",IF(M837&lt;=DiasAlerta,"VENCE EM BREVE","NO PRAZO"))))))</f>
        <v/>
      </c>
      <c r="O837" s="109" t="str">
        <f>IF(D837="","",TODAY()-D837)</f>
        <v/>
      </c>
      <c r="P837" s="102" t="n"/>
    </row>
    <row r="838" ht="18" customHeight="1">
      <c r="A838" s="101" t="n"/>
      <c r="B838" s="102" t="n"/>
      <c r="C838" s="102" t="n"/>
      <c r="D838" s="103" t="n"/>
      <c r="E838" s="102" t="n"/>
      <c r="F838" s="104" t="n"/>
      <c r="G838" s="104" t="n"/>
      <c r="H838" s="102" t="n"/>
      <c r="I838" s="105" t="n"/>
      <c r="J838" s="105" t="n"/>
      <c r="K838" s="103" t="n"/>
      <c r="L838" s="106" t="str">
        <f>IF(OR(D838="",E838=""),"",D838+IF(E838="NOTIFICAÇÃO DE CONSTATAÇÃO",PrazoConst,PrazoEsc))</f>
        <v/>
      </c>
      <c r="M838" s="107" t="str">
        <f>IF(L838="","",L838-TODAY())</f>
        <v/>
      </c>
      <c r="N838" s="108" t="str">
        <f>IF(B838="","",IF(G838="DECISÃO D.P","EM DECISÃO",IF(G838="","SEM STATUS",IF(M838="","SEM DATA",IF(M838&lt;0,"VENCIDO",IF(M838&lt;=DiasAlerta,"VENCE EM BREVE","NO PRAZO"))))))</f>
        <v/>
      </c>
      <c r="O838" s="109" t="str">
        <f>IF(D838="","",TODAY()-D838)</f>
        <v/>
      </c>
      <c r="P838" s="102" t="n"/>
    </row>
    <row r="839" ht="18" customHeight="1">
      <c r="A839" s="101" t="n"/>
      <c r="B839" s="102" t="n"/>
      <c r="C839" s="102" t="n"/>
      <c r="D839" s="103" t="n"/>
      <c r="E839" s="102" t="n"/>
      <c r="F839" s="104" t="n"/>
      <c r="G839" s="104" t="n"/>
      <c r="H839" s="102" t="n"/>
      <c r="I839" s="105" t="n"/>
      <c r="J839" s="105" t="n"/>
      <c r="K839" s="103" t="n"/>
      <c r="L839" s="106" t="str">
        <f>IF(OR(D839="",E839=""),"",D839+IF(E839="NOTIFICAÇÃO DE CONSTATAÇÃO",PrazoConst,PrazoEsc))</f>
        <v/>
      </c>
      <c r="M839" s="107" t="str">
        <f>IF(L839="","",L839-TODAY())</f>
        <v/>
      </c>
      <c r="N839" s="108" t="str">
        <f>IF(B839="","",IF(G839="DECISÃO D.P","EM DECISÃO",IF(G839="","SEM STATUS",IF(M839="","SEM DATA",IF(M839&lt;0,"VENCIDO",IF(M839&lt;=DiasAlerta,"VENCE EM BREVE","NO PRAZO"))))))</f>
        <v/>
      </c>
      <c r="O839" s="109" t="str">
        <f>IF(D839="","",TODAY()-D839)</f>
        <v/>
      </c>
      <c r="P839" s="102" t="n"/>
    </row>
    <row r="840" ht="18" customHeight="1">
      <c r="A840" s="101" t="n"/>
      <c r="B840" s="102" t="n"/>
      <c r="C840" s="102" t="n"/>
      <c r="D840" s="103" t="n"/>
      <c r="E840" s="102" t="n"/>
      <c r="F840" s="104" t="n"/>
      <c r="G840" s="104" t="n"/>
      <c r="H840" s="102" t="n"/>
      <c r="I840" s="105" t="n"/>
      <c r="J840" s="105" t="n"/>
      <c r="K840" s="103" t="n"/>
      <c r="L840" s="106" t="str">
        <f>IF(OR(D840="",E840=""),"",D840+IF(E840="NOTIFICAÇÃO DE CONSTATAÇÃO",PrazoConst,PrazoEsc))</f>
        <v/>
      </c>
      <c r="M840" s="107" t="str">
        <f>IF(L840="","",L840-TODAY())</f>
        <v/>
      </c>
      <c r="N840" s="108" t="str">
        <f>IF(B840="","",IF(G840="DECISÃO D.P","EM DECISÃO",IF(G840="","SEM STATUS",IF(M840="","SEM DATA",IF(M840&lt;0,"VENCIDO",IF(M840&lt;=DiasAlerta,"VENCE EM BREVE","NO PRAZO"))))))</f>
        <v/>
      </c>
      <c r="O840" s="109" t="str">
        <f>IF(D840="","",TODAY()-D840)</f>
        <v/>
      </c>
      <c r="P840" s="102" t="n"/>
    </row>
    <row r="841" ht="18" customHeight="1">
      <c r="A841" s="101" t="n"/>
      <c r="B841" s="102" t="n"/>
      <c r="C841" s="102" t="n"/>
      <c r="D841" s="103" t="n"/>
      <c r="E841" s="102" t="n"/>
      <c r="F841" s="104" t="n"/>
      <c r="G841" s="104" t="n"/>
      <c r="H841" s="102" t="n"/>
      <c r="I841" s="105" t="n"/>
      <c r="J841" s="105" t="n"/>
      <c r="K841" s="103" t="n"/>
      <c r="L841" s="106" t="str">
        <f>IF(OR(D841="",E841=""),"",D841+IF(E841="NOTIFICAÇÃO DE CONSTATAÇÃO",PrazoConst,PrazoEsc))</f>
        <v/>
      </c>
      <c r="M841" s="107" t="str">
        <f>IF(L841="","",L841-TODAY())</f>
        <v/>
      </c>
      <c r="N841" s="108" t="str">
        <f>IF(B841="","",IF(G841="DECISÃO D.P","EM DECISÃO",IF(G841="","SEM STATUS",IF(M841="","SEM DATA",IF(M841&lt;0,"VENCIDO",IF(M841&lt;=DiasAlerta,"VENCE EM BREVE","NO PRAZO"))))))</f>
        <v/>
      </c>
      <c r="O841" s="109" t="str">
        <f>IF(D841="","",TODAY()-D841)</f>
        <v/>
      </c>
      <c r="P841" s="102" t="n"/>
    </row>
    <row r="842" ht="18" customHeight="1">
      <c r="A842" s="101" t="n"/>
      <c r="B842" s="102" t="n"/>
      <c r="C842" s="102" t="n"/>
      <c r="D842" s="103" t="n"/>
      <c r="E842" s="102" t="n"/>
      <c r="F842" s="104" t="n"/>
      <c r="G842" s="104" t="n"/>
      <c r="H842" s="102" t="n"/>
      <c r="I842" s="105" t="n"/>
      <c r="J842" s="105" t="n"/>
      <c r="K842" s="103" t="n"/>
      <c r="L842" s="106" t="str">
        <f>IF(OR(D842="",E842=""),"",D842+IF(E842="NOTIFICAÇÃO DE CONSTATAÇÃO",PrazoConst,PrazoEsc))</f>
        <v/>
      </c>
      <c r="M842" s="107" t="str">
        <f>IF(L842="","",L842-TODAY())</f>
        <v/>
      </c>
      <c r="N842" s="108" t="str">
        <f>IF(B842="","",IF(G842="DECISÃO D.P","EM DECISÃO",IF(G842="","SEM STATUS",IF(M842="","SEM DATA",IF(M842&lt;0,"VENCIDO",IF(M842&lt;=DiasAlerta,"VENCE EM BREVE","NO PRAZO"))))))</f>
        <v/>
      </c>
      <c r="O842" s="109" t="str">
        <f>IF(D842="","",TODAY()-D842)</f>
        <v/>
      </c>
      <c r="P842" s="102" t="n"/>
    </row>
    <row r="843" ht="18" customHeight="1">
      <c r="A843" s="101" t="n"/>
      <c r="B843" s="102" t="n"/>
      <c r="C843" s="102" t="n"/>
      <c r="D843" s="103" t="n"/>
      <c r="E843" s="102" t="n"/>
      <c r="F843" s="104" t="n"/>
      <c r="G843" s="104" t="n"/>
      <c r="H843" s="102" t="n"/>
      <c r="I843" s="105" t="n"/>
      <c r="J843" s="105" t="n"/>
      <c r="K843" s="103" t="n"/>
      <c r="L843" s="106" t="str">
        <f>IF(OR(D843="",E843=""),"",D843+IF(E843="NOTIFICAÇÃO DE CONSTATAÇÃO",PrazoConst,PrazoEsc))</f>
        <v/>
      </c>
      <c r="M843" s="107" t="str">
        <f>IF(L843="","",L843-TODAY())</f>
        <v/>
      </c>
      <c r="N843" s="108" t="str">
        <f>IF(B843="","",IF(G843="DECISÃO D.P","EM DECISÃO",IF(G843="","SEM STATUS",IF(M843="","SEM DATA",IF(M843&lt;0,"VENCIDO",IF(M843&lt;=DiasAlerta,"VENCE EM BREVE","NO PRAZO"))))))</f>
        <v/>
      </c>
      <c r="O843" s="109" t="str">
        <f>IF(D843="","",TODAY()-D843)</f>
        <v/>
      </c>
      <c r="P843" s="102" t="n"/>
    </row>
    <row r="844" ht="18" customHeight="1">
      <c r="A844" s="101" t="n"/>
      <c r="B844" s="102" t="n"/>
      <c r="C844" s="102" t="n"/>
      <c r="D844" s="103" t="n"/>
      <c r="E844" s="102" t="n"/>
      <c r="F844" s="104" t="n"/>
      <c r="G844" s="104" t="n"/>
      <c r="H844" s="102" t="n"/>
      <c r="I844" s="105" t="n"/>
      <c r="J844" s="105" t="n"/>
      <c r="K844" s="103" t="n"/>
      <c r="L844" s="106" t="str">
        <f>IF(OR(D844="",E844=""),"",D844+IF(E844="NOTIFICAÇÃO DE CONSTATAÇÃO",PrazoConst,PrazoEsc))</f>
        <v/>
      </c>
      <c r="M844" s="107" t="str">
        <f>IF(L844="","",L844-TODAY())</f>
        <v/>
      </c>
      <c r="N844" s="108" t="str">
        <f>IF(B844="","",IF(G844="DECISÃO D.P","EM DECISÃO",IF(G844="","SEM STATUS",IF(M844="","SEM DATA",IF(M844&lt;0,"VENCIDO",IF(M844&lt;=DiasAlerta,"VENCE EM BREVE","NO PRAZO"))))))</f>
        <v/>
      </c>
      <c r="O844" s="109" t="str">
        <f>IF(D844="","",TODAY()-D844)</f>
        <v/>
      </c>
      <c r="P844" s="102" t="n"/>
    </row>
    <row r="845" ht="18" customHeight="1">
      <c r="A845" s="101" t="n"/>
      <c r="B845" s="102" t="n"/>
      <c r="C845" s="102" t="n"/>
      <c r="D845" s="103" t="n"/>
      <c r="E845" s="102" t="n"/>
      <c r="F845" s="104" t="n"/>
      <c r="G845" s="104" t="n"/>
      <c r="H845" s="102" t="n"/>
      <c r="I845" s="105" t="n"/>
      <c r="J845" s="105" t="n"/>
      <c r="K845" s="103" t="n"/>
      <c r="L845" s="106" t="str">
        <f>IF(OR(D845="",E845=""),"",D845+IF(E845="NOTIFICAÇÃO DE CONSTATAÇÃO",PrazoConst,PrazoEsc))</f>
        <v/>
      </c>
      <c r="M845" s="107" t="str">
        <f>IF(L845="","",L845-TODAY())</f>
        <v/>
      </c>
      <c r="N845" s="108" t="str">
        <f>IF(B845="","",IF(G845="DECISÃO D.P","EM DECISÃO",IF(G845="","SEM STATUS",IF(M845="","SEM DATA",IF(M845&lt;0,"VENCIDO",IF(M845&lt;=DiasAlerta,"VENCE EM BREVE","NO PRAZO"))))))</f>
        <v/>
      </c>
      <c r="O845" s="109" t="str">
        <f>IF(D845="","",TODAY()-D845)</f>
        <v/>
      </c>
      <c r="P845" s="102" t="n"/>
    </row>
    <row r="846" ht="18" customHeight="1">
      <c r="A846" s="101" t="n"/>
      <c r="B846" s="102" t="n"/>
      <c r="C846" s="102" t="n"/>
      <c r="D846" s="103" t="n"/>
      <c r="E846" s="102" t="n"/>
      <c r="F846" s="104" t="n"/>
      <c r="G846" s="104" t="n"/>
      <c r="H846" s="102" t="n"/>
      <c r="I846" s="105" t="n"/>
      <c r="J846" s="105" t="n"/>
      <c r="K846" s="103" t="n"/>
      <c r="L846" s="106" t="str">
        <f>IF(OR(D846="",E846=""),"",D846+IF(E846="NOTIFICAÇÃO DE CONSTATAÇÃO",PrazoConst,PrazoEsc))</f>
        <v/>
      </c>
      <c r="M846" s="107" t="str">
        <f>IF(L846="","",L846-TODAY())</f>
        <v/>
      </c>
      <c r="N846" s="108" t="str">
        <f>IF(B846="","",IF(G846="DECISÃO D.P","EM DECISÃO",IF(G846="","SEM STATUS",IF(M846="","SEM DATA",IF(M846&lt;0,"VENCIDO",IF(M846&lt;=DiasAlerta,"VENCE EM BREVE","NO PRAZO"))))))</f>
        <v/>
      </c>
      <c r="O846" s="109" t="str">
        <f>IF(D846="","",TODAY()-D846)</f>
        <v/>
      </c>
      <c r="P846" s="102" t="n"/>
    </row>
    <row r="847" ht="18" customHeight="1">
      <c r="A847" s="101" t="n"/>
      <c r="B847" s="102" t="n"/>
      <c r="C847" s="102" t="n"/>
      <c r="D847" s="103" t="n"/>
      <c r="E847" s="102" t="n"/>
      <c r="F847" s="104" t="n"/>
      <c r="G847" s="104" t="n"/>
      <c r="H847" s="102" t="n"/>
      <c r="I847" s="105" t="n"/>
      <c r="J847" s="105" t="n"/>
      <c r="K847" s="103" t="n"/>
      <c r="L847" s="106" t="str">
        <f>IF(OR(D847="",E847=""),"",D847+IF(E847="NOTIFICAÇÃO DE CONSTATAÇÃO",PrazoConst,PrazoEsc))</f>
        <v/>
      </c>
      <c r="M847" s="107" t="str">
        <f>IF(L847="","",L847-TODAY())</f>
        <v/>
      </c>
      <c r="N847" s="108" t="str">
        <f>IF(B847="","",IF(G847="DECISÃO D.P","EM DECISÃO",IF(G847="","SEM STATUS",IF(M847="","SEM DATA",IF(M847&lt;0,"VENCIDO",IF(M847&lt;=DiasAlerta,"VENCE EM BREVE","NO PRAZO"))))))</f>
        <v/>
      </c>
      <c r="O847" s="109" t="str">
        <f>IF(D847="","",TODAY()-D847)</f>
        <v/>
      </c>
      <c r="P847" s="102" t="n"/>
    </row>
    <row r="848" ht="18" customHeight="1">
      <c r="A848" s="101" t="n"/>
      <c r="B848" s="102" t="n"/>
      <c r="C848" s="102" t="n"/>
      <c r="D848" s="103" t="n"/>
      <c r="E848" s="102" t="n"/>
      <c r="F848" s="104" t="n"/>
      <c r="G848" s="104" t="n"/>
      <c r="H848" s="102" t="n"/>
      <c r="I848" s="105" t="n"/>
      <c r="J848" s="105" t="n"/>
      <c r="K848" s="103" t="n"/>
      <c r="L848" s="106" t="str">
        <f>IF(OR(D848="",E848=""),"",D848+IF(E848="NOTIFICAÇÃO DE CONSTATAÇÃO",PrazoConst,PrazoEsc))</f>
        <v/>
      </c>
      <c r="M848" s="107" t="str">
        <f>IF(L848="","",L848-TODAY())</f>
        <v/>
      </c>
      <c r="N848" s="108" t="str">
        <f>IF(B848="","",IF(G848="DECISÃO D.P","EM DECISÃO",IF(G848="","SEM STATUS",IF(M848="","SEM DATA",IF(M848&lt;0,"VENCIDO",IF(M848&lt;=DiasAlerta,"VENCE EM BREVE","NO PRAZO"))))))</f>
        <v/>
      </c>
      <c r="O848" s="109" t="str">
        <f>IF(D848="","",TODAY()-D848)</f>
        <v/>
      </c>
      <c r="P848" s="102" t="n"/>
    </row>
    <row r="849" ht="18" customHeight="1">
      <c r="A849" s="101" t="n"/>
      <c r="B849" s="102" t="n"/>
      <c r="C849" s="102" t="n"/>
      <c r="D849" s="103" t="n"/>
      <c r="E849" s="102" t="n"/>
      <c r="F849" s="104" t="n"/>
      <c r="G849" s="104" t="n"/>
      <c r="H849" s="102" t="n"/>
      <c r="I849" s="105" t="n"/>
      <c r="J849" s="105" t="n"/>
      <c r="K849" s="103" t="n"/>
      <c r="L849" s="106" t="str">
        <f>IF(OR(D849="",E849=""),"",D849+IF(E849="NOTIFICAÇÃO DE CONSTATAÇÃO",PrazoConst,PrazoEsc))</f>
        <v/>
      </c>
      <c r="M849" s="107" t="str">
        <f>IF(L849="","",L849-TODAY())</f>
        <v/>
      </c>
      <c r="N849" s="108" t="str">
        <f>IF(B849="","",IF(G849="DECISÃO D.P","EM DECISÃO",IF(G849="","SEM STATUS",IF(M849="","SEM DATA",IF(M849&lt;0,"VENCIDO",IF(M849&lt;=DiasAlerta,"VENCE EM BREVE","NO PRAZO"))))))</f>
        <v/>
      </c>
      <c r="O849" s="109" t="str">
        <f>IF(D849="","",TODAY()-D849)</f>
        <v/>
      </c>
      <c r="P849" s="102" t="n"/>
    </row>
    <row r="850" ht="18" customHeight="1">
      <c r="A850" s="101" t="n"/>
      <c r="B850" s="102" t="n"/>
      <c r="C850" s="102" t="n"/>
      <c r="D850" s="103" t="n"/>
      <c r="E850" s="102" t="n"/>
      <c r="F850" s="104" t="n"/>
      <c r="G850" s="104" t="n"/>
      <c r="H850" s="102" t="n"/>
      <c r="I850" s="105" t="n"/>
      <c r="J850" s="105" t="n"/>
      <c r="K850" s="103" t="n"/>
      <c r="L850" s="106" t="str">
        <f>IF(OR(D850="",E850=""),"",D850+IF(E850="NOTIFICAÇÃO DE CONSTATAÇÃO",PrazoConst,PrazoEsc))</f>
        <v/>
      </c>
      <c r="M850" s="107" t="str">
        <f>IF(L850="","",L850-TODAY())</f>
        <v/>
      </c>
      <c r="N850" s="108" t="str">
        <f>IF(B850="","",IF(G850="DECISÃO D.P","EM DECISÃO",IF(G850="","SEM STATUS",IF(M850="","SEM DATA",IF(M850&lt;0,"VENCIDO",IF(M850&lt;=DiasAlerta,"VENCE EM BREVE","NO PRAZO"))))))</f>
        <v/>
      </c>
      <c r="O850" s="109" t="str">
        <f>IF(D850="","",TODAY()-D850)</f>
        <v/>
      </c>
      <c r="P850" s="102" t="n"/>
    </row>
    <row r="851" ht="18" customHeight="1">
      <c r="A851" s="101" t="n"/>
      <c r="B851" s="102" t="n"/>
      <c r="C851" s="102" t="n"/>
      <c r="D851" s="103" t="n"/>
      <c r="E851" s="102" t="n"/>
      <c r="F851" s="104" t="n"/>
      <c r="G851" s="104" t="n"/>
      <c r="H851" s="102" t="n"/>
      <c r="I851" s="105" t="n"/>
      <c r="J851" s="105" t="n"/>
      <c r="K851" s="103" t="n"/>
      <c r="L851" s="106" t="str">
        <f>IF(OR(D851="",E851=""),"",D851+IF(E851="NOTIFICAÇÃO DE CONSTATAÇÃO",PrazoConst,PrazoEsc))</f>
        <v/>
      </c>
      <c r="M851" s="107" t="str">
        <f>IF(L851="","",L851-TODAY())</f>
        <v/>
      </c>
      <c r="N851" s="108" t="str">
        <f>IF(B851="","",IF(G851="DECISÃO D.P","EM DECISÃO",IF(G851="","SEM STATUS",IF(M851="","SEM DATA",IF(M851&lt;0,"VENCIDO",IF(M851&lt;=DiasAlerta,"VENCE EM BREVE","NO PRAZO"))))))</f>
        <v/>
      </c>
      <c r="O851" s="109" t="str">
        <f>IF(D851="","",TODAY()-D851)</f>
        <v/>
      </c>
      <c r="P851" s="102" t="n"/>
    </row>
    <row r="852" ht="18" customHeight="1">
      <c r="A852" s="101" t="n"/>
      <c r="B852" s="102" t="n"/>
      <c r="C852" s="102" t="n"/>
      <c r="D852" s="103" t="n"/>
      <c r="E852" s="102" t="n"/>
      <c r="F852" s="104" t="n"/>
      <c r="G852" s="104" t="n"/>
      <c r="H852" s="102" t="n"/>
      <c r="I852" s="105" t="n"/>
      <c r="J852" s="105" t="n"/>
      <c r="K852" s="103" t="n"/>
      <c r="L852" s="106" t="str">
        <f>IF(OR(D852="",E852=""),"",D852+IF(E852="NOTIFICAÇÃO DE CONSTATAÇÃO",PrazoConst,PrazoEsc))</f>
        <v/>
      </c>
      <c r="M852" s="107" t="str">
        <f>IF(L852="","",L852-TODAY())</f>
        <v/>
      </c>
      <c r="N852" s="108" t="str">
        <f>IF(B852="","",IF(G852="DECISÃO D.P","EM DECISÃO",IF(G852="","SEM STATUS",IF(M852="","SEM DATA",IF(M852&lt;0,"VENCIDO",IF(M852&lt;=DiasAlerta,"VENCE EM BREVE","NO PRAZO"))))))</f>
        <v/>
      </c>
      <c r="O852" s="109" t="str">
        <f>IF(D852="","",TODAY()-D852)</f>
        <v/>
      </c>
      <c r="P852" s="102" t="n"/>
    </row>
    <row r="853" ht="18" customHeight="1">
      <c r="A853" s="101" t="n"/>
      <c r="B853" s="102" t="n"/>
      <c r="C853" s="102" t="n"/>
      <c r="D853" s="103" t="n"/>
      <c r="E853" s="102" t="n"/>
      <c r="F853" s="104" t="n"/>
      <c r="G853" s="104" t="n"/>
      <c r="H853" s="102" t="n"/>
      <c r="I853" s="105" t="n"/>
      <c r="J853" s="105" t="n"/>
      <c r="K853" s="103" t="n"/>
      <c r="L853" s="106" t="str">
        <f>IF(OR(D853="",E853=""),"",D853+IF(E853="NOTIFICAÇÃO DE CONSTATAÇÃO",PrazoConst,PrazoEsc))</f>
        <v/>
      </c>
      <c r="M853" s="107" t="str">
        <f>IF(L853="","",L853-TODAY())</f>
        <v/>
      </c>
      <c r="N853" s="108" t="str">
        <f>IF(B853="","",IF(G853="DECISÃO D.P","EM DECISÃO",IF(G853="","SEM STATUS",IF(M853="","SEM DATA",IF(M853&lt;0,"VENCIDO",IF(M853&lt;=DiasAlerta,"VENCE EM BREVE","NO PRAZO"))))))</f>
        <v/>
      </c>
      <c r="O853" s="109" t="str">
        <f>IF(D853="","",TODAY()-D853)</f>
        <v/>
      </c>
      <c r="P853" s="102" t="n"/>
    </row>
    <row r="854" ht="18" customHeight="1">
      <c r="A854" s="101" t="n"/>
      <c r="B854" s="102" t="n"/>
      <c r="C854" s="102" t="n"/>
      <c r="D854" s="103" t="n"/>
      <c r="E854" s="102" t="n"/>
      <c r="F854" s="104" t="n"/>
      <c r="G854" s="104" t="n"/>
      <c r="H854" s="102" t="n"/>
      <c r="I854" s="105" t="n"/>
      <c r="J854" s="105" t="n"/>
      <c r="K854" s="103" t="n"/>
      <c r="L854" s="106" t="str">
        <f>IF(OR(D854="",E854=""),"",D854+IF(E854="NOTIFICAÇÃO DE CONSTATAÇÃO",PrazoConst,PrazoEsc))</f>
        <v/>
      </c>
      <c r="M854" s="107" t="str">
        <f>IF(L854="","",L854-TODAY())</f>
        <v/>
      </c>
      <c r="N854" s="108" t="str">
        <f>IF(B854="","",IF(G854="DECISÃO D.P","EM DECISÃO",IF(G854="","SEM STATUS",IF(M854="","SEM DATA",IF(M854&lt;0,"VENCIDO",IF(M854&lt;=DiasAlerta,"VENCE EM BREVE","NO PRAZO"))))))</f>
        <v/>
      </c>
      <c r="O854" s="109" t="str">
        <f>IF(D854="","",TODAY()-D854)</f>
        <v/>
      </c>
      <c r="P854" s="102" t="n"/>
    </row>
    <row r="855" ht="18" customHeight="1">
      <c r="A855" s="101" t="n"/>
      <c r="B855" s="102" t="n"/>
      <c r="C855" s="102" t="n"/>
      <c r="D855" s="103" t="n"/>
      <c r="E855" s="102" t="n"/>
      <c r="F855" s="104" t="n"/>
      <c r="G855" s="104" t="n"/>
      <c r="H855" s="102" t="n"/>
      <c r="I855" s="105" t="n"/>
      <c r="J855" s="105" t="n"/>
      <c r="K855" s="103" t="n"/>
      <c r="L855" s="106" t="str">
        <f>IF(OR(D855="",E855=""),"",D855+IF(E855="NOTIFICAÇÃO DE CONSTATAÇÃO",PrazoConst,PrazoEsc))</f>
        <v/>
      </c>
      <c r="M855" s="107" t="str">
        <f>IF(L855="","",L855-TODAY())</f>
        <v/>
      </c>
      <c r="N855" s="108" t="str">
        <f>IF(B855="","",IF(G855="DECISÃO D.P","EM DECISÃO",IF(G855="","SEM STATUS",IF(M855="","SEM DATA",IF(M855&lt;0,"VENCIDO",IF(M855&lt;=DiasAlerta,"VENCE EM BREVE","NO PRAZO"))))))</f>
        <v/>
      </c>
      <c r="O855" s="109" t="str">
        <f>IF(D855="","",TODAY()-D855)</f>
        <v/>
      </c>
      <c r="P855" s="102" t="n"/>
    </row>
    <row r="856" ht="18" customHeight="1">
      <c r="A856" s="101" t="n"/>
      <c r="B856" s="102" t="n"/>
      <c r="C856" s="102" t="n"/>
      <c r="D856" s="103" t="n"/>
      <c r="E856" s="102" t="n"/>
      <c r="F856" s="104" t="n"/>
      <c r="G856" s="104" t="n"/>
      <c r="H856" s="102" t="n"/>
      <c r="I856" s="105" t="n"/>
      <c r="J856" s="105" t="n"/>
      <c r="K856" s="103" t="n"/>
      <c r="L856" s="106" t="str">
        <f>IF(OR(D856="",E856=""),"",D856+IF(E856="NOTIFICAÇÃO DE CONSTATAÇÃO",PrazoConst,PrazoEsc))</f>
        <v/>
      </c>
      <c r="M856" s="107" t="str">
        <f>IF(L856="","",L856-TODAY())</f>
        <v/>
      </c>
      <c r="N856" s="108" t="str">
        <f>IF(B856="","",IF(G856="DECISÃO D.P","EM DECISÃO",IF(G856="","SEM STATUS",IF(M856="","SEM DATA",IF(M856&lt;0,"VENCIDO",IF(M856&lt;=DiasAlerta,"VENCE EM BREVE","NO PRAZO"))))))</f>
        <v/>
      </c>
      <c r="O856" s="109" t="str">
        <f>IF(D856="","",TODAY()-D856)</f>
        <v/>
      </c>
      <c r="P856" s="102" t="n"/>
    </row>
    <row r="857" ht="18" customHeight="1">
      <c r="A857" s="101" t="n"/>
      <c r="B857" s="102" t="n"/>
      <c r="C857" s="102" t="n"/>
      <c r="D857" s="103" t="n"/>
      <c r="E857" s="102" t="n"/>
      <c r="F857" s="104" t="n"/>
      <c r="G857" s="104" t="n"/>
      <c r="H857" s="102" t="n"/>
      <c r="I857" s="105" t="n"/>
      <c r="J857" s="105" t="n"/>
      <c r="K857" s="103" t="n"/>
      <c r="L857" s="106" t="str">
        <f>IF(OR(D857="",E857=""),"",D857+IF(E857="NOTIFICAÇÃO DE CONSTATAÇÃO",PrazoConst,PrazoEsc))</f>
        <v/>
      </c>
      <c r="M857" s="107" t="str">
        <f>IF(L857="","",L857-TODAY())</f>
        <v/>
      </c>
      <c r="N857" s="108" t="str">
        <f>IF(B857="","",IF(G857="DECISÃO D.P","EM DECISÃO",IF(G857="","SEM STATUS",IF(M857="","SEM DATA",IF(M857&lt;0,"VENCIDO",IF(M857&lt;=DiasAlerta,"VENCE EM BREVE","NO PRAZO"))))))</f>
        <v/>
      </c>
      <c r="O857" s="109" t="str">
        <f>IF(D857="","",TODAY()-D857)</f>
        <v/>
      </c>
      <c r="P857" s="102" t="n"/>
    </row>
    <row r="858" ht="18" customHeight="1">
      <c r="A858" s="101" t="n"/>
      <c r="B858" s="102" t="n"/>
      <c r="C858" s="102" t="n"/>
      <c r="D858" s="103" t="n"/>
      <c r="E858" s="102" t="n"/>
      <c r="F858" s="104" t="n"/>
      <c r="G858" s="104" t="n"/>
      <c r="H858" s="102" t="n"/>
      <c r="I858" s="105" t="n"/>
      <c r="J858" s="105" t="n"/>
      <c r="K858" s="103" t="n"/>
      <c r="L858" s="106" t="str">
        <f>IF(OR(D858="",E858=""),"",D858+IF(E858="NOTIFICAÇÃO DE CONSTATAÇÃO",PrazoConst,PrazoEsc))</f>
        <v/>
      </c>
      <c r="M858" s="107" t="str">
        <f>IF(L858="","",L858-TODAY())</f>
        <v/>
      </c>
      <c r="N858" s="108" t="str">
        <f>IF(B858="","",IF(G858="DECISÃO D.P","EM DECISÃO",IF(G858="","SEM STATUS",IF(M858="","SEM DATA",IF(M858&lt;0,"VENCIDO",IF(M858&lt;=DiasAlerta,"VENCE EM BREVE","NO PRAZO"))))))</f>
        <v/>
      </c>
      <c r="O858" s="109" t="str">
        <f>IF(D858="","",TODAY()-D858)</f>
        <v/>
      </c>
      <c r="P858" s="102" t="n"/>
    </row>
    <row r="859" ht="18" customHeight="1">
      <c r="A859" s="101" t="n"/>
      <c r="B859" s="102" t="n"/>
      <c r="C859" s="102" t="n"/>
      <c r="D859" s="103" t="n"/>
      <c r="E859" s="102" t="n"/>
      <c r="F859" s="104" t="n"/>
      <c r="G859" s="104" t="n"/>
      <c r="H859" s="102" t="n"/>
      <c r="I859" s="105" t="n"/>
      <c r="J859" s="105" t="n"/>
      <c r="K859" s="103" t="n"/>
      <c r="L859" s="106" t="str">
        <f>IF(OR(D859="",E859=""),"",D859+IF(E859="NOTIFICAÇÃO DE CONSTATAÇÃO",PrazoConst,PrazoEsc))</f>
        <v/>
      </c>
      <c r="M859" s="107" t="str">
        <f>IF(L859="","",L859-TODAY())</f>
        <v/>
      </c>
      <c r="N859" s="108" t="str">
        <f>IF(B859="","",IF(G859="DECISÃO D.P","EM DECISÃO",IF(G859="","SEM STATUS",IF(M859="","SEM DATA",IF(M859&lt;0,"VENCIDO",IF(M859&lt;=DiasAlerta,"VENCE EM BREVE","NO PRAZO"))))))</f>
        <v/>
      </c>
      <c r="O859" s="109" t="str">
        <f>IF(D859="","",TODAY()-D859)</f>
        <v/>
      </c>
      <c r="P859" s="102" t="n"/>
    </row>
    <row r="860" ht="18" customHeight="1">
      <c r="A860" s="101" t="n"/>
      <c r="B860" s="102" t="n"/>
      <c r="C860" s="102" t="n"/>
      <c r="D860" s="103" t="n"/>
      <c r="E860" s="102" t="n"/>
      <c r="F860" s="104" t="n"/>
      <c r="G860" s="104" t="n"/>
      <c r="H860" s="102" t="n"/>
      <c r="I860" s="105" t="n"/>
      <c r="J860" s="105" t="n"/>
      <c r="K860" s="103" t="n"/>
      <c r="L860" s="106" t="str">
        <f>IF(OR(D860="",E860=""),"",D860+IF(E860="NOTIFICAÇÃO DE CONSTATAÇÃO",PrazoConst,PrazoEsc))</f>
        <v/>
      </c>
      <c r="M860" s="107" t="str">
        <f>IF(L860="","",L860-TODAY())</f>
        <v/>
      </c>
      <c r="N860" s="108" t="str">
        <f>IF(B860="","",IF(G860="DECISÃO D.P","EM DECISÃO",IF(G860="","SEM STATUS",IF(M860="","SEM DATA",IF(M860&lt;0,"VENCIDO",IF(M860&lt;=DiasAlerta,"VENCE EM BREVE","NO PRAZO"))))))</f>
        <v/>
      </c>
      <c r="O860" s="109" t="str">
        <f>IF(D860="","",TODAY()-D860)</f>
        <v/>
      </c>
      <c r="P860" s="102" t="n"/>
    </row>
    <row r="861" ht="18" customHeight="1">
      <c r="A861" s="101" t="n"/>
      <c r="B861" s="102" t="n"/>
      <c r="C861" s="102" t="n"/>
      <c r="D861" s="103" t="n"/>
      <c r="E861" s="102" t="n"/>
      <c r="F861" s="104" t="n"/>
      <c r="G861" s="104" t="n"/>
      <c r="H861" s="102" t="n"/>
      <c r="I861" s="105" t="n"/>
      <c r="J861" s="105" t="n"/>
      <c r="K861" s="103" t="n"/>
      <c r="L861" s="106" t="str">
        <f>IF(OR(D861="",E861=""),"",D861+IF(E861="NOTIFICAÇÃO DE CONSTATAÇÃO",PrazoConst,PrazoEsc))</f>
        <v/>
      </c>
      <c r="M861" s="107" t="str">
        <f>IF(L861="","",L861-TODAY())</f>
        <v/>
      </c>
      <c r="N861" s="108" t="str">
        <f>IF(B861="","",IF(G861="DECISÃO D.P","EM DECISÃO",IF(G861="","SEM STATUS",IF(M861="","SEM DATA",IF(M861&lt;0,"VENCIDO",IF(M861&lt;=DiasAlerta,"VENCE EM BREVE","NO PRAZO"))))))</f>
        <v/>
      </c>
      <c r="O861" s="109" t="str">
        <f>IF(D861="","",TODAY()-D861)</f>
        <v/>
      </c>
      <c r="P861" s="102" t="n"/>
    </row>
    <row r="862" ht="18" customHeight="1">
      <c r="A862" s="101" t="n"/>
      <c r="B862" s="102" t="n"/>
      <c r="C862" s="102" t="n"/>
      <c r="D862" s="103" t="n"/>
      <c r="E862" s="102" t="n"/>
      <c r="F862" s="104" t="n"/>
      <c r="G862" s="104" t="n"/>
      <c r="H862" s="102" t="n"/>
      <c r="I862" s="105" t="n"/>
      <c r="J862" s="105" t="n"/>
      <c r="K862" s="103" t="n"/>
      <c r="L862" s="106" t="str">
        <f>IF(OR(D862="",E862=""),"",D862+IF(E862="NOTIFICAÇÃO DE CONSTATAÇÃO",PrazoConst,PrazoEsc))</f>
        <v/>
      </c>
      <c r="M862" s="107" t="str">
        <f>IF(L862="","",L862-TODAY())</f>
        <v/>
      </c>
      <c r="N862" s="108" t="str">
        <f>IF(B862="","",IF(G862="DECISÃO D.P","EM DECISÃO",IF(G862="","SEM STATUS",IF(M862="","SEM DATA",IF(M862&lt;0,"VENCIDO",IF(M862&lt;=DiasAlerta,"VENCE EM BREVE","NO PRAZO"))))))</f>
        <v/>
      </c>
      <c r="O862" s="109" t="str">
        <f>IF(D862="","",TODAY()-D862)</f>
        <v/>
      </c>
      <c r="P862" s="102" t="n"/>
    </row>
    <row r="863" ht="18" customHeight="1">
      <c r="A863" s="101" t="n"/>
      <c r="B863" s="102" t="n"/>
      <c r="C863" s="102" t="n"/>
      <c r="D863" s="103" t="n"/>
      <c r="E863" s="102" t="n"/>
      <c r="F863" s="104" t="n"/>
      <c r="G863" s="104" t="n"/>
      <c r="H863" s="102" t="n"/>
      <c r="I863" s="105" t="n"/>
      <c r="J863" s="105" t="n"/>
      <c r="K863" s="103" t="n"/>
      <c r="L863" s="106" t="str">
        <f>IF(OR(D863="",E863=""),"",D863+IF(E863="NOTIFICAÇÃO DE CONSTATAÇÃO",PrazoConst,PrazoEsc))</f>
        <v/>
      </c>
      <c r="M863" s="107" t="str">
        <f>IF(L863="","",L863-TODAY())</f>
        <v/>
      </c>
      <c r="N863" s="108" t="str">
        <f>IF(B863="","",IF(G863="DECISÃO D.P","EM DECISÃO",IF(G863="","SEM STATUS",IF(M863="","SEM DATA",IF(M863&lt;0,"VENCIDO",IF(M863&lt;=DiasAlerta,"VENCE EM BREVE","NO PRAZO"))))))</f>
        <v/>
      </c>
      <c r="O863" s="109" t="str">
        <f>IF(D863="","",TODAY()-D863)</f>
        <v/>
      </c>
      <c r="P863" s="102" t="n"/>
    </row>
    <row r="864" ht="18" customHeight="1">
      <c r="A864" s="101" t="n"/>
      <c r="B864" s="102" t="n"/>
      <c r="C864" s="102" t="n"/>
      <c r="D864" s="103" t="n"/>
      <c r="E864" s="102" t="n"/>
      <c r="F864" s="104" t="n"/>
      <c r="G864" s="104" t="n"/>
      <c r="H864" s="102" t="n"/>
      <c r="I864" s="105" t="n"/>
      <c r="J864" s="105" t="n"/>
      <c r="K864" s="103" t="n"/>
      <c r="L864" s="106" t="str">
        <f>IF(OR(D864="",E864=""),"",D864+IF(E864="NOTIFICAÇÃO DE CONSTATAÇÃO",PrazoConst,PrazoEsc))</f>
        <v/>
      </c>
      <c r="M864" s="107" t="str">
        <f>IF(L864="","",L864-TODAY())</f>
        <v/>
      </c>
      <c r="N864" s="108" t="str">
        <f>IF(B864="","",IF(G864="DECISÃO D.P","EM DECISÃO",IF(G864="","SEM STATUS",IF(M864="","SEM DATA",IF(M864&lt;0,"VENCIDO",IF(M864&lt;=DiasAlerta,"VENCE EM BREVE","NO PRAZO"))))))</f>
        <v/>
      </c>
      <c r="O864" s="109" t="str">
        <f>IF(D864="","",TODAY()-D864)</f>
        <v/>
      </c>
      <c r="P864" s="102" t="n"/>
    </row>
    <row r="865" ht="18" customHeight="1">
      <c r="A865" s="101" t="n"/>
      <c r="B865" s="102" t="n"/>
      <c r="C865" s="102" t="n"/>
      <c r="D865" s="103" t="n"/>
      <c r="E865" s="102" t="n"/>
      <c r="F865" s="104" t="n"/>
      <c r="G865" s="104" t="n"/>
      <c r="H865" s="102" t="n"/>
      <c r="I865" s="105" t="n"/>
      <c r="J865" s="105" t="n"/>
      <c r="K865" s="103" t="n"/>
      <c r="L865" s="106" t="str">
        <f>IF(OR(D865="",E865=""),"",D865+IF(E865="NOTIFICAÇÃO DE CONSTATAÇÃO",PrazoConst,PrazoEsc))</f>
        <v/>
      </c>
      <c r="M865" s="107" t="str">
        <f>IF(L865="","",L865-TODAY())</f>
        <v/>
      </c>
      <c r="N865" s="108" t="str">
        <f>IF(B865="","",IF(G865="DECISÃO D.P","EM DECISÃO",IF(G865="","SEM STATUS",IF(M865="","SEM DATA",IF(M865&lt;0,"VENCIDO",IF(M865&lt;=DiasAlerta,"VENCE EM BREVE","NO PRAZO"))))))</f>
        <v/>
      </c>
      <c r="O865" s="109" t="str">
        <f>IF(D865="","",TODAY()-D865)</f>
        <v/>
      </c>
      <c r="P865" s="102" t="n"/>
    </row>
    <row r="866" ht="18" customHeight="1">
      <c r="A866" s="101" t="n"/>
      <c r="B866" s="102" t="n"/>
      <c r="C866" s="102" t="n"/>
      <c r="D866" s="103" t="n"/>
      <c r="E866" s="102" t="n"/>
      <c r="F866" s="104" t="n"/>
      <c r="G866" s="104" t="n"/>
      <c r="H866" s="102" t="n"/>
      <c r="I866" s="105" t="n"/>
      <c r="J866" s="105" t="n"/>
      <c r="K866" s="103" t="n"/>
      <c r="L866" s="106" t="str">
        <f>IF(OR(D866="",E866=""),"",D866+IF(E866="NOTIFICAÇÃO DE CONSTATAÇÃO",PrazoConst,PrazoEsc))</f>
        <v/>
      </c>
      <c r="M866" s="107" t="str">
        <f>IF(L866="","",L866-TODAY())</f>
        <v/>
      </c>
      <c r="N866" s="108" t="str">
        <f>IF(B866="","",IF(G866="DECISÃO D.P","EM DECISÃO",IF(G866="","SEM STATUS",IF(M866="","SEM DATA",IF(M866&lt;0,"VENCIDO",IF(M866&lt;=DiasAlerta,"VENCE EM BREVE","NO PRAZO"))))))</f>
        <v/>
      </c>
      <c r="O866" s="109" t="str">
        <f>IF(D866="","",TODAY()-D866)</f>
        <v/>
      </c>
      <c r="P866" s="102" t="n"/>
    </row>
    <row r="867" ht="18" customHeight="1">
      <c r="A867" s="101" t="n"/>
      <c r="B867" s="102" t="n"/>
      <c r="C867" s="102" t="n"/>
      <c r="D867" s="103" t="n"/>
      <c r="E867" s="102" t="n"/>
      <c r="F867" s="104" t="n"/>
      <c r="G867" s="104" t="n"/>
      <c r="H867" s="102" t="n"/>
      <c r="I867" s="105" t="n"/>
      <c r="J867" s="105" t="n"/>
      <c r="K867" s="103" t="n"/>
      <c r="L867" s="106" t="str">
        <f>IF(OR(D867="",E867=""),"",D867+IF(E867="NOTIFICAÇÃO DE CONSTATAÇÃO",PrazoConst,PrazoEsc))</f>
        <v/>
      </c>
      <c r="M867" s="107" t="str">
        <f>IF(L867="","",L867-TODAY())</f>
        <v/>
      </c>
      <c r="N867" s="108" t="str">
        <f>IF(B867="","",IF(G867="DECISÃO D.P","EM DECISÃO",IF(G867="","SEM STATUS",IF(M867="","SEM DATA",IF(M867&lt;0,"VENCIDO",IF(M867&lt;=DiasAlerta,"VENCE EM BREVE","NO PRAZO"))))))</f>
        <v/>
      </c>
      <c r="O867" s="109" t="str">
        <f>IF(D867="","",TODAY()-D867)</f>
        <v/>
      </c>
      <c r="P867" s="102" t="n"/>
    </row>
    <row r="868" ht="18" customHeight="1">
      <c r="A868" s="101" t="n"/>
      <c r="B868" s="102" t="n"/>
      <c r="C868" s="102" t="n"/>
      <c r="D868" s="103" t="n"/>
      <c r="E868" s="102" t="n"/>
      <c r="F868" s="104" t="n"/>
      <c r="G868" s="104" t="n"/>
      <c r="H868" s="102" t="n"/>
      <c r="I868" s="105" t="n"/>
      <c r="J868" s="105" t="n"/>
      <c r="K868" s="103" t="n"/>
      <c r="L868" s="106" t="str">
        <f>IF(OR(D868="",E868=""),"",D868+IF(E868="NOTIFICAÇÃO DE CONSTATAÇÃO",PrazoConst,PrazoEsc))</f>
        <v/>
      </c>
      <c r="M868" s="107" t="str">
        <f>IF(L868="","",L868-TODAY())</f>
        <v/>
      </c>
      <c r="N868" s="108" t="str">
        <f>IF(B868="","",IF(G868="DECISÃO D.P","EM DECISÃO",IF(G868="","SEM STATUS",IF(M868="","SEM DATA",IF(M868&lt;0,"VENCIDO",IF(M868&lt;=DiasAlerta,"VENCE EM BREVE","NO PRAZO"))))))</f>
        <v/>
      </c>
      <c r="O868" s="109" t="str">
        <f>IF(D868="","",TODAY()-D868)</f>
        <v/>
      </c>
      <c r="P868" s="102" t="n"/>
    </row>
    <row r="869" ht="18" customHeight="1">
      <c r="A869" s="101" t="n"/>
      <c r="B869" s="102" t="n"/>
      <c r="C869" s="102" t="n"/>
      <c r="D869" s="103" t="n"/>
      <c r="E869" s="102" t="n"/>
      <c r="F869" s="104" t="n"/>
      <c r="G869" s="104" t="n"/>
      <c r="H869" s="102" t="n"/>
      <c r="I869" s="105" t="n"/>
      <c r="J869" s="105" t="n"/>
      <c r="K869" s="103" t="n"/>
      <c r="L869" s="106" t="str">
        <f>IF(OR(D869="",E869=""),"",D869+IF(E869="NOTIFICAÇÃO DE CONSTATAÇÃO",PrazoConst,PrazoEsc))</f>
        <v/>
      </c>
      <c r="M869" s="107" t="str">
        <f>IF(L869="","",L869-TODAY())</f>
        <v/>
      </c>
      <c r="N869" s="108" t="str">
        <f>IF(B869="","",IF(G869="DECISÃO D.P","EM DECISÃO",IF(G869="","SEM STATUS",IF(M869="","SEM DATA",IF(M869&lt;0,"VENCIDO",IF(M869&lt;=DiasAlerta,"VENCE EM BREVE","NO PRAZO"))))))</f>
        <v/>
      </c>
      <c r="O869" s="109" t="str">
        <f>IF(D869="","",TODAY()-D869)</f>
        <v/>
      </c>
      <c r="P869" s="102" t="n"/>
    </row>
    <row r="870" ht="18" customHeight="1">
      <c r="A870" s="101" t="n"/>
      <c r="B870" s="102" t="n"/>
      <c r="C870" s="102" t="n"/>
      <c r="D870" s="103" t="n"/>
      <c r="E870" s="102" t="n"/>
      <c r="F870" s="104" t="n"/>
      <c r="G870" s="104" t="n"/>
      <c r="H870" s="102" t="n"/>
      <c r="I870" s="105" t="n"/>
      <c r="J870" s="105" t="n"/>
      <c r="K870" s="103" t="n"/>
      <c r="L870" s="106" t="str">
        <f>IF(OR(D870="",E870=""),"",D870+IF(E870="NOTIFICAÇÃO DE CONSTATAÇÃO",PrazoConst,PrazoEsc))</f>
        <v/>
      </c>
      <c r="M870" s="107" t="str">
        <f>IF(L870="","",L870-TODAY())</f>
        <v/>
      </c>
      <c r="N870" s="108" t="str">
        <f>IF(B870="","",IF(G870="DECISÃO D.P","EM DECISÃO",IF(G870="","SEM STATUS",IF(M870="","SEM DATA",IF(M870&lt;0,"VENCIDO",IF(M870&lt;=DiasAlerta,"VENCE EM BREVE","NO PRAZO"))))))</f>
        <v/>
      </c>
      <c r="O870" s="109" t="str">
        <f>IF(D870="","",TODAY()-D870)</f>
        <v/>
      </c>
      <c r="P870" s="102" t="n"/>
    </row>
    <row r="871" ht="18" customHeight="1">
      <c r="A871" s="101" t="n"/>
      <c r="B871" s="102" t="n"/>
      <c r="C871" s="102" t="n"/>
      <c r="D871" s="103" t="n"/>
      <c r="E871" s="102" t="n"/>
      <c r="F871" s="104" t="n"/>
      <c r="G871" s="104" t="n"/>
      <c r="H871" s="102" t="n"/>
      <c r="I871" s="105" t="n"/>
      <c r="J871" s="105" t="n"/>
      <c r="K871" s="103" t="n"/>
      <c r="L871" s="106" t="str">
        <f>IF(OR(D871="",E871=""),"",D871+IF(E871="NOTIFICAÇÃO DE CONSTATAÇÃO",PrazoConst,PrazoEsc))</f>
        <v/>
      </c>
      <c r="M871" s="107" t="str">
        <f>IF(L871="","",L871-TODAY())</f>
        <v/>
      </c>
      <c r="N871" s="108" t="str">
        <f>IF(B871="","",IF(G871="DECISÃO D.P","EM DECISÃO",IF(G871="","SEM STATUS",IF(M871="","SEM DATA",IF(M871&lt;0,"VENCIDO",IF(M871&lt;=DiasAlerta,"VENCE EM BREVE","NO PRAZO"))))))</f>
        <v/>
      </c>
      <c r="O871" s="109" t="str">
        <f>IF(D871="","",TODAY()-D871)</f>
        <v/>
      </c>
      <c r="P871" s="102" t="n"/>
    </row>
    <row r="872" ht="18" customHeight="1">
      <c r="A872" s="101" t="n"/>
      <c r="B872" s="102" t="n"/>
      <c r="C872" s="102" t="n"/>
      <c r="D872" s="103" t="n"/>
      <c r="E872" s="102" t="n"/>
      <c r="F872" s="104" t="n"/>
      <c r="G872" s="104" t="n"/>
      <c r="H872" s="102" t="n"/>
      <c r="I872" s="105" t="n"/>
      <c r="J872" s="105" t="n"/>
      <c r="K872" s="103" t="n"/>
      <c r="L872" s="106" t="str">
        <f>IF(OR(D872="",E872=""),"",D872+IF(E872="NOTIFICAÇÃO DE CONSTATAÇÃO",PrazoConst,PrazoEsc))</f>
        <v/>
      </c>
      <c r="M872" s="107" t="str">
        <f>IF(L872="","",L872-TODAY())</f>
        <v/>
      </c>
      <c r="N872" s="108" t="str">
        <f>IF(B872="","",IF(G872="DECISÃO D.P","EM DECISÃO",IF(G872="","SEM STATUS",IF(M872="","SEM DATA",IF(M872&lt;0,"VENCIDO",IF(M872&lt;=DiasAlerta,"VENCE EM BREVE","NO PRAZO"))))))</f>
        <v/>
      </c>
      <c r="O872" s="109" t="str">
        <f>IF(D872="","",TODAY()-D872)</f>
        <v/>
      </c>
      <c r="P872" s="102" t="n"/>
    </row>
    <row r="873" ht="18" customHeight="1">
      <c r="A873" s="101" t="n"/>
      <c r="B873" s="102" t="n"/>
      <c r="C873" s="102" t="n"/>
      <c r="D873" s="103" t="n"/>
      <c r="E873" s="102" t="n"/>
      <c r="F873" s="104" t="n"/>
      <c r="G873" s="104" t="n"/>
      <c r="H873" s="102" t="n"/>
      <c r="I873" s="105" t="n"/>
      <c r="J873" s="105" t="n"/>
      <c r="K873" s="103" t="n"/>
      <c r="L873" s="106" t="str">
        <f>IF(OR(D873="",E873=""),"",D873+IF(E873="NOTIFICAÇÃO DE CONSTATAÇÃO",PrazoConst,PrazoEsc))</f>
        <v/>
      </c>
      <c r="M873" s="107" t="str">
        <f>IF(L873="","",L873-TODAY())</f>
        <v/>
      </c>
      <c r="N873" s="108" t="str">
        <f>IF(B873="","",IF(G873="DECISÃO D.P","EM DECISÃO",IF(G873="","SEM STATUS",IF(M873="","SEM DATA",IF(M873&lt;0,"VENCIDO",IF(M873&lt;=DiasAlerta,"VENCE EM BREVE","NO PRAZO"))))))</f>
        <v/>
      </c>
      <c r="O873" s="109" t="str">
        <f>IF(D873="","",TODAY()-D873)</f>
        <v/>
      </c>
      <c r="P873" s="102" t="n"/>
    </row>
    <row r="874" ht="18" customHeight="1">
      <c r="A874" s="101" t="n"/>
      <c r="B874" s="102" t="n"/>
      <c r="C874" s="102" t="n"/>
      <c r="D874" s="103" t="n"/>
      <c r="E874" s="102" t="n"/>
      <c r="F874" s="104" t="n"/>
      <c r="G874" s="104" t="n"/>
      <c r="H874" s="102" t="n"/>
      <c r="I874" s="105" t="n"/>
      <c r="J874" s="105" t="n"/>
      <c r="K874" s="103" t="n"/>
      <c r="L874" s="106" t="str">
        <f>IF(OR(D874="",E874=""),"",D874+IF(E874="NOTIFICAÇÃO DE CONSTATAÇÃO",PrazoConst,PrazoEsc))</f>
        <v/>
      </c>
      <c r="M874" s="107" t="str">
        <f>IF(L874="","",L874-TODAY())</f>
        <v/>
      </c>
      <c r="N874" s="108" t="str">
        <f>IF(B874="","",IF(G874="DECISÃO D.P","EM DECISÃO",IF(G874="","SEM STATUS",IF(M874="","SEM DATA",IF(M874&lt;0,"VENCIDO",IF(M874&lt;=DiasAlerta,"VENCE EM BREVE","NO PRAZO"))))))</f>
        <v/>
      </c>
      <c r="O874" s="109" t="str">
        <f>IF(D874="","",TODAY()-D874)</f>
        <v/>
      </c>
      <c r="P874" s="102" t="n"/>
    </row>
    <row r="875" ht="18" customHeight="1">
      <c r="A875" s="101" t="n"/>
      <c r="B875" s="102" t="n"/>
      <c r="C875" s="102" t="n"/>
      <c r="D875" s="103" t="n"/>
      <c r="E875" s="102" t="n"/>
      <c r="F875" s="104" t="n"/>
      <c r="G875" s="104" t="n"/>
      <c r="H875" s="102" t="n"/>
      <c r="I875" s="105" t="n"/>
      <c r="J875" s="105" t="n"/>
      <c r="K875" s="103" t="n"/>
      <c r="L875" s="106" t="str">
        <f>IF(OR(D875="",E875=""),"",D875+IF(E875="NOTIFICAÇÃO DE CONSTATAÇÃO",PrazoConst,PrazoEsc))</f>
        <v/>
      </c>
      <c r="M875" s="107" t="str">
        <f>IF(L875="","",L875-TODAY())</f>
        <v/>
      </c>
      <c r="N875" s="108" t="str">
        <f>IF(B875="","",IF(G875="DECISÃO D.P","EM DECISÃO",IF(G875="","SEM STATUS",IF(M875="","SEM DATA",IF(M875&lt;0,"VENCIDO",IF(M875&lt;=DiasAlerta,"VENCE EM BREVE","NO PRAZO"))))))</f>
        <v/>
      </c>
      <c r="O875" s="109" t="str">
        <f>IF(D875="","",TODAY()-D875)</f>
        <v/>
      </c>
      <c r="P875" s="102" t="n"/>
    </row>
    <row r="876" ht="18" customHeight="1">
      <c r="A876" s="101" t="n"/>
      <c r="B876" s="102" t="n"/>
      <c r="C876" s="102" t="n"/>
      <c r="D876" s="103" t="n"/>
      <c r="E876" s="102" t="n"/>
      <c r="F876" s="104" t="n"/>
      <c r="G876" s="104" t="n"/>
      <c r="H876" s="102" t="n"/>
      <c r="I876" s="105" t="n"/>
      <c r="J876" s="105" t="n"/>
      <c r="K876" s="103" t="n"/>
      <c r="L876" s="106" t="str">
        <f>IF(OR(D876="",E876=""),"",D876+IF(E876="NOTIFICAÇÃO DE CONSTATAÇÃO",PrazoConst,PrazoEsc))</f>
        <v/>
      </c>
      <c r="M876" s="107" t="str">
        <f>IF(L876="","",L876-TODAY())</f>
        <v/>
      </c>
      <c r="N876" s="108" t="str">
        <f>IF(B876="","",IF(G876="DECISÃO D.P","EM DECISÃO",IF(G876="","SEM STATUS",IF(M876="","SEM DATA",IF(M876&lt;0,"VENCIDO",IF(M876&lt;=DiasAlerta,"VENCE EM BREVE","NO PRAZO"))))))</f>
        <v/>
      </c>
      <c r="O876" s="109" t="str">
        <f>IF(D876="","",TODAY()-D876)</f>
        <v/>
      </c>
      <c r="P876" s="102" t="n"/>
    </row>
    <row r="877" ht="18" customHeight="1">
      <c r="A877" s="101" t="n"/>
      <c r="B877" s="102" t="n"/>
      <c r="C877" s="102" t="n"/>
      <c r="D877" s="103" t="n"/>
      <c r="E877" s="102" t="n"/>
      <c r="F877" s="104" t="n"/>
      <c r="G877" s="104" t="n"/>
      <c r="H877" s="102" t="n"/>
      <c r="I877" s="105" t="n"/>
      <c r="J877" s="105" t="n"/>
      <c r="K877" s="103" t="n"/>
      <c r="L877" s="106" t="str">
        <f>IF(OR(D877="",E877=""),"",D877+IF(E877="NOTIFICAÇÃO DE CONSTATAÇÃO",PrazoConst,PrazoEsc))</f>
        <v/>
      </c>
      <c r="M877" s="107" t="str">
        <f>IF(L877="","",L877-TODAY())</f>
        <v/>
      </c>
      <c r="N877" s="108" t="str">
        <f>IF(B877="","",IF(G877="DECISÃO D.P","EM DECISÃO",IF(G877="","SEM STATUS",IF(M877="","SEM DATA",IF(M877&lt;0,"VENCIDO",IF(M877&lt;=DiasAlerta,"VENCE EM BREVE","NO PRAZO"))))))</f>
        <v/>
      </c>
      <c r="O877" s="109" t="str">
        <f>IF(D877="","",TODAY()-D877)</f>
        <v/>
      </c>
      <c r="P877" s="102" t="n"/>
    </row>
    <row r="878" ht="18" customHeight="1">
      <c r="A878" s="101" t="n"/>
      <c r="B878" s="102" t="n"/>
      <c r="C878" s="102" t="n"/>
      <c r="D878" s="103" t="n"/>
      <c r="E878" s="102" t="n"/>
      <c r="F878" s="104" t="n"/>
      <c r="G878" s="104" t="n"/>
      <c r="H878" s="102" t="n"/>
      <c r="I878" s="105" t="n"/>
      <c r="J878" s="105" t="n"/>
      <c r="K878" s="103" t="n"/>
      <c r="L878" s="106" t="str">
        <f>IF(OR(D878="",E878=""),"",D878+IF(E878="NOTIFICAÇÃO DE CONSTATAÇÃO",PrazoConst,PrazoEsc))</f>
        <v/>
      </c>
      <c r="M878" s="107" t="str">
        <f>IF(L878="","",L878-TODAY())</f>
        <v/>
      </c>
      <c r="N878" s="108" t="str">
        <f>IF(B878="","",IF(G878="DECISÃO D.P","EM DECISÃO",IF(G878="","SEM STATUS",IF(M878="","SEM DATA",IF(M878&lt;0,"VENCIDO",IF(M878&lt;=DiasAlerta,"VENCE EM BREVE","NO PRAZO"))))))</f>
        <v/>
      </c>
      <c r="O878" s="109" t="str">
        <f>IF(D878="","",TODAY()-D878)</f>
        <v/>
      </c>
      <c r="P878" s="102" t="n"/>
    </row>
    <row r="879" ht="18" customHeight="1">
      <c r="A879" s="101" t="n"/>
      <c r="B879" s="102" t="n"/>
      <c r="C879" s="102" t="n"/>
      <c r="D879" s="103" t="n"/>
      <c r="E879" s="102" t="n"/>
      <c r="F879" s="104" t="n"/>
      <c r="G879" s="104" t="n"/>
      <c r="H879" s="102" t="n"/>
      <c r="I879" s="105" t="n"/>
      <c r="J879" s="105" t="n"/>
      <c r="K879" s="103" t="n"/>
      <c r="L879" s="106" t="str">
        <f>IF(OR(D879="",E879=""),"",D879+IF(E879="NOTIFICAÇÃO DE CONSTATAÇÃO",PrazoConst,PrazoEsc))</f>
        <v/>
      </c>
      <c r="M879" s="107" t="str">
        <f>IF(L879="","",L879-TODAY())</f>
        <v/>
      </c>
      <c r="N879" s="108" t="str">
        <f>IF(B879="","",IF(G879="DECISÃO D.P","EM DECISÃO",IF(G879="","SEM STATUS",IF(M879="","SEM DATA",IF(M879&lt;0,"VENCIDO",IF(M879&lt;=DiasAlerta,"VENCE EM BREVE","NO PRAZO"))))))</f>
        <v/>
      </c>
      <c r="O879" s="109" t="str">
        <f>IF(D879="","",TODAY()-D879)</f>
        <v/>
      </c>
      <c r="P879" s="102" t="n"/>
    </row>
    <row r="880" ht="18" customHeight="1">
      <c r="A880" s="101" t="n"/>
      <c r="B880" s="102" t="n"/>
      <c r="C880" s="102" t="n"/>
      <c r="D880" s="103" t="n"/>
      <c r="E880" s="102" t="n"/>
      <c r="F880" s="104" t="n"/>
      <c r="G880" s="104" t="n"/>
      <c r="H880" s="102" t="n"/>
      <c r="I880" s="105" t="n"/>
      <c r="J880" s="105" t="n"/>
      <c r="K880" s="103" t="n"/>
      <c r="L880" s="106" t="str">
        <f>IF(OR(D880="",E880=""),"",D880+IF(E880="NOTIFICAÇÃO DE CONSTATAÇÃO",PrazoConst,PrazoEsc))</f>
        <v/>
      </c>
      <c r="M880" s="107" t="str">
        <f>IF(L880="","",L880-TODAY())</f>
        <v/>
      </c>
      <c r="N880" s="108" t="str">
        <f>IF(B880="","",IF(G880="DECISÃO D.P","EM DECISÃO",IF(G880="","SEM STATUS",IF(M880="","SEM DATA",IF(M880&lt;0,"VENCIDO",IF(M880&lt;=DiasAlerta,"VENCE EM BREVE","NO PRAZO"))))))</f>
        <v/>
      </c>
      <c r="O880" s="109" t="str">
        <f>IF(D880="","",TODAY()-D880)</f>
        <v/>
      </c>
      <c r="P880" s="102" t="n"/>
    </row>
    <row r="881" ht="18" customHeight="1">
      <c r="A881" s="101" t="n"/>
      <c r="B881" s="102" t="n"/>
      <c r="C881" s="102" t="n"/>
      <c r="D881" s="103" t="n"/>
      <c r="E881" s="102" t="n"/>
      <c r="F881" s="104" t="n"/>
      <c r="G881" s="104" t="n"/>
      <c r="H881" s="102" t="n"/>
      <c r="I881" s="105" t="n"/>
      <c r="J881" s="105" t="n"/>
      <c r="K881" s="103" t="n"/>
      <c r="L881" s="106" t="str">
        <f>IF(OR(D881="",E881=""),"",D881+IF(E881="NOTIFICAÇÃO DE CONSTATAÇÃO",PrazoConst,PrazoEsc))</f>
        <v/>
      </c>
      <c r="M881" s="107" t="str">
        <f>IF(L881="","",L881-TODAY())</f>
        <v/>
      </c>
      <c r="N881" s="108" t="str">
        <f>IF(B881="","",IF(G881="DECISÃO D.P","EM DECISÃO",IF(G881="","SEM STATUS",IF(M881="","SEM DATA",IF(M881&lt;0,"VENCIDO",IF(M881&lt;=DiasAlerta,"VENCE EM BREVE","NO PRAZO"))))))</f>
        <v/>
      </c>
      <c r="O881" s="109" t="str">
        <f>IF(D881="","",TODAY()-D881)</f>
        <v/>
      </c>
      <c r="P881" s="102" t="n"/>
    </row>
    <row r="882" ht="18" customHeight="1">
      <c r="A882" s="101" t="n"/>
      <c r="B882" s="102" t="n"/>
      <c r="C882" s="102" t="n"/>
      <c r="D882" s="103" t="n"/>
      <c r="E882" s="102" t="n"/>
      <c r="F882" s="104" t="n"/>
      <c r="G882" s="104" t="n"/>
      <c r="H882" s="102" t="n"/>
      <c r="I882" s="105" t="n"/>
      <c r="J882" s="105" t="n"/>
      <c r="K882" s="103" t="n"/>
      <c r="L882" s="106" t="str">
        <f>IF(OR(D882="",E882=""),"",D882+IF(E882="NOTIFICAÇÃO DE CONSTATAÇÃO",PrazoConst,PrazoEsc))</f>
        <v/>
      </c>
      <c r="M882" s="107" t="str">
        <f>IF(L882="","",L882-TODAY())</f>
        <v/>
      </c>
      <c r="N882" s="108" t="str">
        <f>IF(B882="","",IF(G882="DECISÃO D.P","EM DECISÃO",IF(G882="","SEM STATUS",IF(M882="","SEM DATA",IF(M882&lt;0,"VENCIDO",IF(M882&lt;=DiasAlerta,"VENCE EM BREVE","NO PRAZO"))))))</f>
        <v/>
      </c>
      <c r="O882" s="109" t="str">
        <f>IF(D882="","",TODAY()-D882)</f>
        <v/>
      </c>
      <c r="P882" s="102" t="n"/>
    </row>
    <row r="883" ht="18" customHeight="1">
      <c r="A883" s="101" t="n"/>
      <c r="B883" s="102" t="n"/>
      <c r="C883" s="102" t="n"/>
      <c r="D883" s="103" t="n"/>
      <c r="E883" s="102" t="n"/>
      <c r="F883" s="104" t="n"/>
      <c r="G883" s="104" t="n"/>
      <c r="H883" s="102" t="n"/>
      <c r="I883" s="105" t="n"/>
      <c r="J883" s="105" t="n"/>
      <c r="K883" s="103" t="n"/>
      <c r="L883" s="106" t="str">
        <f>IF(OR(D883="",E883=""),"",D883+IF(E883="NOTIFICAÇÃO DE CONSTATAÇÃO",PrazoConst,PrazoEsc))</f>
        <v/>
      </c>
      <c r="M883" s="107" t="str">
        <f>IF(L883="","",L883-TODAY())</f>
        <v/>
      </c>
      <c r="N883" s="108" t="str">
        <f>IF(B883="","",IF(G883="DECISÃO D.P","EM DECISÃO",IF(G883="","SEM STATUS",IF(M883="","SEM DATA",IF(M883&lt;0,"VENCIDO",IF(M883&lt;=DiasAlerta,"VENCE EM BREVE","NO PRAZO"))))))</f>
        <v/>
      </c>
      <c r="O883" s="109" t="str">
        <f>IF(D883="","",TODAY()-D883)</f>
        <v/>
      </c>
      <c r="P883" s="102" t="n"/>
    </row>
    <row r="884" ht="18" customHeight="1">
      <c r="A884" s="101" t="n"/>
      <c r="B884" s="102" t="n"/>
      <c r="C884" s="102" t="n"/>
      <c r="D884" s="103" t="n"/>
      <c r="E884" s="102" t="n"/>
      <c r="F884" s="104" t="n"/>
      <c r="G884" s="104" t="n"/>
      <c r="H884" s="102" t="n"/>
      <c r="I884" s="105" t="n"/>
      <c r="J884" s="105" t="n"/>
      <c r="K884" s="103" t="n"/>
      <c r="L884" s="106" t="str">
        <f>IF(OR(D884="",E884=""),"",D884+IF(E884="NOTIFICAÇÃO DE CONSTATAÇÃO",PrazoConst,PrazoEsc))</f>
        <v/>
      </c>
      <c r="M884" s="107" t="str">
        <f>IF(L884="","",L884-TODAY())</f>
        <v/>
      </c>
      <c r="N884" s="108" t="str">
        <f>IF(B884="","",IF(G884="DECISÃO D.P","EM DECISÃO",IF(G884="","SEM STATUS",IF(M884="","SEM DATA",IF(M884&lt;0,"VENCIDO",IF(M884&lt;=DiasAlerta,"VENCE EM BREVE","NO PRAZO"))))))</f>
        <v/>
      </c>
      <c r="O884" s="109" t="str">
        <f>IF(D884="","",TODAY()-D884)</f>
        <v/>
      </c>
      <c r="P884" s="102" t="n"/>
    </row>
    <row r="885" ht="18" customHeight="1">
      <c r="A885" s="101" t="n"/>
      <c r="B885" s="102" t="n"/>
      <c r="C885" s="102" t="n"/>
      <c r="D885" s="103" t="n"/>
      <c r="E885" s="102" t="n"/>
      <c r="F885" s="104" t="n"/>
      <c r="G885" s="104" t="n"/>
      <c r="H885" s="102" t="n"/>
      <c r="I885" s="105" t="n"/>
      <c r="J885" s="105" t="n"/>
      <c r="K885" s="103" t="n"/>
      <c r="L885" s="106" t="str">
        <f>IF(OR(D885="",E885=""),"",D885+IF(E885="NOTIFICAÇÃO DE CONSTATAÇÃO",PrazoConst,PrazoEsc))</f>
        <v/>
      </c>
      <c r="M885" s="107" t="str">
        <f>IF(L885="","",L885-TODAY())</f>
        <v/>
      </c>
      <c r="N885" s="108" t="str">
        <f>IF(B885="","",IF(G885="DECISÃO D.P","EM DECISÃO",IF(G885="","SEM STATUS",IF(M885="","SEM DATA",IF(M885&lt;0,"VENCIDO",IF(M885&lt;=DiasAlerta,"VENCE EM BREVE","NO PRAZO"))))))</f>
        <v/>
      </c>
      <c r="O885" s="109" t="str">
        <f>IF(D885="","",TODAY()-D885)</f>
        <v/>
      </c>
      <c r="P885" s="102" t="n"/>
    </row>
    <row r="886" ht="18" customHeight="1">
      <c r="A886" s="101" t="n"/>
      <c r="B886" s="102" t="n"/>
      <c r="C886" s="102" t="n"/>
      <c r="D886" s="103" t="n"/>
      <c r="E886" s="102" t="n"/>
      <c r="F886" s="104" t="n"/>
      <c r="G886" s="104" t="n"/>
      <c r="H886" s="102" t="n"/>
      <c r="I886" s="105" t="n"/>
      <c r="J886" s="105" t="n"/>
      <c r="K886" s="103" t="n"/>
      <c r="L886" s="106" t="str">
        <f>IF(OR(D886="",E886=""),"",D886+IF(E886="NOTIFICAÇÃO DE CONSTATAÇÃO",PrazoConst,PrazoEsc))</f>
        <v/>
      </c>
      <c r="M886" s="107" t="str">
        <f>IF(L886="","",L886-TODAY())</f>
        <v/>
      </c>
      <c r="N886" s="108" t="str">
        <f>IF(B886="","",IF(G886="DECISÃO D.P","EM DECISÃO",IF(G886="","SEM STATUS",IF(M886="","SEM DATA",IF(M886&lt;0,"VENCIDO",IF(M886&lt;=DiasAlerta,"VENCE EM BREVE","NO PRAZO"))))))</f>
        <v/>
      </c>
      <c r="O886" s="109" t="str">
        <f>IF(D886="","",TODAY()-D886)</f>
        <v/>
      </c>
      <c r="P886" s="102" t="n"/>
    </row>
    <row r="887" ht="18" customHeight="1">
      <c r="A887" s="101" t="n"/>
      <c r="B887" s="102" t="n"/>
      <c r="C887" s="102" t="n"/>
      <c r="D887" s="103" t="n"/>
      <c r="E887" s="102" t="n"/>
      <c r="F887" s="104" t="n"/>
      <c r="G887" s="104" t="n"/>
      <c r="H887" s="102" t="n"/>
      <c r="I887" s="105" t="n"/>
      <c r="J887" s="105" t="n"/>
      <c r="K887" s="103" t="n"/>
      <c r="L887" s="106" t="str">
        <f>IF(OR(D887="",E887=""),"",D887+IF(E887="NOTIFICAÇÃO DE CONSTATAÇÃO",PrazoConst,PrazoEsc))</f>
        <v/>
      </c>
      <c r="M887" s="107" t="str">
        <f>IF(L887="","",L887-TODAY())</f>
        <v/>
      </c>
      <c r="N887" s="108" t="str">
        <f>IF(B887="","",IF(G887="DECISÃO D.P","EM DECISÃO",IF(G887="","SEM STATUS",IF(M887="","SEM DATA",IF(M887&lt;0,"VENCIDO",IF(M887&lt;=DiasAlerta,"VENCE EM BREVE","NO PRAZO"))))))</f>
        <v/>
      </c>
      <c r="O887" s="109" t="str">
        <f>IF(D887="","",TODAY()-D887)</f>
        <v/>
      </c>
      <c r="P887" s="102" t="n"/>
    </row>
    <row r="888" ht="18" customHeight="1">
      <c r="A888" s="101" t="n"/>
      <c r="B888" s="102" t="n"/>
      <c r="C888" s="102" t="n"/>
      <c r="D888" s="103" t="n"/>
      <c r="E888" s="102" t="n"/>
      <c r="F888" s="104" t="n"/>
      <c r="G888" s="104" t="n"/>
      <c r="H888" s="102" t="n"/>
      <c r="I888" s="105" t="n"/>
      <c r="J888" s="105" t="n"/>
      <c r="K888" s="103" t="n"/>
      <c r="L888" s="106" t="str">
        <f>IF(OR(D888="",E888=""),"",D888+IF(E888="NOTIFICAÇÃO DE CONSTATAÇÃO",PrazoConst,PrazoEsc))</f>
        <v/>
      </c>
      <c r="M888" s="107" t="str">
        <f>IF(L888="","",L888-TODAY())</f>
        <v/>
      </c>
      <c r="N888" s="108" t="str">
        <f>IF(B888="","",IF(G888="DECISÃO D.P","EM DECISÃO",IF(G888="","SEM STATUS",IF(M888="","SEM DATA",IF(M888&lt;0,"VENCIDO",IF(M888&lt;=DiasAlerta,"VENCE EM BREVE","NO PRAZO"))))))</f>
        <v/>
      </c>
      <c r="O888" s="109" t="str">
        <f>IF(D888="","",TODAY()-D888)</f>
        <v/>
      </c>
      <c r="P888" s="102" t="n"/>
    </row>
    <row r="889" ht="18" customHeight="1">
      <c r="A889" s="101" t="n"/>
      <c r="B889" s="102" t="n"/>
      <c r="C889" s="102" t="n"/>
      <c r="D889" s="103" t="n"/>
      <c r="E889" s="102" t="n"/>
      <c r="F889" s="104" t="n"/>
      <c r="G889" s="104" t="n"/>
      <c r="H889" s="102" t="n"/>
      <c r="I889" s="105" t="n"/>
      <c r="J889" s="105" t="n"/>
      <c r="K889" s="103" t="n"/>
      <c r="L889" s="106" t="str">
        <f>IF(OR(D889="",E889=""),"",D889+IF(E889="NOTIFICAÇÃO DE CONSTATAÇÃO",PrazoConst,PrazoEsc))</f>
        <v/>
      </c>
      <c r="M889" s="107" t="str">
        <f>IF(L889="","",L889-TODAY())</f>
        <v/>
      </c>
      <c r="N889" s="108" t="str">
        <f>IF(B889="","",IF(G889="DECISÃO D.P","EM DECISÃO",IF(G889="","SEM STATUS",IF(M889="","SEM DATA",IF(M889&lt;0,"VENCIDO",IF(M889&lt;=DiasAlerta,"VENCE EM BREVE","NO PRAZO"))))))</f>
        <v/>
      </c>
      <c r="O889" s="109" t="str">
        <f>IF(D889="","",TODAY()-D889)</f>
        <v/>
      </c>
      <c r="P889" s="102" t="n"/>
    </row>
    <row r="890" ht="18" customHeight="1">
      <c r="A890" s="101" t="n"/>
      <c r="B890" s="102" t="n"/>
      <c r="C890" s="102" t="n"/>
      <c r="D890" s="103" t="n"/>
      <c r="E890" s="102" t="n"/>
      <c r="F890" s="104" t="n"/>
      <c r="G890" s="104" t="n"/>
      <c r="H890" s="102" t="n"/>
      <c r="I890" s="105" t="n"/>
      <c r="J890" s="105" t="n"/>
      <c r="K890" s="103" t="n"/>
      <c r="L890" s="106" t="str">
        <f>IF(OR(D890="",E890=""),"",D890+IF(E890="NOTIFICAÇÃO DE CONSTATAÇÃO",PrazoConst,PrazoEsc))</f>
        <v/>
      </c>
      <c r="M890" s="107" t="str">
        <f>IF(L890="","",L890-TODAY())</f>
        <v/>
      </c>
      <c r="N890" s="108" t="str">
        <f>IF(B890="","",IF(G890="DECISÃO D.P","EM DECISÃO",IF(G890="","SEM STATUS",IF(M890="","SEM DATA",IF(M890&lt;0,"VENCIDO",IF(M890&lt;=DiasAlerta,"VENCE EM BREVE","NO PRAZO"))))))</f>
        <v/>
      </c>
      <c r="O890" s="109" t="str">
        <f>IF(D890="","",TODAY()-D890)</f>
        <v/>
      </c>
      <c r="P890" s="102" t="n"/>
    </row>
    <row r="891" ht="18" customHeight="1">
      <c r="A891" s="101" t="n"/>
      <c r="B891" s="102" t="n"/>
      <c r="C891" s="102" t="n"/>
      <c r="D891" s="103" t="n"/>
      <c r="E891" s="102" t="n"/>
      <c r="F891" s="104" t="n"/>
      <c r="G891" s="104" t="n"/>
      <c r="H891" s="102" t="n"/>
      <c r="I891" s="105" t="n"/>
      <c r="J891" s="105" t="n"/>
      <c r="K891" s="103" t="n"/>
      <c r="L891" s="106" t="str">
        <f>IF(OR(D891="",E891=""),"",D891+IF(E891="NOTIFICAÇÃO DE CONSTATAÇÃO",PrazoConst,PrazoEsc))</f>
        <v/>
      </c>
      <c r="M891" s="107" t="str">
        <f>IF(L891="","",L891-TODAY())</f>
        <v/>
      </c>
      <c r="N891" s="108" t="str">
        <f>IF(B891="","",IF(G891="DECISÃO D.P","EM DECISÃO",IF(G891="","SEM STATUS",IF(M891="","SEM DATA",IF(M891&lt;0,"VENCIDO",IF(M891&lt;=DiasAlerta,"VENCE EM BREVE","NO PRAZO"))))))</f>
        <v/>
      </c>
      <c r="O891" s="109" t="str">
        <f>IF(D891="","",TODAY()-D891)</f>
        <v/>
      </c>
      <c r="P891" s="102" t="n"/>
    </row>
    <row r="892" ht="18" customHeight="1">
      <c r="A892" s="101" t="n"/>
      <c r="B892" s="102" t="n"/>
      <c r="C892" s="102" t="n"/>
      <c r="D892" s="103" t="n"/>
      <c r="E892" s="102" t="n"/>
      <c r="F892" s="104" t="n"/>
      <c r="G892" s="104" t="n"/>
      <c r="H892" s="102" t="n"/>
      <c r="I892" s="105" t="n"/>
      <c r="J892" s="105" t="n"/>
      <c r="K892" s="103" t="n"/>
      <c r="L892" s="106" t="str">
        <f>IF(OR(D892="",E892=""),"",D892+IF(E892="NOTIFICAÇÃO DE CONSTATAÇÃO",PrazoConst,PrazoEsc))</f>
        <v/>
      </c>
      <c r="M892" s="107" t="str">
        <f>IF(L892="","",L892-TODAY())</f>
        <v/>
      </c>
      <c r="N892" s="108" t="str">
        <f>IF(B892="","",IF(G892="DECISÃO D.P","EM DECISÃO",IF(G892="","SEM STATUS",IF(M892="","SEM DATA",IF(M892&lt;0,"VENCIDO",IF(M892&lt;=DiasAlerta,"VENCE EM BREVE","NO PRAZO"))))))</f>
        <v/>
      </c>
      <c r="O892" s="109" t="str">
        <f>IF(D892="","",TODAY()-D892)</f>
        <v/>
      </c>
      <c r="P892" s="102" t="n"/>
    </row>
    <row r="893" ht="18" customHeight="1">
      <c r="A893" s="101" t="n"/>
      <c r="B893" s="102" t="n"/>
      <c r="C893" s="102" t="n"/>
      <c r="D893" s="103" t="n"/>
      <c r="E893" s="102" t="n"/>
      <c r="F893" s="104" t="n"/>
      <c r="G893" s="104" t="n"/>
      <c r="H893" s="102" t="n"/>
      <c r="I893" s="105" t="n"/>
      <c r="J893" s="105" t="n"/>
      <c r="K893" s="103" t="n"/>
      <c r="L893" s="106" t="str">
        <f>IF(OR(D893="",E893=""),"",D893+IF(E893="NOTIFICAÇÃO DE CONSTATAÇÃO",PrazoConst,PrazoEsc))</f>
        <v/>
      </c>
      <c r="M893" s="107" t="str">
        <f>IF(L893="","",L893-TODAY())</f>
        <v/>
      </c>
      <c r="N893" s="108" t="str">
        <f>IF(B893="","",IF(G893="DECISÃO D.P","EM DECISÃO",IF(G893="","SEM STATUS",IF(M893="","SEM DATA",IF(M893&lt;0,"VENCIDO",IF(M893&lt;=DiasAlerta,"VENCE EM BREVE","NO PRAZO"))))))</f>
        <v/>
      </c>
      <c r="O893" s="109" t="str">
        <f>IF(D893="","",TODAY()-D893)</f>
        <v/>
      </c>
      <c r="P893" s="102" t="n"/>
    </row>
    <row r="894" ht="18" customHeight="1">
      <c r="A894" s="101" t="n"/>
      <c r="B894" s="102" t="n"/>
      <c r="C894" s="102" t="n"/>
      <c r="D894" s="103" t="n"/>
      <c r="E894" s="102" t="n"/>
      <c r="F894" s="104" t="n"/>
      <c r="G894" s="104" t="n"/>
      <c r="H894" s="102" t="n"/>
      <c r="I894" s="105" t="n"/>
      <c r="J894" s="105" t="n"/>
      <c r="K894" s="103" t="n"/>
      <c r="L894" s="106" t="str">
        <f>IF(OR(D894="",E894=""),"",D894+IF(E894="NOTIFICAÇÃO DE CONSTATAÇÃO",PrazoConst,PrazoEsc))</f>
        <v/>
      </c>
      <c r="M894" s="107" t="str">
        <f>IF(L894="","",L894-TODAY())</f>
        <v/>
      </c>
      <c r="N894" s="108" t="str">
        <f>IF(B894="","",IF(G894="DECISÃO D.P","EM DECISÃO",IF(G894="","SEM STATUS",IF(M894="","SEM DATA",IF(M894&lt;0,"VENCIDO",IF(M894&lt;=DiasAlerta,"VENCE EM BREVE","NO PRAZO"))))))</f>
        <v/>
      </c>
      <c r="O894" s="109" t="str">
        <f>IF(D894="","",TODAY()-D894)</f>
        <v/>
      </c>
      <c r="P894" s="102" t="n"/>
    </row>
    <row r="895" ht="18" customHeight="1">
      <c r="A895" s="101" t="n"/>
      <c r="B895" s="102" t="n"/>
      <c r="C895" s="102" t="n"/>
      <c r="D895" s="103" t="n"/>
      <c r="E895" s="102" t="n"/>
      <c r="F895" s="104" t="n"/>
      <c r="G895" s="104" t="n"/>
      <c r="H895" s="102" t="n"/>
      <c r="I895" s="105" t="n"/>
      <c r="J895" s="105" t="n"/>
      <c r="K895" s="103" t="n"/>
      <c r="L895" s="106" t="str">
        <f>IF(OR(D895="",E895=""),"",D895+IF(E895="NOTIFICAÇÃO DE CONSTATAÇÃO",PrazoConst,PrazoEsc))</f>
        <v/>
      </c>
      <c r="M895" s="107" t="str">
        <f>IF(L895="","",L895-TODAY())</f>
        <v/>
      </c>
      <c r="N895" s="108" t="str">
        <f>IF(B895="","",IF(G895="DECISÃO D.P","EM DECISÃO",IF(G895="","SEM STATUS",IF(M895="","SEM DATA",IF(M895&lt;0,"VENCIDO",IF(M895&lt;=DiasAlerta,"VENCE EM BREVE","NO PRAZO"))))))</f>
        <v/>
      </c>
      <c r="O895" s="109" t="str">
        <f>IF(D895="","",TODAY()-D895)</f>
        <v/>
      </c>
      <c r="P895" s="102" t="n"/>
    </row>
    <row r="896" ht="18" customHeight="1">
      <c r="A896" s="101" t="n"/>
      <c r="B896" s="102" t="n"/>
      <c r="C896" s="102" t="n"/>
      <c r="D896" s="103" t="n"/>
      <c r="E896" s="102" t="n"/>
      <c r="F896" s="104" t="n"/>
      <c r="G896" s="104" t="n"/>
      <c r="H896" s="102" t="n"/>
      <c r="I896" s="105" t="n"/>
      <c r="J896" s="105" t="n"/>
      <c r="K896" s="103" t="n"/>
      <c r="L896" s="106" t="str">
        <f>IF(OR(D896="",E896=""),"",D896+IF(E896="NOTIFICAÇÃO DE CONSTATAÇÃO",PrazoConst,PrazoEsc))</f>
        <v/>
      </c>
      <c r="M896" s="107" t="str">
        <f>IF(L896="","",L896-TODAY())</f>
        <v/>
      </c>
      <c r="N896" s="108" t="str">
        <f>IF(B896="","",IF(G896="DECISÃO D.P","EM DECISÃO",IF(G896="","SEM STATUS",IF(M896="","SEM DATA",IF(M896&lt;0,"VENCIDO",IF(M896&lt;=DiasAlerta,"VENCE EM BREVE","NO PRAZO"))))))</f>
        <v/>
      </c>
      <c r="O896" s="109" t="str">
        <f>IF(D896="","",TODAY()-D896)</f>
        <v/>
      </c>
      <c r="P896" s="102" t="n"/>
    </row>
    <row r="897" ht="18" customHeight="1">
      <c r="A897" s="101" t="n"/>
      <c r="B897" s="102" t="n"/>
      <c r="C897" s="102" t="n"/>
      <c r="D897" s="103" t="n"/>
      <c r="E897" s="102" t="n"/>
      <c r="F897" s="104" t="n"/>
      <c r="G897" s="104" t="n"/>
      <c r="H897" s="102" t="n"/>
      <c r="I897" s="105" t="n"/>
      <c r="J897" s="105" t="n"/>
      <c r="K897" s="103" t="n"/>
      <c r="L897" s="106" t="str">
        <f>IF(OR(D897="",E897=""),"",D897+IF(E897="NOTIFICAÇÃO DE CONSTATAÇÃO",PrazoConst,PrazoEsc))</f>
        <v/>
      </c>
      <c r="M897" s="107" t="str">
        <f>IF(L897="","",L897-TODAY())</f>
        <v/>
      </c>
      <c r="N897" s="108" t="str">
        <f>IF(B897="","",IF(G897="DECISÃO D.P","EM DECISÃO",IF(G897="","SEM STATUS",IF(M897="","SEM DATA",IF(M897&lt;0,"VENCIDO",IF(M897&lt;=DiasAlerta,"VENCE EM BREVE","NO PRAZO"))))))</f>
        <v/>
      </c>
      <c r="O897" s="109" t="str">
        <f>IF(D897="","",TODAY()-D897)</f>
        <v/>
      </c>
      <c r="P897" s="102" t="n"/>
    </row>
    <row r="898" ht="18" customHeight="1">
      <c r="A898" s="101" t="n"/>
      <c r="B898" s="102" t="n"/>
      <c r="C898" s="102" t="n"/>
      <c r="D898" s="103" t="n"/>
      <c r="E898" s="102" t="n"/>
      <c r="F898" s="104" t="n"/>
      <c r="G898" s="104" t="n"/>
      <c r="H898" s="102" t="n"/>
      <c r="I898" s="105" t="n"/>
      <c r="J898" s="105" t="n"/>
      <c r="K898" s="103" t="n"/>
      <c r="L898" s="106" t="str">
        <f>IF(OR(D898="",E898=""),"",D898+IF(E898="NOTIFICAÇÃO DE CONSTATAÇÃO",PrazoConst,PrazoEsc))</f>
        <v/>
      </c>
      <c r="M898" s="107" t="str">
        <f>IF(L898="","",L898-TODAY())</f>
        <v/>
      </c>
      <c r="N898" s="108" t="str">
        <f>IF(B898="","",IF(G898="DECISÃO D.P","EM DECISÃO",IF(G898="","SEM STATUS",IF(M898="","SEM DATA",IF(M898&lt;0,"VENCIDO",IF(M898&lt;=DiasAlerta,"VENCE EM BREVE","NO PRAZO"))))))</f>
        <v/>
      </c>
      <c r="O898" s="109" t="str">
        <f>IF(D898="","",TODAY()-D898)</f>
        <v/>
      </c>
      <c r="P898" s="102" t="n"/>
    </row>
    <row r="899" ht="18" customHeight="1">
      <c r="A899" s="101" t="n"/>
      <c r="B899" s="102" t="n"/>
      <c r="C899" s="102" t="n"/>
      <c r="D899" s="103" t="n"/>
      <c r="E899" s="102" t="n"/>
      <c r="F899" s="104" t="n"/>
      <c r="G899" s="104" t="n"/>
      <c r="H899" s="102" t="n"/>
      <c r="I899" s="105" t="n"/>
      <c r="J899" s="105" t="n"/>
      <c r="K899" s="103" t="n"/>
      <c r="L899" s="106" t="str">
        <f>IF(OR(D899="",E899=""),"",D899+IF(E899="NOTIFICAÇÃO DE CONSTATAÇÃO",PrazoConst,PrazoEsc))</f>
        <v/>
      </c>
      <c r="M899" s="107" t="str">
        <f>IF(L899="","",L899-TODAY())</f>
        <v/>
      </c>
      <c r="N899" s="108" t="str">
        <f>IF(B899="","",IF(G899="DECISÃO D.P","EM DECISÃO",IF(G899="","SEM STATUS",IF(M899="","SEM DATA",IF(M899&lt;0,"VENCIDO",IF(M899&lt;=DiasAlerta,"VENCE EM BREVE","NO PRAZO"))))))</f>
        <v/>
      </c>
      <c r="O899" s="109" t="str">
        <f>IF(D899="","",TODAY()-D899)</f>
        <v/>
      </c>
      <c r="P899" s="102" t="n"/>
    </row>
    <row r="900" ht="18" customHeight="1">
      <c r="A900" s="101" t="n"/>
      <c r="B900" s="102" t="n"/>
      <c r="C900" s="102" t="n"/>
      <c r="D900" s="103" t="n"/>
      <c r="E900" s="102" t="n"/>
      <c r="F900" s="104" t="n"/>
      <c r="G900" s="104" t="n"/>
      <c r="H900" s="102" t="n"/>
      <c r="I900" s="105" t="n"/>
      <c r="J900" s="105" t="n"/>
      <c r="K900" s="103" t="n"/>
      <c r="L900" s="106" t="str">
        <f>IF(OR(D900="",E900=""),"",D900+IF(E900="NOTIFICAÇÃO DE CONSTATAÇÃO",PrazoConst,PrazoEsc))</f>
        <v/>
      </c>
      <c r="M900" s="107" t="str">
        <f>IF(L900="","",L900-TODAY())</f>
        <v/>
      </c>
      <c r="N900" s="108" t="str">
        <f>IF(B900="","",IF(G900="DECISÃO D.P","EM DECISÃO",IF(G900="","SEM STATUS",IF(M900="","SEM DATA",IF(M900&lt;0,"VENCIDO",IF(M900&lt;=DiasAlerta,"VENCE EM BREVE","NO PRAZO"))))))</f>
        <v/>
      </c>
      <c r="O900" s="109" t="str">
        <f>IF(D900="","",TODAY()-D900)</f>
        <v/>
      </c>
      <c r="P900" s="102" t="n"/>
    </row>
    <row r="901" ht="18" customHeight="1">
      <c r="A901" s="101" t="n"/>
      <c r="B901" s="102" t="n"/>
      <c r="C901" s="102" t="n"/>
      <c r="D901" s="103" t="n"/>
      <c r="E901" s="102" t="n"/>
      <c r="F901" s="104" t="n"/>
      <c r="G901" s="104" t="n"/>
      <c r="H901" s="102" t="n"/>
      <c r="I901" s="105" t="n"/>
      <c r="J901" s="105" t="n"/>
      <c r="K901" s="103" t="n"/>
      <c r="L901" s="106" t="str">
        <f>IF(OR(D901="",E901=""),"",D901+IF(E901="NOTIFICAÇÃO DE CONSTATAÇÃO",PrazoConst,PrazoEsc))</f>
        <v/>
      </c>
      <c r="M901" s="107" t="str">
        <f>IF(L901="","",L901-TODAY())</f>
        <v/>
      </c>
      <c r="N901" s="108" t="str">
        <f>IF(B901="","",IF(G901="DECISÃO D.P","EM DECISÃO",IF(G901="","SEM STATUS",IF(M901="","SEM DATA",IF(M901&lt;0,"VENCIDO",IF(M901&lt;=DiasAlerta,"VENCE EM BREVE","NO PRAZO"))))))</f>
        <v/>
      </c>
      <c r="O901" s="109" t="str">
        <f>IF(D901="","",TODAY()-D901)</f>
        <v/>
      </c>
      <c r="P901" s="102" t="n"/>
    </row>
    <row r="902" ht="18" customHeight="1">
      <c r="A902" s="101" t="n"/>
      <c r="B902" s="102" t="n"/>
      <c r="C902" s="102" t="n"/>
      <c r="D902" s="103" t="n"/>
      <c r="E902" s="102" t="n"/>
      <c r="F902" s="104" t="n"/>
      <c r="G902" s="104" t="n"/>
      <c r="H902" s="102" t="n"/>
      <c r="I902" s="105" t="n"/>
      <c r="J902" s="105" t="n"/>
      <c r="K902" s="103" t="n"/>
      <c r="L902" s="106" t="str">
        <f>IF(OR(D902="",E902=""),"",D902+IF(E902="NOTIFICAÇÃO DE CONSTATAÇÃO",PrazoConst,PrazoEsc))</f>
        <v/>
      </c>
      <c r="M902" s="107" t="str">
        <f>IF(L902="","",L902-TODAY())</f>
        <v/>
      </c>
      <c r="N902" s="108" t="str">
        <f>IF(B902="","",IF(G902="DECISÃO D.P","EM DECISÃO",IF(G902="","SEM STATUS",IF(M902="","SEM DATA",IF(M902&lt;0,"VENCIDO",IF(M902&lt;=DiasAlerta,"VENCE EM BREVE","NO PRAZO"))))))</f>
        <v/>
      </c>
      <c r="O902" s="109" t="str">
        <f>IF(D902="","",TODAY()-D902)</f>
        <v/>
      </c>
      <c r="P902" s="102" t="n"/>
    </row>
    <row r="903" ht="18" customHeight="1">
      <c r="A903" s="101" t="n"/>
      <c r="B903" s="102" t="n"/>
      <c r="C903" s="102" t="n"/>
      <c r="D903" s="103" t="n"/>
      <c r="E903" s="102" t="n"/>
      <c r="F903" s="104" t="n"/>
      <c r="G903" s="104" t="n"/>
      <c r="H903" s="102" t="n"/>
      <c r="I903" s="105" t="n"/>
      <c r="J903" s="105" t="n"/>
      <c r="K903" s="103" t="n"/>
      <c r="L903" s="106" t="str">
        <f>IF(OR(D903="",E903=""),"",D903+IF(E903="NOTIFICAÇÃO DE CONSTATAÇÃO",PrazoConst,PrazoEsc))</f>
        <v/>
      </c>
      <c r="M903" s="107" t="str">
        <f>IF(L903="","",L903-TODAY())</f>
        <v/>
      </c>
      <c r="N903" s="108" t="str">
        <f>IF(B903="","",IF(G903="DECISÃO D.P","EM DECISÃO",IF(G903="","SEM STATUS",IF(M903="","SEM DATA",IF(M903&lt;0,"VENCIDO",IF(M903&lt;=DiasAlerta,"VENCE EM BREVE","NO PRAZO"))))))</f>
        <v/>
      </c>
      <c r="O903" s="109" t="str">
        <f>IF(D903="","",TODAY()-D903)</f>
        <v/>
      </c>
      <c r="P903" s="102" t="n"/>
    </row>
    <row r="904" ht="18" customHeight="1">
      <c r="A904" s="101" t="n"/>
      <c r="B904" s="102" t="n"/>
      <c r="C904" s="102" t="n"/>
      <c r="D904" s="103" t="n"/>
      <c r="E904" s="102" t="n"/>
      <c r="F904" s="104" t="n"/>
      <c r="G904" s="104" t="n"/>
      <c r="H904" s="102" t="n"/>
      <c r="I904" s="105" t="n"/>
      <c r="J904" s="105" t="n"/>
      <c r="K904" s="103" t="n"/>
      <c r="L904" s="106" t="str">
        <f>IF(OR(D904="",E904=""),"",D904+IF(E904="NOTIFICAÇÃO DE CONSTATAÇÃO",PrazoConst,PrazoEsc))</f>
        <v/>
      </c>
      <c r="M904" s="107" t="str">
        <f>IF(L904="","",L904-TODAY())</f>
        <v/>
      </c>
      <c r="N904" s="108" t="str">
        <f>IF(B904="","",IF(G904="DECISÃO D.P","EM DECISÃO",IF(G904="","SEM STATUS",IF(M904="","SEM DATA",IF(M904&lt;0,"VENCIDO",IF(M904&lt;=DiasAlerta,"VENCE EM BREVE","NO PRAZO"))))))</f>
        <v/>
      </c>
      <c r="O904" s="109" t="str">
        <f>IF(D904="","",TODAY()-D904)</f>
        <v/>
      </c>
      <c r="P904" s="102" t="n"/>
    </row>
    <row r="905" ht="18" customHeight="1">
      <c r="A905" s="101" t="n"/>
      <c r="B905" s="102" t="n"/>
      <c r="C905" s="102" t="n"/>
      <c r="D905" s="103" t="n"/>
      <c r="E905" s="102" t="n"/>
      <c r="F905" s="104" t="n"/>
      <c r="G905" s="104" t="n"/>
      <c r="H905" s="102" t="n"/>
      <c r="I905" s="105" t="n"/>
      <c r="J905" s="105" t="n"/>
      <c r="K905" s="103" t="n"/>
      <c r="L905" s="106" t="str">
        <f>IF(OR(D905="",E905=""),"",D905+IF(E905="NOTIFICAÇÃO DE CONSTATAÇÃO",PrazoConst,PrazoEsc))</f>
        <v/>
      </c>
      <c r="M905" s="107" t="str">
        <f>IF(L905="","",L905-TODAY())</f>
        <v/>
      </c>
      <c r="N905" s="108" t="str">
        <f>IF(B905="","",IF(G905="DECISÃO D.P","EM DECISÃO",IF(G905="","SEM STATUS",IF(M905="","SEM DATA",IF(M905&lt;0,"VENCIDO",IF(M905&lt;=DiasAlerta,"VENCE EM BREVE","NO PRAZO"))))))</f>
        <v/>
      </c>
      <c r="O905" s="109" t="str">
        <f>IF(D905="","",TODAY()-D905)</f>
        <v/>
      </c>
      <c r="P905" s="102" t="n"/>
    </row>
    <row r="906" ht="18" customHeight="1">
      <c r="A906" s="101" t="n"/>
      <c r="B906" s="102" t="n"/>
      <c r="C906" s="102" t="n"/>
      <c r="D906" s="103" t="n"/>
      <c r="E906" s="102" t="n"/>
      <c r="F906" s="104" t="n"/>
      <c r="G906" s="104" t="n"/>
      <c r="H906" s="102" t="n"/>
      <c r="I906" s="105" t="n"/>
      <c r="J906" s="105" t="n"/>
      <c r="K906" s="103" t="n"/>
      <c r="L906" s="106" t="str">
        <f>IF(OR(D906="",E906=""),"",D906+IF(E906="NOTIFICAÇÃO DE CONSTATAÇÃO",PrazoConst,PrazoEsc))</f>
        <v/>
      </c>
      <c r="M906" s="107" t="str">
        <f>IF(L906="","",L906-TODAY())</f>
        <v/>
      </c>
      <c r="N906" s="108" t="str">
        <f>IF(B906="","",IF(G906="DECISÃO D.P","EM DECISÃO",IF(G906="","SEM STATUS",IF(M906="","SEM DATA",IF(M906&lt;0,"VENCIDO",IF(M906&lt;=DiasAlerta,"VENCE EM BREVE","NO PRAZO"))))))</f>
        <v/>
      </c>
      <c r="O906" s="109" t="str">
        <f>IF(D906="","",TODAY()-D906)</f>
        <v/>
      </c>
      <c r="P906" s="102" t="n"/>
    </row>
    <row r="907" ht="18" customHeight="1">
      <c r="A907" s="101" t="n"/>
      <c r="B907" s="102" t="n"/>
      <c r="C907" s="102" t="n"/>
      <c r="D907" s="103" t="n"/>
      <c r="E907" s="102" t="n"/>
      <c r="F907" s="104" t="n"/>
      <c r="G907" s="104" t="n"/>
      <c r="H907" s="102" t="n"/>
      <c r="I907" s="105" t="n"/>
      <c r="J907" s="105" t="n"/>
      <c r="K907" s="103" t="n"/>
      <c r="L907" s="106" t="str">
        <f>IF(OR(D907="",E907=""),"",D907+IF(E907="NOTIFICAÇÃO DE CONSTATAÇÃO",PrazoConst,PrazoEsc))</f>
        <v/>
      </c>
      <c r="M907" s="107" t="str">
        <f>IF(L907="","",L907-TODAY())</f>
        <v/>
      </c>
      <c r="N907" s="108" t="str">
        <f>IF(B907="","",IF(G907="DECISÃO D.P","EM DECISÃO",IF(G907="","SEM STATUS",IF(M907="","SEM DATA",IF(M907&lt;0,"VENCIDO",IF(M907&lt;=DiasAlerta,"VENCE EM BREVE","NO PRAZO"))))))</f>
        <v/>
      </c>
      <c r="O907" s="109" t="str">
        <f>IF(D907="","",TODAY()-D907)</f>
        <v/>
      </c>
      <c r="P907" s="102" t="n"/>
    </row>
    <row r="908" ht="18" customHeight="1">
      <c r="A908" s="101" t="n"/>
      <c r="B908" s="102" t="n"/>
      <c r="C908" s="102" t="n"/>
      <c r="D908" s="103" t="n"/>
      <c r="E908" s="102" t="n"/>
      <c r="F908" s="104" t="n"/>
      <c r="G908" s="104" t="n"/>
      <c r="H908" s="102" t="n"/>
      <c r="I908" s="105" t="n"/>
      <c r="J908" s="105" t="n"/>
      <c r="K908" s="103" t="n"/>
      <c r="L908" s="106" t="str">
        <f>IF(OR(D908="",E908=""),"",D908+IF(E908="NOTIFICAÇÃO DE CONSTATAÇÃO",PrazoConst,PrazoEsc))</f>
        <v/>
      </c>
      <c r="M908" s="107" t="str">
        <f>IF(L908="","",L908-TODAY())</f>
        <v/>
      </c>
      <c r="N908" s="108" t="str">
        <f>IF(B908="","",IF(G908="DECISÃO D.P","EM DECISÃO",IF(G908="","SEM STATUS",IF(M908="","SEM DATA",IF(M908&lt;0,"VENCIDO",IF(M908&lt;=DiasAlerta,"VENCE EM BREVE","NO PRAZO"))))))</f>
        <v/>
      </c>
      <c r="O908" s="109" t="str">
        <f>IF(D908="","",TODAY()-D908)</f>
        <v/>
      </c>
      <c r="P908" s="102" t="n"/>
    </row>
    <row r="909" ht="18" customHeight="1">
      <c r="A909" s="101" t="n"/>
      <c r="B909" s="102" t="n"/>
      <c r="C909" s="102" t="n"/>
      <c r="D909" s="103" t="n"/>
      <c r="E909" s="102" t="n"/>
      <c r="F909" s="104" t="n"/>
      <c r="G909" s="104" t="n"/>
      <c r="H909" s="102" t="n"/>
      <c r="I909" s="105" t="n"/>
      <c r="J909" s="105" t="n"/>
      <c r="K909" s="103" t="n"/>
      <c r="L909" s="106" t="str">
        <f>IF(OR(D909="",E909=""),"",D909+IF(E909="NOTIFICAÇÃO DE CONSTATAÇÃO",PrazoConst,PrazoEsc))</f>
        <v/>
      </c>
      <c r="M909" s="107" t="str">
        <f>IF(L909="","",L909-TODAY())</f>
        <v/>
      </c>
      <c r="N909" s="108" t="str">
        <f>IF(B909="","",IF(G909="DECISÃO D.P","EM DECISÃO",IF(G909="","SEM STATUS",IF(M909="","SEM DATA",IF(M909&lt;0,"VENCIDO",IF(M909&lt;=DiasAlerta,"VENCE EM BREVE","NO PRAZO"))))))</f>
        <v/>
      </c>
      <c r="O909" s="109" t="str">
        <f>IF(D909="","",TODAY()-D909)</f>
        <v/>
      </c>
      <c r="P909" s="102" t="n"/>
    </row>
    <row r="910" ht="18" customHeight="1">
      <c r="A910" s="101" t="n"/>
      <c r="B910" s="102" t="n"/>
      <c r="C910" s="102" t="n"/>
      <c r="D910" s="103" t="n"/>
      <c r="E910" s="102" t="n"/>
      <c r="F910" s="104" t="n"/>
      <c r="G910" s="104" t="n"/>
      <c r="H910" s="102" t="n"/>
      <c r="I910" s="105" t="n"/>
      <c r="J910" s="105" t="n"/>
      <c r="K910" s="103" t="n"/>
      <c r="L910" s="106" t="str">
        <f>IF(OR(D910="",E910=""),"",D910+IF(E910="NOTIFICAÇÃO DE CONSTATAÇÃO",PrazoConst,PrazoEsc))</f>
        <v/>
      </c>
      <c r="M910" s="107" t="str">
        <f>IF(L910="","",L910-TODAY())</f>
        <v/>
      </c>
      <c r="N910" s="108" t="str">
        <f>IF(B910="","",IF(G910="DECISÃO D.P","EM DECISÃO",IF(G910="","SEM STATUS",IF(M910="","SEM DATA",IF(M910&lt;0,"VENCIDO",IF(M910&lt;=DiasAlerta,"VENCE EM BREVE","NO PRAZO"))))))</f>
        <v/>
      </c>
      <c r="O910" s="109" t="str">
        <f>IF(D910="","",TODAY()-D910)</f>
        <v/>
      </c>
      <c r="P910" s="102" t="n"/>
    </row>
    <row r="911" ht="18" customHeight="1">
      <c r="A911" s="101" t="n"/>
      <c r="B911" s="102" t="n"/>
      <c r="C911" s="102" t="n"/>
      <c r="D911" s="103" t="n"/>
      <c r="E911" s="102" t="n"/>
      <c r="F911" s="104" t="n"/>
      <c r="G911" s="104" t="n"/>
      <c r="H911" s="102" t="n"/>
      <c r="I911" s="105" t="n"/>
      <c r="J911" s="105" t="n"/>
      <c r="K911" s="103" t="n"/>
      <c r="L911" s="106" t="str">
        <f>IF(OR(D911="",E911=""),"",D911+IF(E911="NOTIFICAÇÃO DE CONSTATAÇÃO",PrazoConst,PrazoEsc))</f>
        <v/>
      </c>
      <c r="M911" s="107" t="str">
        <f>IF(L911="","",L911-TODAY())</f>
        <v/>
      </c>
      <c r="N911" s="108" t="str">
        <f>IF(B911="","",IF(G911="DECISÃO D.P","EM DECISÃO",IF(G911="","SEM STATUS",IF(M911="","SEM DATA",IF(M911&lt;0,"VENCIDO",IF(M911&lt;=DiasAlerta,"VENCE EM BREVE","NO PRAZO"))))))</f>
        <v/>
      </c>
      <c r="O911" s="109" t="str">
        <f>IF(D911="","",TODAY()-D911)</f>
        <v/>
      </c>
      <c r="P911" s="102" t="n"/>
    </row>
    <row r="912" ht="18" customHeight="1">
      <c r="A912" s="101" t="n"/>
      <c r="B912" s="102" t="n"/>
      <c r="C912" s="102" t="n"/>
      <c r="D912" s="103" t="n"/>
      <c r="E912" s="102" t="n"/>
      <c r="F912" s="104" t="n"/>
      <c r="G912" s="104" t="n"/>
      <c r="H912" s="102" t="n"/>
      <c r="I912" s="105" t="n"/>
      <c r="J912" s="105" t="n"/>
      <c r="K912" s="103" t="n"/>
      <c r="L912" s="106" t="str">
        <f>IF(OR(D912="",E912=""),"",D912+IF(E912="NOTIFICAÇÃO DE CONSTATAÇÃO",PrazoConst,PrazoEsc))</f>
        <v/>
      </c>
      <c r="M912" s="107" t="str">
        <f>IF(L912="","",L912-TODAY())</f>
        <v/>
      </c>
      <c r="N912" s="108" t="str">
        <f>IF(B912="","",IF(G912="DECISÃO D.P","EM DECISÃO",IF(G912="","SEM STATUS",IF(M912="","SEM DATA",IF(M912&lt;0,"VENCIDO",IF(M912&lt;=DiasAlerta,"VENCE EM BREVE","NO PRAZO"))))))</f>
        <v/>
      </c>
      <c r="O912" s="109" t="str">
        <f>IF(D912="","",TODAY()-D912)</f>
        <v/>
      </c>
      <c r="P912" s="102" t="n"/>
    </row>
    <row r="913" ht="18" customHeight="1">
      <c r="A913" s="101" t="n"/>
      <c r="B913" s="102" t="n"/>
      <c r="C913" s="102" t="n"/>
      <c r="D913" s="103" t="n"/>
      <c r="E913" s="102" t="n"/>
      <c r="F913" s="104" t="n"/>
      <c r="G913" s="104" t="n"/>
      <c r="H913" s="102" t="n"/>
      <c r="I913" s="105" t="n"/>
      <c r="J913" s="105" t="n"/>
      <c r="K913" s="103" t="n"/>
      <c r="L913" s="106" t="str">
        <f>IF(OR(D913="",E913=""),"",D913+IF(E913="NOTIFICAÇÃO DE CONSTATAÇÃO",PrazoConst,PrazoEsc))</f>
        <v/>
      </c>
      <c r="M913" s="107" t="str">
        <f>IF(L913="","",L913-TODAY())</f>
        <v/>
      </c>
      <c r="N913" s="108" t="str">
        <f>IF(B913="","",IF(G913="DECISÃO D.P","EM DECISÃO",IF(G913="","SEM STATUS",IF(M913="","SEM DATA",IF(M913&lt;0,"VENCIDO",IF(M913&lt;=DiasAlerta,"VENCE EM BREVE","NO PRAZO"))))))</f>
        <v/>
      </c>
      <c r="O913" s="109" t="str">
        <f>IF(D913="","",TODAY()-D913)</f>
        <v/>
      </c>
      <c r="P913" s="102" t="n"/>
    </row>
    <row r="914" ht="18" customHeight="1">
      <c r="A914" s="101" t="n"/>
      <c r="B914" s="102" t="n"/>
      <c r="C914" s="102" t="n"/>
      <c r="D914" s="103" t="n"/>
      <c r="E914" s="102" t="n"/>
      <c r="F914" s="104" t="n"/>
      <c r="G914" s="104" t="n"/>
      <c r="H914" s="102" t="n"/>
      <c r="I914" s="105" t="n"/>
      <c r="J914" s="105" t="n"/>
      <c r="K914" s="103" t="n"/>
      <c r="L914" s="106" t="str">
        <f>IF(OR(D914="",E914=""),"",D914+IF(E914="NOTIFICAÇÃO DE CONSTATAÇÃO",PrazoConst,PrazoEsc))</f>
        <v/>
      </c>
      <c r="M914" s="107" t="str">
        <f>IF(L914="","",L914-TODAY())</f>
        <v/>
      </c>
      <c r="N914" s="108" t="str">
        <f>IF(B914="","",IF(G914="DECISÃO D.P","EM DECISÃO",IF(G914="","SEM STATUS",IF(M914="","SEM DATA",IF(M914&lt;0,"VENCIDO",IF(M914&lt;=DiasAlerta,"VENCE EM BREVE","NO PRAZO"))))))</f>
        <v/>
      </c>
      <c r="O914" s="109" t="str">
        <f>IF(D914="","",TODAY()-D914)</f>
        <v/>
      </c>
      <c r="P914" s="102" t="n"/>
    </row>
    <row r="915" ht="18" customHeight="1">
      <c r="A915" s="101" t="n"/>
      <c r="B915" s="102" t="n"/>
      <c r="C915" s="102" t="n"/>
      <c r="D915" s="103" t="n"/>
      <c r="E915" s="102" t="n"/>
      <c r="F915" s="104" t="n"/>
      <c r="G915" s="104" t="n"/>
      <c r="H915" s="102" t="n"/>
      <c r="I915" s="105" t="n"/>
      <c r="J915" s="105" t="n"/>
      <c r="K915" s="103" t="n"/>
      <c r="L915" s="106" t="str">
        <f>IF(OR(D915="",E915=""),"",D915+IF(E915="NOTIFICAÇÃO DE CONSTATAÇÃO",PrazoConst,PrazoEsc))</f>
        <v/>
      </c>
      <c r="M915" s="107" t="str">
        <f>IF(L915="","",L915-TODAY())</f>
        <v/>
      </c>
      <c r="N915" s="108" t="str">
        <f>IF(B915="","",IF(G915="DECISÃO D.P","EM DECISÃO",IF(G915="","SEM STATUS",IF(M915="","SEM DATA",IF(M915&lt;0,"VENCIDO",IF(M915&lt;=DiasAlerta,"VENCE EM BREVE","NO PRAZO"))))))</f>
        <v/>
      </c>
      <c r="O915" s="109" t="str">
        <f>IF(D915="","",TODAY()-D915)</f>
        <v/>
      </c>
      <c r="P915" s="102" t="n"/>
    </row>
    <row r="916" ht="18" customHeight="1">
      <c r="A916" s="101" t="n"/>
      <c r="B916" s="102" t="n"/>
      <c r="C916" s="102" t="n"/>
      <c r="D916" s="103" t="n"/>
      <c r="E916" s="102" t="n"/>
      <c r="F916" s="104" t="n"/>
      <c r="G916" s="104" t="n"/>
      <c r="H916" s="102" t="n"/>
      <c r="I916" s="105" t="n"/>
      <c r="J916" s="105" t="n"/>
      <c r="K916" s="103" t="n"/>
      <c r="L916" s="106" t="str">
        <f>IF(OR(D916="",E916=""),"",D916+IF(E916="NOTIFICAÇÃO DE CONSTATAÇÃO",PrazoConst,PrazoEsc))</f>
        <v/>
      </c>
      <c r="M916" s="107" t="str">
        <f>IF(L916="","",L916-TODAY())</f>
        <v/>
      </c>
      <c r="N916" s="108" t="str">
        <f>IF(B916="","",IF(G916="DECISÃO D.P","EM DECISÃO",IF(G916="","SEM STATUS",IF(M916="","SEM DATA",IF(M916&lt;0,"VENCIDO",IF(M916&lt;=DiasAlerta,"VENCE EM BREVE","NO PRAZO"))))))</f>
        <v/>
      </c>
      <c r="O916" s="109" t="str">
        <f>IF(D916="","",TODAY()-D916)</f>
        <v/>
      </c>
      <c r="P916" s="102" t="n"/>
    </row>
    <row r="917" ht="18" customHeight="1">
      <c r="A917" s="101" t="n"/>
      <c r="B917" s="102" t="n"/>
      <c r="C917" s="102" t="n"/>
      <c r="D917" s="103" t="n"/>
      <c r="E917" s="102" t="n"/>
      <c r="F917" s="104" t="n"/>
      <c r="G917" s="104" t="n"/>
      <c r="H917" s="102" t="n"/>
      <c r="I917" s="105" t="n"/>
      <c r="J917" s="105" t="n"/>
      <c r="K917" s="103" t="n"/>
      <c r="L917" s="106" t="str">
        <f>IF(OR(D917="",E917=""),"",D917+IF(E917="NOTIFICAÇÃO DE CONSTATAÇÃO",PrazoConst,PrazoEsc))</f>
        <v/>
      </c>
      <c r="M917" s="107" t="str">
        <f>IF(L917="","",L917-TODAY())</f>
        <v/>
      </c>
      <c r="N917" s="108" t="str">
        <f>IF(B917="","",IF(G917="DECISÃO D.P","EM DECISÃO",IF(G917="","SEM STATUS",IF(M917="","SEM DATA",IF(M917&lt;0,"VENCIDO",IF(M917&lt;=DiasAlerta,"VENCE EM BREVE","NO PRAZO"))))))</f>
        <v/>
      </c>
      <c r="O917" s="109" t="str">
        <f>IF(D917="","",TODAY()-D917)</f>
        <v/>
      </c>
      <c r="P917" s="102" t="n"/>
    </row>
    <row r="918" ht="18" customHeight="1">
      <c r="A918" s="101" t="n"/>
      <c r="B918" s="102" t="n"/>
      <c r="C918" s="102" t="n"/>
      <c r="D918" s="103" t="n"/>
      <c r="E918" s="102" t="n"/>
      <c r="F918" s="104" t="n"/>
      <c r="G918" s="104" t="n"/>
      <c r="H918" s="102" t="n"/>
      <c r="I918" s="105" t="n"/>
      <c r="J918" s="105" t="n"/>
      <c r="K918" s="103" t="n"/>
      <c r="L918" s="106" t="str">
        <f>IF(OR(D918="",E918=""),"",D918+IF(E918="NOTIFICAÇÃO DE CONSTATAÇÃO",PrazoConst,PrazoEsc))</f>
        <v/>
      </c>
      <c r="M918" s="107" t="str">
        <f>IF(L918="","",L918-TODAY())</f>
        <v/>
      </c>
      <c r="N918" s="108" t="str">
        <f>IF(B918="","",IF(G918="DECISÃO D.P","EM DECISÃO",IF(G918="","SEM STATUS",IF(M918="","SEM DATA",IF(M918&lt;0,"VENCIDO",IF(M918&lt;=DiasAlerta,"VENCE EM BREVE","NO PRAZO"))))))</f>
        <v/>
      </c>
      <c r="O918" s="109" t="str">
        <f>IF(D918="","",TODAY()-D918)</f>
        <v/>
      </c>
      <c r="P918" s="102" t="n"/>
    </row>
    <row r="919" ht="18" customHeight="1">
      <c r="A919" s="101" t="n"/>
      <c r="B919" s="102" t="n"/>
      <c r="C919" s="102" t="n"/>
      <c r="D919" s="103" t="n"/>
      <c r="E919" s="102" t="n"/>
      <c r="F919" s="104" t="n"/>
      <c r="G919" s="104" t="n"/>
      <c r="H919" s="102" t="n"/>
      <c r="I919" s="105" t="n"/>
      <c r="J919" s="105" t="n"/>
      <c r="K919" s="103" t="n"/>
      <c r="L919" s="106" t="str">
        <f>IF(OR(D919="",E919=""),"",D919+IF(E919="NOTIFICAÇÃO DE CONSTATAÇÃO",PrazoConst,PrazoEsc))</f>
        <v/>
      </c>
      <c r="M919" s="107" t="str">
        <f>IF(L919="","",L919-TODAY())</f>
        <v/>
      </c>
      <c r="N919" s="108" t="str">
        <f>IF(B919="","",IF(G919="DECISÃO D.P","EM DECISÃO",IF(G919="","SEM STATUS",IF(M919="","SEM DATA",IF(M919&lt;0,"VENCIDO",IF(M919&lt;=DiasAlerta,"VENCE EM BREVE","NO PRAZO"))))))</f>
        <v/>
      </c>
      <c r="O919" s="109" t="str">
        <f>IF(D919="","",TODAY()-D919)</f>
        <v/>
      </c>
      <c r="P919" s="102" t="n"/>
    </row>
    <row r="920" ht="18" customHeight="1">
      <c r="A920" s="101" t="n"/>
      <c r="B920" s="102" t="n"/>
      <c r="C920" s="102" t="n"/>
      <c r="D920" s="103" t="n"/>
      <c r="E920" s="102" t="n"/>
      <c r="F920" s="104" t="n"/>
      <c r="G920" s="104" t="n"/>
      <c r="H920" s="102" t="n"/>
      <c r="I920" s="105" t="n"/>
      <c r="J920" s="105" t="n"/>
      <c r="K920" s="103" t="n"/>
      <c r="L920" s="106" t="str">
        <f>IF(OR(D920="",E920=""),"",D920+IF(E920="NOTIFICAÇÃO DE CONSTATAÇÃO",PrazoConst,PrazoEsc))</f>
        <v/>
      </c>
      <c r="M920" s="107" t="str">
        <f>IF(L920="","",L920-TODAY())</f>
        <v/>
      </c>
      <c r="N920" s="108" t="str">
        <f>IF(B920="","",IF(G920="DECISÃO D.P","EM DECISÃO",IF(G920="","SEM STATUS",IF(M920="","SEM DATA",IF(M920&lt;0,"VENCIDO",IF(M920&lt;=DiasAlerta,"VENCE EM BREVE","NO PRAZO"))))))</f>
        <v/>
      </c>
      <c r="O920" s="109" t="str">
        <f>IF(D920="","",TODAY()-D920)</f>
        <v/>
      </c>
      <c r="P920" s="102" t="n"/>
    </row>
    <row r="921" ht="18" customHeight="1">
      <c r="A921" s="101" t="n"/>
      <c r="B921" s="102" t="n"/>
      <c r="C921" s="102" t="n"/>
      <c r="D921" s="103" t="n"/>
      <c r="E921" s="102" t="n"/>
      <c r="F921" s="104" t="n"/>
      <c r="G921" s="104" t="n"/>
      <c r="H921" s="102" t="n"/>
      <c r="I921" s="105" t="n"/>
      <c r="J921" s="105" t="n"/>
      <c r="K921" s="103" t="n"/>
      <c r="L921" s="106" t="str">
        <f>IF(OR(D921="",E921=""),"",D921+IF(E921="NOTIFICAÇÃO DE CONSTATAÇÃO",PrazoConst,PrazoEsc))</f>
        <v/>
      </c>
      <c r="M921" s="107" t="str">
        <f>IF(L921="","",L921-TODAY())</f>
        <v/>
      </c>
      <c r="N921" s="108" t="str">
        <f>IF(B921="","",IF(G921="DECISÃO D.P","EM DECISÃO",IF(G921="","SEM STATUS",IF(M921="","SEM DATA",IF(M921&lt;0,"VENCIDO",IF(M921&lt;=DiasAlerta,"VENCE EM BREVE","NO PRAZO"))))))</f>
        <v/>
      </c>
      <c r="O921" s="109" t="str">
        <f>IF(D921="","",TODAY()-D921)</f>
        <v/>
      </c>
      <c r="P921" s="102" t="n"/>
    </row>
    <row r="922" ht="18" customHeight="1">
      <c r="A922" s="101" t="n"/>
      <c r="B922" s="102" t="n"/>
      <c r="C922" s="102" t="n"/>
      <c r="D922" s="103" t="n"/>
      <c r="E922" s="102" t="n"/>
      <c r="F922" s="104" t="n"/>
      <c r="G922" s="104" t="n"/>
      <c r="H922" s="102" t="n"/>
      <c r="I922" s="105" t="n"/>
      <c r="J922" s="105" t="n"/>
      <c r="K922" s="103" t="n"/>
      <c r="L922" s="106" t="str">
        <f>IF(OR(D922="",E922=""),"",D922+IF(E922="NOTIFICAÇÃO DE CONSTATAÇÃO",PrazoConst,PrazoEsc))</f>
        <v/>
      </c>
      <c r="M922" s="107" t="str">
        <f>IF(L922="","",L922-TODAY())</f>
        <v/>
      </c>
      <c r="N922" s="108" t="str">
        <f>IF(B922="","",IF(G922="DECISÃO D.P","EM DECISÃO",IF(G922="","SEM STATUS",IF(M922="","SEM DATA",IF(M922&lt;0,"VENCIDO",IF(M922&lt;=DiasAlerta,"VENCE EM BREVE","NO PRAZO"))))))</f>
        <v/>
      </c>
      <c r="O922" s="109" t="str">
        <f>IF(D922="","",TODAY()-D922)</f>
        <v/>
      </c>
      <c r="P922" s="102" t="n"/>
    </row>
    <row r="923" ht="18" customHeight="1">
      <c r="A923" s="101" t="n"/>
      <c r="B923" s="102" t="n"/>
      <c r="C923" s="102" t="n"/>
      <c r="D923" s="103" t="n"/>
      <c r="E923" s="102" t="n"/>
      <c r="F923" s="104" t="n"/>
      <c r="G923" s="104" t="n"/>
      <c r="H923" s="102" t="n"/>
      <c r="I923" s="105" t="n"/>
      <c r="J923" s="105" t="n"/>
      <c r="K923" s="103" t="n"/>
      <c r="L923" s="106" t="str">
        <f>IF(OR(D923="",E923=""),"",D923+IF(E923="NOTIFICAÇÃO DE CONSTATAÇÃO",PrazoConst,PrazoEsc))</f>
        <v/>
      </c>
      <c r="M923" s="107" t="str">
        <f>IF(L923="","",L923-TODAY())</f>
        <v/>
      </c>
      <c r="N923" s="108" t="str">
        <f>IF(B923="","",IF(G923="DECISÃO D.P","EM DECISÃO",IF(G923="","SEM STATUS",IF(M923="","SEM DATA",IF(M923&lt;0,"VENCIDO",IF(M923&lt;=DiasAlerta,"VENCE EM BREVE","NO PRAZO"))))))</f>
        <v/>
      </c>
      <c r="O923" s="109" t="str">
        <f>IF(D923="","",TODAY()-D923)</f>
        <v/>
      </c>
      <c r="P923" s="102" t="n"/>
    </row>
    <row r="924" ht="18" customHeight="1">
      <c r="A924" s="101" t="n"/>
      <c r="B924" s="102" t="n"/>
      <c r="C924" s="102" t="n"/>
      <c r="D924" s="103" t="n"/>
      <c r="E924" s="102" t="n"/>
      <c r="F924" s="104" t="n"/>
      <c r="G924" s="104" t="n"/>
      <c r="H924" s="102" t="n"/>
      <c r="I924" s="105" t="n"/>
      <c r="J924" s="105" t="n"/>
      <c r="K924" s="103" t="n"/>
      <c r="L924" s="106" t="str">
        <f>IF(OR(D924="",E924=""),"",D924+IF(E924="NOTIFICAÇÃO DE CONSTATAÇÃO",PrazoConst,PrazoEsc))</f>
        <v/>
      </c>
      <c r="M924" s="107" t="str">
        <f>IF(L924="","",L924-TODAY())</f>
        <v/>
      </c>
      <c r="N924" s="108" t="str">
        <f>IF(B924="","",IF(G924="DECISÃO D.P","EM DECISÃO",IF(G924="","SEM STATUS",IF(M924="","SEM DATA",IF(M924&lt;0,"VENCIDO",IF(M924&lt;=DiasAlerta,"VENCE EM BREVE","NO PRAZO"))))))</f>
        <v/>
      </c>
      <c r="O924" s="109" t="str">
        <f>IF(D924="","",TODAY()-D924)</f>
        <v/>
      </c>
      <c r="P924" s="102" t="n"/>
    </row>
    <row r="925" ht="18" customHeight="1">
      <c r="A925" s="101" t="n"/>
      <c r="B925" s="102" t="n"/>
      <c r="C925" s="102" t="n"/>
      <c r="D925" s="103" t="n"/>
      <c r="E925" s="102" t="n"/>
      <c r="F925" s="104" t="n"/>
      <c r="G925" s="104" t="n"/>
      <c r="H925" s="102" t="n"/>
      <c r="I925" s="105" t="n"/>
      <c r="J925" s="105" t="n"/>
      <c r="K925" s="103" t="n"/>
      <c r="L925" s="106" t="str">
        <f>IF(OR(D925="",E925=""),"",D925+IF(E925="NOTIFICAÇÃO DE CONSTATAÇÃO",PrazoConst,PrazoEsc))</f>
        <v/>
      </c>
      <c r="M925" s="107" t="str">
        <f>IF(L925="","",L925-TODAY())</f>
        <v/>
      </c>
      <c r="N925" s="108" t="str">
        <f>IF(B925="","",IF(G925="DECISÃO D.P","EM DECISÃO",IF(G925="","SEM STATUS",IF(M925="","SEM DATA",IF(M925&lt;0,"VENCIDO",IF(M925&lt;=DiasAlerta,"VENCE EM BREVE","NO PRAZO"))))))</f>
        <v/>
      </c>
      <c r="O925" s="109" t="str">
        <f>IF(D925="","",TODAY()-D925)</f>
        <v/>
      </c>
      <c r="P925" s="102" t="n"/>
    </row>
    <row r="926" ht="18" customHeight="1">
      <c r="A926" s="101" t="n"/>
      <c r="B926" s="102" t="n"/>
      <c r="C926" s="102" t="n"/>
      <c r="D926" s="103" t="n"/>
      <c r="E926" s="102" t="n"/>
      <c r="F926" s="104" t="n"/>
      <c r="G926" s="104" t="n"/>
      <c r="H926" s="102" t="n"/>
      <c r="I926" s="105" t="n"/>
      <c r="J926" s="105" t="n"/>
      <c r="K926" s="103" t="n"/>
      <c r="L926" s="106" t="str">
        <f>IF(OR(D926="",E926=""),"",D926+IF(E926="NOTIFICAÇÃO DE CONSTATAÇÃO",PrazoConst,PrazoEsc))</f>
        <v/>
      </c>
      <c r="M926" s="107" t="str">
        <f>IF(L926="","",L926-TODAY())</f>
        <v/>
      </c>
      <c r="N926" s="108" t="str">
        <f>IF(B926="","",IF(G926="DECISÃO D.P","EM DECISÃO",IF(G926="","SEM STATUS",IF(M926="","SEM DATA",IF(M926&lt;0,"VENCIDO",IF(M926&lt;=DiasAlerta,"VENCE EM BREVE","NO PRAZO"))))))</f>
        <v/>
      </c>
      <c r="O926" s="109" t="str">
        <f>IF(D926="","",TODAY()-D926)</f>
        <v/>
      </c>
      <c r="P926" s="102" t="n"/>
    </row>
    <row r="927" ht="18" customHeight="1">
      <c r="A927" s="101" t="n"/>
      <c r="B927" s="102" t="n"/>
      <c r="C927" s="102" t="n"/>
      <c r="D927" s="103" t="n"/>
      <c r="E927" s="102" t="n"/>
      <c r="F927" s="104" t="n"/>
      <c r="G927" s="104" t="n"/>
      <c r="H927" s="102" t="n"/>
      <c r="I927" s="105" t="n"/>
      <c r="J927" s="105" t="n"/>
      <c r="K927" s="103" t="n"/>
      <c r="L927" s="106" t="str">
        <f>IF(OR(D927="",E927=""),"",D927+IF(E927="NOTIFICAÇÃO DE CONSTATAÇÃO",PrazoConst,PrazoEsc))</f>
        <v/>
      </c>
      <c r="M927" s="107" t="str">
        <f>IF(L927="","",L927-TODAY())</f>
        <v/>
      </c>
      <c r="N927" s="108" t="str">
        <f>IF(B927="","",IF(G927="DECISÃO D.P","EM DECISÃO",IF(G927="","SEM STATUS",IF(M927="","SEM DATA",IF(M927&lt;0,"VENCIDO",IF(M927&lt;=DiasAlerta,"VENCE EM BREVE","NO PRAZO"))))))</f>
        <v/>
      </c>
      <c r="O927" s="109" t="str">
        <f>IF(D927="","",TODAY()-D927)</f>
        <v/>
      </c>
      <c r="P927" s="102" t="n"/>
    </row>
    <row r="928" ht="18" customHeight="1">
      <c r="A928" s="101" t="n"/>
      <c r="B928" s="102" t="n"/>
      <c r="C928" s="102" t="n"/>
      <c r="D928" s="103" t="n"/>
      <c r="E928" s="102" t="n"/>
      <c r="F928" s="104" t="n"/>
      <c r="G928" s="104" t="n"/>
      <c r="H928" s="102" t="n"/>
      <c r="I928" s="105" t="n"/>
      <c r="J928" s="105" t="n"/>
      <c r="K928" s="103" t="n"/>
      <c r="L928" s="106" t="str">
        <f>IF(OR(D928="",E928=""),"",D928+IF(E928="NOTIFICAÇÃO DE CONSTATAÇÃO",PrazoConst,PrazoEsc))</f>
        <v/>
      </c>
      <c r="M928" s="107" t="str">
        <f>IF(L928="","",L928-TODAY())</f>
        <v/>
      </c>
      <c r="N928" s="108" t="str">
        <f>IF(B928="","",IF(G928="DECISÃO D.P","EM DECISÃO",IF(G928="","SEM STATUS",IF(M928="","SEM DATA",IF(M928&lt;0,"VENCIDO",IF(M928&lt;=DiasAlerta,"VENCE EM BREVE","NO PRAZO"))))))</f>
        <v/>
      </c>
      <c r="O928" s="109" t="str">
        <f>IF(D928="","",TODAY()-D928)</f>
        <v/>
      </c>
      <c r="P928" s="102" t="n"/>
    </row>
    <row r="929" ht="18" customHeight="1">
      <c r="A929" s="101" t="n"/>
      <c r="B929" s="102" t="n"/>
      <c r="C929" s="102" t="n"/>
      <c r="D929" s="103" t="n"/>
      <c r="E929" s="102" t="n"/>
      <c r="F929" s="104" t="n"/>
      <c r="G929" s="104" t="n"/>
      <c r="H929" s="102" t="n"/>
      <c r="I929" s="105" t="n"/>
      <c r="J929" s="105" t="n"/>
      <c r="K929" s="103" t="n"/>
      <c r="L929" s="106" t="str">
        <f>IF(OR(D929="",E929=""),"",D929+IF(E929="NOTIFICAÇÃO DE CONSTATAÇÃO",PrazoConst,PrazoEsc))</f>
        <v/>
      </c>
      <c r="M929" s="107" t="str">
        <f>IF(L929="","",L929-TODAY())</f>
        <v/>
      </c>
      <c r="N929" s="108" t="str">
        <f>IF(B929="","",IF(G929="DECISÃO D.P","EM DECISÃO",IF(G929="","SEM STATUS",IF(M929="","SEM DATA",IF(M929&lt;0,"VENCIDO",IF(M929&lt;=DiasAlerta,"VENCE EM BREVE","NO PRAZO"))))))</f>
        <v/>
      </c>
      <c r="O929" s="109" t="str">
        <f>IF(D929="","",TODAY()-D929)</f>
        <v/>
      </c>
      <c r="P929" s="102" t="n"/>
    </row>
    <row r="930" ht="18" customHeight="1">
      <c r="A930" s="101" t="n"/>
      <c r="B930" s="102" t="n"/>
      <c r="C930" s="102" t="n"/>
      <c r="D930" s="103" t="n"/>
      <c r="E930" s="102" t="n"/>
      <c r="F930" s="104" t="n"/>
      <c r="G930" s="104" t="n"/>
      <c r="H930" s="102" t="n"/>
      <c r="I930" s="105" t="n"/>
      <c r="J930" s="105" t="n"/>
      <c r="K930" s="103" t="n"/>
      <c r="L930" s="106" t="str">
        <f>IF(OR(D930="",E930=""),"",D930+IF(E930="NOTIFICAÇÃO DE CONSTATAÇÃO",PrazoConst,PrazoEsc))</f>
        <v/>
      </c>
      <c r="M930" s="107" t="str">
        <f>IF(L930="","",L930-TODAY())</f>
        <v/>
      </c>
      <c r="N930" s="108" t="str">
        <f>IF(B930="","",IF(G930="DECISÃO D.P","EM DECISÃO",IF(G930="","SEM STATUS",IF(M930="","SEM DATA",IF(M930&lt;0,"VENCIDO",IF(M930&lt;=DiasAlerta,"VENCE EM BREVE","NO PRAZO"))))))</f>
        <v/>
      </c>
      <c r="O930" s="109" t="str">
        <f>IF(D930="","",TODAY()-D930)</f>
        <v/>
      </c>
      <c r="P930" s="102" t="n"/>
    </row>
    <row r="931" ht="18" customHeight="1">
      <c r="A931" s="101" t="n"/>
      <c r="B931" s="102" t="n"/>
      <c r="C931" s="102" t="n"/>
      <c r="D931" s="103" t="n"/>
      <c r="E931" s="102" t="n"/>
      <c r="F931" s="104" t="n"/>
      <c r="G931" s="104" t="n"/>
      <c r="H931" s="102" t="n"/>
      <c r="I931" s="105" t="n"/>
      <c r="J931" s="105" t="n"/>
      <c r="K931" s="103" t="n"/>
      <c r="L931" s="106" t="str">
        <f>IF(OR(D931="",E931=""),"",D931+IF(E931="NOTIFICAÇÃO DE CONSTATAÇÃO",PrazoConst,PrazoEsc))</f>
        <v/>
      </c>
      <c r="M931" s="107" t="str">
        <f>IF(L931="","",L931-TODAY())</f>
        <v/>
      </c>
      <c r="N931" s="108" t="str">
        <f>IF(B931="","",IF(G931="DECISÃO D.P","EM DECISÃO",IF(G931="","SEM STATUS",IF(M931="","SEM DATA",IF(M931&lt;0,"VENCIDO",IF(M931&lt;=DiasAlerta,"VENCE EM BREVE","NO PRAZO"))))))</f>
        <v/>
      </c>
      <c r="O931" s="109" t="str">
        <f>IF(D931="","",TODAY()-D931)</f>
        <v/>
      </c>
      <c r="P931" s="102" t="n"/>
    </row>
    <row r="932" ht="18" customHeight="1">
      <c r="A932" s="101" t="n"/>
      <c r="B932" s="102" t="n"/>
      <c r="C932" s="102" t="n"/>
      <c r="D932" s="103" t="n"/>
      <c r="E932" s="102" t="n"/>
      <c r="F932" s="104" t="n"/>
      <c r="G932" s="104" t="n"/>
      <c r="H932" s="102" t="n"/>
      <c r="I932" s="105" t="n"/>
      <c r="J932" s="105" t="n"/>
      <c r="K932" s="103" t="n"/>
      <c r="L932" s="106" t="str">
        <f>IF(OR(D932="",E932=""),"",D932+IF(E932="NOTIFICAÇÃO DE CONSTATAÇÃO",PrazoConst,PrazoEsc))</f>
        <v/>
      </c>
      <c r="M932" s="107" t="str">
        <f>IF(L932="","",L932-TODAY())</f>
        <v/>
      </c>
      <c r="N932" s="108" t="str">
        <f>IF(B932="","",IF(G932="DECISÃO D.P","EM DECISÃO",IF(G932="","SEM STATUS",IF(M932="","SEM DATA",IF(M932&lt;0,"VENCIDO",IF(M932&lt;=DiasAlerta,"VENCE EM BREVE","NO PRAZO"))))))</f>
        <v/>
      </c>
      <c r="O932" s="109" t="str">
        <f>IF(D932="","",TODAY()-D932)</f>
        <v/>
      </c>
      <c r="P932" s="102" t="n"/>
    </row>
    <row r="933" ht="18" customHeight="1">
      <c r="A933" s="101" t="n"/>
      <c r="B933" s="102" t="n"/>
      <c r="C933" s="102" t="n"/>
      <c r="D933" s="103" t="n"/>
      <c r="E933" s="102" t="n"/>
      <c r="F933" s="104" t="n"/>
      <c r="G933" s="104" t="n"/>
      <c r="H933" s="102" t="n"/>
      <c r="I933" s="105" t="n"/>
      <c r="J933" s="105" t="n"/>
      <c r="K933" s="103" t="n"/>
      <c r="L933" s="106" t="str">
        <f>IF(OR(D933="",E933=""),"",D933+IF(E933="NOTIFICAÇÃO DE CONSTATAÇÃO",PrazoConst,PrazoEsc))</f>
        <v/>
      </c>
      <c r="M933" s="107" t="str">
        <f>IF(L933="","",L933-TODAY())</f>
        <v/>
      </c>
      <c r="N933" s="108" t="str">
        <f>IF(B933="","",IF(G933="DECISÃO D.P","EM DECISÃO",IF(G933="","SEM STATUS",IF(M933="","SEM DATA",IF(M933&lt;0,"VENCIDO",IF(M933&lt;=DiasAlerta,"VENCE EM BREVE","NO PRAZO"))))))</f>
        <v/>
      </c>
      <c r="O933" s="109" t="str">
        <f>IF(D933="","",TODAY()-D933)</f>
        <v/>
      </c>
      <c r="P933" s="102" t="n"/>
    </row>
    <row r="934" ht="18" customHeight="1">
      <c r="A934" s="101" t="n"/>
      <c r="B934" s="102" t="n"/>
      <c r="C934" s="102" t="n"/>
      <c r="D934" s="103" t="n"/>
      <c r="E934" s="102" t="n"/>
      <c r="F934" s="104" t="n"/>
      <c r="G934" s="104" t="n"/>
      <c r="H934" s="102" t="n"/>
      <c r="I934" s="105" t="n"/>
      <c r="J934" s="105" t="n"/>
      <c r="K934" s="103" t="n"/>
      <c r="L934" s="106" t="str">
        <f>IF(OR(D934="",E934=""),"",D934+IF(E934="NOTIFICAÇÃO DE CONSTATAÇÃO",PrazoConst,PrazoEsc))</f>
        <v/>
      </c>
      <c r="M934" s="107" t="str">
        <f>IF(L934="","",L934-TODAY())</f>
        <v/>
      </c>
      <c r="N934" s="108" t="str">
        <f>IF(B934="","",IF(G934="DECISÃO D.P","EM DECISÃO",IF(G934="","SEM STATUS",IF(M934="","SEM DATA",IF(M934&lt;0,"VENCIDO",IF(M934&lt;=DiasAlerta,"VENCE EM BREVE","NO PRAZO"))))))</f>
        <v/>
      </c>
      <c r="O934" s="109" t="str">
        <f>IF(D934="","",TODAY()-D934)</f>
        <v/>
      </c>
      <c r="P934" s="102" t="n"/>
    </row>
    <row r="935" ht="18" customHeight="1">
      <c r="A935" s="101" t="n"/>
      <c r="B935" s="102" t="n"/>
      <c r="C935" s="102" t="n"/>
      <c r="D935" s="103" t="n"/>
      <c r="E935" s="102" t="n"/>
      <c r="F935" s="104" t="n"/>
      <c r="G935" s="104" t="n"/>
      <c r="H935" s="102" t="n"/>
      <c r="I935" s="105" t="n"/>
      <c r="J935" s="105" t="n"/>
      <c r="K935" s="103" t="n"/>
      <c r="L935" s="106" t="str">
        <f>IF(OR(D935="",E935=""),"",D935+IF(E935="NOTIFICAÇÃO DE CONSTATAÇÃO",PrazoConst,PrazoEsc))</f>
        <v/>
      </c>
      <c r="M935" s="107" t="str">
        <f>IF(L935="","",L935-TODAY())</f>
        <v/>
      </c>
      <c r="N935" s="108" t="str">
        <f>IF(B935="","",IF(G935="DECISÃO D.P","EM DECISÃO",IF(G935="","SEM STATUS",IF(M935="","SEM DATA",IF(M935&lt;0,"VENCIDO",IF(M935&lt;=DiasAlerta,"VENCE EM BREVE","NO PRAZO"))))))</f>
        <v/>
      </c>
      <c r="O935" s="109" t="str">
        <f>IF(D935="","",TODAY()-D935)</f>
        <v/>
      </c>
      <c r="P935" s="102" t="n"/>
    </row>
    <row r="936" ht="18" customHeight="1">
      <c r="A936" s="101" t="n"/>
      <c r="B936" s="102" t="n"/>
      <c r="C936" s="102" t="n"/>
      <c r="D936" s="103" t="n"/>
      <c r="E936" s="102" t="n"/>
      <c r="F936" s="104" t="n"/>
      <c r="G936" s="104" t="n"/>
      <c r="H936" s="102" t="n"/>
      <c r="I936" s="105" t="n"/>
      <c r="J936" s="105" t="n"/>
      <c r="K936" s="103" t="n"/>
      <c r="L936" s="106" t="str">
        <f>IF(OR(D936="",E936=""),"",D936+IF(E936="NOTIFICAÇÃO DE CONSTATAÇÃO",PrazoConst,PrazoEsc))</f>
        <v/>
      </c>
      <c r="M936" s="107" t="str">
        <f>IF(L936="","",L936-TODAY())</f>
        <v/>
      </c>
      <c r="N936" s="108" t="str">
        <f>IF(B936="","",IF(G936="DECISÃO D.P","EM DECISÃO",IF(G936="","SEM STATUS",IF(M936="","SEM DATA",IF(M936&lt;0,"VENCIDO",IF(M936&lt;=DiasAlerta,"VENCE EM BREVE","NO PRAZO"))))))</f>
        <v/>
      </c>
      <c r="O936" s="109" t="str">
        <f>IF(D936="","",TODAY()-D936)</f>
        <v/>
      </c>
      <c r="P936" s="102" t="n"/>
    </row>
    <row r="937" ht="18" customHeight="1">
      <c r="A937" s="101" t="n"/>
      <c r="B937" s="102" t="n"/>
      <c r="C937" s="102" t="n"/>
      <c r="D937" s="103" t="n"/>
      <c r="E937" s="102" t="n"/>
      <c r="F937" s="104" t="n"/>
      <c r="G937" s="104" t="n"/>
      <c r="H937" s="102" t="n"/>
      <c r="I937" s="105" t="n"/>
      <c r="J937" s="105" t="n"/>
      <c r="K937" s="103" t="n"/>
      <c r="L937" s="106" t="str">
        <f>IF(OR(D937="",E937=""),"",D937+IF(E937="NOTIFICAÇÃO DE CONSTATAÇÃO",PrazoConst,PrazoEsc))</f>
        <v/>
      </c>
      <c r="M937" s="107" t="str">
        <f>IF(L937="","",L937-TODAY())</f>
        <v/>
      </c>
      <c r="N937" s="108" t="str">
        <f>IF(B937="","",IF(G937="DECISÃO D.P","EM DECISÃO",IF(G937="","SEM STATUS",IF(M937="","SEM DATA",IF(M937&lt;0,"VENCIDO",IF(M937&lt;=DiasAlerta,"VENCE EM BREVE","NO PRAZO"))))))</f>
        <v/>
      </c>
      <c r="O937" s="109" t="str">
        <f>IF(D937="","",TODAY()-D937)</f>
        <v/>
      </c>
      <c r="P937" s="102" t="n"/>
    </row>
    <row r="938" ht="18" customHeight="1">
      <c r="A938" s="101" t="n"/>
      <c r="B938" s="102" t="n"/>
      <c r="C938" s="102" t="n"/>
      <c r="D938" s="103" t="n"/>
      <c r="E938" s="102" t="n"/>
      <c r="F938" s="104" t="n"/>
      <c r="G938" s="104" t="n"/>
      <c r="H938" s="102" t="n"/>
      <c r="I938" s="105" t="n"/>
      <c r="J938" s="105" t="n"/>
      <c r="K938" s="103" t="n"/>
      <c r="L938" s="106" t="str">
        <f>IF(OR(D938="",E938=""),"",D938+IF(E938="NOTIFICAÇÃO DE CONSTATAÇÃO",PrazoConst,PrazoEsc))</f>
        <v/>
      </c>
      <c r="M938" s="107" t="str">
        <f>IF(L938="","",L938-TODAY())</f>
        <v/>
      </c>
      <c r="N938" s="108" t="str">
        <f>IF(B938="","",IF(G938="DECISÃO D.P","EM DECISÃO",IF(G938="","SEM STATUS",IF(M938="","SEM DATA",IF(M938&lt;0,"VENCIDO",IF(M938&lt;=DiasAlerta,"VENCE EM BREVE","NO PRAZO"))))))</f>
        <v/>
      </c>
      <c r="O938" s="109" t="str">
        <f>IF(D938="","",TODAY()-D938)</f>
        <v/>
      </c>
      <c r="P938" s="102" t="n"/>
    </row>
    <row r="939" ht="18" customHeight="1">
      <c r="A939" s="101" t="n"/>
      <c r="B939" s="102" t="n"/>
      <c r="C939" s="102" t="n"/>
      <c r="D939" s="103" t="n"/>
      <c r="E939" s="102" t="n"/>
      <c r="F939" s="104" t="n"/>
      <c r="G939" s="104" t="n"/>
      <c r="H939" s="102" t="n"/>
      <c r="I939" s="105" t="n"/>
      <c r="J939" s="105" t="n"/>
      <c r="K939" s="103" t="n"/>
      <c r="L939" s="106" t="str">
        <f>IF(OR(D939="",E939=""),"",D939+IF(E939="NOTIFICAÇÃO DE CONSTATAÇÃO",PrazoConst,PrazoEsc))</f>
        <v/>
      </c>
      <c r="M939" s="107" t="str">
        <f>IF(L939="","",L939-TODAY())</f>
        <v/>
      </c>
      <c r="N939" s="108" t="str">
        <f>IF(B939="","",IF(G939="DECISÃO D.P","EM DECISÃO",IF(G939="","SEM STATUS",IF(M939="","SEM DATA",IF(M939&lt;0,"VENCIDO",IF(M939&lt;=DiasAlerta,"VENCE EM BREVE","NO PRAZO"))))))</f>
        <v/>
      </c>
      <c r="O939" s="109" t="str">
        <f>IF(D939="","",TODAY()-D939)</f>
        <v/>
      </c>
      <c r="P939" s="102" t="n"/>
    </row>
    <row r="940" ht="18" customHeight="1">
      <c r="A940" s="101" t="n"/>
      <c r="B940" s="102" t="n"/>
      <c r="C940" s="102" t="n"/>
      <c r="D940" s="103" t="n"/>
      <c r="E940" s="102" t="n"/>
      <c r="F940" s="104" t="n"/>
      <c r="G940" s="104" t="n"/>
      <c r="H940" s="102" t="n"/>
      <c r="I940" s="105" t="n"/>
      <c r="J940" s="105" t="n"/>
      <c r="K940" s="103" t="n"/>
      <c r="L940" s="106" t="str">
        <f>IF(OR(D940="",E940=""),"",D940+IF(E940="NOTIFICAÇÃO DE CONSTATAÇÃO",PrazoConst,PrazoEsc))</f>
        <v/>
      </c>
      <c r="M940" s="107" t="str">
        <f>IF(L940="","",L940-TODAY())</f>
        <v/>
      </c>
      <c r="N940" s="108" t="str">
        <f>IF(B940="","",IF(G940="DECISÃO D.P","EM DECISÃO",IF(G940="","SEM STATUS",IF(M940="","SEM DATA",IF(M940&lt;0,"VENCIDO",IF(M940&lt;=DiasAlerta,"VENCE EM BREVE","NO PRAZO"))))))</f>
        <v/>
      </c>
      <c r="O940" s="109" t="str">
        <f>IF(D940="","",TODAY()-D940)</f>
        <v/>
      </c>
      <c r="P940" s="102" t="n"/>
    </row>
    <row r="941" ht="18" customHeight="1">
      <c r="A941" s="101" t="n"/>
      <c r="B941" s="102" t="n"/>
      <c r="C941" s="102" t="n"/>
      <c r="D941" s="103" t="n"/>
      <c r="E941" s="102" t="n"/>
      <c r="F941" s="104" t="n"/>
      <c r="G941" s="104" t="n"/>
      <c r="H941" s="102" t="n"/>
      <c r="I941" s="105" t="n"/>
      <c r="J941" s="105" t="n"/>
      <c r="K941" s="103" t="n"/>
      <c r="L941" s="106" t="str">
        <f>IF(OR(D941="",E941=""),"",D941+IF(E941="NOTIFICAÇÃO DE CONSTATAÇÃO",PrazoConst,PrazoEsc))</f>
        <v/>
      </c>
      <c r="M941" s="107" t="str">
        <f>IF(L941="","",L941-TODAY())</f>
        <v/>
      </c>
      <c r="N941" s="108" t="str">
        <f>IF(B941="","",IF(G941="DECISÃO D.P","EM DECISÃO",IF(G941="","SEM STATUS",IF(M941="","SEM DATA",IF(M941&lt;0,"VENCIDO",IF(M941&lt;=DiasAlerta,"VENCE EM BREVE","NO PRAZO"))))))</f>
        <v/>
      </c>
      <c r="O941" s="109" t="str">
        <f>IF(D941="","",TODAY()-D941)</f>
        <v/>
      </c>
      <c r="P941" s="102" t="n"/>
    </row>
    <row r="942" ht="18" customHeight="1">
      <c r="A942" s="101" t="n"/>
      <c r="B942" s="102" t="n"/>
      <c r="C942" s="102" t="n"/>
      <c r="D942" s="103" t="n"/>
      <c r="E942" s="102" t="n"/>
      <c r="F942" s="104" t="n"/>
      <c r="G942" s="104" t="n"/>
      <c r="H942" s="102" t="n"/>
      <c r="I942" s="105" t="n"/>
      <c r="J942" s="105" t="n"/>
      <c r="K942" s="103" t="n"/>
      <c r="L942" s="106" t="str">
        <f>IF(OR(D942="",E942=""),"",D942+IF(E942="NOTIFICAÇÃO DE CONSTATAÇÃO",PrazoConst,PrazoEsc))</f>
        <v/>
      </c>
      <c r="M942" s="107" t="str">
        <f>IF(L942="","",L942-TODAY())</f>
        <v/>
      </c>
      <c r="N942" s="108" t="str">
        <f>IF(B942="","",IF(G942="DECISÃO D.P","EM DECISÃO",IF(G942="","SEM STATUS",IF(M942="","SEM DATA",IF(M942&lt;0,"VENCIDO",IF(M942&lt;=DiasAlerta,"VENCE EM BREVE","NO PRAZO"))))))</f>
        <v/>
      </c>
      <c r="O942" s="109" t="str">
        <f>IF(D942="","",TODAY()-D942)</f>
        <v/>
      </c>
      <c r="P942" s="102" t="n"/>
    </row>
    <row r="943" ht="18" customHeight="1">
      <c r="A943" s="101" t="n"/>
      <c r="B943" s="102" t="n"/>
      <c r="C943" s="102" t="n"/>
      <c r="D943" s="103" t="n"/>
      <c r="E943" s="102" t="n"/>
      <c r="F943" s="104" t="n"/>
      <c r="G943" s="104" t="n"/>
      <c r="H943" s="102" t="n"/>
      <c r="I943" s="105" t="n"/>
      <c r="J943" s="105" t="n"/>
      <c r="K943" s="103" t="n"/>
      <c r="L943" s="106" t="str">
        <f>IF(OR(D943="",E943=""),"",D943+IF(E943="NOTIFICAÇÃO DE CONSTATAÇÃO",PrazoConst,PrazoEsc))</f>
        <v/>
      </c>
      <c r="M943" s="107" t="str">
        <f>IF(L943="","",L943-TODAY())</f>
        <v/>
      </c>
      <c r="N943" s="108" t="str">
        <f>IF(B943="","",IF(G943="DECISÃO D.P","EM DECISÃO",IF(G943="","SEM STATUS",IF(M943="","SEM DATA",IF(M943&lt;0,"VENCIDO",IF(M943&lt;=DiasAlerta,"VENCE EM BREVE","NO PRAZO"))))))</f>
        <v/>
      </c>
      <c r="O943" s="109" t="str">
        <f>IF(D943="","",TODAY()-D943)</f>
        <v/>
      </c>
      <c r="P943" s="102" t="n"/>
    </row>
    <row r="944" ht="18" customHeight="1">
      <c r="A944" s="101" t="n"/>
      <c r="B944" s="102" t="n"/>
      <c r="C944" s="102" t="n"/>
      <c r="D944" s="103" t="n"/>
      <c r="E944" s="102" t="n"/>
      <c r="F944" s="104" t="n"/>
      <c r="G944" s="104" t="n"/>
      <c r="H944" s="102" t="n"/>
      <c r="I944" s="105" t="n"/>
      <c r="J944" s="105" t="n"/>
      <c r="K944" s="103" t="n"/>
      <c r="L944" s="106" t="str">
        <f>IF(OR(D944="",E944=""),"",D944+IF(E944="NOTIFICAÇÃO DE CONSTATAÇÃO",PrazoConst,PrazoEsc))</f>
        <v/>
      </c>
      <c r="M944" s="107" t="str">
        <f>IF(L944="","",L944-TODAY())</f>
        <v/>
      </c>
      <c r="N944" s="108" t="str">
        <f>IF(B944="","",IF(G944="DECISÃO D.P","EM DECISÃO",IF(G944="","SEM STATUS",IF(M944="","SEM DATA",IF(M944&lt;0,"VENCIDO",IF(M944&lt;=DiasAlerta,"VENCE EM BREVE","NO PRAZO"))))))</f>
        <v/>
      </c>
      <c r="O944" s="109" t="str">
        <f>IF(D944="","",TODAY()-D944)</f>
        <v/>
      </c>
      <c r="P944" s="102" t="n"/>
    </row>
    <row r="945" ht="18" customHeight="1">
      <c r="A945" s="101" t="n"/>
      <c r="B945" s="102" t="n"/>
      <c r="C945" s="102" t="n"/>
      <c r="D945" s="103" t="n"/>
      <c r="E945" s="102" t="n"/>
      <c r="F945" s="104" t="n"/>
      <c r="G945" s="104" t="n"/>
      <c r="H945" s="102" t="n"/>
      <c r="I945" s="105" t="n"/>
      <c r="J945" s="105" t="n"/>
      <c r="K945" s="103" t="n"/>
      <c r="L945" s="106" t="str">
        <f>IF(OR(D945="",E945=""),"",D945+IF(E945="NOTIFICAÇÃO DE CONSTATAÇÃO",PrazoConst,PrazoEsc))</f>
        <v/>
      </c>
      <c r="M945" s="107" t="str">
        <f>IF(L945="","",L945-TODAY())</f>
        <v/>
      </c>
      <c r="N945" s="108" t="str">
        <f>IF(B945="","",IF(G945="DECISÃO D.P","EM DECISÃO",IF(G945="","SEM STATUS",IF(M945="","SEM DATA",IF(M945&lt;0,"VENCIDO",IF(M945&lt;=DiasAlerta,"VENCE EM BREVE","NO PRAZO"))))))</f>
        <v/>
      </c>
      <c r="O945" s="109" t="str">
        <f>IF(D945="","",TODAY()-D945)</f>
        <v/>
      </c>
      <c r="P945" s="102" t="n"/>
    </row>
    <row r="946" ht="18" customHeight="1">
      <c r="A946" s="101" t="n"/>
      <c r="B946" s="102" t="n"/>
      <c r="C946" s="102" t="n"/>
      <c r="D946" s="103" t="n"/>
      <c r="E946" s="102" t="n"/>
      <c r="F946" s="104" t="n"/>
      <c r="G946" s="104" t="n"/>
      <c r="H946" s="102" t="n"/>
      <c r="I946" s="105" t="n"/>
      <c r="J946" s="105" t="n"/>
      <c r="K946" s="103" t="n"/>
      <c r="L946" s="106" t="str">
        <f>IF(OR(D946="",E946=""),"",D946+IF(E946="NOTIFICAÇÃO DE CONSTATAÇÃO",PrazoConst,PrazoEsc))</f>
        <v/>
      </c>
      <c r="M946" s="107" t="str">
        <f>IF(L946="","",L946-TODAY())</f>
        <v/>
      </c>
      <c r="N946" s="108" t="str">
        <f>IF(B946="","",IF(G946="DECISÃO D.P","EM DECISÃO",IF(G946="","SEM STATUS",IF(M946="","SEM DATA",IF(M946&lt;0,"VENCIDO",IF(M946&lt;=DiasAlerta,"VENCE EM BREVE","NO PRAZO"))))))</f>
        <v/>
      </c>
      <c r="O946" s="109" t="str">
        <f>IF(D946="","",TODAY()-D946)</f>
        <v/>
      </c>
      <c r="P946" s="102" t="n"/>
    </row>
    <row r="947" ht="18" customHeight="1">
      <c r="A947" s="101" t="n"/>
      <c r="B947" s="102" t="n"/>
      <c r="C947" s="102" t="n"/>
      <c r="D947" s="103" t="n"/>
      <c r="E947" s="102" t="n"/>
      <c r="F947" s="104" t="n"/>
      <c r="G947" s="104" t="n"/>
      <c r="H947" s="102" t="n"/>
      <c r="I947" s="105" t="n"/>
      <c r="J947" s="105" t="n"/>
      <c r="K947" s="103" t="n"/>
      <c r="L947" s="106" t="str">
        <f>IF(OR(D947="",E947=""),"",D947+IF(E947="NOTIFICAÇÃO DE CONSTATAÇÃO",PrazoConst,PrazoEsc))</f>
        <v/>
      </c>
      <c r="M947" s="107" t="str">
        <f>IF(L947="","",L947-TODAY())</f>
        <v/>
      </c>
      <c r="N947" s="108" t="str">
        <f>IF(B947="","",IF(G947="DECISÃO D.P","EM DECISÃO",IF(G947="","SEM STATUS",IF(M947="","SEM DATA",IF(M947&lt;0,"VENCIDO",IF(M947&lt;=DiasAlerta,"VENCE EM BREVE","NO PRAZO"))))))</f>
        <v/>
      </c>
      <c r="O947" s="109" t="str">
        <f>IF(D947="","",TODAY()-D947)</f>
        <v/>
      </c>
      <c r="P947" s="102" t="n"/>
    </row>
    <row r="948" ht="18" customHeight="1">
      <c r="A948" s="101" t="n"/>
      <c r="B948" s="102" t="n"/>
      <c r="C948" s="102" t="n"/>
      <c r="D948" s="103" t="n"/>
      <c r="E948" s="102" t="n"/>
      <c r="F948" s="104" t="n"/>
      <c r="G948" s="104" t="n"/>
      <c r="H948" s="102" t="n"/>
      <c r="I948" s="105" t="n"/>
      <c r="J948" s="105" t="n"/>
      <c r="K948" s="103" t="n"/>
      <c r="L948" s="106" t="str">
        <f>IF(OR(D948="",E948=""),"",D948+IF(E948="NOTIFICAÇÃO DE CONSTATAÇÃO",PrazoConst,PrazoEsc))</f>
        <v/>
      </c>
      <c r="M948" s="107" t="str">
        <f>IF(L948="","",L948-TODAY())</f>
        <v/>
      </c>
      <c r="N948" s="108" t="str">
        <f>IF(B948="","",IF(G948="DECISÃO D.P","EM DECISÃO",IF(G948="","SEM STATUS",IF(M948="","SEM DATA",IF(M948&lt;0,"VENCIDO",IF(M948&lt;=DiasAlerta,"VENCE EM BREVE","NO PRAZO"))))))</f>
        <v/>
      </c>
      <c r="O948" s="109" t="str">
        <f>IF(D948="","",TODAY()-D948)</f>
        <v/>
      </c>
      <c r="P948" s="102" t="n"/>
    </row>
    <row r="949" ht="18" customHeight="1">
      <c r="A949" s="101" t="n"/>
      <c r="B949" s="102" t="n"/>
      <c r="C949" s="102" t="n"/>
      <c r="D949" s="103" t="n"/>
      <c r="E949" s="102" t="n"/>
      <c r="F949" s="104" t="n"/>
      <c r="G949" s="104" t="n"/>
      <c r="H949" s="102" t="n"/>
      <c r="I949" s="105" t="n"/>
      <c r="J949" s="105" t="n"/>
      <c r="K949" s="103" t="n"/>
      <c r="L949" s="106" t="str">
        <f>IF(OR(D949="",E949=""),"",D949+IF(E949="NOTIFICAÇÃO DE CONSTATAÇÃO",PrazoConst,PrazoEsc))</f>
        <v/>
      </c>
      <c r="M949" s="107" t="str">
        <f>IF(L949="","",L949-TODAY())</f>
        <v/>
      </c>
      <c r="N949" s="108" t="str">
        <f>IF(B949="","",IF(G949="DECISÃO D.P","EM DECISÃO",IF(G949="","SEM STATUS",IF(M949="","SEM DATA",IF(M949&lt;0,"VENCIDO",IF(M949&lt;=DiasAlerta,"VENCE EM BREVE","NO PRAZO"))))))</f>
        <v/>
      </c>
      <c r="O949" s="109" t="str">
        <f>IF(D949="","",TODAY()-D949)</f>
        <v/>
      </c>
      <c r="P949" s="102" t="n"/>
    </row>
    <row r="950" ht="18" customHeight="1">
      <c r="A950" s="101" t="n"/>
      <c r="B950" s="102" t="n"/>
      <c r="C950" s="102" t="n"/>
      <c r="D950" s="103" t="n"/>
      <c r="E950" s="102" t="n"/>
      <c r="F950" s="104" t="n"/>
      <c r="G950" s="104" t="n"/>
      <c r="H950" s="102" t="n"/>
      <c r="I950" s="105" t="n"/>
      <c r="J950" s="105" t="n"/>
      <c r="K950" s="103" t="n"/>
      <c r="L950" s="106" t="str">
        <f>IF(OR(D950="",E950=""),"",D950+IF(E950="NOTIFICAÇÃO DE CONSTATAÇÃO",PrazoConst,PrazoEsc))</f>
        <v/>
      </c>
      <c r="M950" s="107" t="str">
        <f>IF(L950="","",L950-TODAY())</f>
        <v/>
      </c>
      <c r="N950" s="108" t="str">
        <f>IF(B950="","",IF(G950="DECISÃO D.P","EM DECISÃO",IF(G950="","SEM STATUS",IF(M950="","SEM DATA",IF(M950&lt;0,"VENCIDO",IF(M950&lt;=DiasAlerta,"VENCE EM BREVE","NO PRAZO"))))))</f>
        <v/>
      </c>
      <c r="O950" s="109" t="str">
        <f>IF(D950="","",TODAY()-D950)</f>
        <v/>
      </c>
      <c r="P950" s="102" t="n"/>
    </row>
    <row r="951" ht="18" customHeight="1">
      <c r="A951" s="101" t="n"/>
      <c r="B951" s="102" t="n"/>
      <c r="C951" s="102" t="n"/>
      <c r="D951" s="103" t="n"/>
      <c r="E951" s="102" t="n"/>
      <c r="F951" s="104" t="n"/>
      <c r="G951" s="104" t="n"/>
      <c r="H951" s="102" t="n"/>
      <c r="I951" s="105" t="n"/>
      <c r="J951" s="105" t="n"/>
      <c r="K951" s="103" t="n"/>
      <c r="L951" s="106" t="str">
        <f>IF(OR(D951="",E951=""),"",D951+IF(E951="NOTIFICAÇÃO DE CONSTATAÇÃO",PrazoConst,PrazoEsc))</f>
        <v/>
      </c>
      <c r="M951" s="107" t="str">
        <f>IF(L951="","",L951-TODAY())</f>
        <v/>
      </c>
      <c r="N951" s="108" t="str">
        <f>IF(B951="","",IF(G951="DECISÃO D.P","EM DECISÃO",IF(G951="","SEM STATUS",IF(M951="","SEM DATA",IF(M951&lt;0,"VENCIDO",IF(M951&lt;=DiasAlerta,"VENCE EM BREVE","NO PRAZO"))))))</f>
        <v/>
      </c>
      <c r="O951" s="109" t="str">
        <f>IF(D951="","",TODAY()-D951)</f>
        <v/>
      </c>
      <c r="P951" s="102" t="n"/>
    </row>
    <row r="952" ht="18" customHeight="1">
      <c r="A952" s="101" t="n"/>
      <c r="B952" s="102" t="n"/>
      <c r="C952" s="102" t="n"/>
      <c r="D952" s="103" t="n"/>
      <c r="E952" s="102" t="n"/>
      <c r="F952" s="104" t="n"/>
      <c r="G952" s="104" t="n"/>
      <c r="H952" s="102" t="n"/>
      <c r="I952" s="105" t="n"/>
      <c r="J952" s="105" t="n"/>
      <c r="K952" s="103" t="n"/>
      <c r="L952" s="106" t="str">
        <f>IF(OR(D952="",E952=""),"",D952+IF(E952="NOTIFICAÇÃO DE CONSTATAÇÃO",PrazoConst,PrazoEsc))</f>
        <v/>
      </c>
      <c r="M952" s="107" t="str">
        <f>IF(L952="","",L952-TODAY())</f>
        <v/>
      </c>
      <c r="N952" s="108" t="str">
        <f>IF(B952="","",IF(G952="DECISÃO D.P","EM DECISÃO",IF(G952="","SEM STATUS",IF(M952="","SEM DATA",IF(M952&lt;0,"VENCIDO",IF(M952&lt;=DiasAlerta,"VENCE EM BREVE","NO PRAZO"))))))</f>
        <v/>
      </c>
      <c r="O952" s="109" t="str">
        <f>IF(D952="","",TODAY()-D952)</f>
        <v/>
      </c>
      <c r="P952" s="102" t="n"/>
    </row>
    <row r="953" ht="18" customHeight="1">
      <c r="A953" s="101" t="n"/>
      <c r="B953" s="102" t="n"/>
      <c r="C953" s="102" t="n"/>
      <c r="D953" s="103" t="n"/>
      <c r="E953" s="102" t="n"/>
      <c r="F953" s="104" t="n"/>
      <c r="G953" s="104" t="n"/>
      <c r="H953" s="102" t="n"/>
      <c r="I953" s="105" t="n"/>
      <c r="J953" s="105" t="n"/>
      <c r="K953" s="103" t="n"/>
      <c r="L953" s="106" t="str">
        <f>IF(OR(D953="",E953=""),"",D953+IF(E953="NOTIFICAÇÃO DE CONSTATAÇÃO",PrazoConst,PrazoEsc))</f>
        <v/>
      </c>
      <c r="M953" s="107" t="str">
        <f>IF(L953="","",L953-TODAY())</f>
        <v/>
      </c>
      <c r="N953" s="108" t="str">
        <f>IF(B953="","",IF(G953="DECISÃO D.P","EM DECISÃO",IF(G953="","SEM STATUS",IF(M953="","SEM DATA",IF(M953&lt;0,"VENCIDO",IF(M953&lt;=DiasAlerta,"VENCE EM BREVE","NO PRAZO"))))))</f>
        <v/>
      </c>
      <c r="O953" s="109" t="str">
        <f>IF(D953="","",TODAY()-D953)</f>
        <v/>
      </c>
      <c r="P953" s="102" t="n"/>
    </row>
    <row r="954" ht="18" customHeight="1">
      <c r="A954" s="101" t="n"/>
      <c r="B954" s="102" t="n"/>
      <c r="C954" s="102" t="n"/>
      <c r="D954" s="103" t="n"/>
      <c r="E954" s="102" t="n"/>
      <c r="F954" s="104" t="n"/>
      <c r="G954" s="104" t="n"/>
      <c r="H954" s="102" t="n"/>
      <c r="I954" s="105" t="n"/>
      <c r="J954" s="105" t="n"/>
      <c r="K954" s="103" t="n"/>
      <c r="L954" s="106" t="str">
        <f>IF(OR(D954="",E954=""),"",D954+IF(E954="NOTIFICAÇÃO DE CONSTATAÇÃO",PrazoConst,PrazoEsc))</f>
        <v/>
      </c>
      <c r="M954" s="107" t="str">
        <f>IF(L954="","",L954-TODAY())</f>
        <v/>
      </c>
      <c r="N954" s="108" t="str">
        <f>IF(B954="","",IF(G954="DECISÃO D.P","EM DECISÃO",IF(G954="","SEM STATUS",IF(M954="","SEM DATA",IF(M954&lt;0,"VENCIDO",IF(M954&lt;=DiasAlerta,"VENCE EM BREVE","NO PRAZO"))))))</f>
        <v/>
      </c>
      <c r="O954" s="109" t="str">
        <f>IF(D954="","",TODAY()-D954)</f>
        <v/>
      </c>
      <c r="P954" s="102" t="n"/>
    </row>
    <row r="955" ht="18" customHeight="1">
      <c r="A955" s="101" t="n"/>
      <c r="B955" s="102" t="n"/>
      <c r="C955" s="102" t="n"/>
      <c r="D955" s="103" t="n"/>
      <c r="E955" s="102" t="n"/>
      <c r="F955" s="104" t="n"/>
      <c r="G955" s="104" t="n"/>
      <c r="H955" s="102" t="n"/>
      <c r="I955" s="105" t="n"/>
      <c r="J955" s="105" t="n"/>
      <c r="K955" s="103" t="n"/>
      <c r="L955" s="106" t="str">
        <f>IF(OR(D955="",E955=""),"",D955+IF(E955="NOTIFICAÇÃO DE CONSTATAÇÃO",PrazoConst,PrazoEsc))</f>
        <v/>
      </c>
      <c r="M955" s="107" t="str">
        <f>IF(L955="","",L955-TODAY())</f>
        <v/>
      </c>
      <c r="N955" s="108" t="str">
        <f>IF(B955="","",IF(G955="DECISÃO D.P","EM DECISÃO",IF(G955="","SEM STATUS",IF(M955="","SEM DATA",IF(M955&lt;0,"VENCIDO",IF(M955&lt;=DiasAlerta,"VENCE EM BREVE","NO PRAZO"))))))</f>
        <v/>
      </c>
      <c r="O955" s="109" t="str">
        <f>IF(D955="","",TODAY()-D955)</f>
        <v/>
      </c>
      <c r="P955" s="102" t="n"/>
    </row>
    <row r="956" ht="18" customHeight="1">
      <c r="A956" s="101" t="n"/>
      <c r="B956" s="102" t="n"/>
      <c r="C956" s="102" t="n"/>
      <c r="D956" s="103" t="n"/>
      <c r="E956" s="102" t="n"/>
      <c r="F956" s="104" t="n"/>
      <c r="G956" s="104" t="n"/>
      <c r="H956" s="102" t="n"/>
      <c r="I956" s="105" t="n"/>
      <c r="J956" s="105" t="n"/>
      <c r="K956" s="103" t="n"/>
      <c r="L956" s="106" t="str">
        <f>IF(OR(D956="",E956=""),"",D956+IF(E956="NOTIFICAÇÃO DE CONSTATAÇÃO",PrazoConst,PrazoEsc))</f>
        <v/>
      </c>
      <c r="M956" s="107" t="str">
        <f>IF(L956="","",L956-TODAY())</f>
        <v/>
      </c>
      <c r="N956" s="108" t="str">
        <f>IF(B956="","",IF(G956="DECISÃO D.P","EM DECISÃO",IF(G956="","SEM STATUS",IF(M956="","SEM DATA",IF(M956&lt;0,"VENCIDO",IF(M956&lt;=DiasAlerta,"VENCE EM BREVE","NO PRAZO"))))))</f>
        <v/>
      </c>
      <c r="O956" s="109" t="str">
        <f>IF(D956="","",TODAY()-D956)</f>
        <v/>
      </c>
      <c r="P956" s="102" t="n"/>
    </row>
    <row r="957" ht="18" customHeight="1">
      <c r="A957" s="101" t="n"/>
      <c r="B957" s="102" t="n"/>
      <c r="C957" s="102" t="n"/>
      <c r="D957" s="103" t="n"/>
      <c r="E957" s="102" t="n"/>
      <c r="F957" s="104" t="n"/>
      <c r="G957" s="104" t="n"/>
      <c r="H957" s="102" t="n"/>
      <c r="I957" s="105" t="n"/>
      <c r="J957" s="105" t="n"/>
      <c r="K957" s="103" t="n"/>
      <c r="L957" s="106" t="str">
        <f>IF(OR(D957="",E957=""),"",D957+IF(E957="NOTIFICAÇÃO DE CONSTATAÇÃO",PrazoConst,PrazoEsc))</f>
        <v/>
      </c>
      <c r="M957" s="107" t="str">
        <f>IF(L957="","",L957-TODAY())</f>
        <v/>
      </c>
      <c r="N957" s="108" t="str">
        <f>IF(B957="","",IF(G957="DECISÃO D.P","EM DECISÃO",IF(G957="","SEM STATUS",IF(M957="","SEM DATA",IF(M957&lt;0,"VENCIDO",IF(M957&lt;=DiasAlerta,"VENCE EM BREVE","NO PRAZO"))))))</f>
        <v/>
      </c>
      <c r="O957" s="109" t="str">
        <f>IF(D957="","",TODAY()-D957)</f>
        <v/>
      </c>
      <c r="P957" s="102" t="n"/>
    </row>
    <row r="958" ht="18" customHeight="1">
      <c r="A958" s="101" t="n"/>
      <c r="B958" s="102" t="n"/>
      <c r="C958" s="102" t="n"/>
      <c r="D958" s="103" t="n"/>
      <c r="E958" s="102" t="n"/>
      <c r="F958" s="104" t="n"/>
      <c r="G958" s="104" t="n"/>
      <c r="H958" s="102" t="n"/>
      <c r="I958" s="105" t="n"/>
      <c r="J958" s="105" t="n"/>
      <c r="K958" s="103" t="n"/>
      <c r="L958" s="106" t="str">
        <f>IF(OR(D958="",E958=""),"",D958+IF(E958="NOTIFICAÇÃO DE CONSTATAÇÃO",PrazoConst,PrazoEsc))</f>
        <v/>
      </c>
      <c r="M958" s="107" t="str">
        <f>IF(L958="","",L958-TODAY())</f>
        <v/>
      </c>
      <c r="N958" s="108" t="str">
        <f>IF(B958="","",IF(G958="DECISÃO D.P","EM DECISÃO",IF(G958="","SEM STATUS",IF(M958="","SEM DATA",IF(M958&lt;0,"VENCIDO",IF(M958&lt;=DiasAlerta,"VENCE EM BREVE","NO PRAZO"))))))</f>
        <v/>
      </c>
      <c r="O958" s="109" t="str">
        <f>IF(D958="","",TODAY()-D958)</f>
        <v/>
      </c>
      <c r="P958" s="102" t="n"/>
    </row>
    <row r="959" ht="18" customHeight="1">
      <c r="A959" s="101" t="n"/>
      <c r="B959" s="102" t="n"/>
      <c r="C959" s="102" t="n"/>
      <c r="D959" s="103" t="n"/>
      <c r="E959" s="102" t="n"/>
      <c r="F959" s="104" t="n"/>
      <c r="G959" s="104" t="n"/>
      <c r="H959" s="102" t="n"/>
      <c r="I959" s="105" t="n"/>
      <c r="J959" s="105" t="n"/>
      <c r="K959" s="103" t="n"/>
      <c r="L959" s="106" t="str">
        <f>IF(OR(D959="",E959=""),"",D959+IF(E959="NOTIFICAÇÃO DE CONSTATAÇÃO",PrazoConst,PrazoEsc))</f>
        <v/>
      </c>
      <c r="M959" s="107" t="str">
        <f>IF(L959="","",L959-TODAY())</f>
        <v/>
      </c>
      <c r="N959" s="108" t="str">
        <f>IF(B959="","",IF(G959="DECISÃO D.P","EM DECISÃO",IF(G959="","SEM STATUS",IF(M959="","SEM DATA",IF(M959&lt;0,"VENCIDO",IF(M959&lt;=DiasAlerta,"VENCE EM BREVE","NO PRAZO"))))))</f>
        <v/>
      </c>
      <c r="O959" s="109" t="str">
        <f>IF(D959="","",TODAY()-D959)</f>
        <v/>
      </c>
      <c r="P959" s="102" t="n"/>
    </row>
    <row r="960" ht="18" customHeight="1">
      <c r="A960" s="101" t="n"/>
      <c r="B960" s="102" t="n"/>
      <c r="C960" s="102" t="n"/>
      <c r="D960" s="103" t="n"/>
      <c r="E960" s="102" t="n"/>
      <c r="F960" s="104" t="n"/>
      <c r="G960" s="104" t="n"/>
      <c r="H960" s="102" t="n"/>
      <c r="I960" s="105" t="n"/>
      <c r="J960" s="105" t="n"/>
      <c r="K960" s="103" t="n"/>
      <c r="L960" s="106" t="str">
        <f>IF(OR(D960="",E960=""),"",D960+IF(E960="NOTIFICAÇÃO DE CONSTATAÇÃO",PrazoConst,PrazoEsc))</f>
        <v/>
      </c>
      <c r="M960" s="107" t="str">
        <f>IF(L960="","",L960-TODAY())</f>
        <v/>
      </c>
      <c r="N960" s="108" t="str">
        <f>IF(B960="","",IF(G960="DECISÃO D.P","EM DECISÃO",IF(G960="","SEM STATUS",IF(M960="","SEM DATA",IF(M960&lt;0,"VENCIDO",IF(M960&lt;=DiasAlerta,"VENCE EM BREVE","NO PRAZO"))))))</f>
        <v/>
      </c>
      <c r="O960" s="109" t="str">
        <f>IF(D960="","",TODAY()-D960)</f>
        <v/>
      </c>
      <c r="P960" s="102" t="n"/>
    </row>
    <row r="961" ht="18" customHeight="1">
      <c r="A961" s="101" t="n"/>
      <c r="B961" s="102" t="n"/>
      <c r="C961" s="102" t="n"/>
      <c r="D961" s="103" t="n"/>
      <c r="E961" s="102" t="n"/>
      <c r="F961" s="104" t="n"/>
      <c r="G961" s="104" t="n"/>
      <c r="H961" s="102" t="n"/>
      <c r="I961" s="105" t="n"/>
      <c r="J961" s="105" t="n"/>
      <c r="K961" s="103" t="n"/>
      <c r="L961" s="106" t="str">
        <f>IF(OR(D961="",E961=""),"",D961+IF(E961="NOTIFICAÇÃO DE CONSTATAÇÃO",PrazoConst,PrazoEsc))</f>
        <v/>
      </c>
      <c r="M961" s="107" t="str">
        <f>IF(L961="","",L961-TODAY())</f>
        <v/>
      </c>
      <c r="N961" s="108" t="str">
        <f>IF(B961="","",IF(G961="DECISÃO D.P","EM DECISÃO",IF(G961="","SEM STATUS",IF(M961="","SEM DATA",IF(M961&lt;0,"VENCIDO",IF(M961&lt;=DiasAlerta,"VENCE EM BREVE","NO PRAZO"))))))</f>
        <v/>
      </c>
      <c r="O961" s="109" t="str">
        <f>IF(D961="","",TODAY()-D961)</f>
        <v/>
      </c>
      <c r="P961" s="102" t="n"/>
    </row>
    <row r="962" ht="18" customHeight="1">
      <c r="A962" s="101" t="n"/>
      <c r="B962" s="102" t="n"/>
      <c r="C962" s="102" t="n"/>
      <c r="D962" s="103" t="n"/>
      <c r="E962" s="102" t="n"/>
      <c r="F962" s="104" t="n"/>
      <c r="G962" s="104" t="n"/>
      <c r="H962" s="102" t="n"/>
      <c r="I962" s="105" t="n"/>
      <c r="J962" s="105" t="n"/>
      <c r="K962" s="103" t="n"/>
      <c r="L962" s="106" t="str">
        <f>IF(OR(D962="",E962=""),"",D962+IF(E962="NOTIFICAÇÃO DE CONSTATAÇÃO",PrazoConst,PrazoEsc))</f>
        <v/>
      </c>
      <c r="M962" s="107" t="str">
        <f>IF(L962="","",L962-TODAY())</f>
        <v/>
      </c>
      <c r="N962" s="108" t="str">
        <f>IF(B962="","",IF(G962="DECISÃO D.P","EM DECISÃO",IF(G962="","SEM STATUS",IF(M962="","SEM DATA",IF(M962&lt;0,"VENCIDO",IF(M962&lt;=DiasAlerta,"VENCE EM BREVE","NO PRAZO"))))))</f>
        <v/>
      </c>
      <c r="O962" s="109" t="str">
        <f>IF(D962="","",TODAY()-D962)</f>
        <v/>
      </c>
      <c r="P962" s="102" t="n"/>
    </row>
    <row r="963" ht="18" customHeight="1">
      <c r="A963" s="101" t="n"/>
      <c r="B963" s="102" t="n"/>
      <c r="C963" s="102" t="n"/>
      <c r="D963" s="103" t="n"/>
      <c r="E963" s="102" t="n"/>
      <c r="F963" s="104" t="n"/>
      <c r="G963" s="104" t="n"/>
      <c r="H963" s="102" t="n"/>
      <c r="I963" s="105" t="n"/>
      <c r="J963" s="105" t="n"/>
      <c r="K963" s="103" t="n"/>
      <c r="L963" s="106" t="str">
        <f>IF(OR(D963="",E963=""),"",D963+IF(E963="NOTIFICAÇÃO DE CONSTATAÇÃO",PrazoConst,PrazoEsc))</f>
        <v/>
      </c>
      <c r="M963" s="107" t="str">
        <f>IF(L963="","",L963-TODAY())</f>
        <v/>
      </c>
      <c r="N963" s="108" t="str">
        <f>IF(B963="","",IF(G963="DECISÃO D.P","EM DECISÃO",IF(G963="","SEM STATUS",IF(M963="","SEM DATA",IF(M963&lt;0,"VENCIDO",IF(M963&lt;=DiasAlerta,"VENCE EM BREVE","NO PRAZO"))))))</f>
        <v/>
      </c>
      <c r="O963" s="109" t="str">
        <f>IF(D963="","",TODAY()-D963)</f>
        <v/>
      </c>
      <c r="P963" s="102" t="n"/>
    </row>
    <row r="964" ht="18" customHeight="1">
      <c r="A964" s="101" t="n"/>
      <c r="B964" s="102" t="n"/>
      <c r="C964" s="102" t="n"/>
      <c r="D964" s="103" t="n"/>
      <c r="E964" s="102" t="n"/>
      <c r="F964" s="104" t="n"/>
      <c r="G964" s="104" t="n"/>
      <c r="H964" s="102" t="n"/>
      <c r="I964" s="105" t="n"/>
      <c r="J964" s="105" t="n"/>
      <c r="K964" s="103" t="n"/>
      <c r="L964" s="106" t="str">
        <f>IF(OR(D964="",E964=""),"",D964+IF(E964="NOTIFICAÇÃO DE CONSTATAÇÃO",PrazoConst,PrazoEsc))</f>
        <v/>
      </c>
      <c r="M964" s="107" t="str">
        <f>IF(L964="","",L964-TODAY())</f>
        <v/>
      </c>
      <c r="N964" s="108" t="str">
        <f>IF(B964="","",IF(G964="DECISÃO D.P","EM DECISÃO",IF(G964="","SEM STATUS",IF(M964="","SEM DATA",IF(M964&lt;0,"VENCIDO",IF(M964&lt;=DiasAlerta,"VENCE EM BREVE","NO PRAZO"))))))</f>
        <v/>
      </c>
      <c r="O964" s="109" t="str">
        <f>IF(D964="","",TODAY()-D964)</f>
        <v/>
      </c>
      <c r="P964" s="102" t="n"/>
    </row>
    <row r="965" ht="18" customHeight="1">
      <c r="A965" s="101" t="n"/>
      <c r="B965" s="102" t="n"/>
      <c r="C965" s="102" t="n"/>
      <c r="D965" s="103" t="n"/>
      <c r="E965" s="102" t="n"/>
      <c r="F965" s="104" t="n"/>
      <c r="G965" s="104" t="n"/>
      <c r="H965" s="102" t="n"/>
      <c r="I965" s="105" t="n"/>
      <c r="J965" s="105" t="n"/>
      <c r="K965" s="103" t="n"/>
      <c r="L965" s="106" t="str">
        <f>IF(OR(D965="",E965=""),"",D965+IF(E965="NOTIFICAÇÃO DE CONSTATAÇÃO",PrazoConst,PrazoEsc))</f>
        <v/>
      </c>
      <c r="M965" s="107" t="str">
        <f>IF(L965="","",L965-TODAY())</f>
        <v/>
      </c>
      <c r="N965" s="108" t="str">
        <f>IF(B965="","",IF(G965="DECISÃO D.P","EM DECISÃO",IF(G965="","SEM STATUS",IF(M965="","SEM DATA",IF(M965&lt;0,"VENCIDO",IF(M965&lt;=DiasAlerta,"VENCE EM BREVE","NO PRAZO"))))))</f>
        <v/>
      </c>
      <c r="O965" s="109" t="str">
        <f>IF(D965="","",TODAY()-D965)</f>
        <v/>
      </c>
      <c r="P965" s="102" t="n"/>
    </row>
    <row r="966" ht="18" customHeight="1">
      <c r="A966" s="101" t="n"/>
      <c r="B966" s="102" t="n"/>
      <c r="C966" s="102" t="n"/>
      <c r="D966" s="103" t="n"/>
      <c r="E966" s="102" t="n"/>
      <c r="F966" s="104" t="n"/>
      <c r="G966" s="104" t="n"/>
      <c r="H966" s="102" t="n"/>
      <c r="I966" s="105" t="n"/>
      <c r="J966" s="105" t="n"/>
      <c r="K966" s="103" t="n"/>
      <c r="L966" s="106" t="str">
        <f>IF(OR(D966="",E966=""),"",D966+IF(E966="NOTIFICAÇÃO DE CONSTATAÇÃO",PrazoConst,PrazoEsc))</f>
        <v/>
      </c>
      <c r="M966" s="107" t="str">
        <f>IF(L966="","",L966-TODAY())</f>
        <v/>
      </c>
      <c r="N966" s="108" t="str">
        <f>IF(B966="","",IF(G966="DECISÃO D.P","EM DECISÃO",IF(G966="","SEM STATUS",IF(M966="","SEM DATA",IF(M966&lt;0,"VENCIDO",IF(M966&lt;=DiasAlerta,"VENCE EM BREVE","NO PRAZO"))))))</f>
        <v/>
      </c>
      <c r="O966" s="109" t="str">
        <f>IF(D966="","",TODAY()-D966)</f>
        <v/>
      </c>
      <c r="P966" s="102" t="n"/>
    </row>
    <row r="967" ht="18" customHeight="1">
      <c r="A967" s="101" t="n"/>
      <c r="B967" s="102" t="n"/>
      <c r="C967" s="102" t="n"/>
      <c r="D967" s="103" t="n"/>
      <c r="E967" s="102" t="n"/>
      <c r="F967" s="104" t="n"/>
      <c r="G967" s="104" t="n"/>
      <c r="H967" s="102" t="n"/>
      <c r="I967" s="105" t="n"/>
      <c r="J967" s="105" t="n"/>
      <c r="K967" s="103" t="n"/>
      <c r="L967" s="106" t="str">
        <f>IF(OR(D967="",E967=""),"",D967+IF(E967="NOTIFICAÇÃO DE CONSTATAÇÃO",PrazoConst,PrazoEsc))</f>
        <v/>
      </c>
      <c r="M967" s="107" t="str">
        <f>IF(L967="","",L967-TODAY())</f>
        <v/>
      </c>
      <c r="N967" s="108" t="str">
        <f>IF(B967="","",IF(G967="DECISÃO D.P","EM DECISÃO",IF(G967="","SEM STATUS",IF(M967="","SEM DATA",IF(M967&lt;0,"VENCIDO",IF(M967&lt;=DiasAlerta,"VENCE EM BREVE","NO PRAZO"))))))</f>
        <v/>
      </c>
      <c r="O967" s="109" t="str">
        <f>IF(D967="","",TODAY()-D967)</f>
        <v/>
      </c>
      <c r="P967" s="102" t="n"/>
    </row>
    <row r="968" ht="18" customHeight="1">
      <c r="A968" s="101" t="n"/>
      <c r="B968" s="102" t="n"/>
      <c r="C968" s="102" t="n"/>
      <c r="D968" s="103" t="n"/>
      <c r="E968" s="102" t="n"/>
      <c r="F968" s="104" t="n"/>
      <c r="G968" s="104" t="n"/>
      <c r="H968" s="102" t="n"/>
      <c r="I968" s="105" t="n"/>
      <c r="J968" s="105" t="n"/>
      <c r="K968" s="103" t="n"/>
      <c r="L968" s="106" t="str">
        <f>IF(OR(D968="",E968=""),"",D968+IF(E968="NOTIFICAÇÃO DE CONSTATAÇÃO",PrazoConst,PrazoEsc))</f>
        <v/>
      </c>
      <c r="M968" s="107" t="str">
        <f>IF(L968="","",L968-TODAY())</f>
        <v/>
      </c>
      <c r="N968" s="108" t="str">
        <f>IF(B968="","",IF(G968="DECISÃO D.P","EM DECISÃO",IF(G968="","SEM STATUS",IF(M968="","SEM DATA",IF(M968&lt;0,"VENCIDO",IF(M968&lt;=DiasAlerta,"VENCE EM BREVE","NO PRAZO"))))))</f>
        <v/>
      </c>
      <c r="O968" s="109" t="str">
        <f>IF(D968="","",TODAY()-D968)</f>
        <v/>
      </c>
      <c r="P968" s="102" t="n"/>
    </row>
    <row r="969" ht="18" customHeight="1">
      <c r="A969" s="101" t="n"/>
      <c r="B969" s="102" t="n"/>
      <c r="C969" s="102" t="n"/>
      <c r="D969" s="103" t="n"/>
      <c r="E969" s="102" t="n"/>
      <c r="F969" s="104" t="n"/>
      <c r="G969" s="104" t="n"/>
      <c r="H969" s="102" t="n"/>
      <c r="I969" s="105" t="n"/>
      <c r="J969" s="105" t="n"/>
      <c r="K969" s="103" t="n"/>
      <c r="L969" s="106" t="str">
        <f>IF(OR(D969="",E969=""),"",D969+IF(E969="NOTIFICAÇÃO DE CONSTATAÇÃO",PrazoConst,PrazoEsc))</f>
        <v/>
      </c>
      <c r="M969" s="107" t="str">
        <f>IF(L969="","",L969-TODAY())</f>
        <v/>
      </c>
      <c r="N969" s="108" t="str">
        <f>IF(B969="","",IF(G969="DECISÃO D.P","EM DECISÃO",IF(G969="","SEM STATUS",IF(M969="","SEM DATA",IF(M969&lt;0,"VENCIDO",IF(M969&lt;=DiasAlerta,"VENCE EM BREVE","NO PRAZO"))))))</f>
        <v/>
      </c>
      <c r="O969" s="109" t="str">
        <f>IF(D969="","",TODAY()-D969)</f>
        <v/>
      </c>
      <c r="P969" s="102" t="n"/>
    </row>
    <row r="970" ht="18" customHeight="1">
      <c r="A970" s="101" t="n"/>
      <c r="B970" s="102" t="n"/>
      <c r="C970" s="102" t="n"/>
      <c r="D970" s="103" t="n"/>
      <c r="E970" s="102" t="n"/>
      <c r="F970" s="104" t="n"/>
      <c r="G970" s="104" t="n"/>
      <c r="H970" s="102" t="n"/>
      <c r="I970" s="105" t="n"/>
      <c r="J970" s="105" t="n"/>
      <c r="K970" s="103" t="n"/>
      <c r="L970" s="106" t="str">
        <f>IF(OR(D970="",E970=""),"",D970+IF(E970="NOTIFICAÇÃO DE CONSTATAÇÃO",PrazoConst,PrazoEsc))</f>
        <v/>
      </c>
      <c r="M970" s="107" t="str">
        <f>IF(L970="","",L970-TODAY())</f>
        <v/>
      </c>
      <c r="N970" s="108" t="str">
        <f>IF(B970="","",IF(G970="DECISÃO D.P","EM DECISÃO",IF(G970="","SEM STATUS",IF(M970="","SEM DATA",IF(M970&lt;0,"VENCIDO",IF(M970&lt;=DiasAlerta,"VENCE EM BREVE","NO PRAZO"))))))</f>
        <v/>
      </c>
      <c r="O970" s="109" t="str">
        <f>IF(D970="","",TODAY()-D970)</f>
        <v/>
      </c>
      <c r="P970" s="102" t="n"/>
    </row>
    <row r="971" ht="18" customHeight="1">
      <c r="A971" s="101" t="n"/>
      <c r="B971" s="102" t="n"/>
      <c r="C971" s="102" t="n"/>
      <c r="D971" s="103" t="n"/>
      <c r="E971" s="102" t="n"/>
      <c r="F971" s="104" t="n"/>
      <c r="G971" s="104" t="n"/>
      <c r="H971" s="102" t="n"/>
      <c r="I971" s="105" t="n"/>
      <c r="J971" s="105" t="n"/>
      <c r="K971" s="103" t="n"/>
      <c r="L971" s="106" t="str">
        <f>IF(OR(D971="",E971=""),"",D971+IF(E971="NOTIFICAÇÃO DE CONSTATAÇÃO",PrazoConst,PrazoEsc))</f>
        <v/>
      </c>
      <c r="M971" s="107" t="str">
        <f>IF(L971="","",L971-TODAY())</f>
        <v/>
      </c>
      <c r="N971" s="108" t="str">
        <f>IF(B971="","",IF(G971="DECISÃO D.P","EM DECISÃO",IF(G971="","SEM STATUS",IF(M971="","SEM DATA",IF(M971&lt;0,"VENCIDO",IF(M971&lt;=DiasAlerta,"VENCE EM BREVE","NO PRAZO"))))))</f>
        <v/>
      </c>
      <c r="O971" s="109" t="str">
        <f>IF(D971="","",TODAY()-D971)</f>
        <v/>
      </c>
      <c r="P971" s="102" t="n"/>
    </row>
    <row r="972" ht="18" customHeight="1">
      <c r="A972" s="101" t="n"/>
      <c r="B972" s="102" t="n"/>
      <c r="C972" s="102" t="n"/>
      <c r="D972" s="103" t="n"/>
      <c r="E972" s="102" t="n"/>
      <c r="F972" s="104" t="n"/>
      <c r="G972" s="104" t="n"/>
      <c r="H972" s="102" t="n"/>
      <c r="I972" s="105" t="n"/>
      <c r="J972" s="105" t="n"/>
      <c r="K972" s="103" t="n"/>
      <c r="L972" s="106" t="str">
        <f>IF(OR(D972="",E972=""),"",D972+IF(E972="NOTIFICAÇÃO DE CONSTATAÇÃO",PrazoConst,PrazoEsc))</f>
        <v/>
      </c>
      <c r="M972" s="107" t="str">
        <f>IF(L972="","",L972-TODAY())</f>
        <v/>
      </c>
      <c r="N972" s="108" t="str">
        <f>IF(B972="","",IF(G972="DECISÃO D.P","EM DECISÃO",IF(G972="","SEM STATUS",IF(M972="","SEM DATA",IF(M972&lt;0,"VENCIDO",IF(M972&lt;=DiasAlerta,"VENCE EM BREVE","NO PRAZO"))))))</f>
        <v/>
      </c>
      <c r="O972" s="109" t="str">
        <f>IF(D972="","",TODAY()-D972)</f>
        <v/>
      </c>
      <c r="P972" s="102" t="n"/>
    </row>
    <row r="973" ht="18" customHeight="1">
      <c r="A973" s="101" t="n"/>
      <c r="B973" s="102" t="n"/>
      <c r="C973" s="102" t="n"/>
      <c r="D973" s="103" t="n"/>
      <c r="E973" s="102" t="n"/>
      <c r="F973" s="104" t="n"/>
      <c r="G973" s="104" t="n"/>
      <c r="H973" s="102" t="n"/>
      <c r="I973" s="105" t="n"/>
      <c r="J973" s="105" t="n"/>
      <c r="K973" s="103" t="n"/>
      <c r="L973" s="106" t="str">
        <f>IF(OR(D973="",E973=""),"",D973+IF(E973="NOTIFICAÇÃO DE CONSTATAÇÃO",PrazoConst,PrazoEsc))</f>
        <v/>
      </c>
      <c r="M973" s="107" t="str">
        <f>IF(L973="","",L973-TODAY())</f>
        <v/>
      </c>
      <c r="N973" s="108" t="str">
        <f>IF(B973="","",IF(G973="DECISÃO D.P","EM DECISÃO",IF(G973="","SEM STATUS",IF(M973="","SEM DATA",IF(M973&lt;0,"VENCIDO",IF(M973&lt;=DiasAlerta,"VENCE EM BREVE","NO PRAZO"))))))</f>
        <v/>
      </c>
      <c r="O973" s="109" t="str">
        <f>IF(D973="","",TODAY()-D973)</f>
        <v/>
      </c>
      <c r="P973" s="102" t="n"/>
    </row>
    <row r="974" ht="18" customHeight="1">
      <c r="A974" s="101" t="n"/>
      <c r="B974" s="102" t="n"/>
      <c r="C974" s="102" t="n"/>
      <c r="D974" s="103" t="n"/>
      <c r="E974" s="102" t="n"/>
      <c r="F974" s="104" t="n"/>
      <c r="G974" s="104" t="n"/>
      <c r="H974" s="102" t="n"/>
      <c r="I974" s="105" t="n"/>
      <c r="J974" s="105" t="n"/>
      <c r="K974" s="103" t="n"/>
      <c r="L974" s="106" t="str">
        <f>IF(OR(D974="",E974=""),"",D974+IF(E974="NOTIFICAÇÃO DE CONSTATAÇÃO",PrazoConst,PrazoEsc))</f>
        <v/>
      </c>
      <c r="M974" s="107" t="str">
        <f>IF(L974="","",L974-TODAY())</f>
        <v/>
      </c>
      <c r="N974" s="108" t="str">
        <f>IF(B974="","",IF(G974="DECISÃO D.P","EM DECISÃO",IF(G974="","SEM STATUS",IF(M974="","SEM DATA",IF(M974&lt;0,"VENCIDO",IF(M974&lt;=DiasAlerta,"VENCE EM BREVE","NO PRAZO"))))))</f>
        <v/>
      </c>
      <c r="O974" s="109" t="str">
        <f>IF(D974="","",TODAY()-D974)</f>
        <v/>
      </c>
      <c r="P974" s="102" t="n"/>
    </row>
    <row r="975" ht="18" customHeight="1">
      <c r="A975" s="101" t="n"/>
      <c r="B975" s="102" t="n"/>
      <c r="C975" s="102" t="n"/>
      <c r="D975" s="103" t="n"/>
      <c r="E975" s="102" t="n"/>
      <c r="F975" s="104" t="n"/>
      <c r="G975" s="104" t="n"/>
      <c r="H975" s="102" t="n"/>
      <c r="I975" s="105" t="n"/>
      <c r="J975" s="105" t="n"/>
      <c r="K975" s="103" t="n"/>
      <c r="L975" s="106" t="str">
        <f>IF(OR(D975="",E975=""),"",D975+IF(E975="NOTIFICAÇÃO DE CONSTATAÇÃO",PrazoConst,PrazoEsc))</f>
        <v/>
      </c>
      <c r="M975" s="107" t="str">
        <f>IF(L975="","",L975-TODAY())</f>
        <v/>
      </c>
      <c r="N975" s="108" t="str">
        <f>IF(B975="","",IF(G975="DECISÃO D.P","EM DECISÃO",IF(G975="","SEM STATUS",IF(M975="","SEM DATA",IF(M975&lt;0,"VENCIDO",IF(M975&lt;=DiasAlerta,"VENCE EM BREVE","NO PRAZO"))))))</f>
        <v/>
      </c>
      <c r="O975" s="109" t="str">
        <f>IF(D975="","",TODAY()-D975)</f>
        <v/>
      </c>
      <c r="P975" s="102" t="n"/>
    </row>
    <row r="976" ht="18" customHeight="1">
      <c r="A976" s="101" t="n"/>
      <c r="B976" s="102" t="n"/>
      <c r="C976" s="102" t="n"/>
      <c r="D976" s="103" t="n"/>
      <c r="E976" s="102" t="n"/>
      <c r="F976" s="104" t="n"/>
      <c r="G976" s="104" t="n"/>
      <c r="H976" s="102" t="n"/>
      <c r="I976" s="105" t="n"/>
      <c r="J976" s="105" t="n"/>
      <c r="K976" s="103" t="n"/>
      <c r="L976" s="106" t="str">
        <f>IF(OR(D976="",E976=""),"",D976+IF(E976="NOTIFICAÇÃO DE CONSTATAÇÃO",PrazoConst,PrazoEsc))</f>
        <v/>
      </c>
      <c r="M976" s="107" t="str">
        <f>IF(L976="","",L976-TODAY())</f>
        <v/>
      </c>
      <c r="N976" s="108" t="str">
        <f>IF(B976="","",IF(G976="DECISÃO D.P","EM DECISÃO",IF(G976="","SEM STATUS",IF(M976="","SEM DATA",IF(M976&lt;0,"VENCIDO",IF(M976&lt;=DiasAlerta,"VENCE EM BREVE","NO PRAZO"))))))</f>
        <v/>
      </c>
      <c r="O976" s="109" t="str">
        <f>IF(D976="","",TODAY()-D976)</f>
        <v/>
      </c>
      <c r="P976" s="102" t="n"/>
    </row>
    <row r="977" ht="18" customHeight="1">
      <c r="A977" s="101" t="n"/>
      <c r="B977" s="102" t="n"/>
      <c r="C977" s="102" t="n"/>
      <c r="D977" s="103" t="n"/>
      <c r="E977" s="102" t="n"/>
      <c r="F977" s="104" t="n"/>
      <c r="G977" s="104" t="n"/>
      <c r="H977" s="102" t="n"/>
      <c r="I977" s="105" t="n"/>
      <c r="J977" s="105" t="n"/>
      <c r="K977" s="103" t="n"/>
      <c r="L977" s="106" t="str">
        <f>IF(OR(D977="",E977=""),"",D977+IF(E977="NOTIFICAÇÃO DE CONSTATAÇÃO",PrazoConst,PrazoEsc))</f>
        <v/>
      </c>
      <c r="M977" s="107" t="str">
        <f>IF(L977="","",L977-TODAY())</f>
        <v/>
      </c>
      <c r="N977" s="108" t="str">
        <f>IF(B977="","",IF(G977="DECISÃO D.P","EM DECISÃO",IF(G977="","SEM STATUS",IF(M977="","SEM DATA",IF(M977&lt;0,"VENCIDO",IF(M977&lt;=DiasAlerta,"VENCE EM BREVE","NO PRAZO"))))))</f>
        <v/>
      </c>
      <c r="O977" s="109" t="str">
        <f>IF(D977="","",TODAY()-D977)</f>
        <v/>
      </c>
      <c r="P977" s="102" t="n"/>
    </row>
    <row r="978" ht="18" customHeight="1">
      <c r="A978" s="101" t="n"/>
      <c r="B978" s="102" t="n"/>
      <c r="C978" s="102" t="n"/>
      <c r="D978" s="103" t="n"/>
      <c r="E978" s="102" t="n"/>
      <c r="F978" s="104" t="n"/>
      <c r="G978" s="104" t="n"/>
      <c r="H978" s="102" t="n"/>
      <c r="I978" s="105" t="n"/>
      <c r="J978" s="105" t="n"/>
      <c r="K978" s="103" t="n"/>
      <c r="L978" s="106" t="str">
        <f>IF(OR(D978="",E978=""),"",D978+IF(E978="NOTIFICAÇÃO DE CONSTATAÇÃO",PrazoConst,PrazoEsc))</f>
        <v/>
      </c>
      <c r="M978" s="107" t="str">
        <f>IF(L978="","",L978-TODAY())</f>
        <v/>
      </c>
      <c r="N978" s="108" t="str">
        <f>IF(B978="","",IF(G978="DECISÃO D.P","EM DECISÃO",IF(G978="","SEM STATUS",IF(M978="","SEM DATA",IF(M978&lt;0,"VENCIDO",IF(M978&lt;=DiasAlerta,"VENCE EM BREVE","NO PRAZO"))))))</f>
        <v/>
      </c>
      <c r="O978" s="109" t="str">
        <f>IF(D978="","",TODAY()-D978)</f>
        <v/>
      </c>
      <c r="P978" s="102" t="n"/>
    </row>
    <row r="979" ht="18" customHeight="1">
      <c r="A979" s="101" t="n"/>
      <c r="B979" s="102" t="n"/>
      <c r="C979" s="102" t="n"/>
      <c r="D979" s="103" t="n"/>
      <c r="E979" s="102" t="n"/>
      <c r="F979" s="104" t="n"/>
      <c r="G979" s="104" t="n"/>
      <c r="H979" s="102" t="n"/>
      <c r="I979" s="105" t="n"/>
      <c r="J979" s="105" t="n"/>
      <c r="K979" s="103" t="n"/>
      <c r="L979" s="106" t="str">
        <f>IF(OR(D979="",E979=""),"",D979+IF(E979="NOTIFICAÇÃO DE CONSTATAÇÃO",PrazoConst,PrazoEsc))</f>
        <v/>
      </c>
      <c r="M979" s="107" t="str">
        <f>IF(L979="","",L979-TODAY())</f>
        <v/>
      </c>
      <c r="N979" s="108" t="str">
        <f>IF(B979="","",IF(G979="DECISÃO D.P","EM DECISÃO",IF(G979="","SEM STATUS",IF(M979="","SEM DATA",IF(M979&lt;0,"VENCIDO",IF(M979&lt;=DiasAlerta,"VENCE EM BREVE","NO PRAZO"))))))</f>
        <v/>
      </c>
      <c r="O979" s="109" t="str">
        <f>IF(D979="","",TODAY()-D979)</f>
        <v/>
      </c>
      <c r="P979" s="102" t="n"/>
    </row>
    <row r="980" ht="18" customHeight="1">
      <c r="A980" s="101" t="n"/>
      <c r="B980" s="102" t="n"/>
      <c r="C980" s="102" t="n"/>
      <c r="D980" s="103" t="n"/>
      <c r="E980" s="102" t="n"/>
      <c r="F980" s="104" t="n"/>
      <c r="G980" s="104" t="n"/>
      <c r="H980" s="102" t="n"/>
      <c r="I980" s="105" t="n"/>
      <c r="J980" s="105" t="n"/>
      <c r="K980" s="103" t="n"/>
      <c r="L980" s="106" t="str">
        <f>IF(OR(D980="",E980=""),"",D980+IF(E980="NOTIFICAÇÃO DE CONSTATAÇÃO",PrazoConst,PrazoEsc))</f>
        <v/>
      </c>
      <c r="M980" s="107" t="str">
        <f>IF(L980="","",L980-TODAY())</f>
        <v/>
      </c>
      <c r="N980" s="108" t="str">
        <f>IF(B980="","",IF(G980="DECISÃO D.P","EM DECISÃO",IF(G980="","SEM STATUS",IF(M980="","SEM DATA",IF(M980&lt;0,"VENCIDO",IF(M980&lt;=DiasAlerta,"VENCE EM BREVE","NO PRAZO"))))))</f>
        <v/>
      </c>
      <c r="O980" s="109" t="str">
        <f>IF(D980="","",TODAY()-D980)</f>
        <v/>
      </c>
      <c r="P980" s="102" t="n"/>
    </row>
    <row r="981" ht="18" customHeight="1">
      <c r="A981" s="101" t="n"/>
      <c r="B981" s="102" t="n"/>
      <c r="C981" s="102" t="n"/>
      <c r="D981" s="103" t="n"/>
      <c r="E981" s="102" t="n"/>
      <c r="F981" s="104" t="n"/>
      <c r="G981" s="104" t="n"/>
      <c r="H981" s="102" t="n"/>
      <c r="I981" s="105" t="n"/>
      <c r="J981" s="105" t="n"/>
      <c r="K981" s="103" t="n"/>
      <c r="L981" s="106" t="str">
        <f>IF(OR(D981="",E981=""),"",D981+IF(E981="NOTIFICAÇÃO DE CONSTATAÇÃO",PrazoConst,PrazoEsc))</f>
        <v/>
      </c>
      <c r="M981" s="107" t="str">
        <f>IF(L981="","",L981-TODAY())</f>
        <v/>
      </c>
      <c r="N981" s="108" t="str">
        <f>IF(B981="","",IF(G981="DECISÃO D.P","EM DECISÃO",IF(G981="","SEM STATUS",IF(M981="","SEM DATA",IF(M981&lt;0,"VENCIDO",IF(M981&lt;=DiasAlerta,"VENCE EM BREVE","NO PRAZO"))))))</f>
        <v/>
      </c>
      <c r="O981" s="109" t="str">
        <f>IF(D981="","",TODAY()-D981)</f>
        <v/>
      </c>
      <c r="P981" s="102" t="n"/>
    </row>
    <row r="982" ht="18" customHeight="1">
      <c r="A982" s="101" t="n"/>
      <c r="B982" s="102" t="n"/>
      <c r="C982" s="102" t="n"/>
      <c r="D982" s="103" t="n"/>
      <c r="E982" s="102" t="n"/>
      <c r="F982" s="104" t="n"/>
      <c r="G982" s="104" t="n"/>
      <c r="H982" s="102" t="n"/>
      <c r="I982" s="105" t="n"/>
      <c r="J982" s="105" t="n"/>
      <c r="K982" s="103" t="n"/>
      <c r="L982" s="106" t="str">
        <f>IF(OR(D982="",E982=""),"",D982+IF(E982="NOTIFICAÇÃO DE CONSTATAÇÃO",PrazoConst,PrazoEsc))</f>
        <v/>
      </c>
      <c r="M982" s="107" t="str">
        <f>IF(L982="","",L982-TODAY())</f>
        <v/>
      </c>
      <c r="N982" s="108" t="str">
        <f>IF(B982="","",IF(G982="DECISÃO D.P","EM DECISÃO",IF(G982="","SEM STATUS",IF(M982="","SEM DATA",IF(M982&lt;0,"VENCIDO",IF(M982&lt;=DiasAlerta,"VENCE EM BREVE","NO PRAZO"))))))</f>
        <v/>
      </c>
      <c r="O982" s="109" t="str">
        <f>IF(D982="","",TODAY()-D982)</f>
        <v/>
      </c>
      <c r="P982" s="102" t="n"/>
    </row>
    <row r="983" ht="18" customHeight="1">
      <c r="A983" s="101" t="n"/>
      <c r="B983" s="102" t="n"/>
      <c r="C983" s="102" t="n"/>
      <c r="D983" s="103" t="n"/>
      <c r="E983" s="102" t="n"/>
      <c r="F983" s="104" t="n"/>
      <c r="G983" s="104" t="n"/>
      <c r="H983" s="102" t="n"/>
      <c r="I983" s="105" t="n"/>
      <c r="J983" s="105" t="n"/>
      <c r="K983" s="103" t="n"/>
      <c r="L983" s="106" t="str">
        <f>IF(OR(D983="",E983=""),"",D983+IF(E983="NOTIFICAÇÃO DE CONSTATAÇÃO",PrazoConst,PrazoEsc))</f>
        <v/>
      </c>
      <c r="M983" s="107" t="str">
        <f>IF(L983="","",L983-TODAY())</f>
        <v/>
      </c>
      <c r="N983" s="108" t="str">
        <f>IF(B983="","",IF(G983="DECISÃO D.P","EM DECISÃO",IF(G983="","SEM STATUS",IF(M983="","SEM DATA",IF(M983&lt;0,"VENCIDO",IF(M983&lt;=DiasAlerta,"VENCE EM BREVE","NO PRAZO"))))))</f>
        <v/>
      </c>
      <c r="O983" s="109" t="str">
        <f>IF(D983="","",TODAY()-D983)</f>
        <v/>
      </c>
      <c r="P983" s="102" t="n"/>
    </row>
    <row r="984" ht="18" customHeight="1">
      <c r="A984" s="101" t="n"/>
      <c r="B984" s="102" t="n"/>
      <c r="C984" s="102" t="n"/>
      <c r="D984" s="103" t="n"/>
      <c r="E984" s="102" t="n"/>
      <c r="F984" s="104" t="n"/>
      <c r="G984" s="104" t="n"/>
      <c r="H984" s="102" t="n"/>
      <c r="I984" s="105" t="n"/>
      <c r="J984" s="105" t="n"/>
      <c r="K984" s="103" t="n"/>
      <c r="L984" s="106" t="str">
        <f>IF(OR(D984="",E984=""),"",D984+IF(E984="NOTIFICAÇÃO DE CONSTATAÇÃO",PrazoConst,PrazoEsc))</f>
        <v/>
      </c>
      <c r="M984" s="107" t="str">
        <f>IF(L984="","",L984-TODAY())</f>
        <v/>
      </c>
      <c r="N984" s="108" t="str">
        <f>IF(B984="","",IF(G984="DECISÃO D.P","EM DECISÃO",IF(G984="","SEM STATUS",IF(M984="","SEM DATA",IF(M984&lt;0,"VENCIDO",IF(M984&lt;=DiasAlerta,"VENCE EM BREVE","NO PRAZO"))))))</f>
        <v/>
      </c>
      <c r="O984" s="109" t="str">
        <f>IF(D984="","",TODAY()-D984)</f>
        <v/>
      </c>
      <c r="P984" s="102" t="n"/>
    </row>
    <row r="985" ht="18" customHeight="1">
      <c r="A985" s="101" t="n"/>
      <c r="B985" s="102" t="n"/>
      <c r="C985" s="102" t="n"/>
      <c r="D985" s="103" t="n"/>
      <c r="E985" s="102" t="n"/>
      <c r="F985" s="104" t="n"/>
      <c r="G985" s="104" t="n"/>
      <c r="H985" s="102" t="n"/>
      <c r="I985" s="105" t="n"/>
      <c r="J985" s="105" t="n"/>
      <c r="K985" s="103" t="n"/>
      <c r="L985" s="106" t="str">
        <f>IF(OR(D985="",E985=""),"",D985+IF(E985="NOTIFICAÇÃO DE CONSTATAÇÃO",PrazoConst,PrazoEsc))</f>
        <v/>
      </c>
      <c r="M985" s="107" t="str">
        <f>IF(L985="","",L985-TODAY())</f>
        <v/>
      </c>
      <c r="N985" s="108" t="str">
        <f>IF(B985="","",IF(G985="DECISÃO D.P","EM DECISÃO",IF(G985="","SEM STATUS",IF(M985="","SEM DATA",IF(M985&lt;0,"VENCIDO",IF(M985&lt;=DiasAlerta,"VENCE EM BREVE","NO PRAZO"))))))</f>
        <v/>
      </c>
      <c r="O985" s="109" t="str">
        <f>IF(D985="","",TODAY()-D985)</f>
        <v/>
      </c>
      <c r="P985" s="102" t="n"/>
    </row>
    <row r="986" ht="18" customHeight="1">
      <c r="A986" s="101" t="n"/>
      <c r="B986" s="102" t="n"/>
      <c r="C986" s="102" t="n"/>
      <c r="D986" s="103" t="n"/>
      <c r="E986" s="102" t="n"/>
      <c r="F986" s="104" t="n"/>
      <c r="G986" s="104" t="n"/>
      <c r="H986" s="102" t="n"/>
      <c r="I986" s="105" t="n"/>
      <c r="J986" s="105" t="n"/>
      <c r="K986" s="103" t="n"/>
      <c r="L986" s="106" t="str">
        <f>IF(OR(D986="",E986=""),"",D986+IF(E986="NOTIFICAÇÃO DE CONSTATAÇÃO",PrazoConst,PrazoEsc))</f>
        <v/>
      </c>
      <c r="M986" s="107" t="str">
        <f>IF(L986="","",L986-TODAY())</f>
        <v/>
      </c>
      <c r="N986" s="108" t="str">
        <f>IF(B986="","",IF(G986="DECISÃO D.P","EM DECISÃO",IF(G986="","SEM STATUS",IF(M986="","SEM DATA",IF(M986&lt;0,"VENCIDO",IF(M986&lt;=DiasAlerta,"VENCE EM BREVE","NO PRAZO"))))))</f>
        <v/>
      </c>
      <c r="O986" s="109" t="str">
        <f>IF(D986="","",TODAY()-D986)</f>
        <v/>
      </c>
      <c r="P986" s="102" t="n"/>
    </row>
    <row r="987" ht="18" customHeight="1">
      <c r="A987" s="101" t="n"/>
      <c r="B987" s="102" t="n"/>
      <c r="C987" s="102" t="n"/>
      <c r="D987" s="103" t="n"/>
      <c r="E987" s="102" t="n"/>
      <c r="F987" s="104" t="n"/>
      <c r="G987" s="104" t="n"/>
      <c r="H987" s="102" t="n"/>
      <c r="I987" s="105" t="n"/>
      <c r="J987" s="105" t="n"/>
      <c r="K987" s="103" t="n"/>
      <c r="L987" s="106" t="str">
        <f>IF(OR(D987="",E987=""),"",D987+IF(E987="NOTIFICAÇÃO DE CONSTATAÇÃO",PrazoConst,PrazoEsc))</f>
        <v/>
      </c>
      <c r="M987" s="107" t="str">
        <f>IF(L987="","",L987-TODAY())</f>
        <v/>
      </c>
      <c r="N987" s="108" t="str">
        <f>IF(B987="","",IF(G987="DECISÃO D.P","EM DECISÃO",IF(G987="","SEM STATUS",IF(M987="","SEM DATA",IF(M987&lt;0,"VENCIDO",IF(M987&lt;=DiasAlerta,"VENCE EM BREVE","NO PRAZO"))))))</f>
        <v/>
      </c>
      <c r="O987" s="109" t="str">
        <f>IF(D987="","",TODAY()-D987)</f>
        <v/>
      </c>
      <c r="P987" s="102" t="n"/>
    </row>
    <row r="988" ht="18" customHeight="1">
      <c r="A988" s="101" t="n"/>
      <c r="B988" s="102" t="n"/>
      <c r="C988" s="102" t="n"/>
      <c r="D988" s="103" t="n"/>
      <c r="E988" s="102" t="n"/>
      <c r="F988" s="104" t="n"/>
      <c r="G988" s="104" t="n"/>
      <c r="H988" s="102" t="n"/>
      <c r="I988" s="105" t="n"/>
      <c r="J988" s="105" t="n"/>
      <c r="K988" s="103" t="n"/>
      <c r="L988" s="106" t="str">
        <f>IF(OR(D988="",E988=""),"",D988+IF(E988="NOTIFICAÇÃO DE CONSTATAÇÃO",PrazoConst,PrazoEsc))</f>
        <v/>
      </c>
      <c r="M988" s="107" t="str">
        <f>IF(L988="","",L988-TODAY())</f>
        <v/>
      </c>
      <c r="N988" s="108" t="str">
        <f>IF(B988="","",IF(G988="DECISÃO D.P","EM DECISÃO",IF(G988="","SEM STATUS",IF(M988="","SEM DATA",IF(M988&lt;0,"VENCIDO",IF(M988&lt;=DiasAlerta,"VENCE EM BREVE","NO PRAZO"))))))</f>
        <v/>
      </c>
      <c r="O988" s="109" t="str">
        <f>IF(D988="","",TODAY()-D988)</f>
        <v/>
      </c>
      <c r="P988" s="102" t="n"/>
    </row>
    <row r="989" ht="18" customHeight="1">
      <c r="A989" s="101" t="n"/>
      <c r="B989" s="102" t="n"/>
      <c r="C989" s="102" t="n"/>
      <c r="D989" s="103" t="n"/>
      <c r="E989" s="102" t="n"/>
      <c r="F989" s="104" t="n"/>
      <c r="G989" s="104" t="n"/>
      <c r="H989" s="102" t="n"/>
      <c r="I989" s="105" t="n"/>
      <c r="J989" s="105" t="n"/>
      <c r="K989" s="103" t="n"/>
      <c r="L989" s="106" t="str">
        <f>IF(OR(D989="",E989=""),"",D989+IF(E989="NOTIFICAÇÃO DE CONSTATAÇÃO",PrazoConst,PrazoEsc))</f>
        <v/>
      </c>
      <c r="M989" s="107" t="str">
        <f>IF(L989="","",L989-TODAY())</f>
        <v/>
      </c>
      <c r="N989" s="108" t="str">
        <f>IF(B989="","",IF(G989="DECISÃO D.P","EM DECISÃO",IF(G989="","SEM STATUS",IF(M989="","SEM DATA",IF(M989&lt;0,"VENCIDO",IF(M989&lt;=DiasAlerta,"VENCE EM BREVE","NO PRAZO"))))))</f>
        <v/>
      </c>
      <c r="O989" s="109" t="str">
        <f>IF(D989="","",TODAY()-D989)</f>
        <v/>
      </c>
      <c r="P989" s="102" t="n"/>
    </row>
    <row r="990" ht="18" customHeight="1">
      <c r="A990" s="101" t="n"/>
      <c r="B990" s="102" t="n"/>
      <c r="C990" s="102" t="n"/>
      <c r="D990" s="103" t="n"/>
      <c r="E990" s="102" t="n"/>
      <c r="F990" s="104" t="n"/>
      <c r="G990" s="104" t="n"/>
      <c r="H990" s="102" t="n"/>
      <c r="I990" s="105" t="n"/>
      <c r="J990" s="105" t="n"/>
      <c r="K990" s="103" t="n"/>
      <c r="L990" s="106" t="str">
        <f>IF(OR(D990="",E990=""),"",D990+IF(E990="NOTIFICAÇÃO DE CONSTATAÇÃO",PrazoConst,PrazoEsc))</f>
        <v/>
      </c>
      <c r="M990" s="107" t="str">
        <f>IF(L990="","",L990-TODAY())</f>
        <v/>
      </c>
      <c r="N990" s="108" t="str">
        <f>IF(B990="","",IF(G990="DECISÃO D.P","EM DECISÃO",IF(G990="","SEM STATUS",IF(M990="","SEM DATA",IF(M990&lt;0,"VENCIDO",IF(M990&lt;=DiasAlerta,"VENCE EM BREVE","NO PRAZO"))))))</f>
        <v/>
      </c>
      <c r="O990" s="109" t="str">
        <f>IF(D990="","",TODAY()-D990)</f>
        <v/>
      </c>
      <c r="P990" s="102" t="n"/>
    </row>
    <row r="991" ht="18" customHeight="1">
      <c r="A991" s="101" t="n"/>
      <c r="B991" s="102" t="n"/>
      <c r="C991" s="102" t="n"/>
      <c r="D991" s="103" t="n"/>
      <c r="E991" s="102" t="n"/>
      <c r="F991" s="104" t="n"/>
      <c r="G991" s="104" t="n"/>
      <c r="H991" s="102" t="n"/>
      <c r="I991" s="105" t="n"/>
      <c r="J991" s="105" t="n"/>
      <c r="K991" s="103" t="n"/>
      <c r="L991" s="106" t="str">
        <f>IF(OR(D991="",E991=""),"",D991+IF(E991="NOTIFICAÇÃO DE CONSTATAÇÃO",PrazoConst,PrazoEsc))</f>
        <v/>
      </c>
      <c r="M991" s="107" t="str">
        <f>IF(L991="","",L991-TODAY())</f>
        <v/>
      </c>
      <c r="N991" s="108" t="str">
        <f>IF(B991="","",IF(G991="DECISÃO D.P","EM DECISÃO",IF(G991="","SEM STATUS",IF(M991="","SEM DATA",IF(M991&lt;0,"VENCIDO",IF(M991&lt;=DiasAlerta,"VENCE EM BREVE","NO PRAZO"))))))</f>
        <v/>
      </c>
      <c r="O991" s="109" t="str">
        <f>IF(D991="","",TODAY()-D991)</f>
        <v/>
      </c>
      <c r="P991" s="102" t="n"/>
    </row>
    <row r="992" ht="18" customHeight="1">
      <c r="A992" s="101" t="n"/>
      <c r="B992" s="102" t="n"/>
      <c r="C992" s="102" t="n"/>
      <c r="D992" s="103" t="n"/>
      <c r="E992" s="102" t="n"/>
      <c r="F992" s="104" t="n"/>
      <c r="G992" s="104" t="n"/>
      <c r="H992" s="102" t="n"/>
      <c r="I992" s="105" t="n"/>
      <c r="J992" s="105" t="n"/>
      <c r="K992" s="103" t="n"/>
      <c r="L992" s="106" t="str">
        <f>IF(OR(D992="",E992=""),"",D992+IF(E992="NOTIFICAÇÃO DE CONSTATAÇÃO",PrazoConst,PrazoEsc))</f>
        <v/>
      </c>
      <c r="M992" s="107" t="str">
        <f>IF(L992="","",L992-TODAY())</f>
        <v/>
      </c>
      <c r="N992" s="108" t="str">
        <f>IF(B992="","",IF(G992="DECISÃO D.P","EM DECISÃO",IF(G992="","SEM STATUS",IF(M992="","SEM DATA",IF(M992&lt;0,"VENCIDO",IF(M992&lt;=DiasAlerta,"VENCE EM BREVE","NO PRAZO"))))))</f>
        <v/>
      </c>
      <c r="O992" s="109" t="str">
        <f>IF(D992="","",TODAY()-D992)</f>
        <v/>
      </c>
      <c r="P992" s="102" t="n"/>
    </row>
    <row r="993" ht="18" customHeight="1">
      <c r="A993" s="101" t="n"/>
      <c r="B993" s="102" t="n"/>
      <c r="C993" s="102" t="n"/>
      <c r="D993" s="103" t="n"/>
      <c r="E993" s="102" t="n"/>
      <c r="F993" s="104" t="n"/>
      <c r="G993" s="104" t="n"/>
      <c r="H993" s="102" t="n"/>
      <c r="I993" s="105" t="n"/>
      <c r="J993" s="105" t="n"/>
      <c r="K993" s="103" t="n"/>
      <c r="L993" s="106" t="str">
        <f>IF(OR(D993="",E993=""),"",D993+IF(E993="NOTIFICAÇÃO DE CONSTATAÇÃO",PrazoConst,PrazoEsc))</f>
        <v/>
      </c>
      <c r="M993" s="107" t="str">
        <f>IF(L993="","",L993-TODAY())</f>
        <v/>
      </c>
      <c r="N993" s="108" t="str">
        <f>IF(B993="","",IF(G993="DECISÃO D.P","EM DECISÃO",IF(G993="","SEM STATUS",IF(M993="","SEM DATA",IF(M993&lt;0,"VENCIDO",IF(M993&lt;=DiasAlerta,"VENCE EM BREVE","NO PRAZO"))))))</f>
        <v/>
      </c>
      <c r="O993" s="109" t="str">
        <f>IF(D993="","",TODAY()-D993)</f>
        <v/>
      </c>
      <c r="P993" s="102" t="n"/>
    </row>
    <row r="994" ht="18" customHeight="1">
      <c r="A994" s="101" t="n"/>
      <c r="B994" s="102" t="n"/>
      <c r="C994" s="102" t="n"/>
      <c r="D994" s="103" t="n"/>
      <c r="E994" s="102" t="n"/>
      <c r="F994" s="104" t="n"/>
      <c r="G994" s="104" t="n"/>
      <c r="H994" s="102" t="n"/>
      <c r="I994" s="105" t="n"/>
      <c r="J994" s="105" t="n"/>
      <c r="K994" s="103" t="n"/>
      <c r="L994" s="106" t="str">
        <f>IF(OR(D994="",E994=""),"",D994+IF(E994="NOTIFICAÇÃO DE CONSTATAÇÃO",PrazoConst,PrazoEsc))</f>
        <v/>
      </c>
      <c r="M994" s="107" t="str">
        <f>IF(L994="","",L994-TODAY())</f>
        <v/>
      </c>
      <c r="N994" s="108" t="str">
        <f>IF(B994="","",IF(G994="DECISÃO D.P","EM DECISÃO",IF(G994="","SEM STATUS",IF(M994="","SEM DATA",IF(M994&lt;0,"VENCIDO",IF(M994&lt;=DiasAlerta,"VENCE EM BREVE","NO PRAZO"))))))</f>
        <v/>
      </c>
      <c r="O994" s="109" t="str">
        <f>IF(D994="","",TODAY()-D994)</f>
        <v/>
      </c>
      <c r="P994" s="102" t="n"/>
    </row>
    <row r="995" ht="18" customHeight="1">
      <c r="A995" s="101" t="n"/>
      <c r="B995" s="102" t="n"/>
      <c r="C995" s="102" t="n"/>
      <c r="D995" s="103" t="n"/>
      <c r="E995" s="102" t="n"/>
      <c r="F995" s="104" t="n"/>
      <c r="G995" s="104" t="n"/>
      <c r="H995" s="102" t="n"/>
      <c r="I995" s="105" t="n"/>
      <c r="J995" s="105" t="n"/>
      <c r="K995" s="103" t="n"/>
      <c r="L995" s="106" t="str">
        <f>IF(OR(D995="",E995=""),"",D995+IF(E995="NOTIFICAÇÃO DE CONSTATAÇÃO",PrazoConst,PrazoEsc))</f>
        <v/>
      </c>
      <c r="M995" s="107" t="str">
        <f>IF(L995="","",L995-TODAY())</f>
        <v/>
      </c>
      <c r="N995" s="108" t="str">
        <f>IF(B995="","",IF(G995="DECISÃO D.P","EM DECISÃO",IF(G995="","SEM STATUS",IF(M995="","SEM DATA",IF(M995&lt;0,"VENCIDO",IF(M995&lt;=DiasAlerta,"VENCE EM BREVE","NO PRAZO"))))))</f>
        <v/>
      </c>
      <c r="O995" s="109" t="str">
        <f>IF(D995="","",TODAY()-D995)</f>
        <v/>
      </c>
      <c r="P995" s="102" t="n"/>
    </row>
    <row r="996" ht="18" customHeight="1">
      <c r="A996" s="101" t="n"/>
      <c r="B996" s="102" t="n"/>
      <c r="C996" s="102" t="n"/>
      <c r="D996" s="103" t="n"/>
      <c r="E996" s="102" t="n"/>
      <c r="F996" s="104" t="n"/>
      <c r="G996" s="104" t="n"/>
      <c r="H996" s="102" t="n"/>
      <c r="I996" s="105" t="n"/>
      <c r="J996" s="105" t="n"/>
      <c r="K996" s="103" t="n"/>
      <c r="L996" s="106" t="str">
        <f>IF(OR(D996="",E996=""),"",D996+IF(E996="NOTIFICAÇÃO DE CONSTATAÇÃO",PrazoConst,PrazoEsc))</f>
        <v/>
      </c>
      <c r="M996" s="107" t="str">
        <f>IF(L996="","",L996-TODAY())</f>
        <v/>
      </c>
      <c r="N996" s="108" t="str">
        <f>IF(B996="","",IF(G996="DECISÃO D.P","EM DECISÃO",IF(G996="","SEM STATUS",IF(M996="","SEM DATA",IF(M996&lt;0,"VENCIDO",IF(M996&lt;=DiasAlerta,"VENCE EM BREVE","NO PRAZO"))))))</f>
        <v/>
      </c>
      <c r="O996" s="109" t="str">
        <f>IF(D996="","",TODAY()-D996)</f>
        <v/>
      </c>
      <c r="P996" s="102" t="n"/>
    </row>
    <row r="997" ht="18" customHeight="1">
      <c r="A997" s="101" t="n"/>
      <c r="B997" s="102" t="n"/>
      <c r="C997" s="102" t="n"/>
      <c r="D997" s="103" t="n"/>
      <c r="E997" s="102" t="n"/>
      <c r="F997" s="104" t="n"/>
      <c r="G997" s="104" t="n"/>
      <c r="H997" s="102" t="n"/>
      <c r="I997" s="105" t="n"/>
      <c r="J997" s="105" t="n"/>
      <c r="K997" s="103" t="n"/>
      <c r="L997" s="106" t="str">
        <f>IF(OR(D997="",E997=""),"",D997+IF(E997="NOTIFICAÇÃO DE CONSTATAÇÃO",PrazoConst,PrazoEsc))</f>
        <v/>
      </c>
      <c r="M997" s="107" t="str">
        <f>IF(L997="","",L997-TODAY())</f>
        <v/>
      </c>
      <c r="N997" s="108" t="str">
        <f>IF(B997="","",IF(G997="DECISÃO D.P","EM DECISÃO",IF(G997="","SEM STATUS",IF(M997="","SEM DATA",IF(M997&lt;0,"VENCIDO",IF(M997&lt;=DiasAlerta,"VENCE EM BREVE","NO PRAZO"))))))</f>
        <v/>
      </c>
      <c r="O997" s="109" t="str">
        <f>IF(D997="","",TODAY()-D997)</f>
        <v/>
      </c>
      <c r="P997" s="102" t="n"/>
    </row>
    <row r="998" ht="18" customHeight="1">
      <c r="A998" s="101" t="n"/>
      <c r="B998" s="102" t="n"/>
      <c r="C998" s="102" t="n"/>
      <c r="D998" s="103" t="n"/>
      <c r="E998" s="102" t="n"/>
      <c r="F998" s="104" t="n"/>
      <c r="G998" s="104" t="n"/>
      <c r="H998" s="102" t="n"/>
      <c r="I998" s="105" t="n"/>
      <c r="J998" s="105" t="n"/>
      <c r="K998" s="103" t="n"/>
      <c r="L998" s="106" t="str">
        <f>IF(OR(D998="",E998=""),"",D998+IF(E998="NOTIFICAÇÃO DE CONSTATAÇÃO",PrazoConst,PrazoEsc))</f>
        <v/>
      </c>
      <c r="M998" s="107" t="str">
        <f>IF(L998="","",L998-TODAY())</f>
        <v/>
      </c>
      <c r="N998" s="108" t="str">
        <f>IF(B998="","",IF(G998="DECISÃO D.P","EM DECISÃO",IF(G998="","SEM STATUS",IF(M998="","SEM DATA",IF(M998&lt;0,"VENCIDO",IF(M998&lt;=DiasAlerta,"VENCE EM BREVE","NO PRAZO"))))))</f>
        <v/>
      </c>
      <c r="O998" s="109" t="str">
        <f>IF(D998="","",TODAY()-D998)</f>
        <v/>
      </c>
      <c r="P998" s="102" t="n"/>
    </row>
    <row r="999" ht="18" customHeight="1">
      <c r="A999" s="101" t="n"/>
      <c r="B999" s="102" t="n"/>
      <c r="C999" s="102" t="n"/>
      <c r="D999" s="103" t="n"/>
      <c r="E999" s="102" t="n"/>
      <c r="F999" s="104" t="n"/>
      <c r="G999" s="104" t="n"/>
      <c r="H999" s="102" t="n"/>
      <c r="I999" s="105" t="n"/>
      <c r="J999" s="105" t="n"/>
      <c r="K999" s="103" t="n"/>
      <c r="L999" s="106" t="str">
        <f>IF(OR(D999="",E999=""),"",D999+IF(E999="NOTIFICAÇÃO DE CONSTATAÇÃO",PrazoConst,PrazoEsc))</f>
        <v/>
      </c>
      <c r="M999" s="107" t="str">
        <f>IF(L999="","",L999-TODAY())</f>
        <v/>
      </c>
      <c r="N999" s="108" t="str">
        <f>IF(B999="","",IF(G999="DECISÃO D.P","EM DECISÃO",IF(G999="","SEM STATUS",IF(M999="","SEM DATA",IF(M999&lt;0,"VENCIDO",IF(M999&lt;=DiasAlerta,"VENCE EM BREVE","NO PRAZO"))))))</f>
        <v/>
      </c>
      <c r="O999" s="109" t="str">
        <f>IF(D999="","",TODAY()-D999)</f>
        <v/>
      </c>
      <c r="P999" s="102" t="n"/>
    </row>
    <row r="1000" ht="18" customHeight="1">
      <c r="A1000" s="101" t="n"/>
      <c r="B1000" s="102" t="n"/>
      <c r="C1000" s="102" t="n"/>
      <c r="D1000" s="103" t="n"/>
      <c r="E1000" s="102" t="n"/>
      <c r="F1000" s="104" t="n"/>
      <c r="G1000" s="104" t="n"/>
      <c r="H1000" s="102" t="n"/>
      <c r="I1000" s="105" t="n"/>
      <c r="J1000" s="105" t="n"/>
      <c r="K1000" s="103" t="n"/>
      <c r="L1000" s="106" t="str">
        <f>IF(OR(D1000="",E1000=""),"",D1000+IF(E1000="NOTIFICAÇÃO DE CONSTATAÇÃO",PrazoConst,PrazoEsc))</f>
        <v/>
      </c>
      <c r="M1000" s="107" t="str">
        <f>IF(L1000="","",L1000-TODAY())</f>
        <v/>
      </c>
      <c r="N1000" s="108" t="str">
        <f>IF(B1000="","",IF(G1000="DECISÃO D.P","EM DECISÃO",IF(G1000="","SEM STATUS",IF(M1000="","SEM DATA",IF(M1000&lt;0,"VENCIDO",IF(M1000&lt;=DiasAlerta,"VENCE EM BREVE","NO PRAZO"))))))</f>
        <v/>
      </c>
      <c r="O1000" s="109" t="str">
        <f>IF(D1000="","",TODAY()-D1000)</f>
        <v/>
      </c>
      <c r="P1000" s="102" t="n"/>
    </row>
    <row r="1001" ht="18" customHeight="1">
      <c r="A1001" s="101" t="n"/>
      <c r="B1001" s="102" t="n"/>
      <c r="C1001" s="102" t="n"/>
      <c r="D1001" s="103" t="n"/>
      <c r="E1001" s="102" t="n"/>
      <c r="F1001" s="104" t="n"/>
      <c r="G1001" s="104" t="n"/>
      <c r="H1001" s="102" t="n"/>
      <c r="I1001" s="105" t="n"/>
      <c r="J1001" s="105" t="n"/>
      <c r="K1001" s="103" t="n"/>
      <c r="L1001" s="106" t="str">
        <f>IF(OR(D1001="",E1001=""),"",D1001+IF(E1001="NOTIFICAÇÃO DE CONSTATAÇÃO",PrazoConst,PrazoEsc))</f>
        <v/>
      </c>
      <c r="M1001" s="107" t="str">
        <f>IF(L1001="","",L1001-TODAY())</f>
        <v/>
      </c>
      <c r="N1001" s="108" t="str">
        <f>IF(B1001="","",IF(G1001="DECISÃO D.P","EM DECISÃO",IF(G1001="","SEM STATUS",IF(M1001="","SEM DATA",IF(M1001&lt;0,"VENCIDO",IF(M1001&lt;=DiasAlerta,"VENCE EM BREVE","NO PRAZO"))))))</f>
        <v/>
      </c>
      <c r="O1001" s="109" t="str">
        <f>IF(D1001="","",TODAY()-D1001)</f>
        <v/>
      </c>
      <c r="P1001" s="102" t="n"/>
    </row>
    <row r="1002" ht="18" customHeight="1">
      <c r="A1002" s="101" t="n"/>
      <c r="B1002" s="102" t="n"/>
      <c r="C1002" s="102" t="n"/>
      <c r="D1002" s="103" t="n"/>
      <c r="E1002" s="102" t="n"/>
      <c r="F1002" s="104" t="n"/>
      <c r="G1002" s="104" t="n"/>
      <c r="H1002" s="102" t="n"/>
      <c r="I1002" s="105" t="n"/>
      <c r="J1002" s="105" t="n"/>
      <c r="K1002" s="103" t="n"/>
      <c r="L1002" s="106" t="str">
        <f>IF(OR(D1002="",E1002=""),"",D1002+IF(E1002="NOTIFICAÇÃO DE CONSTATAÇÃO",PrazoConst,PrazoEsc))</f>
        <v/>
      </c>
      <c r="M1002" s="107" t="str">
        <f>IF(L1002="","",L1002-TODAY())</f>
        <v/>
      </c>
      <c r="N1002" s="108" t="str">
        <f>IF(B1002="","",IF(G1002="DECISÃO D.P","EM DECISÃO",IF(G1002="","SEM STATUS",IF(M1002="","SEM DATA",IF(M1002&lt;0,"VENCIDO",IF(M1002&lt;=DiasAlerta,"VENCE EM BREVE","NO PRAZO"))))))</f>
        <v/>
      </c>
      <c r="O1002" s="109" t="str">
        <f>IF(D1002="","",TODAY()-D1002)</f>
        <v/>
      </c>
      <c r="P1002" s="102" t="n"/>
    </row>
    <row r="1003" ht="18" customHeight="1">
      <c r="A1003" s="101" t="n"/>
      <c r="B1003" s="102" t="n"/>
      <c r="C1003" s="102" t="n"/>
      <c r="D1003" s="103" t="n"/>
      <c r="E1003" s="102" t="n"/>
      <c r="F1003" s="104" t="n"/>
      <c r="G1003" s="104" t="n"/>
      <c r="H1003" s="102" t="n"/>
      <c r="I1003" s="105" t="n"/>
      <c r="J1003" s="105" t="n"/>
      <c r="K1003" s="103" t="n"/>
      <c r="L1003" s="106" t="str">
        <f>IF(OR(D1003="",E1003=""),"",D1003+IF(E1003="NOTIFICAÇÃO DE CONSTATAÇÃO",PrazoConst,PrazoEsc))</f>
        <v/>
      </c>
      <c r="M1003" s="107" t="str">
        <f>IF(L1003="","",L1003-TODAY())</f>
        <v/>
      </c>
      <c r="N1003" s="108" t="str">
        <f>IF(B1003="","",IF(G1003="DECISÃO D.P","EM DECISÃO",IF(G1003="","SEM STATUS",IF(M1003="","SEM DATA",IF(M1003&lt;0,"VENCIDO",IF(M1003&lt;=DiasAlerta,"VENCE EM BREVE","NO PRAZO"))))))</f>
        <v/>
      </c>
      <c r="O1003" s="109" t="str">
        <f>IF(D1003="","",TODAY()-D1003)</f>
        <v/>
      </c>
      <c r="P1003" s="102" t="n"/>
    </row>
    <row r="1004" ht="18" customHeight="1">
      <c r="A1004" s="101" t="n"/>
      <c r="B1004" s="102" t="n"/>
      <c r="C1004" s="102" t="n"/>
      <c r="D1004" s="103" t="n"/>
      <c r="E1004" s="102" t="n"/>
      <c r="F1004" s="104" t="n"/>
      <c r="G1004" s="104" t="n"/>
      <c r="H1004" s="102" t="n"/>
      <c r="I1004" s="105" t="n"/>
      <c r="J1004" s="105" t="n"/>
      <c r="K1004" s="103" t="n"/>
      <c r="L1004" s="106" t="str">
        <f>IF(OR(D1004="",E1004=""),"",D1004+IF(E1004="NOTIFICAÇÃO DE CONSTATAÇÃO",PrazoConst,PrazoEsc))</f>
        <v/>
      </c>
      <c r="M1004" s="107" t="str">
        <f>IF(L1004="","",L1004-TODAY())</f>
        <v/>
      </c>
      <c r="N1004" s="108" t="str">
        <f>IF(B1004="","",IF(G1004="DECISÃO D.P","EM DECISÃO",IF(G1004="","SEM STATUS",IF(M1004="","SEM DATA",IF(M1004&lt;0,"VENCIDO",IF(M1004&lt;=DiasAlerta,"VENCE EM BREVE","NO PRAZO"))))))</f>
        <v/>
      </c>
      <c r="O1004" s="109" t="str">
        <f>IF(D1004="","",TODAY()-D1004)</f>
        <v/>
      </c>
      <c r="P1004" s="102" t="n"/>
    </row>
  </sheetData>
  <autoFilter ref="A4:P1004"/>
  <mergeCells count="3">
    <mergeCell ref="A1:P1"/>
    <mergeCell ref="A3:P3"/>
    <mergeCell ref="A2:P2"/>
  </mergeCells>
  <conditionalFormatting sqref="N5:N1004">
    <cfRule type="expression" priority="1" dxfId="1" stopIfTrue="1">
      <formula>$N5="VENCIDO"</formula>
    </cfRule>
    <cfRule type="expression" priority="2" dxfId="0" stopIfTrue="1">
      <formula>$N5="VENCE EM BREVE"</formula>
    </cfRule>
    <cfRule type="expression" priority="3" dxfId="2" stopIfTrue="1">
      <formula>$N5="NO PRAZO"</formula>
    </cfRule>
    <cfRule type="expression" priority="4" dxfId="3" stopIfTrue="1">
      <formula>$N5="EM DECISÃO"</formula>
    </cfRule>
  </conditionalFormatting>
  <conditionalFormatting sqref="M5:M1004">
    <cfRule type="expression" priority="5" dxfId="4">
      <formula>AND(ISNUMBER($M5),$M5&lt;0,$G5="PRAZO D.P")</formula>
    </cfRule>
  </conditionalFormatting>
  <conditionalFormatting sqref="A5:P1004">
    <cfRule type="expression" priority="6" dxfId="5">
      <formula>AND($B5&lt;&gt;"",MOD(ROW(),2)=0)</formula>
    </cfRule>
  </conditionalFormatting>
  <dataValidations count="10">
    <dataValidation sqref="A5:A1004" showDropDown="0" showInputMessage="1" showErrorMessage="1" allowBlank="1" errorTitle="N° inválido" error="Digite apenas um NÚMERO INTEIRO positivo, sem letras, que ainda não exista na planilha." promptTitle="N°" prompt="Número inteiro sequencial do processo (ex.: 1, 2, 3...)." type="custom">
      <formula1>AND(ISNUMBER(A5),A5=INT(A5),A5&gt;0,COUNTIF($A$5:$A$1004,A5)=1)</formula1>
    </dataValidation>
    <dataValidation sqref="C5:C1004" showDropDown="0" showInputMessage="1" showErrorMessage="1" allowBlank="1" errorTitle="Ramo não cadastrado" error="Escolha um ramo da lista. Para incluir um novo ramo, cadastre-o na aba CADASTROS." promptTitle="RAMO" prompt="Selecione o ramo de atividade da empresa." type="list">
      <formula1>CADASTROS!$B$6:$B$35</formula1>
    </dataValidation>
    <dataValidation sqref="D5:D1004" showDropDown="0" showInputMessage="1" showErrorMessage="1" allowBlank="1" errorTitle="Data inválida" error="Este campo aceita SOMENTE DATAS REAIS no formato DD/MM/AAAA (entre 01/01/2000 e 31/12/2099). Textos e datas inexistentes (ex.: 31/02) são bloqueados." promptTitle="DATA DA FISCALIZAÇÃO" prompt="Digite a data no formato DD/MM/AAAA." type="date" operator="between">
      <formula1>36526</formula1>
      <formula2>73051</formula2>
    </dataValidation>
    <dataValidation sqref="K5:K1004" showDropDown="0" showInputMessage="1" showErrorMessage="1" allowBlank="1" errorTitle="Data inválida" error="Este campo aceita SOMENTE DATAS REAIS no formato DD/MM/AAAA (entre 01/01/2000 e 31/12/2099). Textos e datas inexistentes (ex.: 31/02) são bloqueados." promptTitle="DATA P. ORIGEM" prompt="Digite a data no formato DD/MM/AAAA." type="date" operator="between">
      <formula1>36526</formula1>
      <formula2>73051</formula2>
    </dataValidation>
    <dataValidation sqref="E5:E1004" showDropDown="0" showInputMessage="1" showErrorMessage="1" allowBlank="1" errorTitle="Opção inválida" error="Selecione NOTIFICAÇÃO DE CONSTATAÇÃO ou NOTIFICAÇÃO DE ESCLARECIMENTO." promptTitle="NOTIFICAÇÃO" prompt="Selecione o tipo de notificação." type="list">
      <formula1>"NOTIFICAÇÃO DE CONSTATAÇÃO,NOTIFICAÇÃO DE ESCLARECIMENTO"</formula1>
    </dataValidation>
    <dataValidation sqref="F5:F1004" showDropDown="0" showInputMessage="1" showErrorMessage="1" allowBlank="1" errorTitle="Opção inválida" error="Selecione PRESENCIAL ou ELETRÔNICA." promptTitle="TIPO" prompt="Selecione como a notificação foi entregue." type="list">
      <formula1>"PRESENCIAL,ELETRÔNICA"</formula1>
    </dataValidation>
    <dataValidation sqref="G5:G1004" showDropDown="0" showInputMessage="1" showErrorMessage="1" allowBlank="1" errorTitle="Opção inválida" error="Selecione DECISÃO D.P ou PRAZO D.P." promptTitle="STATUS" prompt="Selecione a fase atual do processo." type="list">
      <formula1>"DECISÃO D.P,PRAZO D.P"</formula1>
    </dataValidation>
    <dataValidation sqref="H5:H1004" showDropDown="0" showInputMessage="1" showErrorMessage="1" allowBlank="1" errorTitle="Responsável não cadastrado" error="Escolha um responsável da lista (cadastre novos na aba CADASTROS)." promptTitle="RESPONSÁVEL" prompt="Selecione o servidor responsável." type="list">
      <formula1>CADASTROS!$D$6:$D$20</formula1>
    </dataValidation>
    <dataValidation sqref="I5:I1004" showDropDown="0" showInputMessage="1" showErrorMessage="1" allowBlank="1" errorTitle="Caractere não permitido" error="O N° NOTIFICAÇÃO aceita SOMENTE números e a barra &quot;/&quot;. Ex.: 0123/2026" promptTitle="N° NOTIFICAÇÃO" prompt="Somente números e &quot;/&quot;. Ex.: 0123/2026" type="custom">
      <formula1>LEN(SUBSTITUTE(SUBSTITUTE(SUBSTITUTE(SUBSTITUTE(SUBSTITUTE(SUBSTITUTE(SUBSTITUTE(SUBSTITUTE(SUBSTITUTE(SUBSTITUTE(SUBSTITUTE(I5,"0",""),"1",""),"2",""),"3",""),"4",""),"5",""),"6",""),"7",""),"8",""),"9",""),"/",""))=0</formula1>
    </dataValidation>
    <dataValidation sqref="J5:J1004" showDropDown="0" showInputMessage="1" showErrorMessage="1" allowBlank="1" errorTitle="Caractere não permitido" error="O PROCESSO ORIGEM aceita SOMENTE números, a barra &quot;/&quot;, o ponto &quot;.&quot; e o hífen &quot;-&quot;. Ex.: 2026.004512-7/01" promptTitle="PROCESSO ORIGEM" prompt="Somente números, &quot;/&quot;, &quot;.&quot; e &quot;-&quot;. Ex.: 2026.004512-7/01" type="custom">
      <formula1>SUMPRODUCT(--ISERROR(FIND(MID(J5,ROW(INDIRECT("A1:A"&amp;LEN(J5))),1),"0123456789/.-")))=0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08D57"/>
    <outlinePr summaryBelow="1" summaryRight="1"/>
    <pageSetUpPr/>
  </sheetPr>
  <dimension ref="A1:O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3" customWidth="1" min="3" max="3"/>
    <col width="30" customWidth="1" min="4" max="4"/>
    <col width="3" customWidth="1" min="5" max="5"/>
    <col width="34" customWidth="1" min="6" max="6"/>
    <col width="3" customWidth="1" min="7" max="7"/>
    <col width="16" customWidth="1" min="8" max="8"/>
    <col width="3" customWidth="1" min="9" max="9"/>
    <col width="16" customWidth="1" min="10" max="10"/>
    <col width="3" customWidth="1" min="11" max="11"/>
    <col width="48" customWidth="1" min="12" max="12"/>
    <col width="12" customWidth="1" min="13" max="13"/>
    <col width="3" customWidth="1" min="14" max="14"/>
    <col width="50" customWidth="1" min="15" max="15"/>
  </cols>
  <sheetData>
    <row r="1" ht="30" customHeight="1">
      <c r="A1" s="2" t="n"/>
      <c r="B1" s="97" t="inlineStr">
        <is>
          <t>CADASTROS E PARÂMETROS</t>
        </is>
      </c>
    </row>
    <row r="2" ht="20" customHeight="1">
      <c r="A2" s="2" t="n"/>
      <c r="B2" s="98" t="inlineStr">
        <is>
          <t>Listas que alimentam os menus suspensos e regras de prazo usadas em todo o arquivo</t>
        </is>
      </c>
    </row>
    <row r="3" ht="4" customHeight="1">
      <c r="A3" s="8" t="n"/>
    </row>
    <row r="5">
      <c r="B5" s="110" t="inlineStr">
        <is>
          <t>RAMOS DE ATIVIDADE</t>
        </is>
      </c>
      <c r="D5" s="110" t="inlineStr">
        <is>
          <t>RESPONSÁVEIS</t>
        </is>
      </c>
      <c r="F5" s="110" t="inlineStr">
        <is>
          <t>NOTIFICAÇÃO (fixo)</t>
        </is>
      </c>
      <c r="H5" s="110" t="inlineStr">
        <is>
          <t>TIPO (fixo)</t>
        </is>
      </c>
      <c r="J5" s="110" t="inlineStr">
        <is>
          <t>STATUS (fixo)</t>
        </is>
      </c>
      <c r="L5" s="111" t="inlineStr">
        <is>
          <t>PARÂMETROS DE PRAZO E METAS</t>
        </is>
      </c>
      <c r="M5" s="111" t="inlineStr">
        <is>
          <t>VALOR</t>
        </is>
      </c>
      <c r="O5" s="111" t="inlineStr">
        <is>
          <t>OBSERVAÇÃO</t>
        </is>
      </c>
    </row>
    <row r="6">
      <c r="B6" s="112" t="inlineStr">
        <is>
          <t>LOJA</t>
        </is>
      </c>
      <c r="D6" s="112" t="inlineStr">
        <is>
          <t>ANA PAULA SOUZA</t>
        </is>
      </c>
      <c r="F6" s="113" t="inlineStr">
        <is>
          <t>NOTIFICAÇÃO DE CONSTATAÇÃO</t>
        </is>
      </c>
      <c r="H6" s="113" t="inlineStr">
        <is>
          <t>PRESENCIAL</t>
        </is>
      </c>
      <c r="J6" s="113" t="inlineStr">
        <is>
          <t>PRAZO D.P</t>
        </is>
      </c>
      <c r="L6" s="114" t="inlineStr">
        <is>
          <t>Prazo de resposta — Notificação de Constatação (dias corridos)</t>
        </is>
      </c>
      <c r="M6" s="115" t="n">
        <v>10</v>
      </c>
      <c r="O6" s="116" t="inlineStr">
        <is>
          <t>Premissa editável: prazo contado a partir da DATA DA FISCALIZAÇÃO.</t>
        </is>
      </c>
    </row>
    <row r="7">
      <c r="B7" s="112" t="inlineStr">
        <is>
          <t>POSTO DE COMBUSTÍVEL</t>
        </is>
      </c>
      <c r="D7" s="112" t="inlineStr">
        <is>
          <t>BRUNO CARVALHO</t>
        </is>
      </c>
      <c r="F7" s="113" t="inlineStr">
        <is>
          <t>NOTIFICAÇÃO DE ESCLARECIMENTO</t>
        </is>
      </c>
      <c r="H7" s="113" t="inlineStr">
        <is>
          <t>ELETRÔNICA</t>
        </is>
      </c>
      <c r="J7" s="113" t="inlineStr">
        <is>
          <t>DECISÃO D.P</t>
        </is>
      </c>
      <c r="L7" s="114" t="inlineStr">
        <is>
          <t>Prazo de resposta — Notificação de Esclarecimento (dias corridos)</t>
        </is>
      </c>
      <c r="M7" s="115" t="n">
        <v>15</v>
      </c>
      <c r="O7" s="116" t="inlineStr">
        <is>
          <t>Premissa editável: prazo contado a partir da DATA DA FISCALIZAÇÃO.</t>
        </is>
      </c>
    </row>
    <row r="8">
      <c r="B8" s="112" t="inlineStr">
        <is>
          <t>SAÚDE</t>
        </is>
      </c>
      <c r="D8" s="112" t="inlineStr">
        <is>
          <t>CARLA MENDES</t>
        </is>
      </c>
      <c r="L8" s="114" t="inlineStr">
        <is>
          <t>Antecedência para alerta 'VENCE EM BREVE' (dias)</t>
        </is>
      </c>
      <c r="M8" s="115" t="n">
        <v>5</v>
      </c>
      <c r="O8" s="116" t="inlineStr">
        <is>
          <t>Processos com prazo a vencer em até N dias recebem alerta.</t>
        </is>
      </c>
    </row>
    <row r="9">
      <c r="B9" s="112" t="inlineStr">
        <is>
          <t>ACADEMIA</t>
        </is>
      </c>
      <c r="D9" s="112" t="inlineStr">
        <is>
          <t>DIEGO RIBEIRO</t>
        </is>
      </c>
      <c r="L9" s="114" t="inlineStr">
        <is>
          <t>Meta mensal de fiscalizações</t>
        </is>
      </c>
      <c r="M9" s="115" t="n">
        <v>12</v>
      </c>
      <c r="O9" s="116" t="inlineStr">
        <is>
          <t>Usada no painel e nos gráficos de atingimento de meta.</t>
        </is>
      </c>
    </row>
    <row r="10">
      <c r="B10" s="112" t="inlineStr">
        <is>
          <t>SUPERMERCADO</t>
        </is>
      </c>
      <c r="D10" s="112" t="inlineStr">
        <is>
          <t>EDUARDA LIMA</t>
        </is>
      </c>
    </row>
    <row r="11">
      <c r="B11" s="112" t="inlineStr">
        <is>
          <t>RESTAURANTE</t>
        </is>
      </c>
      <c r="D11" s="112" t="inlineStr">
        <is>
          <t>FELIPE ARAÚJO</t>
        </is>
      </c>
      <c r="L11" s="117" t="inlineStr">
        <is>
          <t>Células em dourado claro são editáveis.</t>
        </is>
      </c>
    </row>
    <row r="12">
      <c r="B12" s="112" t="inlineStr">
        <is>
          <t>FARMÁCIA</t>
        </is>
      </c>
      <c r="D12" s="112" t="inlineStr">
        <is>
          <t>GABRIELA NUNES</t>
        </is>
      </c>
    </row>
    <row r="13">
      <c r="B13" s="112" t="inlineStr">
        <is>
          <t>BANCO</t>
        </is>
      </c>
      <c r="D13" s="112" t="inlineStr">
        <is>
          <t>HENRIQUE COSTA</t>
        </is>
      </c>
    </row>
    <row r="14">
      <c r="B14" s="112" t="inlineStr">
        <is>
          <t>ESCOLA</t>
        </is>
      </c>
      <c r="D14" s="112" t="n"/>
    </row>
    <row r="15">
      <c r="B15" s="112" t="inlineStr">
        <is>
          <t>TELEFONIA</t>
        </is>
      </c>
      <c r="D15" s="112" t="n"/>
    </row>
    <row r="16">
      <c r="B16" s="112" t="inlineStr">
        <is>
          <t>CONCESSIONÁRIA</t>
        </is>
      </c>
      <c r="D16" s="112" t="n"/>
    </row>
    <row r="17">
      <c r="B17" s="112" t="inlineStr">
        <is>
          <t>OUTROS</t>
        </is>
      </c>
      <c r="D17" s="112" t="n"/>
    </row>
    <row r="18">
      <c r="B18" s="112" t="n"/>
      <c r="D18" s="112" t="n"/>
    </row>
    <row r="19">
      <c r="B19" s="112" t="n"/>
      <c r="D19" s="112" t="n"/>
    </row>
    <row r="20">
      <c r="B20" s="112" t="n"/>
      <c r="D20" s="112" t="n"/>
    </row>
    <row r="21">
      <c r="B21" s="112" t="n"/>
    </row>
    <row r="22">
      <c r="B22" s="112" t="n"/>
      <c r="D22" s="117" t="inlineStr">
        <is>
          <t>↑ Inclua novos responsáveis nas linhas em branco (até 15).</t>
        </is>
      </c>
    </row>
    <row r="23">
      <c r="B23" s="112" t="n"/>
    </row>
    <row r="24">
      <c r="B24" s="112" t="n"/>
    </row>
    <row r="25">
      <c r="B25" s="112" t="n"/>
    </row>
    <row r="26">
      <c r="B26" s="112" t="n"/>
    </row>
    <row r="27">
      <c r="B27" s="112" t="n"/>
    </row>
    <row r="28">
      <c r="B28" s="112" t="n"/>
    </row>
    <row r="29">
      <c r="B29" s="112" t="n"/>
    </row>
    <row r="30">
      <c r="B30" s="112" t="n"/>
    </row>
    <row r="31">
      <c r="B31" s="112" t="n"/>
    </row>
    <row r="32">
      <c r="B32" s="112" t="n"/>
    </row>
    <row r="33">
      <c r="B33" s="112" t="n"/>
    </row>
    <row r="34">
      <c r="B34" s="112" t="n"/>
    </row>
    <row r="35">
      <c r="B35" s="112" t="n"/>
    </row>
    <row r="37">
      <c r="B37" s="117" t="inlineStr">
        <is>
          <t>↑ Inclua novos ramos nas linhas em branco (até 30).</t>
        </is>
      </c>
    </row>
  </sheetData>
  <mergeCells count="3">
    <mergeCell ref="B1:O1"/>
    <mergeCell ref="B2:O2"/>
    <mergeCell ref="A3:O3"/>
  </mergeCells>
  <dataValidations count="1">
    <dataValidation sqref="M6:M9" showDropDown="0" showInputMessage="0" showErrorMessage="1" allowBlank="0" errorTitle="Valor inválido" error="Informe um número inteiro de 0 a 365." type="whole" operator="between">
      <formula1>0</formula1>
      <formula2>365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96A5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80" customWidth="1" min="4" max="4"/>
  </cols>
  <sheetData>
    <row r="1" ht="30" customHeight="1">
      <c r="A1" s="97" t="inlineStr">
        <is>
          <t>GUIA DE USO DA PLANILHA</t>
        </is>
      </c>
    </row>
    <row r="2">
      <c r="A2" s="98" t="inlineStr">
        <is>
          <t>Como registrar processos e interpretar os indicadores</t>
        </is>
      </c>
    </row>
    <row r="3" ht="4" customHeight="1">
      <c r="A3" s="8" t="n"/>
    </row>
    <row r="5" ht="22" customHeight="1">
      <c r="B5" s="118" t="inlineStr">
        <is>
          <t>1. ESTRUTURA DAS ABAS</t>
        </is>
      </c>
      <c r="C5" s="19" t="n"/>
      <c r="D5" s="19" t="n"/>
    </row>
    <row r="6">
      <c r="B6" s="119" t="inlineStr">
        <is>
          <t>ABA</t>
        </is>
      </c>
      <c r="C6" s="119" t="inlineStr">
        <is>
          <t>FINALIDADE</t>
        </is>
      </c>
      <c r="D6" s="119" t="inlineStr">
        <is>
          <t>DETALHES</t>
        </is>
      </c>
    </row>
    <row r="7">
      <c r="B7" s="120" t="inlineStr">
        <is>
          <t>PAINEL</t>
        </is>
      </c>
      <c r="C7" s="121" t="inlineStr">
        <is>
          <t>Visão diária do Gerente</t>
        </is>
      </c>
      <c r="D7" s="121" t="inlineStr">
        <is>
          <t>Indicadores, alertas de prazo, carga da equipe, ramos e evolução mensal. Filtros por responsável e ano.</t>
        </is>
      </c>
    </row>
    <row r="8">
      <c r="B8" s="122" t="inlineStr">
        <is>
          <t>GRÁFICOS</t>
        </is>
      </c>
      <c r="C8" s="123" t="inlineStr">
        <is>
          <t>Dashboard analítico</t>
        </is>
      </c>
      <c r="D8" s="123" t="inlineStr">
        <is>
          <t>8 gráficos dinâmicos que acompanham os filtros definidos no PAINEL.</t>
        </is>
      </c>
    </row>
    <row r="9">
      <c r="B9" s="120" t="inlineStr">
        <is>
          <t>PROCESSOS</t>
        </is>
      </c>
      <c r="C9" s="121" t="inlineStr">
        <is>
          <t>Base de registros</t>
        </is>
      </c>
      <c r="D9" s="121" t="inlineStr">
        <is>
          <t>Única aba onde os processos são cadastrados (até 1.000 linhas formatadas e validadas).</t>
        </is>
      </c>
    </row>
    <row r="10">
      <c r="B10" s="122" t="inlineStr">
        <is>
          <t>CADASTROS</t>
        </is>
      </c>
      <c r="C10" s="123" t="inlineStr">
        <is>
          <t>Listas e parâmetros</t>
        </is>
      </c>
      <c r="D10" s="123" t="inlineStr">
        <is>
          <t>Ramos, responsáveis, prazos de resposta (dias), antecedência de alerta e meta mensal.</t>
        </is>
      </c>
    </row>
    <row r="11">
      <c r="B11" s="120" t="inlineStr">
        <is>
          <t>INSTRUÇÕES</t>
        </is>
      </c>
      <c r="C11" s="121" t="inlineStr">
        <is>
          <t>Este guia</t>
        </is>
      </c>
      <c r="D11" s="121" t="inlineStr">
        <is>
          <t>Regras de preenchimento e definição de cada indicador.</t>
        </is>
      </c>
    </row>
    <row r="13" ht="22" customHeight="1">
      <c r="B13" s="118" t="inlineStr">
        <is>
          <t>2. COMO CADASTRAR UM PROCESSO (aba PROCESSOS)</t>
        </is>
      </c>
      <c r="C13" s="19" t="n"/>
      <c r="D13" s="19" t="n"/>
    </row>
    <row r="14">
      <c r="B14" s="124" t="inlineStr">
        <is>
          <t>1) Vá até a primeira linha vazia e informe o N° (inteiro, sequencial e sem repetição).</t>
        </is>
      </c>
    </row>
    <row r="15">
      <c r="B15" s="124" t="inlineStr">
        <is>
          <t>2) Preencha EMPRESA (nome fantasia — texto livre) e selecione o RAMO no menu suspenso.</t>
        </is>
      </c>
    </row>
    <row r="16">
      <c r="B16" s="124" t="inlineStr">
        <is>
          <t>3) Digite a DATA DA FISCALIZAÇÃO no formato DD/MM/AAAA.</t>
        </is>
      </c>
    </row>
    <row r="17">
      <c r="B17" s="124" t="inlineStr">
        <is>
          <t>4) Selecione NOTIFICAÇÃO, TIPO, STATUS e RESPONSÁVEL nos menus suspensos.</t>
        </is>
      </c>
    </row>
    <row r="18">
      <c r="B18" s="124" t="inlineStr">
        <is>
          <t>5) Informe N° NOTIFICAÇÃO, PROCESSO ORIGEM e DATA P. ORIGEM.</t>
        </is>
      </c>
    </row>
    <row r="19">
      <c r="B19" s="124" t="inlineStr">
        <is>
          <t>6) As colunas PRAZO FINAL, DIAS RESTANTES, SITUAÇÃO DO PRAZO e DIAS DESDE A FISCALIZAÇÃO são automáticas — não digite nelas.</t>
        </is>
      </c>
    </row>
    <row r="20">
      <c r="B20" s="124" t="inlineStr">
        <is>
          <t>7) Ao concluir a fase de prazo, altere o STATUS para DECISÃO D.P: o processo sai dos alertas de vencimento.</t>
        </is>
      </c>
    </row>
    <row r="22" ht="22" customHeight="1">
      <c r="B22" s="118" t="inlineStr">
        <is>
          <t>3. REGRAS DE VALIDAÇÃO (bloqueios de digitação)</t>
        </is>
      </c>
      <c r="C22" s="19" t="n"/>
      <c r="D22" s="19" t="n"/>
    </row>
    <row r="23">
      <c r="B23" s="119" t="inlineStr">
        <is>
          <t>COLUNA</t>
        </is>
      </c>
      <c r="C23" s="119" t="inlineStr">
        <is>
          <t>TIPO DE CAMPO</t>
        </is>
      </c>
      <c r="D23" s="119" t="inlineStr">
        <is>
          <t>REGRA APLICADA</t>
        </is>
      </c>
    </row>
    <row r="24">
      <c r="B24" s="122" t="inlineStr">
        <is>
          <t>N°</t>
        </is>
      </c>
      <c r="C24" s="123" t="inlineStr">
        <is>
          <t>Número inteiro</t>
        </is>
      </c>
      <c r="D24" s="123" t="inlineStr">
        <is>
          <t>Aceita apenas inteiros positivos; letras, decimais e números repetidos são bloqueados.</t>
        </is>
      </c>
    </row>
    <row r="25">
      <c r="B25" s="120" t="inlineStr">
        <is>
          <t>EMPRESA</t>
        </is>
      </c>
      <c r="C25" s="121" t="inlineStr">
        <is>
          <t>Texto livre</t>
        </is>
      </c>
      <c r="D25" s="121" t="inlineStr">
        <is>
          <t>Sem bloqueio (aceita letras e números).</t>
        </is>
      </c>
    </row>
    <row r="26">
      <c r="B26" s="122" t="inlineStr">
        <is>
          <t>RAMO</t>
        </is>
      </c>
      <c r="C26" s="123" t="inlineStr">
        <is>
          <t>Menu suspenso</t>
        </is>
      </c>
      <c r="D26" s="123" t="inlineStr">
        <is>
          <t>Lista da aba CADASTROS (pode ser ampliada).</t>
        </is>
      </c>
    </row>
    <row r="27">
      <c r="B27" s="120" t="inlineStr">
        <is>
          <t>DATA DA FISCALIZAÇÃO</t>
        </is>
      </c>
      <c r="C27" s="121" t="inlineStr">
        <is>
          <t>Data</t>
        </is>
      </c>
      <c r="D27" s="121" t="inlineStr">
        <is>
          <t>Somente datas reais entre 01/01/2000 e 31/12/2099; textos são bloqueados.</t>
        </is>
      </c>
    </row>
    <row r="28">
      <c r="B28" s="122" t="inlineStr">
        <is>
          <t>NOTIFICAÇÃO</t>
        </is>
      </c>
      <c r="C28" s="123" t="inlineStr">
        <is>
          <t>Menu suspenso</t>
        </is>
      </c>
      <c r="D28" s="123" t="inlineStr">
        <is>
          <t>NOTIFICAÇÃO DE CONSTATAÇÃO | NOTIFICAÇÃO DE ESCLARECIMENTO.</t>
        </is>
      </c>
    </row>
    <row r="29">
      <c r="B29" s="120" t="inlineStr">
        <is>
          <t>TIPO</t>
        </is>
      </c>
      <c r="C29" s="121" t="inlineStr">
        <is>
          <t>Menu suspenso</t>
        </is>
      </c>
      <c r="D29" s="121" t="inlineStr">
        <is>
          <t>PRESENCIAL | ELETRÔNICA.</t>
        </is>
      </c>
    </row>
    <row r="30">
      <c r="B30" s="122" t="inlineStr">
        <is>
          <t>STATUS</t>
        </is>
      </c>
      <c r="C30" s="123" t="inlineStr">
        <is>
          <t>Menu suspenso</t>
        </is>
      </c>
      <c r="D30" s="123" t="inlineStr">
        <is>
          <t>DECISÃO D.P | PRAZO D.P.</t>
        </is>
      </c>
    </row>
    <row r="31">
      <c r="B31" s="120" t="inlineStr">
        <is>
          <t>RESPONSÁVEL</t>
        </is>
      </c>
      <c r="C31" s="121" t="inlineStr">
        <is>
          <t>Menu suspenso</t>
        </is>
      </c>
      <c r="D31" s="121" t="inlineStr">
        <is>
          <t>Lista da aba CADASTROS (pode ser ampliada).</t>
        </is>
      </c>
    </row>
    <row r="32">
      <c r="B32" s="122" t="inlineStr">
        <is>
          <t>N° NOTIFICAÇÃO</t>
        </is>
      </c>
      <c r="C32" s="123" t="inlineStr">
        <is>
          <t>Números e "/"</t>
        </is>
      </c>
      <c r="D32" s="123" t="inlineStr">
        <is>
          <t>Qualquer outro caractere é bloqueado. Ex.: 0123/2026.</t>
        </is>
      </c>
    </row>
    <row r="33">
      <c r="B33" s="120" t="inlineStr">
        <is>
          <t>PROCESSO ORIGEM</t>
        </is>
      </c>
      <c r="C33" s="121" t="inlineStr">
        <is>
          <t>Números, "/", "." e "-"</t>
        </is>
      </c>
      <c r="D33" s="121" t="inlineStr">
        <is>
          <t>Qualquer outro caractere é bloqueado. Ex.: 2026.004512-7/01.</t>
        </is>
      </c>
    </row>
    <row r="34">
      <c r="B34" s="122" t="inlineStr">
        <is>
          <t>DATA P. ORIGEM</t>
        </is>
      </c>
      <c r="C34" s="123" t="inlineStr">
        <is>
          <t>Data</t>
        </is>
      </c>
      <c r="D34" s="123" t="inlineStr">
        <is>
          <t>Somente datas reais entre 01/01/2000 e 31/12/2099; textos são bloqueados.</t>
        </is>
      </c>
    </row>
    <row r="35">
      <c r="B35" s="120" t="inlineStr">
        <is>
          <t>OBSERVAÇÕES</t>
        </is>
      </c>
      <c r="C35" s="121" t="inlineStr">
        <is>
          <t>Texto livre</t>
        </is>
      </c>
      <c r="D35" s="121" t="inlineStr">
        <is>
          <t>Campo opcional para anotações.</t>
        </is>
      </c>
    </row>
    <row r="37" ht="22" customHeight="1">
      <c r="B37" s="118" t="inlineStr">
        <is>
          <t>4. DEFINIÇÃO DOS INDICADORES</t>
        </is>
      </c>
      <c r="C37" s="19" t="n"/>
      <c r="D37" s="19" t="n"/>
    </row>
    <row r="38">
      <c r="B38" s="119" t="inlineStr">
        <is>
          <t>INDICADOR</t>
        </is>
      </c>
      <c r="C38" s="119" t="inlineStr">
        <is>
          <t>CÁLCULO</t>
        </is>
      </c>
      <c r="D38" s="119" t="inlineStr">
        <is>
          <t>LEITURA</t>
        </is>
      </c>
    </row>
    <row r="39">
      <c r="B39" s="120" t="inlineStr">
        <is>
          <t>Prazo final</t>
        </is>
      </c>
      <c r="C39" s="121" t="inlineStr">
        <is>
          <t>Data da fiscalização + prazo (CADASTROS)</t>
        </is>
      </c>
      <c r="D39" s="121" t="inlineStr">
        <is>
          <t>Constatação: 10 dias; Esclarecimento: 15 dias (premissas editáveis).</t>
        </is>
      </c>
    </row>
    <row r="40">
      <c r="B40" s="122" t="inlineStr">
        <is>
          <t>Vence em breve</t>
        </is>
      </c>
      <c r="C40" s="123" t="inlineStr">
        <is>
          <t>Prazo final em até N dias (CADASTROS)</t>
        </is>
      </c>
      <c r="D40" s="123" t="inlineStr">
        <is>
          <t>Alerta preventivo para a equipe.</t>
        </is>
      </c>
    </row>
    <row r="41">
      <c r="B41" s="120" t="inlineStr">
        <is>
          <t>Em decisão</t>
        </is>
      </c>
      <c r="C41" s="121" t="inlineStr">
        <is>
          <t>STATUS = DECISÃO D.P</t>
        </is>
      </c>
      <c r="D41" s="121" t="inlineStr">
        <is>
          <t>Processo aguardando decisão; fora do controle de prazo.</t>
        </is>
      </c>
    </row>
    <row r="42">
      <c r="B42" s="122" t="inlineStr">
        <is>
          <t>Idade média</t>
        </is>
      </c>
      <c r="C42" s="123" t="inlineStr">
        <is>
          <t>Média de dias desde a fiscalização</t>
        </is>
      </c>
      <c r="D42" s="123" t="inlineStr">
        <is>
          <t>Mede o tempo de permanência dos processos na base.</t>
        </is>
      </c>
    </row>
    <row r="43">
      <c r="B43" s="120" t="inlineStr">
        <is>
          <t>Atingimento da meta</t>
        </is>
      </c>
      <c r="C43" s="121" t="inlineStr">
        <is>
          <t>Fiscalizações do mês ÷ meta mensal</t>
        </is>
      </c>
      <c r="D43" s="121" t="inlineStr">
        <is>
          <t>Meta definida na aba CADASTROS.</t>
        </is>
      </c>
    </row>
    <row r="44">
      <c r="B44" s="122" t="inlineStr">
        <is>
          <t>% equipe</t>
        </is>
      </c>
      <c r="C44" s="123" t="inlineStr">
        <is>
          <t>Processos do responsável ÷ total</t>
        </is>
      </c>
      <c r="D44" s="123" t="inlineStr">
        <is>
          <t>Equilíbrio da distribuição de carga.</t>
        </is>
      </c>
    </row>
    <row r="46" ht="22" customHeight="1">
      <c r="B46" s="118" t="inlineStr">
        <is>
          <t>5. OBSERVAÇÕES</t>
        </is>
      </c>
      <c r="C46" s="19" t="n"/>
      <c r="D46" s="19" t="n"/>
    </row>
    <row r="47" ht="30" customHeight="1">
      <c r="B47" s="124" t="inlineStr">
        <is>
          <t>• A planilha vem com 96 registros FICTÍCIOS de exemplo para demonstrar o painel. Para começar a usar, apague o conteúdo das colunas A–K e P da aba PROCESSOS (não apague as colunas L–O, que contêm fórmulas).</t>
        </is>
      </c>
    </row>
    <row r="48" ht="30" customHeight="1">
      <c r="B48" s="124" t="inlineStr">
        <is>
          <t>• Os filtros (Responsável e Ano) ficam no topo do PAINEL e se aplicam também à aba GRÁFICOS.</t>
        </is>
      </c>
    </row>
    <row r="49" ht="30" customHeight="1">
      <c r="B49" s="124" t="inlineStr">
        <is>
          <t>• A tabela 'Carga por responsável' mostra sempre a equipe inteira, independentemente do filtro.</t>
        </is>
      </c>
    </row>
    <row r="50" ht="30" customHeight="1">
      <c r="B50" s="124" t="inlineStr">
        <is>
          <t>• Os indicadores usam a data de HOJE e são recalculados automaticamente ao abrir o arquivo.</t>
        </is>
      </c>
    </row>
    <row r="51" ht="30" customHeight="1">
      <c r="B51" s="124" t="inlineStr">
        <is>
          <t>• Ao colar dados de outra planilha, use 'Colar especial › Valores' para não remover as validações.</t>
        </is>
      </c>
    </row>
  </sheetData>
  <mergeCells count="20">
    <mergeCell ref="B14:D14"/>
    <mergeCell ref="B17:D17"/>
    <mergeCell ref="B13:D13"/>
    <mergeCell ref="B19:D19"/>
    <mergeCell ref="B37:D37"/>
    <mergeCell ref="B49:D49"/>
    <mergeCell ref="B15:D15"/>
    <mergeCell ref="B51:D51"/>
    <mergeCell ref="B20:D20"/>
    <mergeCell ref="A1:D1"/>
    <mergeCell ref="B5:D5"/>
    <mergeCell ref="B50:D50"/>
    <mergeCell ref="B47:D47"/>
    <mergeCell ref="B16:D16"/>
    <mergeCell ref="B46:D46"/>
    <mergeCell ref="B22:D22"/>
    <mergeCell ref="A3:D3"/>
    <mergeCell ref="B18:D18"/>
    <mergeCell ref="A2:D2"/>
    <mergeCell ref="B48:D48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004"/>
  <sheetViews>
    <sheetView workbookViewId="0">
      <selection activeCell="A1" sqref="A1"/>
    </sheetView>
  </sheetViews>
  <sheetFormatPr baseColWidth="8" defaultRowHeight="15"/>
  <sheetData>
    <row r="1">
      <c r="A1" s="125" t="inlineStr">
        <is>
          <t>CÁLCULOS AUXILIARES — não editar (alimenta PAINEL e GRÁFICOS)</t>
        </is>
      </c>
    </row>
    <row r="3">
      <c r="B3" t="inlineStr">
        <is>
          <t>Critério responsável</t>
        </is>
      </c>
      <c r="C3" t="str">
        <f>IF(OR(FiltroResp="",FiltroResp="TODOS"),"&lt;&gt;§§",FiltroResp)</f>
        <v>&lt;&gt;§§</v>
      </c>
    </row>
    <row r="4">
      <c r="E4" t="inlineStr">
        <is>
          <t>Lista filtro resp.</t>
        </is>
      </c>
      <c r="G4" t="inlineStr">
        <is>
          <t>Anos</t>
        </is>
      </c>
      <c r="BF4" t="inlineStr">
        <is>
          <t>chave próx.</t>
        </is>
      </c>
      <c r="BG4" t="inlineStr">
        <is>
          <t>chave últ. fiscalização</t>
        </is>
      </c>
      <c r="BI4" t="inlineStr">
        <is>
          <t>k</t>
        </is>
      </c>
      <c r="BJ4" t="inlineStr">
        <is>
          <t>idx próx.</t>
        </is>
      </c>
      <c r="BK4" t="inlineStr">
        <is>
          <t>idx últ.</t>
        </is>
      </c>
    </row>
    <row r="5">
      <c r="E5" t="inlineStr">
        <is>
          <t>TODOS</t>
        </is>
      </c>
      <c r="G5" t="n">
        <v>2024</v>
      </c>
      <c r="I5" s="126" t="inlineStr">
        <is>
          <t>STATUS</t>
        </is>
      </c>
      <c r="L5" t="inlineStr">
        <is>
          <t>Nº</t>
        </is>
      </c>
      <c r="M5" t="inlineStr">
        <is>
          <t>Mês</t>
        </is>
      </c>
      <c r="N5" t="inlineStr">
        <is>
          <t>Fiscalizações</t>
        </is>
      </c>
      <c r="O5" t="inlineStr">
        <is>
          <t>Constatação</t>
        </is>
      </c>
      <c r="P5" t="inlineStr">
        <is>
          <t>Esclarecimento</t>
        </is>
      </c>
      <c r="Q5" t="inlineStr">
        <is>
          <t>Presencial</t>
        </is>
      </c>
      <c r="R5" t="inlineStr">
        <is>
          <t>Eletrônica</t>
        </is>
      </c>
      <c r="S5" t="inlineStr">
        <is>
          <t>Meta</t>
        </is>
      </c>
      <c r="T5" t="inlineStr">
        <is>
          <t>Realizado acumulado</t>
        </is>
      </c>
      <c r="U5" t="inlineStr">
        <is>
          <t>Meta acumulada</t>
        </is>
      </c>
      <c r="W5" t="inlineStr">
        <is>
          <t>Responsável</t>
        </is>
      </c>
      <c r="X5" t="inlineStr">
        <is>
          <t>Total</t>
        </is>
      </c>
      <c r="Y5" t="inlineStr">
        <is>
          <t>Prazo D.P</t>
        </is>
      </c>
      <c r="Z5" t="inlineStr">
        <is>
          <t>Decisão D.P</t>
        </is>
      </c>
      <c r="AA5" t="inlineStr">
        <is>
          <t>No prazo</t>
        </is>
      </c>
      <c r="AB5" t="inlineStr">
        <is>
          <t>Vence breve</t>
        </is>
      </c>
      <c r="AC5" t="inlineStr">
        <is>
          <t>Score</t>
        </is>
      </c>
      <c r="AE5" t="inlineStr">
        <is>
          <t>Pos.</t>
        </is>
      </c>
      <c r="AF5" t="inlineStr">
        <is>
          <t>Responsável</t>
        </is>
      </c>
      <c r="AG5" t="inlineStr">
        <is>
          <t>Total</t>
        </is>
      </c>
      <c r="AH5" t="inlineStr">
        <is>
          <t>Prazo D.P</t>
        </is>
      </c>
      <c r="AI5" t="inlineStr">
        <is>
          <t>Decisão D.P</t>
        </is>
      </c>
      <c r="AJ5" t="inlineStr">
        <is>
          <t>No prazo</t>
        </is>
      </c>
      <c r="AK5" t="inlineStr">
        <is>
          <t>Vence breve</t>
        </is>
      </c>
      <c r="AL5" t="inlineStr">
        <is>
          <t>% equipe</t>
        </is>
      </c>
      <c r="AM5" t="inlineStr">
        <is>
          <t>idx</t>
        </is>
      </c>
      <c r="AO5" t="inlineStr">
        <is>
          <t>Ramo</t>
        </is>
      </c>
      <c r="AP5" t="inlineStr">
        <is>
          <t>Total</t>
        </is>
      </c>
      <c r="AQ5" t="inlineStr">
        <is>
          <t>Constatação</t>
        </is>
      </c>
      <c r="AR5" t="inlineStr">
        <is>
          <t>Esclarecimento</t>
        </is>
      </c>
      <c r="AS5" t="inlineStr">
        <is>
          <t>Prazo D.P</t>
        </is>
      </c>
      <c r="AT5" t="inlineStr">
        <is>
          <t>Score</t>
        </is>
      </c>
      <c r="AV5" t="inlineStr">
        <is>
          <t>Pos.</t>
        </is>
      </c>
      <c r="AW5" t="inlineStr">
        <is>
          <t>Ramo</t>
        </is>
      </c>
      <c r="AX5" t="inlineStr">
        <is>
          <t>Total</t>
        </is>
      </c>
      <c r="AY5" t="inlineStr">
        <is>
          <t>Constatação</t>
        </is>
      </c>
      <c r="AZ5" t="inlineStr">
        <is>
          <t>Esclarecimento</t>
        </is>
      </c>
      <c r="BA5" t="inlineStr">
        <is>
          <t>Prazo D.P</t>
        </is>
      </c>
      <c r="BB5" t="inlineStr">
        <is>
          <t>%</t>
        </is>
      </c>
      <c r="BC5" t="inlineStr">
        <is>
          <t>idx</t>
        </is>
      </c>
      <c r="BF5" t="str">
        <f>IF(AND(OR(PROCESSOS!N5="NO PRAZO",PROCESSOS!N5="VENCE EM BREVE"),OR(FiltroResp="TODOS",FiltroResp="",PROCESSOS!H5=FiltroResp)),PROCESSOS!L5+ROW()/1000000,"")</f>
        <v/>
      </c>
      <c r="BG5">
        <f>IF(AND(PROCESSOS!B5&lt;&gt;"",ISNUMBER(PROCESSOS!D5),OR(FiltroResp="TODOS",FiltroResp="",PROCESSOS!H5=FiltroResp)),PROCESSOS!D5+ROW()/1000000,"")</f>
        <v>46042.000005</v>
      </c>
      <c r="BI5" t="n">
        <v>1</v>
      </c>
      <c r="BJ5">
        <f>IFERROR(MATCH(SMALL(hProx,BI5),hProx,0),"")</f>
        <v>83</v>
      </c>
      <c r="BK5">
        <f>IFERROR(MATCH(LARGE(hUlt,BI5),hUlt,0),"")</f>
        <v>96</v>
      </c>
    </row>
    <row r="6">
      <c r="E6" t="str">
        <f>IF(CADASTROS!$D$6="","",CADASTROS!$D$6)</f>
        <v>ANA PAULA SOUZA</v>
      </c>
      <c r="G6" t="n">
        <v>2025</v>
      </c>
      <c r="I6" t="inlineStr">
        <is>
          <t>Prazo D.P</t>
        </is>
      </c>
      <c r="J6">
        <f>COUNTIFS(rEmpresa,"&lt;&gt;",rResp,critResp,rStatus,"PRAZO D.P")</f>
        <v>29</v>
      </c>
      <c r="L6" t="n">
        <v>1</v>
      </c>
      <c r="M6" t="inlineStr">
        <is>
          <t>JAN</t>
        </is>
      </c>
      <c r="N6">
        <f>COUNTIFS(rEmpresa,"&lt;&gt;",rResp,critResp,rDataFisc,"&gt;="&amp;DATE(FiltroAno,L6,1),rDataFisc,"&lt;"&amp;DATE(FiltroAno,L6+1,1))</f>
        <v>1</v>
      </c>
      <c r="O6">
        <f>COUNTIFS(rEmpresa,"&lt;&gt;",rResp,critResp,rDataFisc,"&gt;="&amp;DATE(FiltroAno,L6,1),rDataFisc,"&lt;"&amp;DATE(FiltroAno,L6+1,1),rNotif,"NOTIFICAÇÃO DE CONSTATAÇÃO")</f>
        <v>1</v>
      </c>
      <c r="P6">
        <f>COUNTIFS(rEmpresa,"&lt;&gt;",rResp,critResp,rDataFisc,"&gt;="&amp;DATE(FiltroAno,L6,1),rDataFisc,"&lt;"&amp;DATE(FiltroAno,L6+1,1),rNotif,"NOTIFICAÇÃO DE ESCLARECIMENTO")</f>
        <v>0</v>
      </c>
      <c r="Q6">
        <f>COUNTIFS(rEmpresa,"&lt;&gt;",rResp,critResp,rDataFisc,"&gt;="&amp;DATE(FiltroAno,L6,1),rDataFisc,"&lt;"&amp;DATE(FiltroAno,L6+1,1),rTipo,"PRESENCIAL")</f>
        <v>1</v>
      </c>
      <c r="R6">
        <f>COUNTIFS(rEmpresa,"&lt;&gt;",rResp,critResp,rDataFisc,"&gt;="&amp;DATE(FiltroAno,L6,1),rDataFisc,"&lt;"&amp;DATE(FiltroAno,L6+1,1),rTipo,"ELETRÔNICA")</f>
        <v>0</v>
      </c>
      <c r="S6">
        <f>MetaMensal</f>
        <v>12</v>
      </c>
      <c r="T6">
        <f>SUM($N$6:N6)</f>
        <v>1</v>
      </c>
      <c r="U6">
        <f>SUM($S$6:S6)</f>
        <v>12</v>
      </c>
      <c r="W6" t="str">
        <f>IF(CADASTROS!$D$6="","",CADASTROS!$D$6)</f>
        <v>ANA PAULA SOUZA</v>
      </c>
      <c r="X6">
        <f>IF(W6="",0,COUNTIFS(rResp,W6,rEmpresa,"&lt;&gt;"))</f>
        <v>10</v>
      </c>
      <c r="Y6">
        <f>IF(W6="",0,COUNTIFS(rResp,W6,rEmpresa,"&lt;&gt;",rStatus,"PRAZO D.P"))</f>
        <v>2</v>
      </c>
      <c r="Z6">
        <f>IF(W6="",0,COUNTIFS(rResp,W6,rEmpresa,"&lt;&gt;",rStatus,"DECISÃO D.P"))</f>
        <v>8</v>
      </c>
      <c r="AA6">
        <f>IF(W6="",0,COUNTIFS(rResp,W6,rEmpresa,"&lt;&gt;",rSit,"NO PRAZO"))</f>
        <v>0</v>
      </c>
      <c r="AB6">
        <f>IF(W6="",0,COUNTIFS(rResp,W6,rEmpresa,"&lt;&gt;",rSit,"VENCE EM BREVE"))</f>
        <v>0</v>
      </c>
      <c r="AC6">
        <f>IF(W6="",-1,X6+(100-ROW())/1000)</f>
        <v>10.094</v>
      </c>
      <c r="AE6" t="n">
        <v>1</v>
      </c>
      <c r="AF6" t="str">
        <f>IF(AM6="","",INDEX($W$6:$W$20,AM6))</f>
        <v>DIEGO RIBEIRO</v>
      </c>
      <c r="AG6">
        <f>IF(AM6="","",INDEX($X$6:$X$20,AM6))</f>
        <v>24</v>
      </c>
      <c r="AH6">
        <f>IF(AM6="","",INDEX($Y$6:$Y$20,AM6))</f>
        <v>10</v>
      </c>
      <c r="AI6">
        <f>IF(AM6="","",INDEX($Z$6:$Z$20,AM6))</f>
        <v>14</v>
      </c>
      <c r="AJ6">
        <f>IF(AM6="","",INDEX($AA$6:$AA$20,AM6))</f>
        <v>2</v>
      </c>
      <c r="AK6">
        <f>IF(AM6="","",INDEX($AB$6:$AB$20,AM6))</f>
        <v>4</v>
      </c>
      <c r="AL6">
        <f>IF(AM6="","",IFERROR(AG6/SUM($X$6:$X$20),0))</f>
        <v>0.25</v>
      </c>
      <c r="AM6">
        <f>IF(LARGE($AC$6:$AC$20,AE6)&lt;0,"",MATCH(LARGE($AC$6:$AC$20,AE6),$AC$6:$AC$20,0))</f>
        <v>4</v>
      </c>
      <c r="AO6" t="str">
        <f>IF(CADASTROS!$B$6="","",CADASTROS!$B$6)</f>
        <v>LOJA</v>
      </c>
      <c r="AP6">
        <f>IF(AO6="",0,COUNTIFS(rEmpresa,"&lt;&gt;",rResp,critResp,rRamo,AO6))</f>
        <v>14</v>
      </c>
      <c r="AQ6">
        <f>IF(AO6="",0,COUNTIFS(rEmpresa,"&lt;&gt;",rResp,critResp,rRamo,AO6,rNotif,"NOTIFICAÇÃO DE CONSTATAÇÃO"))</f>
        <v>7</v>
      </c>
      <c r="AR6">
        <f>IF(AO6="",0,COUNTIFS(rEmpresa,"&lt;&gt;",rResp,critResp,rRamo,AO6,rNotif,"NOTIFICAÇÃO DE ESCLARECIMENTO"))</f>
        <v>7</v>
      </c>
      <c r="AS6">
        <f>IF(AO6="",0,COUNTIFS(rEmpresa,"&lt;&gt;",rResp,critResp,rRamo,AO6,rStatus,"PRAZO D.P"))</f>
        <v>6</v>
      </c>
      <c r="AT6">
        <f>IF(AO6="",-1,AP6+(100-ROW())/1000)</f>
        <v>14.094</v>
      </c>
      <c r="AV6" t="n">
        <v>1</v>
      </c>
      <c r="AW6" t="str">
        <f>IF(BC6="","",INDEX($AO$6:$AO$35,BC6))</f>
        <v>LOJA</v>
      </c>
      <c r="AX6">
        <f>IF(BC6="","",INDEX($AP$6:$AP$35,BC6))</f>
        <v>14</v>
      </c>
      <c r="AY6">
        <f>IF(BC6="","",INDEX($AQ$6:$AQ$35,BC6))</f>
        <v>7</v>
      </c>
      <c r="AZ6">
        <f>IF(BC6="","",INDEX($AR$6:$AR$35,BC6))</f>
        <v>7</v>
      </c>
      <c r="BA6">
        <f>IF(BC6="","",INDEX($AS$6:$AS$35,BC6))</f>
        <v>6</v>
      </c>
      <c r="BB6">
        <f>IF(BC6="","",IFERROR(AX6/SUM($AP$6:$AP$35),0))</f>
        <v>0.145833333333333</v>
      </c>
      <c r="BC6">
        <f>IF(LARGE($AT$6:$AT$35,AV6)&lt;0,"",MATCH(LARGE($AT$6:$AT$35,AV6),$AT$6:$AT$35,0))</f>
        <v>1</v>
      </c>
      <c r="BF6" t="str">
        <f>IF(AND(OR(PROCESSOS!N6="NO PRAZO",PROCESSOS!N6="VENCE EM BREVE"),OR(FiltroResp="TODOS",FiltroResp="",PROCESSOS!H6=FiltroResp)),PROCESSOS!L6+ROW()/1000000,"")</f>
        <v/>
      </c>
      <c r="BG6">
        <f>IF(AND(PROCESSOS!B6&lt;&gt;"",ISNUMBER(PROCESSOS!D6),OR(FiltroResp="TODOS",FiltroResp="",PROCESSOS!H6=FiltroResp)),PROCESSOS!D6+ROW()/1000000,"")</f>
        <v>46057.00000599537</v>
      </c>
      <c r="BI6" t="n">
        <v>2</v>
      </c>
      <c r="BJ6">
        <f>IFERROR(MATCH(SMALL(hProx,BI6),hProx,0),"")</f>
        <v>84</v>
      </c>
      <c r="BK6">
        <f>IFERROR(MATCH(LARGE(hUlt,BI6),hUlt,0),"")</f>
        <v>95</v>
      </c>
    </row>
    <row r="7">
      <c r="E7" t="str">
        <f>IF(CADASTROS!$D$7="","",CADASTROS!$D$7)</f>
        <v>BRUNO CARVALHO</v>
      </c>
      <c r="G7" t="n">
        <v>2026</v>
      </c>
      <c r="I7" t="inlineStr">
        <is>
          <t>Decisão D.P</t>
        </is>
      </c>
      <c r="J7">
        <f>COUNTIFS(rEmpresa,"&lt;&gt;",rResp,critResp,rStatus,"DECISÃO D.P")</f>
        <v>67</v>
      </c>
      <c r="L7" t="n">
        <v>2</v>
      </c>
      <c r="M7" t="inlineStr">
        <is>
          <t>FEV</t>
        </is>
      </c>
      <c r="N7">
        <f>COUNTIFS(rEmpresa,"&lt;&gt;",rResp,critResp,rDataFisc,"&gt;="&amp;DATE(FiltroAno,L7,1),rDataFisc,"&lt;"&amp;DATE(FiltroAno,L7+1,1))</f>
        <v>3</v>
      </c>
      <c r="O7">
        <f>COUNTIFS(rEmpresa,"&lt;&gt;",rResp,critResp,rDataFisc,"&gt;="&amp;DATE(FiltroAno,L7,1),rDataFisc,"&lt;"&amp;DATE(FiltroAno,L7+1,1),rNotif,"NOTIFICAÇÃO DE CONSTATAÇÃO")</f>
        <v>3</v>
      </c>
      <c r="P7">
        <f>COUNTIFS(rEmpresa,"&lt;&gt;",rResp,critResp,rDataFisc,"&gt;="&amp;DATE(FiltroAno,L7,1),rDataFisc,"&lt;"&amp;DATE(FiltroAno,L7+1,1),rNotif,"NOTIFICAÇÃO DE ESCLARECIMENTO")</f>
        <v>0</v>
      </c>
      <c r="Q7">
        <f>COUNTIFS(rEmpresa,"&lt;&gt;",rResp,critResp,rDataFisc,"&gt;="&amp;DATE(FiltroAno,L7,1),rDataFisc,"&lt;"&amp;DATE(FiltroAno,L7+1,1),rTipo,"PRESENCIAL")</f>
        <v>2</v>
      </c>
      <c r="R7">
        <f>COUNTIFS(rEmpresa,"&lt;&gt;",rResp,critResp,rDataFisc,"&gt;="&amp;DATE(FiltroAno,L7,1),rDataFisc,"&lt;"&amp;DATE(FiltroAno,L7+1,1),rTipo,"ELETRÔNICA")</f>
        <v>1</v>
      </c>
      <c r="S7">
        <f>MetaMensal</f>
        <v>12</v>
      </c>
      <c r="T7">
        <f>SUM($N$6:N7)</f>
        <v>4</v>
      </c>
      <c r="U7">
        <f>SUM($S$6:S7)</f>
        <v>24</v>
      </c>
      <c r="W7" t="str">
        <f>IF(CADASTROS!$D$7="","",CADASTROS!$D$7)</f>
        <v>BRUNO CARVALHO</v>
      </c>
      <c r="X7">
        <f>IF(W7="",0,COUNTIFS(rResp,W7,rEmpresa,"&lt;&gt;"))</f>
        <v>16</v>
      </c>
      <c r="Y7">
        <f>IF(W7="",0,COUNTIFS(rResp,W7,rEmpresa,"&lt;&gt;",rStatus,"PRAZO D.P"))</f>
        <v>7</v>
      </c>
      <c r="Z7">
        <f>IF(W7="",0,COUNTIFS(rResp,W7,rEmpresa,"&lt;&gt;",rStatus,"DECISÃO D.P"))</f>
        <v>9</v>
      </c>
      <c r="AA7">
        <f>IF(W7="",0,COUNTIFS(rResp,W7,rEmpresa,"&lt;&gt;",rSit,"NO PRAZO"))</f>
        <v>1</v>
      </c>
      <c r="AB7">
        <f>IF(W7="",0,COUNTIFS(rResp,W7,rEmpresa,"&lt;&gt;",rSit,"VENCE EM BREVE"))</f>
        <v>0</v>
      </c>
      <c r="AC7">
        <f>IF(W7="",-1,X7+(100-ROW())/1000)</f>
        <v>16.093</v>
      </c>
      <c r="AE7" t="n">
        <v>2</v>
      </c>
      <c r="AF7" t="str">
        <f>IF(AM7="","",INDEX($W$6:$W$20,AM7))</f>
        <v>BRUNO CARVALHO</v>
      </c>
      <c r="AG7">
        <f>IF(AM7="","",INDEX($X$6:$X$20,AM7))</f>
        <v>16</v>
      </c>
      <c r="AH7">
        <f>IF(AM7="","",INDEX($Y$6:$Y$20,AM7))</f>
        <v>7</v>
      </c>
      <c r="AI7">
        <f>IF(AM7="","",INDEX($Z$6:$Z$20,AM7))</f>
        <v>9</v>
      </c>
      <c r="AJ7">
        <f>IF(AM7="","",INDEX($AA$6:$AA$20,AM7))</f>
        <v>1</v>
      </c>
      <c r="AK7">
        <f>IF(AM7="","",INDEX($AB$6:$AB$20,AM7))</f>
        <v>0</v>
      </c>
      <c r="AL7">
        <f>IF(AM7="","",IFERROR(AG7/SUM($X$6:$X$20),0))</f>
        <v>0.166666666666667</v>
      </c>
      <c r="AM7">
        <f>IF(LARGE($AC$6:$AC$20,AE7)&lt;0,"",MATCH(LARGE($AC$6:$AC$20,AE7),$AC$6:$AC$20,0))</f>
        <v>2</v>
      </c>
      <c r="AO7" t="str">
        <f>IF(CADASTROS!$B$7="","",CADASTROS!$B$7)</f>
        <v>POSTO DE COMBUSTÍVEL</v>
      </c>
      <c r="AP7">
        <f>IF(AO7="",0,COUNTIFS(rEmpresa,"&lt;&gt;",rResp,critResp,rRamo,AO7))</f>
        <v>8</v>
      </c>
      <c r="AQ7">
        <f>IF(AO7="",0,COUNTIFS(rEmpresa,"&lt;&gt;",rResp,critResp,rRamo,AO7,rNotif,"NOTIFICAÇÃO DE CONSTATAÇÃO"))</f>
        <v>4</v>
      </c>
      <c r="AR7">
        <f>IF(AO7="",0,COUNTIFS(rEmpresa,"&lt;&gt;",rResp,critResp,rRamo,AO7,rNotif,"NOTIFICAÇÃO DE ESCLARECIMENTO"))</f>
        <v>4</v>
      </c>
      <c r="AS7">
        <f>IF(AO7="",0,COUNTIFS(rEmpresa,"&lt;&gt;",rResp,critResp,rRamo,AO7,rStatus,"PRAZO D.P"))</f>
        <v>2</v>
      </c>
      <c r="AT7">
        <f>IF(AO7="",-1,AP7+(100-ROW())/1000)</f>
        <v>8.093</v>
      </c>
      <c r="AV7" t="n">
        <v>2</v>
      </c>
      <c r="AW7" t="str">
        <f>IF(BC7="","",INDEX($AO$6:$AO$35,BC7))</f>
        <v>SAÚDE</v>
      </c>
      <c r="AX7">
        <f>IF(BC7="","",INDEX($AP$6:$AP$35,BC7))</f>
        <v>14</v>
      </c>
      <c r="AY7">
        <f>IF(BC7="","",INDEX($AQ$6:$AQ$35,BC7))</f>
        <v>10</v>
      </c>
      <c r="AZ7">
        <f>IF(BC7="","",INDEX($AR$6:$AR$35,BC7))</f>
        <v>4</v>
      </c>
      <c r="BA7">
        <f>IF(BC7="","",INDEX($AS$6:$AS$35,BC7))</f>
        <v>3</v>
      </c>
      <c r="BB7">
        <f>IF(BC7="","",IFERROR(AX7/SUM($AP$6:$AP$35),0))</f>
        <v>0.145833333333333</v>
      </c>
      <c r="BC7">
        <f>IF(LARGE($AT$6:$AT$35,AV7)&lt;0,"",MATCH(LARGE($AT$6:$AT$35,AV7),$AT$6:$AT$35,0))</f>
        <v>3</v>
      </c>
      <c r="BF7" t="str">
        <f>IF(AND(OR(PROCESSOS!N7="NO PRAZO",PROCESSOS!N7="VENCE EM BREVE"),OR(FiltroResp="TODOS",FiltroResp="",PROCESSOS!H7=FiltroResp)),PROCESSOS!L7+ROW()/1000000,"")</f>
        <v/>
      </c>
      <c r="BG7">
        <f>IF(AND(PROCESSOS!B7&lt;&gt;"",ISNUMBER(PROCESSOS!D7),OR(FiltroResp="TODOS",FiltroResp="",PROCESSOS!H7=FiltroResp)),PROCESSOS!D7+ROW()/1000000,"")</f>
        <v>46071.000007002316</v>
      </c>
      <c r="BI7" t="n">
        <v>3</v>
      </c>
      <c r="BJ7">
        <f>IFERROR(MATCH(SMALL(hProx,BI7),hProx,0),"")</f>
        <v>88</v>
      </c>
      <c r="BK7">
        <f>IFERROR(MATCH(LARGE(hUlt,BI7),hUlt,0),"")</f>
        <v>94</v>
      </c>
    </row>
    <row r="8">
      <c r="E8" t="str">
        <f>IF(CADASTROS!$D$8="","",CADASTROS!$D$8)</f>
        <v>CARLA MENDES</v>
      </c>
      <c r="G8" t="n">
        <v>2027</v>
      </c>
      <c r="L8" t="n">
        <v>3</v>
      </c>
      <c r="M8" t="inlineStr">
        <is>
          <t>MAR</t>
        </is>
      </c>
      <c r="N8">
        <f>COUNTIFS(rEmpresa,"&lt;&gt;",rResp,critResp,rDataFisc,"&gt;="&amp;DATE(FiltroAno,L8,1),rDataFisc,"&lt;"&amp;DATE(FiltroAno,L8+1,1))</f>
        <v>4</v>
      </c>
      <c r="O8">
        <f>COUNTIFS(rEmpresa,"&lt;&gt;",rResp,critResp,rDataFisc,"&gt;="&amp;DATE(FiltroAno,L8,1),rDataFisc,"&lt;"&amp;DATE(FiltroAno,L8+1,1),rNotif,"NOTIFICAÇÃO DE CONSTATAÇÃO")</f>
        <v>4</v>
      </c>
      <c r="P8">
        <f>COUNTIFS(rEmpresa,"&lt;&gt;",rResp,critResp,rDataFisc,"&gt;="&amp;DATE(FiltroAno,L8,1),rDataFisc,"&lt;"&amp;DATE(FiltroAno,L8+1,1),rNotif,"NOTIFICAÇÃO DE ESCLARECIMENTO")</f>
        <v>0</v>
      </c>
      <c r="Q8">
        <f>COUNTIFS(rEmpresa,"&lt;&gt;",rResp,critResp,rDataFisc,"&gt;="&amp;DATE(FiltroAno,L8,1),rDataFisc,"&lt;"&amp;DATE(FiltroAno,L8+1,1),rTipo,"PRESENCIAL")</f>
        <v>3</v>
      </c>
      <c r="R8">
        <f>COUNTIFS(rEmpresa,"&lt;&gt;",rResp,critResp,rDataFisc,"&gt;="&amp;DATE(FiltroAno,L8,1),rDataFisc,"&lt;"&amp;DATE(FiltroAno,L8+1,1),rTipo,"ELETRÔNICA")</f>
        <v>1</v>
      </c>
      <c r="S8">
        <f>MetaMensal</f>
        <v>12</v>
      </c>
      <c r="T8">
        <f>SUM($N$6:N8)</f>
        <v>8</v>
      </c>
      <c r="U8">
        <f>SUM($S$6:S8)</f>
        <v>36</v>
      </c>
      <c r="W8" t="str">
        <f>IF(CADASTROS!$D$8="","",CADASTROS!$D$8)</f>
        <v>CARLA MENDES</v>
      </c>
      <c r="X8">
        <f>IF(W8="",0,COUNTIFS(rResp,W8,rEmpresa,"&lt;&gt;"))</f>
        <v>15</v>
      </c>
      <c r="Y8">
        <f>IF(W8="",0,COUNTIFS(rResp,W8,rEmpresa,"&lt;&gt;",rStatus,"PRAZO D.P"))</f>
        <v>3</v>
      </c>
      <c r="Z8">
        <f>IF(W8="",0,COUNTIFS(rResp,W8,rEmpresa,"&lt;&gt;",rStatus,"DECISÃO D.P"))</f>
        <v>12</v>
      </c>
      <c r="AA8">
        <f>IF(W8="",0,COUNTIFS(rResp,W8,rEmpresa,"&lt;&gt;",rSit,"NO PRAZO"))</f>
        <v>1</v>
      </c>
      <c r="AB8">
        <f>IF(W8="",0,COUNTIFS(rResp,W8,rEmpresa,"&lt;&gt;",rSit,"VENCE EM BREVE"))</f>
        <v>2</v>
      </c>
      <c r="AC8">
        <f>IF(W8="",-1,X8+(100-ROW())/1000)</f>
        <v>15.092</v>
      </c>
      <c r="AE8" t="n">
        <v>3</v>
      </c>
      <c r="AF8" t="str">
        <f>IF(AM8="","",INDEX($W$6:$W$20,AM8))</f>
        <v>CARLA MENDES</v>
      </c>
      <c r="AG8">
        <f>IF(AM8="","",INDEX($X$6:$X$20,AM8))</f>
        <v>15</v>
      </c>
      <c r="AH8">
        <f>IF(AM8="","",INDEX($Y$6:$Y$20,AM8))</f>
        <v>3</v>
      </c>
      <c r="AI8">
        <f>IF(AM8="","",INDEX($Z$6:$Z$20,AM8))</f>
        <v>12</v>
      </c>
      <c r="AJ8">
        <f>IF(AM8="","",INDEX($AA$6:$AA$20,AM8))</f>
        <v>1</v>
      </c>
      <c r="AK8">
        <f>IF(AM8="","",INDEX($AB$6:$AB$20,AM8))</f>
        <v>2</v>
      </c>
      <c r="AL8">
        <f>IF(AM8="","",IFERROR(AG8/SUM($X$6:$X$20),0))</f>
        <v>0.15625</v>
      </c>
      <c r="AM8">
        <f>IF(LARGE($AC$6:$AC$20,AE8)&lt;0,"",MATCH(LARGE($AC$6:$AC$20,AE8),$AC$6:$AC$20,0))</f>
        <v>3</v>
      </c>
      <c r="AO8" t="str">
        <f>IF(CADASTROS!$B$8="","",CADASTROS!$B$8)</f>
        <v>SAÚDE</v>
      </c>
      <c r="AP8">
        <f>IF(AO8="",0,COUNTIFS(rEmpresa,"&lt;&gt;",rResp,critResp,rRamo,AO8))</f>
        <v>14</v>
      </c>
      <c r="AQ8">
        <f>IF(AO8="",0,COUNTIFS(rEmpresa,"&lt;&gt;",rResp,critResp,rRamo,AO8,rNotif,"NOTIFICAÇÃO DE CONSTATAÇÃO"))</f>
        <v>10</v>
      </c>
      <c r="AR8">
        <f>IF(AO8="",0,COUNTIFS(rEmpresa,"&lt;&gt;",rResp,critResp,rRamo,AO8,rNotif,"NOTIFICAÇÃO DE ESCLARECIMENTO"))</f>
        <v>4</v>
      </c>
      <c r="AS8">
        <f>IF(AO8="",0,COUNTIFS(rEmpresa,"&lt;&gt;",rResp,critResp,rRamo,AO8,rStatus,"PRAZO D.P"))</f>
        <v>3</v>
      </c>
      <c r="AT8">
        <f>IF(AO8="",-1,AP8+(100-ROW())/1000)</f>
        <v>14.092</v>
      </c>
      <c r="AV8" t="n">
        <v>3</v>
      </c>
      <c r="AW8" t="str">
        <f>IF(BC8="","",INDEX($AO$6:$AO$35,BC8))</f>
        <v>RESTAURANTE</v>
      </c>
      <c r="AX8">
        <f>IF(BC8="","",INDEX($AP$6:$AP$35,BC8))</f>
        <v>11</v>
      </c>
      <c r="AY8">
        <f>IF(BC8="","",INDEX($AQ$6:$AQ$35,BC8))</f>
        <v>9</v>
      </c>
      <c r="AZ8">
        <f>IF(BC8="","",INDEX($AR$6:$AR$35,BC8))</f>
        <v>2</v>
      </c>
      <c r="BA8">
        <f>IF(BC8="","",INDEX($AS$6:$AS$35,BC8))</f>
        <v>2</v>
      </c>
      <c r="BB8">
        <f>IF(BC8="","",IFERROR(AX8/SUM($AP$6:$AP$35),0))</f>
        <v>0.114583333333333</v>
      </c>
      <c r="BC8">
        <f>IF(LARGE($AT$6:$AT$35,AV8)&lt;0,"",MATCH(LARGE($AT$6:$AT$35,AV8),$AT$6:$AT$35,0))</f>
        <v>6</v>
      </c>
      <c r="BF8" t="str">
        <f>IF(AND(OR(PROCESSOS!N8="NO PRAZO",PROCESSOS!N8="VENCE EM BREVE"),OR(FiltroResp="TODOS",FiltroResp="",PROCESSOS!H8=FiltroResp)),PROCESSOS!L8+ROW()/1000000,"")</f>
        <v/>
      </c>
      <c r="BG8">
        <f>IF(AND(PROCESSOS!B8&lt;&gt;"",ISNUMBER(PROCESSOS!D8),OR(FiltroResp="TODOS",FiltroResp="",PROCESSOS!H8=FiltroResp)),PROCESSOS!D8+ROW()/1000000,"")</f>
        <v>46076.00000799768</v>
      </c>
      <c r="BI8" t="n">
        <v>4</v>
      </c>
      <c r="BJ8">
        <f>IFERROR(MATCH(SMALL(hProx,BI8),hProx,0),"")</f>
        <v>82</v>
      </c>
      <c r="BK8">
        <f>IFERROR(MATCH(LARGE(hUlt,BI8),hUlt,0),"")</f>
        <v>93</v>
      </c>
    </row>
    <row r="9">
      <c r="E9" t="str">
        <f>IF(CADASTROS!$D$9="","",CADASTROS!$D$9)</f>
        <v>DIEGO RIBEIRO</v>
      </c>
      <c r="G9" t="n">
        <v>2028</v>
      </c>
      <c r="L9" t="n">
        <v>4</v>
      </c>
      <c r="M9" t="inlineStr">
        <is>
          <t>ABR</t>
        </is>
      </c>
      <c r="N9">
        <f>COUNTIFS(rEmpresa,"&lt;&gt;",rResp,critResp,rDataFisc,"&gt;="&amp;DATE(FiltroAno,L9,1),rDataFisc,"&lt;"&amp;DATE(FiltroAno,L9+1,1))</f>
        <v>4</v>
      </c>
      <c r="O9">
        <f>COUNTIFS(rEmpresa,"&lt;&gt;",rResp,critResp,rDataFisc,"&gt;="&amp;DATE(FiltroAno,L9,1),rDataFisc,"&lt;"&amp;DATE(FiltroAno,L9+1,1),rNotif,"NOTIFICAÇÃO DE CONSTATAÇÃO")</f>
        <v>2</v>
      </c>
      <c r="P9">
        <f>COUNTIFS(rEmpresa,"&lt;&gt;",rResp,critResp,rDataFisc,"&gt;="&amp;DATE(FiltroAno,L9,1),rDataFisc,"&lt;"&amp;DATE(FiltroAno,L9+1,1),rNotif,"NOTIFICAÇÃO DE ESCLARECIMENTO")</f>
        <v>2</v>
      </c>
      <c r="Q9">
        <f>COUNTIFS(rEmpresa,"&lt;&gt;",rResp,critResp,rDataFisc,"&gt;="&amp;DATE(FiltroAno,L9,1),rDataFisc,"&lt;"&amp;DATE(FiltroAno,L9+1,1),rTipo,"PRESENCIAL")</f>
        <v>3</v>
      </c>
      <c r="R9">
        <f>COUNTIFS(rEmpresa,"&lt;&gt;",rResp,critResp,rDataFisc,"&gt;="&amp;DATE(FiltroAno,L9,1),rDataFisc,"&lt;"&amp;DATE(FiltroAno,L9+1,1),rTipo,"ELETRÔNICA")</f>
        <v>1</v>
      </c>
      <c r="S9">
        <f>MetaMensal</f>
        <v>12</v>
      </c>
      <c r="T9">
        <f>SUM($N$6:N9)</f>
        <v>12</v>
      </c>
      <c r="U9">
        <f>SUM($S$6:S9)</f>
        <v>48</v>
      </c>
      <c r="W9" t="str">
        <f>IF(CADASTROS!$D$9="","",CADASTROS!$D$9)</f>
        <v>DIEGO RIBEIRO</v>
      </c>
      <c r="X9">
        <f>IF(W9="",0,COUNTIFS(rResp,W9,rEmpresa,"&lt;&gt;"))</f>
        <v>24</v>
      </c>
      <c r="Y9">
        <f>IF(W9="",0,COUNTIFS(rResp,W9,rEmpresa,"&lt;&gt;",rStatus,"PRAZO D.P"))</f>
        <v>10</v>
      </c>
      <c r="Z9">
        <f>IF(W9="",0,COUNTIFS(rResp,W9,rEmpresa,"&lt;&gt;",rStatus,"DECISÃO D.P"))</f>
        <v>14</v>
      </c>
      <c r="AA9">
        <f>IF(W9="",0,COUNTIFS(rResp,W9,rEmpresa,"&lt;&gt;",rSit,"NO PRAZO"))</f>
        <v>2</v>
      </c>
      <c r="AB9">
        <f>IF(W9="",0,COUNTIFS(rResp,W9,rEmpresa,"&lt;&gt;",rSit,"VENCE EM BREVE"))</f>
        <v>4</v>
      </c>
      <c r="AC9">
        <f>IF(W9="",-1,X9+(100-ROW())/1000)</f>
        <v>24.091</v>
      </c>
      <c r="AE9" t="n">
        <v>4</v>
      </c>
      <c r="AF9" t="str">
        <f>IF(AM9="","",INDEX($W$6:$W$20,AM9))</f>
        <v>EDUARDA LIMA</v>
      </c>
      <c r="AG9">
        <f>IF(AM9="","",INDEX($X$6:$X$20,AM9))</f>
        <v>13</v>
      </c>
      <c r="AH9">
        <f>IF(AM9="","",INDEX($Y$6:$Y$20,AM9))</f>
        <v>4</v>
      </c>
      <c r="AI9">
        <f>IF(AM9="","",INDEX($Z$6:$Z$20,AM9))</f>
        <v>9</v>
      </c>
      <c r="AJ9">
        <f>IF(AM9="","",INDEX($AA$6:$AA$20,AM9))</f>
        <v>0</v>
      </c>
      <c r="AK9">
        <f>IF(AM9="","",INDEX($AB$6:$AB$20,AM9))</f>
        <v>0</v>
      </c>
      <c r="AL9">
        <f>IF(AM9="","",IFERROR(AG9/SUM($X$6:$X$20),0))</f>
        <v>0.135416666666667</v>
      </c>
      <c r="AM9">
        <f>IF(LARGE($AC$6:$AC$20,AE9)&lt;0,"",MATCH(LARGE($AC$6:$AC$20,AE9),$AC$6:$AC$20,0))</f>
        <v>5</v>
      </c>
      <c r="AO9" t="str">
        <f>IF(CADASTROS!$B$9="","",CADASTROS!$B$9)</f>
        <v>ACADEMIA</v>
      </c>
      <c r="AP9">
        <f>IF(AO9="",0,COUNTIFS(rEmpresa,"&lt;&gt;",rResp,critResp,rRamo,AO9))</f>
        <v>6</v>
      </c>
      <c r="AQ9">
        <f>IF(AO9="",0,COUNTIFS(rEmpresa,"&lt;&gt;",rResp,critResp,rRamo,AO9,rNotif,"NOTIFICAÇÃO DE CONSTATAÇÃO"))</f>
        <v>5</v>
      </c>
      <c r="AR9">
        <f>IF(AO9="",0,COUNTIFS(rEmpresa,"&lt;&gt;",rResp,critResp,rRamo,AO9,rNotif,"NOTIFICAÇÃO DE ESCLARECIMENTO"))</f>
        <v>1</v>
      </c>
      <c r="AS9">
        <f>IF(AO9="",0,COUNTIFS(rEmpresa,"&lt;&gt;",rResp,critResp,rRamo,AO9,rStatus,"PRAZO D.P"))</f>
        <v>2</v>
      </c>
      <c r="AT9">
        <f>IF(AO9="",-1,AP9+(100-ROW())/1000)</f>
        <v>6.091</v>
      </c>
      <c r="AV9" t="n">
        <v>4</v>
      </c>
      <c r="AW9" t="str">
        <f>IF(BC9="","",INDEX($AO$6:$AO$35,BC9))</f>
        <v>SUPERMERCADO</v>
      </c>
      <c r="AX9">
        <f>IF(BC9="","",INDEX($AP$6:$AP$35,BC9))</f>
        <v>10</v>
      </c>
      <c r="AY9">
        <f>IF(BC9="","",INDEX($AQ$6:$AQ$35,BC9))</f>
        <v>6</v>
      </c>
      <c r="AZ9">
        <f>IF(BC9="","",INDEX($AR$6:$AR$35,BC9))</f>
        <v>4</v>
      </c>
      <c r="BA9">
        <f>IF(BC9="","",INDEX($AS$6:$AS$35,BC9))</f>
        <v>2</v>
      </c>
      <c r="BB9">
        <f>IF(BC9="","",IFERROR(AX9/SUM($AP$6:$AP$35),0))</f>
        <v>0.104166666666667</v>
      </c>
      <c r="BC9">
        <f>IF(LARGE($AT$6:$AT$35,AV9)&lt;0,"",MATCH(LARGE($AT$6:$AT$35,AV9),$AT$6:$AT$35,0))</f>
        <v>5</v>
      </c>
      <c r="BF9" t="str">
        <f>IF(AND(OR(PROCESSOS!N9="NO PRAZO",PROCESSOS!N9="VENCE EM BREVE"),OR(FiltroResp="TODOS",FiltroResp="",PROCESSOS!H9=FiltroResp)),PROCESSOS!L9+ROW()/1000000,"")</f>
        <v/>
      </c>
      <c r="BG9">
        <f>IF(AND(PROCESSOS!B9&lt;&gt;"",ISNUMBER(PROCESSOS!D9),OR(FiltroResp="TODOS",FiltroResp="",PROCESSOS!H9=FiltroResp)),PROCESSOS!D9+ROW()/1000000,"")</f>
        <v>46082.00000900463</v>
      </c>
      <c r="BI9" t="n">
        <v>5</v>
      </c>
      <c r="BJ9">
        <f>IFERROR(MATCH(SMALL(hProx,BI9),hProx,0),"")</f>
        <v>90</v>
      </c>
      <c r="BK9">
        <f>IFERROR(MATCH(LARGE(hUlt,BI9),hUlt,0),"")</f>
        <v>92</v>
      </c>
    </row>
    <row r="10">
      <c r="E10" t="str">
        <f>IF(CADASTROS!$D$10="","",CADASTROS!$D$10)</f>
        <v>EDUARDA LIMA</v>
      </c>
      <c r="G10" t="n">
        <v>2029</v>
      </c>
      <c r="I10" s="126" t="inlineStr">
        <is>
          <t>SITUAÇÃO</t>
        </is>
      </c>
      <c r="L10" t="n">
        <v>5</v>
      </c>
      <c r="M10" t="inlineStr">
        <is>
          <t>MAI</t>
        </is>
      </c>
      <c r="N10">
        <f>COUNTIFS(rEmpresa,"&lt;&gt;",rResp,critResp,rDataFisc,"&gt;="&amp;DATE(FiltroAno,L10,1),rDataFisc,"&lt;"&amp;DATE(FiltroAno,L10+1,1))</f>
        <v>13</v>
      </c>
      <c r="O10">
        <f>COUNTIFS(rEmpresa,"&lt;&gt;",rResp,critResp,rDataFisc,"&gt;="&amp;DATE(FiltroAno,L10,1),rDataFisc,"&lt;"&amp;DATE(FiltroAno,L10+1,1),rNotif,"NOTIFICAÇÃO DE CONSTATAÇÃO")</f>
        <v>9</v>
      </c>
      <c r="P10">
        <f>COUNTIFS(rEmpresa,"&lt;&gt;",rResp,critResp,rDataFisc,"&gt;="&amp;DATE(FiltroAno,L10,1),rDataFisc,"&lt;"&amp;DATE(FiltroAno,L10+1,1),rNotif,"NOTIFICAÇÃO DE ESCLARECIMENTO")</f>
        <v>4</v>
      </c>
      <c r="Q10">
        <f>COUNTIFS(rEmpresa,"&lt;&gt;",rResp,critResp,rDataFisc,"&gt;="&amp;DATE(FiltroAno,L10,1),rDataFisc,"&lt;"&amp;DATE(FiltroAno,L10+1,1),rTipo,"PRESENCIAL")</f>
        <v>9</v>
      </c>
      <c r="R10">
        <f>COUNTIFS(rEmpresa,"&lt;&gt;",rResp,critResp,rDataFisc,"&gt;="&amp;DATE(FiltroAno,L10,1),rDataFisc,"&lt;"&amp;DATE(FiltroAno,L10+1,1),rTipo,"ELETRÔNICA")</f>
        <v>4</v>
      </c>
      <c r="S10">
        <f>MetaMensal</f>
        <v>12</v>
      </c>
      <c r="T10">
        <f>SUM($N$6:N10)</f>
        <v>25</v>
      </c>
      <c r="U10">
        <f>SUM($S$6:S10)</f>
        <v>60</v>
      </c>
      <c r="W10" t="str">
        <f>IF(CADASTROS!$D$10="","",CADASTROS!$D$10)</f>
        <v>EDUARDA LIMA</v>
      </c>
      <c r="X10">
        <f>IF(W10="",0,COUNTIFS(rResp,W10,rEmpresa,"&lt;&gt;"))</f>
        <v>13</v>
      </c>
      <c r="Y10">
        <f>IF(W10="",0,COUNTIFS(rResp,W10,rEmpresa,"&lt;&gt;",rStatus,"PRAZO D.P"))</f>
        <v>4</v>
      </c>
      <c r="Z10">
        <f>IF(W10="",0,COUNTIFS(rResp,W10,rEmpresa,"&lt;&gt;",rStatus,"DECISÃO D.P"))</f>
        <v>9</v>
      </c>
      <c r="AA10">
        <f>IF(W10="",0,COUNTIFS(rResp,W10,rEmpresa,"&lt;&gt;",rSit,"NO PRAZO"))</f>
        <v>0</v>
      </c>
      <c r="AB10">
        <f>IF(W10="",0,COUNTIFS(rResp,W10,rEmpresa,"&lt;&gt;",rSit,"VENCE EM BREVE"))</f>
        <v>0</v>
      </c>
      <c r="AC10">
        <f>IF(W10="",-1,X10+(100-ROW())/1000)</f>
        <v>13.09</v>
      </c>
      <c r="AE10" t="n">
        <v>5</v>
      </c>
      <c r="AF10" t="str">
        <f>IF(AM10="","",INDEX($W$6:$W$20,AM10))</f>
        <v>ANA PAULA SOUZA</v>
      </c>
      <c r="AG10">
        <f>IF(AM10="","",INDEX($X$6:$X$20,AM10))</f>
        <v>10</v>
      </c>
      <c r="AH10">
        <f>IF(AM10="","",INDEX($Y$6:$Y$20,AM10))</f>
        <v>2</v>
      </c>
      <c r="AI10">
        <f>IF(AM10="","",INDEX($Z$6:$Z$20,AM10))</f>
        <v>8</v>
      </c>
      <c r="AJ10">
        <f>IF(AM10="","",INDEX($AA$6:$AA$20,AM10))</f>
        <v>0</v>
      </c>
      <c r="AK10">
        <f>IF(AM10="","",INDEX($AB$6:$AB$20,AM10))</f>
        <v>0</v>
      </c>
      <c r="AL10">
        <f>IF(AM10="","",IFERROR(AG10/SUM($X$6:$X$20),0))</f>
        <v>0.104166666666667</v>
      </c>
      <c r="AM10">
        <f>IF(LARGE($AC$6:$AC$20,AE10)&lt;0,"",MATCH(LARGE($AC$6:$AC$20,AE10),$AC$6:$AC$20,0))</f>
        <v>1</v>
      </c>
      <c r="AO10" t="str">
        <f>IF(CADASTROS!$B$10="","",CADASTROS!$B$10)</f>
        <v>SUPERMERCADO</v>
      </c>
      <c r="AP10">
        <f>IF(AO10="",0,COUNTIFS(rEmpresa,"&lt;&gt;",rResp,critResp,rRamo,AO10))</f>
        <v>10</v>
      </c>
      <c r="AQ10">
        <f>IF(AO10="",0,COUNTIFS(rEmpresa,"&lt;&gt;",rResp,critResp,rRamo,AO10,rNotif,"NOTIFICAÇÃO DE CONSTATAÇÃO"))</f>
        <v>6</v>
      </c>
      <c r="AR10">
        <f>IF(AO10="",0,COUNTIFS(rEmpresa,"&lt;&gt;",rResp,critResp,rRamo,AO10,rNotif,"NOTIFICAÇÃO DE ESCLARECIMENTO"))</f>
        <v>4</v>
      </c>
      <c r="AS10">
        <f>IF(AO10="",0,COUNTIFS(rEmpresa,"&lt;&gt;",rResp,critResp,rRamo,AO10,rStatus,"PRAZO D.P"))</f>
        <v>2</v>
      </c>
      <c r="AT10">
        <f>IF(AO10="",-1,AP10+(100-ROW())/1000)</f>
        <v>10.09</v>
      </c>
      <c r="AV10" t="n">
        <v>5</v>
      </c>
      <c r="AW10" t="str">
        <f>IF(BC10="","",INDEX($AO$6:$AO$35,BC10))</f>
        <v>POSTO DE COMBUSTÍVEL</v>
      </c>
      <c r="AX10">
        <f>IF(BC10="","",INDEX($AP$6:$AP$35,BC10))</f>
        <v>8</v>
      </c>
      <c r="AY10">
        <f>IF(BC10="","",INDEX($AQ$6:$AQ$35,BC10))</f>
        <v>4</v>
      </c>
      <c r="AZ10">
        <f>IF(BC10="","",INDEX($AR$6:$AR$35,BC10))</f>
        <v>4</v>
      </c>
      <c r="BA10">
        <f>IF(BC10="","",INDEX($AS$6:$AS$35,BC10))</f>
        <v>2</v>
      </c>
      <c r="BB10">
        <f>IF(BC10="","",IFERROR(AX10/SUM($AP$6:$AP$35),0))</f>
        <v>0.0833333333333333</v>
      </c>
      <c r="BC10">
        <f>IF(LARGE($AT$6:$AT$35,AV10)&lt;0,"",MATCH(LARGE($AT$6:$AT$35,AV10),$AT$6:$AT$35,0))</f>
        <v>2</v>
      </c>
      <c r="BF10" t="str">
        <f>IF(AND(OR(PROCESSOS!N10="NO PRAZO",PROCESSOS!N10="VENCE EM BREVE"),OR(FiltroResp="TODOS",FiltroResp="",PROCESSOS!H10=FiltroResp)),PROCESSOS!L10+ROW()/1000000,"")</f>
        <v/>
      </c>
      <c r="BG10">
        <f>IF(AND(PROCESSOS!B10&lt;&gt;"",ISNUMBER(PROCESSOS!D10),OR(FiltroResp="TODOS",FiltroResp="",PROCESSOS!H10=FiltroResp)),PROCESSOS!D10+ROW()/1000000,"")</f>
        <v>46093.00001</v>
      </c>
      <c r="BI10" t="n">
        <v>6</v>
      </c>
      <c r="BJ10">
        <f>IFERROR(MATCH(SMALL(hProx,BI10),hProx,0),"")</f>
        <v>91</v>
      </c>
      <c r="BK10">
        <f>IFERROR(MATCH(LARGE(hUlt,BI10),hUlt,0),"")</f>
        <v>91</v>
      </c>
    </row>
    <row r="11">
      <c r="E11" t="str">
        <f>IF(CADASTROS!$D$11="","",CADASTROS!$D$11)</f>
        <v>FELIPE ARAÚJO</v>
      </c>
      <c r="G11" t="n">
        <v>2030</v>
      </c>
      <c r="I11" t="inlineStr">
        <is>
          <t>No prazo</t>
        </is>
      </c>
      <c r="J11">
        <f>COUNTIFS(rEmpresa,"&lt;&gt;",rResp,critResp,rSit,"NO PRAZO")</f>
        <v>6</v>
      </c>
      <c r="L11" t="n">
        <v>6</v>
      </c>
      <c r="M11" t="inlineStr">
        <is>
          <t>JUN</t>
        </is>
      </c>
      <c r="N11">
        <f>COUNTIFS(rEmpresa,"&lt;&gt;",rResp,critResp,rDataFisc,"&gt;="&amp;DATE(FiltroAno,L11,1),rDataFisc,"&lt;"&amp;DATE(FiltroAno,L11+1,1))</f>
        <v>9</v>
      </c>
      <c r="O11">
        <f>COUNTIFS(rEmpresa,"&lt;&gt;",rResp,critResp,rDataFisc,"&gt;="&amp;DATE(FiltroAno,L11,1),rDataFisc,"&lt;"&amp;DATE(FiltroAno,L11+1,1),rNotif,"NOTIFICAÇÃO DE CONSTATAÇÃO")</f>
        <v>6</v>
      </c>
      <c r="P11">
        <f>COUNTIFS(rEmpresa,"&lt;&gt;",rResp,critResp,rDataFisc,"&gt;="&amp;DATE(FiltroAno,L11,1),rDataFisc,"&lt;"&amp;DATE(FiltroAno,L11+1,1),rNotif,"NOTIFICAÇÃO DE ESCLARECIMENTO")</f>
        <v>3</v>
      </c>
      <c r="Q11">
        <f>COUNTIFS(rEmpresa,"&lt;&gt;",rResp,critResp,rDataFisc,"&gt;="&amp;DATE(FiltroAno,L11,1),rDataFisc,"&lt;"&amp;DATE(FiltroAno,L11+1,1),rTipo,"PRESENCIAL")</f>
        <v>6</v>
      </c>
      <c r="R11">
        <f>COUNTIFS(rEmpresa,"&lt;&gt;",rResp,critResp,rDataFisc,"&gt;="&amp;DATE(FiltroAno,L11,1),rDataFisc,"&lt;"&amp;DATE(FiltroAno,L11+1,1),rTipo,"ELETRÔNICA")</f>
        <v>3</v>
      </c>
      <c r="S11">
        <f>MetaMensal</f>
        <v>12</v>
      </c>
      <c r="T11">
        <f>SUM($N$6:N11)</f>
        <v>34</v>
      </c>
      <c r="U11">
        <f>SUM($S$6:S11)</f>
        <v>72</v>
      </c>
      <c r="W11" t="str">
        <f>IF(CADASTROS!$D$11="","",CADASTROS!$D$11)</f>
        <v>FELIPE ARAÚJO</v>
      </c>
      <c r="X11">
        <f>IF(W11="",0,COUNTIFS(rResp,W11,rEmpresa,"&lt;&gt;"))</f>
        <v>8</v>
      </c>
      <c r="Y11">
        <f>IF(W11="",0,COUNTIFS(rResp,W11,rEmpresa,"&lt;&gt;",rStatus,"PRAZO D.P"))</f>
        <v>1</v>
      </c>
      <c r="Z11">
        <f>IF(W11="",0,COUNTIFS(rResp,W11,rEmpresa,"&lt;&gt;",rStatus,"DECISÃO D.P"))</f>
        <v>7</v>
      </c>
      <c r="AA11">
        <f>IF(W11="",0,COUNTIFS(rResp,W11,rEmpresa,"&lt;&gt;",rSit,"NO PRAZO"))</f>
        <v>0</v>
      </c>
      <c r="AB11">
        <f>IF(W11="",0,COUNTIFS(rResp,W11,rEmpresa,"&lt;&gt;",rSit,"VENCE EM BREVE"))</f>
        <v>0</v>
      </c>
      <c r="AC11">
        <f>IF(W11="",-1,X11+(100-ROW())/1000)</f>
        <v>8.089</v>
      </c>
      <c r="AE11" t="n">
        <v>6</v>
      </c>
      <c r="AF11" t="str">
        <f>IF(AM11="","",INDEX($W$6:$W$20,AM11))</f>
        <v>FELIPE ARAÚJO</v>
      </c>
      <c r="AG11">
        <f>IF(AM11="","",INDEX($X$6:$X$20,AM11))</f>
        <v>8</v>
      </c>
      <c r="AH11">
        <f>IF(AM11="","",INDEX($Y$6:$Y$20,AM11))</f>
        <v>1</v>
      </c>
      <c r="AI11">
        <f>IF(AM11="","",INDEX($Z$6:$Z$20,AM11))</f>
        <v>7</v>
      </c>
      <c r="AJ11">
        <f>IF(AM11="","",INDEX($AA$6:$AA$20,AM11))</f>
        <v>0</v>
      </c>
      <c r="AK11">
        <f>IF(AM11="","",INDEX($AB$6:$AB$20,AM11))</f>
        <v>0</v>
      </c>
      <c r="AL11">
        <f>IF(AM11="","",IFERROR(AG11/SUM($X$6:$X$20),0))</f>
        <v>0.0833333333333333</v>
      </c>
      <c r="AM11">
        <f>IF(LARGE($AC$6:$AC$20,AE11)&lt;0,"",MATCH(LARGE($AC$6:$AC$20,AE11),$AC$6:$AC$20,0))</f>
        <v>6</v>
      </c>
      <c r="AO11" t="str">
        <f>IF(CADASTROS!$B$11="","",CADASTROS!$B$11)</f>
        <v>RESTAURANTE</v>
      </c>
      <c r="AP11">
        <f>IF(AO11="",0,COUNTIFS(rEmpresa,"&lt;&gt;",rResp,critResp,rRamo,AO11))</f>
        <v>11</v>
      </c>
      <c r="AQ11">
        <f>IF(AO11="",0,COUNTIFS(rEmpresa,"&lt;&gt;",rResp,critResp,rRamo,AO11,rNotif,"NOTIFICAÇÃO DE CONSTATAÇÃO"))</f>
        <v>9</v>
      </c>
      <c r="AR11">
        <f>IF(AO11="",0,COUNTIFS(rEmpresa,"&lt;&gt;",rResp,critResp,rRamo,AO11,rNotif,"NOTIFICAÇÃO DE ESCLARECIMENTO"))</f>
        <v>2</v>
      </c>
      <c r="AS11">
        <f>IF(AO11="",0,COUNTIFS(rEmpresa,"&lt;&gt;",rResp,critResp,rRamo,AO11,rStatus,"PRAZO D.P"))</f>
        <v>2</v>
      </c>
      <c r="AT11">
        <f>IF(AO11="",-1,AP11+(100-ROW())/1000)</f>
        <v>11.089</v>
      </c>
      <c r="AV11" t="n">
        <v>6</v>
      </c>
      <c r="AW11" t="str">
        <f>IF(BC11="","",INDEX($AO$6:$AO$35,BC11))</f>
        <v>BANCO</v>
      </c>
      <c r="AX11">
        <f>IF(BC11="","",INDEX($AP$6:$AP$35,BC11))</f>
        <v>8</v>
      </c>
      <c r="AY11">
        <f>IF(BC11="","",INDEX($AQ$6:$AQ$35,BC11))</f>
        <v>5</v>
      </c>
      <c r="AZ11">
        <f>IF(BC11="","",INDEX($AR$6:$AR$35,BC11))</f>
        <v>3</v>
      </c>
      <c r="BA11">
        <f>IF(BC11="","",INDEX($AS$6:$AS$35,BC11))</f>
        <v>2</v>
      </c>
      <c r="BB11">
        <f>IF(BC11="","",IFERROR(AX11/SUM($AP$6:$AP$35),0))</f>
        <v>0.0833333333333333</v>
      </c>
      <c r="BC11">
        <f>IF(LARGE($AT$6:$AT$35,AV11)&lt;0,"",MATCH(LARGE($AT$6:$AT$35,AV11),$AT$6:$AT$35,0))</f>
        <v>8</v>
      </c>
      <c r="BF11" t="str">
        <f>IF(AND(OR(PROCESSOS!N11="NO PRAZO",PROCESSOS!N11="VENCE EM BREVE"),OR(FiltroResp="TODOS",FiltroResp="",PROCESSOS!H11=FiltroResp)),PROCESSOS!L11+ROW()/1000000,"")</f>
        <v/>
      </c>
      <c r="BG11">
        <f>IF(AND(PROCESSOS!B11&lt;&gt;"",ISNUMBER(PROCESSOS!D11),OR(FiltroResp="TODOS",FiltroResp="",PROCESSOS!H11=FiltroResp)),PROCESSOS!D11+ROW()/1000000,"")</f>
        <v>46101.00001099537</v>
      </c>
      <c r="BI11" t="n">
        <v>7</v>
      </c>
      <c r="BJ11">
        <f>IFERROR(MATCH(SMALL(hProx,BI11),hProx,0),"")</f>
        <v>85</v>
      </c>
      <c r="BK11">
        <f>IFERROR(MATCH(LARGE(hUlt,BI11),hUlt,0),"")</f>
        <v>90</v>
      </c>
    </row>
    <row r="12">
      <c r="E12" t="str">
        <f>IF(CADASTROS!$D$12="","",CADASTROS!$D$12)</f>
        <v>GABRIELA NUNES</v>
      </c>
      <c r="G12" t="n">
        <v>2031</v>
      </c>
      <c r="I12" t="inlineStr">
        <is>
          <t>Vence em breve</t>
        </is>
      </c>
      <c r="J12">
        <f>COUNTIFS(rEmpresa,"&lt;&gt;",rResp,critResp,rSit,"VENCE EM BREVE")</f>
        <v>6</v>
      </c>
      <c r="L12" t="n">
        <v>7</v>
      </c>
      <c r="M12" t="inlineStr">
        <is>
          <t>JUL</t>
        </is>
      </c>
      <c r="N12">
        <f>COUNTIFS(rEmpresa,"&lt;&gt;",rResp,critResp,rDataFisc,"&gt;="&amp;DATE(FiltroAno,L12,1),rDataFisc,"&lt;"&amp;DATE(FiltroAno,L12+1,1))</f>
        <v>16</v>
      </c>
      <c r="O12">
        <f>COUNTIFS(rEmpresa,"&lt;&gt;",rResp,critResp,rDataFisc,"&gt;="&amp;DATE(FiltroAno,L12,1),rDataFisc,"&lt;"&amp;DATE(FiltroAno,L12+1,1),rNotif,"NOTIFICAÇÃO DE CONSTATAÇÃO")</f>
        <v>11</v>
      </c>
      <c r="P12">
        <f>COUNTIFS(rEmpresa,"&lt;&gt;",rResp,critResp,rDataFisc,"&gt;="&amp;DATE(FiltroAno,L12,1),rDataFisc,"&lt;"&amp;DATE(FiltroAno,L12+1,1),rNotif,"NOTIFICAÇÃO DE ESCLARECIMENTO")</f>
        <v>5</v>
      </c>
      <c r="Q12">
        <f>COUNTIFS(rEmpresa,"&lt;&gt;",rResp,critResp,rDataFisc,"&gt;="&amp;DATE(FiltroAno,L12,1),rDataFisc,"&lt;"&amp;DATE(FiltroAno,L12+1,1),rTipo,"PRESENCIAL")</f>
        <v>7</v>
      </c>
      <c r="R12">
        <f>COUNTIFS(rEmpresa,"&lt;&gt;",rResp,critResp,rDataFisc,"&gt;="&amp;DATE(FiltroAno,L12,1),rDataFisc,"&lt;"&amp;DATE(FiltroAno,L12+1,1),rTipo,"ELETRÔNICA")</f>
        <v>9</v>
      </c>
      <c r="S12">
        <f>MetaMensal</f>
        <v>12</v>
      </c>
      <c r="T12">
        <f>SUM($N$6:N12)</f>
        <v>50</v>
      </c>
      <c r="U12">
        <f>SUM($S$6:S12)</f>
        <v>84</v>
      </c>
      <c r="W12" t="str">
        <f>IF(CADASTROS!$D$12="","",CADASTROS!$D$12)</f>
        <v>GABRIELA NUNES</v>
      </c>
      <c r="X12">
        <f>IF(W12="",0,COUNTIFS(rResp,W12,rEmpresa,"&lt;&gt;"))</f>
        <v>7</v>
      </c>
      <c r="Y12">
        <f>IF(W12="",0,COUNTIFS(rResp,W12,rEmpresa,"&lt;&gt;",rStatus,"PRAZO D.P"))</f>
        <v>2</v>
      </c>
      <c r="Z12">
        <f>IF(W12="",0,COUNTIFS(rResp,W12,rEmpresa,"&lt;&gt;",rStatus,"DECISÃO D.P"))</f>
        <v>5</v>
      </c>
      <c r="AA12">
        <f>IF(W12="",0,COUNTIFS(rResp,W12,rEmpresa,"&lt;&gt;",rSit,"NO PRAZO"))</f>
        <v>2</v>
      </c>
      <c r="AB12">
        <f>IF(W12="",0,COUNTIFS(rResp,W12,rEmpresa,"&lt;&gt;",rSit,"VENCE EM BREVE"))</f>
        <v>0</v>
      </c>
      <c r="AC12">
        <f>IF(W12="",-1,X12+(100-ROW())/1000)</f>
        <v>7.088</v>
      </c>
      <c r="AE12" t="n">
        <v>7</v>
      </c>
      <c r="AF12" t="str">
        <f>IF(AM12="","",INDEX($W$6:$W$20,AM12))</f>
        <v>GABRIELA NUNES</v>
      </c>
      <c r="AG12">
        <f>IF(AM12="","",INDEX($X$6:$X$20,AM12))</f>
        <v>7</v>
      </c>
      <c r="AH12">
        <f>IF(AM12="","",INDEX($Y$6:$Y$20,AM12))</f>
        <v>2</v>
      </c>
      <c r="AI12">
        <f>IF(AM12="","",INDEX($Z$6:$Z$20,AM12))</f>
        <v>5</v>
      </c>
      <c r="AJ12">
        <f>IF(AM12="","",INDEX($AA$6:$AA$20,AM12))</f>
        <v>2</v>
      </c>
      <c r="AK12">
        <f>IF(AM12="","",INDEX($AB$6:$AB$20,AM12))</f>
        <v>0</v>
      </c>
      <c r="AL12">
        <f>IF(AM12="","",IFERROR(AG12/SUM($X$6:$X$20),0))</f>
        <v>0.0729166666666667</v>
      </c>
      <c r="AM12">
        <f>IF(LARGE($AC$6:$AC$20,AE12)&lt;0,"",MATCH(LARGE($AC$6:$AC$20,AE12),$AC$6:$AC$20,0))</f>
        <v>7</v>
      </c>
      <c r="AO12" t="str">
        <f>IF(CADASTROS!$B$12="","",CADASTROS!$B$12)</f>
        <v>FARMÁCIA</v>
      </c>
      <c r="AP12">
        <f>IF(AO12="",0,COUNTIFS(rEmpresa,"&lt;&gt;",rResp,critResp,rRamo,AO12))</f>
        <v>6</v>
      </c>
      <c r="AQ12">
        <f>IF(AO12="",0,COUNTIFS(rEmpresa,"&lt;&gt;",rResp,critResp,rRamo,AO12,rNotif,"NOTIFICAÇÃO DE CONSTATAÇÃO"))</f>
        <v>6</v>
      </c>
      <c r="AR12">
        <f>IF(AO12="",0,COUNTIFS(rEmpresa,"&lt;&gt;",rResp,critResp,rRamo,AO12,rNotif,"NOTIFICAÇÃO DE ESCLARECIMENTO"))</f>
        <v>0</v>
      </c>
      <c r="AS12">
        <f>IF(AO12="",0,COUNTIFS(rEmpresa,"&lt;&gt;",rResp,critResp,rRamo,AO12,rStatus,"PRAZO D.P"))</f>
        <v>3</v>
      </c>
      <c r="AT12">
        <f>IF(AO12="",-1,AP12+(100-ROW())/1000)</f>
        <v>6.088</v>
      </c>
      <c r="AV12" t="n">
        <v>7</v>
      </c>
      <c r="AW12" t="str">
        <f>IF(BC12="","",INDEX($AO$6:$AO$35,BC12))</f>
        <v>ACADEMIA</v>
      </c>
      <c r="AX12">
        <f>IF(BC12="","",INDEX($AP$6:$AP$35,BC12))</f>
        <v>6</v>
      </c>
      <c r="AY12">
        <f>IF(BC12="","",INDEX($AQ$6:$AQ$35,BC12))</f>
        <v>5</v>
      </c>
      <c r="AZ12">
        <f>IF(BC12="","",INDEX($AR$6:$AR$35,BC12))</f>
        <v>1</v>
      </c>
      <c r="BA12">
        <f>IF(BC12="","",INDEX($AS$6:$AS$35,BC12))</f>
        <v>2</v>
      </c>
      <c r="BB12">
        <f>IF(BC12="","",IFERROR(AX12/SUM($AP$6:$AP$35),0))</f>
        <v>0.0625</v>
      </c>
      <c r="BC12">
        <f>IF(LARGE($AT$6:$AT$35,AV12)&lt;0,"",MATCH(LARGE($AT$6:$AT$35,AV12),$AT$6:$AT$35,0))</f>
        <v>4</v>
      </c>
      <c r="BF12" t="str">
        <f>IF(AND(OR(PROCESSOS!N12="NO PRAZO",PROCESSOS!N12="VENCE EM BREVE"),OR(FiltroResp="TODOS",FiltroResp="",PROCESSOS!H12=FiltroResp)),PROCESSOS!L12+ROW()/1000000,"")</f>
        <v/>
      </c>
      <c r="BG12">
        <f>IF(AND(PROCESSOS!B12&lt;&gt;"",ISNUMBER(PROCESSOS!D12),OR(FiltroResp="TODOS",FiltroResp="",PROCESSOS!H12=FiltroResp)),PROCESSOS!D12+ROW()/1000000,"")</f>
        <v>46110.00001200232</v>
      </c>
      <c r="BI12" t="n">
        <v>8</v>
      </c>
      <c r="BJ12">
        <f>IFERROR(MATCH(SMALL(hProx,BI12),hProx,0),"")</f>
        <v>86</v>
      </c>
      <c r="BK12">
        <f>IFERROR(MATCH(LARGE(hUlt,BI12),hUlt,0),"")</f>
        <v>89</v>
      </c>
    </row>
    <row r="13">
      <c r="E13" t="str">
        <f>IF(CADASTROS!$D$13="","",CADASTROS!$D$13)</f>
        <v>HENRIQUE COSTA</v>
      </c>
      <c r="G13" t="n">
        <v>2032</v>
      </c>
      <c r="I13" t="inlineStr">
        <is>
          <t>Em decisão</t>
        </is>
      </c>
      <c r="J13">
        <f>COUNTIFS(rEmpresa,"&lt;&gt;",rResp,critResp,rSit,"EM DECISÃO")</f>
        <v>67</v>
      </c>
      <c r="L13" t="n">
        <v>8</v>
      </c>
      <c r="M13" t="inlineStr">
        <is>
          <t>AGO</t>
        </is>
      </c>
      <c r="N13">
        <f>COUNTIFS(rEmpresa,"&lt;&gt;",rResp,critResp,rDataFisc,"&gt;="&amp;DATE(FiltroAno,L13,1),rDataFisc,"&lt;"&amp;DATE(FiltroAno,L13+1,1))</f>
        <v>13</v>
      </c>
      <c r="O13">
        <f>COUNTIFS(rEmpresa,"&lt;&gt;",rResp,critResp,rDataFisc,"&gt;="&amp;DATE(FiltroAno,L13,1),rDataFisc,"&lt;"&amp;DATE(FiltroAno,L13+1,1),rNotif,"NOTIFICAÇÃO DE CONSTATAÇÃO")</f>
        <v>7</v>
      </c>
      <c r="P13">
        <f>COUNTIFS(rEmpresa,"&lt;&gt;",rResp,critResp,rDataFisc,"&gt;="&amp;DATE(FiltroAno,L13,1),rDataFisc,"&lt;"&amp;DATE(FiltroAno,L13+1,1),rNotif,"NOTIFICAÇÃO DE ESCLARECIMENTO")</f>
        <v>6</v>
      </c>
      <c r="Q13">
        <f>COUNTIFS(rEmpresa,"&lt;&gt;",rResp,critResp,rDataFisc,"&gt;="&amp;DATE(FiltroAno,L13,1),rDataFisc,"&lt;"&amp;DATE(FiltroAno,L13+1,1),rTipo,"PRESENCIAL")</f>
        <v>7</v>
      </c>
      <c r="R13">
        <f>COUNTIFS(rEmpresa,"&lt;&gt;",rResp,critResp,rDataFisc,"&gt;="&amp;DATE(FiltroAno,L13,1),rDataFisc,"&lt;"&amp;DATE(FiltroAno,L13+1,1),rTipo,"ELETRÔNICA")</f>
        <v>6</v>
      </c>
      <c r="S13">
        <f>MetaMensal</f>
        <v>12</v>
      </c>
      <c r="T13">
        <f>SUM($N$6:N13)</f>
        <v>63</v>
      </c>
      <c r="U13">
        <f>SUM($S$6:S13)</f>
        <v>96</v>
      </c>
      <c r="W13" t="str">
        <f>IF(CADASTROS!$D$13="","",CADASTROS!$D$13)</f>
        <v>HENRIQUE COSTA</v>
      </c>
      <c r="X13">
        <f>IF(W13="",0,COUNTIFS(rResp,W13,rEmpresa,"&lt;&gt;"))</f>
        <v>3</v>
      </c>
      <c r="Y13">
        <f>IF(W13="",0,COUNTIFS(rResp,W13,rEmpresa,"&lt;&gt;",rStatus,"PRAZO D.P"))</f>
        <v>0</v>
      </c>
      <c r="Z13">
        <f>IF(W13="",0,COUNTIFS(rResp,W13,rEmpresa,"&lt;&gt;",rStatus,"DECISÃO D.P"))</f>
        <v>3</v>
      </c>
      <c r="AA13">
        <f>IF(W13="",0,COUNTIFS(rResp,W13,rEmpresa,"&lt;&gt;",rSit,"NO PRAZO"))</f>
        <v>0</v>
      </c>
      <c r="AB13">
        <f>IF(W13="",0,COUNTIFS(rResp,W13,rEmpresa,"&lt;&gt;",rSit,"VENCE EM BREVE"))</f>
        <v>0</v>
      </c>
      <c r="AC13">
        <f>IF(W13="",-1,X13+(100-ROW())/1000)</f>
        <v>3.087</v>
      </c>
      <c r="AE13" t="n">
        <v>8</v>
      </c>
      <c r="AF13" t="str">
        <f>IF(AM13="","",INDEX($W$6:$W$20,AM13))</f>
        <v>HENRIQUE COSTA</v>
      </c>
      <c r="AG13">
        <f>IF(AM13="","",INDEX($X$6:$X$20,AM13))</f>
        <v>3</v>
      </c>
      <c r="AH13">
        <f>IF(AM13="","",INDEX($Y$6:$Y$20,AM13))</f>
        <v>0</v>
      </c>
      <c r="AI13">
        <f>IF(AM13="","",INDEX($Z$6:$Z$20,AM13))</f>
        <v>3</v>
      </c>
      <c r="AJ13">
        <f>IF(AM13="","",INDEX($AA$6:$AA$20,AM13))</f>
        <v>0</v>
      </c>
      <c r="AK13">
        <f>IF(AM13="","",INDEX($AB$6:$AB$20,AM13))</f>
        <v>0</v>
      </c>
      <c r="AL13">
        <f>IF(AM13="","",IFERROR(AG13/SUM($X$6:$X$20),0))</f>
        <v>0.03125</v>
      </c>
      <c r="AM13">
        <f>IF(LARGE($AC$6:$AC$20,AE13)&lt;0,"",MATCH(LARGE($AC$6:$AC$20,AE13),$AC$6:$AC$20,0))</f>
        <v>8</v>
      </c>
      <c r="AO13" t="str">
        <f>IF(CADASTROS!$B$13="","",CADASTROS!$B$13)</f>
        <v>BANCO</v>
      </c>
      <c r="AP13">
        <f>IF(AO13="",0,COUNTIFS(rEmpresa,"&lt;&gt;",rResp,critResp,rRamo,AO13))</f>
        <v>8</v>
      </c>
      <c r="AQ13">
        <f>IF(AO13="",0,COUNTIFS(rEmpresa,"&lt;&gt;",rResp,critResp,rRamo,AO13,rNotif,"NOTIFICAÇÃO DE CONSTATAÇÃO"))</f>
        <v>5</v>
      </c>
      <c r="AR13">
        <f>IF(AO13="",0,COUNTIFS(rEmpresa,"&lt;&gt;",rResp,critResp,rRamo,AO13,rNotif,"NOTIFICAÇÃO DE ESCLARECIMENTO"))</f>
        <v>3</v>
      </c>
      <c r="AS13">
        <f>IF(AO13="",0,COUNTIFS(rEmpresa,"&lt;&gt;",rResp,critResp,rRamo,AO13,rStatus,"PRAZO D.P"))</f>
        <v>2</v>
      </c>
      <c r="AT13">
        <f>IF(AO13="",-1,AP13+(100-ROW())/1000)</f>
        <v>8.087</v>
      </c>
      <c r="AV13" t="n">
        <v>8</v>
      </c>
      <c r="AW13" t="str">
        <f>IF(BC13="","",INDEX($AO$6:$AO$35,BC13))</f>
        <v>FARMÁCIA</v>
      </c>
      <c r="AX13">
        <f>IF(BC13="","",INDEX($AP$6:$AP$35,BC13))</f>
        <v>6</v>
      </c>
      <c r="AY13">
        <f>IF(BC13="","",INDEX($AQ$6:$AQ$35,BC13))</f>
        <v>6</v>
      </c>
      <c r="AZ13">
        <f>IF(BC13="","",INDEX($AR$6:$AR$35,BC13))</f>
        <v>0</v>
      </c>
      <c r="BA13">
        <f>IF(BC13="","",INDEX($AS$6:$AS$35,BC13))</f>
        <v>3</v>
      </c>
      <c r="BB13">
        <f>IF(BC13="","",IFERROR(AX13/SUM($AP$6:$AP$35),0))</f>
        <v>0.0625</v>
      </c>
      <c r="BC13">
        <f>IF(LARGE($AT$6:$AT$35,AV13)&lt;0,"",MATCH(LARGE($AT$6:$AT$35,AV13),$AT$6:$AT$35,0))</f>
        <v>7</v>
      </c>
      <c r="BF13" t="str">
        <f>IF(AND(OR(PROCESSOS!N13="NO PRAZO",PROCESSOS!N13="VENCE EM BREVE"),OR(FiltroResp="TODOS",FiltroResp="",PROCESSOS!H13=FiltroResp)),PROCESSOS!L13+ROW()/1000000,"")</f>
        <v/>
      </c>
      <c r="BG13">
        <f>IF(AND(PROCESSOS!B13&lt;&gt;"",ISNUMBER(PROCESSOS!D13),OR(FiltroResp="TODOS",FiltroResp="",PROCESSOS!H13=FiltroResp)),PROCESSOS!D13+ROW()/1000000,"")</f>
        <v>46121.00001299768</v>
      </c>
      <c r="BI13" t="n">
        <v>9</v>
      </c>
      <c r="BJ13">
        <f>IFERROR(MATCH(SMALL(hProx,BI13),hProx,0),"")</f>
        <v>89</v>
      </c>
      <c r="BK13">
        <f>IFERROR(MATCH(LARGE(hUlt,BI13),hUlt,0),"")</f>
        <v>88</v>
      </c>
    </row>
    <row r="14">
      <c r="E14" t="str">
        <f>IF(CADASTROS!$D$14="","",CADASTROS!$D$14)</f>
        <v/>
      </c>
      <c r="L14" t="n">
        <v>9</v>
      </c>
      <c r="M14" t="inlineStr">
        <is>
          <t>SET</t>
        </is>
      </c>
      <c r="N14">
        <f>COUNTIFS(rEmpresa,"&lt;&gt;",rResp,critResp,rDataFisc,"&gt;="&amp;DATE(FiltroAno,L14,1),rDataFisc,"&lt;"&amp;DATE(FiltroAno,L14+1,1))</f>
        <v>23</v>
      </c>
      <c r="O14">
        <f>COUNTIFS(rEmpresa,"&lt;&gt;",rResp,critResp,rDataFisc,"&gt;="&amp;DATE(FiltroAno,L14,1),rDataFisc,"&lt;"&amp;DATE(FiltroAno,L14+1,1),rNotif,"NOTIFICAÇÃO DE CONSTATAÇÃO")</f>
        <v>15</v>
      </c>
      <c r="P14">
        <f>COUNTIFS(rEmpresa,"&lt;&gt;",rResp,critResp,rDataFisc,"&gt;="&amp;DATE(FiltroAno,L14,1),rDataFisc,"&lt;"&amp;DATE(FiltroAno,L14+1,1),rNotif,"NOTIFICAÇÃO DE ESCLARECIMENTO")</f>
        <v>8</v>
      </c>
      <c r="Q14">
        <f>COUNTIFS(rEmpresa,"&lt;&gt;",rResp,critResp,rDataFisc,"&gt;="&amp;DATE(FiltroAno,L14,1),rDataFisc,"&lt;"&amp;DATE(FiltroAno,L14+1,1),rTipo,"PRESENCIAL")</f>
        <v>14</v>
      </c>
      <c r="R14">
        <f>COUNTIFS(rEmpresa,"&lt;&gt;",rResp,critResp,rDataFisc,"&gt;="&amp;DATE(FiltroAno,L14,1),rDataFisc,"&lt;"&amp;DATE(FiltroAno,L14+1,1),rTipo,"ELETRÔNICA")</f>
        <v>9</v>
      </c>
      <c r="S14">
        <f>MetaMensal</f>
        <v>12</v>
      </c>
      <c r="T14">
        <f>SUM($N$6:N14)</f>
        <v>86</v>
      </c>
      <c r="U14">
        <f>SUM($S$6:S14)</f>
        <v>108</v>
      </c>
      <c r="W14" t="str">
        <f>IF(CADASTROS!$D$14="","",CADASTROS!$D$14)</f>
        <v/>
      </c>
      <c r="X14">
        <f>IF(W14="",0,COUNTIFS(rResp,W14,rEmpresa,"&lt;&gt;"))</f>
        <v>0</v>
      </c>
      <c r="Y14">
        <f>IF(W14="",0,COUNTIFS(rResp,W14,rEmpresa,"&lt;&gt;",rStatus,"PRAZO D.P"))</f>
        <v>0</v>
      </c>
      <c r="Z14">
        <f>IF(W14="",0,COUNTIFS(rResp,W14,rEmpresa,"&lt;&gt;",rStatus,"DECISÃO D.P"))</f>
        <v>0</v>
      </c>
      <c r="AA14">
        <f>IF(W14="",0,COUNTIFS(rResp,W14,rEmpresa,"&lt;&gt;",rSit,"NO PRAZO"))</f>
        <v>0</v>
      </c>
      <c r="AB14">
        <f>IF(W14="",0,COUNTIFS(rResp,W14,rEmpresa,"&lt;&gt;",rSit,"VENCE EM BREVE"))</f>
        <v>0</v>
      </c>
      <c r="AC14">
        <f>IF(W14="",-1,X14+(100-ROW())/1000)</f>
        <v>-1</v>
      </c>
      <c r="AE14" t="n">
        <v>9</v>
      </c>
      <c r="AF14" t="str">
        <f>IF(AM14="","",INDEX($W$6:$W$20,AM14))</f>
        <v/>
      </c>
      <c r="AG14" t="str">
        <f>IF(AM14="","",INDEX($X$6:$X$20,AM14))</f>
        <v/>
      </c>
      <c r="AH14" t="str">
        <f>IF(AM14="","",INDEX($Y$6:$Y$20,AM14))</f>
        <v/>
      </c>
      <c r="AI14" t="str">
        <f>IF(AM14="","",INDEX($Z$6:$Z$20,AM14))</f>
        <v/>
      </c>
      <c r="AJ14" t="str">
        <f>IF(AM14="","",INDEX($AA$6:$AA$20,AM14))</f>
        <v/>
      </c>
      <c r="AK14" t="str">
        <f>IF(AM14="","",INDEX($AB$6:$AB$20,AM14))</f>
        <v/>
      </c>
      <c r="AL14" t="str">
        <f>IF(AM14="","",IFERROR(AG14/SUM($X$6:$X$20),0))</f>
        <v/>
      </c>
      <c r="AM14" t="str">
        <f>IF(LARGE($AC$6:$AC$20,AE14)&lt;0,"",MATCH(LARGE($AC$6:$AC$20,AE14),$AC$6:$AC$20,0))</f>
        <v/>
      </c>
      <c r="AO14" t="str">
        <f>IF(CADASTROS!$B$14="","",CADASTROS!$B$14)</f>
        <v>ESCOLA</v>
      </c>
      <c r="AP14">
        <f>IF(AO14="",0,COUNTIFS(rEmpresa,"&lt;&gt;",rResp,critResp,rRamo,AO14))</f>
        <v>6</v>
      </c>
      <c r="AQ14">
        <f>IF(AO14="",0,COUNTIFS(rEmpresa,"&lt;&gt;",rResp,critResp,rRamo,AO14,rNotif,"NOTIFICAÇÃO DE CONSTATAÇÃO"))</f>
        <v>3</v>
      </c>
      <c r="AR14">
        <f>IF(AO14="",0,COUNTIFS(rEmpresa,"&lt;&gt;",rResp,critResp,rRamo,AO14,rNotif,"NOTIFICAÇÃO DE ESCLARECIMENTO"))</f>
        <v>3</v>
      </c>
      <c r="AS14">
        <f>IF(AO14="",0,COUNTIFS(rEmpresa,"&lt;&gt;",rResp,critResp,rRamo,AO14,rStatus,"PRAZO D.P"))</f>
        <v>2</v>
      </c>
      <c r="AT14">
        <f>IF(AO14="",-1,AP14+(100-ROW())/1000)</f>
        <v>6.086</v>
      </c>
      <c r="AV14" t="n">
        <v>9</v>
      </c>
      <c r="AW14" t="str">
        <f>IF(BC14="","",INDEX($AO$6:$AO$35,BC14))</f>
        <v>ESCOLA</v>
      </c>
      <c r="AX14">
        <f>IF(BC14="","",INDEX($AP$6:$AP$35,BC14))</f>
        <v>6</v>
      </c>
      <c r="AY14">
        <f>IF(BC14="","",INDEX($AQ$6:$AQ$35,BC14))</f>
        <v>3</v>
      </c>
      <c r="AZ14">
        <f>IF(BC14="","",INDEX($AR$6:$AR$35,BC14))</f>
        <v>3</v>
      </c>
      <c r="BA14">
        <f>IF(BC14="","",INDEX($AS$6:$AS$35,BC14))</f>
        <v>2</v>
      </c>
      <c r="BB14">
        <f>IF(BC14="","",IFERROR(AX14/SUM($AP$6:$AP$35),0))</f>
        <v>0.0625</v>
      </c>
      <c r="BC14">
        <f>IF(LARGE($AT$6:$AT$35,AV14)&lt;0,"",MATCH(LARGE($AT$6:$AT$35,AV14),$AT$6:$AT$35,0))</f>
        <v>9</v>
      </c>
      <c r="BF14" t="str">
        <f>IF(AND(OR(PROCESSOS!N14="NO PRAZO",PROCESSOS!N14="VENCE EM BREVE"),OR(FiltroResp="TODOS",FiltroResp="",PROCESSOS!H14=FiltroResp)),PROCESSOS!L14+ROW()/1000000,"")</f>
        <v/>
      </c>
      <c r="BG14">
        <f>IF(AND(PROCESSOS!B14&lt;&gt;"",ISNUMBER(PROCESSOS!D14),OR(FiltroResp="TODOS",FiltroResp="",PROCESSOS!H14=FiltroResp)),PROCESSOS!D14+ROW()/1000000,"")</f>
        <v>46124.00001400463</v>
      </c>
      <c r="BI14" t="n">
        <v>10</v>
      </c>
      <c r="BJ14">
        <f>IFERROR(MATCH(SMALL(hProx,BI14),hProx,0),"")</f>
        <v>94</v>
      </c>
      <c r="BK14">
        <f>IFERROR(MATCH(LARGE(hUlt,BI14),hUlt,0),"")</f>
        <v>87</v>
      </c>
    </row>
    <row r="15">
      <c r="E15" t="str">
        <f>IF(CADASTROS!$D$15="","",CADASTROS!$D$15)</f>
        <v/>
      </c>
      <c r="L15" t="n">
        <v>10</v>
      </c>
      <c r="M15" t="inlineStr">
        <is>
          <t>OUT</t>
        </is>
      </c>
      <c r="N15">
        <f>COUNTIFS(rEmpresa,"&lt;&gt;",rResp,critResp,rDataFisc,"&gt;="&amp;DATE(FiltroAno,L15,1),rDataFisc,"&lt;"&amp;DATE(FiltroAno,L15+1,1))</f>
        <v>10</v>
      </c>
      <c r="O15">
        <f>COUNTIFS(rEmpresa,"&lt;&gt;",rResp,critResp,rDataFisc,"&gt;="&amp;DATE(FiltroAno,L15,1),rDataFisc,"&lt;"&amp;DATE(FiltroAno,L15+1,1),rNotif,"NOTIFICAÇÃO DE CONSTATAÇÃO")</f>
        <v>4</v>
      </c>
      <c r="P15">
        <f>COUNTIFS(rEmpresa,"&lt;&gt;",rResp,critResp,rDataFisc,"&gt;="&amp;DATE(FiltroAno,L15,1),rDataFisc,"&lt;"&amp;DATE(FiltroAno,L15+1,1),rNotif,"NOTIFICAÇÃO DE ESCLARECIMENTO")</f>
        <v>6</v>
      </c>
      <c r="Q15">
        <f>COUNTIFS(rEmpresa,"&lt;&gt;",rResp,critResp,rDataFisc,"&gt;="&amp;DATE(FiltroAno,L15,1),rDataFisc,"&lt;"&amp;DATE(FiltroAno,L15+1,1),rTipo,"PRESENCIAL")</f>
        <v>6</v>
      </c>
      <c r="R15">
        <f>COUNTIFS(rEmpresa,"&lt;&gt;",rResp,critResp,rDataFisc,"&gt;="&amp;DATE(FiltroAno,L15,1),rDataFisc,"&lt;"&amp;DATE(FiltroAno,L15+1,1),rTipo,"ELETRÔNICA")</f>
        <v>4</v>
      </c>
      <c r="S15">
        <f>MetaMensal</f>
        <v>12</v>
      </c>
      <c r="T15">
        <f>SUM($N$6:N15)</f>
        <v>96</v>
      </c>
      <c r="U15">
        <f>SUM($S$6:S15)</f>
        <v>120</v>
      </c>
      <c r="W15" t="str">
        <f>IF(CADASTROS!$D$15="","",CADASTROS!$D$15)</f>
        <v/>
      </c>
      <c r="X15">
        <f>IF(W15="",0,COUNTIFS(rResp,W15,rEmpresa,"&lt;&gt;"))</f>
        <v>0</v>
      </c>
      <c r="Y15">
        <f>IF(W15="",0,COUNTIFS(rResp,W15,rEmpresa,"&lt;&gt;",rStatus,"PRAZO D.P"))</f>
        <v>0</v>
      </c>
      <c r="Z15">
        <f>IF(W15="",0,COUNTIFS(rResp,W15,rEmpresa,"&lt;&gt;",rStatus,"DECISÃO D.P"))</f>
        <v>0</v>
      </c>
      <c r="AA15">
        <f>IF(W15="",0,COUNTIFS(rResp,W15,rEmpresa,"&lt;&gt;",rSit,"NO PRAZO"))</f>
        <v>0</v>
      </c>
      <c r="AB15">
        <f>IF(W15="",0,COUNTIFS(rResp,W15,rEmpresa,"&lt;&gt;",rSit,"VENCE EM BREVE"))</f>
        <v>0</v>
      </c>
      <c r="AC15">
        <f>IF(W15="",-1,X15+(100-ROW())/1000)</f>
        <v>-1</v>
      </c>
      <c r="AE15" t="n">
        <v>10</v>
      </c>
      <c r="AF15" t="str">
        <f>IF(AM15="","",INDEX($W$6:$W$20,AM15))</f>
        <v/>
      </c>
      <c r="AG15" t="str">
        <f>IF(AM15="","",INDEX($X$6:$X$20,AM15))</f>
        <v/>
      </c>
      <c r="AH15" t="str">
        <f>IF(AM15="","",INDEX($Y$6:$Y$20,AM15))</f>
        <v/>
      </c>
      <c r="AI15" t="str">
        <f>IF(AM15="","",INDEX($Z$6:$Z$20,AM15))</f>
        <v/>
      </c>
      <c r="AJ15" t="str">
        <f>IF(AM15="","",INDEX($AA$6:$AA$20,AM15))</f>
        <v/>
      </c>
      <c r="AK15" t="str">
        <f>IF(AM15="","",INDEX($AB$6:$AB$20,AM15))</f>
        <v/>
      </c>
      <c r="AL15" t="str">
        <f>IF(AM15="","",IFERROR(AG15/SUM($X$6:$X$20),0))</f>
        <v/>
      </c>
      <c r="AM15" t="str">
        <f>IF(LARGE($AC$6:$AC$20,AE15)&lt;0,"",MATCH(LARGE($AC$6:$AC$20,AE15),$AC$6:$AC$20,0))</f>
        <v/>
      </c>
      <c r="AO15" t="str">
        <f>IF(CADASTROS!$B$15="","",CADASTROS!$B$15)</f>
        <v>TELEFONIA</v>
      </c>
      <c r="AP15">
        <f>IF(AO15="",0,COUNTIFS(rEmpresa,"&lt;&gt;",rResp,critResp,rRamo,AO15))</f>
        <v>5</v>
      </c>
      <c r="AQ15">
        <f>IF(AO15="",0,COUNTIFS(rEmpresa,"&lt;&gt;",rResp,critResp,rRamo,AO15,rNotif,"NOTIFICAÇÃO DE CONSTATAÇÃO"))</f>
        <v>3</v>
      </c>
      <c r="AR15">
        <f>IF(AO15="",0,COUNTIFS(rEmpresa,"&lt;&gt;",rResp,critResp,rRamo,AO15,rNotif,"NOTIFICAÇÃO DE ESCLARECIMENTO"))</f>
        <v>2</v>
      </c>
      <c r="AS15">
        <f>IF(AO15="",0,COUNTIFS(rEmpresa,"&lt;&gt;",rResp,critResp,rRamo,AO15,rStatus,"PRAZO D.P"))</f>
        <v>1</v>
      </c>
      <c r="AT15">
        <f>IF(AO15="",-1,AP15+(100-ROW())/1000)</f>
        <v>5.085</v>
      </c>
      <c r="AV15" t="n">
        <v>10</v>
      </c>
      <c r="AW15" t="str">
        <f>IF(BC15="","",INDEX($AO$6:$AO$35,BC15))</f>
        <v>CONCESSIONÁRIA</v>
      </c>
      <c r="AX15">
        <f>IF(BC15="","",INDEX($AP$6:$AP$35,BC15))</f>
        <v>6</v>
      </c>
      <c r="AY15">
        <f>IF(BC15="","",INDEX($AQ$6:$AQ$35,BC15))</f>
        <v>3</v>
      </c>
      <c r="AZ15">
        <f>IF(BC15="","",INDEX($AR$6:$AR$35,BC15))</f>
        <v>3</v>
      </c>
      <c r="BA15">
        <f>IF(BC15="","",INDEX($AS$6:$AS$35,BC15))</f>
        <v>2</v>
      </c>
      <c r="BB15">
        <f>IF(BC15="","",IFERROR(AX15/SUM($AP$6:$AP$35),0))</f>
        <v>0.0625</v>
      </c>
      <c r="BC15">
        <f>IF(LARGE($AT$6:$AT$35,AV15)&lt;0,"",MATCH(LARGE($AT$6:$AT$35,AV15),$AT$6:$AT$35,0))</f>
        <v>11</v>
      </c>
      <c r="BF15" t="str">
        <f>IF(AND(OR(PROCESSOS!N15="NO PRAZO",PROCESSOS!N15="VENCE EM BREVE"),OR(FiltroResp="TODOS",FiltroResp="",PROCESSOS!H15=FiltroResp)),PROCESSOS!L15+ROW()/1000000,"")</f>
        <v/>
      </c>
      <c r="BG15">
        <f>IF(AND(PROCESSOS!B15&lt;&gt;"",ISNUMBER(PROCESSOS!D15),OR(FiltroResp="TODOS",FiltroResp="",PROCESSOS!H15=FiltroResp)),PROCESSOS!D15+ROW()/1000000,"")</f>
        <v>46124.000015</v>
      </c>
    </row>
    <row r="16">
      <c r="E16" t="str">
        <f>IF(CADASTROS!$D$16="","",CADASTROS!$D$16)</f>
        <v/>
      </c>
      <c r="L16" t="n">
        <v>11</v>
      </c>
      <c r="M16" t="inlineStr">
        <is>
          <t>NOV</t>
        </is>
      </c>
      <c r="N16">
        <f>COUNTIFS(rEmpresa,"&lt;&gt;",rResp,critResp,rDataFisc,"&gt;="&amp;DATE(FiltroAno,L16,1),rDataFisc,"&lt;"&amp;DATE(FiltroAno,L16+1,1))</f>
        <v>0</v>
      </c>
      <c r="O16">
        <f>COUNTIFS(rEmpresa,"&lt;&gt;",rResp,critResp,rDataFisc,"&gt;="&amp;DATE(FiltroAno,L16,1),rDataFisc,"&lt;"&amp;DATE(FiltroAno,L16+1,1),rNotif,"NOTIFICAÇÃO DE CONSTATAÇÃO")</f>
        <v>0</v>
      </c>
      <c r="P16">
        <f>COUNTIFS(rEmpresa,"&lt;&gt;",rResp,critResp,rDataFisc,"&gt;="&amp;DATE(FiltroAno,L16,1),rDataFisc,"&lt;"&amp;DATE(FiltroAno,L16+1,1),rNotif,"NOTIFICAÇÃO DE ESCLARECIMENTO")</f>
        <v>0</v>
      </c>
      <c r="Q16">
        <f>COUNTIFS(rEmpresa,"&lt;&gt;",rResp,critResp,rDataFisc,"&gt;="&amp;DATE(FiltroAno,L16,1),rDataFisc,"&lt;"&amp;DATE(FiltroAno,L16+1,1),rTipo,"PRESENCIAL")</f>
        <v>0</v>
      </c>
      <c r="R16">
        <f>COUNTIFS(rEmpresa,"&lt;&gt;",rResp,critResp,rDataFisc,"&gt;="&amp;DATE(FiltroAno,L16,1),rDataFisc,"&lt;"&amp;DATE(FiltroAno,L16+1,1),rTipo,"ELETRÔNICA")</f>
        <v>0</v>
      </c>
      <c r="S16">
        <f>MetaMensal</f>
        <v>12</v>
      </c>
      <c r="T16">
        <f>SUM($N$6:N16)</f>
        <v>96</v>
      </c>
      <c r="U16">
        <f>SUM($S$6:S16)</f>
        <v>132</v>
      </c>
      <c r="W16" t="str">
        <f>IF(CADASTROS!$D$16="","",CADASTROS!$D$16)</f>
        <v/>
      </c>
      <c r="X16">
        <f>IF(W16="",0,COUNTIFS(rResp,W16,rEmpresa,"&lt;&gt;"))</f>
        <v>0</v>
      </c>
      <c r="Y16">
        <f>IF(W16="",0,COUNTIFS(rResp,W16,rEmpresa,"&lt;&gt;",rStatus,"PRAZO D.P"))</f>
        <v>0</v>
      </c>
      <c r="Z16">
        <f>IF(W16="",0,COUNTIFS(rResp,W16,rEmpresa,"&lt;&gt;",rStatus,"DECISÃO D.P"))</f>
        <v>0</v>
      </c>
      <c r="AA16">
        <f>IF(W16="",0,COUNTIFS(rResp,W16,rEmpresa,"&lt;&gt;",rSit,"NO PRAZO"))</f>
        <v>0</v>
      </c>
      <c r="AB16">
        <f>IF(W16="",0,COUNTIFS(rResp,W16,rEmpresa,"&lt;&gt;",rSit,"VENCE EM BREVE"))</f>
        <v>0</v>
      </c>
      <c r="AC16">
        <f>IF(W16="",-1,X16+(100-ROW())/1000)</f>
        <v>-1</v>
      </c>
      <c r="AE16" t="n">
        <v>11</v>
      </c>
      <c r="AF16" t="str">
        <f>IF(AM16="","",INDEX($W$6:$W$20,AM16))</f>
        <v/>
      </c>
      <c r="AG16" t="str">
        <f>IF(AM16="","",INDEX($X$6:$X$20,AM16))</f>
        <v/>
      </c>
      <c r="AH16" t="str">
        <f>IF(AM16="","",INDEX($Y$6:$Y$20,AM16))</f>
        <v/>
      </c>
      <c r="AI16" t="str">
        <f>IF(AM16="","",INDEX($Z$6:$Z$20,AM16))</f>
        <v/>
      </c>
      <c r="AJ16" t="str">
        <f>IF(AM16="","",INDEX($AA$6:$AA$20,AM16))</f>
        <v/>
      </c>
      <c r="AK16" t="str">
        <f>IF(AM16="","",INDEX($AB$6:$AB$20,AM16))</f>
        <v/>
      </c>
      <c r="AL16" t="str">
        <f>IF(AM16="","",IFERROR(AG16/SUM($X$6:$X$20),0))</f>
        <v/>
      </c>
      <c r="AM16" t="str">
        <f>IF(LARGE($AC$6:$AC$20,AE16)&lt;0,"",MATCH(LARGE($AC$6:$AC$20,AE16),$AC$6:$AC$20,0))</f>
        <v/>
      </c>
      <c r="AO16" t="str">
        <f>IF(CADASTROS!$B$16="","",CADASTROS!$B$16)</f>
        <v>CONCESSIONÁRIA</v>
      </c>
      <c r="AP16">
        <f>IF(AO16="",0,COUNTIFS(rEmpresa,"&lt;&gt;",rResp,critResp,rRamo,AO16))</f>
        <v>6</v>
      </c>
      <c r="AQ16">
        <f>IF(AO16="",0,COUNTIFS(rEmpresa,"&lt;&gt;",rResp,critResp,rRamo,AO16,rNotif,"NOTIFICAÇÃO DE CONSTATAÇÃO"))</f>
        <v>3</v>
      </c>
      <c r="AR16">
        <f>IF(AO16="",0,COUNTIFS(rEmpresa,"&lt;&gt;",rResp,critResp,rRamo,AO16,rNotif,"NOTIFICAÇÃO DE ESCLARECIMENTO"))</f>
        <v>3</v>
      </c>
      <c r="AS16">
        <f>IF(AO16="",0,COUNTIFS(rEmpresa,"&lt;&gt;",rResp,critResp,rRamo,AO16,rStatus,"PRAZO D.P"))</f>
        <v>2</v>
      </c>
      <c r="AT16">
        <f>IF(AO16="",-1,AP16+(100-ROW())/1000)</f>
        <v>6.084</v>
      </c>
      <c r="AV16" t="n">
        <v>11</v>
      </c>
      <c r="AW16" t="str">
        <f>IF(BC16="","",INDEX($AO$6:$AO$35,BC16))</f>
        <v>TELEFONIA</v>
      </c>
      <c r="AX16">
        <f>IF(BC16="","",INDEX($AP$6:$AP$35,BC16))</f>
        <v>5</v>
      </c>
      <c r="AY16">
        <f>IF(BC16="","",INDEX($AQ$6:$AQ$35,BC16))</f>
        <v>3</v>
      </c>
      <c r="AZ16">
        <f>IF(BC16="","",INDEX($AR$6:$AR$35,BC16))</f>
        <v>2</v>
      </c>
      <c r="BA16">
        <f>IF(BC16="","",INDEX($AS$6:$AS$35,BC16))</f>
        <v>1</v>
      </c>
      <c r="BB16">
        <f>IF(BC16="","",IFERROR(AX16/SUM($AP$6:$AP$35),0))</f>
        <v>0.0520833333333333</v>
      </c>
      <c r="BC16">
        <f>IF(LARGE($AT$6:$AT$35,AV16)&lt;0,"",MATCH(LARGE($AT$6:$AT$35,AV16),$AT$6:$AT$35,0))</f>
        <v>10</v>
      </c>
      <c r="BF16" t="str">
        <f>IF(AND(OR(PROCESSOS!N16="NO PRAZO",PROCESSOS!N16="VENCE EM BREVE"),OR(FiltroResp="TODOS",FiltroResp="",PROCESSOS!H16=FiltroResp)),PROCESSOS!L16+ROW()/1000000,"")</f>
        <v/>
      </c>
      <c r="BG16">
        <f>IF(AND(PROCESSOS!B16&lt;&gt;"",ISNUMBER(PROCESSOS!D16),OR(FiltroResp="TODOS",FiltroResp="",PROCESSOS!H16=FiltroResp)),PROCESSOS!D16+ROW()/1000000,"")</f>
        <v>46137.00001599537</v>
      </c>
    </row>
    <row r="17">
      <c r="E17" t="str">
        <f>IF(CADASTROS!$D$17="","",CADASTROS!$D$17)</f>
        <v/>
      </c>
      <c r="I17" s="126" t="inlineStr">
        <is>
          <t>NOTIFICAÇÃO</t>
        </is>
      </c>
      <c r="L17" t="n">
        <v>12</v>
      </c>
      <c r="M17" t="inlineStr">
        <is>
          <t>DEZ</t>
        </is>
      </c>
      <c r="N17">
        <f>COUNTIFS(rEmpresa,"&lt;&gt;",rResp,critResp,rDataFisc,"&gt;="&amp;DATE(FiltroAno,L17,1),rDataFisc,"&lt;"&amp;DATE(FiltroAno,L17+1,1))</f>
        <v>0</v>
      </c>
      <c r="O17">
        <f>COUNTIFS(rEmpresa,"&lt;&gt;",rResp,critResp,rDataFisc,"&gt;="&amp;DATE(FiltroAno,L17,1),rDataFisc,"&lt;"&amp;DATE(FiltroAno,L17+1,1),rNotif,"NOTIFICAÇÃO DE CONSTATAÇÃO")</f>
        <v>0</v>
      </c>
      <c r="P17">
        <f>COUNTIFS(rEmpresa,"&lt;&gt;",rResp,critResp,rDataFisc,"&gt;="&amp;DATE(FiltroAno,L17,1),rDataFisc,"&lt;"&amp;DATE(FiltroAno,L17+1,1),rNotif,"NOTIFICAÇÃO DE ESCLARECIMENTO")</f>
        <v>0</v>
      </c>
      <c r="Q17">
        <f>COUNTIFS(rEmpresa,"&lt;&gt;",rResp,critResp,rDataFisc,"&gt;="&amp;DATE(FiltroAno,L17,1),rDataFisc,"&lt;"&amp;DATE(FiltroAno,L17+1,1),rTipo,"PRESENCIAL")</f>
        <v>0</v>
      </c>
      <c r="R17">
        <f>COUNTIFS(rEmpresa,"&lt;&gt;",rResp,critResp,rDataFisc,"&gt;="&amp;DATE(FiltroAno,L17,1),rDataFisc,"&lt;"&amp;DATE(FiltroAno,L17+1,1),rTipo,"ELETRÔNICA")</f>
        <v>0</v>
      </c>
      <c r="S17">
        <f>MetaMensal</f>
        <v>12</v>
      </c>
      <c r="T17">
        <f>SUM($N$6:N17)</f>
        <v>96</v>
      </c>
      <c r="U17">
        <f>SUM($S$6:S17)</f>
        <v>144</v>
      </c>
      <c r="W17" t="str">
        <f>IF(CADASTROS!$D$17="","",CADASTROS!$D$17)</f>
        <v/>
      </c>
      <c r="X17">
        <f>IF(W17="",0,COUNTIFS(rResp,W17,rEmpresa,"&lt;&gt;"))</f>
        <v>0</v>
      </c>
      <c r="Y17">
        <f>IF(W17="",0,COUNTIFS(rResp,W17,rEmpresa,"&lt;&gt;",rStatus,"PRAZO D.P"))</f>
        <v>0</v>
      </c>
      <c r="Z17">
        <f>IF(W17="",0,COUNTIFS(rResp,W17,rEmpresa,"&lt;&gt;",rStatus,"DECISÃO D.P"))</f>
        <v>0</v>
      </c>
      <c r="AA17">
        <f>IF(W17="",0,COUNTIFS(rResp,W17,rEmpresa,"&lt;&gt;",rSit,"NO PRAZO"))</f>
        <v>0</v>
      </c>
      <c r="AB17">
        <f>IF(W17="",0,COUNTIFS(rResp,W17,rEmpresa,"&lt;&gt;",rSit,"VENCE EM BREVE"))</f>
        <v>0</v>
      </c>
      <c r="AC17">
        <f>IF(W17="",-1,X17+(100-ROW())/1000)</f>
        <v>-1</v>
      </c>
      <c r="AE17" t="n">
        <v>12</v>
      </c>
      <c r="AF17" t="str">
        <f>IF(AM17="","",INDEX($W$6:$W$20,AM17))</f>
        <v/>
      </c>
      <c r="AG17" t="str">
        <f>IF(AM17="","",INDEX($X$6:$X$20,AM17))</f>
        <v/>
      </c>
      <c r="AH17" t="str">
        <f>IF(AM17="","",INDEX($Y$6:$Y$20,AM17))</f>
        <v/>
      </c>
      <c r="AI17" t="str">
        <f>IF(AM17="","",INDEX($Z$6:$Z$20,AM17))</f>
        <v/>
      </c>
      <c r="AJ17" t="str">
        <f>IF(AM17="","",INDEX($AA$6:$AA$20,AM17))</f>
        <v/>
      </c>
      <c r="AK17" t="str">
        <f>IF(AM17="","",INDEX($AB$6:$AB$20,AM17))</f>
        <v/>
      </c>
      <c r="AL17" t="str">
        <f>IF(AM17="","",IFERROR(AG17/SUM($X$6:$X$20),0))</f>
        <v/>
      </c>
      <c r="AM17" t="str">
        <f>IF(LARGE($AC$6:$AC$20,AE17)&lt;0,"",MATCH(LARGE($AC$6:$AC$20,AE17),$AC$6:$AC$20,0))</f>
        <v/>
      </c>
      <c r="AO17" t="str">
        <f>IF(CADASTROS!$B$17="","",CADASTROS!$B$17)</f>
        <v>OUTROS</v>
      </c>
      <c r="AP17">
        <f>IF(AO17="",0,COUNTIFS(rEmpresa,"&lt;&gt;",rResp,critResp,rRamo,AO17))</f>
        <v>2</v>
      </c>
      <c r="AQ17">
        <f>IF(AO17="",0,COUNTIFS(rEmpresa,"&lt;&gt;",rResp,critResp,rRamo,AO17,rNotif,"NOTIFICAÇÃO DE CONSTATAÇÃO"))</f>
        <v>1</v>
      </c>
      <c r="AR17">
        <f>IF(AO17="",0,COUNTIFS(rEmpresa,"&lt;&gt;",rResp,critResp,rRamo,AO17,rNotif,"NOTIFICAÇÃO DE ESCLARECIMENTO"))</f>
        <v>1</v>
      </c>
      <c r="AS17">
        <f>IF(AO17="",0,COUNTIFS(rEmpresa,"&lt;&gt;",rResp,critResp,rRamo,AO17,rStatus,"PRAZO D.P"))</f>
        <v>2</v>
      </c>
      <c r="AT17">
        <f>IF(AO17="",-1,AP17+(100-ROW())/1000)</f>
        <v>2.083</v>
      </c>
      <c r="AV17" t="n">
        <v>12</v>
      </c>
      <c r="AW17" t="str">
        <f>IF(BC17="","",INDEX($AO$6:$AO$35,BC17))</f>
        <v>OUTROS</v>
      </c>
      <c r="AX17">
        <f>IF(BC17="","",INDEX($AP$6:$AP$35,BC17))</f>
        <v>2</v>
      </c>
      <c r="AY17">
        <f>IF(BC17="","",INDEX($AQ$6:$AQ$35,BC17))</f>
        <v>1</v>
      </c>
      <c r="AZ17">
        <f>IF(BC17="","",INDEX($AR$6:$AR$35,BC17))</f>
        <v>1</v>
      </c>
      <c r="BA17">
        <f>IF(BC17="","",INDEX($AS$6:$AS$35,BC17))</f>
        <v>2</v>
      </c>
      <c r="BB17">
        <f>IF(BC17="","",IFERROR(AX17/SUM($AP$6:$AP$35),0))</f>
        <v>0.0208333333333333</v>
      </c>
      <c r="BC17">
        <f>IF(LARGE($AT$6:$AT$35,AV17)&lt;0,"",MATCH(LARGE($AT$6:$AT$35,AV17),$AT$6:$AT$35,0))</f>
        <v>12</v>
      </c>
      <c r="BF17" t="str">
        <f>IF(AND(OR(PROCESSOS!N17="NO PRAZO",PROCESSOS!N17="VENCE EM BREVE"),OR(FiltroResp="TODOS",FiltroResp="",PROCESSOS!H17=FiltroResp)),PROCESSOS!L17+ROW()/1000000,"")</f>
        <v/>
      </c>
      <c r="BG17">
        <f>IF(AND(PROCESSOS!B17&lt;&gt;"",ISNUMBER(PROCESSOS!D17),OR(FiltroResp="TODOS",FiltroResp="",PROCESSOS!H17=FiltroResp)),PROCESSOS!D17+ROW()/1000000,"")</f>
        <v>46145.00001700231</v>
      </c>
    </row>
    <row r="18">
      <c r="E18" t="str">
        <f>IF(CADASTROS!$D$18="","",CADASTROS!$D$18)</f>
        <v/>
      </c>
      <c r="I18" t="inlineStr">
        <is>
          <t>Constatação</t>
        </is>
      </c>
      <c r="J18">
        <f>COUNTIFS(rEmpresa,"&lt;&gt;",rResp,critResp,rNotif,"NOTIFICAÇÃO DE CONSTATAÇÃO")</f>
        <v>62</v>
      </c>
      <c r="W18" t="str">
        <f>IF(CADASTROS!$D$18="","",CADASTROS!$D$18)</f>
        <v/>
      </c>
      <c r="X18">
        <f>IF(W18="",0,COUNTIFS(rResp,W18,rEmpresa,"&lt;&gt;"))</f>
        <v>0</v>
      </c>
      <c r="Y18">
        <f>IF(W18="",0,COUNTIFS(rResp,W18,rEmpresa,"&lt;&gt;",rStatus,"PRAZO D.P"))</f>
        <v>0</v>
      </c>
      <c r="Z18">
        <f>IF(W18="",0,COUNTIFS(rResp,W18,rEmpresa,"&lt;&gt;",rStatus,"DECISÃO D.P"))</f>
        <v>0</v>
      </c>
      <c r="AA18">
        <f>IF(W18="",0,COUNTIFS(rResp,W18,rEmpresa,"&lt;&gt;",rSit,"NO PRAZO"))</f>
        <v>0</v>
      </c>
      <c r="AB18">
        <f>IF(W18="",0,COUNTIFS(rResp,W18,rEmpresa,"&lt;&gt;",rSit,"VENCE EM BREVE"))</f>
        <v>0</v>
      </c>
      <c r="AC18">
        <f>IF(W18="",-1,X18+(100-ROW())/1000)</f>
        <v>-1</v>
      </c>
      <c r="AE18" t="n">
        <v>13</v>
      </c>
      <c r="AF18" t="str">
        <f>IF(AM18="","",INDEX($W$6:$W$20,AM18))</f>
        <v/>
      </c>
      <c r="AG18" t="str">
        <f>IF(AM18="","",INDEX($X$6:$X$20,AM18))</f>
        <v/>
      </c>
      <c r="AH18" t="str">
        <f>IF(AM18="","",INDEX($Y$6:$Y$20,AM18))</f>
        <v/>
      </c>
      <c r="AI18" t="str">
        <f>IF(AM18="","",INDEX($Z$6:$Z$20,AM18))</f>
        <v/>
      </c>
      <c r="AJ18" t="str">
        <f>IF(AM18="","",INDEX($AA$6:$AA$20,AM18))</f>
        <v/>
      </c>
      <c r="AK18" t="str">
        <f>IF(AM18="","",INDEX($AB$6:$AB$20,AM18))</f>
        <v/>
      </c>
      <c r="AL18" t="str">
        <f>IF(AM18="","",IFERROR(AG18/SUM($X$6:$X$20),0))</f>
        <v/>
      </c>
      <c r="AM18" t="str">
        <f>IF(LARGE($AC$6:$AC$20,AE18)&lt;0,"",MATCH(LARGE($AC$6:$AC$20,AE18),$AC$6:$AC$20,0))</f>
        <v/>
      </c>
      <c r="AO18" t="str">
        <f>IF(CADASTROS!$B$18="","",CADASTROS!$B$18)</f>
        <v/>
      </c>
      <c r="AP18">
        <f>IF(AO18="",0,COUNTIFS(rEmpresa,"&lt;&gt;",rResp,critResp,rRamo,AO18))</f>
        <v>0</v>
      </c>
      <c r="AQ18">
        <f>IF(AO18="",0,COUNTIFS(rEmpresa,"&lt;&gt;",rResp,critResp,rRamo,AO18,rNotif,"NOTIFICAÇÃO DE CONSTATAÇÃO"))</f>
        <v>0</v>
      </c>
      <c r="AR18">
        <f>IF(AO18="",0,COUNTIFS(rEmpresa,"&lt;&gt;",rResp,critResp,rRamo,AO18,rNotif,"NOTIFICAÇÃO DE ESCLARECIMENTO"))</f>
        <v>0</v>
      </c>
      <c r="AS18">
        <f>IF(AO18="",0,COUNTIFS(rEmpresa,"&lt;&gt;",rResp,critResp,rRamo,AO18,rStatus,"PRAZO D.P"))</f>
        <v>0</v>
      </c>
      <c r="AT18">
        <f>IF(AO18="",-1,AP18+(100-ROW())/1000)</f>
        <v>-1</v>
      </c>
      <c r="AV18" t="n">
        <v>13</v>
      </c>
      <c r="AW18" t="str">
        <f>IF(BC18="","",INDEX($AO$6:$AO$35,BC18))</f>
        <v/>
      </c>
      <c r="AX18" t="str">
        <f>IF(BC18="","",INDEX($AP$6:$AP$35,BC18))</f>
        <v/>
      </c>
      <c r="AY18" t="str">
        <f>IF(BC18="","",INDEX($AQ$6:$AQ$35,BC18))</f>
        <v/>
      </c>
      <c r="AZ18" t="str">
        <f>IF(BC18="","",INDEX($AR$6:$AR$35,BC18))</f>
        <v/>
      </c>
      <c r="BA18" t="str">
        <f>IF(BC18="","",INDEX($AS$6:$AS$35,BC18))</f>
        <v/>
      </c>
      <c r="BB18" t="str">
        <f>IF(BC18="","",IFERROR(AX18/SUM($AP$6:$AP$35),0))</f>
        <v/>
      </c>
      <c r="BC18" t="str">
        <f>IF(LARGE($AT$6:$AT$35,AV18)&lt;0,"",MATCH(LARGE($AT$6:$AT$35,AV18),$AT$6:$AT$35,0))</f>
        <v/>
      </c>
      <c r="BF18" t="str">
        <f>IF(AND(OR(PROCESSOS!N18="NO PRAZO",PROCESSOS!N18="VENCE EM BREVE"),OR(FiltroResp="TODOS",FiltroResp="",PROCESSOS!H18=FiltroResp)),PROCESSOS!L18+ROW()/1000000,"")</f>
        <v/>
      </c>
      <c r="BG18">
        <f>IF(AND(PROCESSOS!B18&lt;&gt;"",ISNUMBER(PROCESSOS!D18),OR(FiltroResp="TODOS",FiltroResp="",PROCESSOS!H18=FiltroResp)),PROCESSOS!D18+ROW()/1000000,"")</f>
        <v>46148.000017997685</v>
      </c>
    </row>
    <row r="19">
      <c r="E19" t="str">
        <f>IF(CADASTROS!$D$19="","",CADASTROS!$D$19)</f>
        <v/>
      </c>
      <c r="I19" t="inlineStr">
        <is>
          <t>Esclarecimento</t>
        </is>
      </c>
      <c r="J19">
        <f>COUNTIFS(rEmpresa,"&lt;&gt;",rResp,critResp,rNotif,"NOTIFICAÇÃO DE ESCLARECIMENTO")</f>
        <v>34</v>
      </c>
      <c r="W19" t="str">
        <f>IF(CADASTROS!$D$19="","",CADASTROS!$D$19)</f>
        <v/>
      </c>
      <c r="X19">
        <f>IF(W19="",0,COUNTIFS(rResp,W19,rEmpresa,"&lt;&gt;"))</f>
        <v>0</v>
      </c>
      <c r="Y19">
        <f>IF(W19="",0,COUNTIFS(rResp,W19,rEmpresa,"&lt;&gt;",rStatus,"PRAZO D.P"))</f>
        <v>0</v>
      </c>
      <c r="Z19">
        <f>IF(W19="",0,COUNTIFS(rResp,W19,rEmpresa,"&lt;&gt;",rStatus,"DECISÃO D.P"))</f>
        <v>0</v>
      </c>
      <c r="AA19">
        <f>IF(W19="",0,COUNTIFS(rResp,W19,rEmpresa,"&lt;&gt;",rSit,"NO PRAZO"))</f>
        <v>0</v>
      </c>
      <c r="AB19">
        <f>IF(W19="",0,COUNTIFS(rResp,W19,rEmpresa,"&lt;&gt;",rSit,"VENCE EM BREVE"))</f>
        <v>0</v>
      </c>
      <c r="AC19">
        <f>IF(W19="",-1,X19+(100-ROW())/1000)</f>
        <v>-1</v>
      </c>
      <c r="AE19" t="n">
        <v>14</v>
      </c>
      <c r="AF19" t="str">
        <f>IF(AM19="","",INDEX($W$6:$W$20,AM19))</f>
        <v/>
      </c>
      <c r="AG19" t="str">
        <f>IF(AM19="","",INDEX($X$6:$X$20,AM19))</f>
        <v/>
      </c>
      <c r="AH19" t="str">
        <f>IF(AM19="","",INDEX($Y$6:$Y$20,AM19))</f>
        <v/>
      </c>
      <c r="AI19" t="str">
        <f>IF(AM19="","",INDEX($Z$6:$Z$20,AM19))</f>
        <v/>
      </c>
      <c r="AJ19" t="str">
        <f>IF(AM19="","",INDEX($AA$6:$AA$20,AM19))</f>
        <v/>
      </c>
      <c r="AK19" t="str">
        <f>IF(AM19="","",INDEX($AB$6:$AB$20,AM19))</f>
        <v/>
      </c>
      <c r="AL19" t="str">
        <f>IF(AM19="","",IFERROR(AG19/SUM($X$6:$X$20),0))</f>
        <v/>
      </c>
      <c r="AM19" t="str">
        <f>IF(LARGE($AC$6:$AC$20,AE19)&lt;0,"",MATCH(LARGE($AC$6:$AC$20,AE19),$AC$6:$AC$20,0))</f>
        <v/>
      </c>
      <c r="AO19" t="str">
        <f>IF(CADASTROS!$B$19="","",CADASTROS!$B$19)</f>
        <v/>
      </c>
      <c r="AP19">
        <f>IF(AO19="",0,COUNTIFS(rEmpresa,"&lt;&gt;",rResp,critResp,rRamo,AO19))</f>
        <v>0</v>
      </c>
      <c r="AQ19">
        <f>IF(AO19="",0,COUNTIFS(rEmpresa,"&lt;&gt;",rResp,critResp,rRamo,AO19,rNotif,"NOTIFICAÇÃO DE CONSTATAÇÃO"))</f>
        <v>0</v>
      </c>
      <c r="AR19">
        <f>IF(AO19="",0,COUNTIFS(rEmpresa,"&lt;&gt;",rResp,critResp,rRamo,AO19,rNotif,"NOTIFICAÇÃO DE ESCLARECIMENTO"))</f>
        <v>0</v>
      </c>
      <c r="AS19">
        <f>IF(AO19="",0,COUNTIFS(rEmpresa,"&lt;&gt;",rResp,critResp,rRamo,AO19,rStatus,"PRAZO D.P"))</f>
        <v>0</v>
      </c>
      <c r="AT19">
        <f>IF(AO19="",-1,AP19+(100-ROW())/1000)</f>
        <v>-1</v>
      </c>
      <c r="AV19" t="n">
        <v>14</v>
      </c>
      <c r="AW19" t="str">
        <f>IF(BC19="","",INDEX($AO$6:$AO$35,BC19))</f>
        <v/>
      </c>
      <c r="AX19" t="str">
        <f>IF(BC19="","",INDEX($AP$6:$AP$35,BC19))</f>
        <v/>
      </c>
      <c r="AY19" t="str">
        <f>IF(BC19="","",INDEX($AQ$6:$AQ$35,BC19))</f>
        <v/>
      </c>
      <c r="AZ19" t="str">
        <f>IF(BC19="","",INDEX($AR$6:$AR$35,BC19))</f>
        <v/>
      </c>
      <c r="BA19" t="str">
        <f>IF(BC19="","",INDEX($AS$6:$AS$35,BC19))</f>
        <v/>
      </c>
      <c r="BB19" t="str">
        <f>IF(BC19="","",IFERROR(AX19/SUM($AP$6:$AP$35),0))</f>
        <v/>
      </c>
      <c r="BC19" t="str">
        <f>IF(LARGE($AT$6:$AT$35,AV19)&lt;0,"",MATCH(LARGE($AT$6:$AT$35,AV19),$AT$6:$AT$35,0))</f>
        <v/>
      </c>
      <c r="BF19" t="str">
        <f>IF(AND(OR(PROCESSOS!N19="NO PRAZO",PROCESSOS!N19="VENCE EM BREVE"),OR(FiltroResp="TODOS",FiltroResp="",PROCESSOS!H19=FiltroResp)),PROCESSOS!L19+ROW()/1000000,"")</f>
        <v/>
      </c>
      <c r="BG19">
        <f>IF(AND(PROCESSOS!B19&lt;&gt;"",ISNUMBER(PROCESSOS!D19),OR(FiltroResp="TODOS",FiltroResp="",PROCESSOS!H19=FiltroResp)),PROCESSOS!D19+ROW()/1000000,"")</f>
        <v>46149.00001900463</v>
      </c>
    </row>
    <row r="20">
      <c r="E20" t="str">
        <f>IF(CADASTROS!$D$20="","",CADASTROS!$D$20)</f>
        <v/>
      </c>
      <c r="W20" t="str">
        <f>IF(CADASTROS!$D$20="","",CADASTROS!$D$20)</f>
        <v/>
      </c>
      <c r="X20">
        <f>IF(W20="",0,COUNTIFS(rResp,W20,rEmpresa,"&lt;&gt;"))</f>
        <v>0</v>
      </c>
      <c r="Y20">
        <f>IF(W20="",0,COUNTIFS(rResp,W20,rEmpresa,"&lt;&gt;",rStatus,"PRAZO D.P"))</f>
        <v>0</v>
      </c>
      <c r="Z20">
        <f>IF(W20="",0,COUNTIFS(rResp,W20,rEmpresa,"&lt;&gt;",rStatus,"DECISÃO D.P"))</f>
        <v>0</v>
      </c>
      <c r="AA20">
        <f>IF(W20="",0,COUNTIFS(rResp,W20,rEmpresa,"&lt;&gt;",rSit,"NO PRAZO"))</f>
        <v>0</v>
      </c>
      <c r="AB20">
        <f>IF(W20="",0,COUNTIFS(rResp,W20,rEmpresa,"&lt;&gt;",rSit,"VENCE EM BREVE"))</f>
        <v>0</v>
      </c>
      <c r="AC20">
        <f>IF(W20="",-1,X20+(100-ROW())/1000)</f>
        <v>-1</v>
      </c>
      <c r="AE20" t="n">
        <v>15</v>
      </c>
      <c r="AF20" t="str">
        <f>IF(AM20="","",INDEX($W$6:$W$20,AM20))</f>
        <v/>
      </c>
      <c r="AG20" t="str">
        <f>IF(AM20="","",INDEX($X$6:$X$20,AM20))</f>
        <v/>
      </c>
      <c r="AH20" t="str">
        <f>IF(AM20="","",INDEX($Y$6:$Y$20,AM20))</f>
        <v/>
      </c>
      <c r="AI20" t="str">
        <f>IF(AM20="","",INDEX($Z$6:$Z$20,AM20))</f>
        <v/>
      </c>
      <c r="AJ20" t="str">
        <f>IF(AM20="","",INDEX($AA$6:$AA$20,AM20))</f>
        <v/>
      </c>
      <c r="AK20" t="str">
        <f>IF(AM20="","",INDEX($AB$6:$AB$20,AM20))</f>
        <v/>
      </c>
      <c r="AL20" t="str">
        <f>IF(AM20="","",IFERROR(AG20/SUM($X$6:$X$20),0))</f>
        <v/>
      </c>
      <c r="AM20" t="str">
        <f>IF(LARGE($AC$6:$AC$20,AE20)&lt;0,"",MATCH(LARGE($AC$6:$AC$20,AE20),$AC$6:$AC$20,0))</f>
        <v/>
      </c>
      <c r="AO20" t="str">
        <f>IF(CADASTROS!$B$20="","",CADASTROS!$B$20)</f>
        <v/>
      </c>
      <c r="AP20">
        <f>IF(AO20="",0,COUNTIFS(rEmpresa,"&lt;&gt;",rResp,critResp,rRamo,AO20))</f>
        <v>0</v>
      </c>
      <c r="AQ20">
        <f>IF(AO20="",0,COUNTIFS(rEmpresa,"&lt;&gt;",rResp,critResp,rRamo,AO20,rNotif,"NOTIFICAÇÃO DE CONSTATAÇÃO"))</f>
        <v>0</v>
      </c>
      <c r="AR20">
        <f>IF(AO20="",0,COUNTIFS(rEmpresa,"&lt;&gt;",rResp,critResp,rRamo,AO20,rNotif,"NOTIFICAÇÃO DE ESCLARECIMENTO"))</f>
        <v>0</v>
      </c>
      <c r="AS20">
        <f>IF(AO20="",0,COUNTIFS(rEmpresa,"&lt;&gt;",rResp,critResp,rRamo,AO20,rStatus,"PRAZO D.P"))</f>
        <v>0</v>
      </c>
      <c r="AT20">
        <f>IF(AO20="",-1,AP20+(100-ROW())/1000)</f>
        <v>-1</v>
      </c>
      <c r="AV20" t="n">
        <v>15</v>
      </c>
      <c r="AW20" t="str">
        <f>IF(BC20="","",INDEX($AO$6:$AO$35,BC20))</f>
        <v/>
      </c>
      <c r="AX20" t="str">
        <f>IF(BC20="","",INDEX($AP$6:$AP$35,BC20))</f>
        <v/>
      </c>
      <c r="AY20" t="str">
        <f>IF(BC20="","",INDEX($AQ$6:$AQ$35,BC20))</f>
        <v/>
      </c>
      <c r="AZ20" t="str">
        <f>IF(BC20="","",INDEX($AR$6:$AR$35,BC20))</f>
        <v/>
      </c>
      <c r="BA20" t="str">
        <f>IF(BC20="","",INDEX($AS$6:$AS$35,BC20))</f>
        <v/>
      </c>
      <c r="BB20" t="str">
        <f>IF(BC20="","",IFERROR(AX20/SUM($AP$6:$AP$35),0))</f>
        <v/>
      </c>
      <c r="BC20" t="str">
        <f>IF(LARGE($AT$6:$AT$35,AV20)&lt;0,"",MATCH(LARGE($AT$6:$AT$35,AV20),$AT$6:$AT$35,0))</f>
        <v/>
      </c>
      <c r="BF20" t="str">
        <f>IF(AND(OR(PROCESSOS!N20="NO PRAZO",PROCESSOS!N20="VENCE EM BREVE"),OR(FiltroResp="TODOS",FiltroResp="",PROCESSOS!H20=FiltroResp)),PROCESSOS!L20+ROW()/1000000,"")</f>
        <v/>
      </c>
      <c r="BG20">
        <f>IF(AND(PROCESSOS!B20&lt;&gt;"",ISNUMBER(PROCESSOS!D20),OR(FiltroResp="TODOS",FiltroResp="",PROCESSOS!H20=FiltroResp)),PROCESSOS!D20+ROW()/1000000,"")</f>
        <v>46152.00002</v>
      </c>
    </row>
    <row r="21">
      <c r="AO21" t="str">
        <f>IF(CADASTROS!$B$21="","",CADASTROS!$B$21)</f>
        <v/>
      </c>
      <c r="AP21">
        <f>IF(AO21="",0,COUNTIFS(rEmpresa,"&lt;&gt;",rResp,critResp,rRamo,AO21))</f>
        <v>0</v>
      </c>
      <c r="AQ21">
        <f>IF(AO21="",0,COUNTIFS(rEmpresa,"&lt;&gt;",rResp,critResp,rRamo,AO21,rNotif,"NOTIFICAÇÃO DE CONSTATAÇÃO"))</f>
        <v>0</v>
      </c>
      <c r="AR21">
        <f>IF(AO21="",0,COUNTIFS(rEmpresa,"&lt;&gt;",rResp,critResp,rRamo,AO21,rNotif,"NOTIFICAÇÃO DE ESCLARECIMENTO"))</f>
        <v>0</v>
      </c>
      <c r="AS21">
        <f>IF(AO21="",0,COUNTIFS(rEmpresa,"&lt;&gt;",rResp,critResp,rRamo,AO21,rStatus,"PRAZO D.P"))</f>
        <v>0</v>
      </c>
      <c r="AT21">
        <f>IF(AO21="",-1,AP21+(100-ROW())/1000)</f>
        <v>-1</v>
      </c>
      <c r="AV21" t="n">
        <v>16</v>
      </c>
      <c r="AW21" t="str">
        <f>IF(BC21="","",INDEX($AO$6:$AO$35,BC21))</f>
        <v/>
      </c>
      <c r="AX21" t="str">
        <f>IF(BC21="","",INDEX($AP$6:$AP$35,BC21))</f>
        <v/>
      </c>
      <c r="AY21" t="str">
        <f>IF(BC21="","",INDEX($AQ$6:$AQ$35,BC21))</f>
        <v/>
      </c>
      <c r="AZ21" t="str">
        <f>IF(BC21="","",INDEX($AR$6:$AR$35,BC21))</f>
        <v/>
      </c>
      <c r="BA21" t="str">
        <f>IF(BC21="","",INDEX($AS$6:$AS$35,BC21))</f>
        <v/>
      </c>
      <c r="BB21" t="str">
        <f>IF(BC21="","",IFERROR(AX21/SUM($AP$6:$AP$35),0))</f>
        <v/>
      </c>
      <c r="BC21" t="str">
        <f>IF(LARGE($AT$6:$AT$35,AV21)&lt;0,"",MATCH(LARGE($AT$6:$AT$35,AV21),$AT$6:$AT$35,0))</f>
        <v/>
      </c>
      <c r="BF21" t="str">
        <f>IF(AND(OR(PROCESSOS!N21="NO PRAZO",PROCESSOS!N21="VENCE EM BREVE"),OR(FiltroResp="TODOS",FiltroResp="",PROCESSOS!H21=FiltroResp)),PROCESSOS!L21+ROW()/1000000,"")</f>
        <v/>
      </c>
      <c r="BG21">
        <f>IF(AND(PROCESSOS!B21&lt;&gt;"",ISNUMBER(PROCESSOS!D21),OR(FiltroResp="TODOS",FiltroResp="",PROCESSOS!H21=FiltroResp)),PROCESSOS!D21+ROW()/1000000,"")</f>
        <v>46152.00002099537</v>
      </c>
    </row>
    <row r="22">
      <c r="I22" s="126" t="inlineStr">
        <is>
          <t>TIPO</t>
        </is>
      </c>
      <c r="AO22" t="str">
        <f>IF(CADASTROS!$B$22="","",CADASTROS!$B$22)</f>
        <v/>
      </c>
      <c r="AP22">
        <f>IF(AO22="",0,COUNTIFS(rEmpresa,"&lt;&gt;",rResp,critResp,rRamo,AO22))</f>
        <v>0</v>
      </c>
      <c r="AQ22">
        <f>IF(AO22="",0,COUNTIFS(rEmpresa,"&lt;&gt;",rResp,critResp,rRamo,AO22,rNotif,"NOTIFICAÇÃO DE CONSTATAÇÃO"))</f>
        <v>0</v>
      </c>
      <c r="AR22">
        <f>IF(AO22="",0,COUNTIFS(rEmpresa,"&lt;&gt;",rResp,critResp,rRamo,AO22,rNotif,"NOTIFICAÇÃO DE ESCLARECIMENTO"))</f>
        <v>0</v>
      </c>
      <c r="AS22">
        <f>IF(AO22="",0,COUNTIFS(rEmpresa,"&lt;&gt;",rResp,critResp,rRamo,AO22,rStatus,"PRAZO D.P"))</f>
        <v>0</v>
      </c>
      <c r="AT22">
        <f>IF(AO22="",-1,AP22+(100-ROW())/1000)</f>
        <v>-1</v>
      </c>
      <c r="AV22" t="n">
        <v>17</v>
      </c>
      <c r="AW22" t="str">
        <f>IF(BC22="","",INDEX($AO$6:$AO$35,BC22))</f>
        <v/>
      </c>
      <c r="AX22" t="str">
        <f>IF(BC22="","",INDEX($AP$6:$AP$35,BC22))</f>
        <v/>
      </c>
      <c r="AY22" t="str">
        <f>IF(BC22="","",INDEX($AQ$6:$AQ$35,BC22))</f>
        <v/>
      </c>
      <c r="AZ22" t="str">
        <f>IF(BC22="","",INDEX($AR$6:$AR$35,BC22))</f>
        <v/>
      </c>
      <c r="BA22" t="str">
        <f>IF(BC22="","",INDEX($AS$6:$AS$35,BC22))</f>
        <v/>
      </c>
      <c r="BB22" t="str">
        <f>IF(BC22="","",IFERROR(AX22/SUM($AP$6:$AP$35),0))</f>
        <v/>
      </c>
      <c r="BC22" t="str">
        <f>IF(LARGE($AT$6:$AT$35,AV22)&lt;0,"",MATCH(LARGE($AT$6:$AT$35,AV22),$AT$6:$AT$35,0))</f>
        <v/>
      </c>
      <c r="BF22" t="str">
        <f>IF(AND(OR(PROCESSOS!N22="NO PRAZO",PROCESSOS!N22="VENCE EM BREVE"),OR(FiltroResp="TODOS",FiltroResp="",PROCESSOS!H22=FiltroResp)),PROCESSOS!L22+ROW()/1000000,"")</f>
        <v/>
      </c>
      <c r="BG22">
        <f>IF(AND(PROCESSOS!B22&lt;&gt;"",ISNUMBER(PROCESSOS!D22),OR(FiltroResp="TODOS",FiltroResp="",PROCESSOS!H22=FiltroResp)),PROCESSOS!D22+ROW()/1000000,"")</f>
        <v>46155.000022002314</v>
      </c>
    </row>
    <row r="23">
      <c r="I23" t="inlineStr">
        <is>
          <t>Presencial</t>
        </is>
      </c>
      <c r="J23">
        <f>COUNTIFS(rEmpresa,"&lt;&gt;",rResp,critResp,rTipo,"PRESENCIAL")</f>
        <v>58</v>
      </c>
      <c r="AO23" t="str">
        <f>IF(CADASTROS!$B$23="","",CADASTROS!$B$23)</f>
        <v/>
      </c>
      <c r="AP23">
        <f>IF(AO23="",0,COUNTIFS(rEmpresa,"&lt;&gt;",rResp,critResp,rRamo,AO23))</f>
        <v>0</v>
      </c>
      <c r="AQ23">
        <f>IF(AO23="",0,COUNTIFS(rEmpresa,"&lt;&gt;",rResp,critResp,rRamo,AO23,rNotif,"NOTIFICAÇÃO DE CONSTATAÇÃO"))</f>
        <v>0</v>
      </c>
      <c r="AR23">
        <f>IF(AO23="",0,COUNTIFS(rEmpresa,"&lt;&gt;",rResp,critResp,rRamo,AO23,rNotif,"NOTIFICAÇÃO DE ESCLARECIMENTO"))</f>
        <v>0</v>
      </c>
      <c r="AS23">
        <f>IF(AO23="",0,COUNTIFS(rEmpresa,"&lt;&gt;",rResp,critResp,rRamo,AO23,rStatus,"PRAZO D.P"))</f>
        <v>0</v>
      </c>
      <c r="AT23">
        <f>IF(AO23="",-1,AP23+(100-ROW())/1000)</f>
        <v>-1</v>
      </c>
      <c r="AV23" t="n">
        <v>18</v>
      </c>
      <c r="AW23" t="str">
        <f>IF(BC23="","",INDEX($AO$6:$AO$35,BC23))</f>
        <v/>
      </c>
      <c r="AX23" t="str">
        <f>IF(BC23="","",INDEX($AP$6:$AP$35,BC23))</f>
        <v/>
      </c>
      <c r="AY23" t="str">
        <f>IF(BC23="","",INDEX($AQ$6:$AQ$35,BC23))</f>
        <v/>
      </c>
      <c r="AZ23" t="str">
        <f>IF(BC23="","",INDEX($AR$6:$AR$35,BC23))</f>
        <v/>
      </c>
      <c r="BA23" t="str">
        <f>IF(BC23="","",INDEX($AS$6:$AS$35,BC23))</f>
        <v/>
      </c>
      <c r="BB23" t="str">
        <f>IF(BC23="","",IFERROR(AX23/SUM($AP$6:$AP$35),0))</f>
        <v/>
      </c>
      <c r="BC23" t="str">
        <f>IF(LARGE($AT$6:$AT$35,AV23)&lt;0,"",MATCH(LARGE($AT$6:$AT$35,AV23),$AT$6:$AT$35,0))</f>
        <v/>
      </c>
      <c r="BF23" t="str">
        <f>IF(AND(OR(PROCESSOS!N23="NO PRAZO",PROCESSOS!N23="VENCE EM BREVE"),OR(FiltroResp="TODOS",FiltroResp="",PROCESSOS!H23=FiltroResp)),PROCESSOS!L23+ROW()/1000000,"")</f>
        <v/>
      </c>
      <c r="BG23">
        <f>IF(AND(PROCESSOS!B23&lt;&gt;"",ISNUMBER(PROCESSOS!D23),OR(FiltroResp="TODOS",FiltroResp="",PROCESSOS!H23=FiltroResp)),PROCESSOS!D23+ROW()/1000000,"")</f>
        <v>46161.00002299769</v>
      </c>
    </row>
    <row r="24">
      <c r="I24" t="inlineStr">
        <is>
          <t>Eletrônica</t>
        </is>
      </c>
      <c r="J24">
        <f>COUNTIFS(rEmpresa,"&lt;&gt;",rResp,critResp,rTipo,"ELETRÔNICA")</f>
        <v>38</v>
      </c>
      <c r="AO24" t="str">
        <f>IF(CADASTROS!$B$24="","",CADASTROS!$B$24)</f>
        <v/>
      </c>
      <c r="AP24">
        <f>IF(AO24="",0,COUNTIFS(rEmpresa,"&lt;&gt;",rResp,critResp,rRamo,AO24))</f>
        <v>0</v>
      </c>
      <c r="AQ24">
        <f>IF(AO24="",0,COUNTIFS(rEmpresa,"&lt;&gt;",rResp,critResp,rRamo,AO24,rNotif,"NOTIFICAÇÃO DE CONSTATAÇÃO"))</f>
        <v>0</v>
      </c>
      <c r="AR24">
        <f>IF(AO24="",0,COUNTIFS(rEmpresa,"&lt;&gt;",rResp,critResp,rRamo,AO24,rNotif,"NOTIFICAÇÃO DE ESCLARECIMENTO"))</f>
        <v>0</v>
      </c>
      <c r="AS24">
        <f>IF(AO24="",0,COUNTIFS(rEmpresa,"&lt;&gt;",rResp,critResp,rRamo,AO24,rStatus,"PRAZO D.P"))</f>
        <v>0</v>
      </c>
      <c r="AT24">
        <f>IF(AO24="",-1,AP24+(100-ROW())/1000)</f>
        <v>-1</v>
      </c>
      <c r="AV24" t="n">
        <v>19</v>
      </c>
      <c r="AW24" t="str">
        <f>IF(BC24="","",INDEX($AO$6:$AO$35,BC24))</f>
        <v/>
      </c>
      <c r="AX24" t="str">
        <f>IF(BC24="","",INDEX($AP$6:$AP$35,BC24))</f>
        <v/>
      </c>
      <c r="AY24" t="str">
        <f>IF(BC24="","",INDEX($AQ$6:$AQ$35,BC24))</f>
        <v/>
      </c>
      <c r="AZ24" t="str">
        <f>IF(BC24="","",INDEX($AR$6:$AR$35,BC24))</f>
        <v/>
      </c>
      <c r="BA24" t="str">
        <f>IF(BC24="","",INDEX($AS$6:$AS$35,BC24))</f>
        <v/>
      </c>
      <c r="BB24" t="str">
        <f>IF(BC24="","",IFERROR(AX24/SUM($AP$6:$AP$35),0))</f>
        <v/>
      </c>
      <c r="BC24" t="str">
        <f>IF(LARGE($AT$6:$AT$35,AV24)&lt;0,"",MATCH(LARGE($AT$6:$AT$35,AV24),$AT$6:$AT$35,0))</f>
        <v/>
      </c>
      <c r="BF24" t="str">
        <f>IF(AND(OR(PROCESSOS!N24="NO PRAZO",PROCESSOS!N24="VENCE EM BREVE"),OR(FiltroResp="TODOS",FiltroResp="",PROCESSOS!H24=FiltroResp)),PROCESSOS!L24+ROW()/1000000,"")</f>
        <v/>
      </c>
      <c r="BG24">
        <f>IF(AND(PROCESSOS!B24&lt;&gt;"",ISNUMBER(PROCESSOS!D24),OR(FiltroResp="TODOS",FiltroResp="",PROCESSOS!H24=FiltroResp)),PROCESSOS!D24+ROW()/1000000,"")</f>
        <v>46162.00002400463</v>
      </c>
    </row>
    <row r="25">
      <c r="AO25" t="str">
        <f>IF(CADASTROS!$B$25="","",CADASTROS!$B$25)</f>
        <v/>
      </c>
      <c r="AP25">
        <f>IF(AO25="",0,COUNTIFS(rEmpresa,"&lt;&gt;",rResp,critResp,rRamo,AO25))</f>
        <v>0</v>
      </c>
      <c r="AQ25">
        <f>IF(AO25="",0,COUNTIFS(rEmpresa,"&lt;&gt;",rResp,critResp,rRamo,AO25,rNotif,"NOTIFICAÇÃO DE CONSTATAÇÃO"))</f>
        <v>0</v>
      </c>
      <c r="AR25">
        <f>IF(AO25="",0,COUNTIFS(rEmpresa,"&lt;&gt;",rResp,critResp,rRamo,AO25,rNotif,"NOTIFICAÇÃO DE ESCLARECIMENTO"))</f>
        <v>0</v>
      </c>
      <c r="AS25">
        <f>IF(AO25="",0,COUNTIFS(rEmpresa,"&lt;&gt;",rResp,critResp,rRamo,AO25,rStatus,"PRAZO D.P"))</f>
        <v>0</v>
      </c>
      <c r="AT25">
        <f>IF(AO25="",-1,AP25+(100-ROW())/1000)</f>
        <v>-1</v>
      </c>
      <c r="AV25" t="n">
        <v>20</v>
      </c>
      <c r="AW25" t="str">
        <f>IF(BC25="","",INDEX($AO$6:$AO$35,BC25))</f>
        <v/>
      </c>
      <c r="AX25" t="str">
        <f>IF(BC25="","",INDEX($AP$6:$AP$35,BC25))</f>
        <v/>
      </c>
      <c r="AY25" t="str">
        <f>IF(BC25="","",INDEX($AQ$6:$AQ$35,BC25))</f>
        <v/>
      </c>
      <c r="AZ25" t="str">
        <f>IF(BC25="","",INDEX($AR$6:$AR$35,BC25))</f>
        <v/>
      </c>
      <c r="BA25" t="str">
        <f>IF(BC25="","",INDEX($AS$6:$AS$35,BC25))</f>
        <v/>
      </c>
      <c r="BB25" t="str">
        <f>IF(BC25="","",IFERROR(AX25/SUM($AP$6:$AP$35),0))</f>
        <v/>
      </c>
      <c r="BC25" t="str">
        <f>IF(LARGE($AT$6:$AT$35,AV25)&lt;0,"",MATCH(LARGE($AT$6:$AT$35,AV25),$AT$6:$AT$35,0))</f>
        <v/>
      </c>
      <c r="BF25" t="str">
        <f>IF(AND(OR(PROCESSOS!N25="NO PRAZO",PROCESSOS!N25="VENCE EM BREVE"),OR(FiltroResp="TODOS",FiltroResp="",PROCESSOS!H25=FiltroResp)),PROCESSOS!L25+ROW()/1000000,"")</f>
        <v/>
      </c>
      <c r="BG25">
        <f>IF(AND(PROCESSOS!B25&lt;&gt;"",ISNUMBER(PROCESSOS!D25),OR(FiltroResp="TODOS",FiltroResp="",PROCESSOS!H25=FiltroResp)),PROCESSOS!D25+ROW()/1000000,"")</f>
        <v>46163.000025</v>
      </c>
    </row>
    <row r="26">
      <c r="AO26" t="str">
        <f>IF(CADASTROS!$B$26="","",CADASTROS!$B$26)</f>
        <v/>
      </c>
      <c r="AP26">
        <f>IF(AO26="",0,COUNTIFS(rEmpresa,"&lt;&gt;",rResp,critResp,rRamo,AO26))</f>
        <v>0</v>
      </c>
      <c r="AQ26">
        <f>IF(AO26="",0,COUNTIFS(rEmpresa,"&lt;&gt;",rResp,critResp,rRamo,AO26,rNotif,"NOTIFICAÇÃO DE CONSTATAÇÃO"))</f>
        <v>0</v>
      </c>
      <c r="AR26">
        <f>IF(AO26="",0,COUNTIFS(rEmpresa,"&lt;&gt;",rResp,critResp,rRamo,AO26,rNotif,"NOTIFICAÇÃO DE ESCLARECIMENTO"))</f>
        <v>0</v>
      </c>
      <c r="AS26">
        <f>IF(AO26="",0,COUNTIFS(rEmpresa,"&lt;&gt;",rResp,critResp,rRamo,AO26,rStatus,"PRAZO D.P"))</f>
        <v>0</v>
      </c>
      <c r="AT26">
        <f>IF(AO26="",-1,AP26+(100-ROW())/1000)</f>
        <v>-1</v>
      </c>
      <c r="AV26" t="n">
        <v>21</v>
      </c>
      <c r="AW26" t="str">
        <f>IF(BC26="","",INDEX($AO$6:$AO$35,BC26))</f>
        <v/>
      </c>
      <c r="AX26" t="str">
        <f>IF(BC26="","",INDEX($AP$6:$AP$35,BC26))</f>
        <v/>
      </c>
      <c r="AY26" t="str">
        <f>IF(BC26="","",INDEX($AQ$6:$AQ$35,BC26))</f>
        <v/>
      </c>
      <c r="AZ26" t="str">
        <f>IF(BC26="","",INDEX($AR$6:$AR$35,BC26))</f>
        <v/>
      </c>
      <c r="BA26" t="str">
        <f>IF(BC26="","",INDEX($AS$6:$AS$35,BC26))</f>
        <v/>
      </c>
      <c r="BB26" t="str">
        <f>IF(BC26="","",IFERROR(AX26/SUM($AP$6:$AP$35),0))</f>
        <v/>
      </c>
      <c r="BC26" t="str">
        <f>IF(LARGE($AT$6:$AT$35,AV26)&lt;0,"",MATCH(LARGE($AT$6:$AT$35,AV26),$AT$6:$AT$35,0))</f>
        <v/>
      </c>
      <c r="BF26" t="str">
        <f>IF(AND(OR(PROCESSOS!N26="NO PRAZO",PROCESSOS!N26="VENCE EM BREVE"),OR(FiltroResp="TODOS",FiltroResp="",PROCESSOS!H26=FiltroResp)),PROCESSOS!L26+ROW()/1000000,"")</f>
        <v/>
      </c>
      <c r="BG26">
        <f>IF(AND(PROCESSOS!B26&lt;&gt;"",ISNUMBER(PROCESSOS!D26),OR(FiltroResp="TODOS",FiltroResp="",PROCESSOS!H26=FiltroResp)),PROCESSOS!D26+ROW()/1000000,"")</f>
        <v>46163.00002599537</v>
      </c>
    </row>
    <row r="27">
      <c r="I27" t="inlineStr">
        <is>
          <t>MATRIZ</t>
        </is>
      </c>
      <c r="J27" t="inlineStr">
        <is>
          <t>Presencial</t>
        </is>
      </c>
      <c r="K27" t="inlineStr">
        <is>
          <t>Eletrônica</t>
        </is>
      </c>
      <c r="AO27" t="str">
        <f>IF(CADASTROS!$B$27="","",CADASTROS!$B$27)</f>
        <v/>
      </c>
      <c r="AP27">
        <f>IF(AO27="",0,COUNTIFS(rEmpresa,"&lt;&gt;",rResp,critResp,rRamo,AO27))</f>
        <v>0</v>
      </c>
      <c r="AQ27">
        <f>IF(AO27="",0,COUNTIFS(rEmpresa,"&lt;&gt;",rResp,critResp,rRamo,AO27,rNotif,"NOTIFICAÇÃO DE CONSTATAÇÃO"))</f>
        <v>0</v>
      </c>
      <c r="AR27">
        <f>IF(AO27="",0,COUNTIFS(rEmpresa,"&lt;&gt;",rResp,critResp,rRamo,AO27,rNotif,"NOTIFICAÇÃO DE ESCLARECIMENTO"))</f>
        <v>0</v>
      </c>
      <c r="AS27">
        <f>IF(AO27="",0,COUNTIFS(rEmpresa,"&lt;&gt;",rResp,critResp,rRamo,AO27,rStatus,"PRAZO D.P"))</f>
        <v>0</v>
      </c>
      <c r="AT27">
        <f>IF(AO27="",-1,AP27+(100-ROW())/1000)</f>
        <v>-1</v>
      </c>
      <c r="AV27" t="n">
        <v>22</v>
      </c>
      <c r="AW27" t="str">
        <f>IF(BC27="","",INDEX($AO$6:$AO$35,BC27))</f>
        <v/>
      </c>
      <c r="AX27" t="str">
        <f>IF(BC27="","",INDEX($AP$6:$AP$35,BC27))</f>
        <v/>
      </c>
      <c r="AY27" t="str">
        <f>IF(BC27="","",INDEX($AQ$6:$AQ$35,BC27))</f>
        <v/>
      </c>
      <c r="AZ27" t="str">
        <f>IF(BC27="","",INDEX($AR$6:$AR$35,BC27))</f>
        <v/>
      </c>
      <c r="BA27" t="str">
        <f>IF(BC27="","",INDEX($AS$6:$AS$35,BC27))</f>
        <v/>
      </c>
      <c r="BB27" t="str">
        <f>IF(BC27="","",IFERROR(AX27/SUM($AP$6:$AP$35),0))</f>
        <v/>
      </c>
      <c r="BC27" t="str">
        <f>IF(LARGE($AT$6:$AT$35,AV27)&lt;0,"",MATCH(LARGE($AT$6:$AT$35,AV27),$AT$6:$AT$35,0))</f>
        <v/>
      </c>
      <c r="BF27" t="str">
        <f>IF(AND(OR(PROCESSOS!N27="NO PRAZO",PROCESSOS!N27="VENCE EM BREVE"),OR(FiltroResp="TODOS",FiltroResp="",PROCESSOS!H27=FiltroResp)),PROCESSOS!L27+ROW()/1000000,"")</f>
        <v/>
      </c>
      <c r="BG27">
        <f>IF(AND(PROCESSOS!B27&lt;&gt;"",ISNUMBER(PROCESSOS!D27),OR(FiltroResp="TODOS",FiltroResp="",PROCESSOS!H27=FiltroResp)),PROCESSOS!D27+ROW()/1000000,"")</f>
        <v>46164.000027002316</v>
      </c>
    </row>
    <row r="28">
      <c r="I28" t="inlineStr">
        <is>
          <t>Constatação</t>
        </is>
      </c>
      <c r="J28">
        <f>COUNTIFS(rEmpresa,"&lt;&gt;",rResp,critResp,rNotif,"NOTIFICAÇÃO DE CONSTATAÇÃO",rTipo,"PRESENCIAL")</f>
        <v>34</v>
      </c>
      <c r="K28">
        <f>COUNTIFS(rEmpresa,"&lt;&gt;",rResp,critResp,rNotif,"NOTIFICAÇÃO DE CONSTATAÇÃO",rTipo,"ELETRÔNICA")</f>
        <v>28</v>
      </c>
      <c r="AO28" t="str">
        <f>IF(CADASTROS!$B$28="","",CADASTROS!$B$28)</f>
        <v/>
      </c>
      <c r="AP28">
        <f>IF(AO28="",0,COUNTIFS(rEmpresa,"&lt;&gt;",rResp,critResp,rRamo,AO28))</f>
        <v>0</v>
      </c>
      <c r="AQ28">
        <f>IF(AO28="",0,COUNTIFS(rEmpresa,"&lt;&gt;",rResp,critResp,rRamo,AO28,rNotif,"NOTIFICAÇÃO DE CONSTATAÇÃO"))</f>
        <v>0</v>
      </c>
      <c r="AR28">
        <f>IF(AO28="",0,COUNTIFS(rEmpresa,"&lt;&gt;",rResp,critResp,rRamo,AO28,rNotif,"NOTIFICAÇÃO DE ESCLARECIMENTO"))</f>
        <v>0</v>
      </c>
      <c r="AS28">
        <f>IF(AO28="",0,COUNTIFS(rEmpresa,"&lt;&gt;",rResp,critResp,rRamo,AO28,rStatus,"PRAZO D.P"))</f>
        <v>0</v>
      </c>
      <c r="AT28">
        <f>IF(AO28="",-1,AP28+(100-ROW())/1000)</f>
        <v>-1</v>
      </c>
      <c r="AV28" t="n">
        <v>23</v>
      </c>
      <c r="AW28" t="str">
        <f>IF(BC28="","",INDEX($AO$6:$AO$35,BC28))</f>
        <v/>
      </c>
      <c r="AX28" t="str">
        <f>IF(BC28="","",INDEX($AP$6:$AP$35,BC28))</f>
        <v/>
      </c>
      <c r="AY28" t="str">
        <f>IF(BC28="","",INDEX($AQ$6:$AQ$35,BC28))</f>
        <v/>
      </c>
      <c r="AZ28" t="str">
        <f>IF(BC28="","",INDEX($AR$6:$AR$35,BC28))</f>
        <v/>
      </c>
      <c r="BA28" t="str">
        <f>IF(BC28="","",INDEX($AS$6:$AS$35,BC28))</f>
        <v/>
      </c>
      <c r="BB28" t="str">
        <f>IF(BC28="","",IFERROR(AX28/SUM($AP$6:$AP$35),0))</f>
        <v/>
      </c>
      <c r="BC28" t="str">
        <f>IF(LARGE($AT$6:$AT$35,AV28)&lt;0,"",MATCH(LARGE($AT$6:$AT$35,AV28),$AT$6:$AT$35,0))</f>
        <v/>
      </c>
      <c r="BF28" t="str">
        <f>IF(AND(OR(PROCESSOS!N28="NO PRAZO",PROCESSOS!N28="VENCE EM BREVE"),OR(FiltroResp="TODOS",FiltroResp="",PROCESSOS!H28=FiltroResp)),PROCESSOS!L28+ROW()/1000000,"")</f>
        <v/>
      </c>
      <c r="BG28">
        <f>IF(AND(PROCESSOS!B28&lt;&gt;"",ISNUMBER(PROCESSOS!D28),OR(FiltroResp="TODOS",FiltroResp="",PROCESSOS!H28=FiltroResp)),PROCESSOS!D28+ROW()/1000000,"")</f>
        <v>46166.00002799769</v>
      </c>
    </row>
    <row r="29">
      <c r="I29" t="inlineStr">
        <is>
          <t>Esclarecimento</t>
        </is>
      </c>
      <c r="J29">
        <f>COUNTIFS(rEmpresa,"&lt;&gt;",rResp,critResp,rNotif,"NOTIFICAÇÃO DE ESCLARECIMENTO",rTipo,"PRESENCIAL")</f>
        <v>24</v>
      </c>
      <c r="K29">
        <f>COUNTIFS(rEmpresa,"&lt;&gt;",rResp,critResp,rNotif,"NOTIFICAÇÃO DE ESCLARECIMENTO",rTipo,"ELETRÔNICA")</f>
        <v>10</v>
      </c>
      <c r="AO29" t="str">
        <f>IF(CADASTROS!$B$29="","",CADASTROS!$B$29)</f>
        <v/>
      </c>
      <c r="AP29">
        <f>IF(AO29="",0,COUNTIFS(rEmpresa,"&lt;&gt;",rResp,critResp,rRamo,AO29))</f>
        <v>0</v>
      </c>
      <c r="AQ29">
        <f>IF(AO29="",0,COUNTIFS(rEmpresa,"&lt;&gt;",rResp,critResp,rRamo,AO29,rNotif,"NOTIFICAÇÃO DE CONSTATAÇÃO"))</f>
        <v>0</v>
      </c>
      <c r="AR29">
        <f>IF(AO29="",0,COUNTIFS(rEmpresa,"&lt;&gt;",rResp,critResp,rRamo,AO29,rNotif,"NOTIFICAÇÃO DE ESCLARECIMENTO"))</f>
        <v>0</v>
      </c>
      <c r="AS29">
        <f>IF(AO29="",0,COUNTIFS(rEmpresa,"&lt;&gt;",rResp,critResp,rRamo,AO29,rStatus,"PRAZO D.P"))</f>
        <v>0</v>
      </c>
      <c r="AT29">
        <f>IF(AO29="",-1,AP29+(100-ROW())/1000)</f>
        <v>-1</v>
      </c>
      <c r="AV29" t="n">
        <v>24</v>
      </c>
      <c r="AW29" t="str">
        <f>IF(BC29="","",INDEX($AO$6:$AO$35,BC29))</f>
        <v/>
      </c>
      <c r="AX29" t="str">
        <f>IF(BC29="","",INDEX($AP$6:$AP$35,BC29))</f>
        <v/>
      </c>
      <c r="AY29" t="str">
        <f>IF(BC29="","",INDEX($AQ$6:$AQ$35,BC29))</f>
        <v/>
      </c>
      <c r="AZ29" t="str">
        <f>IF(BC29="","",INDEX($AR$6:$AR$35,BC29))</f>
        <v/>
      </c>
      <c r="BA29" t="str">
        <f>IF(BC29="","",INDEX($AS$6:$AS$35,BC29))</f>
        <v/>
      </c>
      <c r="BB29" t="str">
        <f>IF(BC29="","",IFERROR(AX29/SUM($AP$6:$AP$35),0))</f>
        <v/>
      </c>
      <c r="BC29" t="str">
        <f>IF(LARGE($AT$6:$AT$35,AV29)&lt;0,"",MATCH(LARGE($AT$6:$AT$35,AV29),$AT$6:$AT$35,0))</f>
        <v/>
      </c>
      <c r="BF29" t="str">
        <f>IF(AND(OR(PROCESSOS!N29="NO PRAZO",PROCESSOS!N29="VENCE EM BREVE"),OR(FiltroResp="TODOS",FiltroResp="",PROCESSOS!H29=FiltroResp)),PROCESSOS!L29+ROW()/1000000,"")</f>
        <v/>
      </c>
      <c r="BG29">
        <f>IF(AND(PROCESSOS!B29&lt;&gt;"",ISNUMBER(PROCESSOS!D29),OR(FiltroResp="TODOS",FiltroResp="",PROCESSOS!H29=FiltroResp)),PROCESSOS!D29+ROW()/1000000,"")</f>
        <v>46168.00002900463</v>
      </c>
    </row>
    <row r="30">
      <c r="AO30" t="str">
        <f>IF(CADASTROS!$B$30="","",CADASTROS!$B$30)</f>
        <v/>
      </c>
      <c r="AP30">
        <f>IF(AO30="",0,COUNTIFS(rEmpresa,"&lt;&gt;",rResp,critResp,rRamo,AO30))</f>
        <v>0</v>
      </c>
      <c r="AQ30">
        <f>IF(AO30="",0,COUNTIFS(rEmpresa,"&lt;&gt;",rResp,critResp,rRamo,AO30,rNotif,"NOTIFICAÇÃO DE CONSTATAÇÃO"))</f>
        <v>0</v>
      </c>
      <c r="AR30">
        <f>IF(AO30="",0,COUNTIFS(rEmpresa,"&lt;&gt;",rResp,critResp,rRamo,AO30,rNotif,"NOTIFICAÇÃO DE ESCLARECIMENTO"))</f>
        <v>0</v>
      </c>
      <c r="AS30">
        <f>IF(AO30="",0,COUNTIFS(rEmpresa,"&lt;&gt;",rResp,critResp,rRamo,AO30,rStatus,"PRAZO D.P"))</f>
        <v>0</v>
      </c>
      <c r="AT30">
        <f>IF(AO30="",-1,AP30+(100-ROW())/1000)</f>
        <v>-1</v>
      </c>
      <c r="AV30" t="n">
        <v>25</v>
      </c>
      <c r="AW30" t="str">
        <f>IF(BC30="","",INDEX($AO$6:$AO$35,BC30))</f>
        <v/>
      </c>
      <c r="AX30" t="str">
        <f>IF(BC30="","",INDEX($AP$6:$AP$35,BC30))</f>
        <v/>
      </c>
      <c r="AY30" t="str">
        <f>IF(BC30="","",INDEX($AQ$6:$AQ$35,BC30))</f>
        <v/>
      </c>
      <c r="AZ30" t="str">
        <f>IF(BC30="","",INDEX($AR$6:$AR$35,BC30))</f>
        <v/>
      </c>
      <c r="BA30" t="str">
        <f>IF(BC30="","",INDEX($AS$6:$AS$35,BC30))</f>
        <v/>
      </c>
      <c r="BB30" t="str">
        <f>IF(BC30="","",IFERROR(AX30/SUM($AP$6:$AP$35),0))</f>
        <v/>
      </c>
      <c r="BC30" t="str">
        <f>IF(LARGE($AT$6:$AT$35,AV30)&lt;0,"",MATCH(LARGE($AT$6:$AT$35,AV30),$AT$6:$AT$35,0))</f>
        <v/>
      </c>
      <c r="BF30" t="str">
        <f>IF(AND(OR(PROCESSOS!N30="NO PRAZO",PROCESSOS!N30="VENCE EM BREVE"),OR(FiltroResp="TODOS",FiltroResp="",PROCESSOS!H30=FiltroResp)),PROCESSOS!L30+ROW()/1000000,"")</f>
        <v/>
      </c>
      <c r="BG30">
        <f>IF(AND(PROCESSOS!B30&lt;&gt;"",ISNUMBER(PROCESSOS!D30),OR(FiltroResp="TODOS",FiltroResp="",PROCESSOS!H30=FiltroResp)),PROCESSOS!D30+ROW()/1000000,"")</f>
        <v>46174.00003</v>
      </c>
    </row>
    <row r="31">
      <c r="AO31" t="str">
        <f>IF(CADASTROS!$B$31="","",CADASTROS!$B$31)</f>
        <v/>
      </c>
      <c r="AP31">
        <f>IF(AO31="",0,COUNTIFS(rEmpresa,"&lt;&gt;",rResp,critResp,rRamo,AO31))</f>
        <v>0</v>
      </c>
      <c r="AQ31">
        <f>IF(AO31="",0,COUNTIFS(rEmpresa,"&lt;&gt;",rResp,critResp,rRamo,AO31,rNotif,"NOTIFICAÇÃO DE CONSTATAÇÃO"))</f>
        <v>0</v>
      </c>
      <c r="AR31">
        <f>IF(AO31="",0,COUNTIFS(rEmpresa,"&lt;&gt;",rResp,critResp,rRamo,AO31,rNotif,"NOTIFICAÇÃO DE ESCLARECIMENTO"))</f>
        <v>0</v>
      </c>
      <c r="AS31">
        <f>IF(AO31="",0,COUNTIFS(rEmpresa,"&lt;&gt;",rResp,critResp,rRamo,AO31,rStatus,"PRAZO D.P"))</f>
        <v>0</v>
      </c>
      <c r="AT31">
        <f>IF(AO31="",-1,AP31+(100-ROW())/1000)</f>
        <v>-1</v>
      </c>
      <c r="AV31" t="n">
        <v>26</v>
      </c>
      <c r="AW31" t="str">
        <f>IF(BC31="","",INDEX($AO$6:$AO$35,BC31))</f>
        <v/>
      </c>
      <c r="AX31" t="str">
        <f>IF(BC31="","",INDEX($AP$6:$AP$35,BC31))</f>
        <v/>
      </c>
      <c r="AY31" t="str">
        <f>IF(BC31="","",INDEX($AQ$6:$AQ$35,BC31))</f>
        <v/>
      </c>
      <c r="AZ31" t="str">
        <f>IF(BC31="","",INDEX($AR$6:$AR$35,BC31))</f>
        <v/>
      </c>
      <c r="BA31" t="str">
        <f>IF(BC31="","",INDEX($AS$6:$AS$35,BC31))</f>
        <v/>
      </c>
      <c r="BB31" t="str">
        <f>IF(BC31="","",IFERROR(AX31/SUM($AP$6:$AP$35),0))</f>
        <v/>
      </c>
      <c r="BC31" t="str">
        <f>IF(LARGE($AT$6:$AT$35,AV31)&lt;0,"",MATCH(LARGE($AT$6:$AT$35,AV31),$AT$6:$AT$35,0))</f>
        <v/>
      </c>
      <c r="BF31" t="str">
        <f>IF(AND(OR(PROCESSOS!N31="NO PRAZO",PROCESSOS!N31="VENCE EM BREVE"),OR(FiltroResp="TODOS",FiltroResp="",PROCESSOS!H31=FiltroResp)),PROCESSOS!L31+ROW()/1000000,"")</f>
        <v/>
      </c>
      <c r="BG31">
        <f>IF(AND(PROCESSOS!B31&lt;&gt;"",ISNUMBER(PROCESSOS!D31),OR(FiltroResp="TODOS",FiltroResp="",PROCESSOS!H31=FiltroResp)),PROCESSOS!D31+ROW()/1000000,"")</f>
        <v>46177.00003099537</v>
      </c>
    </row>
    <row r="32">
      <c r="AO32" t="str">
        <f>IF(CADASTROS!$B$32="","",CADASTROS!$B$32)</f>
        <v/>
      </c>
      <c r="AP32">
        <f>IF(AO32="",0,COUNTIFS(rEmpresa,"&lt;&gt;",rResp,critResp,rRamo,AO32))</f>
        <v>0</v>
      </c>
      <c r="AQ32">
        <f>IF(AO32="",0,COUNTIFS(rEmpresa,"&lt;&gt;",rResp,critResp,rRamo,AO32,rNotif,"NOTIFICAÇÃO DE CONSTATAÇÃO"))</f>
        <v>0</v>
      </c>
      <c r="AR32">
        <f>IF(AO32="",0,COUNTIFS(rEmpresa,"&lt;&gt;",rResp,critResp,rRamo,AO32,rNotif,"NOTIFICAÇÃO DE ESCLARECIMENTO"))</f>
        <v>0</v>
      </c>
      <c r="AS32">
        <f>IF(AO32="",0,COUNTIFS(rEmpresa,"&lt;&gt;",rResp,critResp,rRamo,AO32,rStatus,"PRAZO D.P"))</f>
        <v>0</v>
      </c>
      <c r="AT32">
        <f>IF(AO32="",-1,AP32+(100-ROW())/1000)</f>
        <v>-1</v>
      </c>
      <c r="AV32" t="n">
        <v>27</v>
      </c>
      <c r="AW32" t="str">
        <f>IF(BC32="","",INDEX($AO$6:$AO$35,BC32))</f>
        <v/>
      </c>
      <c r="AX32" t="str">
        <f>IF(BC32="","",INDEX($AP$6:$AP$35,BC32))</f>
        <v/>
      </c>
      <c r="AY32" t="str">
        <f>IF(BC32="","",INDEX($AQ$6:$AQ$35,BC32))</f>
        <v/>
      </c>
      <c r="AZ32" t="str">
        <f>IF(BC32="","",INDEX($AR$6:$AR$35,BC32))</f>
        <v/>
      </c>
      <c r="BA32" t="str">
        <f>IF(BC32="","",INDEX($AS$6:$AS$35,BC32))</f>
        <v/>
      </c>
      <c r="BB32" t="str">
        <f>IF(BC32="","",IFERROR(AX32/SUM($AP$6:$AP$35),0))</f>
        <v/>
      </c>
      <c r="BC32" t="str">
        <f>IF(LARGE($AT$6:$AT$35,AV32)&lt;0,"",MATCH(LARGE($AT$6:$AT$35,AV32),$AT$6:$AT$35,0))</f>
        <v/>
      </c>
      <c r="BF32" t="str">
        <f>IF(AND(OR(PROCESSOS!N32="NO PRAZO",PROCESSOS!N32="VENCE EM BREVE"),OR(FiltroResp="TODOS",FiltroResp="",PROCESSOS!H32=FiltroResp)),PROCESSOS!L32+ROW()/1000000,"")</f>
        <v/>
      </c>
      <c r="BG32">
        <f>IF(AND(PROCESSOS!B32&lt;&gt;"",ISNUMBER(PROCESSOS!D32),OR(FiltroResp="TODOS",FiltroResp="",PROCESSOS!H32=FiltroResp)),PROCESSOS!D32+ROW()/1000000,"")</f>
        <v>46190.00003200232</v>
      </c>
    </row>
    <row r="33">
      <c r="AO33" t="str">
        <f>IF(CADASTROS!$B$33="","",CADASTROS!$B$33)</f>
        <v/>
      </c>
      <c r="AP33">
        <f>IF(AO33="",0,COUNTIFS(rEmpresa,"&lt;&gt;",rResp,critResp,rRamo,AO33))</f>
        <v>0</v>
      </c>
      <c r="AQ33">
        <f>IF(AO33="",0,COUNTIFS(rEmpresa,"&lt;&gt;",rResp,critResp,rRamo,AO33,rNotif,"NOTIFICAÇÃO DE CONSTATAÇÃO"))</f>
        <v>0</v>
      </c>
      <c r="AR33">
        <f>IF(AO33="",0,COUNTIFS(rEmpresa,"&lt;&gt;",rResp,critResp,rRamo,AO33,rNotif,"NOTIFICAÇÃO DE ESCLARECIMENTO"))</f>
        <v>0</v>
      </c>
      <c r="AS33">
        <f>IF(AO33="",0,COUNTIFS(rEmpresa,"&lt;&gt;",rResp,critResp,rRamo,AO33,rStatus,"PRAZO D.P"))</f>
        <v>0</v>
      </c>
      <c r="AT33">
        <f>IF(AO33="",-1,AP33+(100-ROW())/1000)</f>
        <v>-1</v>
      </c>
      <c r="AV33" t="n">
        <v>28</v>
      </c>
      <c r="AW33" t="str">
        <f>IF(BC33="","",INDEX($AO$6:$AO$35,BC33))</f>
        <v/>
      </c>
      <c r="AX33" t="str">
        <f>IF(BC33="","",INDEX($AP$6:$AP$35,BC33))</f>
        <v/>
      </c>
      <c r="AY33" t="str">
        <f>IF(BC33="","",INDEX($AQ$6:$AQ$35,BC33))</f>
        <v/>
      </c>
      <c r="AZ33" t="str">
        <f>IF(BC33="","",INDEX($AR$6:$AR$35,BC33))</f>
        <v/>
      </c>
      <c r="BA33" t="str">
        <f>IF(BC33="","",INDEX($AS$6:$AS$35,BC33))</f>
        <v/>
      </c>
      <c r="BB33" t="str">
        <f>IF(BC33="","",IFERROR(AX33/SUM($AP$6:$AP$35),0))</f>
        <v/>
      </c>
      <c r="BC33" t="str">
        <f>IF(LARGE($AT$6:$AT$35,AV33)&lt;0,"",MATCH(LARGE($AT$6:$AT$35,AV33),$AT$6:$AT$35,0))</f>
        <v/>
      </c>
      <c r="BF33" t="str">
        <f>IF(AND(OR(PROCESSOS!N33="NO PRAZO",PROCESSOS!N33="VENCE EM BREVE"),OR(FiltroResp="TODOS",FiltroResp="",PROCESSOS!H33=FiltroResp)),PROCESSOS!L33+ROW()/1000000,"")</f>
        <v/>
      </c>
      <c r="BG33">
        <f>IF(AND(PROCESSOS!B33&lt;&gt;"",ISNUMBER(PROCESSOS!D33),OR(FiltroResp="TODOS",FiltroResp="",PROCESSOS!H33=FiltroResp)),PROCESSOS!D33+ROW()/1000000,"")</f>
        <v>46191.00003299768</v>
      </c>
    </row>
    <row r="34">
      <c r="AO34" t="str">
        <f>IF(CADASTROS!$B$34="","",CADASTROS!$B$34)</f>
        <v/>
      </c>
      <c r="AP34">
        <f>IF(AO34="",0,COUNTIFS(rEmpresa,"&lt;&gt;",rResp,critResp,rRamo,AO34))</f>
        <v>0</v>
      </c>
      <c r="AQ34">
        <f>IF(AO34="",0,COUNTIFS(rEmpresa,"&lt;&gt;",rResp,critResp,rRamo,AO34,rNotif,"NOTIFICAÇÃO DE CONSTATAÇÃO"))</f>
        <v>0</v>
      </c>
      <c r="AR34">
        <f>IF(AO34="",0,COUNTIFS(rEmpresa,"&lt;&gt;",rResp,critResp,rRamo,AO34,rNotif,"NOTIFICAÇÃO DE ESCLARECIMENTO"))</f>
        <v>0</v>
      </c>
      <c r="AS34">
        <f>IF(AO34="",0,COUNTIFS(rEmpresa,"&lt;&gt;",rResp,critResp,rRamo,AO34,rStatus,"PRAZO D.P"))</f>
        <v>0</v>
      </c>
      <c r="AT34">
        <f>IF(AO34="",-1,AP34+(100-ROW())/1000)</f>
        <v>-1</v>
      </c>
      <c r="AV34" t="n">
        <v>29</v>
      </c>
      <c r="AW34" t="str">
        <f>IF(BC34="","",INDEX($AO$6:$AO$35,BC34))</f>
        <v/>
      </c>
      <c r="AX34" t="str">
        <f>IF(BC34="","",INDEX($AP$6:$AP$35,BC34))</f>
        <v/>
      </c>
      <c r="AY34" t="str">
        <f>IF(BC34="","",INDEX($AQ$6:$AQ$35,BC34))</f>
        <v/>
      </c>
      <c r="AZ34" t="str">
        <f>IF(BC34="","",INDEX($AR$6:$AR$35,BC34))</f>
        <v/>
      </c>
      <c r="BA34" t="str">
        <f>IF(BC34="","",INDEX($AS$6:$AS$35,BC34))</f>
        <v/>
      </c>
      <c r="BB34" t="str">
        <f>IF(BC34="","",IFERROR(AX34/SUM($AP$6:$AP$35),0))</f>
        <v/>
      </c>
      <c r="BC34" t="str">
        <f>IF(LARGE($AT$6:$AT$35,AV34)&lt;0,"",MATCH(LARGE($AT$6:$AT$35,AV34),$AT$6:$AT$35,0))</f>
        <v/>
      </c>
      <c r="BF34" t="str">
        <f>IF(AND(OR(PROCESSOS!N34="NO PRAZO",PROCESSOS!N34="VENCE EM BREVE"),OR(FiltroResp="TODOS",FiltroResp="",PROCESSOS!H34=FiltroResp)),PROCESSOS!L34+ROW()/1000000,"")</f>
        <v/>
      </c>
      <c r="BG34">
        <f>IF(AND(PROCESSOS!B34&lt;&gt;"",ISNUMBER(PROCESSOS!D34),OR(FiltroResp="TODOS",FiltroResp="",PROCESSOS!H34=FiltroResp)),PROCESSOS!D34+ROW()/1000000,"")</f>
        <v>46191.00003400463</v>
      </c>
    </row>
    <row r="35">
      <c r="AO35" t="str">
        <f>IF(CADASTROS!$B$35="","",CADASTROS!$B$35)</f>
        <v/>
      </c>
      <c r="AP35">
        <f>IF(AO35="",0,COUNTIFS(rEmpresa,"&lt;&gt;",rResp,critResp,rRamo,AO35))</f>
        <v>0</v>
      </c>
      <c r="AQ35">
        <f>IF(AO35="",0,COUNTIFS(rEmpresa,"&lt;&gt;",rResp,critResp,rRamo,AO35,rNotif,"NOTIFICAÇÃO DE CONSTATAÇÃO"))</f>
        <v>0</v>
      </c>
      <c r="AR35">
        <f>IF(AO35="",0,COUNTIFS(rEmpresa,"&lt;&gt;",rResp,critResp,rRamo,AO35,rNotif,"NOTIFICAÇÃO DE ESCLARECIMENTO"))</f>
        <v>0</v>
      </c>
      <c r="AS35">
        <f>IF(AO35="",0,COUNTIFS(rEmpresa,"&lt;&gt;",rResp,critResp,rRamo,AO35,rStatus,"PRAZO D.P"))</f>
        <v>0</v>
      </c>
      <c r="AT35">
        <f>IF(AO35="",-1,AP35+(100-ROW())/1000)</f>
        <v>-1</v>
      </c>
      <c r="AV35" t="n">
        <v>30</v>
      </c>
      <c r="AW35" t="str">
        <f>IF(BC35="","",INDEX($AO$6:$AO$35,BC35))</f>
        <v/>
      </c>
      <c r="AX35" t="str">
        <f>IF(BC35="","",INDEX($AP$6:$AP$35,BC35))</f>
        <v/>
      </c>
      <c r="AY35" t="str">
        <f>IF(BC35="","",INDEX($AQ$6:$AQ$35,BC35))</f>
        <v/>
      </c>
      <c r="AZ35" t="str">
        <f>IF(BC35="","",INDEX($AR$6:$AR$35,BC35))</f>
        <v/>
      </c>
      <c r="BA35" t="str">
        <f>IF(BC35="","",INDEX($AS$6:$AS$35,BC35))</f>
        <v/>
      </c>
      <c r="BB35" t="str">
        <f>IF(BC35="","",IFERROR(AX35/SUM($AP$6:$AP$35),0))</f>
        <v/>
      </c>
      <c r="BC35" t="str">
        <f>IF(LARGE($AT$6:$AT$35,AV35)&lt;0,"",MATCH(LARGE($AT$6:$AT$35,AV35),$AT$6:$AT$35,0))</f>
        <v/>
      </c>
      <c r="BF35" t="str">
        <f>IF(AND(OR(PROCESSOS!N35="NO PRAZO",PROCESSOS!N35="VENCE EM BREVE"),OR(FiltroResp="TODOS",FiltroResp="",PROCESSOS!H35=FiltroResp)),PROCESSOS!L35+ROW()/1000000,"")</f>
        <v/>
      </c>
      <c r="BG35">
        <f>IF(AND(PROCESSOS!B35&lt;&gt;"",ISNUMBER(PROCESSOS!D35),OR(FiltroResp="TODOS",FiltroResp="",PROCESSOS!H35=FiltroResp)),PROCESSOS!D35+ROW()/1000000,"")</f>
        <v>46193.000035</v>
      </c>
    </row>
    <row r="36">
      <c r="BF36" t="str">
        <f>IF(AND(OR(PROCESSOS!N36="NO PRAZO",PROCESSOS!N36="VENCE EM BREVE"),OR(FiltroResp="TODOS",FiltroResp="",PROCESSOS!H36=FiltroResp)),PROCESSOS!L36+ROW()/1000000,"")</f>
        <v/>
      </c>
      <c r="BG36">
        <f>IF(AND(PROCESSOS!B36&lt;&gt;"",ISNUMBER(PROCESSOS!D36),OR(FiltroResp="TODOS",FiltroResp="",PROCESSOS!H36=FiltroResp)),PROCESSOS!D36+ROW()/1000000,"")</f>
        <v>46200.00003599537</v>
      </c>
    </row>
    <row r="37">
      <c r="BF37" t="str">
        <f>IF(AND(OR(PROCESSOS!N37="NO PRAZO",PROCESSOS!N37="VENCE EM BREVE"),OR(FiltroResp="TODOS",FiltroResp="",PROCESSOS!H37=FiltroResp)),PROCESSOS!L37+ROW()/1000000,"")</f>
        <v/>
      </c>
      <c r="BG37">
        <f>IF(AND(PROCESSOS!B37&lt;&gt;"",ISNUMBER(PROCESSOS!D37),OR(FiltroResp="TODOS",FiltroResp="",PROCESSOS!H37=FiltroResp)),PROCESSOS!D37+ROW()/1000000,"")</f>
        <v>46200.00003700231</v>
      </c>
    </row>
    <row r="38">
      <c r="BF38" t="str">
        <f>IF(AND(OR(PROCESSOS!N38="NO PRAZO",PROCESSOS!N38="VENCE EM BREVE"),OR(FiltroResp="TODOS",FiltroResp="",PROCESSOS!H38=FiltroResp)),PROCESSOS!L38+ROW()/1000000,"")</f>
        <v/>
      </c>
      <c r="BG38">
        <f>IF(AND(PROCESSOS!B38&lt;&gt;"",ISNUMBER(PROCESSOS!D38),OR(FiltroResp="TODOS",FiltroResp="",PROCESSOS!H38=FiltroResp)),PROCESSOS!D38+ROW()/1000000,"")</f>
        <v>46201.000037997685</v>
      </c>
    </row>
    <row r="39">
      <c r="BF39" t="str">
        <f>IF(AND(OR(PROCESSOS!N39="NO PRAZO",PROCESSOS!N39="VENCE EM BREVE"),OR(FiltroResp="TODOS",FiltroResp="",PROCESSOS!H39=FiltroResp)),PROCESSOS!L39+ROW()/1000000,"")</f>
        <v/>
      </c>
      <c r="BG39">
        <f>IF(AND(PROCESSOS!B39&lt;&gt;"",ISNUMBER(PROCESSOS!D39),OR(FiltroResp="TODOS",FiltroResp="",PROCESSOS!H39=FiltroResp)),PROCESSOS!D39+ROW()/1000000,"")</f>
        <v>46207.000039004626</v>
      </c>
    </row>
    <row r="40">
      <c r="BF40" t="str">
        <f>IF(AND(OR(PROCESSOS!N40="NO PRAZO",PROCESSOS!N40="VENCE EM BREVE"),OR(FiltroResp="TODOS",FiltroResp="",PROCESSOS!H40=FiltroResp)),PROCESSOS!L40+ROW()/1000000,"")</f>
        <v/>
      </c>
      <c r="BG40">
        <f>IF(AND(PROCESSOS!B40&lt;&gt;"",ISNUMBER(PROCESSOS!D40),OR(FiltroResp="TODOS",FiltroResp="",PROCESSOS!H40=FiltroResp)),PROCESSOS!D40+ROW()/1000000,"")</f>
        <v>46207.00004</v>
      </c>
    </row>
    <row r="41">
      <c r="BF41" t="str">
        <f>IF(AND(OR(PROCESSOS!N41="NO PRAZO",PROCESSOS!N41="VENCE EM BREVE"),OR(FiltroResp="TODOS",FiltroResp="",PROCESSOS!H41=FiltroResp)),PROCESSOS!L41+ROW()/1000000,"")</f>
        <v/>
      </c>
      <c r="BG41">
        <f>IF(AND(PROCESSOS!B41&lt;&gt;"",ISNUMBER(PROCESSOS!D41),OR(FiltroResp="TODOS",FiltroResp="",PROCESSOS!H41=FiltroResp)),PROCESSOS!D41+ROW()/1000000,"")</f>
        <v>46210.00004099537</v>
      </c>
    </row>
    <row r="42">
      <c r="BF42" t="str">
        <f>IF(AND(OR(PROCESSOS!N42="NO PRAZO",PROCESSOS!N42="VENCE EM BREVE"),OR(FiltroResp="TODOS",FiltroResp="",PROCESSOS!H42=FiltroResp)),PROCESSOS!L42+ROW()/1000000,"")</f>
        <v/>
      </c>
      <c r="BG42">
        <f>IF(AND(PROCESSOS!B42&lt;&gt;"",ISNUMBER(PROCESSOS!D42),OR(FiltroResp="TODOS",FiltroResp="",PROCESSOS!H42=FiltroResp)),PROCESSOS!D42+ROW()/1000000,"")</f>
        <v>46211.00004200231</v>
      </c>
    </row>
    <row r="43">
      <c r="BF43" t="str">
        <f>IF(AND(OR(PROCESSOS!N43="NO PRAZO",PROCESSOS!N43="VENCE EM BREVE"),OR(FiltroResp="TODOS",FiltroResp="",PROCESSOS!H43=FiltroResp)),PROCESSOS!L43+ROW()/1000000,"")</f>
        <v/>
      </c>
      <c r="BG43">
        <f>IF(AND(PROCESSOS!B43&lt;&gt;"",ISNUMBER(PROCESSOS!D43),OR(FiltroResp="TODOS",FiltroResp="",PROCESSOS!H43=FiltroResp)),PROCESSOS!D43+ROW()/1000000,"")</f>
        <v>46212.000042997686</v>
      </c>
    </row>
    <row r="44">
      <c r="BF44" t="str">
        <f>IF(AND(OR(PROCESSOS!N44="NO PRAZO",PROCESSOS!N44="VENCE EM BREVE"),OR(FiltroResp="TODOS",FiltroResp="",PROCESSOS!H44=FiltroResp)),PROCESSOS!L44+ROW()/1000000,"")</f>
        <v/>
      </c>
      <c r="BG44">
        <f>IF(AND(PROCESSOS!B44&lt;&gt;"",ISNUMBER(PROCESSOS!D44),OR(FiltroResp="TODOS",FiltroResp="",PROCESSOS!H44=FiltroResp)),PROCESSOS!D44+ROW()/1000000,"")</f>
        <v>46214.00004400463</v>
      </c>
    </row>
    <row r="45">
      <c r="BF45" t="str">
        <f>IF(AND(OR(PROCESSOS!N45="NO PRAZO",PROCESSOS!N45="VENCE EM BREVE"),OR(FiltroResp="TODOS",FiltroResp="",PROCESSOS!H45=FiltroResp)),PROCESSOS!L45+ROW()/1000000,"")</f>
        <v/>
      </c>
      <c r="BG45">
        <f>IF(AND(PROCESSOS!B45&lt;&gt;"",ISNUMBER(PROCESSOS!D45),OR(FiltroResp="TODOS",FiltroResp="",PROCESSOS!H45=FiltroResp)),PROCESSOS!D45+ROW()/1000000,"")</f>
        <v>46215.000045</v>
      </c>
    </row>
    <row r="46">
      <c r="BF46" t="str">
        <f>IF(AND(OR(PROCESSOS!N46="NO PRAZO",PROCESSOS!N46="VENCE EM BREVE"),OR(FiltroResp="TODOS",FiltroResp="",PROCESSOS!H46=FiltroResp)),PROCESSOS!L46+ROW()/1000000,"")</f>
        <v/>
      </c>
      <c r="BG46">
        <f>IF(AND(PROCESSOS!B46&lt;&gt;"",ISNUMBER(PROCESSOS!D46),OR(FiltroResp="TODOS",FiltroResp="",PROCESSOS!H46=FiltroResp)),PROCESSOS!D46+ROW()/1000000,"")</f>
        <v>46219.00004599537</v>
      </c>
    </row>
    <row r="47">
      <c r="BF47" t="str">
        <f>IF(AND(OR(PROCESSOS!N47="NO PRAZO",PROCESSOS!N47="VENCE EM BREVE"),OR(FiltroResp="TODOS",FiltroResp="",PROCESSOS!H47=FiltroResp)),PROCESSOS!L47+ROW()/1000000,"")</f>
        <v/>
      </c>
      <c r="BG47">
        <f>IF(AND(PROCESSOS!B47&lt;&gt;"",ISNUMBER(PROCESSOS!D47),OR(FiltroResp="TODOS",FiltroResp="",PROCESSOS!H47=FiltroResp)),PROCESSOS!D47+ROW()/1000000,"")</f>
        <v>46219.000047002315</v>
      </c>
    </row>
    <row r="48">
      <c r="BF48" t="str">
        <f>IF(AND(OR(PROCESSOS!N48="NO PRAZO",PROCESSOS!N48="VENCE EM BREVE"),OR(FiltroResp="TODOS",FiltroResp="",PROCESSOS!H48=FiltroResp)),PROCESSOS!L48+ROW()/1000000,"")</f>
        <v/>
      </c>
      <c r="BG48">
        <f>IF(AND(PROCESSOS!B48&lt;&gt;"",ISNUMBER(PROCESSOS!D48),OR(FiltroResp="TODOS",FiltroResp="",PROCESSOS!H48=FiltroResp)),PROCESSOS!D48+ROW()/1000000,"")</f>
        <v>46220.00004799769</v>
      </c>
    </row>
    <row r="49">
      <c r="BF49" t="str">
        <f>IF(AND(OR(PROCESSOS!N49="NO PRAZO",PROCESSOS!N49="VENCE EM BREVE"),OR(FiltroResp="TODOS",FiltroResp="",PROCESSOS!H49=FiltroResp)),PROCESSOS!L49+ROW()/1000000,"")</f>
        <v/>
      </c>
      <c r="BG49">
        <f>IF(AND(PROCESSOS!B49&lt;&gt;"",ISNUMBER(PROCESSOS!D49),OR(FiltroResp="TODOS",FiltroResp="",PROCESSOS!H49=FiltroResp)),PROCESSOS!D49+ROW()/1000000,"")</f>
        <v>46223.00004900463</v>
      </c>
    </row>
    <row r="50">
      <c r="BF50" t="str">
        <f>IF(AND(OR(PROCESSOS!N50="NO PRAZO",PROCESSOS!N50="VENCE EM BREVE"),OR(FiltroResp="TODOS",FiltroResp="",PROCESSOS!H50=FiltroResp)),PROCESSOS!L50+ROW()/1000000,"")</f>
        <v/>
      </c>
      <c r="BG50">
        <f>IF(AND(PROCESSOS!B50&lt;&gt;"",ISNUMBER(PROCESSOS!D50),OR(FiltroResp="TODOS",FiltroResp="",PROCESSOS!H50=FiltroResp)),PROCESSOS!D50+ROW()/1000000,"")</f>
        <v>46224.00005</v>
      </c>
    </row>
    <row r="51">
      <c r="BF51" t="str">
        <f>IF(AND(OR(PROCESSOS!N51="NO PRAZO",PROCESSOS!N51="VENCE EM BREVE"),OR(FiltroResp="TODOS",FiltroResp="",PROCESSOS!H51=FiltroResp)),PROCESSOS!L51+ROW()/1000000,"")</f>
        <v/>
      </c>
      <c r="BG51">
        <f>IF(AND(PROCESSOS!B51&lt;&gt;"",ISNUMBER(PROCESSOS!D51),OR(FiltroResp="TODOS",FiltroResp="",PROCESSOS!H51=FiltroResp)),PROCESSOS!D51+ROW()/1000000,"")</f>
        <v>46225.00005099537</v>
      </c>
    </row>
    <row r="52">
      <c r="BF52" t="str">
        <f>IF(AND(OR(PROCESSOS!N52="NO PRAZO",PROCESSOS!N52="VENCE EM BREVE"),OR(FiltroResp="TODOS",FiltroResp="",PROCESSOS!H52=FiltroResp)),PROCESSOS!L52+ROW()/1000000,"")</f>
        <v/>
      </c>
      <c r="BG52">
        <f>IF(AND(PROCESSOS!B52&lt;&gt;"",ISNUMBER(PROCESSOS!D52),OR(FiltroResp="TODOS",FiltroResp="",PROCESSOS!H52=FiltroResp)),PROCESSOS!D52+ROW()/1000000,"")</f>
        <v>46228.00005200232</v>
      </c>
    </row>
    <row r="53">
      <c r="BF53" t="str">
        <f>IF(AND(OR(PROCESSOS!N53="NO PRAZO",PROCESSOS!N53="VENCE EM BREVE"),OR(FiltroResp="TODOS",FiltroResp="",PROCESSOS!H53=FiltroResp)),PROCESSOS!L53+ROW()/1000000,"")</f>
        <v/>
      </c>
      <c r="BG53">
        <f>IF(AND(PROCESSOS!B53&lt;&gt;"",ISNUMBER(PROCESSOS!D53),OR(FiltroResp="TODOS",FiltroResp="",PROCESSOS!H53=FiltroResp)),PROCESSOS!D53+ROW()/1000000,"")</f>
        <v>46231.00005299768</v>
      </c>
    </row>
    <row r="54">
      <c r="BF54" t="str">
        <f>IF(AND(OR(PROCESSOS!N54="NO PRAZO",PROCESSOS!N54="VENCE EM BREVE"),OR(FiltroResp="TODOS",FiltroResp="",PROCESSOS!H54=FiltroResp)),PROCESSOS!L54+ROW()/1000000,"")</f>
        <v/>
      </c>
      <c r="BG54">
        <f>IF(AND(PROCESSOS!B54&lt;&gt;"",ISNUMBER(PROCESSOS!D54),OR(FiltroResp="TODOS",FiltroResp="",PROCESSOS!H54=FiltroResp)),PROCESSOS!D54+ROW()/1000000,"")</f>
        <v>46234.00005400463</v>
      </c>
    </row>
    <row r="55">
      <c r="BF55" t="str">
        <f>IF(AND(OR(PROCESSOS!N55="NO PRAZO",PROCESSOS!N55="VENCE EM BREVE"),OR(FiltroResp="TODOS",FiltroResp="",PROCESSOS!H55=FiltroResp)),PROCESSOS!L55+ROW()/1000000,"")</f>
        <v/>
      </c>
      <c r="BG55">
        <f>IF(AND(PROCESSOS!B55&lt;&gt;"",ISNUMBER(PROCESSOS!D55),OR(FiltroResp="TODOS",FiltroResp="",PROCESSOS!H55=FiltroResp)),PROCESSOS!D55+ROW()/1000000,"")</f>
        <v>46235.000055</v>
      </c>
    </row>
    <row r="56">
      <c r="BF56" t="str">
        <f>IF(AND(OR(PROCESSOS!N56="NO PRAZO",PROCESSOS!N56="VENCE EM BREVE"),OR(FiltroResp="TODOS",FiltroResp="",PROCESSOS!H56=FiltroResp)),PROCESSOS!L56+ROW()/1000000,"")</f>
        <v/>
      </c>
      <c r="BG56">
        <f>IF(AND(PROCESSOS!B56&lt;&gt;"",ISNUMBER(PROCESSOS!D56),OR(FiltroResp="TODOS",FiltroResp="",PROCESSOS!H56=FiltroResp)),PROCESSOS!D56+ROW()/1000000,"")</f>
        <v>46236.00005599537</v>
      </c>
    </row>
    <row r="57">
      <c r="BF57" t="str">
        <f>IF(AND(OR(PROCESSOS!N57="NO PRAZO",PROCESSOS!N57="VENCE EM BREVE"),OR(FiltroResp="TODOS",FiltroResp="",PROCESSOS!H57=FiltroResp)),PROCESSOS!L57+ROW()/1000000,"")</f>
        <v/>
      </c>
      <c r="BG57">
        <f>IF(AND(PROCESSOS!B57&lt;&gt;"",ISNUMBER(PROCESSOS!D57),OR(FiltroResp="TODOS",FiltroResp="",PROCESSOS!H57=FiltroResp)),PROCESSOS!D57+ROW()/1000000,"")</f>
        <v>46237.00005700231</v>
      </c>
    </row>
    <row r="58">
      <c r="BF58" t="str">
        <f>IF(AND(OR(PROCESSOS!N58="NO PRAZO",PROCESSOS!N58="VENCE EM BREVE"),OR(FiltroResp="TODOS",FiltroResp="",PROCESSOS!H58=FiltroResp)),PROCESSOS!L58+ROW()/1000000,"")</f>
        <v/>
      </c>
      <c r="BG58">
        <f>IF(AND(PROCESSOS!B58&lt;&gt;"",ISNUMBER(PROCESSOS!D58),OR(FiltroResp="TODOS",FiltroResp="",PROCESSOS!H58=FiltroResp)),PROCESSOS!D58+ROW()/1000000,"")</f>
        <v>46237.000057997684</v>
      </c>
    </row>
    <row r="59">
      <c r="BF59" t="str">
        <f>IF(AND(OR(PROCESSOS!N59="NO PRAZO",PROCESSOS!N59="VENCE EM BREVE"),OR(FiltroResp="TODOS",FiltroResp="",PROCESSOS!H59=FiltroResp)),PROCESSOS!L59+ROW()/1000000,"")</f>
        <v/>
      </c>
      <c r="BG59">
        <f>IF(AND(PROCESSOS!B59&lt;&gt;"",ISNUMBER(PROCESSOS!D59),OR(FiltroResp="TODOS",FiltroResp="",PROCESSOS!H59=FiltroResp)),PROCESSOS!D59+ROW()/1000000,"")</f>
        <v>46242.00005900463</v>
      </c>
    </row>
    <row r="60">
      <c r="BF60" t="str">
        <f>IF(AND(OR(PROCESSOS!N60="NO PRAZO",PROCESSOS!N60="VENCE EM BREVE"),OR(FiltroResp="TODOS",FiltroResp="",PROCESSOS!H60=FiltroResp)),PROCESSOS!L60+ROW()/1000000,"")</f>
        <v/>
      </c>
      <c r="BG60">
        <f>IF(AND(PROCESSOS!B60&lt;&gt;"",ISNUMBER(PROCESSOS!D60),OR(FiltroResp="TODOS",FiltroResp="",PROCESSOS!H60=FiltroResp)),PROCESSOS!D60+ROW()/1000000,"")</f>
        <v>46244.00006</v>
      </c>
    </row>
    <row r="61">
      <c r="BF61" t="str">
        <f>IF(AND(OR(PROCESSOS!N61="NO PRAZO",PROCESSOS!N61="VENCE EM BREVE"),OR(FiltroResp="TODOS",FiltroResp="",PROCESSOS!H61=FiltroResp)),PROCESSOS!L61+ROW()/1000000,"")</f>
        <v/>
      </c>
      <c r="BG61">
        <f>IF(AND(PROCESSOS!B61&lt;&gt;"",ISNUMBER(PROCESSOS!D61),OR(FiltroResp="TODOS",FiltroResp="",PROCESSOS!H61=FiltroResp)),PROCESSOS!D61+ROW()/1000000,"")</f>
        <v>46246.00006099537</v>
      </c>
    </row>
    <row r="62">
      <c r="BF62" t="str">
        <f>IF(AND(OR(PROCESSOS!N62="NO PRAZO",PROCESSOS!N62="VENCE EM BREVE"),OR(FiltroResp="TODOS",FiltroResp="",PROCESSOS!H62=FiltroResp)),PROCESSOS!L62+ROW()/1000000,"")</f>
        <v/>
      </c>
      <c r="BG62">
        <f>IF(AND(PROCESSOS!B62&lt;&gt;"",ISNUMBER(PROCESSOS!D62),OR(FiltroResp="TODOS",FiltroResp="",PROCESSOS!H62=FiltroResp)),PROCESSOS!D62+ROW()/1000000,"")</f>
        <v>46248.00006200231</v>
      </c>
    </row>
    <row r="63">
      <c r="BF63" t="str">
        <f>IF(AND(OR(PROCESSOS!N63="NO PRAZO",PROCESSOS!N63="VENCE EM BREVE"),OR(FiltroResp="TODOS",FiltroResp="",PROCESSOS!H63=FiltroResp)),PROCESSOS!L63+ROW()/1000000,"")</f>
        <v/>
      </c>
      <c r="BG63">
        <f>IF(AND(PROCESSOS!B63&lt;&gt;"",ISNUMBER(PROCESSOS!D63),OR(FiltroResp="TODOS",FiltroResp="",PROCESSOS!H63=FiltroResp)),PROCESSOS!D63+ROW()/1000000,"")</f>
        <v>46249.000062997686</v>
      </c>
    </row>
    <row r="64">
      <c r="BF64" t="str">
        <f>IF(AND(OR(PROCESSOS!N64="NO PRAZO",PROCESSOS!N64="VENCE EM BREVE"),OR(FiltroResp="TODOS",FiltroResp="",PROCESSOS!H64=FiltroResp)),PROCESSOS!L64+ROW()/1000000,"")</f>
        <v/>
      </c>
      <c r="BG64">
        <f>IF(AND(PROCESSOS!B64&lt;&gt;"",ISNUMBER(PROCESSOS!D64),OR(FiltroResp="TODOS",FiltroResp="",PROCESSOS!H64=FiltroResp)),PROCESSOS!D64+ROW()/1000000,"")</f>
        <v>46256.00006400463</v>
      </c>
    </row>
    <row r="65">
      <c r="BF65" t="str">
        <f>IF(AND(OR(PROCESSOS!N65="NO PRAZO",PROCESSOS!N65="VENCE EM BREVE"),OR(FiltroResp="TODOS",FiltroResp="",PROCESSOS!H65=FiltroResp)),PROCESSOS!L65+ROW()/1000000,"")</f>
        <v/>
      </c>
      <c r="BG65">
        <f>IF(AND(PROCESSOS!B65&lt;&gt;"",ISNUMBER(PROCESSOS!D65),OR(FiltroResp="TODOS",FiltroResp="",PROCESSOS!H65=FiltroResp)),PROCESSOS!D65+ROW()/1000000,"")</f>
        <v>46260.000065</v>
      </c>
    </row>
    <row r="66">
      <c r="BF66" t="str">
        <f>IF(AND(OR(PROCESSOS!N66="NO PRAZO",PROCESSOS!N66="VENCE EM BREVE"),OR(FiltroResp="TODOS",FiltroResp="",PROCESSOS!H66=FiltroResp)),PROCESSOS!L66+ROW()/1000000,"")</f>
        <v/>
      </c>
      <c r="BG66">
        <f>IF(AND(PROCESSOS!B66&lt;&gt;"",ISNUMBER(PROCESSOS!D66),OR(FiltroResp="TODOS",FiltroResp="",PROCESSOS!H66=FiltroResp)),PROCESSOS!D66+ROW()/1000000,"")</f>
        <v>46264.00006599537</v>
      </c>
    </row>
    <row r="67">
      <c r="BF67" t="str">
        <f>IF(AND(OR(PROCESSOS!N67="NO PRAZO",PROCESSOS!N67="VENCE EM BREVE"),OR(FiltroResp="TODOS",FiltroResp="",PROCESSOS!H67=FiltroResp)),PROCESSOS!L67+ROW()/1000000,"")</f>
        <v/>
      </c>
      <c r="BG67">
        <f>IF(AND(PROCESSOS!B67&lt;&gt;"",ISNUMBER(PROCESSOS!D67),OR(FiltroResp="TODOS",FiltroResp="",PROCESSOS!H67=FiltroResp)),PROCESSOS!D67+ROW()/1000000,"")</f>
        <v>46264.000067002315</v>
      </c>
    </row>
    <row r="68">
      <c r="BF68" t="str">
        <f>IF(AND(OR(PROCESSOS!N68="NO PRAZO",PROCESSOS!N68="VENCE EM BREVE"),OR(FiltroResp="TODOS",FiltroResp="",PROCESSOS!H68=FiltroResp)),PROCESSOS!L68+ROW()/1000000,"")</f>
        <v/>
      </c>
      <c r="BG68">
        <f>IF(AND(PROCESSOS!B68&lt;&gt;"",ISNUMBER(PROCESSOS!D68),OR(FiltroResp="TODOS",FiltroResp="",PROCESSOS!H68=FiltroResp)),PROCESSOS!D68+ROW()/1000000,"")</f>
        <v>46266.00006799769</v>
      </c>
    </row>
    <row r="69">
      <c r="BF69" t="str">
        <f>IF(AND(OR(PROCESSOS!N69="NO PRAZO",PROCESSOS!N69="VENCE EM BREVE"),OR(FiltroResp="TODOS",FiltroResp="",PROCESSOS!H69=FiltroResp)),PROCESSOS!L69+ROW()/1000000,"")</f>
        <v/>
      </c>
      <c r="BG69">
        <f>IF(AND(PROCESSOS!B69&lt;&gt;"",ISNUMBER(PROCESSOS!D69),OR(FiltroResp="TODOS",FiltroResp="",PROCESSOS!H69=FiltroResp)),PROCESSOS!D69+ROW()/1000000,"")</f>
        <v>46270.00006900463</v>
      </c>
    </row>
    <row r="70">
      <c r="BF70" t="str">
        <f>IF(AND(OR(PROCESSOS!N70="NO PRAZO",PROCESSOS!N70="VENCE EM BREVE"),OR(FiltroResp="TODOS",FiltroResp="",PROCESSOS!H70=FiltroResp)),PROCESSOS!L70+ROW()/1000000,"")</f>
        <v/>
      </c>
      <c r="BG70">
        <f>IF(AND(PROCESSOS!B70&lt;&gt;"",ISNUMBER(PROCESSOS!D70),OR(FiltroResp="TODOS",FiltroResp="",PROCESSOS!H70=FiltroResp)),PROCESSOS!D70+ROW()/1000000,"")</f>
        <v>46271.00007</v>
      </c>
    </row>
    <row r="71">
      <c r="BF71" t="str">
        <f>IF(AND(OR(PROCESSOS!N71="NO PRAZO",PROCESSOS!N71="VENCE EM BREVE"),OR(FiltroResp="TODOS",FiltroResp="",PROCESSOS!H71=FiltroResp)),PROCESSOS!L71+ROW()/1000000,"")</f>
        <v/>
      </c>
      <c r="BG71">
        <f>IF(AND(PROCESSOS!B71&lt;&gt;"",ISNUMBER(PROCESSOS!D71),OR(FiltroResp="TODOS",FiltroResp="",PROCESSOS!H71=FiltroResp)),PROCESSOS!D71+ROW()/1000000,"")</f>
        <v>46271.00007099537</v>
      </c>
    </row>
    <row r="72">
      <c r="BF72" t="str">
        <f>IF(AND(OR(PROCESSOS!N72="NO PRAZO",PROCESSOS!N72="VENCE EM BREVE"),OR(FiltroResp="TODOS",FiltroResp="",PROCESSOS!H72=FiltroResp)),PROCESSOS!L72+ROW()/1000000,"")</f>
        <v/>
      </c>
      <c r="BG72">
        <f>IF(AND(PROCESSOS!B72&lt;&gt;"",ISNUMBER(PROCESSOS!D72),OR(FiltroResp="TODOS",FiltroResp="",PROCESSOS!H72=FiltroResp)),PROCESSOS!D72+ROW()/1000000,"")</f>
        <v>46272.000072002316</v>
      </c>
    </row>
    <row r="73">
      <c r="BF73" t="str">
        <f>IF(AND(OR(PROCESSOS!N73="NO PRAZO",PROCESSOS!N73="VENCE EM BREVE"),OR(FiltroResp="TODOS",FiltroResp="",PROCESSOS!H73=FiltroResp)),PROCESSOS!L73+ROW()/1000000,"")</f>
        <v/>
      </c>
      <c r="BG73">
        <f>IF(AND(PROCESSOS!B73&lt;&gt;"",ISNUMBER(PROCESSOS!D73),OR(FiltroResp="TODOS",FiltroResp="",PROCESSOS!H73=FiltroResp)),PROCESSOS!D73+ROW()/1000000,"")</f>
        <v>46273.00007299768</v>
      </c>
    </row>
    <row r="74">
      <c r="BF74" t="str">
        <f>IF(AND(OR(PROCESSOS!N74="NO PRAZO",PROCESSOS!N74="VENCE EM BREVE"),OR(FiltroResp="TODOS",FiltroResp="",PROCESSOS!H74=FiltroResp)),PROCESSOS!L74+ROW()/1000000,"")</f>
        <v/>
      </c>
      <c r="BG74">
        <f>IF(AND(PROCESSOS!B74&lt;&gt;"",ISNUMBER(PROCESSOS!D74),OR(FiltroResp="TODOS",FiltroResp="",PROCESSOS!H74=FiltroResp)),PROCESSOS!D74+ROW()/1000000,"")</f>
        <v>46276.00007400463</v>
      </c>
    </row>
    <row r="75">
      <c r="BF75" t="str">
        <f>IF(AND(OR(PROCESSOS!N75="NO PRAZO",PROCESSOS!N75="VENCE EM BREVE"),OR(FiltroResp="TODOS",FiltroResp="",PROCESSOS!H75=FiltroResp)),PROCESSOS!L75+ROW()/1000000,"")</f>
        <v/>
      </c>
      <c r="BG75">
        <f>IF(AND(PROCESSOS!B75&lt;&gt;"",ISNUMBER(PROCESSOS!D75),OR(FiltroResp="TODOS",FiltroResp="",PROCESSOS!H75=FiltroResp)),PROCESSOS!D75+ROW()/1000000,"")</f>
        <v>46276.000075</v>
      </c>
    </row>
    <row r="76">
      <c r="BF76" t="str">
        <f>IF(AND(OR(PROCESSOS!N76="NO PRAZO",PROCESSOS!N76="VENCE EM BREVE"),OR(FiltroResp="TODOS",FiltroResp="",PROCESSOS!H76=FiltroResp)),PROCESSOS!L76+ROW()/1000000,"")</f>
        <v/>
      </c>
      <c r="BG76">
        <f>IF(AND(PROCESSOS!B76&lt;&gt;"",ISNUMBER(PROCESSOS!D76),OR(FiltroResp="TODOS",FiltroResp="",PROCESSOS!H76=FiltroResp)),PROCESSOS!D76+ROW()/1000000,"")</f>
        <v>46277.00007599537</v>
      </c>
    </row>
    <row r="77">
      <c r="BF77" t="str">
        <f>IF(AND(OR(PROCESSOS!N77="NO PRAZO",PROCESSOS!N77="VENCE EM BREVE"),OR(FiltroResp="TODOS",FiltroResp="",PROCESSOS!H77=FiltroResp)),PROCESSOS!L77+ROW()/1000000,"")</f>
        <v/>
      </c>
      <c r="BG77">
        <f>IF(AND(PROCESSOS!B77&lt;&gt;"",ISNUMBER(PROCESSOS!D77),OR(FiltroResp="TODOS",FiltroResp="",PROCESSOS!H77=FiltroResp)),PROCESSOS!D77+ROW()/1000000,"")</f>
        <v>46278.00007700232</v>
      </c>
    </row>
    <row r="78">
      <c r="BF78" t="str">
        <f>IF(AND(OR(PROCESSOS!N78="NO PRAZO",PROCESSOS!N78="VENCE EM BREVE"),OR(FiltroResp="TODOS",FiltroResp="",PROCESSOS!H78=FiltroResp)),PROCESSOS!L78+ROW()/1000000,"")</f>
        <v/>
      </c>
      <c r="BG78">
        <f>IF(AND(PROCESSOS!B78&lt;&gt;"",ISNUMBER(PROCESSOS!D78),OR(FiltroResp="TODOS",FiltroResp="",PROCESSOS!H78=FiltroResp)),PROCESSOS!D78+ROW()/1000000,"")</f>
        <v>46280.00007799768</v>
      </c>
    </row>
    <row r="79">
      <c r="BF79" t="str">
        <f>IF(AND(OR(PROCESSOS!N79="NO PRAZO",PROCESSOS!N79="VENCE EM BREVE"),OR(FiltroResp="TODOS",FiltroResp="",PROCESSOS!H79=FiltroResp)),PROCESSOS!L79+ROW()/1000000,"")</f>
        <v/>
      </c>
      <c r="BG79">
        <f>IF(AND(PROCESSOS!B79&lt;&gt;"",ISNUMBER(PROCESSOS!D79),OR(FiltroResp="TODOS",FiltroResp="",PROCESSOS!H79=FiltroResp)),PROCESSOS!D79+ROW()/1000000,"")</f>
        <v>46281.00007900463</v>
      </c>
    </row>
    <row r="80">
      <c r="BF80" t="str">
        <f>IF(AND(OR(PROCESSOS!N80="NO PRAZO",PROCESSOS!N80="VENCE EM BREVE"),OR(FiltroResp="TODOS",FiltroResp="",PROCESSOS!H80=FiltroResp)),PROCESSOS!L80+ROW()/1000000,"")</f>
        <v/>
      </c>
      <c r="BG80">
        <f>IF(AND(PROCESSOS!B80&lt;&gt;"",ISNUMBER(PROCESSOS!D80),OR(FiltroResp="TODOS",FiltroResp="",PROCESSOS!H80=FiltroResp)),PROCESSOS!D80+ROW()/1000000,"")</f>
        <v>46283.00008</v>
      </c>
    </row>
    <row r="81">
      <c r="BF81" t="str">
        <f>IF(AND(OR(PROCESSOS!N81="NO PRAZO",PROCESSOS!N81="VENCE EM BREVE"),OR(FiltroResp="TODOS",FiltroResp="",PROCESSOS!H81=FiltroResp)),PROCESSOS!L81+ROW()/1000000,"")</f>
        <v/>
      </c>
      <c r="BG81">
        <f>IF(AND(PROCESSOS!B81&lt;&gt;"",ISNUMBER(PROCESSOS!D81),OR(FiltroResp="TODOS",FiltroResp="",PROCESSOS!H81=FiltroResp)),PROCESSOS!D81+ROW()/1000000,"")</f>
        <v>46284.00008099537</v>
      </c>
    </row>
    <row r="82">
      <c r="BF82" t="str">
        <f>IF(AND(OR(PROCESSOS!N82="NO PRAZO",PROCESSOS!N82="VENCE EM BREVE"),OR(FiltroResp="TODOS",FiltroResp="",PROCESSOS!H82=FiltroResp)),PROCESSOS!L82+ROW()/1000000,"")</f>
        <v/>
      </c>
      <c r="BG82">
        <f>IF(AND(PROCESSOS!B82&lt;&gt;"",ISNUMBER(PROCESSOS!D82),OR(FiltroResp="TODOS",FiltroResp="",PROCESSOS!H82=FiltroResp)),PROCESSOS!D82+ROW()/1000000,"")</f>
        <v>46285.00008200231</v>
      </c>
    </row>
    <row r="83">
      <c r="BF83" t="str">
        <f>IF(AND(OR(PROCESSOS!N83="NO PRAZO",PROCESSOS!N83="VENCE EM BREVE"),OR(FiltroResp="TODOS",FiltroResp="",PROCESSOS!H83=FiltroResp)),PROCESSOS!L83+ROW()/1000000,"")</f>
        <v/>
      </c>
      <c r="BG83">
        <f>IF(AND(PROCESSOS!B83&lt;&gt;"",ISNUMBER(PROCESSOS!D83),OR(FiltroResp="TODOS",FiltroResp="",PROCESSOS!H83=FiltroResp)),PROCESSOS!D83+ROW()/1000000,"")</f>
        <v>46288.000082997685</v>
      </c>
    </row>
    <row r="84">
      <c r="BF84" t="str">
        <f>IF(AND(OR(PROCESSOS!N84="NO PRAZO",PROCESSOS!N84="VENCE EM BREVE"),OR(FiltroResp="TODOS",FiltroResp="",PROCESSOS!H84=FiltroResp)),PROCESSOS!L84+ROW()/1000000,"")</f>
        <v/>
      </c>
      <c r="BG84">
        <f>IF(AND(PROCESSOS!B84&lt;&gt;"",ISNUMBER(PROCESSOS!D84),OR(FiltroResp="TODOS",FiltroResp="",PROCESSOS!H84=FiltroResp)),PROCESSOS!D84+ROW()/1000000,"")</f>
        <v>46289.00008400463</v>
      </c>
    </row>
    <row r="85">
      <c r="BF85" t="str">
        <f>IF(AND(OR(PROCESSOS!N85="NO PRAZO",PROCESSOS!N85="VENCE EM BREVE"),OR(FiltroResp="TODOS",FiltroResp="",PROCESSOS!H85=FiltroResp)),PROCESSOS!L85+ROW()/1000000,"")</f>
        <v/>
      </c>
      <c r="BG85">
        <f>IF(AND(PROCESSOS!B85&lt;&gt;"",ISNUMBER(PROCESSOS!D85),OR(FiltroResp="TODOS",FiltroResp="",PROCESSOS!H85=FiltroResp)),PROCESSOS!D85+ROW()/1000000,"")</f>
        <v>46291.000085</v>
      </c>
    </row>
    <row r="86">
      <c r="BF86">
        <f>IF(AND(OR(PROCESSOS!N86="NO PRAZO",PROCESSOS!N86="VENCE EM BREVE"),OR(FiltroResp="TODOS",FiltroResp="",PROCESSOS!H86=FiltroResp)),PROCESSOS!L86+ROW()/1000000,"")</f>
        <v>46307.00008599537</v>
      </c>
      <c r="BG86">
        <f>IF(AND(PROCESSOS!B86&lt;&gt;"",ISNUMBER(PROCESSOS!D86),OR(FiltroResp="TODOS",FiltroResp="",PROCESSOS!H86=FiltroResp)),PROCESSOS!D86+ROW()/1000000,"")</f>
        <v>46292.00008599537</v>
      </c>
    </row>
    <row r="87">
      <c r="BF87">
        <f>IF(AND(OR(PROCESSOS!N87="NO PRAZO",PROCESSOS!N87="VENCE EM BREVE"),OR(FiltroResp="TODOS",FiltroResp="",PROCESSOS!H87=FiltroResp)),PROCESSOS!L87+ROW()/1000000,"")</f>
        <v>46303.000087002314</v>
      </c>
      <c r="BG87">
        <f>IF(AND(PROCESSOS!B87&lt;&gt;"",ISNUMBER(PROCESSOS!D87),OR(FiltroResp="TODOS",FiltroResp="",PROCESSOS!H87=FiltroResp)),PROCESSOS!D87+ROW()/1000000,"")</f>
        <v>46293.000087002314</v>
      </c>
    </row>
    <row r="88">
      <c r="BF88">
        <f>IF(AND(OR(PROCESSOS!N88="NO PRAZO",PROCESSOS!N88="VENCE EM BREVE"),OR(FiltroResp="TODOS",FiltroResp="",PROCESSOS!H88=FiltroResp)),PROCESSOS!L88+ROW()/1000000,"")</f>
        <v>46304.00008799769</v>
      </c>
      <c r="BG88">
        <f>IF(AND(PROCESSOS!B88&lt;&gt;"",ISNUMBER(PROCESSOS!D88),OR(FiltroResp="TODOS",FiltroResp="",PROCESSOS!H88=FiltroResp)),PROCESSOS!D88+ROW()/1000000,"")</f>
        <v>46294.00008799769</v>
      </c>
    </row>
    <row r="89">
      <c r="BF89">
        <f>IF(AND(OR(PROCESSOS!N89="NO PRAZO",PROCESSOS!N89="VENCE EM BREVE"),OR(FiltroResp="TODOS",FiltroResp="",PROCESSOS!H89=FiltroResp)),PROCESSOS!L89+ROW()/1000000,"")</f>
        <v>46310.00008900463</v>
      </c>
      <c r="BG89">
        <f>IF(AND(PROCESSOS!B89&lt;&gt;"",ISNUMBER(PROCESSOS!D89),OR(FiltroResp="TODOS",FiltroResp="",PROCESSOS!H89=FiltroResp)),PROCESSOS!D89+ROW()/1000000,"")</f>
        <v>46295.00008900463</v>
      </c>
    </row>
    <row r="90">
      <c r="BF90">
        <f>IF(AND(OR(PROCESSOS!N90="NO PRAZO",PROCESSOS!N90="VENCE EM BREVE"),OR(FiltroResp="TODOS",FiltroResp="",PROCESSOS!H90=FiltroResp)),PROCESSOS!L90+ROW()/1000000,"")</f>
        <v>46310.00009</v>
      </c>
      <c r="BG90">
        <f>IF(AND(PROCESSOS!B90&lt;&gt;"",ISNUMBER(PROCESSOS!D90),OR(FiltroResp="TODOS",FiltroResp="",PROCESSOS!H90=FiltroResp)),PROCESSOS!D90+ROW()/1000000,"")</f>
        <v>46295.00009</v>
      </c>
    </row>
    <row r="91">
      <c r="BF91" t="str">
        <f>IF(AND(OR(PROCESSOS!N91="NO PRAZO",PROCESSOS!N91="VENCE EM BREVE"),OR(FiltroResp="TODOS",FiltroResp="",PROCESSOS!H91=FiltroResp)),PROCESSOS!L91+ROW()/1000000,"")</f>
        <v/>
      </c>
      <c r="BG91">
        <f>IF(AND(PROCESSOS!B91&lt;&gt;"",ISNUMBER(PROCESSOS!D91),OR(FiltroResp="TODOS",FiltroResp="",PROCESSOS!H91=FiltroResp)),PROCESSOS!D91+ROW()/1000000,"")</f>
        <v>46296.00009099537</v>
      </c>
    </row>
    <row r="92">
      <c r="BF92">
        <f>IF(AND(OR(PROCESSOS!N92="NO PRAZO",PROCESSOS!N92="VENCE EM BREVE"),OR(FiltroResp="TODOS",FiltroResp="",PROCESSOS!H92=FiltroResp)),PROCESSOS!L92+ROW()/1000000,"")</f>
        <v>46306.000092002316</v>
      </c>
      <c r="BG92">
        <f>IF(AND(PROCESSOS!B92&lt;&gt;"",ISNUMBER(PROCESSOS!D92),OR(FiltroResp="TODOS",FiltroResp="",PROCESSOS!H92=FiltroResp)),PROCESSOS!D92+ROW()/1000000,"")</f>
        <v>46296.000092002316</v>
      </c>
    </row>
    <row r="93">
      <c r="BF93">
        <f>IF(AND(OR(PROCESSOS!N93="NO PRAZO",PROCESSOS!N93="VENCE EM BREVE"),OR(FiltroResp="TODOS",FiltroResp="",PROCESSOS!H93=FiltroResp)),PROCESSOS!L93+ROW()/1000000,"")</f>
        <v>46312.00009299769</v>
      </c>
      <c r="BG93">
        <f>IF(AND(PROCESSOS!B93&lt;&gt;"",ISNUMBER(PROCESSOS!D93),OR(FiltroResp="TODOS",FiltroResp="",PROCESSOS!H93=FiltroResp)),PROCESSOS!D93+ROW()/1000000,"")</f>
        <v>46297.00009299769</v>
      </c>
    </row>
    <row r="94">
      <c r="BF94">
        <f>IF(AND(OR(PROCESSOS!N94="NO PRAZO",PROCESSOS!N94="VENCE EM BREVE"),OR(FiltroResp="TODOS",FiltroResp="",PROCESSOS!H94=FiltroResp)),PROCESSOS!L94+ROW()/1000000,"")</f>
        <v>46308.00009400463</v>
      </c>
      <c r="BG94">
        <f>IF(AND(PROCESSOS!B94&lt;&gt;"",ISNUMBER(PROCESSOS!D94),OR(FiltroResp="TODOS",FiltroResp="",PROCESSOS!H94=FiltroResp)),PROCESSOS!D94+ROW()/1000000,"")</f>
        <v>46298.00009400463</v>
      </c>
    </row>
    <row r="95">
      <c r="BF95">
        <f>IF(AND(OR(PROCESSOS!N95="NO PRAZO",PROCESSOS!N95="VENCE EM BREVE"),OR(FiltroResp="TODOS",FiltroResp="",PROCESSOS!H95=FiltroResp)),PROCESSOS!L95+ROW()/1000000,"")</f>
        <v>46308.000095</v>
      </c>
      <c r="BG95">
        <f>IF(AND(PROCESSOS!B95&lt;&gt;"",ISNUMBER(PROCESSOS!D95),OR(FiltroResp="TODOS",FiltroResp="",PROCESSOS!H95=FiltroResp)),PROCESSOS!D95+ROW()/1000000,"")</f>
        <v>46298.000095</v>
      </c>
    </row>
    <row r="96">
      <c r="BF96" t="str">
        <f>IF(AND(OR(PROCESSOS!N96="NO PRAZO",PROCESSOS!N96="VENCE EM BREVE"),OR(FiltroResp="TODOS",FiltroResp="",PROCESSOS!H96=FiltroResp)),PROCESSOS!L96+ROW()/1000000,"")</f>
        <v/>
      </c>
      <c r="BG96">
        <f>IF(AND(PROCESSOS!B96&lt;&gt;"",ISNUMBER(PROCESSOS!D96),OR(FiltroResp="TODOS",FiltroResp="",PROCESSOS!H96=FiltroResp)),PROCESSOS!D96+ROW()/1000000,"")</f>
        <v>46299.00009599537</v>
      </c>
    </row>
    <row r="97">
      <c r="BF97">
        <f>IF(AND(OR(PROCESSOS!N97="NO PRAZO",PROCESSOS!N97="VENCE EM BREVE"),OR(FiltroResp="TODOS",FiltroResp="",PROCESSOS!H97=FiltroResp)),PROCESSOS!L97+ROW()/1000000,"")</f>
        <v>46317.00009700232</v>
      </c>
      <c r="BG97">
        <f>IF(AND(PROCESSOS!B97&lt;&gt;"",ISNUMBER(PROCESSOS!D97),OR(FiltroResp="TODOS",FiltroResp="",PROCESSOS!H97=FiltroResp)),PROCESSOS!D97+ROW()/1000000,"")</f>
        <v>46302.00009700232</v>
      </c>
    </row>
    <row r="98">
      <c r="BF98">
        <f>IF(AND(OR(PROCESSOS!N98="NO PRAZO",PROCESSOS!N98="VENCE EM BREVE"),OR(FiltroResp="TODOS",FiltroResp="",PROCESSOS!H98=FiltroResp)),PROCESSOS!L98+ROW()/1000000,"")</f>
        <v>46312.00009799768</v>
      </c>
      <c r="BG98">
        <f>IF(AND(PROCESSOS!B98&lt;&gt;"",ISNUMBER(PROCESSOS!D98),OR(FiltroResp="TODOS",FiltroResp="",PROCESSOS!H98=FiltroResp)),PROCESSOS!D98+ROW()/1000000,"")</f>
        <v>46302.00009799768</v>
      </c>
    </row>
    <row r="99">
      <c r="BF99">
        <f>IF(AND(OR(PROCESSOS!N99="NO PRAZO",PROCESSOS!N99="VENCE EM BREVE"),OR(FiltroResp="TODOS",FiltroResp="",PROCESSOS!H99=FiltroResp)),PROCESSOS!L99+ROW()/1000000,"")</f>
        <v>46317.00009900463</v>
      </c>
      <c r="BG99">
        <f>IF(AND(PROCESSOS!B99&lt;&gt;"",ISNUMBER(PROCESSOS!D99),OR(FiltroResp="TODOS",FiltroResp="",PROCESSOS!H99=FiltroResp)),PROCESSOS!D99+ROW()/1000000,"")</f>
        <v>46302.00009900463</v>
      </c>
    </row>
    <row r="100">
      <c r="BF100" t="str">
        <f>IF(AND(OR(PROCESSOS!N100="NO PRAZO",PROCESSOS!N100="VENCE EM BREVE"),OR(FiltroResp="TODOS",FiltroResp="",PROCESSOS!H100=FiltroResp)),PROCESSOS!L100+ROW()/1000000,"")</f>
        <v/>
      </c>
      <c r="BG100">
        <f>IF(AND(PROCESSOS!B100&lt;&gt;"",ISNUMBER(PROCESSOS!D100),OR(FiltroResp="TODOS",FiltroResp="",PROCESSOS!H100=FiltroResp)),PROCESSOS!D100+ROW()/1000000,"")</f>
        <v>46303.0001</v>
      </c>
    </row>
    <row r="101">
      <c r="BF101" t="str">
        <f>IF(AND(OR(PROCESSOS!N101="NO PRAZO",PROCESSOS!N101="VENCE EM BREVE"),OR(FiltroResp="TODOS",FiltroResp="",PROCESSOS!H101=FiltroResp)),PROCESSOS!L101+ROW()/1000000,"")</f>
        <v/>
      </c>
      <c r="BG101" t="str">
        <f>IF(AND(PROCESSOS!B101&lt;&gt;"",ISNUMBER(PROCESSOS!D101),OR(FiltroResp="TODOS",FiltroResp="",PROCESSOS!H101=FiltroResp)),PROCESSOS!D101+ROW()/1000000,"")</f>
        <v/>
      </c>
    </row>
    <row r="102">
      <c r="BF102" t="str">
        <f>IF(AND(OR(PROCESSOS!N102="NO PRAZO",PROCESSOS!N102="VENCE EM BREVE"),OR(FiltroResp="TODOS",FiltroResp="",PROCESSOS!H102=FiltroResp)),PROCESSOS!L102+ROW()/1000000,"")</f>
        <v/>
      </c>
      <c r="BG102" t="str">
        <f>IF(AND(PROCESSOS!B102&lt;&gt;"",ISNUMBER(PROCESSOS!D102),OR(FiltroResp="TODOS",FiltroResp="",PROCESSOS!H102=FiltroResp)),PROCESSOS!D102+ROW()/1000000,"")</f>
        <v/>
      </c>
    </row>
    <row r="103">
      <c r="BF103" t="str">
        <f>IF(AND(OR(PROCESSOS!N103="NO PRAZO",PROCESSOS!N103="VENCE EM BREVE"),OR(FiltroResp="TODOS",FiltroResp="",PROCESSOS!H103=FiltroResp)),PROCESSOS!L103+ROW()/1000000,"")</f>
        <v/>
      </c>
      <c r="BG103" t="str">
        <f>IF(AND(PROCESSOS!B103&lt;&gt;"",ISNUMBER(PROCESSOS!D103),OR(FiltroResp="TODOS",FiltroResp="",PROCESSOS!H103=FiltroResp)),PROCESSOS!D103+ROW()/1000000,"")</f>
        <v/>
      </c>
    </row>
    <row r="104">
      <c r="BF104" t="str">
        <f>IF(AND(OR(PROCESSOS!N104="NO PRAZO",PROCESSOS!N104="VENCE EM BREVE"),OR(FiltroResp="TODOS",FiltroResp="",PROCESSOS!H104=FiltroResp)),PROCESSOS!L104+ROW()/1000000,"")</f>
        <v/>
      </c>
      <c r="BG104" t="str">
        <f>IF(AND(PROCESSOS!B104&lt;&gt;"",ISNUMBER(PROCESSOS!D104),OR(FiltroResp="TODOS",FiltroResp="",PROCESSOS!H104=FiltroResp)),PROCESSOS!D104+ROW()/1000000,"")</f>
        <v/>
      </c>
    </row>
    <row r="105">
      <c r="BF105" t="str">
        <f>IF(AND(OR(PROCESSOS!N105="NO PRAZO",PROCESSOS!N105="VENCE EM BREVE"),OR(FiltroResp="TODOS",FiltroResp="",PROCESSOS!H105=FiltroResp)),PROCESSOS!L105+ROW()/1000000,"")</f>
        <v/>
      </c>
      <c r="BG105" t="str">
        <f>IF(AND(PROCESSOS!B105&lt;&gt;"",ISNUMBER(PROCESSOS!D105),OR(FiltroResp="TODOS",FiltroResp="",PROCESSOS!H105=FiltroResp)),PROCESSOS!D105+ROW()/1000000,"")</f>
        <v/>
      </c>
    </row>
    <row r="106">
      <c r="BF106" t="str">
        <f>IF(AND(OR(PROCESSOS!N106="NO PRAZO",PROCESSOS!N106="VENCE EM BREVE"),OR(FiltroResp="TODOS",FiltroResp="",PROCESSOS!H106=FiltroResp)),PROCESSOS!L106+ROW()/1000000,"")</f>
        <v/>
      </c>
      <c r="BG106" t="str">
        <f>IF(AND(PROCESSOS!B106&lt;&gt;"",ISNUMBER(PROCESSOS!D106),OR(FiltroResp="TODOS",FiltroResp="",PROCESSOS!H106=FiltroResp)),PROCESSOS!D106+ROW()/1000000,"")</f>
        <v/>
      </c>
    </row>
    <row r="107">
      <c r="BF107" t="str">
        <f>IF(AND(OR(PROCESSOS!N107="NO PRAZO",PROCESSOS!N107="VENCE EM BREVE"),OR(FiltroResp="TODOS",FiltroResp="",PROCESSOS!H107=FiltroResp)),PROCESSOS!L107+ROW()/1000000,"")</f>
        <v/>
      </c>
      <c r="BG107" t="str">
        <f>IF(AND(PROCESSOS!B107&lt;&gt;"",ISNUMBER(PROCESSOS!D107),OR(FiltroResp="TODOS",FiltroResp="",PROCESSOS!H107=FiltroResp)),PROCESSOS!D107+ROW()/1000000,"")</f>
        <v/>
      </c>
    </row>
    <row r="108">
      <c r="BF108" t="str">
        <f>IF(AND(OR(PROCESSOS!N108="NO PRAZO",PROCESSOS!N108="VENCE EM BREVE"),OR(FiltroResp="TODOS",FiltroResp="",PROCESSOS!H108=FiltroResp)),PROCESSOS!L108+ROW()/1000000,"")</f>
        <v/>
      </c>
      <c r="BG108" t="str">
        <f>IF(AND(PROCESSOS!B108&lt;&gt;"",ISNUMBER(PROCESSOS!D108),OR(FiltroResp="TODOS",FiltroResp="",PROCESSOS!H108=FiltroResp)),PROCESSOS!D108+ROW()/1000000,"")</f>
        <v/>
      </c>
    </row>
    <row r="109">
      <c r="BF109" t="str">
        <f>IF(AND(OR(PROCESSOS!N109="NO PRAZO",PROCESSOS!N109="VENCE EM BREVE"),OR(FiltroResp="TODOS",FiltroResp="",PROCESSOS!H109=FiltroResp)),PROCESSOS!L109+ROW()/1000000,"")</f>
        <v/>
      </c>
      <c r="BG109" t="str">
        <f>IF(AND(PROCESSOS!B109&lt;&gt;"",ISNUMBER(PROCESSOS!D109),OR(FiltroResp="TODOS",FiltroResp="",PROCESSOS!H109=FiltroResp)),PROCESSOS!D109+ROW()/1000000,"")</f>
        <v/>
      </c>
    </row>
    <row r="110">
      <c r="BF110" t="str">
        <f>IF(AND(OR(PROCESSOS!N110="NO PRAZO",PROCESSOS!N110="VENCE EM BREVE"),OR(FiltroResp="TODOS",FiltroResp="",PROCESSOS!H110=FiltroResp)),PROCESSOS!L110+ROW()/1000000,"")</f>
        <v/>
      </c>
      <c r="BG110" t="str">
        <f>IF(AND(PROCESSOS!B110&lt;&gt;"",ISNUMBER(PROCESSOS!D110),OR(FiltroResp="TODOS",FiltroResp="",PROCESSOS!H110=FiltroResp)),PROCESSOS!D110+ROW()/1000000,"")</f>
        <v/>
      </c>
    </row>
    <row r="111">
      <c r="BF111" t="str">
        <f>IF(AND(OR(PROCESSOS!N111="NO PRAZO",PROCESSOS!N111="VENCE EM BREVE"),OR(FiltroResp="TODOS",FiltroResp="",PROCESSOS!H111=FiltroResp)),PROCESSOS!L111+ROW()/1000000,"")</f>
        <v/>
      </c>
      <c r="BG111" t="str">
        <f>IF(AND(PROCESSOS!B111&lt;&gt;"",ISNUMBER(PROCESSOS!D111),OR(FiltroResp="TODOS",FiltroResp="",PROCESSOS!H111=FiltroResp)),PROCESSOS!D111+ROW()/1000000,"")</f>
        <v/>
      </c>
    </row>
    <row r="112">
      <c r="BF112" t="str">
        <f>IF(AND(OR(PROCESSOS!N112="NO PRAZO",PROCESSOS!N112="VENCE EM BREVE"),OR(FiltroResp="TODOS",FiltroResp="",PROCESSOS!H112=FiltroResp)),PROCESSOS!L112+ROW()/1000000,"")</f>
        <v/>
      </c>
      <c r="BG112" t="str">
        <f>IF(AND(PROCESSOS!B112&lt;&gt;"",ISNUMBER(PROCESSOS!D112),OR(FiltroResp="TODOS",FiltroResp="",PROCESSOS!H112=FiltroResp)),PROCESSOS!D112+ROW()/1000000,"")</f>
        <v/>
      </c>
    </row>
    <row r="113">
      <c r="BF113" t="str">
        <f>IF(AND(OR(PROCESSOS!N113="NO PRAZO",PROCESSOS!N113="VENCE EM BREVE"),OR(FiltroResp="TODOS",FiltroResp="",PROCESSOS!H113=FiltroResp)),PROCESSOS!L113+ROW()/1000000,"")</f>
        <v/>
      </c>
      <c r="BG113" t="str">
        <f>IF(AND(PROCESSOS!B113&lt;&gt;"",ISNUMBER(PROCESSOS!D113),OR(FiltroResp="TODOS",FiltroResp="",PROCESSOS!H113=FiltroResp)),PROCESSOS!D113+ROW()/1000000,"")</f>
        <v/>
      </c>
    </row>
    <row r="114">
      <c r="BF114" t="str">
        <f>IF(AND(OR(PROCESSOS!N114="NO PRAZO",PROCESSOS!N114="VENCE EM BREVE"),OR(FiltroResp="TODOS",FiltroResp="",PROCESSOS!H114=FiltroResp)),PROCESSOS!L114+ROW()/1000000,"")</f>
        <v/>
      </c>
      <c r="BG114" t="str">
        <f>IF(AND(PROCESSOS!B114&lt;&gt;"",ISNUMBER(PROCESSOS!D114),OR(FiltroResp="TODOS",FiltroResp="",PROCESSOS!H114=FiltroResp)),PROCESSOS!D114+ROW()/1000000,"")</f>
        <v/>
      </c>
    </row>
    <row r="115">
      <c r="BF115" t="str">
        <f>IF(AND(OR(PROCESSOS!N115="NO PRAZO",PROCESSOS!N115="VENCE EM BREVE"),OR(FiltroResp="TODOS",FiltroResp="",PROCESSOS!H115=FiltroResp)),PROCESSOS!L115+ROW()/1000000,"")</f>
        <v/>
      </c>
      <c r="BG115" t="str">
        <f>IF(AND(PROCESSOS!B115&lt;&gt;"",ISNUMBER(PROCESSOS!D115),OR(FiltroResp="TODOS",FiltroResp="",PROCESSOS!H115=FiltroResp)),PROCESSOS!D115+ROW()/1000000,"")</f>
        <v/>
      </c>
    </row>
    <row r="116">
      <c r="BF116" t="str">
        <f>IF(AND(OR(PROCESSOS!N116="NO PRAZO",PROCESSOS!N116="VENCE EM BREVE"),OR(FiltroResp="TODOS",FiltroResp="",PROCESSOS!H116=FiltroResp)),PROCESSOS!L116+ROW()/1000000,"")</f>
        <v/>
      </c>
      <c r="BG116" t="str">
        <f>IF(AND(PROCESSOS!B116&lt;&gt;"",ISNUMBER(PROCESSOS!D116),OR(FiltroResp="TODOS",FiltroResp="",PROCESSOS!H116=FiltroResp)),PROCESSOS!D116+ROW()/1000000,"")</f>
        <v/>
      </c>
    </row>
    <row r="117">
      <c r="BF117" t="str">
        <f>IF(AND(OR(PROCESSOS!N117="NO PRAZO",PROCESSOS!N117="VENCE EM BREVE"),OR(FiltroResp="TODOS",FiltroResp="",PROCESSOS!H117=FiltroResp)),PROCESSOS!L117+ROW()/1000000,"")</f>
        <v/>
      </c>
      <c r="BG117" t="str">
        <f>IF(AND(PROCESSOS!B117&lt;&gt;"",ISNUMBER(PROCESSOS!D117),OR(FiltroResp="TODOS",FiltroResp="",PROCESSOS!H117=FiltroResp)),PROCESSOS!D117+ROW()/1000000,"")</f>
        <v/>
      </c>
    </row>
    <row r="118">
      <c r="BF118" t="str">
        <f>IF(AND(OR(PROCESSOS!N118="NO PRAZO",PROCESSOS!N118="VENCE EM BREVE"),OR(FiltroResp="TODOS",FiltroResp="",PROCESSOS!H118=FiltroResp)),PROCESSOS!L118+ROW()/1000000,"")</f>
        <v/>
      </c>
      <c r="BG118" t="str">
        <f>IF(AND(PROCESSOS!B118&lt;&gt;"",ISNUMBER(PROCESSOS!D118),OR(FiltroResp="TODOS",FiltroResp="",PROCESSOS!H118=FiltroResp)),PROCESSOS!D118+ROW()/1000000,"")</f>
        <v/>
      </c>
    </row>
    <row r="119">
      <c r="BF119" t="str">
        <f>IF(AND(OR(PROCESSOS!N119="NO PRAZO",PROCESSOS!N119="VENCE EM BREVE"),OR(FiltroResp="TODOS",FiltroResp="",PROCESSOS!H119=FiltroResp)),PROCESSOS!L119+ROW()/1000000,"")</f>
        <v/>
      </c>
      <c r="BG119" t="str">
        <f>IF(AND(PROCESSOS!B119&lt;&gt;"",ISNUMBER(PROCESSOS!D119),OR(FiltroResp="TODOS",FiltroResp="",PROCESSOS!H119=FiltroResp)),PROCESSOS!D119+ROW()/1000000,"")</f>
        <v/>
      </c>
    </row>
    <row r="120">
      <c r="BF120" t="str">
        <f>IF(AND(OR(PROCESSOS!N120="NO PRAZO",PROCESSOS!N120="VENCE EM BREVE"),OR(FiltroResp="TODOS",FiltroResp="",PROCESSOS!H120=FiltroResp)),PROCESSOS!L120+ROW()/1000000,"")</f>
        <v/>
      </c>
      <c r="BG120" t="str">
        <f>IF(AND(PROCESSOS!B120&lt;&gt;"",ISNUMBER(PROCESSOS!D120),OR(FiltroResp="TODOS",FiltroResp="",PROCESSOS!H120=FiltroResp)),PROCESSOS!D120+ROW()/1000000,"")</f>
        <v/>
      </c>
    </row>
    <row r="121">
      <c r="BF121" t="str">
        <f>IF(AND(OR(PROCESSOS!N121="NO PRAZO",PROCESSOS!N121="VENCE EM BREVE"),OR(FiltroResp="TODOS",FiltroResp="",PROCESSOS!H121=FiltroResp)),PROCESSOS!L121+ROW()/1000000,"")</f>
        <v/>
      </c>
      <c r="BG121" t="str">
        <f>IF(AND(PROCESSOS!B121&lt;&gt;"",ISNUMBER(PROCESSOS!D121),OR(FiltroResp="TODOS",FiltroResp="",PROCESSOS!H121=FiltroResp)),PROCESSOS!D121+ROW()/1000000,"")</f>
        <v/>
      </c>
    </row>
    <row r="122">
      <c r="BF122" t="str">
        <f>IF(AND(OR(PROCESSOS!N122="NO PRAZO",PROCESSOS!N122="VENCE EM BREVE"),OR(FiltroResp="TODOS",FiltroResp="",PROCESSOS!H122=FiltroResp)),PROCESSOS!L122+ROW()/1000000,"")</f>
        <v/>
      </c>
      <c r="BG122" t="str">
        <f>IF(AND(PROCESSOS!B122&lt;&gt;"",ISNUMBER(PROCESSOS!D122),OR(FiltroResp="TODOS",FiltroResp="",PROCESSOS!H122=FiltroResp)),PROCESSOS!D122+ROW()/1000000,"")</f>
        <v/>
      </c>
    </row>
    <row r="123">
      <c r="BF123" t="str">
        <f>IF(AND(OR(PROCESSOS!N123="NO PRAZO",PROCESSOS!N123="VENCE EM BREVE"),OR(FiltroResp="TODOS",FiltroResp="",PROCESSOS!H123=FiltroResp)),PROCESSOS!L123+ROW()/1000000,"")</f>
        <v/>
      </c>
      <c r="BG123" t="str">
        <f>IF(AND(PROCESSOS!B123&lt;&gt;"",ISNUMBER(PROCESSOS!D123),OR(FiltroResp="TODOS",FiltroResp="",PROCESSOS!H123=FiltroResp)),PROCESSOS!D123+ROW()/1000000,"")</f>
        <v/>
      </c>
    </row>
    <row r="124">
      <c r="BF124" t="str">
        <f>IF(AND(OR(PROCESSOS!N124="NO PRAZO",PROCESSOS!N124="VENCE EM BREVE"),OR(FiltroResp="TODOS",FiltroResp="",PROCESSOS!H124=FiltroResp)),PROCESSOS!L124+ROW()/1000000,"")</f>
        <v/>
      </c>
      <c r="BG124" t="str">
        <f>IF(AND(PROCESSOS!B124&lt;&gt;"",ISNUMBER(PROCESSOS!D124),OR(FiltroResp="TODOS",FiltroResp="",PROCESSOS!H124=FiltroResp)),PROCESSOS!D124+ROW()/1000000,"")</f>
        <v/>
      </c>
    </row>
    <row r="125">
      <c r="BF125" t="str">
        <f>IF(AND(OR(PROCESSOS!N125="NO PRAZO",PROCESSOS!N125="VENCE EM BREVE"),OR(FiltroResp="TODOS",FiltroResp="",PROCESSOS!H125=FiltroResp)),PROCESSOS!L125+ROW()/1000000,"")</f>
        <v/>
      </c>
      <c r="BG125" t="str">
        <f>IF(AND(PROCESSOS!B125&lt;&gt;"",ISNUMBER(PROCESSOS!D125),OR(FiltroResp="TODOS",FiltroResp="",PROCESSOS!H125=FiltroResp)),PROCESSOS!D125+ROW()/1000000,"")</f>
        <v/>
      </c>
    </row>
    <row r="126">
      <c r="BF126" t="str">
        <f>IF(AND(OR(PROCESSOS!N126="NO PRAZO",PROCESSOS!N126="VENCE EM BREVE"),OR(FiltroResp="TODOS",FiltroResp="",PROCESSOS!H126=FiltroResp)),PROCESSOS!L126+ROW()/1000000,"")</f>
        <v/>
      </c>
      <c r="BG126" t="str">
        <f>IF(AND(PROCESSOS!B126&lt;&gt;"",ISNUMBER(PROCESSOS!D126),OR(FiltroResp="TODOS",FiltroResp="",PROCESSOS!H126=FiltroResp)),PROCESSOS!D126+ROW()/1000000,"")</f>
        <v/>
      </c>
    </row>
    <row r="127">
      <c r="BF127" t="str">
        <f>IF(AND(OR(PROCESSOS!N127="NO PRAZO",PROCESSOS!N127="VENCE EM BREVE"),OR(FiltroResp="TODOS",FiltroResp="",PROCESSOS!H127=FiltroResp)),PROCESSOS!L127+ROW()/1000000,"")</f>
        <v/>
      </c>
      <c r="BG127" t="str">
        <f>IF(AND(PROCESSOS!B127&lt;&gt;"",ISNUMBER(PROCESSOS!D127),OR(FiltroResp="TODOS",FiltroResp="",PROCESSOS!H127=FiltroResp)),PROCESSOS!D127+ROW()/1000000,"")</f>
        <v/>
      </c>
    </row>
    <row r="128">
      <c r="BF128" t="str">
        <f>IF(AND(OR(PROCESSOS!N128="NO PRAZO",PROCESSOS!N128="VENCE EM BREVE"),OR(FiltroResp="TODOS",FiltroResp="",PROCESSOS!H128=FiltroResp)),PROCESSOS!L128+ROW()/1000000,"")</f>
        <v/>
      </c>
      <c r="BG128" t="str">
        <f>IF(AND(PROCESSOS!B128&lt;&gt;"",ISNUMBER(PROCESSOS!D128),OR(FiltroResp="TODOS",FiltroResp="",PROCESSOS!H128=FiltroResp)),PROCESSOS!D128+ROW()/1000000,"")</f>
        <v/>
      </c>
    </row>
    <row r="129">
      <c r="BF129" t="str">
        <f>IF(AND(OR(PROCESSOS!N129="NO PRAZO",PROCESSOS!N129="VENCE EM BREVE"),OR(FiltroResp="TODOS",FiltroResp="",PROCESSOS!H129=FiltroResp)),PROCESSOS!L129+ROW()/1000000,"")</f>
        <v/>
      </c>
      <c r="BG129" t="str">
        <f>IF(AND(PROCESSOS!B129&lt;&gt;"",ISNUMBER(PROCESSOS!D129),OR(FiltroResp="TODOS",FiltroResp="",PROCESSOS!H129=FiltroResp)),PROCESSOS!D129+ROW()/1000000,"")</f>
        <v/>
      </c>
    </row>
    <row r="130">
      <c r="BF130" t="str">
        <f>IF(AND(OR(PROCESSOS!N130="NO PRAZO",PROCESSOS!N130="VENCE EM BREVE"),OR(FiltroResp="TODOS",FiltroResp="",PROCESSOS!H130=FiltroResp)),PROCESSOS!L130+ROW()/1000000,"")</f>
        <v/>
      </c>
      <c r="BG130" t="str">
        <f>IF(AND(PROCESSOS!B130&lt;&gt;"",ISNUMBER(PROCESSOS!D130),OR(FiltroResp="TODOS",FiltroResp="",PROCESSOS!H130=FiltroResp)),PROCESSOS!D130+ROW()/1000000,"")</f>
        <v/>
      </c>
    </row>
    <row r="131">
      <c r="BF131" t="str">
        <f>IF(AND(OR(PROCESSOS!N131="NO PRAZO",PROCESSOS!N131="VENCE EM BREVE"),OR(FiltroResp="TODOS",FiltroResp="",PROCESSOS!H131=FiltroResp)),PROCESSOS!L131+ROW()/1000000,"")</f>
        <v/>
      </c>
      <c r="BG131" t="str">
        <f>IF(AND(PROCESSOS!B131&lt;&gt;"",ISNUMBER(PROCESSOS!D131),OR(FiltroResp="TODOS",FiltroResp="",PROCESSOS!H131=FiltroResp)),PROCESSOS!D131+ROW()/1000000,"")</f>
        <v/>
      </c>
    </row>
    <row r="132">
      <c r="BF132" t="str">
        <f>IF(AND(OR(PROCESSOS!N132="NO PRAZO",PROCESSOS!N132="VENCE EM BREVE"),OR(FiltroResp="TODOS",FiltroResp="",PROCESSOS!H132=FiltroResp)),PROCESSOS!L132+ROW()/1000000,"")</f>
        <v/>
      </c>
      <c r="BG132" t="str">
        <f>IF(AND(PROCESSOS!B132&lt;&gt;"",ISNUMBER(PROCESSOS!D132),OR(FiltroResp="TODOS",FiltroResp="",PROCESSOS!H132=FiltroResp)),PROCESSOS!D132+ROW()/1000000,"")</f>
        <v/>
      </c>
    </row>
    <row r="133">
      <c r="BF133" t="str">
        <f>IF(AND(OR(PROCESSOS!N133="NO PRAZO",PROCESSOS!N133="VENCE EM BREVE"),OR(FiltroResp="TODOS",FiltroResp="",PROCESSOS!H133=FiltroResp)),PROCESSOS!L133+ROW()/1000000,"")</f>
        <v/>
      </c>
      <c r="BG133" t="str">
        <f>IF(AND(PROCESSOS!B133&lt;&gt;"",ISNUMBER(PROCESSOS!D133),OR(FiltroResp="TODOS",FiltroResp="",PROCESSOS!H133=FiltroResp)),PROCESSOS!D133+ROW()/1000000,"")</f>
        <v/>
      </c>
    </row>
    <row r="134">
      <c r="BF134" t="str">
        <f>IF(AND(OR(PROCESSOS!N134="NO PRAZO",PROCESSOS!N134="VENCE EM BREVE"),OR(FiltroResp="TODOS",FiltroResp="",PROCESSOS!H134=FiltroResp)),PROCESSOS!L134+ROW()/1000000,"")</f>
        <v/>
      </c>
      <c r="BG134" t="str">
        <f>IF(AND(PROCESSOS!B134&lt;&gt;"",ISNUMBER(PROCESSOS!D134),OR(FiltroResp="TODOS",FiltroResp="",PROCESSOS!H134=FiltroResp)),PROCESSOS!D134+ROW()/1000000,"")</f>
        <v/>
      </c>
    </row>
    <row r="135">
      <c r="BF135" t="str">
        <f>IF(AND(OR(PROCESSOS!N135="NO PRAZO",PROCESSOS!N135="VENCE EM BREVE"),OR(FiltroResp="TODOS",FiltroResp="",PROCESSOS!H135=FiltroResp)),PROCESSOS!L135+ROW()/1000000,"")</f>
        <v/>
      </c>
      <c r="BG135" t="str">
        <f>IF(AND(PROCESSOS!B135&lt;&gt;"",ISNUMBER(PROCESSOS!D135),OR(FiltroResp="TODOS",FiltroResp="",PROCESSOS!H135=FiltroResp)),PROCESSOS!D135+ROW()/1000000,"")</f>
        <v/>
      </c>
    </row>
    <row r="136">
      <c r="BF136" t="str">
        <f>IF(AND(OR(PROCESSOS!N136="NO PRAZO",PROCESSOS!N136="VENCE EM BREVE"),OR(FiltroResp="TODOS",FiltroResp="",PROCESSOS!H136=FiltroResp)),PROCESSOS!L136+ROW()/1000000,"")</f>
        <v/>
      </c>
      <c r="BG136" t="str">
        <f>IF(AND(PROCESSOS!B136&lt;&gt;"",ISNUMBER(PROCESSOS!D136),OR(FiltroResp="TODOS",FiltroResp="",PROCESSOS!H136=FiltroResp)),PROCESSOS!D136+ROW()/1000000,"")</f>
        <v/>
      </c>
    </row>
    <row r="137">
      <c r="BF137" t="str">
        <f>IF(AND(OR(PROCESSOS!N137="NO PRAZO",PROCESSOS!N137="VENCE EM BREVE"),OR(FiltroResp="TODOS",FiltroResp="",PROCESSOS!H137=FiltroResp)),PROCESSOS!L137+ROW()/1000000,"")</f>
        <v/>
      </c>
      <c r="BG137" t="str">
        <f>IF(AND(PROCESSOS!B137&lt;&gt;"",ISNUMBER(PROCESSOS!D137),OR(FiltroResp="TODOS",FiltroResp="",PROCESSOS!H137=FiltroResp)),PROCESSOS!D137+ROW()/1000000,"")</f>
        <v/>
      </c>
    </row>
    <row r="138">
      <c r="BF138" t="str">
        <f>IF(AND(OR(PROCESSOS!N138="NO PRAZO",PROCESSOS!N138="VENCE EM BREVE"),OR(FiltroResp="TODOS",FiltroResp="",PROCESSOS!H138=FiltroResp)),PROCESSOS!L138+ROW()/1000000,"")</f>
        <v/>
      </c>
      <c r="BG138" t="str">
        <f>IF(AND(PROCESSOS!B138&lt;&gt;"",ISNUMBER(PROCESSOS!D138),OR(FiltroResp="TODOS",FiltroResp="",PROCESSOS!H138=FiltroResp)),PROCESSOS!D138+ROW()/1000000,"")</f>
        <v/>
      </c>
    </row>
    <row r="139">
      <c r="BF139" t="str">
        <f>IF(AND(OR(PROCESSOS!N139="NO PRAZO",PROCESSOS!N139="VENCE EM BREVE"),OR(FiltroResp="TODOS",FiltroResp="",PROCESSOS!H139=FiltroResp)),PROCESSOS!L139+ROW()/1000000,"")</f>
        <v/>
      </c>
      <c r="BG139" t="str">
        <f>IF(AND(PROCESSOS!B139&lt;&gt;"",ISNUMBER(PROCESSOS!D139),OR(FiltroResp="TODOS",FiltroResp="",PROCESSOS!H139=FiltroResp)),PROCESSOS!D139+ROW()/1000000,"")</f>
        <v/>
      </c>
    </row>
    <row r="140">
      <c r="BF140" t="str">
        <f>IF(AND(OR(PROCESSOS!N140="NO PRAZO",PROCESSOS!N140="VENCE EM BREVE"),OR(FiltroResp="TODOS",FiltroResp="",PROCESSOS!H140=FiltroResp)),PROCESSOS!L140+ROW()/1000000,"")</f>
        <v/>
      </c>
      <c r="BG140" t="str">
        <f>IF(AND(PROCESSOS!B140&lt;&gt;"",ISNUMBER(PROCESSOS!D140),OR(FiltroResp="TODOS",FiltroResp="",PROCESSOS!H140=FiltroResp)),PROCESSOS!D140+ROW()/1000000,"")</f>
        <v/>
      </c>
    </row>
    <row r="141">
      <c r="BF141" t="str">
        <f>IF(AND(OR(PROCESSOS!N141="NO PRAZO",PROCESSOS!N141="VENCE EM BREVE"),OR(FiltroResp="TODOS",FiltroResp="",PROCESSOS!H141=FiltroResp)),PROCESSOS!L141+ROW()/1000000,"")</f>
        <v/>
      </c>
      <c r="BG141" t="str">
        <f>IF(AND(PROCESSOS!B141&lt;&gt;"",ISNUMBER(PROCESSOS!D141),OR(FiltroResp="TODOS",FiltroResp="",PROCESSOS!H141=FiltroResp)),PROCESSOS!D141+ROW()/1000000,"")</f>
        <v/>
      </c>
    </row>
    <row r="142">
      <c r="BF142" t="str">
        <f>IF(AND(OR(PROCESSOS!N142="NO PRAZO",PROCESSOS!N142="VENCE EM BREVE"),OR(FiltroResp="TODOS",FiltroResp="",PROCESSOS!H142=FiltroResp)),PROCESSOS!L142+ROW()/1000000,"")</f>
        <v/>
      </c>
      <c r="BG142" t="str">
        <f>IF(AND(PROCESSOS!B142&lt;&gt;"",ISNUMBER(PROCESSOS!D142),OR(FiltroResp="TODOS",FiltroResp="",PROCESSOS!H142=FiltroResp)),PROCESSOS!D142+ROW()/1000000,"")</f>
        <v/>
      </c>
    </row>
    <row r="143">
      <c r="BF143" t="str">
        <f>IF(AND(OR(PROCESSOS!N143="NO PRAZO",PROCESSOS!N143="VENCE EM BREVE"),OR(FiltroResp="TODOS",FiltroResp="",PROCESSOS!H143=FiltroResp)),PROCESSOS!L143+ROW()/1000000,"")</f>
        <v/>
      </c>
      <c r="BG143" t="str">
        <f>IF(AND(PROCESSOS!B143&lt;&gt;"",ISNUMBER(PROCESSOS!D143),OR(FiltroResp="TODOS",FiltroResp="",PROCESSOS!H143=FiltroResp)),PROCESSOS!D143+ROW()/1000000,"")</f>
        <v/>
      </c>
    </row>
    <row r="144">
      <c r="BF144" t="str">
        <f>IF(AND(OR(PROCESSOS!N144="NO PRAZO",PROCESSOS!N144="VENCE EM BREVE"),OR(FiltroResp="TODOS",FiltroResp="",PROCESSOS!H144=FiltroResp)),PROCESSOS!L144+ROW()/1000000,"")</f>
        <v/>
      </c>
      <c r="BG144" t="str">
        <f>IF(AND(PROCESSOS!B144&lt;&gt;"",ISNUMBER(PROCESSOS!D144),OR(FiltroResp="TODOS",FiltroResp="",PROCESSOS!H144=FiltroResp)),PROCESSOS!D144+ROW()/1000000,"")</f>
        <v/>
      </c>
    </row>
    <row r="145">
      <c r="BF145" t="str">
        <f>IF(AND(OR(PROCESSOS!N145="NO PRAZO",PROCESSOS!N145="VENCE EM BREVE"),OR(FiltroResp="TODOS",FiltroResp="",PROCESSOS!H145=FiltroResp)),PROCESSOS!L145+ROW()/1000000,"")</f>
        <v/>
      </c>
      <c r="BG145" t="str">
        <f>IF(AND(PROCESSOS!B145&lt;&gt;"",ISNUMBER(PROCESSOS!D145),OR(FiltroResp="TODOS",FiltroResp="",PROCESSOS!H145=FiltroResp)),PROCESSOS!D145+ROW()/1000000,"")</f>
        <v/>
      </c>
    </row>
    <row r="146">
      <c r="BF146" t="str">
        <f>IF(AND(OR(PROCESSOS!N146="NO PRAZO",PROCESSOS!N146="VENCE EM BREVE"),OR(FiltroResp="TODOS",FiltroResp="",PROCESSOS!H146=FiltroResp)),PROCESSOS!L146+ROW()/1000000,"")</f>
        <v/>
      </c>
      <c r="BG146" t="str">
        <f>IF(AND(PROCESSOS!B146&lt;&gt;"",ISNUMBER(PROCESSOS!D146),OR(FiltroResp="TODOS",FiltroResp="",PROCESSOS!H146=FiltroResp)),PROCESSOS!D146+ROW()/1000000,"")</f>
        <v/>
      </c>
    </row>
    <row r="147">
      <c r="BF147" t="str">
        <f>IF(AND(OR(PROCESSOS!N147="NO PRAZO",PROCESSOS!N147="VENCE EM BREVE"),OR(FiltroResp="TODOS",FiltroResp="",PROCESSOS!H147=FiltroResp)),PROCESSOS!L147+ROW()/1000000,"")</f>
        <v/>
      </c>
      <c r="BG147" t="str">
        <f>IF(AND(PROCESSOS!B147&lt;&gt;"",ISNUMBER(PROCESSOS!D147),OR(FiltroResp="TODOS",FiltroResp="",PROCESSOS!H147=FiltroResp)),PROCESSOS!D147+ROW()/1000000,"")</f>
        <v/>
      </c>
    </row>
    <row r="148">
      <c r="BF148" t="str">
        <f>IF(AND(OR(PROCESSOS!N148="NO PRAZO",PROCESSOS!N148="VENCE EM BREVE"),OR(FiltroResp="TODOS",FiltroResp="",PROCESSOS!H148=FiltroResp)),PROCESSOS!L148+ROW()/1000000,"")</f>
        <v/>
      </c>
      <c r="BG148" t="str">
        <f>IF(AND(PROCESSOS!B148&lt;&gt;"",ISNUMBER(PROCESSOS!D148),OR(FiltroResp="TODOS",FiltroResp="",PROCESSOS!H148=FiltroResp)),PROCESSOS!D148+ROW()/1000000,"")</f>
        <v/>
      </c>
    </row>
    <row r="149">
      <c r="BF149" t="str">
        <f>IF(AND(OR(PROCESSOS!N149="NO PRAZO",PROCESSOS!N149="VENCE EM BREVE"),OR(FiltroResp="TODOS",FiltroResp="",PROCESSOS!H149=FiltroResp)),PROCESSOS!L149+ROW()/1000000,"")</f>
        <v/>
      </c>
      <c r="BG149" t="str">
        <f>IF(AND(PROCESSOS!B149&lt;&gt;"",ISNUMBER(PROCESSOS!D149),OR(FiltroResp="TODOS",FiltroResp="",PROCESSOS!H149=FiltroResp)),PROCESSOS!D149+ROW()/1000000,"")</f>
        <v/>
      </c>
    </row>
    <row r="150">
      <c r="BF150" t="str">
        <f>IF(AND(OR(PROCESSOS!N150="NO PRAZO",PROCESSOS!N150="VENCE EM BREVE"),OR(FiltroResp="TODOS",FiltroResp="",PROCESSOS!H150=FiltroResp)),PROCESSOS!L150+ROW()/1000000,"")</f>
        <v/>
      </c>
      <c r="BG150" t="str">
        <f>IF(AND(PROCESSOS!B150&lt;&gt;"",ISNUMBER(PROCESSOS!D150),OR(FiltroResp="TODOS",FiltroResp="",PROCESSOS!H150=FiltroResp)),PROCESSOS!D150+ROW()/1000000,"")</f>
        <v/>
      </c>
    </row>
    <row r="151">
      <c r="BF151" t="str">
        <f>IF(AND(OR(PROCESSOS!N151="NO PRAZO",PROCESSOS!N151="VENCE EM BREVE"),OR(FiltroResp="TODOS",FiltroResp="",PROCESSOS!H151=FiltroResp)),PROCESSOS!L151+ROW()/1000000,"")</f>
        <v/>
      </c>
      <c r="BG151" t="str">
        <f>IF(AND(PROCESSOS!B151&lt;&gt;"",ISNUMBER(PROCESSOS!D151),OR(FiltroResp="TODOS",FiltroResp="",PROCESSOS!H151=FiltroResp)),PROCESSOS!D151+ROW()/1000000,"")</f>
        <v/>
      </c>
    </row>
    <row r="152">
      <c r="BF152" t="str">
        <f>IF(AND(OR(PROCESSOS!N152="NO PRAZO",PROCESSOS!N152="VENCE EM BREVE"),OR(FiltroResp="TODOS",FiltroResp="",PROCESSOS!H152=FiltroResp)),PROCESSOS!L152+ROW()/1000000,"")</f>
        <v/>
      </c>
      <c r="BG152" t="str">
        <f>IF(AND(PROCESSOS!B152&lt;&gt;"",ISNUMBER(PROCESSOS!D152),OR(FiltroResp="TODOS",FiltroResp="",PROCESSOS!H152=FiltroResp)),PROCESSOS!D152+ROW()/1000000,"")</f>
        <v/>
      </c>
    </row>
    <row r="153">
      <c r="BF153" t="str">
        <f>IF(AND(OR(PROCESSOS!N153="NO PRAZO",PROCESSOS!N153="VENCE EM BREVE"),OR(FiltroResp="TODOS",FiltroResp="",PROCESSOS!H153=FiltroResp)),PROCESSOS!L153+ROW()/1000000,"")</f>
        <v/>
      </c>
      <c r="BG153" t="str">
        <f>IF(AND(PROCESSOS!B153&lt;&gt;"",ISNUMBER(PROCESSOS!D153),OR(FiltroResp="TODOS",FiltroResp="",PROCESSOS!H153=FiltroResp)),PROCESSOS!D153+ROW()/1000000,"")</f>
        <v/>
      </c>
    </row>
    <row r="154">
      <c r="BF154" t="str">
        <f>IF(AND(OR(PROCESSOS!N154="NO PRAZO",PROCESSOS!N154="VENCE EM BREVE"),OR(FiltroResp="TODOS",FiltroResp="",PROCESSOS!H154=FiltroResp)),PROCESSOS!L154+ROW()/1000000,"")</f>
        <v/>
      </c>
      <c r="BG154" t="str">
        <f>IF(AND(PROCESSOS!B154&lt;&gt;"",ISNUMBER(PROCESSOS!D154),OR(FiltroResp="TODOS",FiltroResp="",PROCESSOS!H154=FiltroResp)),PROCESSOS!D154+ROW()/1000000,"")</f>
        <v/>
      </c>
    </row>
    <row r="155">
      <c r="BF155" t="str">
        <f>IF(AND(OR(PROCESSOS!N155="NO PRAZO",PROCESSOS!N155="VENCE EM BREVE"),OR(FiltroResp="TODOS",FiltroResp="",PROCESSOS!H155=FiltroResp)),PROCESSOS!L155+ROW()/1000000,"")</f>
        <v/>
      </c>
      <c r="BG155" t="str">
        <f>IF(AND(PROCESSOS!B155&lt;&gt;"",ISNUMBER(PROCESSOS!D155),OR(FiltroResp="TODOS",FiltroResp="",PROCESSOS!H155=FiltroResp)),PROCESSOS!D155+ROW()/1000000,"")</f>
        <v/>
      </c>
    </row>
    <row r="156">
      <c r="BF156" t="str">
        <f>IF(AND(OR(PROCESSOS!N156="NO PRAZO",PROCESSOS!N156="VENCE EM BREVE"),OR(FiltroResp="TODOS",FiltroResp="",PROCESSOS!H156=FiltroResp)),PROCESSOS!L156+ROW()/1000000,"")</f>
        <v/>
      </c>
      <c r="BG156" t="str">
        <f>IF(AND(PROCESSOS!B156&lt;&gt;"",ISNUMBER(PROCESSOS!D156),OR(FiltroResp="TODOS",FiltroResp="",PROCESSOS!H156=FiltroResp)),PROCESSOS!D156+ROW()/1000000,"")</f>
        <v/>
      </c>
    </row>
    <row r="157">
      <c r="BF157" t="str">
        <f>IF(AND(OR(PROCESSOS!N157="NO PRAZO",PROCESSOS!N157="VENCE EM BREVE"),OR(FiltroResp="TODOS",FiltroResp="",PROCESSOS!H157=FiltroResp)),PROCESSOS!L157+ROW()/1000000,"")</f>
        <v/>
      </c>
      <c r="BG157" t="str">
        <f>IF(AND(PROCESSOS!B157&lt;&gt;"",ISNUMBER(PROCESSOS!D157),OR(FiltroResp="TODOS",FiltroResp="",PROCESSOS!H157=FiltroResp)),PROCESSOS!D157+ROW()/1000000,"")</f>
        <v/>
      </c>
    </row>
    <row r="158">
      <c r="BF158" t="str">
        <f>IF(AND(OR(PROCESSOS!N158="NO PRAZO",PROCESSOS!N158="VENCE EM BREVE"),OR(FiltroResp="TODOS",FiltroResp="",PROCESSOS!H158=FiltroResp)),PROCESSOS!L158+ROW()/1000000,"")</f>
        <v/>
      </c>
      <c r="BG158" t="str">
        <f>IF(AND(PROCESSOS!B158&lt;&gt;"",ISNUMBER(PROCESSOS!D158),OR(FiltroResp="TODOS",FiltroResp="",PROCESSOS!H158=FiltroResp)),PROCESSOS!D158+ROW()/1000000,"")</f>
        <v/>
      </c>
    </row>
    <row r="159">
      <c r="BF159" t="str">
        <f>IF(AND(OR(PROCESSOS!N159="NO PRAZO",PROCESSOS!N159="VENCE EM BREVE"),OR(FiltroResp="TODOS",FiltroResp="",PROCESSOS!H159=FiltroResp)),PROCESSOS!L159+ROW()/1000000,"")</f>
        <v/>
      </c>
      <c r="BG159" t="str">
        <f>IF(AND(PROCESSOS!B159&lt;&gt;"",ISNUMBER(PROCESSOS!D159),OR(FiltroResp="TODOS",FiltroResp="",PROCESSOS!H159=FiltroResp)),PROCESSOS!D159+ROW()/1000000,"")</f>
        <v/>
      </c>
    </row>
    <row r="160">
      <c r="BF160" t="str">
        <f>IF(AND(OR(PROCESSOS!N160="NO PRAZO",PROCESSOS!N160="VENCE EM BREVE"),OR(FiltroResp="TODOS",FiltroResp="",PROCESSOS!H160=FiltroResp)),PROCESSOS!L160+ROW()/1000000,"")</f>
        <v/>
      </c>
      <c r="BG160" t="str">
        <f>IF(AND(PROCESSOS!B160&lt;&gt;"",ISNUMBER(PROCESSOS!D160),OR(FiltroResp="TODOS",FiltroResp="",PROCESSOS!H160=FiltroResp)),PROCESSOS!D160+ROW()/1000000,"")</f>
        <v/>
      </c>
    </row>
    <row r="161">
      <c r="BF161" t="str">
        <f>IF(AND(OR(PROCESSOS!N161="NO PRAZO",PROCESSOS!N161="VENCE EM BREVE"),OR(FiltroResp="TODOS",FiltroResp="",PROCESSOS!H161=FiltroResp)),PROCESSOS!L161+ROW()/1000000,"")</f>
        <v/>
      </c>
      <c r="BG161" t="str">
        <f>IF(AND(PROCESSOS!B161&lt;&gt;"",ISNUMBER(PROCESSOS!D161),OR(FiltroResp="TODOS",FiltroResp="",PROCESSOS!H161=FiltroResp)),PROCESSOS!D161+ROW()/1000000,"")</f>
        <v/>
      </c>
    </row>
    <row r="162">
      <c r="BF162" t="str">
        <f>IF(AND(OR(PROCESSOS!N162="NO PRAZO",PROCESSOS!N162="VENCE EM BREVE"),OR(FiltroResp="TODOS",FiltroResp="",PROCESSOS!H162=FiltroResp)),PROCESSOS!L162+ROW()/1000000,"")</f>
        <v/>
      </c>
      <c r="BG162" t="str">
        <f>IF(AND(PROCESSOS!B162&lt;&gt;"",ISNUMBER(PROCESSOS!D162),OR(FiltroResp="TODOS",FiltroResp="",PROCESSOS!H162=FiltroResp)),PROCESSOS!D162+ROW()/1000000,"")</f>
        <v/>
      </c>
    </row>
    <row r="163">
      <c r="BF163" t="str">
        <f>IF(AND(OR(PROCESSOS!N163="NO PRAZO",PROCESSOS!N163="VENCE EM BREVE"),OR(FiltroResp="TODOS",FiltroResp="",PROCESSOS!H163=FiltroResp)),PROCESSOS!L163+ROW()/1000000,"")</f>
        <v/>
      </c>
      <c r="BG163" t="str">
        <f>IF(AND(PROCESSOS!B163&lt;&gt;"",ISNUMBER(PROCESSOS!D163),OR(FiltroResp="TODOS",FiltroResp="",PROCESSOS!H163=FiltroResp)),PROCESSOS!D163+ROW()/1000000,"")</f>
        <v/>
      </c>
    </row>
    <row r="164">
      <c r="BF164" t="str">
        <f>IF(AND(OR(PROCESSOS!N164="NO PRAZO",PROCESSOS!N164="VENCE EM BREVE"),OR(FiltroResp="TODOS",FiltroResp="",PROCESSOS!H164=FiltroResp)),PROCESSOS!L164+ROW()/1000000,"")</f>
        <v/>
      </c>
      <c r="BG164" t="str">
        <f>IF(AND(PROCESSOS!B164&lt;&gt;"",ISNUMBER(PROCESSOS!D164),OR(FiltroResp="TODOS",FiltroResp="",PROCESSOS!H164=FiltroResp)),PROCESSOS!D164+ROW()/1000000,"")</f>
        <v/>
      </c>
    </row>
    <row r="165">
      <c r="BF165" t="str">
        <f>IF(AND(OR(PROCESSOS!N165="NO PRAZO",PROCESSOS!N165="VENCE EM BREVE"),OR(FiltroResp="TODOS",FiltroResp="",PROCESSOS!H165=FiltroResp)),PROCESSOS!L165+ROW()/1000000,"")</f>
        <v/>
      </c>
      <c r="BG165" t="str">
        <f>IF(AND(PROCESSOS!B165&lt;&gt;"",ISNUMBER(PROCESSOS!D165),OR(FiltroResp="TODOS",FiltroResp="",PROCESSOS!H165=FiltroResp)),PROCESSOS!D165+ROW()/1000000,"")</f>
        <v/>
      </c>
    </row>
    <row r="166">
      <c r="BF166" t="str">
        <f>IF(AND(OR(PROCESSOS!N166="NO PRAZO",PROCESSOS!N166="VENCE EM BREVE"),OR(FiltroResp="TODOS",FiltroResp="",PROCESSOS!H166=FiltroResp)),PROCESSOS!L166+ROW()/1000000,"")</f>
        <v/>
      </c>
      <c r="BG166" t="str">
        <f>IF(AND(PROCESSOS!B166&lt;&gt;"",ISNUMBER(PROCESSOS!D166),OR(FiltroResp="TODOS",FiltroResp="",PROCESSOS!H166=FiltroResp)),PROCESSOS!D166+ROW()/1000000,"")</f>
        <v/>
      </c>
    </row>
    <row r="167">
      <c r="BF167" t="str">
        <f>IF(AND(OR(PROCESSOS!N167="NO PRAZO",PROCESSOS!N167="VENCE EM BREVE"),OR(FiltroResp="TODOS",FiltroResp="",PROCESSOS!H167=FiltroResp)),PROCESSOS!L167+ROW()/1000000,"")</f>
        <v/>
      </c>
      <c r="BG167" t="str">
        <f>IF(AND(PROCESSOS!B167&lt;&gt;"",ISNUMBER(PROCESSOS!D167),OR(FiltroResp="TODOS",FiltroResp="",PROCESSOS!H167=FiltroResp)),PROCESSOS!D167+ROW()/1000000,"")</f>
        <v/>
      </c>
    </row>
    <row r="168">
      <c r="BF168" t="str">
        <f>IF(AND(OR(PROCESSOS!N168="NO PRAZO",PROCESSOS!N168="VENCE EM BREVE"),OR(FiltroResp="TODOS",FiltroResp="",PROCESSOS!H168=FiltroResp)),PROCESSOS!L168+ROW()/1000000,"")</f>
        <v/>
      </c>
      <c r="BG168" t="str">
        <f>IF(AND(PROCESSOS!B168&lt;&gt;"",ISNUMBER(PROCESSOS!D168),OR(FiltroResp="TODOS",FiltroResp="",PROCESSOS!H168=FiltroResp)),PROCESSOS!D168+ROW()/1000000,"")</f>
        <v/>
      </c>
    </row>
    <row r="169">
      <c r="BF169" t="str">
        <f>IF(AND(OR(PROCESSOS!N169="NO PRAZO",PROCESSOS!N169="VENCE EM BREVE"),OR(FiltroResp="TODOS",FiltroResp="",PROCESSOS!H169=FiltroResp)),PROCESSOS!L169+ROW()/1000000,"")</f>
        <v/>
      </c>
      <c r="BG169" t="str">
        <f>IF(AND(PROCESSOS!B169&lt;&gt;"",ISNUMBER(PROCESSOS!D169),OR(FiltroResp="TODOS",FiltroResp="",PROCESSOS!H169=FiltroResp)),PROCESSOS!D169+ROW()/1000000,"")</f>
        <v/>
      </c>
    </row>
    <row r="170">
      <c r="BF170" t="str">
        <f>IF(AND(OR(PROCESSOS!N170="NO PRAZO",PROCESSOS!N170="VENCE EM BREVE"),OR(FiltroResp="TODOS",FiltroResp="",PROCESSOS!H170=FiltroResp)),PROCESSOS!L170+ROW()/1000000,"")</f>
        <v/>
      </c>
      <c r="BG170" t="str">
        <f>IF(AND(PROCESSOS!B170&lt;&gt;"",ISNUMBER(PROCESSOS!D170),OR(FiltroResp="TODOS",FiltroResp="",PROCESSOS!H170=FiltroResp)),PROCESSOS!D170+ROW()/1000000,"")</f>
        <v/>
      </c>
    </row>
    <row r="171">
      <c r="BF171" t="str">
        <f>IF(AND(OR(PROCESSOS!N171="NO PRAZO",PROCESSOS!N171="VENCE EM BREVE"),OR(FiltroResp="TODOS",FiltroResp="",PROCESSOS!H171=FiltroResp)),PROCESSOS!L171+ROW()/1000000,"")</f>
        <v/>
      </c>
      <c r="BG171" t="str">
        <f>IF(AND(PROCESSOS!B171&lt;&gt;"",ISNUMBER(PROCESSOS!D171),OR(FiltroResp="TODOS",FiltroResp="",PROCESSOS!H171=FiltroResp)),PROCESSOS!D171+ROW()/1000000,"")</f>
        <v/>
      </c>
    </row>
    <row r="172">
      <c r="BF172" t="str">
        <f>IF(AND(OR(PROCESSOS!N172="NO PRAZO",PROCESSOS!N172="VENCE EM BREVE"),OR(FiltroResp="TODOS",FiltroResp="",PROCESSOS!H172=FiltroResp)),PROCESSOS!L172+ROW()/1000000,"")</f>
        <v/>
      </c>
      <c r="BG172" t="str">
        <f>IF(AND(PROCESSOS!B172&lt;&gt;"",ISNUMBER(PROCESSOS!D172),OR(FiltroResp="TODOS",FiltroResp="",PROCESSOS!H172=FiltroResp)),PROCESSOS!D172+ROW()/1000000,"")</f>
        <v/>
      </c>
    </row>
    <row r="173">
      <c r="BF173" t="str">
        <f>IF(AND(OR(PROCESSOS!N173="NO PRAZO",PROCESSOS!N173="VENCE EM BREVE"),OR(FiltroResp="TODOS",FiltroResp="",PROCESSOS!H173=FiltroResp)),PROCESSOS!L173+ROW()/1000000,"")</f>
        <v/>
      </c>
      <c r="BG173" t="str">
        <f>IF(AND(PROCESSOS!B173&lt;&gt;"",ISNUMBER(PROCESSOS!D173),OR(FiltroResp="TODOS",FiltroResp="",PROCESSOS!H173=FiltroResp)),PROCESSOS!D173+ROW()/1000000,"")</f>
        <v/>
      </c>
    </row>
    <row r="174">
      <c r="BF174" t="str">
        <f>IF(AND(OR(PROCESSOS!N174="NO PRAZO",PROCESSOS!N174="VENCE EM BREVE"),OR(FiltroResp="TODOS",FiltroResp="",PROCESSOS!H174=FiltroResp)),PROCESSOS!L174+ROW()/1000000,"")</f>
        <v/>
      </c>
      <c r="BG174" t="str">
        <f>IF(AND(PROCESSOS!B174&lt;&gt;"",ISNUMBER(PROCESSOS!D174),OR(FiltroResp="TODOS",FiltroResp="",PROCESSOS!H174=FiltroResp)),PROCESSOS!D174+ROW()/1000000,"")</f>
        <v/>
      </c>
    </row>
    <row r="175">
      <c r="BF175" t="str">
        <f>IF(AND(OR(PROCESSOS!N175="NO PRAZO",PROCESSOS!N175="VENCE EM BREVE"),OR(FiltroResp="TODOS",FiltroResp="",PROCESSOS!H175=FiltroResp)),PROCESSOS!L175+ROW()/1000000,"")</f>
        <v/>
      </c>
      <c r="BG175" t="str">
        <f>IF(AND(PROCESSOS!B175&lt;&gt;"",ISNUMBER(PROCESSOS!D175),OR(FiltroResp="TODOS",FiltroResp="",PROCESSOS!H175=FiltroResp)),PROCESSOS!D175+ROW()/1000000,"")</f>
        <v/>
      </c>
    </row>
    <row r="176">
      <c r="BF176" t="str">
        <f>IF(AND(OR(PROCESSOS!N176="NO PRAZO",PROCESSOS!N176="VENCE EM BREVE"),OR(FiltroResp="TODOS",FiltroResp="",PROCESSOS!H176=FiltroResp)),PROCESSOS!L176+ROW()/1000000,"")</f>
        <v/>
      </c>
      <c r="BG176" t="str">
        <f>IF(AND(PROCESSOS!B176&lt;&gt;"",ISNUMBER(PROCESSOS!D176),OR(FiltroResp="TODOS",FiltroResp="",PROCESSOS!H176=FiltroResp)),PROCESSOS!D176+ROW()/1000000,"")</f>
        <v/>
      </c>
    </row>
    <row r="177">
      <c r="BF177" t="str">
        <f>IF(AND(OR(PROCESSOS!N177="NO PRAZO",PROCESSOS!N177="VENCE EM BREVE"),OR(FiltroResp="TODOS",FiltroResp="",PROCESSOS!H177=FiltroResp)),PROCESSOS!L177+ROW()/1000000,"")</f>
        <v/>
      </c>
      <c r="BG177" t="str">
        <f>IF(AND(PROCESSOS!B177&lt;&gt;"",ISNUMBER(PROCESSOS!D177),OR(FiltroResp="TODOS",FiltroResp="",PROCESSOS!H177=FiltroResp)),PROCESSOS!D177+ROW()/1000000,"")</f>
        <v/>
      </c>
    </row>
    <row r="178">
      <c r="BF178" t="str">
        <f>IF(AND(OR(PROCESSOS!N178="NO PRAZO",PROCESSOS!N178="VENCE EM BREVE"),OR(FiltroResp="TODOS",FiltroResp="",PROCESSOS!H178=FiltroResp)),PROCESSOS!L178+ROW()/1000000,"")</f>
        <v/>
      </c>
      <c r="BG178" t="str">
        <f>IF(AND(PROCESSOS!B178&lt;&gt;"",ISNUMBER(PROCESSOS!D178),OR(FiltroResp="TODOS",FiltroResp="",PROCESSOS!H178=FiltroResp)),PROCESSOS!D178+ROW()/1000000,"")</f>
        <v/>
      </c>
    </row>
    <row r="179">
      <c r="BF179" t="str">
        <f>IF(AND(OR(PROCESSOS!N179="NO PRAZO",PROCESSOS!N179="VENCE EM BREVE"),OR(FiltroResp="TODOS",FiltroResp="",PROCESSOS!H179=FiltroResp)),PROCESSOS!L179+ROW()/1000000,"")</f>
        <v/>
      </c>
      <c r="BG179" t="str">
        <f>IF(AND(PROCESSOS!B179&lt;&gt;"",ISNUMBER(PROCESSOS!D179),OR(FiltroResp="TODOS",FiltroResp="",PROCESSOS!H179=FiltroResp)),PROCESSOS!D179+ROW()/1000000,"")</f>
        <v/>
      </c>
    </row>
    <row r="180">
      <c r="BF180" t="str">
        <f>IF(AND(OR(PROCESSOS!N180="NO PRAZO",PROCESSOS!N180="VENCE EM BREVE"),OR(FiltroResp="TODOS",FiltroResp="",PROCESSOS!H180=FiltroResp)),PROCESSOS!L180+ROW()/1000000,"")</f>
        <v/>
      </c>
      <c r="BG180" t="str">
        <f>IF(AND(PROCESSOS!B180&lt;&gt;"",ISNUMBER(PROCESSOS!D180),OR(FiltroResp="TODOS",FiltroResp="",PROCESSOS!H180=FiltroResp)),PROCESSOS!D180+ROW()/1000000,"")</f>
        <v/>
      </c>
    </row>
    <row r="181">
      <c r="BF181" t="str">
        <f>IF(AND(OR(PROCESSOS!N181="NO PRAZO",PROCESSOS!N181="VENCE EM BREVE"),OR(FiltroResp="TODOS",FiltroResp="",PROCESSOS!H181=FiltroResp)),PROCESSOS!L181+ROW()/1000000,"")</f>
        <v/>
      </c>
      <c r="BG181" t="str">
        <f>IF(AND(PROCESSOS!B181&lt;&gt;"",ISNUMBER(PROCESSOS!D181),OR(FiltroResp="TODOS",FiltroResp="",PROCESSOS!H181=FiltroResp)),PROCESSOS!D181+ROW()/1000000,"")</f>
        <v/>
      </c>
    </row>
    <row r="182">
      <c r="BF182" t="str">
        <f>IF(AND(OR(PROCESSOS!N182="NO PRAZO",PROCESSOS!N182="VENCE EM BREVE"),OR(FiltroResp="TODOS",FiltroResp="",PROCESSOS!H182=FiltroResp)),PROCESSOS!L182+ROW()/1000000,"")</f>
        <v/>
      </c>
      <c r="BG182" t="str">
        <f>IF(AND(PROCESSOS!B182&lt;&gt;"",ISNUMBER(PROCESSOS!D182),OR(FiltroResp="TODOS",FiltroResp="",PROCESSOS!H182=FiltroResp)),PROCESSOS!D182+ROW()/1000000,"")</f>
        <v/>
      </c>
    </row>
    <row r="183">
      <c r="BF183" t="str">
        <f>IF(AND(OR(PROCESSOS!N183="NO PRAZO",PROCESSOS!N183="VENCE EM BREVE"),OR(FiltroResp="TODOS",FiltroResp="",PROCESSOS!H183=FiltroResp)),PROCESSOS!L183+ROW()/1000000,"")</f>
        <v/>
      </c>
      <c r="BG183" t="str">
        <f>IF(AND(PROCESSOS!B183&lt;&gt;"",ISNUMBER(PROCESSOS!D183),OR(FiltroResp="TODOS",FiltroResp="",PROCESSOS!H183=FiltroResp)),PROCESSOS!D183+ROW()/1000000,"")</f>
        <v/>
      </c>
    </row>
    <row r="184">
      <c r="BF184" t="str">
        <f>IF(AND(OR(PROCESSOS!N184="NO PRAZO",PROCESSOS!N184="VENCE EM BREVE"),OR(FiltroResp="TODOS",FiltroResp="",PROCESSOS!H184=FiltroResp)),PROCESSOS!L184+ROW()/1000000,"")</f>
        <v/>
      </c>
      <c r="BG184" t="str">
        <f>IF(AND(PROCESSOS!B184&lt;&gt;"",ISNUMBER(PROCESSOS!D184),OR(FiltroResp="TODOS",FiltroResp="",PROCESSOS!H184=FiltroResp)),PROCESSOS!D184+ROW()/1000000,"")</f>
        <v/>
      </c>
    </row>
    <row r="185">
      <c r="BF185" t="str">
        <f>IF(AND(OR(PROCESSOS!N185="NO PRAZO",PROCESSOS!N185="VENCE EM BREVE"),OR(FiltroResp="TODOS",FiltroResp="",PROCESSOS!H185=FiltroResp)),PROCESSOS!L185+ROW()/1000000,"")</f>
        <v/>
      </c>
      <c r="BG185" t="str">
        <f>IF(AND(PROCESSOS!B185&lt;&gt;"",ISNUMBER(PROCESSOS!D185),OR(FiltroResp="TODOS",FiltroResp="",PROCESSOS!H185=FiltroResp)),PROCESSOS!D185+ROW()/1000000,"")</f>
        <v/>
      </c>
    </row>
    <row r="186">
      <c r="BF186" t="str">
        <f>IF(AND(OR(PROCESSOS!N186="NO PRAZO",PROCESSOS!N186="VENCE EM BREVE"),OR(FiltroResp="TODOS",FiltroResp="",PROCESSOS!H186=FiltroResp)),PROCESSOS!L186+ROW()/1000000,"")</f>
        <v/>
      </c>
      <c r="BG186" t="str">
        <f>IF(AND(PROCESSOS!B186&lt;&gt;"",ISNUMBER(PROCESSOS!D186),OR(FiltroResp="TODOS",FiltroResp="",PROCESSOS!H186=FiltroResp)),PROCESSOS!D186+ROW()/1000000,"")</f>
        <v/>
      </c>
    </row>
    <row r="187">
      <c r="BF187" t="str">
        <f>IF(AND(OR(PROCESSOS!N187="NO PRAZO",PROCESSOS!N187="VENCE EM BREVE"),OR(FiltroResp="TODOS",FiltroResp="",PROCESSOS!H187=FiltroResp)),PROCESSOS!L187+ROW()/1000000,"")</f>
        <v/>
      </c>
      <c r="BG187" t="str">
        <f>IF(AND(PROCESSOS!B187&lt;&gt;"",ISNUMBER(PROCESSOS!D187),OR(FiltroResp="TODOS",FiltroResp="",PROCESSOS!H187=FiltroResp)),PROCESSOS!D187+ROW()/1000000,"")</f>
        <v/>
      </c>
    </row>
    <row r="188">
      <c r="BF188" t="str">
        <f>IF(AND(OR(PROCESSOS!N188="NO PRAZO",PROCESSOS!N188="VENCE EM BREVE"),OR(FiltroResp="TODOS",FiltroResp="",PROCESSOS!H188=FiltroResp)),PROCESSOS!L188+ROW()/1000000,"")</f>
        <v/>
      </c>
      <c r="BG188" t="str">
        <f>IF(AND(PROCESSOS!B188&lt;&gt;"",ISNUMBER(PROCESSOS!D188),OR(FiltroResp="TODOS",FiltroResp="",PROCESSOS!H188=FiltroResp)),PROCESSOS!D188+ROW()/1000000,"")</f>
        <v/>
      </c>
    </row>
    <row r="189">
      <c r="BF189" t="str">
        <f>IF(AND(OR(PROCESSOS!N189="NO PRAZO",PROCESSOS!N189="VENCE EM BREVE"),OR(FiltroResp="TODOS",FiltroResp="",PROCESSOS!H189=FiltroResp)),PROCESSOS!L189+ROW()/1000000,"")</f>
        <v/>
      </c>
      <c r="BG189" t="str">
        <f>IF(AND(PROCESSOS!B189&lt;&gt;"",ISNUMBER(PROCESSOS!D189),OR(FiltroResp="TODOS",FiltroResp="",PROCESSOS!H189=FiltroResp)),PROCESSOS!D189+ROW()/1000000,"")</f>
        <v/>
      </c>
    </row>
    <row r="190">
      <c r="BF190" t="str">
        <f>IF(AND(OR(PROCESSOS!N190="NO PRAZO",PROCESSOS!N190="VENCE EM BREVE"),OR(FiltroResp="TODOS",FiltroResp="",PROCESSOS!H190=FiltroResp)),PROCESSOS!L190+ROW()/1000000,"")</f>
        <v/>
      </c>
      <c r="BG190" t="str">
        <f>IF(AND(PROCESSOS!B190&lt;&gt;"",ISNUMBER(PROCESSOS!D190),OR(FiltroResp="TODOS",FiltroResp="",PROCESSOS!H190=FiltroResp)),PROCESSOS!D190+ROW()/1000000,"")</f>
        <v/>
      </c>
    </row>
    <row r="191">
      <c r="BF191" t="str">
        <f>IF(AND(OR(PROCESSOS!N191="NO PRAZO",PROCESSOS!N191="VENCE EM BREVE"),OR(FiltroResp="TODOS",FiltroResp="",PROCESSOS!H191=FiltroResp)),PROCESSOS!L191+ROW()/1000000,"")</f>
        <v/>
      </c>
      <c r="BG191" t="str">
        <f>IF(AND(PROCESSOS!B191&lt;&gt;"",ISNUMBER(PROCESSOS!D191),OR(FiltroResp="TODOS",FiltroResp="",PROCESSOS!H191=FiltroResp)),PROCESSOS!D191+ROW()/1000000,"")</f>
        <v/>
      </c>
    </row>
    <row r="192">
      <c r="BF192" t="str">
        <f>IF(AND(OR(PROCESSOS!N192="NO PRAZO",PROCESSOS!N192="VENCE EM BREVE"),OR(FiltroResp="TODOS",FiltroResp="",PROCESSOS!H192=FiltroResp)),PROCESSOS!L192+ROW()/1000000,"")</f>
        <v/>
      </c>
      <c r="BG192" t="str">
        <f>IF(AND(PROCESSOS!B192&lt;&gt;"",ISNUMBER(PROCESSOS!D192),OR(FiltroResp="TODOS",FiltroResp="",PROCESSOS!H192=FiltroResp)),PROCESSOS!D192+ROW()/1000000,"")</f>
        <v/>
      </c>
    </row>
    <row r="193">
      <c r="BF193" t="str">
        <f>IF(AND(OR(PROCESSOS!N193="NO PRAZO",PROCESSOS!N193="VENCE EM BREVE"),OR(FiltroResp="TODOS",FiltroResp="",PROCESSOS!H193=FiltroResp)),PROCESSOS!L193+ROW()/1000000,"")</f>
        <v/>
      </c>
      <c r="BG193" t="str">
        <f>IF(AND(PROCESSOS!B193&lt;&gt;"",ISNUMBER(PROCESSOS!D193),OR(FiltroResp="TODOS",FiltroResp="",PROCESSOS!H193=FiltroResp)),PROCESSOS!D193+ROW()/1000000,"")</f>
        <v/>
      </c>
    </row>
    <row r="194">
      <c r="BF194" t="str">
        <f>IF(AND(OR(PROCESSOS!N194="NO PRAZO",PROCESSOS!N194="VENCE EM BREVE"),OR(FiltroResp="TODOS",FiltroResp="",PROCESSOS!H194=FiltroResp)),PROCESSOS!L194+ROW()/1000000,"")</f>
        <v/>
      </c>
      <c r="BG194" t="str">
        <f>IF(AND(PROCESSOS!B194&lt;&gt;"",ISNUMBER(PROCESSOS!D194),OR(FiltroResp="TODOS",FiltroResp="",PROCESSOS!H194=FiltroResp)),PROCESSOS!D194+ROW()/1000000,"")</f>
        <v/>
      </c>
    </row>
    <row r="195">
      <c r="BF195" t="str">
        <f>IF(AND(OR(PROCESSOS!N195="NO PRAZO",PROCESSOS!N195="VENCE EM BREVE"),OR(FiltroResp="TODOS",FiltroResp="",PROCESSOS!H195=FiltroResp)),PROCESSOS!L195+ROW()/1000000,"")</f>
        <v/>
      </c>
      <c r="BG195" t="str">
        <f>IF(AND(PROCESSOS!B195&lt;&gt;"",ISNUMBER(PROCESSOS!D195),OR(FiltroResp="TODOS",FiltroResp="",PROCESSOS!H195=FiltroResp)),PROCESSOS!D195+ROW()/1000000,"")</f>
        <v/>
      </c>
    </row>
    <row r="196">
      <c r="BF196" t="str">
        <f>IF(AND(OR(PROCESSOS!N196="NO PRAZO",PROCESSOS!N196="VENCE EM BREVE"),OR(FiltroResp="TODOS",FiltroResp="",PROCESSOS!H196=FiltroResp)),PROCESSOS!L196+ROW()/1000000,"")</f>
        <v/>
      </c>
      <c r="BG196" t="str">
        <f>IF(AND(PROCESSOS!B196&lt;&gt;"",ISNUMBER(PROCESSOS!D196),OR(FiltroResp="TODOS",FiltroResp="",PROCESSOS!H196=FiltroResp)),PROCESSOS!D196+ROW()/1000000,"")</f>
        <v/>
      </c>
    </row>
    <row r="197">
      <c r="BF197" t="str">
        <f>IF(AND(OR(PROCESSOS!N197="NO PRAZO",PROCESSOS!N197="VENCE EM BREVE"),OR(FiltroResp="TODOS",FiltroResp="",PROCESSOS!H197=FiltroResp)),PROCESSOS!L197+ROW()/1000000,"")</f>
        <v/>
      </c>
      <c r="BG197" t="str">
        <f>IF(AND(PROCESSOS!B197&lt;&gt;"",ISNUMBER(PROCESSOS!D197),OR(FiltroResp="TODOS",FiltroResp="",PROCESSOS!H197=FiltroResp)),PROCESSOS!D197+ROW()/1000000,"")</f>
        <v/>
      </c>
    </row>
    <row r="198">
      <c r="BF198" t="str">
        <f>IF(AND(OR(PROCESSOS!N198="NO PRAZO",PROCESSOS!N198="VENCE EM BREVE"),OR(FiltroResp="TODOS",FiltroResp="",PROCESSOS!H198=FiltroResp)),PROCESSOS!L198+ROW()/1000000,"")</f>
        <v/>
      </c>
      <c r="BG198" t="str">
        <f>IF(AND(PROCESSOS!B198&lt;&gt;"",ISNUMBER(PROCESSOS!D198),OR(FiltroResp="TODOS",FiltroResp="",PROCESSOS!H198=FiltroResp)),PROCESSOS!D198+ROW()/1000000,"")</f>
        <v/>
      </c>
    </row>
    <row r="199">
      <c r="BF199" t="str">
        <f>IF(AND(OR(PROCESSOS!N199="NO PRAZO",PROCESSOS!N199="VENCE EM BREVE"),OR(FiltroResp="TODOS",FiltroResp="",PROCESSOS!H199=FiltroResp)),PROCESSOS!L199+ROW()/1000000,"")</f>
        <v/>
      </c>
      <c r="BG199" t="str">
        <f>IF(AND(PROCESSOS!B199&lt;&gt;"",ISNUMBER(PROCESSOS!D199),OR(FiltroResp="TODOS",FiltroResp="",PROCESSOS!H199=FiltroResp)),PROCESSOS!D199+ROW()/1000000,"")</f>
        <v/>
      </c>
    </row>
    <row r="200">
      <c r="BF200" t="str">
        <f>IF(AND(OR(PROCESSOS!N200="NO PRAZO",PROCESSOS!N200="VENCE EM BREVE"),OR(FiltroResp="TODOS",FiltroResp="",PROCESSOS!H200=FiltroResp)),PROCESSOS!L200+ROW()/1000000,"")</f>
        <v/>
      </c>
      <c r="BG200" t="str">
        <f>IF(AND(PROCESSOS!B200&lt;&gt;"",ISNUMBER(PROCESSOS!D200),OR(FiltroResp="TODOS",FiltroResp="",PROCESSOS!H200=FiltroResp)),PROCESSOS!D200+ROW()/1000000,"")</f>
        <v/>
      </c>
    </row>
    <row r="201">
      <c r="BF201" t="str">
        <f>IF(AND(OR(PROCESSOS!N201="NO PRAZO",PROCESSOS!N201="VENCE EM BREVE"),OR(FiltroResp="TODOS",FiltroResp="",PROCESSOS!H201=FiltroResp)),PROCESSOS!L201+ROW()/1000000,"")</f>
        <v/>
      </c>
      <c r="BG201" t="str">
        <f>IF(AND(PROCESSOS!B201&lt;&gt;"",ISNUMBER(PROCESSOS!D201),OR(FiltroResp="TODOS",FiltroResp="",PROCESSOS!H201=FiltroResp)),PROCESSOS!D201+ROW()/1000000,"")</f>
        <v/>
      </c>
    </row>
    <row r="202">
      <c r="BF202" t="str">
        <f>IF(AND(OR(PROCESSOS!N202="NO PRAZO",PROCESSOS!N202="VENCE EM BREVE"),OR(FiltroResp="TODOS",FiltroResp="",PROCESSOS!H202=FiltroResp)),PROCESSOS!L202+ROW()/1000000,"")</f>
        <v/>
      </c>
      <c r="BG202" t="str">
        <f>IF(AND(PROCESSOS!B202&lt;&gt;"",ISNUMBER(PROCESSOS!D202),OR(FiltroResp="TODOS",FiltroResp="",PROCESSOS!H202=FiltroResp)),PROCESSOS!D202+ROW()/1000000,"")</f>
        <v/>
      </c>
    </row>
    <row r="203">
      <c r="BF203" t="str">
        <f>IF(AND(OR(PROCESSOS!N203="NO PRAZO",PROCESSOS!N203="VENCE EM BREVE"),OR(FiltroResp="TODOS",FiltroResp="",PROCESSOS!H203=FiltroResp)),PROCESSOS!L203+ROW()/1000000,"")</f>
        <v/>
      </c>
      <c r="BG203" t="str">
        <f>IF(AND(PROCESSOS!B203&lt;&gt;"",ISNUMBER(PROCESSOS!D203),OR(FiltroResp="TODOS",FiltroResp="",PROCESSOS!H203=FiltroResp)),PROCESSOS!D203+ROW()/1000000,"")</f>
        <v/>
      </c>
    </row>
    <row r="204">
      <c r="BF204" t="str">
        <f>IF(AND(OR(PROCESSOS!N204="NO PRAZO",PROCESSOS!N204="VENCE EM BREVE"),OR(FiltroResp="TODOS",FiltroResp="",PROCESSOS!H204=FiltroResp)),PROCESSOS!L204+ROW()/1000000,"")</f>
        <v/>
      </c>
      <c r="BG204" t="str">
        <f>IF(AND(PROCESSOS!B204&lt;&gt;"",ISNUMBER(PROCESSOS!D204),OR(FiltroResp="TODOS",FiltroResp="",PROCESSOS!H204=FiltroResp)),PROCESSOS!D204+ROW()/1000000,"")</f>
        <v/>
      </c>
    </row>
    <row r="205">
      <c r="BF205" t="str">
        <f>IF(AND(OR(PROCESSOS!N205="NO PRAZO",PROCESSOS!N205="VENCE EM BREVE"),OR(FiltroResp="TODOS",FiltroResp="",PROCESSOS!H205=FiltroResp)),PROCESSOS!L205+ROW()/1000000,"")</f>
        <v/>
      </c>
      <c r="BG205" t="str">
        <f>IF(AND(PROCESSOS!B205&lt;&gt;"",ISNUMBER(PROCESSOS!D205),OR(FiltroResp="TODOS",FiltroResp="",PROCESSOS!H205=FiltroResp)),PROCESSOS!D205+ROW()/1000000,"")</f>
        <v/>
      </c>
    </row>
    <row r="206">
      <c r="BF206" t="str">
        <f>IF(AND(OR(PROCESSOS!N206="NO PRAZO",PROCESSOS!N206="VENCE EM BREVE"),OR(FiltroResp="TODOS",FiltroResp="",PROCESSOS!H206=FiltroResp)),PROCESSOS!L206+ROW()/1000000,"")</f>
        <v/>
      </c>
      <c r="BG206" t="str">
        <f>IF(AND(PROCESSOS!B206&lt;&gt;"",ISNUMBER(PROCESSOS!D206),OR(FiltroResp="TODOS",FiltroResp="",PROCESSOS!H206=FiltroResp)),PROCESSOS!D206+ROW()/1000000,"")</f>
        <v/>
      </c>
    </row>
    <row r="207">
      <c r="BF207" t="str">
        <f>IF(AND(OR(PROCESSOS!N207="NO PRAZO",PROCESSOS!N207="VENCE EM BREVE"),OR(FiltroResp="TODOS",FiltroResp="",PROCESSOS!H207=FiltroResp)),PROCESSOS!L207+ROW()/1000000,"")</f>
        <v/>
      </c>
      <c r="BG207" t="str">
        <f>IF(AND(PROCESSOS!B207&lt;&gt;"",ISNUMBER(PROCESSOS!D207),OR(FiltroResp="TODOS",FiltroResp="",PROCESSOS!H207=FiltroResp)),PROCESSOS!D207+ROW()/1000000,"")</f>
        <v/>
      </c>
    </row>
    <row r="208">
      <c r="BF208" t="str">
        <f>IF(AND(OR(PROCESSOS!N208="NO PRAZO",PROCESSOS!N208="VENCE EM BREVE"),OR(FiltroResp="TODOS",FiltroResp="",PROCESSOS!H208=FiltroResp)),PROCESSOS!L208+ROW()/1000000,"")</f>
        <v/>
      </c>
      <c r="BG208" t="str">
        <f>IF(AND(PROCESSOS!B208&lt;&gt;"",ISNUMBER(PROCESSOS!D208),OR(FiltroResp="TODOS",FiltroResp="",PROCESSOS!H208=FiltroResp)),PROCESSOS!D208+ROW()/1000000,"")</f>
        <v/>
      </c>
    </row>
    <row r="209">
      <c r="BF209" t="str">
        <f>IF(AND(OR(PROCESSOS!N209="NO PRAZO",PROCESSOS!N209="VENCE EM BREVE"),OR(FiltroResp="TODOS",FiltroResp="",PROCESSOS!H209=FiltroResp)),PROCESSOS!L209+ROW()/1000000,"")</f>
        <v/>
      </c>
      <c r="BG209" t="str">
        <f>IF(AND(PROCESSOS!B209&lt;&gt;"",ISNUMBER(PROCESSOS!D209),OR(FiltroResp="TODOS",FiltroResp="",PROCESSOS!H209=FiltroResp)),PROCESSOS!D209+ROW()/1000000,"")</f>
        <v/>
      </c>
    </row>
    <row r="210">
      <c r="BF210" t="str">
        <f>IF(AND(OR(PROCESSOS!N210="NO PRAZO",PROCESSOS!N210="VENCE EM BREVE"),OR(FiltroResp="TODOS",FiltroResp="",PROCESSOS!H210=FiltroResp)),PROCESSOS!L210+ROW()/1000000,"")</f>
        <v/>
      </c>
      <c r="BG210" t="str">
        <f>IF(AND(PROCESSOS!B210&lt;&gt;"",ISNUMBER(PROCESSOS!D210),OR(FiltroResp="TODOS",FiltroResp="",PROCESSOS!H210=FiltroResp)),PROCESSOS!D210+ROW()/1000000,"")</f>
        <v/>
      </c>
    </row>
    <row r="211">
      <c r="BF211" t="str">
        <f>IF(AND(OR(PROCESSOS!N211="NO PRAZO",PROCESSOS!N211="VENCE EM BREVE"),OR(FiltroResp="TODOS",FiltroResp="",PROCESSOS!H211=FiltroResp)),PROCESSOS!L211+ROW()/1000000,"")</f>
        <v/>
      </c>
      <c r="BG211" t="str">
        <f>IF(AND(PROCESSOS!B211&lt;&gt;"",ISNUMBER(PROCESSOS!D211),OR(FiltroResp="TODOS",FiltroResp="",PROCESSOS!H211=FiltroResp)),PROCESSOS!D211+ROW()/1000000,"")</f>
        <v/>
      </c>
    </row>
    <row r="212">
      <c r="BF212" t="str">
        <f>IF(AND(OR(PROCESSOS!N212="NO PRAZO",PROCESSOS!N212="VENCE EM BREVE"),OR(FiltroResp="TODOS",FiltroResp="",PROCESSOS!H212=FiltroResp)),PROCESSOS!L212+ROW()/1000000,"")</f>
        <v/>
      </c>
      <c r="BG212" t="str">
        <f>IF(AND(PROCESSOS!B212&lt;&gt;"",ISNUMBER(PROCESSOS!D212),OR(FiltroResp="TODOS",FiltroResp="",PROCESSOS!H212=FiltroResp)),PROCESSOS!D212+ROW()/1000000,"")</f>
        <v/>
      </c>
    </row>
    <row r="213">
      <c r="BF213" t="str">
        <f>IF(AND(OR(PROCESSOS!N213="NO PRAZO",PROCESSOS!N213="VENCE EM BREVE"),OR(FiltroResp="TODOS",FiltroResp="",PROCESSOS!H213=FiltroResp)),PROCESSOS!L213+ROW()/1000000,"")</f>
        <v/>
      </c>
      <c r="BG213" t="str">
        <f>IF(AND(PROCESSOS!B213&lt;&gt;"",ISNUMBER(PROCESSOS!D213),OR(FiltroResp="TODOS",FiltroResp="",PROCESSOS!H213=FiltroResp)),PROCESSOS!D213+ROW()/1000000,"")</f>
        <v/>
      </c>
    </row>
    <row r="214">
      <c r="BF214" t="str">
        <f>IF(AND(OR(PROCESSOS!N214="NO PRAZO",PROCESSOS!N214="VENCE EM BREVE"),OR(FiltroResp="TODOS",FiltroResp="",PROCESSOS!H214=FiltroResp)),PROCESSOS!L214+ROW()/1000000,"")</f>
        <v/>
      </c>
      <c r="BG214" t="str">
        <f>IF(AND(PROCESSOS!B214&lt;&gt;"",ISNUMBER(PROCESSOS!D214),OR(FiltroResp="TODOS",FiltroResp="",PROCESSOS!H214=FiltroResp)),PROCESSOS!D214+ROW()/1000000,"")</f>
        <v/>
      </c>
    </row>
    <row r="215">
      <c r="BF215" t="str">
        <f>IF(AND(OR(PROCESSOS!N215="NO PRAZO",PROCESSOS!N215="VENCE EM BREVE"),OR(FiltroResp="TODOS",FiltroResp="",PROCESSOS!H215=FiltroResp)),PROCESSOS!L215+ROW()/1000000,"")</f>
        <v/>
      </c>
      <c r="BG215" t="str">
        <f>IF(AND(PROCESSOS!B215&lt;&gt;"",ISNUMBER(PROCESSOS!D215),OR(FiltroResp="TODOS",FiltroResp="",PROCESSOS!H215=FiltroResp)),PROCESSOS!D215+ROW()/1000000,"")</f>
        <v/>
      </c>
    </row>
    <row r="216">
      <c r="BF216" t="str">
        <f>IF(AND(OR(PROCESSOS!N216="NO PRAZO",PROCESSOS!N216="VENCE EM BREVE"),OR(FiltroResp="TODOS",FiltroResp="",PROCESSOS!H216=FiltroResp)),PROCESSOS!L216+ROW()/1000000,"")</f>
        <v/>
      </c>
      <c r="BG216" t="str">
        <f>IF(AND(PROCESSOS!B216&lt;&gt;"",ISNUMBER(PROCESSOS!D216),OR(FiltroResp="TODOS",FiltroResp="",PROCESSOS!H216=FiltroResp)),PROCESSOS!D216+ROW()/1000000,"")</f>
        <v/>
      </c>
    </row>
    <row r="217">
      <c r="BF217" t="str">
        <f>IF(AND(OR(PROCESSOS!N217="NO PRAZO",PROCESSOS!N217="VENCE EM BREVE"),OR(FiltroResp="TODOS",FiltroResp="",PROCESSOS!H217=FiltroResp)),PROCESSOS!L217+ROW()/1000000,"")</f>
        <v/>
      </c>
      <c r="BG217" t="str">
        <f>IF(AND(PROCESSOS!B217&lt;&gt;"",ISNUMBER(PROCESSOS!D217),OR(FiltroResp="TODOS",FiltroResp="",PROCESSOS!H217=FiltroResp)),PROCESSOS!D217+ROW()/1000000,"")</f>
        <v/>
      </c>
    </row>
    <row r="218">
      <c r="BF218" t="str">
        <f>IF(AND(OR(PROCESSOS!N218="NO PRAZO",PROCESSOS!N218="VENCE EM BREVE"),OR(FiltroResp="TODOS",FiltroResp="",PROCESSOS!H218=FiltroResp)),PROCESSOS!L218+ROW()/1000000,"")</f>
        <v/>
      </c>
      <c r="BG218" t="str">
        <f>IF(AND(PROCESSOS!B218&lt;&gt;"",ISNUMBER(PROCESSOS!D218),OR(FiltroResp="TODOS",FiltroResp="",PROCESSOS!H218=FiltroResp)),PROCESSOS!D218+ROW()/1000000,"")</f>
        <v/>
      </c>
    </row>
    <row r="219">
      <c r="BF219" t="str">
        <f>IF(AND(OR(PROCESSOS!N219="NO PRAZO",PROCESSOS!N219="VENCE EM BREVE"),OR(FiltroResp="TODOS",FiltroResp="",PROCESSOS!H219=FiltroResp)),PROCESSOS!L219+ROW()/1000000,"")</f>
        <v/>
      </c>
      <c r="BG219" t="str">
        <f>IF(AND(PROCESSOS!B219&lt;&gt;"",ISNUMBER(PROCESSOS!D219),OR(FiltroResp="TODOS",FiltroResp="",PROCESSOS!H219=FiltroResp)),PROCESSOS!D219+ROW()/1000000,"")</f>
        <v/>
      </c>
    </row>
    <row r="220">
      <c r="BF220" t="str">
        <f>IF(AND(OR(PROCESSOS!N220="NO PRAZO",PROCESSOS!N220="VENCE EM BREVE"),OR(FiltroResp="TODOS",FiltroResp="",PROCESSOS!H220=FiltroResp)),PROCESSOS!L220+ROW()/1000000,"")</f>
        <v/>
      </c>
      <c r="BG220" t="str">
        <f>IF(AND(PROCESSOS!B220&lt;&gt;"",ISNUMBER(PROCESSOS!D220),OR(FiltroResp="TODOS",FiltroResp="",PROCESSOS!H220=FiltroResp)),PROCESSOS!D220+ROW()/1000000,"")</f>
        <v/>
      </c>
    </row>
    <row r="221">
      <c r="BF221" t="str">
        <f>IF(AND(OR(PROCESSOS!N221="NO PRAZO",PROCESSOS!N221="VENCE EM BREVE"),OR(FiltroResp="TODOS",FiltroResp="",PROCESSOS!H221=FiltroResp)),PROCESSOS!L221+ROW()/1000000,"")</f>
        <v/>
      </c>
      <c r="BG221" t="str">
        <f>IF(AND(PROCESSOS!B221&lt;&gt;"",ISNUMBER(PROCESSOS!D221),OR(FiltroResp="TODOS",FiltroResp="",PROCESSOS!H221=FiltroResp)),PROCESSOS!D221+ROW()/1000000,"")</f>
        <v/>
      </c>
    </row>
    <row r="222">
      <c r="BF222" t="str">
        <f>IF(AND(OR(PROCESSOS!N222="NO PRAZO",PROCESSOS!N222="VENCE EM BREVE"),OR(FiltroResp="TODOS",FiltroResp="",PROCESSOS!H222=FiltroResp)),PROCESSOS!L222+ROW()/1000000,"")</f>
        <v/>
      </c>
      <c r="BG222" t="str">
        <f>IF(AND(PROCESSOS!B222&lt;&gt;"",ISNUMBER(PROCESSOS!D222),OR(FiltroResp="TODOS",FiltroResp="",PROCESSOS!H222=FiltroResp)),PROCESSOS!D222+ROW()/1000000,"")</f>
        <v/>
      </c>
    </row>
    <row r="223">
      <c r="BF223" t="str">
        <f>IF(AND(OR(PROCESSOS!N223="NO PRAZO",PROCESSOS!N223="VENCE EM BREVE"),OR(FiltroResp="TODOS",FiltroResp="",PROCESSOS!H223=FiltroResp)),PROCESSOS!L223+ROW()/1000000,"")</f>
        <v/>
      </c>
      <c r="BG223" t="str">
        <f>IF(AND(PROCESSOS!B223&lt;&gt;"",ISNUMBER(PROCESSOS!D223),OR(FiltroResp="TODOS",FiltroResp="",PROCESSOS!H223=FiltroResp)),PROCESSOS!D223+ROW()/1000000,"")</f>
        <v/>
      </c>
    </row>
    <row r="224">
      <c r="BF224" t="str">
        <f>IF(AND(OR(PROCESSOS!N224="NO PRAZO",PROCESSOS!N224="VENCE EM BREVE"),OR(FiltroResp="TODOS",FiltroResp="",PROCESSOS!H224=FiltroResp)),PROCESSOS!L224+ROW()/1000000,"")</f>
        <v/>
      </c>
      <c r="BG224" t="str">
        <f>IF(AND(PROCESSOS!B224&lt;&gt;"",ISNUMBER(PROCESSOS!D224),OR(FiltroResp="TODOS",FiltroResp="",PROCESSOS!H224=FiltroResp)),PROCESSOS!D224+ROW()/1000000,"")</f>
        <v/>
      </c>
    </row>
    <row r="225">
      <c r="BF225" t="str">
        <f>IF(AND(OR(PROCESSOS!N225="NO PRAZO",PROCESSOS!N225="VENCE EM BREVE"),OR(FiltroResp="TODOS",FiltroResp="",PROCESSOS!H225=FiltroResp)),PROCESSOS!L225+ROW()/1000000,"")</f>
        <v/>
      </c>
      <c r="BG225" t="str">
        <f>IF(AND(PROCESSOS!B225&lt;&gt;"",ISNUMBER(PROCESSOS!D225),OR(FiltroResp="TODOS",FiltroResp="",PROCESSOS!H225=FiltroResp)),PROCESSOS!D225+ROW()/1000000,"")</f>
        <v/>
      </c>
    </row>
    <row r="226">
      <c r="BF226" t="str">
        <f>IF(AND(OR(PROCESSOS!N226="NO PRAZO",PROCESSOS!N226="VENCE EM BREVE"),OR(FiltroResp="TODOS",FiltroResp="",PROCESSOS!H226=FiltroResp)),PROCESSOS!L226+ROW()/1000000,"")</f>
        <v/>
      </c>
      <c r="BG226" t="str">
        <f>IF(AND(PROCESSOS!B226&lt;&gt;"",ISNUMBER(PROCESSOS!D226),OR(FiltroResp="TODOS",FiltroResp="",PROCESSOS!H226=FiltroResp)),PROCESSOS!D226+ROW()/1000000,"")</f>
        <v/>
      </c>
    </row>
    <row r="227">
      <c r="BF227" t="str">
        <f>IF(AND(OR(PROCESSOS!N227="NO PRAZO",PROCESSOS!N227="VENCE EM BREVE"),OR(FiltroResp="TODOS",FiltroResp="",PROCESSOS!H227=FiltroResp)),PROCESSOS!L227+ROW()/1000000,"")</f>
        <v/>
      </c>
      <c r="BG227" t="str">
        <f>IF(AND(PROCESSOS!B227&lt;&gt;"",ISNUMBER(PROCESSOS!D227),OR(FiltroResp="TODOS",FiltroResp="",PROCESSOS!H227=FiltroResp)),PROCESSOS!D227+ROW()/1000000,"")</f>
        <v/>
      </c>
    </row>
    <row r="228">
      <c r="BF228" t="str">
        <f>IF(AND(OR(PROCESSOS!N228="NO PRAZO",PROCESSOS!N228="VENCE EM BREVE"),OR(FiltroResp="TODOS",FiltroResp="",PROCESSOS!H228=FiltroResp)),PROCESSOS!L228+ROW()/1000000,"")</f>
        <v/>
      </c>
      <c r="BG228" t="str">
        <f>IF(AND(PROCESSOS!B228&lt;&gt;"",ISNUMBER(PROCESSOS!D228),OR(FiltroResp="TODOS",FiltroResp="",PROCESSOS!H228=FiltroResp)),PROCESSOS!D228+ROW()/1000000,"")</f>
        <v/>
      </c>
    </row>
    <row r="229">
      <c r="BF229" t="str">
        <f>IF(AND(OR(PROCESSOS!N229="NO PRAZO",PROCESSOS!N229="VENCE EM BREVE"),OR(FiltroResp="TODOS",FiltroResp="",PROCESSOS!H229=FiltroResp)),PROCESSOS!L229+ROW()/1000000,"")</f>
        <v/>
      </c>
      <c r="BG229" t="str">
        <f>IF(AND(PROCESSOS!B229&lt;&gt;"",ISNUMBER(PROCESSOS!D229),OR(FiltroResp="TODOS",FiltroResp="",PROCESSOS!H229=FiltroResp)),PROCESSOS!D229+ROW()/1000000,"")</f>
        <v/>
      </c>
    </row>
    <row r="230">
      <c r="BF230" t="str">
        <f>IF(AND(OR(PROCESSOS!N230="NO PRAZO",PROCESSOS!N230="VENCE EM BREVE"),OR(FiltroResp="TODOS",FiltroResp="",PROCESSOS!H230=FiltroResp)),PROCESSOS!L230+ROW()/1000000,"")</f>
        <v/>
      </c>
      <c r="BG230" t="str">
        <f>IF(AND(PROCESSOS!B230&lt;&gt;"",ISNUMBER(PROCESSOS!D230),OR(FiltroResp="TODOS",FiltroResp="",PROCESSOS!H230=FiltroResp)),PROCESSOS!D230+ROW()/1000000,"")</f>
        <v/>
      </c>
    </row>
    <row r="231">
      <c r="BF231" t="str">
        <f>IF(AND(OR(PROCESSOS!N231="NO PRAZO",PROCESSOS!N231="VENCE EM BREVE"),OR(FiltroResp="TODOS",FiltroResp="",PROCESSOS!H231=FiltroResp)),PROCESSOS!L231+ROW()/1000000,"")</f>
        <v/>
      </c>
      <c r="BG231" t="str">
        <f>IF(AND(PROCESSOS!B231&lt;&gt;"",ISNUMBER(PROCESSOS!D231),OR(FiltroResp="TODOS",FiltroResp="",PROCESSOS!H231=FiltroResp)),PROCESSOS!D231+ROW()/1000000,"")</f>
        <v/>
      </c>
    </row>
    <row r="232">
      <c r="BF232" t="str">
        <f>IF(AND(OR(PROCESSOS!N232="NO PRAZO",PROCESSOS!N232="VENCE EM BREVE"),OR(FiltroResp="TODOS",FiltroResp="",PROCESSOS!H232=FiltroResp)),PROCESSOS!L232+ROW()/1000000,"")</f>
        <v/>
      </c>
      <c r="BG232" t="str">
        <f>IF(AND(PROCESSOS!B232&lt;&gt;"",ISNUMBER(PROCESSOS!D232),OR(FiltroResp="TODOS",FiltroResp="",PROCESSOS!H232=FiltroResp)),PROCESSOS!D232+ROW()/1000000,"")</f>
        <v/>
      </c>
    </row>
    <row r="233">
      <c r="BF233" t="str">
        <f>IF(AND(OR(PROCESSOS!N233="NO PRAZO",PROCESSOS!N233="VENCE EM BREVE"),OR(FiltroResp="TODOS",FiltroResp="",PROCESSOS!H233=FiltroResp)),PROCESSOS!L233+ROW()/1000000,"")</f>
        <v/>
      </c>
      <c r="BG233" t="str">
        <f>IF(AND(PROCESSOS!B233&lt;&gt;"",ISNUMBER(PROCESSOS!D233),OR(FiltroResp="TODOS",FiltroResp="",PROCESSOS!H233=FiltroResp)),PROCESSOS!D233+ROW()/1000000,"")</f>
        <v/>
      </c>
    </row>
    <row r="234">
      <c r="BF234" t="str">
        <f>IF(AND(OR(PROCESSOS!N234="NO PRAZO",PROCESSOS!N234="VENCE EM BREVE"),OR(FiltroResp="TODOS",FiltroResp="",PROCESSOS!H234=FiltroResp)),PROCESSOS!L234+ROW()/1000000,"")</f>
        <v/>
      </c>
      <c r="BG234" t="str">
        <f>IF(AND(PROCESSOS!B234&lt;&gt;"",ISNUMBER(PROCESSOS!D234),OR(FiltroResp="TODOS",FiltroResp="",PROCESSOS!H234=FiltroResp)),PROCESSOS!D234+ROW()/1000000,"")</f>
        <v/>
      </c>
    </row>
    <row r="235">
      <c r="BF235" t="str">
        <f>IF(AND(OR(PROCESSOS!N235="NO PRAZO",PROCESSOS!N235="VENCE EM BREVE"),OR(FiltroResp="TODOS",FiltroResp="",PROCESSOS!H235=FiltroResp)),PROCESSOS!L235+ROW()/1000000,"")</f>
        <v/>
      </c>
      <c r="BG235" t="str">
        <f>IF(AND(PROCESSOS!B235&lt;&gt;"",ISNUMBER(PROCESSOS!D235),OR(FiltroResp="TODOS",FiltroResp="",PROCESSOS!H235=FiltroResp)),PROCESSOS!D235+ROW()/1000000,"")</f>
        <v/>
      </c>
    </row>
    <row r="236">
      <c r="BF236" t="str">
        <f>IF(AND(OR(PROCESSOS!N236="NO PRAZO",PROCESSOS!N236="VENCE EM BREVE"),OR(FiltroResp="TODOS",FiltroResp="",PROCESSOS!H236=FiltroResp)),PROCESSOS!L236+ROW()/1000000,"")</f>
        <v/>
      </c>
      <c r="BG236" t="str">
        <f>IF(AND(PROCESSOS!B236&lt;&gt;"",ISNUMBER(PROCESSOS!D236),OR(FiltroResp="TODOS",FiltroResp="",PROCESSOS!H236=FiltroResp)),PROCESSOS!D236+ROW()/1000000,"")</f>
        <v/>
      </c>
    </row>
    <row r="237">
      <c r="BF237" t="str">
        <f>IF(AND(OR(PROCESSOS!N237="NO PRAZO",PROCESSOS!N237="VENCE EM BREVE"),OR(FiltroResp="TODOS",FiltroResp="",PROCESSOS!H237=FiltroResp)),PROCESSOS!L237+ROW()/1000000,"")</f>
        <v/>
      </c>
      <c r="BG237" t="str">
        <f>IF(AND(PROCESSOS!B237&lt;&gt;"",ISNUMBER(PROCESSOS!D237),OR(FiltroResp="TODOS",FiltroResp="",PROCESSOS!H237=FiltroResp)),PROCESSOS!D237+ROW()/1000000,"")</f>
        <v/>
      </c>
    </row>
    <row r="238">
      <c r="BF238" t="str">
        <f>IF(AND(OR(PROCESSOS!N238="NO PRAZO",PROCESSOS!N238="VENCE EM BREVE"),OR(FiltroResp="TODOS",FiltroResp="",PROCESSOS!H238=FiltroResp)),PROCESSOS!L238+ROW()/1000000,"")</f>
        <v/>
      </c>
      <c r="BG238" t="str">
        <f>IF(AND(PROCESSOS!B238&lt;&gt;"",ISNUMBER(PROCESSOS!D238),OR(FiltroResp="TODOS",FiltroResp="",PROCESSOS!H238=FiltroResp)),PROCESSOS!D238+ROW()/1000000,"")</f>
        <v/>
      </c>
    </row>
    <row r="239">
      <c r="BF239" t="str">
        <f>IF(AND(OR(PROCESSOS!N239="NO PRAZO",PROCESSOS!N239="VENCE EM BREVE"),OR(FiltroResp="TODOS",FiltroResp="",PROCESSOS!H239=FiltroResp)),PROCESSOS!L239+ROW()/1000000,"")</f>
        <v/>
      </c>
      <c r="BG239" t="str">
        <f>IF(AND(PROCESSOS!B239&lt;&gt;"",ISNUMBER(PROCESSOS!D239),OR(FiltroResp="TODOS",FiltroResp="",PROCESSOS!H239=FiltroResp)),PROCESSOS!D239+ROW()/1000000,"")</f>
        <v/>
      </c>
    </row>
    <row r="240">
      <c r="BF240" t="str">
        <f>IF(AND(OR(PROCESSOS!N240="NO PRAZO",PROCESSOS!N240="VENCE EM BREVE"),OR(FiltroResp="TODOS",FiltroResp="",PROCESSOS!H240=FiltroResp)),PROCESSOS!L240+ROW()/1000000,"")</f>
        <v/>
      </c>
      <c r="BG240" t="str">
        <f>IF(AND(PROCESSOS!B240&lt;&gt;"",ISNUMBER(PROCESSOS!D240),OR(FiltroResp="TODOS",FiltroResp="",PROCESSOS!H240=FiltroResp)),PROCESSOS!D240+ROW()/1000000,"")</f>
        <v/>
      </c>
    </row>
    <row r="241">
      <c r="BF241" t="str">
        <f>IF(AND(OR(PROCESSOS!N241="NO PRAZO",PROCESSOS!N241="VENCE EM BREVE"),OR(FiltroResp="TODOS",FiltroResp="",PROCESSOS!H241=FiltroResp)),PROCESSOS!L241+ROW()/1000000,"")</f>
        <v/>
      </c>
      <c r="BG241" t="str">
        <f>IF(AND(PROCESSOS!B241&lt;&gt;"",ISNUMBER(PROCESSOS!D241),OR(FiltroResp="TODOS",FiltroResp="",PROCESSOS!H241=FiltroResp)),PROCESSOS!D241+ROW()/1000000,"")</f>
        <v/>
      </c>
    </row>
    <row r="242">
      <c r="BF242" t="str">
        <f>IF(AND(OR(PROCESSOS!N242="NO PRAZO",PROCESSOS!N242="VENCE EM BREVE"),OR(FiltroResp="TODOS",FiltroResp="",PROCESSOS!H242=FiltroResp)),PROCESSOS!L242+ROW()/1000000,"")</f>
        <v/>
      </c>
      <c r="BG242" t="str">
        <f>IF(AND(PROCESSOS!B242&lt;&gt;"",ISNUMBER(PROCESSOS!D242),OR(FiltroResp="TODOS",FiltroResp="",PROCESSOS!H242=FiltroResp)),PROCESSOS!D242+ROW()/1000000,"")</f>
        <v/>
      </c>
    </row>
    <row r="243">
      <c r="BF243" t="str">
        <f>IF(AND(OR(PROCESSOS!N243="NO PRAZO",PROCESSOS!N243="VENCE EM BREVE"),OR(FiltroResp="TODOS",FiltroResp="",PROCESSOS!H243=FiltroResp)),PROCESSOS!L243+ROW()/1000000,"")</f>
        <v/>
      </c>
      <c r="BG243" t="str">
        <f>IF(AND(PROCESSOS!B243&lt;&gt;"",ISNUMBER(PROCESSOS!D243),OR(FiltroResp="TODOS",FiltroResp="",PROCESSOS!H243=FiltroResp)),PROCESSOS!D243+ROW()/1000000,"")</f>
        <v/>
      </c>
    </row>
    <row r="244">
      <c r="BF244" t="str">
        <f>IF(AND(OR(PROCESSOS!N244="NO PRAZO",PROCESSOS!N244="VENCE EM BREVE"),OR(FiltroResp="TODOS",FiltroResp="",PROCESSOS!H244=FiltroResp)),PROCESSOS!L244+ROW()/1000000,"")</f>
        <v/>
      </c>
      <c r="BG244" t="str">
        <f>IF(AND(PROCESSOS!B244&lt;&gt;"",ISNUMBER(PROCESSOS!D244),OR(FiltroResp="TODOS",FiltroResp="",PROCESSOS!H244=FiltroResp)),PROCESSOS!D244+ROW()/1000000,"")</f>
        <v/>
      </c>
    </row>
    <row r="245">
      <c r="BF245" t="str">
        <f>IF(AND(OR(PROCESSOS!N245="NO PRAZO",PROCESSOS!N245="VENCE EM BREVE"),OR(FiltroResp="TODOS",FiltroResp="",PROCESSOS!H245=FiltroResp)),PROCESSOS!L245+ROW()/1000000,"")</f>
        <v/>
      </c>
      <c r="BG245" t="str">
        <f>IF(AND(PROCESSOS!B245&lt;&gt;"",ISNUMBER(PROCESSOS!D245),OR(FiltroResp="TODOS",FiltroResp="",PROCESSOS!H245=FiltroResp)),PROCESSOS!D245+ROW()/1000000,"")</f>
        <v/>
      </c>
    </row>
    <row r="246">
      <c r="BF246" t="str">
        <f>IF(AND(OR(PROCESSOS!N246="NO PRAZO",PROCESSOS!N246="VENCE EM BREVE"),OR(FiltroResp="TODOS",FiltroResp="",PROCESSOS!H246=FiltroResp)),PROCESSOS!L246+ROW()/1000000,"")</f>
        <v/>
      </c>
      <c r="BG246" t="str">
        <f>IF(AND(PROCESSOS!B246&lt;&gt;"",ISNUMBER(PROCESSOS!D246),OR(FiltroResp="TODOS",FiltroResp="",PROCESSOS!H246=FiltroResp)),PROCESSOS!D246+ROW()/1000000,"")</f>
        <v/>
      </c>
    </row>
    <row r="247">
      <c r="BF247" t="str">
        <f>IF(AND(OR(PROCESSOS!N247="NO PRAZO",PROCESSOS!N247="VENCE EM BREVE"),OR(FiltroResp="TODOS",FiltroResp="",PROCESSOS!H247=FiltroResp)),PROCESSOS!L247+ROW()/1000000,"")</f>
        <v/>
      </c>
      <c r="BG247" t="str">
        <f>IF(AND(PROCESSOS!B247&lt;&gt;"",ISNUMBER(PROCESSOS!D247),OR(FiltroResp="TODOS",FiltroResp="",PROCESSOS!H247=FiltroResp)),PROCESSOS!D247+ROW()/1000000,"")</f>
        <v/>
      </c>
    </row>
    <row r="248">
      <c r="BF248" t="str">
        <f>IF(AND(OR(PROCESSOS!N248="NO PRAZO",PROCESSOS!N248="VENCE EM BREVE"),OR(FiltroResp="TODOS",FiltroResp="",PROCESSOS!H248=FiltroResp)),PROCESSOS!L248+ROW()/1000000,"")</f>
        <v/>
      </c>
      <c r="BG248" t="str">
        <f>IF(AND(PROCESSOS!B248&lt;&gt;"",ISNUMBER(PROCESSOS!D248),OR(FiltroResp="TODOS",FiltroResp="",PROCESSOS!H248=FiltroResp)),PROCESSOS!D248+ROW()/1000000,"")</f>
        <v/>
      </c>
    </row>
    <row r="249">
      <c r="BF249" t="str">
        <f>IF(AND(OR(PROCESSOS!N249="NO PRAZO",PROCESSOS!N249="VENCE EM BREVE"),OR(FiltroResp="TODOS",FiltroResp="",PROCESSOS!H249=FiltroResp)),PROCESSOS!L249+ROW()/1000000,"")</f>
        <v/>
      </c>
      <c r="BG249" t="str">
        <f>IF(AND(PROCESSOS!B249&lt;&gt;"",ISNUMBER(PROCESSOS!D249),OR(FiltroResp="TODOS",FiltroResp="",PROCESSOS!H249=FiltroResp)),PROCESSOS!D249+ROW()/1000000,"")</f>
        <v/>
      </c>
    </row>
    <row r="250">
      <c r="BF250" t="str">
        <f>IF(AND(OR(PROCESSOS!N250="NO PRAZO",PROCESSOS!N250="VENCE EM BREVE"),OR(FiltroResp="TODOS",FiltroResp="",PROCESSOS!H250=FiltroResp)),PROCESSOS!L250+ROW()/1000000,"")</f>
        <v/>
      </c>
      <c r="BG250" t="str">
        <f>IF(AND(PROCESSOS!B250&lt;&gt;"",ISNUMBER(PROCESSOS!D250),OR(FiltroResp="TODOS",FiltroResp="",PROCESSOS!H250=FiltroResp)),PROCESSOS!D250+ROW()/1000000,"")</f>
        <v/>
      </c>
    </row>
    <row r="251">
      <c r="BF251" t="str">
        <f>IF(AND(OR(PROCESSOS!N251="NO PRAZO",PROCESSOS!N251="VENCE EM BREVE"),OR(FiltroResp="TODOS",FiltroResp="",PROCESSOS!H251=FiltroResp)),PROCESSOS!L251+ROW()/1000000,"")</f>
        <v/>
      </c>
      <c r="BG251" t="str">
        <f>IF(AND(PROCESSOS!B251&lt;&gt;"",ISNUMBER(PROCESSOS!D251),OR(FiltroResp="TODOS",FiltroResp="",PROCESSOS!H251=FiltroResp)),PROCESSOS!D251+ROW()/1000000,"")</f>
        <v/>
      </c>
    </row>
    <row r="252">
      <c r="BF252" t="str">
        <f>IF(AND(OR(PROCESSOS!N252="NO PRAZO",PROCESSOS!N252="VENCE EM BREVE"),OR(FiltroResp="TODOS",FiltroResp="",PROCESSOS!H252=FiltroResp)),PROCESSOS!L252+ROW()/1000000,"")</f>
        <v/>
      </c>
      <c r="BG252" t="str">
        <f>IF(AND(PROCESSOS!B252&lt;&gt;"",ISNUMBER(PROCESSOS!D252),OR(FiltroResp="TODOS",FiltroResp="",PROCESSOS!H252=FiltroResp)),PROCESSOS!D252+ROW()/1000000,"")</f>
        <v/>
      </c>
    </row>
    <row r="253">
      <c r="BF253" t="str">
        <f>IF(AND(OR(PROCESSOS!N253="NO PRAZO",PROCESSOS!N253="VENCE EM BREVE"),OR(FiltroResp="TODOS",FiltroResp="",PROCESSOS!H253=FiltroResp)),PROCESSOS!L253+ROW()/1000000,"")</f>
        <v/>
      </c>
      <c r="BG253" t="str">
        <f>IF(AND(PROCESSOS!B253&lt;&gt;"",ISNUMBER(PROCESSOS!D253),OR(FiltroResp="TODOS",FiltroResp="",PROCESSOS!H253=FiltroResp)),PROCESSOS!D253+ROW()/1000000,"")</f>
        <v/>
      </c>
    </row>
    <row r="254">
      <c r="BF254" t="str">
        <f>IF(AND(OR(PROCESSOS!N254="NO PRAZO",PROCESSOS!N254="VENCE EM BREVE"),OR(FiltroResp="TODOS",FiltroResp="",PROCESSOS!H254=FiltroResp)),PROCESSOS!L254+ROW()/1000000,"")</f>
        <v/>
      </c>
      <c r="BG254" t="str">
        <f>IF(AND(PROCESSOS!B254&lt;&gt;"",ISNUMBER(PROCESSOS!D254),OR(FiltroResp="TODOS",FiltroResp="",PROCESSOS!H254=FiltroResp)),PROCESSOS!D254+ROW()/1000000,"")</f>
        <v/>
      </c>
    </row>
    <row r="255">
      <c r="BF255" t="str">
        <f>IF(AND(OR(PROCESSOS!N255="NO PRAZO",PROCESSOS!N255="VENCE EM BREVE"),OR(FiltroResp="TODOS",FiltroResp="",PROCESSOS!H255=FiltroResp)),PROCESSOS!L255+ROW()/1000000,"")</f>
        <v/>
      </c>
      <c r="BG255" t="str">
        <f>IF(AND(PROCESSOS!B255&lt;&gt;"",ISNUMBER(PROCESSOS!D255),OR(FiltroResp="TODOS",FiltroResp="",PROCESSOS!H255=FiltroResp)),PROCESSOS!D255+ROW()/1000000,"")</f>
        <v/>
      </c>
    </row>
    <row r="256">
      <c r="BF256" t="str">
        <f>IF(AND(OR(PROCESSOS!N256="NO PRAZO",PROCESSOS!N256="VENCE EM BREVE"),OR(FiltroResp="TODOS",FiltroResp="",PROCESSOS!H256=FiltroResp)),PROCESSOS!L256+ROW()/1000000,"")</f>
        <v/>
      </c>
      <c r="BG256" t="str">
        <f>IF(AND(PROCESSOS!B256&lt;&gt;"",ISNUMBER(PROCESSOS!D256),OR(FiltroResp="TODOS",FiltroResp="",PROCESSOS!H256=FiltroResp)),PROCESSOS!D256+ROW()/1000000,"")</f>
        <v/>
      </c>
    </row>
    <row r="257">
      <c r="BF257" t="str">
        <f>IF(AND(OR(PROCESSOS!N257="NO PRAZO",PROCESSOS!N257="VENCE EM BREVE"),OR(FiltroResp="TODOS",FiltroResp="",PROCESSOS!H257=FiltroResp)),PROCESSOS!L257+ROW()/1000000,"")</f>
        <v/>
      </c>
      <c r="BG257" t="str">
        <f>IF(AND(PROCESSOS!B257&lt;&gt;"",ISNUMBER(PROCESSOS!D257),OR(FiltroResp="TODOS",FiltroResp="",PROCESSOS!H257=FiltroResp)),PROCESSOS!D257+ROW()/1000000,"")</f>
        <v/>
      </c>
    </row>
    <row r="258">
      <c r="BF258" t="str">
        <f>IF(AND(OR(PROCESSOS!N258="NO PRAZO",PROCESSOS!N258="VENCE EM BREVE"),OR(FiltroResp="TODOS",FiltroResp="",PROCESSOS!H258=FiltroResp)),PROCESSOS!L258+ROW()/1000000,"")</f>
        <v/>
      </c>
      <c r="BG258" t="str">
        <f>IF(AND(PROCESSOS!B258&lt;&gt;"",ISNUMBER(PROCESSOS!D258),OR(FiltroResp="TODOS",FiltroResp="",PROCESSOS!H258=FiltroResp)),PROCESSOS!D258+ROW()/1000000,"")</f>
        <v/>
      </c>
    </row>
    <row r="259">
      <c r="BF259" t="str">
        <f>IF(AND(OR(PROCESSOS!N259="NO PRAZO",PROCESSOS!N259="VENCE EM BREVE"),OR(FiltroResp="TODOS",FiltroResp="",PROCESSOS!H259=FiltroResp)),PROCESSOS!L259+ROW()/1000000,"")</f>
        <v/>
      </c>
      <c r="BG259" t="str">
        <f>IF(AND(PROCESSOS!B259&lt;&gt;"",ISNUMBER(PROCESSOS!D259),OR(FiltroResp="TODOS",FiltroResp="",PROCESSOS!H259=FiltroResp)),PROCESSOS!D259+ROW()/1000000,"")</f>
        <v/>
      </c>
    </row>
    <row r="260">
      <c r="BF260" t="str">
        <f>IF(AND(OR(PROCESSOS!N260="NO PRAZO",PROCESSOS!N260="VENCE EM BREVE"),OR(FiltroResp="TODOS",FiltroResp="",PROCESSOS!H260=FiltroResp)),PROCESSOS!L260+ROW()/1000000,"")</f>
        <v/>
      </c>
      <c r="BG260" t="str">
        <f>IF(AND(PROCESSOS!B260&lt;&gt;"",ISNUMBER(PROCESSOS!D260),OR(FiltroResp="TODOS",FiltroResp="",PROCESSOS!H260=FiltroResp)),PROCESSOS!D260+ROW()/1000000,"")</f>
        <v/>
      </c>
    </row>
    <row r="261">
      <c r="BF261" t="str">
        <f>IF(AND(OR(PROCESSOS!N261="NO PRAZO",PROCESSOS!N261="VENCE EM BREVE"),OR(FiltroResp="TODOS",FiltroResp="",PROCESSOS!H261=FiltroResp)),PROCESSOS!L261+ROW()/1000000,"")</f>
        <v/>
      </c>
      <c r="BG261" t="str">
        <f>IF(AND(PROCESSOS!B261&lt;&gt;"",ISNUMBER(PROCESSOS!D261),OR(FiltroResp="TODOS",FiltroResp="",PROCESSOS!H261=FiltroResp)),PROCESSOS!D261+ROW()/1000000,"")</f>
        <v/>
      </c>
    </row>
    <row r="262">
      <c r="BF262" t="str">
        <f>IF(AND(OR(PROCESSOS!N262="NO PRAZO",PROCESSOS!N262="VENCE EM BREVE"),OR(FiltroResp="TODOS",FiltroResp="",PROCESSOS!H262=FiltroResp)),PROCESSOS!L262+ROW()/1000000,"")</f>
        <v/>
      </c>
      <c r="BG262" t="str">
        <f>IF(AND(PROCESSOS!B262&lt;&gt;"",ISNUMBER(PROCESSOS!D262),OR(FiltroResp="TODOS",FiltroResp="",PROCESSOS!H262=FiltroResp)),PROCESSOS!D262+ROW()/1000000,"")</f>
        <v/>
      </c>
    </row>
    <row r="263">
      <c r="BF263" t="str">
        <f>IF(AND(OR(PROCESSOS!N263="NO PRAZO",PROCESSOS!N263="VENCE EM BREVE"),OR(FiltroResp="TODOS",FiltroResp="",PROCESSOS!H263=FiltroResp)),PROCESSOS!L263+ROW()/1000000,"")</f>
        <v/>
      </c>
      <c r="BG263" t="str">
        <f>IF(AND(PROCESSOS!B263&lt;&gt;"",ISNUMBER(PROCESSOS!D263),OR(FiltroResp="TODOS",FiltroResp="",PROCESSOS!H263=FiltroResp)),PROCESSOS!D263+ROW()/1000000,"")</f>
        <v/>
      </c>
    </row>
    <row r="264">
      <c r="BF264" t="str">
        <f>IF(AND(OR(PROCESSOS!N264="NO PRAZO",PROCESSOS!N264="VENCE EM BREVE"),OR(FiltroResp="TODOS",FiltroResp="",PROCESSOS!H264=FiltroResp)),PROCESSOS!L264+ROW()/1000000,"")</f>
        <v/>
      </c>
      <c r="BG264" t="str">
        <f>IF(AND(PROCESSOS!B264&lt;&gt;"",ISNUMBER(PROCESSOS!D264),OR(FiltroResp="TODOS",FiltroResp="",PROCESSOS!H264=FiltroResp)),PROCESSOS!D264+ROW()/1000000,"")</f>
        <v/>
      </c>
    </row>
    <row r="265">
      <c r="BF265" t="str">
        <f>IF(AND(OR(PROCESSOS!N265="NO PRAZO",PROCESSOS!N265="VENCE EM BREVE"),OR(FiltroResp="TODOS",FiltroResp="",PROCESSOS!H265=FiltroResp)),PROCESSOS!L265+ROW()/1000000,"")</f>
        <v/>
      </c>
      <c r="BG265" t="str">
        <f>IF(AND(PROCESSOS!B265&lt;&gt;"",ISNUMBER(PROCESSOS!D265),OR(FiltroResp="TODOS",FiltroResp="",PROCESSOS!H265=FiltroResp)),PROCESSOS!D265+ROW()/1000000,"")</f>
        <v/>
      </c>
    </row>
    <row r="266">
      <c r="BF266" t="str">
        <f>IF(AND(OR(PROCESSOS!N266="NO PRAZO",PROCESSOS!N266="VENCE EM BREVE"),OR(FiltroResp="TODOS",FiltroResp="",PROCESSOS!H266=FiltroResp)),PROCESSOS!L266+ROW()/1000000,"")</f>
        <v/>
      </c>
      <c r="BG266" t="str">
        <f>IF(AND(PROCESSOS!B266&lt;&gt;"",ISNUMBER(PROCESSOS!D266),OR(FiltroResp="TODOS",FiltroResp="",PROCESSOS!H266=FiltroResp)),PROCESSOS!D266+ROW()/1000000,"")</f>
        <v/>
      </c>
    </row>
    <row r="267">
      <c r="BF267" t="str">
        <f>IF(AND(OR(PROCESSOS!N267="NO PRAZO",PROCESSOS!N267="VENCE EM BREVE"),OR(FiltroResp="TODOS",FiltroResp="",PROCESSOS!H267=FiltroResp)),PROCESSOS!L267+ROW()/1000000,"")</f>
        <v/>
      </c>
      <c r="BG267" t="str">
        <f>IF(AND(PROCESSOS!B267&lt;&gt;"",ISNUMBER(PROCESSOS!D267),OR(FiltroResp="TODOS",FiltroResp="",PROCESSOS!H267=FiltroResp)),PROCESSOS!D267+ROW()/1000000,"")</f>
        <v/>
      </c>
    </row>
    <row r="268">
      <c r="BF268" t="str">
        <f>IF(AND(OR(PROCESSOS!N268="NO PRAZO",PROCESSOS!N268="VENCE EM BREVE"),OR(FiltroResp="TODOS",FiltroResp="",PROCESSOS!H268=FiltroResp)),PROCESSOS!L268+ROW()/1000000,"")</f>
        <v/>
      </c>
      <c r="BG268" t="str">
        <f>IF(AND(PROCESSOS!B268&lt;&gt;"",ISNUMBER(PROCESSOS!D268),OR(FiltroResp="TODOS",FiltroResp="",PROCESSOS!H268=FiltroResp)),PROCESSOS!D268+ROW()/1000000,"")</f>
        <v/>
      </c>
    </row>
    <row r="269">
      <c r="BF269" t="str">
        <f>IF(AND(OR(PROCESSOS!N269="NO PRAZO",PROCESSOS!N269="VENCE EM BREVE"),OR(FiltroResp="TODOS",FiltroResp="",PROCESSOS!H269=FiltroResp)),PROCESSOS!L269+ROW()/1000000,"")</f>
        <v/>
      </c>
      <c r="BG269" t="str">
        <f>IF(AND(PROCESSOS!B269&lt;&gt;"",ISNUMBER(PROCESSOS!D269),OR(FiltroResp="TODOS",FiltroResp="",PROCESSOS!H269=FiltroResp)),PROCESSOS!D269+ROW()/1000000,"")</f>
        <v/>
      </c>
    </row>
    <row r="270">
      <c r="BF270" t="str">
        <f>IF(AND(OR(PROCESSOS!N270="NO PRAZO",PROCESSOS!N270="VENCE EM BREVE"),OR(FiltroResp="TODOS",FiltroResp="",PROCESSOS!H270=FiltroResp)),PROCESSOS!L270+ROW()/1000000,"")</f>
        <v/>
      </c>
      <c r="BG270" t="str">
        <f>IF(AND(PROCESSOS!B270&lt;&gt;"",ISNUMBER(PROCESSOS!D270),OR(FiltroResp="TODOS",FiltroResp="",PROCESSOS!H270=FiltroResp)),PROCESSOS!D270+ROW()/1000000,"")</f>
        <v/>
      </c>
    </row>
    <row r="271">
      <c r="BF271" t="str">
        <f>IF(AND(OR(PROCESSOS!N271="NO PRAZO",PROCESSOS!N271="VENCE EM BREVE"),OR(FiltroResp="TODOS",FiltroResp="",PROCESSOS!H271=FiltroResp)),PROCESSOS!L271+ROW()/1000000,"")</f>
        <v/>
      </c>
      <c r="BG271" t="str">
        <f>IF(AND(PROCESSOS!B271&lt;&gt;"",ISNUMBER(PROCESSOS!D271),OR(FiltroResp="TODOS",FiltroResp="",PROCESSOS!H271=FiltroResp)),PROCESSOS!D271+ROW()/1000000,"")</f>
        <v/>
      </c>
    </row>
    <row r="272">
      <c r="BF272" t="str">
        <f>IF(AND(OR(PROCESSOS!N272="NO PRAZO",PROCESSOS!N272="VENCE EM BREVE"),OR(FiltroResp="TODOS",FiltroResp="",PROCESSOS!H272=FiltroResp)),PROCESSOS!L272+ROW()/1000000,"")</f>
        <v/>
      </c>
      <c r="BG272" t="str">
        <f>IF(AND(PROCESSOS!B272&lt;&gt;"",ISNUMBER(PROCESSOS!D272),OR(FiltroResp="TODOS",FiltroResp="",PROCESSOS!H272=FiltroResp)),PROCESSOS!D272+ROW()/1000000,"")</f>
        <v/>
      </c>
    </row>
    <row r="273">
      <c r="BF273" t="str">
        <f>IF(AND(OR(PROCESSOS!N273="NO PRAZO",PROCESSOS!N273="VENCE EM BREVE"),OR(FiltroResp="TODOS",FiltroResp="",PROCESSOS!H273=FiltroResp)),PROCESSOS!L273+ROW()/1000000,"")</f>
        <v/>
      </c>
      <c r="BG273" t="str">
        <f>IF(AND(PROCESSOS!B273&lt;&gt;"",ISNUMBER(PROCESSOS!D273),OR(FiltroResp="TODOS",FiltroResp="",PROCESSOS!H273=FiltroResp)),PROCESSOS!D273+ROW()/1000000,"")</f>
        <v/>
      </c>
    </row>
    <row r="274">
      <c r="BF274" t="str">
        <f>IF(AND(OR(PROCESSOS!N274="NO PRAZO",PROCESSOS!N274="VENCE EM BREVE"),OR(FiltroResp="TODOS",FiltroResp="",PROCESSOS!H274=FiltroResp)),PROCESSOS!L274+ROW()/1000000,"")</f>
        <v/>
      </c>
      <c r="BG274" t="str">
        <f>IF(AND(PROCESSOS!B274&lt;&gt;"",ISNUMBER(PROCESSOS!D274),OR(FiltroResp="TODOS",FiltroResp="",PROCESSOS!H274=FiltroResp)),PROCESSOS!D274+ROW()/1000000,"")</f>
        <v/>
      </c>
    </row>
    <row r="275">
      <c r="BF275" t="str">
        <f>IF(AND(OR(PROCESSOS!N275="NO PRAZO",PROCESSOS!N275="VENCE EM BREVE"),OR(FiltroResp="TODOS",FiltroResp="",PROCESSOS!H275=FiltroResp)),PROCESSOS!L275+ROW()/1000000,"")</f>
        <v/>
      </c>
      <c r="BG275" t="str">
        <f>IF(AND(PROCESSOS!B275&lt;&gt;"",ISNUMBER(PROCESSOS!D275),OR(FiltroResp="TODOS",FiltroResp="",PROCESSOS!H275=FiltroResp)),PROCESSOS!D275+ROW()/1000000,"")</f>
        <v/>
      </c>
    </row>
    <row r="276">
      <c r="BF276" t="str">
        <f>IF(AND(OR(PROCESSOS!N276="NO PRAZO",PROCESSOS!N276="VENCE EM BREVE"),OR(FiltroResp="TODOS",FiltroResp="",PROCESSOS!H276=FiltroResp)),PROCESSOS!L276+ROW()/1000000,"")</f>
        <v/>
      </c>
      <c r="BG276" t="str">
        <f>IF(AND(PROCESSOS!B276&lt;&gt;"",ISNUMBER(PROCESSOS!D276),OR(FiltroResp="TODOS",FiltroResp="",PROCESSOS!H276=FiltroResp)),PROCESSOS!D276+ROW()/1000000,"")</f>
        <v/>
      </c>
    </row>
    <row r="277">
      <c r="BF277" t="str">
        <f>IF(AND(OR(PROCESSOS!N277="NO PRAZO",PROCESSOS!N277="VENCE EM BREVE"),OR(FiltroResp="TODOS",FiltroResp="",PROCESSOS!H277=FiltroResp)),PROCESSOS!L277+ROW()/1000000,"")</f>
        <v/>
      </c>
      <c r="BG277" t="str">
        <f>IF(AND(PROCESSOS!B277&lt;&gt;"",ISNUMBER(PROCESSOS!D277),OR(FiltroResp="TODOS",FiltroResp="",PROCESSOS!H277=FiltroResp)),PROCESSOS!D277+ROW()/1000000,"")</f>
        <v/>
      </c>
    </row>
    <row r="278">
      <c r="BF278" t="str">
        <f>IF(AND(OR(PROCESSOS!N278="NO PRAZO",PROCESSOS!N278="VENCE EM BREVE"),OR(FiltroResp="TODOS",FiltroResp="",PROCESSOS!H278=FiltroResp)),PROCESSOS!L278+ROW()/1000000,"")</f>
        <v/>
      </c>
      <c r="BG278" t="str">
        <f>IF(AND(PROCESSOS!B278&lt;&gt;"",ISNUMBER(PROCESSOS!D278),OR(FiltroResp="TODOS",FiltroResp="",PROCESSOS!H278=FiltroResp)),PROCESSOS!D278+ROW()/1000000,"")</f>
        <v/>
      </c>
    </row>
    <row r="279">
      <c r="BF279" t="str">
        <f>IF(AND(OR(PROCESSOS!N279="NO PRAZO",PROCESSOS!N279="VENCE EM BREVE"),OR(FiltroResp="TODOS",FiltroResp="",PROCESSOS!H279=FiltroResp)),PROCESSOS!L279+ROW()/1000000,"")</f>
        <v/>
      </c>
      <c r="BG279" t="str">
        <f>IF(AND(PROCESSOS!B279&lt;&gt;"",ISNUMBER(PROCESSOS!D279),OR(FiltroResp="TODOS",FiltroResp="",PROCESSOS!H279=FiltroResp)),PROCESSOS!D279+ROW()/1000000,"")</f>
        <v/>
      </c>
    </row>
    <row r="280">
      <c r="BF280" t="str">
        <f>IF(AND(OR(PROCESSOS!N280="NO PRAZO",PROCESSOS!N280="VENCE EM BREVE"),OR(FiltroResp="TODOS",FiltroResp="",PROCESSOS!H280=FiltroResp)),PROCESSOS!L280+ROW()/1000000,"")</f>
        <v/>
      </c>
      <c r="BG280" t="str">
        <f>IF(AND(PROCESSOS!B280&lt;&gt;"",ISNUMBER(PROCESSOS!D280),OR(FiltroResp="TODOS",FiltroResp="",PROCESSOS!H280=FiltroResp)),PROCESSOS!D280+ROW()/1000000,"")</f>
        <v/>
      </c>
    </row>
    <row r="281">
      <c r="BF281" t="str">
        <f>IF(AND(OR(PROCESSOS!N281="NO PRAZO",PROCESSOS!N281="VENCE EM BREVE"),OR(FiltroResp="TODOS",FiltroResp="",PROCESSOS!H281=FiltroResp)),PROCESSOS!L281+ROW()/1000000,"")</f>
        <v/>
      </c>
      <c r="BG281" t="str">
        <f>IF(AND(PROCESSOS!B281&lt;&gt;"",ISNUMBER(PROCESSOS!D281),OR(FiltroResp="TODOS",FiltroResp="",PROCESSOS!H281=FiltroResp)),PROCESSOS!D281+ROW()/1000000,"")</f>
        <v/>
      </c>
    </row>
    <row r="282">
      <c r="BF282" t="str">
        <f>IF(AND(OR(PROCESSOS!N282="NO PRAZO",PROCESSOS!N282="VENCE EM BREVE"),OR(FiltroResp="TODOS",FiltroResp="",PROCESSOS!H282=FiltroResp)),PROCESSOS!L282+ROW()/1000000,"")</f>
        <v/>
      </c>
      <c r="BG282" t="str">
        <f>IF(AND(PROCESSOS!B282&lt;&gt;"",ISNUMBER(PROCESSOS!D282),OR(FiltroResp="TODOS",FiltroResp="",PROCESSOS!H282=FiltroResp)),PROCESSOS!D282+ROW()/1000000,"")</f>
        <v/>
      </c>
    </row>
    <row r="283">
      <c r="BF283" t="str">
        <f>IF(AND(OR(PROCESSOS!N283="NO PRAZO",PROCESSOS!N283="VENCE EM BREVE"),OR(FiltroResp="TODOS",FiltroResp="",PROCESSOS!H283=FiltroResp)),PROCESSOS!L283+ROW()/1000000,"")</f>
        <v/>
      </c>
      <c r="BG283" t="str">
        <f>IF(AND(PROCESSOS!B283&lt;&gt;"",ISNUMBER(PROCESSOS!D283),OR(FiltroResp="TODOS",FiltroResp="",PROCESSOS!H283=FiltroResp)),PROCESSOS!D283+ROW()/1000000,"")</f>
        <v/>
      </c>
    </row>
    <row r="284">
      <c r="BF284" t="str">
        <f>IF(AND(OR(PROCESSOS!N284="NO PRAZO",PROCESSOS!N284="VENCE EM BREVE"),OR(FiltroResp="TODOS",FiltroResp="",PROCESSOS!H284=FiltroResp)),PROCESSOS!L284+ROW()/1000000,"")</f>
        <v/>
      </c>
      <c r="BG284" t="str">
        <f>IF(AND(PROCESSOS!B284&lt;&gt;"",ISNUMBER(PROCESSOS!D284),OR(FiltroResp="TODOS",FiltroResp="",PROCESSOS!H284=FiltroResp)),PROCESSOS!D284+ROW()/1000000,"")</f>
        <v/>
      </c>
    </row>
    <row r="285">
      <c r="BF285" t="str">
        <f>IF(AND(OR(PROCESSOS!N285="NO PRAZO",PROCESSOS!N285="VENCE EM BREVE"),OR(FiltroResp="TODOS",FiltroResp="",PROCESSOS!H285=FiltroResp)),PROCESSOS!L285+ROW()/1000000,"")</f>
        <v/>
      </c>
      <c r="BG285" t="str">
        <f>IF(AND(PROCESSOS!B285&lt;&gt;"",ISNUMBER(PROCESSOS!D285),OR(FiltroResp="TODOS",FiltroResp="",PROCESSOS!H285=FiltroResp)),PROCESSOS!D285+ROW()/1000000,"")</f>
        <v/>
      </c>
    </row>
    <row r="286">
      <c r="BF286" t="str">
        <f>IF(AND(OR(PROCESSOS!N286="NO PRAZO",PROCESSOS!N286="VENCE EM BREVE"),OR(FiltroResp="TODOS",FiltroResp="",PROCESSOS!H286=FiltroResp)),PROCESSOS!L286+ROW()/1000000,"")</f>
        <v/>
      </c>
      <c r="BG286" t="str">
        <f>IF(AND(PROCESSOS!B286&lt;&gt;"",ISNUMBER(PROCESSOS!D286),OR(FiltroResp="TODOS",FiltroResp="",PROCESSOS!H286=FiltroResp)),PROCESSOS!D286+ROW()/1000000,"")</f>
        <v/>
      </c>
    </row>
    <row r="287">
      <c r="BF287" t="str">
        <f>IF(AND(OR(PROCESSOS!N287="NO PRAZO",PROCESSOS!N287="VENCE EM BREVE"),OR(FiltroResp="TODOS",FiltroResp="",PROCESSOS!H287=FiltroResp)),PROCESSOS!L287+ROW()/1000000,"")</f>
        <v/>
      </c>
      <c r="BG287" t="str">
        <f>IF(AND(PROCESSOS!B287&lt;&gt;"",ISNUMBER(PROCESSOS!D287),OR(FiltroResp="TODOS",FiltroResp="",PROCESSOS!H287=FiltroResp)),PROCESSOS!D287+ROW()/1000000,"")</f>
        <v/>
      </c>
    </row>
    <row r="288">
      <c r="BF288" t="str">
        <f>IF(AND(OR(PROCESSOS!N288="NO PRAZO",PROCESSOS!N288="VENCE EM BREVE"),OR(FiltroResp="TODOS",FiltroResp="",PROCESSOS!H288=FiltroResp)),PROCESSOS!L288+ROW()/1000000,"")</f>
        <v/>
      </c>
      <c r="BG288" t="str">
        <f>IF(AND(PROCESSOS!B288&lt;&gt;"",ISNUMBER(PROCESSOS!D288),OR(FiltroResp="TODOS",FiltroResp="",PROCESSOS!H288=FiltroResp)),PROCESSOS!D288+ROW()/1000000,"")</f>
        <v/>
      </c>
    </row>
    <row r="289">
      <c r="BF289" t="str">
        <f>IF(AND(OR(PROCESSOS!N289="NO PRAZO",PROCESSOS!N289="VENCE EM BREVE"),OR(FiltroResp="TODOS",FiltroResp="",PROCESSOS!H289=FiltroResp)),PROCESSOS!L289+ROW()/1000000,"")</f>
        <v/>
      </c>
      <c r="BG289" t="str">
        <f>IF(AND(PROCESSOS!B289&lt;&gt;"",ISNUMBER(PROCESSOS!D289),OR(FiltroResp="TODOS",FiltroResp="",PROCESSOS!H289=FiltroResp)),PROCESSOS!D289+ROW()/1000000,"")</f>
        <v/>
      </c>
    </row>
    <row r="290">
      <c r="BF290" t="str">
        <f>IF(AND(OR(PROCESSOS!N290="NO PRAZO",PROCESSOS!N290="VENCE EM BREVE"),OR(FiltroResp="TODOS",FiltroResp="",PROCESSOS!H290=FiltroResp)),PROCESSOS!L290+ROW()/1000000,"")</f>
        <v/>
      </c>
      <c r="BG290" t="str">
        <f>IF(AND(PROCESSOS!B290&lt;&gt;"",ISNUMBER(PROCESSOS!D290),OR(FiltroResp="TODOS",FiltroResp="",PROCESSOS!H290=FiltroResp)),PROCESSOS!D290+ROW()/1000000,"")</f>
        <v/>
      </c>
    </row>
    <row r="291">
      <c r="BF291" t="str">
        <f>IF(AND(OR(PROCESSOS!N291="NO PRAZO",PROCESSOS!N291="VENCE EM BREVE"),OR(FiltroResp="TODOS",FiltroResp="",PROCESSOS!H291=FiltroResp)),PROCESSOS!L291+ROW()/1000000,"")</f>
        <v/>
      </c>
      <c r="BG291" t="str">
        <f>IF(AND(PROCESSOS!B291&lt;&gt;"",ISNUMBER(PROCESSOS!D291),OR(FiltroResp="TODOS",FiltroResp="",PROCESSOS!H291=FiltroResp)),PROCESSOS!D291+ROW()/1000000,"")</f>
        <v/>
      </c>
    </row>
    <row r="292">
      <c r="BF292" t="str">
        <f>IF(AND(OR(PROCESSOS!N292="NO PRAZO",PROCESSOS!N292="VENCE EM BREVE"),OR(FiltroResp="TODOS",FiltroResp="",PROCESSOS!H292=FiltroResp)),PROCESSOS!L292+ROW()/1000000,"")</f>
        <v/>
      </c>
      <c r="BG292" t="str">
        <f>IF(AND(PROCESSOS!B292&lt;&gt;"",ISNUMBER(PROCESSOS!D292),OR(FiltroResp="TODOS",FiltroResp="",PROCESSOS!H292=FiltroResp)),PROCESSOS!D292+ROW()/1000000,"")</f>
        <v/>
      </c>
    </row>
    <row r="293">
      <c r="BF293" t="str">
        <f>IF(AND(OR(PROCESSOS!N293="NO PRAZO",PROCESSOS!N293="VENCE EM BREVE"),OR(FiltroResp="TODOS",FiltroResp="",PROCESSOS!H293=FiltroResp)),PROCESSOS!L293+ROW()/1000000,"")</f>
        <v/>
      </c>
      <c r="BG293" t="str">
        <f>IF(AND(PROCESSOS!B293&lt;&gt;"",ISNUMBER(PROCESSOS!D293),OR(FiltroResp="TODOS",FiltroResp="",PROCESSOS!H293=FiltroResp)),PROCESSOS!D293+ROW()/1000000,"")</f>
        <v/>
      </c>
    </row>
    <row r="294">
      <c r="BF294" t="str">
        <f>IF(AND(OR(PROCESSOS!N294="NO PRAZO",PROCESSOS!N294="VENCE EM BREVE"),OR(FiltroResp="TODOS",FiltroResp="",PROCESSOS!H294=FiltroResp)),PROCESSOS!L294+ROW()/1000000,"")</f>
        <v/>
      </c>
      <c r="BG294" t="str">
        <f>IF(AND(PROCESSOS!B294&lt;&gt;"",ISNUMBER(PROCESSOS!D294),OR(FiltroResp="TODOS",FiltroResp="",PROCESSOS!H294=FiltroResp)),PROCESSOS!D294+ROW()/1000000,"")</f>
        <v/>
      </c>
    </row>
    <row r="295">
      <c r="BF295" t="str">
        <f>IF(AND(OR(PROCESSOS!N295="NO PRAZO",PROCESSOS!N295="VENCE EM BREVE"),OR(FiltroResp="TODOS",FiltroResp="",PROCESSOS!H295=FiltroResp)),PROCESSOS!L295+ROW()/1000000,"")</f>
        <v/>
      </c>
      <c r="BG295" t="str">
        <f>IF(AND(PROCESSOS!B295&lt;&gt;"",ISNUMBER(PROCESSOS!D295),OR(FiltroResp="TODOS",FiltroResp="",PROCESSOS!H295=FiltroResp)),PROCESSOS!D295+ROW()/1000000,"")</f>
        <v/>
      </c>
    </row>
    <row r="296">
      <c r="BF296" t="str">
        <f>IF(AND(OR(PROCESSOS!N296="NO PRAZO",PROCESSOS!N296="VENCE EM BREVE"),OR(FiltroResp="TODOS",FiltroResp="",PROCESSOS!H296=FiltroResp)),PROCESSOS!L296+ROW()/1000000,"")</f>
        <v/>
      </c>
      <c r="BG296" t="str">
        <f>IF(AND(PROCESSOS!B296&lt;&gt;"",ISNUMBER(PROCESSOS!D296),OR(FiltroResp="TODOS",FiltroResp="",PROCESSOS!H296=FiltroResp)),PROCESSOS!D296+ROW()/1000000,"")</f>
        <v/>
      </c>
    </row>
    <row r="297">
      <c r="BF297" t="str">
        <f>IF(AND(OR(PROCESSOS!N297="NO PRAZO",PROCESSOS!N297="VENCE EM BREVE"),OR(FiltroResp="TODOS",FiltroResp="",PROCESSOS!H297=FiltroResp)),PROCESSOS!L297+ROW()/1000000,"")</f>
        <v/>
      </c>
      <c r="BG297" t="str">
        <f>IF(AND(PROCESSOS!B297&lt;&gt;"",ISNUMBER(PROCESSOS!D297),OR(FiltroResp="TODOS",FiltroResp="",PROCESSOS!H297=FiltroResp)),PROCESSOS!D297+ROW()/1000000,"")</f>
        <v/>
      </c>
    </row>
    <row r="298">
      <c r="BF298" t="str">
        <f>IF(AND(OR(PROCESSOS!N298="NO PRAZO",PROCESSOS!N298="VENCE EM BREVE"),OR(FiltroResp="TODOS",FiltroResp="",PROCESSOS!H298=FiltroResp)),PROCESSOS!L298+ROW()/1000000,"")</f>
        <v/>
      </c>
      <c r="BG298" t="str">
        <f>IF(AND(PROCESSOS!B298&lt;&gt;"",ISNUMBER(PROCESSOS!D298),OR(FiltroResp="TODOS",FiltroResp="",PROCESSOS!H298=FiltroResp)),PROCESSOS!D298+ROW()/1000000,"")</f>
        <v/>
      </c>
    </row>
    <row r="299">
      <c r="BF299" t="str">
        <f>IF(AND(OR(PROCESSOS!N299="NO PRAZO",PROCESSOS!N299="VENCE EM BREVE"),OR(FiltroResp="TODOS",FiltroResp="",PROCESSOS!H299=FiltroResp)),PROCESSOS!L299+ROW()/1000000,"")</f>
        <v/>
      </c>
      <c r="BG299" t="str">
        <f>IF(AND(PROCESSOS!B299&lt;&gt;"",ISNUMBER(PROCESSOS!D299),OR(FiltroResp="TODOS",FiltroResp="",PROCESSOS!H299=FiltroResp)),PROCESSOS!D299+ROW()/1000000,"")</f>
        <v/>
      </c>
    </row>
    <row r="300">
      <c r="BF300" t="str">
        <f>IF(AND(OR(PROCESSOS!N300="NO PRAZO",PROCESSOS!N300="VENCE EM BREVE"),OR(FiltroResp="TODOS",FiltroResp="",PROCESSOS!H300=FiltroResp)),PROCESSOS!L300+ROW()/1000000,"")</f>
        <v/>
      </c>
      <c r="BG300" t="str">
        <f>IF(AND(PROCESSOS!B300&lt;&gt;"",ISNUMBER(PROCESSOS!D300),OR(FiltroResp="TODOS",FiltroResp="",PROCESSOS!H300=FiltroResp)),PROCESSOS!D300+ROW()/1000000,"")</f>
        <v/>
      </c>
    </row>
    <row r="301">
      <c r="BF301" t="str">
        <f>IF(AND(OR(PROCESSOS!N301="NO PRAZO",PROCESSOS!N301="VENCE EM BREVE"),OR(FiltroResp="TODOS",FiltroResp="",PROCESSOS!H301=FiltroResp)),PROCESSOS!L301+ROW()/1000000,"")</f>
        <v/>
      </c>
      <c r="BG301" t="str">
        <f>IF(AND(PROCESSOS!B301&lt;&gt;"",ISNUMBER(PROCESSOS!D301),OR(FiltroResp="TODOS",FiltroResp="",PROCESSOS!H301=FiltroResp)),PROCESSOS!D301+ROW()/1000000,"")</f>
        <v/>
      </c>
    </row>
    <row r="302">
      <c r="BF302" t="str">
        <f>IF(AND(OR(PROCESSOS!N302="NO PRAZO",PROCESSOS!N302="VENCE EM BREVE"),OR(FiltroResp="TODOS",FiltroResp="",PROCESSOS!H302=FiltroResp)),PROCESSOS!L302+ROW()/1000000,"")</f>
        <v/>
      </c>
      <c r="BG302" t="str">
        <f>IF(AND(PROCESSOS!B302&lt;&gt;"",ISNUMBER(PROCESSOS!D302),OR(FiltroResp="TODOS",FiltroResp="",PROCESSOS!H302=FiltroResp)),PROCESSOS!D302+ROW()/1000000,"")</f>
        <v/>
      </c>
    </row>
    <row r="303">
      <c r="BF303" t="str">
        <f>IF(AND(OR(PROCESSOS!N303="NO PRAZO",PROCESSOS!N303="VENCE EM BREVE"),OR(FiltroResp="TODOS",FiltroResp="",PROCESSOS!H303=FiltroResp)),PROCESSOS!L303+ROW()/1000000,"")</f>
        <v/>
      </c>
      <c r="BG303" t="str">
        <f>IF(AND(PROCESSOS!B303&lt;&gt;"",ISNUMBER(PROCESSOS!D303),OR(FiltroResp="TODOS",FiltroResp="",PROCESSOS!H303=FiltroResp)),PROCESSOS!D303+ROW()/1000000,"")</f>
        <v/>
      </c>
    </row>
    <row r="304">
      <c r="BF304" t="str">
        <f>IF(AND(OR(PROCESSOS!N304="NO PRAZO",PROCESSOS!N304="VENCE EM BREVE"),OR(FiltroResp="TODOS",FiltroResp="",PROCESSOS!H304=FiltroResp)),PROCESSOS!L304+ROW()/1000000,"")</f>
        <v/>
      </c>
      <c r="BG304" t="str">
        <f>IF(AND(PROCESSOS!B304&lt;&gt;"",ISNUMBER(PROCESSOS!D304),OR(FiltroResp="TODOS",FiltroResp="",PROCESSOS!H304=FiltroResp)),PROCESSOS!D304+ROW()/1000000,"")</f>
        <v/>
      </c>
    </row>
    <row r="305">
      <c r="BF305" t="str">
        <f>IF(AND(OR(PROCESSOS!N305="NO PRAZO",PROCESSOS!N305="VENCE EM BREVE"),OR(FiltroResp="TODOS",FiltroResp="",PROCESSOS!H305=FiltroResp)),PROCESSOS!L305+ROW()/1000000,"")</f>
        <v/>
      </c>
      <c r="BG305" t="str">
        <f>IF(AND(PROCESSOS!B305&lt;&gt;"",ISNUMBER(PROCESSOS!D305),OR(FiltroResp="TODOS",FiltroResp="",PROCESSOS!H305=FiltroResp)),PROCESSOS!D305+ROW()/1000000,"")</f>
        <v/>
      </c>
    </row>
    <row r="306">
      <c r="BF306" t="str">
        <f>IF(AND(OR(PROCESSOS!N306="NO PRAZO",PROCESSOS!N306="VENCE EM BREVE"),OR(FiltroResp="TODOS",FiltroResp="",PROCESSOS!H306=FiltroResp)),PROCESSOS!L306+ROW()/1000000,"")</f>
        <v/>
      </c>
      <c r="BG306" t="str">
        <f>IF(AND(PROCESSOS!B306&lt;&gt;"",ISNUMBER(PROCESSOS!D306),OR(FiltroResp="TODOS",FiltroResp="",PROCESSOS!H306=FiltroResp)),PROCESSOS!D306+ROW()/1000000,"")</f>
        <v/>
      </c>
    </row>
    <row r="307">
      <c r="BF307" t="str">
        <f>IF(AND(OR(PROCESSOS!N307="NO PRAZO",PROCESSOS!N307="VENCE EM BREVE"),OR(FiltroResp="TODOS",FiltroResp="",PROCESSOS!H307=FiltroResp)),PROCESSOS!L307+ROW()/1000000,"")</f>
        <v/>
      </c>
      <c r="BG307" t="str">
        <f>IF(AND(PROCESSOS!B307&lt;&gt;"",ISNUMBER(PROCESSOS!D307),OR(FiltroResp="TODOS",FiltroResp="",PROCESSOS!H307=FiltroResp)),PROCESSOS!D307+ROW()/1000000,"")</f>
        <v/>
      </c>
    </row>
    <row r="308">
      <c r="BF308" t="str">
        <f>IF(AND(OR(PROCESSOS!N308="NO PRAZO",PROCESSOS!N308="VENCE EM BREVE"),OR(FiltroResp="TODOS",FiltroResp="",PROCESSOS!H308=FiltroResp)),PROCESSOS!L308+ROW()/1000000,"")</f>
        <v/>
      </c>
      <c r="BG308" t="str">
        <f>IF(AND(PROCESSOS!B308&lt;&gt;"",ISNUMBER(PROCESSOS!D308),OR(FiltroResp="TODOS",FiltroResp="",PROCESSOS!H308=FiltroResp)),PROCESSOS!D308+ROW()/1000000,"")</f>
        <v/>
      </c>
    </row>
    <row r="309">
      <c r="BF309" t="str">
        <f>IF(AND(OR(PROCESSOS!N309="NO PRAZO",PROCESSOS!N309="VENCE EM BREVE"),OR(FiltroResp="TODOS",FiltroResp="",PROCESSOS!H309=FiltroResp)),PROCESSOS!L309+ROW()/1000000,"")</f>
        <v/>
      </c>
      <c r="BG309" t="str">
        <f>IF(AND(PROCESSOS!B309&lt;&gt;"",ISNUMBER(PROCESSOS!D309),OR(FiltroResp="TODOS",FiltroResp="",PROCESSOS!H309=FiltroResp)),PROCESSOS!D309+ROW()/1000000,"")</f>
        <v/>
      </c>
    </row>
    <row r="310">
      <c r="BF310" t="str">
        <f>IF(AND(OR(PROCESSOS!N310="NO PRAZO",PROCESSOS!N310="VENCE EM BREVE"),OR(FiltroResp="TODOS",FiltroResp="",PROCESSOS!H310=FiltroResp)),PROCESSOS!L310+ROW()/1000000,"")</f>
        <v/>
      </c>
      <c r="BG310" t="str">
        <f>IF(AND(PROCESSOS!B310&lt;&gt;"",ISNUMBER(PROCESSOS!D310),OR(FiltroResp="TODOS",FiltroResp="",PROCESSOS!H310=FiltroResp)),PROCESSOS!D310+ROW()/1000000,"")</f>
        <v/>
      </c>
    </row>
    <row r="311">
      <c r="BF311" t="str">
        <f>IF(AND(OR(PROCESSOS!N311="NO PRAZO",PROCESSOS!N311="VENCE EM BREVE"),OR(FiltroResp="TODOS",FiltroResp="",PROCESSOS!H311=FiltroResp)),PROCESSOS!L311+ROW()/1000000,"")</f>
        <v/>
      </c>
      <c r="BG311" t="str">
        <f>IF(AND(PROCESSOS!B311&lt;&gt;"",ISNUMBER(PROCESSOS!D311),OR(FiltroResp="TODOS",FiltroResp="",PROCESSOS!H311=FiltroResp)),PROCESSOS!D311+ROW()/1000000,"")</f>
        <v/>
      </c>
    </row>
    <row r="312">
      <c r="BF312" t="str">
        <f>IF(AND(OR(PROCESSOS!N312="NO PRAZO",PROCESSOS!N312="VENCE EM BREVE"),OR(FiltroResp="TODOS",FiltroResp="",PROCESSOS!H312=FiltroResp)),PROCESSOS!L312+ROW()/1000000,"")</f>
        <v/>
      </c>
      <c r="BG312" t="str">
        <f>IF(AND(PROCESSOS!B312&lt;&gt;"",ISNUMBER(PROCESSOS!D312),OR(FiltroResp="TODOS",FiltroResp="",PROCESSOS!H312=FiltroResp)),PROCESSOS!D312+ROW()/1000000,"")</f>
        <v/>
      </c>
    </row>
    <row r="313">
      <c r="BF313" t="str">
        <f>IF(AND(OR(PROCESSOS!N313="NO PRAZO",PROCESSOS!N313="VENCE EM BREVE"),OR(FiltroResp="TODOS",FiltroResp="",PROCESSOS!H313=FiltroResp)),PROCESSOS!L313+ROW()/1000000,"")</f>
        <v/>
      </c>
      <c r="BG313" t="str">
        <f>IF(AND(PROCESSOS!B313&lt;&gt;"",ISNUMBER(PROCESSOS!D313),OR(FiltroResp="TODOS",FiltroResp="",PROCESSOS!H313=FiltroResp)),PROCESSOS!D313+ROW()/1000000,"")</f>
        <v/>
      </c>
    </row>
    <row r="314">
      <c r="BF314" t="str">
        <f>IF(AND(OR(PROCESSOS!N314="NO PRAZO",PROCESSOS!N314="VENCE EM BREVE"),OR(FiltroResp="TODOS",FiltroResp="",PROCESSOS!H314=FiltroResp)),PROCESSOS!L314+ROW()/1000000,"")</f>
        <v/>
      </c>
      <c r="BG314" t="str">
        <f>IF(AND(PROCESSOS!B314&lt;&gt;"",ISNUMBER(PROCESSOS!D314),OR(FiltroResp="TODOS",FiltroResp="",PROCESSOS!H314=FiltroResp)),PROCESSOS!D314+ROW()/1000000,"")</f>
        <v/>
      </c>
    </row>
    <row r="315">
      <c r="BF315" t="str">
        <f>IF(AND(OR(PROCESSOS!N315="NO PRAZO",PROCESSOS!N315="VENCE EM BREVE"),OR(FiltroResp="TODOS",FiltroResp="",PROCESSOS!H315=FiltroResp)),PROCESSOS!L315+ROW()/1000000,"")</f>
        <v/>
      </c>
      <c r="BG315" t="str">
        <f>IF(AND(PROCESSOS!B315&lt;&gt;"",ISNUMBER(PROCESSOS!D315),OR(FiltroResp="TODOS",FiltroResp="",PROCESSOS!H315=FiltroResp)),PROCESSOS!D315+ROW()/1000000,"")</f>
        <v/>
      </c>
    </row>
    <row r="316">
      <c r="BF316" t="str">
        <f>IF(AND(OR(PROCESSOS!N316="NO PRAZO",PROCESSOS!N316="VENCE EM BREVE"),OR(FiltroResp="TODOS",FiltroResp="",PROCESSOS!H316=FiltroResp)),PROCESSOS!L316+ROW()/1000000,"")</f>
        <v/>
      </c>
      <c r="BG316" t="str">
        <f>IF(AND(PROCESSOS!B316&lt;&gt;"",ISNUMBER(PROCESSOS!D316),OR(FiltroResp="TODOS",FiltroResp="",PROCESSOS!H316=FiltroResp)),PROCESSOS!D316+ROW()/1000000,"")</f>
        <v/>
      </c>
    </row>
    <row r="317">
      <c r="BF317" t="str">
        <f>IF(AND(OR(PROCESSOS!N317="NO PRAZO",PROCESSOS!N317="VENCE EM BREVE"),OR(FiltroResp="TODOS",FiltroResp="",PROCESSOS!H317=FiltroResp)),PROCESSOS!L317+ROW()/1000000,"")</f>
        <v/>
      </c>
      <c r="BG317" t="str">
        <f>IF(AND(PROCESSOS!B317&lt;&gt;"",ISNUMBER(PROCESSOS!D317),OR(FiltroResp="TODOS",FiltroResp="",PROCESSOS!H317=FiltroResp)),PROCESSOS!D317+ROW()/1000000,"")</f>
        <v/>
      </c>
    </row>
    <row r="318">
      <c r="BF318" t="str">
        <f>IF(AND(OR(PROCESSOS!N318="NO PRAZO",PROCESSOS!N318="VENCE EM BREVE"),OR(FiltroResp="TODOS",FiltroResp="",PROCESSOS!H318=FiltroResp)),PROCESSOS!L318+ROW()/1000000,"")</f>
        <v/>
      </c>
      <c r="BG318" t="str">
        <f>IF(AND(PROCESSOS!B318&lt;&gt;"",ISNUMBER(PROCESSOS!D318),OR(FiltroResp="TODOS",FiltroResp="",PROCESSOS!H318=FiltroResp)),PROCESSOS!D318+ROW()/1000000,"")</f>
        <v/>
      </c>
    </row>
    <row r="319">
      <c r="BF319" t="str">
        <f>IF(AND(OR(PROCESSOS!N319="NO PRAZO",PROCESSOS!N319="VENCE EM BREVE"),OR(FiltroResp="TODOS",FiltroResp="",PROCESSOS!H319=FiltroResp)),PROCESSOS!L319+ROW()/1000000,"")</f>
        <v/>
      </c>
      <c r="BG319" t="str">
        <f>IF(AND(PROCESSOS!B319&lt;&gt;"",ISNUMBER(PROCESSOS!D319),OR(FiltroResp="TODOS",FiltroResp="",PROCESSOS!H319=FiltroResp)),PROCESSOS!D319+ROW()/1000000,"")</f>
        <v/>
      </c>
    </row>
    <row r="320">
      <c r="BF320" t="str">
        <f>IF(AND(OR(PROCESSOS!N320="NO PRAZO",PROCESSOS!N320="VENCE EM BREVE"),OR(FiltroResp="TODOS",FiltroResp="",PROCESSOS!H320=FiltroResp)),PROCESSOS!L320+ROW()/1000000,"")</f>
        <v/>
      </c>
      <c r="BG320" t="str">
        <f>IF(AND(PROCESSOS!B320&lt;&gt;"",ISNUMBER(PROCESSOS!D320),OR(FiltroResp="TODOS",FiltroResp="",PROCESSOS!H320=FiltroResp)),PROCESSOS!D320+ROW()/1000000,"")</f>
        <v/>
      </c>
    </row>
    <row r="321">
      <c r="BF321" t="str">
        <f>IF(AND(OR(PROCESSOS!N321="NO PRAZO",PROCESSOS!N321="VENCE EM BREVE"),OR(FiltroResp="TODOS",FiltroResp="",PROCESSOS!H321=FiltroResp)),PROCESSOS!L321+ROW()/1000000,"")</f>
        <v/>
      </c>
      <c r="BG321" t="str">
        <f>IF(AND(PROCESSOS!B321&lt;&gt;"",ISNUMBER(PROCESSOS!D321),OR(FiltroResp="TODOS",FiltroResp="",PROCESSOS!H321=FiltroResp)),PROCESSOS!D321+ROW()/1000000,"")</f>
        <v/>
      </c>
    </row>
    <row r="322">
      <c r="BF322" t="str">
        <f>IF(AND(OR(PROCESSOS!N322="NO PRAZO",PROCESSOS!N322="VENCE EM BREVE"),OR(FiltroResp="TODOS",FiltroResp="",PROCESSOS!H322=FiltroResp)),PROCESSOS!L322+ROW()/1000000,"")</f>
        <v/>
      </c>
      <c r="BG322" t="str">
        <f>IF(AND(PROCESSOS!B322&lt;&gt;"",ISNUMBER(PROCESSOS!D322),OR(FiltroResp="TODOS",FiltroResp="",PROCESSOS!H322=FiltroResp)),PROCESSOS!D322+ROW()/1000000,"")</f>
        <v/>
      </c>
    </row>
    <row r="323">
      <c r="BF323" t="str">
        <f>IF(AND(OR(PROCESSOS!N323="NO PRAZO",PROCESSOS!N323="VENCE EM BREVE"),OR(FiltroResp="TODOS",FiltroResp="",PROCESSOS!H323=FiltroResp)),PROCESSOS!L323+ROW()/1000000,"")</f>
        <v/>
      </c>
      <c r="BG323" t="str">
        <f>IF(AND(PROCESSOS!B323&lt;&gt;"",ISNUMBER(PROCESSOS!D323),OR(FiltroResp="TODOS",FiltroResp="",PROCESSOS!H323=FiltroResp)),PROCESSOS!D323+ROW()/1000000,"")</f>
        <v/>
      </c>
    </row>
    <row r="324">
      <c r="BF324" t="str">
        <f>IF(AND(OR(PROCESSOS!N324="NO PRAZO",PROCESSOS!N324="VENCE EM BREVE"),OR(FiltroResp="TODOS",FiltroResp="",PROCESSOS!H324=FiltroResp)),PROCESSOS!L324+ROW()/1000000,"")</f>
        <v/>
      </c>
      <c r="BG324" t="str">
        <f>IF(AND(PROCESSOS!B324&lt;&gt;"",ISNUMBER(PROCESSOS!D324),OR(FiltroResp="TODOS",FiltroResp="",PROCESSOS!H324=FiltroResp)),PROCESSOS!D324+ROW()/1000000,"")</f>
        <v/>
      </c>
    </row>
    <row r="325">
      <c r="BF325" t="str">
        <f>IF(AND(OR(PROCESSOS!N325="NO PRAZO",PROCESSOS!N325="VENCE EM BREVE"),OR(FiltroResp="TODOS",FiltroResp="",PROCESSOS!H325=FiltroResp)),PROCESSOS!L325+ROW()/1000000,"")</f>
        <v/>
      </c>
      <c r="BG325" t="str">
        <f>IF(AND(PROCESSOS!B325&lt;&gt;"",ISNUMBER(PROCESSOS!D325),OR(FiltroResp="TODOS",FiltroResp="",PROCESSOS!H325=FiltroResp)),PROCESSOS!D325+ROW()/1000000,"")</f>
        <v/>
      </c>
    </row>
    <row r="326">
      <c r="BF326" t="str">
        <f>IF(AND(OR(PROCESSOS!N326="NO PRAZO",PROCESSOS!N326="VENCE EM BREVE"),OR(FiltroResp="TODOS",FiltroResp="",PROCESSOS!H326=FiltroResp)),PROCESSOS!L326+ROW()/1000000,"")</f>
        <v/>
      </c>
      <c r="BG326" t="str">
        <f>IF(AND(PROCESSOS!B326&lt;&gt;"",ISNUMBER(PROCESSOS!D326),OR(FiltroResp="TODOS",FiltroResp="",PROCESSOS!H326=FiltroResp)),PROCESSOS!D326+ROW()/1000000,"")</f>
        <v/>
      </c>
    </row>
    <row r="327">
      <c r="BF327" t="str">
        <f>IF(AND(OR(PROCESSOS!N327="NO PRAZO",PROCESSOS!N327="VENCE EM BREVE"),OR(FiltroResp="TODOS",FiltroResp="",PROCESSOS!H327=FiltroResp)),PROCESSOS!L327+ROW()/1000000,"")</f>
        <v/>
      </c>
      <c r="BG327" t="str">
        <f>IF(AND(PROCESSOS!B327&lt;&gt;"",ISNUMBER(PROCESSOS!D327),OR(FiltroResp="TODOS",FiltroResp="",PROCESSOS!H327=FiltroResp)),PROCESSOS!D327+ROW()/1000000,"")</f>
        <v/>
      </c>
    </row>
    <row r="328">
      <c r="BF328" t="str">
        <f>IF(AND(OR(PROCESSOS!N328="NO PRAZO",PROCESSOS!N328="VENCE EM BREVE"),OR(FiltroResp="TODOS",FiltroResp="",PROCESSOS!H328=FiltroResp)),PROCESSOS!L328+ROW()/1000000,"")</f>
        <v/>
      </c>
      <c r="BG328" t="str">
        <f>IF(AND(PROCESSOS!B328&lt;&gt;"",ISNUMBER(PROCESSOS!D328),OR(FiltroResp="TODOS",FiltroResp="",PROCESSOS!H328=FiltroResp)),PROCESSOS!D328+ROW()/1000000,"")</f>
        <v/>
      </c>
    </row>
    <row r="329">
      <c r="BF329" t="str">
        <f>IF(AND(OR(PROCESSOS!N329="NO PRAZO",PROCESSOS!N329="VENCE EM BREVE"),OR(FiltroResp="TODOS",FiltroResp="",PROCESSOS!H329=FiltroResp)),PROCESSOS!L329+ROW()/1000000,"")</f>
        <v/>
      </c>
      <c r="BG329" t="str">
        <f>IF(AND(PROCESSOS!B329&lt;&gt;"",ISNUMBER(PROCESSOS!D329),OR(FiltroResp="TODOS",FiltroResp="",PROCESSOS!H329=FiltroResp)),PROCESSOS!D329+ROW()/1000000,"")</f>
        <v/>
      </c>
    </row>
    <row r="330">
      <c r="BF330" t="str">
        <f>IF(AND(OR(PROCESSOS!N330="NO PRAZO",PROCESSOS!N330="VENCE EM BREVE"),OR(FiltroResp="TODOS",FiltroResp="",PROCESSOS!H330=FiltroResp)),PROCESSOS!L330+ROW()/1000000,"")</f>
        <v/>
      </c>
      <c r="BG330" t="str">
        <f>IF(AND(PROCESSOS!B330&lt;&gt;"",ISNUMBER(PROCESSOS!D330),OR(FiltroResp="TODOS",FiltroResp="",PROCESSOS!H330=FiltroResp)),PROCESSOS!D330+ROW()/1000000,"")</f>
        <v/>
      </c>
    </row>
    <row r="331">
      <c r="BF331" t="str">
        <f>IF(AND(OR(PROCESSOS!N331="NO PRAZO",PROCESSOS!N331="VENCE EM BREVE"),OR(FiltroResp="TODOS",FiltroResp="",PROCESSOS!H331=FiltroResp)),PROCESSOS!L331+ROW()/1000000,"")</f>
        <v/>
      </c>
      <c r="BG331" t="str">
        <f>IF(AND(PROCESSOS!B331&lt;&gt;"",ISNUMBER(PROCESSOS!D331),OR(FiltroResp="TODOS",FiltroResp="",PROCESSOS!H331=FiltroResp)),PROCESSOS!D331+ROW()/1000000,"")</f>
        <v/>
      </c>
    </row>
    <row r="332">
      <c r="BF332" t="str">
        <f>IF(AND(OR(PROCESSOS!N332="NO PRAZO",PROCESSOS!N332="VENCE EM BREVE"),OR(FiltroResp="TODOS",FiltroResp="",PROCESSOS!H332=FiltroResp)),PROCESSOS!L332+ROW()/1000000,"")</f>
        <v/>
      </c>
      <c r="BG332" t="str">
        <f>IF(AND(PROCESSOS!B332&lt;&gt;"",ISNUMBER(PROCESSOS!D332),OR(FiltroResp="TODOS",FiltroResp="",PROCESSOS!H332=FiltroResp)),PROCESSOS!D332+ROW()/1000000,"")</f>
        <v/>
      </c>
    </row>
    <row r="333">
      <c r="BF333" t="str">
        <f>IF(AND(OR(PROCESSOS!N333="NO PRAZO",PROCESSOS!N333="VENCE EM BREVE"),OR(FiltroResp="TODOS",FiltroResp="",PROCESSOS!H333=FiltroResp)),PROCESSOS!L333+ROW()/1000000,"")</f>
        <v/>
      </c>
      <c r="BG333" t="str">
        <f>IF(AND(PROCESSOS!B333&lt;&gt;"",ISNUMBER(PROCESSOS!D333),OR(FiltroResp="TODOS",FiltroResp="",PROCESSOS!H333=FiltroResp)),PROCESSOS!D333+ROW()/1000000,"")</f>
        <v/>
      </c>
    </row>
    <row r="334">
      <c r="BF334" t="str">
        <f>IF(AND(OR(PROCESSOS!N334="NO PRAZO",PROCESSOS!N334="VENCE EM BREVE"),OR(FiltroResp="TODOS",FiltroResp="",PROCESSOS!H334=FiltroResp)),PROCESSOS!L334+ROW()/1000000,"")</f>
        <v/>
      </c>
      <c r="BG334" t="str">
        <f>IF(AND(PROCESSOS!B334&lt;&gt;"",ISNUMBER(PROCESSOS!D334),OR(FiltroResp="TODOS",FiltroResp="",PROCESSOS!H334=FiltroResp)),PROCESSOS!D334+ROW()/1000000,"")</f>
        <v/>
      </c>
    </row>
    <row r="335">
      <c r="BF335" t="str">
        <f>IF(AND(OR(PROCESSOS!N335="NO PRAZO",PROCESSOS!N335="VENCE EM BREVE"),OR(FiltroResp="TODOS",FiltroResp="",PROCESSOS!H335=FiltroResp)),PROCESSOS!L335+ROW()/1000000,"")</f>
        <v/>
      </c>
      <c r="BG335" t="str">
        <f>IF(AND(PROCESSOS!B335&lt;&gt;"",ISNUMBER(PROCESSOS!D335),OR(FiltroResp="TODOS",FiltroResp="",PROCESSOS!H335=FiltroResp)),PROCESSOS!D335+ROW()/1000000,"")</f>
        <v/>
      </c>
    </row>
    <row r="336">
      <c r="BF336" t="str">
        <f>IF(AND(OR(PROCESSOS!N336="NO PRAZO",PROCESSOS!N336="VENCE EM BREVE"),OR(FiltroResp="TODOS",FiltroResp="",PROCESSOS!H336=FiltroResp)),PROCESSOS!L336+ROW()/1000000,"")</f>
        <v/>
      </c>
      <c r="BG336" t="str">
        <f>IF(AND(PROCESSOS!B336&lt;&gt;"",ISNUMBER(PROCESSOS!D336),OR(FiltroResp="TODOS",FiltroResp="",PROCESSOS!H336=FiltroResp)),PROCESSOS!D336+ROW()/1000000,"")</f>
        <v/>
      </c>
    </row>
    <row r="337">
      <c r="BF337" t="str">
        <f>IF(AND(OR(PROCESSOS!N337="NO PRAZO",PROCESSOS!N337="VENCE EM BREVE"),OR(FiltroResp="TODOS",FiltroResp="",PROCESSOS!H337=FiltroResp)),PROCESSOS!L337+ROW()/1000000,"")</f>
        <v/>
      </c>
      <c r="BG337" t="str">
        <f>IF(AND(PROCESSOS!B337&lt;&gt;"",ISNUMBER(PROCESSOS!D337),OR(FiltroResp="TODOS",FiltroResp="",PROCESSOS!H337=FiltroResp)),PROCESSOS!D337+ROW()/1000000,"")</f>
        <v/>
      </c>
    </row>
    <row r="338">
      <c r="BF338" t="str">
        <f>IF(AND(OR(PROCESSOS!N338="NO PRAZO",PROCESSOS!N338="VENCE EM BREVE"),OR(FiltroResp="TODOS",FiltroResp="",PROCESSOS!H338=FiltroResp)),PROCESSOS!L338+ROW()/1000000,"")</f>
        <v/>
      </c>
      <c r="BG338" t="str">
        <f>IF(AND(PROCESSOS!B338&lt;&gt;"",ISNUMBER(PROCESSOS!D338),OR(FiltroResp="TODOS",FiltroResp="",PROCESSOS!H338=FiltroResp)),PROCESSOS!D338+ROW()/1000000,"")</f>
        <v/>
      </c>
    </row>
    <row r="339">
      <c r="BF339" t="str">
        <f>IF(AND(OR(PROCESSOS!N339="NO PRAZO",PROCESSOS!N339="VENCE EM BREVE"),OR(FiltroResp="TODOS",FiltroResp="",PROCESSOS!H339=FiltroResp)),PROCESSOS!L339+ROW()/1000000,"")</f>
        <v/>
      </c>
      <c r="BG339" t="str">
        <f>IF(AND(PROCESSOS!B339&lt;&gt;"",ISNUMBER(PROCESSOS!D339),OR(FiltroResp="TODOS",FiltroResp="",PROCESSOS!H339=FiltroResp)),PROCESSOS!D339+ROW()/1000000,"")</f>
        <v/>
      </c>
    </row>
    <row r="340">
      <c r="BF340" t="str">
        <f>IF(AND(OR(PROCESSOS!N340="NO PRAZO",PROCESSOS!N340="VENCE EM BREVE"),OR(FiltroResp="TODOS",FiltroResp="",PROCESSOS!H340=FiltroResp)),PROCESSOS!L340+ROW()/1000000,"")</f>
        <v/>
      </c>
      <c r="BG340" t="str">
        <f>IF(AND(PROCESSOS!B340&lt;&gt;"",ISNUMBER(PROCESSOS!D340),OR(FiltroResp="TODOS",FiltroResp="",PROCESSOS!H340=FiltroResp)),PROCESSOS!D340+ROW()/1000000,"")</f>
        <v/>
      </c>
    </row>
    <row r="341">
      <c r="BF341" t="str">
        <f>IF(AND(OR(PROCESSOS!N341="NO PRAZO",PROCESSOS!N341="VENCE EM BREVE"),OR(FiltroResp="TODOS",FiltroResp="",PROCESSOS!H341=FiltroResp)),PROCESSOS!L341+ROW()/1000000,"")</f>
        <v/>
      </c>
      <c r="BG341" t="str">
        <f>IF(AND(PROCESSOS!B341&lt;&gt;"",ISNUMBER(PROCESSOS!D341),OR(FiltroResp="TODOS",FiltroResp="",PROCESSOS!H341=FiltroResp)),PROCESSOS!D341+ROW()/1000000,"")</f>
        <v/>
      </c>
    </row>
    <row r="342">
      <c r="BF342" t="str">
        <f>IF(AND(OR(PROCESSOS!N342="NO PRAZO",PROCESSOS!N342="VENCE EM BREVE"),OR(FiltroResp="TODOS",FiltroResp="",PROCESSOS!H342=FiltroResp)),PROCESSOS!L342+ROW()/1000000,"")</f>
        <v/>
      </c>
      <c r="BG342" t="str">
        <f>IF(AND(PROCESSOS!B342&lt;&gt;"",ISNUMBER(PROCESSOS!D342),OR(FiltroResp="TODOS",FiltroResp="",PROCESSOS!H342=FiltroResp)),PROCESSOS!D342+ROW()/1000000,"")</f>
        <v/>
      </c>
    </row>
    <row r="343">
      <c r="BF343" t="str">
        <f>IF(AND(OR(PROCESSOS!N343="NO PRAZO",PROCESSOS!N343="VENCE EM BREVE"),OR(FiltroResp="TODOS",FiltroResp="",PROCESSOS!H343=FiltroResp)),PROCESSOS!L343+ROW()/1000000,"")</f>
        <v/>
      </c>
      <c r="BG343" t="str">
        <f>IF(AND(PROCESSOS!B343&lt;&gt;"",ISNUMBER(PROCESSOS!D343),OR(FiltroResp="TODOS",FiltroResp="",PROCESSOS!H343=FiltroResp)),PROCESSOS!D343+ROW()/1000000,"")</f>
        <v/>
      </c>
    </row>
    <row r="344">
      <c r="BF344" t="str">
        <f>IF(AND(OR(PROCESSOS!N344="NO PRAZO",PROCESSOS!N344="VENCE EM BREVE"),OR(FiltroResp="TODOS",FiltroResp="",PROCESSOS!H344=FiltroResp)),PROCESSOS!L344+ROW()/1000000,"")</f>
        <v/>
      </c>
      <c r="BG344" t="str">
        <f>IF(AND(PROCESSOS!B344&lt;&gt;"",ISNUMBER(PROCESSOS!D344),OR(FiltroResp="TODOS",FiltroResp="",PROCESSOS!H344=FiltroResp)),PROCESSOS!D344+ROW()/1000000,"")</f>
        <v/>
      </c>
    </row>
    <row r="345">
      <c r="BF345" t="str">
        <f>IF(AND(OR(PROCESSOS!N345="NO PRAZO",PROCESSOS!N345="VENCE EM BREVE"),OR(FiltroResp="TODOS",FiltroResp="",PROCESSOS!H345=FiltroResp)),PROCESSOS!L345+ROW()/1000000,"")</f>
        <v/>
      </c>
      <c r="BG345" t="str">
        <f>IF(AND(PROCESSOS!B345&lt;&gt;"",ISNUMBER(PROCESSOS!D345),OR(FiltroResp="TODOS",FiltroResp="",PROCESSOS!H345=FiltroResp)),PROCESSOS!D345+ROW()/1000000,"")</f>
        <v/>
      </c>
    </row>
    <row r="346">
      <c r="BF346" t="str">
        <f>IF(AND(OR(PROCESSOS!N346="NO PRAZO",PROCESSOS!N346="VENCE EM BREVE"),OR(FiltroResp="TODOS",FiltroResp="",PROCESSOS!H346=FiltroResp)),PROCESSOS!L346+ROW()/1000000,"")</f>
        <v/>
      </c>
      <c r="BG346" t="str">
        <f>IF(AND(PROCESSOS!B346&lt;&gt;"",ISNUMBER(PROCESSOS!D346),OR(FiltroResp="TODOS",FiltroResp="",PROCESSOS!H346=FiltroResp)),PROCESSOS!D346+ROW()/1000000,"")</f>
        <v/>
      </c>
    </row>
    <row r="347">
      <c r="BF347" t="str">
        <f>IF(AND(OR(PROCESSOS!N347="NO PRAZO",PROCESSOS!N347="VENCE EM BREVE"),OR(FiltroResp="TODOS",FiltroResp="",PROCESSOS!H347=FiltroResp)),PROCESSOS!L347+ROW()/1000000,"")</f>
        <v/>
      </c>
      <c r="BG347" t="str">
        <f>IF(AND(PROCESSOS!B347&lt;&gt;"",ISNUMBER(PROCESSOS!D347),OR(FiltroResp="TODOS",FiltroResp="",PROCESSOS!H347=FiltroResp)),PROCESSOS!D347+ROW()/1000000,"")</f>
        <v/>
      </c>
    </row>
    <row r="348">
      <c r="BF348" t="str">
        <f>IF(AND(OR(PROCESSOS!N348="NO PRAZO",PROCESSOS!N348="VENCE EM BREVE"),OR(FiltroResp="TODOS",FiltroResp="",PROCESSOS!H348=FiltroResp)),PROCESSOS!L348+ROW()/1000000,"")</f>
        <v/>
      </c>
      <c r="BG348" t="str">
        <f>IF(AND(PROCESSOS!B348&lt;&gt;"",ISNUMBER(PROCESSOS!D348),OR(FiltroResp="TODOS",FiltroResp="",PROCESSOS!H348=FiltroResp)),PROCESSOS!D348+ROW()/1000000,"")</f>
        <v/>
      </c>
    </row>
    <row r="349">
      <c r="BF349" t="str">
        <f>IF(AND(OR(PROCESSOS!N349="NO PRAZO",PROCESSOS!N349="VENCE EM BREVE"),OR(FiltroResp="TODOS",FiltroResp="",PROCESSOS!H349=FiltroResp)),PROCESSOS!L349+ROW()/1000000,"")</f>
        <v/>
      </c>
      <c r="BG349" t="str">
        <f>IF(AND(PROCESSOS!B349&lt;&gt;"",ISNUMBER(PROCESSOS!D349),OR(FiltroResp="TODOS",FiltroResp="",PROCESSOS!H349=FiltroResp)),PROCESSOS!D349+ROW()/1000000,"")</f>
        <v/>
      </c>
    </row>
    <row r="350">
      <c r="BF350" t="str">
        <f>IF(AND(OR(PROCESSOS!N350="NO PRAZO",PROCESSOS!N350="VENCE EM BREVE"),OR(FiltroResp="TODOS",FiltroResp="",PROCESSOS!H350=FiltroResp)),PROCESSOS!L350+ROW()/1000000,"")</f>
        <v/>
      </c>
      <c r="BG350" t="str">
        <f>IF(AND(PROCESSOS!B350&lt;&gt;"",ISNUMBER(PROCESSOS!D350),OR(FiltroResp="TODOS",FiltroResp="",PROCESSOS!H350=FiltroResp)),PROCESSOS!D350+ROW()/1000000,"")</f>
        <v/>
      </c>
    </row>
    <row r="351">
      <c r="BF351" t="str">
        <f>IF(AND(OR(PROCESSOS!N351="NO PRAZO",PROCESSOS!N351="VENCE EM BREVE"),OR(FiltroResp="TODOS",FiltroResp="",PROCESSOS!H351=FiltroResp)),PROCESSOS!L351+ROW()/1000000,"")</f>
        <v/>
      </c>
      <c r="BG351" t="str">
        <f>IF(AND(PROCESSOS!B351&lt;&gt;"",ISNUMBER(PROCESSOS!D351),OR(FiltroResp="TODOS",FiltroResp="",PROCESSOS!H351=FiltroResp)),PROCESSOS!D351+ROW()/1000000,"")</f>
        <v/>
      </c>
    </row>
    <row r="352">
      <c r="BF352" t="str">
        <f>IF(AND(OR(PROCESSOS!N352="NO PRAZO",PROCESSOS!N352="VENCE EM BREVE"),OR(FiltroResp="TODOS",FiltroResp="",PROCESSOS!H352=FiltroResp)),PROCESSOS!L352+ROW()/1000000,"")</f>
        <v/>
      </c>
      <c r="BG352" t="str">
        <f>IF(AND(PROCESSOS!B352&lt;&gt;"",ISNUMBER(PROCESSOS!D352),OR(FiltroResp="TODOS",FiltroResp="",PROCESSOS!H352=FiltroResp)),PROCESSOS!D352+ROW()/1000000,"")</f>
        <v/>
      </c>
    </row>
    <row r="353">
      <c r="BF353" t="str">
        <f>IF(AND(OR(PROCESSOS!N353="NO PRAZO",PROCESSOS!N353="VENCE EM BREVE"),OR(FiltroResp="TODOS",FiltroResp="",PROCESSOS!H353=FiltroResp)),PROCESSOS!L353+ROW()/1000000,"")</f>
        <v/>
      </c>
      <c r="BG353" t="str">
        <f>IF(AND(PROCESSOS!B353&lt;&gt;"",ISNUMBER(PROCESSOS!D353),OR(FiltroResp="TODOS",FiltroResp="",PROCESSOS!H353=FiltroResp)),PROCESSOS!D353+ROW()/1000000,"")</f>
        <v/>
      </c>
    </row>
    <row r="354">
      <c r="BF354" t="str">
        <f>IF(AND(OR(PROCESSOS!N354="NO PRAZO",PROCESSOS!N354="VENCE EM BREVE"),OR(FiltroResp="TODOS",FiltroResp="",PROCESSOS!H354=FiltroResp)),PROCESSOS!L354+ROW()/1000000,"")</f>
        <v/>
      </c>
      <c r="BG354" t="str">
        <f>IF(AND(PROCESSOS!B354&lt;&gt;"",ISNUMBER(PROCESSOS!D354),OR(FiltroResp="TODOS",FiltroResp="",PROCESSOS!H354=FiltroResp)),PROCESSOS!D354+ROW()/1000000,"")</f>
        <v/>
      </c>
    </row>
    <row r="355">
      <c r="BF355" t="str">
        <f>IF(AND(OR(PROCESSOS!N355="NO PRAZO",PROCESSOS!N355="VENCE EM BREVE"),OR(FiltroResp="TODOS",FiltroResp="",PROCESSOS!H355=FiltroResp)),PROCESSOS!L355+ROW()/1000000,"")</f>
        <v/>
      </c>
      <c r="BG355" t="str">
        <f>IF(AND(PROCESSOS!B355&lt;&gt;"",ISNUMBER(PROCESSOS!D355),OR(FiltroResp="TODOS",FiltroResp="",PROCESSOS!H355=FiltroResp)),PROCESSOS!D355+ROW()/1000000,"")</f>
        <v/>
      </c>
    </row>
    <row r="356">
      <c r="BF356" t="str">
        <f>IF(AND(OR(PROCESSOS!N356="NO PRAZO",PROCESSOS!N356="VENCE EM BREVE"),OR(FiltroResp="TODOS",FiltroResp="",PROCESSOS!H356=FiltroResp)),PROCESSOS!L356+ROW()/1000000,"")</f>
        <v/>
      </c>
      <c r="BG356" t="str">
        <f>IF(AND(PROCESSOS!B356&lt;&gt;"",ISNUMBER(PROCESSOS!D356),OR(FiltroResp="TODOS",FiltroResp="",PROCESSOS!H356=FiltroResp)),PROCESSOS!D356+ROW()/1000000,"")</f>
        <v/>
      </c>
    </row>
    <row r="357">
      <c r="BF357" t="str">
        <f>IF(AND(OR(PROCESSOS!N357="NO PRAZO",PROCESSOS!N357="VENCE EM BREVE"),OR(FiltroResp="TODOS",FiltroResp="",PROCESSOS!H357=FiltroResp)),PROCESSOS!L357+ROW()/1000000,"")</f>
        <v/>
      </c>
      <c r="BG357" t="str">
        <f>IF(AND(PROCESSOS!B357&lt;&gt;"",ISNUMBER(PROCESSOS!D357),OR(FiltroResp="TODOS",FiltroResp="",PROCESSOS!H357=FiltroResp)),PROCESSOS!D357+ROW()/1000000,"")</f>
        <v/>
      </c>
    </row>
    <row r="358">
      <c r="BF358" t="str">
        <f>IF(AND(OR(PROCESSOS!N358="NO PRAZO",PROCESSOS!N358="VENCE EM BREVE"),OR(FiltroResp="TODOS",FiltroResp="",PROCESSOS!H358=FiltroResp)),PROCESSOS!L358+ROW()/1000000,"")</f>
        <v/>
      </c>
      <c r="BG358" t="str">
        <f>IF(AND(PROCESSOS!B358&lt;&gt;"",ISNUMBER(PROCESSOS!D358),OR(FiltroResp="TODOS",FiltroResp="",PROCESSOS!H358=FiltroResp)),PROCESSOS!D358+ROW()/1000000,"")</f>
        <v/>
      </c>
    </row>
    <row r="359">
      <c r="BF359" t="str">
        <f>IF(AND(OR(PROCESSOS!N359="NO PRAZO",PROCESSOS!N359="VENCE EM BREVE"),OR(FiltroResp="TODOS",FiltroResp="",PROCESSOS!H359=FiltroResp)),PROCESSOS!L359+ROW()/1000000,"")</f>
        <v/>
      </c>
      <c r="BG359" t="str">
        <f>IF(AND(PROCESSOS!B359&lt;&gt;"",ISNUMBER(PROCESSOS!D359),OR(FiltroResp="TODOS",FiltroResp="",PROCESSOS!H359=FiltroResp)),PROCESSOS!D359+ROW()/1000000,"")</f>
        <v/>
      </c>
    </row>
    <row r="360">
      <c r="BF360" t="str">
        <f>IF(AND(OR(PROCESSOS!N360="NO PRAZO",PROCESSOS!N360="VENCE EM BREVE"),OR(FiltroResp="TODOS",FiltroResp="",PROCESSOS!H360=FiltroResp)),PROCESSOS!L360+ROW()/1000000,"")</f>
        <v/>
      </c>
      <c r="BG360" t="str">
        <f>IF(AND(PROCESSOS!B360&lt;&gt;"",ISNUMBER(PROCESSOS!D360),OR(FiltroResp="TODOS",FiltroResp="",PROCESSOS!H360=FiltroResp)),PROCESSOS!D360+ROW()/1000000,"")</f>
        <v/>
      </c>
    </row>
    <row r="361">
      <c r="BF361" t="str">
        <f>IF(AND(OR(PROCESSOS!N361="NO PRAZO",PROCESSOS!N361="VENCE EM BREVE"),OR(FiltroResp="TODOS",FiltroResp="",PROCESSOS!H361=FiltroResp)),PROCESSOS!L361+ROW()/1000000,"")</f>
        <v/>
      </c>
      <c r="BG361" t="str">
        <f>IF(AND(PROCESSOS!B361&lt;&gt;"",ISNUMBER(PROCESSOS!D361),OR(FiltroResp="TODOS",FiltroResp="",PROCESSOS!H361=FiltroResp)),PROCESSOS!D361+ROW()/1000000,"")</f>
        <v/>
      </c>
    </row>
    <row r="362">
      <c r="BF362" t="str">
        <f>IF(AND(OR(PROCESSOS!N362="NO PRAZO",PROCESSOS!N362="VENCE EM BREVE"),OR(FiltroResp="TODOS",FiltroResp="",PROCESSOS!H362=FiltroResp)),PROCESSOS!L362+ROW()/1000000,"")</f>
        <v/>
      </c>
      <c r="BG362" t="str">
        <f>IF(AND(PROCESSOS!B362&lt;&gt;"",ISNUMBER(PROCESSOS!D362),OR(FiltroResp="TODOS",FiltroResp="",PROCESSOS!H362=FiltroResp)),PROCESSOS!D362+ROW()/1000000,"")</f>
        <v/>
      </c>
    </row>
    <row r="363">
      <c r="BF363" t="str">
        <f>IF(AND(OR(PROCESSOS!N363="NO PRAZO",PROCESSOS!N363="VENCE EM BREVE"),OR(FiltroResp="TODOS",FiltroResp="",PROCESSOS!H363=FiltroResp)),PROCESSOS!L363+ROW()/1000000,"")</f>
        <v/>
      </c>
      <c r="BG363" t="str">
        <f>IF(AND(PROCESSOS!B363&lt;&gt;"",ISNUMBER(PROCESSOS!D363),OR(FiltroResp="TODOS",FiltroResp="",PROCESSOS!H363=FiltroResp)),PROCESSOS!D363+ROW()/1000000,"")</f>
        <v/>
      </c>
    </row>
    <row r="364">
      <c r="BF364" t="str">
        <f>IF(AND(OR(PROCESSOS!N364="NO PRAZO",PROCESSOS!N364="VENCE EM BREVE"),OR(FiltroResp="TODOS",FiltroResp="",PROCESSOS!H364=FiltroResp)),PROCESSOS!L364+ROW()/1000000,"")</f>
        <v/>
      </c>
      <c r="BG364" t="str">
        <f>IF(AND(PROCESSOS!B364&lt;&gt;"",ISNUMBER(PROCESSOS!D364),OR(FiltroResp="TODOS",FiltroResp="",PROCESSOS!H364=FiltroResp)),PROCESSOS!D364+ROW()/1000000,"")</f>
        <v/>
      </c>
    </row>
    <row r="365">
      <c r="BF365" t="str">
        <f>IF(AND(OR(PROCESSOS!N365="NO PRAZO",PROCESSOS!N365="VENCE EM BREVE"),OR(FiltroResp="TODOS",FiltroResp="",PROCESSOS!H365=FiltroResp)),PROCESSOS!L365+ROW()/1000000,"")</f>
        <v/>
      </c>
      <c r="BG365" t="str">
        <f>IF(AND(PROCESSOS!B365&lt;&gt;"",ISNUMBER(PROCESSOS!D365),OR(FiltroResp="TODOS",FiltroResp="",PROCESSOS!H365=FiltroResp)),PROCESSOS!D365+ROW()/1000000,"")</f>
        <v/>
      </c>
    </row>
    <row r="366">
      <c r="BF366" t="str">
        <f>IF(AND(OR(PROCESSOS!N366="NO PRAZO",PROCESSOS!N366="VENCE EM BREVE"),OR(FiltroResp="TODOS",FiltroResp="",PROCESSOS!H366=FiltroResp)),PROCESSOS!L366+ROW()/1000000,"")</f>
        <v/>
      </c>
      <c r="BG366" t="str">
        <f>IF(AND(PROCESSOS!B366&lt;&gt;"",ISNUMBER(PROCESSOS!D366),OR(FiltroResp="TODOS",FiltroResp="",PROCESSOS!H366=FiltroResp)),PROCESSOS!D366+ROW()/1000000,"")</f>
        <v/>
      </c>
    </row>
    <row r="367">
      <c r="BF367" t="str">
        <f>IF(AND(OR(PROCESSOS!N367="NO PRAZO",PROCESSOS!N367="VENCE EM BREVE"),OR(FiltroResp="TODOS",FiltroResp="",PROCESSOS!H367=FiltroResp)),PROCESSOS!L367+ROW()/1000000,"")</f>
        <v/>
      </c>
      <c r="BG367" t="str">
        <f>IF(AND(PROCESSOS!B367&lt;&gt;"",ISNUMBER(PROCESSOS!D367),OR(FiltroResp="TODOS",FiltroResp="",PROCESSOS!H367=FiltroResp)),PROCESSOS!D367+ROW()/1000000,"")</f>
        <v/>
      </c>
    </row>
    <row r="368">
      <c r="BF368" t="str">
        <f>IF(AND(OR(PROCESSOS!N368="NO PRAZO",PROCESSOS!N368="VENCE EM BREVE"),OR(FiltroResp="TODOS",FiltroResp="",PROCESSOS!H368=FiltroResp)),PROCESSOS!L368+ROW()/1000000,"")</f>
        <v/>
      </c>
      <c r="BG368" t="str">
        <f>IF(AND(PROCESSOS!B368&lt;&gt;"",ISNUMBER(PROCESSOS!D368),OR(FiltroResp="TODOS",FiltroResp="",PROCESSOS!H368=FiltroResp)),PROCESSOS!D368+ROW()/1000000,"")</f>
        <v/>
      </c>
    </row>
    <row r="369">
      <c r="BF369" t="str">
        <f>IF(AND(OR(PROCESSOS!N369="NO PRAZO",PROCESSOS!N369="VENCE EM BREVE"),OR(FiltroResp="TODOS",FiltroResp="",PROCESSOS!H369=FiltroResp)),PROCESSOS!L369+ROW()/1000000,"")</f>
        <v/>
      </c>
      <c r="BG369" t="str">
        <f>IF(AND(PROCESSOS!B369&lt;&gt;"",ISNUMBER(PROCESSOS!D369),OR(FiltroResp="TODOS",FiltroResp="",PROCESSOS!H369=FiltroResp)),PROCESSOS!D369+ROW()/1000000,"")</f>
        <v/>
      </c>
    </row>
    <row r="370">
      <c r="BF370" t="str">
        <f>IF(AND(OR(PROCESSOS!N370="NO PRAZO",PROCESSOS!N370="VENCE EM BREVE"),OR(FiltroResp="TODOS",FiltroResp="",PROCESSOS!H370=FiltroResp)),PROCESSOS!L370+ROW()/1000000,"")</f>
        <v/>
      </c>
      <c r="BG370" t="str">
        <f>IF(AND(PROCESSOS!B370&lt;&gt;"",ISNUMBER(PROCESSOS!D370),OR(FiltroResp="TODOS",FiltroResp="",PROCESSOS!H370=FiltroResp)),PROCESSOS!D370+ROW()/1000000,"")</f>
        <v/>
      </c>
    </row>
    <row r="371">
      <c r="BF371" t="str">
        <f>IF(AND(OR(PROCESSOS!N371="NO PRAZO",PROCESSOS!N371="VENCE EM BREVE"),OR(FiltroResp="TODOS",FiltroResp="",PROCESSOS!H371=FiltroResp)),PROCESSOS!L371+ROW()/1000000,"")</f>
        <v/>
      </c>
      <c r="BG371" t="str">
        <f>IF(AND(PROCESSOS!B371&lt;&gt;"",ISNUMBER(PROCESSOS!D371),OR(FiltroResp="TODOS",FiltroResp="",PROCESSOS!H371=FiltroResp)),PROCESSOS!D371+ROW()/1000000,"")</f>
        <v/>
      </c>
    </row>
    <row r="372">
      <c r="BF372" t="str">
        <f>IF(AND(OR(PROCESSOS!N372="NO PRAZO",PROCESSOS!N372="VENCE EM BREVE"),OR(FiltroResp="TODOS",FiltroResp="",PROCESSOS!H372=FiltroResp)),PROCESSOS!L372+ROW()/1000000,"")</f>
        <v/>
      </c>
      <c r="BG372" t="str">
        <f>IF(AND(PROCESSOS!B372&lt;&gt;"",ISNUMBER(PROCESSOS!D372),OR(FiltroResp="TODOS",FiltroResp="",PROCESSOS!H372=FiltroResp)),PROCESSOS!D372+ROW()/1000000,"")</f>
        <v/>
      </c>
    </row>
    <row r="373">
      <c r="BF373" t="str">
        <f>IF(AND(OR(PROCESSOS!N373="NO PRAZO",PROCESSOS!N373="VENCE EM BREVE"),OR(FiltroResp="TODOS",FiltroResp="",PROCESSOS!H373=FiltroResp)),PROCESSOS!L373+ROW()/1000000,"")</f>
        <v/>
      </c>
      <c r="BG373" t="str">
        <f>IF(AND(PROCESSOS!B373&lt;&gt;"",ISNUMBER(PROCESSOS!D373),OR(FiltroResp="TODOS",FiltroResp="",PROCESSOS!H373=FiltroResp)),PROCESSOS!D373+ROW()/1000000,"")</f>
        <v/>
      </c>
    </row>
    <row r="374">
      <c r="BF374" t="str">
        <f>IF(AND(OR(PROCESSOS!N374="NO PRAZO",PROCESSOS!N374="VENCE EM BREVE"),OR(FiltroResp="TODOS",FiltroResp="",PROCESSOS!H374=FiltroResp)),PROCESSOS!L374+ROW()/1000000,"")</f>
        <v/>
      </c>
      <c r="BG374" t="str">
        <f>IF(AND(PROCESSOS!B374&lt;&gt;"",ISNUMBER(PROCESSOS!D374),OR(FiltroResp="TODOS",FiltroResp="",PROCESSOS!H374=FiltroResp)),PROCESSOS!D374+ROW()/1000000,"")</f>
        <v/>
      </c>
    </row>
    <row r="375">
      <c r="BF375" t="str">
        <f>IF(AND(OR(PROCESSOS!N375="NO PRAZO",PROCESSOS!N375="VENCE EM BREVE"),OR(FiltroResp="TODOS",FiltroResp="",PROCESSOS!H375=FiltroResp)),PROCESSOS!L375+ROW()/1000000,"")</f>
        <v/>
      </c>
      <c r="BG375" t="str">
        <f>IF(AND(PROCESSOS!B375&lt;&gt;"",ISNUMBER(PROCESSOS!D375),OR(FiltroResp="TODOS",FiltroResp="",PROCESSOS!H375=FiltroResp)),PROCESSOS!D375+ROW()/1000000,"")</f>
        <v/>
      </c>
    </row>
    <row r="376">
      <c r="BF376" t="str">
        <f>IF(AND(OR(PROCESSOS!N376="NO PRAZO",PROCESSOS!N376="VENCE EM BREVE"),OR(FiltroResp="TODOS",FiltroResp="",PROCESSOS!H376=FiltroResp)),PROCESSOS!L376+ROW()/1000000,"")</f>
        <v/>
      </c>
      <c r="BG376" t="str">
        <f>IF(AND(PROCESSOS!B376&lt;&gt;"",ISNUMBER(PROCESSOS!D376),OR(FiltroResp="TODOS",FiltroResp="",PROCESSOS!H376=FiltroResp)),PROCESSOS!D376+ROW()/1000000,"")</f>
        <v/>
      </c>
    </row>
    <row r="377">
      <c r="BF377" t="str">
        <f>IF(AND(OR(PROCESSOS!N377="NO PRAZO",PROCESSOS!N377="VENCE EM BREVE"),OR(FiltroResp="TODOS",FiltroResp="",PROCESSOS!H377=FiltroResp)),PROCESSOS!L377+ROW()/1000000,"")</f>
        <v/>
      </c>
      <c r="BG377" t="str">
        <f>IF(AND(PROCESSOS!B377&lt;&gt;"",ISNUMBER(PROCESSOS!D377),OR(FiltroResp="TODOS",FiltroResp="",PROCESSOS!H377=FiltroResp)),PROCESSOS!D377+ROW()/1000000,"")</f>
        <v/>
      </c>
    </row>
    <row r="378">
      <c r="BF378" t="str">
        <f>IF(AND(OR(PROCESSOS!N378="NO PRAZO",PROCESSOS!N378="VENCE EM BREVE"),OR(FiltroResp="TODOS",FiltroResp="",PROCESSOS!H378=FiltroResp)),PROCESSOS!L378+ROW()/1000000,"")</f>
        <v/>
      </c>
      <c r="BG378" t="str">
        <f>IF(AND(PROCESSOS!B378&lt;&gt;"",ISNUMBER(PROCESSOS!D378),OR(FiltroResp="TODOS",FiltroResp="",PROCESSOS!H378=FiltroResp)),PROCESSOS!D378+ROW()/1000000,"")</f>
        <v/>
      </c>
    </row>
    <row r="379">
      <c r="BF379" t="str">
        <f>IF(AND(OR(PROCESSOS!N379="NO PRAZO",PROCESSOS!N379="VENCE EM BREVE"),OR(FiltroResp="TODOS",FiltroResp="",PROCESSOS!H379=FiltroResp)),PROCESSOS!L379+ROW()/1000000,"")</f>
        <v/>
      </c>
      <c r="BG379" t="str">
        <f>IF(AND(PROCESSOS!B379&lt;&gt;"",ISNUMBER(PROCESSOS!D379),OR(FiltroResp="TODOS",FiltroResp="",PROCESSOS!H379=FiltroResp)),PROCESSOS!D379+ROW()/1000000,"")</f>
        <v/>
      </c>
    </row>
    <row r="380">
      <c r="BF380" t="str">
        <f>IF(AND(OR(PROCESSOS!N380="NO PRAZO",PROCESSOS!N380="VENCE EM BREVE"),OR(FiltroResp="TODOS",FiltroResp="",PROCESSOS!H380=FiltroResp)),PROCESSOS!L380+ROW()/1000000,"")</f>
        <v/>
      </c>
      <c r="BG380" t="str">
        <f>IF(AND(PROCESSOS!B380&lt;&gt;"",ISNUMBER(PROCESSOS!D380),OR(FiltroResp="TODOS",FiltroResp="",PROCESSOS!H380=FiltroResp)),PROCESSOS!D380+ROW()/1000000,"")</f>
        <v/>
      </c>
    </row>
    <row r="381">
      <c r="BF381" t="str">
        <f>IF(AND(OR(PROCESSOS!N381="NO PRAZO",PROCESSOS!N381="VENCE EM BREVE"),OR(FiltroResp="TODOS",FiltroResp="",PROCESSOS!H381=FiltroResp)),PROCESSOS!L381+ROW()/1000000,"")</f>
        <v/>
      </c>
      <c r="BG381" t="str">
        <f>IF(AND(PROCESSOS!B381&lt;&gt;"",ISNUMBER(PROCESSOS!D381),OR(FiltroResp="TODOS",FiltroResp="",PROCESSOS!H381=FiltroResp)),PROCESSOS!D381+ROW()/1000000,"")</f>
        <v/>
      </c>
    </row>
    <row r="382">
      <c r="BF382" t="str">
        <f>IF(AND(OR(PROCESSOS!N382="NO PRAZO",PROCESSOS!N382="VENCE EM BREVE"),OR(FiltroResp="TODOS",FiltroResp="",PROCESSOS!H382=FiltroResp)),PROCESSOS!L382+ROW()/1000000,"")</f>
        <v/>
      </c>
      <c r="BG382" t="str">
        <f>IF(AND(PROCESSOS!B382&lt;&gt;"",ISNUMBER(PROCESSOS!D382),OR(FiltroResp="TODOS",FiltroResp="",PROCESSOS!H382=FiltroResp)),PROCESSOS!D382+ROW()/1000000,"")</f>
        <v/>
      </c>
    </row>
    <row r="383">
      <c r="BF383" t="str">
        <f>IF(AND(OR(PROCESSOS!N383="NO PRAZO",PROCESSOS!N383="VENCE EM BREVE"),OR(FiltroResp="TODOS",FiltroResp="",PROCESSOS!H383=FiltroResp)),PROCESSOS!L383+ROW()/1000000,"")</f>
        <v/>
      </c>
      <c r="BG383" t="str">
        <f>IF(AND(PROCESSOS!B383&lt;&gt;"",ISNUMBER(PROCESSOS!D383),OR(FiltroResp="TODOS",FiltroResp="",PROCESSOS!H383=FiltroResp)),PROCESSOS!D383+ROW()/1000000,"")</f>
        <v/>
      </c>
    </row>
    <row r="384">
      <c r="BF384" t="str">
        <f>IF(AND(OR(PROCESSOS!N384="NO PRAZO",PROCESSOS!N384="VENCE EM BREVE"),OR(FiltroResp="TODOS",FiltroResp="",PROCESSOS!H384=FiltroResp)),PROCESSOS!L384+ROW()/1000000,"")</f>
        <v/>
      </c>
      <c r="BG384" t="str">
        <f>IF(AND(PROCESSOS!B384&lt;&gt;"",ISNUMBER(PROCESSOS!D384),OR(FiltroResp="TODOS",FiltroResp="",PROCESSOS!H384=FiltroResp)),PROCESSOS!D384+ROW()/1000000,"")</f>
        <v/>
      </c>
    </row>
    <row r="385">
      <c r="BF385" t="str">
        <f>IF(AND(OR(PROCESSOS!N385="NO PRAZO",PROCESSOS!N385="VENCE EM BREVE"),OR(FiltroResp="TODOS",FiltroResp="",PROCESSOS!H385=FiltroResp)),PROCESSOS!L385+ROW()/1000000,"")</f>
        <v/>
      </c>
      <c r="BG385" t="str">
        <f>IF(AND(PROCESSOS!B385&lt;&gt;"",ISNUMBER(PROCESSOS!D385),OR(FiltroResp="TODOS",FiltroResp="",PROCESSOS!H385=FiltroResp)),PROCESSOS!D385+ROW()/1000000,"")</f>
        <v/>
      </c>
    </row>
    <row r="386">
      <c r="BF386" t="str">
        <f>IF(AND(OR(PROCESSOS!N386="NO PRAZO",PROCESSOS!N386="VENCE EM BREVE"),OR(FiltroResp="TODOS",FiltroResp="",PROCESSOS!H386=FiltroResp)),PROCESSOS!L386+ROW()/1000000,"")</f>
        <v/>
      </c>
      <c r="BG386" t="str">
        <f>IF(AND(PROCESSOS!B386&lt;&gt;"",ISNUMBER(PROCESSOS!D386),OR(FiltroResp="TODOS",FiltroResp="",PROCESSOS!H386=FiltroResp)),PROCESSOS!D386+ROW()/1000000,"")</f>
        <v/>
      </c>
    </row>
    <row r="387">
      <c r="BF387" t="str">
        <f>IF(AND(OR(PROCESSOS!N387="NO PRAZO",PROCESSOS!N387="VENCE EM BREVE"),OR(FiltroResp="TODOS",FiltroResp="",PROCESSOS!H387=FiltroResp)),PROCESSOS!L387+ROW()/1000000,"")</f>
        <v/>
      </c>
      <c r="BG387" t="str">
        <f>IF(AND(PROCESSOS!B387&lt;&gt;"",ISNUMBER(PROCESSOS!D387),OR(FiltroResp="TODOS",FiltroResp="",PROCESSOS!H387=FiltroResp)),PROCESSOS!D387+ROW()/1000000,"")</f>
        <v/>
      </c>
    </row>
    <row r="388">
      <c r="BF388" t="str">
        <f>IF(AND(OR(PROCESSOS!N388="NO PRAZO",PROCESSOS!N388="VENCE EM BREVE"),OR(FiltroResp="TODOS",FiltroResp="",PROCESSOS!H388=FiltroResp)),PROCESSOS!L388+ROW()/1000000,"")</f>
        <v/>
      </c>
      <c r="BG388" t="str">
        <f>IF(AND(PROCESSOS!B388&lt;&gt;"",ISNUMBER(PROCESSOS!D388),OR(FiltroResp="TODOS",FiltroResp="",PROCESSOS!H388=FiltroResp)),PROCESSOS!D388+ROW()/1000000,"")</f>
        <v/>
      </c>
    </row>
    <row r="389">
      <c r="BF389" t="str">
        <f>IF(AND(OR(PROCESSOS!N389="NO PRAZO",PROCESSOS!N389="VENCE EM BREVE"),OR(FiltroResp="TODOS",FiltroResp="",PROCESSOS!H389=FiltroResp)),PROCESSOS!L389+ROW()/1000000,"")</f>
        <v/>
      </c>
      <c r="BG389" t="str">
        <f>IF(AND(PROCESSOS!B389&lt;&gt;"",ISNUMBER(PROCESSOS!D389),OR(FiltroResp="TODOS",FiltroResp="",PROCESSOS!H389=FiltroResp)),PROCESSOS!D389+ROW()/1000000,"")</f>
        <v/>
      </c>
    </row>
    <row r="390">
      <c r="BF390" t="str">
        <f>IF(AND(OR(PROCESSOS!N390="NO PRAZO",PROCESSOS!N390="VENCE EM BREVE"),OR(FiltroResp="TODOS",FiltroResp="",PROCESSOS!H390=FiltroResp)),PROCESSOS!L390+ROW()/1000000,"")</f>
        <v/>
      </c>
      <c r="BG390" t="str">
        <f>IF(AND(PROCESSOS!B390&lt;&gt;"",ISNUMBER(PROCESSOS!D390),OR(FiltroResp="TODOS",FiltroResp="",PROCESSOS!H390=FiltroResp)),PROCESSOS!D390+ROW()/1000000,"")</f>
        <v/>
      </c>
    </row>
    <row r="391">
      <c r="BF391" t="str">
        <f>IF(AND(OR(PROCESSOS!N391="NO PRAZO",PROCESSOS!N391="VENCE EM BREVE"),OR(FiltroResp="TODOS",FiltroResp="",PROCESSOS!H391=FiltroResp)),PROCESSOS!L391+ROW()/1000000,"")</f>
        <v/>
      </c>
      <c r="BG391" t="str">
        <f>IF(AND(PROCESSOS!B391&lt;&gt;"",ISNUMBER(PROCESSOS!D391),OR(FiltroResp="TODOS",FiltroResp="",PROCESSOS!H391=FiltroResp)),PROCESSOS!D391+ROW()/1000000,"")</f>
        <v/>
      </c>
    </row>
    <row r="392">
      <c r="BF392" t="str">
        <f>IF(AND(OR(PROCESSOS!N392="NO PRAZO",PROCESSOS!N392="VENCE EM BREVE"),OR(FiltroResp="TODOS",FiltroResp="",PROCESSOS!H392=FiltroResp)),PROCESSOS!L392+ROW()/1000000,"")</f>
        <v/>
      </c>
      <c r="BG392" t="str">
        <f>IF(AND(PROCESSOS!B392&lt;&gt;"",ISNUMBER(PROCESSOS!D392),OR(FiltroResp="TODOS",FiltroResp="",PROCESSOS!H392=FiltroResp)),PROCESSOS!D392+ROW()/1000000,"")</f>
        <v/>
      </c>
    </row>
    <row r="393">
      <c r="BF393" t="str">
        <f>IF(AND(OR(PROCESSOS!N393="NO PRAZO",PROCESSOS!N393="VENCE EM BREVE"),OR(FiltroResp="TODOS",FiltroResp="",PROCESSOS!H393=FiltroResp)),PROCESSOS!L393+ROW()/1000000,"")</f>
        <v/>
      </c>
      <c r="BG393" t="str">
        <f>IF(AND(PROCESSOS!B393&lt;&gt;"",ISNUMBER(PROCESSOS!D393),OR(FiltroResp="TODOS",FiltroResp="",PROCESSOS!H393=FiltroResp)),PROCESSOS!D393+ROW()/1000000,"")</f>
        <v/>
      </c>
    </row>
    <row r="394">
      <c r="BF394" t="str">
        <f>IF(AND(OR(PROCESSOS!N394="NO PRAZO",PROCESSOS!N394="VENCE EM BREVE"),OR(FiltroResp="TODOS",FiltroResp="",PROCESSOS!H394=FiltroResp)),PROCESSOS!L394+ROW()/1000000,"")</f>
        <v/>
      </c>
      <c r="BG394" t="str">
        <f>IF(AND(PROCESSOS!B394&lt;&gt;"",ISNUMBER(PROCESSOS!D394),OR(FiltroResp="TODOS",FiltroResp="",PROCESSOS!H394=FiltroResp)),PROCESSOS!D394+ROW()/1000000,"")</f>
        <v/>
      </c>
    </row>
    <row r="395">
      <c r="BF395" t="str">
        <f>IF(AND(OR(PROCESSOS!N395="NO PRAZO",PROCESSOS!N395="VENCE EM BREVE"),OR(FiltroResp="TODOS",FiltroResp="",PROCESSOS!H395=FiltroResp)),PROCESSOS!L395+ROW()/1000000,"")</f>
        <v/>
      </c>
      <c r="BG395" t="str">
        <f>IF(AND(PROCESSOS!B395&lt;&gt;"",ISNUMBER(PROCESSOS!D395),OR(FiltroResp="TODOS",FiltroResp="",PROCESSOS!H395=FiltroResp)),PROCESSOS!D395+ROW()/1000000,"")</f>
        <v/>
      </c>
    </row>
    <row r="396">
      <c r="BF396" t="str">
        <f>IF(AND(OR(PROCESSOS!N396="NO PRAZO",PROCESSOS!N396="VENCE EM BREVE"),OR(FiltroResp="TODOS",FiltroResp="",PROCESSOS!H396=FiltroResp)),PROCESSOS!L396+ROW()/1000000,"")</f>
        <v/>
      </c>
      <c r="BG396" t="str">
        <f>IF(AND(PROCESSOS!B396&lt;&gt;"",ISNUMBER(PROCESSOS!D396),OR(FiltroResp="TODOS",FiltroResp="",PROCESSOS!H396=FiltroResp)),PROCESSOS!D396+ROW()/1000000,"")</f>
        <v/>
      </c>
    </row>
    <row r="397">
      <c r="BF397" t="str">
        <f>IF(AND(OR(PROCESSOS!N397="NO PRAZO",PROCESSOS!N397="VENCE EM BREVE"),OR(FiltroResp="TODOS",FiltroResp="",PROCESSOS!H397=FiltroResp)),PROCESSOS!L397+ROW()/1000000,"")</f>
        <v/>
      </c>
      <c r="BG397" t="str">
        <f>IF(AND(PROCESSOS!B397&lt;&gt;"",ISNUMBER(PROCESSOS!D397),OR(FiltroResp="TODOS",FiltroResp="",PROCESSOS!H397=FiltroResp)),PROCESSOS!D397+ROW()/1000000,"")</f>
        <v/>
      </c>
    </row>
    <row r="398">
      <c r="BF398" t="str">
        <f>IF(AND(OR(PROCESSOS!N398="NO PRAZO",PROCESSOS!N398="VENCE EM BREVE"),OR(FiltroResp="TODOS",FiltroResp="",PROCESSOS!H398=FiltroResp)),PROCESSOS!L398+ROW()/1000000,"")</f>
        <v/>
      </c>
      <c r="BG398" t="str">
        <f>IF(AND(PROCESSOS!B398&lt;&gt;"",ISNUMBER(PROCESSOS!D398),OR(FiltroResp="TODOS",FiltroResp="",PROCESSOS!H398=FiltroResp)),PROCESSOS!D398+ROW()/1000000,"")</f>
        <v/>
      </c>
    </row>
    <row r="399">
      <c r="BF399" t="str">
        <f>IF(AND(OR(PROCESSOS!N399="NO PRAZO",PROCESSOS!N399="VENCE EM BREVE"),OR(FiltroResp="TODOS",FiltroResp="",PROCESSOS!H399=FiltroResp)),PROCESSOS!L399+ROW()/1000000,"")</f>
        <v/>
      </c>
      <c r="BG399" t="str">
        <f>IF(AND(PROCESSOS!B399&lt;&gt;"",ISNUMBER(PROCESSOS!D399),OR(FiltroResp="TODOS",FiltroResp="",PROCESSOS!H399=FiltroResp)),PROCESSOS!D399+ROW()/1000000,"")</f>
        <v/>
      </c>
    </row>
    <row r="400">
      <c r="BF400" t="str">
        <f>IF(AND(OR(PROCESSOS!N400="NO PRAZO",PROCESSOS!N400="VENCE EM BREVE"),OR(FiltroResp="TODOS",FiltroResp="",PROCESSOS!H400=FiltroResp)),PROCESSOS!L400+ROW()/1000000,"")</f>
        <v/>
      </c>
      <c r="BG400" t="str">
        <f>IF(AND(PROCESSOS!B400&lt;&gt;"",ISNUMBER(PROCESSOS!D400),OR(FiltroResp="TODOS",FiltroResp="",PROCESSOS!H400=FiltroResp)),PROCESSOS!D400+ROW()/1000000,"")</f>
        <v/>
      </c>
    </row>
    <row r="401">
      <c r="BF401" t="str">
        <f>IF(AND(OR(PROCESSOS!N401="NO PRAZO",PROCESSOS!N401="VENCE EM BREVE"),OR(FiltroResp="TODOS",FiltroResp="",PROCESSOS!H401=FiltroResp)),PROCESSOS!L401+ROW()/1000000,"")</f>
        <v/>
      </c>
      <c r="BG401" t="str">
        <f>IF(AND(PROCESSOS!B401&lt;&gt;"",ISNUMBER(PROCESSOS!D401),OR(FiltroResp="TODOS",FiltroResp="",PROCESSOS!H401=FiltroResp)),PROCESSOS!D401+ROW()/1000000,"")</f>
        <v/>
      </c>
    </row>
    <row r="402">
      <c r="BF402" t="str">
        <f>IF(AND(OR(PROCESSOS!N402="NO PRAZO",PROCESSOS!N402="VENCE EM BREVE"),OR(FiltroResp="TODOS",FiltroResp="",PROCESSOS!H402=FiltroResp)),PROCESSOS!L402+ROW()/1000000,"")</f>
        <v/>
      </c>
      <c r="BG402" t="str">
        <f>IF(AND(PROCESSOS!B402&lt;&gt;"",ISNUMBER(PROCESSOS!D402),OR(FiltroResp="TODOS",FiltroResp="",PROCESSOS!H402=FiltroResp)),PROCESSOS!D402+ROW()/1000000,"")</f>
        <v/>
      </c>
    </row>
    <row r="403">
      <c r="BF403" t="str">
        <f>IF(AND(OR(PROCESSOS!N403="NO PRAZO",PROCESSOS!N403="VENCE EM BREVE"),OR(FiltroResp="TODOS",FiltroResp="",PROCESSOS!H403=FiltroResp)),PROCESSOS!L403+ROW()/1000000,"")</f>
        <v/>
      </c>
      <c r="BG403" t="str">
        <f>IF(AND(PROCESSOS!B403&lt;&gt;"",ISNUMBER(PROCESSOS!D403),OR(FiltroResp="TODOS",FiltroResp="",PROCESSOS!H403=FiltroResp)),PROCESSOS!D403+ROW()/1000000,"")</f>
        <v/>
      </c>
    </row>
    <row r="404">
      <c r="BF404" t="str">
        <f>IF(AND(OR(PROCESSOS!N404="NO PRAZO",PROCESSOS!N404="VENCE EM BREVE"),OR(FiltroResp="TODOS",FiltroResp="",PROCESSOS!H404=FiltroResp)),PROCESSOS!L404+ROW()/1000000,"")</f>
        <v/>
      </c>
      <c r="BG404" t="str">
        <f>IF(AND(PROCESSOS!B404&lt;&gt;"",ISNUMBER(PROCESSOS!D404),OR(FiltroResp="TODOS",FiltroResp="",PROCESSOS!H404=FiltroResp)),PROCESSOS!D404+ROW()/1000000,"")</f>
        <v/>
      </c>
    </row>
    <row r="405">
      <c r="BF405" t="str">
        <f>IF(AND(OR(PROCESSOS!N405="NO PRAZO",PROCESSOS!N405="VENCE EM BREVE"),OR(FiltroResp="TODOS",FiltroResp="",PROCESSOS!H405=FiltroResp)),PROCESSOS!L405+ROW()/1000000,"")</f>
        <v/>
      </c>
      <c r="BG405" t="str">
        <f>IF(AND(PROCESSOS!B405&lt;&gt;"",ISNUMBER(PROCESSOS!D405),OR(FiltroResp="TODOS",FiltroResp="",PROCESSOS!H405=FiltroResp)),PROCESSOS!D405+ROW()/1000000,"")</f>
        <v/>
      </c>
    </row>
    <row r="406">
      <c r="BF406" t="str">
        <f>IF(AND(OR(PROCESSOS!N406="NO PRAZO",PROCESSOS!N406="VENCE EM BREVE"),OR(FiltroResp="TODOS",FiltroResp="",PROCESSOS!H406=FiltroResp)),PROCESSOS!L406+ROW()/1000000,"")</f>
        <v/>
      </c>
      <c r="BG406" t="str">
        <f>IF(AND(PROCESSOS!B406&lt;&gt;"",ISNUMBER(PROCESSOS!D406),OR(FiltroResp="TODOS",FiltroResp="",PROCESSOS!H406=FiltroResp)),PROCESSOS!D406+ROW()/1000000,"")</f>
        <v/>
      </c>
    </row>
    <row r="407">
      <c r="BF407" t="str">
        <f>IF(AND(OR(PROCESSOS!N407="NO PRAZO",PROCESSOS!N407="VENCE EM BREVE"),OR(FiltroResp="TODOS",FiltroResp="",PROCESSOS!H407=FiltroResp)),PROCESSOS!L407+ROW()/1000000,"")</f>
        <v/>
      </c>
      <c r="BG407" t="str">
        <f>IF(AND(PROCESSOS!B407&lt;&gt;"",ISNUMBER(PROCESSOS!D407),OR(FiltroResp="TODOS",FiltroResp="",PROCESSOS!H407=FiltroResp)),PROCESSOS!D407+ROW()/1000000,"")</f>
        <v/>
      </c>
    </row>
    <row r="408">
      <c r="BF408" t="str">
        <f>IF(AND(OR(PROCESSOS!N408="NO PRAZO",PROCESSOS!N408="VENCE EM BREVE"),OR(FiltroResp="TODOS",FiltroResp="",PROCESSOS!H408=FiltroResp)),PROCESSOS!L408+ROW()/1000000,"")</f>
        <v/>
      </c>
      <c r="BG408" t="str">
        <f>IF(AND(PROCESSOS!B408&lt;&gt;"",ISNUMBER(PROCESSOS!D408),OR(FiltroResp="TODOS",FiltroResp="",PROCESSOS!H408=FiltroResp)),PROCESSOS!D408+ROW()/1000000,"")</f>
        <v/>
      </c>
    </row>
    <row r="409">
      <c r="BF409" t="str">
        <f>IF(AND(OR(PROCESSOS!N409="NO PRAZO",PROCESSOS!N409="VENCE EM BREVE"),OR(FiltroResp="TODOS",FiltroResp="",PROCESSOS!H409=FiltroResp)),PROCESSOS!L409+ROW()/1000000,"")</f>
        <v/>
      </c>
      <c r="BG409" t="str">
        <f>IF(AND(PROCESSOS!B409&lt;&gt;"",ISNUMBER(PROCESSOS!D409),OR(FiltroResp="TODOS",FiltroResp="",PROCESSOS!H409=FiltroResp)),PROCESSOS!D409+ROW()/1000000,"")</f>
        <v/>
      </c>
    </row>
    <row r="410">
      <c r="BF410" t="str">
        <f>IF(AND(OR(PROCESSOS!N410="NO PRAZO",PROCESSOS!N410="VENCE EM BREVE"),OR(FiltroResp="TODOS",FiltroResp="",PROCESSOS!H410=FiltroResp)),PROCESSOS!L410+ROW()/1000000,"")</f>
        <v/>
      </c>
      <c r="BG410" t="str">
        <f>IF(AND(PROCESSOS!B410&lt;&gt;"",ISNUMBER(PROCESSOS!D410),OR(FiltroResp="TODOS",FiltroResp="",PROCESSOS!H410=FiltroResp)),PROCESSOS!D410+ROW()/1000000,"")</f>
        <v/>
      </c>
    </row>
    <row r="411">
      <c r="BF411" t="str">
        <f>IF(AND(OR(PROCESSOS!N411="NO PRAZO",PROCESSOS!N411="VENCE EM BREVE"),OR(FiltroResp="TODOS",FiltroResp="",PROCESSOS!H411=FiltroResp)),PROCESSOS!L411+ROW()/1000000,"")</f>
        <v/>
      </c>
      <c r="BG411" t="str">
        <f>IF(AND(PROCESSOS!B411&lt;&gt;"",ISNUMBER(PROCESSOS!D411),OR(FiltroResp="TODOS",FiltroResp="",PROCESSOS!H411=FiltroResp)),PROCESSOS!D411+ROW()/1000000,"")</f>
        <v/>
      </c>
    </row>
    <row r="412">
      <c r="BF412" t="str">
        <f>IF(AND(OR(PROCESSOS!N412="NO PRAZO",PROCESSOS!N412="VENCE EM BREVE"),OR(FiltroResp="TODOS",FiltroResp="",PROCESSOS!H412=FiltroResp)),PROCESSOS!L412+ROW()/1000000,"")</f>
        <v/>
      </c>
      <c r="BG412" t="str">
        <f>IF(AND(PROCESSOS!B412&lt;&gt;"",ISNUMBER(PROCESSOS!D412),OR(FiltroResp="TODOS",FiltroResp="",PROCESSOS!H412=FiltroResp)),PROCESSOS!D412+ROW()/1000000,"")</f>
        <v/>
      </c>
    </row>
    <row r="413">
      <c r="BF413" t="str">
        <f>IF(AND(OR(PROCESSOS!N413="NO PRAZO",PROCESSOS!N413="VENCE EM BREVE"),OR(FiltroResp="TODOS",FiltroResp="",PROCESSOS!H413=FiltroResp)),PROCESSOS!L413+ROW()/1000000,"")</f>
        <v/>
      </c>
      <c r="BG413" t="str">
        <f>IF(AND(PROCESSOS!B413&lt;&gt;"",ISNUMBER(PROCESSOS!D413),OR(FiltroResp="TODOS",FiltroResp="",PROCESSOS!H413=FiltroResp)),PROCESSOS!D413+ROW()/1000000,"")</f>
        <v/>
      </c>
    </row>
    <row r="414">
      <c r="BF414" t="str">
        <f>IF(AND(OR(PROCESSOS!N414="NO PRAZO",PROCESSOS!N414="VENCE EM BREVE"),OR(FiltroResp="TODOS",FiltroResp="",PROCESSOS!H414=FiltroResp)),PROCESSOS!L414+ROW()/1000000,"")</f>
        <v/>
      </c>
      <c r="BG414" t="str">
        <f>IF(AND(PROCESSOS!B414&lt;&gt;"",ISNUMBER(PROCESSOS!D414),OR(FiltroResp="TODOS",FiltroResp="",PROCESSOS!H414=FiltroResp)),PROCESSOS!D414+ROW()/1000000,"")</f>
        <v/>
      </c>
    </row>
    <row r="415">
      <c r="BF415" t="str">
        <f>IF(AND(OR(PROCESSOS!N415="NO PRAZO",PROCESSOS!N415="VENCE EM BREVE"),OR(FiltroResp="TODOS",FiltroResp="",PROCESSOS!H415=FiltroResp)),PROCESSOS!L415+ROW()/1000000,"")</f>
        <v/>
      </c>
      <c r="BG415" t="str">
        <f>IF(AND(PROCESSOS!B415&lt;&gt;"",ISNUMBER(PROCESSOS!D415),OR(FiltroResp="TODOS",FiltroResp="",PROCESSOS!H415=FiltroResp)),PROCESSOS!D415+ROW()/1000000,"")</f>
        <v/>
      </c>
    </row>
    <row r="416">
      <c r="BF416" t="str">
        <f>IF(AND(OR(PROCESSOS!N416="NO PRAZO",PROCESSOS!N416="VENCE EM BREVE"),OR(FiltroResp="TODOS",FiltroResp="",PROCESSOS!H416=FiltroResp)),PROCESSOS!L416+ROW()/1000000,"")</f>
        <v/>
      </c>
      <c r="BG416" t="str">
        <f>IF(AND(PROCESSOS!B416&lt;&gt;"",ISNUMBER(PROCESSOS!D416),OR(FiltroResp="TODOS",FiltroResp="",PROCESSOS!H416=FiltroResp)),PROCESSOS!D416+ROW()/1000000,"")</f>
        <v/>
      </c>
    </row>
    <row r="417">
      <c r="BF417" t="str">
        <f>IF(AND(OR(PROCESSOS!N417="NO PRAZO",PROCESSOS!N417="VENCE EM BREVE"),OR(FiltroResp="TODOS",FiltroResp="",PROCESSOS!H417=FiltroResp)),PROCESSOS!L417+ROW()/1000000,"")</f>
        <v/>
      </c>
      <c r="BG417" t="str">
        <f>IF(AND(PROCESSOS!B417&lt;&gt;"",ISNUMBER(PROCESSOS!D417),OR(FiltroResp="TODOS",FiltroResp="",PROCESSOS!H417=FiltroResp)),PROCESSOS!D417+ROW()/1000000,"")</f>
        <v/>
      </c>
    </row>
    <row r="418">
      <c r="BF418" t="str">
        <f>IF(AND(OR(PROCESSOS!N418="NO PRAZO",PROCESSOS!N418="VENCE EM BREVE"),OR(FiltroResp="TODOS",FiltroResp="",PROCESSOS!H418=FiltroResp)),PROCESSOS!L418+ROW()/1000000,"")</f>
        <v/>
      </c>
      <c r="BG418" t="str">
        <f>IF(AND(PROCESSOS!B418&lt;&gt;"",ISNUMBER(PROCESSOS!D418),OR(FiltroResp="TODOS",FiltroResp="",PROCESSOS!H418=FiltroResp)),PROCESSOS!D418+ROW()/1000000,"")</f>
        <v/>
      </c>
    </row>
    <row r="419">
      <c r="BF419" t="str">
        <f>IF(AND(OR(PROCESSOS!N419="NO PRAZO",PROCESSOS!N419="VENCE EM BREVE"),OR(FiltroResp="TODOS",FiltroResp="",PROCESSOS!H419=FiltroResp)),PROCESSOS!L419+ROW()/1000000,"")</f>
        <v/>
      </c>
      <c r="BG419" t="str">
        <f>IF(AND(PROCESSOS!B419&lt;&gt;"",ISNUMBER(PROCESSOS!D419),OR(FiltroResp="TODOS",FiltroResp="",PROCESSOS!H419=FiltroResp)),PROCESSOS!D419+ROW()/1000000,"")</f>
        <v/>
      </c>
    </row>
    <row r="420">
      <c r="BF420" t="str">
        <f>IF(AND(OR(PROCESSOS!N420="NO PRAZO",PROCESSOS!N420="VENCE EM BREVE"),OR(FiltroResp="TODOS",FiltroResp="",PROCESSOS!H420=FiltroResp)),PROCESSOS!L420+ROW()/1000000,"")</f>
        <v/>
      </c>
      <c r="BG420" t="str">
        <f>IF(AND(PROCESSOS!B420&lt;&gt;"",ISNUMBER(PROCESSOS!D420),OR(FiltroResp="TODOS",FiltroResp="",PROCESSOS!H420=FiltroResp)),PROCESSOS!D420+ROW()/1000000,"")</f>
        <v/>
      </c>
    </row>
    <row r="421">
      <c r="BF421" t="str">
        <f>IF(AND(OR(PROCESSOS!N421="NO PRAZO",PROCESSOS!N421="VENCE EM BREVE"),OR(FiltroResp="TODOS",FiltroResp="",PROCESSOS!H421=FiltroResp)),PROCESSOS!L421+ROW()/1000000,"")</f>
        <v/>
      </c>
      <c r="BG421" t="str">
        <f>IF(AND(PROCESSOS!B421&lt;&gt;"",ISNUMBER(PROCESSOS!D421),OR(FiltroResp="TODOS",FiltroResp="",PROCESSOS!H421=FiltroResp)),PROCESSOS!D421+ROW()/1000000,"")</f>
        <v/>
      </c>
    </row>
    <row r="422">
      <c r="BF422" t="str">
        <f>IF(AND(OR(PROCESSOS!N422="NO PRAZO",PROCESSOS!N422="VENCE EM BREVE"),OR(FiltroResp="TODOS",FiltroResp="",PROCESSOS!H422=FiltroResp)),PROCESSOS!L422+ROW()/1000000,"")</f>
        <v/>
      </c>
      <c r="BG422" t="str">
        <f>IF(AND(PROCESSOS!B422&lt;&gt;"",ISNUMBER(PROCESSOS!D422),OR(FiltroResp="TODOS",FiltroResp="",PROCESSOS!H422=FiltroResp)),PROCESSOS!D422+ROW()/1000000,"")</f>
        <v/>
      </c>
    </row>
    <row r="423">
      <c r="BF423" t="str">
        <f>IF(AND(OR(PROCESSOS!N423="NO PRAZO",PROCESSOS!N423="VENCE EM BREVE"),OR(FiltroResp="TODOS",FiltroResp="",PROCESSOS!H423=FiltroResp)),PROCESSOS!L423+ROW()/1000000,"")</f>
        <v/>
      </c>
      <c r="BG423" t="str">
        <f>IF(AND(PROCESSOS!B423&lt;&gt;"",ISNUMBER(PROCESSOS!D423),OR(FiltroResp="TODOS",FiltroResp="",PROCESSOS!H423=FiltroResp)),PROCESSOS!D423+ROW()/1000000,"")</f>
        <v/>
      </c>
    </row>
    <row r="424">
      <c r="BF424" t="str">
        <f>IF(AND(OR(PROCESSOS!N424="NO PRAZO",PROCESSOS!N424="VENCE EM BREVE"),OR(FiltroResp="TODOS",FiltroResp="",PROCESSOS!H424=FiltroResp)),PROCESSOS!L424+ROW()/1000000,"")</f>
        <v/>
      </c>
      <c r="BG424" t="str">
        <f>IF(AND(PROCESSOS!B424&lt;&gt;"",ISNUMBER(PROCESSOS!D424),OR(FiltroResp="TODOS",FiltroResp="",PROCESSOS!H424=FiltroResp)),PROCESSOS!D424+ROW()/1000000,"")</f>
        <v/>
      </c>
    </row>
    <row r="425">
      <c r="BF425" t="str">
        <f>IF(AND(OR(PROCESSOS!N425="NO PRAZO",PROCESSOS!N425="VENCE EM BREVE"),OR(FiltroResp="TODOS",FiltroResp="",PROCESSOS!H425=FiltroResp)),PROCESSOS!L425+ROW()/1000000,"")</f>
        <v/>
      </c>
      <c r="BG425" t="str">
        <f>IF(AND(PROCESSOS!B425&lt;&gt;"",ISNUMBER(PROCESSOS!D425),OR(FiltroResp="TODOS",FiltroResp="",PROCESSOS!H425=FiltroResp)),PROCESSOS!D425+ROW()/1000000,"")</f>
        <v/>
      </c>
    </row>
    <row r="426">
      <c r="BF426" t="str">
        <f>IF(AND(OR(PROCESSOS!N426="NO PRAZO",PROCESSOS!N426="VENCE EM BREVE"),OR(FiltroResp="TODOS",FiltroResp="",PROCESSOS!H426=FiltroResp)),PROCESSOS!L426+ROW()/1000000,"")</f>
        <v/>
      </c>
      <c r="BG426" t="str">
        <f>IF(AND(PROCESSOS!B426&lt;&gt;"",ISNUMBER(PROCESSOS!D426),OR(FiltroResp="TODOS",FiltroResp="",PROCESSOS!H426=FiltroResp)),PROCESSOS!D426+ROW()/1000000,"")</f>
        <v/>
      </c>
    </row>
    <row r="427">
      <c r="BF427" t="str">
        <f>IF(AND(OR(PROCESSOS!N427="NO PRAZO",PROCESSOS!N427="VENCE EM BREVE"),OR(FiltroResp="TODOS",FiltroResp="",PROCESSOS!H427=FiltroResp)),PROCESSOS!L427+ROW()/1000000,"")</f>
        <v/>
      </c>
      <c r="BG427" t="str">
        <f>IF(AND(PROCESSOS!B427&lt;&gt;"",ISNUMBER(PROCESSOS!D427),OR(FiltroResp="TODOS",FiltroResp="",PROCESSOS!H427=FiltroResp)),PROCESSOS!D427+ROW()/1000000,"")</f>
        <v/>
      </c>
    </row>
    <row r="428">
      <c r="BF428" t="str">
        <f>IF(AND(OR(PROCESSOS!N428="NO PRAZO",PROCESSOS!N428="VENCE EM BREVE"),OR(FiltroResp="TODOS",FiltroResp="",PROCESSOS!H428=FiltroResp)),PROCESSOS!L428+ROW()/1000000,"")</f>
        <v/>
      </c>
      <c r="BG428" t="str">
        <f>IF(AND(PROCESSOS!B428&lt;&gt;"",ISNUMBER(PROCESSOS!D428),OR(FiltroResp="TODOS",FiltroResp="",PROCESSOS!H428=FiltroResp)),PROCESSOS!D428+ROW()/1000000,"")</f>
        <v/>
      </c>
    </row>
    <row r="429">
      <c r="BF429" t="str">
        <f>IF(AND(OR(PROCESSOS!N429="NO PRAZO",PROCESSOS!N429="VENCE EM BREVE"),OR(FiltroResp="TODOS",FiltroResp="",PROCESSOS!H429=FiltroResp)),PROCESSOS!L429+ROW()/1000000,"")</f>
        <v/>
      </c>
      <c r="BG429" t="str">
        <f>IF(AND(PROCESSOS!B429&lt;&gt;"",ISNUMBER(PROCESSOS!D429),OR(FiltroResp="TODOS",FiltroResp="",PROCESSOS!H429=FiltroResp)),PROCESSOS!D429+ROW()/1000000,"")</f>
        <v/>
      </c>
    </row>
    <row r="430">
      <c r="BF430" t="str">
        <f>IF(AND(OR(PROCESSOS!N430="NO PRAZO",PROCESSOS!N430="VENCE EM BREVE"),OR(FiltroResp="TODOS",FiltroResp="",PROCESSOS!H430=FiltroResp)),PROCESSOS!L430+ROW()/1000000,"")</f>
        <v/>
      </c>
      <c r="BG430" t="str">
        <f>IF(AND(PROCESSOS!B430&lt;&gt;"",ISNUMBER(PROCESSOS!D430),OR(FiltroResp="TODOS",FiltroResp="",PROCESSOS!H430=FiltroResp)),PROCESSOS!D430+ROW()/1000000,"")</f>
        <v/>
      </c>
    </row>
    <row r="431">
      <c r="BF431" t="str">
        <f>IF(AND(OR(PROCESSOS!N431="NO PRAZO",PROCESSOS!N431="VENCE EM BREVE"),OR(FiltroResp="TODOS",FiltroResp="",PROCESSOS!H431=FiltroResp)),PROCESSOS!L431+ROW()/1000000,"")</f>
        <v/>
      </c>
      <c r="BG431" t="str">
        <f>IF(AND(PROCESSOS!B431&lt;&gt;"",ISNUMBER(PROCESSOS!D431),OR(FiltroResp="TODOS",FiltroResp="",PROCESSOS!H431=FiltroResp)),PROCESSOS!D431+ROW()/1000000,"")</f>
        <v/>
      </c>
    </row>
    <row r="432">
      <c r="BF432" t="str">
        <f>IF(AND(OR(PROCESSOS!N432="NO PRAZO",PROCESSOS!N432="VENCE EM BREVE"),OR(FiltroResp="TODOS",FiltroResp="",PROCESSOS!H432=FiltroResp)),PROCESSOS!L432+ROW()/1000000,"")</f>
        <v/>
      </c>
      <c r="BG432" t="str">
        <f>IF(AND(PROCESSOS!B432&lt;&gt;"",ISNUMBER(PROCESSOS!D432),OR(FiltroResp="TODOS",FiltroResp="",PROCESSOS!H432=FiltroResp)),PROCESSOS!D432+ROW()/1000000,"")</f>
        <v/>
      </c>
    </row>
    <row r="433">
      <c r="BF433" t="str">
        <f>IF(AND(OR(PROCESSOS!N433="NO PRAZO",PROCESSOS!N433="VENCE EM BREVE"),OR(FiltroResp="TODOS",FiltroResp="",PROCESSOS!H433=FiltroResp)),PROCESSOS!L433+ROW()/1000000,"")</f>
        <v/>
      </c>
      <c r="BG433" t="str">
        <f>IF(AND(PROCESSOS!B433&lt;&gt;"",ISNUMBER(PROCESSOS!D433),OR(FiltroResp="TODOS",FiltroResp="",PROCESSOS!H433=FiltroResp)),PROCESSOS!D433+ROW()/1000000,"")</f>
        <v/>
      </c>
    </row>
    <row r="434">
      <c r="BF434" t="str">
        <f>IF(AND(OR(PROCESSOS!N434="NO PRAZO",PROCESSOS!N434="VENCE EM BREVE"),OR(FiltroResp="TODOS",FiltroResp="",PROCESSOS!H434=FiltroResp)),PROCESSOS!L434+ROW()/1000000,"")</f>
        <v/>
      </c>
      <c r="BG434" t="str">
        <f>IF(AND(PROCESSOS!B434&lt;&gt;"",ISNUMBER(PROCESSOS!D434),OR(FiltroResp="TODOS",FiltroResp="",PROCESSOS!H434=FiltroResp)),PROCESSOS!D434+ROW()/1000000,"")</f>
        <v/>
      </c>
    </row>
    <row r="435">
      <c r="BF435" t="str">
        <f>IF(AND(OR(PROCESSOS!N435="NO PRAZO",PROCESSOS!N435="VENCE EM BREVE"),OR(FiltroResp="TODOS",FiltroResp="",PROCESSOS!H435=FiltroResp)),PROCESSOS!L435+ROW()/1000000,"")</f>
        <v/>
      </c>
      <c r="BG435" t="str">
        <f>IF(AND(PROCESSOS!B435&lt;&gt;"",ISNUMBER(PROCESSOS!D435),OR(FiltroResp="TODOS",FiltroResp="",PROCESSOS!H435=FiltroResp)),PROCESSOS!D435+ROW()/1000000,"")</f>
        <v/>
      </c>
    </row>
    <row r="436">
      <c r="BF436" t="str">
        <f>IF(AND(OR(PROCESSOS!N436="NO PRAZO",PROCESSOS!N436="VENCE EM BREVE"),OR(FiltroResp="TODOS",FiltroResp="",PROCESSOS!H436=FiltroResp)),PROCESSOS!L436+ROW()/1000000,"")</f>
        <v/>
      </c>
      <c r="BG436" t="str">
        <f>IF(AND(PROCESSOS!B436&lt;&gt;"",ISNUMBER(PROCESSOS!D436),OR(FiltroResp="TODOS",FiltroResp="",PROCESSOS!H436=FiltroResp)),PROCESSOS!D436+ROW()/1000000,"")</f>
        <v/>
      </c>
    </row>
    <row r="437">
      <c r="BF437" t="str">
        <f>IF(AND(OR(PROCESSOS!N437="NO PRAZO",PROCESSOS!N437="VENCE EM BREVE"),OR(FiltroResp="TODOS",FiltroResp="",PROCESSOS!H437=FiltroResp)),PROCESSOS!L437+ROW()/1000000,"")</f>
        <v/>
      </c>
      <c r="BG437" t="str">
        <f>IF(AND(PROCESSOS!B437&lt;&gt;"",ISNUMBER(PROCESSOS!D437),OR(FiltroResp="TODOS",FiltroResp="",PROCESSOS!H437=FiltroResp)),PROCESSOS!D437+ROW()/1000000,"")</f>
        <v/>
      </c>
    </row>
    <row r="438">
      <c r="BF438" t="str">
        <f>IF(AND(OR(PROCESSOS!N438="NO PRAZO",PROCESSOS!N438="VENCE EM BREVE"),OR(FiltroResp="TODOS",FiltroResp="",PROCESSOS!H438=FiltroResp)),PROCESSOS!L438+ROW()/1000000,"")</f>
        <v/>
      </c>
      <c r="BG438" t="str">
        <f>IF(AND(PROCESSOS!B438&lt;&gt;"",ISNUMBER(PROCESSOS!D438),OR(FiltroResp="TODOS",FiltroResp="",PROCESSOS!H438=FiltroResp)),PROCESSOS!D438+ROW()/1000000,"")</f>
        <v/>
      </c>
    </row>
    <row r="439">
      <c r="BF439" t="str">
        <f>IF(AND(OR(PROCESSOS!N439="NO PRAZO",PROCESSOS!N439="VENCE EM BREVE"),OR(FiltroResp="TODOS",FiltroResp="",PROCESSOS!H439=FiltroResp)),PROCESSOS!L439+ROW()/1000000,"")</f>
        <v/>
      </c>
      <c r="BG439" t="str">
        <f>IF(AND(PROCESSOS!B439&lt;&gt;"",ISNUMBER(PROCESSOS!D439),OR(FiltroResp="TODOS",FiltroResp="",PROCESSOS!H439=FiltroResp)),PROCESSOS!D439+ROW()/1000000,"")</f>
        <v/>
      </c>
    </row>
    <row r="440">
      <c r="BF440" t="str">
        <f>IF(AND(OR(PROCESSOS!N440="NO PRAZO",PROCESSOS!N440="VENCE EM BREVE"),OR(FiltroResp="TODOS",FiltroResp="",PROCESSOS!H440=FiltroResp)),PROCESSOS!L440+ROW()/1000000,"")</f>
        <v/>
      </c>
      <c r="BG440" t="str">
        <f>IF(AND(PROCESSOS!B440&lt;&gt;"",ISNUMBER(PROCESSOS!D440),OR(FiltroResp="TODOS",FiltroResp="",PROCESSOS!H440=FiltroResp)),PROCESSOS!D440+ROW()/1000000,"")</f>
        <v/>
      </c>
    </row>
    <row r="441">
      <c r="BF441" t="str">
        <f>IF(AND(OR(PROCESSOS!N441="NO PRAZO",PROCESSOS!N441="VENCE EM BREVE"),OR(FiltroResp="TODOS",FiltroResp="",PROCESSOS!H441=FiltroResp)),PROCESSOS!L441+ROW()/1000000,"")</f>
        <v/>
      </c>
      <c r="BG441" t="str">
        <f>IF(AND(PROCESSOS!B441&lt;&gt;"",ISNUMBER(PROCESSOS!D441),OR(FiltroResp="TODOS",FiltroResp="",PROCESSOS!H441=FiltroResp)),PROCESSOS!D441+ROW()/1000000,"")</f>
        <v/>
      </c>
    </row>
    <row r="442">
      <c r="BF442" t="str">
        <f>IF(AND(OR(PROCESSOS!N442="NO PRAZO",PROCESSOS!N442="VENCE EM BREVE"),OR(FiltroResp="TODOS",FiltroResp="",PROCESSOS!H442=FiltroResp)),PROCESSOS!L442+ROW()/1000000,"")</f>
        <v/>
      </c>
      <c r="BG442" t="str">
        <f>IF(AND(PROCESSOS!B442&lt;&gt;"",ISNUMBER(PROCESSOS!D442),OR(FiltroResp="TODOS",FiltroResp="",PROCESSOS!H442=FiltroResp)),PROCESSOS!D442+ROW()/1000000,"")</f>
        <v/>
      </c>
    </row>
    <row r="443">
      <c r="BF443" t="str">
        <f>IF(AND(OR(PROCESSOS!N443="NO PRAZO",PROCESSOS!N443="VENCE EM BREVE"),OR(FiltroResp="TODOS",FiltroResp="",PROCESSOS!H443=FiltroResp)),PROCESSOS!L443+ROW()/1000000,"")</f>
        <v/>
      </c>
      <c r="BG443" t="str">
        <f>IF(AND(PROCESSOS!B443&lt;&gt;"",ISNUMBER(PROCESSOS!D443),OR(FiltroResp="TODOS",FiltroResp="",PROCESSOS!H443=FiltroResp)),PROCESSOS!D443+ROW()/1000000,"")</f>
        <v/>
      </c>
    </row>
    <row r="444">
      <c r="BF444" t="str">
        <f>IF(AND(OR(PROCESSOS!N444="NO PRAZO",PROCESSOS!N444="VENCE EM BREVE"),OR(FiltroResp="TODOS",FiltroResp="",PROCESSOS!H444=FiltroResp)),PROCESSOS!L444+ROW()/1000000,"")</f>
        <v/>
      </c>
      <c r="BG444" t="str">
        <f>IF(AND(PROCESSOS!B444&lt;&gt;"",ISNUMBER(PROCESSOS!D444),OR(FiltroResp="TODOS",FiltroResp="",PROCESSOS!H444=FiltroResp)),PROCESSOS!D444+ROW()/1000000,"")</f>
        <v/>
      </c>
    </row>
    <row r="445">
      <c r="BF445" t="str">
        <f>IF(AND(OR(PROCESSOS!N445="NO PRAZO",PROCESSOS!N445="VENCE EM BREVE"),OR(FiltroResp="TODOS",FiltroResp="",PROCESSOS!H445=FiltroResp)),PROCESSOS!L445+ROW()/1000000,"")</f>
        <v/>
      </c>
      <c r="BG445" t="str">
        <f>IF(AND(PROCESSOS!B445&lt;&gt;"",ISNUMBER(PROCESSOS!D445),OR(FiltroResp="TODOS",FiltroResp="",PROCESSOS!H445=FiltroResp)),PROCESSOS!D445+ROW()/1000000,"")</f>
        <v/>
      </c>
    </row>
    <row r="446">
      <c r="BF446" t="str">
        <f>IF(AND(OR(PROCESSOS!N446="NO PRAZO",PROCESSOS!N446="VENCE EM BREVE"),OR(FiltroResp="TODOS",FiltroResp="",PROCESSOS!H446=FiltroResp)),PROCESSOS!L446+ROW()/1000000,"")</f>
        <v/>
      </c>
      <c r="BG446" t="str">
        <f>IF(AND(PROCESSOS!B446&lt;&gt;"",ISNUMBER(PROCESSOS!D446),OR(FiltroResp="TODOS",FiltroResp="",PROCESSOS!H446=FiltroResp)),PROCESSOS!D446+ROW()/1000000,"")</f>
        <v/>
      </c>
    </row>
    <row r="447">
      <c r="BF447" t="str">
        <f>IF(AND(OR(PROCESSOS!N447="NO PRAZO",PROCESSOS!N447="VENCE EM BREVE"),OR(FiltroResp="TODOS",FiltroResp="",PROCESSOS!H447=FiltroResp)),PROCESSOS!L447+ROW()/1000000,"")</f>
        <v/>
      </c>
      <c r="BG447" t="str">
        <f>IF(AND(PROCESSOS!B447&lt;&gt;"",ISNUMBER(PROCESSOS!D447),OR(FiltroResp="TODOS",FiltroResp="",PROCESSOS!H447=FiltroResp)),PROCESSOS!D447+ROW()/1000000,"")</f>
        <v/>
      </c>
    </row>
    <row r="448">
      <c r="BF448" t="str">
        <f>IF(AND(OR(PROCESSOS!N448="NO PRAZO",PROCESSOS!N448="VENCE EM BREVE"),OR(FiltroResp="TODOS",FiltroResp="",PROCESSOS!H448=FiltroResp)),PROCESSOS!L448+ROW()/1000000,"")</f>
        <v/>
      </c>
      <c r="BG448" t="str">
        <f>IF(AND(PROCESSOS!B448&lt;&gt;"",ISNUMBER(PROCESSOS!D448),OR(FiltroResp="TODOS",FiltroResp="",PROCESSOS!H448=FiltroResp)),PROCESSOS!D448+ROW()/1000000,"")</f>
        <v/>
      </c>
    </row>
    <row r="449">
      <c r="BF449" t="str">
        <f>IF(AND(OR(PROCESSOS!N449="NO PRAZO",PROCESSOS!N449="VENCE EM BREVE"),OR(FiltroResp="TODOS",FiltroResp="",PROCESSOS!H449=FiltroResp)),PROCESSOS!L449+ROW()/1000000,"")</f>
        <v/>
      </c>
      <c r="BG449" t="str">
        <f>IF(AND(PROCESSOS!B449&lt;&gt;"",ISNUMBER(PROCESSOS!D449),OR(FiltroResp="TODOS",FiltroResp="",PROCESSOS!H449=FiltroResp)),PROCESSOS!D449+ROW()/1000000,"")</f>
        <v/>
      </c>
    </row>
    <row r="450">
      <c r="BF450" t="str">
        <f>IF(AND(OR(PROCESSOS!N450="NO PRAZO",PROCESSOS!N450="VENCE EM BREVE"),OR(FiltroResp="TODOS",FiltroResp="",PROCESSOS!H450=FiltroResp)),PROCESSOS!L450+ROW()/1000000,"")</f>
        <v/>
      </c>
      <c r="BG450" t="str">
        <f>IF(AND(PROCESSOS!B450&lt;&gt;"",ISNUMBER(PROCESSOS!D450),OR(FiltroResp="TODOS",FiltroResp="",PROCESSOS!H450=FiltroResp)),PROCESSOS!D450+ROW()/1000000,"")</f>
        <v/>
      </c>
    </row>
    <row r="451">
      <c r="BF451" t="str">
        <f>IF(AND(OR(PROCESSOS!N451="NO PRAZO",PROCESSOS!N451="VENCE EM BREVE"),OR(FiltroResp="TODOS",FiltroResp="",PROCESSOS!H451=FiltroResp)),PROCESSOS!L451+ROW()/1000000,"")</f>
        <v/>
      </c>
      <c r="BG451" t="str">
        <f>IF(AND(PROCESSOS!B451&lt;&gt;"",ISNUMBER(PROCESSOS!D451),OR(FiltroResp="TODOS",FiltroResp="",PROCESSOS!H451=FiltroResp)),PROCESSOS!D451+ROW()/1000000,"")</f>
        <v/>
      </c>
    </row>
    <row r="452">
      <c r="BF452" t="str">
        <f>IF(AND(OR(PROCESSOS!N452="NO PRAZO",PROCESSOS!N452="VENCE EM BREVE"),OR(FiltroResp="TODOS",FiltroResp="",PROCESSOS!H452=FiltroResp)),PROCESSOS!L452+ROW()/1000000,"")</f>
        <v/>
      </c>
      <c r="BG452" t="str">
        <f>IF(AND(PROCESSOS!B452&lt;&gt;"",ISNUMBER(PROCESSOS!D452),OR(FiltroResp="TODOS",FiltroResp="",PROCESSOS!H452=FiltroResp)),PROCESSOS!D452+ROW()/1000000,"")</f>
        <v/>
      </c>
    </row>
    <row r="453">
      <c r="BF453" t="str">
        <f>IF(AND(OR(PROCESSOS!N453="NO PRAZO",PROCESSOS!N453="VENCE EM BREVE"),OR(FiltroResp="TODOS",FiltroResp="",PROCESSOS!H453=FiltroResp)),PROCESSOS!L453+ROW()/1000000,"")</f>
        <v/>
      </c>
      <c r="BG453" t="str">
        <f>IF(AND(PROCESSOS!B453&lt;&gt;"",ISNUMBER(PROCESSOS!D453),OR(FiltroResp="TODOS",FiltroResp="",PROCESSOS!H453=FiltroResp)),PROCESSOS!D453+ROW()/1000000,"")</f>
        <v/>
      </c>
    </row>
    <row r="454">
      <c r="BF454" t="str">
        <f>IF(AND(OR(PROCESSOS!N454="NO PRAZO",PROCESSOS!N454="VENCE EM BREVE"),OR(FiltroResp="TODOS",FiltroResp="",PROCESSOS!H454=FiltroResp)),PROCESSOS!L454+ROW()/1000000,"")</f>
        <v/>
      </c>
      <c r="BG454" t="str">
        <f>IF(AND(PROCESSOS!B454&lt;&gt;"",ISNUMBER(PROCESSOS!D454),OR(FiltroResp="TODOS",FiltroResp="",PROCESSOS!H454=FiltroResp)),PROCESSOS!D454+ROW()/1000000,"")</f>
        <v/>
      </c>
    </row>
    <row r="455">
      <c r="BF455" t="str">
        <f>IF(AND(OR(PROCESSOS!N455="NO PRAZO",PROCESSOS!N455="VENCE EM BREVE"),OR(FiltroResp="TODOS",FiltroResp="",PROCESSOS!H455=FiltroResp)),PROCESSOS!L455+ROW()/1000000,"")</f>
        <v/>
      </c>
      <c r="BG455" t="str">
        <f>IF(AND(PROCESSOS!B455&lt;&gt;"",ISNUMBER(PROCESSOS!D455),OR(FiltroResp="TODOS",FiltroResp="",PROCESSOS!H455=FiltroResp)),PROCESSOS!D455+ROW()/1000000,"")</f>
        <v/>
      </c>
    </row>
    <row r="456">
      <c r="BF456" t="str">
        <f>IF(AND(OR(PROCESSOS!N456="NO PRAZO",PROCESSOS!N456="VENCE EM BREVE"),OR(FiltroResp="TODOS",FiltroResp="",PROCESSOS!H456=FiltroResp)),PROCESSOS!L456+ROW()/1000000,"")</f>
        <v/>
      </c>
      <c r="BG456" t="str">
        <f>IF(AND(PROCESSOS!B456&lt;&gt;"",ISNUMBER(PROCESSOS!D456),OR(FiltroResp="TODOS",FiltroResp="",PROCESSOS!H456=FiltroResp)),PROCESSOS!D456+ROW()/1000000,"")</f>
        <v/>
      </c>
    </row>
    <row r="457">
      <c r="BF457" t="str">
        <f>IF(AND(OR(PROCESSOS!N457="NO PRAZO",PROCESSOS!N457="VENCE EM BREVE"),OR(FiltroResp="TODOS",FiltroResp="",PROCESSOS!H457=FiltroResp)),PROCESSOS!L457+ROW()/1000000,"")</f>
        <v/>
      </c>
      <c r="BG457" t="str">
        <f>IF(AND(PROCESSOS!B457&lt;&gt;"",ISNUMBER(PROCESSOS!D457),OR(FiltroResp="TODOS",FiltroResp="",PROCESSOS!H457=FiltroResp)),PROCESSOS!D457+ROW()/1000000,"")</f>
        <v/>
      </c>
    </row>
    <row r="458">
      <c r="BF458" t="str">
        <f>IF(AND(OR(PROCESSOS!N458="NO PRAZO",PROCESSOS!N458="VENCE EM BREVE"),OR(FiltroResp="TODOS",FiltroResp="",PROCESSOS!H458=FiltroResp)),PROCESSOS!L458+ROW()/1000000,"")</f>
        <v/>
      </c>
      <c r="BG458" t="str">
        <f>IF(AND(PROCESSOS!B458&lt;&gt;"",ISNUMBER(PROCESSOS!D458),OR(FiltroResp="TODOS",FiltroResp="",PROCESSOS!H458=FiltroResp)),PROCESSOS!D458+ROW()/1000000,"")</f>
        <v/>
      </c>
    </row>
    <row r="459">
      <c r="BF459" t="str">
        <f>IF(AND(OR(PROCESSOS!N459="NO PRAZO",PROCESSOS!N459="VENCE EM BREVE"),OR(FiltroResp="TODOS",FiltroResp="",PROCESSOS!H459=FiltroResp)),PROCESSOS!L459+ROW()/1000000,"")</f>
        <v/>
      </c>
      <c r="BG459" t="str">
        <f>IF(AND(PROCESSOS!B459&lt;&gt;"",ISNUMBER(PROCESSOS!D459),OR(FiltroResp="TODOS",FiltroResp="",PROCESSOS!H459=FiltroResp)),PROCESSOS!D459+ROW()/1000000,"")</f>
        <v/>
      </c>
    </row>
    <row r="460">
      <c r="BF460" t="str">
        <f>IF(AND(OR(PROCESSOS!N460="NO PRAZO",PROCESSOS!N460="VENCE EM BREVE"),OR(FiltroResp="TODOS",FiltroResp="",PROCESSOS!H460=FiltroResp)),PROCESSOS!L460+ROW()/1000000,"")</f>
        <v/>
      </c>
      <c r="BG460" t="str">
        <f>IF(AND(PROCESSOS!B460&lt;&gt;"",ISNUMBER(PROCESSOS!D460),OR(FiltroResp="TODOS",FiltroResp="",PROCESSOS!H460=FiltroResp)),PROCESSOS!D460+ROW()/1000000,"")</f>
        <v/>
      </c>
    </row>
    <row r="461">
      <c r="BF461" t="str">
        <f>IF(AND(OR(PROCESSOS!N461="NO PRAZO",PROCESSOS!N461="VENCE EM BREVE"),OR(FiltroResp="TODOS",FiltroResp="",PROCESSOS!H461=FiltroResp)),PROCESSOS!L461+ROW()/1000000,"")</f>
        <v/>
      </c>
      <c r="BG461" t="str">
        <f>IF(AND(PROCESSOS!B461&lt;&gt;"",ISNUMBER(PROCESSOS!D461),OR(FiltroResp="TODOS",FiltroResp="",PROCESSOS!H461=FiltroResp)),PROCESSOS!D461+ROW()/1000000,"")</f>
        <v/>
      </c>
    </row>
    <row r="462">
      <c r="BF462" t="str">
        <f>IF(AND(OR(PROCESSOS!N462="NO PRAZO",PROCESSOS!N462="VENCE EM BREVE"),OR(FiltroResp="TODOS",FiltroResp="",PROCESSOS!H462=FiltroResp)),PROCESSOS!L462+ROW()/1000000,"")</f>
        <v/>
      </c>
      <c r="BG462" t="str">
        <f>IF(AND(PROCESSOS!B462&lt;&gt;"",ISNUMBER(PROCESSOS!D462),OR(FiltroResp="TODOS",FiltroResp="",PROCESSOS!H462=FiltroResp)),PROCESSOS!D462+ROW()/1000000,"")</f>
        <v/>
      </c>
    </row>
    <row r="463">
      <c r="BF463" t="str">
        <f>IF(AND(OR(PROCESSOS!N463="NO PRAZO",PROCESSOS!N463="VENCE EM BREVE"),OR(FiltroResp="TODOS",FiltroResp="",PROCESSOS!H463=FiltroResp)),PROCESSOS!L463+ROW()/1000000,"")</f>
        <v/>
      </c>
      <c r="BG463" t="str">
        <f>IF(AND(PROCESSOS!B463&lt;&gt;"",ISNUMBER(PROCESSOS!D463),OR(FiltroResp="TODOS",FiltroResp="",PROCESSOS!H463=FiltroResp)),PROCESSOS!D463+ROW()/1000000,"")</f>
        <v/>
      </c>
    </row>
    <row r="464">
      <c r="BF464" t="str">
        <f>IF(AND(OR(PROCESSOS!N464="NO PRAZO",PROCESSOS!N464="VENCE EM BREVE"),OR(FiltroResp="TODOS",FiltroResp="",PROCESSOS!H464=FiltroResp)),PROCESSOS!L464+ROW()/1000000,"")</f>
        <v/>
      </c>
      <c r="BG464" t="str">
        <f>IF(AND(PROCESSOS!B464&lt;&gt;"",ISNUMBER(PROCESSOS!D464),OR(FiltroResp="TODOS",FiltroResp="",PROCESSOS!H464=FiltroResp)),PROCESSOS!D464+ROW()/1000000,"")</f>
        <v/>
      </c>
    </row>
    <row r="465">
      <c r="BF465" t="str">
        <f>IF(AND(OR(PROCESSOS!N465="NO PRAZO",PROCESSOS!N465="VENCE EM BREVE"),OR(FiltroResp="TODOS",FiltroResp="",PROCESSOS!H465=FiltroResp)),PROCESSOS!L465+ROW()/1000000,"")</f>
        <v/>
      </c>
      <c r="BG465" t="str">
        <f>IF(AND(PROCESSOS!B465&lt;&gt;"",ISNUMBER(PROCESSOS!D465),OR(FiltroResp="TODOS",FiltroResp="",PROCESSOS!H465=FiltroResp)),PROCESSOS!D465+ROW()/1000000,"")</f>
        <v/>
      </c>
    </row>
    <row r="466">
      <c r="BF466" t="str">
        <f>IF(AND(OR(PROCESSOS!N466="NO PRAZO",PROCESSOS!N466="VENCE EM BREVE"),OR(FiltroResp="TODOS",FiltroResp="",PROCESSOS!H466=FiltroResp)),PROCESSOS!L466+ROW()/1000000,"")</f>
        <v/>
      </c>
      <c r="BG466" t="str">
        <f>IF(AND(PROCESSOS!B466&lt;&gt;"",ISNUMBER(PROCESSOS!D466),OR(FiltroResp="TODOS",FiltroResp="",PROCESSOS!H466=FiltroResp)),PROCESSOS!D466+ROW()/1000000,"")</f>
        <v/>
      </c>
    </row>
    <row r="467">
      <c r="BF467" t="str">
        <f>IF(AND(OR(PROCESSOS!N467="NO PRAZO",PROCESSOS!N467="VENCE EM BREVE"),OR(FiltroResp="TODOS",FiltroResp="",PROCESSOS!H467=FiltroResp)),PROCESSOS!L467+ROW()/1000000,"")</f>
        <v/>
      </c>
      <c r="BG467" t="str">
        <f>IF(AND(PROCESSOS!B467&lt;&gt;"",ISNUMBER(PROCESSOS!D467),OR(FiltroResp="TODOS",FiltroResp="",PROCESSOS!H467=FiltroResp)),PROCESSOS!D467+ROW()/1000000,"")</f>
        <v/>
      </c>
    </row>
    <row r="468">
      <c r="BF468" t="str">
        <f>IF(AND(OR(PROCESSOS!N468="NO PRAZO",PROCESSOS!N468="VENCE EM BREVE"),OR(FiltroResp="TODOS",FiltroResp="",PROCESSOS!H468=FiltroResp)),PROCESSOS!L468+ROW()/1000000,"")</f>
        <v/>
      </c>
      <c r="BG468" t="str">
        <f>IF(AND(PROCESSOS!B468&lt;&gt;"",ISNUMBER(PROCESSOS!D468),OR(FiltroResp="TODOS",FiltroResp="",PROCESSOS!H468=FiltroResp)),PROCESSOS!D468+ROW()/1000000,"")</f>
        <v/>
      </c>
    </row>
    <row r="469">
      <c r="BF469" t="str">
        <f>IF(AND(OR(PROCESSOS!N469="NO PRAZO",PROCESSOS!N469="VENCE EM BREVE"),OR(FiltroResp="TODOS",FiltroResp="",PROCESSOS!H469=FiltroResp)),PROCESSOS!L469+ROW()/1000000,"")</f>
        <v/>
      </c>
      <c r="BG469" t="str">
        <f>IF(AND(PROCESSOS!B469&lt;&gt;"",ISNUMBER(PROCESSOS!D469),OR(FiltroResp="TODOS",FiltroResp="",PROCESSOS!H469=FiltroResp)),PROCESSOS!D469+ROW()/1000000,"")</f>
        <v/>
      </c>
    </row>
    <row r="470">
      <c r="BF470" t="str">
        <f>IF(AND(OR(PROCESSOS!N470="NO PRAZO",PROCESSOS!N470="VENCE EM BREVE"),OR(FiltroResp="TODOS",FiltroResp="",PROCESSOS!H470=FiltroResp)),PROCESSOS!L470+ROW()/1000000,"")</f>
        <v/>
      </c>
      <c r="BG470" t="str">
        <f>IF(AND(PROCESSOS!B470&lt;&gt;"",ISNUMBER(PROCESSOS!D470),OR(FiltroResp="TODOS",FiltroResp="",PROCESSOS!H470=FiltroResp)),PROCESSOS!D470+ROW()/1000000,"")</f>
        <v/>
      </c>
    </row>
    <row r="471">
      <c r="BF471" t="str">
        <f>IF(AND(OR(PROCESSOS!N471="NO PRAZO",PROCESSOS!N471="VENCE EM BREVE"),OR(FiltroResp="TODOS",FiltroResp="",PROCESSOS!H471=FiltroResp)),PROCESSOS!L471+ROW()/1000000,"")</f>
        <v/>
      </c>
      <c r="BG471" t="str">
        <f>IF(AND(PROCESSOS!B471&lt;&gt;"",ISNUMBER(PROCESSOS!D471),OR(FiltroResp="TODOS",FiltroResp="",PROCESSOS!H471=FiltroResp)),PROCESSOS!D471+ROW()/1000000,"")</f>
        <v/>
      </c>
    </row>
    <row r="472">
      <c r="BF472" t="str">
        <f>IF(AND(OR(PROCESSOS!N472="NO PRAZO",PROCESSOS!N472="VENCE EM BREVE"),OR(FiltroResp="TODOS",FiltroResp="",PROCESSOS!H472=FiltroResp)),PROCESSOS!L472+ROW()/1000000,"")</f>
        <v/>
      </c>
      <c r="BG472" t="str">
        <f>IF(AND(PROCESSOS!B472&lt;&gt;"",ISNUMBER(PROCESSOS!D472),OR(FiltroResp="TODOS",FiltroResp="",PROCESSOS!H472=FiltroResp)),PROCESSOS!D472+ROW()/1000000,"")</f>
        <v/>
      </c>
    </row>
    <row r="473">
      <c r="BF473" t="str">
        <f>IF(AND(OR(PROCESSOS!N473="NO PRAZO",PROCESSOS!N473="VENCE EM BREVE"),OR(FiltroResp="TODOS",FiltroResp="",PROCESSOS!H473=FiltroResp)),PROCESSOS!L473+ROW()/1000000,"")</f>
        <v/>
      </c>
      <c r="BG473" t="str">
        <f>IF(AND(PROCESSOS!B473&lt;&gt;"",ISNUMBER(PROCESSOS!D473),OR(FiltroResp="TODOS",FiltroResp="",PROCESSOS!H473=FiltroResp)),PROCESSOS!D473+ROW()/1000000,"")</f>
        <v/>
      </c>
    </row>
    <row r="474">
      <c r="BF474" t="str">
        <f>IF(AND(OR(PROCESSOS!N474="NO PRAZO",PROCESSOS!N474="VENCE EM BREVE"),OR(FiltroResp="TODOS",FiltroResp="",PROCESSOS!H474=FiltroResp)),PROCESSOS!L474+ROW()/1000000,"")</f>
        <v/>
      </c>
      <c r="BG474" t="str">
        <f>IF(AND(PROCESSOS!B474&lt;&gt;"",ISNUMBER(PROCESSOS!D474),OR(FiltroResp="TODOS",FiltroResp="",PROCESSOS!H474=FiltroResp)),PROCESSOS!D474+ROW()/1000000,"")</f>
        <v/>
      </c>
    </row>
    <row r="475">
      <c r="BF475" t="str">
        <f>IF(AND(OR(PROCESSOS!N475="NO PRAZO",PROCESSOS!N475="VENCE EM BREVE"),OR(FiltroResp="TODOS",FiltroResp="",PROCESSOS!H475=FiltroResp)),PROCESSOS!L475+ROW()/1000000,"")</f>
        <v/>
      </c>
      <c r="BG475" t="str">
        <f>IF(AND(PROCESSOS!B475&lt;&gt;"",ISNUMBER(PROCESSOS!D475),OR(FiltroResp="TODOS",FiltroResp="",PROCESSOS!H475=FiltroResp)),PROCESSOS!D475+ROW()/1000000,"")</f>
        <v/>
      </c>
    </row>
    <row r="476">
      <c r="BF476" t="str">
        <f>IF(AND(OR(PROCESSOS!N476="NO PRAZO",PROCESSOS!N476="VENCE EM BREVE"),OR(FiltroResp="TODOS",FiltroResp="",PROCESSOS!H476=FiltroResp)),PROCESSOS!L476+ROW()/1000000,"")</f>
        <v/>
      </c>
      <c r="BG476" t="str">
        <f>IF(AND(PROCESSOS!B476&lt;&gt;"",ISNUMBER(PROCESSOS!D476),OR(FiltroResp="TODOS",FiltroResp="",PROCESSOS!H476=FiltroResp)),PROCESSOS!D476+ROW()/1000000,"")</f>
        <v/>
      </c>
    </row>
    <row r="477">
      <c r="BF477" t="str">
        <f>IF(AND(OR(PROCESSOS!N477="NO PRAZO",PROCESSOS!N477="VENCE EM BREVE"),OR(FiltroResp="TODOS",FiltroResp="",PROCESSOS!H477=FiltroResp)),PROCESSOS!L477+ROW()/1000000,"")</f>
        <v/>
      </c>
      <c r="BG477" t="str">
        <f>IF(AND(PROCESSOS!B477&lt;&gt;"",ISNUMBER(PROCESSOS!D477),OR(FiltroResp="TODOS",FiltroResp="",PROCESSOS!H477=FiltroResp)),PROCESSOS!D477+ROW()/1000000,"")</f>
        <v/>
      </c>
    </row>
    <row r="478">
      <c r="BF478" t="str">
        <f>IF(AND(OR(PROCESSOS!N478="NO PRAZO",PROCESSOS!N478="VENCE EM BREVE"),OR(FiltroResp="TODOS",FiltroResp="",PROCESSOS!H478=FiltroResp)),PROCESSOS!L478+ROW()/1000000,"")</f>
        <v/>
      </c>
      <c r="BG478" t="str">
        <f>IF(AND(PROCESSOS!B478&lt;&gt;"",ISNUMBER(PROCESSOS!D478),OR(FiltroResp="TODOS",FiltroResp="",PROCESSOS!H478=FiltroResp)),PROCESSOS!D478+ROW()/1000000,"")</f>
        <v/>
      </c>
    </row>
    <row r="479">
      <c r="BF479" t="str">
        <f>IF(AND(OR(PROCESSOS!N479="NO PRAZO",PROCESSOS!N479="VENCE EM BREVE"),OR(FiltroResp="TODOS",FiltroResp="",PROCESSOS!H479=FiltroResp)),PROCESSOS!L479+ROW()/1000000,"")</f>
        <v/>
      </c>
      <c r="BG479" t="str">
        <f>IF(AND(PROCESSOS!B479&lt;&gt;"",ISNUMBER(PROCESSOS!D479),OR(FiltroResp="TODOS",FiltroResp="",PROCESSOS!H479=FiltroResp)),PROCESSOS!D479+ROW()/1000000,"")</f>
        <v/>
      </c>
    </row>
    <row r="480">
      <c r="BF480" t="str">
        <f>IF(AND(OR(PROCESSOS!N480="NO PRAZO",PROCESSOS!N480="VENCE EM BREVE"),OR(FiltroResp="TODOS",FiltroResp="",PROCESSOS!H480=FiltroResp)),PROCESSOS!L480+ROW()/1000000,"")</f>
        <v/>
      </c>
      <c r="BG480" t="str">
        <f>IF(AND(PROCESSOS!B480&lt;&gt;"",ISNUMBER(PROCESSOS!D480),OR(FiltroResp="TODOS",FiltroResp="",PROCESSOS!H480=FiltroResp)),PROCESSOS!D480+ROW()/1000000,"")</f>
        <v/>
      </c>
    </row>
    <row r="481">
      <c r="BF481" t="str">
        <f>IF(AND(OR(PROCESSOS!N481="NO PRAZO",PROCESSOS!N481="VENCE EM BREVE"),OR(FiltroResp="TODOS",FiltroResp="",PROCESSOS!H481=FiltroResp)),PROCESSOS!L481+ROW()/1000000,"")</f>
        <v/>
      </c>
      <c r="BG481" t="str">
        <f>IF(AND(PROCESSOS!B481&lt;&gt;"",ISNUMBER(PROCESSOS!D481),OR(FiltroResp="TODOS",FiltroResp="",PROCESSOS!H481=FiltroResp)),PROCESSOS!D481+ROW()/1000000,"")</f>
        <v/>
      </c>
    </row>
    <row r="482">
      <c r="BF482" t="str">
        <f>IF(AND(OR(PROCESSOS!N482="NO PRAZO",PROCESSOS!N482="VENCE EM BREVE"),OR(FiltroResp="TODOS",FiltroResp="",PROCESSOS!H482=FiltroResp)),PROCESSOS!L482+ROW()/1000000,"")</f>
        <v/>
      </c>
      <c r="BG482" t="str">
        <f>IF(AND(PROCESSOS!B482&lt;&gt;"",ISNUMBER(PROCESSOS!D482),OR(FiltroResp="TODOS",FiltroResp="",PROCESSOS!H482=FiltroResp)),PROCESSOS!D482+ROW()/1000000,"")</f>
        <v/>
      </c>
    </row>
    <row r="483">
      <c r="BF483" t="str">
        <f>IF(AND(OR(PROCESSOS!N483="NO PRAZO",PROCESSOS!N483="VENCE EM BREVE"),OR(FiltroResp="TODOS",FiltroResp="",PROCESSOS!H483=FiltroResp)),PROCESSOS!L483+ROW()/1000000,"")</f>
        <v/>
      </c>
      <c r="BG483" t="str">
        <f>IF(AND(PROCESSOS!B483&lt;&gt;"",ISNUMBER(PROCESSOS!D483),OR(FiltroResp="TODOS",FiltroResp="",PROCESSOS!H483=FiltroResp)),PROCESSOS!D483+ROW()/1000000,"")</f>
        <v/>
      </c>
    </row>
    <row r="484">
      <c r="BF484" t="str">
        <f>IF(AND(OR(PROCESSOS!N484="NO PRAZO",PROCESSOS!N484="VENCE EM BREVE"),OR(FiltroResp="TODOS",FiltroResp="",PROCESSOS!H484=FiltroResp)),PROCESSOS!L484+ROW()/1000000,"")</f>
        <v/>
      </c>
      <c r="BG484" t="str">
        <f>IF(AND(PROCESSOS!B484&lt;&gt;"",ISNUMBER(PROCESSOS!D484),OR(FiltroResp="TODOS",FiltroResp="",PROCESSOS!H484=FiltroResp)),PROCESSOS!D484+ROW()/1000000,"")</f>
        <v/>
      </c>
    </row>
    <row r="485">
      <c r="BF485" t="str">
        <f>IF(AND(OR(PROCESSOS!N485="NO PRAZO",PROCESSOS!N485="VENCE EM BREVE"),OR(FiltroResp="TODOS",FiltroResp="",PROCESSOS!H485=FiltroResp)),PROCESSOS!L485+ROW()/1000000,"")</f>
        <v/>
      </c>
      <c r="BG485" t="str">
        <f>IF(AND(PROCESSOS!B485&lt;&gt;"",ISNUMBER(PROCESSOS!D485),OR(FiltroResp="TODOS",FiltroResp="",PROCESSOS!H485=FiltroResp)),PROCESSOS!D485+ROW()/1000000,"")</f>
        <v/>
      </c>
    </row>
    <row r="486">
      <c r="BF486" t="str">
        <f>IF(AND(OR(PROCESSOS!N486="NO PRAZO",PROCESSOS!N486="VENCE EM BREVE"),OR(FiltroResp="TODOS",FiltroResp="",PROCESSOS!H486=FiltroResp)),PROCESSOS!L486+ROW()/1000000,"")</f>
        <v/>
      </c>
      <c r="BG486" t="str">
        <f>IF(AND(PROCESSOS!B486&lt;&gt;"",ISNUMBER(PROCESSOS!D486),OR(FiltroResp="TODOS",FiltroResp="",PROCESSOS!H486=FiltroResp)),PROCESSOS!D486+ROW()/1000000,"")</f>
        <v/>
      </c>
    </row>
    <row r="487">
      <c r="BF487" t="str">
        <f>IF(AND(OR(PROCESSOS!N487="NO PRAZO",PROCESSOS!N487="VENCE EM BREVE"),OR(FiltroResp="TODOS",FiltroResp="",PROCESSOS!H487=FiltroResp)),PROCESSOS!L487+ROW()/1000000,"")</f>
        <v/>
      </c>
      <c r="BG487" t="str">
        <f>IF(AND(PROCESSOS!B487&lt;&gt;"",ISNUMBER(PROCESSOS!D487),OR(FiltroResp="TODOS",FiltroResp="",PROCESSOS!H487=FiltroResp)),PROCESSOS!D487+ROW()/1000000,"")</f>
        <v/>
      </c>
    </row>
    <row r="488">
      <c r="BF488" t="str">
        <f>IF(AND(OR(PROCESSOS!N488="NO PRAZO",PROCESSOS!N488="VENCE EM BREVE"),OR(FiltroResp="TODOS",FiltroResp="",PROCESSOS!H488=FiltroResp)),PROCESSOS!L488+ROW()/1000000,"")</f>
        <v/>
      </c>
      <c r="BG488" t="str">
        <f>IF(AND(PROCESSOS!B488&lt;&gt;"",ISNUMBER(PROCESSOS!D488),OR(FiltroResp="TODOS",FiltroResp="",PROCESSOS!H488=FiltroResp)),PROCESSOS!D488+ROW()/1000000,"")</f>
        <v/>
      </c>
    </row>
    <row r="489">
      <c r="BF489" t="str">
        <f>IF(AND(OR(PROCESSOS!N489="NO PRAZO",PROCESSOS!N489="VENCE EM BREVE"),OR(FiltroResp="TODOS",FiltroResp="",PROCESSOS!H489=FiltroResp)),PROCESSOS!L489+ROW()/1000000,"")</f>
        <v/>
      </c>
      <c r="BG489" t="str">
        <f>IF(AND(PROCESSOS!B489&lt;&gt;"",ISNUMBER(PROCESSOS!D489),OR(FiltroResp="TODOS",FiltroResp="",PROCESSOS!H489=FiltroResp)),PROCESSOS!D489+ROW()/1000000,"")</f>
        <v/>
      </c>
    </row>
    <row r="490">
      <c r="BF490" t="str">
        <f>IF(AND(OR(PROCESSOS!N490="NO PRAZO",PROCESSOS!N490="VENCE EM BREVE"),OR(FiltroResp="TODOS",FiltroResp="",PROCESSOS!H490=FiltroResp)),PROCESSOS!L490+ROW()/1000000,"")</f>
        <v/>
      </c>
      <c r="BG490" t="str">
        <f>IF(AND(PROCESSOS!B490&lt;&gt;"",ISNUMBER(PROCESSOS!D490),OR(FiltroResp="TODOS",FiltroResp="",PROCESSOS!H490=FiltroResp)),PROCESSOS!D490+ROW()/1000000,"")</f>
        <v/>
      </c>
    </row>
    <row r="491">
      <c r="BF491" t="str">
        <f>IF(AND(OR(PROCESSOS!N491="NO PRAZO",PROCESSOS!N491="VENCE EM BREVE"),OR(FiltroResp="TODOS",FiltroResp="",PROCESSOS!H491=FiltroResp)),PROCESSOS!L491+ROW()/1000000,"")</f>
        <v/>
      </c>
      <c r="BG491" t="str">
        <f>IF(AND(PROCESSOS!B491&lt;&gt;"",ISNUMBER(PROCESSOS!D491),OR(FiltroResp="TODOS",FiltroResp="",PROCESSOS!H491=FiltroResp)),PROCESSOS!D491+ROW()/1000000,"")</f>
        <v/>
      </c>
    </row>
    <row r="492">
      <c r="BF492" t="str">
        <f>IF(AND(OR(PROCESSOS!N492="NO PRAZO",PROCESSOS!N492="VENCE EM BREVE"),OR(FiltroResp="TODOS",FiltroResp="",PROCESSOS!H492=FiltroResp)),PROCESSOS!L492+ROW()/1000000,"")</f>
        <v/>
      </c>
      <c r="BG492" t="str">
        <f>IF(AND(PROCESSOS!B492&lt;&gt;"",ISNUMBER(PROCESSOS!D492),OR(FiltroResp="TODOS",FiltroResp="",PROCESSOS!H492=FiltroResp)),PROCESSOS!D492+ROW()/1000000,"")</f>
        <v/>
      </c>
    </row>
    <row r="493">
      <c r="BF493" t="str">
        <f>IF(AND(OR(PROCESSOS!N493="NO PRAZO",PROCESSOS!N493="VENCE EM BREVE"),OR(FiltroResp="TODOS",FiltroResp="",PROCESSOS!H493=FiltroResp)),PROCESSOS!L493+ROW()/1000000,"")</f>
        <v/>
      </c>
      <c r="BG493" t="str">
        <f>IF(AND(PROCESSOS!B493&lt;&gt;"",ISNUMBER(PROCESSOS!D493),OR(FiltroResp="TODOS",FiltroResp="",PROCESSOS!H493=FiltroResp)),PROCESSOS!D493+ROW()/1000000,"")</f>
        <v/>
      </c>
    </row>
    <row r="494">
      <c r="BF494" t="str">
        <f>IF(AND(OR(PROCESSOS!N494="NO PRAZO",PROCESSOS!N494="VENCE EM BREVE"),OR(FiltroResp="TODOS",FiltroResp="",PROCESSOS!H494=FiltroResp)),PROCESSOS!L494+ROW()/1000000,"")</f>
        <v/>
      </c>
      <c r="BG494" t="str">
        <f>IF(AND(PROCESSOS!B494&lt;&gt;"",ISNUMBER(PROCESSOS!D494),OR(FiltroResp="TODOS",FiltroResp="",PROCESSOS!H494=FiltroResp)),PROCESSOS!D494+ROW()/1000000,"")</f>
        <v/>
      </c>
    </row>
    <row r="495">
      <c r="BF495" t="str">
        <f>IF(AND(OR(PROCESSOS!N495="NO PRAZO",PROCESSOS!N495="VENCE EM BREVE"),OR(FiltroResp="TODOS",FiltroResp="",PROCESSOS!H495=FiltroResp)),PROCESSOS!L495+ROW()/1000000,"")</f>
        <v/>
      </c>
      <c r="BG495" t="str">
        <f>IF(AND(PROCESSOS!B495&lt;&gt;"",ISNUMBER(PROCESSOS!D495),OR(FiltroResp="TODOS",FiltroResp="",PROCESSOS!H495=FiltroResp)),PROCESSOS!D495+ROW()/1000000,"")</f>
        <v/>
      </c>
    </row>
    <row r="496">
      <c r="BF496" t="str">
        <f>IF(AND(OR(PROCESSOS!N496="NO PRAZO",PROCESSOS!N496="VENCE EM BREVE"),OR(FiltroResp="TODOS",FiltroResp="",PROCESSOS!H496=FiltroResp)),PROCESSOS!L496+ROW()/1000000,"")</f>
        <v/>
      </c>
      <c r="BG496" t="str">
        <f>IF(AND(PROCESSOS!B496&lt;&gt;"",ISNUMBER(PROCESSOS!D496),OR(FiltroResp="TODOS",FiltroResp="",PROCESSOS!H496=FiltroResp)),PROCESSOS!D496+ROW()/1000000,"")</f>
        <v/>
      </c>
    </row>
    <row r="497">
      <c r="BF497" t="str">
        <f>IF(AND(OR(PROCESSOS!N497="NO PRAZO",PROCESSOS!N497="VENCE EM BREVE"),OR(FiltroResp="TODOS",FiltroResp="",PROCESSOS!H497=FiltroResp)),PROCESSOS!L497+ROW()/1000000,"")</f>
        <v/>
      </c>
      <c r="BG497" t="str">
        <f>IF(AND(PROCESSOS!B497&lt;&gt;"",ISNUMBER(PROCESSOS!D497),OR(FiltroResp="TODOS",FiltroResp="",PROCESSOS!H497=FiltroResp)),PROCESSOS!D497+ROW()/1000000,"")</f>
        <v/>
      </c>
    </row>
    <row r="498">
      <c r="BF498" t="str">
        <f>IF(AND(OR(PROCESSOS!N498="NO PRAZO",PROCESSOS!N498="VENCE EM BREVE"),OR(FiltroResp="TODOS",FiltroResp="",PROCESSOS!H498=FiltroResp)),PROCESSOS!L498+ROW()/1000000,"")</f>
        <v/>
      </c>
      <c r="BG498" t="str">
        <f>IF(AND(PROCESSOS!B498&lt;&gt;"",ISNUMBER(PROCESSOS!D498),OR(FiltroResp="TODOS",FiltroResp="",PROCESSOS!H498=FiltroResp)),PROCESSOS!D498+ROW()/1000000,"")</f>
        <v/>
      </c>
    </row>
    <row r="499">
      <c r="BF499" t="str">
        <f>IF(AND(OR(PROCESSOS!N499="NO PRAZO",PROCESSOS!N499="VENCE EM BREVE"),OR(FiltroResp="TODOS",FiltroResp="",PROCESSOS!H499=FiltroResp)),PROCESSOS!L499+ROW()/1000000,"")</f>
        <v/>
      </c>
      <c r="BG499" t="str">
        <f>IF(AND(PROCESSOS!B499&lt;&gt;"",ISNUMBER(PROCESSOS!D499),OR(FiltroResp="TODOS",FiltroResp="",PROCESSOS!H499=FiltroResp)),PROCESSOS!D499+ROW()/1000000,"")</f>
        <v/>
      </c>
    </row>
    <row r="500">
      <c r="BF500" t="str">
        <f>IF(AND(OR(PROCESSOS!N500="NO PRAZO",PROCESSOS!N500="VENCE EM BREVE"),OR(FiltroResp="TODOS",FiltroResp="",PROCESSOS!H500=FiltroResp)),PROCESSOS!L500+ROW()/1000000,"")</f>
        <v/>
      </c>
      <c r="BG500" t="str">
        <f>IF(AND(PROCESSOS!B500&lt;&gt;"",ISNUMBER(PROCESSOS!D500),OR(FiltroResp="TODOS",FiltroResp="",PROCESSOS!H500=FiltroResp)),PROCESSOS!D500+ROW()/1000000,"")</f>
        <v/>
      </c>
    </row>
    <row r="501">
      <c r="BF501" t="str">
        <f>IF(AND(OR(PROCESSOS!N501="NO PRAZO",PROCESSOS!N501="VENCE EM BREVE"),OR(FiltroResp="TODOS",FiltroResp="",PROCESSOS!H501=FiltroResp)),PROCESSOS!L501+ROW()/1000000,"")</f>
        <v/>
      </c>
      <c r="BG501" t="str">
        <f>IF(AND(PROCESSOS!B501&lt;&gt;"",ISNUMBER(PROCESSOS!D501),OR(FiltroResp="TODOS",FiltroResp="",PROCESSOS!H501=FiltroResp)),PROCESSOS!D501+ROW()/1000000,"")</f>
        <v/>
      </c>
    </row>
    <row r="502">
      <c r="BF502" t="str">
        <f>IF(AND(OR(PROCESSOS!N502="NO PRAZO",PROCESSOS!N502="VENCE EM BREVE"),OR(FiltroResp="TODOS",FiltroResp="",PROCESSOS!H502=FiltroResp)),PROCESSOS!L502+ROW()/1000000,"")</f>
        <v/>
      </c>
      <c r="BG502" t="str">
        <f>IF(AND(PROCESSOS!B502&lt;&gt;"",ISNUMBER(PROCESSOS!D502),OR(FiltroResp="TODOS",FiltroResp="",PROCESSOS!H502=FiltroResp)),PROCESSOS!D502+ROW()/1000000,"")</f>
        <v/>
      </c>
    </row>
    <row r="503">
      <c r="BF503" t="str">
        <f>IF(AND(OR(PROCESSOS!N503="NO PRAZO",PROCESSOS!N503="VENCE EM BREVE"),OR(FiltroResp="TODOS",FiltroResp="",PROCESSOS!H503=FiltroResp)),PROCESSOS!L503+ROW()/1000000,"")</f>
        <v/>
      </c>
      <c r="BG503" t="str">
        <f>IF(AND(PROCESSOS!B503&lt;&gt;"",ISNUMBER(PROCESSOS!D503),OR(FiltroResp="TODOS",FiltroResp="",PROCESSOS!H503=FiltroResp)),PROCESSOS!D503+ROW()/1000000,"")</f>
        <v/>
      </c>
    </row>
    <row r="504">
      <c r="BF504" t="str">
        <f>IF(AND(OR(PROCESSOS!N504="NO PRAZO",PROCESSOS!N504="VENCE EM BREVE"),OR(FiltroResp="TODOS",FiltroResp="",PROCESSOS!H504=FiltroResp)),PROCESSOS!L504+ROW()/1000000,"")</f>
        <v/>
      </c>
      <c r="BG504" t="str">
        <f>IF(AND(PROCESSOS!B504&lt;&gt;"",ISNUMBER(PROCESSOS!D504),OR(FiltroResp="TODOS",FiltroResp="",PROCESSOS!H504=FiltroResp)),PROCESSOS!D504+ROW()/1000000,"")</f>
        <v/>
      </c>
    </row>
    <row r="505">
      <c r="BF505" t="str">
        <f>IF(AND(OR(PROCESSOS!N505="NO PRAZO",PROCESSOS!N505="VENCE EM BREVE"),OR(FiltroResp="TODOS",FiltroResp="",PROCESSOS!H505=FiltroResp)),PROCESSOS!L505+ROW()/1000000,"")</f>
        <v/>
      </c>
      <c r="BG505" t="str">
        <f>IF(AND(PROCESSOS!B505&lt;&gt;"",ISNUMBER(PROCESSOS!D505),OR(FiltroResp="TODOS",FiltroResp="",PROCESSOS!H505=FiltroResp)),PROCESSOS!D505+ROW()/1000000,"")</f>
        <v/>
      </c>
    </row>
    <row r="506">
      <c r="BF506" t="str">
        <f>IF(AND(OR(PROCESSOS!N506="NO PRAZO",PROCESSOS!N506="VENCE EM BREVE"),OR(FiltroResp="TODOS",FiltroResp="",PROCESSOS!H506=FiltroResp)),PROCESSOS!L506+ROW()/1000000,"")</f>
        <v/>
      </c>
      <c r="BG506" t="str">
        <f>IF(AND(PROCESSOS!B506&lt;&gt;"",ISNUMBER(PROCESSOS!D506),OR(FiltroResp="TODOS",FiltroResp="",PROCESSOS!H506=FiltroResp)),PROCESSOS!D506+ROW()/1000000,"")</f>
        <v/>
      </c>
    </row>
    <row r="507">
      <c r="BF507" t="str">
        <f>IF(AND(OR(PROCESSOS!N507="NO PRAZO",PROCESSOS!N507="VENCE EM BREVE"),OR(FiltroResp="TODOS",FiltroResp="",PROCESSOS!H507=FiltroResp)),PROCESSOS!L507+ROW()/1000000,"")</f>
        <v/>
      </c>
      <c r="BG507" t="str">
        <f>IF(AND(PROCESSOS!B507&lt;&gt;"",ISNUMBER(PROCESSOS!D507),OR(FiltroResp="TODOS",FiltroResp="",PROCESSOS!H507=FiltroResp)),PROCESSOS!D507+ROW()/1000000,"")</f>
        <v/>
      </c>
    </row>
    <row r="508">
      <c r="BF508" t="str">
        <f>IF(AND(OR(PROCESSOS!N508="NO PRAZO",PROCESSOS!N508="VENCE EM BREVE"),OR(FiltroResp="TODOS",FiltroResp="",PROCESSOS!H508=FiltroResp)),PROCESSOS!L508+ROW()/1000000,"")</f>
        <v/>
      </c>
      <c r="BG508" t="str">
        <f>IF(AND(PROCESSOS!B508&lt;&gt;"",ISNUMBER(PROCESSOS!D508),OR(FiltroResp="TODOS",FiltroResp="",PROCESSOS!H508=FiltroResp)),PROCESSOS!D508+ROW()/1000000,"")</f>
        <v/>
      </c>
    </row>
    <row r="509">
      <c r="BF509" t="str">
        <f>IF(AND(OR(PROCESSOS!N509="NO PRAZO",PROCESSOS!N509="VENCE EM BREVE"),OR(FiltroResp="TODOS",FiltroResp="",PROCESSOS!H509=FiltroResp)),PROCESSOS!L509+ROW()/1000000,"")</f>
        <v/>
      </c>
      <c r="BG509" t="str">
        <f>IF(AND(PROCESSOS!B509&lt;&gt;"",ISNUMBER(PROCESSOS!D509),OR(FiltroResp="TODOS",FiltroResp="",PROCESSOS!H509=FiltroResp)),PROCESSOS!D509+ROW()/1000000,"")</f>
        <v/>
      </c>
    </row>
    <row r="510">
      <c r="BF510" t="str">
        <f>IF(AND(OR(PROCESSOS!N510="NO PRAZO",PROCESSOS!N510="VENCE EM BREVE"),OR(FiltroResp="TODOS",FiltroResp="",PROCESSOS!H510=FiltroResp)),PROCESSOS!L510+ROW()/1000000,"")</f>
        <v/>
      </c>
      <c r="BG510" t="str">
        <f>IF(AND(PROCESSOS!B510&lt;&gt;"",ISNUMBER(PROCESSOS!D510),OR(FiltroResp="TODOS",FiltroResp="",PROCESSOS!H510=FiltroResp)),PROCESSOS!D510+ROW()/1000000,"")</f>
        <v/>
      </c>
    </row>
    <row r="511">
      <c r="BF511" t="str">
        <f>IF(AND(OR(PROCESSOS!N511="NO PRAZO",PROCESSOS!N511="VENCE EM BREVE"),OR(FiltroResp="TODOS",FiltroResp="",PROCESSOS!H511=FiltroResp)),PROCESSOS!L511+ROW()/1000000,"")</f>
        <v/>
      </c>
      <c r="BG511" t="str">
        <f>IF(AND(PROCESSOS!B511&lt;&gt;"",ISNUMBER(PROCESSOS!D511),OR(FiltroResp="TODOS",FiltroResp="",PROCESSOS!H511=FiltroResp)),PROCESSOS!D511+ROW()/1000000,"")</f>
        <v/>
      </c>
    </row>
    <row r="512">
      <c r="BF512" t="str">
        <f>IF(AND(OR(PROCESSOS!N512="NO PRAZO",PROCESSOS!N512="VENCE EM BREVE"),OR(FiltroResp="TODOS",FiltroResp="",PROCESSOS!H512=FiltroResp)),PROCESSOS!L512+ROW()/1000000,"")</f>
        <v/>
      </c>
      <c r="BG512" t="str">
        <f>IF(AND(PROCESSOS!B512&lt;&gt;"",ISNUMBER(PROCESSOS!D512),OR(FiltroResp="TODOS",FiltroResp="",PROCESSOS!H512=FiltroResp)),PROCESSOS!D512+ROW()/1000000,"")</f>
        <v/>
      </c>
    </row>
    <row r="513">
      <c r="BF513" t="str">
        <f>IF(AND(OR(PROCESSOS!N513="NO PRAZO",PROCESSOS!N513="VENCE EM BREVE"),OR(FiltroResp="TODOS",FiltroResp="",PROCESSOS!H513=FiltroResp)),PROCESSOS!L513+ROW()/1000000,"")</f>
        <v/>
      </c>
      <c r="BG513" t="str">
        <f>IF(AND(PROCESSOS!B513&lt;&gt;"",ISNUMBER(PROCESSOS!D513),OR(FiltroResp="TODOS",FiltroResp="",PROCESSOS!H513=FiltroResp)),PROCESSOS!D513+ROW()/1000000,"")</f>
        <v/>
      </c>
    </row>
    <row r="514">
      <c r="BF514" t="str">
        <f>IF(AND(OR(PROCESSOS!N514="NO PRAZO",PROCESSOS!N514="VENCE EM BREVE"),OR(FiltroResp="TODOS",FiltroResp="",PROCESSOS!H514=FiltroResp)),PROCESSOS!L514+ROW()/1000000,"")</f>
        <v/>
      </c>
      <c r="BG514" t="str">
        <f>IF(AND(PROCESSOS!B514&lt;&gt;"",ISNUMBER(PROCESSOS!D514),OR(FiltroResp="TODOS",FiltroResp="",PROCESSOS!H514=FiltroResp)),PROCESSOS!D514+ROW()/1000000,"")</f>
        <v/>
      </c>
    </row>
    <row r="515">
      <c r="BF515" t="str">
        <f>IF(AND(OR(PROCESSOS!N515="NO PRAZO",PROCESSOS!N515="VENCE EM BREVE"),OR(FiltroResp="TODOS",FiltroResp="",PROCESSOS!H515=FiltroResp)),PROCESSOS!L515+ROW()/1000000,"")</f>
        <v/>
      </c>
      <c r="BG515" t="str">
        <f>IF(AND(PROCESSOS!B515&lt;&gt;"",ISNUMBER(PROCESSOS!D515),OR(FiltroResp="TODOS",FiltroResp="",PROCESSOS!H515=FiltroResp)),PROCESSOS!D515+ROW()/1000000,"")</f>
        <v/>
      </c>
    </row>
    <row r="516">
      <c r="BF516" t="str">
        <f>IF(AND(OR(PROCESSOS!N516="NO PRAZO",PROCESSOS!N516="VENCE EM BREVE"),OR(FiltroResp="TODOS",FiltroResp="",PROCESSOS!H516=FiltroResp)),PROCESSOS!L516+ROW()/1000000,"")</f>
        <v/>
      </c>
      <c r="BG516" t="str">
        <f>IF(AND(PROCESSOS!B516&lt;&gt;"",ISNUMBER(PROCESSOS!D516),OR(FiltroResp="TODOS",FiltroResp="",PROCESSOS!H516=FiltroResp)),PROCESSOS!D516+ROW()/1000000,"")</f>
        <v/>
      </c>
    </row>
    <row r="517">
      <c r="BF517" t="str">
        <f>IF(AND(OR(PROCESSOS!N517="NO PRAZO",PROCESSOS!N517="VENCE EM BREVE"),OR(FiltroResp="TODOS",FiltroResp="",PROCESSOS!H517=FiltroResp)),PROCESSOS!L517+ROW()/1000000,"")</f>
        <v/>
      </c>
      <c r="BG517" t="str">
        <f>IF(AND(PROCESSOS!B517&lt;&gt;"",ISNUMBER(PROCESSOS!D517),OR(FiltroResp="TODOS",FiltroResp="",PROCESSOS!H517=FiltroResp)),PROCESSOS!D517+ROW()/1000000,"")</f>
        <v/>
      </c>
    </row>
    <row r="518">
      <c r="BF518" t="str">
        <f>IF(AND(OR(PROCESSOS!N518="NO PRAZO",PROCESSOS!N518="VENCE EM BREVE"),OR(FiltroResp="TODOS",FiltroResp="",PROCESSOS!H518=FiltroResp)),PROCESSOS!L518+ROW()/1000000,"")</f>
        <v/>
      </c>
      <c r="BG518" t="str">
        <f>IF(AND(PROCESSOS!B518&lt;&gt;"",ISNUMBER(PROCESSOS!D518),OR(FiltroResp="TODOS",FiltroResp="",PROCESSOS!H518=FiltroResp)),PROCESSOS!D518+ROW()/1000000,"")</f>
        <v/>
      </c>
    </row>
    <row r="519">
      <c r="BF519" t="str">
        <f>IF(AND(OR(PROCESSOS!N519="NO PRAZO",PROCESSOS!N519="VENCE EM BREVE"),OR(FiltroResp="TODOS",FiltroResp="",PROCESSOS!H519=FiltroResp)),PROCESSOS!L519+ROW()/1000000,"")</f>
        <v/>
      </c>
      <c r="BG519" t="str">
        <f>IF(AND(PROCESSOS!B519&lt;&gt;"",ISNUMBER(PROCESSOS!D519),OR(FiltroResp="TODOS",FiltroResp="",PROCESSOS!H519=FiltroResp)),PROCESSOS!D519+ROW()/1000000,"")</f>
        <v/>
      </c>
    </row>
    <row r="520">
      <c r="BF520" t="str">
        <f>IF(AND(OR(PROCESSOS!N520="NO PRAZO",PROCESSOS!N520="VENCE EM BREVE"),OR(FiltroResp="TODOS",FiltroResp="",PROCESSOS!H520=FiltroResp)),PROCESSOS!L520+ROW()/1000000,"")</f>
        <v/>
      </c>
      <c r="BG520" t="str">
        <f>IF(AND(PROCESSOS!B520&lt;&gt;"",ISNUMBER(PROCESSOS!D520),OR(FiltroResp="TODOS",FiltroResp="",PROCESSOS!H520=FiltroResp)),PROCESSOS!D520+ROW()/1000000,"")</f>
        <v/>
      </c>
    </row>
    <row r="521">
      <c r="BF521" t="str">
        <f>IF(AND(OR(PROCESSOS!N521="NO PRAZO",PROCESSOS!N521="VENCE EM BREVE"),OR(FiltroResp="TODOS",FiltroResp="",PROCESSOS!H521=FiltroResp)),PROCESSOS!L521+ROW()/1000000,"")</f>
        <v/>
      </c>
      <c r="BG521" t="str">
        <f>IF(AND(PROCESSOS!B521&lt;&gt;"",ISNUMBER(PROCESSOS!D521),OR(FiltroResp="TODOS",FiltroResp="",PROCESSOS!H521=FiltroResp)),PROCESSOS!D521+ROW()/1000000,"")</f>
        <v/>
      </c>
    </row>
    <row r="522">
      <c r="BF522" t="str">
        <f>IF(AND(OR(PROCESSOS!N522="NO PRAZO",PROCESSOS!N522="VENCE EM BREVE"),OR(FiltroResp="TODOS",FiltroResp="",PROCESSOS!H522=FiltroResp)),PROCESSOS!L522+ROW()/1000000,"")</f>
        <v/>
      </c>
      <c r="BG522" t="str">
        <f>IF(AND(PROCESSOS!B522&lt;&gt;"",ISNUMBER(PROCESSOS!D522),OR(FiltroResp="TODOS",FiltroResp="",PROCESSOS!H522=FiltroResp)),PROCESSOS!D522+ROW()/1000000,"")</f>
        <v/>
      </c>
    </row>
    <row r="523">
      <c r="BF523" t="str">
        <f>IF(AND(OR(PROCESSOS!N523="NO PRAZO",PROCESSOS!N523="VENCE EM BREVE"),OR(FiltroResp="TODOS",FiltroResp="",PROCESSOS!H523=FiltroResp)),PROCESSOS!L523+ROW()/1000000,"")</f>
        <v/>
      </c>
      <c r="BG523" t="str">
        <f>IF(AND(PROCESSOS!B523&lt;&gt;"",ISNUMBER(PROCESSOS!D523),OR(FiltroResp="TODOS",FiltroResp="",PROCESSOS!H523=FiltroResp)),PROCESSOS!D523+ROW()/1000000,"")</f>
        <v/>
      </c>
    </row>
    <row r="524">
      <c r="BF524" t="str">
        <f>IF(AND(OR(PROCESSOS!N524="NO PRAZO",PROCESSOS!N524="VENCE EM BREVE"),OR(FiltroResp="TODOS",FiltroResp="",PROCESSOS!H524=FiltroResp)),PROCESSOS!L524+ROW()/1000000,"")</f>
        <v/>
      </c>
      <c r="BG524" t="str">
        <f>IF(AND(PROCESSOS!B524&lt;&gt;"",ISNUMBER(PROCESSOS!D524),OR(FiltroResp="TODOS",FiltroResp="",PROCESSOS!H524=FiltroResp)),PROCESSOS!D524+ROW()/1000000,"")</f>
        <v/>
      </c>
    </row>
    <row r="525">
      <c r="BF525" t="str">
        <f>IF(AND(OR(PROCESSOS!N525="NO PRAZO",PROCESSOS!N525="VENCE EM BREVE"),OR(FiltroResp="TODOS",FiltroResp="",PROCESSOS!H525=FiltroResp)),PROCESSOS!L525+ROW()/1000000,"")</f>
        <v/>
      </c>
      <c r="BG525" t="str">
        <f>IF(AND(PROCESSOS!B525&lt;&gt;"",ISNUMBER(PROCESSOS!D525),OR(FiltroResp="TODOS",FiltroResp="",PROCESSOS!H525=FiltroResp)),PROCESSOS!D525+ROW()/1000000,"")</f>
        <v/>
      </c>
    </row>
    <row r="526">
      <c r="BF526" t="str">
        <f>IF(AND(OR(PROCESSOS!N526="NO PRAZO",PROCESSOS!N526="VENCE EM BREVE"),OR(FiltroResp="TODOS",FiltroResp="",PROCESSOS!H526=FiltroResp)),PROCESSOS!L526+ROW()/1000000,"")</f>
        <v/>
      </c>
      <c r="BG526" t="str">
        <f>IF(AND(PROCESSOS!B526&lt;&gt;"",ISNUMBER(PROCESSOS!D526),OR(FiltroResp="TODOS",FiltroResp="",PROCESSOS!H526=FiltroResp)),PROCESSOS!D526+ROW()/1000000,"")</f>
        <v/>
      </c>
    </row>
    <row r="527">
      <c r="BF527" t="str">
        <f>IF(AND(OR(PROCESSOS!N527="NO PRAZO",PROCESSOS!N527="VENCE EM BREVE"),OR(FiltroResp="TODOS",FiltroResp="",PROCESSOS!H527=FiltroResp)),PROCESSOS!L527+ROW()/1000000,"")</f>
        <v/>
      </c>
      <c r="BG527" t="str">
        <f>IF(AND(PROCESSOS!B527&lt;&gt;"",ISNUMBER(PROCESSOS!D527),OR(FiltroResp="TODOS",FiltroResp="",PROCESSOS!H527=FiltroResp)),PROCESSOS!D527+ROW()/1000000,"")</f>
        <v/>
      </c>
    </row>
    <row r="528">
      <c r="BF528" t="str">
        <f>IF(AND(OR(PROCESSOS!N528="NO PRAZO",PROCESSOS!N528="VENCE EM BREVE"),OR(FiltroResp="TODOS",FiltroResp="",PROCESSOS!H528=FiltroResp)),PROCESSOS!L528+ROW()/1000000,"")</f>
        <v/>
      </c>
      <c r="BG528" t="str">
        <f>IF(AND(PROCESSOS!B528&lt;&gt;"",ISNUMBER(PROCESSOS!D528),OR(FiltroResp="TODOS",FiltroResp="",PROCESSOS!H528=FiltroResp)),PROCESSOS!D528+ROW()/1000000,"")</f>
        <v/>
      </c>
    </row>
    <row r="529">
      <c r="BF529" t="str">
        <f>IF(AND(OR(PROCESSOS!N529="NO PRAZO",PROCESSOS!N529="VENCE EM BREVE"),OR(FiltroResp="TODOS",FiltroResp="",PROCESSOS!H529=FiltroResp)),PROCESSOS!L529+ROW()/1000000,"")</f>
        <v/>
      </c>
      <c r="BG529" t="str">
        <f>IF(AND(PROCESSOS!B529&lt;&gt;"",ISNUMBER(PROCESSOS!D529),OR(FiltroResp="TODOS",FiltroResp="",PROCESSOS!H529=FiltroResp)),PROCESSOS!D529+ROW()/1000000,"")</f>
        <v/>
      </c>
    </row>
    <row r="530">
      <c r="BF530" t="str">
        <f>IF(AND(OR(PROCESSOS!N530="NO PRAZO",PROCESSOS!N530="VENCE EM BREVE"),OR(FiltroResp="TODOS",FiltroResp="",PROCESSOS!H530=FiltroResp)),PROCESSOS!L530+ROW()/1000000,"")</f>
        <v/>
      </c>
      <c r="BG530" t="str">
        <f>IF(AND(PROCESSOS!B530&lt;&gt;"",ISNUMBER(PROCESSOS!D530),OR(FiltroResp="TODOS",FiltroResp="",PROCESSOS!H530=FiltroResp)),PROCESSOS!D530+ROW()/1000000,"")</f>
        <v/>
      </c>
    </row>
    <row r="531">
      <c r="BF531" t="str">
        <f>IF(AND(OR(PROCESSOS!N531="NO PRAZO",PROCESSOS!N531="VENCE EM BREVE"),OR(FiltroResp="TODOS",FiltroResp="",PROCESSOS!H531=FiltroResp)),PROCESSOS!L531+ROW()/1000000,"")</f>
        <v/>
      </c>
      <c r="BG531" t="str">
        <f>IF(AND(PROCESSOS!B531&lt;&gt;"",ISNUMBER(PROCESSOS!D531),OR(FiltroResp="TODOS",FiltroResp="",PROCESSOS!H531=FiltroResp)),PROCESSOS!D531+ROW()/1000000,"")</f>
        <v/>
      </c>
    </row>
    <row r="532">
      <c r="BF532" t="str">
        <f>IF(AND(OR(PROCESSOS!N532="NO PRAZO",PROCESSOS!N532="VENCE EM BREVE"),OR(FiltroResp="TODOS",FiltroResp="",PROCESSOS!H532=FiltroResp)),PROCESSOS!L532+ROW()/1000000,"")</f>
        <v/>
      </c>
      <c r="BG532" t="str">
        <f>IF(AND(PROCESSOS!B532&lt;&gt;"",ISNUMBER(PROCESSOS!D532),OR(FiltroResp="TODOS",FiltroResp="",PROCESSOS!H532=FiltroResp)),PROCESSOS!D532+ROW()/1000000,"")</f>
        <v/>
      </c>
    </row>
    <row r="533">
      <c r="BF533" t="str">
        <f>IF(AND(OR(PROCESSOS!N533="NO PRAZO",PROCESSOS!N533="VENCE EM BREVE"),OR(FiltroResp="TODOS",FiltroResp="",PROCESSOS!H533=FiltroResp)),PROCESSOS!L533+ROW()/1000000,"")</f>
        <v/>
      </c>
      <c r="BG533" t="str">
        <f>IF(AND(PROCESSOS!B533&lt;&gt;"",ISNUMBER(PROCESSOS!D533),OR(FiltroResp="TODOS",FiltroResp="",PROCESSOS!H533=FiltroResp)),PROCESSOS!D533+ROW()/1000000,"")</f>
        <v/>
      </c>
    </row>
    <row r="534">
      <c r="BF534" t="str">
        <f>IF(AND(OR(PROCESSOS!N534="NO PRAZO",PROCESSOS!N534="VENCE EM BREVE"),OR(FiltroResp="TODOS",FiltroResp="",PROCESSOS!H534=FiltroResp)),PROCESSOS!L534+ROW()/1000000,"")</f>
        <v/>
      </c>
      <c r="BG534" t="str">
        <f>IF(AND(PROCESSOS!B534&lt;&gt;"",ISNUMBER(PROCESSOS!D534),OR(FiltroResp="TODOS",FiltroResp="",PROCESSOS!H534=FiltroResp)),PROCESSOS!D534+ROW()/1000000,"")</f>
        <v/>
      </c>
    </row>
    <row r="535">
      <c r="BF535" t="str">
        <f>IF(AND(OR(PROCESSOS!N535="NO PRAZO",PROCESSOS!N535="VENCE EM BREVE"),OR(FiltroResp="TODOS",FiltroResp="",PROCESSOS!H535=FiltroResp)),PROCESSOS!L535+ROW()/1000000,"")</f>
        <v/>
      </c>
      <c r="BG535" t="str">
        <f>IF(AND(PROCESSOS!B535&lt;&gt;"",ISNUMBER(PROCESSOS!D535),OR(FiltroResp="TODOS",FiltroResp="",PROCESSOS!H535=FiltroResp)),PROCESSOS!D535+ROW()/1000000,"")</f>
        <v/>
      </c>
    </row>
    <row r="536">
      <c r="BF536" t="str">
        <f>IF(AND(OR(PROCESSOS!N536="NO PRAZO",PROCESSOS!N536="VENCE EM BREVE"),OR(FiltroResp="TODOS",FiltroResp="",PROCESSOS!H536=FiltroResp)),PROCESSOS!L536+ROW()/1000000,"")</f>
        <v/>
      </c>
      <c r="BG536" t="str">
        <f>IF(AND(PROCESSOS!B536&lt;&gt;"",ISNUMBER(PROCESSOS!D536),OR(FiltroResp="TODOS",FiltroResp="",PROCESSOS!H536=FiltroResp)),PROCESSOS!D536+ROW()/1000000,"")</f>
        <v/>
      </c>
    </row>
    <row r="537">
      <c r="BF537" t="str">
        <f>IF(AND(OR(PROCESSOS!N537="NO PRAZO",PROCESSOS!N537="VENCE EM BREVE"),OR(FiltroResp="TODOS",FiltroResp="",PROCESSOS!H537=FiltroResp)),PROCESSOS!L537+ROW()/1000000,"")</f>
        <v/>
      </c>
      <c r="BG537" t="str">
        <f>IF(AND(PROCESSOS!B537&lt;&gt;"",ISNUMBER(PROCESSOS!D537),OR(FiltroResp="TODOS",FiltroResp="",PROCESSOS!H537=FiltroResp)),PROCESSOS!D537+ROW()/1000000,"")</f>
        <v/>
      </c>
    </row>
    <row r="538">
      <c r="BF538" t="str">
        <f>IF(AND(OR(PROCESSOS!N538="NO PRAZO",PROCESSOS!N538="VENCE EM BREVE"),OR(FiltroResp="TODOS",FiltroResp="",PROCESSOS!H538=FiltroResp)),PROCESSOS!L538+ROW()/1000000,"")</f>
        <v/>
      </c>
      <c r="BG538" t="str">
        <f>IF(AND(PROCESSOS!B538&lt;&gt;"",ISNUMBER(PROCESSOS!D538),OR(FiltroResp="TODOS",FiltroResp="",PROCESSOS!H538=FiltroResp)),PROCESSOS!D538+ROW()/1000000,"")</f>
        <v/>
      </c>
    </row>
    <row r="539">
      <c r="BF539" t="str">
        <f>IF(AND(OR(PROCESSOS!N539="NO PRAZO",PROCESSOS!N539="VENCE EM BREVE"),OR(FiltroResp="TODOS",FiltroResp="",PROCESSOS!H539=FiltroResp)),PROCESSOS!L539+ROW()/1000000,"")</f>
        <v/>
      </c>
      <c r="BG539" t="str">
        <f>IF(AND(PROCESSOS!B539&lt;&gt;"",ISNUMBER(PROCESSOS!D539),OR(FiltroResp="TODOS",FiltroResp="",PROCESSOS!H539=FiltroResp)),PROCESSOS!D539+ROW()/1000000,"")</f>
        <v/>
      </c>
    </row>
    <row r="540">
      <c r="BF540" t="str">
        <f>IF(AND(OR(PROCESSOS!N540="NO PRAZO",PROCESSOS!N540="VENCE EM BREVE"),OR(FiltroResp="TODOS",FiltroResp="",PROCESSOS!H540=FiltroResp)),PROCESSOS!L540+ROW()/1000000,"")</f>
        <v/>
      </c>
      <c r="BG540" t="str">
        <f>IF(AND(PROCESSOS!B540&lt;&gt;"",ISNUMBER(PROCESSOS!D540),OR(FiltroResp="TODOS",FiltroResp="",PROCESSOS!H540=FiltroResp)),PROCESSOS!D540+ROW()/1000000,"")</f>
        <v/>
      </c>
    </row>
    <row r="541">
      <c r="BF541" t="str">
        <f>IF(AND(OR(PROCESSOS!N541="NO PRAZO",PROCESSOS!N541="VENCE EM BREVE"),OR(FiltroResp="TODOS",FiltroResp="",PROCESSOS!H541=FiltroResp)),PROCESSOS!L541+ROW()/1000000,"")</f>
        <v/>
      </c>
      <c r="BG541" t="str">
        <f>IF(AND(PROCESSOS!B541&lt;&gt;"",ISNUMBER(PROCESSOS!D541),OR(FiltroResp="TODOS",FiltroResp="",PROCESSOS!H541=FiltroResp)),PROCESSOS!D541+ROW()/1000000,"")</f>
        <v/>
      </c>
    </row>
    <row r="542">
      <c r="BF542" t="str">
        <f>IF(AND(OR(PROCESSOS!N542="NO PRAZO",PROCESSOS!N542="VENCE EM BREVE"),OR(FiltroResp="TODOS",FiltroResp="",PROCESSOS!H542=FiltroResp)),PROCESSOS!L542+ROW()/1000000,"")</f>
        <v/>
      </c>
      <c r="BG542" t="str">
        <f>IF(AND(PROCESSOS!B542&lt;&gt;"",ISNUMBER(PROCESSOS!D542),OR(FiltroResp="TODOS",FiltroResp="",PROCESSOS!H542=FiltroResp)),PROCESSOS!D542+ROW()/1000000,"")</f>
        <v/>
      </c>
    </row>
    <row r="543">
      <c r="BF543" t="str">
        <f>IF(AND(OR(PROCESSOS!N543="NO PRAZO",PROCESSOS!N543="VENCE EM BREVE"),OR(FiltroResp="TODOS",FiltroResp="",PROCESSOS!H543=FiltroResp)),PROCESSOS!L543+ROW()/1000000,"")</f>
        <v/>
      </c>
      <c r="BG543" t="str">
        <f>IF(AND(PROCESSOS!B543&lt;&gt;"",ISNUMBER(PROCESSOS!D543),OR(FiltroResp="TODOS",FiltroResp="",PROCESSOS!H543=FiltroResp)),PROCESSOS!D543+ROW()/1000000,"")</f>
        <v/>
      </c>
    </row>
    <row r="544">
      <c r="BF544" t="str">
        <f>IF(AND(OR(PROCESSOS!N544="NO PRAZO",PROCESSOS!N544="VENCE EM BREVE"),OR(FiltroResp="TODOS",FiltroResp="",PROCESSOS!H544=FiltroResp)),PROCESSOS!L544+ROW()/1000000,"")</f>
        <v/>
      </c>
      <c r="BG544" t="str">
        <f>IF(AND(PROCESSOS!B544&lt;&gt;"",ISNUMBER(PROCESSOS!D544),OR(FiltroResp="TODOS",FiltroResp="",PROCESSOS!H544=FiltroResp)),PROCESSOS!D544+ROW()/1000000,"")</f>
        <v/>
      </c>
    </row>
    <row r="545">
      <c r="BF545" t="str">
        <f>IF(AND(OR(PROCESSOS!N545="NO PRAZO",PROCESSOS!N545="VENCE EM BREVE"),OR(FiltroResp="TODOS",FiltroResp="",PROCESSOS!H545=FiltroResp)),PROCESSOS!L545+ROW()/1000000,"")</f>
        <v/>
      </c>
      <c r="BG545" t="str">
        <f>IF(AND(PROCESSOS!B545&lt;&gt;"",ISNUMBER(PROCESSOS!D545),OR(FiltroResp="TODOS",FiltroResp="",PROCESSOS!H545=FiltroResp)),PROCESSOS!D545+ROW()/1000000,"")</f>
        <v/>
      </c>
    </row>
    <row r="546">
      <c r="BF546" t="str">
        <f>IF(AND(OR(PROCESSOS!N546="NO PRAZO",PROCESSOS!N546="VENCE EM BREVE"),OR(FiltroResp="TODOS",FiltroResp="",PROCESSOS!H546=FiltroResp)),PROCESSOS!L546+ROW()/1000000,"")</f>
        <v/>
      </c>
      <c r="BG546" t="str">
        <f>IF(AND(PROCESSOS!B546&lt;&gt;"",ISNUMBER(PROCESSOS!D546),OR(FiltroResp="TODOS",FiltroResp="",PROCESSOS!H546=FiltroResp)),PROCESSOS!D546+ROW()/1000000,"")</f>
        <v/>
      </c>
    </row>
    <row r="547">
      <c r="BF547" t="str">
        <f>IF(AND(OR(PROCESSOS!N547="NO PRAZO",PROCESSOS!N547="VENCE EM BREVE"),OR(FiltroResp="TODOS",FiltroResp="",PROCESSOS!H547=FiltroResp)),PROCESSOS!L547+ROW()/1000000,"")</f>
        <v/>
      </c>
      <c r="BG547" t="str">
        <f>IF(AND(PROCESSOS!B547&lt;&gt;"",ISNUMBER(PROCESSOS!D547),OR(FiltroResp="TODOS",FiltroResp="",PROCESSOS!H547=FiltroResp)),PROCESSOS!D547+ROW()/1000000,"")</f>
        <v/>
      </c>
    </row>
    <row r="548">
      <c r="BF548" t="str">
        <f>IF(AND(OR(PROCESSOS!N548="NO PRAZO",PROCESSOS!N548="VENCE EM BREVE"),OR(FiltroResp="TODOS",FiltroResp="",PROCESSOS!H548=FiltroResp)),PROCESSOS!L548+ROW()/1000000,"")</f>
        <v/>
      </c>
      <c r="BG548" t="str">
        <f>IF(AND(PROCESSOS!B548&lt;&gt;"",ISNUMBER(PROCESSOS!D548),OR(FiltroResp="TODOS",FiltroResp="",PROCESSOS!H548=FiltroResp)),PROCESSOS!D548+ROW()/1000000,"")</f>
        <v/>
      </c>
    </row>
    <row r="549">
      <c r="BF549" t="str">
        <f>IF(AND(OR(PROCESSOS!N549="NO PRAZO",PROCESSOS!N549="VENCE EM BREVE"),OR(FiltroResp="TODOS",FiltroResp="",PROCESSOS!H549=FiltroResp)),PROCESSOS!L549+ROW()/1000000,"")</f>
        <v/>
      </c>
      <c r="BG549" t="str">
        <f>IF(AND(PROCESSOS!B549&lt;&gt;"",ISNUMBER(PROCESSOS!D549),OR(FiltroResp="TODOS",FiltroResp="",PROCESSOS!H549=FiltroResp)),PROCESSOS!D549+ROW()/1000000,"")</f>
        <v/>
      </c>
    </row>
    <row r="550">
      <c r="BF550" t="str">
        <f>IF(AND(OR(PROCESSOS!N550="NO PRAZO",PROCESSOS!N550="VENCE EM BREVE"),OR(FiltroResp="TODOS",FiltroResp="",PROCESSOS!H550=FiltroResp)),PROCESSOS!L550+ROW()/1000000,"")</f>
        <v/>
      </c>
      <c r="BG550" t="str">
        <f>IF(AND(PROCESSOS!B550&lt;&gt;"",ISNUMBER(PROCESSOS!D550),OR(FiltroResp="TODOS",FiltroResp="",PROCESSOS!H550=FiltroResp)),PROCESSOS!D550+ROW()/1000000,"")</f>
        <v/>
      </c>
    </row>
    <row r="551">
      <c r="BF551" t="str">
        <f>IF(AND(OR(PROCESSOS!N551="NO PRAZO",PROCESSOS!N551="VENCE EM BREVE"),OR(FiltroResp="TODOS",FiltroResp="",PROCESSOS!H551=FiltroResp)),PROCESSOS!L551+ROW()/1000000,"")</f>
        <v/>
      </c>
      <c r="BG551" t="str">
        <f>IF(AND(PROCESSOS!B551&lt;&gt;"",ISNUMBER(PROCESSOS!D551),OR(FiltroResp="TODOS",FiltroResp="",PROCESSOS!H551=FiltroResp)),PROCESSOS!D551+ROW()/1000000,"")</f>
        <v/>
      </c>
    </row>
    <row r="552">
      <c r="BF552" t="str">
        <f>IF(AND(OR(PROCESSOS!N552="NO PRAZO",PROCESSOS!N552="VENCE EM BREVE"),OR(FiltroResp="TODOS",FiltroResp="",PROCESSOS!H552=FiltroResp)),PROCESSOS!L552+ROW()/1000000,"")</f>
        <v/>
      </c>
      <c r="BG552" t="str">
        <f>IF(AND(PROCESSOS!B552&lt;&gt;"",ISNUMBER(PROCESSOS!D552),OR(FiltroResp="TODOS",FiltroResp="",PROCESSOS!H552=FiltroResp)),PROCESSOS!D552+ROW()/1000000,"")</f>
        <v/>
      </c>
    </row>
    <row r="553">
      <c r="BF553" t="str">
        <f>IF(AND(OR(PROCESSOS!N553="NO PRAZO",PROCESSOS!N553="VENCE EM BREVE"),OR(FiltroResp="TODOS",FiltroResp="",PROCESSOS!H553=FiltroResp)),PROCESSOS!L553+ROW()/1000000,"")</f>
        <v/>
      </c>
      <c r="BG553" t="str">
        <f>IF(AND(PROCESSOS!B553&lt;&gt;"",ISNUMBER(PROCESSOS!D553),OR(FiltroResp="TODOS",FiltroResp="",PROCESSOS!H553=FiltroResp)),PROCESSOS!D553+ROW()/1000000,"")</f>
        <v/>
      </c>
    </row>
    <row r="554">
      <c r="BF554" t="str">
        <f>IF(AND(OR(PROCESSOS!N554="NO PRAZO",PROCESSOS!N554="VENCE EM BREVE"),OR(FiltroResp="TODOS",FiltroResp="",PROCESSOS!H554=FiltroResp)),PROCESSOS!L554+ROW()/1000000,"")</f>
        <v/>
      </c>
      <c r="BG554" t="str">
        <f>IF(AND(PROCESSOS!B554&lt;&gt;"",ISNUMBER(PROCESSOS!D554),OR(FiltroResp="TODOS",FiltroResp="",PROCESSOS!H554=FiltroResp)),PROCESSOS!D554+ROW()/1000000,"")</f>
        <v/>
      </c>
    </row>
    <row r="555">
      <c r="BF555" t="str">
        <f>IF(AND(OR(PROCESSOS!N555="NO PRAZO",PROCESSOS!N555="VENCE EM BREVE"),OR(FiltroResp="TODOS",FiltroResp="",PROCESSOS!H555=FiltroResp)),PROCESSOS!L555+ROW()/1000000,"")</f>
        <v/>
      </c>
      <c r="BG555" t="str">
        <f>IF(AND(PROCESSOS!B555&lt;&gt;"",ISNUMBER(PROCESSOS!D555),OR(FiltroResp="TODOS",FiltroResp="",PROCESSOS!H555=FiltroResp)),PROCESSOS!D555+ROW()/1000000,"")</f>
        <v/>
      </c>
    </row>
    <row r="556">
      <c r="BF556" t="str">
        <f>IF(AND(OR(PROCESSOS!N556="NO PRAZO",PROCESSOS!N556="VENCE EM BREVE"),OR(FiltroResp="TODOS",FiltroResp="",PROCESSOS!H556=FiltroResp)),PROCESSOS!L556+ROW()/1000000,"")</f>
        <v/>
      </c>
      <c r="BG556" t="str">
        <f>IF(AND(PROCESSOS!B556&lt;&gt;"",ISNUMBER(PROCESSOS!D556),OR(FiltroResp="TODOS",FiltroResp="",PROCESSOS!H556=FiltroResp)),PROCESSOS!D556+ROW()/1000000,"")</f>
        <v/>
      </c>
    </row>
    <row r="557">
      <c r="BF557" t="str">
        <f>IF(AND(OR(PROCESSOS!N557="NO PRAZO",PROCESSOS!N557="VENCE EM BREVE"),OR(FiltroResp="TODOS",FiltroResp="",PROCESSOS!H557=FiltroResp)),PROCESSOS!L557+ROW()/1000000,"")</f>
        <v/>
      </c>
      <c r="BG557" t="str">
        <f>IF(AND(PROCESSOS!B557&lt;&gt;"",ISNUMBER(PROCESSOS!D557),OR(FiltroResp="TODOS",FiltroResp="",PROCESSOS!H557=FiltroResp)),PROCESSOS!D557+ROW()/1000000,"")</f>
        <v/>
      </c>
    </row>
    <row r="558">
      <c r="BF558" t="str">
        <f>IF(AND(OR(PROCESSOS!N558="NO PRAZO",PROCESSOS!N558="VENCE EM BREVE"),OR(FiltroResp="TODOS",FiltroResp="",PROCESSOS!H558=FiltroResp)),PROCESSOS!L558+ROW()/1000000,"")</f>
        <v/>
      </c>
      <c r="BG558" t="str">
        <f>IF(AND(PROCESSOS!B558&lt;&gt;"",ISNUMBER(PROCESSOS!D558),OR(FiltroResp="TODOS",FiltroResp="",PROCESSOS!H558=FiltroResp)),PROCESSOS!D558+ROW()/1000000,"")</f>
        <v/>
      </c>
    </row>
    <row r="559">
      <c r="BF559" t="str">
        <f>IF(AND(OR(PROCESSOS!N559="NO PRAZO",PROCESSOS!N559="VENCE EM BREVE"),OR(FiltroResp="TODOS",FiltroResp="",PROCESSOS!H559=FiltroResp)),PROCESSOS!L559+ROW()/1000000,"")</f>
        <v/>
      </c>
      <c r="BG559" t="str">
        <f>IF(AND(PROCESSOS!B559&lt;&gt;"",ISNUMBER(PROCESSOS!D559),OR(FiltroResp="TODOS",FiltroResp="",PROCESSOS!H559=FiltroResp)),PROCESSOS!D559+ROW()/1000000,"")</f>
        <v/>
      </c>
    </row>
    <row r="560">
      <c r="BF560" t="str">
        <f>IF(AND(OR(PROCESSOS!N560="NO PRAZO",PROCESSOS!N560="VENCE EM BREVE"),OR(FiltroResp="TODOS",FiltroResp="",PROCESSOS!H560=FiltroResp)),PROCESSOS!L560+ROW()/1000000,"")</f>
        <v/>
      </c>
      <c r="BG560" t="str">
        <f>IF(AND(PROCESSOS!B560&lt;&gt;"",ISNUMBER(PROCESSOS!D560),OR(FiltroResp="TODOS",FiltroResp="",PROCESSOS!H560=FiltroResp)),PROCESSOS!D560+ROW()/1000000,"")</f>
        <v/>
      </c>
    </row>
    <row r="561">
      <c r="BF561" t="str">
        <f>IF(AND(OR(PROCESSOS!N561="NO PRAZO",PROCESSOS!N561="VENCE EM BREVE"),OR(FiltroResp="TODOS",FiltroResp="",PROCESSOS!H561=FiltroResp)),PROCESSOS!L561+ROW()/1000000,"")</f>
        <v/>
      </c>
      <c r="BG561" t="str">
        <f>IF(AND(PROCESSOS!B561&lt;&gt;"",ISNUMBER(PROCESSOS!D561),OR(FiltroResp="TODOS",FiltroResp="",PROCESSOS!H561=FiltroResp)),PROCESSOS!D561+ROW()/1000000,"")</f>
        <v/>
      </c>
    </row>
    <row r="562">
      <c r="BF562" t="str">
        <f>IF(AND(OR(PROCESSOS!N562="NO PRAZO",PROCESSOS!N562="VENCE EM BREVE"),OR(FiltroResp="TODOS",FiltroResp="",PROCESSOS!H562=FiltroResp)),PROCESSOS!L562+ROW()/1000000,"")</f>
        <v/>
      </c>
      <c r="BG562" t="str">
        <f>IF(AND(PROCESSOS!B562&lt;&gt;"",ISNUMBER(PROCESSOS!D562),OR(FiltroResp="TODOS",FiltroResp="",PROCESSOS!H562=FiltroResp)),PROCESSOS!D562+ROW()/1000000,"")</f>
        <v/>
      </c>
    </row>
    <row r="563">
      <c r="BF563" t="str">
        <f>IF(AND(OR(PROCESSOS!N563="NO PRAZO",PROCESSOS!N563="VENCE EM BREVE"),OR(FiltroResp="TODOS",FiltroResp="",PROCESSOS!H563=FiltroResp)),PROCESSOS!L563+ROW()/1000000,"")</f>
        <v/>
      </c>
      <c r="BG563" t="str">
        <f>IF(AND(PROCESSOS!B563&lt;&gt;"",ISNUMBER(PROCESSOS!D563),OR(FiltroResp="TODOS",FiltroResp="",PROCESSOS!H563=FiltroResp)),PROCESSOS!D563+ROW()/1000000,"")</f>
        <v/>
      </c>
    </row>
    <row r="564">
      <c r="BF564" t="str">
        <f>IF(AND(OR(PROCESSOS!N564="NO PRAZO",PROCESSOS!N564="VENCE EM BREVE"),OR(FiltroResp="TODOS",FiltroResp="",PROCESSOS!H564=FiltroResp)),PROCESSOS!L564+ROW()/1000000,"")</f>
        <v/>
      </c>
      <c r="BG564" t="str">
        <f>IF(AND(PROCESSOS!B564&lt;&gt;"",ISNUMBER(PROCESSOS!D564),OR(FiltroResp="TODOS",FiltroResp="",PROCESSOS!H564=FiltroResp)),PROCESSOS!D564+ROW()/1000000,"")</f>
        <v/>
      </c>
    </row>
    <row r="565">
      <c r="BF565" t="str">
        <f>IF(AND(OR(PROCESSOS!N565="NO PRAZO",PROCESSOS!N565="VENCE EM BREVE"),OR(FiltroResp="TODOS",FiltroResp="",PROCESSOS!H565=FiltroResp)),PROCESSOS!L565+ROW()/1000000,"")</f>
        <v/>
      </c>
      <c r="BG565" t="str">
        <f>IF(AND(PROCESSOS!B565&lt;&gt;"",ISNUMBER(PROCESSOS!D565),OR(FiltroResp="TODOS",FiltroResp="",PROCESSOS!H565=FiltroResp)),PROCESSOS!D565+ROW()/1000000,"")</f>
        <v/>
      </c>
    </row>
    <row r="566">
      <c r="BF566" t="str">
        <f>IF(AND(OR(PROCESSOS!N566="NO PRAZO",PROCESSOS!N566="VENCE EM BREVE"),OR(FiltroResp="TODOS",FiltroResp="",PROCESSOS!H566=FiltroResp)),PROCESSOS!L566+ROW()/1000000,"")</f>
        <v/>
      </c>
      <c r="BG566" t="str">
        <f>IF(AND(PROCESSOS!B566&lt;&gt;"",ISNUMBER(PROCESSOS!D566),OR(FiltroResp="TODOS",FiltroResp="",PROCESSOS!H566=FiltroResp)),PROCESSOS!D566+ROW()/1000000,"")</f>
        <v/>
      </c>
    </row>
    <row r="567">
      <c r="BF567" t="str">
        <f>IF(AND(OR(PROCESSOS!N567="NO PRAZO",PROCESSOS!N567="VENCE EM BREVE"),OR(FiltroResp="TODOS",FiltroResp="",PROCESSOS!H567=FiltroResp)),PROCESSOS!L567+ROW()/1000000,"")</f>
        <v/>
      </c>
      <c r="BG567" t="str">
        <f>IF(AND(PROCESSOS!B567&lt;&gt;"",ISNUMBER(PROCESSOS!D567),OR(FiltroResp="TODOS",FiltroResp="",PROCESSOS!H567=FiltroResp)),PROCESSOS!D567+ROW()/1000000,"")</f>
        <v/>
      </c>
    </row>
    <row r="568">
      <c r="BF568" t="str">
        <f>IF(AND(OR(PROCESSOS!N568="NO PRAZO",PROCESSOS!N568="VENCE EM BREVE"),OR(FiltroResp="TODOS",FiltroResp="",PROCESSOS!H568=FiltroResp)),PROCESSOS!L568+ROW()/1000000,"")</f>
        <v/>
      </c>
      <c r="BG568" t="str">
        <f>IF(AND(PROCESSOS!B568&lt;&gt;"",ISNUMBER(PROCESSOS!D568),OR(FiltroResp="TODOS",FiltroResp="",PROCESSOS!H568=FiltroResp)),PROCESSOS!D568+ROW()/1000000,"")</f>
        <v/>
      </c>
    </row>
    <row r="569">
      <c r="BF569" t="str">
        <f>IF(AND(OR(PROCESSOS!N569="NO PRAZO",PROCESSOS!N569="VENCE EM BREVE"),OR(FiltroResp="TODOS",FiltroResp="",PROCESSOS!H569=FiltroResp)),PROCESSOS!L569+ROW()/1000000,"")</f>
        <v/>
      </c>
      <c r="BG569" t="str">
        <f>IF(AND(PROCESSOS!B569&lt;&gt;"",ISNUMBER(PROCESSOS!D569),OR(FiltroResp="TODOS",FiltroResp="",PROCESSOS!H569=FiltroResp)),PROCESSOS!D569+ROW()/1000000,"")</f>
        <v/>
      </c>
    </row>
    <row r="570">
      <c r="BF570" t="str">
        <f>IF(AND(OR(PROCESSOS!N570="NO PRAZO",PROCESSOS!N570="VENCE EM BREVE"),OR(FiltroResp="TODOS",FiltroResp="",PROCESSOS!H570=FiltroResp)),PROCESSOS!L570+ROW()/1000000,"")</f>
        <v/>
      </c>
      <c r="BG570" t="str">
        <f>IF(AND(PROCESSOS!B570&lt;&gt;"",ISNUMBER(PROCESSOS!D570),OR(FiltroResp="TODOS",FiltroResp="",PROCESSOS!H570=FiltroResp)),PROCESSOS!D570+ROW()/1000000,"")</f>
        <v/>
      </c>
    </row>
    <row r="571">
      <c r="BF571" t="str">
        <f>IF(AND(OR(PROCESSOS!N571="NO PRAZO",PROCESSOS!N571="VENCE EM BREVE"),OR(FiltroResp="TODOS",FiltroResp="",PROCESSOS!H571=FiltroResp)),PROCESSOS!L571+ROW()/1000000,"")</f>
        <v/>
      </c>
      <c r="BG571" t="str">
        <f>IF(AND(PROCESSOS!B571&lt;&gt;"",ISNUMBER(PROCESSOS!D571),OR(FiltroResp="TODOS",FiltroResp="",PROCESSOS!H571=FiltroResp)),PROCESSOS!D571+ROW()/1000000,"")</f>
        <v/>
      </c>
    </row>
    <row r="572">
      <c r="BF572" t="str">
        <f>IF(AND(OR(PROCESSOS!N572="NO PRAZO",PROCESSOS!N572="VENCE EM BREVE"),OR(FiltroResp="TODOS",FiltroResp="",PROCESSOS!H572=FiltroResp)),PROCESSOS!L572+ROW()/1000000,"")</f>
        <v/>
      </c>
      <c r="BG572" t="str">
        <f>IF(AND(PROCESSOS!B572&lt;&gt;"",ISNUMBER(PROCESSOS!D572),OR(FiltroResp="TODOS",FiltroResp="",PROCESSOS!H572=FiltroResp)),PROCESSOS!D572+ROW()/1000000,"")</f>
        <v/>
      </c>
    </row>
    <row r="573">
      <c r="BF573" t="str">
        <f>IF(AND(OR(PROCESSOS!N573="NO PRAZO",PROCESSOS!N573="VENCE EM BREVE"),OR(FiltroResp="TODOS",FiltroResp="",PROCESSOS!H573=FiltroResp)),PROCESSOS!L573+ROW()/1000000,"")</f>
        <v/>
      </c>
      <c r="BG573" t="str">
        <f>IF(AND(PROCESSOS!B573&lt;&gt;"",ISNUMBER(PROCESSOS!D573),OR(FiltroResp="TODOS",FiltroResp="",PROCESSOS!H573=FiltroResp)),PROCESSOS!D573+ROW()/1000000,"")</f>
        <v/>
      </c>
    </row>
    <row r="574">
      <c r="BF574" t="str">
        <f>IF(AND(OR(PROCESSOS!N574="NO PRAZO",PROCESSOS!N574="VENCE EM BREVE"),OR(FiltroResp="TODOS",FiltroResp="",PROCESSOS!H574=FiltroResp)),PROCESSOS!L574+ROW()/1000000,"")</f>
        <v/>
      </c>
      <c r="BG574" t="str">
        <f>IF(AND(PROCESSOS!B574&lt;&gt;"",ISNUMBER(PROCESSOS!D574),OR(FiltroResp="TODOS",FiltroResp="",PROCESSOS!H574=FiltroResp)),PROCESSOS!D574+ROW()/1000000,"")</f>
        <v/>
      </c>
    </row>
    <row r="575">
      <c r="BF575" t="str">
        <f>IF(AND(OR(PROCESSOS!N575="NO PRAZO",PROCESSOS!N575="VENCE EM BREVE"),OR(FiltroResp="TODOS",FiltroResp="",PROCESSOS!H575=FiltroResp)),PROCESSOS!L575+ROW()/1000000,"")</f>
        <v/>
      </c>
      <c r="BG575" t="str">
        <f>IF(AND(PROCESSOS!B575&lt;&gt;"",ISNUMBER(PROCESSOS!D575),OR(FiltroResp="TODOS",FiltroResp="",PROCESSOS!H575=FiltroResp)),PROCESSOS!D575+ROW()/1000000,"")</f>
        <v/>
      </c>
    </row>
    <row r="576">
      <c r="BF576" t="str">
        <f>IF(AND(OR(PROCESSOS!N576="NO PRAZO",PROCESSOS!N576="VENCE EM BREVE"),OR(FiltroResp="TODOS",FiltroResp="",PROCESSOS!H576=FiltroResp)),PROCESSOS!L576+ROW()/1000000,"")</f>
        <v/>
      </c>
      <c r="BG576" t="str">
        <f>IF(AND(PROCESSOS!B576&lt;&gt;"",ISNUMBER(PROCESSOS!D576),OR(FiltroResp="TODOS",FiltroResp="",PROCESSOS!H576=FiltroResp)),PROCESSOS!D576+ROW()/1000000,"")</f>
        <v/>
      </c>
    </row>
    <row r="577">
      <c r="BF577" t="str">
        <f>IF(AND(OR(PROCESSOS!N577="NO PRAZO",PROCESSOS!N577="VENCE EM BREVE"),OR(FiltroResp="TODOS",FiltroResp="",PROCESSOS!H577=FiltroResp)),PROCESSOS!L577+ROW()/1000000,"")</f>
        <v/>
      </c>
      <c r="BG577" t="str">
        <f>IF(AND(PROCESSOS!B577&lt;&gt;"",ISNUMBER(PROCESSOS!D577),OR(FiltroResp="TODOS",FiltroResp="",PROCESSOS!H577=FiltroResp)),PROCESSOS!D577+ROW()/1000000,"")</f>
        <v/>
      </c>
    </row>
    <row r="578">
      <c r="BF578" t="str">
        <f>IF(AND(OR(PROCESSOS!N578="NO PRAZO",PROCESSOS!N578="VENCE EM BREVE"),OR(FiltroResp="TODOS",FiltroResp="",PROCESSOS!H578=FiltroResp)),PROCESSOS!L578+ROW()/1000000,"")</f>
        <v/>
      </c>
      <c r="BG578" t="str">
        <f>IF(AND(PROCESSOS!B578&lt;&gt;"",ISNUMBER(PROCESSOS!D578),OR(FiltroResp="TODOS",FiltroResp="",PROCESSOS!H578=FiltroResp)),PROCESSOS!D578+ROW()/1000000,"")</f>
        <v/>
      </c>
    </row>
    <row r="579">
      <c r="BF579" t="str">
        <f>IF(AND(OR(PROCESSOS!N579="NO PRAZO",PROCESSOS!N579="VENCE EM BREVE"),OR(FiltroResp="TODOS",FiltroResp="",PROCESSOS!H579=FiltroResp)),PROCESSOS!L579+ROW()/1000000,"")</f>
        <v/>
      </c>
      <c r="BG579" t="str">
        <f>IF(AND(PROCESSOS!B579&lt;&gt;"",ISNUMBER(PROCESSOS!D579),OR(FiltroResp="TODOS",FiltroResp="",PROCESSOS!H579=FiltroResp)),PROCESSOS!D579+ROW()/1000000,"")</f>
        <v/>
      </c>
    </row>
    <row r="580">
      <c r="BF580" t="str">
        <f>IF(AND(OR(PROCESSOS!N580="NO PRAZO",PROCESSOS!N580="VENCE EM BREVE"),OR(FiltroResp="TODOS",FiltroResp="",PROCESSOS!H580=FiltroResp)),PROCESSOS!L580+ROW()/1000000,"")</f>
        <v/>
      </c>
      <c r="BG580" t="str">
        <f>IF(AND(PROCESSOS!B580&lt;&gt;"",ISNUMBER(PROCESSOS!D580),OR(FiltroResp="TODOS",FiltroResp="",PROCESSOS!H580=FiltroResp)),PROCESSOS!D580+ROW()/1000000,"")</f>
        <v/>
      </c>
    </row>
    <row r="581">
      <c r="BF581" t="str">
        <f>IF(AND(OR(PROCESSOS!N581="NO PRAZO",PROCESSOS!N581="VENCE EM BREVE"),OR(FiltroResp="TODOS",FiltroResp="",PROCESSOS!H581=FiltroResp)),PROCESSOS!L581+ROW()/1000000,"")</f>
        <v/>
      </c>
      <c r="BG581" t="str">
        <f>IF(AND(PROCESSOS!B581&lt;&gt;"",ISNUMBER(PROCESSOS!D581),OR(FiltroResp="TODOS",FiltroResp="",PROCESSOS!H581=FiltroResp)),PROCESSOS!D581+ROW()/1000000,"")</f>
        <v/>
      </c>
    </row>
    <row r="582">
      <c r="BF582" t="str">
        <f>IF(AND(OR(PROCESSOS!N582="NO PRAZO",PROCESSOS!N582="VENCE EM BREVE"),OR(FiltroResp="TODOS",FiltroResp="",PROCESSOS!H582=FiltroResp)),PROCESSOS!L582+ROW()/1000000,"")</f>
        <v/>
      </c>
      <c r="BG582" t="str">
        <f>IF(AND(PROCESSOS!B582&lt;&gt;"",ISNUMBER(PROCESSOS!D582),OR(FiltroResp="TODOS",FiltroResp="",PROCESSOS!H582=FiltroResp)),PROCESSOS!D582+ROW()/1000000,"")</f>
        <v/>
      </c>
    </row>
    <row r="583">
      <c r="BF583" t="str">
        <f>IF(AND(OR(PROCESSOS!N583="NO PRAZO",PROCESSOS!N583="VENCE EM BREVE"),OR(FiltroResp="TODOS",FiltroResp="",PROCESSOS!H583=FiltroResp)),PROCESSOS!L583+ROW()/1000000,"")</f>
        <v/>
      </c>
      <c r="BG583" t="str">
        <f>IF(AND(PROCESSOS!B583&lt;&gt;"",ISNUMBER(PROCESSOS!D583),OR(FiltroResp="TODOS",FiltroResp="",PROCESSOS!H583=FiltroResp)),PROCESSOS!D583+ROW()/1000000,"")</f>
        <v/>
      </c>
    </row>
    <row r="584">
      <c r="BF584" t="str">
        <f>IF(AND(OR(PROCESSOS!N584="NO PRAZO",PROCESSOS!N584="VENCE EM BREVE"),OR(FiltroResp="TODOS",FiltroResp="",PROCESSOS!H584=FiltroResp)),PROCESSOS!L584+ROW()/1000000,"")</f>
        <v/>
      </c>
      <c r="BG584" t="str">
        <f>IF(AND(PROCESSOS!B584&lt;&gt;"",ISNUMBER(PROCESSOS!D584),OR(FiltroResp="TODOS",FiltroResp="",PROCESSOS!H584=FiltroResp)),PROCESSOS!D584+ROW()/1000000,"")</f>
        <v/>
      </c>
    </row>
    <row r="585">
      <c r="BF585" t="str">
        <f>IF(AND(OR(PROCESSOS!N585="NO PRAZO",PROCESSOS!N585="VENCE EM BREVE"),OR(FiltroResp="TODOS",FiltroResp="",PROCESSOS!H585=FiltroResp)),PROCESSOS!L585+ROW()/1000000,"")</f>
        <v/>
      </c>
      <c r="BG585" t="str">
        <f>IF(AND(PROCESSOS!B585&lt;&gt;"",ISNUMBER(PROCESSOS!D585),OR(FiltroResp="TODOS",FiltroResp="",PROCESSOS!H585=FiltroResp)),PROCESSOS!D585+ROW()/1000000,"")</f>
        <v/>
      </c>
    </row>
    <row r="586">
      <c r="BF586" t="str">
        <f>IF(AND(OR(PROCESSOS!N586="NO PRAZO",PROCESSOS!N586="VENCE EM BREVE"),OR(FiltroResp="TODOS",FiltroResp="",PROCESSOS!H586=FiltroResp)),PROCESSOS!L586+ROW()/1000000,"")</f>
        <v/>
      </c>
      <c r="BG586" t="str">
        <f>IF(AND(PROCESSOS!B586&lt;&gt;"",ISNUMBER(PROCESSOS!D586),OR(FiltroResp="TODOS",FiltroResp="",PROCESSOS!H586=FiltroResp)),PROCESSOS!D586+ROW()/1000000,"")</f>
        <v/>
      </c>
    </row>
    <row r="587">
      <c r="BF587" t="str">
        <f>IF(AND(OR(PROCESSOS!N587="NO PRAZO",PROCESSOS!N587="VENCE EM BREVE"),OR(FiltroResp="TODOS",FiltroResp="",PROCESSOS!H587=FiltroResp)),PROCESSOS!L587+ROW()/1000000,"")</f>
        <v/>
      </c>
      <c r="BG587" t="str">
        <f>IF(AND(PROCESSOS!B587&lt;&gt;"",ISNUMBER(PROCESSOS!D587),OR(FiltroResp="TODOS",FiltroResp="",PROCESSOS!H587=FiltroResp)),PROCESSOS!D587+ROW()/1000000,"")</f>
        <v/>
      </c>
    </row>
    <row r="588">
      <c r="BF588" t="str">
        <f>IF(AND(OR(PROCESSOS!N588="NO PRAZO",PROCESSOS!N588="VENCE EM BREVE"),OR(FiltroResp="TODOS",FiltroResp="",PROCESSOS!H588=FiltroResp)),PROCESSOS!L588+ROW()/1000000,"")</f>
        <v/>
      </c>
      <c r="BG588" t="str">
        <f>IF(AND(PROCESSOS!B588&lt;&gt;"",ISNUMBER(PROCESSOS!D588),OR(FiltroResp="TODOS",FiltroResp="",PROCESSOS!H588=FiltroResp)),PROCESSOS!D588+ROW()/1000000,"")</f>
        <v/>
      </c>
    </row>
    <row r="589">
      <c r="BF589" t="str">
        <f>IF(AND(OR(PROCESSOS!N589="NO PRAZO",PROCESSOS!N589="VENCE EM BREVE"),OR(FiltroResp="TODOS",FiltroResp="",PROCESSOS!H589=FiltroResp)),PROCESSOS!L589+ROW()/1000000,"")</f>
        <v/>
      </c>
      <c r="BG589" t="str">
        <f>IF(AND(PROCESSOS!B589&lt;&gt;"",ISNUMBER(PROCESSOS!D589),OR(FiltroResp="TODOS",FiltroResp="",PROCESSOS!H589=FiltroResp)),PROCESSOS!D589+ROW()/1000000,"")</f>
        <v/>
      </c>
    </row>
    <row r="590">
      <c r="BF590" t="str">
        <f>IF(AND(OR(PROCESSOS!N590="NO PRAZO",PROCESSOS!N590="VENCE EM BREVE"),OR(FiltroResp="TODOS",FiltroResp="",PROCESSOS!H590=FiltroResp)),PROCESSOS!L590+ROW()/1000000,"")</f>
        <v/>
      </c>
      <c r="BG590" t="str">
        <f>IF(AND(PROCESSOS!B590&lt;&gt;"",ISNUMBER(PROCESSOS!D590),OR(FiltroResp="TODOS",FiltroResp="",PROCESSOS!H590=FiltroResp)),PROCESSOS!D590+ROW()/1000000,"")</f>
        <v/>
      </c>
    </row>
    <row r="591">
      <c r="BF591" t="str">
        <f>IF(AND(OR(PROCESSOS!N591="NO PRAZO",PROCESSOS!N591="VENCE EM BREVE"),OR(FiltroResp="TODOS",FiltroResp="",PROCESSOS!H591=FiltroResp)),PROCESSOS!L591+ROW()/1000000,"")</f>
        <v/>
      </c>
      <c r="BG591" t="str">
        <f>IF(AND(PROCESSOS!B591&lt;&gt;"",ISNUMBER(PROCESSOS!D591),OR(FiltroResp="TODOS",FiltroResp="",PROCESSOS!H591=FiltroResp)),PROCESSOS!D591+ROW()/1000000,"")</f>
        <v/>
      </c>
    </row>
    <row r="592">
      <c r="BF592" t="str">
        <f>IF(AND(OR(PROCESSOS!N592="NO PRAZO",PROCESSOS!N592="VENCE EM BREVE"),OR(FiltroResp="TODOS",FiltroResp="",PROCESSOS!H592=FiltroResp)),PROCESSOS!L592+ROW()/1000000,"")</f>
        <v/>
      </c>
      <c r="BG592" t="str">
        <f>IF(AND(PROCESSOS!B592&lt;&gt;"",ISNUMBER(PROCESSOS!D592),OR(FiltroResp="TODOS",FiltroResp="",PROCESSOS!H592=FiltroResp)),PROCESSOS!D592+ROW()/1000000,"")</f>
        <v/>
      </c>
    </row>
    <row r="593">
      <c r="BF593" t="str">
        <f>IF(AND(OR(PROCESSOS!N593="NO PRAZO",PROCESSOS!N593="VENCE EM BREVE"),OR(FiltroResp="TODOS",FiltroResp="",PROCESSOS!H593=FiltroResp)),PROCESSOS!L593+ROW()/1000000,"")</f>
        <v/>
      </c>
      <c r="BG593" t="str">
        <f>IF(AND(PROCESSOS!B593&lt;&gt;"",ISNUMBER(PROCESSOS!D593),OR(FiltroResp="TODOS",FiltroResp="",PROCESSOS!H593=FiltroResp)),PROCESSOS!D593+ROW()/1000000,"")</f>
        <v/>
      </c>
    </row>
    <row r="594">
      <c r="BF594" t="str">
        <f>IF(AND(OR(PROCESSOS!N594="NO PRAZO",PROCESSOS!N594="VENCE EM BREVE"),OR(FiltroResp="TODOS",FiltroResp="",PROCESSOS!H594=FiltroResp)),PROCESSOS!L594+ROW()/1000000,"")</f>
        <v/>
      </c>
      <c r="BG594" t="str">
        <f>IF(AND(PROCESSOS!B594&lt;&gt;"",ISNUMBER(PROCESSOS!D594),OR(FiltroResp="TODOS",FiltroResp="",PROCESSOS!H594=FiltroResp)),PROCESSOS!D594+ROW()/1000000,"")</f>
        <v/>
      </c>
    </row>
    <row r="595">
      <c r="BF595" t="str">
        <f>IF(AND(OR(PROCESSOS!N595="NO PRAZO",PROCESSOS!N595="VENCE EM BREVE"),OR(FiltroResp="TODOS",FiltroResp="",PROCESSOS!H595=FiltroResp)),PROCESSOS!L595+ROW()/1000000,"")</f>
        <v/>
      </c>
      <c r="BG595" t="str">
        <f>IF(AND(PROCESSOS!B595&lt;&gt;"",ISNUMBER(PROCESSOS!D595),OR(FiltroResp="TODOS",FiltroResp="",PROCESSOS!H595=FiltroResp)),PROCESSOS!D595+ROW()/1000000,"")</f>
        <v/>
      </c>
    </row>
    <row r="596">
      <c r="BF596" t="str">
        <f>IF(AND(OR(PROCESSOS!N596="NO PRAZO",PROCESSOS!N596="VENCE EM BREVE"),OR(FiltroResp="TODOS",FiltroResp="",PROCESSOS!H596=FiltroResp)),PROCESSOS!L596+ROW()/1000000,"")</f>
        <v/>
      </c>
      <c r="BG596" t="str">
        <f>IF(AND(PROCESSOS!B596&lt;&gt;"",ISNUMBER(PROCESSOS!D596),OR(FiltroResp="TODOS",FiltroResp="",PROCESSOS!H596=FiltroResp)),PROCESSOS!D596+ROW()/1000000,"")</f>
        <v/>
      </c>
    </row>
    <row r="597">
      <c r="BF597" t="str">
        <f>IF(AND(OR(PROCESSOS!N597="NO PRAZO",PROCESSOS!N597="VENCE EM BREVE"),OR(FiltroResp="TODOS",FiltroResp="",PROCESSOS!H597=FiltroResp)),PROCESSOS!L597+ROW()/1000000,"")</f>
        <v/>
      </c>
      <c r="BG597" t="str">
        <f>IF(AND(PROCESSOS!B597&lt;&gt;"",ISNUMBER(PROCESSOS!D597),OR(FiltroResp="TODOS",FiltroResp="",PROCESSOS!H597=FiltroResp)),PROCESSOS!D597+ROW()/1000000,"")</f>
        <v/>
      </c>
    </row>
    <row r="598">
      <c r="BF598" t="str">
        <f>IF(AND(OR(PROCESSOS!N598="NO PRAZO",PROCESSOS!N598="VENCE EM BREVE"),OR(FiltroResp="TODOS",FiltroResp="",PROCESSOS!H598=FiltroResp)),PROCESSOS!L598+ROW()/1000000,"")</f>
        <v/>
      </c>
      <c r="BG598" t="str">
        <f>IF(AND(PROCESSOS!B598&lt;&gt;"",ISNUMBER(PROCESSOS!D598),OR(FiltroResp="TODOS",FiltroResp="",PROCESSOS!H598=FiltroResp)),PROCESSOS!D598+ROW()/1000000,"")</f>
        <v/>
      </c>
    </row>
    <row r="599">
      <c r="BF599" t="str">
        <f>IF(AND(OR(PROCESSOS!N599="NO PRAZO",PROCESSOS!N599="VENCE EM BREVE"),OR(FiltroResp="TODOS",FiltroResp="",PROCESSOS!H599=FiltroResp)),PROCESSOS!L599+ROW()/1000000,"")</f>
        <v/>
      </c>
      <c r="BG599" t="str">
        <f>IF(AND(PROCESSOS!B599&lt;&gt;"",ISNUMBER(PROCESSOS!D599),OR(FiltroResp="TODOS",FiltroResp="",PROCESSOS!H599=FiltroResp)),PROCESSOS!D599+ROW()/1000000,"")</f>
        <v/>
      </c>
    </row>
    <row r="600">
      <c r="BF600" t="str">
        <f>IF(AND(OR(PROCESSOS!N600="NO PRAZO",PROCESSOS!N600="VENCE EM BREVE"),OR(FiltroResp="TODOS",FiltroResp="",PROCESSOS!H600=FiltroResp)),PROCESSOS!L600+ROW()/1000000,"")</f>
        <v/>
      </c>
      <c r="BG600" t="str">
        <f>IF(AND(PROCESSOS!B600&lt;&gt;"",ISNUMBER(PROCESSOS!D600),OR(FiltroResp="TODOS",FiltroResp="",PROCESSOS!H600=FiltroResp)),PROCESSOS!D600+ROW()/1000000,"")</f>
        <v/>
      </c>
    </row>
    <row r="601">
      <c r="BF601" t="str">
        <f>IF(AND(OR(PROCESSOS!N601="NO PRAZO",PROCESSOS!N601="VENCE EM BREVE"),OR(FiltroResp="TODOS",FiltroResp="",PROCESSOS!H601=FiltroResp)),PROCESSOS!L601+ROW()/1000000,"")</f>
        <v/>
      </c>
      <c r="BG601" t="str">
        <f>IF(AND(PROCESSOS!B601&lt;&gt;"",ISNUMBER(PROCESSOS!D601),OR(FiltroResp="TODOS",FiltroResp="",PROCESSOS!H601=FiltroResp)),PROCESSOS!D601+ROW()/1000000,"")</f>
        <v/>
      </c>
    </row>
    <row r="602">
      <c r="BF602" t="str">
        <f>IF(AND(OR(PROCESSOS!N602="NO PRAZO",PROCESSOS!N602="VENCE EM BREVE"),OR(FiltroResp="TODOS",FiltroResp="",PROCESSOS!H602=FiltroResp)),PROCESSOS!L602+ROW()/1000000,"")</f>
        <v/>
      </c>
      <c r="BG602" t="str">
        <f>IF(AND(PROCESSOS!B602&lt;&gt;"",ISNUMBER(PROCESSOS!D602),OR(FiltroResp="TODOS",FiltroResp="",PROCESSOS!H602=FiltroResp)),PROCESSOS!D602+ROW()/1000000,"")</f>
        <v/>
      </c>
    </row>
    <row r="603">
      <c r="BF603" t="str">
        <f>IF(AND(OR(PROCESSOS!N603="NO PRAZO",PROCESSOS!N603="VENCE EM BREVE"),OR(FiltroResp="TODOS",FiltroResp="",PROCESSOS!H603=FiltroResp)),PROCESSOS!L603+ROW()/1000000,"")</f>
        <v/>
      </c>
      <c r="BG603" t="str">
        <f>IF(AND(PROCESSOS!B603&lt;&gt;"",ISNUMBER(PROCESSOS!D603),OR(FiltroResp="TODOS",FiltroResp="",PROCESSOS!H603=FiltroResp)),PROCESSOS!D603+ROW()/1000000,"")</f>
        <v/>
      </c>
    </row>
    <row r="604">
      <c r="BF604" t="str">
        <f>IF(AND(OR(PROCESSOS!N604="NO PRAZO",PROCESSOS!N604="VENCE EM BREVE"),OR(FiltroResp="TODOS",FiltroResp="",PROCESSOS!H604=FiltroResp)),PROCESSOS!L604+ROW()/1000000,"")</f>
        <v/>
      </c>
      <c r="BG604" t="str">
        <f>IF(AND(PROCESSOS!B604&lt;&gt;"",ISNUMBER(PROCESSOS!D604),OR(FiltroResp="TODOS",FiltroResp="",PROCESSOS!H604=FiltroResp)),PROCESSOS!D604+ROW()/1000000,"")</f>
        <v/>
      </c>
    </row>
    <row r="605">
      <c r="BF605" t="str">
        <f>IF(AND(OR(PROCESSOS!N605="NO PRAZO",PROCESSOS!N605="VENCE EM BREVE"),OR(FiltroResp="TODOS",FiltroResp="",PROCESSOS!H605=FiltroResp)),PROCESSOS!L605+ROW()/1000000,"")</f>
        <v/>
      </c>
      <c r="BG605" t="str">
        <f>IF(AND(PROCESSOS!B605&lt;&gt;"",ISNUMBER(PROCESSOS!D605),OR(FiltroResp="TODOS",FiltroResp="",PROCESSOS!H605=FiltroResp)),PROCESSOS!D605+ROW()/1000000,"")</f>
        <v/>
      </c>
    </row>
    <row r="606">
      <c r="BF606" t="str">
        <f>IF(AND(OR(PROCESSOS!N606="NO PRAZO",PROCESSOS!N606="VENCE EM BREVE"),OR(FiltroResp="TODOS",FiltroResp="",PROCESSOS!H606=FiltroResp)),PROCESSOS!L606+ROW()/1000000,"")</f>
        <v/>
      </c>
      <c r="BG606" t="str">
        <f>IF(AND(PROCESSOS!B606&lt;&gt;"",ISNUMBER(PROCESSOS!D606),OR(FiltroResp="TODOS",FiltroResp="",PROCESSOS!H606=FiltroResp)),PROCESSOS!D606+ROW()/1000000,"")</f>
        <v/>
      </c>
    </row>
    <row r="607">
      <c r="BF607" t="str">
        <f>IF(AND(OR(PROCESSOS!N607="NO PRAZO",PROCESSOS!N607="VENCE EM BREVE"),OR(FiltroResp="TODOS",FiltroResp="",PROCESSOS!H607=FiltroResp)),PROCESSOS!L607+ROW()/1000000,"")</f>
        <v/>
      </c>
      <c r="BG607" t="str">
        <f>IF(AND(PROCESSOS!B607&lt;&gt;"",ISNUMBER(PROCESSOS!D607),OR(FiltroResp="TODOS",FiltroResp="",PROCESSOS!H607=FiltroResp)),PROCESSOS!D607+ROW()/1000000,"")</f>
        <v/>
      </c>
    </row>
    <row r="608">
      <c r="BF608" t="str">
        <f>IF(AND(OR(PROCESSOS!N608="NO PRAZO",PROCESSOS!N608="VENCE EM BREVE"),OR(FiltroResp="TODOS",FiltroResp="",PROCESSOS!H608=FiltroResp)),PROCESSOS!L608+ROW()/1000000,"")</f>
        <v/>
      </c>
      <c r="BG608" t="str">
        <f>IF(AND(PROCESSOS!B608&lt;&gt;"",ISNUMBER(PROCESSOS!D608),OR(FiltroResp="TODOS",FiltroResp="",PROCESSOS!H608=FiltroResp)),PROCESSOS!D608+ROW()/1000000,"")</f>
        <v/>
      </c>
    </row>
    <row r="609">
      <c r="BF609" t="str">
        <f>IF(AND(OR(PROCESSOS!N609="NO PRAZO",PROCESSOS!N609="VENCE EM BREVE"),OR(FiltroResp="TODOS",FiltroResp="",PROCESSOS!H609=FiltroResp)),PROCESSOS!L609+ROW()/1000000,"")</f>
        <v/>
      </c>
      <c r="BG609" t="str">
        <f>IF(AND(PROCESSOS!B609&lt;&gt;"",ISNUMBER(PROCESSOS!D609),OR(FiltroResp="TODOS",FiltroResp="",PROCESSOS!H609=FiltroResp)),PROCESSOS!D609+ROW()/1000000,"")</f>
        <v/>
      </c>
    </row>
    <row r="610">
      <c r="BF610" t="str">
        <f>IF(AND(OR(PROCESSOS!N610="NO PRAZO",PROCESSOS!N610="VENCE EM BREVE"),OR(FiltroResp="TODOS",FiltroResp="",PROCESSOS!H610=FiltroResp)),PROCESSOS!L610+ROW()/1000000,"")</f>
        <v/>
      </c>
      <c r="BG610" t="str">
        <f>IF(AND(PROCESSOS!B610&lt;&gt;"",ISNUMBER(PROCESSOS!D610),OR(FiltroResp="TODOS",FiltroResp="",PROCESSOS!H610=FiltroResp)),PROCESSOS!D610+ROW()/1000000,"")</f>
        <v/>
      </c>
    </row>
    <row r="611">
      <c r="BF611" t="str">
        <f>IF(AND(OR(PROCESSOS!N611="NO PRAZO",PROCESSOS!N611="VENCE EM BREVE"),OR(FiltroResp="TODOS",FiltroResp="",PROCESSOS!H611=FiltroResp)),PROCESSOS!L611+ROW()/1000000,"")</f>
        <v/>
      </c>
      <c r="BG611" t="str">
        <f>IF(AND(PROCESSOS!B611&lt;&gt;"",ISNUMBER(PROCESSOS!D611),OR(FiltroResp="TODOS",FiltroResp="",PROCESSOS!H611=FiltroResp)),PROCESSOS!D611+ROW()/1000000,"")</f>
        <v/>
      </c>
    </row>
    <row r="612">
      <c r="BF612" t="str">
        <f>IF(AND(OR(PROCESSOS!N612="NO PRAZO",PROCESSOS!N612="VENCE EM BREVE"),OR(FiltroResp="TODOS",FiltroResp="",PROCESSOS!H612=FiltroResp)),PROCESSOS!L612+ROW()/1000000,"")</f>
        <v/>
      </c>
      <c r="BG612" t="str">
        <f>IF(AND(PROCESSOS!B612&lt;&gt;"",ISNUMBER(PROCESSOS!D612),OR(FiltroResp="TODOS",FiltroResp="",PROCESSOS!H612=FiltroResp)),PROCESSOS!D612+ROW()/1000000,"")</f>
        <v/>
      </c>
    </row>
    <row r="613">
      <c r="BF613" t="str">
        <f>IF(AND(OR(PROCESSOS!N613="NO PRAZO",PROCESSOS!N613="VENCE EM BREVE"),OR(FiltroResp="TODOS",FiltroResp="",PROCESSOS!H613=FiltroResp)),PROCESSOS!L613+ROW()/1000000,"")</f>
        <v/>
      </c>
      <c r="BG613" t="str">
        <f>IF(AND(PROCESSOS!B613&lt;&gt;"",ISNUMBER(PROCESSOS!D613),OR(FiltroResp="TODOS",FiltroResp="",PROCESSOS!H613=FiltroResp)),PROCESSOS!D613+ROW()/1000000,"")</f>
        <v/>
      </c>
    </row>
    <row r="614">
      <c r="BF614" t="str">
        <f>IF(AND(OR(PROCESSOS!N614="NO PRAZO",PROCESSOS!N614="VENCE EM BREVE"),OR(FiltroResp="TODOS",FiltroResp="",PROCESSOS!H614=FiltroResp)),PROCESSOS!L614+ROW()/1000000,"")</f>
        <v/>
      </c>
      <c r="BG614" t="str">
        <f>IF(AND(PROCESSOS!B614&lt;&gt;"",ISNUMBER(PROCESSOS!D614),OR(FiltroResp="TODOS",FiltroResp="",PROCESSOS!H614=FiltroResp)),PROCESSOS!D614+ROW()/1000000,"")</f>
        <v/>
      </c>
    </row>
    <row r="615">
      <c r="BF615" t="str">
        <f>IF(AND(OR(PROCESSOS!N615="NO PRAZO",PROCESSOS!N615="VENCE EM BREVE"),OR(FiltroResp="TODOS",FiltroResp="",PROCESSOS!H615=FiltroResp)),PROCESSOS!L615+ROW()/1000000,"")</f>
        <v/>
      </c>
      <c r="BG615" t="str">
        <f>IF(AND(PROCESSOS!B615&lt;&gt;"",ISNUMBER(PROCESSOS!D615),OR(FiltroResp="TODOS",FiltroResp="",PROCESSOS!H615=FiltroResp)),PROCESSOS!D615+ROW()/1000000,"")</f>
        <v/>
      </c>
    </row>
    <row r="616">
      <c r="BF616" t="str">
        <f>IF(AND(OR(PROCESSOS!N616="NO PRAZO",PROCESSOS!N616="VENCE EM BREVE"),OR(FiltroResp="TODOS",FiltroResp="",PROCESSOS!H616=FiltroResp)),PROCESSOS!L616+ROW()/1000000,"")</f>
        <v/>
      </c>
      <c r="BG616" t="str">
        <f>IF(AND(PROCESSOS!B616&lt;&gt;"",ISNUMBER(PROCESSOS!D616),OR(FiltroResp="TODOS",FiltroResp="",PROCESSOS!H616=FiltroResp)),PROCESSOS!D616+ROW()/1000000,"")</f>
        <v/>
      </c>
    </row>
    <row r="617">
      <c r="BF617" t="str">
        <f>IF(AND(OR(PROCESSOS!N617="NO PRAZO",PROCESSOS!N617="VENCE EM BREVE"),OR(FiltroResp="TODOS",FiltroResp="",PROCESSOS!H617=FiltroResp)),PROCESSOS!L617+ROW()/1000000,"")</f>
        <v/>
      </c>
      <c r="BG617" t="str">
        <f>IF(AND(PROCESSOS!B617&lt;&gt;"",ISNUMBER(PROCESSOS!D617),OR(FiltroResp="TODOS",FiltroResp="",PROCESSOS!H617=FiltroResp)),PROCESSOS!D617+ROW()/1000000,"")</f>
        <v/>
      </c>
    </row>
    <row r="618">
      <c r="BF618" t="str">
        <f>IF(AND(OR(PROCESSOS!N618="NO PRAZO",PROCESSOS!N618="VENCE EM BREVE"),OR(FiltroResp="TODOS",FiltroResp="",PROCESSOS!H618=FiltroResp)),PROCESSOS!L618+ROW()/1000000,"")</f>
        <v/>
      </c>
      <c r="BG618" t="str">
        <f>IF(AND(PROCESSOS!B618&lt;&gt;"",ISNUMBER(PROCESSOS!D618),OR(FiltroResp="TODOS",FiltroResp="",PROCESSOS!H618=FiltroResp)),PROCESSOS!D618+ROW()/1000000,"")</f>
        <v/>
      </c>
    </row>
    <row r="619">
      <c r="BF619" t="str">
        <f>IF(AND(OR(PROCESSOS!N619="NO PRAZO",PROCESSOS!N619="VENCE EM BREVE"),OR(FiltroResp="TODOS",FiltroResp="",PROCESSOS!H619=FiltroResp)),PROCESSOS!L619+ROW()/1000000,"")</f>
        <v/>
      </c>
      <c r="BG619" t="str">
        <f>IF(AND(PROCESSOS!B619&lt;&gt;"",ISNUMBER(PROCESSOS!D619),OR(FiltroResp="TODOS",FiltroResp="",PROCESSOS!H619=FiltroResp)),PROCESSOS!D619+ROW()/1000000,"")</f>
        <v/>
      </c>
    </row>
    <row r="620">
      <c r="BF620" t="str">
        <f>IF(AND(OR(PROCESSOS!N620="NO PRAZO",PROCESSOS!N620="VENCE EM BREVE"),OR(FiltroResp="TODOS",FiltroResp="",PROCESSOS!H620=FiltroResp)),PROCESSOS!L620+ROW()/1000000,"")</f>
        <v/>
      </c>
      <c r="BG620" t="str">
        <f>IF(AND(PROCESSOS!B620&lt;&gt;"",ISNUMBER(PROCESSOS!D620),OR(FiltroResp="TODOS",FiltroResp="",PROCESSOS!H620=FiltroResp)),PROCESSOS!D620+ROW()/1000000,"")</f>
        <v/>
      </c>
    </row>
    <row r="621">
      <c r="BF621" t="str">
        <f>IF(AND(OR(PROCESSOS!N621="NO PRAZO",PROCESSOS!N621="VENCE EM BREVE"),OR(FiltroResp="TODOS",FiltroResp="",PROCESSOS!H621=FiltroResp)),PROCESSOS!L621+ROW()/1000000,"")</f>
        <v/>
      </c>
      <c r="BG621" t="str">
        <f>IF(AND(PROCESSOS!B621&lt;&gt;"",ISNUMBER(PROCESSOS!D621),OR(FiltroResp="TODOS",FiltroResp="",PROCESSOS!H621=FiltroResp)),PROCESSOS!D621+ROW()/1000000,"")</f>
        <v/>
      </c>
    </row>
    <row r="622">
      <c r="BF622" t="str">
        <f>IF(AND(OR(PROCESSOS!N622="NO PRAZO",PROCESSOS!N622="VENCE EM BREVE"),OR(FiltroResp="TODOS",FiltroResp="",PROCESSOS!H622=FiltroResp)),PROCESSOS!L622+ROW()/1000000,"")</f>
        <v/>
      </c>
      <c r="BG622" t="str">
        <f>IF(AND(PROCESSOS!B622&lt;&gt;"",ISNUMBER(PROCESSOS!D622),OR(FiltroResp="TODOS",FiltroResp="",PROCESSOS!H622=FiltroResp)),PROCESSOS!D622+ROW()/1000000,"")</f>
        <v/>
      </c>
    </row>
    <row r="623">
      <c r="BF623" t="str">
        <f>IF(AND(OR(PROCESSOS!N623="NO PRAZO",PROCESSOS!N623="VENCE EM BREVE"),OR(FiltroResp="TODOS",FiltroResp="",PROCESSOS!H623=FiltroResp)),PROCESSOS!L623+ROW()/1000000,"")</f>
        <v/>
      </c>
      <c r="BG623" t="str">
        <f>IF(AND(PROCESSOS!B623&lt;&gt;"",ISNUMBER(PROCESSOS!D623),OR(FiltroResp="TODOS",FiltroResp="",PROCESSOS!H623=FiltroResp)),PROCESSOS!D623+ROW()/1000000,"")</f>
        <v/>
      </c>
    </row>
    <row r="624">
      <c r="BF624" t="str">
        <f>IF(AND(OR(PROCESSOS!N624="NO PRAZO",PROCESSOS!N624="VENCE EM BREVE"),OR(FiltroResp="TODOS",FiltroResp="",PROCESSOS!H624=FiltroResp)),PROCESSOS!L624+ROW()/1000000,"")</f>
        <v/>
      </c>
      <c r="BG624" t="str">
        <f>IF(AND(PROCESSOS!B624&lt;&gt;"",ISNUMBER(PROCESSOS!D624),OR(FiltroResp="TODOS",FiltroResp="",PROCESSOS!H624=FiltroResp)),PROCESSOS!D624+ROW()/1000000,"")</f>
        <v/>
      </c>
    </row>
    <row r="625">
      <c r="BF625" t="str">
        <f>IF(AND(OR(PROCESSOS!N625="NO PRAZO",PROCESSOS!N625="VENCE EM BREVE"),OR(FiltroResp="TODOS",FiltroResp="",PROCESSOS!H625=FiltroResp)),PROCESSOS!L625+ROW()/1000000,"")</f>
        <v/>
      </c>
      <c r="BG625" t="str">
        <f>IF(AND(PROCESSOS!B625&lt;&gt;"",ISNUMBER(PROCESSOS!D625),OR(FiltroResp="TODOS",FiltroResp="",PROCESSOS!H625=FiltroResp)),PROCESSOS!D625+ROW()/1000000,"")</f>
        <v/>
      </c>
    </row>
    <row r="626">
      <c r="BF626" t="str">
        <f>IF(AND(OR(PROCESSOS!N626="NO PRAZO",PROCESSOS!N626="VENCE EM BREVE"),OR(FiltroResp="TODOS",FiltroResp="",PROCESSOS!H626=FiltroResp)),PROCESSOS!L626+ROW()/1000000,"")</f>
        <v/>
      </c>
      <c r="BG626" t="str">
        <f>IF(AND(PROCESSOS!B626&lt;&gt;"",ISNUMBER(PROCESSOS!D626),OR(FiltroResp="TODOS",FiltroResp="",PROCESSOS!H626=FiltroResp)),PROCESSOS!D626+ROW()/1000000,"")</f>
        <v/>
      </c>
    </row>
    <row r="627">
      <c r="BF627" t="str">
        <f>IF(AND(OR(PROCESSOS!N627="NO PRAZO",PROCESSOS!N627="VENCE EM BREVE"),OR(FiltroResp="TODOS",FiltroResp="",PROCESSOS!H627=FiltroResp)),PROCESSOS!L627+ROW()/1000000,"")</f>
        <v/>
      </c>
      <c r="BG627" t="str">
        <f>IF(AND(PROCESSOS!B627&lt;&gt;"",ISNUMBER(PROCESSOS!D627),OR(FiltroResp="TODOS",FiltroResp="",PROCESSOS!H627=FiltroResp)),PROCESSOS!D627+ROW()/1000000,"")</f>
        <v/>
      </c>
    </row>
    <row r="628">
      <c r="BF628" t="str">
        <f>IF(AND(OR(PROCESSOS!N628="NO PRAZO",PROCESSOS!N628="VENCE EM BREVE"),OR(FiltroResp="TODOS",FiltroResp="",PROCESSOS!H628=FiltroResp)),PROCESSOS!L628+ROW()/1000000,"")</f>
        <v/>
      </c>
      <c r="BG628" t="str">
        <f>IF(AND(PROCESSOS!B628&lt;&gt;"",ISNUMBER(PROCESSOS!D628),OR(FiltroResp="TODOS",FiltroResp="",PROCESSOS!H628=FiltroResp)),PROCESSOS!D628+ROW()/1000000,"")</f>
        <v/>
      </c>
    </row>
    <row r="629">
      <c r="BF629" t="str">
        <f>IF(AND(OR(PROCESSOS!N629="NO PRAZO",PROCESSOS!N629="VENCE EM BREVE"),OR(FiltroResp="TODOS",FiltroResp="",PROCESSOS!H629=FiltroResp)),PROCESSOS!L629+ROW()/1000000,"")</f>
        <v/>
      </c>
      <c r="BG629" t="str">
        <f>IF(AND(PROCESSOS!B629&lt;&gt;"",ISNUMBER(PROCESSOS!D629),OR(FiltroResp="TODOS",FiltroResp="",PROCESSOS!H629=FiltroResp)),PROCESSOS!D629+ROW()/1000000,"")</f>
        <v/>
      </c>
    </row>
    <row r="630">
      <c r="BF630" t="str">
        <f>IF(AND(OR(PROCESSOS!N630="NO PRAZO",PROCESSOS!N630="VENCE EM BREVE"),OR(FiltroResp="TODOS",FiltroResp="",PROCESSOS!H630=FiltroResp)),PROCESSOS!L630+ROW()/1000000,"")</f>
        <v/>
      </c>
      <c r="BG630" t="str">
        <f>IF(AND(PROCESSOS!B630&lt;&gt;"",ISNUMBER(PROCESSOS!D630),OR(FiltroResp="TODOS",FiltroResp="",PROCESSOS!H630=FiltroResp)),PROCESSOS!D630+ROW()/1000000,"")</f>
        <v/>
      </c>
    </row>
    <row r="631">
      <c r="BF631" t="str">
        <f>IF(AND(OR(PROCESSOS!N631="NO PRAZO",PROCESSOS!N631="VENCE EM BREVE"),OR(FiltroResp="TODOS",FiltroResp="",PROCESSOS!H631=FiltroResp)),PROCESSOS!L631+ROW()/1000000,"")</f>
        <v/>
      </c>
      <c r="BG631" t="str">
        <f>IF(AND(PROCESSOS!B631&lt;&gt;"",ISNUMBER(PROCESSOS!D631),OR(FiltroResp="TODOS",FiltroResp="",PROCESSOS!H631=FiltroResp)),PROCESSOS!D631+ROW()/1000000,"")</f>
        <v/>
      </c>
    </row>
    <row r="632">
      <c r="BF632" t="str">
        <f>IF(AND(OR(PROCESSOS!N632="NO PRAZO",PROCESSOS!N632="VENCE EM BREVE"),OR(FiltroResp="TODOS",FiltroResp="",PROCESSOS!H632=FiltroResp)),PROCESSOS!L632+ROW()/1000000,"")</f>
        <v/>
      </c>
      <c r="BG632" t="str">
        <f>IF(AND(PROCESSOS!B632&lt;&gt;"",ISNUMBER(PROCESSOS!D632),OR(FiltroResp="TODOS",FiltroResp="",PROCESSOS!H632=FiltroResp)),PROCESSOS!D632+ROW()/1000000,"")</f>
        <v/>
      </c>
    </row>
    <row r="633">
      <c r="BF633" t="str">
        <f>IF(AND(OR(PROCESSOS!N633="NO PRAZO",PROCESSOS!N633="VENCE EM BREVE"),OR(FiltroResp="TODOS",FiltroResp="",PROCESSOS!H633=FiltroResp)),PROCESSOS!L633+ROW()/1000000,"")</f>
        <v/>
      </c>
      <c r="BG633" t="str">
        <f>IF(AND(PROCESSOS!B633&lt;&gt;"",ISNUMBER(PROCESSOS!D633),OR(FiltroResp="TODOS",FiltroResp="",PROCESSOS!H633=FiltroResp)),PROCESSOS!D633+ROW()/1000000,"")</f>
        <v/>
      </c>
    </row>
    <row r="634">
      <c r="BF634" t="str">
        <f>IF(AND(OR(PROCESSOS!N634="NO PRAZO",PROCESSOS!N634="VENCE EM BREVE"),OR(FiltroResp="TODOS",FiltroResp="",PROCESSOS!H634=FiltroResp)),PROCESSOS!L634+ROW()/1000000,"")</f>
        <v/>
      </c>
      <c r="BG634" t="str">
        <f>IF(AND(PROCESSOS!B634&lt;&gt;"",ISNUMBER(PROCESSOS!D634),OR(FiltroResp="TODOS",FiltroResp="",PROCESSOS!H634=FiltroResp)),PROCESSOS!D634+ROW()/1000000,"")</f>
        <v/>
      </c>
    </row>
    <row r="635">
      <c r="BF635" t="str">
        <f>IF(AND(OR(PROCESSOS!N635="NO PRAZO",PROCESSOS!N635="VENCE EM BREVE"),OR(FiltroResp="TODOS",FiltroResp="",PROCESSOS!H635=FiltroResp)),PROCESSOS!L635+ROW()/1000000,"")</f>
        <v/>
      </c>
      <c r="BG635" t="str">
        <f>IF(AND(PROCESSOS!B635&lt;&gt;"",ISNUMBER(PROCESSOS!D635),OR(FiltroResp="TODOS",FiltroResp="",PROCESSOS!H635=FiltroResp)),PROCESSOS!D635+ROW()/1000000,"")</f>
        <v/>
      </c>
    </row>
    <row r="636">
      <c r="BF636" t="str">
        <f>IF(AND(OR(PROCESSOS!N636="NO PRAZO",PROCESSOS!N636="VENCE EM BREVE"),OR(FiltroResp="TODOS",FiltroResp="",PROCESSOS!H636=FiltroResp)),PROCESSOS!L636+ROW()/1000000,"")</f>
        <v/>
      </c>
      <c r="BG636" t="str">
        <f>IF(AND(PROCESSOS!B636&lt;&gt;"",ISNUMBER(PROCESSOS!D636),OR(FiltroResp="TODOS",FiltroResp="",PROCESSOS!H636=FiltroResp)),PROCESSOS!D636+ROW()/1000000,"")</f>
        <v/>
      </c>
    </row>
    <row r="637">
      <c r="BF637" t="str">
        <f>IF(AND(OR(PROCESSOS!N637="NO PRAZO",PROCESSOS!N637="VENCE EM BREVE"),OR(FiltroResp="TODOS",FiltroResp="",PROCESSOS!H637=FiltroResp)),PROCESSOS!L637+ROW()/1000000,"")</f>
        <v/>
      </c>
      <c r="BG637" t="str">
        <f>IF(AND(PROCESSOS!B637&lt;&gt;"",ISNUMBER(PROCESSOS!D637),OR(FiltroResp="TODOS",FiltroResp="",PROCESSOS!H637=FiltroResp)),PROCESSOS!D637+ROW()/1000000,"")</f>
        <v/>
      </c>
    </row>
    <row r="638">
      <c r="BF638" t="str">
        <f>IF(AND(OR(PROCESSOS!N638="NO PRAZO",PROCESSOS!N638="VENCE EM BREVE"),OR(FiltroResp="TODOS",FiltroResp="",PROCESSOS!H638=FiltroResp)),PROCESSOS!L638+ROW()/1000000,"")</f>
        <v/>
      </c>
      <c r="BG638" t="str">
        <f>IF(AND(PROCESSOS!B638&lt;&gt;"",ISNUMBER(PROCESSOS!D638),OR(FiltroResp="TODOS",FiltroResp="",PROCESSOS!H638=FiltroResp)),PROCESSOS!D638+ROW()/1000000,"")</f>
        <v/>
      </c>
    </row>
    <row r="639">
      <c r="BF639" t="str">
        <f>IF(AND(OR(PROCESSOS!N639="NO PRAZO",PROCESSOS!N639="VENCE EM BREVE"),OR(FiltroResp="TODOS",FiltroResp="",PROCESSOS!H639=FiltroResp)),PROCESSOS!L639+ROW()/1000000,"")</f>
        <v/>
      </c>
      <c r="BG639" t="str">
        <f>IF(AND(PROCESSOS!B639&lt;&gt;"",ISNUMBER(PROCESSOS!D639),OR(FiltroResp="TODOS",FiltroResp="",PROCESSOS!H639=FiltroResp)),PROCESSOS!D639+ROW()/1000000,"")</f>
        <v/>
      </c>
    </row>
    <row r="640">
      <c r="BF640" t="str">
        <f>IF(AND(OR(PROCESSOS!N640="NO PRAZO",PROCESSOS!N640="VENCE EM BREVE"),OR(FiltroResp="TODOS",FiltroResp="",PROCESSOS!H640=FiltroResp)),PROCESSOS!L640+ROW()/1000000,"")</f>
        <v/>
      </c>
      <c r="BG640" t="str">
        <f>IF(AND(PROCESSOS!B640&lt;&gt;"",ISNUMBER(PROCESSOS!D640),OR(FiltroResp="TODOS",FiltroResp="",PROCESSOS!H640=FiltroResp)),PROCESSOS!D640+ROW()/1000000,"")</f>
        <v/>
      </c>
    </row>
    <row r="641">
      <c r="BF641" t="str">
        <f>IF(AND(OR(PROCESSOS!N641="NO PRAZO",PROCESSOS!N641="VENCE EM BREVE"),OR(FiltroResp="TODOS",FiltroResp="",PROCESSOS!H641=FiltroResp)),PROCESSOS!L641+ROW()/1000000,"")</f>
        <v/>
      </c>
      <c r="BG641" t="str">
        <f>IF(AND(PROCESSOS!B641&lt;&gt;"",ISNUMBER(PROCESSOS!D641),OR(FiltroResp="TODOS",FiltroResp="",PROCESSOS!H641=FiltroResp)),PROCESSOS!D641+ROW()/1000000,"")</f>
        <v/>
      </c>
    </row>
    <row r="642">
      <c r="BF642" t="str">
        <f>IF(AND(OR(PROCESSOS!N642="NO PRAZO",PROCESSOS!N642="VENCE EM BREVE"),OR(FiltroResp="TODOS",FiltroResp="",PROCESSOS!H642=FiltroResp)),PROCESSOS!L642+ROW()/1000000,"")</f>
        <v/>
      </c>
      <c r="BG642" t="str">
        <f>IF(AND(PROCESSOS!B642&lt;&gt;"",ISNUMBER(PROCESSOS!D642),OR(FiltroResp="TODOS",FiltroResp="",PROCESSOS!H642=FiltroResp)),PROCESSOS!D642+ROW()/1000000,"")</f>
        <v/>
      </c>
    </row>
    <row r="643">
      <c r="BF643" t="str">
        <f>IF(AND(OR(PROCESSOS!N643="NO PRAZO",PROCESSOS!N643="VENCE EM BREVE"),OR(FiltroResp="TODOS",FiltroResp="",PROCESSOS!H643=FiltroResp)),PROCESSOS!L643+ROW()/1000000,"")</f>
        <v/>
      </c>
      <c r="BG643" t="str">
        <f>IF(AND(PROCESSOS!B643&lt;&gt;"",ISNUMBER(PROCESSOS!D643),OR(FiltroResp="TODOS",FiltroResp="",PROCESSOS!H643=FiltroResp)),PROCESSOS!D643+ROW()/1000000,"")</f>
        <v/>
      </c>
    </row>
    <row r="644">
      <c r="BF644" t="str">
        <f>IF(AND(OR(PROCESSOS!N644="NO PRAZO",PROCESSOS!N644="VENCE EM BREVE"),OR(FiltroResp="TODOS",FiltroResp="",PROCESSOS!H644=FiltroResp)),PROCESSOS!L644+ROW()/1000000,"")</f>
        <v/>
      </c>
      <c r="BG644" t="str">
        <f>IF(AND(PROCESSOS!B644&lt;&gt;"",ISNUMBER(PROCESSOS!D644),OR(FiltroResp="TODOS",FiltroResp="",PROCESSOS!H644=FiltroResp)),PROCESSOS!D644+ROW()/1000000,"")</f>
        <v/>
      </c>
    </row>
    <row r="645">
      <c r="BF645" t="str">
        <f>IF(AND(OR(PROCESSOS!N645="NO PRAZO",PROCESSOS!N645="VENCE EM BREVE"),OR(FiltroResp="TODOS",FiltroResp="",PROCESSOS!H645=FiltroResp)),PROCESSOS!L645+ROW()/1000000,"")</f>
        <v/>
      </c>
      <c r="BG645" t="str">
        <f>IF(AND(PROCESSOS!B645&lt;&gt;"",ISNUMBER(PROCESSOS!D645),OR(FiltroResp="TODOS",FiltroResp="",PROCESSOS!H645=FiltroResp)),PROCESSOS!D645+ROW()/1000000,"")</f>
        <v/>
      </c>
    </row>
    <row r="646">
      <c r="BF646" t="str">
        <f>IF(AND(OR(PROCESSOS!N646="NO PRAZO",PROCESSOS!N646="VENCE EM BREVE"),OR(FiltroResp="TODOS",FiltroResp="",PROCESSOS!H646=FiltroResp)),PROCESSOS!L646+ROW()/1000000,"")</f>
        <v/>
      </c>
      <c r="BG646" t="str">
        <f>IF(AND(PROCESSOS!B646&lt;&gt;"",ISNUMBER(PROCESSOS!D646),OR(FiltroResp="TODOS",FiltroResp="",PROCESSOS!H646=FiltroResp)),PROCESSOS!D646+ROW()/1000000,"")</f>
        <v/>
      </c>
    </row>
    <row r="647">
      <c r="BF647" t="str">
        <f>IF(AND(OR(PROCESSOS!N647="NO PRAZO",PROCESSOS!N647="VENCE EM BREVE"),OR(FiltroResp="TODOS",FiltroResp="",PROCESSOS!H647=FiltroResp)),PROCESSOS!L647+ROW()/1000000,"")</f>
        <v/>
      </c>
      <c r="BG647" t="str">
        <f>IF(AND(PROCESSOS!B647&lt;&gt;"",ISNUMBER(PROCESSOS!D647),OR(FiltroResp="TODOS",FiltroResp="",PROCESSOS!H647=FiltroResp)),PROCESSOS!D647+ROW()/1000000,"")</f>
        <v/>
      </c>
    </row>
    <row r="648">
      <c r="BF648" t="str">
        <f>IF(AND(OR(PROCESSOS!N648="NO PRAZO",PROCESSOS!N648="VENCE EM BREVE"),OR(FiltroResp="TODOS",FiltroResp="",PROCESSOS!H648=FiltroResp)),PROCESSOS!L648+ROW()/1000000,"")</f>
        <v/>
      </c>
      <c r="BG648" t="str">
        <f>IF(AND(PROCESSOS!B648&lt;&gt;"",ISNUMBER(PROCESSOS!D648),OR(FiltroResp="TODOS",FiltroResp="",PROCESSOS!H648=FiltroResp)),PROCESSOS!D648+ROW()/1000000,"")</f>
        <v/>
      </c>
    </row>
    <row r="649">
      <c r="BF649" t="str">
        <f>IF(AND(OR(PROCESSOS!N649="NO PRAZO",PROCESSOS!N649="VENCE EM BREVE"),OR(FiltroResp="TODOS",FiltroResp="",PROCESSOS!H649=FiltroResp)),PROCESSOS!L649+ROW()/1000000,"")</f>
        <v/>
      </c>
      <c r="BG649" t="str">
        <f>IF(AND(PROCESSOS!B649&lt;&gt;"",ISNUMBER(PROCESSOS!D649),OR(FiltroResp="TODOS",FiltroResp="",PROCESSOS!H649=FiltroResp)),PROCESSOS!D649+ROW()/1000000,"")</f>
        <v/>
      </c>
    </row>
    <row r="650">
      <c r="BF650" t="str">
        <f>IF(AND(OR(PROCESSOS!N650="NO PRAZO",PROCESSOS!N650="VENCE EM BREVE"),OR(FiltroResp="TODOS",FiltroResp="",PROCESSOS!H650=FiltroResp)),PROCESSOS!L650+ROW()/1000000,"")</f>
        <v/>
      </c>
      <c r="BG650" t="str">
        <f>IF(AND(PROCESSOS!B650&lt;&gt;"",ISNUMBER(PROCESSOS!D650),OR(FiltroResp="TODOS",FiltroResp="",PROCESSOS!H650=FiltroResp)),PROCESSOS!D650+ROW()/1000000,"")</f>
        <v/>
      </c>
    </row>
    <row r="651">
      <c r="BF651" t="str">
        <f>IF(AND(OR(PROCESSOS!N651="NO PRAZO",PROCESSOS!N651="VENCE EM BREVE"),OR(FiltroResp="TODOS",FiltroResp="",PROCESSOS!H651=FiltroResp)),PROCESSOS!L651+ROW()/1000000,"")</f>
        <v/>
      </c>
      <c r="BG651" t="str">
        <f>IF(AND(PROCESSOS!B651&lt;&gt;"",ISNUMBER(PROCESSOS!D651),OR(FiltroResp="TODOS",FiltroResp="",PROCESSOS!H651=FiltroResp)),PROCESSOS!D651+ROW()/1000000,"")</f>
        <v/>
      </c>
    </row>
    <row r="652">
      <c r="BF652" t="str">
        <f>IF(AND(OR(PROCESSOS!N652="NO PRAZO",PROCESSOS!N652="VENCE EM BREVE"),OR(FiltroResp="TODOS",FiltroResp="",PROCESSOS!H652=FiltroResp)),PROCESSOS!L652+ROW()/1000000,"")</f>
        <v/>
      </c>
      <c r="BG652" t="str">
        <f>IF(AND(PROCESSOS!B652&lt;&gt;"",ISNUMBER(PROCESSOS!D652),OR(FiltroResp="TODOS",FiltroResp="",PROCESSOS!H652=FiltroResp)),PROCESSOS!D652+ROW()/1000000,"")</f>
        <v/>
      </c>
    </row>
    <row r="653">
      <c r="BF653" t="str">
        <f>IF(AND(OR(PROCESSOS!N653="NO PRAZO",PROCESSOS!N653="VENCE EM BREVE"),OR(FiltroResp="TODOS",FiltroResp="",PROCESSOS!H653=FiltroResp)),PROCESSOS!L653+ROW()/1000000,"")</f>
        <v/>
      </c>
      <c r="BG653" t="str">
        <f>IF(AND(PROCESSOS!B653&lt;&gt;"",ISNUMBER(PROCESSOS!D653),OR(FiltroResp="TODOS",FiltroResp="",PROCESSOS!H653=FiltroResp)),PROCESSOS!D653+ROW()/1000000,"")</f>
        <v/>
      </c>
    </row>
    <row r="654">
      <c r="BF654" t="str">
        <f>IF(AND(OR(PROCESSOS!N654="NO PRAZO",PROCESSOS!N654="VENCE EM BREVE"),OR(FiltroResp="TODOS",FiltroResp="",PROCESSOS!H654=FiltroResp)),PROCESSOS!L654+ROW()/1000000,"")</f>
        <v/>
      </c>
      <c r="BG654" t="str">
        <f>IF(AND(PROCESSOS!B654&lt;&gt;"",ISNUMBER(PROCESSOS!D654),OR(FiltroResp="TODOS",FiltroResp="",PROCESSOS!H654=FiltroResp)),PROCESSOS!D654+ROW()/1000000,"")</f>
        <v/>
      </c>
    </row>
    <row r="655">
      <c r="BF655" t="str">
        <f>IF(AND(OR(PROCESSOS!N655="NO PRAZO",PROCESSOS!N655="VENCE EM BREVE"),OR(FiltroResp="TODOS",FiltroResp="",PROCESSOS!H655=FiltroResp)),PROCESSOS!L655+ROW()/1000000,"")</f>
        <v/>
      </c>
      <c r="BG655" t="str">
        <f>IF(AND(PROCESSOS!B655&lt;&gt;"",ISNUMBER(PROCESSOS!D655),OR(FiltroResp="TODOS",FiltroResp="",PROCESSOS!H655=FiltroResp)),PROCESSOS!D655+ROW()/1000000,"")</f>
        <v/>
      </c>
    </row>
    <row r="656">
      <c r="BF656" t="str">
        <f>IF(AND(OR(PROCESSOS!N656="NO PRAZO",PROCESSOS!N656="VENCE EM BREVE"),OR(FiltroResp="TODOS",FiltroResp="",PROCESSOS!H656=FiltroResp)),PROCESSOS!L656+ROW()/1000000,"")</f>
        <v/>
      </c>
      <c r="BG656" t="str">
        <f>IF(AND(PROCESSOS!B656&lt;&gt;"",ISNUMBER(PROCESSOS!D656),OR(FiltroResp="TODOS",FiltroResp="",PROCESSOS!H656=FiltroResp)),PROCESSOS!D656+ROW()/1000000,"")</f>
        <v/>
      </c>
    </row>
    <row r="657">
      <c r="BF657" t="str">
        <f>IF(AND(OR(PROCESSOS!N657="NO PRAZO",PROCESSOS!N657="VENCE EM BREVE"),OR(FiltroResp="TODOS",FiltroResp="",PROCESSOS!H657=FiltroResp)),PROCESSOS!L657+ROW()/1000000,"")</f>
        <v/>
      </c>
      <c r="BG657" t="str">
        <f>IF(AND(PROCESSOS!B657&lt;&gt;"",ISNUMBER(PROCESSOS!D657),OR(FiltroResp="TODOS",FiltroResp="",PROCESSOS!H657=FiltroResp)),PROCESSOS!D657+ROW()/1000000,"")</f>
        <v/>
      </c>
    </row>
    <row r="658">
      <c r="BF658" t="str">
        <f>IF(AND(OR(PROCESSOS!N658="NO PRAZO",PROCESSOS!N658="VENCE EM BREVE"),OR(FiltroResp="TODOS",FiltroResp="",PROCESSOS!H658=FiltroResp)),PROCESSOS!L658+ROW()/1000000,"")</f>
        <v/>
      </c>
      <c r="BG658" t="str">
        <f>IF(AND(PROCESSOS!B658&lt;&gt;"",ISNUMBER(PROCESSOS!D658),OR(FiltroResp="TODOS",FiltroResp="",PROCESSOS!H658=FiltroResp)),PROCESSOS!D658+ROW()/1000000,"")</f>
        <v/>
      </c>
    </row>
    <row r="659">
      <c r="BF659" t="str">
        <f>IF(AND(OR(PROCESSOS!N659="NO PRAZO",PROCESSOS!N659="VENCE EM BREVE"),OR(FiltroResp="TODOS",FiltroResp="",PROCESSOS!H659=FiltroResp)),PROCESSOS!L659+ROW()/1000000,"")</f>
        <v/>
      </c>
      <c r="BG659" t="str">
        <f>IF(AND(PROCESSOS!B659&lt;&gt;"",ISNUMBER(PROCESSOS!D659),OR(FiltroResp="TODOS",FiltroResp="",PROCESSOS!H659=FiltroResp)),PROCESSOS!D659+ROW()/1000000,"")</f>
        <v/>
      </c>
    </row>
    <row r="660">
      <c r="BF660" t="str">
        <f>IF(AND(OR(PROCESSOS!N660="NO PRAZO",PROCESSOS!N660="VENCE EM BREVE"),OR(FiltroResp="TODOS",FiltroResp="",PROCESSOS!H660=FiltroResp)),PROCESSOS!L660+ROW()/1000000,"")</f>
        <v/>
      </c>
      <c r="BG660" t="str">
        <f>IF(AND(PROCESSOS!B660&lt;&gt;"",ISNUMBER(PROCESSOS!D660),OR(FiltroResp="TODOS",FiltroResp="",PROCESSOS!H660=FiltroResp)),PROCESSOS!D660+ROW()/1000000,"")</f>
        <v/>
      </c>
    </row>
    <row r="661">
      <c r="BF661" t="str">
        <f>IF(AND(OR(PROCESSOS!N661="NO PRAZO",PROCESSOS!N661="VENCE EM BREVE"),OR(FiltroResp="TODOS",FiltroResp="",PROCESSOS!H661=FiltroResp)),PROCESSOS!L661+ROW()/1000000,"")</f>
        <v/>
      </c>
      <c r="BG661" t="str">
        <f>IF(AND(PROCESSOS!B661&lt;&gt;"",ISNUMBER(PROCESSOS!D661),OR(FiltroResp="TODOS",FiltroResp="",PROCESSOS!H661=FiltroResp)),PROCESSOS!D661+ROW()/1000000,"")</f>
        <v/>
      </c>
    </row>
    <row r="662">
      <c r="BF662" t="str">
        <f>IF(AND(OR(PROCESSOS!N662="NO PRAZO",PROCESSOS!N662="VENCE EM BREVE"),OR(FiltroResp="TODOS",FiltroResp="",PROCESSOS!H662=FiltroResp)),PROCESSOS!L662+ROW()/1000000,"")</f>
        <v/>
      </c>
      <c r="BG662" t="str">
        <f>IF(AND(PROCESSOS!B662&lt;&gt;"",ISNUMBER(PROCESSOS!D662),OR(FiltroResp="TODOS",FiltroResp="",PROCESSOS!H662=FiltroResp)),PROCESSOS!D662+ROW()/1000000,"")</f>
        <v/>
      </c>
    </row>
    <row r="663">
      <c r="BF663" t="str">
        <f>IF(AND(OR(PROCESSOS!N663="NO PRAZO",PROCESSOS!N663="VENCE EM BREVE"),OR(FiltroResp="TODOS",FiltroResp="",PROCESSOS!H663=FiltroResp)),PROCESSOS!L663+ROW()/1000000,"")</f>
        <v/>
      </c>
      <c r="BG663" t="str">
        <f>IF(AND(PROCESSOS!B663&lt;&gt;"",ISNUMBER(PROCESSOS!D663),OR(FiltroResp="TODOS",FiltroResp="",PROCESSOS!H663=FiltroResp)),PROCESSOS!D663+ROW()/1000000,"")</f>
        <v/>
      </c>
    </row>
    <row r="664">
      <c r="BF664" t="str">
        <f>IF(AND(OR(PROCESSOS!N664="NO PRAZO",PROCESSOS!N664="VENCE EM BREVE"),OR(FiltroResp="TODOS",FiltroResp="",PROCESSOS!H664=FiltroResp)),PROCESSOS!L664+ROW()/1000000,"")</f>
        <v/>
      </c>
      <c r="BG664" t="str">
        <f>IF(AND(PROCESSOS!B664&lt;&gt;"",ISNUMBER(PROCESSOS!D664),OR(FiltroResp="TODOS",FiltroResp="",PROCESSOS!H664=FiltroResp)),PROCESSOS!D664+ROW()/1000000,"")</f>
        <v/>
      </c>
    </row>
    <row r="665">
      <c r="BF665" t="str">
        <f>IF(AND(OR(PROCESSOS!N665="NO PRAZO",PROCESSOS!N665="VENCE EM BREVE"),OR(FiltroResp="TODOS",FiltroResp="",PROCESSOS!H665=FiltroResp)),PROCESSOS!L665+ROW()/1000000,"")</f>
        <v/>
      </c>
      <c r="BG665" t="str">
        <f>IF(AND(PROCESSOS!B665&lt;&gt;"",ISNUMBER(PROCESSOS!D665),OR(FiltroResp="TODOS",FiltroResp="",PROCESSOS!H665=FiltroResp)),PROCESSOS!D665+ROW()/1000000,"")</f>
        <v/>
      </c>
    </row>
    <row r="666">
      <c r="BF666" t="str">
        <f>IF(AND(OR(PROCESSOS!N666="NO PRAZO",PROCESSOS!N666="VENCE EM BREVE"),OR(FiltroResp="TODOS",FiltroResp="",PROCESSOS!H666=FiltroResp)),PROCESSOS!L666+ROW()/1000000,"")</f>
        <v/>
      </c>
      <c r="BG666" t="str">
        <f>IF(AND(PROCESSOS!B666&lt;&gt;"",ISNUMBER(PROCESSOS!D666),OR(FiltroResp="TODOS",FiltroResp="",PROCESSOS!H666=FiltroResp)),PROCESSOS!D666+ROW()/1000000,"")</f>
        <v/>
      </c>
    </row>
    <row r="667">
      <c r="BF667" t="str">
        <f>IF(AND(OR(PROCESSOS!N667="NO PRAZO",PROCESSOS!N667="VENCE EM BREVE"),OR(FiltroResp="TODOS",FiltroResp="",PROCESSOS!H667=FiltroResp)),PROCESSOS!L667+ROW()/1000000,"")</f>
        <v/>
      </c>
      <c r="BG667" t="str">
        <f>IF(AND(PROCESSOS!B667&lt;&gt;"",ISNUMBER(PROCESSOS!D667),OR(FiltroResp="TODOS",FiltroResp="",PROCESSOS!H667=FiltroResp)),PROCESSOS!D667+ROW()/1000000,"")</f>
        <v/>
      </c>
    </row>
    <row r="668">
      <c r="BF668" t="str">
        <f>IF(AND(OR(PROCESSOS!N668="NO PRAZO",PROCESSOS!N668="VENCE EM BREVE"),OR(FiltroResp="TODOS",FiltroResp="",PROCESSOS!H668=FiltroResp)),PROCESSOS!L668+ROW()/1000000,"")</f>
        <v/>
      </c>
      <c r="BG668" t="str">
        <f>IF(AND(PROCESSOS!B668&lt;&gt;"",ISNUMBER(PROCESSOS!D668),OR(FiltroResp="TODOS",FiltroResp="",PROCESSOS!H668=FiltroResp)),PROCESSOS!D668+ROW()/1000000,"")</f>
        <v/>
      </c>
    </row>
    <row r="669">
      <c r="BF669" t="str">
        <f>IF(AND(OR(PROCESSOS!N669="NO PRAZO",PROCESSOS!N669="VENCE EM BREVE"),OR(FiltroResp="TODOS",FiltroResp="",PROCESSOS!H669=FiltroResp)),PROCESSOS!L669+ROW()/1000000,"")</f>
        <v/>
      </c>
      <c r="BG669" t="str">
        <f>IF(AND(PROCESSOS!B669&lt;&gt;"",ISNUMBER(PROCESSOS!D669),OR(FiltroResp="TODOS",FiltroResp="",PROCESSOS!H669=FiltroResp)),PROCESSOS!D669+ROW()/1000000,"")</f>
        <v/>
      </c>
    </row>
    <row r="670">
      <c r="BF670" t="str">
        <f>IF(AND(OR(PROCESSOS!N670="NO PRAZO",PROCESSOS!N670="VENCE EM BREVE"),OR(FiltroResp="TODOS",FiltroResp="",PROCESSOS!H670=FiltroResp)),PROCESSOS!L670+ROW()/1000000,"")</f>
        <v/>
      </c>
      <c r="BG670" t="str">
        <f>IF(AND(PROCESSOS!B670&lt;&gt;"",ISNUMBER(PROCESSOS!D670),OR(FiltroResp="TODOS",FiltroResp="",PROCESSOS!H670=FiltroResp)),PROCESSOS!D670+ROW()/1000000,"")</f>
        <v/>
      </c>
    </row>
    <row r="671">
      <c r="BF671" t="str">
        <f>IF(AND(OR(PROCESSOS!N671="NO PRAZO",PROCESSOS!N671="VENCE EM BREVE"),OR(FiltroResp="TODOS",FiltroResp="",PROCESSOS!H671=FiltroResp)),PROCESSOS!L671+ROW()/1000000,"")</f>
        <v/>
      </c>
      <c r="BG671" t="str">
        <f>IF(AND(PROCESSOS!B671&lt;&gt;"",ISNUMBER(PROCESSOS!D671),OR(FiltroResp="TODOS",FiltroResp="",PROCESSOS!H671=FiltroResp)),PROCESSOS!D671+ROW()/1000000,"")</f>
        <v/>
      </c>
    </row>
    <row r="672">
      <c r="BF672" t="str">
        <f>IF(AND(OR(PROCESSOS!N672="NO PRAZO",PROCESSOS!N672="VENCE EM BREVE"),OR(FiltroResp="TODOS",FiltroResp="",PROCESSOS!H672=FiltroResp)),PROCESSOS!L672+ROW()/1000000,"")</f>
        <v/>
      </c>
      <c r="BG672" t="str">
        <f>IF(AND(PROCESSOS!B672&lt;&gt;"",ISNUMBER(PROCESSOS!D672),OR(FiltroResp="TODOS",FiltroResp="",PROCESSOS!H672=FiltroResp)),PROCESSOS!D672+ROW()/1000000,"")</f>
        <v/>
      </c>
    </row>
    <row r="673">
      <c r="BF673" t="str">
        <f>IF(AND(OR(PROCESSOS!N673="NO PRAZO",PROCESSOS!N673="VENCE EM BREVE"),OR(FiltroResp="TODOS",FiltroResp="",PROCESSOS!H673=FiltroResp)),PROCESSOS!L673+ROW()/1000000,"")</f>
        <v/>
      </c>
      <c r="BG673" t="str">
        <f>IF(AND(PROCESSOS!B673&lt;&gt;"",ISNUMBER(PROCESSOS!D673),OR(FiltroResp="TODOS",FiltroResp="",PROCESSOS!H673=FiltroResp)),PROCESSOS!D673+ROW()/1000000,"")</f>
        <v/>
      </c>
    </row>
    <row r="674">
      <c r="BF674" t="str">
        <f>IF(AND(OR(PROCESSOS!N674="NO PRAZO",PROCESSOS!N674="VENCE EM BREVE"),OR(FiltroResp="TODOS",FiltroResp="",PROCESSOS!H674=FiltroResp)),PROCESSOS!L674+ROW()/1000000,"")</f>
        <v/>
      </c>
      <c r="BG674" t="str">
        <f>IF(AND(PROCESSOS!B674&lt;&gt;"",ISNUMBER(PROCESSOS!D674),OR(FiltroResp="TODOS",FiltroResp="",PROCESSOS!H674=FiltroResp)),PROCESSOS!D674+ROW()/1000000,"")</f>
        <v/>
      </c>
    </row>
    <row r="675">
      <c r="BF675" t="str">
        <f>IF(AND(OR(PROCESSOS!N675="NO PRAZO",PROCESSOS!N675="VENCE EM BREVE"),OR(FiltroResp="TODOS",FiltroResp="",PROCESSOS!H675=FiltroResp)),PROCESSOS!L675+ROW()/1000000,"")</f>
        <v/>
      </c>
      <c r="BG675" t="str">
        <f>IF(AND(PROCESSOS!B675&lt;&gt;"",ISNUMBER(PROCESSOS!D675),OR(FiltroResp="TODOS",FiltroResp="",PROCESSOS!H675=FiltroResp)),PROCESSOS!D675+ROW()/1000000,"")</f>
        <v/>
      </c>
    </row>
    <row r="676">
      <c r="BF676" t="str">
        <f>IF(AND(OR(PROCESSOS!N676="NO PRAZO",PROCESSOS!N676="VENCE EM BREVE"),OR(FiltroResp="TODOS",FiltroResp="",PROCESSOS!H676=FiltroResp)),PROCESSOS!L676+ROW()/1000000,"")</f>
        <v/>
      </c>
      <c r="BG676" t="str">
        <f>IF(AND(PROCESSOS!B676&lt;&gt;"",ISNUMBER(PROCESSOS!D676),OR(FiltroResp="TODOS",FiltroResp="",PROCESSOS!H676=FiltroResp)),PROCESSOS!D676+ROW()/1000000,"")</f>
        <v/>
      </c>
    </row>
    <row r="677">
      <c r="BF677" t="str">
        <f>IF(AND(OR(PROCESSOS!N677="NO PRAZO",PROCESSOS!N677="VENCE EM BREVE"),OR(FiltroResp="TODOS",FiltroResp="",PROCESSOS!H677=FiltroResp)),PROCESSOS!L677+ROW()/1000000,"")</f>
        <v/>
      </c>
      <c r="BG677" t="str">
        <f>IF(AND(PROCESSOS!B677&lt;&gt;"",ISNUMBER(PROCESSOS!D677),OR(FiltroResp="TODOS",FiltroResp="",PROCESSOS!H677=FiltroResp)),PROCESSOS!D677+ROW()/1000000,"")</f>
        <v/>
      </c>
    </row>
    <row r="678">
      <c r="BF678" t="str">
        <f>IF(AND(OR(PROCESSOS!N678="NO PRAZO",PROCESSOS!N678="VENCE EM BREVE"),OR(FiltroResp="TODOS",FiltroResp="",PROCESSOS!H678=FiltroResp)),PROCESSOS!L678+ROW()/1000000,"")</f>
        <v/>
      </c>
      <c r="BG678" t="str">
        <f>IF(AND(PROCESSOS!B678&lt;&gt;"",ISNUMBER(PROCESSOS!D678),OR(FiltroResp="TODOS",FiltroResp="",PROCESSOS!H678=FiltroResp)),PROCESSOS!D678+ROW()/1000000,"")</f>
        <v/>
      </c>
    </row>
    <row r="679">
      <c r="BF679" t="str">
        <f>IF(AND(OR(PROCESSOS!N679="NO PRAZO",PROCESSOS!N679="VENCE EM BREVE"),OR(FiltroResp="TODOS",FiltroResp="",PROCESSOS!H679=FiltroResp)),PROCESSOS!L679+ROW()/1000000,"")</f>
        <v/>
      </c>
      <c r="BG679" t="str">
        <f>IF(AND(PROCESSOS!B679&lt;&gt;"",ISNUMBER(PROCESSOS!D679),OR(FiltroResp="TODOS",FiltroResp="",PROCESSOS!H679=FiltroResp)),PROCESSOS!D679+ROW()/1000000,"")</f>
        <v/>
      </c>
    </row>
    <row r="680">
      <c r="BF680" t="str">
        <f>IF(AND(OR(PROCESSOS!N680="NO PRAZO",PROCESSOS!N680="VENCE EM BREVE"),OR(FiltroResp="TODOS",FiltroResp="",PROCESSOS!H680=FiltroResp)),PROCESSOS!L680+ROW()/1000000,"")</f>
        <v/>
      </c>
      <c r="BG680" t="str">
        <f>IF(AND(PROCESSOS!B680&lt;&gt;"",ISNUMBER(PROCESSOS!D680),OR(FiltroResp="TODOS",FiltroResp="",PROCESSOS!H680=FiltroResp)),PROCESSOS!D680+ROW()/1000000,"")</f>
        <v/>
      </c>
    </row>
    <row r="681">
      <c r="BF681" t="str">
        <f>IF(AND(OR(PROCESSOS!N681="NO PRAZO",PROCESSOS!N681="VENCE EM BREVE"),OR(FiltroResp="TODOS",FiltroResp="",PROCESSOS!H681=FiltroResp)),PROCESSOS!L681+ROW()/1000000,"")</f>
        <v/>
      </c>
      <c r="BG681" t="str">
        <f>IF(AND(PROCESSOS!B681&lt;&gt;"",ISNUMBER(PROCESSOS!D681),OR(FiltroResp="TODOS",FiltroResp="",PROCESSOS!H681=FiltroResp)),PROCESSOS!D681+ROW()/1000000,"")</f>
        <v/>
      </c>
    </row>
    <row r="682">
      <c r="BF682" t="str">
        <f>IF(AND(OR(PROCESSOS!N682="NO PRAZO",PROCESSOS!N682="VENCE EM BREVE"),OR(FiltroResp="TODOS",FiltroResp="",PROCESSOS!H682=FiltroResp)),PROCESSOS!L682+ROW()/1000000,"")</f>
        <v/>
      </c>
      <c r="BG682" t="str">
        <f>IF(AND(PROCESSOS!B682&lt;&gt;"",ISNUMBER(PROCESSOS!D682),OR(FiltroResp="TODOS",FiltroResp="",PROCESSOS!H682=FiltroResp)),PROCESSOS!D682+ROW()/1000000,"")</f>
        <v/>
      </c>
    </row>
    <row r="683">
      <c r="BF683" t="str">
        <f>IF(AND(OR(PROCESSOS!N683="NO PRAZO",PROCESSOS!N683="VENCE EM BREVE"),OR(FiltroResp="TODOS",FiltroResp="",PROCESSOS!H683=FiltroResp)),PROCESSOS!L683+ROW()/1000000,"")</f>
        <v/>
      </c>
      <c r="BG683" t="str">
        <f>IF(AND(PROCESSOS!B683&lt;&gt;"",ISNUMBER(PROCESSOS!D683),OR(FiltroResp="TODOS",FiltroResp="",PROCESSOS!H683=FiltroResp)),PROCESSOS!D683+ROW()/1000000,"")</f>
        <v/>
      </c>
    </row>
    <row r="684">
      <c r="BF684" t="str">
        <f>IF(AND(OR(PROCESSOS!N684="NO PRAZO",PROCESSOS!N684="VENCE EM BREVE"),OR(FiltroResp="TODOS",FiltroResp="",PROCESSOS!H684=FiltroResp)),PROCESSOS!L684+ROW()/1000000,"")</f>
        <v/>
      </c>
      <c r="BG684" t="str">
        <f>IF(AND(PROCESSOS!B684&lt;&gt;"",ISNUMBER(PROCESSOS!D684),OR(FiltroResp="TODOS",FiltroResp="",PROCESSOS!H684=FiltroResp)),PROCESSOS!D684+ROW()/1000000,"")</f>
        <v/>
      </c>
    </row>
    <row r="685">
      <c r="BF685" t="str">
        <f>IF(AND(OR(PROCESSOS!N685="NO PRAZO",PROCESSOS!N685="VENCE EM BREVE"),OR(FiltroResp="TODOS",FiltroResp="",PROCESSOS!H685=FiltroResp)),PROCESSOS!L685+ROW()/1000000,"")</f>
        <v/>
      </c>
      <c r="BG685" t="str">
        <f>IF(AND(PROCESSOS!B685&lt;&gt;"",ISNUMBER(PROCESSOS!D685),OR(FiltroResp="TODOS",FiltroResp="",PROCESSOS!H685=FiltroResp)),PROCESSOS!D685+ROW()/1000000,"")</f>
        <v/>
      </c>
    </row>
    <row r="686">
      <c r="BF686" t="str">
        <f>IF(AND(OR(PROCESSOS!N686="NO PRAZO",PROCESSOS!N686="VENCE EM BREVE"),OR(FiltroResp="TODOS",FiltroResp="",PROCESSOS!H686=FiltroResp)),PROCESSOS!L686+ROW()/1000000,"")</f>
        <v/>
      </c>
      <c r="BG686" t="str">
        <f>IF(AND(PROCESSOS!B686&lt;&gt;"",ISNUMBER(PROCESSOS!D686),OR(FiltroResp="TODOS",FiltroResp="",PROCESSOS!H686=FiltroResp)),PROCESSOS!D686+ROW()/1000000,"")</f>
        <v/>
      </c>
    </row>
    <row r="687">
      <c r="BF687" t="str">
        <f>IF(AND(OR(PROCESSOS!N687="NO PRAZO",PROCESSOS!N687="VENCE EM BREVE"),OR(FiltroResp="TODOS",FiltroResp="",PROCESSOS!H687=FiltroResp)),PROCESSOS!L687+ROW()/1000000,"")</f>
        <v/>
      </c>
      <c r="BG687" t="str">
        <f>IF(AND(PROCESSOS!B687&lt;&gt;"",ISNUMBER(PROCESSOS!D687),OR(FiltroResp="TODOS",FiltroResp="",PROCESSOS!H687=FiltroResp)),PROCESSOS!D687+ROW()/1000000,"")</f>
        <v/>
      </c>
    </row>
    <row r="688">
      <c r="BF688" t="str">
        <f>IF(AND(OR(PROCESSOS!N688="NO PRAZO",PROCESSOS!N688="VENCE EM BREVE"),OR(FiltroResp="TODOS",FiltroResp="",PROCESSOS!H688=FiltroResp)),PROCESSOS!L688+ROW()/1000000,"")</f>
        <v/>
      </c>
      <c r="BG688" t="str">
        <f>IF(AND(PROCESSOS!B688&lt;&gt;"",ISNUMBER(PROCESSOS!D688),OR(FiltroResp="TODOS",FiltroResp="",PROCESSOS!H688=FiltroResp)),PROCESSOS!D688+ROW()/1000000,"")</f>
        <v/>
      </c>
    </row>
    <row r="689">
      <c r="BF689" t="str">
        <f>IF(AND(OR(PROCESSOS!N689="NO PRAZO",PROCESSOS!N689="VENCE EM BREVE"),OR(FiltroResp="TODOS",FiltroResp="",PROCESSOS!H689=FiltroResp)),PROCESSOS!L689+ROW()/1000000,"")</f>
        <v/>
      </c>
      <c r="BG689" t="str">
        <f>IF(AND(PROCESSOS!B689&lt;&gt;"",ISNUMBER(PROCESSOS!D689),OR(FiltroResp="TODOS",FiltroResp="",PROCESSOS!H689=FiltroResp)),PROCESSOS!D689+ROW()/1000000,"")</f>
        <v/>
      </c>
    </row>
    <row r="690">
      <c r="BF690" t="str">
        <f>IF(AND(OR(PROCESSOS!N690="NO PRAZO",PROCESSOS!N690="VENCE EM BREVE"),OR(FiltroResp="TODOS",FiltroResp="",PROCESSOS!H690=FiltroResp)),PROCESSOS!L690+ROW()/1000000,"")</f>
        <v/>
      </c>
      <c r="BG690" t="str">
        <f>IF(AND(PROCESSOS!B690&lt;&gt;"",ISNUMBER(PROCESSOS!D690),OR(FiltroResp="TODOS",FiltroResp="",PROCESSOS!H690=FiltroResp)),PROCESSOS!D690+ROW()/1000000,"")</f>
        <v/>
      </c>
    </row>
    <row r="691">
      <c r="BF691" t="str">
        <f>IF(AND(OR(PROCESSOS!N691="NO PRAZO",PROCESSOS!N691="VENCE EM BREVE"),OR(FiltroResp="TODOS",FiltroResp="",PROCESSOS!H691=FiltroResp)),PROCESSOS!L691+ROW()/1000000,"")</f>
        <v/>
      </c>
      <c r="BG691" t="str">
        <f>IF(AND(PROCESSOS!B691&lt;&gt;"",ISNUMBER(PROCESSOS!D691),OR(FiltroResp="TODOS",FiltroResp="",PROCESSOS!H691=FiltroResp)),PROCESSOS!D691+ROW()/1000000,"")</f>
        <v/>
      </c>
    </row>
    <row r="692">
      <c r="BF692" t="str">
        <f>IF(AND(OR(PROCESSOS!N692="NO PRAZO",PROCESSOS!N692="VENCE EM BREVE"),OR(FiltroResp="TODOS",FiltroResp="",PROCESSOS!H692=FiltroResp)),PROCESSOS!L692+ROW()/1000000,"")</f>
        <v/>
      </c>
      <c r="BG692" t="str">
        <f>IF(AND(PROCESSOS!B692&lt;&gt;"",ISNUMBER(PROCESSOS!D692),OR(FiltroResp="TODOS",FiltroResp="",PROCESSOS!H692=FiltroResp)),PROCESSOS!D692+ROW()/1000000,"")</f>
        <v/>
      </c>
    </row>
    <row r="693">
      <c r="BF693" t="str">
        <f>IF(AND(OR(PROCESSOS!N693="NO PRAZO",PROCESSOS!N693="VENCE EM BREVE"),OR(FiltroResp="TODOS",FiltroResp="",PROCESSOS!H693=FiltroResp)),PROCESSOS!L693+ROW()/1000000,"")</f>
        <v/>
      </c>
      <c r="BG693" t="str">
        <f>IF(AND(PROCESSOS!B693&lt;&gt;"",ISNUMBER(PROCESSOS!D693),OR(FiltroResp="TODOS",FiltroResp="",PROCESSOS!H693=FiltroResp)),PROCESSOS!D693+ROW()/1000000,"")</f>
        <v/>
      </c>
    </row>
    <row r="694">
      <c r="BF694" t="str">
        <f>IF(AND(OR(PROCESSOS!N694="NO PRAZO",PROCESSOS!N694="VENCE EM BREVE"),OR(FiltroResp="TODOS",FiltroResp="",PROCESSOS!H694=FiltroResp)),PROCESSOS!L694+ROW()/1000000,"")</f>
        <v/>
      </c>
      <c r="BG694" t="str">
        <f>IF(AND(PROCESSOS!B694&lt;&gt;"",ISNUMBER(PROCESSOS!D694),OR(FiltroResp="TODOS",FiltroResp="",PROCESSOS!H694=FiltroResp)),PROCESSOS!D694+ROW()/1000000,"")</f>
        <v/>
      </c>
    </row>
    <row r="695">
      <c r="BF695" t="str">
        <f>IF(AND(OR(PROCESSOS!N695="NO PRAZO",PROCESSOS!N695="VENCE EM BREVE"),OR(FiltroResp="TODOS",FiltroResp="",PROCESSOS!H695=FiltroResp)),PROCESSOS!L695+ROW()/1000000,"")</f>
        <v/>
      </c>
      <c r="BG695" t="str">
        <f>IF(AND(PROCESSOS!B695&lt;&gt;"",ISNUMBER(PROCESSOS!D695),OR(FiltroResp="TODOS",FiltroResp="",PROCESSOS!H695=FiltroResp)),PROCESSOS!D695+ROW()/1000000,"")</f>
        <v/>
      </c>
    </row>
    <row r="696">
      <c r="BF696" t="str">
        <f>IF(AND(OR(PROCESSOS!N696="NO PRAZO",PROCESSOS!N696="VENCE EM BREVE"),OR(FiltroResp="TODOS",FiltroResp="",PROCESSOS!H696=FiltroResp)),PROCESSOS!L696+ROW()/1000000,"")</f>
        <v/>
      </c>
      <c r="BG696" t="str">
        <f>IF(AND(PROCESSOS!B696&lt;&gt;"",ISNUMBER(PROCESSOS!D696),OR(FiltroResp="TODOS",FiltroResp="",PROCESSOS!H696=FiltroResp)),PROCESSOS!D696+ROW()/1000000,"")</f>
        <v/>
      </c>
    </row>
    <row r="697">
      <c r="BF697" t="str">
        <f>IF(AND(OR(PROCESSOS!N697="NO PRAZO",PROCESSOS!N697="VENCE EM BREVE"),OR(FiltroResp="TODOS",FiltroResp="",PROCESSOS!H697=FiltroResp)),PROCESSOS!L697+ROW()/1000000,"")</f>
        <v/>
      </c>
      <c r="BG697" t="str">
        <f>IF(AND(PROCESSOS!B697&lt;&gt;"",ISNUMBER(PROCESSOS!D697),OR(FiltroResp="TODOS",FiltroResp="",PROCESSOS!H697=FiltroResp)),PROCESSOS!D697+ROW()/1000000,"")</f>
        <v/>
      </c>
    </row>
    <row r="698">
      <c r="BF698" t="str">
        <f>IF(AND(OR(PROCESSOS!N698="NO PRAZO",PROCESSOS!N698="VENCE EM BREVE"),OR(FiltroResp="TODOS",FiltroResp="",PROCESSOS!H698=FiltroResp)),PROCESSOS!L698+ROW()/1000000,"")</f>
        <v/>
      </c>
      <c r="BG698" t="str">
        <f>IF(AND(PROCESSOS!B698&lt;&gt;"",ISNUMBER(PROCESSOS!D698),OR(FiltroResp="TODOS",FiltroResp="",PROCESSOS!H698=FiltroResp)),PROCESSOS!D698+ROW()/1000000,"")</f>
        <v/>
      </c>
    </row>
    <row r="699">
      <c r="BF699" t="str">
        <f>IF(AND(OR(PROCESSOS!N699="NO PRAZO",PROCESSOS!N699="VENCE EM BREVE"),OR(FiltroResp="TODOS",FiltroResp="",PROCESSOS!H699=FiltroResp)),PROCESSOS!L699+ROW()/1000000,"")</f>
        <v/>
      </c>
      <c r="BG699" t="str">
        <f>IF(AND(PROCESSOS!B699&lt;&gt;"",ISNUMBER(PROCESSOS!D699),OR(FiltroResp="TODOS",FiltroResp="",PROCESSOS!H699=FiltroResp)),PROCESSOS!D699+ROW()/1000000,"")</f>
        <v/>
      </c>
    </row>
    <row r="700">
      <c r="BF700" t="str">
        <f>IF(AND(OR(PROCESSOS!N700="NO PRAZO",PROCESSOS!N700="VENCE EM BREVE"),OR(FiltroResp="TODOS",FiltroResp="",PROCESSOS!H700=FiltroResp)),PROCESSOS!L700+ROW()/1000000,"")</f>
        <v/>
      </c>
      <c r="BG700" t="str">
        <f>IF(AND(PROCESSOS!B700&lt;&gt;"",ISNUMBER(PROCESSOS!D700),OR(FiltroResp="TODOS",FiltroResp="",PROCESSOS!H700=FiltroResp)),PROCESSOS!D700+ROW()/1000000,"")</f>
        <v/>
      </c>
    </row>
    <row r="701">
      <c r="BF701" t="str">
        <f>IF(AND(OR(PROCESSOS!N701="NO PRAZO",PROCESSOS!N701="VENCE EM BREVE"),OR(FiltroResp="TODOS",FiltroResp="",PROCESSOS!H701=FiltroResp)),PROCESSOS!L701+ROW()/1000000,"")</f>
        <v/>
      </c>
      <c r="BG701" t="str">
        <f>IF(AND(PROCESSOS!B701&lt;&gt;"",ISNUMBER(PROCESSOS!D701),OR(FiltroResp="TODOS",FiltroResp="",PROCESSOS!H701=FiltroResp)),PROCESSOS!D701+ROW()/1000000,"")</f>
        <v/>
      </c>
    </row>
    <row r="702">
      <c r="BF702" t="str">
        <f>IF(AND(OR(PROCESSOS!N702="NO PRAZO",PROCESSOS!N702="VENCE EM BREVE"),OR(FiltroResp="TODOS",FiltroResp="",PROCESSOS!H702=FiltroResp)),PROCESSOS!L702+ROW()/1000000,"")</f>
        <v/>
      </c>
      <c r="BG702" t="str">
        <f>IF(AND(PROCESSOS!B702&lt;&gt;"",ISNUMBER(PROCESSOS!D702),OR(FiltroResp="TODOS",FiltroResp="",PROCESSOS!H702=FiltroResp)),PROCESSOS!D702+ROW()/1000000,"")</f>
        <v/>
      </c>
    </row>
    <row r="703">
      <c r="BF703" t="str">
        <f>IF(AND(OR(PROCESSOS!N703="NO PRAZO",PROCESSOS!N703="VENCE EM BREVE"),OR(FiltroResp="TODOS",FiltroResp="",PROCESSOS!H703=FiltroResp)),PROCESSOS!L703+ROW()/1000000,"")</f>
        <v/>
      </c>
      <c r="BG703" t="str">
        <f>IF(AND(PROCESSOS!B703&lt;&gt;"",ISNUMBER(PROCESSOS!D703),OR(FiltroResp="TODOS",FiltroResp="",PROCESSOS!H703=FiltroResp)),PROCESSOS!D703+ROW()/1000000,"")</f>
        <v/>
      </c>
    </row>
    <row r="704">
      <c r="BF704" t="str">
        <f>IF(AND(OR(PROCESSOS!N704="NO PRAZO",PROCESSOS!N704="VENCE EM BREVE"),OR(FiltroResp="TODOS",FiltroResp="",PROCESSOS!H704=FiltroResp)),PROCESSOS!L704+ROW()/1000000,"")</f>
        <v/>
      </c>
      <c r="BG704" t="str">
        <f>IF(AND(PROCESSOS!B704&lt;&gt;"",ISNUMBER(PROCESSOS!D704),OR(FiltroResp="TODOS",FiltroResp="",PROCESSOS!H704=FiltroResp)),PROCESSOS!D704+ROW()/1000000,"")</f>
        <v/>
      </c>
    </row>
    <row r="705">
      <c r="BF705" t="str">
        <f>IF(AND(OR(PROCESSOS!N705="NO PRAZO",PROCESSOS!N705="VENCE EM BREVE"),OR(FiltroResp="TODOS",FiltroResp="",PROCESSOS!H705=FiltroResp)),PROCESSOS!L705+ROW()/1000000,"")</f>
        <v/>
      </c>
      <c r="BG705" t="str">
        <f>IF(AND(PROCESSOS!B705&lt;&gt;"",ISNUMBER(PROCESSOS!D705),OR(FiltroResp="TODOS",FiltroResp="",PROCESSOS!H705=FiltroResp)),PROCESSOS!D705+ROW()/1000000,"")</f>
        <v/>
      </c>
    </row>
    <row r="706">
      <c r="BF706" t="str">
        <f>IF(AND(OR(PROCESSOS!N706="NO PRAZO",PROCESSOS!N706="VENCE EM BREVE"),OR(FiltroResp="TODOS",FiltroResp="",PROCESSOS!H706=FiltroResp)),PROCESSOS!L706+ROW()/1000000,"")</f>
        <v/>
      </c>
      <c r="BG706" t="str">
        <f>IF(AND(PROCESSOS!B706&lt;&gt;"",ISNUMBER(PROCESSOS!D706),OR(FiltroResp="TODOS",FiltroResp="",PROCESSOS!H706=FiltroResp)),PROCESSOS!D706+ROW()/1000000,"")</f>
        <v/>
      </c>
    </row>
    <row r="707">
      <c r="BF707" t="str">
        <f>IF(AND(OR(PROCESSOS!N707="NO PRAZO",PROCESSOS!N707="VENCE EM BREVE"),OR(FiltroResp="TODOS",FiltroResp="",PROCESSOS!H707=FiltroResp)),PROCESSOS!L707+ROW()/1000000,"")</f>
        <v/>
      </c>
      <c r="BG707" t="str">
        <f>IF(AND(PROCESSOS!B707&lt;&gt;"",ISNUMBER(PROCESSOS!D707),OR(FiltroResp="TODOS",FiltroResp="",PROCESSOS!H707=FiltroResp)),PROCESSOS!D707+ROW()/1000000,"")</f>
        <v/>
      </c>
    </row>
    <row r="708">
      <c r="BF708" t="str">
        <f>IF(AND(OR(PROCESSOS!N708="NO PRAZO",PROCESSOS!N708="VENCE EM BREVE"),OR(FiltroResp="TODOS",FiltroResp="",PROCESSOS!H708=FiltroResp)),PROCESSOS!L708+ROW()/1000000,"")</f>
        <v/>
      </c>
      <c r="BG708" t="str">
        <f>IF(AND(PROCESSOS!B708&lt;&gt;"",ISNUMBER(PROCESSOS!D708),OR(FiltroResp="TODOS",FiltroResp="",PROCESSOS!H708=FiltroResp)),PROCESSOS!D708+ROW()/1000000,"")</f>
        <v/>
      </c>
    </row>
    <row r="709">
      <c r="BF709" t="str">
        <f>IF(AND(OR(PROCESSOS!N709="NO PRAZO",PROCESSOS!N709="VENCE EM BREVE"),OR(FiltroResp="TODOS",FiltroResp="",PROCESSOS!H709=FiltroResp)),PROCESSOS!L709+ROW()/1000000,"")</f>
        <v/>
      </c>
      <c r="BG709" t="str">
        <f>IF(AND(PROCESSOS!B709&lt;&gt;"",ISNUMBER(PROCESSOS!D709),OR(FiltroResp="TODOS",FiltroResp="",PROCESSOS!H709=FiltroResp)),PROCESSOS!D709+ROW()/1000000,"")</f>
        <v/>
      </c>
    </row>
    <row r="710">
      <c r="BF710" t="str">
        <f>IF(AND(OR(PROCESSOS!N710="NO PRAZO",PROCESSOS!N710="VENCE EM BREVE"),OR(FiltroResp="TODOS",FiltroResp="",PROCESSOS!H710=FiltroResp)),PROCESSOS!L710+ROW()/1000000,"")</f>
        <v/>
      </c>
      <c r="BG710" t="str">
        <f>IF(AND(PROCESSOS!B710&lt;&gt;"",ISNUMBER(PROCESSOS!D710),OR(FiltroResp="TODOS",FiltroResp="",PROCESSOS!H710=FiltroResp)),PROCESSOS!D710+ROW()/1000000,"")</f>
        <v/>
      </c>
    </row>
    <row r="711">
      <c r="BF711" t="str">
        <f>IF(AND(OR(PROCESSOS!N711="NO PRAZO",PROCESSOS!N711="VENCE EM BREVE"),OR(FiltroResp="TODOS",FiltroResp="",PROCESSOS!H711=FiltroResp)),PROCESSOS!L711+ROW()/1000000,"")</f>
        <v/>
      </c>
      <c r="BG711" t="str">
        <f>IF(AND(PROCESSOS!B711&lt;&gt;"",ISNUMBER(PROCESSOS!D711),OR(FiltroResp="TODOS",FiltroResp="",PROCESSOS!H711=FiltroResp)),PROCESSOS!D711+ROW()/1000000,"")</f>
        <v/>
      </c>
    </row>
    <row r="712">
      <c r="BF712" t="str">
        <f>IF(AND(OR(PROCESSOS!N712="NO PRAZO",PROCESSOS!N712="VENCE EM BREVE"),OR(FiltroResp="TODOS",FiltroResp="",PROCESSOS!H712=FiltroResp)),PROCESSOS!L712+ROW()/1000000,"")</f>
        <v/>
      </c>
      <c r="BG712" t="str">
        <f>IF(AND(PROCESSOS!B712&lt;&gt;"",ISNUMBER(PROCESSOS!D712),OR(FiltroResp="TODOS",FiltroResp="",PROCESSOS!H712=FiltroResp)),PROCESSOS!D712+ROW()/1000000,"")</f>
        <v/>
      </c>
    </row>
    <row r="713">
      <c r="BF713" t="str">
        <f>IF(AND(OR(PROCESSOS!N713="NO PRAZO",PROCESSOS!N713="VENCE EM BREVE"),OR(FiltroResp="TODOS",FiltroResp="",PROCESSOS!H713=FiltroResp)),PROCESSOS!L713+ROW()/1000000,"")</f>
        <v/>
      </c>
      <c r="BG713" t="str">
        <f>IF(AND(PROCESSOS!B713&lt;&gt;"",ISNUMBER(PROCESSOS!D713),OR(FiltroResp="TODOS",FiltroResp="",PROCESSOS!H713=FiltroResp)),PROCESSOS!D713+ROW()/1000000,"")</f>
        <v/>
      </c>
    </row>
    <row r="714">
      <c r="BF714" t="str">
        <f>IF(AND(OR(PROCESSOS!N714="NO PRAZO",PROCESSOS!N714="VENCE EM BREVE"),OR(FiltroResp="TODOS",FiltroResp="",PROCESSOS!H714=FiltroResp)),PROCESSOS!L714+ROW()/1000000,"")</f>
        <v/>
      </c>
      <c r="BG714" t="str">
        <f>IF(AND(PROCESSOS!B714&lt;&gt;"",ISNUMBER(PROCESSOS!D714),OR(FiltroResp="TODOS",FiltroResp="",PROCESSOS!H714=FiltroResp)),PROCESSOS!D714+ROW()/1000000,"")</f>
        <v/>
      </c>
    </row>
    <row r="715">
      <c r="BF715" t="str">
        <f>IF(AND(OR(PROCESSOS!N715="NO PRAZO",PROCESSOS!N715="VENCE EM BREVE"),OR(FiltroResp="TODOS",FiltroResp="",PROCESSOS!H715=FiltroResp)),PROCESSOS!L715+ROW()/1000000,"")</f>
        <v/>
      </c>
      <c r="BG715" t="str">
        <f>IF(AND(PROCESSOS!B715&lt;&gt;"",ISNUMBER(PROCESSOS!D715),OR(FiltroResp="TODOS",FiltroResp="",PROCESSOS!H715=FiltroResp)),PROCESSOS!D715+ROW()/1000000,"")</f>
        <v/>
      </c>
    </row>
    <row r="716">
      <c r="BF716" t="str">
        <f>IF(AND(OR(PROCESSOS!N716="NO PRAZO",PROCESSOS!N716="VENCE EM BREVE"),OR(FiltroResp="TODOS",FiltroResp="",PROCESSOS!H716=FiltroResp)),PROCESSOS!L716+ROW()/1000000,"")</f>
        <v/>
      </c>
      <c r="BG716" t="str">
        <f>IF(AND(PROCESSOS!B716&lt;&gt;"",ISNUMBER(PROCESSOS!D716),OR(FiltroResp="TODOS",FiltroResp="",PROCESSOS!H716=FiltroResp)),PROCESSOS!D716+ROW()/1000000,"")</f>
        <v/>
      </c>
    </row>
    <row r="717">
      <c r="BF717" t="str">
        <f>IF(AND(OR(PROCESSOS!N717="NO PRAZO",PROCESSOS!N717="VENCE EM BREVE"),OR(FiltroResp="TODOS",FiltroResp="",PROCESSOS!H717=FiltroResp)),PROCESSOS!L717+ROW()/1000000,"")</f>
        <v/>
      </c>
      <c r="BG717" t="str">
        <f>IF(AND(PROCESSOS!B717&lt;&gt;"",ISNUMBER(PROCESSOS!D717),OR(FiltroResp="TODOS",FiltroResp="",PROCESSOS!H717=FiltroResp)),PROCESSOS!D717+ROW()/1000000,"")</f>
        <v/>
      </c>
    </row>
    <row r="718">
      <c r="BF718" t="str">
        <f>IF(AND(OR(PROCESSOS!N718="NO PRAZO",PROCESSOS!N718="VENCE EM BREVE"),OR(FiltroResp="TODOS",FiltroResp="",PROCESSOS!H718=FiltroResp)),PROCESSOS!L718+ROW()/1000000,"")</f>
        <v/>
      </c>
      <c r="BG718" t="str">
        <f>IF(AND(PROCESSOS!B718&lt;&gt;"",ISNUMBER(PROCESSOS!D718),OR(FiltroResp="TODOS",FiltroResp="",PROCESSOS!H718=FiltroResp)),PROCESSOS!D718+ROW()/1000000,"")</f>
        <v/>
      </c>
    </row>
    <row r="719">
      <c r="BF719" t="str">
        <f>IF(AND(OR(PROCESSOS!N719="NO PRAZO",PROCESSOS!N719="VENCE EM BREVE"),OR(FiltroResp="TODOS",FiltroResp="",PROCESSOS!H719=FiltroResp)),PROCESSOS!L719+ROW()/1000000,"")</f>
        <v/>
      </c>
      <c r="BG719" t="str">
        <f>IF(AND(PROCESSOS!B719&lt;&gt;"",ISNUMBER(PROCESSOS!D719),OR(FiltroResp="TODOS",FiltroResp="",PROCESSOS!H719=FiltroResp)),PROCESSOS!D719+ROW()/1000000,"")</f>
        <v/>
      </c>
    </row>
    <row r="720">
      <c r="BF720" t="str">
        <f>IF(AND(OR(PROCESSOS!N720="NO PRAZO",PROCESSOS!N720="VENCE EM BREVE"),OR(FiltroResp="TODOS",FiltroResp="",PROCESSOS!H720=FiltroResp)),PROCESSOS!L720+ROW()/1000000,"")</f>
        <v/>
      </c>
      <c r="BG720" t="str">
        <f>IF(AND(PROCESSOS!B720&lt;&gt;"",ISNUMBER(PROCESSOS!D720),OR(FiltroResp="TODOS",FiltroResp="",PROCESSOS!H720=FiltroResp)),PROCESSOS!D720+ROW()/1000000,"")</f>
        <v/>
      </c>
    </row>
    <row r="721">
      <c r="BF721" t="str">
        <f>IF(AND(OR(PROCESSOS!N721="NO PRAZO",PROCESSOS!N721="VENCE EM BREVE"),OR(FiltroResp="TODOS",FiltroResp="",PROCESSOS!H721=FiltroResp)),PROCESSOS!L721+ROW()/1000000,"")</f>
        <v/>
      </c>
      <c r="BG721" t="str">
        <f>IF(AND(PROCESSOS!B721&lt;&gt;"",ISNUMBER(PROCESSOS!D721),OR(FiltroResp="TODOS",FiltroResp="",PROCESSOS!H721=FiltroResp)),PROCESSOS!D721+ROW()/1000000,"")</f>
        <v/>
      </c>
    </row>
    <row r="722">
      <c r="BF722" t="str">
        <f>IF(AND(OR(PROCESSOS!N722="NO PRAZO",PROCESSOS!N722="VENCE EM BREVE"),OR(FiltroResp="TODOS",FiltroResp="",PROCESSOS!H722=FiltroResp)),PROCESSOS!L722+ROW()/1000000,"")</f>
        <v/>
      </c>
      <c r="BG722" t="str">
        <f>IF(AND(PROCESSOS!B722&lt;&gt;"",ISNUMBER(PROCESSOS!D722),OR(FiltroResp="TODOS",FiltroResp="",PROCESSOS!H722=FiltroResp)),PROCESSOS!D722+ROW()/1000000,"")</f>
        <v/>
      </c>
    </row>
    <row r="723">
      <c r="BF723" t="str">
        <f>IF(AND(OR(PROCESSOS!N723="NO PRAZO",PROCESSOS!N723="VENCE EM BREVE"),OR(FiltroResp="TODOS",FiltroResp="",PROCESSOS!H723=FiltroResp)),PROCESSOS!L723+ROW()/1000000,"")</f>
        <v/>
      </c>
      <c r="BG723" t="str">
        <f>IF(AND(PROCESSOS!B723&lt;&gt;"",ISNUMBER(PROCESSOS!D723),OR(FiltroResp="TODOS",FiltroResp="",PROCESSOS!H723=FiltroResp)),PROCESSOS!D723+ROW()/1000000,"")</f>
        <v/>
      </c>
    </row>
    <row r="724">
      <c r="BF724" t="str">
        <f>IF(AND(OR(PROCESSOS!N724="NO PRAZO",PROCESSOS!N724="VENCE EM BREVE"),OR(FiltroResp="TODOS",FiltroResp="",PROCESSOS!H724=FiltroResp)),PROCESSOS!L724+ROW()/1000000,"")</f>
        <v/>
      </c>
      <c r="BG724" t="str">
        <f>IF(AND(PROCESSOS!B724&lt;&gt;"",ISNUMBER(PROCESSOS!D724),OR(FiltroResp="TODOS",FiltroResp="",PROCESSOS!H724=FiltroResp)),PROCESSOS!D724+ROW()/1000000,"")</f>
        <v/>
      </c>
    </row>
    <row r="725">
      <c r="BF725" t="str">
        <f>IF(AND(OR(PROCESSOS!N725="NO PRAZO",PROCESSOS!N725="VENCE EM BREVE"),OR(FiltroResp="TODOS",FiltroResp="",PROCESSOS!H725=FiltroResp)),PROCESSOS!L725+ROW()/1000000,"")</f>
        <v/>
      </c>
      <c r="BG725" t="str">
        <f>IF(AND(PROCESSOS!B725&lt;&gt;"",ISNUMBER(PROCESSOS!D725),OR(FiltroResp="TODOS",FiltroResp="",PROCESSOS!H725=FiltroResp)),PROCESSOS!D725+ROW()/1000000,"")</f>
        <v/>
      </c>
    </row>
    <row r="726">
      <c r="BF726" t="str">
        <f>IF(AND(OR(PROCESSOS!N726="NO PRAZO",PROCESSOS!N726="VENCE EM BREVE"),OR(FiltroResp="TODOS",FiltroResp="",PROCESSOS!H726=FiltroResp)),PROCESSOS!L726+ROW()/1000000,"")</f>
        <v/>
      </c>
      <c r="BG726" t="str">
        <f>IF(AND(PROCESSOS!B726&lt;&gt;"",ISNUMBER(PROCESSOS!D726),OR(FiltroResp="TODOS",FiltroResp="",PROCESSOS!H726=FiltroResp)),PROCESSOS!D726+ROW()/1000000,"")</f>
        <v/>
      </c>
    </row>
    <row r="727">
      <c r="BF727" t="str">
        <f>IF(AND(OR(PROCESSOS!N727="NO PRAZO",PROCESSOS!N727="VENCE EM BREVE"),OR(FiltroResp="TODOS",FiltroResp="",PROCESSOS!H727=FiltroResp)),PROCESSOS!L727+ROW()/1000000,"")</f>
        <v/>
      </c>
      <c r="BG727" t="str">
        <f>IF(AND(PROCESSOS!B727&lt;&gt;"",ISNUMBER(PROCESSOS!D727),OR(FiltroResp="TODOS",FiltroResp="",PROCESSOS!H727=FiltroResp)),PROCESSOS!D727+ROW()/1000000,"")</f>
        <v/>
      </c>
    </row>
    <row r="728">
      <c r="BF728" t="str">
        <f>IF(AND(OR(PROCESSOS!N728="NO PRAZO",PROCESSOS!N728="VENCE EM BREVE"),OR(FiltroResp="TODOS",FiltroResp="",PROCESSOS!H728=FiltroResp)),PROCESSOS!L728+ROW()/1000000,"")</f>
        <v/>
      </c>
      <c r="BG728" t="str">
        <f>IF(AND(PROCESSOS!B728&lt;&gt;"",ISNUMBER(PROCESSOS!D728),OR(FiltroResp="TODOS",FiltroResp="",PROCESSOS!H728=FiltroResp)),PROCESSOS!D728+ROW()/1000000,"")</f>
        <v/>
      </c>
    </row>
    <row r="729">
      <c r="BF729" t="str">
        <f>IF(AND(OR(PROCESSOS!N729="NO PRAZO",PROCESSOS!N729="VENCE EM BREVE"),OR(FiltroResp="TODOS",FiltroResp="",PROCESSOS!H729=FiltroResp)),PROCESSOS!L729+ROW()/1000000,"")</f>
        <v/>
      </c>
      <c r="BG729" t="str">
        <f>IF(AND(PROCESSOS!B729&lt;&gt;"",ISNUMBER(PROCESSOS!D729),OR(FiltroResp="TODOS",FiltroResp="",PROCESSOS!H729=FiltroResp)),PROCESSOS!D729+ROW()/1000000,"")</f>
        <v/>
      </c>
    </row>
    <row r="730">
      <c r="BF730" t="str">
        <f>IF(AND(OR(PROCESSOS!N730="NO PRAZO",PROCESSOS!N730="VENCE EM BREVE"),OR(FiltroResp="TODOS",FiltroResp="",PROCESSOS!H730=FiltroResp)),PROCESSOS!L730+ROW()/1000000,"")</f>
        <v/>
      </c>
      <c r="BG730" t="str">
        <f>IF(AND(PROCESSOS!B730&lt;&gt;"",ISNUMBER(PROCESSOS!D730),OR(FiltroResp="TODOS",FiltroResp="",PROCESSOS!H730=FiltroResp)),PROCESSOS!D730+ROW()/1000000,"")</f>
        <v/>
      </c>
    </row>
    <row r="731">
      <c r="BF731" t="str">
        <f>IF(AND(OR(PROCESSOS!N731="NO PRAZO",PROCESSOS!N731="VENCE EM BREVE"),OR(FiltroResp="TODOS",FiltroResp="",PROCESSOS!H731=FiltroResp)),PROCESSOS!L731+ROW()/1000000,"")</f>
        <v/>
      </c>
      <c r="BG731" t="str">
        <f>IF(AND(PROCESSOS!B731&lt;&gt;"",ISNUMBER(PROCESSOS!D731),OR(FiltroResp="TODOS",FiltroResp="",PROCESSOS!H731=FiltroResp)),PROCESSOS!D731+ROW()/1000000,"")</f>
        <v/>
      </c>
    </row>
    <row r="732">
      <c r="BF732" t="str">
        <f>IF(AND(OR(PROCESSOS!N732="NO PRAZO",PROCESSOS!N732="VENCE EM BREVE"),OR(FiltroResp="TODOS",FiltroResp="",PROCESSOS!H732=FiltroResp)),PROCESSOS!L732+ROW()/1000000,"")</f>
        <v/>
      </c>
      <c r="BG732" t="str">
        <f>IF(AND(PROCESSOS!B732&lt;&gt;"",ISNUMBER(PROCESSOS!D732),OR(FiltroResp="TODOS",FiltroResp="",PROCESSOS!H732=FiltroResp)),PROCESSOS!D732+ROW()/1000000,"")</f>
        <v/>
      </c>
    </row>
    <row r="733">
      <c r="BF733" t="str">
        <f>IF(AND(OR(PROCESSOS!N733="NO PRAZO",PROCESSOS!N733="VENCE EM BREVE"),OR(FiltroResp="TODOS",FiltroResp="",PROCESSOS!H733=FiltroResp)),PROCESSOS!L733+ROW()/1000000,"")</f>
        <v/>
      </c>
      <c r="BG733" t="str">
        <f>IF(AND(PROCESSOS!B733&lt;&gt;"",ISNUMBER(PROCESSOS!D733),OR(FiltroResp="TODOS",FiltroResp="",PROCESSOS!H733=FiltroResp)),PROCESSOS!D733+ROW()/1000000,"")</f>
        <v/>
      </c>
    </row>
    <row r="734">
      <c r="BF734" t="str">
        <f>IF(AND(OR(PROCESSOS!N734="NO PRAZO",PROCESSOS!N734="VENCE EM BREVE"),OR(FiltroResp="TODOS",FiltroResp="",PROCESSOS!H734=FiltroResp)),PROCESSOS!L734+ROW()/1000000,"")</f>
        <v/>
      </c>
      <c r="BG734" t="str">
        <f>IF(AND(PROCESSOS!B734&lt;&gt;"",ISNUMBER(PROCESSOS!D734),OR(FiltroResp="TODOS",FiltroResp="",PROCESSOS!H734=FiltroResp)),PROCESSOS!D734+ROW()/1000000,"")</f>
        <v/>
      </c>
    </row>
    <row r="735">
      <c r="BF735" t="str">
        <f>IF(AND(OR(PROCESSOS!N735="NO PRAZO",PROCESSOS!N735="VENCE EM BREVE"),OR(FiltroResp="TODOS",FiltroResp="",PROCESSOS!H735=FiltroResp)),PROCESSOS!L735+ROW()/1000000,"")</f>
        <v/>
      </c>
      <c r="BG735" t="str">
        <f>IF(AND(PROCESSOS!B735&lt;&gt;"",ISNUMBER(PROCESSOS!D735),OR(FiltroResp="TODOS",FiltroResp="",PROCESSOS!H735=FiltroResp)),PROCESSOS!D735+ROW()/1000000,"")</f>
        <v/>
      </c>
    </row>
    <row r="736">
      <c r="BF736" t="str">
        <f>IF(AND(OR(PROCESSOS!N736="NO PRAZO",PROCESSOS!N736="VENCE EM BREVE"),OR(FiltroResp="TODOS",FiltroResp="",PROCESSOS!H736=FiltroResp)),PROCESSOS!L736+ROW()/1000000,"")</f>
        <v/>
      </c>
      <c r="BG736" t="str">
        <f>IF(AND(PROCESSOS!B736&lt;&gt;"",ISNUMBER(PROCESSOS!D736),OR(FiltroResp="TODOS",FiltroResp="",PROCESSOS!H736=FiltroResp)),PROCESSOS!D736+ROW()/1000000,"")</f>
        <v/>
      </c>
    </row>
    <row r="737">
      <c r="BF737" t="str">
        <f>IF(AND(OR(PROCESSOS!N737="NO PRAZO",PROCESSOS!N737="VENCE EM BREVE"),OR(FiltroResp="TODOS",FiltroResp="",PROCESSOS!H737=FiltroResp)),PROCESSOS!L737+ROW()/1000000,"")</f>
        <v/>
      </c>
      <c r="BG737" t="str">
        <f>IF(AND(PROCESSOS!B737&lt;&gt;"",ISNUMBER(PROCESSOS!D737),OR(FiltroResp="TODOS",FiltroResp="",PROCESSOS!H737=FiltroResp)),PROCESSOS!D737+ROW()/1000000,"")</f>
        <v/>
      </c>
    </row>
    <row r="738">
      <c r="BF738" t="str">
        <f>IF(AND(OR(PROCESSOS!N738="NO PRAZO",PROCESSOS!N738="VENCE EM BREVE"),OR(FiltroResp="TODOS",FiltroResp="",PROCESSOS!H738=FiltroResp)),PROCESSOS!L738+ROW()/1000000,"")</f>
        <v/>
      </c>
      <c r="BG738" t="str">
        <f>IF(AND(PROCESSOS!B738&lt;&gt;"",ISNUMBER(PROCESSOS!D738),OR(FiltroResp="TODOS",FiltroResp="",PROCESSOS!H738=FiltroResp)),PROCESSOS!D738+ROW()/1000000,"")</f>
        <v/>
      </c>
    </row>
    <row r="739">
      <c r="BF739" t="str">
        <f>IF(AND(OR(PROCESSOS!N739="NO PRAZO",PROCESSOS!N739="VENCE EM BREVE"),OR(FiltroResp="TODOS",FiltroResp="",PROCESSOS!H739=FiltroResp)),PROCESSOS!L739+ROW()/1000000,"")</f>
        <v/>
      </c>
      <c r="BG739" t="str">
        <f>IF(AND(PROCESSOS!B739&lt;&gt;"",ISNUMBER(PROCESSOS!D739),OR(FiltroResp="TODOS",FiltroResp="",PROCESSOS!H739=FiltroResp)),PROCESSOS!D739+ROW()/1000000,"")</f>
        <v/>
      </c>
    </row>
    <row r="740">
      <c r="BF740" t="str">
        <f>IF(AND(OR(PROCESSOS!N740="NO PRAZO",PROCESSOS!N740="VENCE EM BREVE"),OR(FiltroResp="TODOS",FiltroResp="",PROCESSOS!H740=FiltroResp)),PROCESSOS!L740+ROW()/1000000,"")</f>
        <v/>
      </c>
      <c r="BG740" t="str">
        <f>IF(AND(PROCESSOS!B740&lt;&gt;"",ISNUMBER(PROCESSOS!D740),OR(FiltroResp="TODOS",FiltroResp="",PROCESSOS!H740=FiltroResp)),PROCESSOS!D740+ROW()/1000000,"")</f>
        <v/>
      </c>
    </row>
    <row r="741">
      <c r="BF741" t="str">
        <f>IF(AND(OR(PROCESSOS!N741="NO PRAZO",PROCESSOS!N741="VENCE EM BREVE"),OR(FiltroResp="TODOS",FiltroResp="",PROCESSOS!H741=FiltroResp)),PROCESSOS!L741+ROW()/1000000,"")</f>
        <v/>
      </c>
      <c r="BG741" t="str">
        <f>IF(AND(PROCESSOS!B741&lt;&gt;"",ISNUMBER(PROCESSOS!D741),OR(FiltroResp="TODOS",FiltroResp="",PROCESSOS!H741=FiltroResp)),PROCESSOS!D741+ROW()/1000000,"")</f>
        <v/>
      </c>
    </row>
    <row r="742">
      <c r="BF742" t="str">
        <f>IF(AND(OR(PROCESSOS!N742="NO PRAZO",PROCESSOS!N742="VENCE EM BREVE"),OR(FiltroResp="TODOS",FiltroResp="",PROCESSOS!H742=FiltroResp)),PROCESSOS!L742+ROW()/1000000,"")</f>
        <v/>
      </c>
      <c r="BG742" t="str">
        <f>IF(AND(PROCESSOS!B742&lt;&gt;"",ISNUMBER(PROCESSOS!D742),OR(FiltroResp="TODOS",FiltroResp="",PROCESSOS!H742=FiltroResp)),PROCESSOS!D742+ROW()/1000000,"")</f>
        <v/>
      </c>
    </row>
    <row r="743">
      <c r="BF743" t="str">
        <f>IF(AND(OR(PROCESSOS!N743="NO PRAZO",PROCESSOS!N743="VENCE EM BREVE"),OR(FiltroResp="TODOS",FiltroResp="",PROCESSOS!H743=FiltroResp)),PROCESSOS!L743+ROW()/1000000,"")</f>
        <v/>
      </c>
      <c r="BG743" t="str">
        <f>IF(AND(PROCESSOS!B743&lt;&gt;"",ISNUMBER(PROCESSOS!D743),OR(FiltroResp="TODOS",FiltroResp="",PROCESSOS!H743=FiltroResp)),PROCESSOS!D743+ROW()/1000000,"")</f>
        <v/>
      </c>
    </row>
    <row r="744">
      <c r="BF744" t="str">
        <f>IF(AND(OR(PROCESSOS!N744="NO PRAZO",PROCESSOS!N744="VENCE EM BREVE"),OR(FiltroResp="TODOS",FiltroResp="",PROCESSOS!H744=FiltroResp)),PROCESSOS!L744+ROW()/1000000,"")</f>
        <v/>
      </c>
      <c r="BG744" t="str">
        <f>IF(AND(PROCESSOS!B744&lt;&gt;"",ISNUMBER(PROCESSOS!D744),OR(FiltroResp="TODOS",FiltroResp="",PROCESSOS!H744=FiltroResp)),PROCESSOS!D744+ROW()/1000000,"")</f>
        <v/>
      </c>
    </row>
    <row r="745">
      <c r="BF745" t="str">
        <f>IF(AND(OR(PROCESSOS!N745="NO PRAZO",PROCESSOS!N745="VENCE EM BREVE"),OR(FiltroResp="TODOS",FiltroResp="",PROCESSOS!H745=FiltroResp)),PROCESSOS!L745+ROW()/1000000,"")</f>
        <v/>
      </c>
      <c r="BG745" t="str">
        <f>IF(AND(PROCESSOS!B745&lt;&gt;"",ISNUMBER(PROCESSOS!D745),OR(FiltroResp="TODOS",FiltroResp="",PROCESSOS!H745=FiltroResp)),PROCESSOS!D745+ROW()/1000000,"")</f>
        <v/>
      </c>
    </row>
    <row r="746">
      <c r="BF746" t="str">
        <f>IF(AND(OR(PROCESSOS!N746="NO PRAZO",PROCESSOS!N746="VENCE EM BREVE"),OR(FiltroResp="TODOS",FiltroResp="",PROCESSOS!H746=FiltroResp)),PROCESSOS!L746+ROW()/1000000,"")</f>
        <v/>
      </c>
      <c r="BG746" t="str">
        <f>IF(AND(PROCESSOS!B746&lt;&gt;"",ISNUMBER(PROCESSOS!D746),OR(FiltroResp="TODOS",FiltroResp="",PROCESSOS!H746=FiltroResp)),PROCESSOS!D746+ROW()/1000000,"")</f>
        <v/>
      </c>
    </row>
    <row r="747">
      <c r="BF747" t="str">
        <f>IF(AND(OR(PROCESSOS!N747="NO PRAZO",PROCESSOS!N747="VENCE EM BREVE"),OR(FiltroResp="TODOS",FiltroResp="",PROCESSOS!H747=FiltroResp)),PROCESSOS!L747+ROW()/1000000,"")</f>
        <v/>
      </c>
      <c r="BG747" t="str">
        <f>IF(AND(PROCESSOS!B747&lt;&gt;"",ISNUMBER(PROCESSOS!D747),OR(FiltroResp="TODOS",FiltroResp="",PROCESSOS!H747=FiltroResp)),PROCESSOS!D747+ROW()/1000000,"")</f>
        <v/>
      </c>
    </row>
    <row r="748">
      <c r="BF748" t="str">
        <f>IF(AND(OR(PROCESSOS!N748="NO PRAZO",PROCESSOS!N748="VENCE EM BREVE"),OR(FiltroResp="TODOS",FiltroResp="",PROCESSOS!H748=FiltroResp)),PROCESSOS!L748+ROW()/1000000,"")</f>
        <v/>
      </c>
      <c r="BG748" t="str">
        <f>IF(AND(PROCESSOS!B748&lt;&gt;"",ISNUMBER(PROCESSOS!D748),OR(FiltroResp="TODOS",FiltroResp="",PROCESSOS!H748=FiltroResp)),PROCESSOS!D748+ROW()/1000000,"")</f>
        <v/>
      </c>
    </row>
    <row r="749">
      <c r="BF749" t="str">
        <f>IF(AND(OR(PROCESSOS!N749="NO PRAZO",PROCESSOS!N749="VENCE EM BREVE"),OR(FiltroResp="TODOS",FiltroResp="",PROCESSOS!H749=FiltroResp)),PROCESSOS!L749+ROW()/1000000,"")</f>
        <v/>
      </c>
      <c r="BG749" t="str">
        <f>IF(AND(PROCESSOS!B749&lt;&gt;"",ISNUMBER(PROCESSOS!D749),OR(FiltroResp="TODOS",FiltroResp="",PROCESSOS!H749=FiltroResp)),PROCESSOS!D749+ROW()/1000000,"")</f>
        <v/>
      </c>
    </row>
    <row r="750">
      <c r="BF750" t="str">
        <f>IF(AND(OR(PROCESSOS!N750="NO PRAZO",PROCESSOS!N750="VENCE EM BREVE"),OR(FiltroResp="TODOS",FiltroResp="",PROCESSOS!H750=FiltroResp)),PROCESSOS!L750+ROW()/1000000,"")</f>
        <v/>
      </c>
      <c r="BG750" t="str">
        <f>IF(AND(PROCESSOS!B750&lt;&gt;"",ISNUMBER(PROCESSOS!D750),OR(FiltroResp="TODOS",FiltroResp="",PROCESSOS!H750=FiltroResp)),PROCESSOS!D750+ROW()/1000000,"")</f>
        <v/>
      </c>
    </row>
    <row r="751">
      <c r="BF751" t="str">
        <f>IF(AND(OR(PROCESSOS!N751="NO PRAZO",PROCESSOS!N751="VENCE EM BREVE"),OR(FiltroResp="TODOS",FiltroResp="",PROCESSOS!H751=FiltroResp)),PROCESSOS!L751+ROW()/1000000,"")</f>
        <v/>
      </c>
      <c r="BG751" t="str">
        <f>IF(AND(PROCESSOS!B751&lt;&gt;"",ISNUMBER(PROCESSOS!D751),OR(FiltroResp="TODOS",FiltroResp="",PROCESSOS!H751=FiltroResp)),PROCESSOS!D751+ROW()/1000000,"")</f>
        <v/>
      </c>
    </row>
    <row r="752">
      <c r="BF752" t="str">
        <f>IF(AND(OR(PROCESSOS!N752="NO PRAZO",PROCESSOS!N752="VENCE EM BREVE"),OR(FiltroResp="TODOS",FiltroResp="",PROCESSOS!H752=FiltroResp)),PROCESSOS!L752+ROW()/1000000,"")</f>
        <v/>
      </c>
      <c r="BG752" t="str">
        <f>IF(AND(PROCESSOS!B752&lt;&gt;"",ISNUMBER(PROCESSOS!D752),OR(FiltroResp="TODOS",FiltroResp="",PROCESSOS!H752=FiltroResp)),PROCESSOS!D752+ROW()/1000000,"")</f>
        <v/>
      </c>
    </row>
    <row r="753">
      <c r="BF753" t="str">
        <f>IF(AND(OR(PROCESSOS!N753="NO PRAZO",PROCESSOS!N753="VENCE EM BREVE"),OR(FiltroResp="TODOS",FiltroResp="",PROCESSOS!H753=FiltroResp)),PROCESSOS!L753+ROW()/1000000,"")</f>
        <v/>
      </c>
      <c r="BG753" t="str">
        <f>IF(AND(PROCESSOS!B753&lt;&gt;"",ISNUMBER(PROCESSOS!D753),OR(FiltroResp="TODOS",FiltroResp="",PROCESSOS!H753=FiltroResp)),PROCESSOS!D753+ROW()/1000000,"")</f>
        <v/>
      </c>
    </row>
    <row r="754">
      <c r="BF754" t="str">
        <f>IF(AND(OR(PROCESSOS!N754="NO PRAZO",PROCESSOS!N754="VENCE EM BREVE"),OR(FiltroResp="TODOS",FiltroResp="",PROCESSOS!H754=FiltroResp)),PROCESSOS!L754+ROW()/1000000,"")</f>
        <v/>
      </c>
      <c r="BG754" t="str">
        <f>IF(AND(PROCESSOS!B754&lt;&gt;"",ISNUMBER(PROCESSOS!D754),OR(FiltroResp="TODOS",FiltroResp="",PROCESSOS!H754=FiltroResp)),PROCESSOS!D754+ROW()/1000000,"")</f>
        <v/>
      </c>
    </row>
    <row r="755">
      <c r="BF755" t="str">
        <f>IF(AND(OR(PROCESSOS!N755="NO PRAZO",PROCESSOS!N755="VENCE EM BREVE"),OR(FiltroResp="TODOS",FiltroResp="",PROCESSOS!H755=FiltroResp)),PROCESSOS!L755+ROW()/1000000,"")</f>
        <v/>
      </c>
      <c r="BG755" t="str">
        <f>IF(AND(PROCESSOS!B755&lt;&gt;"",ISNUMBER(PROCESSOS!D755),OR(FiltroResp="TODOS",FiltroResp="",PROCESSOS!H755=FiltroResp)),PROCESSOS!D755+ROW()/1000000,"")</f>
        <v/>
      </c>
    </row>
    <row r="756">
      <c r="BF756" t="str">
        <f>IF(AND(OR(PROCESSOS!N756="NO PRAZO",PROCESSOS!N756="VENCE EM BREVE"),OR(FiltroResp="TODOS",FiltroResp="",PROCESSOS!H756=FiltroResp)),PROCESSOS!L756+ROW()/1000000,"")</f>
        <v/>
      </c>
      <c r="BG756" t="str">
        <f>IF(AND(PROCESSOS!B756&lt;&gt;"",ISNUMBER(PROCESSOS!D756),OR(FiltroResp="TODOS",FiltroResp="",PROCESSOS!H756=FiltroResp)),PROCESSOS!D756+ROW()/1000000,"")</f>
        <v/>
      </c>
    </row>
    <row r="757">
      <c r="BF757" t="str">
        <f>IF(AND(OR(PROCESSOS!N757="NO PRAZO",PROCESSOS!N757="VENCE EM BREVE"),OR(FiltroResp="TODOS",FiltroResp="",PROCESSOS!H757=FiltroResp)),PROCESSOS!L757+ROW()/1000000,"")</f>
        <v/>
      </c>
      <c r="BG757" t="str">
        <f>IF(AND(PROCESSOS!B757&lt;&gt;"",ISNUMBER(PROCESSOS!D757),OR(FiltroResp="TODOS",FiltroResp="",PROCESSOS!H757=FiltroResp)),PROCESSOS!D757+ROW()/1000000,"")</f>
        <v/>
      </c>
    </row>
    <row r="758">
      <c r="BF758" t="str">
        <f>IF(AND(OR(PROCESSOS!N758="NO PRAZO",PROCESSOS!N758="VENCE EM BREVE"),OR(FiltroResp="TODOS",FiltroResp="",PROCESSOS!H758=FiltroResp)),PROCESSOS!L758+ROW()/1000000,"")</f>
        <v/>
      </c>
      <c r="BG758" t="str">
        <f>IF(AND(PROCESSOS!B758&lt;&gt;"",ISNUMBER(PROCESSOS!D758),OR(FiltroResp="TODOS",FiltroResp="",PROCESSOS!H758=FiltroResp)),PROCESSOS!D758+ROW()/1000000,"")</f>
        <v/>
      </c>
    </row>
    <row r="759">
      <c r="BF759" t="str">
        <f>IF(AND(OR(PROCESSOS!N759="NO PRAZO",PROCESSOS!N759="VENCE EM BREVE"),OR(FiltroResp="TODOS",FiltroResp="",PROCESSOS!H759=FiltroResp)),PROCESSOS!L759+ROW()/1000000,"")</f>
        <v/>
      </c>
      <c r="BG759" t="str">
        <f>IF(AND(PROCESSOS!B759&lt;&gt;"",ISNUMBER(PROCESSOS!D759),OR(FiltroResp="TODOS",FiltroResp="",PROCESSOS!H759=FiltroResp)),PROCESSOS!D759+ROW()/1000000,"")</f>
        <v/>
      </c>
    </row>
    <row r="760">
      <c r="BF760" t="str">
        <f>IF(AND(OR(PROCESSOS!N760="NO PRAZO",PROCESSOS!N760="VENCE EM BREVE"),OR(FiltroResp="TODOS",FiltroResp="",PROCESSOS!H760=FiltroResp)),PROCESSOS!L760+ROW()/1000000,"")</f>
        <v/>
      </c>
      <c r="BG760" t="str">
        <f>IF(AND(PROCESSOS!B760&lt;&gt;"",ISNUMBER(PROCESSOS!D760),OR(FiltroResp="TODOS",FiltroResp="",PROCESSOS!H760=FiltroResp)),PROCESSOS!D760+ROW()/1000000,"")</f>
        <v/>
      </c>
    </row>
    <row r="761">
      <c r="BF761" t="str">
        <f>IF(AND(OR(PROCESSOS!N761="NO PRAZO",PROCESSOS!N761="VENCE EM BREVE"),OR(FiltroResp="TODOS",FiltroResp="",PROCESSOS!H761=FiltroResp)),PROCESSOS!L761+ROW()/1000000,"")</f>
        <v/>
      </c>
      <c r="BG761" t="str">
        <f>IF(AND(PROCESSOS!B761&lt;&gt;"",ISNUMBER(PROCESSOS!D761),OR(FiltroResp="TODOS",FiltroResp="",PROCESSOS!H761=FiltroResp)),PROCESSOS!D761+ROW()/1000000,"")</f>
        <v/>
      </c>
    </row>
    <row r="762">
      <c r="BF762" t="str">
        <f>IF(AND(OR(PROCESSOS!N762="NO PRAZO",PROCESSOS!N762="VENCE EM BREVE"),OR(FiltroResp="TODOS",FiltroResp="",PROCESSOS!H762=FiltroResp)),PROCESSOS!L762+ROW()/1000000,"")</f>
        <v/>
      </c>
      <c r="BG762" t="str">
        <f>IF(AND(PROCESSOS!B762&lt;&gt;"",ISNUMBER(PROCESSOS!D762),OR(FiltroResp="TODOS",FiltroResp="",PROCESSOS!H762=FiltroResp)),PROCESSOS!D762+ROW()/1000000,"")</f>
        <v/>
      </c>
    </row>
    <row r="763">
      <c r="BF763" t="str">
        <f>IF(AND(OR(PROCESSOS!N763="NO PRAZO",PROCESSOS!N763="VENCE EM BREVE"),OR(FiltroResp="TODOS",FiltroResp="",PROCESSOS!H763=FiltroResp)),PROCESSOS!L763+ROW()/1000000,"")</f>
        <v/>
      </c>
      <c r="BG763" t="str">
        <f>IF(AND(PROCESSOS!B763&lt;&gt;"",ISNUMBER(PROCESSOS!D763),OR(FiltroResp="TODOS",FiltroResp="",PROCESSOS!H763=FiltroResp)),PROCESSOS!D763+ROW()/1000000,"")</f>
        <v/>
      </c>
    </row>
    <row r="764">
      <c r="BF764" t="str">
        <f>IF(AND(OR(PROCESSOS!N764="NO PRAZO",PROCESSOS!N764="VENCE EM BREVE"),OR(FiltroResp="TODOS",FiltroResp="",PROCESSOS!H764=FiltroResp)),PROCESSOS!L764+ROW()/1000000,"")</f>
        <v/>
      </c>
      <c r="BG764" t="str">
        <f>IF(AND(PROCESSOS!B764&lt;&gt;"",ISNUMBER(PROCESSOS!D764),OR(FiltroResp="TODOS",FiltroResp="",PROCESSOS!H764=FiltroResp)),PROCESSOS!D764+ROW()/1000000,"")</f>
        <v/>
      </c>
    </row>
    <row r="765">
      <c r="BF765" t="str">
        <f>IF(AND(OR(PROCESSOS!N765="NO PRAZO",PROCESSOS!N765="VENCE EM BREVE"),OR(FiltroResp="TODOS",FiltroResp="",PROCESSOS!H765=FiltroResp)),PROCESSOS!L765+ROW()/1000000,"")</f>
        <v/>
      </c>
      <c r="BG765" t="str">
        <f>IF(AND(PROCESSOS!B765&lt;&gt;"",ISNUMBER(PROCESSOS!D765),OR(FiltroResp="TODOS",FiltroResp="",PROCESSOS!H765=FiltroResp)),PROCESSOS!D765+ROW()/1000000,"")</f>
        <v/>
      </c>
    </row>
    <row r="766">
      <c r="BF766" t="str">
        <f>IF(AND(OR(PROCESSOS!N766="NO PRAZO",PROCESSOS!N766="VENCE EM BREVE"),OR(FiltroResp="TODOS",FiltroResp="",PROCESSOS!H766=FiltroResp)),PROCESSOS!L766+ROW()/1000000,"")</f>
        <v/>
      </c>
      <c r="BG766" t="str">
        <f>IF(AND(PROCESSOS!B766&lt;&gt;"",ISNUMBER(PROCESSOS!D766),OR(FiltroResp="TODOS",FiltroResp="",PROCESSOS!H766=FiltroResp)),PROCESSOS!D766+ROW()/1000000,"")</f>
        <v/>
      </c>
    </row>
    <row r="767">
      <c r="BF767" t="str">
        <f>IF(AND(OR(PROCESSOS!N767="NO PRAZO",PROCESSOS!N767="VENCE EM BREVE"),OR(FiltroResp="TODOS",FiltroResp="",PROCESSOS!H767=FiltroResp)),PROCESSOS!L767+ROW()/1000000,"")</f>
        <v/>
      </c>
      <c r="BG767" t="str">
        <f>IF(AND(PROCESSOS!B767&lt;&gt;"",ISNUMBER(PROCESSOS!D767),OR(FiltroResp="TODOS",FiltroResp="",PROCESSOS!H767=FiltroResp)),PROCESSOS!D767+ROW()/1000000,"")</f>
        <v/>
      </c>
    </row>
    <row r="768">
      <c r="BF768" t="str">
        <f>IF(AND(OR(PROCESSOS!N768="NO PRAZO",PROCESSOS!N768="VENCE EM BREVE"),OR(FiltroResp="TODOS",FiltroResp="",PROCESSOS!H768=FiltroResp)),PROCESSOS!L768+ROW()/1000000,"")</f>
        <v/>
      </c>
      <c r="BG768" t="str">
        <f>IF(AND(PROCESSOS!B768&lt;&gt;"",ISNUMBER(PROCESSOS!D768),OR(FiltroResp="TODOS",FiltroResp="",PROCESSOS!H768=FiltroResp)),PROCESSOS!D768+ROW()/1000000,"")</f>
        <v/>
      </c>
    </row>
    <row r="769">
      <c r="BF769" t="str">
        <f>IF(AND(OR(PROCESSOS!N769="NO PRAZO",PROCESSOS!N769="VENCE EM BREVE"),OR(FiltroResp="TODOS",FiltroResp="",PROCESSOS!H769=FiltroResp)),PROCESSOS!L769+ROW()/1000000,"")</f>
        <v/>
      </c>
      <c r="BG769" t="str">
        <f>IF(AND(PROCESSOS!B769&lt;&gt;"",ISNUMBER(PROCESSOS!D769),OR(FiltroResp="TODOS",FiltroResp="",PROCESSOS!H769=FiltroResp)),PROCESSOS!D769+ROW()/1000000,"")</f>
        <v/>
      </c>
    </row>
    <row r="770">
      <c r="BF770" t="str">
        <f>IF(AND(OR(PROCESSOS!N770="NO PRAZO",PROCESSOS!N770="VENCE EM BREVE"),OR(FiltroResp="TODOS",FiltroResp="",PROCESSOS!H770=FiltroResp)),PROCESSOS!L770+ROW()/1000000,"")</f>
        <v/>
      </c>
      <c r="BG770" t="str">
        <f>IF(AND(PROCESSOS!B770&lt;&gt;"",ISNUMBER(PROCESSOS!D770),OR(FiltroResp="TODOS",FiltroResp="",PROCESSOS!H770=FiltroResp)),PROCESSOS!D770+ROW()/1000000,"")</f>
        <v/>
      </c>
    </row>
    <row r="771">
      <c r="BF771" t="str">
        <f>IF(AND(OR(PROCESSOS!N771="NO PRAZO",PROCESSOS!N771="VENCE EM BREVE"),OR(FiltroResp="TODOS",FiltroResp="",PROCESSOS!H771=FiltroResp)),PROCESSOS!L771+ROW()/1000000,"")</f>
        <v/>
      </c>
      <c r="BG771" t="str">
        <f>IF(AND(PROCESSOS!B771&lt;&gt;"",ISNUMBER(PROCESSOS!D771),OR(FiltroResp="TODOS",FiltroResp="",PROCESSOS!H771=FiltroResp)),PROCESSOS!D771+ROW()/1000000,"")</f>
        <v/>
      </c>
    </row>
    <row r="772">
      <c r="BF772" t="str">
        <f>IF(AND(OR(PROCESSOS!N772="NO PRAZO",PROCESSOS!N772="VENCE EM BREVE"),OR(FiltroResp="TODOS",FiltroResp="",PROCESSOS!H772=FiltroResp)),PROCESSOS!L772+ROW()/1000000,"")</f>
        <v/>
      </c>
      <c r="BG772" t="str">
        <f>IF(AND(PROCESSOS!B772&lt;&gt;"",ISNUMBER(PROCESSOS!D772),OR(FiltroResp="TODOS",FiltroResp="",PROCESSOS!H772=FiltroResp)),PROCESSOS!D772+ROW()/1000000,"")</f>
        <v/>
      </c>
    </row>
    <row r="773">
      <c r="BF773" t="str">
        <f>IF(AND(OR(PROCESSOS!N773="NO PRAZO",PROCESSOS!N773="VENCE EM BREVE"),OR(FiltroResp="TODOS",FiltroResp="",PROCESSOS!H773=FiltroResp)),PROCESSOS!L773+ROW()/1000000,"")</f>
        <v/>
      </c>
      <c r="BG773" t="str">
        <f>IF(AND(PROCESSOS!B773&lt;&gt;"",ISNUMBER(PROCESSOS!D773),OR(FiltroResp="TODOS",FiltroResp="",PROCESSOS!H773=FiltroResp)),PROCESSOS!D773+ROW()/1000000,"")</f>
        <v/>
      </c>
    </row>
    <row r="774">
      <c r="BF774" t="str">
        <f>IF(AND(OR(PROCESSOS!N774="NO PRAZO",PROCESSOS!N774="VENCE EM BREVE"),OR(FiltroResp="TODOS",FiltroResp="",PROCESSOS!H774=FiltroResp)),PROCESSOS!L774+ROW()/1000000,"")</f>
        <v/>
      </c>
      <c r="BG774" t="str">
        <f>IF(AND(PROCESSOS!B774&lt;&gt;"",ISNUMBER(PROCESSOS!D774),OR(FiltroResp="TODOS",FiltroResp="",PROCESSOS!H774=FiltroResp)),PROCESSOS!D774+ROW()/1000000,"")</f>
        <v/>
      </c>
    </row>
    <row r="775">
      <c r="BF775" t="str">
        <f>IF(AND(OR(PROCESSOS!N775="NO PRAZO",PROCESSOS!N775="VENCE EM BREVE"),OR(FiltroResp="TODOS",FiltroResp="",PROCESSOS!H775=FiltroResp)),PROCESSOS!L775+ROW()/1000000,"")</f>
        <v/>
      </c>
      <c r="BG775" t="str">
        <f>IF(AND(PROCESSOS!B775&lt;&gt;"",ISNUMBER(PROCESSOS!D775),OR(FiltroResp="TODOS",FiltroResp="",PROCESSOS!H775=FiltroResp)),PROCESSOS!D775+ROW()/1000000,"")</f>
        <v/>
      </c>
    </row>
    <row r="776">
      <c r="BF776" t="str">
        <f>IF(AND(OR(PROCESSOS!N776="NO PRAZO",PROCESSOS!N776="VENCE EM BREVE"),OR(FiltroResp="TODOS",FiltroResp="",PROCESSOS!H776=FiltroResp)),PROCESSOS!L776+ROW()/1000000,"")</f>
        <v/>
      </c>
      <c r="BG776" t="str">
        <f>IF(AND(PROCESSOS!B776&lt;&gt;"",ISNUMBER(PROCESSOS!D776),OR(FiltroResp="TODOS",FiltroResp="",PROCESSOS!H776=FiltroResp)),PROCESSOS!D776+ROW()/1000000,"")</f>
        <v/>
      </c>
    </row>
    <row r="777">
      <c r="BF777" t="str">
        <f>IF(AND(OR(PROCESSOS!N777="NO PRAZO",PROCESSOS!N777="VENCE EM BREVE"),OR(FiltroResp="TODOS",FiltroResp="",PROCESSOS!H777=FiltroResp)),PROCESSOS!L777+ROW()/1000000,"")</f>
        <v/>
      </c>
      <c r="BG777" t="str">
        <f>IF(AND(PROCESSOS!B777&lt;&gt;"",ISNUMBER(PROCESSOS!D777),OR(FiltroResp="TODOS",FiltroResp="",PROCESSOS!H777=FiltroResp)),PROCESSOS!D777+ROW()/1000000,"")</f>
        <v/>
      </c>
    </row>
    <row r="778">
      <c r="BF778" t="str">
        <f>IF(AND(OR(PROCESSOS!N778="NO PRAZO",PROCESSOS!N778="VENCE EM BREVE"),OR(FiltroResp="TODOS",FiltroResp="",PROCESSOS!H778=FiltroResp)),PROCESSOS!L778+ROW()/1000000,"")</f>
        <v/>
      </c>
      <c r="BG778" t="str">
        <f>IF(AND(PROCESSOS!B778&lt;&gt;"",ISNUMBER(PROCESSOS!D778),OR(FiltroResp="TODOS",FiltroResp="",PROCESSOS!H778=FiltroResp)),PROCESSOS!D778+ROW()/1000000,"")</f>
        <v/>
      </c>
    </row>
    <row r="779">
      <c r="BF779" t="str">
        <f>IF(AND(OR(PROCESSOS!N779="NO PRAZO",PROCESSOS!N779="VENCE EM BREVE"),OR(FiltroResp="TODOS",FiltroResp="",PROCESSOS!H779=FiltroResp)),PROCESSOS!L779+ROW()/1000000,"")</f>
        <v/>
      </c>
      <c r="BG779" t="str">
        <f>IF(AND(PROCESSOS!B779&lt;&gt;"",ISNUMBER(PROCESSOS!D779),OR(FiltroResp="TODOS",FiltroResp="",PROCESSOS!H779=FiltroResp)),PROCESSOS!D779+ROW()/1000000,"")</f>
        <v/>
      </c>
    </row>
    <row r="780">
      <c r="BF780" t="str">
        <f>IF(AND(OR(PROCESSOS!N780="NO PRAZO",PROCESSOS!N780="VENCE EM BREVE"),OR(FiltroResp="TODOS",FiltroResp="",PROCESSOS!H780=FiltroResp)),PROCESSOS!L780+ROW()/1000000,"")</f>
        <v/>
      </c>
      <c r="BG780" t="str">
        <f>IF(AND(PROCESSOS!B780&lt;&gt;"",ISNUMBER(PROCESSOS!D780),OR(FiltroResp="TODOS",FiltroResp="",PROCESSOS!H780=FiltroResp)),PROCESSOS!D780+ROW()/1000000,"")</f>
        <v/>
      </c>
    </row>
    <row r="781">
      <c r="BF781" t="str">
        <f>IF(AND(OR(PROCESSOS!N781="NO PRAZO",PROCESSOS!N781="VENCE EM BREVE"),OR(FiltroResp="TODOS",FiltroResp="",PROCESSOS!H781=FiltroResp)),PROCESSOS!L781+ROW()/1000000,"")</f>
        <v/>
      </c>
      <c r="BG781" t="str">
        <f>IF(AND(PROCESSOS!B781&lt;&gt;"",ISNUMBER(PROCESSOS!D781),OR(FiltroResp="TODOS",FiltroResp="",PROCESSOS!H781=FiltroResp)),PROCESSOS!D781+ROW()/1000000,"")</f>
        <v/>
      </c>
    </row>
    <row r="782">
      <c r="BF782" t="str">
        <f>IF(AND(OR(PROCESSOS!N782="NO PRAZO",PROCESSOS!N782="VENCE EM BREVE"),OR(FiltroResp="TODOS",FiltroResp="",PROCESSOS!H782=FiltroResp)),PROCESSOS!L782+ROW()/1000000,"")</f>
        <v/>
      </c>
      <c r="BG782" t="str">
        <f>IF(AND(PROCESSOS!B782&lt;&gt;"",ISNUMBER(PROCESSOS!D782),OR(FiltroResp="TODOS",FiltroResp="",PROCESSOS!H782=FiltroResp)),PROCESSOS!D782+ROW()/1000000,"")</f>
        <v/>
      </c>
    </row>
    <row r="783">
      <c r="BF783" t="str">
        <f>IF(AND(OR(PROCESSOS!N783="NO PRAZO",PROCESSOS!N783="VENCE EM BREVE"),OR(FiltroResp="TODOS",FiltroResp="",PROCESSOS!H783=FiltroResp)),PROCESSOS!L783+ROW()/1000000,"")</f>
        <v/>
      </c>
      <c r="BG783" t="str">
        <f>IF(AND(PROCESSOS!B783&lt;&gt;"",ISNUMBER(PROCESSOS!D783),OR(FiltroResp="TODOS",FiltroResp="",PROCESSOS!H783=FiltroResp)),PROCESSOS!D783+ROW()/1000000,"")</f>
        <v/>
      </c>
    </row>
    <row r="784">
      <c r="BF784" t="str">
        <f>IF(AND(OR(PROCESSOS!N784="NO PRAZO",PROCESSOS!N784="VENCE EM BREVE"),OR(FiltroResp="TODOS",FiltroResp="",PROCESSOS!H784=FiltroResp)),PROCESSOS!L784+ROW()/1000000,"")</f>
        <v/>
      </c>
      <c r="BG784" t="str">
        <f>IF(AND(PROCESSOS!B784&lt;&gt;"",ISNUMBER(PROCESSOS!D784),OR(FiltroResp="TODOS",FiltroResp="",PROCESSOS!H784=FiltroResp)),PROCESSOS!D784+ROW()/1000000,"")</f>
        <v/>
      </c>
    </row>
    <row r="785">
      <c r="BF785" t="str">
        <f>IF(AND(OR(PROCESSOS!N785="NO PRAZO",PROCESSOS!N785="VENCE EM BREVE"),OR(FiltroResp="TODOS",FiltroResp="",PROCESSOS!H785=FiltroResp)),PROCESSOS!L785+ROW()/1000000,"")</f>
        <v/>
      </c>
      <c r="BG785" t="str">
        <f>IF(AND(PROCESSOS!B785&lt;&gt;"",ISNUMBER(PROCESSOS!D785),OR(FiltroResp="TODOS",FiltroResp="",PROCESSOS!H785=FiltroResp)),PROCESSOS!D785+ROW()/1000000,"")</f>
        <v/>
      </c>
    </row>
    <row r="786">
      <c r="BF786" t="str">
        <f>IF(AND(OR(PROCESSOS!N786="NO PRAZO",PROCESSOS!N786="VENCE EM BREVE"),OR(FiltroResp="TODOS",FiltroResp="",PROCESSOS!H786=FiltroResp)),PROCESSOS!L786+ROW()/1000000,"")</f>
        <v/>
      </c>
      <c r="BG786" t="str">
        <f>IF(AND(PROCESSOS!B786&lt;&gt;"",ISNUMBER(PROCESSOS!D786),OR(FiltroResp="TODOS",FiltroResp="",PROCESSOS!H786=FiltroResp)),PROCESSOS!D786+ROW()/1000000,"")</f>
        <v/>
      </c>
    </row>
    <row r="787">
      <c r="BF787" t="str">
        <f>IF(AND(OR(PROCESSOS!N787="NO PRAZO",PROCESSOS!N787="VENCE EM BREVE"),OR(FiltroResp="TODOS",FiltroResp="",PROCESSOS!H787=FiltroResp)),PROCESSOS!L787+ROW()/1000000,"")</f>
        <v/>
      </c>
      <c r="BG787" t="str">
        <f>IF(AND(PROCESSOS!B787&lt;&gt;"",ISNUMBER(PROCESSOS!D787),OR(FiltroResp="TODOS",FiltroResp="",PROCESSOS!H787=FiltroResp)),PROCESSOS!D787+ROW()/1000000,"")</f>
        <v/>
      </c>
    </row>
    <row r="788">
      <c r="BF788" t="str">
        <f>IF(AND(OR(PROCESSOS!N788="NO PRAZO",PROCESSOS!N788="VENCE EM BREVE"),OR(FiltroResp="TODOS",FiltroResp="",PROCESSOS!H788=FiltroResp)),PROCESSOS!L788+ROW()/1000000,"")</f>
        <v/>
      </c>
      <c r="BG788" t="str">
        <f>IF(AND(PROCESSOS!B788&lt;&gt;"",ISNUMBER(PROCESSOS!D788),OR(FiltroResp="TODOS",FiltroResp="",PROCESSOS!H788=FiltroResp)),PROCESSOS!D788+ROW()/1000000,"")</f>
        <v/>
      </c>
    </row>
    <row r="789">
      <c r="BF789" t="str">
        <f>IF(AND(OR(PROCESSOS!N789="NO PRAZO",PROCESSOS!N789="VENCE EM BREVE"),OR(FiltroResp="TODOS",FiltroResp="",PROCESSOS!H789=FiltroResp)),PROCESSOS!L789+ROW()/1000000,"")</f>
        <v/>
      </c>
      <c r="BG789" t="str">
        <f>IF(AND(PROCESSOS!B789&lt;&gt;"",ISNUMBER(PROCESSOS!D789),OR(FiltroResp="TODOS",FiltroResp="",PROCESSOS!H789=FiltroResp)),PROCESSOS!D789+ROW()/1000000,"")</f>
        <v/>
      </c>
    </row>
    <row r="790">
      <c r="BF790" t="str">
        <f>IF(AND(OR(PROCESSOS!N790="NO PRAZO",PROCESSOS!N790="VENCE EM BREVE"),OR(FiltroResp="TODOS",FiltroResp="",PROCESSOS!H790=FiltroResp)),PROCESSOS!L790+ROW()/1000000,"")</f>
        <v/>
      </c>
      <c r="BG790" t="str">
        <f>IF(AND(PROCESSOS!B790&lt;&gt;"",ISNUMBER(PROCESSOS!D790),OR(FiltroResp="TODOS",FiltroResp="",PROCESSOS!H790=FiltroResp)),PROCESSOS!D790+ROW()/1000000,"")</f>
        <v/>
      </c>
    </row>
    <row r="791">
      <c r="BF791" t="str">
        <f>IF(AND(OR(PROCESSOS!N791="NO PRAZO",PROCESSOS!N791="VENCE EM BREVE"),OR(FiltroResp="TODOS",FiltroResp="",PROCESSOS!H791=FiltroResp)),PROCESSOS!L791+ROW()/1000000,"")</f>
        <v/>
      </c>
      <c r="BG791" t="str">
        <f>IF(AND(PROCESSOS!B791&lt;&gt;"",ISNUMBER(PROCESSOS!D791),OR(FiltroResp="TODOS",FiltroResp="",PROCESSOS!H791=FiltroResp)),PROCESSOS!D791+ROW()/1000000,"")</f>
        <v/>
      </c>
    </row>
    <row r="792">
      <c r="BF792" t="str">
        <f>IF(AND(OR(PROCESSOS!N792="NO PRAZO",PROCESSOS!N792="VENCE EM BREVE"),OR(FiltroResp="TODOS",FiltroResp="",PROCESSOS!H792=FiltroResp)),PROCESSOS!L792+ROW()/1000000,"")</f>
        <v/>
      </c>
      <c r="BG792" t="str">
        <f>IF(AND(PROCESSOS!B792&lt;&gt;"",ISNUMBER(PROCESSOS!D792),OR(FiltroResp="TODOS",FiltroResp="",PROCESSOS!H792=FiltroResp)),PROCESSOS!D792+ROW()/1000000,"")</f>
        <v/>
      </c>
    </row>
    <row r="793">
      <c r="BF793" t="str">
        <f>IF(AND(OR(PROCESSOS!N793="NO PRAZO",PROCESSOS!N793="VENCE EM BREVE"),OR(FiltroResp="TODOS",FiltroResp="",PROCESSOS!H793=FiltroResp)),PROCESSOS!L793+ROW()/1000000,"")</f>
        <v/>
      </c>
      <c r="BG793" t="str">
        <f>IF(AND(PROCESSOS!B793&lt;&gt;"",ISNUMBER(PROCESSOS!D793),OR(FiltroResp="TODOS",FiltroResp="",PROCESSOS!H793=FiltroResp)),PROCESSOS!D793+ROW()/1000000,"")</f>
        <v/>
      </c>
    </row>
    <row r="794">
      <c r="BF794" t="str">
        <f>IF(AND(OR(PROCESSOS!N794="NO PRAZO",PROCESSOS!N794="VENCE EM BREVE"),OR(FiltroResp="TODOS",FiltroResp="",PROCESSOS!H794=FiltroResp)),PROCESSOS!L794+ROW()/1000000,"")</f>
        <v/>
      </c>
      <c r="BG794" t="str">
        <f>IF(AND(PROCESSOS!B794&lt;&gt;"",ISNUMBER(PROCESSOS!D794),OR(FiltroResp="TODOS",FiltroResp="",PROCESSOS!H794=FiltroResp)),PROCESSOS!D794+ROW()/1000000,"")</f>
        <v/>
      </c>
    </row>
    <row r="795">
      <c r="BF795" t="str">
        <f>IF(AND(OR(PROCESSOS!N795="NO PRAZO",PROCESSOS!N795="VENCE EM BREVE"),OR(FiltroResp="TODOS",FiltroResp="",PROCESSOS!H795=FiltroResp)),PROCESSOS!L795+ROW()/1000000,"")</f>
        <v/>
      </c>
      <c r="BG795" t="str">
        <f>IF(AND(PROCESSOS!B795&lt;&gt;"",ISNUMBER(PROCESSOS!D795),OR(FiltroResp="TODOS",FiltroResp="",PROCESSOS!H795=FiltroResp)),PROCESSOS!D795+ROW()/1000000,"")</f>
        <v/>
      </c>
    </row>
    <row r="796">
      <c r="BF796" t="str">
        <f>IF(AND(OR(PROCESSOS!N796="NO PRAZO",PROCESSOS!N796="VENCE EM BREVE"),OR(FiltroResp="TODOS",FiltroResp="",PROCESSOS!H796=FiltroResp)),PROCESSOS!L796+ROW()/1000000,"")</f>
        <v/>
      </c>
      <c r="BG796" t="str">
        <f>IF(AND(PROCESSOS!B796&lt;&gt;"",ISNUMBER(PROCESSOS!D796),OR(FiltroResp="TODOS",FiltroResp="",PROCESSOS!H796=FiltroResp)),PROCESSOS!D796+ROW()/1000000,"")</f>
        <v/>
      </c>
    </row>
    <row r="797">
      <c r="BF797" t="str">
        <f>IF(AND(OR(PROCESSOS!N797="NO PRAZO",PROCESSOS!N797="VENCE EM BREVE"),OR(FiltroResp="TODOS",FiltroResp="",PROCESSOS!H797=FiltroResp)),PROCESSOS!L797+ROW()/1000000,"")</f>
        <v/>
      </c>
      <c r="BG797" t="str">
        <f>IF(AND(PROCESSOS!B797&lt;&gt;"",ISNUMBER(PROCESSOS!D797),OR(FiltroResp="TODOS",FiltroResp="",PROCESSOS!H797=FiltroResp)),PROCESSOS!D797+ROW()/1000000,"")</f>
        <v/>
      </c>
    </row>
    <row r="798">
      <c r="BF798" t="str">
        <f>IF(AND(OR(PROCESSOS!N798="NO PRAZO",PROCESSOS!N798="VENCE EM BREVE"),OR(FiltroResp="TODOS",FiltroResp="",PROCESSOS!H798=FiltroResp)),PROCESSOS!L798+ROW()/1000000,"")</f>
        <v/>
      </c>
      <c r="BG798" t="str">
        <f>IF(AND(PROCESSOS!B798&lt;&gt;"",ISNUMBER(PROCESSOS!D798),OR(FiltroResp="TODOS",FiltroResp="",PROCESSOS!H798=FiltroResp)),PROCESSOS!D798+ROW()/1000000,"")</f>
        <v/>
      </c>
    </row>
    <row r="799">
      <c r="BF799" t="str">
        <f>IF(AND(OR(PROCESSOS!N799="NO PRAZO",PROCESSOS!N799="VENCE EM BREVE"),OR(FiltroResp="TODOS",FiltroResp="",PROCESSOS!H799=FiltroResp)),PROCESSOS!L799+ROW()/1000000,"")</f>
        <v/>
      </c>
      <c r="BG799" t="str">
        <f>IF(AND(PROCESSOS!B799&lt;&gt;"",ISNUMBER(PROCESSOS!D799),OR(FiltroResp="TODOS",FiltroResp="",PROCESSOS!H799=FiltroResp)),PROCESSOS!D799+ROW()/1000000,"")</f>
        <v/>
      </c>
    </row>
    <row r="800">
      <c r="BF800" t="str">
        <f>IF(AND(OR(PROCESSOS!N800="NO PRAZO",PROCESSOS!N800="VENCE EM BREVE"),OR(FiltroResp="TODOS",FiltroResp="",PROCESSOS!H800=FiltroResp)),PROCESSOS!L800+ROW()/1000000,"")</f>
        <v/>
      </c>
      <c r="BG800" t="str">
        <f>IF(AND(PROCESSOS!B800&lt;&gt;"",ISNUMBER(PROCESSOS!D800),OR(FiltroResp="TODOS",FiltroResp="",PROCESSOS!H800=FiltroResp)),PROCESSOS!D800+ROW()/1000000,"")</f>
        <v/>
      </c>
    </row>
    <row r="801">
      <c r="BF801" t="str">
        <f>IF(AND(OR(PROCESSOS!N801="NO PRAZO",PROCESSOS!N801="VENCE EM BREVE"),OR(FiltroResp="TODOS",FiltroResp="",PROCESSOS!H801=FiltroResp)),PROCESSOS!L801+ROW()/1000000,"")</f>
        <v/>
      </c>
      <c r="BG801" t="str">
        <f>IF(AND(PROCESSOS!B801&lt;&gt;"",ISNUMBER(PROCESSOS!D801),OR(FiltroResp="TODOS",FiltroResp="",PROCESSOS!H801=FiltroResp)),PROCESSOS!D801+ROW()/1000000,"")</f>
        <v/>
      </c>
    </row>
    <row r="802">
      <c r="BF802" t="str">
        <f>IF(AND(OR(PROCESSOS!N802="NO PRAZO",PROCESSOS!N802="VENCE EM BREVE"),OR(FiltroResp="TODOS",FiltroResp="",PROCESSOS!H802=FiltroResp)),PROCESSOS!L802+ROW()/1000000,"")</f>
        <v/>
      </c>
      <c r="BG802" t="str">
        <f>IF(AND(PROCESSOS!B802&lt;&gt;"",ISNUMBER(PROCESSOS!D802),OR(FiltroResp="TODOS",FiltroResp="",PROCESSOS!H802=FiltroResp)),PROCESSOS!D802+ROW()/1000000,"")</f>
        <v/>
      </c>
    </row>
    <row r="803">
      <c r="BF803" t="str">
        <f>IF(AND(OR(PROCESSOS!N803="NO PRAZO",PROCESSOS!N803="VENCE EM BREVE"),OR(FiltroResp="TODOS",FiltroResp="",PROCESSOS!H803=FiltroResp)),PROCESSOS!L803+ROW()/1000000,"")</f>
        <v/>
      </c>
      <c r="BG803" t="str">
        <f>IF(AND(PROCESSOS!B803&lt;&gt;"",ISNUMBER(PROCESSOS!D803),OR(FiltroResp="TODOS",FiltroResp="",PROCESSOS!H803=FiltroResp)),PROCESSOS!D803+ROW()/1000000,"")</f>
        <v/>
      </c>
    </row>
    <row r="804">
      <c r="BF804" t="str">
        <f>IF(AND(OR(PROCESSOS!N804="NO PRAZO",PROCESSOS!N804="VENCE EM BREVE"),OR(FiltroResp="TODOS",FiltroResp="",PROCESSOS!H804=FiltroResp)),PROCESSOS!L804+ROW()/1000000,"")</f>
        <v/>
      </c>
      <c r="BG804" t="str">
        <f>IF(AND(PROCESSOS!B804&lt;&gt;"",ISNUMBER(PROCESSOS!D804),OR(FiltroResp="TODOS",FiltroResp="",PROCESSOS!H804=FiltroResp)),PROCESSOS!D804+ROW()/1000000,"")</f>
        <v/>
      </c>
    </row>
    <row r="805">
      <c r="BF805" t="str">
        <f>IF(AND(OR(PROCESSOS!N805="NO PRAZO",PROCESSOS!N805="VENCE EM BREVE"),OR(FiltroResp="TODOS",FiltroResp="",PROCESSOS!H805=FiltroResp)),PROCESSOS!L805+ROW()/1000000,"")</f>
        <v/>
      </c>
      <c r="BG805" t="str">
        <f>IF(AND(PROCESSOS!B805&lt;&gt;"",ISNUMBER(PROCESSOS!D805),OR(FiltroResp="TODOS",FiltroResp="",PROCESSOS!H805=FiltroResp)),PROCESSOS!D805+ROW()/1000000,"")</f>
        <v/>
      </c>
    </row>
    <row r="806">
      <c r="BF806" t="str">
        <f>IF(AND(OR(PROCESSOS!N806="NO PRAZO",PROCESSOS!N806="VENCE EM BREVE"),OR(FiltroResp="TODOS",FiltroResp="",PROCESSOS!H806=FiltroResp)),PROCESSOS!L806+ROW()/1000000,"")</f>
        <v/>
      </c>
      <c r="BG806" t="str">
        <f>IF(AND(PROCESSOS!B806&lt;&gt;"",ISNUMBER(PROCESSOS!D806),OR(FiltroResp="TODOS",FiltroResp="",PROCESSOS!H806=FiltroResp)),PROCESSOS!D806+ROW()/1000000,"")</f>
        <v/>
      </c>
    </row>
    <row r="807">
      <c r="BF807" t="str">
        <f>IF(AND(OR(PROCESSOS!N807="NO PRAZO",PROCESSOS!N807="VENCE EM BREVE"),OR(FiltroResp="TODOS",FiltroResp="",PROCESSOS!H807=FiltroResp)),PROCESSOS!L807+ROW()/1000000,"")</f>
        <v/>
      </c>
      <c r="BG807" t="str">
        <f>IF(AND(PROCESSOS!B807&lt;&gt;"",ISNUMBER(PROCESSOS!D807),OR(FiltroResp="TODOS",FiltroResp="",PROCESSOS!H807=FiltroResp)),PROCESSOS!D807+ROW()/1000000,"")</f>
        <v/>
      </c>
    </row>
    <row r="808">
      <c r="BF808" t="str">
        <f>IF(AND(OR(PROCESSOS!N808="NO PRAZO",PROCESSOS!N808="VENCE EM BREVE"),OR(FiltroResp="TODOS",FiltroResp="",PROCESSOS!H808=FiltroResp)),PROCESSOS!L808+ROW()/1000000,"")</f>
        <v/>
      </c>
      <c r="BG808" t="str">
        <f>IF(AND(PROCESSOS!B808&lt;&gt;"",ISNUMBER(PROCESSOS!D808),OR(FiltroResp="TODOS",FiltroResp="",PROCESSOS!H808=FiltroResp)),PROCESSOS!D808+ROW()/1000000,"")</f>
        <v/>
      </c>
    </row>
    <row r="809">
      <c r="BF809" t="str">
        <f>IF(AND(OR(PROCESSOS!N809="NO PRAZO",PROCESSOS!N809="VENCE EM BREVE"),OR(FiltroResp="TODOS",FiltroResp="",PROCESSOS!H809=FiltroResp)),PROCESSOS!L809+ROW()/1000000,"")</f>
        <v/>
      </c>
      <c r="BG809" t="str">
        <f>IF(AND(PROCESSOS!B809&lt;&gt;"",ISNUMBER(PROCESSOS!D809),OR(FiltroResp="TODOS",FiltroResp="",PROCESSOS!H809=FiltroResp)),PROCESSOS!D809+ROW()/1000000,"")</f>
        <v/>
      </c>
    </row>
    <row r="810">
      <c r="BF810" t="str">
        <f>IF(AND(OR(PROCESSOS!N810="NO PRAZO",PROCESSOS!N810="VENCE EM BREVE"),OR(FiltroResp="TODOS",FiltroResp="",PROCESSOS!H810=FiltroResp)),PROCESSOS!L810+ROW()/1000000,"")</f>
        <v/>
      </c>
      <c r="BG810" t="str">
        <f>IF(AND(PROCESSOS!B810&lt;&gt;"",ISNUMBER(PROCESSOS!D810),OR(FiltroResp="TODOS",FiltroResp="",PROCESSOS!H810=FiltroResp)),PROCESSOS!D810+ROW()/1000000,"")</f>
        <v/>
      </c>
    </row>
    <row r="811">
      <c r="BF811" t="str">
        <f>IF(AND(OR(PROCESSOS!N811="NO PRAZO",PROCESSOS!N811="VENCE EM BREVE"),OR(FiltroResp="TODOS",FiltroResp="",PROCESSOS!H811=FiltroResp)),PROCESSOS!L811+ROW()/1000000,"")</f>
        <v/>
      </c>
      <c r="BG811" t="str">
        <f>IF(AND(PROCESSOS!B811&lt;&gt;"",ISNUMBER(PROCESSOS!D811),OR(FiltroResp="TODOS",FiltroResp="",PROCESSOS!H811=FiltroResp)),PROCESSOS!D811+ROW()/1000000,"")</f>
        <v/>
      </c>
    </row>
    <row r="812">
      <c r="BF812" t="str">
        <f>IF(AND(OR(PROCESSOS!N812="NO PRAZO",PROCESSOS!N812="VENCE EM BREVE"),OR(FiltroResp="TODOS",FiltroResp="",PROCESSOS!H812=FiltroResp)),PROCESSOS!L812+ROW()/1000000,"")</f>
        <v/>
      </c>
      <c r="BG812" t="str">
        <f>IF(AND(PROCESSOS!B812&lt;&gt;"",ISNUMBER(PROCESSOS!D812),OR(FiltroResp="TODOS",FiltroResp="",PROCESSOS!H812=FiltroResp)),PROCESSOS!D812+ROW()/1000000,"")</f>
        <v/>
      </c>
    </row>
    <row r="813">
      <c r="BF813" t="str">
        <f>IF(AND(OR(PROCESSOS!N813="NO PRAZO",PROCESSOS!N813="VENCE EM BREVE"),OR(FiltroResp="TODOS",FiltroResp="",PROCESSOS!H813=FiltroResp)),PROCESSOS!L813+ROW()/1000000,"")</f>
        <v/>
      </c>
      <c r="BG813" t="str">
        <f>IF(AND(PROCESSOS!B813&lt;&gt;"",ISNUMBER(PROCESSOS!D813),OR(FiltroResp="TODOS",FiltroResp="",PROCESSOS!H813=FiltroResp)),PROCESSOS!D813+ROW()/1000000,"")</f>
        <v/>
      </c>
    </row>
    <row r="814">
      <c r="BF814" t="str">
        <f>IF(AND(OR(PROCESSOS!N814="NO PRAZO",PROCESSOS!N814="VENCE EM BREVE"),OR(FiltroResp="TODOS",FiltroResp="",PROCESSOS!H814=FiltroResp)),PROCESSOS!L814+ROW()/1000000,"")</f>
        <v/>
      </c>
      <c r="BG814" t="str">
        <f>IF(AND(PROCESSOS!B814&lt;&gt;"",ISNUMBER(PROCESSOS!D814),OR(FiltroResp="TODOS",FiltroResp="",PROCESSOS!H814=FiltroResp)),PROCESSOS!D814+ROW()/1000000,"")</f>
        <v/>
      </c>
    </row>
    <row r="815">
      <c r="BF815" t="str">
        <f>IF(AND(OR(PROCESSOS!N815="NO PRAZO",PROCESSOS!N815="VENCE EM BREVE"),OR(FiltroResp="TODOS",FiltroResp="",PROCESSOS!H815=FiltroResp)),PROCESSOS!L815+ROW()/1000000,"")</f>
        <v/>
      </c>
      <c r="BG815" t="str">
        <f>IF(AND(PROCESSOS!B815&lt;&gt;"",ISNUMBER(PROCESSOS!D815),OR(FiltroResp="TODOS",FiltroResp="",PROCESSOS!H815=FiltroResp)),PROCESSOS!D815+ROW()/1000000,"")</f>
        <v/>
      </c>
    </row>
    <row r="816">
      <c r="BF816" t="str">
        <f>IF(AND(OR(PROCESSOS!N816="NO PRAZO",PROCESSOS!N816="VENCE EM BREVE"),OR(FiltroResp="TODOS",FiltroResp="",PROCESSOS!H816=FiltroResp)),PROCESSOS!L816+ROW()/1000000,"")</f>
        <v/>
      </c>
      <c r="BG816" t="str">
        <f>IF(AND(PROCESSOS!B816&lt;&gt;"",ISNUMBER(PROCESSOS!D816),OR(FiltroResp="TODOS",FiltroResp="",PROCESSOS!H816=FiltroResp)),PROCESSOS!D816+ROW()/1000000,"")</f>
        <v/>
      </c>
    </row>
    <row r="817">
      <c r="BF817" t="str">
        <f>IF(AND(OR(PROCESSOS!N817="NO PRAZO",PROCESSOS!N817="VENCE EM BREVE"),OR(FiltroResp="TODOS",FiltroResp="",PROCESSOS!H817=FiltroResp)),PROCESSOS!L817+ROW()/1000000,"")</f>
        <v/>
      </c>
      <c r="BG817" t="str">
        <f>IF(AND(PROCESSOS!B817&lt;&gt;"",ISNUMBER(PROCESSOS!D817),OR(FiltroResp="TODOS",FiltroResp="",PROCESSOS!H817=FiltroResp)),PROCESSOS!D817+ROW()/1000000,"")</f>
        <v/>
      </c>
    </row>
    <row r="818">
      <c r="BF818" t="str">
        <f>IF(AND(OR(PROCESSOS!N818="NO PRAZO",PROCESSOS!N818="VENCE EM BREVE"),OR(FiltroResp="TODOS",FiltroResp="",PROCESSOS!H818=FiltroResp)),PROCESSOS!L818+ROW()/1000000,"")</f>
        <v/>
      </c>
      <c r="BG818" t="str">
        <f>IF(AND(PROCESSOS!B818&lt;&gt;"",ISNUMBER(PROCESSOS!D818),OR(FiltroResp="TODOS",FiltroResp="",PROCESSOS!H818=FiltroResp)),PROCESSOS!D818+ROW()/1000000,"")</f>
        <v/>
      </c>
    </row>
    <row r="819">
      <c r="BF819" t="str">
        <f>IF(AND(OR(PROCESSOS!N819="NO PRAZO",PROCESSOS!N819="VENCE EM BREVE"),OR(FiltroResp="TODOS",FiltroResp="",PROCESSOS!H819=FiltroResp)),PROCESSOS!L819+ROW()/1000000,"")</f>
        <v/>
      </c>
      <c r="BG819" t="str">
        <f>IF(AND(PROCESSOS!B819&lt;&gt;"",ISNUMBER(PROCESSOS!D819),OR(FiltroResp="TODOS",FiltroResp="",PROCESSOS!H819=FiltroResp)),PROCESSOS!D819+ROW()/1000000,"")</f>
        <v/>
      </c>
    </row>
    <row r="820">
      <c r="BF820" t="str">
        <f>IF(AND(OR(PROCESSOS!N820="NO PRAZO",PROCESSOS!N820="VENCE EM BREVE"),OR(FiltroResp="TODOS",FiltroResp="",PROCESSOS!H820=FiltroResp)),PROCESSOS!L820+ROW()/1000000,"")</f>
        <v/>
      </c>
      <c r="BG820" t="str">
        <f>IF(AND(PROCESSOS!B820&lt;&gt;"",ISNUMBER(PROCESSOS!D820),OR(FiltroResp="TODOS",FiltroResp="",PROCESSOS!H820=FiltroResp)),PROCESSOS!D820+ROW()/1000000,"")</f>
        <v/>
      </c>
    </row>
    <row r="821">
      <c r="BF821" t="str">
        <f>IF(AND(OR(PROCESSOS!N821="NO PRAZO",PROCESSOS!N821="VENCE EM BREVE"),OR(FiltroResp="TODOS",FiltroResp="",PROCESSOS!H821=FiltroResp)),PROCESSOS!L821+ROW()/1000000,"")</f>
        <v/>
      </c>
      <c r="BG821" t="str">
        <f>IF(AND(PROCESSOS!B821&lt;&gt;"",ISNUMBER(PROCESSOS!D821),OR(FiltroResp="TODOS",FiltroResp="",PROCESSOS!H821=FiltroResp)),PROCESSOS!D821+ROW()/1000000,"")</f>
        <v/>
      </c>
    </row>
    <row r="822">
      <c r="BF822" t="str">
        <f>IF(AND(OR(PROCESSOS!N822="NO PRAZO",PROCESSOS!N822="VENCE EM BREVE"),OR(FiltroResp="TODOS",FiltroResp="",PROCESSOS!H822=FiltroResp)),PROCESSOS!L822+ROW()/1000000,"")</f>
        <v/>
      </c>
      <c r="BG822" t="str">
        <f>IF(AND(PROCESSOS!B822&lt;&gt;"",ISNUMBER(PROCESSOS!D822),OR(FiltroResp="TODOS",FiltroResp="",PROCESSOS!H822=FiltroResp)),PROCESSOS!D822+ROW()/1000000,"")</f>
        <v/>
      </c>
    </row>
    <row r="823">
      <c r="BF823" t="str">
        <f>IF(AND(OR(PROCESSOS!N823="NO PRAZO",PROCESSOS!N823="VENCE EM BREVE"),OR(FiltroResp="TODOS",FiltroResp="",PROCESSOS!H823=FiltroResp)),PROCESSOS!L823+ROW()/1000000,"")</f>
        <v/>
      </c>
      <c r="BG823" t="str">
        <f>IF(AND(PROCESSOS!B823&lt;&gt;"",ISNUMBER(PROCESSOS!D823),OR(FiltroResp="TODOS",FiltroResp="",PROCESSOS!H823=FiltroResp)),PROCESSOS!D823+ROW()/1000000,"")</f>
        <v/>
      </c>
    </row>
    <row r="824">
      <c r="BF824" t="str">
        <f>IF(AND(OR(PROCESSOS!N824="NO PRAZO",PROCESSOS!N824="VENCE EM BREVE"),OR(FiltroResp="TODOS",FiltroResp="",PROCESSOS!H824=FiltroResp)),PROCESSOS!L824+ROW()/1000000,"")</f>
        <v/>
      </c>
      <c r="BG824" t="str">
        <f>IF(AND(PROCESSOS!B824&lt;&gt;"",ISNUMBER(PROCESSOS!D824),OR(FiltroResp="TODOS",FiltroResp="",PROCESSOS!H824=FiltroResp)),PROCESSOS!D824+ROW()/1000000,"")</f>
        <v/>
      </c>
    </row>
    <row r="825">
      <c r="BF825" t="str">
        <f>IF(AND(OR(PROCESSOS!N825="NO PRAZO",PROCESSOS!N825="VENCE EM BREVE"),OR(FiltroResp="TODOS",FiltroResp="",PROCESSOS!H825=FiltroResp)),PROCESSOS!L825+ROW()/1000000,"")</f>
        <v/>
      </c>
      <c r="BG825" t="str">
        <f>IF(AND(PROCESSOS!B825&lt;&gt;"",ISNUMBER(PROCESSOS!D825),OR(FiltroResp="TODOS",FiltroResp="",PROCESSOS!H825=FiltroResp)),PROCESSOS!D825+ROW()/1000000,"")</f>
        <v/>
      </c>
    </row>
    <row r="826">
      <c r="BF826" t="str">
        <f>IF(AND(OR(PROCESSOS!N826="NO PRAZO",PROCESSOS!N826="VENCE EM BREVE"),OR(FiltroResp="TODOS",FiltroResp="",PROCESSOS!H826=FiltroResp)),PROCESSOS!L826+ROW()/1000000,"")</f>
        <v/>
      </c>
      <c r="BG826" t="str">
        <f>IF(AND(PROCESSOS!B826&lt;&gt;"",ISNUMBER(PROCESSOS!D826),OR(FiltroResp="TODOS",FiltroResp="",PROCESSOS!H826=FiltroResp)),PROCESSOS!D826+ROW()/1000000,"")</f>
        <v/>
      </c>
    </row>
    <row r="827">
      <c r="BF827" t="str">
        <f>IF(AND(OR(PROCESSOS!N827="NO PRAZO",PROCESSOS!N827="VENCE EM BREVE"),OR(FiltroResp="TODOS",FiltroResp="",PROCESSOS!H827=FiltroResp)),PROCESSOS!L827+ROW()/1000000,"")</f>
        <v/>
      </c>
      <c r="BG827" t="str">
        <f>IF(AND(PROCESSOS!B827&lt;&gt;"",ISNUMBER(PROCESSOS!D827),OR(FiltroResp="TODOS",FiltroResp="",PROCESSOS!H827=FiltroResp)),PROCESSOS!D827+ROW()/1000000,"")</f>
        <v/>
      </c>
    </row>
    <row r="828">
      <c r="BF828" t="str">
        <f>IF(AND(OR(PROCESSOS!N828="NO PRAZO",PROCESSOS!N828="VENCE EM BREVE"),OR(FiltroResp="TODOS",FiltroResp="",PROCESSOS!H828=FiltroResp)),PROCESSOS!L828+ROW()/1000000,"")</f>
        <v/>
      </c>
      <c r="BG828" t="str">
        <f>IF(AND(PROCESSOS!B828&lt;&gt;"",ISNUMBER(PROCESSOS!D828),OR(FiltroResp="TODOS",FiltroResp="",PROCESSOS!H828=FiltroResp)),PROCESSOS!D828+ROW()/1000000,"")</f>
        <v/>
      </c>
    </row>
    <row r="829">
      <c r="BF829" t="str">
        <f>IF(AND(OR(PROCESSOS!N829="NO PRAZO",PROCESSOS!N829="VENCE EM BREVE"),OR(FiltroResp="TODOS",FiltroResp="",PROCESSOS!H829=FiltroResp)),PROCESSOS!L829+ROW()/1000000,"")</f>
        <v/>
      </c>
      <c r="BG829" t="str">
        <f>IF(AND(PROCESSOS!B829&lt;&gt;"",ISNUMBER(PROCESSOS!D829),OR(FiltroResp="TODOS",FiltroResp="",PROCESSOS!H829=FiltroResp)),PROCESSOS!D829+ROW()/1000000,"")</f>
        <v/>
      </c>
    </row>
    <row r="830">
      <c r="BF830" t="str">
        <f>IF(AND(OR(PROCESSOS!N830="NO PRAZO",PROCESSOS!N830="VENCE EM BREVE"),OR(FiltroResp="TODOS",FiltroResp="",PROCESSOS!H830=FiltroResp)),PROCESSOS!L830+ROW()/1000000,"")</f>
        <v/>
      </c>
      <c r="BG830" t="str">
        <f>IF(AND(PROCESSOS!B830&lt;&gt;"",ISNUMBER(PROCESSOS!D830),OR(FiltroResp="TODOS",FiltroResp="",PROCESSOS!H830=FiltroResp)),PROCESSOS!D830+ROW()/1000000,"")</f>
        <v/>
      </c>
    </row>
    <row r="831">
      <c r="BF831" t="str">
        <f>IF(AND(OR(PROCESSOS!N831="NO PRAZO",PROCESSOS!N831="VENCE EM BREVE"),OR(FiltroResp="TODOS",FiltroResp="",PROCESSOS!H831=FiltroResp)),PROCESSOS!L831+ROW()/1000000,"")</f>
        <v/>
      </c>
      <c r="BG831" t="str">
        <f>IF(AND(PROCESSOS!B831&lt;&gt;"",ISNUMBER(PROCESSOS!D831),OR(FiltroResp="TODOS",FiltroResp="",PROCESSOS!H831=FiltroResp)),PROCESSOS!D831+ROW()/1000000,"")</f>
        <v/>
      </c>
    </row>
    <row r="832">
      <c r="BF832" t="str">
        <f>IF(AND(OR(PROCESSOS!N832="NO PRAZO",PROCESSOS!N832="VENCE EM BREVE"),OR(FiltroResp="TODOS",FiltroResp="",PROCESSOS!H832=FiltroResp)),PROCESSOS!L832+ROW()/1000000,"")</f>
        <v/>
      </c>
      <c r="BG832" t="str">
        <f>IF(AND(PROCESSOS!B832&lt;&gt;"",ISNUMBER(PROCESSOS!D832),OR(FiltroResp="TODOS",FiltroResp="",PROCESSOS!H832=FiltroResp)),PROCESSOS!D832+ROW()/1000000,"")</f>
        <v/>
      </c>
    </row>
    <row r="833">
      <c r="BF833" t="str">
        <f>IF(AND(OR(PROCESSOS!N833="NO PRAZO",PROCESSOS!N833="VENCE EM BREVE"),OR(FiltroResp="TODOS",FiltroResp="",PROCESSOS!H833=FiltroResp)),PROCESSOS!L833+ROW()/1000000,"")</f>
        <v/>
      </c>
      <c r="BG833" t="str">
        <f>IF(AND(PROCESSOS!B833&lt;&gt;"",ISNUMBER(PROCESSOS!D833),OR(FiltroResp="TODOS",FiltroResp="",PROCESSOS!H833=FiltroResp)),PROCESSOS!D833+ROW()/1000000,"")</f>
        <v/>
      </c>
    </row>
    <row r="834">
      <c r="BF834" t="str">
        <f>IF(AND(OR(PROCESSOS!N834="NO PRAZO",PROCESSOS!N834="VENCE EM BREVE"),OR(FiltroResp="TODOS",FiltroResp="",PROCESSOS!H834=FiltroResp)),PROCESSOS!L834+ROW()/1000000,"")</f>
        <v/>
      </c>
      <c r="BG834" t="str">
        <f>IF(AND(PROCESSOS!B834&lt;&gt;"",ISNUMBER(PROCESSOS!D834),OR(FiltroResp="TODOS",FiltroResp="",PROCESSOS!H834=FiltroResp)),PROCESSOS!D834+ROW()/1000000,"")</f>
        <v/>
      </c>
    </row>
    <row r="835">
      <c r="BF835" t="str">
        <f>IF(AND(OR(PROCESSOS!N835="NO PRAZO",PROCESSOS!N835="VENCE EM BREVE"),OR(FiltroResp="TODOS",FiltroResp="",PROCESSOS!H835=FiltroResp)),PROCESSOS!L835+ROW()/1000000,"")</f>
        <v/>
      </c>
      <c r="BG835" t="str">
        <f>IF(AND(PROCESSOS!B835&lt;&gt;"",ISNUMBER(PROCESSOS!D835),OR(FiltroResp="TODOS",FiltroResp="",PROCESSOS!H835=FiltroResp)),PROCESSOS!D835+ROW()/1000000,"")</f>
        <v/>
      </c>
    </row>
    <row r="836">
      <c r="BF836" t="str">
        <f>IF(AND(OR(PROCESSOS!N836="NO PRAZO",PROCESSOS!N836="VENCE EM BREVE"),OR(FiltroResp="TODOS",FiltroResp="",PROCESSOS!H836=FiltroResp)),PROCESSOS!L836+ROW()/1000000,"")</f>
        <v/>
      </c>
      <c r="BG836" t="str">
        <f>IF(AND(PROCESSOS!B836&lt;&gt;"",ISNUMBER(PROCESSOS!D836),OR(FiltroResp="TODOS",FiltroResp="",PROCESSOS!H836=FiltroResp)),PROCESSOS!D836+ROW()/1000000,"")</f>
        <v/>
      </c>
    </row>
    <row r="837">
      <c r="BF837" t="str">
        <f>IF(AND(OR(PROCESSOS!N837="NO PRAZO",PROCESSOS!N837="VENCE EM BREVE"),OR(FiltroResp="TODOS",FiltroResp="",PROCESSOS!H837=FiltroResp)),PROCESSOS!L837+ROW()/1000000,"")</f>
        <v/>
      </c>
      <c r="BG837" t="str">
        <f>IF(AND(PROCESSOS!B837&lt;&gt;"",ISNUMBER(PROCESSOS!D837),OR(FiltroResp="TODOS",FiltroResp="",PROCESSOS!H837=FiltroResp)),PROCESSOS!D837+ROW()/1000000,"")</f>
        <v/>
      </c>
    </row>
    <row r="838">
      <c r="BF838" t="str">
        <f>IF(AND(OR(PROCESSOS!N838="NO PRAZO",PROCESSOS!N838="VENCE EM BREVE"),OR(FiltroResp="TODOS",FiltroResp="",PROCESSOS!H838=FiltroResp)),PROCESSOS!L838+ROW()/1000000,"")</f>
        <v/>
      </c>
      <c r="BG838" t="str">
        <f>IF(AND(PROCESSOS!B838&lt;&gt;"",ISNUMBER(PROCESSOS!D838),OR(FiltroResp="TODOS",FiltroResp="",PROCESSOS!H838=FiltroResp)),PROCESSOS!D838+ROW()/1000000,"")</f>
        <v/>
      </c>
    </row>
    <row r="839">
      <c r="BF839" t="str">
        <f>IF(AND(OR(PROCESSOS!N839="NO PRAZO",PROCESSOS!N839="VENCE EM BREVE"),OR(FiltroResp="TODOS",FiltroResp="",PROCESSOS!H839=FiltroResp)),PROCESSOS!L839+ROW()/1000000,"")</f>
        <v/>
      </c>
      <c r="BG839" t="str">
        <f>IF(AND(PROCESSOS!B839&lt;&gt;"",ISNUMBER(PROCESSOS!D839),OR(FiltroResp="TODOS",FiltroResp="",PROCESSOS!H839=FiltroResp)),PROCESSOS!D839+ROW()/1000000,"")</f>
        <v/>
      </c>
    </row>
    <row r="840">
      <c r="BF840" t="str">
        <f>IF(AND(OR(PROCESSOS!N840="NO PRAZO",PROCESSOS!N840="VENCE EM BREVE"),OR(FiltroResp="TODOS",FiltroResp="",PROCESSOS!H840=FiltroResp)),PROCESSOS!L840+ROW()/1000000,"")</f>
        <v/>
      </c>
      <c r="BG840" t="str">
        <f>IF(AND(PROCESSOS!B840&lt;&gt;"",ISNUMBER(PROCESSOS!D840),OR(FiltroResp="TODOS",FiltroResp="",PROCESSOS!H840=FiltroResp)),PROCESSOS!D840+ROW()/1000000,"")</f>
        <v/>
      </c>
    </row>
    <row r="841">
      <c r="BF841" t="str">
        <f>IF(AND(OR(PROCESSOS!N841="NO PRAZO",PROCESSOS!N841="VENCE EM BREVE"),OR(FiltroResp="TODOS",FiltroResp="",PROCESSOS!H841=FiltroResp)),PROCESSOS!L841+ROW()/1000000,"")</f>
        <v/>
      </c>
      <c r="BG841" t="str">
        <f>IF(AND(PROCESSOS!B841&lt;&gt;"",ISNUMBER(PROCESSOS!D841),OR(FiltroResp="TODOS",FiltroResp="",PROCESSOS!H841=FiltroResp)),PROCESSOS!D841+ROW()/1000000,"")</f>
        <v/>
      </c>
    </row>
    <row r="842">
      <c r="BF842" t="str">
        <f>IF(AND(OR(PROCESSOS!N842="NO PRAZO",PROCESSOS!N842="VENCE EM BREVE"),OR(FiltroResp="TODOS",FiltroResp="",PROCESSOS!H842=FiltroResp)),PROCESSOS!L842+ROW()/1000000,"")</f>
        <v/>
      </c>
      <c r="BG842" t="str">
        <f>IF(AND(PROCESSOS!B842&lt;&gt;"",ISNUMBER(PROCESSOS!D842),OR(FiltroResp="TODOS",FiltroResp="",PROCESSOS!H842=FiltroResp)),PROCESSOS!D842+ROW()/1000000,"")</f>
        <v/>
      </c>
    </row>
    <row r="843">
      <c r="BF843" t="str">
        <f>IF(AND(OR(PROCESSOS!N843="NO PRAZO",PROCESSOS!N843="VENCE EM BREVE"),OR(FiltroResp="TODOS",FiltroResp="",PROCESSOS!H843=FiltroResp)),PROCESSOS!L843+ROW()/1000000,"")</f>
        <v/>
      </c>
      <c r="BG843" t="str">
        <f>IF(AND(PROCESSOS!B843&lt;&gt;"",ISNUMBER(PROCESSOS!D843),OR(FiltroResp="TODOS",FiltroResp="",PROCESSOS!H843=FiltroResp)),PROCESSOS!D843+ROW()/1000000,"")</f>
        <v/>
      </c>
    </row>
    <row r="844">
      <c r="BF844" t="str">
        <f>IF(AND(OR(PROCESSOS!N844="NO PRAZO",PROCESSOS!N844="VENCE EM BREVE"),OR(FiltroResp="TODOS",FiltroResp="",PROCESSOS!H844=FiltroResp)),PROCESSOS!L844+ROW()/1000000,"")</f>
        <v/>
      </c>
      <c r="BG844" t="str">
        <f>IF(AND(PROCESSOS!B844&lt;&gt;"",ISNUMBER(PROCESSOS!D844),OR(FiltroResp="TODOS",FiltroResp="",PROCESSOS!H844=FiltroResp)),PROCESSOS!D844+ROW()/1000000,"")</f>
        <v/>
      </c>
    </row>
    <row r="845">
      <c r="BF845" t="str">
        <f>IF(AND(OR(PROCESSOS!N845="NO PRAZO",PROCESSOS!N845="VENCE EM BREVE"),OR(FiltroResp="TODOS",FiltroResp="",PROCESSOS!H845=FiltroResp)),PROCESSOS!L845+ROW()/1000000,"")</f>
        <v/>
      </c>
      <c r="BG845" t="str">
        <f>IF(AND(PROCESSOS!B845&lt;&gt;"",ISNUMBER(PROCESSOS!D845),OR(FiltroResp="TODOS",FiltroResp="",PROCESSOS!H845=FiltroResp)),PROCESSOS!D845+ROW()/1000000,"")</f>
        <v/>
      </c>
    </row>
    <row r="846">
      <c r="BF846" t="str">
        <f>IF(AND(OR(PROCESSOS!N846="NO PRAZO",PROCESSOS!N846="VENCE EM BREVE"),OR(FiltroResp="TODOS",FiltroResp="",PROCESSOS!H846=FiltroResp)),PROCESSOS!L846+ROW()/1000000,"")</f>
        <v/>
      </c>
      <c r="BG846" t="str">
        <f>IF(AND(PROCESSOS!B846&lt;&gt;"",ISNUMBER(PROCESSOS!D846),OR(FiltroResp="TODOS",FiltroResp="",PROCESSOS!H846=FiltroResp)),PROCESSOS!D846+ROW()/1000000,"")</f>
        <v/>
      </c>
    </row>
    <row r="847">
      <c r="BF847" t="str">
        <f>IF(AND(OR(PROCESSOS!N847="NO PRAZO",PROCESSOS!N847="VENCE EM BREVE"),OR(FiltroResp="TODOS",FiltroResp="",PROCESSOS!H847=FiltroResp)),PROCESSOS!L847+ROW()/1000000,"")</f>
        <v/>
      </c>
      <c r="BG847" t="str">
        <f>IF(AND(PROCESSOS!B847&lt;&gt;"",ISNUMBER(PROCESSOS!D847),OR(FiltroResp="TODOS",FiltroResp="",PROCESSOS!H847=FiltroResp)),PROCESSOS!D847+ROW()/1000000,"")</f>
        <v/>
      </c>
    </row>
    <row r="848">
      <c r="BF848" t="str">
        <f>IF(AND(OR(PROCESSOS!N848="NO PRAZO",PROCESSOS!N848="VENCE EM BREVE"),OR(FiltroResp="TODOS",FiltroResp="",PROCESSOS!H848=FiltroResp)),PROCESSOS!L848+ROW()/1000000,"")</f>
        <v/>
      </c>
      <c r="BG848" t="str">
        <f>IF(AND(PROCESSOS!B848&lt;&gt;"",ISNUMBER(PROCESSOS!D848),OR(FiltroResp="TODOS",FiltroResp="",PROCESSOS!H848=FiltroResp)),PROCESSOS!D848+ROW()/1000000,"")</f>
        <v/>
      </c>
    </row>
    <row r="849">
      <c r="BF849" t="str">
        <f>IF(AND(OR(PROCESSOS!N849="NO PRAZO",PROCESSOS!N849="VENCE EM BREVE"),OR(FiltroResp="TODOS",FiltroResp="",PROCESSOS!H849=FiltroResp)),PROCESSOS!L849+ROW()/1000000,"")</f>
        <v/>
      </c>
      <c r="BG849" t="str">
        <f>IF(AND(PROCESSOS!B849&lt;&gt;"",ISNUMBER(PROCESSOS!D849),OR(FiltroResp="TODOS",FiltroResp="",PROCESSOS!H849=FiltroResp)),PROCESSOS!D849+ROW()/1000000,"")</f>
        <v/>
      </c>
    </row>
    <row r="850">
      <c r="BF850" t="str">
        <f>IF(AND(OR(PROCESSOS!N850="NO PRAZO",PROCESSOS!N850="VENCE EM BREVE"),OR(FiltroResp="TODOS",FiltroResp="",PROCESSOS!H850=FiltroResp)),PROCESSOS!L850+ROW()/1000000,"")</f>
        <v/>
      </c>
      <c r="BG850" t="str">
        <f>IF(AND(PROCESSOS!B850&lt;&gt;"",ISNUMBER(PROCESSOS!D850),OR(FiltroResp="TODOS",FiltroResp="",PROCESSOS!H850=FiltroResp)),PROCESSOS!D850+ROW()/1000000,"")</f>
        <v/>
      </c>
    </row>
    <row r="851">
      <c r="BF851" t="str">
        <f>IF(AND(OR(PROCESSOS!N851="NO PRAZO",PROCESSOS!N851="VENCE EM BREVE"),OR(FiltroResp="TODOS",FiltroResp="",PROCESSOS!H851=FiltroResp)),PROCESSOS!L851+ROW()/1000000,"")</f>
        <v/>
      </c>
      <c r="BG851" t="str">
        <f>IF(AND(PROCESSOS!B851&lt;&gt;"",ISNUMBER(PROCESSOS!D851),OR(FiltroResp="TODOS",FiltroResp="",PROCESSOS!H851=FiltroResp)),PROCESSOS!D851+ROW()/1000000,"")</f>
        <v/>
      </c>
    </row>
    <row r="852">
      <c r="BF852" t="str">
        <f>IF(AND(OR(PROCESSOS!N852="NO PRAZO",PROCESSOS!N852="VENCE EM BREVE"),OR(FiltroResp="TODOS",FiltroResp="",PROCESSOS!H852=FiltroResp)),PROCESSOS!L852+ROW()/1000000,"")</f>
        <v/>
      </c>
      <c r="BG852" t="str">
        <f>IF(AND(PROCESSOS!B852&lt;&gt;"",ISNUMBER(PROCESSOS!D852),OR(FiltroResp="TODOS",FiltroResp="",PROCESSOS!H852=FiltroResp)),PROCESSOS!D852+ROW()/1000000,"")</f>
        <v/>
      </c>
    </row>
    <row r="853">
      <c r="BF853" t="str">
        <f>IF(AND(OR(PROCESSOS!N853="NO PRAZO",PROCESSOS!N853="VENCE EM BREVE"),OR(FiltroResp="TODOS",FiltroResp="",PROCESSOS!H853=FiltroResp)),PROCESSOS!L853+ROW()/1000000,"")</f>
        <v/>
      </c>
      <c r="BG853" t="str">
        <f>IF(AND(PROCESSOS!B853&lt;&gt;"",ISNUMBER(PROCESSOS!D853),OR(FiltroResp="TODOS",FiltroResp="",PROCESSOS!H853=FiltroResp)),PROCESSOS!D853+ROW()/1000000,"")</f>
        <v/>
      </c>
    </row>
    <row r="854">
      <c r="BF854" t="str">
        <f>IF(AND(OR(PROCESSOS!N854="NO PRAZO",PROCESSOS!N854="VENCE EM BREVE"),OR(FiltroResp="TODOS",FiltroResp="",PROCESSOS!H854=FiltroResp)),PROCESSOS!L854+ROW()/1000000,"")</f>
        <v/>
      </c>
      <c r="BG854" t="str">
        <f>IF(AND(PROCESSOS!B854&lt;&gt;"",ISNUMBER(PROCESSOS!D854),OR(FiltroResp="TODOS",FiltroResp="",PROCESSOS!H854=FiltroResp)),PROCESSOS!D854+ROW()/1000000,"")</f>
        <v/>
      </c>
    </row>
    <row r="855">
      <c r="BF855" t="str">
        <f>IF(AND(OR(PROCESSOS!N855="NO PRAZO",PROCESSOS!N855="VENCE EM BREVE"),OR(FiltroResp="TODOS",FiltroResp="",PROCESSOS!H855=FiltroResp)),PROCESSOS!L855+ROW()/1000000,"")</f>
        <v/>
      </c>
      <c r="BG855" t="str">
        <f>IF(AND(PROCESSOS!B855&lt;&gt;"",ISNUMBER(PROCESSOS!D855),OR(FiltroResp="TODOS",FiltroResp="",PROCESSOS!H855=FiltroResp)),PROCESSOS!D855+ROW()/1000000,"")</f>
        <v/>
      </c>
    </row>
    <row r="856">
      <c r="BF856" t="str">
        <f>IF(AND(OR(PROCESSOS!N856="NO PRAZO",PROCESSOS!N856="VENCE EM BREVE"),OR(FiltroResp="TODOS",FiltroResp="",PROCESSOS!H856=FiltroResp)),PROCESSOS!L856+ROW()/1000000,"")</f>
        <v/>
      </c>
      <c r="BG856" t="str">
        <f>IF(AND(PROCESSOS!B856&lt;&gt;"",ISNUMBER(PROCESSOS!D856),OR(FiltroResp="TODOS",FiltroResp="",PROCESSOS!H856=FiltroResp)),PROCESSOS!D856+ROW()/1000000,"")</f>
        <v/>
      </c>
    </row>
    <row r="857">
      <c r="BF857" t="str">
        <f>IF(AND(OR(PROCESSOS!N857="NO PRAZO",PROCESSOS!N857="VENCE EM BREVE"),OR(FiltroResp="TODOS",FiltroResp="",PROCESSOS!H857=FiltroResp)),PROCESSOS!L857+ROW()/1000000,"")</f>
        <v/>
      </c>
      <c r="BG857" t="str">
        <f>IF(AND(PROCESSOS!B857&lt;&gt;"",ISNUMBER(PROCESSOS!D857),OR(FiltroResp="TODOS",FiltroResp="",PROCESSOS!H857=FiltroResp)),PROCESSOS!D857+ROW()/1000000,"")</f>
        <v/>
      </c>
    </row>
    <row r="858">
      <c r="BF858" t="str">
        <f>IF(AND(OR(PROCESSOS!N858="NO PRAZO",PROCESSOS!N858="VENCE EM BREVE"),OR(FiltroResp="TODOS",FiltroResp="",PROCESSOS!H858=FiltroResp)),PROCESSOS!L858+ROW()/1000000,"")</f>
        <v/>
      </c>
      <c r="BG858" t="str">
        <f>IF(AND(PROCESSOS!B858&lt;&gt;"",ISNUMBER(PROCESSOS!D858),OR(FiltroResp="TODOS",FiltroResp="",PROCESSOS!H858=FiltroResp)),PROCESSOS!D858+ROW()/1000000,"")</f>
        <v/>
      </c>
    </row>
    <row r="859">
      <c r="BF859" t="str">
        <f>IF(AND(OR(PROCESSOS!N859="NO PRAZO",PROCESSOS!N859="VENCE EM BREVE"),OR(FiltroResp="TODOS",FiltroResp="",PROCESSOS!H859=FiltroResp)),PROCESSOS!L859+ROW()/1000000,"")</f>
        <v/>
      </c>
      <c r="BG859" t="str">
        <f>IF(AND(PROCESSOS!B859&lt;&gt;"",ISNUMBER(PROCESSOS!D859),OR(FiltroResp="TODOS",FiltroResp="",PROCESSOS!H859=FiltroResp)),PROCESSOS!D859+ROW()/1000000,"")</f>
        <v/>
      </c>
    </row>
    <row r="860">
      <c r="BF860" t="str">
        <f>IF(AND(OR(PROCESSOS!N860="NO PRAZO",PROCESSOS!N860="VENCE EM BREVE"),OR(FiltroResp="TODOS",FiltroResp="",PROCESSOS!H860=FiltroResp)),PROCESSOS!L860+ROW()/1000000,"")</f>
        <v/>
      </c>
      <c r="BG860" t="str">
        <f>IF(AND(PROCESSOS!B860&lt;&gt;"",ISNUMBER(PROCESSOS!D860),OR(FiltroResp="TODOS",FiltroResp="",PROCESSOS!H860=FiltroResp)),PROCESSOS!D860+ROW()/1000000,"")</f>
        <v/>
      </c>
    </row>
    <row r="861">
      <c r="BF861" t="str">
        <f>IF(AND(OR(PROCESSOS!N861="NO PRAZO",PROCESSOS!N861="VENCE EM BREVE"),OR(FiltroResp="TODOS",FiltroResp="",PROCESSOS!H861=FiltroResp)),PROCESSOS!L861+ROW()/1000000,"")</f>
        <v/>
      </c>
      <c r="BG861" t="str">
        <f>IF(AND(PROCESSOS!B861&lt;&gt;"",ISNUMBER(PROCESSOS!D861),OR(FiltroResp="TODOS",FiltroResp="",PROCESSOS!H861=FiltroResp)),PROCESSOS!D861+ROW()/1000000,"")</f>
        <v/>
      </c>
    </row>
    <row r="862">
      <c r="BF862" t="str">
        <f>IF(AND(OR(PROCESSOS!N862="NO PRAZO",PROCESSOS!N862="VENCE EM BREVE"),OR(FiltroResp="TODOS",FiltroResp="",PROCESSOS!H862=FiltroResp)),PROCESSOS!L862+ROW()/1000000,"")</f>
        <v/>
      </c>
      <c r="BG862" t="str">
        <f>IF(AND(PROCESSOS!B862&lt;&gt;"",ISNUMBER(PROCESSOS!D862),OR(FiltroResp="TODOS",FiltroResp="",PROCESSOS!H862=FiltroResp)),PROCESSOS!D862+ROW()/1000000,"")</f>
        <v/>
      </c>
    </row>
    <row r="863">
      <c r="BF863" t="str">
        <f>IF(AND(OR(PROCESSOS!N863="NO PRAZO",PROCESSOS!N863="VENCE EM BREVE"),OR(FiltroResp="TODOS",FiltroResp="",PROCESSOS!H863=FiltroResp)),PROCESSOS!L863+ROW()/1000000,"")</f>
        <v/>
      </c>
      <c r="BG863" t="str">
        <f>IF(AND(PROCESSOS!B863&lt;&gt;"",ISNUMBER(PROCESSOS!D863),OR(FiltroResp="TODOS",FiltroResp="",PROCESSOS!H863=FiltroResp)),PROCESSOS!D863+ROW()/1000000,"")</f>
        <v/>
      </c>
    </row>
    <row r="864">
      <c r="BF864" t="str">
        <f>IF(AND(OR(PROCESSOS!N864="NO PRAZO",PROCESSOS!N864="VENCE EM BREVE"),OR(FiltroResp="TODOS",FiltroResp="",PROCESSOS!H864=FiltroResp)),PROCESSOS!L864+ROW()/1000000,"")</f>
        <v/>
      </c>
      <c r="BG864" t="str">
        <f>IF(AND(PROCESSOS!B864&lt;&gt;"",ISNUMBER(PROCESSOS!D864),OR(FiltroResp="TODOS",FiltroResp="",PROCESSOS!H864=FiltroResp)),PROCESSOS!D864+ROW()/1000000,"")</f>
        <v/>
      </c>
    </row>
    <row r="865">
      <c r="BF865" t="str">
        <f>IF(AND(OR(PROCESSOS!N865="NO PRAZO",PROCESSOS!N865="VENCE EM BREVE"),OR(FiltroResp="TODOS",FiltroResp="",PROCESSOS!H865=FiltroResp)),PROCESSOS!L865+ROW()/1000000,"")</f>
        <v/>
      </c>
      <c r="BG865" t="str">
        <f>IF(AND(PROCESSOS!B865&lt;&gt;"",ISNUMBER(PROCESSOS!D865),OR(FiltroResp="TODOS",FiltroResp="",PROCESSOS!H865=FiltroResp)),PROCESSOS!D865+ROW()/1000000,"")</f>
        <v/>
      </c>
    </row>
    <row r="866">
      <c r="BF866" t="str">
        <f>IF(AND(OR(PROCESSOS!N866="NO PRAZO",PROCESSOS!N866="VENCE EM BREVE"),OR(FiltroResp="TODOS",FiltroResp="",PROCESSOS!H866=FiltroResp)),PROCESSOS!L866+ROW()/1000000,"")</f>
        <v/>
      </c>
      <c r="BG866" t="str">
        <f>IF(AND(PROCESSOS!B866&lt;&gt;"",ISNUMBER(PROCESSOS!D866),OR(FiltroResp="TODOS",FiltroResp="",PROCESSOS!H866=FiltroResp)),PROCESSOS!D866+ROW()/1000000,"")</f>
        <v/>
      </c>
    </row>
    <row r="867">
      <c r="BF867" t="str">
        <f>IF(AND(OR(PROCESSOS!N867="NO PRAZO",PROCESSOS!N867="VENCE EM BREVE"),OR(FiltroResp="TODOS",FiltroResp="",PROCESSOS!H867=FiltroResp)),PROCESSOS!L867+ROW()/1000000,"")</f>
        <v/>
      </c>
      <c r="BG867" t="str">
        <f>IF(AND(PROCESSOS!B867&lt;&gt;"",ISNUMBER(PROCESSOS!D867),OR(FiltroResp="TODOS",FiltroResp="",PROCESSOS!H867=FiltroResp)),PROCESSOS!D867+ROW()/1000000,"")</f>
        <v/>
      </c>
    </row>
    <row r="868">
      <c r="BF868" t="str">
        <f>IF(AND(OR(PROCESSOS!N868="NO PRAZO",PROCESSOS!N868="VENCE EM BREVE"),OR(FiltroResp="TODOS",FiltroResp="",PROCESSOS!H868=FiltroResp)),PROCESSOS!L868+ROW()/1000000,"")</f>
        <v/>
      </c>
      <c r="BG868" t="str">
        <f>IF(AND(PROCESSOS!B868&lt;&gt;"",ISNUMBER(PROCESSOS!D868),OR(FiltroResp="TODOS",FiltroResp="",PROCESSOS!H868=FiltroResp)),PROCESSOS!D868+ROW()/1000000,"")</f>
        <v/>
      </c>
    </row>
    <row r="869">
      <c r="BF869" t="str">
        <f>IF(AND(OR(PROCESSOS!N869="NO PRAZO",PROCESSOS!N869="VENCE EM BREVE"),OR(FiltroResp="TODOS",FiltroResp="",PROCESSOS!H869=FiltroResp)),PROCESSOS!L869+ROW()/1000000,"")</f>
        <v/>
      </c>
      <c r="BG869" t="str">
        <f>IF(AND(PROCESSOS!B869&lt;&gt;"",ISNUMBER(PROCESSOS!D869),OR(FiltroResp="TODOS",FiltroResp="",PROCESSOS!H869=FiltroResp)),PROCESSOS!D869+ROW()/1000000,"")</f>
        <v/>
      </c>
    </row>
    <row r="870">
      <c r="BF870" t="str">
        <f>IF(AND(OR(PROCESSOS!N870="NO PRAZO",PROCESSOS!N870="VENCE EM BREVE"),OR(FiltroResp="TODOS",FiltroResp="",PROCESSOS!H870=FiltroResp)),PROCESSOS!L870+ROW()/1000000,"")</f>
        <v/>
      </c>
      <c r="BG870" t="str">
        <f>IF(AND(PROCESSOS!B870&lt;&gt;"",ISNUMBER(PROCESSOS!D870),OR(FiltroResp="TODOS",FiltroResp="",PROCESSOS!H870=FiltroResp)),PROCESSOS!D870+ROW()/1000000,"")</f>
        <v/>
      </c>
    </row>
    <row r="871">
      <c r="BF871" t="str">
        <f>IF(AND(OR(PROCESSOS!N871="NO PRAZO",PROCESSOS!N871="VENCE EM BREVE"),OR(FiltroResp="TODOS",FiltroResp="",PROCESSOS!H871=FiltroResp)),PROCESSOS!L871+ROW()/1000000,"")</f>
        <v/>
      </c>
      <c r="BG871" t="str">
        <f>IF(AND(PROCESSOS!B871&lt;&gt;"",ISNUMBER(PROCESSOS!D871),OR(FiltroResp="TODOS",FiltroResp="",PROCESSOS!H871=FiltroResp)),PROCESSOS!D871+ROW()/1000000,"")</f>
        <v/>
      </c>
    </row>
    <row r="872">
      <c r="BF872" t="str">
        <f>IF(AND(OR(PROCESSOS!N872="NO PRAZO",PROCESSOS!N872="VENCE EM BREVE"),OR(FiltroResp="TODOS",FiltroResp="",PROCESSOS!H872=FiltroResp)),PROCESSOS!L872+ROW()/1000000,"")</f>
        <v/>
      </c>
      <c r="BG872" t="str">
        <f>IF(AND(PROCESSOS!B872&lt;&gt;"",ISNUMBER(PROCESSOS!D872),OR(FiltroResp="TODOS",FiltroResp="",PROCESSOS!H872=FiltroResp)),PROCESSOS!D872+ROW()/1000000,"")</f>
        <v/>
      </c>
    </row>
    <row r="873">
      <c r="BF873" t="str">
        <f>IF(AND(OR(PROCESSOS!N873="NO PRAZO",PROCESSOS!N873="VENCE EM BREVE"),OR(FiltroResp="TODOS",FiltroResp="",PROCESSOS!H873=FiltroResp)),PROCESSOS!L873+ROW()/1000000,"")</f>
        <v/>
      </c>
      <c r="BG873" t="str">
        <f>IF(AND(PROCESSOS!B873&lt;&gt;"",ISNUMBER(PROCESSOS!D873),OR(FiltroResp="TODOS",FiltroResp="",PROCESSOS!H873=FiltroResp)),PROCESSOS!D873+ROW()/1000000,"")</f>
        <v/>
      </c>
    </row>
    <row r="874">
      <c r="BF874" t="str">
        <f>IF(AND(OR(PROCESSOS!N874="NO PRAZO",PROCESSOS!N874="VENCE EM BREVE"),OR(FiltroResp="TODOS",FiltroResp="",PROCESSOS!H874=FiltroResp)),PROCESSOS!L874+ROW()/1000000,"")</f>
        <v/>
      </c>
      <c r="BG874" t="str">
        <f>IF(AND(PROCESSOS!B874&lt;&gt;"",ISNUMBER(PROCESSOS!D874),OR(FiltroResp="TODOS",FiltroResp="",PROCESSOS!H874=FiltroResp)),PROCESSOS!D874+ROW()/1000000,"")</f>
        <v/>
      </c>
    </row>
    <row r="875">
      <c r="BF875" t="str">
        <f>IF(AND(OR(PROCESSOS!N875="NO PRAZO",PROCESSOS!N875="VENCE EM BREVE"),OR(FiltroResp="TODOS",FiltroResp="",PROCESSOS!H875=FiltroResp)),PROCESSOS!L875+ROW()/1000000,"")</f>
        <v/>
      </c>
      <c r="BG875" t="str">
        <f>IF(AND(PROCESSOS!B875&lt;&gt;"",ISNUMBER(PROCESSOS!D875),OR(FiltroResp="TODOS",FiltroResp="",PROCESSOS!H875=FiltroResp)),PROCESSOS!D875+ROW()/1000000,"")</f>
        <v/>
      </c>
    </row>
    <row r="876">
      <c r="BF876" t="str">
        <f>IF(AND(OR(PROCESSOS!N876="NO PRAZO",PROCESSOS!N876="VENCE EM BREVE"),OR(FiltroResp="TODOS",FiltroResp="",PROCESSOS!H876=FiltroResp)),PROCESSOS!L876+ROW()/1000000,"")</f>
        <v/>
      </c>
      <c r="BG876" t="str">
        <f>IF(AND(PROCESSOS!B876&lt;&gt;"",ISNUMBER(PROCESSOS!D876),OR(FiltroResp="TODOS",FiltroResp="",PROCESSOS!H876=FiltroResp)),PROCESSOS!D876+ROW()/1000000,"")</f>
        <v/>
      </c>
    </row>
    <row r="877">
      <c r="BF877" t="str">
        <f>IF(AND(OR(PROCESSOS!N877="NO PRAZO",PROCESSOS!N877="VENCE EM BREVE"),OR(FiltroResp="TODOS",FiltroResp="",PROCESSOS!H877=FiltroResp)),PROCESSOS!L877+ROW()/1000000,"")</f>
        <v/>
      </c>
      <c r="BG877" t="str">
        <f>IF(AND(PROCESSOS!B877&lt;&gt;"",ISNUMBER(PROCESSOS!D877),OR(FiltroResp="TODOS",FiltroResp="",PROCESSOS!H877=FiltroResp)),PROCESSOS!D877+ROW()/1000000,"")</f>
        <v/>
      </c>
    </row>
    <row r="878">
      <c r="BF878" t="str">
        <f>IF(AND(OR(PROCESSOS!N878="NO PRAZO",PROCESSOS!N878="VENCE EM BREVE"),OR(FiltroResp="TODOS",FiltroResp="",PROCESSOS!H878=FiltroResp)),PROCESSOS!L878+ROW()/1000000,"")</f>
        <v/>
      </c>
      <c r="BG878" t="str">
        <f>IF(AND(PROCESSOS!B878&lt;&gt;"",ISNUMBER(PROCESSOS!D878),OR(FiltroResp="TODOS",FiltroResp="",PROCESSOS!H878=FiltroResp)),PROCESSOS!D878+ROW()/1000000,"")</f>
        <v/>
      </c>
    </row>
    <row r="879">
      <c r="BF879" t="str">
        <f>IF(AND(OR(PROCESSOS!N879="NO PRAZO",PROCESSOS!N879="VENCE EM BREVE"),OR(FiltroResp="TODOS",FiltroResp="",PROCESSOS!H879=FiltroResp)),PROCESSOS!L879+ROW()/1000000,"")</f>
        <v/>
      </c>
      <c r="BG879" t="str">
        <f>IF(AND(PROCESSOS!B879&lt;&gt;"",ISNUMBER(PROCESSOS!D879),OR(FiltroResp="TODOS",FiltroResp="",PROCESSOS!H879=FiltroResp)),PROCESSOS!D879+ROW()/1000000,"")</f>
        <v/>
      </c>
    </row>
    <row r="880">
      <c r="BF880" t="str">
        <f>IF(AND(OR(PROCESSOS!N880="NO PRAZO",PROCESSOS!N880="VENCE EM BREVE"),OR(FiltroResp="TODOS",FiltroResp="",PROCESSOS!H880=FiltroResp)),PROCESSOS!L880+ROW()/1000000,"")</f>
        <v/>
      </c>
      <c r="BG880" t="str">
        <f>IF(AND(PROCESSOS!B880&lt;&gt;"",ISNUMBER(PROCESSOS!D880),OR(FiltroResp="TODOS",FiltroResp="",PROCESSOS!H880=FiltroResp)),PROCESSOS!D880+ROW()/1000000,"")</f>
        <v/>
      </c>
    </row>
    <row r="881">
      <c r="BF881" t="str">
        <f>IF(AND(OR(PROCESSOS!N881="NO PRAZO",PROCESSOS!N881="VENCE EM BREVE"),OR(FiltroResp="TODOS",FiltroResp="",PROCESSOS!H881=FiltroResp)),PROCESSOS!L881+ROW()/1000000,"")</f>
        <v/>
      </c>
      <c r="BG881" t="str">
        <f>IF(AND(PROCESSOS!B881&lt;&gt;"",ISNUMBER(PROCESSOS!D881),OR(FiltroResp="TODOS",FiltroResp="",PROCESSOS!H881=FiltroResp)),PROCESSOS!D881+ROW()/1000000,"")</f>
        <v/>
      </c>
    </row>
    <row r="882">
      <c r="BF882" t="str">
        <f>IF(AND(OR(PROCESSOS!N882="NO PRAZO",PROCESSOS!N882="VENCE EM BREVE"),OR(FiltroResp="TODOS",FiltroResp="",PROCESSOS!H882=FiltroResp)),PROCESSOS!L882+ROW()/1000000,"")</f>
        <v/>
      </c>
      <c r="BG882" t="str">
        <f>IF(AND(PROCESSOS!B882&lt;&gt;"",ISNUMBER(PROCESSOS!D882),OR(FiltroResp="TODOS",FiltroResp="",PROCESSOS!H882=FiltroResp)),PROCESSOS!D882+ROW()/1000000,"")</f>
        <v/>
      </c>
    </row>
    <row r="883">
      <c r="BF883" t="str">
        <f>IF(AND(OR(PROCESSOS!N883="NO PRAZO",PROCESSOS!N883="VENCE EM BREVE"),OR(FiltroResp="TODOS",FiltroResp="",PROCESSOS!H883=FiltroResp)),PROCESSOS!L883+ROW()/1000000,"")</f>
        <v/>
      </c>
      <c r="BG883" t="str">
        <f>IF(AND(PROCESSOS!B883&lt;&gt;"",ISNUMBER(PROCESSOS!D883),OR(FiltroResp="TODOS",FiltroResp="",PROCESSOS!H883=FiltroResp)),PROCESSOS!D883+ROW()/1000000,"")</f>
        <v/>
      </c>
    </row>
    <row r="884">
      <c r="BF884" t="str">
        <f>IF(AND(OR(PROCESSOS!N884="NO PRAZO",PROCESSOS!N884="VENCE EM BREVE"),OR(FiltroResp="TODOS",FiltroResp="",PROCESSOS!H884=FiltroResp)),PROCESSOS!L884+ROW()/1000000,"")</f>
        <v/>
      </c>
      <c r="BG884" t="str">
        <f>IF(AND(PROCESSOS!B884&lt;&gt;"",ISNUMBER(PROCESSOS!D884),OR(FiltroResp="TODOS",FiltroResp="",PROCESSOS!H884=FiltroResp)),PROCESSOS!D884+ROW()/1000000,"")</f>
        <v/>
      </c>
    </row>
    <row r="885">
      <c r="BF885" t="str">
        <f>IF(AND(OR(PROCESSOS!N885="NO PRAZO",PROCESSOS!N885="VENCE EM BREVE"),OR(FiltroResp="TODOS",FiltroResp="",PROCESSOS!H885=FiltroResp)),PROCESSOS!L885+ROW()/1000000,"")</f>
        <v/>
      </c>
      <c r="BG885" t="str">
        <f>IF(AND(PROCESSOS!B885&lt;&gt;"",ISNUMBER(PROCESSOS!D885),OR(FiltroResp="TODOS",FiltroResp="",PROCESSOS!H885=FiltroResp)),PROCESSOS!D885+ROW()/1000000,"")</f>
        <v/>
      </c>
    </row>
    <row r="886">
      <c r="BF886" t="str">
        <f>IF(AND(OR(PROCESSOS!N886="NO PRAZO",PROCESSOS!N886="VENCE EM BREVE"),OR(FiltroResp="TODOS",FiltroResp="",PROCESSOS!H886=FiltroResp)),PROCESSOS!L886+ROW()/1000000,"")</f>
        <v/>
      </c>
      <c r="BG886" t="str">
        <f>IF(AND(PROCESSOS!B886&lt;&gt;"",ISNUMBER(PROCESSOS!D886),OR(FiltroResp="TODOS",FiltroResp="",PROCESSOS!H886=FiltroResp)),PROCESSOS!D886+ROW()/1000000,"")</f>
        <v/>
      </c>
    </row>
    <row r="887">
      <c r="BF887" t="str">
        <f>IF(AND(OR(PROCESSOS!N887="NO PRAZO",PROCESSOS!N887="VENCE EM BREVE"),OR(FiltroResp="TODOS",FiltroResp="",PROCESSOS!H887=FiltroResp)),PROCESSOS!L887+ROW()/1000000,"")</f>
        <v/>
      </c>
      <c r="BG887" t="str">
        <f>IF(AND(PROCESSOS!B887&lt;&gt;"",ISNUMBER(PROCESSOS!D887),OR(FiltroResp="TODOS",FiltroResp="",PROCESSOS!H887=FiltroResp)),PROCESSOS!D887+ROW()/1000000,"")</f>
        <v/>
      </c>
    </row>
    <row r="888">
      <c r="BF888" t="str">
        <f>IF(AND(OR(PROCESSOS!N888="NO PRAZO",PROCESSOS!N888="VENCE EM BREVE"),OR(FiltroResp="TODOS",FiltroResp="",PROCESSOS!H888=FiltroResp)),PROCESSOS!L888+ROW()/1000000,"")</f>
        <v/>
      </c>
      <c r="BG888" t="str">
        <f>IF(AND(PROCESSOS!B888&lt;&gt;"",ISNUMBER(PROCESSOS!D888),OR(FiltroResp="TODOS",FiltroResp="",PROCESSOS!H888=FiltroResp)),PROCESSOS!D888+ROW()/1000000,"")</f>
        <v/>
      </c>
    </row>
    <row r="889">
      <c r="BF889" t="str">
        <f>IF(AND(OR(PROCESSOS!N889="NO PRAZO",PROCESSOS!N889="VENCE EM BREVE"),OR(FiltroResp="TODOS",FiltroResp="",PROCESSOS!H889=FiltroResp)),PROCESSOS!L889+ROW()/1000000,"")</f>
        <v/>
      </c>
      <c r="BG889" t="str">
        <f>IF(AND(PROCESSOS!B889&lt;&gt;"",ISNUMBER(PROCESSOS!D889),OR(FiltroResp="TODOS",FiltroResp="",PROCESSOS!H889=FiltroResp)),PROCESSOS!D889+ROW()/1000000,"")</f>
        <v/>
      </c>
    </row>
    <row r="890">
      <c r="BF890" t="str">
        <f>IF(AND(OR(PROCESSOS!N890="NO PRAZO",PROCESSOS!N890="VENCE EM BREVE"),OR(FiltroResp="TODOS",FiltroResp="",PROCESSOS!H890=FiltroResp)),PROCESSOS!L890+ROW()/1000000,"")</f>
        <v/>
      </c>
      <c r="BG890" t="str">
        <f>IF(AND(PROCESSOS!B890&lt;&gt;"",ISNUMBER(PROCESSOS!D890),OR(FiltroResp="TODOS",FiltroResp="",PROCESSOS!H890=FiltroResp)),PROCESSOS!D890+ROW()/1000000,"")</f>
        <v/>
      </c>
    </row>
    <row r="891">
      <c r="BF891" t="str">
        <f>IF(AND(OR(PROCESSOS!N891="NO PRAZO",PROCESSOS!N891="VENCE EM BREVE"),OR(FiltroResp="TODOS",FiltroResp="",PROCESSOS!H891=FiltroResp)),PROCESSOS!L891+ROW()/1000000,"")</f>
        <v/>
      </c>
      <c r="BG891" t="str">
        <f>IF(AND(PROCESSOS!B891&lt;&gt;"",ISNUMBER(PROCESSOS!D891),OR(FiltroResp="TODOS",FiltroResp="",PROCESSOS!H891=FiltroResp)),PROCESSOS!D891+ROW()/1000000,"")</f>
        <v/>
      </c>
    </row>
    <row r="892">
      <c r="BF892" t="str">
        <f>IF(AND(OR(PROCESSOS!N892="NO PRAZO",PROCESSOS!N892="VENCE EM BREVE"),OR(FiltroResp="TODOS",FiltroResp="",PROCESSOS!H892=FiltroResp)),PROCESSOS!L892+ROW()/1000000,"")</f>
        <v/>
      </c>
      <c r="BG892" t="str">
        <f>IF(AND(PROCESSOS!B892&lt;&gt;"",ISNUMBER(PROCESSOS!D892),OR(FiltroResp="TODOS",FiltroResp="",PROCESSOS!H892=FiltroResp)),PROCESSOS!D892+ROW()/1000000,"")</f>
        <v/>
      </c>
    </row>
    <row r="893">
      <c r="BF893" t="str">
        <f>IF(AND(OR(PROCESSOS!N893="NO PRAZO",PROCESSOS!N893="VENCE EM BREVE"),OR(FiltroResp="TODOS",FiltroResp="",PROCESSOS!H893=FiltroResp)),PROCESSOS!L893+ROW()/1000000,"")</f>
        <v/>
      </c>
      <c r="BG893" t="str">
        <f>IF(AND(PROCESSOS!B893&lt;&gt;"",ISNUMBER(PROCESSOS!D893),OR(FiltroResp="TODOS",FiltroResp="",PROCESSOS!H893=FiltroResp)),PROCESSOS!D893+ROW()/1000000,"")</f>
        <v/>
      </c>
    </row>
    <row r="894">
      <c r="BF894" t="str">
        <f>IF(AND(OR(PROCESSOS!N894="NO PRAZO",PROCESSOS!N894="VENCE EM BREVE"),OR(FiltroResp="TODOS",FiltroResp="",PROCESSOS!H894=FiltroResp)),PROCESSOS!L894+ROW()/1000000,"")</f>
        <v/>
      </c>
      <c r="BG894" t="str">
        <f>IF(AND(PROCESSOS!B894&lt;&gt;"",ISNUMBER(PROCESSOS!D894),OR(FiltroResp="TODOS",FiltroResp="",PROCESSOS!H894=FiltroResp)),PROCESSOS!D894+ROW()/1000000,"")</f>
        <v/>
      </c>
    </row>
    <row r="895">
      <c r="BF895" t="str">
        <f>IF(AND(OR(PROCESSOS!N895="NO PRAZO",PROCESSOS!N895="VENCE EM BREVE"),OR(FiltroResp="TODOS",FiltroResp="",PROCESSOS!H895=FiltroResp)),PROCESSOS!L895+ROW()/1000000,"")</f>
        <v/>
      </c>
      <c r="BG895" t="str">
        <f>IF(AND(PROCESSOS!B895&lt;&gt;"",ISNUMBER(PROCESSOS!D895),OR(FiltroResp="TODOS",FiltroResp="",PROCESSOS!H895=FiltroResp)),PROCESSOS!D895+ROW()/1000000,"")</f>
        <v/>
      </c>
    </row>
    <row r="896">
      <c r="BF896" t="str">
        <f>IF(AND(OR(PROCESSOS!N896="NO PRAZO",PROCESSOS!N896="VENCE EM BREVE"),OR(FiltroResp="TODOS",FiltroResp="",PROCESSOS!H896=FiltroResp)),PROCESSOS!L896+ROW()/1000000,"")</f>
        <v/>
      </c>
      <c r="BG896" t="str">
        <f>IF(AND(PROCESSOS!B896&lt;&gt;"",ISNUMBER(PROCESSOS!D896),OR(FiltroResp="TODOS",FiltroResp="",PROCESSOS!H896=FiltroResp)),PROCESSOS!D896+ROW()/1000000,"")</f>
        <v/>
      </c>
    </row>
    <row r="897">
      <c r="BF897" t="str">
        <f>IF(AND(OR(PROCESSOS!N897="NO PRAZO",PROCESSOS!N897="VENCE EM BREVE"),OR(FiltroResp="TODOS",FiltroResp="",PROCESSOS!H897=FiltroResp)),PROCESSOS!L897+ROW()/1000000,"")</f>
        <v/>
      </c>
      <c r="BG897" t="str">
        <f>IF(AND(PROCESSOS!B897&lt;&gt;"",ISNUMBER(PROCESSOS!D897),OR(FiltroResp="TODOS",FiltroResp="",PROCESSOS!H897=FiltroResp)),PROCESSOS!D897+ROW()/1000000,"")</f>
        <v/>
      </c>
    </row>
    <row r="898">
      <c r="BF898" t="str">
        <f>IF(AND(OR(PROCESSOS!N898="NO PRAZO",PROCESSOS!N898="VENCE EM BREVE"),OR(FiltroResp="TODOS",FiltroResp="",PROCESSOS!H898=FiltroResp)),PROCESSOS!L898+ROW()/1000000,"")</f>
        <v/>
      </c>
      <c r="BG898" t="str">
        <f>IF(AND(PROCESSOS!B898&lt;&gt;"",ISNUMBER(PROCESSOS!D898),OR(FiltroResp="TODOS",FiltroResp="",PROCESSOS!H898=FiltroResp)),PROCESSOS!D898+ROW()/1000000,"")</f>
        <v/>
      </c>
    </row>
    <row r="899">
      <c r="BF899" t="str">
        <f>IF(AND(OR(PROCESSOS!N899="NO PRAZO",PROCESSOS!N899="VENCE EM BREVE"),OR(FiltroResp="TODOS",FiltroResp="",PROCESSOS!H899=FiltroResp)),PROCESSOS!L899+ROW()/1000000,"")</f>
        <v/>
      </c>
      <c r="BG899" t="str">
        <f>IF(AND(PROCESSOS!B899&lt;&gt;"",ISNUMBER(PROCESSOS!D899),OR(FiltroResp="TODOS",FiltroResp="",PROCESSOS!H899=FiltroResp)),PROCESSOS!D899+ROW()/1000000,"")</f>
        <v/>
      </c>
    </row>
    <row r="900">
      <c r="BF900" t="str">
        <f>IF(AND(OR(PROCESSOS!N900="NO PRAZO",PROCESSOS!N900="VENCE EM BREVE"),OR(FiltroResp="TODOS",FiltroResp="",PROCESSOS!H900=FiltroResp)),PROCESSOS!L900+ROW()/1000000,"")</f>
        <v/>
      </c>
      <c r="BG900" t="str">
        <f>IF(AND(PROCESSOS!B900&lt;&gt;"",ISNUMBER(PROCESSOS!D900),OR(FiltroResp="TODOS",FiltroResp="",PROCESSOS!H900=FiltroResp)),PROCESSOS!D900+ROW()/1000000,"")</f>
        <v/>
      </c>
    </row>
    <row r="901">
      <c r="BF901" t="str">
        <f>IF(AND(OR(PROCESSOS!N901="NO PRAZO",PROCESSOS!N901="VENCE EM BREVE"),OR(FiltroResp="TODOS",FiltroResp="",PROCESSOS!H901=FiltroResp)),PROCESSOS!L901+ROW()/1000000,"")</f>
        <v/>
      </c>
      <c r="BG901" t="str">
        <f>IF(AND(PROCESSOS!B901&lt;&gt;"",ISNUMBER(PROCESSOS!D901),OR(FiltroResp="TODOS",FiltroResp="",PROCESSOS!H901=FiltroResp)),PROCESSOS!D901+ROW()/1000000,"")</f>
        <v/>
      </c>
    </row>
    <row r="902">
      <c r="BF902" t="str">
        <f>IF(AND(OR(PROCESSOS!N902="NO PRAZO",PROCESSOS!N902="VENCE EM BREVE"),OR(FiltroResp="TODOS",FiltroResp="",PROCESSOS!H902=FiltroResp)),PROCESSOS!L902+ROW()/1000000,"")</f>
        <v/>
      </c>
      <c r="BG902" t="str">
        <f>IF(AND(PROCESSOS!B902&lt;&gt;"",ISNUMBER(PROCESSOS!D902),OR(FiltroResp="TODOS",FiltroResp="",PROCESSOS!H902=FiltroResp)),PROCESSOS!D902+ROW()/1000000,"")</f>
        <v/>
      </c>
    </row>
    <row r="903">
      <c r="BF903" t="str">
        <f>IF(AND(OR(PROCESSOS!N903="NO PRAZO",PROCESSOS!N903="VENCE EM BREVE"),OR(FiltroResp="TODOS",FiltroResp="",PROCESSOS!H903=FiltroResp)),PROCESSOS!L903+ROW()/1000000,"")</f>
        <v/>
      </c>
      <c r="BG903" t="str">
        <f>IF(AND(PROCESSOS!B903&lt;&gt;"",ISNUMBER(PROCESSOS!D903),OR(FiltroResp="TODOS",FiltroResp="",PROCESSOS!H903=FiltroResp)),PROCESSOS!D903+ROW()/1000000,"")</f>
        <v/>
      </c>
    </row>
    <row r="904">
      <c r="BF904" t="str">
        <f>IF(AND(OR(PROCESSOS!N904="NO PRAZO",PROCESSOS!N904="VENCE EM BREVE"),OR(FiltroResp="TODOS",FiltroResp="",PROCESSOS!H904=FiltroResp)),PROCESSOS!L904+ROW()/1000000,"")</f>
        <v/>
      </c>
      <c r="BG904" t="str">
        <f>IF(AND(PROCESSOS!B904&lt;&gt;"",ISNUMBER(PROCESSOS!D904),OR(FiltroResp="TODOS",FiltroResp="",PROCESSOS!H904=FiltroResp)),PROCESSOS!D904+ROW()/1000000,"")</f>
        <v/>
      </c>
    </row>
    <row r="905">
      <c r="BF905" t="str">
        <f>IF(AND(OR(PROCESSOS!N905="NO PRAZO",PROCESSOS!N905="VENCE EM BREVE"),OR(FiltroResp="TODOS",FiltroResp="",PROCESSOS!H905=FiltroResp)),PROCESSOS!L905+ROW()/1000000,"")</f>
        <v/>
      </c>
      <c r="BG905" t="str">
        <f>IF(AND(PROCESSOS!B905&lt;&gt;"",ISNUMBER(PROCESSOS!D905),OR(FiltroResp="TODOS",FiltroResp="",PROCESSOS!H905=FiltroResp)),PROCESSOS!D905+ROW()/1000000,"")</f>
        <v/>
      </c>
    </row>
    <row r="906">
      <c r="BF906" t="str">
        <f>IF(AND(OR(PROCESSOS!N906="NO PRAZO",PROCESSOS!N906="VENCE EM BREVE"),OR(FiltroResp="TODOS",FiltroResp="",PROCESSOS!H906=FiltroResp)),PROCESSOS!L906+ROW()/1000000,"")</f>
        <v/>
      </c>
      <c r="BG906" t="str">
        <f>IF(AND(PROCESSOS!B906&lt;&gt;"",ISNUMBER(PROCESSOS!D906),OR(FiltroResp="TODOS",FiltroResp="",PROCESSOS!H906=FiltroResp)),PROCESSOS!D906+ROW()/1000000,"")</f>
        <v/>
      </c>
    </row>
    <row r="907">
      <c r="BF907" t="str">
        <f>IF(AND(OR(PROCESSOS!N907="NO PRAZO",PROCESSOS!N907="VENCE EM BREVE"),OR(FiltroResp="TODOS",FiltroResp="",PROCESSOS!H907=FiltroResp)),PROCESSOS!L907+ROW()/1000000,"")</f>
        <v/>
      </c>
      <c r="BG907" t="str">
        <f>IF(AND(PROCESSOS!B907&lt;&gt;"",ISNUMBER(PROCESSOS!D907),OR(FiltroResp="TODOS",FiltroResp="",PROCESSOS!H907=FiltroResp)),PROCESSOS!D907+ROW()/1000000,"")</f>
        <v/>
      </c>
    </row>
    <row r="908">
      <c r="BF908" t="str">
        <f>IF(AND(OR(PROCESSOS!N908="NO PRAZO",PROCESSOS!N908="VENCE EM BREVE"),OR(FiltroResp="TODOS",FiltroResp="",PROCESSOS!H908=FiltroResp)),PROCESSOS!L908+ROW()/1000000,"")</f>
        <v/>
      </c>
      <c r="BG908" t="str">
        <f>IF(AND(PROCESSOS!B908&lt;&gt;"",ISNUMBER(PROCESSOS!D908),OR(FiltroResp="TODOS",FiltroResp="",PROCESSOS!H908=FiltroResp)),PROCESSOS!D908+ROW()/1000000,"")</f>
        <v/>
      </c>
    </row>
    <row r="909">
      <c r="BF909" t="str">
        <f>IF(AND(OR(PROCESSOS!N909="NO PRAZO",PROCESSOS!N909="VENCE EM BREVE"),OR(FiltroResp="TODOS",FiltroResp="",PROCESSOS!H909=FiltroResp)),PROCESSOS!L909+ROW()/1000000,"")</f>
        <v/>
      </c>
      <c r="BG909" t="str">
        <f>IF(AND(PROCESSOS!B909&lt;&gt;"",ISNUMBER(PROCESSOS!D909),OR(FiltroResp="TODOS",FiltroResp="",PROCESSOS!H909=FiltroResp)),PROCESSOS!D909+ROW()/1000000,"")</f>
        <v/>
      </c>
    </row>
    <row r="910">
      <c r="BF910" t="str">
        <f>IF(AND(OR(PROCESSOS!N910="NO PRAZO",PROCESSOS!N910="VENCE EM BREVE"),OR(FiltroResp="TODOS",FiltroResp="",PROCESSOS!H910=FiltroResp)),PROCESSOS!L910+ROW()/1000000,"")</f>
        <v/>
      </c>
      <c r="BG910" t="str">
        <f>IF(AND(PROCESSOS!B910&lt;&gt;"",ISNUMBER(PROCESSOS!D910),OR(FiltroResp="TODOS",FiltroResp="",PROCESSOS!H910=FiltroResp)),PROCESSOS!D910+ROW()/1000000,"")</f>
        <v/>
      </c>
    </row>
    <row r="911">
      <c r="BF911" t="str">
        <f>IF(AND(OR(PROCESSOS!N911="NO PRAZO",PROCESSOS!N911="VENCE EM BREVE"),OR(FiltroResp="TODOS",FiltroResp="",PROCESSOS!H911=FiltroResp)),PROCESSOS!L911+ROW()/1000000,"")</f>
        <v/>
      </c>
      <c r="BG911" t="str">
        <f>IF(AND(PROCESSOS!B911&lt;&gt;"",ISNUMBER(PROCESSOS!D911),OR(FiltroResp="TODOS",FiltroResp="",PROCESSOS!H911=FiltroResp)),PROCESSOS!D911+ROW()/1000000,"")</f>
        <v/>
      </c>
    </row>
    <row r="912">
      <c r="BF912" t="str">
        <f>IF(AND(OR(PROCESSOS!N912="NO PRAZO",PROCESSOS!N912="VENCE EM BREVE"),OR(FiltroResp="TODOS",FiltroResp="",PROCESSOS!H912=FiltroResp)),PROCESSOS!L912+ROW()/1000000,"")</f>
        <v/>
      </c>
      <c r="BG912" t="str">
        <f>IF(AND(PROCESSOS!B912&lt;&gt;"",ISNUMBER(PROCESSOS!D912),OR(FiltroResp="TODOS",FiltroResp="",PROCESSOS!H912=FiltroResp)),PROCESSOS!D912+ROW()/1000000,"")</f>
        <v/>
      </c>
    </row>
    <row r="913">
      <c r="BF913" t="str">
        <f>IF(AND(OR(PROCESSOS!N913="NO PRAZO",PROCESSOS!N913="VENCE EM BREVE"),OR(FiltroResp="TODOS",FiltroResp="",PROCESSOS!H913=FiltroResp)),PROCESSOS!L913+ROW()/1000000,"")</f>
        <v/>
      </c>
      <c r="BG913" t="str">
        <f>IF(AND(PROCESSOS!B913&lt;&gt;"",ISNUMBER(PROCESSOS!D913),OR(FiltroResp="TODOS",FiltroResp="",PROCESSOS!H913=FiltroResp)),PROCESSOS!D913+ROW()/1000000,"")</f>
        <v/>
      </c>
    </row>
    <row r="914">
      <c r="BF914" t="str">
        <f>IF(AND(OR(PROCESSOS!N914="NO PRAZO",PROCESSOS!N914="VENCE EM BREVE"),OR(FiltroResp="TODOS",FiltroResp="",PROCESSOS!H914=FiltroResp)),PROCESSOS!L914+ROW()/1000000,"")</f>
        <v/>
      </c>
      <c r="BG914" t="str">
        <f>IF(AND(PROCESSOS!B914&lt;&gt;"",ISNUMBER(PROCESSOS!D914),OR(FiltroResp="TODOS",FiltroResp="",PROCESSOS!H914=FiltroResp)),PROCESSOS!D914+ROW()/1000000,"")</f>
        <v/>
      </c>
    </row>
    <row r="915">
      <c r="BF915" t="str">
        <f>IF(AND(OR(PROCESSOS!N915="NO PRAZO",PROCESSOS!N915="VENCE EM BREVE"),OR(FiltroResp="TODOS",FiltroResp="",PROCESSOS!H915=FiltroResp)),PROCESSOS!L915+ROW()/1000000,"")</f>
        <v/>
      </c>
      <c r="BG915" t="str">
        <f>IF(AND(PROCESSOS!B915&lt;&gt;"",ISNUMBER(PROCESSOS!D915),OR(FiltroResp="TODOS",FiltroResp="",PROCESSOS!H915=FiltroResp)),PROCESSOS!D915+ROW()/1000000,"")</f>
        <v/>
      </c>
    </row>
    <row r="916">
      <c r="BF916" t="str">
        <f>IF(AND(OR(PROCESSOS!N916="NO PRAZO",PROCESSOS!N916="VENCE EM BREVE"),OR(FiltroResp="TODOS",FiltroResp="",PROCESSOS!H916=FiltroResp)),PROCESSOS!L916+ROW()/1000000,"")</f>
        <v/>
      </c>
      <c r="BG916" t="str">
        <f>IF(AND(PROCESSOS!B916&lt;&gt;"",ISNUMBER(PROCESSOS!D916),OR(FiltroResp="TODOS",FiltroResp="",PROCESSOS!H916=FiltroResp)),PROCESSOS!D916+ROW()/1000000,"")</f>
        <v/>
      </c>
    </row>
    <row r="917">
      <c r="BF917" t="str">
        <f>IF(AND(OR(PROCESSOS!N917="NO PRAZO",PROCESSOS!N917="VENCE EM BREVE"),OR(FiltroResp="TODOS",FiltroResp="",PROCESSOS!H917=FiltroResp)),PROCESSOS!L917+ROW()/1000000,"")</f>
        <v/>
      </c>
      <c r="BG917" t="str">
        <f>IF(AND(PROCESSOS!B917&lt;&gt;"",ISNUMBER(PROCESSOS!D917),OR(FiltroResp="TODOS",FiltroResp="",PROCESSOS!H917=FiltroResp)),PROCESSOS!D917+ROW()/1000000,"")</f>
        <v/>
      </c>
    </row>
    <row r="918">
      <c r="BF918" t="str">
        <f>IF(AND(OR(PROCESSOS!N918="NO PRAZO",PROCESSOS!N918="VENCE EM BREVE"),OR(FiltroResp="TODOS",FiltroResp="",PROCESSOS!H918=FiltroResp)),PROCESSOS!L918+ROW()/1000000,"")</f>
        <v/>
      </c>
      <c r="BG918" t="str">
        <f>IF(AND(PROCESSOS!B918&lt;&gt;"",ISNUMBER(PROCESSOS!D918),OR(FiltroResp="TODOS",FiltroResp="",PROCESSOS!H918=FiltroResp)),PROCESSOS!D918+ROW()/1000000,"")</f>
        <v/>
      </c>
    </row>
    <row r="919">
      <c r="BF919" t="str">
        <f>IF(AND(OR(PROCESSOS!N919="NO PRAZO",PROCESSOS!N919="VENCE EM BREVE"),OR(FiltroResp="TODOS",FiltroResp="",PROCESSOS!H919=FiltroResp)),PROCESSOS!L919+ROW()/1000000,"")</f>
        <v/>
      </c>
      <c r="BG919" t="str">
        <f>IF(AND(PROCESSOS!B919&lt;&gt;"",ISNUMBER(PROCESSOS!D919),OR(FiltroResp="TODOS",FiltroResp="",PROCESSOS!H919=FiltroResp)),PROCESSOS!D919+ROW()/1000000,"")</f>
        <v/>
      </c>
    </row>
    <row r="920">
      <c r="BF920" t="str">
        <f>IF(AND(OR(PROCESSOS!N920="NO PRAZO",PROCESSOS!N920="VENCE EM BREVE"),OR(FiltroResp="TODOS",FiltroResp="",PROCESSOS!H920=FiltroResp)),PROCESSOS!L920+ROW()/1000000,"")</f>
        <v/>
      </c>
      <c r="BG920" t="str">
        <f>IF(AND(PROCESSOS!B920&lt;&gt;"",ISNUMBER(PROCESSOS!D920),OR(FiltroResp="TODOS",FiltroResp="",PROCESSOS!H920=FiltroResp)),PROCESSOS!D920+ROW()/1000000,"")</f>
        <v/>
      </c>
    </row>
    <row r="921">
      <c r="BF921" t="str">
        <f>IF(AND(OR(PROCESSOS!N921="NO PRAZO",PROCESSOS!N921="VENCE EM BREVE"),OR(FiltroResp="TODOS",FiltroResp="",PROCESSOS!H921=FiltroResp)),PROCESSOS!L921+ROW()/1000000,"")</f>
        <v/>
      </c>
      <c r="BG921" t="str">
        <f>IF(AND(PROCESSOS!B921&lt;&gt;"",ISNUMBER(PROCESSOS!D921),OR(FiltroResp="TODOS",FiltroResp="",PROCESSOS!H921=FiltroResp)),PROCESSOS!D921+ROW()/1000000,"")</f>
        <v/>
      </c>
    </row>
    <row r="922">
      <c r="BF922" t="str">
        <f>IF(AND(OR(PROCESSOS!N922="NO PRAZO",PROCESSOS!N922="VENCE EM BREVE"),OR(FiltroResp="TODOS",FiltroResp="",PROCESSOS!H922=FiltroResp)),PROCESSOS!L922+ROW()/1000000,"")</f>
        <v/>
      </c>
      <c r="BG922" t="str">
        <f>IF(AND(PROCESSOS!B922&lt;&gt;"",ISNUMBER(PROCESSOS!D922),OR(FiltroResp="TODOS",FiltroResp="",PROCESSOS!H922=FiltroResp)),PROCESSOS!D922+ROW()/1000000,"")</f>
        <v/>
      </c>
    </row>
    <row r="923">
      <c r="BF923" t="str">
        <f>IF(AND(OR(PROCESSOS!N923="NO PRAZO",PROCESSOS!N923="VENCE EM BREVE"),OR(FiltroResp="TODOS",FiltroResp="",PROCESSOS!H923=FiltroResp)),PROCESSOS!L923+ROW()/1000000,"")</f>
        <v/>
      </c>
      <c r="BG923" t="str">
        <f>IF(AND(PROCESSOS!B923&lt;&gt;"",ISNUMBER(PROCESSOS!D923),OR(FiltroResp="TODOS",FiltroResp="",PROCESSOS!H923=FiltroResp)),PROCESSOS!D923+ROW()/1000000,"")</f>
        <v/>
      </c>
    </row>
    <row r="924">
      <c r="BF924" t="str">
        <f>IF(AND(OR(PROCESSOS!N924="NO PRAZO",PROCESSOS!N924="VENCE EM BREVE"),OR(FiltroResp="TODOS",FiltroResp="",PROCESSOS!H924=FiltroResp)),PROCESSOS!L924+ROW()/1000000,"")</f>
        <v/>
      </c>
      <c r="BG924" t="str">
        <f>IF(AND(PROCESSOS!B924&lt;&gt;"",ISNUMBER(PROCESSOS!D924),OR(FiltroResp="TODOS",FiltroResp="",PROCESSOS!H924=FiltroResp)),PROCESSOS!D924+ROW()/1000000,"")</f>
        <v/>
      </c>
    </row>
    <row r="925">
      <c r="BF925" t="str">
        <f>IF(AND(OR(PROCESSOS!N925="NO PRAZO",PROCESSOS!N925="VENCE EM BREVE"),OR(FiltroResp="TODOS",FiltroResp="",PROCESSOS!H925=FiltroResp)),PROCESSOS!L925+ROW()/1000000,"")</f>
        <v/>
      </c>
      <c r="BG925" t="str">
        <f>IF(AND(PROCESSOS!B925&lt;&gt;"",ISNUMBER(PROCESSOS!D925),OR(FiltroResp="TODOS",FiltroResp="",PROCESSOS!H925=FiltroResp)),PROCESSOS!D925+ROW()/1000000,"")</f>
        <v/>
      </c>
    </row>
    <row r="926">
      <c r="BF926" t="str">
        <f>IF(AND(OR(PROCESSOS!N926="NO PRAZO",PROCESSOS!N926="VENCE EM BREVE"),OR(FiltroResp="TODOS",FiltroResp="",PROCESSOS!H926=FiltroResp)),PROCESSOS!L926+ROW()/1000000,"")</f>
        <v/>
      </c>
      <c r="BG926" t="str">
        <f>IF(AND(PROCESSOS!B926&lt;&gt;"",ISNUMBER(PROCESSOS!D926),OR(FiltroResp="TODOS",FiltroResp="",PROCESSOS!H926=FiltroResp)),PROCESSOS!D926+ROW()/1000000,"")</f>
        <v/>
      </c>
    </row>
    <row r="927">
      <c r="BF927" t="str">
        <f>IF(AND(OR(PROCESSOS!N927="NO PRAZO",PROCESSOS!N927="VENCE EM BREVE"),OR(FiltroResp="TODOS",FiltroResp="",PROCESSOS!H927=FiltroResp)),PROCESSOS!L927+ROW()/1000000,"")</f>
        <v/>
      </c>
      <c r="BG927" t="str">
        <f>IF(AND(PROCESSOS!B927&lt;&gt;"",ISNUMBER(PROCESSOS!D927),OR(FiltroResp="TODOS",FiltroResp="",PROCESSOS!H927=FiltroResp)),PROCESSOS!D927+ROW()/1000000,"")</f>
        <v/>
      </c>
    </row>
    <row r="928">
      <c r="BF928" t="str">
        <f>IF(AND(OR(PROCESSOS!N928="NO PRAZO",PROCESSOS!N928="VENCE EM BREVE"),OR(FiltroResp="TODOS",FiltroResp="",PROCESSOS!H928=FiltroResp)),PROCESSOS!L928+ROW()/1000000,"")</f>
        <v/>
      </c>
      <c r="BG928" t="str">
        <f>IF(AND(PROCESSOS!B928&lt;&gt;"",ISNUMBER(PROCESSOS!D928),OR(FiltroResp="TODOS",FiltroResp="",PROCESSOS!H928=FiltroResp)),PROCESSOS!D928+ROW()/1000000,"")</f>
        <v/>
      </c>
    </row>
    <row r="929">
      <c r="BF929" t="str">
        <f>IF(AND(OR(PROCESSOS!N929="NO PRAZO",PROCESSOS!N929="VENCE EM BREVE"),OR(FiltroResp="TODOS",FiltroResp="",PROCESSOS!H929=FiltroResp)),PROCESSOS!L929+ROW()/1000000,"")</f>
        <v/>
      </c>
      <c r="BG929" t="str">
        <f>IF(AND(PROCESSOS!B929&lt;&gt;"",ISNUMBER(PROCESSOS!D929),OR(FiltroResp="TODOS",FiltroResp="",PROCESSOS!H929=FiltroResp)),PROCESSOS!D929+ROW()/1000000,"")</f>
        <v/>
      </c>
    </row>
    <row r="930">
      <c r="BF930" t="str">
        <f>IF(AND(OR(PROCESSOS!N930="NO PRAZO",PROCESSOS!N930="VENCE EM BREVE"),OR(FiltroResp="TODOS",FiltroResp="",PROCESSOS!H930=FiltroResp)),PROCESSOS!L930+ROW()/1000000,"")</f>
        <v/>
      </c>
      <c r="BG930" t="str">
        <f>IF(AND(PROCESSOS!B930&lt;&gt;"",ISNUMBER(PROCESSOS!D930),OR(FiltroResp="TODOS",FiltroResp="",PROCESSOS!H930=FiltroResp)),PROCESSOS!D930+ROW()/1000000,"")</f>
        <v/>
      </c>
    </row>
    <row r="931">
      <c r="BF931" t="str">
        <f>IF(AND(OR(PROCESSOS!N931="NO PRAZO",PROCESSOS!N931="VENCE EM BREVE"),OR(FiltroResp="TODOS",FiltroResp="",PROCESSOS!H931=FiltroResp)),PROCESSOS!L931+ROW()/1000000,"")</f>
        <v/>
      </c>
      <c r="BG931" t="str">
        <f>IF(AND(PROCESSOS!B931&lt;&gt;"",ISNUMBER(PROCESSOS!D931),OR(FiltroResp="TODOS",FiltroResp="",PROCESSOS!H931=FiltroResp)),PROCESSOS!D931+ROW()/1000000,"")</f>
        <v/>
      </c>
    </row>
    <row r="932">
      <c r="BF932" t="str">
        <f>IF(AND(OR(PROCESSOS!N932="NO PRAZO",PROCESSOS!N932="VENCE EM BREVE"),OR(FiltroResp="TODOS",FiltroResp="",PROCESSOS!H932=FiltroResp)),PROCESSOS!L932+ROW()/1000000,"")</f>
        <v/>
      </c>
      <c r="BG932" t="str">
        <f>IF(AND(PROCESSOS!B932&lt;&gt;"",ISNUMBER(PROCESSOS!D932),OR(FiltroResp="TODOS",FiltroResp="",PROCESSOS!H932=FiltroResp)),PROCESSOS!D932+ROW()/1000000,"")</f>
        <v/>
      </c>
    </row>
    <row r="933">
      <c r="BF933" t="str">
        <f>IF(AND(OR(PROCESSOS!N933="NO PRAZO",PROCESSOS!N933="VENCE EM BREVE"),OR(FiltroResp="TODOS",FiltroResp="",PROCESSOS!H933=FiltroResp)),PROCESSOS!L933+ROW()/1000000,"")</f>
        <v/>
      </c>
      <c r="BG933" t="str">
        <f>IF(AND(PROCESSOS!B933&lt;&gt;"",ISNUMBER(PROCESSOS!D933),OR(FiltroResp="TODOS",FiltroResp="",PROCESSOS!H933=FiltroResp)),PROCESSOS!D933+ROW()/1000000,"")</f>
        <v/>
      </c>
    </row>
    <row r="934">
      <c r="BF934" t="str">
        <f>IF(AND(OR(PROCESSOS!N934="NO PRAZO",PROCESSOS!N934="VENCE EM BREVE"),OR(FiltroResp="TODOS",FiltroResp="",PROCESSOS!H934=FiltroResp)),PROCESSOS!L934+ROW()/1000000,"")</f>
        <v/>
      </c>
      <c r="BG934" t="str">
        <f>IF(AND(PROCESSOS!B934&lt;&gt;"",ISNUMBER(PROCESSOS!D934),OR(FiltroResp="TODOS",FiltroResp="",PROCESSOS!H934=FiltroResp)),PROCESSOS!D934+ROW()/1000000,"")</f>
        <v/>
      </c>
    </row>
    <row r="935">
      <c r="BF935" t="str">
        <f>IF(AND(OR(PROCESSOS!N935="NO PRAZO",PROCESSOS!N935="VENCE EM BREVE"),OR(FiltroResp="TODOS",FiltroResp="",PROCESSOS!H935=FiltroResp)),PROCESSOS!L935+ROW()/1000000,"")</f>
        <v/>
      </c>
      <c r="BG935" t="str">
        <f>IF(AND(PROCESSOS!B935&lt;&gt;"",ISNUMBER(PROCESSOS!D935),OR(FiltroResp="TODOS",FiltroResp="",PROCESSOS!H935=FiltroResp)),PROCESSOS!D935+ROW()/1000000,"")</f>
        <v/>
      </c>
    </row>
    <row r="936">
      <c r="BF936" t="str">
        <f>IF(AND(OR(PROCESSOS!N936="NO PRAZO",PROCESSOS!N936="VENCE EM BREVE"),OR(FiltroResp="TODOS",FiltroResp="",PROCESSOS!H936=FiltroResp)),PROCESSOS!L936+ROW()/1000000,"")</f>
        <v/>
      </c>
      <c r="BG936" t="str">
        <f>IF(AND(PROCESSOS!B936&lt;&gt;"",ISNUMBER(PROCESSOS!D936),OR(FiltroResp="TODOS",FiltroResp="",PROCESSOS!H936=FiltroResp)),PROCESSOS!D936+ROW()/1000000,"")</f>
        <v/>
      </c>
    </row>
    <row r="937">
      <c r="BF937" t="str">
        <f>IF(AND(OR(PROCESSOS!N937="NO PRAZO",PROCESSOS!N937="VENCE EM BREVE"),OR(FiltroResp="TODOS",FiltroResp="",PROCESSOS!H937=FiltroResp)),PROCESSOS!L937+ROW()/1000000,"")</f>
        <v/>
      </c>
      <c r="BG937" t="str">
        <f>IF(AND(PROCESSOS!B937&lt;&gt;"",ISNUMBER(PROCESSOS!D937),OR(FiltroResp="TODOS",FiltroResp="",PROCESSOS!H937=FiltroResp)),PROCESSOS!D937+ROW()/1000000,"")</f>
        <v/>
      </c>
    </row>
    <row r="938">
      <c r="BF938" t="str">
        <f>IF(AND(OR(PROCESSOS!N938="NO PRAZO",PROCESSOS!N938="VENCE EM BREVE"),OR(FiltroResp="TODOS",FiltroResp="",PROCESSOS!H938=FiltroResp)),PROCESSOS!L938+ROW()/1000000,"")</f>
        <v/>
      </c>
      <c r="BG938" t="str">
        <f>IF(AND(PROCESSOS!B938&lt;&gt;"",ISNUMBER(PROCESSOS!D938),OR(FiltroResp="TODOS",FiltroResp="",PROCESSOS!H938=FiltroResp)),PROCESSOS!D938+ROW()/1000000,"")</f>
        <v/>
      </c>
    </row>
    <row r="939">
      <c r="BF939" t="str">
        <f>IF(AND(OR(PROCESSOS!N939="NO PRAZO",PROCESSOS!N939="VENCE EM BREVE"),OR(FiltroResp="TODOS",FiltroResp="",PROCESSOS!H939=FiltroResp)),PROCESSOS!L939+ROW()/1000000,"")</f>
        <v/>
      </c>
      <c r="BG939" t="str">
        <f>IF(AND(PROCESSOS!B939&lt;&gt;"",ISNUMBER(PROCESSOS!D939),OR(FiltroResp="TODOS",FiltroResp="",PROCESSOS!H939=FiltroResp)),PROCESSOS!D939+ROW()/1000000,"")</f>
        <v/>
      </c>
    </row>
    <row r="940">
      <c r="BF940" t="str">
        <f>IF(AND(OR(PROCESSOS!N940="NO PRAZO",PROCESSOS!N940="VENCE EM BREVE"),OR(FiltroResp="TODOS",FiltroResp="",PROCESSOS!H940=FiltroResp)),PROCESSOS!L940+ROW()/1000000,"")</f>
        <v/>
      </c>
      <c r="BG940" t="str">
        <f>IF(AND(PROCESSOS!B940&lt;&gt;"",ISNUMBER(PROCESSOS!D940),OR(FiltroResp="TODOS",FiltroResp="",PROCESSOS!H940=FiltroResp)),PROCESSOS!D940+ROW()/1000000,"")</f>
        <v/>
      </c>
    </row>
    <row r="941">
      <c r="BF941" t="str">
        <f>IF(AND(OR(PROCESSOS!N941="NO PRAZO",PROCESSOS!N941="VENCE EM BREVE"),OR(FiltroResp="TODOS",FiltroResp="",PROCESSOS!H941=FiltroResp)),PROCESSOS!L941+ROW()/1000000,"")</f>
        <v/>
      </c>
      <c r="BG941" t="str">
        <f>IF(AND(PROCESSOS!B941&lt;&gt;"",ISNUMBER(PROCESSOS!D941),OR(FiltroResp="TODOS",FiltroResp="",PROCESSOS!H941=FiltroResp)),PROCESSOS!D941+ROW()/1000000,"")</f>
        <v/>
      </c>
    </row>
    <row r="942">
      <c r="BF942" t="str">
        <f>IF(AND(OR(PROCESSOS!N942="NO PRAZO",PROCESSOS!N942="VENCE EM BREVE"),OR(FiltroResp="TODOS",FiltroResp="",PROCESSOS!H942=FiltroResp)),PROCESSOS!L942+ROW()/1000000,"")</f>
        <v/>
      </c>
      <c r="BG942" t="str">
        <f>IF(AND(PROCESSOS!B942&lt;&gt;"",ISNUMBER(PROCESSOS!D942),OR(FiltroResp="TODOS",FiltroResp="",PROCESSOS!H942=FiltroResp)),PROCESSOS!D942+ROW()/1000000,"")</f>
        <v/>
      </c>
    </row>
    <row r="943">
      <c r="BF943" t="str">
        <f>IF(AND(OR(PROCESSOS!N943="NO PRAZO",PROCESSOS!N943="VENCE EM BREVE"),OR(FiltroResp="TODOS",FiltroResp="",PROCESSOS!H943=FiltroResp)),PROCESSOS!L943+ROW()/1000000,"")</f>
        <v/>
      </c>
      <c r="BG943" t="str">
        <f>IF(AND(PROCESSOS!B943&lt;&gt;"",ISNUMBER(PROCESSOS!D943),OR(FiltroResp="TODOS",FiltroResp="",PROCESSOS!H943=FiltroResp)),PROCESSOS!D943+ROW()/1000000,"")</f>
        <v/>
      </c>
    </row>
    <row r="944">
      <c r="BF944" t="str">
        <f>IF(AND(OR(PROCESSOS!N944="NO PRAZO",PROCESSOS!N944="VENCE EM BREVE"),OR(FiltroResp="TODOS",FiltroResp="",PROCESSOS!H944=FiltroResp)),PROCESSOS!L944+ROW()/1000000,"")</f>
        <v/>
      </c>
      <c r="BG944" t="str">
        <f>IF(AND(PROCESSOS!B944&lt;&gt;"",ISNUMBER(PROCESSOS!D944),OR(FiltroResp="TODOS",FiltroResp="",PROCESSOS!H944=FiltroResp)),PROCESSOS!D944+ROW()/1000000,"")</f>
        <v/>
      </c>
    </row>
    <row r="945">
      <c r="BF945" t="str">
        <f>IF(AND(OR(PROCESSOS!N945="NO PRAZO",PROCESSOS!N945="VENCE EM BREVE"),OR(FiltroResp="TODOS",FiltroResp="",PROCESSOS!H945=FiltroResp)),PROCESSOS!L945+ROW()/1000000,"")</f>
        <v/>
      </c>
      <c r="BG945" t="str">
        <f>IF(AND(PROCESSOS!B945&lt;&gt;"",ISNUMBER(PROCESSOS!D945),OR(FiltroResp="TODOS",FiltroResp="",PROCESSOS!H945=FiltroResp)),PROCESSOS!D945+ROW()/1000000,"")</f>
        <v/>
      </c>
    </row>
    <row r="946">
      <c r="BF946" t="str">
        <f>IF(AND(OR(PROCESSOS!N946="NO PRAZO",PROCESSOS!N946="VENCE EM BREVE"),OR(FiltroResp="TODOS",FiltroResp="",PROCESSOS!H946=FiltroResp)),PROCESSOS!L946+ROW()/1000000,"")</f>
        <v/>
      </c>
      <c r="BG946" t="str">
        <f>IF(AND(PROCESSOS!B946&lt;&gt;"",ISNUMBER(PROCESSOS!D946),OR(FiltroResp="TODOS",FiltroResp="",PROCESSOS!H946=FiltroResp)),PROCESSOS!D946+ROW()/1000000,"")</f>
        <v/>
      </c>
    </row>
    <row r="947">
      <c r="BF947" t="str">
        <f>IF(AND(OR(PROCESSOS!N947="NO PRAZO",PROCESSOS!N947="VENCE EM BREVE"),OR(FiltroResp="TODOS",FiltroResp="",PROCESSOS!H947=FiltroResp)),PROCESSOS!L947+ROW()/1000000,"")</f>
        <v/>
      </c>
      <c r="BG947" t="str">
        <f>IF(AND(PROCESSOS!B947&lt;&gt;"",ISNUMBER(PROCESSOS!D947),OR(FiltroResp="TODOS",FiltroResp="",PROCESSOS!H947=FiltroResp)),PROCESSOS!D947+ROW()/1000000,"")</f>
        <v/>
      </c>
    </row>
    <row r="948">
      <c r="BF948" t="str">
        <f>IF(AND(OR(PROCESSOS!N948="NO PRAZO",PROCESSOS!N948="VENCE EM BREVE"),OR(FiltroResp="TODOS",FiltroResp="",PROCESSOS!H948=FiltroResp)),PROCESSOS!L948+ROW()/1000000,"")</f>
        <v/>
      </c>
      <c r="BG948" t="str">
        <f>IF(AND(PROCESSOS!B948&lt;&gt;"",ISNUMBER(PROCESSOS!D948),OR(FiltroResp="TODOS",FiltroResp="",PROCESSOS!H948=FiltroResp)),PROCESSOS!D948+ROW()/1000000,"")</f>
        <v/>
      </c>
    </row>
    <row r="949">
      <c r="BF949" t="str">
        <f>IF(AND(OR(PROCESSOS!N949="NO PRAZO",PROCESSOS!N949="VENCE EM BREVE"),OR(FiltroResp="TODOS",FiltroResp="",PROCESSOS!H949=FiltroResp)),PROCESSOS!L949+ROW()/1000000,"")</f>
        <v/>
      </c>
      <c r="BG949" t="str">
        <f>IF(AND(PROCESSOS!B949&lt;&gt;"",ISNUMBER(PROCESSOS!D949),OR(FiltroResp="TODOS",FiltroResp="",PROCESSOS!H949=FiltroResp)),PROCESSOS!D949+ROW()/1000000,"")</f>
        <v/>
      </c>
    </row>
    <row r="950">
      <c r="BF950" t="str">
        <f>IF(AND(OR(PROCESSOS!N950="NO PRAZO",PROCESSOS!N950="VENCE EM BREVE"),OR(FiltroResp="TODOS",FiltroResp="",PROCESSOS!H950=FiltroResp)),PROCESSOS!L950+ROW()/1000000,"")</f>
        <v/>
      </c>
      <c r="BG950" t="str">
        <f>IF(AND(PROCESSOS!B950&lt;&gt;"",ISNUMBER(PROCESSOS!D950),OR(FiltroResp="TODOS",FiltroResp="",PROCESSOS!H950=FiltroResp)),PROCESSOS!D950+ROW()/1000000,"")</f>
        <v/>
      </c>
    </row>
    <row r="951">
      <c r="BF951" t="str">
        <f>IF(AND(OR(PROCESSOS!N951="NO PRAZO",PROCESSOS!N951="VENCE EM BREVE"),OR(FiltroResp="TODOS",FiltroResp="",PROCESSOS!H951=FiltroResp)),PROCESSOS!L951+ROW()/1000000,"")</f>
        <v/>
      </c>
      <c r="BG951" t="str">
        <f>IF(AND(PROCESSOS!B951&lt;&gt;"",ISNUMBER(PROCESSOS!D951),OR(FiltroResp="TODOS",FiltroResp="",PROCESSOS!H951=FiltroResp)),PROCESSOS!D951+ROW()/1000000,"")</f>
        <v/>
      </c>
    </row>
    <row r="952">
      <c r="BF952" t="str">
        <f>IF(AND(OR(PROCESSOS!N952="NO PRAZO",PROCESSOS!N952="VENCE EM BREVE"),OR(FiltroResp="TODOS",FiltroResp="",PROCESSOS!H952=FiltroResp)),PROCESSOS!L952+ROW()/1000000,"")</f>
        <v/>
      </c>
      <c r="BG952" t="str">
        <f>IF(AND(PROCESSOS!B952&lt;&gt;"",ISNUMBER(PROCESSOS!D952),OR(FiltroResp="TODOS",FiltroResp="",PROCESSOS!H952=FiltroResp)),PROCESSOS!D952+ROW()/1000000,"")</f>
        <v/>
      </c>
    </row>
    <row r="953">
      <c r="BF953" t="str">
        <f>IF(AND(OR(PROCESSOS!N953="NO PRAZO",PROCESSOS!N953="VENCE EM BREVE"),OR(FiltroResp="TODOS",FiltroResp="",PROCESSOS!H953=FiltroResp)),PROCESSOS!L953+ROW()/1000000,"")</f>
        <v/>
      </c>
      <c r="BG953" t="str">
        <f>IF(AND(PROCESSOS!B953&lt;&gt;"",ISNUMBER(PROCESSOS!D953),OR(FiltroResp="TODOS",FiltroResp="",PROCESSOS!H953=FiltroResp)),PROCESSOS!D953+ROW()/1000000,"")</f>
        <v/>
      </c>
    </row>
    <row r="954">
      <c r="BF954" t="str">
        <f>IF(AND(OR(PROCESSOS!N954="NO PRAZO",PROCESSOS!N954="VENCE EM BREVE"),OR(FiltroResp="TODOS",FiltroResp="",PROCESSOS!H954=FiltroResp)),PROCESSOS!L954+ROW()/1000000,"")</f>
        <v/>
      </c>
      <c r="BG954" t="str">
        <f>IF(AND(PROCESSOS!B954&lt;&gt;"",ISNUMBER(PROCESSOS!D954),OR(FiltroResp="TODOS",FiltroResp="",PROCESSOS!H954=FiltroResp)),PROCESSOS!D954+ROW()/1000000,"")</f>
        <v/>
      </c>
    </row>
    <row r="955">
      <c r="BF955" t="str">
        <f>IF(AND(OR(PROCESSOS!N955="NO PRAZO",PROCESSOS!N955="VENCE EM BREVE"),OR(FiltroResp="TODOS",FiltroResp="",PROCESSOS!H955=FiltroResp)),PROCESSOS!L955+ROW()/1000000,"")</f>
        <v/>
      </c>
      <c r="BG955" t="str">
        <f>IF(AND(PROCESSOS!B955&lt;&gt;"",ISNUMBER(PROCESSOS!D955),OR(FiltroResp="TODOS",FiltroResp="",PROCESSOS!H955=FiltroResp)),PROCESSOS!D955+ROW()/1000000,"")</f>
        <v/>
      </c>
    </row>
    <row r="956">
      <c r="BF956" t="str">
        <f>IF(AND(OR(PROCESSOS!N956="NO PRAZO",PROCESSOS!N956="VENCE EM BREVE"),OR(FiltroResp="TODOS",FiltroResp="",PROCESSOS!H956=FiltroResp)),PROCESSOS!L956+ROW()/1000000,"")</f>
        <v/>
      </c>
      <c r="BG956" t="str">
        <f>IF(AND(PROCESSOS!B956&lt;&gt;"",ISNUMBER(PROCESSOS!D956),OR(FiltroResp="TODOS",FiltroResp="",PROCESSOS!H956=FiltroResp)),PROCESSOS!D956+ROW()/1000000,"")</f>
        <v/>
      </c>
    </row>
    <row r="957">
      <c r="BF957" t="str">
        <f>IF(AND(OR(PROCESSOS!N957="NO PRAZO",PROCESSOS!N957="VENCE EM BREVE"),OR(FiltroResp="TODOS",FiltroResp="",PROCESSOS!H957=FiltroResp)),PROCESSOS!L957+ROW()/1000000,"")</f>
        <v/>
      </c>
      <c r="BG957" t="str">
        <f>IF(AND(PROCESSOS!B957&lt;&gt;"",ISNUMBER(PROCESSOS!D957),OR(FiltroResp="TODOS",FiltroResp="",PROCESSOS!H957=FiltroResp)),PROCESSOS!D957+ROW()/1000000,"")</f>
        <v/>
      </c>
    </row>
    <row r="958">
      <c r="BF958" t="str">
        <f>IF(AND(OR(PROCESSOS!N958="NO PRAZO",PROCESSOS!N958="VENCE EM BREVE"),OR(FiltroResp="TODOS",FiltroResp="",PROCESSOS!H958=FiltroResp)),PROCESSOS!L958+ROW()/1000000,"")</f>
        <v/>
      </c>
      <c r="BG958" t="str">
        <f>IF(AND(PROCESSOS!B958&lt;&gt;"",ISNUMBER(PROCESSOS!D958),OR(FiltroResp="TODOS",FiltroResp="",PROCESSOS!H958=FiltroResp)),PROCESSOS!D958+ROW()/1000000,"")</f>
        <v/>
      </c>
    </row>
    <row r="959">
      <c r="BF959" t="str">
        <f>IF(AND(OR(PROCESSOS!N959="NO PRAZO",PROCESSOS!N959="VENCE EM BREVE"),OR(FiltroResp="TODOS",FiltroResp="",PROCESSOS!H959=FiltroResp)),PROCESSOS!L959+ROW()/1000000,"")</f>
        <v/>
      </c>
      <c r="BG959" t="str">
        <f>IF(AND(PROCESSOS!B959&lt;&gt;"",ISNUMBER(PROCESSOS!D959),OR(FiltroResp="TODOS",FiltroResp="",PROCESSOS!H959=FiltroResp)),PROCESSOS!D959+ROW()/1000000,"")</f>
        <v/>
      </c>
    </row>
    <row r="960">
      <c r="BF960" t="str">
        <f>IF(AND(OR(PROCESSOS!N960="NO PRAZO",PROCESSOS!N960="VENCE EM BREVE"),OR(FiltroResp="TODOS",FiltroResp="",PROCESSOS!H960=FiltroResp)),PROCESSOS!L960+ROW()/1000000,"")</f>
        <v/>
      </c>
      <c r="BG960" t="str">
        <f>IF(AND(PROCESSOS!B960&lt;&gt;"",ISNUMBER(PROCESSOS!D960),OR(FiltroResp="TODOS",FiltroResp="",PROCESSOS!H960=FiltroResp)),PROCESSOS!D960+ROW()/1000000,"")</f>
        <v/>
      </c>
    </row>
    <row r="961">
      <c r="BF961" t="str">
        <f>IF(AND(OR(PROCESSOS!N961="NO PRAZO",PROCESSOS!N961="VENCE EM BREVE"),OR(FiltroResp="TODOS",FiltroResp="",PROCESSOS!H961=FiltroResp)),PROCESSOS!L961+ROW()/1000000,"")</f>
        <v/>
      </c>
      <c r="BG961" t="str">
        <f>IF(AND(PROCESSOS!B961&lt;&gt;"",ISNUMBER(PROCESSOS!D961),OR(FiltroResp="TODOS",FiltroResp="",PROCESSOS!H961=FiltroResp)),PROCESSOS!D961+ROW()/1000000,"")</f>
        <v/>
      </c>
    </row>
    <row r="962">
      <c r="BF962" t="str">
        <f>IF(AND(OR(PROCESSOS!N962="NO PRAZO",PROCESSOS!N962="VENCE EM BREVE"),OR(FiltroResp="TODOS",FiltroResp="",PROCESSOS!H962=FiltroResp)),PROCESSOS!L962+ROW()/1000000,"")</f>
        <v/>
      </c>
      <c r="BG962" t="str">
        <f>IF(AND(PROCESSOS!B962&lt;&gt;"",ISNUMBER(PROCESSOS!D962),OR(FiltroResp="TODOS",FiltroResp="",PROCESSOS!H962=FiltroResp)),PROCESSOS!D962+ROW()/1000000,"")</f>
        <v/>
      </c>
    </row>
    <row r="963">
      <c r="BF963" t="str">
        <f>IF(AND(OR(PROCESSOS!N963="NO PRAZO",PROCESSOS!N963="VENCE EM BREVE"),OR(FiltroResp="TODOS",FiltroResp="",PROCESSOS!H963=FiltroResp)),PROCESSOS!L963+ROW()/1000000,"")</f>
        <v/>
      </c>
      <c r="BG963" t="str">
        <f>IF(AND(PROCESSOS!B963&lt;&gt;"",ISNUMBER(PROCESSOS!D963),OR(FiltroResp="TODOS",FiltroResp="",PROCESSOS!H963=FiltroResp)),PROCESSOS!D963+ROW()/1000000,"")</f>
        <v/>
      </c>
    </row>
    <row r="964">
      <c r="BF964" t="str">
        <f>IF(AND(OR(PROCESSOS!N964="NO PRAZO",PROCESSOS!N964="VENCE EM BREVE"),OR(FiltroResp="TODOS",FiltroResp="",PROCESSOS!H964=FiltroResp)),PROCESSOS!L964+ROW()/1000000,"")</f>
        <v/>
      </c>
      <c r="BG964" t="str">
        <f>IF(AND(PROCESSOS!B964&lt;&gt;"",ISNUMBER(PROCESSOS!D964),OR(FiltroResp="TODOS",FiltroResp="",PROCESSOS!H964=FiltroResp)),PROCESSOS!D964+ROW()/1000000,"")</f>
        <v/>
      </c>
    </row>
    <row r="965">
      <c r="BF965" t="str">
        <f>IF(AND(OR(PROCESSOS!N965="NO PRAZO",PROCESSOS!N965="VENCE EM BREVE"),OR(FiltroResp="TODOS",FiltroResp="",PROCESSOS!H965=FiltroResp)),PROCESSOS!L965+ROW()/1000000,"")</f>
        <v/>
      </c>
      <c r="BG965" t="str">
        <f>IF(AND(PROCESSOS!B965&lt;&gt;"",ISNUMBER(PROCESSOS!D965),OR(FiltroResp="TODOS",FiltroResp="",PROCESSOS!H965=FiltroResp)),PROCESSOS!D965+ROW()/1000000,"")</f>
        <v/>
      </c>
    </row>
    <row r="966">
      <c r="BF966" t="str">
        <f>IF(AND(OR(PROCESSOS!N966="NO PRAZO",PROCESSOS!N966="VENCE EM BREVE"),OR(FiltroResp="TODOS",FiltroResp="",PROCESSOS!H966=FiltroResp)),PROCESSOS!L966+ROW()/1000000,"")</f>
        <v/>
      </c>
      <c r="BG966" t="str">
        <f>IF(AND(PROCESSOS!B966&lt;&gt;"",ISNUMBER(PROCESSOS!D966),OR(FiltroResp="TODOS",FiltroResp="",PROCESSOS!H966=FiltroResp)),PROCESSOS!D966+ROW()/1000000,"")</f>
        <v/>
      </c>
    </row>
    <row r="967">
      <c r="BF967" t="str">
        <f>IF(AND(OR(PROCESSOS!N967="NO PRAZO",PROCESSOS!N967="VENCE EM BREVE"),OR(FiltroResp="TODOS",FiltroResp="",PROCESSOS!H967=FiltroResp)),PROCESSOS!L967+ROW()/1000000,"")</f>
        <v/>
      </c>
      <c r="BG967" t="str">
        <f>IF(AND(PROCESSOS!B967&lt;&gt;"",ISNUMBER(PROCESSOS!D967),OR(FiltroResp="TODOS",FiltroResp="",PROCESSOS!H967=FiltroResp)),PROCESSOS!D967+ROW()/1000000,"")</f>
        <v/>
      </c>
    </row>
    <row r="968">
      <c r="BF968" t="str">
        <f>IF(AND(OR(PROCESSOS!N968="NO PRAZO",PROCESSOS!N968="VENCE EM BREVE"),OR(FiltroResp="TODOS",FiltroResp="",PROCESSOS!H968=FiltroResp)),PROCESSOS!L968+ROW()/1000000,"")</f>
        <v/>
      </c>
      <c r="BG968" t="str">
        <f>IF(AND(PROCESSOS!B968&lt;&gt;"",ISNUMBER(PROCESSOS!D968),OR(FiltroResp="TODOS",FiltroResp="",PROCESSOS!H968=FiltroResp)),PROCESSOS!D968+ROW()/1000000,"")</f>
        <v/>
      </c>
    </row>
    <row r="969">
      <c r="BF969" t="str">
        <f>IF(AND(OR(PROCESSOS!N969="NO PRAZO",PROCESSOS!N969="VENCE EM BREVE"),OR(FiltroResp="TODOS",FiltroResp="",PROCESSOS!H969=FiltroResp)),PROCESSOS!L969+ROW()/1000000,"")</f>
        <v/>
      </c>
      <c r="BG969" t="str">
        <f>IF(AND(PROCESSOS!B969&lt;&gt;"",ISNUMBER(PROCESSOS!D969),OR(FiltroResp="TODOS",FiltroResp="",PROCESSOS!H969=FiltroResp)),PROCESSOS!D969+ROW()/1000000,"")</f>
        <v/>
      </c>
    </row>
    <row r="970">
      <c r="BF970" t="str">
        <f>IF(AND(OR(PROCESSOS!N970="NO PRAZO",PROCESSOS!N970="VENCE EM BREVE"),OR(FiltroResp="TODOS",FiltroResp="",PROCESSOS!H970=FiltroResp)),PROCESSOS!L970+ROW()/1000000,"")</f>
        <v/>
      </c>
      <c r="BG970" t="str">
        <f>IF(AND(PROCESSOS!B970&lt;&gt;"",ISNUMBER(PROCESSOS!D970),OR(FiltroResp="TODOS",FiltroResp="",PROCESSOS!H970=FiltroResp)),PROCESSOS!D970+ROW()/1000000,"")</f>
        <v/>
      </c>
    </row>
    <row r="971">
      <c r="BF971" t="str">
        <f>IF(AND(OR(PROCESSOS!N971="NO PRAZO",PROCESSOS!N971="VENCE EM BREVE"),OR(FiltroResp="TODOS",FiltroResp="",PROCESSOS!H971=FiltroResp)),PROCESSOS!L971+ROW()/1000000,"")</f>
        <v/>
      </c>
      <c r="BG971" t="str">
        <f>IF(AND(PROCESSOS!B971&lt;&gt;"",ISNUMBER(PROCESSOS!D971),OR(FiltroResp="TODOS",FiltroResp="",PROCESSOS!H971=FiltroResp)),PROCESSOS!D971+ROW()/1000000,"")</f>
        <v/>
      </c>
    </row>
    <row r="972">
      <c r="BF972" t="str">
        <f>IF(AND(OR(PROCESSOS!N972="NO PRAZO",PROCESSOS!N972="VENCE EM BREVE"),OR(FiltroResp="TODOS",FiltroResp="",PROCESSOS!H972=FiltroResp)),PROCESSOS!L972+ROW()/1000000,"")</f>
        <v/>
      </c>
      <c r="BG972" t="str">
        <f>IF(AND(PROCESSOS!B972&lt;&gt;"",ISNUMBER(PROCESSOS!D972),OR(FiltroResp="TODOS",FiltroResp="",PROCESSOS!H972=FiltroResp)),PROCESSOS!D972+ROW()/1000000,"")</f>
        <v/>
      </c>
    </row>
    <row r="973">
      <c r="BF973" t="str">
        <f>IF(AND(OR(PROCESSOS!N973="NO PRAZO",PROCESSOS!N973="VENCE EM BREVE"),OR(FiltroResp="TODOS",FiltroResp="",PROCESSOS!H973=FiltroResp)),PROCESSOS!L973+ROW()/1000000,"")</f>
        <v/>
      </c>
      <c r="BG973" t="str">
        <f>IF(AND(PROCESSOS!B973&lt;&gt;"",ISNUMBER(PROCESSOS!D973),OR(FiltroResp="TODOS",FiltroResp="",PROCESSOS!H973=FiltroResp)),PROCESSOS!D973+ROW()/1000000,"")</f>
        <v/>
      </c>
    </row>
    <row r="974">
      <c r="BF974" t="str">
        <f>IF(AND(OR(PROCESSOS!N974="NO PRAZO",PROCESSOS!N974="VENCE EM BREVE"),OR(FiltroResp="TODOS",FiltroResp="",PROCESSOS!H974=FiltroResp)),PROCESSOS!L974+ROW()/1000000,"")</f>
        <v/>
      </c>
      <c r="BG974" t="str">
        <f>IF(AND(PROCESSOS!B974&lt;&gt;"",ISNUMBER(PROCESSOS!D974),OR(FiltroResp="TODOS",FiltroResp="",PROCESSOS!H974=FiltroResp)),PROCESSOS!D974+ROW()/1000000,"")</f>
        <v/>
      </c>
    </row>
    <row r="975">
      <c r="BF975" t="str">
        <f>IF(AND(OR(PROCESSOS!N975="NO PRAZO",PROCESSOS!N975="VENCE EM BREVE"),OR(FiltroResp="TODOS",FiltroResp="",PROCESSOS!H975=FiltroResp)),PROCESSOS!L975+ROW()/1000000,"")</f>
        <v/>
      </c>
      <c r="BG975" t="str">
        <f>IF(AND(PROCESSOS!B975&lt;&gt;"",ISNUMBER(PROCESSOS!D975),OR(FiltroResp="TODOS",FiltroResp="",PROCESSOS!H975=FiltroResp)),PROCESSOS!D975+ROW()/1000000,"")</f>
        <v/>
      </c>
    </row>
    <row r="976">
      <c r="BF976" t="str">
        <f>IF(AND(OR(PROCESSOS!N976="NO PRAZO",PROCESSOS!N976="VENCE EM BREVE"),OR(FiltroResp="TODOS",FiltroResp="",PROCESSOS!H976=FiltroResp)),PROCESSOS!L976+ROW()/1000000,"")</f>
        <v/>
      </c>
      <c r="BG976" t="str">
        <f>IF(AND(PROCESSOS!B976&lt;&gt;"",ISNUMBER(PROCESSOS!D976),OR(FiltroResp="TODOS",FiltroResp="",PROCESSOS!H976=FiltroResp)),PROCESSOS!D976+ROW()/1000000,"")</f>
        <v/>
      </c>
    </row>
    <row r="977">
      <c r="BF977" t="str">
        <f>IF(AND(OR(PROCESSOS!N977="NO PRAZO",PROCESSOS!N977="VENCE EM BREVE"),OR(FiltroResp="TODOS",FiltroResp="",PROCESSOS!H977=FiltroResp)),PROCESSOS!L977+ROW()/1000000,"")</f>
        <v/>
      </c>
      <c r="BG977" t="str">
        <f>IF(AND(PROCESSOS!B977&lt;&gt;"",ISNUMBER(PROCESSOS!D977),OR(FiltroResp="TODOS",FiltroResp="",PROCESSOS!H977=FiltroResp)),PROCESSOS!D977+ROW()/1000000,"")</f>
        <v/>
      </c>
    </row>
    <row r="978">
      <c r="BF978" t="str">
        <f>IF(AND(OR(PROCESSOS!N978="NO PRAZO",PROCESSOS!N978="VENCE EM BREVE"),OR(FiltroResp="TODOS",FiltroResp="",PROCESSOS!H978=FiltroResp)),PROCESSOS!L978+ROW()/1000000,"")</f>
        <v/>
      </c>
      <c r="BG978" t="str">
        <f>IF(AND(PROCESSOS!B978&lt;&gt;"",ISNUMBER(PROCESSOS!D978),OR(FiltroResp="TODOS",FiltroResp="",PROCESSOS!H978=FiltroResp)),PROCESSOS!D978+ROW()/1000000,"")</f>
        <v/>
      </c>
    </row>
    <row r="979">
      <c r="BF979" t="str">
        <f>IF(AND(OR(PROCESSOS!N979="NO PRAZO",PROCESSOS!N979="VENCE EM BREVE"),OR(FiltroResp="TODOS",FiltroResp="",PROCESSOS!H979=FiltroResp)),PROCESSOS!L979+ROW()/1000000,"")</f>
        <v/>
      </c>
      <c r="BG979" t="str">
        <f>IF(AND(PROCESSOS!B979&lt;&gt;"",ISNUMBER(PROCESSOS!D979),OR(FiltroResp="TODOS",FiltroResp="",PROCESSOS!H979=FiltroResp)),PROCESSOS!D979+ROW()/1000000,"")</f>
        <v/>
      </c>
    </row>
    <row r="980">
      <c r="BF980" t="str">
        <f>IF(AND(OR(PROCESSOS!N980="NO PRAZO",PROCESSOS!N980="VENCE EM BREVE"),OR(FiltroResp="TODOS",FiltroResp="",PROCESSOS!H980=FiltroResp)),PROCESSOS!L980+ROW()/1000000,"")</f>
        <v/>
      </c>
      <c r="BG980" t="str">
        <f>IF(AND(PROCESSOS!B980&lt;&gt;"",ISNUMBER(PROCESSOS!D980),OR(FiltroResp="TODOS",FiltroResp="",PROCESSOS!H980=FiltroResp)),PROCESSOS!D980+ROW()/1000000,"")</f>
        <v/>
      </c>
    </row>
    <row r="981">
      <c r="BF981" t="str">
        <f>IF(AND(OR(PROCESSOS!N981="NO PRAZO",PROCESSOS!N981="VENCE EM BREVE"),OR(FiltroResp="TODOS",FiltroResp="",PROCESSOS!H981=FiltroResp)),PROCESSOS!L981+ROW()/1000000,"")</f>
        <v/>
      </c>
      <c r="BG981" t="str">
        <f>IF(AND(PROCESSOS!B981&lt;&gt;"",ISNUMBER(PROCESSOS!D981),OR(FiltroResp="TODOS",FiltroResp="",PROCESSOS!H981=FiltroResp)),PROCESSOS!D981+ROW()/1000000,"")</f>
        <v/>
      </c>
    </row>
    <row r="982">
      <c r="BF982" t="str">
        <f>IF(AND(OR(PROCESSOS!N982="NO PRAZO",PROCESSOS!N982="VENCE EM BREVE"),OR(FiltroResp="TODOS",FiltroResp="",PROCESSOS!H982=FiltroResp)),PROCESSOS!L982+ROW()/1000000,"")</f>
        <v/>
      </c>
      <c r="BG982" t="str">
        <f>IF(AND(PROCESSOS!B982&lt;&gt;"",ISNUMBER(PROCESSOS!D982),OR(FiltroResp="TODOS",FiltroResp="",PROCESSOS!H982=FiltroResp)),PROCESSOS!D982+ROW()/1000000,"")</f>
        <v/>
      </c>
    </row>
    <row r="983">
      <c r="BF983" t="str">
        <f>IF(AND(OR(PROCESSOS!N983="NO PRAZO",PROCESSOS!N983="VENCE EM BREVE"),OR(FiltroResp="TODOS",FiltroResp="",PROCESSOS!H983=FiltroResp)),PROCESSOS!L983+ROW()/1000000,"")</f>
        <v/>
      </c>
      <c r="BG983" t="str">
        <f>IF(AND(PROCESSOS!B983&lt;&gt;"",ISNUMBER(PROCESSOS!D983),OR(FiltroResp="TODOS",FiltroResp="",PROCESSOS!H983=FiltroResp)),PROCESSOS!D983+ROW()/1000000,"")</f>
        <v/>
      </c>
    </row>
    <row r="984">
      <c r="BF984" t="str">
        <f>IF(AND(OR(PROCESSOS!N984="NO PRAZO",PROCESSOS!N984="VENCE EM BREVE"),OR(FiltroResp="TODOS",FiltroResp="",PROCESSOS!H984=FiltroResp)),PROCESSOS!L984+ROW()/1000000,"")</f>
        <v/>
      </c>
      <c r="BG984" t="str">
        <f>IF(AND(PROCESSOS!B984&lt;&gt;"",ISNUMBER(PROCESSOS!D984),OR(FiltroResp="TODOS",FiltroResp="",PROCESSOS!H984=FiltroResp)),PROCESSOS!D984+ROW()/1000000,"")</f>
        <v/>
      </c>
    </row>
    <row r="985">
      <c r="BF985" t="str">
        <f>IF(AND(OR(PROCESSOS!N985="NO PRAZO",PROCESSOS!N985="VENCE EM BREVE"),OR(FiltroResp="TODOS",FiltroResp="",PROCESSOS!H985=FiltroResp)),PROCESSOS!L985+ROW()/1000000,"")</f>
        <v/>
      </c>
      <c r="BG985" t="str">
        <f>IF(AND(PROCESSOS!B985&lt;&gt;"",ISNUMBER(PROCESSOS!D985),OR(FiltroResp="TODOS",FiltroResp="",PROCESSOS!H985=FiltroResp)),PROCESSOS!D985+ROW()/1000000,"")</f>
        <v/>
      </c>
    </row>
    <row r="986">
      <c r="BF986" t="str">
        <f>IF(AND(OR(PROCESSOS!N986="NO PRAZO",PROCESSOS!N986="VENCE EM BREVE"),OR(FiltroResp="TODOS",FiltroResp="",PROCESSOS!H986=FiltroResp)),PROCESSOS!L986+ROW()/1000000,"")</f>
        <v/>
      </c>
      <c r="BG986" t="str">
        <f>IF(AND(PROCESSOS!B986&lt;&gt;"",ISNUMBER(PROCESSOS!D986),OR(FiltroResp="TODOS",FiltroResp="",PROCESSOS!H986=FiltroResp)),PROCESSOS!D986+ROW()/1000000,"")</f>
        <v/>
      </c>
    </row>
    <row r="987">
      <c r="BF987" t="str">
        <f>IF(AND(OR(PROCESSOS!N987="NO PRAZO",PROCESSOS!N987="VENCE EM BREVE"),OR(FiltroResp="TODOS",FiltroResp="",PROCESSOS!H987=FiltroResp)),PROCESSOS!L987+ROW()/1000000,"")</f>
        <v/>
      </c>
      <c r="BG987" t="str">
        <f>IF(AND(PROCESSOS!B987&lt;&gt;"",ISNUMBER(PROCESSOS!D987),OR(FiltroResp="TODOS",FiltroResp="",PROCESSOS!H987=FiltroResp)),PROCESSOS!D987+ROW()/1000000,"")</f>
        <v/>
      </c>
    </row>
    <row r="988">
      <c r="BF988" t="str">
        <f>IF(AND(OR(PROCESSOS!N988="NO PRAZO",PROCESSOS!N988="VENCE EM BREVE"),OR(FiltroResp="TODOS",FiltroResp="",PROCESSOS!H988=FiltroResp)),PROCESSOS!L988+ROW()/1000000,"")</f>
        <v/>
      </c>
      <c r="BG988" t="str">
        <f>IF(AND(PROCESSOS!B988&lt;&gt;"",ISNUMBER(PROCESSOS!D988),OR(FiltroResp="TODOS",FiltroResp="",PROCESSOS!H988=FiltroResp)),PROCESSOS!D988+ROW()/1000000,"")</f>
        <v/>
      </c>
    </row>
    <row r="989">
      <c r="BF989" t="str">
        <f>IF(AND(OR(PROCESSOS!N989="NO PRAZO",PROCESSOS!N989="VENCE EM BREVE"),OR(FiltroResp="TODOS",FiltroResp="",PROCESSOS!H989=FiltroResp)),PROCESSOS!L989+ROW()/1000000,"")</f>
        <v/>
      </c>
      <c r="BG989" t="str">
        <f>IF(AND(PROCESSOS!B989&lt;&gt;"",ISNUMBER(PROCESSOS!D989),OR(FiltroResp="TODOS",FiltroResp="",PROCESSOS!H989=FiltroResp)),PROCESSOS!D989+ROW()/1000000,"")</f>
        <v/>
      </c>
    </row>
    <row r="990">
      <c r="BF990" t="str">
        <f>IF(AND(OR(PROCESSOS!N990="NO PRAZO",PROCESSOS!N990="VENCE EM BREVE"),OR(FiltroResp="TODOS",FiltroResp="",PROCESSOS!H990=FiltroResp)),PROCESSOS!L990+ROW()/1000000,"")</f>
        <v/>
      </c>
      <c r="BG990" t="str">
        <f>IF(AND(PROCESSOS!B990&lt;&gt;"",ISNUMBER(PROCESSOS!D990),OR(FiltroResp="TODOS",FiltroResp="",PROCESSOS!H990=FiltroResp)),PROCESSOS!D990+ROW()/1000000,"")</f>
        <v/>
      </c>
    </row>
    <row r="991">
      <c r="BF991" t="str">
        <f>IF(AND(OR(PROCESSOS!N991="NO PRAZO",PROCESSOS!N991="VENCE EM BREVE"),OR(FiltroResp="TODOS",FiltroResp="",PROCESSOS!H991=FiltroResp)),PROCESSOS!L991+ROW()/1000000,"")</f>
        <v/>
      </c>
      <c r="BG991" t="str">
        <f>IF(AND(PROCESSOS!B991&lt;&gt;"",ISNUMBER(PROCESSOS!D991),OR(FiltroResp="TODOS",FiltroResp="",PROCESSOS!H991=FiltroResp)),PROCESSOS!D991+ROW()/1000000,"")</f>
        <v/>
      </c>
    </row>
    <row r="992">
      <c r="BF992" t="str">
        <f>IF(AND(OR(PROCESSOS!N992="NO PRAZO",PROCESSOS!N992="VENCE EM BREVE"),OR(FiltroResp="TODOS",FiltroResp="",PROCESSOS!H992=FiltroResp)),PROCESSOS!L992+ROW()/1000000,"")</f>
        <v/>
      </c>
      <c r="BG992" t="str">
        <f>IF(AND(PROCESSOS!B992&lt;&gt;"",ISNUMBER(PROCESSOS!D992),OR(FiltroResp="TODOS",FiltroResp="",PROCESSOS!H992=FiltroResp)),PROCESSOS!D992+ROW()/1000000,"")</f>
        <v/>
      </c>
    </row>
    <row r="993">
      <c r="BF993" t="str">
        <f>IF(AND(OR(PROCESSOS!N993="NO PRAZO",PROCESSOS!N993="VENCE EM BREVE"),OR(FiltroResp="TODOS",FiltroResp="",PROCESSOS!H993=FiltroResp)),PROCESSOS!L993+ROW()/1000000,"")</f>
        <v/>
      </c>
      <c r="BG993" t="str">
        <f>IF(AND(PROCESSOS!B993&lt;&gt;"",ISNUMBER(PROCESSOS!D993),OR(FiltroResp="TODOS",FiltroResp="",PROCESSOS!H993=FiltroResp)),PROCESSOS!D993+ROW()/1000000,"")</f>
        <v/>
      </c>
    </row>
    <row r="994">
      <c r="BF994" t="str">
        <f>IF(AND(OR(PROCESSOS!N994="NO PRAZO",PROCESSOS!N994="VENCE EM BREVE"),OR(FiltroResp="TODOS",FiltroResp="",PROCESSOS!H994=FiltroResp)),PROCESSOS!L994+ROW()/1000000,"")</f>
        <v/>
      </c>
      <c r="BG994" t="str">
        <f>IF(AND(PROCESSOS!B994&lt;&gt;"",ISNUMBER(PROCESSOS!D994),OR(FiltroResp="TODOS",FiltroResp="",PROCESSOS!H994=FiltroResp)),PROCESSOS!D994+ROW()/1000000,"")</f>
        <v/>
      </c>
    </row>
    <row r="995">
      <c r="BF995" t="str">
        <f>IF(AND(OR(PROCESSOS!N995="NO PRAZO",PROCESSOS!N995="VENCE EM BREVE"),OR(FiltroResp="TODOS",FiltroResp="",PROCESSOS!H995=FiltroResp)),PROCESSOS!L995+ROW()/1000000,"")</f>
        <v/>
      </c>
      <c r="BG995" t="str">
        <f>IF(AND(PROCESSOS!B995&lt;&gt;"",ISNUMBER(PROCESSOS!D995),OR(FiltroResp="TODOS",FiltroResp="",PROCESSOS!H995=FiltroResp)),PROCESSOS!D995+ROW()/1000000,"")</f>
        <v/>
      </c>
    </row>
    <row r="996">
      <c r="BF996" t="str">
        <f>IF(AND(OR(PROCESSOS!N996="NO PRAZO",PROCESSOS!N996="VENCE EM BREVE"),OR(FiltroResp="TODOS",FiltroResp="",PROCESSOS!H996=FiltroResp)),PROCESSOS!L996+ROW()/1000000,"")</f>
        <v/>
      </c>
      <c r="BG996" t="str">
        <f>IF(AND(PROCESSOS!B996&lt;&gt;"",ISNUMBER(PROCESSOS!D996),OR(FiltroResp="TODOS",FiltroResp="",PROCESSOS!H996=FiltroResp)),PROCESSOS!D996+ROW()/1000000,"")</f>
        <v/>
      </c>
    </row>
    <row r="997">
      <c r="BF997" t="str">
        <f>IF(AND(OR(PROCESSOS!N997="NO PRAZO",PROCESSOS!N997="VENCE EM BREVE"),OR(FiltroResp="TODOS",FiltroResp="",PROCESSOS!H997=FiltroResp)),PROCESSOS!L997+ROW()/1000000,"")</f>
        <v/>
      </c>
      <c r="BG997" t="str">
        <f>IF(AND(PROCESSOS!B997&lt;&gt;"",ISNUMBER(PROCESSOS!D997),OR(FiltroResp="TODOS",FiltroResp="",PROCESSOS!H997=FiltroResp)),PROCESSOS!D997+ROW()/1000000,"")</f>
        <v/>
      </c>
    </row>
    <row r="998">
      <c r="BF998" t="str">
        <f>IF(AND(OR(PROCESSOS!N998="NO PRAZO",PROCESSOS!N998="VENCE EM BREVE"),OR(FiltroResp="TODOS",FiltroResp="",PROCESSOS!H998=FiltroResp)),PROCESSOS!L998+ROW()/1000000,"")</f>
        <v/>
      </c>
      <c r="BG998" t="str">
        <f>IF(AND(PROCESSOS!B998&lt;&gt;"",ISNUMBER(PROCESSOS!D998),OR(FiltroResp="TODOS",FiltroResp="",PROCESSOS!H998=FiltroResp)),PROCESSOS!D998+ROW()/1000000,"")</f>
        <v/>
      </c>
    </row>
    <row r="999">
      <c r="BF999" t="str">
        <f>IF(AND(OR(PROCESSOS!N999="NO PRAZO",PROCESSOS!N999="VENCE EM BREVE"),OR(FiltroResp="TODOS",FiltroResp="",PROCESSOS!H999=FiltroResp)),PROCESSOS!L999+ROW()/1000000,"")</f>
        <v/>
      </c>
      <c r="BG999" t="str">
        <f>IF(AND(PROCESSOS!B999&lt;&gt;"",ISNUMBER(PROCESSOS!D999),OR(FiltroResp="TODOS",FiltroResp="",PROCESSOS!H999=FiltroResp)),PROCESSOS!D999+ROW()/1000000,"")</f>
        <v/>
      </c>
    </row>
    <row r="1000">
      <c r="BF1000" t="str">
        <f>IF(AND(OR(PROCESSOS!N1000="NO PRAZO",PROCESSOS!N1000="VENCE EM BREVE"),OR(FiltroResp="TODOS",FiltroResp="",PROCESSOS!H1000=FiltroResp)),PROCESSOS!L1000+ROW()/1000000,"")</f>
        <v/>
      </c>
      <c r="BG1000" t="str">
        <f>IF(AND(PROCESSOS!B1000&lt;&gt;"",ISNUMBER(PROCESSOS!D1000),OR(FiltroResp="TODOS",FiltroResp="",PROCESSOS!H1000=FiltroResp)),PROCESSOS!D1000+ROW()/1000000,"")</f>
        <v/>
      </c>
    </row>
    <row r="1001">
      <c r="BF1001" t="str">
        <f>IF(AND(OR(PROCESSOS!N1001="NO PRAZO",PROCESSOS!N1001="VENCE EM BREVE"),OR(FiltroResp="TODOS",FiltroResp="",PROCESSOS!H1001=FiltroResp)),PROCESSOS!L1001+ROW()/1000000,"")</f>
        <v/>
      </c>
      <c r="BG1001" t="str">
        <f>IF(AND(PROCESSOS!B1001&lt;&gt;"",ISNUMBER(PROCESSOS!D1001),OR(FiltroResp="TODOS",FiltroResp="",PROCESSOS!H1001=FiltroResp)),PROCESSOS!D1001+ROW()/1000000,"")</f>
        <v/>
      </c>
    </row>
    <row r="1002">
      <c r="BF1002" t="str">
        <f>IF(AND(OR(PROCESSOS!N1002="NO PRAZO",PROCESSOS!N1002="VENCE EM BREVE"),OR(FiltroResp="TODOS",FiltroResp="",PROCESSOS!H1002=FiltroResp)),PROCESSOS!L1002+ROW()/1000000,"")</f>
        <v/>
      </c>
      <c r="BG1002" t="str">
        <f>IF(AND(PROCESSOS!B1002&lt;&gt;"",ISNUMBER(PROCESSOS!D1002),OR(FiltroResp="TODOS",FiltroResp="",PROCESSOS!H1002=FiltroResp)),PROCESSOS!D1002+ROW()/1000000,"")</f>
        <v/>
      </c>
    </row>
    <row r="1003">
      <c r="BF1003" t="str">
        <f>IF(AND(OR(PROCESSOS!N1003="NO PRAZO",PROCESSOS!N1003="VENCE EM BREVE"),OR(FiltroResp="TODOS",FiltroResp="",PROCESSOS!H1003=FiltroResp)),PROCESSOS!L1003+ROW()/1000000,"")</f>
        <v/>
      </c>
      <c r="BG1003" t="str">
        <f>IF(AND(PROCESSOS!B1003&lt;&gt;"",ISNUMBER(PROCESSOS!D1003),OR(FiltroResp="TODOS",FiltroResp="",PROCESSOS!H1003=FiltroResp)),PROCESSOS!D1003+ROW()/1000000,"")</f>
        <v/>
      </c>
    </row>
    <row r="1004">
      <c r="BF1004" t="str">
        <f>IF(AND(OR(PROCESSOS!N1004="NO PRAZO",PROCESSOS!N1004="VENCE EM BREVE"),OR(FiltroResp="TODOS",FiltroResp="",PROCESSOS!H1004=FiltroResp)),PROCESSOS!L1004+ROW()/1000000,"")</f>
        <v/>
      </c>
      <c r="BG1004" t="str">
        <f>IF(AND(PROCESSOS!B1004&lt;&gt;"",ISNUMBER(PROCESSOS!D1004),OR(FiltroResp="TODOS",FiltroResp="",PROCESSOS!H1004=FiltroResp)),PROCESSOS!D1004+ROW()/1000000,"")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2026-10-08T23:00:39Z</dcterms:created>
  <dcterms:modified xmlns:dcterms="http://purl.org/dc/terms/" xmlns:xsi="http://www.w3.org/2001/XMLSchema-instance" xsi:type="dcterms:W3CDTF">2026-10-08T23:00:42Z</dcterms:modified>
</cp:coreProperties>
</file>