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GRÁFICOS" sheetId="2" state="visible" r:id="rId2"/>
    <sheet xmlns:r="http://schemas.openxmlformats.org/officeDocument/2006/relationships" name="PROCESSOS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INSTRUÇÕES" sheetId="5" state="visible" r:id="rId5"/>
    <sheet xmlns:r="http://schemas.openxmlformats.org/officeDocument/2006/relationships" name="CALC" sheetId="6" state="hidden" r:id="rId6"/>
  </sheets>
  <definedNames>
    <definedName name="rNum">PROCESSOS!$A$5:$A$1004</definedName>
    <definedName name="rEmpresa">PROCESSOS!$B$5:$B$1004</definedName>
    <definedName name="rRamo">PROCESSOS!$C$5:$C$1004</definedName>
    <definedName name="rDataFisc">PROCESSOS!$D$5:$D$1004</definedName>
    <definedName name="rNotif">PROCESSOS!$E$5:$E$1004</definedName>
    <definedName name="rTipo">PROCESSOS!$F$5:$F$1004</definedName>
    <definedName name="rStatus">PROCESSOS!$G$5:$G$1004</definedName>
    <definedName name="rResp">PROCESSOS!$H$5:$H$1004</definedName>
    <definedName name="rNumNotif">PROCESSOS!$I$5:$I$1004</definedName>
    <definedName name="rProcOrig">PROCESSOS!$J$5:$J$1004</definedName>
    <definedName name="rDataOrig">PROCESSOS!$K$5:$K$1004</definedName>
    <definedName name="rDefesa">PROCESSOS!$L$5:$L$1004</definedName>
    <definedName name="rPrazo">PROCESSOS!$M$5:$M$1004</definedName>
    <definedName name="rDias">PROCESSOS!$N$5:$N$1004</definedName>
    <definedName name="rSit">PROCESSOS!$O$5:$O$1004</definedName>
    <definedName name="rIdade">PROCESSOS!$P$5:$P$1004</definedName>
    <definedName name="PrazoConst">CADASTROS!$M$6</definedName>
    <definedName name="PrazoEsc">CADASTROS!$M$7</definedName>
    <definedName name="DiasAlerta">CADASTROS!$M$8</definedName>
    <definedName name="MetaMensal">CADASTROS!$M$9</definedName>
    <definedName name="critResp">CALC!$C$3</definedName>
    <definedName name="hProx">CALC!$BF$5:$BF$1004</definedName>
    <definedName name="hUlt">CALC!$BG$5:$BG$1004</definedName>
    <definedName name="FiltroResp">PAINEL!$K$7</definedName>
    <definedName name="FiltroAno">PAINEL!$Y$7</definedName>
    <definedName name="_xlnm.Print_Area" localSheetId="0">'PAINEL'!$A$1:$AW$72</definedName>
    <definedName name="_xlnm.Print_Area" localSheetId="1">'GRÁFICOS'!$A$1:$AW$90</definedName>
    <definedName name="_xlnm._FilterDatabase" localSheetId="2" hidden="1">'PROCESSOS'!$A$4:$Q$1004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+0;-0;0"/>
    <numFmt numFmtId="166" formatCode="0.0%"/>
    <numFmt numFmtId="167" formatCode="▲ +0;▼ -0;● 0"/>
    <numFmt numFmtId="168" formatCode="0&quot; d&quot;"/>
    <numFmt numFmtId="169" formatCode="0;-0;&quot;–&quot;"/>
  </numFmts>
  <fonts count="4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EADFC8"/>
      <sz val="9"/>
    </font>
    <font>
      <name val="Arial"/>
      <b val="1"/>
      <color rgb="00FFFFFF"/>
      <sz val="10"/>
    </font>
    <font>
      <name val="Arial"/>
      <color rgb="00262626"/>
      <sz val="10"/>
    </font>
    <font>
      <name val="Arial"/>
      <i val="1"/>
      <color rgb="008C96A5"/>
      <sz val="8"/>
    </font>
    <font>
      <name val="Arial"/>
      <b val="1"/>
      <color rgb="001F497D"/>
      <sz val="11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color rgb="00262626"/>
      <sz val="9"/>
    </font>
    <font>
      <name val="Arial"/>
      <color rgb="00404040"/>
      <sz val="9"/>
    </font>
    <font>
      <name val="Arial"/>
      <b val="1"/>
      <color rgb="00262626"/>
      <sz val="9"/>
    </font>
    <font>
      <name val="Arial"/>
      <b val="1"/>
      <color rgb="00FFFFFF"/>
      <sz val="22"/>
    </font>
    <font>
      <name val="Arial"/>
      <color rgb="00EADFC8"/>
      <sz val="10"/>
    </font>
    <font>
      <name val="Arial"/>
      <b val="1"/>
      <color rgb="00EADFC8"/>
      <sz val="8"/>
    </font>
    <font>
      <name val="Arial"/>
      <b val="1"/>
      <color rgb="00FFFFFF"/>
      <sz val="14"/>
    </font>
    <font>
      <name val="Arial"/>
      <color rgb="00EADFC8"/>
      <sz val="8"/>
    </font>
    <font>
      <name val="Arial"/>
      <b val="1"/>
      <color rgb="001F497D"/>
      <sz val="9"/>
    </font>
    <font>
      <name val="Arial"/>
      <b val="1"/>
      <color rgb="001F497D"/>
      <sz val="10"/>
    </font>
    <font>
      <name val="Arial"/>
      <b val="1"/>
      <color rgb="001F497D"/>
      <sz val="8"/>
    </font>
    <font>
      <name val="Arial"/>
      <b val="1"/>
      <color rgb="00595959"/>
      <sz val="8"/>
    </font>
    <font>
      <name val="Arial"/>
      <b val="1"/>
      <color rgb="001F497D"/>
      <sz val="26"/>
    </font>
    <font>
      <name val="Arial"/>
      <b val="1"/>
      <color rgb="008C6D3F"/>
      <sz val="9"/>
    </font>
    <font>
      <name val="Arial"/>
      <b val="1"/>
      <color rgb="004E7D5B"/>
      <sz val="26"/>
    </font>
    <font>
      <name val="Arial"/>
      <b val="1"/>
      <color rgb="004E7D5B"/>
      <sz val="9"/>
    </font>
    <font>
      <name val="Arial"/>
      <b val="1"/>
      <color rgb="008C6D3F"/>
      <sz val="26"/>
    </font>
    <font>
      <name val="Arial"/>
      <b val="1"/>
      <color rgb="00B08D57"/>
      <sz val="9"/>
    </font>
    <font>
      <name val="Arial"/>
      <b val="1"/>
      <color rgb="00FFFFFF"/>
      <sz val="8"/>
    </font>
    <font>
      <name val="Arial"/>
      <color rgb="00595959"/>
      <sz val="8"/>
    </font>
    <font>
      <name val="Arial"/>
      <b val="1"/>
      <color rgb="008C6D3F"/>
      <sz val="8"/>
    </font>
    <font>
      <name val="Arial"/>
      <b val="1"/>
      <color rgb="00595959"/>
      <sz val="9"/>
    </font>
    <font>
      <name val="Arial"/>
      <b val="1"/>
      <color rgb="00262626"/>
      <sz val="10"/>
    </font>
    <font>
      <name val="Arial"/>
      <color rgb="00595959"/>
      <sz val="9"/>
    </font>
    <font>
      <name val="Arial"/>
      <color rgb="004E7D5B"/>
      <sz val="9"/>
    </font>
    <font>
      <name val="Arial"/>
      <color rgb="008C6D3F"/>
      <sz val="9"/>
    </font>
    <font>
      <name val="Arial"/>
      <color rgb="001F497D"/>
      <sz val="9"/>
    </font>
    <font>
      <name val="Arial"/>
      <b val="1"/>
      <color rgb="00FFFFFF"/>
      <sz val="11"/>
    </font>
    <font>
      <name val="Arial"/>
      <b val="1"/>
      <color rgb="001F497D"/>
      <sz val="14"/>
    </font>
    <font>
      <name val="Arial"/>
      <b val="1"/>
      <color rgb="004E7D5B"/>
      <sz val="14"/>
    </font>
    <font>
      <name val="Arial"/>
      <b val="1"/>
      <color rgb="008C6D3F"/>
      <sz val="14"/>
    </font>
  </fonts>
  <fills count="11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B08D57"/>
        <bgColor rgb="00B08D57"/>
      </patternFill>
    </fill>
    <fill>
      <patternFill patternType="solid">
        <fgColor rgb="00FFFFFF"/>
        <bgColor rgb="00FFFFFF"/>
      </patternFill>
    </fill>
    <fill>
      <patternFill patternType="solid">
        <fgColor rgb="00F3F6FB"/>
        <bgColor rgb="00F3F6FB"/>
      </patternFill>
    </fill>
    <fill>
      <patternFill patternType="solid">
        <fgColor rgb="008C6D3F"/>
        <bgColor rgb="008C6D3F"/>
      </patternFill>
    </fill>
    <fill>
      <patternFill patternType="solid">
        <fgColor rgb="00FAF6EE"/>
        <bgColor rgb="00FAF6EE"/>
      </patternFill>
    </fill>
    <fill>
      <patternFill patternType="solid">
        <fgColor rgb="00F4F6F9"/>
        <bgColor rgb="00F4F6F9"/>
      </patternFill>
    </fill>
    <fill>
      <patternFill patternType="solid">
        <fgColor rgb="00EADFC8"/>
        <bgColor rgb="00EADFC8"/>
      </patternFill>
    </fill>
    <fill>
      <patternFill patternType="solid">
        <fgColor rgb="004E7D5B"/>
        <bgColor rgb="004E7D5B"/>
      </patternFill>
    </fill>
  </fills>
  <borders count="36">
    <border>
      <left/>
      <right/>
      <top/>
      <bottom/>
      <diagonal/>
    </border>
    <border>
      <bottom style="medium">
        <color rgb="00B08D57"/>
      </bottom>
    </border>
    <border>
      <left style="thin">
        <color rgb="00D9DEE7"/>
      </left>
      <right style="thin">
        <color rgb="00D9DEE7"/>
      </right>
      <bottom style="thin">
        <color rgb="00D9DEE7"/>
      </bottom>
    </border>
    <border>
      <bottom style="thin">
        <color rgb="00D9DEE7"/>
      </bottom>
    </border>
    <border>
      <right style="thin">
        <color rgb="00FFFFFF"/>
      </right>
      <bottom style="medium">
        <color rgb="00B08D57"/>
      </bottom>
    </border>
    <border>
      <right style="thin">
        <color rgb="00FFFFFF"/>
      </right>
      <bottom style="medium">
        <color rgb="001F497D"/>
      </bottom>
    </border>
    <border>
      <right style="thin">
        <color rgb="00E4E8EE"/>
      </right>
      <bottom style="thin">
        <color rgb="00E4E8EE"/>
      </bottom>
    </border>
    <border>
      <left style="thin">
        <color rgb="00D9DEE7"/>
      </left>
      <top style="thin">
        <color rgb="00D9DEE7"/>
      </top>
      <bottom style="thin">
        <color rgb="00D9DEE7"/>
      </bottom>
    </border>
    <border>
      <top style="thin">
        <color rgb="00D9DEE7"/>
      </top>
      <bottom style="thin">
        <color rgb="00D9DEE7"/>
      </bottom>
    </border>
    <border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  <border>
      <left style="thin">
        <color rgb="00B08D57"/>
      </left>
      <top style="thin">
        <color rgb="00B08D57"/>
      </top>
      <bottom style="thin">
        <color rgb="00B08D57"/>
      </bottom>
    </border>
    <border>
      <top style="thin">
        <color rgb="00B08D57"/>
      </top>
      <bottom style="thin">
        <color rgb="00B08D57"/>
      </bottom>
    </border>
    <border>
      <right style="thin">
        <color rgb="00B08D57"/>
      </right>
      <top style="thin">
        <color rgb="00B08D57"/>
      </top>
      <bottom style="thin">
        <color rgb="00B08D57"/>
      </bottom>
    </border>
    <border>
      <left style="thin">
        <color rgb="00B08D57"/>
      </left>
      <right style="thin">
        <color rgb="00B08D57"/>
      </right>
      <top style="thin">
        <color rgb="00B08D57"/>
      </top>
      <bottom style="thin">
        <color rgb="00B08D57"/>
      </bottom>
    </border>
    <border>
      <left/>
      <right/>
      <top style="thin">
        <color rgb="00B08D57"/>
      </top>
      <bottom/>
      <diagonal/>
    </border>
    <border>
      <left/>
      <right style="thin">
        <color rgb="00B08D57"/>
      </right>
      <top style="thin">
        <color rgb="00B08D57"/>
      </top>
      <bottom/>
      <diagonal/>
    </border>
    <border>
      <left/>
      <right/>
      <top style="thin">
        <color rgb="00B08D57"/>
      </top>
      <bottom style="thin">
        <color rgb="00B08D57"/>
      </bottom>
      <diagonal/>
    </border>
    <border>
      <left/>
      <right style="thin">
        <color rgb="00B08D57"/>
      </right>
      <top style="thin">
        <color rgb="00B08D57"/>
      </top>
      <bottom style="thin">
        <color rgb="00B08D57"/>
      </bottom>
      <diagonal/>
    </border>
    <border>
      <left/>
      <right/>
      <top/>
      <bottom style="medium">
        <color rgb="00B08D57"/>
      </bottom>
      <diagonal/>
    </border>
    <border>
      <left style="thin">
        <color rgb="00D9DEE7"/>
      </left>
      <top style="thin">
        <color rgb="00D9DEE7"/>
      </top>
    </border>
    <border>
      <top style="thin">
        <color rgb="00D9DEE7"/>
      </top>
    </border>
    <border>
      <right style="thin">
        <color rgb="00D9DEE7"/>
      </right>
      <top style="thin">
        <color rgb="00D9DEE7"/>
      </top>
    </border>
    <border>
      <left style="thin">
        <color rgb="00D9DEE7"/>
      </left>
    </border>
    <border/>
    <border>
      <right style="thin">
        <color rgb="00D9DEE7"/>
      </right>
    </border>
    <border>
      <left style="thin">
        <color rgb="00D9DEE7"/>
      </left>
      <bottom style="medium">
        <color rgb="00B08D57"/>
      </bottom>
    </border>
    <border>
      <right style="thin">
        <color rgb="00D9DEE7"/>
      </right>
      <bottom style="medium">
        <color rgb="00B08D57"/>
      </bottom>
    </border>
    <border>
      <left/>
      <right/>
      <top/>
      <bottom style="thin">
        <color rgb="00D9DEE7"/>
      </bottom>
      <diagonal/>
    </border>
    <border>
      <left style="thin">
        <color rgb="00D9DEE7"/>
      </left>
      <top style="thin">
        <color rgb="00D9DEE7"/>
      </top>
      <bottom style="medium">
        <color rgb="00B08D57"/>
      </bottom>
    </border>
    <border>
      <top style="thin">
        <color rgb="00D9DEE7"/>
      </top>
      <bottom style="medium">
        <color rgb="00B08D57"/>
      </bottom>
    </border>
    <border>
      <right style="thin">
        <color rgb="00D9DEE7"/>
      </right>
      <top style="thin">
        <color rgb="00D9DEE7"/>
      </top>
      <bottom style="medium">
        <color rgb="00B08D57"/>
      </bottom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0" fillId="8" borderId="0" pivotButton="0" quotePrefix="0" xfId="0"/>
    <xf numFmtId="0" fontId="0" fillId="2" borderId="0" pivotButton="0" quotePrefix="0" xfId="0"/>
    <xf numFmtId="0" fontId="12" fillId="2" borderId="0" applyAlignment="1" pivotButton="0" quotePrefix="0" xfId="0">
      <alignment horizontal="left" vertical="bottom" indent="1"/>
    </xf>
    <xf numFmtId="0" fontId="14" fillId="2" borderId="0" applyAlignment="1" pivotButton="0" quotePrefix="0" xfId="0">
      <alignment horizontal="right" vertical="bottom"/>
    </xf>
    <xf numFmtId="164" fontId="15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left" vertical="top" indent="1"/>
    </xf>
    <xf numFmtId="0" fontId="16" fillId="2" borderId="0" applyAlignment="1" pivotButton="0" quotePrefix="0" xfId="0">
      <alignment horizontal="right" vertical="top"/>
    </xf>
    <xf numFmtId="0" fontId="0" fillId="3" borderId="0" pivotButton="0" quotePrefix="0" xfId="0"/>
    <xf numFmtId="0" fontId="8" fillId="6" borderId="0" applyAlignment="1" pivotButton="0" quotePrefix="0" xfId="0">
      <alignment horizontal="center" vertical="center" wrapText="1"/>
    </xf>
    <xf numFmtId="0" fontId="17" fillId="4" borderId="10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18" fillId="7" borderId="18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2" pivotButton="0" quotePrefix="0" xfId="0"/>
    <xf numFmtId="1" fontId="18" fillId="7" borderId="18" applyAlignment="1" pivotButton="0" quotePrefix="0" xfId="0">
      <alignment horizontal="center" vertical="center" wrapText="1"/>
    </xf>
    <xf numFmtId="0" fontId="19" fillId="9" borderId="18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bottom"/>
    </xf>
    <xf numFmtId="0" fontId="0" fillId="0" borderId="23" pivotButton="0" quotePrefix="0" xfId="0"/>
    <xf numFmtId="0" fontId="0" fillId="2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10" borderId="24" pivotButton="0" quotePrefix="0" xfId="0"/>
    <xf numFmtId="0" fontId="0" fillId="3" borderId="24" pivotButton="0" quotePrefix="0" xfId="0"/>
    <xf numFmtId="0" fontId="20" fillId="4" borderId="27" applyAlignment="1" pivotButton="0" quotePrefix="0" xfId="0">
      <alignment horizontal="center" vertical="center" wrapText="1"/>
    </xf>
    <xf numFmtId="0" fontId="0" fillId="0" borderId="28" pivotButton="0" quotePrefix="0" xfId="0"/>
    <xf numFmtId="0" fontId="0" fillId="0" borderId="29" pivotButton="0" quotePrefix="0" xfId="0"/>
    <xf numFmtId="3" fontId="21" fillId="4" borderId="27" applyAlignment="1" pivotButton="0" quotePrefix="0" xfId="0">
      <alignment horizontal="center" vertical="center" wrapText="1"/>
    </xf>
    <xf numFmtId="3" fontId="23" fillId="4" borderId="27" applyAlignment="1" pivotButton="0" quotePrefix="0" xfId="0">
      <alignment horizontal="center" vertical="center" wrapText="1"/>
    </xf>
    <xf numFmtId="3" fontId="25" fillId="4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5" fillId="4" borderId="3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31" pivotButton="0" quotePrefix="0" xfId="0"/>
    <xf numFmtId="166" fontId="22" fillId="4" borderId="30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6" fontId="24" fillId="4" borderId="30" applyAlignment="1" pivotButton="0" quotePrefix="0" xfId="0">
      <alignment horizontal="right" vertical="center"/>
    </xf>
    <xf numFmtId="166" fontId="26" fillId="4" borderId="30" applyAlignment="1" pivotButton="0" quotePrefix="0" xfId="0">
      <alignment horizontal="right" vertical="center"/>
    </xf>
    <xf numFmtId="167" fontId="22" fillId="4" borderId="30" applyAlignment="1" pivotButton="0" quotePrefix="0" xfId="0">
      <alignment horizontal="right" vertical="center"/>
    </xf>
    <xf numFmtId="1" fontId="21" fillId="4" borderId="27" applyAlignment="1" pivotButton="0" quotePrefix="0" xfId="0">
      <alignment horizontal="center" vertical="center" wrapText="1"/>
    </xf>
    <xf numFmtId="0" fontId="27" fillId="2" borderId="0" applyAlignment="1" pivotButton="0" quotePrefix="0" xfId="0">
      <alignment horizontal="center" vertical="center" wrapText="1"/>
    </xf>
    <xf numFmtId="0" fontId="22" fillId="4" borderId="3" applyAlignment="1" pivotButton="0" quotePrefix="0" xfId="0">
      <alignment horizontal="center" vertical="center" wrapText="1"/>
    </xf>
    <xf numFmtId="0" fontId="0" fillId="0" borderId="32" pivotButton="0" quotePrefix="0" xfId="0"/>
    <xf numFmtId="0" fontId="9" fillId="4" borderId="3" applyAlignment="1" pivotButton="0" quotePrefix="0" xfId="0">
      <alignment horizontal="left" vertical="center" indent="1"/>
    </xf>
    <xf numFmtId="0" fontId="28" fillId="4" borderId="3" applyAlignment="1" pivotButton="0" quotePrefix="0" xfId="0">
      <alignment horizontal="left" vertical="center" indent="1"/>
    </xf>
    <xf numFmtId="164" fontId="9" fillId="4" borderId="3" applyAlignment="1" pivotButton="0" quotePrefix="0" xfId="0">
      <alignment horizontal="center" vertical="center" wrapText="1"/>
    </xf>
    <xf numFmtId="168" fontId="17" fillId="4" borderId="3" applyAlignment="1" pivotButton="0" quotePrefix="0" xfId="0">
      <alignment horizontal="center" vertical="center" wrapText="1"/>
    </xf>
    <xf numFmtId="0" fontId="29" fillId="4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center" vertical="center" wrapText="1"/>
    </xf>
    <xf numFmtId="0" fontId="9" fillId="5" borderId="3" applyAlignment="1" pivotButton="0" quotePrefix="0" xfId="0">
      <alignment horizontal="left" vertical="center" indent="1"/>
    </xf>
    <xf numFmtId="0" fontId="28" fillId="5" borderId="3" applyAlignment="1" pivotButton="0" quotePrefix="0" xfId="0">
      <alignment horizontal="left" vertical="center" indent="1"/>
    </xf>
    <xf numFmtId="164" fontId="9" fillId="5" borderId="3" applyAlignment="1" pivotButton="0" quotePrefix="0" xfId="0">
      <alignment horizontal="center" vertical="center" wrapText="1"/>
    </xf>
    <xf numFmtId="168" fontId="17" fillId="5" borderId="3" applyAlignment="1" pivotButton="0" quotePrefix="0" xfId="0">
      <alignment horizontal="center" vertical="center" wrapText="1"/>
    </xf>
    <xf numFmtId="0" fontId="29" fillId="5" borderId="3" applyAlignment="1" pivotButton="0" quotePrefix="0" xfId="0">
      <alignment horizontal="center" vertical="center" wrapText="1"/>
    </xf>
    <xf numFmtId="0" fontId="17" fillId="4" borderId="3" applyAlignment="1" pivotButton="0" quotePrefix="0" xfId="0">
      <alignment horizontal="left" vertical="center" indent="1"/>
    </xf>
    <xf numFmtId="1" fontId="11" fillId="4" borderId="3" applyAlignment="1" pivotButton="0" quotePrefix="0" xfId="0">
      <alignment horizontal="center" vertical="center" wrapText="1"/>
    </xf>
    <xf numFmtId="1" fontId="9" fillId="4" borderId="3" applyAlignment="1" pivotButton="0" quotePrefix="0" xfId="0">
      <alignment horizontal="center" vertical="center" wrapText="1"/>
    </xf>
    <xf numFmtId="169" fontId="22" fillId="4" borderId="3" applyAlignment="1" pivotButton="0" quotePrefix="0" xfId="0">
      <alignment horizontal="center" vertical="center" wrapText="1"/>
    </xf>
    <xf numFmtId="166" fontId="20" fillId="4" borderId="3" applyAlignment="1" pivotButton="0" quotePrefix="0" xfId="0">
      <alignment horizontal="center" vertical="center" wrapText="1"/>
    </xf>
    <xf numFmtId="0" fontId="17" fillId="5" borderId="3" applyAlignment="1" pivotButton="0" quotePrefix="0" xfId="0">
      <alignment horizontal="left" vertical="center" indent="1"/>
    </xf>
    <xf numFmtId="1" fontId="11" fillId="5" borderId="3" applyAlignment="1" pivotButton="0" quotePrefix="0" xfId="0">
      <alignment horizontal="center" vertical="center" wrapText="1"/>
    </xf>
    <xf numFmtId="1" fontId="9" fillId="5" borderId="3" applyAlignment="1" pivotButton="0" quotePrefix="0" xfId="0">
      <alignment horizontal="center" vertical="center" wrapText="1"/>
    </xf>
    <xf numFmtId="169" fontId="22" fillId="5" borderId="3" applyAlignment="1" pivotButton="0" quotePrefix="0" xfId="0">
      <alignment horizontal="center" vertical="center" wrapText="1"/>
    </xf>
    <xf numFmtId="166" fontId="20" fillId="5" borderId="3" applyAlignment="1" pivotButton="0" quotePrefix="0" xfId="0">
      <alignment horizontal="center" vertical="center" wrapText="1"/>
    </xf>
    <xf numFmtId="0" fontId="27" fillId="6" borderId="0" applyAlignment="1" pivotButton="0" quotePrefix="0" xfId="0">
      <alignment horizontal="center" vertical="center" wrapText="1"/>
    </xf>
    <xf numFmtId="1" fontId="17" fillId="7" borderId="3" applyAlignment="1" pivotButton="0" quotePrefix="0" xfId="0">
      <alignment horizontal="center" vertical="center" wrapText="1"/>
    </xf>
    <xf numFmtId="0" fontId="30" fillId="5" borderId="3" applyAlignment="1" pivotButton="0" quotePrefix="0" xfId="0">
      <alignment horizontal="left" vertical="center" indent="1"/>
    </xf>
    <xf numFmtId="0" fontId="30" fillId="4" borderId="3" applyAlignment="1" pivotButton="0" quotePrefix="0" xfId="0">
      <alignment horizontal="left" vertical="center" indent="1"/>
    </xf>
    <xf numFmtId="0" fontId="22" fillId="7" borderId="1" applyAlignment="1" pivotButton="0" quotePrefix="0" xfId="0">
      <alignment horizontal="left" vertical="center" indent="1"/>
    </xf>
    <xf numFmtId="9" fontId="22" fillId="7" borderId="1" applyAlignment="1" pivotButton="0" quotePrefix="0" xfId="0">
      <alignment horizontal="center" vertical="center" wrapText="1"/>
    </xf>
    <xf numFmtId="9" fontId="17" fillId="9" borderId="1" applyAlignment="1" pivotButton="0" quotePrefix="0" xfId="0">
      <alignment horizontal="center" vertical="center" wrapText="1"/>
    </xf>
    <xf numFmtId="0" fontId="24" fillId="4" borderId="3" applyAlignment="1" pivotButton="0" quotePrefix="0" xfId="0">
      <alignment horizontal="left" vertical="center" indent="1"/>
    </xf>
    <xf numFmtId="1" fontId="31" fillId="4" borderId="3" applyAlignment="1" pivotButton="0" quotePrefix="0" xfId="0">
      <alignment horizontal="center" vertical="center" wrapText="1"/>
    </xf>
    <xf numFmtId="166" fontId="32" fillId="4" borderId="3" applyAlignment="1" pivotButton="0" quotePrefix="0" xfId="0">
      <alignment horizontal="center" vertical="center" wrapText="1"/>
    </xf>
    <xf numFmtId="0" fontId="33" fillId="4" borderId="3" applyAlignment="1" pivotButton="0" quotePrefix="0" xfId="0">
      <alignment horizontal="left" vertical="center" indent="1"/>
    </xf>
    <xf numFmtId="1" fontId="4" fillId="4" borderId="3" applyAlignment="1" pivotButton="0" quotePrefix="0" xfId="0">
      <alignment horizontal="center" vertical="center" wrapText="1"/>
    </xf>
    <xf numFmtId="1" fontId="18" fillId="7" borderId="3" applyAlignment="1" pivotButton="0" quotePrefix="0" xfId="0">
      <alignment horizontal="center" vertical="center" wrapText="1"/>
    </xf>
    <xf numFmtId="0" fontId="22" fillId="5" borderId="3" applyAlignment="1" pivotButton="0" quotePrefix="0" xfId="0">
      <alignment horizontal="left" vertical="center" indent="1"/>
    </xf>
    <xf numFmtId="1" fontId="31" fillId="5" borderId="3" applyAlignment="1" pivotButton="0" quotePrefix="0" xfId="0">
      <alignment horizontal="center" vertical="center" wrapText="1"/>
    </xf>
    <xf numFmtId="166" fontId="32" fillId="5" borderId="3" applyAlignment="1" pivotButton="0" quotePrefix="0" xfId="0">
      <alignment horizontal="center" vertical="center" wrapText="1"/>
    </xf>
    <xf numFmtId="0" fontId="34" fillId="5" borderId="3" applyAlignment="1" pivotButton="0" quotePrefix="0" xfId="0">
      <alignment horizontal="left" vertical="center" indent="1"/>
    </xf>
    <xf numFmtId="1" fontId="4" fillId="5" borderId="3" applyAlignment="1" pivotButton="0" quotePrefix="0" xfId="0">
      <alignment horizontal="center" vertical="center" wrapText="1"/>
    </xf>
    <xf numFmtId="0" fontId="35" fillId="4" borderId="3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1" fontId="3" fillId="2" borderId="0" applyAlignment="1" pivotButton="0" quotePrefix="0" xfId="0">
      <alignment horizontal="center" vertical="center" wrapText="1"/>
    </xf>
    <xf numFmtId="1" fontId="18" fillId="9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left" vertical="center"/>
    </xf>
    <xf numFmtId="0" fontId="36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20" fillId="4" borderId="33" applyAlignment="1" pivotButton="0" quotePrefix="0" xfId="0">
      <alignment horizontal="left" vertical="center" indent="1"/>
    </xf>
    <xf numFmtId="0" fontId="0" fillId="0" borderId="34" pivotButton="0" quotePrefix="0" xfId="0"/>
    <xf numFmtId="1" fontId="37" fillId="4" borderId="34" applyAlignment="1" pivotButton="0" quotePrefix="0" xfId="0">
      <alignment horizontal="right" vertical="center" indent="1"/>
    </xf>
    <xf numFmtId="0" fontId="0" fillId="0" borderId="35" pivotButton="0" quotePrefix="0" xfId="0"/>
    <xf numFmtId="1" fontId="38" fillId="4" borderId="34" applyAlignment="1" pivotButton="0" quotePrefix="0" xfId="0">
      <alignment horizontal="right" vertical="center" indent="1"/>
    </xf>
    <xf numFmtId="1" fontId="39" fillId="4" borderId="34" applyAlignment="1" pivotButton="0" quotePrefix="0" xfId="0">
      <alignment horizontal="right" vertical="center" indent="1"/>
    </xf>
    <xf numFmtId="0" fontId="19" fillId="8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8" fillId="2" borderId="4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1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left" vertical="center" indent="1"/>
    </xf>
    <xf numFmtId="164" fontId="9" fillId="4" borderId="6" applyAlignment="1" pivotButton="0" quotePrefix="0" xfId="0">
      <alignment horizontal="center" vertical="center"/>
    </xf>
    <xf numFmtId="0" fontId="9" fillId="4" borderId="6" applyAlignment="1" pivotButton="0" quotePrefix="0" xfId="0">
      <alignment horizontal="center" vertical="center"/>
    </xf>
    <xf numFmtId="49" fontId="9" fillId="4" borderId="6" applyAlignment="1" pivotButton="0" quotePrefix="0" xfId="0">
      <alignment horizontal="center" vertical="center"/>
    </xf>
    <xf numFmtId="164" fontId="10" fillId="7" borderId="6" applyAlignment="1" pivotButton="0" quotePrefix="0" xfId="0">
      <alignment horizontal="center" vertical="center"/>
    </xf>
    <xf numFmtId="165" fontId="10" fillId="7" borderId="6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1" fontId="10" fillId="7" borderId="6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left" vertical="center" indent="1"/>
    </xf>
    <xf numFmtId="0" fontId="4" fillId="0" borderId="3" applyAlignment="1" pivotButton="0" quotePrefix="0" xfId="0">
      <alignment horizontal="left" vertical="center" indent="1"/>
    </xf>
    <xf numFmtId="0" fontId="6" fillId="7" borderId="3" applyAlignment="1" pivotButton="0" quotePrefix="0" xfId="0">
      <alignment horizontal="center" vertical="center" wrapText="1"/>
    </xf>
    <xf numFmtId="0" fontId="7" fillId="0" borderId="3" pivotButton="0" quotePrefix="0" xfId="0"/>
    <xf numFmtId="0" fontId="5" fillId="0" borderId="0" pivotButton="0" quotePrefix="0" xfId="0"/>
    <xf numFmtId="0" fontId="6" fillId="0" borderId="1" applyAlignment="1" pivotButton="0" quotePrefix="0" xfId="0">
      <alignment vertical="bottom"/>
    </xf>
    <xf numFmtId="0" fontId="8" fillId="2" borderId="3" applyAlignment="1" pivotButton="0" quotePrefix="0" xfId="0">
      <alignment vertical="center" wrapText="1" indent="1"/>
    </xf>
    <xf numFmtId="0" fontId="17" fillId="4" borderId="3" applyAlignment="1" pivotButton="0" quotePrefix="0" xfId="0">
      <alignment vertical="center" wrapText="1" indent="1"/>
    </xf>
    <xf numFmtId="0" fontId="9" fillId="4" borderId="3" applyAlignment="1" pivotButton="0" quotePrefix="0" xfId="0">
      <alignment vertical="center" wrapText="1" indent="1"/>
    </xf>
    <xf numFmtId="0" fontId="17" fillId="5" borderId="3" applyAlignment="1" pivotButton="0" quotePrefix="0" xfId="0">
      <alignment vertical="center" wrapText="1" indent="1"/>
    </xf>
    <xf numFmtId="0" fontId="9" fillId="5" borderId="3" applyAlignment="1" pivotButton="0" quotePrefix="0" xfId="0">
      <alignment vertical="center" wrapText="1" indent="1"/>
    </xf>
    <xf numFmtId="0" fontId="9" fillId="0" borderId="0" applyAlignment="1" pivotButton="0" quotePrefix="0" xfId="0">
      <alignment vertical="center" wrapText="1" indent="1"/>
    </xf>
    <xf numFmtId="0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8C6D3F"/>
      </font>
      <fill>
        <patternFill patternType="solid">
          <fgColor rgb="00EADFC8"/>
          <bgColor rgb="00EADFC8"/>
        </patternFill>
      </fill>
    </dxf>
    <dxf>
      <font>
        <name val="Arial"/>
        <b val="1"/>
        <color rgb="00A94442"/>
      </font>
      <fill>
        <patternFill patternType="solid">
          <fgColor rgb="00F6E3E3"/>
          <bgColor rgb="00F6E3E3"/>
        </patternFill>
      </fill>
    </dxf>
    <dxf>
      <font>
        <name val="Arial"/>
        <b val="1"/>
        <color rgb="004E7D5B"/>
      </font>
      <fill>
        <patternFill patternType="solid">
          <fgColor rgb="00E3EFE6"/>
          <bgColor rgb="00E3EFE6"/>
        </patternFill>
      </fill>
    </dxf>
    <dxf>
      <font>
        <name val="Arial"/>
        <b val="1"/>
        <color rgb="00A94442"/>
      </font>
    </dxf>
    <dxf>
      <fill>
        <patternFill patternType="solid">
          <fgColor rgb="00F3F6FB"/>
          <bgColor rgb="00F3F6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Fiscalizações por mês × Meta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'CALC'!N5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'CALC'!$M$6:$M$17</f>
            </numRef>
          </cat>
          <val>
            <numRef>
              <f>'CALC'!$N$6:$N$17</f>
            </numRef>
          </val>
        </ser>
        <gapWidth val="55"/>
        <axId val="10"/>
        <axId val="100"/>
      </barChart>
      <lineChart>
        <grouping val="standard"/>
        <ser>
          <idx val="1"/>
          <order val="1"/>
          <tx>
            <strRef>
              <f>'CALC'!S5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'CALC'!$S$6:$S$17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Situação dos prazos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E7D5B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0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0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0"/>
            <showCatName val="0"/>
            <showSerName val="0"/>
            <showPercent val="1"/>
            <showLeaderLines val="0"/>
          </dLbls>
          <cat>
            <numRef>
              <f>'CALC'!$I$11:$I$13</f>
            </numRef>
          </cat>
          <val>
            <numRef>
              <f>'CALC'!$J$11:$J$13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Top 10 ramos com mais processos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'CALC'!AX5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'CALC'!$AW$6:$AW$15</f>
            </numRef>
          </cat>
          <val>
            <numRef>
              <f>'CALC'!$AX$6:$AX$15</f>
            </numRef>
          </val>
        </ser>
        <gapWidth val="4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Carga por responsável — Prazo D.P × Decisão D.P</a:t>
            </a:r>
          </a:p>
        </rich>
      </tx>
      <overlay val="0"/>
    </title>
    <plotArea>
      <barChart>
        <barDir val="bar"/>
        <grouping val="stacked"/>
        <ser>
          <idx val="0"/>
          <order val="0"/>
          <tx>
            <strRef>
              <f>'CALC'!AH5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'CALC'!$AH$6:$AH$13</f>
            </numRef>
          </val>
        </ser>
        <ser>
          <idx val="1"/>
          <order val="1"/>
          <tx>
            <strRef>
              <f>'CALC'!AI5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FFFFFF"/>
                  </a:solidFill>
                  <a:latin typeface="Arial"/>
                </a:endParaRPr>
              </a:p>
            </txPr>
            <dLblPos val="ctr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'CALC'!$AF$6:$AF$13</f>
            </numRef>
          </cat>
          <val>
            <numRef>
              <f>'CALC'!$AI$6:$AI$13</f>
            </numRef>
          </val>
        </ser>
        <gapWidth val="4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Processos por status</a:t>
            </a:r>
          </a:p>
        </rich>
      </tx>
      <overlay val="0"/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B08D57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dPt>
          <dLbls>
            <txPr>
              <a:bodyPr xmlns:a="http://schemas.openxmlformats.org/drawingml/2006/main"/>
              <a:p xmlns:a="http://schemas.openxmlformats.org/drawingml/2006/main">
                <a:pPr>
                  <a:defRPr sz="1100" b="1">
                    <a:solidFill>
                      <a:srgbClr val="FFFFFF"/>
                    </a:solidFill>
                    <a:latin typeface="Arial"/>
                  </a:defRPr>
                </a:pPr>
                <a:r>
                  <a:t/>
                </a:r>
                <a:endParaRPr sz="1100" b="1">
                  <a:solidFill>
                    <a:srgbClr val="FFFFFF"/>
                  </a:solidFill>
                  <a:latin typeface="Arial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'CALC'!$I$6:$I$7</f>
            </numRef>
          </cat>
          <val>
            <numRef>
              <f>'CALC'!$J$6:$J$7</f>
            </numRef>
          </val>
        </ser>
        <firstSliceAng val="0"/>
        <holeSize val="58"/>
      </doughnutChart>
    </plotArea>
    <legend>
      <legendPos val="r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Notificação × Tipo de entrega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'CALC'!J27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1F497D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1F497D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'CALC'!$J$28:$J$29</f>
            </numRef>
          </val>
        </ser>
        <ser>
          <idx val="1"/>
          <order val="1"/>
          <tx>
            <strRef>
              <f>'CALC'!K27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dLbls>
            <txPr>
              <a:bodyPr xmlns:a="http://schemas.openxmlformats.org/drawingml/2006/main"/>
              <a:p xmlns:a="http://schemas.openxmlformats.org/drawingml/2006/main">
                <a:pPr>
                  <a:defRPr sz="900" b="1">
                    <a:solidFill>
                      <a:srgbClr val="8C6D3F"/>
                    </a:solidFill>
                    <a:latin typeface="Arial"/>
                  </a:defRPr>
                </a:pPr>
                <a:r>
                  <a:t/>
                </a:r>
                <a:endParaRPr sz="900" b="1">
                  <a:solidFill>
                    <a:srgbClr val="8C6D3F"/>
                  </a:solidFill>
                  <a:latin typeface="Arial"/>
                </a:endParaRPr>
              </a:p>
            </txPr>
            <dLblPos val="outEnd"/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'CALC'!$I$28:$I$29</f>
            </numRef>
          </cat>
          <val>
            <numRef>
              <f>'CALC'!$K$28:$K$29</f>
            </numRef>
          </val>
        </ser>
        <gapWidth val="8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Composição mensal — Constatação × Esclarecimento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'CALC'!O5</f>
            </strRef>
          </tx>
          <spPr>
            <a:solidFill xmlns:a="http://schemas.openxmlformats.org/drawingml/2006/main">
              <a:srgbClr val="1F497D"/>
            </a:solidFill>
            <a:ln xmlns:a="http://schemas.openxmlformats.org/drawingml/2006/main">
              <a:solidFill>
                <a:srgbClr val="1F497D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'CALC'!$O$6:$O$17</f>
            </numRef>
          </val>
        </ser>
        <ser>
          <idx val="1"/>
          <order val="1"/>
          <tx>
            <strRef>
              <f>'CALC'!P5</f>
            </strRef>
          </tx>
          <spPr>
            <a:solidFill xmlns:a="http://schemas.openxmlformats.org/drawingml/2006/main">
              <a:srgbClr val="B08D57"/>
            </a:solidFill>
            <a:ln xmlns:a="http://schemas.openxmlformats.org/drawingml/2006/main">
              <a:solidFill>
                <a:srgbClr val="B08D57"/>
              </a:solidFill>
              <a:prstDash val="solid"/>
            </a:ln>
          </spPr>
          <cat>
            <numRef>
              <f>'CALC'!$M$6:$M$17</f>
            </numRef>
          </cat>
          <val>
            <numRef>
              <f>'CALC'!$P$6:$P$17</f>
            </numRef>
          </val>
        </ser>
        <gapWidth val="55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1F497D"/>
                </a:solidFill>
                <a:latin typeface="Arial"/>
              </a:defRPr>
            </a:pPr>
            <a:r>
              <a:rPr sz="1200" b="1">
                <a:solidFill>
                  <a:srgbClr val="1F497D"/>
                </a:solidFill>
                <a:latin typeface="Arial"/>
              </a:rPr>
              <a:t>Realizado acumulado × Meta acumulada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'CALC'!T5</f>
            </strRef>
          </tx>
          <spPr>
            <a:ln xmlns:a="http://schemas.openxmlformats.org/drawingml/2006/main" w="34925">
              <a:solidFill>
                <a:srgbClr val="1F497D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1F497D"/>
              </a:solidFill>
              <a:ln xmlns:a="http://schemas.openxmlformats.org/drawingml/2006/main">
                <a:solidFill>
                  <a:srgbClr val="1F497D"/>
                </a:solidFill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'CALC'!$T$6:$T$17</f>
            </numRef>
          </val>
          <smooth val="0"/>
        </ser>
        <ser>
          <idx val="1"/>
          <order val="1"/>
          <tx>
            <strRef>
              <f>'CALC'!U5</f>
            </strRef>
          </tx>
          <spPr>
            <a:ln xmlns:a="http://schemas.openxmlformats.org/drawingml/2006/main" w="28575">
              <a:solidFill>
                <a:srgbClr val="B08D57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'CALC'!$M$6:$M$17</f>
            </numRef>
          </cat>
          <val>
            <numRef>
              <f>'CALC'!$U$6:$U$17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DEE7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6EAF0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595959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95959"/>
              </a:solidFill>
              <a:latin typeface="Arial"/>
            </a:endParaRPr>
          </a:p>
        </txPr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900" b="0">
              <a:solidFill>
                <a:srgbClr val="595959"/>
              </a:solidFill>
              <a:latin typeface="Arial"/>
            </a:defRPr>
          </a:pPr>
          <a:r>
            <a:t/>
          </a:r>
          <a:endParaRPr sz="900" b="0">
            <a:solidFill>
              <a:srgbClr val="595959"/>
            </a:solidFill>
            <a:latin typeface="Arial"/>
          </a:endParaRP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Sistema</author>
  </authors>
  <commentList>
    <comment ref="L4" authorId="0" shapeId="0">
      <text>
        <t>Data em que a empresa apresentou a DEFESA PRÉVIA. Ao preencher, a contagem de DIAS RESTANTES congela. Deixe em branco se a defesa não foi apresentada.</t>
      </text>
    </comment>
    <comment ref="M4" authorId="0" shapeId="0">
      <text>
        <t>Calculado: DATA DA FISCALIZAÇÃO + prazo do tipo de notificação (parâmetros na aba CADASTROS).</t>
      </text>
    </comment>
    <comment ref="N4" authorId="0" shapeId="0">
      <text>
        <t>Sem DATA DA DEFESA: prazo final − hoje (conta todo dia). Com DATA DA DEFESA: prazo final − data da defesa (valor congelado; negativo = entregue com atraso).</t>
      </text>
    </comment>
    <comment ref="O4" authorId="0" shapeId="0">
      <text>
        <t>Com defesa: DEFESA NO PRAZO ou DEFESA FORA DO PRAZO. Sem defesa: NO PRAZO, VENCE EM BREVE ou VENCIDO (PRAZO D.P) e SEM DEFESA (DECISÃO D.P).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5688000" cy="331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25</col>
      <colOff>0</colOff>
      <row>9</row>
      <rowOff>0</rowOff>
    </from>
    <ext cx="5688000" cy="3311999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688000" cy="37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25</col>
      <colOff>0</colOff>
      <row>28</row>
      <rowOff>0</rowOff>
    </from>
    <ext cx="5688000" cy="37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688000" cy="3311999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25</col>
      <colOff>0</colOff>
      <row>50</row>
      <rowOff>0</rowOff>
    </from>
    <ext cx="5688000" cy="3311999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688000" cy="3311999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25</col>
      <colOff>0</colOff>
      <row>70</row>
      <rowOff>0</rowOff>
    </from>
    <ext cx="5688000" cy="3311999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GR&#193;FICOS'!A1" TargetMode="External" Id="rId1"/><Relationship Type="http://schemas.openxmlformats.org/officeDocument/2006/relationships/hyperlink" Target="#'PROCESSOS'!A1" TargetMode="External" Id="rId2"/><Relationship Type="http://schemas.openxmlformats.org/officeDocument/2006/relationships/hyperlink" Target="#'CADASTROS'!A1" TargetMode="External" Id="rId3"/><Relationship Type="http://schemas.openxmlformats.org/officeDocument/2006/relationships/hyperlink" Target="#'INSTRU&#199;&#213;ES'!A1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PAINEL'!A1" TargetMode="External" Id="rId1"/><Relationship Type="http://schemas.openxmlformats.org/officeDocument/2006/relationships/hyperlink" Target="#'GR&#193;FICOS'!A1" TargetMode="External" Id="rId2"/><Relationship Type="http://schemas.openxmlformats.org/officeDocument/2006/relationships/hyperlink" Target="#'PROCESSOS'!A1" TargetMode="External" Id="rId3"/><Relationship Type="http://schemas.openxmlformats.org/officeDocument/2006/relationships/hyperlink" Target="#'CADASTROS'!A1" TargetMode="External" Id="rId4"/><Relationship Type="http://schemas.openxmlformats.org/officeDocument/2006/relationships/hyperlink" Target="#'INSTRU&#199;&#213;ES'!A1" TargetMode="External" Id="rId5"/></Relationships>
</file>

<file path=xl/worksheets/sheet1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94"/>
  <sheetViews>
    <sheetView showGridLines="0" zoomScale="9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2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PAINEL DE GESTÃO DE PROCESSOS</t>
        </is>
      </c>
      <c r="AE2" s="2" t="n"/>
      <c r="AF2" s="2" t="n"/>
      <c r="AG2" s="2" t="n"/>
      <c r="AH2" s="2" t="n"/>
      <c r="AI2" s="2" t="n"/>
      <c r="AJ2" s="4" t="inlineStr">
        <is>
          <t>ATUALIZADO EM</t>
        </is>
      </c>
      <c r="AW2" s="2" t="n"/>
    </row>
    <row r="3" ht="22" customHeight="1">
      <c r="A3" s="2" t="n"/>
      <c r="AE3" s="2" t="n"/>
      <c r="AF3" s="2" t="n"/>
      <c r="AG3" s="2" t="n"/>
      <c r="AH3" s="2" t="n"/>
      <c r="AI3" s="2" t="n"/>
      <c r="AJ3" s="5">
        <f>TODAY()</f>
        <v>46304.0</v>
      </c>
      <c r="AW3" s="2" t="n"/>
    </row>
    <row r="4" ht="20" customHeight="1">
      <c r="A4" s="2" t="n"/>
      <c r="B4" s="6" t="inlineStr">
        <is>
          <t>Fluxo de Notificações e Fiscalizações  •  Visão do Gerente de Processos</t>
        </is>
      </c>
      <c r="AE4" s="2" t="n"/>
      <c r="AF4" s="2" t="n"/>
      <c r="AG4" s="2" t="n"/>
      <c r="AH4" s="2" t="n"/>
      <c r="AI4" s="2" t="n"/>
      <c r="AJ4" s="7" t="str">
        <f>"Base: "&amp;COUNTA(rEmpresa)&amp;" processos cadastrados"</f>
        <v>Base: 96 processos cadastrados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4" customHeight="1">
      <c r="A7" s="1" t="n"/>
      <c r="B7" s="9" t="inlineStr">
        <is>
          <t>FILTROS</t>
        </is>
      </c>
      <c r="F7" s="10" t="inlineStr">
        <is>
          <t>Responsável:</t>
        </is>
      </c>
      <c r="G7" s="11" t="n"/>
      <c r="H7" s="11" t="n"/>
      <c r="I7" s="11" t="n"/>
      <c r="J7" s="12" t="n"/>
      <c r="K7" s="13" t="inlineStr">
        <is>
          <t>TODOS</t>
        </is>
      </c>
      <c r="L7" s="14" t="n"/>
      <c r="M7" s="14" t="n"/>
      <c r="N7" s="14" t="n"/>
      <c r="O7" s="14" t="n"/>
      <c r="P7" s="14" t="n"/>
      <c r="Q7" s="14" t="n"/>
      <c r="R7" s="14" t="n"/>
      <c r="S7" s="15" t="n"/>
      <c r="T7" s="10" t="inlineStr">
        <is>
          <t>Ano ref.:</t>
        </is>
      </c>
      <c r="U7" s="11" t="n"/>
      <c r="V7" s="11" t="n"/>
      <c r="W7" s="11" t="n"/>
      <c r="X7" s="12" t="n"/>
      <c r="Y7" s="16" t="n">
        <v>2026</v>
      </c>
      <c r="Z7" s="14" t="n"/>
      <c r="AA7" s="14" t="n"/>
      <c r="AB7" s="15" t="n"/>
      <c r="AC7" s="1" t="n"/>
      <c r="AD7" s="17" t="inlineStr">
        <is>
          <t>▸ GRÁFICOS</t>
        </is>
      </c>
      <c r="AE7" s="14" t="n"/>
      <c r="AF7" s="14" t="n"/>
      <c r="AG7" s="15" t="n"/>
      <c r="AH7" s="1" t="n"/>
      <c r="AI7" s="17" t="inlineStr">
        <is>
          <t>▸ PROCESSOS</t>
        </is>
      </c>
      <c r="AJ7" s="14" t="n"/>
      <c r="AK7" s="14" t="n"/>
      <c r="AL7" s="15" t="n"/>
      <c r="AM7" s="1" t="n"/>
      <c r="AN7" s="17" t="inlineStr">
        <is>
          <t>▸ CADASTROS</t>
        </is>
      </c>
      <c r="AO7" s="14" t="n"/>
      <c r="AP7" s="14" t="n"/>
      <c r="AQ7" s="15" t="n"/>
      <c r="AR7" s="1" t="n"/>
      <c r="AS7" s="17" t="inlineStr">
        <is>
          <t>▸ INSTRUÇÕES</t>
        </is>
      </c>
      <c r="AT7" s="14" t="n"/>
      <c r="AU7" s="14" t="n"/>
      <c r="AV7" s="15" t="n"/>
      <c r="AW7" s="1" t="n"/>
    </row>
    <row r="8" ht="10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1" t="n"/>
      <c r="AT8" s="1" t="n"/>
      <c r="AU8" s="1" t="n"/>
      <c r="AV8" s="1" t="n"/>
      <c r="AW8" s="1" t="n"/>
    </row>
    <row r="9" ht="20" customHeight="1">
      <c r="A9" s="1" t="n"/>
      <c r="B9" s="18" t="inlineStr">
        <is>
          <t>INDICADORES PRINCIPAIS</t>
        </is>
      </c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19" t="n"/>
      <c r="AS9" s="19" t="n"/>
      <c r="AT9" s="19" t="n"/>
      <c r="AU9" s="19" t="n"/>
      <c r="AV9" s="19" t="n"/>
      <c r="AW9" s="1" t="n"/>
    </row>
    <row r="10" ht="8" customHeight="1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 ht="5" customHeight="1">
      <c r="A11" s="1" t="n"/>
      <c r="B11" s="20" t="n"/>
      <c r="C11" s="21" t="n"/>
      <c r="D11" s="21" t="n"/>
      <c r="E11" s="21" t="n"/>
      <c r="F11" s="21" t="n"/>
      <c r="G11" s="21" t="n"/>
      <c r="H11" s="22" t="n"/>
      <c r="I11" s="1" t="n"/>
      <c r="J11" s="20" t="n"/>
      <c r="K11" s="21" t="n"/>
      <c r="L11" s="21" t="n"/>
      <c r="M11" s="21" t="n"/>
      <c r="N11" s="21" t="n"/>
      <c r="O11" s="21" t="n"/>
      <c r="P11" s="22" t="n"/>
      <c r="Q11" s="1" t="n"/>
      <c r="R11" s="20" t="n"/>
      <c r="S11" s="21" t="n"/>
      <c r="T11" s="21" t="n"/>
      <c r="U11" s="21" t="n"/>
      <c r="V11" s="21" t="n"/>
      <c r="W11" s="21" t="n"/>
      <c r="X11" s="22" t="n"/>
      <c r="Y11" s="1" t="n"/>
      <c r="Z11" s="23" t="n"/>
      <c r="AA11" s="21" t="n"/>
      <c r="AB11" s="21" t="n"/>
      <c r="AC11" s="21" t="n"/>
      <c r="AD11" s="21" t="n"/>
      <c r="AE11" s="21" t="n"/>
      <c r="AF11" s="22" t="n"/>
      <c r="AG11" s="1" t="n"/>
      <c r="AH11" s="24" t="n"/>
      <c r="AI11" s="21" t="n"/>
      <c r="AJ11" s="21" t="n"/>
      <c r="AK11" s="21" t="n"/>
      <c r="AL11" s="21" t="n"/>
      <c r="AM11" s="21" t="n"/>
      <c r="AN11" s="22" t="n"/>
      <c r="AO11" s="1" t="n"/>
      <c r="AP11" s="20" t="n"/>
      <c r="AQ11" s="21" t="n"/>
      <c r="AR11" s="21" t="n"/>
      <c r="AS11" s="21" t="n"/>
      <c r="AT11" s="21" t="n"/>
      <c r="AU11" s="21" t="n"/>
      <c r="AV11" s="22" t="n"/>
      <c r="AW11" s="1" t="n"/>
    </row>
    <row r="12" ht="20" customHeight="1">
      <c r="A12" s="1" t="n"/>
      <c r="B12" s="25" t="inlineStr">
        <is>
          <t>TOTAL DE PROCESSOS</t>
        </is>
      </c>
      <c r="C12" s="26" t="n"/>
      <c r="D12" s="26" t="n"/>
      <c r="E12" s="26" t="n"/>
      <c r="F12" s="26" t="n"/>
      <c r="G12" s="26" t="n"/>
      <c r="H12" s="27" t="n"/>
      <c r="I12" s="1" t="n"/>
      <c r="J12" s="25" t="inlineStr">
        <is>
          <t>EM PRAZO D.P</t>
        </is>
      </c>
      <c r="K12" s="26" t="n"/>
      <c r="L12" s="26" t="n"/>
      <c r="M12" s="26" t="n"/>
      <c r="N12" s="26" t="n"/>
      <c r="O12" s="26" t="n"/>
      <c r="P12" s="27" t="n"/>
      <c r="Q12" s="1" t="n"/>
      <c r="R12" s="25" t="inlineStr">
        <is>
          <t>EM DECISÃO D.P</t>
        </is>
      </c>
      <c r="S12" s="26" t="n"/>
      <c r="T12" s="26" t="n"/>
      <c r="U12" s="26" t="n"/>
      <c r="V12" s="26" t="n"/>
      <c r="W12" s="26" t="n"/>
      <c r="X12" s="27" t="n"/>
      <c r="Y12" s="1" t="n"/>
      <c r="Z12" s="25" t="inlineStr">
        <is>
          <t>DENTRO DO PRAZO</t>
        </is>
      </c>
      <c r="AA12" s="26" t="n"/>
      <c r="AB12" s="26" t="n"/>
      <c r="AC12" s="26" t="n"/>
      <c r="AD12" s="26" t="n"/>
      <c r="AE12" s="26" t="n"/>
      <c r="AF12" s="27" t="n"/>
      <c r="AG12" s="1" t="n"/>
      <c r="AH12" s="25" t="str">
        <f>"VENCEM EM ATÉ "&amp;DiasAlerta&amp;" DIAS"</f>
        <v>VENCEM EM ATÉ 5 DIAS</v>
      </c>
      <c r="AI12" s="26" t="n"/>
      <c r="AJ12" s="26" t="n"/>
      <c r="AK12" s="26" t="n"/>
      <c r="AL12" s="26" t="n"/>
      <c r="AM12" s="26" t="n"/>
      <c r="AN12" s="27" t="n"/>
      <c r="AO12" s="1" t="n"/>
      <c r="AP12" s="25" t="inlineStr">
        <is>
          <t>FISCALIZAÇÕES NO MÊS</t>
        </is>
      </c>
      <c r="AQ12" s="26" t="n"/>
      <c r="AR12" s="26" t="n"/>
      <c r="AS12" s="26" t="n"/>
      <c r="AT12" s="26" t="n"/>
      <c r="AU12" s="26" t="n"/>
      <c r="AV12" s="27" t="n"/>
      <c r="AW12" s="1" t="n"/>
    </row>
    <row r="13" ht="22" customHeight="1">
      <c r="A13" s="1" t="n"/>
      <c r="B13" s="28">
        <f>COUNTIFS(rEmpresa,"&lt;&gt;",rResp,critResp)</f>
        <v>96</v>
      </c>
      <c r="C13" s="26" t="n"/>
      <c r="D13" s="26" t="n"/>
      <c r="E13" s="26" t="n"/>
      <c r="F13" s="26" t="n"/>
      <c r="G13" s="26" t="n"/>
      <c r="H13" s="27" t="n"/>
      <c r="I13" s="1" t="n"/>
      <c r="J13" s="28">
        <f>COUNTIFS(rEmpresa,"&lt;&gt;",rResp,critResp,rStatus,"PRAZO D.P")</f>
        <v>24</v>
      </c>
      <c r="K13" s="26" t="n"/>
      <c r="L13" s="26" t="n"/>
      <c r="M13" s="26" t="n"/>
      <c r="N13" s="26" t="n"/>
      <c r="O13" s="26" t="n"/>
      <c r="P13" s="27" t="n"/>
      <c r="Q13" s="1" t="n"/>
      <c r="R13" s="28">
        <f>COUNTIFS(rEmpresa,"&lt;&gt;",rResp,critResp,rStatus,"DECISÃO D.P")</f>
        <v>72</v>
      </c>
      <c r="S13" s="26" t="n"/>
      <c r="T13" s="26" t="n"/>
      <c r="U13" s="26" t="n"/>
      <c r="V13" s="26" t="n"/>
      <c r="W13" s="26" t="n"/>
      <c r="X13" s="27" t="n"/>
      <c r="Y13" s="1" t="n"/>
      <c r="Z13" s="29">
        <f>COUNTIFS(rEmpresa,"&lt;&gt;",rResp,critResp,rSit,"NO PRAZO")</f>
        <v>5</v>
      </c>
      <c r="AA13" s="26" t="n"/>
      <c r="AB13" s="26" t="n"/>
      <c r="AC13" s="26" t="n"/>
      <c r="AD13" s="26" t="n"/>
      <c r="AE13" s="26" t="n"/>
      <c r="AF13" s="27" t="n"/>
      <c r="AG13" s="1" t="n"/>
      <c r="AH13" s="30">
        <f>COUNTIFS(rEmpresa,"&lt;&gt;",rResp,critResp,rSit,"VENCE EM BREVE")</f>
        <v>3</v>
      </c>
      <c r="AI13" s="26" t="n"/>
      <c r="AJ13" s="26" t="n"/>
      <c r="AK13" s="26" t="n"/>
      <c r="AL13" s="26" t="n"/>
      <c r="AM13" s="26" t="n"/>
      <c r="AN13" s="27" t="n"/>
      <c r="AO13" s="1" t="n"/>
      <c r="AP13" s="28">
        <f>COUNTIFS(rEmpresa,"&lt;&gt;",rResp,critResp,rDataFisc,"&gt;="&amp;DATE(YEAR(TODAY()),MONTH(TODAY()),1),rDataFisc,"&lt;"&amp;DATE(YEAR(TODAY()),MONTH(TODAY())+1,1))</f>
        <v>11</v>
      </c>
      <c r="AQ13" s="26" t="n"/>
      <c r="AR13" s="26" t="n"/>
      <c r="AS13" s="26" t="n"/>
      <c r="AT13" s="26" t="n"/>
      <c r="AU13" s="26" t="n"/>
      <c r="AV13" s="27" t="n"/>
      <c r="AW13" s="1" t="n"/>
    </row>
    <row r="14" ht="22" customHeight="1">
      <c r="A14" s="1" t="n"/>
      <c r="B14" s="31" t="n"/>
      <c r="C14" s="26" t="n"/>
      <c r="D14" s="26" t="n"/>
      <c r="E14" s="26" t="n"/>
      <c r="F14" s="26" t="n"/>
      <c r="G14" s="26" t="n"/>
      <c r="H14" s="27" t="n"/>
      <c r="I14" s="1" t="n"/>
      <c r="J14" s="31" t="n"/>
      <c r="K14" s="26" t="n"/>
      <c r="L14" s="26" t="n"/>
      <c r="M14" s="26" t="n"/>
      <c r="N14" s="26" t="n"/>
      <c r="O14" s="26" t="n"/>
      <c r="P14" s="27" t="n"/>
      <c r="Q14" s="1" t="n"/>
      <c r="R14" s="31" t="n"/>
      <c r="S14" s="26" t="n"/>
      <c r="T14" s="26" t="n"/>
      <c r="U14" s="26" t="n"/>
      <c r="V14" s="26" t="n"/>
      <c r="W14" s="26" t="n"/>
      <c r="X14" s="27" t="n"/>
      <c r="Y14" s="1" t="n"/>
      <c r="Z14" s="31" t="n"/>
      <c r="AA14" s="26" t="n"/>
      <c r="AB14" s="26" t="n"/>
      <c r="AC14" s="26" t="n"/>
      <c r="AD14" s="26" t="n"/>
      <c r="AE14" s="26" t="n"/>
      <c r="AF14" s="27" t="n"/>
      <c r="AG14" s="1" t="n"/>
      <c r="AH14" s="31" t="n"/>
      <c r="AI14" s="26" t="n"/>
      <c r="AJ14" s="26" t="n"/>
      <c r="AK14" s="26" t="n"/>
      <c r="AL14" s="26" t="n"/>
      <c r="AM14" s="26" t="n"/>
      <c r="AN14" s="27" t="n"/>
      <c r="AO14" s="1" t="n"/>
      <c r="AP14" s="31" t="n"/>
      <c r="AQ14" s="26" t="n"/>
      <c r="AR14" s="26" t="n"/>
      <c r="AS14" s="26" t="n"/>
      <c r="AT14" s="26" t="n"/>
      <c r="AU14" s="26" t="n"/>
      <c r="AV14" s="27" t="n"/>
      <c r="AW14" s="1" t="n"/>
    </row>
    <row r="15" ht="18" customHeight="1">
      <c r="A15" s="1" t="n"/>
      <c r="B15" s="32" t="inlineStr">
        <is>
          <t>registros na base (filtro aplicado)</t>
        </is>
      </c>
      <c r="C15" s="33" t="n"/>
      <c r="D15" s="33" t="n"/>
      <c r="E15" s="33" t="n"/>
      <c r="F15" s="33" t="n"/>
      <c r="G15" s="33" t="n"/>
      <c r="H15" s="34" t="n"/>
      <c r="I15" s="1" t="n"/>
      <c r="J15" s="35">
        <f>IFERROR(J13/B13,0)</f>
        <v>0.25</v>
      </c>
      <c r="K15" s="33" t="n"/>
      <c r="L15" s="33" t="n"/>
      <c r="M15" s="36" t="inlineStr">
        <is>
          <t>do total</t>
        </is>
      </c>
      <c r="N15" s="33" t="n"/>
      <c r="O15" s="33" t="n"/>
      <c r="P15" s="34" t="n"/>
      <c r="Q15" s="1" t="n"/>
      <c r="R15" s="35">
        <f>IFERROR(R13/B13,0)</f>
        <v>0.75</v>
      </c>
      <c r="S15" s="33" t="n"/>
      <c r="T15" s="33" t="n"/>
      <c r="U15" s="36" t="inlineStr">
        <is>
          <t>do total</t>
        </is>
      </c>
      <c r="V15" s="33" t="n"/>
      <c r="W15" s="33" t="n"/>
      <c r="X15" s="34" t="n"/>
      <c r="Y15" s="1" t="n"/>
      <c r="Z15" s="37">
        <f>IFERROR(Z13/J13,0)</f>
        <v>0.208333333333333</v>
      </c>
      <c r="AA15" s="33" t="n"/>
      <c r="AB15" s="33" t="n"/>
      <c r="AC15" s="36" t="inlineStr">
        <is>
          <t>dos em prazo D.P</t>
        </is>
      </c>
      <c r="AD15" s="33" t="n"/>
      <c r="AE15" s="33" t="n"/>
      <c r="AF15" s="34" t="n"/>
      <c r="AG15" s="1" t="n"/>
      <c r="AH15" s="38">
        <f>IFERROR(AH13/J13,0)</f>
        <v>0.125</v>
      </c>
      <c r="AI15" s="33" t="n"/>
      <c r="AJ15" s="33" t="n"/>
      <c r="AK15" s="36" t="inlineStr">
        <is>
          <t>dos em prazo D.P</t>
        </is>
      </c>
      <c r="AL15" s="33" t="n"/>
      <c r="AM15" s="33" t="n"/>
      <c r="AN15" s="34" t="n"/>
      <c r="AO15" s="1" t="n"/>
      <c r="AP15" s="39">
        <f>AP13-COUNTIFS(rEmpresa,"&lt;&gt;",rResp,critResp,rDataFisc,"&gt;="&amp;DATE(YEAR(TODAY()),MONTH(TODAY())-1,1),rDataFisc,"&lt;"&amp;DATE(YEAR(TODAY()),MONTH(TODAY()),1))</f>
        <v>-10</v>
      </c>
      <c r="AQ15" s="33" t="n"/>
      <c r="AR15" s="33" t="n"/>
      <c r="AS15" s="36" t="inlineStr">
        <is>
          <t>vs mês anterior</t>
        </is>
      </c>
      <c r="AT15" s="33" t="n"/>
      <c r="AU15" s="33" t="n"/>
      <c r="AV15" s="34" t="n"/>
      <c r="AW15" s="1" t="n"/>
    </row>
    <row r="16" ht="10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 ht="5" customHeight="1">
      <c r="A17" s="1" t="n"/>
      <c r="B17" s="20" t="n"/>
      <c r="C17" s="21" t="n"/>
      <c r="D17" s="21" t="n"/>
      <c r="E17" s="21" t="n"/>
      <c r="F17" s="21" t="n"/>
      <c r="G17" s="21" t="n"/>
      <c r="H17" s="22" t="n"/>
      <c r="I17" s="1" t="n"/>
      <c r="J17" s="20" t="n"/>
      <c r="K17" s="21" t="n"/>
      <c r="L17" s="21" t="n"/>
      <c r="M17" s="21" t="n"/>
      <c r="N17" s="21" t="n"/>
      <c r="O17" s="21" t="n"/>
      <c r="P17" s="22" t="n"/>
      <c r="Q17" s="1" t="n"/>
      <c r="R17" s="20" t="n"/>
      <c r="S17" s="21" t="n"/>
      <c r="T17" s="21" t="n"/>
      <c r="U17" s="21" t="n"/>
      <c r="V17" s="21" t="n"/>
      <c r="W17" s="21" t="n"/>
      <c r="X17" s="22" t="n"/>
      <c r="Y17" s="1" t="n"/>
      <c r="Z17" s="20" t="n"/>
      <c r="AA17" s="21" t="n"/>
      <c r="AB17" s="21" t="n"/>
      <c r="AC17" s="21" t="n"/>
      <c r="AD17" s="21" t="n"/>
      <c r="AE17" s="21" t="n"/>
      <c r="AF17" s="22" t="n"/>
      <c r="AG17" s="1" t="n"/>
      <c r="AH17" s="20" t="n"/>
      <c r="AI17" s="21" t="n"/>
      <c r="AJ17" s="21" t="n"/>
      <c r="AK17" s="21" t="n"/>
      <c r="AL17" s="21" t="n"/>
      <c r="AM17" s="21" t="n"/>
      <c r="AN17" s="22" t="n"/>
      <c r="AO17" s="1" t="n"/>
      <c r="AP17" s="20" t="n"/>
      <c r="AQ17" s="21" t="n"/>
      <c r="AR17" s="21" t="n"/>
      <c r="AS17" s="21" t="n"/>
      <c r="AT17" s="21" t="n"/>
      <c r="AU17" s="21" t="n"/>
      <c r="AV17" s="22" t="n"/>
      <c r="AW17" s="1" t="n"/>
    </row>
    <row r="18" ht="20" customHeight="1">
      <c r="A18" s="1" t="n"/>
      <c r="B18" s="25" t="inlineStr">
        <is>
          <t>NOTIF. DE CONSTATAÇÃO</t>
        </is>
      </c>
      <c r="C18" s="26" t="n"/>
      <c r="D18" s="26" t="n"/>
      <c r="E18" s="26" t="n"/>
      <c r="F18" s="26" t="n"/>
      <c r="G18" s="26" t="n"/>
      <c r="H18" s="27" t="n"/>
      <c r="I18" s="1" t="n"/>
      <c r="J18" s="25" t="inlineStr">
        <is>
          <t>NOTIF. DE ESCLARECIMENTO</t>
        </is>
      </c>
      <c r="K18" s="26" t="n"/>
      <c r="L18" s="26" t="n"/>
      <c r="M18" s="26" t="n"/>
      <c r="N18" s="26" t="n"/>
      <c r="O18" s="26" t="n"/>
      <c r="P18" s="27" t="n"/>
      <c r="Q18" s="1" t="n"/>
      <c r="R18" s="25" t="inlineStr">
        <is>
          <t>NOTIFICAÇÕES PRESENCIAIS</t>
        </is>
      </c>
      <c r="S18" s="26" t="n"/>
      <c r="T18" s="26" t="n"/>
      <c r="U18" s="26" t="n"/>
      <c r="V18" s="26" t="n"/>
      <c r="W18" s="26" t="n"/>
      <c r="X18" s="27" t="n"/>
      <c r="Y18" s="1" t="n"/>
      <c r="Z18" s="25" t="inlineStr">
        <is>
          <t>NOTIFICAÇÕES ELETRÔNICAS</t>
        </is>
      </c>
      <c r="AA18" s="26" t="n"/>
      <c r="AB18" s="26" t="n"/>
      <c r="AC18" s="26" t="n"/>
      <c r="AD18" s="26" t="n"/>
      <c r="AE18" s="26" t="n"/>
      <c r="AF18" s="27" t="n"/>
      <c r="AG18" s="1" t="n"/>
      <c r="AH18" s="25" t="inlineStr">
        <is>
          <t>IDADE MÉDIA DOS PROCESSOS</t>
        </is>
      </c>
      <c r="AI18" s="26" t="n"/>
      <c r="AJ18" s="26" t="n"/>
      <c r="AK18" s="26" t="n"/>
      <c r="AL18" s="26" t="n"/>
      <c r="AM18" s="26" t="n"/>
      <c r="AN18" s="27" t="n"/>
      <c r="AO18" s="1" t="n"/>
      <c r="AP18" s="25" t="inlineStr">
        <is>
          <t>FISCALIZAÇÕES NO ANO REF.</t>
        </is>
      </c>
      <c r="AQ18" s="26" t="n"/>
      <c r="AR18" s="26" t="n"/>
      <c r="AS18" s="26" t="n"/>
      <c r="AT18" s="26" t="n"/>
      <c r="AU18" s="26" t="n"/>
      <c r="AV18" s="27" t="n"/>
      <c r="AW18" s="1" t="n"/>
    </row>
    <row r="19" ht="22" customHeight="1">
      <c r="A19" s="1" t="n"/>
      <c r="B19" s="28">
        <f>COUNTIFS(rEmpresa,"&lt;&gt;",rResp,critResp,rNotif,"NOTIFICAÇÃO DE CONSTATAÇÃO")</f>
        <v>56</v>
      </c>
      <c r="C19" s="26" t="n"/>
      <c r="D19" s="26" t="n"/>
      <c r="E19" s="26" t="n"/>
      <c r="F19" s="26" t="n"/>
      <c r="G19" s="26" t="n"/>
      <c r="H19" s="27" t="n"/>
      <c r="I19" s="1" t="n"/>
      <c r="J19" s="28">
        <f>COUNTIFS(rEmpresa,"&lt;&gt;",rResp,critResp,rNotif,"NOTIFICAÇÃO DE ESCLARECIMENTO")</f>
        <v>40</v>
      </c>
      <c r="K19" s="26" t="n"/>
      <c r="L19" s="26" t="n"/>
      <c r="M19" s="26" t="n"/>
      <c r="N19" s="26" t="n"/>
      <c r="O19" s="26" t="n"/>
      <c r="P19" s="27" t="n"/>
      <c r="Q19" s="1" t="n"/>
      <c r="R19" s="28">
        <f>COUNTIFS(rEmpresa,"&lt;&gt;",rResp,critResp,rTipo,"PRESENCIAL")</f>
        <v>64</v>
      </c>
      <c r="S19" s="26" t="n"/>
      <c r="T19" s="26" t="n"/>
      <c r="U19" s="26" t="n"/>
      <c r="V19" s="26" t="n"/>
      <c r="W19" s="26" t="n"/>
      <c r="X19" s="27" t="n"/>
      <c r="Y19" s="1" t="n"/>
      <c r="Z19" s="28">
        <f>COUNTIFS(rEmpresa,"&lt;&gt;",rResp,critResp,rTipo,"ELETRÔNICA")</f>
        <v>32</v>
      </c>
      <c r="AA19" s="26" t="n"/>
      <c r="AB19" s="26" t="n"/>
      <c r="AC19" s="26" t="n"/>
      <c r="AD19" s="26" t="n"/>
      <c r="AE19" s="26" t="n"/>
      <c r="AF19" s="27" t="n"/>
      <c r="AG19" s="1" t="n"/>
      <c r="AH19" s="40">
        <f>IFERROR(AVERAGEIFS(rIdade,rEmpresa,"&lt;&gt;",rResp,critResp),0)</f>
        <v>87.1875</v>
      </c>
      <c r="AI19" s="26" t="n"/>
      <c r="AJ19" s="26" t="n"/>
      <c r="AK19" s="26" t="n"/>
      <c r="AL19" s="26" t="n"/>
      <c r="AM19" s="26" t="n"/>
      <c r="AN19" s="27" t="n"/>
      <c r="AO19" s="1" t="n"/>
      <c r="AP19" s="28">
        <f>COUNTIFS(rEmpresa,"&lt;&gt;",rResp,critResp,rDataFisc,"&gt;="&amp;DATE(FiltroAno,1,1),rDataFisc,"&lt;"&amp;DATE(FiltroAno+1,1,1))</f>
        <v>96</v>
      </c>
      <c r="AQ19" s="26" t="n"/>
      <c r="AR19" s="26" t="n"/>
      <c r="AS19" s="26" t="n"/>
      <c r="AT19" s="26" t="n"/>
      <c r="AU19" s="26" t="n"/>
      <c r="AV19" s="27" t="n"/>
      <c r="AW19" s="1" t="n"/>
    </row>
    <row r="20" ht="22" customHeight="1">
      <c r="A20" s="1" t="n"/>
      <c r="B20" s="31" t="n"/>
      <c r="C20" s="26" t="n"/>
      <c r="D20" s="26" t="n"/>
      <c r="E20" s="26" t="n"/>
      <c r="F20" s="26" t="n"/>
      <c r="G20" s="26" t="n"/>
      <c r="H20" s="27" t="n"/>
      <c r="I20" s="1" t="n"/>
      <c r="J20" s="31" t="n"/>
      <c r="K20" s="26" t="n"/>
      <c r="L20" s="26" t="n"/>
      <c r="M20" s="26" t="n"/>
      <c r="N20" s="26" t="n"/>
      <c r="O20" s="26" t="n"/>
      <c r="P20" s="27" t="n"/>
      <c r="Q20" s="1" t="n"/>
      <c r="R20" s="31" t="n"/>
      <c r="S20" s="26" t="n"/>
      <c r="T20" s="26" t="n"/>
      <c r="U20" s="26" t="n"/>
      <c r="V20" s="26" t="n"/>
      <c r="W20" s="26" t="n"/>
      <c r="X20" s="27" t="n"/>
      <c r="Y20" s="1" t="n"/>
      <c r="Z20" s="31" t="n"/>
      <c r="AA20" s="26" t="n"/>
      <c r="AB20" s="26" t="n"/>
      <c r="AC20" s="26" t="n"/>
      <c r="AD20" s="26" t="n"/>
      <c r="AE20" s="26" t="n"/>
      <c r="AF20" s="27" t="n"/>
      <c r="AG20" s="1" t="n"/>
      <c r="AH20" s="31" t="n"/>
      <c r="AI20" s="26" t="n"/>
      <c r="AJ20" s="26" t="n"/>
      <c r="AK20" s="26" t="n"/>
      <c r="AL20" s="26" t="n"/>
      <c r="AM20" s="26" t="n"/>
      <c r="AN20" s="27" t="n"/>
      <c r="AO20" s="1" t="n"/>
      <c r="AP20" s="31" t="n"/>
      <c r="AQ20" s="26" t="n"/>
      <c r="AR20" s="26" t="n"/>
      <c r="AS20" s="26" t="n"/>
      <c r="AT20" s="26" t="n"/>
      <c r="AU20" s="26" t="n"/>
      <c r="AV20" s="27" t="n"/>
      <c r="AW20" s="1" t="n"/>
    </row>
    <row r="21" ht="18" customHeight="1">
      <c r="A21" s="1" t="n"/>
      <c r="B21" s="35">
        <f>IFERROR(B19/$B$13,0)</f>
        <v>0.583333333333333</v>
      </c>
      <c r="C21" s="33" t="n"/>
      <c r="D21" s="33" t="n"/>
      <c r="E21" s="36" t="inlineStr">
        <is>
          <t>do total</t>
        </is>
      </c>
      <c r="F21" s="33" t="n"/>
      <c r="G21" s="33" t="n"/>
      <c r="H21" s="34" t="n"/>
      <c r="I21" s="1" t="n"/>
      <c r="J21" s="35">
        <f>IFERROR(J19/$B$13,0)</f>
        <v>0.416666666666667</v>
      </c>
      <c r="K21" s="33" t="n"/>
      <c r="L21" s="33" t="n"/>
      <c r="M21" s="36" t="inlineStr">
        <is>
          <t>do total</t>
        </is>
      </c>
      <c r="N21" s="33" t="n"/>
      <c r="O21" s="33" t="n"/>
      <c r="P21" s="34" t="n"/>
      <c r="Q21" s="1" t="n"/>
      <c r="R21" s="35">
        <f>IFERROR(R19/$B$13,0)</f>
        <v>0.666666666666667</v>
      </c>
      <c r="S21" s="33" t="n"/>
      <c r="T21" s="33" t="n"/>
      <c r="U21" s="36" t="inlineStr">
        <is>
          <t>do total</t>
        </is>
      </c>
      <c r="V21" s="33" t="n"/>
      <c r="W21" s="33" t="n"/>
      <c r="X21" s="34" t="n"/>
      <c r="Y21" s="1" t="n"/>
      <c r="Z21" s="35">
        <f>IFERROR(Z19/$B$13,0)</f>
        <v>0.333333333333333</v>
      </c>
      <c r="AA21" s="33" t="n"/>
      <c r="AB21" s="33" t="n"/>
      <c r="AC21" s="36" t="inlineStr">
        <is>
          <t>do total</t>
        </is>
      </c>
      <c r="AD21" s="33" t="n"/>
      <c r="AE21" s="33" t="n"/>
      <c r="AF21" s="34" t="n"/>
      <c r="AG21" s="1" t="n"/>
      <c r="AH21" s="32" t="inlineStr">
        <is>
          <t>dias desde a fiscalização</t>
        </is>
      </c>
      <c r="AI21" s="33" t="n"/>
      <c r="AJ21" s="33" t="n"/>
      <c r="AK21" s="33" t="n"/>
      <c r="AL21" s="33" t="n"/>
      <c r="AM21" s="33" t="n"/>
      <c r="AN21" s="34" t="n"/>
      <c r="AO21" s="1" t="n"/>
      <c r="AP21" s="35">
        <f>IFERROR(AP19/(MetaMensal*12),0)</f>
        <v>0.666666666666667</v>
      </c>
      <c r="AQ21" s="33" t="n"/>
      <c r="AR21" s="33" t="n"/>
      <c r="AS21" s="36" t="inlineStr">
        <is>
          <t>da meta anual</t>
        </is>
      </c>
      <c r="AT21" s="33" t="n"/>
      <c r="AU21" s="33" t="n"/>
      <c r="AV21" s="34" t="n"/>
      <c r="AW21" s="1" t="n"/>
    </row>
    <row r="22" ht="12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 ht="20" customHeight="1">
      <c r="A23" s="1" t="n"/>
      <c r="B23" s="18" t="inlineStr">
        <is>
          <t>AGENDA — PRÓXIMOS VENCIMENTOS (TOP 10)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" t="n"/>
      <c r="Z23" s="18" t="inlineStr">
        <is>
          <t>ÚLTIMAS FISCALIZAÇÕES REGISTRADAS (TOP 10)</t>
        </is>
      </c>
      <c r="AA23" s="19" t="n"/>
      <c r="AB23" s="19" t="n"/>
      <c r="AC23" s="19" t="n"/>
      <c r="AD23" s="19" t="n"/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19" t="n"/>
      <c r="AO23" s="19" t="n"/>
      <c r="AP23" s="19" t="n"/>
      <c r="AQ23" s="19" t="n"/>
      <c r="AR23" s="19" t="n"/>
      <c r="AS23" s="19" t="n"/>
      <c r="AT23" s="19" t="n"/>
      <c r="AU23" s="19" t="n"/>
      <c r="AV23" s="19" t="n"/>
      <c r="AW23" s="1" t="n"/>
    </row>
    <row r="24" ht="6" customHeight="1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 ht="20" customHeight="1">
      <c r="A25" s="1" t="n"/>
      <c r="B25" s="41" t="inlineStr">
        <is>
          <t>#</t>
        </is>
      </c>
      <c r="D25" s="41" t="inlineStr">
        <is>
          <t>EMPRESA</t>
        </is>
      </c>
      <c r="L25" s="41" t="inlineStr">
        <is>
          <t>RESPONSÁVEL</t>
        </is>
      </c>
      <c r="R25" s="41" t="inlineStr">
        <is>
          <t>PRAZO FINAL</t>
        </is>
      </c>
      <c r="V25" s="41" t="inlineStr">
        <is>
          <t>DIAS</t>
        </is>
      </c>
      <c r="Y25" s="1" t="n"/>
      <c r="Z25" s="41" t="inlineStr">
        <is>
          <t>#</t>
        </is>
      </c>
      <c r="AB25" s="41" t="inlineStr">
        <is>
          <t>EMPRESA</t>
        </is>
      </c>
      <c r="AJ25" s="41" t="inlineStr">
        <is>
          <t>RESPONSÁVEL</t>
        </is>
      </c>
      <c r="AP25" s="41" t="inlineStr">
        <is>
          <t>FISCALIZAÇÃO</t>
        </is>
      </c>
      <c r="AT25" s="41" t="inlineStr">
        <is>
          <t>NOTIF.</t>
        </is>
      </c>
      <c r="AW25" s="1" t="n"/>
    </row>
    <row r="26" ht="18" customHeight="1">
      <c r="A26" s="1" t="n"/>
      <c r="B26" s="42">
        <f>IF(CALC!$BJ$5="","",1)</f>
        <v>1</v>
      </c>
      <c r="C26" s="43" t="n"/>
      <c r="D26" s="44" t="str">
        <f>IF(CALC!$BJ$5="",IF(1=1,"✓ Nenhum prazo pendente",""),INDEX(rEmpresa,CALC!$BJ$5))</f>
        <v>Hospital Vida Plena</v>
      </c>
      <c r="E26" s="43" t="n"/>
      <c r="F26" s="43" t="n"/>
      <c r="G26" s="43" t="n"/>
      <c r="H26" s="43" t="n"/>
      <c r="I26" s="43" t="n"/>
      <c r="J26" s="43" t="n"/>
      <c r="K26" s="43" t="n"/>
      <c r="L26" s="45" t="str">
        <f>IF(CALC!$BJ$5="","",INDEX(rResp,CALC!$BJ$5))</f>
        <v>FELIPE ARAÚJO</v>
      </c>
      <c r="M26" s="43" t="n"/>
      <c r="N26" s="43" t="n"/>
      <c r="O26" s="43" t="n"/>
      <c r="P26" s="43" t="n"/>
      <c r="Q26" s="43" t="n"/>
      <c r="R26" s="46">
        <f>IF(CALC!$BJ$5="","",INDEX(rPrazo,CALC!$BJ$5))</f>
        <v>46305.0</v>
      </c>
      <c r="S26" s="43" t="n"/>
      <c r="T26" s="43" t="n"/>
      <c r="U26" s="43" t="n"/>
      <c r="V26" s="47">
        <f>IF(CALC!$BJ$5="","",INDEX(rDias,CALC!$BJ$5))</f>
        <v>1</v>
      </c>
      <c r="W26" s="43" t="n"/>
      <c r="X26" s="43" t="n"/>
      <c r="Y26" s="1" t="n"/>
      <c r="Z26" s="42">
        <f>IF(CALC!$BK$5="","",1)</f>
        <v>1</v>
      </c>
      <c r="AA26" s="43" t="n"/>
      <c r="AB26" s="44" t="str">
        <f>IF(CALC!$BK$5="",IF(1=1,"Nenhuma fiscalização registrada",""),INDEX(rEmpresa,CALC!$BK$5))</f>
        <v>Studio Fitness Avenida</v>
      </c>
      <c r="AC26" s="43" t="n"/>
      <c r="AD26" s="43" t="n"/>
      <c r="AE26" s="43" t="n"/>
      <c r="AF26" s="43" t="n"/>
      <c r="AG26" s="43" t="n"/>
      <c r="AH26" s="43" t="n"/>
      <c r="AI26" s="43" t="n"/>
      <c r="AJ26" s="45" t="str">
        <f>IF(CALC!$BK$5="","",INDEX(rResp,CALC!$BK$5))</f>
        <v>ANA PAULA SOUZA</v>
      </c>
      <c r="AK26" s="43" t="n"/>
      <c r="AL26" s="43" t="n"/>
      <c r="AM26" s="43" t="n"/>
      <c r="AN26" s="43" t="n"/>
      <c r="AO26" s="43" t="n"/>
      <c r="AP26" s="46">
        <f>IF(CALC!$BK$5="","",INDEX(rDataFisc,CALC!$BK$5))</f>
        <v>46304.0</v>
      </c>
      <c r="AQ26" s="43" t="n"/>
      <c r="AR26" s="43" t="n"/>
      <c r="AS26" s="43" t="n"/>
      <c r="AT26" s="48" t="str">
        <f>IF(CALC!$BK$5="","",IF(INDEX(rNotif,CALC!$BK$5)="NOTIFICAÇÃO DE CONSTATAÇÃO","CONST.","ESCLAR."))</f>
        <v>ESCLAR.</v>
      </c>
      <c r="AU26" s="43" t="n"/>
      <c r="AV26" s="43" t="n"/>
      <c r="AW26" s="1" t="n"/>
    </row>
    <row r="27" ht="18" customHeight="1">
      <c r="A27" s="1" t="n"/>
      <c r="B27" s="49">
        <f>IF(CALC!$BJ$6="","",2)</f>
        <v>2</v>
      </c>
      <c r="C27" s="43" t="n"/>
      <c r="D27" s="50" t="str">
        <f>IF(CALC!$BJ$6="",IF(2=1,"✓ Nenhum prazo pendente",""),INDEX(rEmpresa,CALC!$BJ$6))</f>
        <v>Comércio Vida Plena</v>
      </c>
      <c r="E27" s="43" t="n"/>
      <c r="F27" s="43" t="n"/>
      <c r="G27" s="43" t="n"/>
      <c r="H27" s="43" t="n"/>
      <c r="I27" s="43" t="n"/>
      <c r="J27" s="43" t="n"/>
      <c r="K27" s="43" t="n"/>
      <c r="L27" s="51" t="str">
        <f>IF(CALC!$BJ$6="","",INDEX(rResp,CALC!$BJ$6))</f>
        <v>ANA PAULA SOUZA</v>
      </c>
      <c r="M27" s="43" t="n"/>
      <c r="N27" s="43" t="n"/>
      <c r="O27" s="43" t="n"/>
      <c r="P27" s="43" t="n"/>
      <c r="Q27" s="43" t="n"/>
      <c r="R27" s="52">
        <f>IF(CALC!$BJ$6="","",INDEX(rPrazo,CALC!$BJ$6))</f>
        <v>46307.0</v>
      </c>
      <c r="S27" s="43" t="n"/>
      <c r="T27" s="43" t="n"/>
      <c r="U27" s="43" t="n"/>
      <c r="V27" s="53">
        <f>IF(CALC!$BJ$6="","",INDEX(rDias,CALC!$BJ$6))</f>
        <v>3</v>
      </c>
      <c r="W27" s="43" t="n"/>
      <c r="X27" s="43" t="n"/>
      <c r="Y27" s="1" t="n"/>
      <c r="Z27" s="49">
        <f>IF(CALC!$BK$6="","",2)</f>
        <v>2</v>
      </c>
      <c r="AA27" s="43" t="n"/>
      <c r="AB27" s="50" t="str">
        <f>IF(CALC!$BK$6="",IF(2=1,"Nenhuma fiscalização registrada",""),INDEX(rEmpresa,CALC!$BK$6))</f>
        <v>Escola Aliança</v>
      </c>
      <c r="AC27" s="43" t="n"/>
      <c r="AD27" s="43" t="n"/>
      <c r="AE27" s="43" t="n"/>
      <c r="AF27" s="43" t="n"/>
      <c r="AG27" s="43" t="n"/>
      <c r="AH27" s="43" t="n"/>
      <c r="AI27" s="43" t="n"/>
      <c r="AJ27" s="51" t="str">
        <f>IF(CALC!$BK$6="","",INDEX(rResp,CALC!$BK$6))</f>
        <v>HENRIQUE COSTA</v>
      </c>
      <c r="AK27" s="43" t="n"/>
      <c r="AL27" s="43" t="n"/>
      <c r="AM27" s="43" t="n"/>
      <c r="AN27" s="43" t="n"/>
      <c r="AO27" s="43" t="n"/>
      <c r="AP27" s="52">
        <f>IF(CALC!$BK$6="","",INDEX(rDataFisc,CALC!$BK$6))</f>
        <v>46304.0</v>
      </c>
      <c r="AQ27" s="43" t="n"/>
      <c r="AR27" s="43" t="n"/>
      <c r="AS27" s="43" t="n"/>
      <c r="AT27" s="54" t="str">
        <f>IF(CALC!$BK$6="","",IF(INDEX(rNotif,CALC!$BK$6)="NOTIFICAÇÃO DE CONSTATAÇÃO","CONST.","ESCLAR."))</f>
        <v>CONST.</v>
      </c>
      <c r="AU27" s="43" t="n"/>
      <c r="AV27" s="43" t="n"/>
      <c r="AW27" s="1" t="n"/>
    </row>
    <row r="28" ht="18" customHeight="1">
      <c r="A28" s="1" t="n"/>
      <c r="B28" s="42">
        <f>IF(CALC!$BJ$7="","",3)</f>
        <v>3</v>
      </c>
      <c r="C28" s="43" t="n"/>
      <c r="D28" s="44" t="str">
        <f>IF(CALC!$BJ$7="",IF(3=1,"✓ Nenhum prazo pendente",""),INDEX(rEmpresa,CALC!$BJ$7))</f>
        <v>Studio Fitness Planalto</v>
      </c>
      <c r="E28" s="43" t="n"/>
      <c r="F28" s="43" t="n"/>
      <c r="G28" s="43" t="n"/>
      <c r="H28" s="43" t="n"/>
      <c r="I28" s="43" t="n"/>
      <c r="J28" s="43" t="n"/>
      <c r="K28" s="43" t="n"/>
      <c r="L28" s="45" t="str">
        <f>IF(CALC!$BJ$7="","",INDEX(rResp,CALC!$BJ$7))</f>
        <v>EDUARDA LIMA</v>
      </c>
      <c r="M28" s="43" t="n"/>
      <c r="N28" s="43" t="n"/>
      <c r="O28" s="43" t="n"/>
      <c r="P28" s="43" t="n"/>
      <c r="Q28" s="43" t="n"/>
      <c r="R28" s="46">
        <f>IF(CALC!$BJ$7="","",INDEX(rPrazo,CALC!$BJ$7))</f>
        <v>46309.0</v>
      </c>
      <c r="S28" s="43" t="n"/>
      <c r="T28" s="43" t="n"/>
      <c r="U28" s="43" t="n"/>
      <c r="V28" s="47">
        <f>IF(CALC!$BJ$7="","",INDEX(rDias,CALC!$BJ$7))</f>
        <v>5</v>
      </c>
      <c r="W28" s="43" t="n"/>
      <c r="X28" s="43" t="n"/>
      <c r="Y28" s="1" t="n"/>
      <c r="Z28" s="42">
        <f>IF(CALC!$BK$7="","",3)</f>
        <v>3</v>
      </c>
      <c r="AA28" s="43" t="n"/>
      <c r="AB28" s="44" t="str">
        <f>IF(CALC!$BK$7="",IF(3=1,"Nenhuma fiscalização registrada",""),INDEX(rEmpresa,CALC!$BK$7))</f>
        <v>Studio Fitness São Jorge</v>
      </c>
      <c r="AC28" s="43" t="n"/>
      <c r="AD28" s="43" t="n"/>
      <c r="AE28" s="43" t="n"/>
      <c r="AF28" s="43" t="n"/>
      <c r="AG28" s="43" t="n"/>
      <c r="AH28" s="43" t="n"/>
      <c r="AI28" s="43" t="n"/>
      <c r="AJ28" s="45" t="str">
        <f>IF(CALC!$BK$7="","",INDEX(rResp,CALC!$BK$7))</f>
        <v>GABRIELA NUNES</v>
      </c>
      <c r="AK28" s="43" t="n"/>
      <c r="AL28" s="43" t="n"/>
      <c r="AM28" s="43" t="n"/>
      <c r="AN28" s="43" t="n"/>
      <c r="AO28" s="43" t="n"/>
      <c r="AP28" s="46">
        <f>IF(CALC!$BK$7="","",INDEX(rDataFisc,CALC!$BK$7))</f>
        <v>46303.0</v>
      </c>
      <c r="AQ28" s="43" t="n"/>
      <c r="AR28" s="43" t="n"/>
      <c r="AS28" s="43" t="n"/>
      <c r="AT28" s="48" t="str">
        <f>IF(CALC!$BK$7="","",IF(INDEX(rNotif,CALC!$BK$7)="NOTIFICAÇÃO DE CONSTATAÇÃO","CONST.","ESCLAR."))</f>
        <v>ESCLAR.</v>
      </c>
      <c r="AU28" s="43" t="n"/>
      <c r="AV28" s="43" t="n"/>
      <c r="AW28" s="1" t="n"/>
    </row>
    <row r="29" ht="18" customHeight="1">
      <c r="A29" s="1" t="n"/>
      <c r="B29" s="49">
        <f>IF(CALC!$BJ$8="","",4)</f>
        <v>4</v>
      </c>
      <c r="C29" s="43" t="n"/>
      <c r="D29" s="50" t="str">
        <f>IF(CALC!$BJ$8="",IF(4=1,"✓ Nenhum prazo pendente",""),INDEX(rEmpresa,CALC!$BJ$8))</f>
        <v>Concessionária Litoral</v>
      </c>
      <c r="E29" s="43" t="n"/>
      <c r="F29" s="43" t="n"/>
      <c r="G29" s="43" t="n"/>
      <c r="H29" s="43" t="n"/>
      <c r="I29" s="43" t="n"/>
      <c r="J29" s="43" t="n"/>
      <c r="K29" s="43" t="n"/>
      <c r="L29" s="51" t="str">
        <f>IF(CALC!$BJ$8="","",INDEX(rResp,CALC!$BJ$8))</f>
        <v>BRUNO CARVALHO</v>
      </c>
      <c r="M29" s="43" t="n"/>
      <c r="N29" s="43" t="n"/>
      <c r="O29" s="43" t="n"/>
      <c r="P29" s="43" t="n"/>
      <c r="Q29" s="43" t="n"/>
      <c r="R29" s="52">
        <f>IF(CALC!$BJ$8="","",INDEX(rPrazo,CALC!$BJ$8))</f>
        <v>46311.0</v>
      </c>
      <c r="S29" s="43" t="n"/>
      <c r="T29" s="43" t="n"/>
      <c r="U29" s="43" t="n"/>
      <c r="V29" s="53">
        <f>IF(CALC!$BJ$8="","",INDEX(rDias,CALC!$BJ$8))</f>
        <v>7</v>
      </c>
      <c r="W29" s="43" t="n"/>
      <c r="X29" s="43" t="n"/>
      <c r="Y29" s="1" t="n"/>
      <c r="Z29" s="49">
        <f>IF(CALC!$BK$8="","",4)</f>
        <v>4</v>
      </c>
      <c r="AA29" s="43" t="n"/>
      <c r="AB29" s="50" t="str">
        <f>IF(CALC!$BK$8="",IF(4=1,"Nenhuma fiscalização registrada",""),INDEX(rEmpresa,CALC!$BK$8))</f>
        <v>Financeira São Jorge Ltda</v>
      </c>
      <c r="AC29" s="43" t="n"/>
      <c r="AD29" s="43" t="n"/>
      <c r="AE29" s="43" t="n"/>
      <c r="AF29" s="43" t="n"/>
      <c r="AG29" s="43" t="n"/>
      <c r="AH29" s="43" t="n"/>
      <c r="AI29" s="43" t="n"/>
      <c r="AJ29" s="51" t="str">
        <f>IF(CALC!$BK$8="","",INDEX(rResp,CALC!$BK$8))</f>
        <v>GABRIELA NUNES</v>
      </c>
      <c r="AK29" s="43" t="n"/>
      <c r="AL29" s="43" t="n"/>
      <c r="AM29" s="43" t="n"/>
      <c r="AN29" s="43" t="n"/>
      <c r="AO29" s="43" t="n"/>
      <c r="AP29" s="52">
        <f>IF(CALC!$BK$8="","",INDEX(rDataFisc,CALC!$BK$8))</f>
        <v>46303.0</v>
      </c>
      <c r="AQ29" s="43" t="n"/>
      <c r="AR29" s="43" t="n"/>
      <c r="AS29" s="43" t="n"/>
      <c r="AT29" s="54" t="str">
        <f>IF(CALC!$BK$8="","",IF(INDEX(rNotif,CALC!$BK$8)="NOTIFICAÇÃO DE CONSTATAÇÃO","CONST.","ESCLAR."))</f>
        <v>CONST.</v>
      </c>
      <c r="AU29" s="43" t="n"/>
      <c r="AV29" s="43" t="n"/>
      <c r="AW29" s="1" t="n"/>
    </row>
    <row r="30" ht="18" customHeight="1">
      <c r="A30" s="1" t="n"/>
      <c r="B30" s="42">
        <f>IF(CALC!$BJ$9="","",5)</f>
        <v>5</v>
      </c>
      <c r="C30" s="43" t="n"/>
      <c r="D30" s="44" t="str">
        <f>IF(CALC!$BJ$9="",IF(5=1,"✓ Nenhum prazo pendente",""),INDEX(rEmpresa,CALC!$BJ$9))</f>
        <v>Financeira São Jorge Ltda</v>
      </c>
      <c r="E30" s="43" t="n"/>
      <c r="F30" s="43" t="n"/>
      <c r="G30" s="43" t="n"/>
      <c r="H30" s="43" t="n"/>
      <c r="I30" s="43" t="n"/>
      <c r="J30" s="43" t="n"/>
      <c r="K30" s="43" t="n"/>
      <c r="L30" s="45" t="str">
        <f>IF(CALC!$BJ$9="","",INDEX(rResp,CALC!$BJ$9))</f>
        <v>GABRIELA NUNES</v>
      </c>
      <c r="M30" s="43" t="n"/>
      <c r="N30" s="43" t="n"/>
      <c r="O30" s="43" t="n"/>
      <c r="P30" s="43" t="n"/>
      <c r="Q30" s="43" t="n"/>
      <c r="R30" s="46">
        <f>IF(CALC!$BJ$9="","",INDEX(rPrazo,CALC!$BJ$9))</f>
        <v>46313.0</v>
      </c>
      <c r="S30" s="43" t="n"/>
      <c r="T30" s="43" t="n"/>
      <c r="U30" s="43" t="n"/>
      <c r="V30" s="47">
        <f>IF(CALC!$BJ$9="","",INDEX(rDias,CALC!$BJ$9))</f>
        <v>9</v>
      </c>
      <c r="W30" s="43" t="n"/>
      <c r="X30" s="43" t="n"/>
      <c r="Y30" s="1" t="n"/>
      <c r="Z30" s="42">
        <f>IF(CALC!$BK$9="","",5)</f>
        <v>5</v>
      </c>
      <c r="AA30" s="43" t="n"/>
      <c r="AB30" s="44" t="str">
        <f>IF(CALC!$BK$9="",IF(5=1,"Nenhuma fiscalização registrada",""),INDEX(rEmpresa,CALC!$BK$9))</f>
        <v>Boutique Aliança</v>
      </c>
      <c r="AC30" s="43" t="n"/>
      <c r="AD30" s="43" t="n"/>
      <c r="AE30" s="43" t="n"/>
      <c r="AF30" s="43" t="n"/>
      <c r="AG30" s="43" t="n"/>
      <c r="AH30" s="43" t="n"/>
      <c r="AI30" s="43" t="n"/>
      <c r="AJ30" s="45" t="str">
        <f>IF(CALC!$BK$9="","",INDEX(rResp,CALC!$BK$9))</f>
        <v>CARLA MENDES</v>
      </c>
      <c r="AK30" s="43" t="n"/>
      <c r="AL30" s="43" t="n"/>
      <c r="AM30" s="43" t="n"/>
      <c r="AN30" s="43" t="n"/>
      <c r="AO30" s="43" t="n"/>
      <c r="AP30" s="46">
        <f>IF(CALC!$BK$9="","",INDEX(rDataFisc,CALC!$BK$9))</f>
        <v>46303.0</v>
      </c>
      <c r="AQ30" s="43" t="n"/>
      <c r="AR30" s="43" t="n"/>
      <c r="AS30" s="43" t="n"/>
      <c r="AT30" s="48" t="str">
        <f>IF(CALC!$BK$9="","",IF(INDEX(rNotif,CALC!$BK$9)="NOTIFICAÇÃO DE CONSTATAÇÃO","CONST.","ESCLAR."))</f>
        <v>ESCLAR.</v>
      </c>
      <c r="AU30" s="43" t="n"/>
      <c r="AV30" s="43" t="n"/>
      <c r="AW30" s="1" t="n"/>
    </row>
    <row r="31" ht="18" customHeight="1">
      <c r="A31" s="1" t="n"/>
      <c r="B31" s="49">
        <f>IF(CALC!$BJ$10="","",6)</f>
        <v>6</v>
      </c>
      <c r="C31" s="43" t="n"/>
      <c r="D31" s="50" t="str">
        <f>IF(CALC!$BJ$10="",IF(6=1,"✓ Nenhum prazo pendente",""),INDEX(rEmpresa,CALC!$BJ$10))</f>
        <v>Escola Aliança</v>
      </c>
      <c r="E31" s="43" t="n"/>
      <c r="F31" s="43" t="n"/>
      <c r="G31" s="43" t="n"/>
      <c r="H31" s="43" t="n"/>
      <c r="I31" s="43" t="n"/>
      <c r="J31" s="43" t="n"/>
      <c r="K31" s="43" t="n"/>
      <c r="L31" s="51" t="str">
        <f>IF(CALC!$BJ$10="","",INDEX(rResp,CALC!$BJ$10))</f>
        <v>HENRIQUE COSTA</v>
      </c>
      <c r="M31" s="43" t="n"/>
      <c r="N31" s="43" t="n"/>
      <c r="O31" s="43" t="n"/>
      <c r="P31" s="43" t="n"/>
      <c r="Q31" s="43" t="n"/>
      <c r="R31" s="52">
        <f>IF(CALC!$BJ$10="","",INDEX(rPrazo,CALC!$BJ$10))</f>
        <v>46314.0</v>
      </c>
      <c r="S31" s="43" t="n"/>
      <c r="T31" s="43" t="n"/>
      <c r="U31" s="43" t="n"/>
      <c r="V31" s="53">
        <f>IF(CALC!$BJ$10="","",INDEX(rDias,CALC!$BJ$10))</f>
        <v>10</v>
      </c>
      <c r="W31" s="43" t="n"/>
      <c r="X31" s="43" t="n"/>
      <c r="Y31" s="1" t="n"/>
      <c r="Z31" s="49">
        <f>IF(CALC!$BK$10="","",6)</f>
        <v>6</v>
      </c>
      <c r="AA31" s="43" t="n"/>
      <c r="AB31" s="50" t="str">
        <f>IF(CALC!$BK$10="",IF(6=1,"Nenhuma fiscalização registrada",""),INDEX(rEmpresa,CALC!$BK$10))</f>
        <v>Concessionária Litoral</v>
      </c>
      <c r="AC31" s="43" t="n"/>
      <c r="AD31" s="43" t="n"/>
      <c r="AE31" s="43" t="n"/>
      <c r="AF31" s="43" t="n"/>
      <c r="AG31" s="43" t="n"/>
      <c r="AH31" s="43" t="n"/>
      <c r="AI31" s="43" t="n"/>
      <c r="AJ31" s="51" t="str">
        <f>IF(CALC!$BK$10="","",INDEX(rResp,CALC!$BK$10))</f>
        <v>BRUNO CARVALHO</v>
      </c>
      <c r="AK31" s="43" t="n"/>
      <c r="AL31" s="43" t="n"/>
      <c r="AM31" s="43" t="n"/>
      <c r="AN31" s="43" t="n"/>
      <c r="AO31" s="43" t="n"/>
      <c r="AP31" s="52">
        <f>IF(CALC!$BK$10="","",INDEX(rDataFisc,CALC!$BK$10))</f>
        <v>46301.0</v>
      </c>
      <c r="AQ31" s="43" t="n"/>
      <c r="AR31" s="43" t="n"/>
      <c r="AS31" s="43" t="n"/>
      <c r="AT31" s="54" t="str">
        <f>IF(CALC!$BK$10="","",IF(INDEX(rNotif,CALC!$BK$10)="NOTIFICAÇÃO DE CONSTATAÇÃO","CONST.","ESCLAR."))</f>
        <v>CONST.</v>
      </c>
      <c r="AU31" s="43" t="n"/>
      <c r="AV31" s="43" t="n"/>
      <c r="AW31" s="1" t="n"/>
    </row>
    <row r="32" ht="18" customHeight="1">
      <c r="A32" s="1" t="n"/>
      <c r="B32" s="42">
        <f>IF(CALC!$BJ$11="","",7)</f>
        <v>7</v>
      </c>
      <c r="C32" s="43" t="n"/>
      <c r="D32" s="44" t="str">
        <f>IF(CALC!$BJ$11="",IF(7=1,"✓ Nenhum prazo pendente",""),INDEX(rEmpresa,CALC!$BJ$11))</f>
        <v>Boutique Aliança</v>
      </c>
      <c r="E32" s="43" t="n"/>
      <c r="F32" s="43" t="n"/>
      <c r="G32" s="43" t="n"/>
      <c r="H32" s="43" t="n"/>
      <c r="I32" s="43" t="n"/>
      <c r="J32" s="43" t="n"/>
      <c r="K32" s="43" t="n"/>
      <c r="L32" s="45" t="str">
        <f>IF(CALC!$BJ$11="","",INDEX(rResp,CALC!$BJ$11))</f>
        <v>CARLA MENDES</v>
      </c>
      <c r="M32" s="43" t="n"/>
      <c r="N32" s="43" t="n"/>
      <c r="O32" s="43" t="n"/>
      <c r="P32" s="43" t="n"/>
      <c r="Q32" s="43" t="n"/>
      <c r="R32" s="46">
        <f>IF(CALC!$BJ$11="","",INDEX(rPrazo,CALC!$BJ$11))</f>
        <v>46318.0</v>
      </c>
      <c r="S32" s="43" t="n"/>
      <c r="T32" s="43" t="n"/>
      <c r="U32" s="43" t="n"/>
      <c r="V32" s="47">
        <f>IF(CALC!$BJ$11="","",INDEX(rDias,CALC!$BJ$11))</f>
        <v>14</v>
      </c>
      <c r="W32" s="43" t="n"/>
      <c r="X32" s="43" t="n"/>
      <c r="Y32" s="1" t="n"/>
      <c r="Z32" s="42">
        <f>IF(CALC!$BK$11="","",7)</f>
        <v>7</v>
      </c>
      <c r="AA32" s="43" t="n"/>
      <c r="AB32" s="44" t="str">
        <f>IF(CALC!$BK$11="",IF(7=1,"Nenhuma fiscalização registrada",""),INDEX(rEmpresa,CALC!$BK$11))</f>
        <v>Comércio Real</v>
      </c>
      <c r="AC32" s="43" t="n"/>
      <c r="AD32" s="43" t="n"/>
      <c r="AE32" s="43" t="n"/>
      <c r="AF32" s="43" t="n"/>
      <c r="AG32" s="43" t="n"/>
      <c r="AH32" s="43" t="n"/>
      <c r="AI32" s="43" t="n"/>
      <c r="AJ32" s="45" t="str">
        <f>IF(CALC!$BK$11="","",INDEX(rResp,CALC!$BK$11))</f>
        <v>GABRIELA NUNES</v>
      </c>
      <c r="AK32" s="43" t="n"/>
      <c r="AL32" s="43" t="n"/>
      <c r="AM32" s="43" t="n"/>
      <c r="AN32" s="43" t="n"/>
      <c r="AO32" s="43" t="n"/>
      <c r="AP32" s="46">
        <f>IF(CALC!$BK$11="","",INDEX(rDataFisc,CALC!$BK$11))</f>
        <v>46300.0</v>
      </c>
      <c r="AQ32" s="43" t="n"/>
      <c r="AR32" s="43" t="n"/>
      <c r="AS32" s="43" t="n"/>
      <c r="AT32" s="48" t="str">
        <f>IF(CALC!$BK$11="","",IF(INDEX(rNotif,CALC!$BK$11)="NOTIFICAÇÃO DE CONSTATAÇÃO","CONST.","ESCLAR."))</f>
        <v>ESCLAR.</v>
      </c>
      <c r="AU32" s="43" t="n"/>
      <c r="AV32" s="43" t="n"/>
      <c r="AW32" s="1" t="n"/>
    </row>
    <row r="33" ht="18" customHeight="1">
      <c r="A33" s="1" t="n"/>
      <c r="B33" s="49">
        <f>IF(CALC!$BJ$12="","",8)</f>
        <v>8</v>
      </c>
      <c r="C33" s="43" t="n"/>
      <c r="D33" s="50" t="str">
        <f>IF(CALC!$BJ$12="",IF(8=1,"✓ Nenhum prazo pendente",""),INDEX(rEmpresa,CALC!$BJ$12))</f>
        <v>Studio Fitness São Jorge</v>
      </c>
      <c r="E33" s="43" t="n"/>
      <c r="F33" s="43" t="n"/>
      <c r="G33" s="43" t="n"/>
      <c r="H33" s="43" t="n"/>
      <c r="I33" s="43" t="n"/>
      <c r="J33" s="43" t="n"/>
      <c r="K33" s="43" t="n"/>
      <c r="L33" s="51" t="str">
        <f>IF(CALC!$BJ$12="","",INDEX(rResp,CALC!$BJ$12))</f>
        <v>GABRIELA NUNES</v>
      </c>
      <c r="M33" s="43" t="n"/>
      <c r="N33" s="43" t="n"/>
      <c r="O33" s="43" t="n"/>
      <c r="P33" s="43" t="n"/>
      <c r="Q33" s="43" t="n"/>
      <c r="R33" s="52">
        <f>IF(CALC!$BJ$12="","",INDEX(rPrazo,CALC!$BJ$12))</f>
        <v>46318.0</v>
      </c>
      <c r="S33" s="43" t="n"/>
      <c r="T33" s="43" t="n"/>
      <c r="U33" s="43" t="n"/>
      <c r="V33" s="53">
        <f>IF(CALC!$BJ$12="","",INDEX(rDias,CALC!$BJ$12))</f>
        <v>14</v>
      </c>
      <c r="W33" s="43" t="n"/>
      <c r="X33" s="43" t="n"/>
      <c r="Y33" s="1" t="n"/>
      <c r="Z33" s="49">
        <f>IF(CALC!$BK$12="","",8)</f>
        <v>8</v>
      </c>
      <c r="AA33" s="43" t="n"/>
      <c r="AB33" s="50" t="str">
        <f>IF(CALC!$BK$12="",IF(8=1,"Nenhuma fiscalização registrada",""),INDEX(rEmpresa,CALC!$BK$12))</f>
        <v>Banco Bela Vista</v>
      </c>
      <c r="AC33" s="43" t="n"/>
      <c r="AD33" s="43" t="n"/>
      <c r="AE33" s="43" t="n"/>
      <c r="AF33" s="43" t="n"/>
      <c r="AG33" s="43" t="n"/>
      <c r="AH33" s="43" t="n"/>
      <c r="AI33" s="43" t="n"/>
      <c r="AJ33" s="51" t="str">
        <f>IF(CALC!$BK$12="","",INDEX(rResp,CALC!$BK$12))</f>
        <v>DIEGO RIBEIRO</v>
      </c>
      <c r="AK33" s="43" t="n"/>
      <c r="AL33" s="43" t="n"/>
      <c r="AM33" s="43" t="n"/>
      <c r="AN33" s="43" t="n"/>
      <c r="AO33" s="43" t="n"/>
      <c r="AP33" s="52">
        <f>IF(CALC!$BK$12="","",INDEX(rDataFisc,CALC!$BK$12))</f>
        <v>46299.0</v>
      </c>
      <c r="AQ33" s="43" t="n"/>
      <c r="AR33" s="43" t="n"/>
      <c r="AS33" s="43" t="n"/>
      <c r="AT33" s="54" t="str">
        <f>IF(CALC!$BK$12="","",IF(INDEX(rNotif,CALC!$BK$12)="NOTIFICAÇÃO DE CONSTATAÇÃO","CONST.","ESCLAR."))</f>
        <v>ESCLAR.</v>
      </c>
      <c r="AU33" s="43" t="n"/>
      <c r="AV33" s="43" t="n"/>
      <c r="AW33" s="1" t="n"/>
    </row>
    <row r="34" ht="18" customHeight="1">
      <c r="A34" s="1" t="n"/>
      <c r="B34" s="42" t="str">
        <f>IF(CALC!$BJ$13="","",9)</f>
        <v/>
      </c>
      <c r="C34" s="43" t="n"/>
      <c r="D34" s="44" t="str">
        <f>IF(CALC!$BJ$13="",IF(9=1,"✓ Nenhum prazo pendente",""),INDEX(rEmpresa,CALC!$BJ$13))</f>
        <v/>
      </c>
      <c r="E34" s="43" t="n"/>
      <c r="F34" s="43" t="n"/>
      <c r="G34" s="43" t="n"/>
      <c r="H34" s="43" t="n"/>
      <c r="I34" s="43" t="n"/>
      <c r="J34" s="43" t="n"/>
      <c r="K34" s="43" t="n"/>
      <c r="L34" s="45" t="str">
        <f>IF(CALC!$BJ$13="","",INDEX(rResp,CALC!$BJ$13))</f>
        <v/>
      </c>
      <c r="M34" s="43" t="n"/>
      <c r="N34" s="43" t="n"/>
      <c r="O34" s="43" t="n"/>
      <c r="P34" s="43" t="n"/>
      <c r="Q34" s="43" t="n"/>
      <c r="R34" s="46" t="str">
        <f>IF(CALC!$BJ$13="","",INDEX(rPrazo,CALC!$BJ$13))</f>
        <v/>
      </c>
      <c r="S34" s="43" t="n"/>
      <c r="T34" s="43" t="n"/>
      <c r="U34" s="43" t="n"/>
      <c r="V34" s="47" t="str">
        <f>IF(CALC!$BJ$13="","",INDEX(rDias,CALC!$BJ$13))</f>
        <v/>
      </c>
      <c r="W34" s="43" t="n"/>
      <c r="X34" s="43" t="n"/>
      <c r="Y34" s="1" t="n"/>
      <c r="Z34" s="42">
        <f>IF(CALC!$BK$13="","",9)</f>
        <v>9</v>
      </c>
      <c r="AA34" s="43" t="n"/>
      <c r="AB34" s="44" t="str">
        <f>IF(CALC!$BK$13="",IF(9=1,"Nenhuma fiscalização registrada",""),INDEX(rEmpresa,CALC!$BK$13))</f>
        <v>Churrascaria Central</v>
      </c>
      <c r="AC34" s="43" t="n"/>
      <c r="AD34" s="43" t="n"/>
      <c r="AE34" s="43" t="n"/>
      <c r="AF34" s="43" t="n"/>
      <c r="AG34" s="43" t="n"/>
      <c r="AH34" s="43" t="n"/>
      <c r="AI34" s="43" t="n"/>
      <c r="AJ34" s="45" t="str">
        <f>IF(CALC!$BK$13="","",INDEX(rResp,CALC!$BK$13))</f>
        <v>DIEGO RIBEIRO</v>
      </c>
      <c r="AK34" s="43" t="n"/>
      <c r="AL34" s="43" t="n"/>
      <c r="AM34" s="43" t="n"/>
      <c r="AN34" s="43" t="n"/>
      <c r="AO34" s="43" t="n"/>
      <c r="AP34" s="46">
        <f>IF(CALC!$BK$13="","",INDEX(rDataFisc,CALC!$BK$13))</f>
        <v>46297.0</v>
      </c>
      <c r="AQ34" s="43" t="n"/>
      <c r="AR34" s="43" t="n"/>
      <c r="AS34" s="43" t="n"/>
      <c r="AT34" s="48" t="str">
        <f>IF(CALC!$BK$13="","",IF(INDEX(rNotif,CALC!$BK$13)="NOTIFICAÇÃO DE CONSTATAÇÃO","CONST.","ESCLAR."))</f>
        <v>ESCLAR.</v>
      </c>
      <c r="AU34" s="43" t="n"/>
      <c r="AV34" s="43" t="n"/>
      <c r="AW34" s="1" t="n"/>
    </row>
    <row r="35" ht="18" customHeight="1">
      <c r="A35" s="1" t="n"/>
      <c r="B35" s="49" t="str">
        <f>IF(CALC!$BJ$14="","",10)</f>
        <v/>
      </c>
      <c r="C35" s="43" t="n"/>
      <c r="D35" s="50" t="str">
        <f>IF(CALC!$BJ$14="",IF(10=1,"✓ Nenhum prazo pendente",""),INDEX(rEmpresa,CALC!$BJ$14))</f>
        <v/>
      </c>
      <c r="E35" s="43" t="n"/>
      <c r="F35" s="43" t="n"/>
      <c r="G35" s="43" t="n"/>
      <c r="H35" s="43" t="n"/>
      <c r="I35" s="43" t="n"/>
      <c r="J35" s="43" t="n"/>
      <c r="K35" s="43" t="n"/>
      <c r="L35" s="51" t="str">
        <f>IF(CALC!$BJ$14="","",INDEX(rResp,CALC!$BJ$14))</f>
        <v/>
      </c>
      <c r="M35" s="43" t="n"/>
      <c r="N35" s="43" t="n"/>
      <c r="O35" s="43" t="n"/>
      <c r="P35" s="43" t="n"/>
      <c r="Q35" s="43" t="n"/>
      <c r="R35" s="52" t="str">
        <f>IF(CALC!$BJ$14="","",INDEX(rPrazo,CALC!$BJ$14))</f>
        <v/>
      </c>
      <c r="S35" s="43" t="n"/>
      <c r="T35" s="43" t="n"/>
      <c r="U35" s="43" t="n"/>
      <c r="V35" s="53" t="str">
        <f>IF(CALC!$BJ$14="","",INDEX(rDias,CALC!$BJ$14))</f>
        <v/>
      </c>
      <c r="W35" s="43" t="n"/>
      <c r="X35" s="43" t="n"/>
      <c r="Y35" s="1" t="n"/>
      <c r="Z35" s="49">
        <f>IF(CALC!$BK$14="","",10)</f>
        <v>10</v>
      </c>
      <c r="AA35" s="43" t="n"/>
      <c r="AB35" s="50" t="str">
        <f>IF(CALC!$BK$14="",IF(10=1,"Nenhuma fiscalização registrada",""),INDEX(rEmpresa,CALC!$BK$14))</f>
        <v>Comércio Vida Plena</v>
      </c>
      <c r="AC35" s="43" t="n"/>
      <c r="AD35" s="43" t="n"/>
      <c r="AE35" s="43" t="n"/>
      <c r="AF35" s="43" t="n"/>
      <c r="AG35" s="43" t="n"/>
      <c r="AH35" s="43" t="n"/>
      <c r="AI35" s="43" t="n"/>
      <c r="AJ35" s="51" t="str">
        <f>IF(CALC!$BK$14="","",INDEX(rResp,CALC!$BK$14))</f>
        <v>ANA PAULA SOUZA</v>
      </c>
      <c r="AK35" s="43" t="n"/>
      <c r="AL35" s="43" t="n"/>
      <c r="AM35" s="43" t="n"/>
      <c r="AN35" s="43" t="n"/>
      <c r="AO35" s="43" t="n"/>
      <c r="AP35" s="52">
        <f>IF(CALC!$BK$14="","",INDEX(rDataFisc,CALC!$BK$14))</f>
        <v>46297.0</v>
      </c>
      <c r="AQ35" s="43" t="n"/>
      <c r="AR35" s="43" t="n"/>
      <c r="AS35" s="43" t="n"/>
      <c r="AT35" s="54" t="str">
        <f>IF(CALC!$BK$14="","",IF(INDEX(rNotif,CALC!$BK$14)="NOTIFICAÇÃO DE CONSTATAÇÃO","CONST.","ESCLAR."))</f>
        <v>CONST.</v>
      </c>
      <c r="AU35" s="43" t="n"/>
      <c r="AV35" s="43" t="n"/>
      <c r="AW35" s="1" t="n"/>
    </row>
    <row r="36" ht="12" customHeight="1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 ht="20" customHeight="1">
      <c r="A37" s="1" t="n"/>
      <c r="B37" s="18" t="inlineStr">
        <is>
          <t>CARGA DE TRABALHO POR RESPONSÁVEL (EQUIPE)</t>
        </is>
      </c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" t="n"/>
      <c r="Z37" s="18" t="inlineStr">
        <is>
          <t>DISTRIBUIÇÃO POR RAMO DE ATIVIDADE</t>
        </is>
      </c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19" t="n"/>
      <c r="AS37" s="19" t="n"/>
      <c r="AT37" s="19" t="n"/>
      <c r="AU37" s="19" t="n"/>
      <c r="AV37" s="19" t="n"/>
      <c r="AW37" s="1" t="n"/>
    </row>
    <row r="38" ht="6" customHeight="1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 ht="20" customHeight="1">
      <c r="A39" s="1" t="n"/>
      <c r="B39" s="41" t="inlineStr">
        <is>
          <t>RESPONSÁVEL</t>
        </is>
      </c>
      <c r="I39" s="41" t="inlineStr">
        <is>
          <t>TOTAL</t>
        </is>
      </c>
      <c r="L39" s="41" t="inlineStr">
        <is>
          <t>PRAZO</t>
        </is>
      </c>
      <c r="O39" s="41" t="inlineStr">
        <is>
          <t>DECISÃO</t>
        </is>
      </c>
      <c r="R39" s="41" t="inlineStr">
        <is>
          <t>EM BREVE</t>
        </is>
      </c>
      <c r="U39" s="41" t="inlineStr">
        <is>
          <t>% EQUIPE</t>
        </is>
      </c>
      <c r="Y39" s="1" t="n"/>
      <c r="Z39" s="41" t="inlineStr">
        <is>
          <t>RAMO</t>
        </is>
      </c>
      <c r="AG39" s="41" t="inlineStr">
        <is>
          <t>TOTAL</t>
        </is>
      </c>
      <c r="AJ39" s="41" t="inlineStr">
        <is>
          <t>CONST.</t>
        </is>
      </c>
      <c r="AM39" s="41" t="inlineStr">
        <is>
          <t>ESCLAR.</t>
        </is>
      </c>
      <c r="AP39" s="41" t="inlineStr">
        <is>
          <t>PRAZO</t>
        </is>
      </c>
      <c r="AS39" s="41" t="inlineStr">
        <is>
          <t>% TOTAL</t>
        </is>
      </c>
      <c r="AW39" s="1" t="n"/>
    </row>
    <row r="40" ht="18" customHeight="1">
      <c r="A40" s="1" t="n"/>
      <c r="B40" s="55" t="str">
        <f>CALC!AF6</f>
        <v>DIEGO RIBEIRO</v>
      </c>
      <c r="C40" s="43" t="n"/>
      <c r="D40" s="43" t="n"/>
      <c r="E40" s="43" t="n"/>
      <c r="F40" s="43" t="n"/>
      <c r="G40" s="43" t="n"/>
      <c r="H40" s="43" t="n"/>
      <c r="I40" s="56">
        <f>CALC!AG6</f>
        <v>17</v>
      </c>
      <c r="J40" s="43" t="n"/>
      <c r="K40" s="43" t="n"/>
      <c r="L40" s="57">
        <f>CALC!AH6</f>
        <v>4</v>
      </c>
      <c r="M40" s="43" t="n"/>
      <c r="N40" s="43" t="n"/>
      <c r="O40" s="57">
        <f>CALC!AI6</f>
        <v>13</v>
      </c>
      <c r="P40" s="43" t="n"/>
      <c r="Q40" s="43" t="n"/>
      <c r="R40" s="58">
        <f>CALC!AK6</f>
        <v>0</v>
      </c>
      <c r="S40" s="43" t="n"/>
      <c r="T40" s="43" t="n"/>
      <c r="U40" s="59">
        <f>CALC!AL6</f>
        <v>0.177083333333333</v>
      </c>
      <c r="V40" s="43" t="n"/>
      <c r="W40" s="43" t="n"/>
      <c r="X40" s="43" t="n"/>
      <c r="Y40" s="1" t="n"/>
      <c r="Z40" s="55" t="str">
        <f>CALC!AW6</f>
        <v>RESTAURANTE</v>
      </c>
      <c r="AA40" s="43" t="n"/>
      <c r="AB40" s="43" t="n"/>
      <c r="AC40" s="43" t="n"/>
      <c r="AD40" s="43" t="n"/>
      <c r="AE40" s="43" t="n"/>
      <c r="AF40" s="43" t="n"/>
      <c r="AG40" s="56">
        <f>CALC!AX6</f>
        <v>11</v>
      </c>
      <c r="AH40" s="43" t="n"/>
      <c r="AI40" s="43" t="n"/>
      <c r="AJ40" s="57">
        <f>CALC!AY6</f>
        <v>8</v>
      </c>
      <c r="AK40" s="43" t="n"/>
      <c r="AL40" s="43" t="n"/>
      <c r="AM40" s="57">
        <f>CALC!AZ6</f>
        <v>3</v>
      </c>
      <c r="AN40" s="43" t="n"/>
      <c r="AO40" s="43" t="n"/>
      <c r="AP40" s="57">
        <f>CALC!BA6</f>
        <v>2</v>
      </c>
      <c r="AQ40" s="43" t="n"/>
      <c r="AR40" s="43" t="n"/>
      <c r="AS40" s="59">
        <f>CALC!BB6</f>
        <v>0.114583333333333</v>
      </c>
      <c r="AT40" s="43" t="n"/>
      <c r="AU40" s="43" t="n"/>
      <c r="AV40" s="43" t="n"/>
      <c r="AW40" s="1" t="n"/>
    </row>
    <row r="41" ht="18" customHeight="1">
      <c r="A41" s="1" t="n"/>
      <c r="B41" s="60" t="str">
        <f>CALC!AF7</f>
        <v>CARLA MENDES</v>
      </c>
      <c r="C41" s="43" t="n"/>
      <c r="D41" s="43" t="n"/>
      <c r="E41" s="43" t="n"/>
      <c r="F41" s="43" t="n"/>
      <c r="G41" s="43" t="n"/>
      <c r="H41" s="43" t="n"/>
      <c r="I41" s="61">
        <f>CALC!AG7</f>
        <v>14</v>
      </c>
      <c r="J41" s="43" t="n"/>
      <c r="K41" s="43" t="n"/>
      <c r="L41" s="62">
        <f>CALC!AH7</f>
        <v>2</v>
      </c>
      <c r="M41" s="43" t="n"/>
      <c r="N41" s="43" t="n"/>
      <c r="O41" s="62">
        <f>CALC!AI7</f>
        <v>12</v>
      </c>
      <c r="P41" s="43" t="n"/>
      <c r="Q41" s="43" t="n"/>
      <c r="R41" s="63">
        <f>CALC!AK7</f>
        <v>0</v>
      </c>
      <c r="S41" s="43" t="n"/>
      <c r="T41" s="43" t="n"/>
      <c r="U41" s="64">
        <f>CALC!AL7</f>
        <v>0.145833333333333</v>
      </c>
      <c r="V41" s="43" t="n"/>
      <c r="W41" s="43" t="n"/>
      <c r="X41" s="43" t="n"/>
      <c r="Y41" s="1" t="n"/>
      <c r="Z41" s="60" t="str">
        <f>CALC!AW7</f>
        <v>LOJA</v>
      </c>
      <c r="AA41" s="43" t="n"/>
      <c r="AB41" s="43" t="n"/>
      <c r="AC41" s="43" t="n"/>
      <c r="AD41" s="43" t="n"/>
      <c r="AE41" s="43" t="n"/>
      <c r="AF41" s="43" t="n"/>
      <c r="AG41" s="61">
        <f>CALC!AX7</f>
        <v>10</v>
      </c>
      <c r="AH41" s="43" t="n"/>
      <c r="AI41" s="43" t="n"/>
      <c r="AJ41" s="62">
        <f>CALC!AY7</f>
        <v>6</v>
      </c>
      <c r="AK41" s="43" t="n"/>
      <c r="AL41" s="43" t="n"/>
      <c r="AM41" s="62">
        <f>CALC!AZ7</f>
        <v>4</v>
      </c>
      <c r="AN41" s="43" t="n"/>
      <c r="AO41" s="43" t="n"/>
      <c r="AP41" s="62">
        <f>CALC!BA7</f>
        <v>4</v>
      </c>
      <c r="AQ41" s="43" t="n"/>
      <c r="AR41" s="43" t="n"/>
      <c r="AS41" s="64">
        <f>CALC!BB7</f>
        <v>0.104166666666667</v>
      </c>
      <c r="AT41" s="43" t="n"/>
      <c r="AU41" s="43" t="n"/>
      <c r="AV41" s="43" t="n"/>
      <c r="AW41" s="1" t="n"/>
    </row>
    <row r="42" ht="18" customHeight="1">
      <c r="A42" s="1" t="n"/>
      <c r="B42" s="55" t="str">
        <f>CALC!AF8</f>
        <v>ANA PAULA SOUZA</v>
      </c>
      <c r="C42" s="43" t="n"/>
      <c r="D42" s="43" t="n"/>
      <c r="E42" s="43" t="n"/>
      <c r="F42" s="43" t="n"/>
      <c r="G42" s="43" t="n"/>
      <c r="H42" s="43" t="n"/>
      <c r="I42" s="56">
        <f>CALC!AG8</f>
        <v>12</v>
      </c>
      <c r="J42" s="43" t="n"/>
      <c r="K42" s="43" t="n"/>
      <c r="L42" s="57">
        <f>CALC!AH8</f>
        <v>2</v>
      </c>
      <c r="M42" s="43" t="n"/>
      <c r="N42" s="43" t="n"/>
      <c r="O42" s="57">
        <f>CALC!AI8</f>
        <v>10</v>
      </c>
      <c r="P42" s="43" t="n"/>
      <c r="Q42" s="43" t="n"/>
      <c r="R42" s="58">
        <f>CALC!AK8</f>
        <v>1</v>
      </c>
      <c r="S42" s="43" t="n"/>
      <c r="T42" s="43" t="n"/>
      <c r="U42" s="59">
        <f>CALC!AL8</f>
        <v>0.125</v>
      </c>
      <c r="V42" s="43" t="n"/>
      <c r="W42" s="43" t="n"/>
      <c r="X42" s="43" t="n"/>
      <c r="Y42" s="1" t="n"/>
      <c r="Z42" s="55" t="str">
        <f>CALC!AW8</f>
        <v>POSTO DE COMBUSTÍVEL</v>
      </c>
      <c r="AA42" s="43" t="n"/>
      <c r="AB42" s="43" t="n"/>
      <c r="AC42" s="43" t="n"/>
      <c r="AD42" s="43" t="n"/>
      <c r="AE42" s="43" t="n"/>
      <c r="AF42" s="43" t="n"/>
      <c r="AG42" s="56">
        <f>CALC!AX8</f>
        <v>10</v>
      </c>
      <c r="AH42" s="43" t="n"/>
      <c r="AI42" s="43" t="n"/>
      <c r="AJ42" s="57">
        <f>CALC!AY8</f>
        <v>4</v>
      </c>
      <c r="AK42" s="43" t="n"/>
      <c r="AL42" s="43" t="n"/>
      <c r="AM42" s="57">
        <f>CALC!AZ8</f>
        <v>6</v>
      </c>
      <c r="AN42" s="43" t="n"/>
      <c r="AO42" s="43" t="n"/>
      <c r="AP42" s="57">
        <f>CALC!BA8</f>
        <v>2</v>
      </c>
      <c r="AQ42" s="43" t="n"/>
      <c r="AR42" s="43" t="n"/>
      <c r="AS42" s="59">
        <f>CALC!BB8</f>
        <v>0.104166666666667</v>
      </c>
      <c r="AT42" s="43" t="n"/>
      <c r="AU42" s="43" t="n"/>
      <c r="AV42" s="43" t="n"/>
      <c r="AW42" s="1" t="n"/>
    </row>
    <row r="43" ht="18" customHeight="1">
      <c r="A43" s="1" t="n"/>
      <c r="B43" s="60" t="str">
        <f>CALC!AF9</f>
        <v>BRUNO CARVALHO</v>
      </c>
      <c r="C43" s="43" t="n"/>
      <c r="D43" s="43" t="n"/>
      <c r="E43" s="43" t="n"/>
      <c r="F43" s="43" t="n"/>
      <c r="G43" s="43" t="n"/>
      <c r="H43" s="43" t="n"/>
      <c r="I43" s="61">
        <f>CALC!AG9</f>
        <v>12</v>
      </c>
      <c r="J43" s="43" t="n"/>
      <c r="K43" s="43" t="n"/>
      <c r="L43" s="62">
        <f>CALC!AH9</f>
        <v>4</v>
      </c>
      <c r="M43" s="43" t="n"/>
      <c r="N43" s="43" t="n"/>
      <c r="O43" s="62">
        <f>CALC!AI9</f>
        <v>8</v>
      </c>
      <c r="P43" s="43" t="n"/>
      <c r="Q43" s="43" t="n"/>
      <c r="R43" s="63">
        <f>CALC!AK9</f>
        <v>0</v>
      </c>
      <c r="S43" s="43" t="n"/>
      <c r="T43" s="43" t="n"/>
      <c r="U43" s="64">
        <f>CALC!AL9</f>
        <v>0.125</v>
      </c>
      <c r="V43" s="43" t="n"/>
      <c r="W43" s="43" t="n"/>
      <c r="X43" s="43" t="n"/>
      <c r="Y43" s="1" t="n"/>
      <c r="Z43" s="60" t="str">
        <f>CALC!AW9</f>
        <v>ACADEMIA</v>
      </c>
      <c r="AA43" s="43" t="n"/>
      <c r="AB43" s="43" t="n"/>
      <c r="AC43" s="43" t="n"/>
      <c r="AD43" s="43" t="n"/>
      <c r="AE43" s="43" t="n"/>
      <c r="AF43" s="43" t="n"/>
      <c r="AG43" s="61">
        <f>CALC!AX9</f>
        <v>10</v>
      </c>
      <c r="AH43" s="43" t="n"/>
      <c r="AI43" s="43" t="n"/>
      <c r="AJ43" s="62">
        <f>CALC!AY9</f>
        <v>3</v>
      </c>
      <c r="AK43" s="43" t="n"/>
      <c r="AL43" s="43" t="n"/>
      <c r="AM43" s="62">
        <f>CALC!AZ9</f>
        <v>7</v>
      </c>
      <c r="AN43" s="43" t="n"/>
      <c r="AO43" s="43" t="n"/>
      <c r="AP43" s="62">
        <f>CALC!BA9</f>
        <v>2</v>
      </c>
      <c r="AQ43" s="43" t="n"/>
      <c r="AR43" s="43" t="n"/>
      <c r="AS43" s="64">
        <f>CALC!BB9</f>
        <v>0.104166666666667</v>
      </c>
      <c r="AT43" s="43" t="n"/>
      <c r="AU43" s="43" t="n"/>
      <c r="AV43" s="43" t="n"/>
      <c r="AW43" s="1" t="n"/>
    </row>
    <row r="44" ht="18" customHeight="1">
      <c r="A44" s="1" t="n"/>
      <c r="B44" s="55" t="str">
        <f>CALC!AF10</f>
        <v>EDUARDA LIMA</v>
      </c>
      <c r="C44" s="43" t="n"/>
      <c r="D44" s="43" t="n"/>
      <c r="E44" s="43" t="n"/>
      <c r="F44" s="43" t="n"/>
      <c r="G44" s="43" t="n"/>
      <c r="H44" s="43" t="n"/>
      <c r="I44" s="56">
        <f>CALC!AG10</f>
        <v>11</v>
      </c>
      <c r="J44" s="43" t="n"/>
      <c r="K44" s="43" t="n"/>
      <c r="L44" s="57">
        <f>CALC!AH10</f>
        <v>2</v>
      </c>
      <c r="M44" s="43" t="n"/>
      <c r="N44" s="43" t="n"/>
      <c r="O44" s="57">
        <f>CALC!AI10</f>
        <v>9</v>
      </c>
      <c r="P44" s="43" t="n"/>
      <c r="Q44" s="43" t="n"/>
      <c r="R44" s="58">
        <f>CALC!AK10</f>
        <v>1</v>
      </c>
      <c r="S44" s="43" t="n"/>
      <c r="T44" s="43" t="n"/>
      <c r="U44" s="59">
        <f>CALC!AL10</f>
        <v>0.114583333333333</v>
      </c>
      <c r="V44" s="43" t="n"/>
      <c r="W44" s="43" t="n"/>
      <c r="X44" s="43" t="n"/>
      <c r="Y44" s="1" t="n"/>
      <c r="Z44" s="55" t="str">
        <f>CALC!AW10</f>
        <v>TELEFONIA</v>
      </c>
      <c r="AA44" s="43" t="n"/>
      <c r="AB44" s="43" t="n"/>
      <c r="AC44" s="43" t="n"/>
      <c r="AD44" s="43" t="n"/>
      <c r="AE44" s="43" t="n"/>
      <c r="AF44" s="43" t="n"/>
      <c r="AG44" s="56">
        <f>CALC!AX10</f>
        <v>10</v>
      </c>
      <c r="AH44" s="43" t="n"/>
      <c r="AI44" s="43" t="n"/>
      <c r="AJ44" s="57">
        <f>CALC!AY10</f>
        <v>8</v>
      </c>
      <c r="AK44" s="43" t="n"/>
      <c r="AL44" s="43" t="n"/>
      <c r="AM44" s="57">
        <f>CALC!AZ10</f>
        <v>2</v>
      </c>
      <c r="AN44" s="43" t="n"/>
      <c r="AO44" s="43" t="n"/>
      <c r="AP44" s="57">
        <f>CALC!BA10</f>
        <v>2</v>
      </c>
      <c r="AQ44" s="43" t="n"/>
      <c r="AR44" s="43" t="n"/>
      <c r="AS44" s="59">
        <f>CALC!BB10</f>
        <v>0.104166666666667</v>
      </c>
      <c r="AT44" s="43" t="n"/>
      <c r="AU44" s="43" t="n"/>
      <c r="AV44" s="43" t="n"/>
      <c r="AW44" s="1" t="n"/>
    </row>
    <row r="45" ht="18" customHeight="1">
      <c r="A45" s="1" t="n"/>
      <c r="B45" s="60" t="str">
        <f>CALC!AF11</f>
        <v>FELIPE ARAÚJO</v>
      </c>
      <c r="C45" s="43" t="n"/>
      <c r="D45" s="43" t="n"/>
      <c r="E45" s="43" t="n"/>
      <c r="F45" s="43" t="n"/>
      <c r="G45" s="43" t="n"/>
      <c r="H45" s="43" t="n"/>
      <c r="I45" s="61">
        <f>CALC!AG11</f>
        <v>11</v>
      </c>
      <c r="J45" s="43" t="n"/>
      <c r="K45" s="43" t="n"/>
      <c r="L45" s="62">
        <f>CALC!AH11</f>
        <v>4</v>
      </c>
      <c r="M45" s="43" t="n"/>
      <c r="N45" s="43" t="n"/>
      <c r="O45" s="62">
        <f>CALC!AI11</f>
        <v>7</v>
      </c>
      <c r="P45" s="43" t="n"/>
      <c r="Q45" s="43" t="n"/>
      <c r="R45" s="63">
        <f>CALC!AK11</f>
        <v>1</v>
      </c>
      <c r="S45" s="43" t="n"/>
      <c r="T45" s="43" t="n"/>
      <c r="U45" s="64">
        <f>CALC!AL11</f>
        <v>0.114583333333333</v>
      </c>
      <c r="V45" s="43" t="n"/>
      <c r="W45" s="43" t="n"/>
      <c r="X45" s="43" t="n"/>
      <c r="Y45" s="1" t="n"/>
      <c r="Z45" s="60" t="str">
        <f>CALC!AW11</f>
        <v>OUTROS</v>
      </c>
      <c r="AA45" s="43" t="n"/>
      <c r="AB45" s="43" t="n"/>
      <c r="AC45" s="43" t="n"/>
      <c r="AD45" s="43" t="n"/>
      <c r="AE45" s="43" t="n"/>
      <c r="AF45" s="43" t="n"/>
      <c r="AG45" s="61">
        <f>CALC!AX11</f>
        <v>9</v>
      </c>
      <c r="AH45" s="43" t="n"/>
      <c r="AI45" s="43" t="n"/>
      <c r="AJ45" s="62">
        <f>CALC!AY11</f>
        <v>6</v>
      </c>
      <c r="AK45" s="43" t="n"/>
      <c r="AL45" s="43" t="n"/>
      <c r="AM45" s="62">
        <f>CALC!AZ11</f>
        <v>3</v>
      </c>
      <c r="AN45" s="43" t="n"/>
      <c r="AO45" s="43" t="n"/>
      <c r="AP45" s="62">
        <f>CALC!BA11</f>
        <v>3</v>
      </c>
      <c r="AQ45" s="43" t="n"/>
      <c r="AR45" s="43" t="n"/>
      <c r="AS45" s="64">
        <f>CALC!BB11</f>
        <v>0.09375</v>
      </c>
      <c r="AT45" s="43" t="n"/>
      <c r="AU45" s="43" t="n"/>
      <c r="AV45" s="43" t="n"/>
      <c r="AW45" s="1" t="n"/>
    </row>
    <row r="46" ht="18" customHeight="1">
      <c r="A46" s="1" t="n"/>
      <c r="B46" s="55" t="str">
        <f>CALC!AF12</f>
        <v>GABRIELA NUNES</v>
      </c>
      <c r="C46" s="43" t="n"/>
      <c r="D46" s="43" t="n"/>
      <c r="E46" s="43" t="n"/>
      <c r="F46" s="43" t="n"/>
      <c r="G46" s="43" t="n"/>
      <c r="H46" s="43" t="n"/>
      <c r="I46" s="56">
        <f>CALC!AG12</f>
        <v>10</v>
      </c>
      <c r="J46" s="43" t="n"/>
      <c r="K46" s="43" t="n"/>
      <c r="L46" s="57">
        <f>CALC!AH12</f>
        <v>3</v>
      </c>
      <c r="M46" s="43" t="n"/>
      <c r="N46" s="43" t="n"/>
      <c r="O46" s="57">
        <f>CALC!AI12</f>
        <v>7</v>
      </c>
      <c r="P46" s="43" t="n"/>
      <c r="Q46" s="43" t="n"/>
      <c r="R46" s="58">
        <f>CALC!AK12</f>
        <v>0</v>
      </c>
      <c r="S46" s="43" t="n"/>
      <c r="T46" s="43" t="n"/>
      <c r="U46" s="59">
        <f>CALC!AL12</f>
        <v>0.104166666666667</v>
      </c>
      <c r="V46" s="43" t="n"/>
      <c r="W46" s="43" t="n"/>
      <c r="X46" s="43" t="n"/>
      <c r="Y46" s="1" t="n"/>
      <c r="Z46" s="55" t="str">
        <f>CALC!AW12</f>
        <v>CONCESSIONÁRIA</v>
      </c>
      <c r="AA46" s="43" t="n"/>
      <c r="AB46" s="43" t="n"/>
      <c r="AC46" s="43" t="n"/>
      <c r="AD46" s="43" t="n"/>
      <c r="AE46" s="43" t="n"/>
      <c r="AF46" s="43" t="n"/>
      <c r="AG46" s="56">
        <f>CALC!AX12</f>
        <v>7</v>
      </c>
      <c r="AH46" s="43" t="n"/>
      <c r="AI46" s="43" t="n"/>
      <c r="AJ46" s="57">
        <f>CALC!AY12</f>
        <v>5</v>
      </c>
      <c r="AK46" s="43" t="n"/>
      <c r="AL46" s="43" t="n"/>
      <c r="AM46" s="57">
        <f>CALC!AZ12</f>
        <v>2</v>
      </c>
      <c r="AN46" s="43" t="n"/>
      <c r="AO46" s="43" t="n"/>
      <c r="AP46" s="57">
        <f>CALC!BA12</f>
        <v>2</v>
      </c>
      <c r="AQ46" s="43" t="n"/>
      <c r="AR46" s="43" t="n"/>
      <c r="AS46" s="59">
        <f>CALC!BB12</f>
        <v>0.0729166666666667</v>
      </c>
      <c r="AT46" s="43" t="n"/>
      <c r="AU46" s="43" t="n"/>
      <c r="AV46" s="43" t="n"/>
      <c r="AW46" s="1" t="n"/>
    </row>
    <row r="47" ht="18" customHeight="1">
      <c r="A47" s="1" t="n"/>
      <c r="B47" s="60" t="str">
        <f>CALC!AF13</f>
        <v>HENRIQUE COSTA</v>
      </c>
      <c r="C47" s="43" t="n"/>
      <c r="D47" s="43" t="n"/>
      <c r="E47" s="43" t="n"/>
      <c r="F47" s="43" t="n"/>
      <c r="G47" s="43" t="n"/>
      <c r="H47" s="43" t="n"/>
      <c r="I47" s="61">
        <f>CALC!AG13</f>
        <v>9</v>
      </c>
      <c r="J47" s="43" t="n"/>
      <c r="K47" s="43" t="n"/>
      <c r="L47" s="62">
        <f>CALC!AH13</f>
        <v>3</v>
      </c>
      <c r="M47" s="43" t="n"/>
      <c r="N47" s="43" t="n"/>
      <c r="O47" s="62">
        <f>CALC!AI13</f>
        <v>6</v>
      </c>
      <c r="P47" s="43" t="n"/>
      <c r="Q47" s="43" t="n"/>
      <c r="R47" s="63">
        <f>CALC!AK13</f>
        <v>0</v>
      </c>
      <c r="S47" s="43" t="n"/>
      <c r="T47" s="43" t="n"/>
      <c r="U47" s="64">
        <f>CALC!AL13</f>
        <v>0.09375</v>
      </c>
      <c r="V47" s="43" t="n"/>
      <c r="W47" s="43" t="n"/>
      <c r="X47" s="43" t="n"/>
      <c r="Y47" s="1" t="n"/>
      <c r="Z47" s="60" t="str">
        <f>CALC!AW13</f>
        <v>SAÚDE</v>
      </c>
      <c r="AA47" s="43" t="n"/>
      <c r="AB47" s="43" t="n"/>
      <c r="AC47" s="43" t="n"/>
      <c r="AD47" s="43" t="n"/>
      <c r="AE47" s="43" t="n"/>
      <c r="AF47" s="43" t="n"/>
      <c r="AG47" s="61">
        <f>CALC!AX13</f>
        <v>6</v>
      </c>
      <c r="AH47" s="43" t="n"/>
      <c r="AI47" s="43" t="n"/>
      <c r="AJ47" s="62">
        <f>CALC!AY13</f>
        <v>3</v>
      </c>
      <c r="AK47" s="43" t="n"/>
      <c r="AL47" s="43" t="n"/>
      <c r="AM47" s="62">
        <f>CALC!AZ13</f>
        <v>3</v>
      </c>
      <c r="AN47" s="43" t="n"/>
      <c r="AO47" s="43" t="n"/>
      <c r="AP47" s="62">
        <f>CALC!BA13</f>
        <v>3</v>
      </c>
      <c r="AQ47" s="43" t="n"/>
      <c r="AR47" s="43" t="n"/>
      <c r="AS47" s="64">
        <f>CALC!BB13</f>
        <v>0.0625</v>
      </c>
      <c r="AT47" s="43" t="n"/>
      <c r="AU47" s="43" t="n"/>
      <c r="AV47" s="43" t="n"/>
      <c r="AW47" s="1" t="n"/>
    </row>
    <row r="48" ht="18" customHeight="1">
      <c r="A48" s="1" t="n"/>
      <c r="B48" s="55" t="str">
        <f>CALC!AF14</f>
        <v/>
      </c>
      <c r="C48" s="43" t="n"/>
      <c r="D48" s="43" t="n"/>
      <c r="E48" s="43" t="n"/>
      <c r="F48" s="43" t="n"/>
      <c r="G48" s="43" t="n"/>
      <c r="H48" s="43" t="n"/>
      <c r="I48" s="56" t="str">
        <f>CALC!AG14</f>
        <v/>
      </c>
      <c r="J48" s="43" t="n"/>
      <c r="K48" s="43" t="n"/>
      <c r="L48" s="57" t="str">
        <f>CALC!AH14</f>
        <v/>
      </c>
      <c r="M48" s="43" t="n"/>
      <c r="N48" s="43" t="n"/>
      <c r="O48" s="57" t="str">
        <f>CALC!AI14</f>
        <v/>
      </c>
      <c r="P48" s="43" t="n"/>
      <c r="Q48" s="43" t="n"/>
      <c r="R48" s="58" t="str">
        <f>CALC!AK14</f>
        <v/>
      </c>
      <c r="S48" s="43" t="n"/>
      <c r="T48" s="43" t="n"/>
      <c r="U48" s="59" t="str">
        <f>CALC!AL14</f>
        <v/>
      </c>
      <c r="V48" s="43" t="n"/>
      <c r="W48" s="43" t="n"/>
      <c r="X48" s="43" t="n"/>
      <c r="Y48" s="1" t="n"/>
      <c r="Z48" s="55" t="str">
        <f>CALC!AW14</f>
        <v>SUPERMERCADO</v>
      </c>
      <c r="AA48" s="43" t="n"/>
      <c r="AB48" s="43" t="n"/>
      <c r="AC48" s="43" t="n"/>
      <c r="AD48" s="43" t="n"/>
      <c r="AE48" s="43" t="n"/>
      <c r="AF48" s="43" t="n"/>
      <c r="AG48" s="56">
        <f>CALC!AX14</f>
        <v>6</v>
      </c>
      <c r="AH48" s="43" t="n"/>
      <c r="AI48" s="43" t="n"/>
      <c r="AJ48" s="57">
        <f>CALC!AY14</f>
        <v>6</v>
      </c>
      <c r="AK48" s="43" t="n"/>
      <c r="AL48" s="43" t="n"/>
      <c r="AM48" s="57">
        <f>CALC!AZ14</f>
        <v>0</v>
      </c>
      <c r="AN48" s="43" t="n"/>
      <c r="AO48" s="43" t="n"/>
      <c r="AP48" s="57">
        <f>CALC!BA14</f>
        <v>0</v>
      </c>
      <c r="AQ48" s="43" t="n"/>
      <c r="AR48" s="43" t="n"/>
      <c r="AS48" s="59">
        <f>CALC!BB14</f>
        <v>0.0625</v>
      </c>
      <c r="AT48" s="43" t="n"/>
      <c r="AU48" s="43" t="n"/>
      <c r="AV48" s="43" t="n"/>
      <c r="AW48" s="1" t="n"/>
    </row>
    <row r="49" ht="18" customHeight="1">
      <c r="A49" s="1" t="n"/>
      <c r="B49" s="60" t="str">
        <f>CALC!AF15</f>
        <v/>
      </c>
      <c r="C49" s="43" t="n"/>
      <c r="D49" s="43" t="n"/>
      <c r="E49" s="43" t="n"/>
      <c r="F49" s="43" t="n"/>
      <c r="G49" s="43" t="n"/>
      <c r="H49" s="43" t="n"/>
      <c r="I49" s="61" t="str">
        <f>CALC!AG15</f>
        <v/>
      </c>
      <c r="J49" s="43" t="n"/>
      <c r="K49" s="43" t="n"/>
      <c r="L49" s="62" t="str">
        <f>CALC!AH15</f>
        <v/>
      </c>
      <c r="M49" s="43" t="n"/>
      <c r="N49" s="43" t="n"/>
      <c r="O49" s="62" t="str">
        <f>CALC!AI15</f>
        <v/>
      </c>
      <c r="P49" s="43" t="n"/>
      <c r="Q49" s="43" t="n"/>
      <c r="R49" s="63" t="str">
        <f>CALC!AK15</f>
        <v/>
      </c>
      <c r="S49" s="43" t="n"/>
      <c r="T49" s="43" t="n"/>
      <c r="U49" s="64" t="str">
        <f>CALC!AL15</f>
        <v/>
      </c>
      <c r="V49" s="43" t="n"/>
      <c r="W49" s="43" t="n"/>
      <c r="X49" s="43" t="n"/>
      <c r="Y49" s="1" t="n"/>
      <c r="Z49" s="60" t="str">
        <f>CALC!AW15</f>
        <v>FARMÁCIA</v>
      </c>
      <c r="AA49" s="43" t="n"/>
      <c r="AB49" s="43" t="n"/>
      <c r="AC49" s="43" t="n"/>
      <c r="AD49" s="43" t="n"/>
      <c r="AE49" s="43" t="n"/>
      <c r="AF49" s="43" t="n"/>
      <c r="AG49" s="61">
        <f>CALC!AX15</f>
        <v>6</v>
      </c>
      <c r="AH49" s="43" t="n"/>
      <c r="AI49" s="43" t="n"/>
      <c r="AJ49" s="62">
        <f>CALC!AY15</f>
        <v>1</v>
      </c>
      <c r="AK49" s="43" t="n"/>
      <c r="AL49" s="43" t="n"/>
      <c r="AM49" s="62">
        <f>CALC!AZ15</f>
        <v>5</v>
      </c>
      <c r="AN49" s="43" t="n"/>
      <c r="AO49" s="43" t="n"/>
      <c r="AP49" s="62">
        <f>CALC!BA15</f>
        <v>2</v>
      </c>
      <c r="AQ49" s="43" t="n"/>
      <c r="AR49" s="43" t="n"/>
      <c r="AS49" s="64">
        <f>CALC!BB15</f>
        <v>0.0625</v>
      </c>
      <c r="AT49" s="43" t="n"/>
      <c r="AU49" s="43" t="n"/>
      <c r="AV49" s="43" t="n"/>
      <c r="AW49" s="1" t="n"/>
    </row>
    <row r="50" ht="12" customHeight="1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 ht="20" customHeight="1">
      <c r="A51" s="1" t="n"/>
      <c r="B51" s="18" t="str">
        <f>"EVOLUÇÃO MENSAL — ANO "&amp;FiltroAno</f>
        <v>EVOLUÇÃO MENSAL — ANO 2026</v>
      </c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19" t="n"/>
      <c r="AS51" s="19" t="n"/>
      <c r="AT51" s="19" t="n"/>
      <c r="AU51" s="19" t="n"/>
      <c r="AV51" s="19" t="n"/>
      <c r="AW51" s="1" t="n"/>
    </row>
    <row r="52" ht="6" customHeight="1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 ht="20" customHeight="1">
      <c r="A53" s="1" t="n"/>
      <c r="B53" s="41" t="inlineStr">
        <is>
          <t>INDICADOR</t>
        </is>
      </c>
      <c r="J53" s="41" t="inlineStr">
        <is>
          <t>JAN</t>
        </is>
      </c>
      <c r="M53" s="41" t="inlineStr">
        <is>
          <t>FEV</t>
        </is>
      </c>
      <c r="P53" s="41" t="inlineStr">
        <is>
          <t>MAR</t>
        </is>
      </c>
      <c r="S53" s="41" t="inlineStr">
        <is>
          <t>ABR</t>
        </is>
      </c>
      <c r="V53" s="41" t="inlineStr">
        <is>
          <t>MAI</t>
        </is>
      </c>
      <c r="Y53" s="41" t="inlineStr">
        <is>
          <t>JUN</t>
        </is>
      </c>
      <c r="AB53" s="41" t="inlineStr">
        <is>
          <t>JUL</t>
        </is>
      </c>
      <c r="AE53" s="41" t="inlineStr">
        <is>
          <t>AGO</t>
        </is>
      </c>
      <c r="AH53" s="41" t="inlineStr">
        <is>
          <t>SET</t>
        </is>
      </c>
      <c r="AK53" s="41" t="inlineStr">
        <is>
          <t>OUT</t>
        </is>
      </c>
      <c r="AN53" s="41" t="inlineStr">
        <is>
          <t>NOV</t>
        </is>
      </c>
      <c r="AQ53" s="41" t="inlineStr">
        <is>
          <t>DEZ</t>
        </is>
      </c>
      <c r="AT53" s="65" t="inlineStr">
        <is>
          <t>ANO</t>
        </is>
      </c>
      <c r="AW53" s="1" t="n"/>
    </row>
    <row r="54" ht="18" customHeight="1">
      <c r="A54" s="1" t="n"/>
      <c r="B54" s="55" t="inlineStr">
        <is>
          <t>Fiscalizações</t>
        </is>
      </c>
      <c r="C54" s="43" t="n"/>
      <c r="D54" s="43" t="n"/>
      <c r="E54" s="43" t="n"/>
      <c r="F54" s="43" t="n"/>
      <c r="G54" s="43" t="n"/>
      <c r="H54" s="43" t="n"/>
      <c r="I54" s="43" t="n"/>
      <c r="J54" s="56">
        <f>CALC!N6</f>
        <v>0</v>
      </c>
      <c r="K54" s="43" t="n"/>
      <c r="L54" s="43" t="n"/>
      <c r="M54" s="56">
        <f>CALC!N7</f>
        <v>0</v>
      </c>
      <c r="N54" s="43" t="n"/>
      <c r="O54" s="43" t="n"/>
      <c r="P54" s="56">
        <f>CALC!N8</f>
        <v>7</v>
      </c>
      <c r="Q54" s="43" t="n"/>
      <c r="R54" s="43" t="n"/>
      <c r="S54" s="56">
        <f>CALC!N9</f>
        <v>9</v>
      </c>
      <c r="T54" s="43" t="n"/>
      <c r="U54" s="43" t="n"/>
      <c r="V54" s="56">
        <f>CALC!N10</f>
        <v>15</v>
      </c>
      <c r="W54" s="43" t="n"/>
      <c r="X54" s="43" t="n"/>
      <c r="Y54" s="56">
        <f>CALC!N11</f>
        <v>9</v>
      </c>
      <c r="Z54" s="43" t="n"/>
      <c r="AA54" s="43" t="n"/>
      <c r="AB54" s="56">
        <f>CALC!N12</f>
        <v>11</v>
      </c>
      <c r="AC54" s="43" t="n"/>
      <c r="AD54" s="43" t="n"/>
      <c r="AE54" s="56">
        <f>CALC!N13</f>
        <v>13</v>
      </c>
      <c r="AF54" s="43" t="n"/>
      <c r="AG54" s="43" t="n"/>
      <c r="AH54" s="56">
        <f>CALC!N14</f>
        <v>21</v>
      </c>
      <c r="AI54" s="43" t="n"/>
      <c r="AJ54" s="43" t="n"/>
      <c r="AK54" s="56">
        <f>CALC!N15</f>
        <v>11</v>
      </c>
      <c r="AL54" s="43" t="n"/>
      <c r="AM54" s="43" t="n"/>
      <c r="AN54" s="56">
        <f>CALC!N16</f>
        <v>0</v>
      </c>
      <c r="AO54" s="43" t="n"/>
      <c r="AP54" s="43" t="n"/>
      <c r="AQ54" s="56">
        <f>CALC!N17</f>
        <v>0</v>
      </c>
      <c r="AR54" s="43" t="n"/>
      <c r="AS54" s="43" t="n"/>
      <c r="AT54" s="66">
        <f>SUM(CALC!N6:N17)</f>
        <v>96</v>
      </c>
      <c r="AU54" s="43" t="n"/>
      <c r="AV54" s="43" t="n"/>
      <c r="AW54" s="1" t="n"/>
    </row>
    <row r="55" ht="18" customHeight="1">
      <c r="A55" s="1" t="n"/>
      <c r="B55" s="67" t="inlineStr">
        <is>
          <t>Notif. Constatação</t>
        </is>
      </c>
      <c r="C55" s="43" t="n"/>
      <c r="D55" s="43" t="n"/>
      <c r="E55" s="43" t="n"/>
      <c r="F55" s="43" t="n"/>
      <c r="G55" s="43" t="n"/>
      <c r="H55" s="43" t="n"/>
      <c r="I55" s="43" t="n"/>
      <c r="J55" s="62">
        <f>CALC!O6</f>
        <v>0</v>
      </c>
      <c r="K55" s="43" t="n"/>
      <c r="L55" s="43" t="n"/>
      <c r="M55" s="62">
        <f>CALC!O7</f>
        <v>0</v>
      </c>
      <c r="N55" s="43" t="n"/>
      <c r="O55" s="43" t="n"/>
      <c r="P55" s="62">
        <f>CALC!O8</f>
        <v>4</v>
      </c>
      <c r="Q55" s="43" t="n"/>
      <c r="R55" s="43" t="n"/>
      <c r="S55" s="62">
        <f>CALC!O9</f>
        <v>6</v>
      </c>
      <c r="T55" s="43" t="n"/>
      <c r="U55" s="43" t="n"/>
      <c r="V55" s="62">
        <f>CALC!O10</f>
        <v>8</v>
      </c>
      <c r="W55" s="43" t="n"/>
      <c r="X55" s="43" t="n"/>
      <c r="Y55" s="62">
        <f>CALC!O11</f>
        <v>5</v>
      </c>
      <c r="Z55" s="43" t="n"/>
      <c r="AA55" s="43" t="n"/>
      <c r="AB55" s="62">
        <f>CALC!O12</f>
        <v>6</v>
      </c>
      <c r="AC55" s="43" t="n"/>
      <c r="AD55" s="43" t="n"/>
      <c r="AE55" s="62">
        <f>CALC!O13</f>
        <v>8</v>
      </c>
      <c r="AF55" s="43" t="n"/>
      <c r="AG55" s="43" t="n"/>
      <c r="AH55" s="62">
        <f>CALC!O14</f>
        <v>15</v>
      </c>
      <c r="AI55" s="43" t="n"/>
      <c r="AJ55" s="43" t="n"/>
      <c r="AK55" s="62">
        <f>CALC!O15</f>
        <v>4</v>
      </c>
      <c r="AL55" s="43" t="n"/>
      <c r="AM55" s="43" t="n"/>
      <c r="AN55" s="62">
        <f>CALC!O16</f>
        <v>0</v>
      </c>
      <c r="AO55" s="43" t="n"/>
      <c r="AP55" s="43" t="n"/>
      <c r="AQ55" s="62">
        <f>CALC!O17</f>
        <v>0</v>
      </c>
      <c r="AR55" s="43" t="n"/>
      <c r="AS55" s="43" t="n"/>
      <c r="AT55" s="66">
        <f>SUM(CALC!O6:O17)</f>
        <v>56</v>
      </c>
      <c r="AU55" s="43" t="n"/>
      <c r="AV55" s="43" t="n"/>
      <c r="AW55" s="1" t="n"/>
    </row>
    <row r="56" ht="18" customHeight="1">
      <c r="A56" s="1" t="n"/>
      <c r="B56" s="68" t="inlineStr">
        <is>
          <t>Notif. Esclarecimento</t>
        </is>
      </c>
      <c r="C56" s="43" t="n"/>
      <c r="D56" s="43" t="n"/>
      <c r="E56" s="43" t="n"/>
      <c r="F56" s="43" t="n"/>
      <c r="G56" s="43" t="n"/>
      <c r="H56" s="43" t="n"/>
      <c r="I56" s="43" t="n"/>
      <c r="J56" s="57">
        <f>CALC!P6</f>
        <v>0</v>
      </c>
      <c r="K56" s="43" t="n"/>
      <c r="L56" s="43" t="n"/>
      <c r="M56" s="57">
        <f>CALC!P7</f>
        <v>0</v>
      </c>
      <c r="N56" s="43" t="n"/>
      <c r="O56" s="43" t="n"/>
      <c r="P56" s="57">
        <f>CALC!P8</f>
        <v>3</v>
      </c>
      <c r="Q56" s="43" t="n"/>
      <c r="R56" s="43" t="n"/>
      <c r="S56" s="57">
        <f>CALC!P9</f>
        <v>3</v>
      </c>
      <c r="T56" s="43" t="n"/>
      <c r="U56" s="43" t="n"/>
      <c r="V56" s="57">
        <f>CALC!P10</f>
        <v>7</v>
      </c>
      <c r="W56" s="43" t="n"/>
      <c r="X56" s="43" t="n"/>
      <c r="Y56" s="57">
        <f>CALC!P11</f>
        <v>4</v>
      </c>
      <c r="Z56" s="43" t="n"/>
      <c r="AA56" s="43" t="n"/>
      <c r="AB56" s="57">
        <f>CALC!P12</f>
        <v>5</v>
      </c>
      <c r="AC56" s="43" t="n"/>
      <c r="AD56" s="43" t="n"/>
      <c r="AE56" s="57">
        <f>CALC!P13</f>
        <v>5</v>
      </c>
      <c r="AF56" s="43" t="n"/>
      <c r="AG56" s="43" t="n"/>
      <c r="AH56" s="57">
        <f>CALC!P14</f>
        <v>6</v>
      </c>
      <c r="AI56" s="43" t="n"/>
      <c r="AJ56" s="43" t="n"/>
      <c r="AK56" s="57">
        <f>CALC!P15</f>
        <v>7</v>
      </c>
      <c r="AL56" s="43" t="n"/>
      <c r="AM56" s="43" t="n"/>
      <c r="AN56" s="57">
        <f>CALC!P16</f>
        <v>0</v>
      </c>
      <c r="AO56" s="43" t="n"/>
      <c r="AP56" s="43" t="n"/>
      <c r="AQ56" s="57">
        <f>CALC!P17</f>
        <v>0</v>
      </c>
      <c r="AR56" s="43" t="n"/>
      <c r="AS56" s="43" t="n"/>
      <c r="AT56" s="66">
        <f>SUM(CALC!P6:P17)</f>
        <v>40</v>
      </c>
      <c r="AU56" s="43" t="n"/>
      <c r="AV56" s="43" t="n"/>
      <c r="AW56" s="1" t="n"/>
    </row>
    <row r="57" ht="18" customHeight="1">
      <c r="A57" s="1" t="n"/>
      <c r="B57" s="67" t="inlineStr">
        <is>
          <t>Presenciais</t>
        </is>
      </c>
      <c r="C57" s="43" t="n"/>
      <c r="D57" s="43" t="n"/>
      <c r="E57" s="43" t="n"/>
      <c r="F57" s="43" t="n"/>
      <c r="G57" s="43" t="n"/>
      <c r="H57" s="43" t="n"/>
      <c r="I57" s="43" t="n"/>
      <c r="J57" s="62">
        <f>CALC!Q6</f>
        <v>0</v>
      </c>
      <c r="K57" s="43" t="n"/>
      <c r="L57" s="43" t="n"/>
      <c r="M57" s="62">
        <f>CALC!Q7</f>
        <v>0</v>
      </c>
      <c r="N57" s="43" t="n"/>
      <c r="O57" s="43" t="n"/>
      <c r="P57" s="62">
        <f>CALC!Q8</f>
        <v>5</v>
      </c>
      <c r="Q57" s="43" t="n"/>
      <c r="R57" s="43" t="n"/>
      <c r="S57" s="62">
        <f>CALC!Q9</f>
        <v>6</v>
      </c>
      <c r="T57" s="43" t="n"/>
      <c r="U57" s="43" t="n"/>
      <c r="V57" s="62">
        <f>CALC!Q10</f>
        <v>10</v>
      </c>
      <c r="W57" s="43" t="n"/>
      <c r="X57" s="43" t="n"/>
      <c r="Y57" s="62">
        <f>CALC!Q11</f>
        <v>6</v>
      </c>
      <c r="Z57" s="43" t="n"/>
      <c r="AA57" s="43" t="n"/>
      <c r="AB57" s="62">
        <f>CALC!Q12</f>
        <v>9</v>
      </c>
      <c r="AC57" s="43" t="n"/>
      <c r="AD57" s="43" t="n"/>
      <c r="AE57" s="62">
        <f>CALC!Q13</f>
        <v>7</v>
      </c>
      <c r="AF57" s="43" t="n"/>
      <c r="AG57" s="43" t="n"/>
      <c r="AH57" s="62">
        <f>CALC!Q14</f>
        <v>14</v>
      </c>
      <c r="AI57" s="43" t="n"/>
      <c r="AJ57" s="43" t="n"/>
      <c r="AK57" s="62">
        <f>CALC!Q15</f>
        <v>7</v>
      </c>
      <c r="AL57" s="43" t="n"/>
      <c r="AM57" s="43" t="n"/>
      <c r="AN57" s="62">
        <f>CALC!Q16</f>
        <v>0</v>
      </c>
      <c r="AO57" s="43" t="n"/>
      <c r="AP57" s="43" t="n"/>
      <c r="AQ57" s="62">
        <f>CALC!Q17</f>
        <v>0</v>
      </c>
      <c r="AR57" s="43" t="n"/>
      <c r="AS57" s="43" t="n"/>
      <c r="AT57" s="66">
        <f>SUM(CALC!Q6:Q17)</f>
        <v>64</v>
      </c>
      <c r="AU57" s="43" t="n"/>
      <c r="AV57" s="43" t="n"/>
      <c r="AW57" s="1" t="n"/>
    </row>
    <row r="58" ht="18" customHeight="1">
      <c r="A58" s="1" t="n"/>
      <c r="B58" s="68" t="inlineStr">
        <is>
          <t>Eletrônicas</t>
        </is>
      </c>
      <c r="C58" s="43" t="n"/>
      <c r="D58" s="43" t="n"/>
      <c r="E58" s="43" t="n"/>
      <c r="F58" s="43" t="n"/>
      <c r="G58" s="43" t="n"/>
      <c r="H58" s="43" t="n"/>
      <c r="I58" s="43" t="n"/>
      <c r="J58" s="57">
        <f>CALC!R6</f>
        <v>0</v>
      </c>
      <c r="K58" s="43" t="n"/>
      <c r="L58" s="43" t="n"/>
      <c r="M58" s="57">
        <f>CALC!R7</f>
        <v>0</v>
      </c>
      <c r="N58" s="43" t="n"/>
      <c r="O58" s="43" t="n"/>
      <c r="P58" s="57">
        <f>CALC!R8</f>
        <v>2</v>
      </c>
      <c r="Q58" s="43" t="n"/>
      <c r="R58" s="43" t="n"/>
      <c r="S58" s="57">
        <f>CALC!R9</f>
        <v>3</v>
      </c>
      <c r="T58" s="43" t="n"/>
      <c r="U58" s="43" t="n"/>
      <c r="V58" s="57">
        <f>CALC!R10</f>
        <v>5</v>
      </c>
      <c r="W58" s="43" t="n"/>
      <c r="X58" s="43" t="n"/>
      <c r="Y58" s="57">
        <f>CALC!R11</f>
        <v>3</v>
      </c>
      <c r="Z58" s="43" t="n"/>
      <c r="AA58" s="43" t="n"/>
      <c r="AB58" s="57">
        <f>CALC!R12</f>
        <v>2</v>
      </c>
      <c r="AC58" s="43" t="n"/>
      <c r="AD58" s="43" t="n"/>
      <c r="AE58" s="57">
        <f>CALC!R13</f>
        <v>6</v>
      </c>
      <c r="AF58" s="43" t="n"/>
      <c r="AG58" s="43" t="n"/>
      <c r="AH58" s="57">
        <f>CALC!R14</f>
        <v>7</v>
      </c>
      <c r="AI58" s="43" t="n"/>
      <c r="AJ58" s="43" t="n"/>
      <c r="AK58" s="57">
        <f>CALC!R15</f>
        <v>4</v>
      </c>
      <c r="AL58" s="43" t="n"/>
      <c r="AM58" s="43" t="n"/>
      <c r="AN58" s="57">
        <f>CALC!R16</f>
        <v>0</v>
      </c>
      <c r="AO58" s="43" t="n"/>
      <c r="AP58" s="43" t="n"/>
      <c r="AQ58" s="57">
        <f>CALC!R17</f>
        <v>0</v>
      </c>
      <c r="AR58" s="43" t="n"/>
      <c r="AS58" s="43" t="n"/>
      <c r="AT58" s="66">
        <f>SUM(CALC!R6:R17)</f>
        <v>32</v>
      </c>
      <c r="AU58" s="43" t="n"/>
      <c r="AV58" s="43" t="n"/>
      <c r="AW58" s="1" t="n"/>
    </row>
    <row r="59" ht="18" customHeight="1">
      <c r="A59" s="1" t="n"/>
      <c r="B59" s="67" t="inlineStr">
        <is>
          <t>Meta</t>
        </is>
      </c>
      <c r="C59" s="43" t="n"/>
      <c r="D59" s="43" t="n"/>
      <c r="E59" s="43" t="n"/>
      <c r="F59" s="43" t="n"/>
      <c r="G59" s="43" t="n"/>
      <c r="H59" s="43" t="n"/>
      <c r="I59" s="43" t="n"/>
      <c r="J59" s="62">
        <f>CALC!S6</f>
        <v>12</v>
      </c>
      <c r="K59" s="43" t="n"/>
      <c r="L59" s="43" t="n"/>
      <c r="M59" s="62">
        <f>CALC!S7</f>
        <v>12</v>
      </c>
      <c r="N59" s="43" t="n"/>
      <c r="O59" s="43" t="n"/>
      <c r="P59" s="62">
        <f>CALC!S8</f>
        <v>12</v>
      </c>
      <c r="Q59" s="43" t="n"/>
      <c r="R59" s="43" t="n"/>
      <c r="S59" s="62">
        <f>CALC!S9</f>
        <v>12</v>
      </c>
      <c r="T59" s="43" t="n"/>
      <c r="U59" s="43" t="n"/>
      <c r="V59" s="62">
        <f>CALC!S10</f>
        <v>12</v>
      </c>
      <c r="W59" s="43" t="n"/>
      <c r="X59" s="43" t="n"/>
      <c r="Y59" s="62">
        <f>CALC!S11</f>
        <v>12</v>
      </c>
      <c r="Z59" s="43" t="n"/>
      <c r="AA59" s="43" t="n"/>
      <c r="AB59" s="62">
        <f>CALC!S12</f>
        <v>12</v>
      </c>
      <c r="AC59" s="43" t="n"/>
      <c r="AD59" s="43" t="n"/>
      <c r="AE59" s="62">
        <f>CALC!S13</f>
        <v>12</v>
      </c>
      <c r="AF59" s="43" t="n"/>
      <c r="AG59" s="43" t="n"/>
      <c r="AH59" s="62">
        <f>CALC!S14</f>
        <v>12</v>
      </c>
      <c r="AI59" s="43" t="n"/>
      <c r="AJ59" s="43" t="n"/>
      <c r="AK59" s="62">
        <f>CALC!S15</f>
        <v>12</v>
      </c>
      <c r="AL59" s="43" t="n"/>
      <c r="AM59" s="43" t="n"/>
      <c r="AN59" s="62">
        <f>CALC!S16</f>
        <v>12</v>
      </c>
      <c r="AO59" s="43" t="n"/>
      <c r="AP59" s="43" t="n"/>
      <c r="AQ59" s="62">
        <f>CALC!S17</f>
        <v>12</v>
      </c>
      <c r="AR59" s="43" t="n"/>
      <c r="AS59" s="43" t="n"/>
      <c r="AT59" s="66">
        <f>SUM(CALC!S6:S17)</f>
        <v>144</v>
      </c>
      <c r="AU59" s="43" t="n"/>
      <c r="AV59" s="43" t="n"/>
      <c r="AW59" s="1" t="n"/>
    </row>
    <row r="60" ht="18" customHeight="1">
      <c r="A60" s="1" t="n"/>
      <c r="B60" s="69" t="inlineStr">
        <is>
          <t>Atingimento da meta</t>
        </is>
      </c>
      <c r="C60" s="19" t="n"/>
      <c r="D60" s="19" t="n"/>
      <c r="E60" s="19" t="n"/>
      <c r="F60" s="19" t="n"/>
      <c r="G60" s="19" t="n"/>
      <c r="H60" s="19" t="n"/>
      <c r="I60" s="19" t="n"/>
      <c r="J60" s="70">
        <f>IFERROR(J54/J59,0)</f>
        <v>0</v>
      </c>
      <c r="K60" s="19" t="n"/>
      <c r="L60" s="19" t="n"/>
      <c r="M60" s="70">
        <f>IFERROR(M54/M59,0)</f>
        <v>0</v>
      </c>
      <c r="N60" s="19" t="n"/>
      <c r="O60" s="19" t="n"/>
      <c r="P60" s="70">
        <f>IFERROR(P54/P59,0)</f>
        <v>0.583333333333333</v>
      </c>
      <c r="Q60" s="19" t="n"/>
      <c r="R60" s="19" t="n"/>
      <c r="S60" s="70">
        <f>IFERROR(S54/S59,0)</f>
        <v>0.75</v>
      </c>
      <c r="T60" s="19" t="n"/>
      <c r="U60" s="19" t="n"/>
      <c r="V60" s="70">
        <f>IFERROR(V54/V59,0)</f>
        <v>1.25</v>
      </c>
      <c r="W60" s="19" t="n"/>
      <c r="X60" s="19" t="n"/>
      <c r="Y60" s="70">
        <f>IFERROR(Y54/Y59,0)</f>
        <v>0.75</v>
      </c>
      <c r="Z60" s="19" t="n"/>
      <c r="AA60" s="19" t="n"/>
      <c r="AB60" s="70">
        <f>IFERROR(AB54/AB59,0)</f>
        <v>0.916666666666667</v>
      </c>
      <c r="AC60" s="19" t="n"/>
      <c r="AD60" s="19" t="n"/>
      <c r="AE60" s="70">
        <f>IFERROR(AE54/AE59,0)</f>
        <v>1.08333333333333</v>
      </c>
      <c r="AF60" s="19" t="n"/>
      <c r="AG60" s="19" t="n"/>
      <c r="AH60" s="70">
        <f>IFERROR(AH54/AH59,0)</f>
        <v>1.75</v>
      </c>
      <c r="AI60" s="19" t="n"/>
      <c r="AJ60" s="19" t="n"/>
      <c r="AK60" s="70">
        <f>IFERROR(AK54/AK59,0)</f>
        <v>0.916666666666667</v>
      </c>
      <c r="AL60" s="19" t="n"/>
      <c r="AM60" s="19" t="n"/>
      <c r="AN60" s="70">
        <f>IFERROR(AN54/AN59,0)</f>
        <v>0</v>
      </c>
      <c r="AO60" s="19" t="n"/>
      <c r="AP60" s="19" t="n"/>
      <c r="AQ60" s="70">
        <f>IFERROR(AQ54/AQ59,0)</f>
        <v>0</v>
      </c>
      <c r="AR60" s="19" t="n"/>
      <c r="AS60" s="19" t="n"/>
      <c r="AT60" s="71">
        <f>IFERROR(AT54/AT59,0)</f>
        <v>0.666666666666667</v>
      </c>
      <c r="AU60" s="19" t="n"/>
      <c r="AV60" s="19" t="n"/>
      <c r="AW60" s="1" t="n"/>
    </row>
    <row r="61" ht="12" customHeight="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 ht="20" customHeight="1">
      <c r="A62" s="1" t="n"/>
      <c r="B62" s="18" t="inlineStr">
        <is>
          <t>SITUAÇÃO DOS PRAZOS</t>
        </is>
      </c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" t="n"/>
      <c r="Z62" s="18" t="inlineStr">
        <is>
          <t>MATRIZ NOTIFICAÇÃO × TIPO DE ENTREGA</t>
        </is>
      </c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19" t="n"/>
      <c r="AM62" s="19" t="n"/>
      <c r="AN62" s="19" t="n"/>
      <c r="AO62" s="19" t="n"/>
      <c r="AP62" s="19" t="n"/>
      <c r="AQ62" s="19" t="n"/>
      <c r="AR62" s="19" t="n"/>
      <c r="AS62" s="19" t="n"/>
      <c r="AT62" s="19" t="n"/>
      <c r="AU62" s="19" t="n"/>
      <c r="AV62" s="19" t="n"/>
      <c r="AW62" s="1" t="n"/>
    </row>
    <row r="63" ht="6" customHeight="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 ht="20" customHeight="1">
      <c r="A64" s="1" t="n"/>
      <c r="B64" s="41" t="inlineStr">
        <is>
          <t>SITUAÇÃO</t>
        </is>
      </c>
      <c r="I64" s="41" t="inlineStr">
        <is>
          <t>QTD.</t>
        </is>
      </c>
      <c r="L64" s="41" t="inlineStr">
        <is>
          <t>%</t>
        </is>
      </c>
      <c r="O64" s="41" t="inlineStr">
        <is>
          <t>PARTICIPAÇÃO</t>
        </is>
      </c>
      <c r="Y64" s="1" t="n"/>
      <c r="Z64" s="41" t="inlineStr">
        <is>
          <t>NOTIFICAÇÃO</t>
        </is>
      </c>
      <c r="AI64" s="41" t="inlineStr">
        <is>
          <t>PRESENCIAL</t>
        </is>
      </c>
      <c r="AN64" s="41" t="inlineStr">
        <is>
          <t>ELETRÔNICA</t>
        </is>
      </c>
      <c r="AS64" s="41" t="inlineStr">
        <is>
          <t>TOTAL</t>
        </is>
      </c>
      <c r="AW64" s="1" t="n"/>
    </row>
    <row r="65" ht="20" customHeight="1">
      <c r="A65" s="1" t="n"/>
      <c r="B65" s="72" t="inlineStr">
        <is>
          <t>●  No prazo</t>
        </is>
      </c>
      <c r="C65" s="43" t="n"/>
      <c r="D65" s="43" t="n"/>
      <c r="E65" s="43" t="n"/>
      <c r="F65" s="43" t="n"/>
      <c r="G65" s="43" t="n"/>
      <c r="H65" s="43" t="n"/>
      <c r="I65" s="73">
        <f>CALC!J11</f>
        <v>5</v>
      </c>
      <c r="J65" s="43" t="n"/>
      <c r="K65" s="43" t="n"/>
      <c r="L65" s="74">
        <f>IFERROR(I65/SUM(CALC!$J$11:$J$13),0)</f>
        <v>0.0625</v>
      </c>
      <c r="M65" s="43" t="n"/>
      <c r="N65" s="43" t="n"/>
      <c r="O65" s="75" t="str">
        <f>REPT("█",ROUND(L65*28,0))</f>
        <v>██</v>
      </c>
      <c r="P65" s="43" t="n"/>
      <c r="Q65" s="43" t="n"/>
      <c r="R65" s="43" t="n"/>
      <c r="S65" s="43" t="n"/>
      <c r="T65" s="43" t="n"/>
      <c r="U65" s="43" t="n"/>
      <c r="V65" s="43" t="n"/>
      <c r="W65" s="43" t="n"/>
      <c r="X65" s="43" t="n"/>
      <c r="Y65" s="1" t="n"/>
      <c r="Z65" s="55" t="inlineStr">
        <is>
          <t>Constatação</t>
        </is>
      </c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76">
        <f>CALC!J28</f>
        <v>34</v>
      </c>
      <c r="AJ65" s="43" t="n"/>
      <c r="AK65" s="43" t="n"/>
      <c r="AL65" s="43" t="n"/>
      <c r="AM65" s="43" t="n"/>
      <c r="AN65" s="76">
        <f>CALC!K28</f>
        <v>22</v>
      </c>
      <c r="AO65" s="43" t="n"/>
      <c r="AP65" s="43" t="n"/>
      <c r="AQ65" s="43" t="n"/>
      <c r="AR65" s="43" t="n"/>
      <c r="AS65" s="77">
        <f>AI65+AN65</f>
        <v>56</v>
      </c>
      <c r="AT65" s="43" t="n"/>
      <c r="AU65" s="43" t="n"/>
      <c r="AV65" s="43" t="n"/>
      <c r="AW65" s="1" t="n"/>
    </row>
    <row r="66" ht="20" customHeight="1">
      <c r="A66" s="1" t="n"/>
      <c r="B66" s="78" t="inlineStr">
        <is>
          <t>●  Vence em breve</t>
        </is>
      </c>
      <c r="C66" s="43" t="n"/>
      <c r="D66" s="43" t="n"/>
      <c r="E66" s="43" t="n"/>
      <c r="F66" s="43" t="n"/>
      <c r="G66" s="43" t="n"/>
      <c r="H66" s="43" t="n"/>
      <c r="I66" s="79">
        <f>CALC!J12</f>
        <v>3</v>
      </c>
      <c r="J66" s="43" t="n"/>
      <c r="K66" s="43" t="n"/>
      <c r="L66" s="80">
        <f>IFERROR(I66/SUM(CALC!$J$11:$J$13),0)</f>
        <v>0.0375</v>
      </c>
      <c r="M66" s="43" t="n"/>
      <c r="N66" s="43" t="n"/>
      <c r="O66" s="81" t="str">
        <f>REPT("█",ROUND(L66*28,0))</f>
        <v>█</v>
      </c>
      <c r="P66" s="43" t="n"/>
      <c r="Q66" s="43" t="n"/>
      <c r="R66" s="43" t="n"/>
      <c r="S66" s="43" t="n"/>
      <c r="T66" s="43" t="n"/>
      <c r="U66" s="43" t="n"/>
      <c r="V66" s="43" t="n"/>
      <c r="W66" s="43" t="n"/>
      <c r="X66" s="43" t="n"/>
      <c r="Y66" s="1" t="n"/>
      <c r="Z66" s="60" t="inlineStr">
        <is>
          <t>Esclarecimento</t>
        </is>
      </c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82">
        <f>CALC!J29</f>
        <v>30</v>
      </c>
      <c r="AJ66" s="43" t="n"/>
      <c r="AK66" s="43" t="n"/>
      <c r="AL66" s="43" t="n"/>
      <c r="AM66" s="43" t="n"/>
      <c r="AN66" s="82">
        <f>CALC!K29</f>
        <v>10</v>
      </c>
      <c r="AO66" s="43" t="n"/>
      <c r="AP66" s="43" t="n"/>
      <c r="AQ66" s="43" t="n"/>
      <c r="AR66" s="43" t="n"/>
      <c r="AS66" s="77">
        <f>AI66+AN66</f>
        <v>40</v>
      </c>
      <c r="AT66" s="43" t="n"/>
      <c r="AU66" s="43" t="n"/>
      <c r="AV66" s="43" t="n"/>
      <c r="AW66" s="1" t="n"/>
    </row>
    <row r="67" ht="20" customHeight="1">
      <c r="A67" s="1" t="n"/>
      <c r="B67" s="55" t="inlineStr">
        <is>
          <t>●  Em decisão</t>
        </is>
      </c>
      <c r="C67" s="43" t="n"/>
      <c r="D67" s="43" t="n"/>
      <c r="E67" s="43" t="n"/>
      <c r="F67" s="43" t="n"/>
      <c r="G67" s="43" t="n"/>
      <c r="H67" s="43" t="n"/>
      <c r="I67" s="73">
        <f>CALC!J13</f>
        <v>72</v>
      </c>
      <c r="J67" s="43" t="n"/>
      <c r="K67" s="43" t="n"/>
      <c r="L67" s="74">
        <f>IFERROR(I67/SUM(CALC!$J$11:$J$13),0)</f>
        <v>0.9</v>
      </c>
      <c r="M67" s="43" t="n"/>
      <c r="N67" s="43" t="n"/>
      <c r="O67" s="83" t="str">
        <f>REPT("█",ROUND(L67*28,0))</f>
        <v>█████████████████████████</v>
      </c>
      <c r="P67" s="43" t="n"/>
      <c r="Q67" s="43" t="n"/>
      <c r="R67" s="43" t="n"/>
      <c r="S67" s="43" t="n"/>
      <c r="T67" s="43" t="n"/>
      <c r="U67" s="43" t="n"/>
      <c r="V67" s="43" t="n"/>
      <c r="W67" s="43" t="n"/>
      <c r="X67" s="43" t="n"/>
      <c r="Y67" s="1" t="n"/>
      <c r="Z67" s="84" t="inlineStr">
        <is>
          <t>TOTAL</t>
        </is>
      </c>
      <c r="AI67" s="85">
        <f>AI65+AI66</f>
        <v>64</v>
      </c>
      <c r="AN67" s="85">
        <f>AN65+AN66</f>
        <v>32</v>
      </c>
      <c r="AS67" s="86">
        <f>AS65+AS66</f>
        <v>96</v>
      </c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87" t="inlineStr">
        <is>
          <t>Cores mais intensas indicam maior concentração de notificações.</t>
        </is>
      </c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 ht="3" customHeight="1">
      <c r="A71" s="1" t="n"/>
      <c r="B71" s="8" t="n"/>
      <c r="AW71" s="1" t="n"/>
    </row>
    <row r="72">
      <c r="A72" s="1" t="n"/>
      <c r="B72" s="87" t="inlineStr">
        <is>
          <t>Fonte: aba PROCESSOS  •  Prazos calculados conforme parâmetros da aba CADASTROS  •  Indicadores recalculados automaticamente a cada abertura do arquivo (data de referência: HOJE).</t>
        </is>
      </c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</sheetData>
  <mergeCells count="470">
    <mergeCell ref="L42:N42"/>
    <mergeCell ref="AB29:AI29"/>
    <mergeCell ref="AN60:AP60"/>
    <mergeCell ref="R18:X18"/>
    <mergeCell ref="O47:Q47"/>
    <mergeCell ref="AP45:AR45"/>
    <mergeCell ref="AS64:AV64"/>
    <mergeCell ref="L34:Q34"/>
    <mergeCell ref="AJ26:AO26"/>
    <mergeCell ref="B19:H20"/>
    <mergeCell ref="Z41:AF41"/>
    <mergeCell ref="AG42:AI42"/>
    <mergeCell ref="Z43:AF43"/>
    <mergeCell ref="Z65:AH65"/>
    <mergeCell ref="I49:K49"/>
    <mergeCell ref="L47:N47"/>
    <mergeCell ref="J11:P11"/>
    <mergeCell ref="B25:C25"/>
    <mergeCell ref="AM49:AO49"/>
    <mergeCell ref="AB56:AD56"/>
    <mergeCell ref="B15:H15"/>
    <mergeCell ref="J12:P12"/>
    <mergeCell ref="R33:U33"/>
    <mergeCell ref="AG45:AI45"/>
    <mergeCell ref="AN64:AR64"/>
    <mergeCell ref="O46:Q46"/>
    <mergeCell ref="B13:H14"/>
    <mergeCell ref="AE53:AG53"/>
    <mergeCell ref="AB57:AD57"/>
    <mergeCell ref="AG47:AI47"/>
    <mergeCell ref="I64:K64"/>
    <mergeCell ref="O48:Q48"/>
    <mergeCell ref="AJ32:AO32"/>
    <mergeCell ref="AK15:AN15"/>
    <mergeCell ref="V55:X55"/>
    <mergeCell ref="Y56:AA56"/>
    <mergeCell ref="AC15:AF15"/>
    <mergeCell ref="Z18:AF18"/>
    <mergeCell ref="AJ27:AO27"/>
    <mergeCell ref="J60:L60"/>
    <mergeCell ref="B21:D21"/>
    <mergeCell ref="V29:X29"/>
    <mergeCell ref="AE58:AG58"/>
    <mergeCell ref="AS7:AV7"/>
    <mergeCell ref="J53:L53"/>
    <mergeCell ref="R15:T15"/>
    <mergeCell ref="J19:P20"/>
    <mergeCell ref="O41:Q41"/>
    <mergeCell ref="V31:X31"/>
    <mergeCell ref="Y59:AA59"/>
    <mergeCell ref="J55:L55"/>
    <mergeCell ref="AJ4:AV4"/>
    <mergeCell ref="O43:Q43"/>
    <mergeCell ref="V60:X60"/>
    <mergeCell ref="V32:X32"/>
    <mergeCell ref="I39:K39"/>
    <mergeCell ref="L40:N40"/>
    <mergeCell ref="V26:X26"/>
    <mergeCell ref="AE60:AG60"/>
    <mergeCell ref="R11:X11"/>
    <mergeCell ref="AH54:AJ54"/>
    <mergeCell ref="AJ41:AL41"/>
    <mergeCell ref="J58:L58"/>
    <mergeCell ref="B34:C34"/>
    <mergeCell ref="B28:C28"/>
    <mergeCell ref="R34:U34"/>
    <mergeCell ref="AP26:AS26"/>
    <mergeCell ref="AE55:AG55"/>
    <mergeCell ref="AH56:AJ56"/>
    <mergeCell ref="AJ43:AL43"/>
    <mergeCell ref="AT25:AV25"/>
    <mergeCell ref="B30:C30"/>
    <mergeCell ref="AB58:AD58"/>
    <mergeCell ref="AE59:AG59"/>
    <mergeCell ref="L66:N66"/>
    <mergeCell ref="AH13:AN14"/>
    <mergeCell ref="AG46:AI46"/>
    <mergeCell ref="AG40:AI40"/>
    <mergeCell ref="AB60:AD60"/>
    <mergeCell ref="P59:R59"/>
    <mergeCell ref="D26:K26"/>
    <mergeCell ref="AC21:AF21"/>
    <mergeCell ref="AP44:AR44"/>
    <mergeCell ref="AS15:AV15"/>
    <mergeCell ref="O66:X66"/>
    <mergeCell ref="L25:Q25"/>
    <mergeCell ref="AP18:AV18"/>
    <mergeCell ref="AB25:AI25"/>
    <mergeCell ref="R29:U29"/>
    <mergeCell ref="J21:L21"/>
    <mergeCell ref="Z19:AF20"/>
    <mergeCell ref="R31:U31"/>
    <mergeCell ref="Z15:AB15"/>
    <mergeCell ref="AG43:AI43"/>
    <mergeCell ref="AT30:AV30"/>
    <mergeCell ref="Z23:AV23"/>
    <mergeCell ref="Z12:AF12"/>
    <mergeCell ref="R26:U26"/>
    <mergeCell ref="R12:X12"/>
    <mergeCell ref="L43:N43"/>
    <mergeCell ref="P56:R56"/>
    <mergeCell ref="B9:AV9"/>
    <mergeCell ref="AH11:AN11"/>
    <mergeCell ref="AT33:AV33"/>
    <mergeCell ref="J13:P14"/>
    <mergeCell ref="AP27:AS27"/>
    <mergeCell ref="B49:H49"/>
    <mergeCell ref="AG48:AI48"/>
    <mergeCell ref="B31:C31"/>
    <mergeCell ref="AT35:AV35"/>
    <mergeCell ref="AP25:AS25"/>
    <mergeCell ref="AT34:AV34"/>
    <mergeCell ref="U40:X40"/>
    <mergeCell ref="D27:K27"/>
    <mergeCell ref="AB53:AD53"/>
    <mergeCell ref="U15:X15"/>
    <mergeCell ref="AK56:AM56"/>
    <mergeCell ref="V53:X53"/>
    <mergeCell ref="AJ2:AV2"/>
    <mergeCell ref="AH18:AN18"/>
    <mergeCell ref="AH17:AN17"/>
    <mergeCell ref="M53:O53"/>
    <mergeCell ref="P54:R54"/>
    <mergeCell ref="B42:H42"/>
    <mergeCell ref="M55:O55"/>
    <mergeCell ref="B44:H44"/>
    <mergeCell ref="L28:Q28"/>
    <mergeCell ref="B32:C32"/>
    <mergeCell ref="AB34:AI34"/>
    <mergeCell ref="B26:C26"/>
    <mergeCell ref="AB28:AI28"/>
    <mergeCell ref="R49:T49"/>
    <mergeCell ref="R32:U32"/>
    <mergeCell ref="AT29:AV29"/>
    <mergeCell ref="AB30:AI30"/>
    <mergeCell ref="Z27:AA27"/>
    <mergeCell ref="AK54:AM54"/>
    <mergeCell ref="B59:I59"/>
    <mergeCell ref="B27:C27"/>
    <mergeCell ref="AT58:AV58"/>
    <mergeCell ref="AT54:AV54"/>
    <mergeCell ref="F7:J7"/>
    <mergeCell ref="Z25:AA25"/>
    <mergeCell ref="AS49:AV49"/>
    <mergeCell ref="Z46:AF46"/>
    <mergeCell ref="S53:U53"/>
    <mergeCell ref="V54:X54"/>
    <mergeCell ref="Z40:AF40"/>
    <mergeCell ref="P57:R57"/>
    <mergeCell ref="AH12:AN12"/>
    <mergeCell ref="AS42:AV42"/>
    <mergeCell ref="AG39:AI39"/>
    <mergeCell ref="S55:U55"/>
    <mergeCell ref="AP33:AS33"/>
    <mergeCell ref="U46:X46"/>
    <mergeCell ref="AQ59:AS59"/>
    <mergeCell ref="AS44:AV44"/>
    <mergeCell ref="M56:O56"/>
    <mergeCell ref="AP35:AS35"/>
    <mergeCell ref="U48:X48"/>
    <mergeCell ref="R39:T39"/>
    <mergeCell ref="U41:X41"/>
    <mergeCell ref="AN53:AP53"/>
    <mergeCell ref="AQ54:AS54"/>
    <mergeCell ref="D33:K33"/>
    <mergeCell ref="AK57:AM57"/>
    <mergeCell ref="M21:P21"/>
    <mergeCell ref="S58:U58"/>
    <mergeCell ref="AN67:AR67"/>
    <mergeCell ref="AJ3:AV3"/>
    <mergeCell ref="Y7:AB7"/>
    <mergeCell ref="AI7:AL7"/>
    <mergeCell ref="AP30:AS30"/>
    <mergeCell ref="U43:X43"/>
    <mergeCell ref="AN55:AP55"/>
    <mergeCell ref="AQ56:AS56"/>
    <mergeCell ref="D35:K35"/>
    <mergeCell ref="D34:K34"/>
    <mergeCell ref="AK58:AM58"/>
    <mergeCell ref="B62:X62"/>
    <mergeCell ref="R21:T21"/>
    <mergeCell ref="L30:Q30"/>
    <mergeCell ref="AM39:AO39"/>
    <mergeCell ref="AP40:AR40"/>
    <mergeCell ref="B45:H45"/>
    <mergeCell ref="AK60:AM60"/>
    <mergeCell ref="L29:Q29"/>
    <mergeCell ref="AH15:AJ15"/>
    <mergeCell ref="B47:H47"/>
    <mergeCell ref="AN58:AP58"/>
    <mergeCell ref="L31:Q31"/>
    <mergeCell ref="K7:S7"/>
    <mergeCell ref="AB31:AI31"/>
    <mergeCell ref="B46:H46"/>
    <mergeCell ref="L65:N65"/>
    <mergeCell ref="B48:H48"/>
    <mergeCell ref="AM42:AO42"/>
    <mergeCell ref="T7:X7"/>
    <mergeCell ref="M59:O59"/>
    <mergeCell ref="Z34:AA34"/>
    <mergeCell ref="Z28:AA28"/>
    <mergeCell ref="P60:R60"/>
    <mergeCell ref="AP34:AS34"/>
    <mergeCell ref="AS39:AV39"/>
    <mergeCell ref="AI67:AM67"/>
    <mergeCell ref="Z30:AA30"/>
    <mergeCell ref="M54:O54"/>
    <mergeCell ref="R19:X20"/>
    <mergeCell ref="AS47:AV47"/>
    <mergeCell ref="L45:N45"/>
    <mergeCell ref="L26:Q26"/>
    <mergeCell ref="AB32:AI32"/>
    <mergeCell ref="AN59:AP59"/>
    <mergeCell ref="AB26:AI26"/>
    <mergeCell ref="AH59:AJ59"/>
    <mergeCell ref="I42:K42"/>
    <mergeCell ref="AP46:AR46"/>
    <mergeCell ref="AS65:AV65"/>
    <mergeCell ref="I44:K44"/>
    <mergeCell ref="B57:I57"/>
    <mergeCell ref="AP48:AR48"/>
    <mergeCell ref="Z11:AF11"/>
    <mergeCell ref="AB27:AI27"/>
    <mergeCell ref="AP41:AR41"/>
    <mergeCell ref="P58:R58"/>
    <mergeCell ref="AK53:AM53"/>
    <mergeCell ref="B67:H67"/>
    <mergeCell ref="AP43:AR43"/>
    <mergeCell ref="AM47:AO47"/>
    <mergeCell ref="L32:Q32"/>
    <mergeCell ref="AM46:AO46"/>
    <mergeCell ref="AP13:AV14"/>
    <mergeCell ref="Z39:AF39"/>
    <mergeCell ref="M15:P15"/>
    <mergeCell ref="Y54:AA54"/>
    <mergeCell ref="Z66:AH66"/>
    <mergeCell ref="AM48:AO48"/>
    <mergeCell ref="AM44:AO44"/>
    <mergeCell ref="U39:X39"/>
    <mergeCell ref="O44:Q44"/>
    <mergeCell ref="B64:H64"/>
    <mergeCell ref="AN65:AR65"/>
    <mergeCell ref="R42:T42"/>
    <mergeCell ref="AM45:AO45"/>
    <mergeCell ref="AJ33:AO33"/>
    <mergeCell ref="AJ49:AL49"/>
    <mergeCell ref="AJ35:AO35"/>
    <mergeCell ref="R46:T46"/>
    <mergeCell ref="L46:N46"/>
    <mergeCell ref="B18:H18"/>
    <mergeCell ref="L27:Q27"/>
    <mergeCell ref="AJ44:AL44"/>
    <mergeCell ref="Z68:AV68"/>
    <mergeCell ref="R48:T48"/>
    <mergeCell ref="B11:H11"/>
    <mergeCell ref="L48:N48"/>
    <mergeCell ref="AB55:AD55"/>
    <mergeCell ref="I45:K45"/>
    <mergeCell ref="I47:K47"/>
    <mergeCell ref="AP11:AV11"/>
    <mergeCell ref="R13:X14"/>
    <mergeCell ref="AS66:AV66"/>
    <mergeCell ref="AJ28:AO28"/>
    <mergeCell ref="O64:X64"/>
    <mergeCell ref="AT57:AV57"/>
    <mergeCell ref="AH58:AJ58"/>
    <mergeCell ref="AN7:AQ7"/>
    <mergeCell ref="AJ30:AO30"/>
    <mergeCell ref="A5:AW5"/>
    <mergeCell ref="L41:N41"/>
    <mergeCell ref="AH60:AJ60"/>
    <mergeCell ref="V27:X27"/>
    <mergeCell ref="Z67:AH67"/>
    <mergeCell ref="E21:H21"/>
    <mergeCell ref="V25:X25"/>
    <mergeCell ref="Y57:AA57"/>
    <mergeCell ref="L49:N49"/>
    <mergeCell ref="B29:C29"/>
    <mergeCell ref="AH57:AJ57"/>
    <mergeCell ref="AQ55:AS55"/>
    <mergeCell ref="AS21:AV21"/>
    <mergeCell ref="AE54:AG54"/>
    <mergeCell ref="L67:N67"/>
    <mergeCell ref="B17:H17"/>
    <mergeCell ref="AG41:AI41"/>
    <mergeCell ref="AT28:AV28"/>
    <mergeCell ref="AP39:AR39"/>
    <mergeCell ref="AE56:AG56"/>
    <mergeCell ref="AJ39:AL39"/>
    <mergeCell ref="AM40:AO40"/>
    <mergeCell ref="AB59:AD59"/>
    <mergeCell ref="AG49:AI49"/>
    <mergeCell ref="AT32:AV32"/>
    <mergeCell ref="V59:X59"/>
    <mergeCell ref="I66:K66"/>
    <mergeCell ref="AP17:AV17"/>
    <mergeCell ref="Y60:AA60"/>
    <mergeCell ref="L64:N64"/>
    <mergeCell ref="O67:X67"/>
    <mergeCell ref="I67:K67"/>
    <mergeCell ref="I48:K48"/>
    <mergeCell ref="AP12:AV12"/>
    <mergeCell ref="AP19:AV20"/>
    <mergeCell ref="AH19:AN20"/>
    <mergeCell ref="AJ29:AO29"/>
    <mergeCell ref="Z13:AF14"/>
    <mergeCell ref="AJ31:AO31"/>
    <mergeCell ref="AT60:AV60"/>
    <mergeCell ref="V33:X33"/>
    <mergeCell ref="R44:T44"/>
    <mergeCell ref="R27:U27"/>
    <mergeCell ref="AJ40:AL40"/>
    <mergeCell ref="J57:L57"/>
    <mergeCell ref="Y58:AA58"/>
    <mergeCell ref="V35:X35"/>
    <mergeCell ref="U21:X21"/>
    <mergeCell ref="V34:X34"/>
    <mergeCell ref="I41:K41"/>
    <mergeCell ref="V28:X28"/>
    <mergeCell ref="L39:N39"/>
    <mergeCell ref="I43:K43"/>
    <mergeCell ref="V30:X30"/>
    <mergeCell ref="Z21:AB21"/>
    <mergeCell ref="J18:P18"/>
    <mergeCell ref="AP28:AS28"/>
    <mergeCell ref="AP15:AR15"/>
    <mergeCell ref="AE57:AG57"/>
    <mergeCell ref="J17:P17"/>
    <mergeCell ref="AJ45:AL45"/>
    <mergeCell ref="AT31:AV31"/>
    <mergeCell ref="B71:AV71"/>
    <mergeCell ref="Z37:AV37"/>
    <mergeCell ref="U49:X49"/>
    <mergeCell ref="Z33:AA33"/>
    <mergeCell ref="D28:K28"/>
    <mergeCell ref="Y53:AA53"/>
    <mergeCell ref="V56:X56"/>
    <mergeCell ref="AI66:AM66"/>
    <mergeCell ref="Z35:AA35"/>
    <mergeCell ref="S59:U59"/>
    <mergeCell ref="D30:K30"/>
    <mergeCell ref="Y55:AA55"/>
    <mergeCell ref="R35:U35"/>
    <mergeCell ref="D29:K29"/>
    <mergeCell ref="B40:H40"/>
    <mergeCell ref="AJ48:AL48"/>
    <mergeCell ref="B54:I54"/>
    <mergeCell ref="R45:T45"/>
    <mergeCell ref="AT53:AV53"/>
    <mergeCell ref="B56:I56"/>
    <mergeCell ref="B41:H41"/>
    <mergeCell ref="R47:T47"/>
    <mergeCell ref="AT55:AV55"/>
    <mergeCell ref="R28:U28"/>
    <mergeCell ref="Z49:AF49"/>
    <mergeCell ref="B66:H66"/>
    <mergeCell ref="S54:U54"/>
    <mergeCell ref="AJ25:AO25"/>
    <mergeCell ref="Z29:AA29"/>
    <mergeCell ref="R30:U30"/>
    <mergeCell ref="I65:K65"/>
    <mergeCell ref="P55:R55"/>
    <mergeCell ref="AP29:AS29"/>
    <mergeCell ref="B37:X37"/>
    <mergeCell ref="S56:U56"/>
    <mergeCell ref="AP21:AR21"/>
    <mergeCell ref="AJ46:AL46"/>
    <mergeCell ref="AS40:AV40"/>
    <mergeCell ref="B33:C33"/>
    <mergeCell ref="D25:K25"/>
    <mergeCell ref="AP31:AS31"/>
    <mergeCell ref="Z17:AF17"/>
    <mergeCell ref="AQ57:AS57"/>
    <mergeCell ref="O39:Q39"/>
    <mergeCell ref="R40:T40"/>
    <mergeCell ref="B35:C35"/>
    <mergeCell ref="B2:AD3"/>
    <mergeCell ref="J15:L15"/>
    <mergeCell ref="U42:X42"/>
    <mergeCell ref="AN54:AP54"/>
    <mergeCell ref="AD7:AG7"/>
    <mergeCell ref="D31:K31"/>
    <mergeCell ref="AK55:AM55"/>
    <mergeCell ref="AN56:AP56"/>
    <mergeCell ref="AK59:AM59"/>
    <mergeCell ref="AP49:AR49"/>
    <mergeCell ref="AS45:AV45"/>
    <mergeCell ref="P53:R53"/>
    <mergeCell ref="AH21:AN21"/>
    <mergeCell ref="M57:O57"/>
    <mergeCell ref="D32:K32"/>
    <mergeCell ref="V57:X57"/>
    <mergeCell ref="B43:H43"/>
    <mergeCell ref="R25:U25"/>
    <mergeCell ref="AM41:AO41"/>
    <mergeCell ref="M58:O58"/>
    <mergeCell ref="V58:X58"/>
    <mergeCell ref="U47:X47"/>
    <mergeCell ref="Z31:AA31"/>
    <mergeCell ref="Z42:AF42"/>
    <mergeCell ref="AB33:AI33"/>
    <mergeCell ref="O49:Q49"/>
    <mergeCell ref="AI64:AM64"/>
    <mergeCell ref="R17:X17"/>
    <mergeCell ref="B51:AV51"/>
    <mergeCell ref="S57:U57"/>
    <mergeCell ref="Z44:AF44"/>
    <mergeCell ref="Z32:AA32"/>
    <mergeCell ref="Z26:AA26"/>
    <mergeCell ref="AP32:AS32"/>
    <mergeCell ref="J54:L54"/>
    <mergeCell ref="AI65:AM65"/>
    <mergeCell ref="U44:X44"/>
    <mergeCell ref="R41:T41"/>
    <mergeCell ref="AQ58:AS58"/>
    <mergeCell ref="AT59:AV59"/>
    <mergeCell ref="O42:Q42"/>
    <mergeCell ref="Z45:AF45"/>
    <mergeCell ref="B7:E7"/>
    <mergeCell ref="J56:L56"/>
    <mergeCell ref="AQ60:AS60"/>
    <mergeCell ref="R43:T43"/>
    <mergeCell ref="AT26:AV26"/>
    <mergeCell ref="U45:X45"/>
    <mergeCell ref="Z62:AV62"/>
    <mergeCell ref="AN57:AP57"/>
    <mergeCell ref="B39:H39"/>
    <mergeCell ref="I40:K40"/>
    <mergeCell ref="AS46:AV46"/>
    <mergeCell ref="Z47:AF47"/>
    <mergeCell ref="AP42:AR42"/>
    <mergeCell ref="B55:I55"/>
    <mergeCell ref="AJ42:AL42"/>
    <mergeCell ref="J59:L59"/>
    <mergeCell ref="AS48:AV48"/>
    <mergeCell ref="AH53:AJ53"/>
    <mergeCell ref="AN66:AR66"/>
    <mergeCell ref="AM43:AO43"/>
    <mergeCell ref="M60:O60"/>
    <mergeCell ref="L33:Q33"/>
    <mergeCell ref="Z48:AF48"/>
    <mergeCell ref="B4:AD4"/>
    <mergeCell ref="B65:H65"/>
    <mergeCell ref="AH55:AJ55"/>
    <mergeCell ref="L35:Q35"/>
    <mergeCell ref="B58:I58"/>
    <mergeCell ref="AJ34:AO34"/>
    <mergeCell ref="AB35:AI35"/>
    <mergeCell ref="Z64:AH64"/>
    <mergeCell ref="B72:AV72"/>
    <mergeCell ref="O40:Q40"/>
    <mergeCell ref="L44:N44"/>
    <mergeCell ref="B60:I60"/>
    <mergeCell ref="AS41:AV41"/>
    <mergeCell ref="B53:I53"/>
    <mergeCell ref="B23:X23"/>
    <mergeCell ref="B12:H12"/>
    <mergeCell ref="S60:U60"/>
    <mergeCell ref="AP47:AR47"/>
    <mergeCell ref="AS43:AV43"/>
    <mergeCell ref="AJ47:AL47"/>
    <mergeCell ref="O65:X65"/>
    <mergeCell ref="I46:K46"/>
    <mergeCell ref="AB54:AD54"/>
    <mergeCell ref="AG44:AI44"/>
    <mergeCell ref="AT56:AV56"/>
    <mergeCell ref="AT27:AV27"/>
    <mergeCell ref="O45:Q45"/>
    <mergeCell ref="AQ53:AS53"/>
    <mergeCell ref="AS67:AV67"/>
  </mergeCells>
  <conditionalFormatting sqref="V26:V35">
    <cfRule type="expression" priority="1" dxfId="0">
      <formula>AND(ISNUMBER(V26),V26&lt;=DiasAlerta)</formula>
    </cfRule>
  </conditionalFormatting>
  <conditionalFormatting sqref="U40:U49">
    <cfRule type="dataBar" priority="2">
      <dataBar showValue="1">
        <cfvo type="num" val="0"/>
        <cfvo type="num" val="0.4"/>
        <color rgb="00B08D57"/>
      </dataBar>
    </cfRule>
  </conditionalFormatting>
  <conditionalFormatting sqref="AS40:AS49">
    <cfRule type="dataBar" priority="3">
      <dataBar showValue="1">
        <cfvo type="num" val="0"/>
        <cfvo type="num" val="0.4"/>
        <color rgb="00B08D57"/>
      </dataBar>
    </cfRule>
  </conditionalFormatting>
  <conditionalFormatting sqref="J54 M54 P54 S54 V54 Y54 AB54 AE54 AH54 AK54 AN54 AQ54">
    <cfRule type="colorScale" priority="4">
      <colorScale>
        <cfvo type="min"/>
        <cfvo type="max"/>
        <color rgb="00FFFFFF"/>
        <color rgb="009DB4D6"/>
      </colorScale>
    </cfRule>
  </conditionalFormatting>
  <conditionalFormatting sqref="AI65:AN66">
    <cfRule type="colorScale" priority="5">
      <colorScale>
        <cfvo type="min"/>
        <cfvo type="max"/>
        <color rgb="00FFFFFF"/>
        <color rgb="009DB4D6"/>
      </colorScale>
    </cfRule>
  </conditionalFormatting>
  <dataValidations count="2">
    <dataValidation sqref="K7" showDropDown="0" showInputMessage="1" showErrorMessage="1" allowBlank="0" errorTitle="Filtro inválido" error="Escolha um item da lista." promptTitle="Filtro" prompt="Escolha TODOS ou um responsável." type="list">
      <formula1>CALC!$E$5:$E$20</formula1>
    </dataValidation>
    <dataValidation sqref="Y7" showDropDown="0" showInputMessage="1" showErrorMessage="1" allowBlank="0" errorTitle="Ano inválido" error="Escolha um ano da lista." promptTitle="Ano" prompt="Ano usado na evolução mensal." type="list">
      <formula1>CALC!$G$5:$G$13</formula1>
    </dataValidation>
  </dataValidations>
  <hyperlinks>
    <hyperlink xmlns:r="http://schemas.openxmlformats.org/officeDocument/2006/relationships" ref="AD7" r:id="rId1"/>
    <hyperlink xmlns:r="http://schemas.openxmlformats.org/officeDocument/2006/relationships" ref="AI7" r:id="rId2"/>
    <hyperlink xmlns:r="http://schemas.openxmlformats.org/officeDocument/2006/relationships" ref="AN7" r:id="rId3"/>
    <hyperlink xmlns:r="http://schemas.openxmlformats.org/officeDocument/2006/relationships" ref="AS7" r:id="rId4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F497D"/>
    <outlinePr summaryBelow="1" summaryRight="1"/>
    <pageSetUpPr fitToPage="1"/>
  </sheetPr>
  <dimension ref="A1:AW109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3.4" customWidth="1" min="2" max="2"/>
    <col width="3.4" customWidth="1" min="3" max="3"/>
    <col width="3.4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 ht="22" customHeight="1">
      <c r="A2" s="2" t="n"/>
      <c r="B2" s="3" t="inlineStr">
        <is>
          <t>DASHBOARD ANALÍTICO</t>
        </is>
      </c>
      <c r="AE2" s="2" t="n"/>
      <c r="AF2" s="4" t="inlineStr">
        <is>
          <t>FILTROS ATIVOS (definidos no PAINEL)</t>
        </is>
      </c>
      <c r="AW2" s="2" t="n"/>
    </row>
    <row r="3" ht="22" customHeight="1">
      <c r="A3" s="2" t="n"/>
      <c r="AE3" s="2" t="n"/>
      <c r="AF3" s="88" t="str">
        <f>"Responsável: "&amp;IF(FiltroResp="","TODOS",FiltroResp)</f>
        <v>Responsável: TODOS</v>
      </c>
      <c r="AW3" s="2" t="n"/>
    </row>
    <row r="4" ht="20" customHeight="1">
      <c r="A4" s="2" t="n"/>
      <c r="B4" s="6" t="inlineStr">
        <is>
          <t>Gráficos de acompanhamento do fluxo de notificações</t>
        </is>
      </c>
      <c r="AE4" s="2" t="n"/>
      <c r="AF4" s="89" t="str">
        <f>"Ano de referência: "&amp;FiltroAno</f>
        <v>Ano de referência: 2026</v>
      </c>
      <c r="AW4" s="2" t="n"/>
    </row>
    <row r="5" ht="4" customHeight="1">
      <c r="A5" s="8" t="n"/>
    </row>
    <row r="6" ht="10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1" t="n"/>
      <c r="AT6" s="1" t="n"/>
      <c r="AU6" s="1" t="n"/>
      <c r="AV6" s="1" t="n"/>
      <c r="AW6" s="1" t="n"/>
    </row>
    <row r="7" ht="28" customHeight="1">
      <c r="A7" s="1" t="n"/>
      <c r="B7" s="90" t="inlineStr">
        <is>
          <t>TOTAL</t>
        </is>
      </c>
      <c r="C7" s="91" t="n"/>
      <c r="D7" s="91" t="n"/>
      <c r="E7" s="91" t="n"/>
      <c r="F7" s="92">
        <f>PAINEL!B13</f>
        <v>96</v>
      </c>
      <c r="G7" s="91" t="n"/>
      <c r="H7" s="93" t="n"/>
      <c r="I7" s="1" t="n"/>
      <c r="J7" s="90" t="inlineStr">
        <is>
          <t>PRAZO D.P</t>
        </is>
      </c>
      <c r="K7" s="91" t="n"/>
      <c r="L7" s="91" t="n"/>
      <c r="M7" s="91" t="n"/>
      <c r="N7" s="92">
        <f>PAINEL!J13</f>
        <v>24</v>
      </c>
      <c r="O7" s="91" t="n"/>
      <c r="P7" s="93" t="n"/>
      <c r="Q7" s="1" t="n"/>
      <c r="R7" s="90" t="inlineStr">
        <is>
          <t>DECISÃO D.P</t>
        </is>
      </c>
      <c r="S7" s="91" t="n"/>
      <c r="T7" s="91" t="n"/>
      <c r="U7" s="91" t="n"/>
      <c r="V7" s="92">
        <f>PAINEL!R13</f>
        <v>72</v>
      </c>
      <c r="W7" s="91" t="n"/>
      <c r="X7" s="93" t="n"/>
      <c r="Y7" s="1" t="n"/>
      <c r="Z7" s="90" t="inlineStr">
        <is>
          <t>NO PRAZO</t>
        </is>
      </c>
      <c r="AA7" s="91" t="n"/>
      <c r="AB7" s="91" t="n"/>
      <c r="AC7" s="91" t="n"/>
      <c r="AD7" s="94">
        <f>PAINEL!Z13</f>
        <v>5</v>
      </c>
      <c r="AE7" s="91" t="n"/>
      <c r="AF7" s="93" t="n"/>
      <c r="AG7" s="1" t="n"/>
      <c r="AH7" s="90" t="inlineStr">
        <is>
          <t>EM BREVE</t>
        </is>
      </c>
      <c r="AI7" s="91" t="n"/>
      <c r="AJ7" s="91" t="n"/>
      <c r="AK7" s="91" t="n"/>
      <c r="AL7" s="95">
        <f>PAINEL!AH13</f>
        <v>3</v>
      </c>
      <c r="AM7" s="91" t="n"/>
      <c r="AN7" s="93" t="n"/>
      <c r="AO7" s="1" t="n"/>
      <c r="AP7" s="90" t="inlineStr">
        <is>
          <t>NO MÊS</t>
        </is>
      </c>
      <c r="AQ7" s="91" t="n"/>
      <c r="AR7" s="91" t="n"/>
      <c r="AS7" s="91" t="n"/>
      <c r="AT7" s="92">
        <f>PAINEL!AP13</f>
        <v>11</v>
      </c>
      <c r="AU7" s="91" t="n"/>
      <c r="AV7" s="93" t="n"/>
      <c r="AW7" s="1" t="n"/>
    </row>
    <row r="8" ht="16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96" t="inlineStr">
        <is>
          <t>◂ VOLTAR AO PAINEL</t>
        </is>
      </c>
      <c r="AW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1" t="n"/>
      <c r="AT9" s="1" t="n"/>
      <c r="AU9" s="1" t="n"/>
      <c r="AV9" s="1" t="n"/>
      <c r="AW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  <c r="AC10" s="1" t="n"/>
      <c r="AD10" s="1" t="n"/>
      <c r="AE10" s="1" t="n"/>
      <c r="AF10" s="1" t="n"/>
      <c r="AG10" s="1" t="n"/>
      <c r="AH10" s="1" t="n"/>
      <c r="AI10" s="1" t="n"/>
      <c r="AJ10" s="1" t="n"/>
      <c r="AK10" s="1" t="n"/>
      <c r="AL10" s="1" t="n"/>
      <c r="AM10" s="1" t="n"/>
      <c r="AN10" s="1" t="n"/>
      <c r="AO10" s="1" t="n"/>
      <c r="AP10" s="1" t="n"/>
      <c r="AQ10" s="1" t="n"/>
      <c r="AR10" s="1" t="n"/>
      <c r="AS10" s="1" t="n"/>
      <c r="AT10" s="1" t="n"/>
      <c r="AU10" s="1" t="n"/>
      <c r="AV10" s="1" t="n"/>
      <c r="AW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1" t="n"/>
      <c r="AT11" s="1" t="n"/>
      <c r="AU11" s="1" t="n"/>
      <c r="AV11" s="1" t="n"/>
      <c r="AW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n"/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AS12" s="1" t="n"/>
      <c r="AT12" s="1" t="n"/>
      <c r="AU12" s="1" t="n"/>
      <c r="AV12" s="1" t="n"/>
      <c r="AW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n"/>
      <c r="AS13" s="1" t="n"/>
      <c r="AT13" s="1" t="n"/>
      <c r="AU13" s="1" t="n"/>
      <c r="AV13" s="1" t="n"/>
      <c r="AW13" s="1" t="n"/>
    </row>
    <row r="14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1" t="n"/>
      <c r="AT14" s="1" t="n"/>
      <c r="AU14" s="1" t="n"/>
      <c r="AV14" s="1" t="n"/>
      <c r="AW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AS15" s="1" t="n"/>
      <c r="AT15" s="1" t="n"/>
      <c r="AU15" s="1" t="n"/>
      <c r="AV15" s="1" t="n"/>
      <c r="AW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  <c r="AC16" s="1" t="n"/>
      <c r="AD16" s="1" t="n"/>
      <c r="AE16" s="1" t="n"/>
      <c r="AF16" s="1" t="n"/>
      <c r="AG16" s="1" t="n"/>
      <c r="AH16" s="1" t="n"/>
      <c r="AI16" s="1" t="n"/>
      <c r="AJ16" s="1" t="n"/>
      <c r="AK16" s="1" t="n"/>
      <c r="AL16" s="1" t="n"/>
      <c r="AM16" s="1" t="n"/>
      <c r="AN16" s="1" t="n"/>
      <c r="AO16" s="1" t="n"/>
      <c r="AP16" s="1" t="n"/>
      <c r="AQ16" s="1" t="n"/>
      <c r="AR16" s="1" t="n"/>
      <c r="AS16" s="1" t="n"/>
      <c r="AT16" s="1" t="n"/>
      <c r="AU16" s="1" t="n"/>
      <c r="AV16" s="1" t="n"/>
      <c r="AW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1" t="n"/>
      <c r="AT17" s="1" t="n"/>
      <c r="AU17" s="1" t="n"/>
      <c r="AV17" s="1" t="n"/>
      <c r="AW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  <c r="AC18" s="1" t="n"/>
      <c r="AD18" s="1" t="n"/>
      <c r="AE18" s="1" t="n"/>
      <c r="AF18" s="1" t="n"/>
      <c r="AG18" s="1" t="n"/>
      <c r="AH18" s="1" t="n"/>
      <c r="AI18" s="1" t="n"/>
      <c r="AJ18" s="1" t="n"/>
      <c r="AK18" s="1" t="n"/>
      <c r="AL18" s="1" t="n"/>
      <c r="AM18" s="1" t="n"/>
      <c r="AN18" s="1" t="n"/>
      <c r="AO18" s="1" t="n"/>
      <c r="AP18" s="1" t="n"/>
      <c r="AQ18" s="1" t="n"/>
      <c r="AR18" s="1" t="n"/>
      <c r="AS18" s="1" t="n"/>
      <c r="AT18" s="1" t="n"/>
      <c r="AU18" s="1" t="n"/>
      <c r="AV18" s="1" t="n"/>
      <c r="AW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  <c r="AE19" s="1" t="n"/>
      <c r="AF19" s="1" t="n"/>
      <c r="AG19" s="1" t="n"/>
      <c r="AH19" s="1" t="n"/>
      <c r="AI19" s="1" t="n"/>
      <c r="AJ19" s="1" t="n"/>
      <c r="AK19" s="1" t="n"/>
      <c r="AL19" s="1" t="n"/>
      <c r="AM19" s="1" t="n"/>
      <c r="AN19" s="1" t="n"/>
      <c r="AO19" s="1" t="n"/>
      <c r="AP19" s="1" t="n"/>
      <c r="AQ19" s="1" t="n"/>
      <c r="AR19" s="1" t="n"/>
      <c r="AS19" s="1" t="n"/>
      <c r="AT19" s="1" t="n"/>
      <c r="AU19" s="1" t="n"/>
      <c r="AV19" s="1" t="n"/>
      <c r="AW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  <c r="AE20" s="1" t="n"/>
      <c r="AF20" s="1" t="n"/>
      <c r="AG20" s="1" t="n"/>
      <c r="AH20" s="1" t="n"/>
      <c r="AI20" s="1" t="n"/>
      <c r="AJ20" s="1" t="n"/>
      <c r="AK20" s="1" t="n"/>
      <c r="AL20" s="1" t="n"/>
      <c r="AM20" s="1" t="n"/>
      <c r="AN20" s="1" t="n"/>
      <c r="AO20" s="1" t="n"/>
      <c r="AP20" s="1" t="n"/>
      <c r="AQ20" s="1" t="n"/>
      <c r="AR20" s="1" t="n"/>
      <c r="AS20" s="1" t="n"/>
      <c r="AT20" s="1" t="n"/>
      <c r="AU20" s="1" t="n"/>
      <c r="AV20" s="1" t="n"/>
      <c r="AW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1" t="n"/>
      <c r="AT21" s="1" t="n"/>
      <c r="AU21" s="1" t="n"/>
      <c r="AV21" s="1" t="n"/>
      <c r="AW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1" t="n"/>
      <c r="AT22" s="1" t="n"/>
      <c r="AU22" s="1" t="n"/>
      <c r="AV22" s="1" t="n"/>
      <c r="AW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1" t="n"/>
      <c r="AT23" s="1" t="n"/>
      <c r="AU23" s="1" t="n"/>
      <c r="AV23" s="1" t="n"/>
      <c r="AW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1" t="n"/>
      <c r="AT24" s="1" t="n"/>
      <c r="AU24" s="1" t="n"/>
      <c r="AV24" s="1" t="n"/>
      <c r="AW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1" t="n"/>
      <c r="AT25" s="1" t="n"/>
      <c r="AU25" s="1" t="n"/>
      <c r="AV25" s="1" t="n"/>
      <c r="AW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1" t="n"/>
      <c r="AT26" s="1" t="n"/>
      <c r="AU26" s="1" t="n"/>
      <c r="AV26" s="1" t="n"/>
      <c r="AW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1" t="n"/>
      <c r="AT27" s="1" t="n"/>
      <c r="AU27" s="1" t="n"/>
      <c r="AV27" s="1" t="n"/>
      <c r="AW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1" t="n"/>
      <c r="AT28" s="1" t="n"/>
      <c r="AU28" s="1" t="n"/>
      <c r="AV28" s="1" t="n"/>
      <c r="AW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1" t="n"/>
      <c r="AT29" s="1" t="n"/>
      <c r="AU29" s="1" t="n"/>
      <c r="AV29" s="1" t="n"/>
      <c r="AW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1" t="n"/>
      <c r="AT30" s="1" t="n"/>
      <c r="AU30" s="1" t="n"/>
      <c r="AV30" s="1" t="n"/>
      <c r="AW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1" t="n"/>
      <c r="AT31" s="1" t="n"/>
      <c r="AU31" s="1" t="n"/>
      <c r="AV31" s="1" t="n"/>
      <c r="AW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1" t="n"/>
      <c r="AT32" s="1" t="n"/>
      <c r="AU32" s="1" t="n"/>
      <c r="AV32" s="1" t="n"/>
      <c r="AW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1" t="n"/>
      <c r="AT33" s="1" t="n"/>
      <c r="AU33" s="1" t="n"/>
      <c r="AV33" s="1" t="n"/>
      <c r="AW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1" t="n"/>
      <c r="AT34" s="1" t="n"/>
      <c r="AU34" s="1" t="n"/>
      <c r="AV34" s="1" t="n"/>
      <c r="AW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AS35" s="1" t="n"/>
      <c r="AT35" s="1" t="n"/>
      <c r="AU35" s="1" t="n"/>
      <c r="AV35" s="1" t="n"/>
      <c r="AW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AS36" s="1" t="n"/>
      <c r="AT36" s="1" t="n"/>
      <c r="AU36" s="1" t="n"/>
      <c r="AV36" s="1" t="n"/>
      <c r="AW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1" t="n"/>
      <c r="AT37" s="1" t="n"/>
      <c r="AU37" s="1" t="n"/>
      <c r="AV37" s="1" t="n"/>
      <c r="AW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1" t="n"/>
      <c r="AT38" s="1" t="n"/>
      <c r="AU38" s="1" t="n"/>
      <c r="AV38" s="1" t="n"/>
      <c r="AW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1" t="n"/>
      <c r="AT39" s="1" t="n"/>
      <c r="AU39" s="1" t="n"/>
      <c r="AV39" s="1" t="n"/>
      <c r="AW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1" t="n"/>
      <c r="AT40" s="1" t="n"/>
      <c r="AU40" s="1" t="n"/>
      <c r="AV40" s="1" t="n"/>
      <c r="AW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1" t="n"/>
      <c r="AT41" s="1" t="n"/>
      <c r="AU41" s="1" t="n"/>
      <c r="AV41" s="1" t="n"/>
      <c r="AW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  <c r="AU42" s="1" t="n"/>
      <c r="AV42" s="1" t="n"/>
      <c r="AW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  <c r="AU43" s="1" t="n"/>
      <c r="AV43" s="1" t="n"/>
      <c r="AW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  <c r="AU44" s="1" t="n"/>
      <c r="AV44" s="1" t="n"/>
      <c r="AW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  <c r="AU45" s="1" t="n"/>
      <c r="AV45" s="1" t="n"/>
      <c r="AW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  <c r="AU46" s="1" t="n"/>
      <c r="AV46" s="1" t="n"/>
      <c r="AW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  <c r="AU47" s="1" t="n"/>
      <c r="AV47" s="1" t="n"/>
      <c r="AW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  <c r="AU48" s="1" t="n"/>
      <c r="AV48" s="1" t="n"/>
      <c r="AW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  <c r="AU49" s="1" t="n"/>
      <c r="AV49" s="1" t="n"/>
      <c r="AW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AS50" s="1" t="n"/>
      <c r="AT50" s="1" t="n"/>
      <c r="AU50" s="1" t="n"/>
      <c r="AV50" s="1" t="n"/>
      <c r="AW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AS51" s="1" t="n"/>
      <c r="AT51" s="1" t="n"/>
      <c r="AU51" s="1" t="n"/>
      <c r="AV51" s="1" t="n"/>
      <c r="AW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AS52" s="1" t="n"/>
      <c r="AT52" s="1" t="n"/>
      <c r="AU52" s="1" t="n"/>
      <c r="AV52" s="1" t="n"/>
      <c r="AW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AS53" s="1" t="n"/>
      <c r="AT53" s="1" t="n"/>
      <c r="AU53" s="1" t="n"/>
      <c r="AV53" s="1" t="n"/>
      <c r="AW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AS54" s="1" t="n"/>
      <c r="AT54" s="1" t="n"/>
      <c r="AU54" s="1" t="n"/>
      <c r="AV54" s="1" t="n"/>
      <c r="AW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AS55" s="1" t="n"/>
      <c r="AT55" s="1" t="n"/>
      <c r="AU55" s="1" t="n"/>
      <c r="AV55" s="1" t="n"/>
      <c r="AW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AS56" s="1" t="n"/>
      <c r="AT56" s="1" t="n"/>
      <c r="AU56" s="1" t="n"/>
      <c r="AV56" s="1" t="n"/>
      <c r="AW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AS57" s="1" t="n"/>
      <c r="AT57" s="1" t="n"/>
      <c r="AU57" s="1" t="n"/>
      <c r="AV57" s="1" t="n"/>
      <c r="AW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AS58" s="1" t="n"/>
      <c r="AT58" s="1" t="n"/>
      <c r="AU58" s="1" t="n"/>
      <c r="AV58" s="1" t="n"/>
      <c r="AW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AS59" s="1" t="n"/>
      <c r="AT59" s="1" t="n"/>
      <c r="AU59" s="1" t="n"/>
      <c r="AV59" s="1" t="n"/>
      <c r="AW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AS60" s="1" t="n"/>
      <c r="AT60" s="1" t="n"/>
      <c r="AU60" s="1" t="n"/>
      <c r="AV60" s="1" t="n"/>
      <c r="AW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AS61" s="1" t="n"/>
      <c r="AT61" s="1" t="n"/>
      <c r="AU61" s="1" t="n"/>
      <c r="AV61" s="1" t="n"/>
      <c r="AW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AS62" s="1" t="n"/>
      <c r="AT62" s="1" t="n"/>
      <c r="AU62" s="1" t="n"/>
      <c r="AV62" s="1" t="n"/>
      <c r="AW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AS63" s="1" t="n"/>
      <c r="AT63" s="1" t="n"/>
      <c r="AU63" s="1" t="n"/>
      <c r="AV63" s="1" t="n"/>
      <c r="AW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AS64" s="1" t="n"/>
      <c r="AT64" s="1" t="n"/>
      <c r="AU64" s="1" t="n"/>
      <c r="AV64" s="1" t="n"/>
      <c r="AW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AS65" s="1" t="n"/>
      <c r="AT65" s="1" t="n"/>
      <c r="AU65" s="1" t="n"/>
      <c r="AV65" s="1" t="n"/>
      <c r="AW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AS66" s="1" t="n"/>
      <c r="AT66" s="1" t="n"/>
      <c r="AU66" s="1" t="n"/>
      <c r="AV66" s="1" t="n"/>
      <c r="AW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AS67" s="1" t="n"/>
      <c r="AT67" s="1" t="n"/>
      <c r="AU67" s="1" t="n"/>
      <c r="AV67" s="1" t="n"/>
      <c r="AW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AS68" s="1" t="n"/>
      <c r="AT68" s="1" t="n"/>
      <c r="AU68" s="1" t="n"/>
      <c r="AV68" s="1" t="n"/>
      <c r="AW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AS69" s="1" t="n"/>
      <c r="AT69" s="1" t="n"/>
      <c r="AU69" s="1" t="n"/>
      <c r="AV69" s="1" t="n"/>
      <c r="AW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AS70" s="1" t="n"/>
      <c r="AT70" s="1" t="n"/>
      <c r="AU70" s="1" t="n"/>
      <c r="AV70" s="1" t="n"/>
      <c r="AW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AS71" s="1" t="n"/>
      <c r="AT71" s="1" t="n"/>
      <c r="AU71" s="1" t="n"/>
      <c r="AV71" s="1" t="n"/>
      <c r="AW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AS72" s="1" t="n"/>
      <c r="AT72" s="1" t="n"/>
      <c r="AU72" s="1" t="n"/>
      <c r="AV72" s="1" t="n"/>
      <c r="AW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AS73" s="1" t="n"/>
      <c r="AT73" s="1" t="n"/>
      <c r="AU73" s="1" t="n"/>
      <c r="AV73" s="1" t="n"/>
      <c r="AW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AS74" s="1" t="n"/>
      <c r="AT74" s="1" t="n"/>
      <c r="AU74" s="1" t="n"/>
      <c r="AV74" s="1" t="n"/>
      <c r="AW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AS75" s="1" t="n"/>
      <c r="AT75" s="1" t="n"/>
      <c r="AU75" s="1" t="n"/>
      <c r="AV75" s="1" t="n"/>
      <c r="AW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AS76" s="1" t="n"/>
      <c r="AT76" s="1" t="n"/>
      <c r="AU76" s="1" t="n"/>
      <c r="AV76" s="1" t="n"/>
      <c r="AW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AS77" s="1" t="n"/>
      <c r="AT77" s="1" t="n"/>
      <c r="AU77" s="1" t="n"/>
      <c r="AV77" s="1" t="n"/>
      <c r="AW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AS78" s="1" t="n"/>
      <c r="AT78" s="1" t="n"/>
      <c r="AU78" s="1" t="n"/>
      <c r="AV78" s="1" t="n"/>
      <c r="AW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AS79" s="1" t="n"/>
      <c r="AT79" s="1" t="n"/>
      <c r="AU79" s="1" t="n"/>
      <c r="AV79" s="1" t="n"/>
      <c r="AW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AS80" s="1" t="n"/>
      <c r="AT80" s="1" t="n"/>
      <c r="AU80" s="1" t="n"/>
      <c r="AV80" s="1" t="n"/>
      <c r="AW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AS81" s="1" t="n"/>
      <c r="AT81" s="1" t="n"/>
      <c r="AU81" s="1" t="n"/>
      <c r="AV81" s="1" t="n"/>
      <c r="AW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AS82" s="1" t="n"/>
      <c r="AT82" s="1" t="n"/>
      <c r="AU82" s="1" t="n"/>
      <c r="AV82" s="1" t="n"/>
      <c r="AW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AS83" s="1" t="n"/>
      <c r="AT83" s="1" t="n"/>
      <c r="AU83" s="1" t="n"/>
      <c r="AV83" s="1" t="n"/>
      <c r="AW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AS84" s="1" t="n"/>
      <c r="AT84" s="1" t="n"/>
      <c r="AU84" s="1" t="n"/>
      <c r="AV84" s="1" t="n"/>
      <c r="AW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AS85" s="1" t="n"/>
      <c r="AT85" s="1" t="n"/>
      <c r="AU85" s="1" t="n"/>
      <c r="AV85" s="1" t="n"/>
      <c r="AW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AS86" s="1" t="n"/>
      <c r="AT86" s="1" t="n"/>
      <c r="AU86" s="1" t="n"/>
      <c r="AV86" s="1" t="n"/>
      <c r="AW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AS87" s="1" t="n"/>
      <c r="AT87" s="1" t="n"/>
      <c r="AU87" s="1" t="n"/>
      <c r="AV87" s="1" t="n"/>
      <c r="AW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AS88" s="1" t="n"/>
      <c r="AT88" s="1" t="n"/>
      <c r="AU88" s="1" t="n"/>
      <c r="AV88" s="1" t="n"/>
      <c r="AW88" s="1" t="n"/>
    </row>
    <row r="89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AS89" s="1" t="n"/>
      <c r="AT89" s="1" t="n"/>
      <c r="AU89" s="1" t="n"/>
      <c r="AV89" s="1" t="n"/>
      <c r="AW89" s="1" t="n"/>
    </row>
    <row r="90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AS90" s="1" t="n"/>
      <c r="AT90" s="1" t="n"/>
      <c r="AU90" s="1" t="n"/>
      <c r="AV90" s="1" t="n"/>
      <c r="AW90" s="1" t="n"/>
    </row>
    <row r="9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AS91" s="1" t="n"/>
      <c r="AT91" s="1" t="n"/>
      <c r="AU91" s="1" t="n"/>
      <c r="AV91" s="1" t="n"/>
      <c r="AW91" s="1" t="n"/>
    </row>
    <row r="9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AS92" s="1" t="n"/>
      <c r="AT92" s="1" t="n"/>
      <c r="AU92" s="1" t="n"/>
      <c r="AV92" s="1" t="n"/>
      <c r="AW92" s="1" t="n"/>
    </row>
    <row r="9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AS93" s="1" t="n"/>
      <c r="AT93" s="1" t="n"/>
      <c r="AU93" s="1" t="n"/>
      <c r="AV93" s="1" t="n"/>
      <c r="AW93" s="1" t="n"/>
    </row>
    <row r="94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AS94" s="1" t="n"/>
      <c r="AT94" s="1" t="n"/>
      <c r="AU94" s="1" t="n"/>
      <c r="AV94" s="1" t="n"/>
      <c r="AW94" s="1" t="n"/>
    </row>
    <row r="95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AS95" s="1" t="n"/>
      <c r="AT95" s="1" t="n"/>
      <c r="AU95" s="1" t="n"/>
      <c r="AV95" s="1" t="n"/>
      <c r="AW95" s="1" t="n"/>
    </row>
    <row r="96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AS96" s="1" t="n"/>
      <c r="AT96" s="1" t="n"/>
      <c r="AU96" s="1" t="n"/>
      <c r="AV96" s="1" t="n"/>
      <c r="AW96" s="1" t="n"/>
    </row>
    <row r="97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AS97" s="1" t="n"/>
      <c r="AT97" s="1" t="n"/>
      <c r="AU97" s="1" t="n"/>
      <c r="AV97" s="1" t="n"/>
      <c r="AW97" s="1" t="n"/>
    </row>
    <row r="98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AS98" s="1" t="n"/>
      <c r="AT98" s="1" t="n"/>
      <c r="AU98" s="1" t="n"/>
      <c r="AV98" s="1" t="n"/>
      <c r="AW98" s="1" t="n"/>
    </row>
    <row r="99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AS99" s="1" t="n"/>
      <c r="AT99" s="1" t="n"/>
      <c r="AU99" s="1" t="n"/>
      <c r="AV99" s="1" t="n"/>
      <c r="AW99" s="1" t="n"/>
    </row>
    <row r="100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AS100" s="1" t="n"/>
      <c r="AT100" s="1" t="n"/>
      <c r="AU100" s="1" t="n"/>
      <c r="AV100" s="1" t="n"/>
      <c r="AW100" s="1" t="n"/>
    </row>
    <row r="10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AS101" s="1" t="n"/>
      <c r="AT101" s="1" t="n"/>
      <c r="AU101" s="1" t="n"/>
      <c r="AV101" s="1" t="n"/>
      <c r="AW101" s="1" t="n"/>
    </row>
    <row r="10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AS102" s="1" t="n"/>
      <c r="AT102" s="1" t="n"/>
      <c r="AU102" s="1" t="n"/>
      <c r="AV102" s="1" t="n"/>
      <c r="AW102" s="1" t="n"/>
    </row>
    <row r="10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AS103" s="1" t="n"/>
      <c r="AT103" s="1" t="n"/>
      <c r="AU103" s="1" t="n"/>
      <c r="AV103" s="1" t="n"/>
      <c r="AW103" s="1" t="n"/>
    </row>
    <row r="104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AS104" s="1" t="n"/>
      <c r="AT104" s="1" t="n"/>
      <c r="AU104" s="1" t="n"/>
      <c r="AV104" s="1" t="n"/>
      <c r="AW104" s="1" t="n"/>
    </row>
    <row r="105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AS105" s="1" t="n"/>
      <c r="AT105" s="1" t="n"/>
      <c r="AU105" s="1" t="n"/>
      <c r="AV105" s="1" t="n"/>
      <c r="AW105" s="1" t="n"/>
    </row>
    <row r="106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</row>
    <row r="107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</row>
    <row r="108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AS108" s="1" t="n"/>
      <c r="AT108" s="1" t="n"/>
      <c r="AU108" s="1" t="n"/>
      <c r="AV108" s="1" t="n"/>
      <c r="AW108" s="1" t="n"/>
    </row>
    <row r="109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</row>
  </sheetData>
  <mergeCells count="19">
    <mergeCell ref="AL7:AN7"/>
    <mergeCell ref="B4:AD4"/>
    <mergeCell ref="AF3:AV3"/>
    <mergeCell ref="AH7:AK7"/>
    <mergeCell ref="AP7:AS7"/>
    <mergeCell ref="A5:AW5"/>
    <mergeCell ref="AF4:AV4"/>
    <mergeCell ref="B7:E7"/>
    <mergeCell ref="V7:X7"/>
    <mergeCell ref="AN8:AV8"/>
    <mergeCell ref="AD7:AF7"/>
    <mergeCell ref="R7:U7"/>
    <mergeCell ref="Z7:AC7"/>
    <mergeCell ref="AF2:AV2"/>
    <mergeCell ref="AT7:AV7"/>
    <mergeCell ref="N7:P7"/>
    <mergeCell ref="F7:H7"/>
    <mergeCell ref="J7:M7"/>
    <mergeCell ref="B2:AD3"/>
  </mergeCells>
  <hyperlinks>
    <hyperlink xmlns:r="http://schemas.openxmlformats.org/officeDocument/2006/relationships" ref="AN8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B08D57"/>
    <outlinePr summaryBelow="1" summaryRight="1"/>
    <pageSetUpPr/>
  </sheetPr>
  <dimension ref="A1:Q10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4" customWidth="1" min="2" max="2"/>
    <col width="22" customWidth="1" min="3" max="3"/>
    <col width="14" customWidth="1" min="4" max="4"/>
    <col width="33" customWidth="1" min="5" max="5"/>
    <col width="14" customWidth="1" min="6" max="6"/>
    <col width="14" customWidth="1" min="7" max="7"/>
    <col width="22" customWidth="1" min="8" max="8"/>
    <col width="16" customWidth="1" min="9" max="9"/>
    <col width="20" customWidth="1" min="10" max="10"/>
    <col width="13" customWidth="1" min="11" max="11"/>
    <col width="13" customWidth="1" min="12" max="12"/>
    <col width="13" customWidth="1" min="13" max="13"/>
    <col width="11" customWidth="1" min="14" max="14"/>
    <col width="23" customWidth="1" min="15" max="15"/>
    <col width="14" customWidth="1" min="16" max="16"/>
    <col width="42" customWidth="1" min="17" max="17"/>
  </cols>
  <sheetData>
    <row r="1" ht="30" customHeight="1">
      <c r="A1" s="97" t="inlineStr">
        <is>
          <t>CONTROLE DE PROCESSOS — FLUXO DE NOTIFICAÇÕES</t>
        </is>
      </c>
    </row>
    <row r="2" ht="18" customHeight="1">
      <c r="A2" s="98" t="str">
        <f>"Base oficial de registros  •  "&amp;COUNTA(rEmpresa)&amp;" processo(s) cadastrado(s)  •  Colunas A–L e Q: preenchimento manual   |   Colunas M–P (dourado): cálculo automático"</f>
        <v>Base oficial de registros  •  96 processo(s) cadastrado(s)  •  Colunas A–L e Q: preenchimento manual   |   Colunas M–P (dourado): cálculo automático</v>
      </c>
    </row>
    <row r="3" ht="4" customHeight="1">
      <c r="A3" s="8" t="n"/>
    </row>
    <row r="4" ht="34" customHeight="1">
      <c r="A4" s="99" t="inlineStr">
        <is>
          <t>N°</t>
        </is>
      </c>
      <c r="B4" s="99" t="inlineStr">
        <is>
          <t>EMPRESA</t>
        </is>
      </c>
      <c r="C4" s="99" t="inlineStr">
        <is>
          <t>RAMO</t>
        </is>
      </c>
      <c r="D4" s="99" t="inlineStr">
        <is>
          <t>DATA DA
FISCALIZAÇÃO</t>
        </is>
      </c>
      <c r="E4" s="99" t="inlineStr">
        <is>
          <t>NOTIFICAÇÃO</t>
        </is>
      </c>
      <c r="F4" s="99" t="inlineStr">
        <is>
          <t>TIPO</t>
        </is>
      </c>
      <c r="G4" s="99" t="inlineStr">
        <is>
          <t>STATUS</t>
        </is>
      </c>
      <c r="H4" s="99" t="inlineStr">
        <is>
          <t>RESPONSÁVEL</t>
        </is>
      </c>
      <c r="I4" s="99" t="inlineStr">
        <is>
          <t>N° NOTIFICAÇÃO</t>
        </is>
      </c>
      <c r="J4" s="99" t="inlineStr">
        <is>
          <t>PROCESSO ORIGEM</t>
        </is>
      </c>
      <c r="K4" s="99" t="inlineStr">
        <is>
          <t>DATA P.
ORIGEM</t>
        </is>
      </c>
      <c r="L4" s="99" t="inlineStr">
        <is>
          <t>DATA DA
DEFESA</t>
        </is>
      </c>
      <c r="M4" s="100" t="inlineStr">
        <is>
          <t>PRAZO
FINAL</t>
        </is>
      </c>
      <c r="N4" s="100" t="inlineStr">
        <is>
          <t>DIAS
RESTANTES</t>
        </is>
      </c>
      <c r="O4" s="100" t="inlineStr">
        <is>
          <t>SITUAÇÃO
DO PRAZO</t>
        </is>
      </c>
      <c r="P4" s="100" t="inlineStr">
        <is>
          <t>DIAS DESDE A
FISCALIZAÇÃO</t>
        </is>
      </c>
      <c r="Q4" s="99" t="inlineStr">
        <is>
          <t>OBSERVAÇÕES</t>
        </is>
      </c>
    </row>
    <row r="5" ht="18" customHeight="1">
      <c r="A5" s="101" t="n">
        <v>1</v>
      </c>
      <c r="B5" s="102" t="inlineStr">
        <is>
          <t>Conecta Ipê Amarelo</t>
        </is>
      </c>
      <c r="C5" s="102" t="inlineStr">
        <is>
          <t>TELEFONIA</t>
        </is>
      </c>
      <c r="D5" s="103" t="n">
        <v>46088</v>
      </c>
      <c r="E5" s="102" t="inlineStr">
        <is>
          <t>NOTIFICAÇÃO DE ESCLARECIMENTO</t>
        </is>
      </c>
      <c r="F5" s="104" t="inlineStr">
        <is>
          <t>PRESENCIAL</t>
        </is>
      </c>
      <c r="G5" s="104" t="inlineStr">
        <is>
          <t>DECISÃO D.P</t>
        </is>
      </c>
      <c r="H5" s="102" t="inlineStr">
        <is>
          <t>BRUNO CARVALHO</t>
        </is>
      </c>
      <c r="I5" s="105" t="inlineStr">
        <is>
          <t>0925/2026</t>
        </is>
      </c>
      <c r="J5" s="105" t="inlineStr">
        <is>
          <t>2026.072061-5/04</t>
        </is>
      </c>
      <c r="K5" s="103" t="n">
        <v>46081</v>
      </c>
      <c r="L5" s="103" t="n">
        <v>46092</v>
      </c>
      <c r="M5" s="106">
        <f>IF(OR(D5="",E5=""),"",D5+IF(E5="NOTIFICAÇÃO DE CONSTATAÇÃO",PrazoConst,PrazoEsc))</f>
        <v>46103.0</v>
      </c>
      <c r="N5" s="107">
        <f>IF(M5="","",IF(ISNUMBER(L5),M5-L5,IF(G5="DECISÃO D.P","",M5-TODAY())))</f>
        <v>11</v>
      </c>
      <c r="O5" s="108" t="str">
        <f>IF(B5="","",IF(ISNUMBER(L5),IF(N5="","SEM DATA",IF(N5&gt;=0,"DEFESA NO PRAZO","DEFESA FORA DO PRAZO")),IF(G5="DECISÃO D.P","SEM DEFESA",IF(G5="","SEM STATUS",IF(N5="","SEM DATA",IF(N5&lt;0,"VENCIDO",IF(N5&lt;=DiasAlerta,"VENCE EM BREVE","NO PRAZO")))))))</f>
        <v>DEFESA NO PRAZO</v>
      </c>
      <c r="P5" s="109">
        <f>IF(D5="","",TODAY()-D5)</f>
        <v>216</v>
      </c>
      <c r="Q5" s="102" t="inlineStr">
        <is>
          <t>Registro de exemplo — os dados de exemplo podem ser apagados (colunas A–L e Q).</t>
        </is>
      </c>
    </row>
    <row r="6" ht="18" customHeight="1">
      <c r="A6" s="101" t="n">
        <v>2</v>
      </c>
      <c r="B6" s="102" t="inlineStr">
        <is>
          <t>Churrascaria São Jorge ME</t>
        </is>
      </c>
      <c r="C6" s="102" t="inlineStr">
        <is>
          <t>RESTAURANTE</t>
        </is>
      </c>
      <c r="D6" s="103" t="n">
        <v>46096</v>
      </c>
      <c r="E6" s="102" t="inlineStr">
        <is>
          <t>NOTIFICAÇÃO DE ESCLARECIMENTO</t>
        </is>
      </c>
      <c r="F6" s="104" t="inlineStr">
        <is>
          <t>PRESENCIAL</t>
        </is>
      </c>
      <c r="G6" s="104" t="inlineStr">
        <is>
          <t>PRAZO D.P</t>
        </is>
      </c>
      <c r="H6" s="102" t="inlineStr">
        <is>
          <t>BRUNO CARVALHO</t>
        </is>
      </c>
      <c r="I6" s="105" t="inlineStr">
        <is>
          <t>0765/2026</t>
        </is>
      </c>
      <c r="J6" s="105" t="inlineStr">
        <is>
          <t>2026.002374-0/06</t>
        </is>
      </c>
      <c r="K6" s="103" t="n">
        <v>46023</v>
      </c>
      <c r="L6" s="103" t="n"/>
      <c r="M6" s="106">
        <f>IF(OR(D6="",E6=""),"",D6+IF(E6="NOTIFICAÇÃO DE CONSTATAÇÃO",PrazoConst,PrazoEsc))</f>
        <v>46111.0</v>
      </c>
      <c r="N6" s="107">
        <f>IF(M6="","",IF(ISNUMBER(L6),M6-L6,IF(G6="DECISÃO D.P","",M6-TODAY())))</f>
        <v>-193</v>
      </c>
      <c r="O6" s="108" t="str">
        <f>IF(B6="","",IF(ISNUMBER(L6),IF(N6="","SEM DATA",IF(N6&gt;=0,"DEFESA NO PRAZO","DEFESA FORA DO PRAZO")),IF(G6="DECISÃO D.P","SEM DEFESA",IF(G6="","SEM STATUS",IF(N6="","SEM DATA",IF(N6&lt;0,"VENCIDO",IF(N6&lt;=DiasAlerta,"VENCE EM BREVE","NO PRAZO")))))))</f>
        <v>VENCIDO</v>
      </c>
      <c r="P6" s="109">
        <f>IF(D6="","",TODAY()-D6)</f>
        <v>208</v>
      </c>
      <c r="Q6" s="102" t="n"/>
    </row>
    <row r="7" ht="18" customHeight="1">
      <c r="A7" s="101" t="n">
        <v>3</v>
      </c>
      <c r="B7" s="102" t="inlineStr">
        <is>
          <t>Churrascaria Boa Esperança ME</t>
        </is>
      </c>
      <c r="C7" s="102" t="inlineStr">
        <is>
          <t>RESTAURANTE</t>
        </is>
      </c>
      <c r="D7" s="103" t="n">
        <v>46099</v>
      </c>
      <c r="E7" s="102" t="inlineStr">
        <is>
          <t>NOTIFICAÇÃO DE CONSTATAÇÃO</t>
        </is>
      </c>
      <c r="F7" s="104" t="inlineStr">
        <is>
          <t>ELETRÔNICA</t>
        </is>
      </c>
      <c r="G7" s="104" t="inlineStr">
        <is>
          <t>DECISÃO D.P</t>
        </is>
      </c>
      <c r="H7" s="102" t="inlineStr">
        <is>
          <t>EDUARDA LIMA</t>
        </is>
      </c>
      <c r="I7" s="105" t="inlineStr">
        <is>
          <t>0294/2026</t>
        </is>
      </c>
      <c r="J7" s="105" t="inlineStr">
        <is>
          <t>2026.007450-8/06</t>
        </is>
      </c>
      <c r="K7" s="103" t="n">
        <v>46026</v>
      </c>
      <c r="L7" s="103" t="n"/>
      <c r="M7" s="106">
        <f>IF(OR(D7="",E7=""),"",D7+IF(E7="NOTIFICAÇÃO DE CONSTATAÇÃO",PrazoConst,PrazoEsc))</f>
        <v>46109.0</v>
      </c>
      <c r="N7" s="107" t="str">
        <f>IF(M7="","",IF(ISNUMBER(L7),M7-L7,IF(G7="DECISÃO D.P","",M7-TODAY())))</f>
        <v/>
      </c>
      <c r="O7" s="108" t="str">
        <f>IF(B7="","",IF(ISNUMBER(L7),IF(N7="","SEM DATA",IF(N7&gt;=0,"DEFESA NO PRAZO","DEFESA FORA DO PRAZO")),IF(G7="DECISÃO D.P","SEM DEFESA",IF(G7="","SEM STATUS",IF(N7="","SEM DATA",IF(N7&lt;0,"VENCIDO",IF(N7&lt;=DiasAlerta,"VENCE EM BREVE","NO PRAZO")))))))</f>
        <v>SEM DEFESA</v>
      </c>
      <c r="P7" s="109">
        <f>IF(D7="","",TODAY()-D7)</f>
        <v>205</v>
      </c>
      <c r="Q7" s="102" t="n"/>
    </row>
    <row r="8" ht="18" customHeight="1">
      <c r="A8" s="101" t="n">
        <v>4</v>
      </c>
      <c r="B8" s="102" t="inlineStr">
        <is>
          <t>Boutique Monte Sião</t>
        </is>
      </c>
      <c r="C8" s="102" t="inlineStr">
        <is>
          <t>LOJA</t>
        </is>
      </c>
      <c r="D8" s="103" t="n">
        <v>46100</v>
      </c>
      <c r="E8" s="102" t="inlineStr">
        <is>
          <t>NOTIFICAÇÃO DE CONSTATAÇÃO</t>
        </is>
      </c>
      <c r="F8" s="104" t="inlineStr">
        <is>
          <t>PRESENCIAL</t>
        </is>
      </c>
      <c r="G8" s="104" t="inlineStr">
        <is>
          <t>DECISÃO D.P</t>
        </is>
      </c>
      <c r="H8" s="102" t="inlineStr">
        <is>
          <t>CARLA MENDES</t>
        </is>
      </c>
      <c r="I8" s="105" t="inlineStr">
        <is>
          <t>0372/2026</t>
        </is>
      </c>
      <c r="J8" s="105" t="inlineStr">
        <is>
          <t>2026.071992-4/09</t>
        </is>
      </c>
      <c r="K8" s="103" t="n">
        <v>46070</v>
      </c>
      <c r="L8" s="103" t="n">
        <v>46112</v>
      </c>
      <c r="M8" s="106">
        <f>IF(OR(D8="",E8=""),"",D8+IF(E8="NOTIFICAÇÃO DE CONSTATAÇÃO",PrazoConst,PrazoEsc))</f>
        <v>46110.0</v>
      </c>
      <c r="N8" s="107">
        <f>IF(M8="","",IF(ISNUMBER(L8),M8-L8,IF(G8="DECISÃO D.P","",M8-TODAY())))</f>
        <v>-2</v>
      </c>
      <c r="O8" s="108" t="str">
        <f>IF(B8="","",IF(ISNUMBER(L8),IF(N8="","SEM DATA",IF(N8&gt;=0,"DEFESA NO PRAZO","DEFESA FORA DO PRAZO")),IF(G8="DECISÃO D.P","SEM DEFESA",IF(G8="","SEM STATUS",IF(N8="","SEM DATA",IF(N8&lt;0,"VENCIDO",IF(N8&lt;=DiasAlerta,"VENCE EM BREVE","NO PRAZO")))))))</f>
        <v>DEFESA FORA DO PRAZO</v>
      </c>
      <c r="P8" s="109">
        <f>IF(D8="","",TODAY()-D8)</f>
        <v>204</v>
      </c>
      <c r="Q8" s="102" t="n"/>
    </row>
    <row r="9" ht="18" customHeight="1">
      <c r="A9" s="101" t="n">
        <v>5</v>
      </c>
      <c r="B9" s="102" t="inlineStr">
        <is>
          <t>Colégio Bela Vista</t>
        </is>
      </c>
      <c r="C9" s="102" t="inlineStr">
        <is>
          <t>ESCOLA</t>
        </is>
      </c>
      <c r="D9" s="103" t="n">
        <v>46102</v>
      </c>
      <c r="E9" s="102" t="inlineStr">
        <is>
          <t>NOTIFICAÇÃO DE CONSTATAÇÃO</t>
        </is>
      </c>
      <c r="F9" s="104" t="inlineStr">
        <is>
          <t>PRESENCIAL</t>
        </is>
      </c>
      <c r="G9" s="104" t="inlineStr">
        <is>
          <t>DECISÃO D.P</t>
        </is>
      </c>
      <c r="H9" s="102" t="inlineStr">
        <is>
          <t>GABRIELA NUNES</t>
        </is>
      </c>
      <c r="I9" s="105" t="inlineStr">
        <is>
          <t>0485/2026</t>
        </is>
      </c>
      <c r="J9" s="105" t="inlineStr">
        <is>
          <t>2026.016766-5/02</t>
        </is>
      </c>
      <c r="K9" s="103" t="n">
        <v>46046</v>
      </c>
      <c r="L9" s="103" t="n">
        <v>46110</v>
      </c>
      <c r="M9" s="106">
        <f>IF(OR(D9="",E9=""),"",D9+IF(E9="NOTIFICAÇÃO DE CONSTATAÇÃO",PrazoConst,PrazoEsc))</f>
        <v>46112.0</v>
      </c>
      <c r="N9" s="107">
        <f>IF(M9="","",IF(ISNUMBER(L9),M9-L9,IF(G9="DECISÃO D.P","",M9-TODAY())))</f>
        <v>2</v>
      </c>
      <c r="O9" s="108" t="str">
        <f>IF(B9="","",IF(ISNUMBER(L9),IF(N9="","SEM DATA",IF(N9&gt;=0,"DEFESA NO PRAZO","DEFESA FORA DO PRAZO")),IF(G9="DECISÃO D.P","SEM DEFESA",IF(G9="","SEM STATUS",IF(N9="","SEM DATA",IF(N9&lt;0,"VENCIDO",IF(N9&lt;=DiasAlerta,"VENCE EM BREVE","NO PRAZO")))))))</f>
        <v>DEFESA NO PRAZO</v>
      </c>
      <c r="P9" s="109">
        <f>IF(D9="","",TODAY()-D9)</f>
        <v>202</v>
      </c>
      <c r="Q9" s="102" t="n"/>
    </row>
    <row r="10" ht="18" customHeight="1">
      <c r="A10" s="101" t="n">
        <v>6</v>
      </c>
      <c r="B10" s="102" t="inlineStr">
        <is>
          <t>Drogaria Bom Preço</t>
        </is>
      </c>
      <c r="C10" s="102" t="inlineStr">
        <is>
          <t>FARMÁCIA</t>
        </is>
      </c>
      <c r="D10" s="103" t="n">
        <v>46107</v>
      </c>
      <c r="E10" s="102" t="inlineStr">
        <is>
          <t>NOTIFICAÇÃO DE ESCLARECIMENTO</t>
        </is>
      </c>
      <c r="F10" s="104" t="inlineStr">
        <is>
          <t>ELETRÔNICA</t>
        </is>
      </c>
      <c r="G10" s="104" t="inlineStr">
        <is>
          <t>PRAZO D.P</t>
        </is>
      </c>
      <c r="H10" s="102" t="inlineStr">
        <is>
          <t>EDUARDA LIMA</t>
        </is>
      </c>
      <c r="I10" s="105" t="inlineStr">
        <is>
          <t>0560/2026</t>
        </is>
      </c>
      <c r="J10" s="105" t="inlineStr">
        <is>
          <t>2026.028513-6/06</t>
        </is>
      </c>
      <c r="K10" s="103" t="n">
        <v>46036</v>
      </c>
      <c r="L10" s="103" t="n"/>
      <c r="M10" s="106">
        <f>IF(OR(D10="",E10=""),"",D10+IF(E10="NOTIFICAÇÃO DE CONSTATAÇÃO",PrazoConst,PrazoEsc))</f>
        <v>46122.0</v>
      </c>
      <c r="N10" s="107">
        <f>IF(M10="","",IF(ISNUMBER(L10),M10-L10,IF(G10="DECISÃO D.P","",M10-TODAY())))</f>
        <v>-182</v>
      </c>
      <c r="O10" s="108" t="str">
        <f>IF(B10="","",IF(ISNUMBER(L10),IF(N10="","SEM DATA",IF(N10&gt;=0,"DEFESA NO PRAZO","DEFESA FORA DO PRAZO")),IF(G10="DECISÃO D.P","SEM DEFESA",IF(G10="","SEM STATUS",IF(N10="","SEM DATA",IF(N10&lt;0,"VENCIDO",IF(N10&lt;=DiasAlerta,"VENCE EM BREVE","NO PRAZO")))))))</f>
        <v>VENCIDO</v>
      </c>
      <c r="P10" s="109">
        <f>IF(D10="","",TODAY()-D10)</f>
        <v>197</v>
      </c>
      <c r="Q10" s="102" t="n"/>
    </row>
    <row r="11" ht="18" customHeight="1">
      <c r="A11" s="101" t="n">
        <v>7</v>
      </c>
      <c r="B11" s="102" t="inlineStr">
        <is>
          <t>Mercado Atlântico</t>
        </is>
      </c>
      <c r="C11" s="102" t="inlineStr">
        <is>
          <t>SUPERMERCADO</t>
        </is>
      </c>
      <c r="D11" s="103" t="n">
        <v>46107</v>
      </c>
      <c r="E11" s="102" t="inlineStr">
        <is>
          <t>NOTIFICAÇÃO DE CONSTATAÇÃO</t>
        </is>
      </c>
      <c r="F11" s="104" t="inlineStr">
        <is>
          <t>PRESENCIAL</t>
        </is>
      </c>
      <c r="G11" s="104" t="inlineStr">
        <is>
          <t>DECISÃO D.P</t>
        </is>
      </c>
      <c r="H11" s="102" t="inlineStr">
        <is>
          <t>EDUARDA LIMA</t>
        </is>
      </c>
      <c r="I11" s="105" t="inlineStr">
        <is>
          <t>0201/2026</t>
        </is>
      </c>
      <c r="J11" s="105" t="inlineStr">
        <is>
          <t>2026.023260-6/11</t>
        </is>
      </c>
      <c r="K11" s="103" t="n">
        <v>46064</v>
      </c>
      <c r="L11" s="103" t="n">
        <v>46122</v>
      </c>
      <c r="M11" s="106">
        <f>IF(OR(D11="",E11=""),"",D11+IF(E11="NOTIFICAÇÃO DE CONSTATAÇÃO",PrazoConst,PrazoEsc))</f>
        <v>46117.0</v>
      </c>
      <c r="N11" s="107">
        <f>IF(M11="","",IF(ISNUMBER(L11),M11-L11,IF(G11="DECISÃO D.P","",M11-TODAY())))</f>
        <v>-5</v>
      </c>
      <c r="O11" s="108" t="str">
        <f>IF(B11="","",IF(ISNUMBER(L11),IF(N11="","SEM DATA",IF(N11&gt;=0,"DEFESA NO PRAZO","DEFESA FORA DO PRAZO")),IF(G11="DECISÃO D.P","SEM DEFESA",IF(G11="","SEM STATUS",IF(N11="","SEM DATA",IF(N11&lt;0,"VENCIDO",IF(N11&lt;=DiasAlerta,"VENCE EM BREVE","NO PRAZO")))))))</f>
        <v>DEFESA FORA DO PRAZO</v>
      </c>
      <c r="P11" s="109">
        <f>IF(D11="","",TODAY()-D11)</f>
        <v>197</v>
      </c>
      <c r="Q11" s="102" t="n"/>
    </row>
    <row r="12" ht="18" customHeight="1">
      <c r="A12" s="101" t="n">
        <v>8</v>
      </c>
      <c r="B12" s="102" t="inlineStr">
        <is>
          <t>Loja Estrela Ltda</t>
        </is>
      </c>
      <c r="C12" s="102" t="inlineStr">
        <is>
          <t>LOJA</t>
        </is>
      </c>
      <c r="D12" s="103" t="n">
        <v>46117</v>
      </c>
      <c r="E12" s="102" t="inlineStr">
        <is>
          <t>NOTIFICAÇÃO DE CONSTATAÇÃO</t>
        </is>
      </c>
      <c r="F12" s="104" t="inlineStr">
        <is>
          <t>PRESENCIAL</t>
        </is>
      </c>
      <c r="G12" s="104" t="inlineStr">
        <is>
          <t>PRAZO D.P</t>
        </is>
      </c>
      <c r="H12" s="102" t="inlineStr">
        <is>
          <t>HENRIQUE COSTA</t>
        </is>
      </c>
      <c r="I12" s="105" t="inlineStr">
        <is>
          <t>0711/2026</t>
        </is>
      </c>
      <c r="J12" s="105" t="inlineStr">
        <is>
          <t>2026.068566-0/15</t>
        </is>
      </c>
      <c r="K12" s="103" t="n">
        <v>46053</v>
      </c>
      <c r="L12" s="103" t="n"/>
      <c r="M12" s="106">
        <f>IF(OR(D12="",E12=""),"",D12+IF(E12="NOTIFICAÇÃO DE CONSTATAÇÃO",PrazoConst,PrazoEsc))</f>
        <v>46127.0</v>
      </c>
      <c r="N12" s="107">
        <f>IF(M12="","",IF(ISNUMBER(L12),M12-L12,IF(G12="DECISÃO D.P","",M12-TODAY())))</f>
        <v>-177</v>
      </c>
      <c r="O12" s="108" t="str">
        <f>IF(B12="","",IF(ISNUMBER(L12),IF(N12="","SEM DATA",IF(N12&gt;=0,"DEFESA NO PRAZO","DEFESA FORA DO PRAZO")),IF(G12="DECISÃO D.P","SEM DEFESA",IF(G12="","SEM STATUS",IF(N12="","SEM DATA",IF(N12&lt;0,"VENCIDO",IF(N12&lt;=DiasAlerta,"VENCE EM BREVE","NO PRAZO")))))))</f>
        <v>VENCIDO</v>
      </c>
      <c r="P12" s="109">
        <f>IF(D12="","",TODAY()-D12)</f>
        <v>187</v>
      </c>
      <c r="Q12" s="102" t="n"/>
    </row>
    <row r="13" ht="18" customHeight="1">
      <c r="A13" s="101" t="n">
        <v>9</v>
      </c>
      <c r="B13" s="102" t="inlineStr">
        <is>
          <t>Restaurante Avenida Filial 2</t>
        </is>
      </c>
      <c r="C13" s="102" t="inlineStr">
        <is>
          <t>RESTAURANTE</t>
        </is>
      </c>
      <c r="D13" s="103" t="n">
        <v>46118</v>
      </c>
      <c r="E13" s="102" t="inlineStr">
        <is>
          <t>NOTIFICAÇÃO DE CONSTATAÇÃO</t>
        </is>
      </c>
      <c r="F13" s="104" t="inlineStr">
        <is>
          <t>PRESENCIAL</t>
        </is>
      </c>
      <c r="G13" s="104" t="inlineStr">
        <is>
          <t>DECISÃO D.P</t>
        </is>
      </c>
      <c r="H13" s="102" t="inlineStr">
        <is>
          <t>ANA PAULA SOUZA</t>
        </is>
      </c>
      <c r="I13" s="105" t="inlineStr">
        <is>
          <t>0643/2026</t>
        </is>
      </c>
      <c r="J13" s="105" t="inlineStr">
        <is>
          <t>2026.014047-1/14</t>
        </is>
      </c>
      <c r="K13" s="103" t="n">
        <v>46061</v>
      </c>
      <c r="L13" s="103" t="n"/>
      <c r="M13" s="106">
        <f>IF(OR(D13="",E13=""),"",D13+IF(E13="NOTIFICAÇÃO DE CONSTATAÇÃO",PrazoConst,PrazoEsc))</f>
        <v>46128.0</v>
      </c>
      <c r="N13" s="107" t="str">
        <f>IF(M13="","",IF(ISNUMBER(L13),M13-L13,IF(G13="DECISÃO D.P","",M13-TODAY())))</f>
        <v/>
      </c>
      <c r="O13" s="108" t="str">
        <f>IF(B13="","",IF(ISNUMBER(L13),IF(N13="","SEM DATA",IF(N13&gt;=0,"DEFESA NO PRAZO","DEFESA FORA DO PRAZO")),IF(G13="DECISÃO D.P","SEM DEFESA",IF(G13="","SEM STATUS",IF(N13="","SEM DATA",IF(N13&lt;0,"VENCIDO",IF(N13&lt;=DiasAlerta,"VENCE EM BREVE","NO PRAZO")))))))</f>
        <v>SEM DEFESA</v>
      </c>
      <c r="P13" s="109">
        <f>IF(D13="","",TODAY()-D13)</f>
        <v>186</v>
      </c>
      <c r="Q13" s="102" t="n"/>
    </row>
    <row r="14" ht="18" customHeight="1">
      <c r="A14" s="101" t="n">
        <v>10</v>
      </c>
      <c r="B14" s="102" t="inlineStr">
        <is>
          <t>Banco Vitória 24h</t>
        </is>
      </c>
      <c r="C14" s="102" t="inlineStr">
        <is>
          <t>BANCO</t>
        </is>
      </c>
      <c r="D14" s="103" t="n">
        <v>46121</v>
      </c>
      <c r="E14" s="102" t="inlineStr">
        <is>
          <t>NOTIFICAÇÃO DE ESCLARECIMENTO</t>
        </is>
      </c>
      <c r="F14" s="104" t="inlineStr">
        <is>
          <t>PRESENCIAL</t>
        </is>
      </c>
      <c r="G14" s="104" t="inlineStr">
        <is>
          <t>DECISÃO D.P</t>
        </is>
      </c>
      <c r="H14" s="102" t="inlineStr">
        <is>
          <t>DIEGO RIBEIRO</t>
        </is>
      </c>
      <c r="I14" s="105" t="inlineStr">
        <is>
          <t>0428/2026</t>
        </is>
      </c>
      <c r="J14" s="105" t="inlineStr">
        <is>
          <t>2026.042254-2/11</t>
        </is>
      </c>
      <c r="K14" s="103" t="n">
        <v>46083</v>
      </c>
      <c r="L14" s="103" t="n">
        <v>46127</v>
      </c>
      <c r="M14" s="106">
        <f>IF(OR(D14="",E14=""),"",D14+IF(E14="NOTIFICAÇÃO DE CONSTATAÇÃO",PrazoConst,PrazoEsc))</f>
        <v>46136.0</v>
      </c>
      <c r="N14" s="107">
        <f>IF(M14="","",IF(ISNUMBER(L14),M14-L14,IF(G14="DECISÃO D.P","",M14-TODAY())))</f>
        <v>9</v>
      </c>
      <c r="O14" s="108" t="str">
        <f>IF(B14="","",IF(ISNUMBER(L14),IF(N14="","SEM DATA",IF(N14&gt;=0,"DEFESA NO PRAZO","DEFESA FORA DO PRAZO")),IF(G14="DECISÃO D.P","SEM DEFESA",IF(G14="","SEM STATUS",IF(N14="","SEM DATA",IF(N14&lt;0,"VENCIDO",IF(N14&lt;=DiasAlerta,"VENCE EM BREVE","NO PRAZO")))))))</f>
        <v>DEFESA NO PRAZO</v>
      </c>
      <c r="P14" s="109">
        <f>IF(D14="","",TODAY()-D14)</f>
        <v>183</v>
      </c>
      <c r="Q14" s="102" t="n"/>
    </row>
    <row r="15" ht="18" customHeight="1">
      <c r="A15" s="101" t="n">
        <v>11</v>
      </c>
      <c r="B15" s="102" t="inlineStr">
        <is>
          <t>Telecom Horizonte Filial 2</t>
        </is>
      </c>
      <c r="C15" s="102" t="inlineStr">
        <is>
          <t>TELEFONIA</t>
        </is>
      </c>
      <c r="D15" s="103" t="n">
        <v>46121</v>
      </c>
      <c r="E15" s="102" t="inlineStr">
        <is>
          <t>NOTIFICAÇÃO DE CONSTATAÇÃO</t>
        </is>
      </c>
      <c r="F15" s="104" t="inlineStr">
        <is>
          <t>ELETRÔNICA</t>
        </is>
      </c>
      <c r="G15" s="104" t="inlineStr">
        <is>
          <t>DECISÃO D.P</t>
        </is>
      </c>
      <c r="H15" s="102" t="inlineStr">
        <is>
          <t>GABRIELA NUNES</t>
        </is>
      </c>
      <c r="I15" s="105" t="inlineStr">
        <is>
          <t>0150/2026</t>
        </is>
      </c>
      <c r="J15" s="105" t="inlineStr">
        <is>
          <t>2026.006278-7/01</t>
        </is>
      </c>
      <c r="K15" s="103" t="n">
        <v>46051</v>
      </c>
      <c r="L15" s="103" t="n">
        <v>46133</v>
      </c>
      <c r="M15" s="106">
        <f>IF(OR(D15="",E15=""),"",D15+IF(E15="NOTIFICAÇÃO DE CONSTATAÇÃO",PrazoConst,PrazoEsc))</f>
        <v>46131.0</v>
      </c>
      <c r="N15" s="107">
        <f>IF(M15="","",IF(ISNUMBER(L15),M15-L15,IF(G15="DECISÃO D.P","",M15-TODAY())))</f>
        <v>-2</v>
      </c>
      <c r="O15" s="108" t="str">
        <f>IF(B15="","",IF(ISNUMBER(L15),IF(N15="","SEM DATA",IF(N15&gt;=0,"DEFESA NO PRAZO","DEFESA FORA DO PRAZO")),IF(G15="DECISÃO D.P","SEM DEFESA",IF(G15="","SEM STATUS",IF(N15="","SEM DATA",IF(N15&lt;0,"VENCIDO",IF(N15&lt;=DiasAlerta,"VENCE EM BREVE","NO PRAZO")))))))</f>
        <v>DEFESA FORA DO PRAZO</v>
      </c>
      <c r="P15" s="109">
        <f>IF(D15="","",TODAY()-D15)</f>
        <v>183</v>
      </c>
      <c r="Q15" s="102" t="n"/>
    </row>
    <row r="16" ht="18" customHeight="1">
      <c r="A16" s="101" t="n">
        <v>12</v>
      </c>
      <c r="B16" s="102" t="inlineStr">
        <is>
          <t>Academia Jardim</t>
        </is>
      </c>
      <c r="C16" s="102" t="inlineStr">
        <is>
          <t>ACADEMIA</t>
        </is>
      </c>
      <c r="D16" s="103" t="n">
        <v>46125</v>
      </c>
      <c r="E16" s="102" t="inlineStr">
        <is>
          <t>NOTIFICAÇÃO DE CONSTATAÇÃO</t>
        </is>
      </c>
      <c r="F16" s="104" t="inlineStr">
        <is>
          <t>PRESENCIAL</t>
        </is>
      </c>
      <c r="G16" s="104" t="inlineStr">
        <is>
          <t>DECISÃO D.P</t>
        </is>
      </c>
      <c r="H16" s="102" t="inlineStr">
        <is>
          <t>DIEGO RIBEIRO</t>
        </is>
      </c>
      <c r="I16" s="105" t="inlineStr">
        <is>
          <t>0980/2026</t>
        </is>
      </c>
      <c r="J16" s="105" t="inlineStr">
        <is>
          <t>2026.022022-2/07</t>
        </is>
      </c>
      <c r="K16" s="103" t="n">
        <v>46103</v>
      </c>
      <c r="L16" s="103" t="n">
        <v>46139</v>
      </c>
      <c r="M16" s="106">
        <f>IF(OR(D16="",E16=""),"",D16+IF(E16="NOTIFICAÇÃO DE CONSTATAÇÃO",PrazoConst,PrazoEsc))</f>
        <v>46135.0</v>
      </c>
      <c r="N16" s="107">
        <f>IF(M16="","",IF(ISNUMBER(L16),M16-L16,IF(G16="DECISÃO D.P","",M16-TODAY())))</f>
        <v>-4</v>
      </c>
      <c r="O16" s="108" t="str">
        <f>IF(B16="","",IF(ISNUMBER(L16),IF(N16="","SEM DATA",IF(N16&gt;=0,"DEFESA NO PRAZO","DEFESA FORA DO PRAZO")),IF(G16="DECISÃO D.P","SEM DEFESA",IF(G16="","SEM STATUS",IF(N16="","SEM DATA",IF(N16&lt;0,"VENCIDO",IF(N16&lt;=DiasAlerta,"VENCE EM BREVE","NO PRAZO")))))))</f>
        <v>DEFESA FORA DO PRAZO</v>
      </c>
      <c r="P16" s="109">
        <f>IF(D16="","",TODAY()-D16)</f>
        <v>179</v>
      </c>
      <c r="Q16" s="102" t="n"/>
    </row>
    <row r="17" ht="18" customHeight="1">
      <c r="A17" s="101" t="n">
        <v>13</v>
      </c>
      <c r="B17" s="102" t="inlineStr">
        <is>
          <t>Colégio Primavera Ltda</t>
        </is>
      </c>
      <c r="C17" s="102" t="inlineStr">
        <is>
          <t>ESCOLA</t>
        </is>
      </c>
      <c r="D17" s="103" t="n">
        <v>46125</v>
      </c>
      <c r="E17" s="102" t="inlineStr">
        <is>
          <t>NOTIFICAÇÃO DE ESCLARECIMENTO</t>
        </is>
      </c>
      <c r="F17" s="104" t="inlineStr">
        <is>
          <t>PRESENCIAL</t>
        </is>
      </c>
      <c r="G17" s="104" t="inlineStr">
        <is>
          <t>DECISÃO D.P</t>
        </is>
      </c>
      <c r="H17" s="102" t="inlineStr">
        <is>
          <t>GABRIELA NUNES</t>
        </is>
      </c>
      <c r="I17" s="105" t="inlineStr">
        <is>
          <t>0687/2026</t>
        </is>
      </c>
      <c r="J17" s="105" t="inlineStr">
        <is>
          <t>2026.004563-5/14</t>
        </is>
      </c>
      <c r="K17" s="103" t="n">
        <v>46097</v>
      </c>
      <c r="L17" s="103" t="n">
        <v>46143</v>
      </c>
      <c r="M17" s="106">
        <f>IF(OR(D17="",E17=""),"",D17+IF(E17="NOTIFICAÇÃO DE CONSTATAÇÃO",PrazoConst,PrazoEsc))</f>
        <v>46140.0</v>
      </c>
      <c r="N17" s="107">
        <f>IF(M17="","",IF(ISNUMBER(L17),M17-L17,IF(G17="DECISÃO D.P","",M17-TODAY())))</f>
        <v>-3</v>
      </c>
      <c r="O17" s="108" t="str">
        <f>IF(B17="","",IF(ISNUMBER(L17),IF(N17="","SEM DATA",IF(N17&gt;=0,"DEFESA NO PRAZO","DEFESA FORA DO PRAZO")),IF(G17="DECISÃO D.P","SEM DEFESA",IF(G17="","SEM STATUS",IF(N17="","SEM DATA",IF(N17&lt;0,"VENCIDO",IF(N17&lt;=DiasAlerta,"VENCE EM BREVE","NO PRAZO")))))))</f>
        <v>DEFESA FORA DO PRAZO</v>
      </c>
      <c r="P17" s="109">
        <f>IF(D17="","",TODAY()-D17)</f>
        <v>179</v>
      </c>
      <c r="Q17" s="102" t="n"/>
    </row>
    <row r="18" ht="18" customHeight="1">
      <c r="A18" s="101" t="n">
        <v>14</v>
      </c>
      <c r="B18" s="102" t="inlineStr">
        <is>
          <t>Mercado Avenida</t>
        </is>
      </c>
      <c r="C18" s="102" t="inlineStr">
        <is>
          <t>SUPERMERCADO</t>
        </is>
      </c>
      <c r="D18" s="103" t="n">
        <v>46128</v>
      </c>
      <c r="E18" s="102" t="inlineStr">
        <is>
          <t>NOTIFICAÇÃO DE CONSTATAÇÃO</t>
        </is>
      </c>
      <c r="F18" s="104" t="inlineStr">
        <is>
          <t>ELETRÔNICA</t>
        </is>
      </c>
      <c r="G18" s="104" t="inlineStr">
        <is>
          <t>DECISÃO D.P</t>
        </is>
      </c>
      <c r="H18" s="102" t="inlineStr">
        <is>
          <t>CARLA MENDES</t>
        </is>
      </c>
      <c r="I18" s="105" t="inlineStr">
        <is>
          <t>0367/2026</t>
        </is>
      </c>
      <c r="J18" s="105" t="inlineStr">
        <is>
          <t>2026.041496-4/05</t>
        </is>
      </c>
      <c r="K18" s="103" t="n">
        <v>46057</v>
      </c>
      <c r="L18" s="103" t="n">
        <v>46136</v>
      </c>
      <c r="M18" s="106">
        <f>IF(OR(D18="",E18=""),"",D18+IF(E18="NOTIFICAÇÃO DE CONSTATAÇÃO",PrazoConst,PrazoEsc))</f>
        <v>46138.0</v>
      </c>
      <c r="N18" s="107">
        <f>IF(M18="","",IF(ISNUMBER(L18),M18-L18,IF(G18="DECISÃO D.P","",M18-TODAY())))</f>
        <v>2</v>
      </c>
      <c r="O18" s="108" t="str">
        <f>IF(B18="","",IF(ISNUMBER(L18),IF(N18="","SEM DATA",IF(N18&gt;=0,"DEFESA NO PRAZO","DEFESA FORA DO PRAZO")),IF(G18="DECISÃO D.P","SEM DEFESA",IF(G18="","SEM STATUS",IF(N18="","SEM DATA",IF(N18&lt;0,"VENCIDO",IF(N18&lt;=DiasAlerta,"VENCE EM BREVE","NO PRAZO")))))))</f>
        <v>DEFESA NO PRAZO</v>
      </c>
      <c r="P18" s="109">
        <f>IF(D18="","",TODAY()-D18)</f>
        <v>176</v>
      </c>
      <c r="Q18" s="102" t="n"/>
    </row>
    <row r="19" ht="18" customHeight="1">
      <c r="A19" s="101" t="n">
        <v>15</v>
      </c>
      <c r="B19" s="102" t="inlineStr">
        <is>
          <t>Boutique Atlântico</t>
        </is>
      </c>
      <c r="C19" s="102" t="inlineStr">
        <is>
          <t>LOJA</t>
        </is>
      </c>
      <c r="D19" s="103" t="n">
        <v>46132</v>
      </c>
      <c r="E19" s="102" t="inlineStr">
        <is>
          <t>NOTIFICAÇÃO DE ESCLARECIMENTO</t>
        </is>
      </c>
      <c r="F19" s="104" t="inlineStr">
        <is>
          <t>PRESENCIAL</t>
        </is>
      </c>
      <c r="G19" s="104" t="inlineStr">
        <is>
          <t>DECISÃO D.P</t>
        </is>
      </c>
      <c r="H19" s="102" t="inlineStr">
        <is>
          <t>DIEGO RIBEIRO</t>
        </is>
      </c>
      <c r="I19" s="105" t="inlineStr">
        <is>
          <t>0186/2026</t>
        </is>
      </c>
      <c r="J19" s="105" t="inlineStr">
        <is>
          <t>2026.055927-4/01</t>
        </is>
      </c>
      <c r="K19" s="103" t="n">
        <v>46060</v>
      </c>
      <c r="L19" s="103" t="n">
        <v>46141</v>
      </c>
      <c r="M19" s="106">
        <f>IF(OR(D19="",E19=""),"",D19+IF(E19="NOTIFICAÇÃO DE CONSTATAÇÃO",PrazoConst,PrazoEsc))</f>
        <v>46147.0</v>
      </c>
      <c r="N19" s="107">
        <f>IF(M19="","",IF(ISNUMBER(L19),M19-L19,IF(G19="DECISÃO D.P","",M19-TODAY())))</f>
        <v>6</v>
      </c>
      <c r="O19" s="108" t="str">
        <f>IF(B19="","",IF(ISNUMBER(L19),IF(N19="","SEM DATA",IF(N19&gt;=0,"DEFESA NO PRAZO","DEFESA FORA DO PRAZO")),IF(G19="DECISÃO D.P","SEM DEFESA",IF(G19="","SEM STATUS",IF(N19="","SEM DATA",IF(N19&lt;0,"VENCIDO",IF(N19&lt;=DiasAlerta,"VENCE EM BREVE","NO PRAZO")))))))</f>
        <v>DEFESA NO PRAZO</v>
      </c>
      <c r="P19" s="109">
        <f>IF(D19="","",TODAY()-D19)</f>
        <v>172</v>
      </c>
      <c r="Q19" s="102" t="n"/>
    </row>
    <row r="20" ht="18" customHeight="1">
      <c r="A20" s="101" t="n">
        <v>16</v>
      </c>
      <c r="B20" s="102" t="inlineStr">
        <is>
          <t>Auto Center Planalto</t>
        </is>
      </c>
      <c r="C20" s="102" t="inlineStr">
        <is>
          <t>CONCESSIONÁRIA</t>
        </is>
      </c>
      <c r="D20" s="103" t="n">
        <v>46141</v>
      </c>
      <c r="E20" s="102" t="inlineStr">
        <is>
          <t>NOTIFICAÇÃO DE CONSTATAÇÃO</t>
        </is>
      </c>
      <c r="F20" s="104" t="inlineStr">
        <is>
          <t>ELETRÔNICA</t>
        </is>
      </c>
      <c r="G20" s="104" t="inlineStr">
        <is>
          <t>DECISÃO D.P</t>
        </is>
      </c>
      <c r="H20" s="102" t="inlineStr">
        <is>
          <t>BRUNO CARVALHO</t>
        </is>
      </c>
      <c r="I20" s="105" t="inlineStr">
        <is>
          <t>0321/2026</t>
        </is>
      </c>
      <c r="J20" s="105" t="inlineStr">
        <is>
          <t>2026.014324-9/09</t>
        </is>
      </c>
      <c r="K20" s="103" t="n">
        <v>46115</v>
      </c>
      <c r="L20" s="103" t="n">
        <v>46148</v>
      </c>
      <c r="M20" s="106">
        <f>IF(OR(D20="",E20=""),"",D20+IF(E20="NOTIFICAÇÃO DE CONSTATAÇÃO",PrazoConst,PrazoEsc))</f>
        <v>46151.0</v>
      </c>
      <c r="N20" s="107">
        <f>IF(M20="","",IF(ISNUMBER(L20),M20-L20,IF(G20="DECISÃO D.P","",M20-TODAY())))</f>
        <v>3</v>
      </c>
      <c r="O20" s="108" t="str">
        <f>IF(B20="","",IF(ISNUMBER(L20),IF(N20="","SEM DATA",IF(N20&gt;=0,"DEFESA NO PRAZO","DEFESA FORA DO PRAZO")),IF(G20="DECISÃO D.P","SEM DEFESA",IF(G20="","SEM STATUS",IF(N20="","SEM DATA",IF(N20&lt;0,"VENCIDO",IF(N20&lt;=DiasAlerta,"VENCE EM BREVE","NO PRAZO")))))))</f>
        <v>DEFESA NO PRAZO</v>
      </c>
      <c r="P20" s="109">
        <f>IF(D20="","",TODAY()-D20)</f>
        <v>163</v>
      </c>
      <c r="Q20" s="102" t="n"/>
    </row>
    <row r="21" ht="18" customHeight="1">
      <c r="A21" s="101" t="n">
        <v>17</v>
      </c>
      <c r="B21" s="102" t="inlineStr">
        <is>
          <t>Hospital Avenida</t>
        </is>
      </c>
      <c r="C21" s="102" t="inlineStr">
        <is>
          <t>SAÚDE</t>
        </is>
      </c>
      <c r="D21" s="103" t="n">
        <v>46144</v>
      </c>
      <c r="E21" s="102" t="inlineStr">
        <is>
          <t>NOTIFICAÇÃO DE CONSTATAÇÃO</t>
        </is>
      </c>
      <c r="F21" s="104" t="inlineStr">
        <is>
          <t>PRESENCIAL</t>
        </is>
      </c>
      <c r="G21" s="104" t="inlineStr">
        <is>
          <t>DECISÃO D.P</t>
        </is>
      </c>
      <c r="H21" s="102" t="inlineStr">
        <is>
          <t>GABRIELA NUNES</t>
        </is>
      </c>
      <c r="I21" s="105" t="inlineStr">
        <is>
          <t>0896/2026</t>
        </is>
      </c>
      <c r="J21" s="105" t="inlineStr">
        <is>
          <t>2026.080682-8/12</t>
        </is>
      </c>
      <c r="K21" s="103" t="n">
        <v>46112</v>
      </c>
      <c r="L21" s="103" t="n">
        <v>46160</v>
      </c>
      <c r="M21" s="106">
        <f>IF(OR(D21="",E21=""),"",D21+IF(E21="NOTIFICAÇÃO DE CONSTATAÇÃO",PrazoConst,PrazoEsc))</f>
        <v>46154.0</v>
      </c>
      <c r="N21" s="107">
        <f>IF(M21="","",IF(ISNUMBER(L21),M21-L21,IF(G21="DECISÃO D.P","",M21-TODAY())))</f>
        <v>-6</v>
      </c>
      <c r="O21" s="108" t="str">
        <f>IF(B21="","",IF(ISNUMBER(L21),IF(N21="","SEM DATA",IF(N21&gt;=0,"DEFESA NO PRAZO","DEFESA FORA DO PRAZO")),IF(G21="DECISÃO D.P","SEM DEFESA",IF(G21="","SEM STATUS",IF(N21="","SEM DATA",IF(N21&lt;0,"VENCIDO",IF(N21&lt;=DiasAlerta,"VENCE EM BREVE","NO PRAZO")))))))</f>
        <v>DEFESA FORA DO PRAZO</v>
      </c>
      <c r="P21" s="109">
        <f>IF(D21="","",TODAY()-D21)</f>
        <v>160</v>
      </c>
      <c r="Q21" s="102" t="n"/>
    </row>
    <row r="22" ht="18" customHeight="1">
      <c r="A22" s="101" t="n">
        <v>18</v>
      </c>
      <c r="B22" s="102" t="inlineStr">
        <is>
          <t>Studio Fitness Bela Vista</t>
        </is>
      </c>
      <c r="C22" s="102" t="inlineStr">
        <is>
          <t>ACADEMIA</t>
        </is>
      </c>
      <c r="D22" s="103" t="n">
        <v>46147</v>
      </c>
      <c r="E22" s="102" t="inlineStr">
        <is>
          <t>NOTIFICAÇÃO DE ESCLARECIMENTO</t>
        </is>
      </c>
      <c r="F22" s="104" t="inlineStr">
        <is>
          <t>ELETRÔNICA</t>
        </is>
      </c>
      <c r="G22" s="104" t="inlineStr">
        <is>
          <t>DECISÃO D.P</t>
        </is>
      </c>
      <c r="H22" s="102" t="inlineStr">
        <is>
          <t>EDUARDA LIMA</t>
        </is>
      </c>
      <c r="I22" s="105" t="inlineStr">
        <is>
          <t>0087/2026</t>
        </is>
      </c>
      <c r="J22" s="105" t="inlineStr">
        <is>
          <t>2026.049862-8/12</t>
        </is>
      </c>
      <c r="K22" s="103" t="n">
        <v>46104</v>
      </c>
      <c r="L22" s="103" t="n">
        <v>46151</v>
      </c>
      <c r="M22" s="106">
        <f>IF(OR(D22="",E22=""),"",D22+IF(E22="NOTIFICAÇÃO DE CONSTATAÇÃO",PrazoConst,PrazoEsc))</f>
        <v>46162.0</v>
      </c>
      <c r="N22" s="107">
        <f>IF(M22="","",IF(ISNUMBER(L22),M22-L22,IF(G22="DECISÃO D.P","",M22-TODAY())))</f>
        <v>11</v>
      </c>
      <c r="O22" s="108" t="str">
        <f>IF(B22="","",IF(ISNUMBER(L22),IF(N22="","SEM DATA",IF(N22&gt;=0,"DEFESA NO PRAZO","DEFESA FORA DO PRAZO")),IF(G22="DECISÃO D.P","SEM DEFESA",IF(G22="","SEM STATUS",IF(N22="","SEM DATA",IF(N22&lt;0,"VENCIDO",IF(N22&lt;=DiasAlerta,"VENCE EM BREVE","NO PRAZO")))))))</f>
        <v>DEFESA NO PRAZO</v>
      </c>
      <c r="P22" s="109">
        <f>IF(D22="","",TODAY()-D22)</f>
        <v>157</v>
      </c>
      <c r="Q22" s="102" t="n"/>
    </row>
    <row r="23" ht="18" customHeight="1">
      <c r="A23" s="101" t="n">
        <v>19</v>
      </c>
      <c r="B23" s="102" t="inlineStr">
        <is>
          <t>Posto São Jorge</t>
        </is>
      </c>
      <c r="C23" s="102" t="inlineStr">
        <is>
          <t>POSTO DE COMBUSTÍVEL</t>
        </is>
      </c>
      <c r="D23" s="103" t="n">
        <v>46149</v>
      </c>
      <c r="E23" s="102" t="inlineStr">
        <is>
          <t>NOTIFICAÇÃO DE ESCLARECIMENTO</t>
        </is>
      </c>
      <c r="F23" s="104" t="inlineStr">
        <is>
          <t>PRESENCIAL</t>
        </is>
      </c>
      <c r="G23" s="104" t="inlineStr">
        <is>
          <t>DECISÃO D.P</t>
        </is>
      </c>
      <c r="H23" s="102" t="inlineStr">
        <is>
          <t>BRUNO CARVALHO</t>
        </is>
      </c>
      <c r="I23" s="105" t="inlineStr">
        <is>
          <t>0275/2026</t>
        </is>
      </c>
      <c r="J23" s="105" t="inlineStr">
        <is>
          <t>2026.011383-7/03</t>
        </is>
      </c>
      <c r="K23" s="103" t="n">
        <v>46121</v>
      </c>
      <c r="L23" s="103" t="n">
        <v>46157</v>
      </c>
      <c r="M23" s="106">
        <f>IF(OR(D23="",E23=""),"",D23+IF(E23="NOTIFICAÇÃO DE CONSTATAÇÃO",PrazoConst,PrazoEsc))</f>
        <v>46164.0</v>
      </c>
      <c r="N23" s="107">
        <f>IF(M23="","",IF(ISNUMBER(L23),M23-L23,IF(G23="DECISÃO D.P","",M23-TODAY())))</f>
        <v>7</v>
      </c>
      <c r="O23" s="108" t="str">
        <f>IF(B23="","",IF(ISNUMBER(L23),IF(N23="","SEM DATA",IF(N23&gt;=0,"DEFESA NO PRAZO","DEFESA FORA DO PRAZO")),IF(G23="DECISÃO D.P","SEM DEFESA",IF(G23="","SEM STATUS",IF(N23="","SEM DATA",IF(N23&lt;0,"VENCIDO",IF(N23&lt;=DiasAlerta,"VENCE EM BREVE","NO PRAZO")))))))</f>
        <v>DEFESA NO PRAZO</v>
      </c>
      <c r="P23" s="109">
        <f>IF(D23="","",TODAY()-D23)</f>
        <v>155</v>
      </c>
      <c r="Q23" s="102" t="n"/>
    </row>
    <row r="24" ht="18" customHeight="1">
      <c r="A24" s="101" t="n">
        <v>20</v>
      </c>
      <c r="B24" s="102" t="inlineStr">
        <is>
          <t>Posto Boa Esperança</t>
        </is>
      </c>
      <c r="C24" s="102" t="inlineStr">
        <is>
          <t>POSTO DE COMBUSTÍVEL</t>
        </is>
      </c>
      <c r="D24" s="103" t="n">
        <v>46150</v>
      </c>
      <c r="E24" s="102" t="inlineStr">
        <is>
          <t>NOTIFICAÇÃO DE CONSTATAÇÃO</t>
        </is>
      </c>
      <c r="F24" s="104" t="inlineStr">
        <is>
          <t>PRESENCIAL</t>
        </is>
      </c>
      <c r="G24" s="104" t="inlineStr">
        <is>
          <t>DECISÃO D.P</t>
        </is>
      </c>
      <c r="H24" s="102" t="inlineStr">
        <is>
          <t>EDUARDA LIMA</t>
        </is>
      </c>
      <c r="I24" s="105" t="inlineStr">
        <is>
          <t>0131/2026</t>
        </is>
      </c>
      <c r="J24" s="105" t="inlineStr">
        <is>
          <t>2026.036078-5/14</t>
        </is>
      </c>
      <c r="K24" s="103" t="n">
        <v>46090</v>
      </c>
      <c r="L24" s="103" t="n">
        <v>46159</v>
      </c>
      <c r="M24" s="106">
        <f>IF(OR(D24="",E24=""),"",D24+IF(E24="NOTIFICAÇÃO DE CONSTATAÇÃO",PrazoConst,PrazoEsc))</f>
        <v>46160.0</v>
      </c>
      <c r="N24" s="107">
        <f>IF(M24="","",IF(ISNUMBER(L24),M24-L24,IF(G24="DECISÃO D.P","",M24-TODAY())))</f>
        <v>1</v>
      </c>
      <c r="O24" s="108" t="str">
        <f>IF(B24="","",IF(ISNUMBER(L24),IF(N24="","SEM DATA",IF(N24&gt;=0,"DEFESA NO PRAZO","DEFESA FORA DO PRAZO")),IF(G24="DECISÃO D.P","SEM DEFESA",IF(G24="","SEM STATUS",IF(N24="","SEM DATA",IF(N24&lt;0,"VENCIDO",IF(N24&lt;=DiasAlerta,"VENCE EM BREVE","NO PRAZO")))))))</f>
        <v>DEFESA NO PRAZO</v>
      </c>
      <c r="P24" s="109">
        <f>IF(D24="","",TODAY()-D24)</f>
        <v>154</v>
      </c>
      <c r="Q24" s="102" t="n"/>
    </row>
    <row r="25" ht="18" customHeight="1">
      <c r="A25" s="101" t="n">
        <v>21</v>
      </c>
      <c r="B25" s="102" t="inlineStr">
        <is>
          <t>Churrascaria Ipê Amarelo ME</t>
        </is>
      </c>
      <c r="C25" s="102" t="inlineStr">
        <is>
          <t>RESTAURANTE</t>
        </is>
      </c>
      <c r="D25" s="103" t="n">
        <v>46153</v>
      </c>
      <c r="E25" s="102" t="inlineStr">
        <is>
          <t>NOTIFICAÇÃO DE CONSTATAÇÃO</t>
        </is>
      </c>
      <c r="F25" s="104" t="inlineStr">
        <is>
          <t>ELETRÔNICA</t>
        </is>
      </c>
      <c r="G25" s="104" t="inlineStr">
        <is>
          <t>DECISÃO D.P</t>
        </is>
      </c>
      <c r="H25" s="102" t="inlineStr">
        <is>
          <t>DIEGO RIBEIRO</t>
        </is>
      </c>
      <c r="I25" s="105" t="inlineStr">
        <is>
          <t>0193/2026</t>
        </is>
      </c>
      <c r="J25" s="105" t="inlineStr">
        <is>
          <t>2026.002493-1/03</t>
        </is>
      </c>
      <c r="K25" s="103" t="n">
        <v>46080</v>
      </c>
      <c r="L25" s="103" t="n">
        <v>46161</v>
      </c>
      <c r="M25" s="106">
        <f>IF(OR(D25="",E25=""),"",D25+IF(E25="NOTIFICAÇÃO DE CONSTATAÇÃO",PrazoConst,PrazoEsc))</f>
        <v>46163.0</v>
      </c>
      <c r="N25" s="107">
        <f>IF(M25="","",IF(ISNUMBER(L25),M25-L25,IF(G25="DECISÃO D.P","",M25-TODAY())))</f>
        <v>2</v>
      </c>
      <c r="O25" s="108" t="str">
        <f>IF(B25="","",IF(ISNUMBER(L25),IF(N25="","SEM DATA",IF(N25&gt;=0,"DEFESA NO PRAZO","DEFESA FORA DO PRAZO")),IF(G25="DECISÃO D.P","SEM DEFESA",IF(G25="","SEM STATUS",IF(N25="","SEM DATA",IF(N25&lt;0,"VENCIDO",IF(N25&lt;=DiasAlerta,"VENCE EM BREVE","NO PRAZO")))))))</f>
        <v>DEFESA NO PRAZO</v>
      </c>
      <c r="P25" s="109">
        <f>IF(D25="","",TODAY()-D25)</f>
        <v>151</v>
      </c>
      <c r="Q25" s="102" t="n"/>
    </row>
    <row r="26" ht="18" customHeight="1">
      <c r="A26" s="101" t="n">
        <v>22</v>
      </c>
      <c r="B26" s="102" t="inlineStr">
        <is>
          <t>Conecta Vitória</t>
        </is>
      </c>
      <c r="C26" s="102" t="inlineStr">
        <is>
          <t>TELEFONIA</t>
        </is>
      </c>
      <c r="D26" s="103" t="n">
        <v>46153</v>
      </c>
      <c r="E26" s="102" t="inlineStr">
        <is>
          <t>NOTIFICAÇÃO DE CONSTATAÇÃO</t>
        </is>
      </c>
      <c r="F26" s="104" t="inlineStr">
        <is>
          <t>PRESENCIAL</t>
        </is>
      </c>
      <c r="G26" s="104" t="inlineStr">
        <is>
          <t>DECISÃO D.P</t>
        </is>
      </c>
      <c r="H26" s="102" t="inlineStr">
        <is>
          <t>BRUNO CARVALHO</t>
        </is>
      </c>
      <c r="I26" s="105" t="inlineStr">
        <is>
          <t>0886/2026</t>
        </is>
      </c>
      <c r="J26" s="105" t="inlineStr">
        <is>
          <t>2026.001292-3/04</t>
        </is>
      </c>
      <c r="K26" s="103" t="n">
        <v>46116</v>
      </c>
      <c r="L26" s="103" t="n">
        <v>46161</v>
      </c>
      <c r="M26" s="106">
        <f>IF(OR(D26="",E26=""),"",D26+IF(E26="NOTIFICAÇÃO DE CONSTATAÇÃO",PrazoConst,PrazoEsc))</f>
        <v>46163.0</v>
      </c>
      <c r="N26" s="107">
        <f>IF(M26="","",IF(ISNUMBER(L26),M26-L26,IF(G26="DECISÃO D.P","",M26-TODAY())))</f>
        <v>2</v>
      </c>
      <c r="O26" s="108" t="str">
        <f>IF(B26="","",IF(ISNUMBER(L26),IF(N26="","SEM DATA",IF(N26&gt;=0,"DEFESA NO PRAZO","DEFESA FORA DO PRAZO")),IF(G26="DECISÃO D.P","SEM DEFESA",IF(G26="","SEM STATUS",IF(N26="","SEM DATA",IF(N26&lt;0,"VENCIDO",IF(N26&lt;=DiasAlerta,"VENCE EM BREVE","NO PRAZO")))))))</f>
        <v>DEFESA NO PRAZO</v>
      </c>
      <c r="P26" s="109">
        <f>IF(D26="","",TODAY()-D26)</f>
        <v>151</v>
      </c>
      <c r="Q26" s="102" t="n"/>
    </row>
    <row r="27" ht="18" customHeight="1">
      <c r="A27" s="101" t="n">
        <v>23</v>
      </c>
      <c r="B27" s="102" t="inlineStr">
        <is>
          <t>Academia Bela Vista</t>
        </is>
      </c>
      <c r="C27" s="102" t="inlineStr">
        <is>
          <t>ACADEMIA</t>
        </is>
      </c>
      <c r="D27" s="103" t="n">
        <v>46156</v>
      </c>
      <c r="E27" s="102" t="inlineStr">
        <is>
          <t>NOTIFICAÇÃO DE ESCLARECIMENTO</t>
        </is>
      </c>
      <c r="F27" s="104" t="inlineStr">
        <is>
          <t>PRESENCIAL</t>
        </is>
      </c>
      <c r="G27" s="104" t="inlineStr">
        <is>
          <t>DECISÃO D.P</t>
        </is>
      </c>
      <c r="H27" s="102" t="inlineStr">
        <is>
          <t>FELIPE ARAÚJO</t>
        </is>
      </c>
      <c r="I27" s="105" t="inlineStr">
        <is>
          <t>0537/2026</t>
        </is>
      </c>
      <c r="J27" s="105" t="inlineStr">
        <is>
          <t>2026.020758-3/06</t>
        </is>
      </c>
      <c r="K27" s="103" t="n">
        <v>46072</v>
      </c>
      <c r="L27" s="103" t="n">
        <v>46166</v>
      </c>
      <c r="M27" s="106">
        <f>IF(OR(D27="",E27=""),"",D27+IF(E27="NOTIFICAÇÃO DE CONSTATAÇÃO",PrazoConst,PrazoEsc))</f>
        <v>46171.0</v>
      </c>
      <c r="N27" s="107">
        <f>IF(M27="","",IF(ISNUMBER(L27),M27-L27,IF(G27="DECISÃO D.P","",M27-TODAY())))</f>
        <v>5</v>
      </c>
      <c r="O27" s="108" t="str">
        <f>IF(B27="","",IF(ISNUMBER(L27),IF(N27="","SEM DATA",IF(N27&gt;=0,"DEFESA NO PRAZO","DEFESA FORA DO PRAZO")),IF(G27="DECISÃO D.P","SEM DEFESA",IF(G27="","SEM STATUS",IF(N27="","SEM DATA",IF(N27&lt;0,"VENCIDO",IF(N27&lt;=DiasAlerta,"VENCE EM BREVE","NO PRAZO")))))))</f>
        <v>DEFESA NO PRAZO</v>
      </c>
      <c r="P27" s="109">
        <f>IF(D27="","",TODAY()-D27)</f>
        <v>148</v>
      </c>
      <c r="Q27" s="102" t="n"/>
    </row>
    <row r="28" ht="18" customHeight="1">
      <c r="A28" s="101" t="n">
        <v>24</v>
      </c>
      <c r="B28" s="102" t="inlineStr">
        <is>
          <t>Churrascaria Avenida</t>
        </is>
      </c>
      <c r="C28" s="102" t="inlineStr">
        <is>
          <t>RESTAURANTE</t>
        </is>
      </c>
      <c r="D28" s="103" t="n">
        <v>46158</v>
      </c>
      <c r="E28" s="102" t="inlineStr">
        <is>
          <t>NOTIFICAÇÃO DE ESCLARECIMENTO</t>
        </is>
      </c>
      <c r="F28" s="104" t="inlineStr">
        <is>
          <t>ELETRÔNICA</t>
        </is>
      </c>
      <c r="G28" s="104" t="inlineStr">
        <is>
          <t>DECISÃO D.P</t>
        </is>
      </c>
      <c r="H28" s="102" t="inlineStr">
        <is>
          <t>EDUARDA LIMA</t>
        </is>
      </c>
      <c r="I28" s="105" t="inlineStr">
        <is>
          <t>0031/2026</t>
        </is>
      </c>
      <c r="J28" s="105" t="inlineStr">
        <is>
          <t>2026.042244-8/03</t>
        </is>
      </c>
      <c r="K28" s="103" t="n">
        <v>46131</v>
      </c>
      <c r="L28" s="103" t="n">
        <v>46162</v>
      </c>
      <c r="M28" s="106">
        <f>IF(OR(D28="",E28=""),"",D28+IF(E28="NOTIFICAÇÃO DE CONSTATAÇÃO",PrazoConst,PrazoEsc))</f>
        <v>46173.0</v>
      </c>
      <c r="N28" s="107">
        <f>IF(M28="","",IF(ISNUMBER(L28),M28-L28,IF(G28="DECISÃO D.P","",M28-TODAY())))</f>
        <v>11</v>
      </c>
      <c r="O28" s="108" t="str">
        <f>IF(B28="","",IF(ISNUMBER(L28),IF(N28="","SEM DATA",IF(N28&gt;=0,"DEFESA NO PRAZO","DEFESA FORA DO PRAZO")),IF(G28="DECISÃO D.P","SEM DEFESA",IF(G28="","SEM STATUS",IF(N28="","SEM DATA",IF(N28&lt;0,"VENCIDO",IF(N28&lt;=DiasAlerta,"VENCE EM BREVE","NO PRAZO")))))))</f>
        <v>DEFESA NO PRAZO</v>
      </c>
      <c r="P28" s="109">
        <f>IF(D28="","",TODAY()-D28)</f>
        <v>146</v>
      </c>
      <c r="Q28" s="102" t="n"/>
    </row>
    <row r="29" ht="18" customHeight="1">
      <c r="A29" s="101" t="n">
        <v>25</v>
      </c>
      <c r="B29" s="102" t="inlineStr">
        <is>
          <t>Mercado Ipê Amarelo</t>
        </is>
      </c>
      <c r="C29" s="102" t="inlineStr">
        <is>
          <t>SUPERMERCADO</t>
        </is>
      </c>
      <c r="D29" s="103" t="n">
        <v>46163</v>
      </c>
      <c r="E29" s="102" t="inlineStr">
        <is>
          <t>NOTIFICAÇÃO DE CONSTATAÇÃO</t>
        </is>
      </c>
      <c r="F29" s="104" t="inlineStr">
        <is>
          <t>ELETRÔNICA</t>
        </is>
      </c>
      <c r="G29" s="104" t="inlineStr">
        <is>
          <t>DECISÃO D.P</t>
        </is>
      </c>
      <c r="H29" s="102" t="inlineStr">
        <is>
          <t>HENRIQUE COSTA</t>
        </is>
      </c>
      <c r="I29" s="105" t="inlineStr">
        <is>
          <t>0482/2026</t>
        </is>
      </c>
      <c r="J29" s="105" t="inlineStr">
        <is>
          <t>2026.030076-8/14</t>
        </is>
      </c>
      <c r="K29" s="103" t="n">
        <v>46151</v>
      </c>
      <c r="L29" s="103" t="n">
        <v>46176</v>
      </c>
      <c r="M29" s="106">
        <f>IF(OR(D29="",E29=""),"",D29+IF(E29="NOTIFICAÇÃO DE CONSTATAÇÃO",PrazoConst,PrazoEsc))</f>
        <v>46173.0</v>
      </c>
      <c r="N29" s="107">
        <f>IF(M29="","",IF(ISNUMBER(L29),M29-L29,IF(G29="DECISÃO D.P","",M29-TODAY())))</f>
        <v>-3</v>
      </c>
      <c r="O29" s="108" t="str">
        <f>IF(B29="","",IF(ISNUMBER(L29),IF(N29="","SEM DATA",IF(N29&gt;=0,"DEFESA NO PRAZO","DEFESA FORA DO PRAZO")),IF(G29="DECISÃO D.P","SEM DEFESA",IF(G29="","SEM STATUS",IF(N29="","SEM DATA",IF(N29&lt;0,"VENCIDO",IF(N29&lt;=DiasAlerta,"VENCE EM BREVE","NO PRAZO")))))))</f>
        <v>DEFESA FORA DO PRAZO</v>
      </c>
      <c r="P29" s="109">
        <f>IF(D29="","",TODAY()-D29)</f>
        <v>141</v>
      </c>
      <c r="Q29" s="102" t="n"/>
    </row>
    <row r="30" ht="18" customHeight="1">
      <c r="A30" s="101" t="n">
        <v>26</v>
      </c>
      <c r="B30" s="102" t="inlineStr">
        <is>
          <t>Posto Monte Sião 24h</t>
        </is>
      </c>
      <c r="C30" s="102" t="inlineStr">
        <is>
          <t>POSTO DE COMBUSTÍVEL</t>
        </is>
      </c>
      <c r="D30" s="103" t="n">
        <v>46164</v>
      </c>
      <c r="E30" s="102" t="inlineStr">
        <is>
          <t>NOTIFICAÇÃO DE CONSTATAÇÃO</t>
        </is>
      </c>
      <c r="F30" s="104" t="inlineStr">
        <is>
          <t>ELETRÔNICA</t>
        </is>
      </c>
      <c r="G30" s="104" t="inlineStr">
        <is>
          <t>PRAZO D.P</t>
        </is>
      </c>
      <c r="H30" s="102" t="inlineStr">
        <is>
          <t>DIEGO RIBEIRO</t>
        </is>
      </c>
      <c r="I30" s="105" t="inlineStr">
        <is>
          <t>0070/2026</t>
        </is>
      </c>
      <c r="J30" s="105" t="inlineStr">
        <is>
          <t>2026.001521-9/09</t>
        </is>
      </c>
      <c r="K30" s="103" t="n">
        <v>46143</v>
      </c>
      <c r="L30" s="103" t="n"/>
      <c r="M30" s="106">
        <f>IF(OR(D30="",E30=""),"",D30+IF(E30="NOTIFICAÇÃO DE CONSTATAÇÃO",PrazoConst,PrazoEsc))</f>
        <v>46174.0</v>
      </c>
      <c r="N30" s="107">
        <f>IF(M30="","",IF(ISNUMBER(L30),M30-L30,IF(G30="DECISÃO D.P","",M30-TODAY())))</f>
        <v>-130</v>
      </c>
      <c r="O30" s="108" t="str">
        <f>IF(B30="","",IF(ISNUMBER(L30),IF(N30="","SEM DATA",IF(N30&gt;=0,"DEFESA NO PRAZO","DEFESA FORA DO PRAZO")),IF(G30="DECISÃO D.P","SEM DEFESA",IF(G30="","SEM STATUS",IF(N30="","SEM DATA",IF(N30&lt;0,"VENCIDO",IF(N30&lt;=DiasAlerta,"VENCE EM BREVE","NO PRAZO")))))))</f>
        <v>VENCIDO</v>
      </c>
      <c r="P30" s="109">
        <f>IF(D30="","",TODAY()-D30)</f>
        <v>140</v>
      </c>
      <c r="Q30" s="102" t="n"/>
    </row>
    <row r="31" ht="18" customHeight="1">
      <c r="A31" s="101" t="n">
        <v>27</v>
      </c>
      <c r="B31" s="102" t="inlineStr">
        <is>
          <t>Laboratório Atlântico</t>
        </is>
      </c>
      <c r="C31" s="102" t="inlineStr">
        <is>
          <t>SAÚDE</t>
        </is>
      </c>
      <c r="D31" s="103" t="n">
        <v>46168</v>
      </c>
      <c r="E31" s="102" t="inlineStr">
        <is>
          <t>NOTIFICAÇÃO DE ESCLARECIMENTO</t>
        </is>
      </c>
      <c r="F31" s="104" t="inlineStr">
        <is>
          <t>PRESENCIAL</t>
        </is>
      </c>
      <c r="G31" s="104" t="inlineStr">
        <is>
          <t>PRAZO D.P</t>
        </is>
      </c>
      <c r="H31" s="102" t="inlineStr">
        <is>
          <t>BRUNO CARVALHO</t>
        </is>
      </c>
      <c r="I31" s="105" t="inlineStr">
        <is>
          <t>0293/2026</t>
        </is>
      </c>
      <c r="J31" s="105" t="inlineStr">
        <is>
          <t>2026.018564-6/04</t>
        </is>
      </c>
      <c r="K31" s="103" t="n">
        <v>46118</v>
      </c>
      <c r="L31" s="103" t="n"/>
      <c r="M31" s="106">
        <f>IF(OR(D31="",E31=""),"",D31+IF(E31="NOTIFICAÇÃO DE CONSTATAÇÃO",PrazoConst,PrazoEsc))</f>
        <v>46183.0</v>
      </c>
      <c r="N31" s="107">
        <f>IF(M31="","",IF(ISNUMBER(L31),M31-L31,IF(G31="DECISÃO D.P","",M31-TODAY())))</f>
        <v>-121</v>
      </c>
      <c r="O31" s="108" t="str">
        <f>IF(B31="","",IF(ISNUMBER(L31),IF(N31="","SEM DATA",IF(N31&gt;=0,"DEFESA NO PRAZO","DEFESA FORA DO PRAZO")),IF(G31="DECISÃO D.P","SEM DEFESA",IF(G31="","SEM STATUS",IF(N31="","SEM DATA",IF(N31&lt;0,"VENCIDO",IF(N31&lt;=DiasAlerta,"VENCE EM BREVE","NO PRAZO")))))))</f>
        <v>VENCIDO</v>
      </c>
      <c r="P31" s="109">
        <f>IF(D31="","",TODAY()-D31)</f>
        <v>136</v>
      </c>
      <c r="Q31" s="102" t="n"/>
    </row>
    <row r="32" ht="18" customHeight="1">
      <c r="A32" s="101" t="n">
        <v>28</v>
      </c>
      <c r="B32" s="102" t="inlineStr">
        <is>
          <t>Comércio Estrela</t>
        </is>
      </c>
      <c r="C32" s="102" t="inlineStr">
        <is>
          <t>OUTROS</t>
        </is>
      </c>
      <c r="D32" s="103" t="n">
        <v>46168</v>
      </c>
      <c r="E32" s="102" t="inlineStr">
        <is>
          <t>NOTIFICAÇÃO DE ESCLARECIMENTO</t>
        </is>
      </c>
      <c r="F32" s="104" t="inlineStr">
        <is>
          <t>PRESENCIAL</t>
        </is>
      </c>
      <c r="G32" s="104" t="inlineStr">
        <is>
          <t>DECISÃO D.P</t>
        </is>
      </c>
      <c r="H32" s="102" t="inlineStr">
        <is>
          <t>FELIPE ARAÚJO</t>
        </is>
      </c>
      <c r="I32" s="105" t="inlineStr">
        <is>
          <t>0232/2026</t>
        </is>
      </c>
      <c r="J32" s="105" t="inlineStr">
        <is>
          <t>2026.071106-8/05</t>
        </is>
      </c>
      <c r="K32" s="103" t="n">
        <v>46083</v>
      </c>
      <c r="L32" s="103" t="n"/>
      <c r="M32" s="106">
        <f>IF(OR(D32="",E32=""),"",D32+IF(E32="NOTIFICAÇÃO DE CONSTATAÇÃO",PrazoConst,PrazoEsc))</f>
        <v>46183.0</v>
      </c>
      <c r="N32" s="107" t="str">
        <f>IF(M32="","",IF(ISNUMBER(L32),M32-L32,IF(G32="DECISÃO D.P","",M32-TODAY())))</f>
        <v/>
      </c>
      <c r="O32" s="108" t="str">
        <f>IF(B32="","",IF(ISNUMBER(L32),IF(N32="","SEM DATA",IF(N32&gt;=0,"DEFESA NO PRAZO","DEFESA FORA DO PRAZO")),IF(G32="DECISÃO D.P","SEM DEFESA",IF(G32="","SEM STATUS",IF(N32="","SEM DATA",IF(N32&lt;0,"VENCIDO",IF(N32&lt;=DiasAlerta,"VENCE EM BREVE","NO PRAZO")))))))</f>
        <v>SEM DEFESA</v>
      </c>
      <c r="P32" s="109">
        <f>IF(D32="","",TODAY()-D32)</f>
        <v>136</v>
      </c>
      <c r="Q32" s="102" t="n"/>
    </row>
    <row r="33" ht="18" customHeight="1">
      <c r="A33" s="101" t="n">
        <v>29</v>
      </c>
      <c r="B33" s="102" t="inlineStr">
        <is>
          <t>Farmácia Litoral</t>
        </is>
      </c>
      <c r="C33" s="102" t="inlineStr">
        <is>
          <t>FARMÁCIA</t>
        </is>
      </c>
      <c r="D33" s="103" t="n">
        <v>46169</v>
      </c>
      <c r="E33" s="102" t="inlineStr">
        <is>
          <t>NOTIFICAÇÃO DE ESCLARECIMENTO</t>
        </is>
      </c>
      <c r="F33" s="104" t="inlineStr">
        <is>
          <t>PRESENCIAL</t>
        </is>
      </c>
      <c r="G33" s="104" t="inlineStr">
        <is>
          <t>DECISÃO D.P</t>
        </is>
      </c>
      <c r="H33" s="102" t="inlineStr">
        <is>
          <t>HENRIQUE COSTA</t>
        </is>
      </c>
      <c r="I33" s="105" t="inlineStr">
        <is>
          <t>0248/2026</t>
        </is>
      </c>
      <c r="J33" s="105" t="inlineStr">
        <is>
          <t>2026.094973-7/12</t>
        </is>
      </c>
      <c r="K33" s="103" t="n">
        <v>46123</v>
      </c>
      <c r="L33" s="103" t="n">
        <v>46177</v>
      </c>
      <c r="M33" s="106">
        <f>IF(OR(D33="",E33=""),"",D33+IF(E33="NOTIFICAÇÃO DE CONSTATAÇÃO",PrazoConst,PrazoEsc))</f>
        <v>46184.0</v>
      </c>
      <c r="N33" s="107">
        <f>IF(M33="","",IF(ISNUMBER(L33),M33-L33,IF(G33="DECISÃO D.P","",M33-TODAY())))</f>
        <v>7</v>
      </c>
      <c r="O33" s="108" t="str">
        <f>IF(B33="","",IF(ISNUMBER(L33),IF(N33="","SEM DATA",IF(N33&gt;=0,"DEFESA NO PRAZO","DEFESA FORA DO PRAZO")),IF(G33="DECISÃO D.P","SEM DEFESA",IF(G33="","SEM STATUS",IF(N33="","SEM DATA",IF(N33&lt;0,"VENCIDO",IF(N33&lt;=DiasAlerta,"VENCE EM BREVE","NO PRAZO")))))))</f>
        <v>DEFESA NO PRAZO</v>
      </c>
      <c r="P33" s="109">
        <f>IF(D33="","",TODAY()-D33)</f>
        <v>135</v>
      </c>
      <c r="Q33" s="102" t="n"/>
    </row>
    <row r="34" ht="18" customHeight="1">
      <c r="A34" s="101" t="n">
        <v>30</v>
      </c>
      <c r="B34" s="102" t="inlineStr">
        <is>
          <t>Laboratório Real</t>
        </is>
      </c>
      <c r="C34" s="102" t="inlineStr">
        <is>
          <t>SAÚDE</t>
        </is>
      </c>
      <c r="D34" s="103" t="n">
        <v>46170</v>
      </c>
      <c r="E34" s="102" t="inlineStr">
        <is>
          <t>NOTIFICAÇÃO DE CONSTATAÇÃO</t>
        </is>
      </c>
      <c r="F34" s="104" t="inlineStr">
        <is>
          <t>PRESENCIAL</t>
        </is>
      </c>
      <c r="G34" s="104" t="inlineStr">
        <is>
          <t>DECISÃO D.P</t>
        </is>
      </c>
      <c r="H34" s="102" t="inlineStr">
        <is>
          <t>ANA PAULA SOUZA</t>
        </is>
      </c>
      <c r="I34" s="105" t="inlineStr">
        <is>
          <t>0148/2026</t>
        </is>
      </c>
      <c r="J34" s="105" t="inlineStr">
        <is>
          <t>2026.087111-9/01</t>
        </is>
      </c>
      <c r="K34" s="103" t="n">
        <v>46149</v>
      </c>
      <c r="L34" s="103" t="n"/>
      <c r="M34" s="106">
        <f>IF(OR(D34="",E34=""),"",D34+IF(E34="NOTIFICAÇÃO DE CONSTATAÇÃO",PrazoConst,PrazoEsc))</f>
        <v>46180.0</v>
      </c>
      <c r="N34" s="107" t="str">
        <f>IF(M34="","",IF(ISNUMBER(L34),M34-L34,IF(G34="DECISÃO D.P","",M34-TODAY())))</f>
        <v/>
      </c>
      <c r="O34" s="108" t="str">
        <f>IF(B34="","",IF(ISNUMBER(L34),IF(N34="","SEM DATA",IF(N34&gt;=0,"DEFESA NO PRAZO","DEFESA FORA DO PRAZO")),IF(G34="DECISÃO D.P","SEM DEFESA",IF(G34="","SEM STATUS",IF(N34="","SEM DATA",IF(N34&lt;0,"VENCIDO",IF(N34&lt;=DiasAlerta,"VENCE EM BREVE","NO PRAZO")))))))</f>
        <v>SEM DEFESA</v>
      </c>
      <c r="P34" s="109">
        <f>IF(D34="","",TODAY()-D34)</f>
        <v>134</v>
      </c>
      <c r="Q34" s="102" t="n"/>
    </row>
    <row r="35" ht="18" customHeight="1">
      <c r="A35" s="101" t="n">
        <v>31</v>
      </c>
      <c r="B35" s="102" t="inlineStr">
        <is>
          <t>Telecom Monte Sião</t>
        </is>
      </c>
      <c r="C35" s="102" t="inlineStr">
        <is>
          <t>TELEFONIA</t>
        </is>
      </c>
      <c r="D35" s="103" t="n">
        <v>46172</v>
      </c>
      <c r="E35" s="102" t="inlineStr">
        <is>
          <t>NOTIFICAÇÃO DE CONSTATAÇÃO</t>
        </is>
      </c>
      <c r="F35" s="104" t="inlineStr">
        <is>
          <t>PRESENCIAL</t>
        </is>
      </c>
      <c r="G35" s="104" t="inlineStr">
        <is>
          <t>PRAZO D.P</t>
        </is>
      </c>
      <c r="H35" s="102" t="inlineStr">
        <is>
          <t>FELIPE ARAÚJO</t>
        </is>
      </c>
      <c r="I35" s="105" t="inlineStr">
        <is>
          <t>0775/2026</t>
        </is>
      </c>
      <c r="J35" s="105" t="inlineStr">
        <is>
          <t>2026.054602-5/09</t>
        </is>
      </c>
      <c r="K35" s="103" t="n">
        <v>46131</v>
      </c>
      <c r="L35" s="103" t="n"/>
      <c r="M35" s="106">
        <f>IF(OR(D35="",E35=""),"",D35+IF(E35="NOTIFICAÇÃO DE CONSTATAÇÃO",PrazoConst,PrazoEsc))</f>
        <v>46182.0</v>
      </c>
      <c r="N35" s="107">
        <f>IF(M35="","",IF(ISNUMBER(L35),M35-L35,IF(G35="DECISÃO D.P","",M35-TODAY())))</f>
        <v>-122</v>
      </c>
      <c r="O35" s="108" t="str">
        <f>IF(B35="","",IF(ISNUMBER(L35),IF(N35="","SEM DATA",IF(N35&gt;=0,"DEFESA NO PRAZO","DEFESA FORA DO PRAZO")),IF(G35="DECISÃO D.P","SEM DEFESA",IF(G35="","SEM STATUS",IF(N35="","SEM DATA",IF(N35&lt;0,"VENCIDO",IF(N35&lt;=DiasAlerta,"VENCE EM BREVE","NO PRAZO")))))))</f>
        <v>VENCIDO</v>
      </c>
      <c r="P35" s="109">
        <f>IF(D35="","",TODAY()-D35)</f>
        <v>132</v>
      </c>
      <c r="Q35" s="102" t="n"/>
    </row>
    <row r="36" ht="18" customHeight="1">
      <c r="A36" s="101" t="n">
        <v>32</v>
      </c>
      <c r="B36" s="102" t="inlineStr">
        <is>
          <t>Concessionária Litoral</t>
        </is>
      </c>
      <c r="C36" s="102" t="inlineStr">
        <is>
          <t>CONCESSIONÁRIA</t>
        </is>
      </c>
      <c r="D36" s="103" t="n">
        <v>46175</v>
      </c>
      <c r="E36" s="102" t="inlineStr">
        <is>
          <t>NOTIFICAÇÃO DE CONSTATAÇÃO</t>
        </is>
      </c>
      <c r="F36" s="104" t="inlineStr">
        <is>
          <t>PRESENCIAL</t>
        </is>
      </c>
      <c r="G36" s="104" t="inlineStr">
        <is>
          <t>DECISÃO D.P</t>
        </is>
      </c>
      <c r="H36" s="102" t="inlineStr">
        <is>
          <t>DIEGO RIBEIRO</t>
        </is>
      </c>
      <c r="I36" s="105" t="inlineStr">
        <is>
          <t>0137/2026</t>
        </is>
      </c>
      <c r="J36" s="105" t="inlineStr">
        <is>
          <t>2026.004709-4/07</t>
        </is>
      </c>
      <c r="K36" s="103" t="n">
        <v>46157</v>
      </c>
      <c r="L36" s="103" t="n">
        <v>46192</v>
      </c>
      <c r="M36" s="106">
        <f>IF(OR(D36="",E36=""),"",D36+IF(E36="NOTIFICAÇÃO DE CONSTATAÇÃO",PrazoConst,PrazoEsc))</f>
        <v>46185.0</v>
      </c>
      <c r="N36" s="107">
        <f>IF(M36="","",IF(ISNUMBER(L36),M36-L36,IF(G36="DECISÃO D.P","",M36-TODAY())))</f>
        <v>-7</v>
      </c>
      <c r="O36" s="108" t="str">
        <f>IF(B36="","",IF(ISNUMBER(L36),IF(N36="","SEM DATA",IF(N36&gt;=0,"DEFESA NO PRAZO","DEFESA FORA DO PRAZO")),IF(G36="DECISÃO D.P","SEM DEFESA",IF(G36="","SEM STATUS",IF(N36="","SEM DATA",IF(N36&lt;0,"VENCIDO",IF(N36&lt;=DiasAlerta,"VENCE EM BREVE","NO PRAZO")))))))</f>
        <v>DEFESA FORA DO PRAZO</v>
      </c>
      <c r="P36" s="109">
        <f>IF(D36="","",TODAY()-D36)</f>
        <v>129</v>
      </c>
      <c r="Q36" s="102" t="n"/>
    </row>
    <row r="37" ht="18" customHeight="1">
      <c r="A37" s="101" t="n">
        <v>33</v>
      </c>
      <c r="B37" s="102" t="inlineStr">
        <is>
          <t>Loja Litoral</t>
        </is>
      </c>
      <c r="C37" s="102" t="inlineStr">
        <is>
          <t>LOJA</t>
        </is>
      </c>
      <c r="D37" s="103" t="n">
        <v>46177</v>
      </c>
      <c r="E37" s="102" t="inlineStr">
        <is>
          <t>NOTIFICAÇÃO DE ESCLARECIMENTO</t>
        </is>
      </c>
      <c r="F37" s="104" t="inlineStr">
        <is>
          <t>ELETRÔNICA</t>
        </is>
      </c>
      <c r="G37" s="104" t="inlineStr">
        <is>
          <t>DECISÃO D.P</t>
        </is>
      </c>
      <c r="H37" s="102" t="inlineStr">
        <is>
          <t>CARLA MENDES</t>
        </is>
      </c>
      <c r="I37" s="105" t="inlineStr">
        <is>
          <t>0663/2026</t>
        </is>
      </c>
      <c r="J37" s="105" t="inlineStr">
        <is>
          <t>2026.081251-7/10</t>
        </is>
      </c>
      <c r="K37" s="103" t="n">
        <v>46118</v>
      </c>
      <c r="L37" s="103" t="n">
        <v>46181</v>
      </c>
      <c r="M37" s="106">
        <f>IF(OR(D37="",E37=""),"",D37+IF(E37="NOTIFICAÇÃO DE CONSTATAÇÃO",PrazoConst,PrazoEsc))</f>
        <v>46192.0</v>
      </c>
      <c r="N37" s="107">
        <f>IF(M37="","",IF(ISNUMBER(L37),M37-L37,IF(G37="DECISÃO D.P","",M37-TODAY())))</f>
        <v>11</v>
      </c>
      <c r="O37" s="108" t="str">
        <f>IF(B37="","",IF(ISNUMBER(L37),IF(N37="","SEM DATA",IF(N37&gt;=0,"DEFESA NO PRAZO","DEFESA FORA DO PRAZO")),IF(G37="DECISÃO D.P","SEM DEFESA",IF(G37="","SEM STATUS",IF(N37="","SEM DATA",IF(N37&lt;0,"VENCIDO",IF(N37&lt;=DiasAlerta,"VENCE EM BREVE","NO PRAZO")))))))</f>
        <v>DEFESA NO PRAZO</v>
      </c>
      <c r="P37" s="109">
        <f>IF(D37="","",TODAY()-D37)</f>
        <v>127</v>
      </c>
      <c r="Q37" s="102" t="n"/>
    </row>
    <row r="38" ht="18" customHeight="1">
      <c r="A38" s="101" t="n">
        <v>34</v>
      </c>
      <c r="B38" s="102" t="inlineStr">
        <is>
          <t>Boutique Vitória Ltda</t>
        </is>
      </c>
      <c r="C38" s="102" t="inlineStr">
        <is>
          <t>LOJA</t>
        </is>
      </c>
      <c r="D38" s="103" t="n">
        <v>46179</v>
      </c>
      <c r="E38" s="102" t="inlineStr">
        <is>
          <t>NOTIFICAÇÃO DE CONSTATAÇÃO</t>
        </is>
      </c>
      <c r="F38" s="104" t="inlineStr">
        <is>
          <t>PRESENCIAL</t>
        </is>
      </c>
      <c r="G38" s="104" t="inlineStr">
        <is>
          <t>DECISÃO D.P</t>
        </is>
      </c>
      <c r="H38" s="102" t="inlineStr">
        <is>
          <t>ANA PAULA SOUZA</t>
        </is>
      </c>
      <c r="I38" s="105" t="inlineStr">
        <is>
          <t>0154/2026</t>
        </is>
      </c>
      <c r="J38" s="105" t="inlineStr">
        <is>
          <t>2026.073390-4/11</t>
        </is>
      </c>
      <c r="K38" s="103" t="n">
        <v>46150</v>
      </c>
      <c r="L38" s="103" t="n">
        <v>46188</v>
      </c>
      <c r="M38" s="106">
        <f>IF(OR(D38="",E38=""),"",D38+IF(E38="NOTIFICAÇÃO DE CONSTATAÇÃO",PrazoConst,PrazoEsc))</f>
        <v>46189.0</v>
      </c>
      <c r="N38" s="107">
        <f>IF(M38="","",IF(ISNUMBER(L38),M38-L38,IF(G38="DECISÃO D.P","",M38-TODAY())))</f>
        <v>1</v>
      </c>
      <c r="O38" s="108" t="str">
        <f>IF(B38="","",IF(ISNUMBER(L38),IF(N38="","SEM DATA",IF(N38&gt;=0,"DEFESA NO PRAZO","DEFESA FORA DO PRAZO")),IF(G38="DECISÃO D.P","SEM DEFESA",IF(G38="","SEM STATUS",IF(N38="","SEM DATA",IF(N38&lt;0,"VENCIDO",IF(N38&lt;=DiasAlerta,"VENCE EM BREVE","NO PRAZO")))))))</f>
        <v>DEFESA NO PRAZO</v>
      </c>
      <c r="P38" s="109">
        <f>IF(D38="","",TODAY()-D38)</f>
        <v>125</v>
      </c>
      <c r="Q38" s="102" t="n"/>
    </row>
    <row r="39" ht="18" customHeight="1">
      <c r="A39" s="101" t="n">
        <v>35</v>
      </c>
      <c r="B39" s="102" t="inlineStr">
        <is>
          <t>Farmácia Vida Plena</t>
        </is>
      </c>
      <c r="C39" s="102" t="inlineStr">
        <is>
          <t>FARMÁCIA</t>
        </is>
      </c>
      <c r="D39" s="103" t="n">
        <v>46182</v>
      </c>
      <c r="E39" s="102" t="inlineStr">
        <is>
          <t>NOTIFICAÇÃO DE ESCLARECIMENTO</t>
        </is>
      </c>
      <c r="F39" s="104" t="inlineStr">
        <is>
          <t>PRESENCIAL</t>
        </is>
      </c>
      <c r="G39" s="104" t="inlineStr">
        <is>
          <t>DECISÃO D.P</t>
        </is>
      </c>
      <c r="H39" s="102" t="inlineStr">
        <is>
          <t>CARLA MENDES</t>
        </is>
      </c>
      <c r="I39" s="105" t="inlineStr">
        <is>
          <t>0922/2026</t>
        </is>
      </c>
      <c r="J39" s="105" t="inlineStr">
        <is>
          <t>2026.004997-8/03</t>
        </is>
      </c>
      <c r="K39" s="103" t="n">
        <v>46123</v>
      </c>
      <c r="L39" s="103" t="n">
        <v>46203</v>
      </c>
      <c r="M39" s="106">
        <f>IF(OR(D39="",E39=""),"",D39+IF(E39="NOTIFICAÇÃO DE CONSTATAÇÃO",PrazoConst,PrazoEsc))</f>
        <v>46197.0</v>
      </c>
      <c r="N39" s="107">
        <f>IF(M39="","",IF(ISNUMBER(L39),M39-L39,IF(G39="DECISÃO D.P","",M39-TODAY())))</f>
        <v>-6</v>
      </c>
      <c r="O39" s="108" t="str">
        <f>IF(B39="","",IF(ISNUMBER(L39),IF(N39="","SEM DATA",IF(N39&gt;=0,"DEFESA NO PRAZO","DEFESA FORA DO PRAZO")),IF(G39="DECISÃO D.P","SEM DEFESA",IF(G39="","SEM STATUS",IF(N39="","SEM DATA",IF(N39&lt;0,"VENCIDO",IF(N39&lt;=DiasAlerta,"VENCE EM BREVE","NO PRAZO")))))))</f>
        <v>DEFESA FORA DO PRAZO</v>
      </c>
      <c r="P39" s="109">
        <f>IF(D39="","",TODAY()-D39)</f>
        <v>122</v>
      </c>
      <c r="Q39" s="102" t="n"/>
    </row>
    <row r="40" ht="18" customHeight="1">
      <c r="A40" s="101" t="n">
        <v>36</v>
      </c>
      <c r="B40" s="102" t="inlineStr">
        <is>
          <t>Magazine Monte Sião 24h</t>
        </is>
      </c>
      <c r="C40" s="102" t="inlineStr">
        <is>
          <t>LOJA</t>
        </is>
      </c>
      <c r="D40" s="103" t="n">
        <v>46196</v>
      </c>
      <c r="E40" s="102" t="inlineStr">
        <is>
          <t>NOTIFICAÇÃO DE CONSTATAÇÃO</t>
        </is>
      </c>
      <c r="F40" s="104" t="inlineStr">
        <is>
          <t>PRESENCIAL</t>
        </is>
      </c>
      <c r="G40" s="104" t="inlineStr">
        <is>
          <t>DECISÃO D.P</t>
        </is>
      </c>
      <c r="H40" s="102" t="inlineStr">
        <is>
          <t>ANA PAULA SOUZA</t>
        </is>
      </c>
      <c r="I40" s="105" t="inlineStr">
        <is>
          <t>0402/2026</t>
        </is>
      </c>
      <c r="J40" s="105" t="inlineStr">
        <is>
          <t>2026.023043-8/14</t>
        </is>
      </c>
      <c r="K40" s="103" t="n">
        <v>46180</v>
      </c>
      <c r="L40" s="103" t="n">
        <v>46198</v>
      </c>
      <c r="M40" s="106">
        <f>IF(OR(D40="",E40=""),"",D40+IF(E40="NOTIFICAÇÃO DE CONSTATAÇÃO",PrazoConst,PrazoEsc))</f>
        <v>46206.0</v>
      </c>
      <c r="N40" s="107">
        <f>IF(M40="","",IF(ISNUMBER(L40),M40-L40,IF(G40="DECISÃO D.P","",M40-TODAY())))</f>
        <v>8</v>
      </c>
      <c r="O40" s="108" t="str">
        <f>IF(B40="","",IF(ISNUMBER(L40),IF(N40="","SEM DATA",IF(N40&gt;=0,"DEFESA NO PRAZO","DEFESA FORA DO PRAZO")),IF(G40="DECISÃO D.P","SEM DEFESA",IF(G40="","SEM STATUS",IF(N40="","SEM DATA",IF(N40&lt;0,"VENCIDO",IF(N40&lt;=DiasAlerta,"VENCE EM BREVE","NO PRAZO")))))))</f>
        <v>DEFESA NO PRAZO</v>
      </c>
      <c r="P40" s="109">
        <f>IF(D40="","",TODAY()-D40)</f>
        <v>108</v>
      </c>
      <c r="Q40" s="102" t="n"/>
    </row>
    <row r="41" ht="18" customHeight="1">
      <c r="A41" s="101" t="n">
        <v>37</v>
      </c>
      <c r="B41" s="102" t="inlineStr">
        <is>
          <t>Clínica Bela Vista</t>
        </is>
      </c>
      <c r="C41" s="102" t="inlineStr">
        <is>
          <t>SAÚDE</t>
        </is>
      </c>
      <c r="D41" s="103" t="n">
        <v>46198</v>
      </c>
      <c r="E41" s="102" t="inlineStr">
        <is>
          <t>NOTIFICAÇÃO DE ESCLARECIMENTO</t>
        </is>
      </c>
      <c r="F41" s="104" t="inlineStr">
        <is>
          <t>PRESENCIAL</t>
        </is>
      </c>
      <c r="G41" s="104" t="inlineStr">
        <is>
          <t>DECISÃO D.P</t>
        </is>
      </c>
      <c r="H41" s="102" t="inlineStr">
        <is>
          <t>FELIPE ARAÚJO</t>
        </is>
      </c>
      <c r="I41" s="105" t="inlineStr">
        <is>
          <t>0712/2026</t>
        </is>
      </c>
      <c r="J41" s="105" t="inlineStr">
        <is>
          <t>2026.048827-1/07</t>
        </is>
      </c>
      <c r="K41" s="103" t="n">
        <v>46165</v>
      </c>
      <c r="L41" s="103" t="n"/>
      <c r="M41" s="106">
        <f>IF(OR(D41="",E41=""),"",D41+IF(E41="NOTIFICAÇÃO DE CONSTATAÇÃO",PrazoConst,PrazoEsc))</f>
        <v>46213.0</v>
      </c>
      <c r="N41" s="107" t="str">
        <f>IF(M41="","",IF(ISNUMBER(L41),M41-L41,IF(G41="DECISÃO D.P","",M41-TODAY())))</f>
        <v/>
      </c>
      <c r="O41" s="108" t="str">
        <f>IF(B41="","",IF(ISNUMBER(L41),IF(N41="","SEM DATA",IF(N41&gt;=0,"DEFESA NO PRAZO","DEFESA FORA DO PRAZO")),IF(G41="DECISÃO D.P","SEM DEFESA",IF(G41="","SEM STATUS",IF(N41="","SEM DATA",IF(N41&lt;0,"VENCIDO",IF(N41&lt;=DiasAlerta,"VENCE EM BREVE","NO PRAZO")))))))</f>
        <v>SEM DEFESA</v>
      </c>
      <c r="P41" s="109">
        <f>IF(D41="","",TODAY()-D41)</f>
        <v>106</v>
      </c>
      <c r="Q41" s="102" t="n"/>
    </row>
    <row r="42" ht="18" customHeight="1">
      <c r="A42" s="101" t="n">
        <v>38</v>
      </c>
      <c r="B42" s="102" t="inlineStr">
        <is>
          <t>Auto Posto Bom Preço Filial 2</t>
        </is>
      </c>
      <c r="C42" s="102" t="inlineStr">
        <is>
          <t>POSTO DE COMBUSTÍVEL</t>
        </is>
      </c>
      <c r="D42" s="103" t="n">
        <v>46199</v>
      </c>
      <c r="E42" s="102" t="inlineStr">
        <is>
          <t>NOTIFICAÇÃO DE ESCLARECIMENTO</t>
        </is>
      </c>
      <c r="F42" s="104" t="inlineStr">
        <is>
          <t>PRESENCIAL</t>
        </is>
      </c>
      <c r="G42" s="104" t="inlineStr">
        <is>
          <t>DECISÃO D.P</t>
        </is>
      </c>
      <c r="H42" s="102" t="inlineStr">
        <is>
          <t>ANA PAULA SOUZA</t>
        </is>
      </c>
      <c r="I42" s="105" t="inlineStr">
        <is>
          <t>0426/2026</t>
        </is>
      </c>
      <c r="J42" s="105" t="inlineStr">
        <is>
          <t>2026.050438-3/13</t>
        </is>
      </c>
      <c r="K42" s="103" t="n">
        <v>46145</v>
      </c>
      <c r="L42" s="103" t="n">
        <v>46207</v>
      </c>
      <c r="M42" s="106">
        <f>IF(OR(D42="",E42=""),"",D42+IF(E42="NOTIFICAÇÃO DE CONSTATAÇÃO",PrazoConst,PrazoEsc))</f>
        <v>46214.0</v>
      </c>
      <c r="N42" s="107">
        <f>IF(M42="","",IF(ISNUMBER(L42),M42-L42,IF(G42="DECISÃO D.P","",M42-TODAY())))</f>
        <v>7</v>
      </c>
      <c r="O42" s="108" t="str">
        <f>IF(B42="","",IF(ISNUMBER(L42),IF(N42="","SEM DATA",IF(N42&gt;=0,"DEFESA NO PRAZO","DEFESA FORA DO PRAZO")),IF(G42="DECISÃO D.P","SEM DEFESA",IF(G42="","SEM STATUS",IF(N42="","SEM DATA",IF(N42&lt;0,"VENCIDO",IF(N42&lt;=DiasAlerta,"VENCE EM BREVE","NO PRAZO")))))))</f>
        <v>DEFESA NO PRAZO</v>
      </c>
      <c r="P42" s="109">
        <f>IF(D42="","",TODAY()-D42)</f>
        <v>105</v>
      </c>
      <c r="Q42" s="102" t="n"/>
    </row>
    <row r="43" ht="18" customHeight="1">
      <c r="A43" s="101" t="n">
        <v>39</v>
      </c>
      <c r="B43" s="102" t="inlineStr">
        <is>
          <t>Serviços Aliança</t>
        </is>
      </c>
      <c r="C43" s="102" t="inlineStr">
        <is>
          <t>OUTROS</t>
        </is>
      </c>
      <c r="D43" s="103" t="n">
        <v>46200</v>
      </c>
      <c r="E43" s="102" t="inlineStr">
        <is>
          <t>NOTIFICAÇÃO DE CONSTATAÇÃO</t>
        </is>
      </c>
      <c r="F43" s="104" t="inlineStr">
        <is>
          <t>ELETRÔNICA</t>
        </is>
      </c>
      <c r="G43" s="104" t="inlineStr">
        <is>
          <t>DECISÃO D.P</t>
        </is>
      </c>
      <c r="H43" s="102" t="inlineStr">
        <is>
          <t>ANA PAULA SOUZA</t>
        </is>
      </c>
      <c r="I43" s="105" t="inlineStr">
        <is>
          <t>0576/2026</t>
        </is>
      </c>
      <c r="J43" s="105" t="inlineStr">
        <is>
          <t>2026.034749-8/09</t>
        </is>
      </c>
      <c r="K43" s="103" t="n">
        <v>46173</v>
      </c>
      <c r="L43" s="103" t="n"/>
      <c r="M43" s="106">
        <f>IF(OR(D43="",E43=""),"",D43+IF(E43="NOTIFICAÇÃO DE CONSTATAÇÃO",PrazoConst,PrazoEsc))</f>
        <v>46210.0</v>
      </c>
      <c r="N43" s="107" t="str">
        <f>IF(M43="","",IF(ISNUMBER(L43),M43-L43,IF(G43="DECISÃO D.P","",M43-TODAY())))</f>
        <v/>
      </c>
      <c r="O43" s="108" t="str">
        <f>IF(B43="","",IF(ISNUMBER(L43),IF(N43="","SEM DATA",IF(N43&gt;=0,"DEFESA NO PRAZO","DEFESA FORA DO PRAZO")),IF(G43="DECISÃO D.P","SEM DEFESA",IF(G43="","SEM STATUS",IF(N43="","SEM DATA",IF(N43&lt;0,"VENCIDO",IF(N43&lt;=DiasAlerta,"VENCE EM BREVE","NO PRAZO")))))))</f>
        <v>SEM DEFESA</v>
      </c>
      <c r="P43" s="109">
        <f>IF(D43="","",TODAY()-D43)</f>
        <v>104</v>
      </c>
      <c r="Q43" s="102" t="n"/>
    </row>
    <row r="44" ht="18" customHeight="1">
      <c r="A44" s="101" t="n">
        <v>40</v>
      </c>
      <c r="B44" s="102" t="inlineStr">
        <is>
          <t>Mercado Avenida ME</t>
        </is>
      </c>
      <c r="C44" s="102" t="inlineStr">
        <is>
          <t>SUPERMERCADO</t>
        </is>
      </c>
      <c r="D44" s="103" t="n">
        <v>46200</v>
      </c>
      <c r="E44" s="102" t="inlineStr">
        <is>
          <t>NOTIFICAÇÃO DE CONSTATAÇÃO</t>
        </is>
      </c>
      <c r="F44" s="104" t="inlineStr">
        <is>
          <t>ELETRÔNICA</t>
        </is>
      </c>
      <c r="G44" s="104" t="inlineStr">
        <is>
          <t>DECISÃO D.P</t>
        </is>
      </c>
      <c r="H44" s="102" t="inlineStr">
        <is>
          <t>DIEGO RIBEIRO</t>
        </is>
      </c>
      <c r="I44" s="105" t="inlineStr">
        <is>
          <t>0495/2026</t>
        </is>
      </c>
      <c r="J44" s="105" t="inlineStr">
        <is>
          <t>2026.003142-7/04</t>
        </is>
      </c>
      <c r="K44" s="103" t="n">
        <v>46128</v>
      </c>
      <c r="L44" s="103" t="n">
        <v>46202</v>
      </c>
      <c r="M44" s="106">
        <f>IF(OR(D44="",E44=""),"",D44+IF(E44="NOTIFICAÇÃO DE CONSTATAÇÃO",PrazoConst,PrazoEsc))</f>
        <v>46210.0</v>
      </c>
      <c r="N44" s="107">
        <f>IF(M44="","",IF(ISNUMBER(L44),M44-L44,IF(G44="DECISÃO D.P","",M44-TODAY())))</f>
        <v>8</v>
      </c>
      <c r="O44" s="108" t="str">
        <f>IF(B44="","",IF(ISNUMBER(L44),IF(N44="","SEM DATA",IF(N44&gt;=0,"DEFESA NO PRAZO","DEFESA FORA DO PRAZO")),IF(G44="DECISÃO D.P","SEM DEFESA",IF(G44="","SEM STATUS",IF(N44="","SEM DATA",IF(N44&lt;0,"VENCIDO",IF(N44&lt;=DiasAlerta,"VENCE EM BREVE","NO PRAZO")))))))</f>
        <v>DEFESA NO PRAZO</v>
      </c>
      <c r="P44" s="109">
        <f>IF(D44="","",TODAY()-D44)</f>
        <v>104</v>
      </c>
      <c r="Q44" s="102" t="n"/>
    </row>
    <row r="45" ht="18" customHeight="1">
      <c r="A45" s="101" t="n">
        <v>41</v>
      </c>
      <c r="B45" s="102" t="inlineStr">
        <is>
          <t>Serviços Vitória Filial 2</t>
        </is>
      </c>
      <c r="C45" s="102" t="inlineStr">
        <is>
          <t>OUTROS</t>
        </is>
      </c>
      <c r="D45" s="103" t="n">
        <v>46204</v>
      </c>
      <c r="E45" s="102" t="inlineStr">
        <is>
          <t>NOTIFICAÇÃO DE ESCLARECIMENTO</t>
        </is>
      </c>
      <c r="F45" s="104" t="inlineStr">
        <is>
          <t>PRESENCIAL</t>
        </is>
      </c>
      <c r="G45" s="104" t="inlineStr">
        <is>
          <t>PRAZO D.P</t>
        </is>
      </c>
      <c r="H45" s="102" t="inlineStr">
        <is>
          <t>DIEGO RIBEIRO</t>
        </is>
      </c>
      <c r="I45" s="105" t="inlineStr">
        <is>
          <t>0660/2026</t>
        </is>
      </c>
      <c r="J45" s="105" t="inlineStr">
        <is>
          <t>2026.021715-8/02</t>
        </is>
      </c>
      <c r="K45" s="103" t="n">
        <v>46115</v>
      </c>
      <c r="L45" s="103" t="n">
        <v>46298</v>
      </c>
      <c r="M45" s="106">
        <f>IF(OR(D45="",E45=""),"",D45+IF(E45="NOTIFICAÇÃO DE CONSTATAÇÃO",PrazoConst,PrazoEsc))</f>
        <v>46219.0</v>
      </c>
      <c r="N45" s="107">
        <f>IF(M45="","",IF(ISNUMBER(L45),M45-L45,IF(G45="DECISÃO D.P","",M45-TODAY())))</f>
        <v>-79</v>
      </c>
      <c r="O45" s="108" t="str">
        <f>IF(B45="","",IF(ISNUMBER(L45),IF(N45="","SEM DATA",IF(N45&gt;=0,"DEFESA NO PRAZO","DEFESA FORA DO PRAZO")),IF(G45="DECISÃO D.P","SEM DEFESA",IF(G45="","SEM STATUS",IF(N45="","SEM DATA",IF(N45&lt;0,"VENCIDO",IF(N45&lt;=DiasAlerta,"VENCE EM BREVE","NO PRAZO")))))))</f>
        <v>DEFESA FORA DO PRAZO</v>
      </c>
      <c r="P45" s="109">
        <f>IF(D45="","",TODAY()-D45)</f>
        <v>100</v>
      </c>
      <c r="Q45" s="102" t="n"/>
    </row>
    <row r="46" ht="18" customHeight="1">
      <c r="A46" s="101" t="n">
        <v>42</v>
      </c>
      <c r="B46" s="102" t="inlineStr">
        <is>
          <t>Comércio Planalto</t>
        </is>
      </c>
      <c r="C46" s="102" t="inlineStr">
        <is>
          <t>OUTROS</t>
        </is>
      </c>
      <c r="D46" s="103" t="n">
        <v>46205</v>
      </c>
      <c r="E46" s="102" t="inlineStr">
        <is>
          <t>NOTIFICAÇÃO DE CONSTATAÇÃO</t>
        </is>
      </c>
      <c r="F46" s="104" t="inlineStr">
        <is>
          <t>ELETRÔNICA</t>
        </is>
      </c>
      <c r="G46" s="104" t="inlineStr">
        <is>
          <t>DECISÃO D.P</t>
        </is>
      </c>
      <c r="H46" s="102" t="inlineStr">
        <is>
          <t>CARLA MENDES</t>
        </is>
      </c>
      <c r="I46" s="105" t="inlineStr">
        <is>
          <t>0258/2026</t>
        </is>
      </c>
      <c r="J46" s="105" t="inlineStr">
        <is>
          <t>2026.002313-5/07</t>
        </is>
      </c>
      <c r="K46" s="103" t="n">
        <v>46139</v>
      </c>
      <c r="L46" s="103" t="n">
        <v>46206</v>
      </c>
      <c r="M46" s="106">
        <f>IF(OR(D46="",E46=""),"",D46+IF(E46="NOTIFICAÇÃO DE CONSTATAÇÃO",PrazoConst,PrazoEsc))</f>
        <v>46215.0</v>
      </c>
      <c r="N46" s="107">
        <f>IF(M46="","",IF(ISNUMBER(L46),M46-L46,IF(G46="DECISÃO D.P","",M46-TODAY())))</f>
        <v>9</v>
      </c>
      <c r="O46" s="108" t="str">
        <f>IF(B46="","",IF(ISNUMBER(L46),IF(N46="","SEM DATA",IF(N46&gt;=0,"DEFESA NO PRAZO","DEFESA FORA DO PRAZO")),IF(G46="DECISÃO D.P","SEM DEFESA",IF(G46="","SEM STATUS",IF(N46="","SEM DATA",IF(N46&lt;0,"VENCIDO",IF(N46&lt;=DiasAlerta,"VENCE EM BREVE","NO PRAZO")))))))</f>
        <v>DEFESA NO PRAZO</v>
      </c>
      <c r="P46" s="109">
        <f>IF(D46="","",TODAY()-D46)</f>
        <v>99</v>
      </c>
      <c r="Q46" s="102" t="n"/>
    </row>
    <row r="47" ht="18" customHeight="1">
      <c r="A47" s="101" t="n">
        <v>43</v>
      </c>
      <c r="B47" s="102" t="inlineStr">
        <is>
          <t>Restaurante Jardim</t>
        </is>
      </c>
      <c r="C47" s="102" t="inlineStr">
        <is>
          <t>RESTAURANTE</t>
        </is>
      </c>
      <c r="D47" s="103" t="n">
        <v>46210</v>
      </c>
      <c r="E47" s="102" t="inlineStr">
        <is>
          <t>NOTIFICAÇÃO DE CONSTATAÇÃO</t>
        </is>
      </c>
      <c r="F47" s="104" t="inlineStr">
        <is>
          <t>PRESENCIAL</t>
        </is>
      </c>
      <c r="G47" s="104" t="inlineStr">
        <is>
          <t>DECISÃO D.P</t>
        </is>
      </c>
      <c r="H47" s="102" t="inlineStr">
        <is>
          <t>ANA PAULA SOUZA</t>
        </is>
      </c>
      <c r="I47" s="105" t="inlineStr">
        <is>
          <t>0424/2026</t>
        </is>
      </c>
      <c r="J47" s="105" t="inlineStr">
        <is>
          <t>2026.073860-1/08</t>
        </is>
      </c>
      <c r="K47" s="103" t="n">
        <v>46156</v>
      </c>
      <c r="L47" s="103" t="n">
        <v>46216</v>
      </c>
      <c r="M47" s="106">
        <f>IF(OR(D47="",E47=""),"",D47+IF(E47="NOTIFICAÇÃO DE CONSTATAÇÃO",PrazoConst,PrazoEsc))</f>
        <v>46220.0</v>
      </c>
      <c r="N47" s="107">
        <f>IF(M47="","",IF(ISNUMBER(L47),M47-L47,IF(G47="DECISÃO D.P","",M47-TODAY())))</f>
        <v>4</v>
      </c>
      <c r="O47" s="108" t="str">
        <f>IF(B47="","",IF(ISNUMBER(L47),IF(N47="","SEM DATA",IF(N47&gt;=0,"DEFESA NO PRAZO","DEFESA FORA DO PRAZO")),IF(G47="DECISÃO D.P","SEM DEFESA",IF(G47="","SEM STATUS",IF(N47="","SEM DATA",IF(N47&lt;0,"VENCIDO",IF(N47&lt;=DiasAlerta,"VENCE EM BREVE","NO PRAZO")))))))</f>
        <v>DEFESA NO PRAZO</v>
      </c>
      <c r="P47" s="109">
        <f>IF(D47="","",TODAY()-D47)</f>
        <v>94</v>
      </c>
      <c r="Q47" s="102" t="n"/>
    </row>
    <row r="48" ht="18" customHeight="1">
      <c r="A48" s="101" t="n">
        <v>44</v>
      </c>
      <c r="B48" s="102" t="inlineStr">
        <is>
          <t>Escola Boa Esperança</t>
        </is>
      </c>
      <c r="C48" s="102" t="inlineStr">
        <is>
          <t>ESCOLA</t>
        </is>
      </c>
      <c r="D48" s="103" t="n">
        <v>46213</v>
      </c>
      <c r="E48" s="102" t="inlineStr">
        <is>
          <t>NOTIFICAÇÃO DE CONSTATAÇÃO</t>
        </is>
      </c>
      <c r="F48" s="104" t="inlineStr">
        <is>
          <t>PRESENCIAL</t>
        </is>
      </c>
      <c r="G48" s="104" t="inlineStr">
        <is>
          <t>DECISÃO D.P</t>
        </is>
      </c>
      <c r="H48" s="102" t="inlineStr">
        <is>
          <t>GABRIELA NUNES</t>
        </is>
      </c>
      <c r="I48" s="105" t="inlineStr">
        <is>
          <t>0373/2026</t>
        </is>
      </c>
      <c r="J48" s="105" t="inlineStr">
        <is>
          <t>2026.074297-9/07</t>
        </is>
      </c>
      <c r="K48" s="103" t="n">
        <v>46177</v>
      </c>
      <c r="L48" s="103" t="n">
        <v>46214</v>
      </c>
      <c r="M48" s="106">
        <f>IF(OR(D48="",E48=""),"",D48+IF(E48="NOTIFICAÇÃO DE CONSTATAÇÃO",PrazoConst,PrazoEsc))</f>
        <v>46223.0</v>
      </c>
      <c r="N48" s="107">
        <f>IF(M48="","",IF(ISNUMBER(L48),M48-L48,IF(G48="DECISÃO D.P","",M48-TODAY())))</f>
        <v>9</v>
      </c>
      <c r="O48" s="108" t="str">
        <f>IF(B48="","",IF(ISNUMBER(L48),IF(N48="","SEM DATA",IF(N48&gt;=0,"DEFESA NO PRAZO","DEFESA FORA DO PRAZO")),IF(G48="DECISÃO D.P","SEM DEFESA",IF(G48="","SEM STATUS",IF(N48="","SEM DATA",IF(N48&lt;0,"VENCIDO",IF(N48&lt;=DiasAlerta,"VENCE EM BREVE","NO PRAZO")))))))</f>
        <v>DEFESA NO PRAZO</v>
      </c>
      <c r="P48" s="109">
        <f>IF(D48="","",TODAY()-D48)</f>
        <v>91</v>
      </c>
      <c r="Q48" s="102" t="n"/>
    </row>
    <row r="49" ht="18" customHeight="1">
      <c r="A49" s="101" t="n">
        <v>45</v>
      </c>
      <c r="B49" s="102" t="inlineStr">
        <is>
          <t>Posto Primavera</t>
        </is>
      </c>
      <c r="C49" s="102" t="inlineStr">
        <is>
          <t>POSTO DE COMBUSTÍVEL</t>
        </is>
      </c>
      <c r="D49" s="103" t="n">
        <v>46216</v>
      </c>
      <c r="E49" s="102" t="inlineStr">
        <is>
          <t>NOTIFICAÇÃO DE ESCLARECIMENTO</t>
        </is>
      </c>
      <c r="F49" s="104" t="inlineStr">
        <is>
          <t>PRESENCIAL</t>
        </is>
      </c>
      <c r="G49" s="104" t="inlineStr">
        <is>
          <t>DECISÃO D.P</t>
        </is>
      </c>
      <c r="H49" s="102" t="inlineStr">
        <is>
          <t>FELIPE ARAÚJO</t>
        </is>
      </c>
      <c r="I49" s="105" t="inlineStr">
        <is>
          <t>0884/2026</t>
        </is>
      </c>
      <c r="J49" s="105" t="inlineStr">
        <is>
          <t>2026.096143-8/11</t>
        </is>
      </c>
      <c r="K49" s="103" t="n">
        <v>46203</v>
      </c>
      <c r="L49" s="103" t="n">
        <v>46226</v>
      </c>
      <c r="M49" s="106">
        <f>IF(OR(D49="",E49=""),"",D49+IF(E49="NOTIFICAÇÃO DE CONSTATAÇÃO",PrazoConst,PrazoEsc))</f>
        <v>46231.0</v>
      </c>
      <c r="N49" s="107">
        <f>IF(M49="","",IF(ISNUMBER(L49),M49-L49,IF(G49="DECISÃO D.P","",M49-TODAY())))</f>
        <v>5</v>
      </c>
      <c r="O49" s="108" t="str">
        <f>IF(B49="","",IF(ISNUMBER(L49),IF(N49="","SEM DATA",IF(N49&gt;=0,"DEFESA NO PRAZO","DEFESA FORA DO PRAZO")),IF(G49="DECISÃO D.P","SEM DEFESA",IF(G49="","SEM STATUS",IF(N49="","SEM DATA",IF(N49&lt;0,"VENCIDO",IF(N49&lt;=DiasAlerta,"VENCE EM BREVE","NO PRAZO")))))))</f>
        <v>DEFESA NO PRAZO</v>
      </c>
      <c r="P49" s="109">
        <f>IF(D49="","",TODAY()-D49)</f>
        <v>88</v>
      </c>
      <c r="Q49" s="102" t="n"/>
    </row>
    <row r="50" ht="18" customHeight="1">
      <c r="A50" s="101" t="n">
        <v>46</v>
      </c>
      <c r="B50" s="102" t="inlineStr">
        <is>
          <t>Academia Real</t>
        </is>
      </c>
      <c r="C50" s="102" t="inlineStr">
        <is>
          <t>ACADEMIA</t>
        </is>
      </c>
      <c r="D50" s="103" t="n">
        <v>46216</v>
      </c>
      <c r="E50" s="102" t="inlineStr">
        <is>
          <t>NOTIFICAÇÃO DE ESCLARECIMENTO</t>
        </is>
      </c>
      <c r="F50" s="104" t="inlineStr">
        <is>
          <t>PRESENCIAL</t>
        </is>
      </c>
      <c r="G50" s="104" t="inlineStr">
        <is>
          <t>DECISÃO D.P</t>
        </is>
      </c>
      <c r="H50" s="102" t="inlineStr">
        <is>
          <t>EDUARDA LIMA</t>
        </is>
      </c>
      <c r="I50" s="105" t="inlineStr">
        <is>
          <t>0123/2026</t>
        </is>
      </c>
      <c r="J50" s="105" t="inlineStr">
        <is>
          <t>2026.069364-2/04</t>
        </is>
      </c>
      <c r="K50" s="103" t="n">
        <v>46204</v>
      </c>
      <c r="L50" s="103" t="n"/>
      <c r="M50" s="106">
        <f>IF(OR(D50="",E50=""),"",D50+IF(E50="NOTIFICAÇÃO DE CONSTATAÇÃO",PrazoConst,PrazoEsc))</f>
        <v>46231.0</v>
      </c>
      <c r="N50" s="107" t="str">
        <f>IF(M50="","",IF(ISNUMBER(L50),M50-L50,IF(G50="DECISÃO D.P","",M50-TODAY())))</f>
        <v/>
      </c>
      <c r="O50" s="108" t="str">
        <f>IF(B50="","",IF(ISNUMBER(L50),IF(N50="","SEM DATA",IF(N50&gt;=0,"DEFESA NO PRAZO","DEFESA FORA DO PRAZO")),IF(G50="DECISÃO D.P","SEM DEFESA",IF(G50="","SEM STATUS",IF(N50="","SEM DATA",IF(N50&lt;0,"VENCIDO",IF(N50&lt;=DiasAlerta,"VENCE EM BREVE","NO PRAZO")))))))</f>
        <v>SEM DEFESA</v>
      </c>
      <c r="P50" s="109">
        <f>IF(D50="","",TODAY()-D50)</f>
        <v>88</v>
      </c>
      <c r="Q50" s="102" t="n"/>
    </row>
    <row r="51" ht="18" customHeight="1">
      <c r="A51" s="101" t="n">
        <v>47</v>
      </c>
      <c r="B51" s="102" t="inlineStr">
        <is>
          <t>Financeira Boa Esperança</t>
        </is>
      </c>
      <c r="C51" s="102" t="inlineStr">
        <is>
          <t>BANCO</t>
        </is>
      </c>
      <c r="D51" s="103" t="n">
        <v>46222</v>
      </c>
      <c r="E51" s="102" t="inlineStr">
        <is>
          <t>NOTIFICAÇÃO DE CONSTATAÇÃO</t>
        </is>
      </c>
      <c r="F51" s="104" t="inlineStr">
        <is>
          <t>PRESENCIAL</t>
        </is>
      </c>
      <c r="G51" s="104" t="inlineStr">
        <is>
          <t>DECISÃO D.P</t>
        </is>
      </c>
      <c r="H51" s="102" t="inlineStr">
        <is>
          <t>HENRIQUE COSTA</t>
        </is>
      </c>
      <c r="I51" s="105" t="inlineStr">
        <is>
          <t>0111/2026</t>
        </is>
      </c>
      <c r="J51" s="105" t="inlineStr">
        <is>
          <t>2026.074354-3/06</t>
        </is>
      </c>
      <c r="K51" s="103" t="n">
        <v>46199</v>
      </c>
      <c r="L51" s="103" t="n">
        <v>46224</v>
      </c>
      <c r="M51" s="106">
        <f>IF(OR(D51="",E51=""),"",D51+IF(E51="NOTIFICAÇÃO DE CONSTATAÇÃO",PrazoConst,PrazoEsc))</f>
        <v>46232.0</v>
      </c>
      <c r="N51" s="107">
        <f>IF(M51="","",IF(ISNUMBER(L51),M51-L51,IF(G51="DECISÃO D.P","",M51-TODAY())))</f>
        <v>8</v>
      </c>
      <c r="O51" s="108" t="str">
        <f>IF(B51="","",IF(ISNUMBER(L51),IF(N51="","SEM DATA",IF(N51&gt;=0,"DEFESA NO PRAZO","DEFESA FORA DO PRAZO")),IF(G51="DECISÃO D.P","SEM DEFESA",IF(G51="","SEM STATUS",IF(N51="","SEM DATA",IF(N51&lt;0,"VENCIDO",IF(N51&lt;=DiasAlerta,"VENCE EM BREVE","NO PRAZO")))))))</f>
        <v>DEFESA NO PRAZO</v>
      </c>
      <c r="P51" s="109">
        <f>IF(D51="","",TODAY()-D51)</f>
        <v>82</v>
      </c>
      <c r="Q51" s="102" t="n"/>
    </row>
    <row r="52" ht="18" customHeight="1">
      <c r="A52" s="101" t="n">
        <v>48</v>
      </c>
      <c r="B52" s="102" t="inlineStr">
        <is>
          <t>Academia Atlântico</t>
        </is>
      </c>
      <c r="C52" s="102" t="inlineStr">
        <is>
          <t>ACADEMIA</t>
        </is>
      </c>
      <c r="D52" s="103" t="n">
        <v>46225</v>
      </c>
      <c r="E52" s="102" t="inlineStr">
        <is>
          <t>NOTIFICAÇÃO DE ESCLARECIMENTO</t>
        </is>
      </c>
      <c r="F52" s="104" t="inlineStr">
        <is>
          <t>PRESENCIAL</t>
        </is>
      </c>
      <c r="G52" s="104" t="inlineStr">
        <is>
          <t>DECISÃO D.P</t>
        </is>
      </c>
      <c r="H52" s="102" t="inlineStr">
        <is>
          <t>DIEGO RIBEIRO</t>
        </is>
      </c>
      <c r="I52" s="105" t="inlineStr">
        <is>
          <t>0360/2026</t>
        </is>
      </c>
      <c r="J52" s="105" t="inlineStr">
        <is>
          <t>2026.052610-2/14</t>
        </is>
      </c>
      <c r="K52" s="103" t="n">
        <v>46198</v>
      </c>
      <c r="L52" s="103" t="n">
        <v>46245</v>
      </c>
      <c r="M52" s="106">
        <f>IF(OR(D52="",E52=""),"",D52+IF(E52="NOTIFICAÇÃO DE CONSTATAÇÃO",PrazoConst,PrazoEsc))</f>
        <v>46240.0</v>
      </c>
      <c r="N52" s="107">
        <f>IF(M52="","",IF(ISNUMBER(L52),M52-L52,IF(G52="DECISÃO D.P","",M52-TODAY())))</f>
        <v>-5</v>
      </c>
      <c r="O52" s="108" t="str">
        <f>IF(B52="","",IF(ISNUMBER(L52),IF(N52="","SEM DATA",IF(N52&gt;=0,"DEFESA NO PRAZO","DEFESA FORA DO PRAZO")),IF(G52="DECISÃO D.P","SEM DEFESA",IF(G52="","SEM STATUS",IF(N52="","SEM DATA",IF(N52&lt;0,"VENCIDO",IF(N52&lt;=DiasAlerta,"VENCE EM BREVE","NO PRAZO")))))))</f>
        <v>DEFESA FORA DO PRAZO</v>
      </c>
      <c r="P52" s="109">
        <f>IF(D52="","",TODAY()-D52)</f>
        <v>79</v>
      </c>
      <c r="Q52" s="102" t="n"/>
    </row>
    <row r="53" ht="18" customHeight="1">
      <c r="A53" s="101" t="n">
        <v>49</v>
      </c>
      <c r="B53" s="102" t="inlineStr">
        <is>
          <t>Academia Planalto</t>
        </is>
      </c>
      <c r="C53" s="102" t="inlineStr">
        <is>
          <t>ACADEMIA</t>
        </is>
      </c>
      <c r="D53" s="103" t="n">
        <v>46227</v>
      </c>
      <c r="E53" s="102" t="inlineStr">
        <is>
          <t>NOTIFICAÇÃO DE CONSTATAÇÃO</t>
        </is>
      </c>
      <c r="F53" s="104" t="inlineStr">
        <is>
          <t>PRESENCIAL</t>
        </is>
      </c>
      <c r="G53" s="104" t="inlineStr">
        <is>
          <t>DECISÃO D.P</t>
        </is>
      </c>
      <c r="H53" s="102" t="inlineStr">
        <is>
          <t>BRUNO CARVALHO</t>
        </is>
      </c>
      <c r="I53" s="105" t="inlineStr">
        <is>
          <t>0656/2026</t>
        </is>
      </c>
      <c r="J53" s="105" t="inlineStr">
        <is>
          <t>2026.034520-8/09</t>
        </is>
      </c>
      <c r="K53" s="103" t="n">
        <v>46214</v>
      </c>
      <c r="L53" s="103" t="n">
        <v>46231</v>
      </c>
      <c r="M53" s="106">
        <f>IF(OR(D53="",E53=""),"",D53+IF(E53="NOTIFICAÇÃO DE CONSTATAÇÃO",PrazoConst,PrazoEsc))</f>
        <v>46237.0</v>
      </c>
      <c r="N53" s="107">
        <f>IF(M53="","",IF(ISNUMBER(L53),M53-L53,IF(G53="DECISÃO D.P","",M53-TODAY())))</f>
        <v>6</v>
      </c>
      <c r="O53" s="108" t="str">
        <f>IF(B53="","",IF(ISNUMBER(L53),IF(N53="","SEM DATA",IF(N53&gt;=0,"DEFESA NO PRAZO","DEFESA FORA DO PRAZO")),IF(G53="DECISÃO D.P","SEM DEFESA",IF(G53="","SEM STATUS",IF(N53="","SEM DATA",IF(N53&lt;0,"VENCIDO",IF(N53&lt;=DiasAlerta,"VENCE EM BREVE","NO PRAZO")))))))</f>
        <v>DEFESA NO PRAZO</v>
      </c>
      <c r="P53" s="109">
        <f>IF(D53="","",TODAY()-D53)</f>
        <v>77</v>
      </c>
      <c r="Q53" s="102" t="n"/>
    </row>
    <row r="54" ht="18" customHeight="1">
      <c r="A54" s="101" t="n">
        <v>50</v>
      </c>
      <c r="B54" s="102" t="inlineStr">
        <is>
          <t>Auto Center Litoral 24h</t>
        </is>
      </c>
      <c r="C54" s="102" t="inlineStr">
        <is>
          <t>CONCESSIONÁRIA</t>
        </is>
      </c>
      <c r="D54" s="103" t="n">
        <v>46231</v>
      </c>
      <c r="E54" s="102" t="inlineStr">
        <is>
          <t>NOTIFICAÇÃO DE ESCLARECIMENTO</t>
        </is>
      </c>
      <c r="F54" s="104" t="inlineStr">
        <is>
          <t>PRESENCIAL</t>
        </is>
      </c>
      <c r="G54" s="104" t="inlineStr">
        <is>
          <t>DECISÃO D.P</t>
        </is>
      </c>
      <c r="H54" s="102" t="inlineStr">
        <is>
          <t>DIEGO RIBEIRO</t>
        </is>
      </c>
      <c r="I54" s="105" t="inlineStr">
        <is>
          <t>0946/2026</t>
        </is>
      </c>
      <c r="J54" s="105" t="inlineStr">
        <is>
          <t>2026.051993-4/14</t>
        </is>
      </c>
      <c r="K54" s="103" t="n">
        <v>46194</v>
      </c>
      <c r="L54" s="103" t="n">
        <v>46245</v>
      </c>
      <c r="M54" s="106">
        <f>IF(OR(D54="",E54=""),"",D54+IF(E54="NOTIFICAÇÃO DE CONSTATAÇÃO",PrazoConst,PrazoEsc))</f>
        <v>46246.0</v>
      </c>
      <c r="N54" s="107">
        <f>IF(M54="","",IF(ISNUMBER(L54),M54-L54,IF(G54="DECISÃO D.P","",M54-TODAY())))</f>
        <v>1</v>
      </c>
      <c r="O54" s="108" t="str">
        <f>IF(B54="","",IF(ISNUMBER(L54),IF(N54="","SEM DATA",IF(N54&gt;=0,"DEFESA NO PRAZO","DEFESA FORA DO PRAZO")),IF(G54="DECISÃO D.P","SEM DEFESA",IF(G54="","SEM STATUS",IF(N54="","SEM DATA",IF(N54&lt;0,"VENCIDO",IF(N54&lt;=DiasAlerta,"VENCE EM BREVE","NO PRAZO")))))))</f>
        <v>DEFESA NO PRAZO</v>
      </c>
      <c r="P54" s="109">
        <f>IF(D54="","",TODAY()-D54)</f>
        <v>73</v>
      </c>
      <c r="Q54" s="102" t="n"/>
    </row>
    <row r="55" ht="18" customHeight="1">
      <c r="A55" s="101" t="n">
        <v>51</v>
      </c>
      <c r="B55" s="102" t="inlineStr">
        <is>
          <t>Auto Posto Vitória</t>
        </is>
      </c>
      <c r="C55" s="102" t="inlineStr">
        <is>
          <t>POSTO DE COMBUSTÍVEL</t>
        </is>
      </c>
      <c r="D55" s="103" t="n">
        <v>46232</v>
      </c>
      <c r="E55" s="102" t="inlineStr">
        <is>
          <t>NOTIFICAÇÃO DE CONSTATAÇÃO</t>
        </is>
      </c>
      <c r="F55" s="104" t="inlineStr">
        <is>
          <t>ELETRÔNICA</t>
        </is>
      </c>
      <c r="G55" s="104" t="inlineStr">
        <is>
          <t>DECISÃO D.P</t>
        </is>
      </c>
      <c r="H55" s="102" t="inlineStr">
        <is>
          <t>HENRIQUE COSTA</t>
        </is>
      </c>
      <c r="I55" s="105" t="inlineStr">
        <is>
          <t>0645/2026</t>
        </is>
      </c>
      <c r="J55" s="105" t="inlineStr">
        <is>
          <t>2026.074271-9/08</t>
        </is>
      </c>
      <c r="K55" s="103" t="n">
        <v>46171</v>
      </c>
      <c r="L55" s="103" t="n">
        <v>46239</v>
      </c>
      <c r="M55" s="106">
        <f>IF(OR(D55="",E55=""),"",D55+IF(E55="NOTIFICAÇÃO DE CONSTATAÇÃO",PrazoConst,PrazoEsc))</f>
        <v>46242.0</v>
      </c>
      <c r="N55" s="107">
        <f>IF(M55="","",IF(ISNUMBER(L55),M55-L55,IF(G55="DECISÃO D.P","",M55-TODAY())))</f>
        <v>3</v>
      </c>
      <c r="O55" s="108" t="str">
        <f>IF(B55="","",IF(ISNUMBER(L55),IF(N55="","SEM DATA",IF(N55&gt;=0,"DEFESA NO PRAZO","DEFESA FORA DO PRAZO")),IF(G55="DECISÃO D.P","SEM DEFESA",IF(G55="","SEM STATUS",IF(N55="","SEM DATA",IF(N55&lt;0,"VENCIDO",IF(N55&lt;=DiasAlerta,"VENCE EM BREVE","NO PRAZO")))))))</f>
        <v>DEFESA NO PRAZO</v>
      </c>
      <c r="P55" s="109">
        <f>IF(D55="","",TODAY()-D55)</f>
        <v>72</v>
      </c>
      <c r="Q55" s="102" t="n"/>
    </row>
    <row r="56" ht="18" customHeight="1">
      <c r="A56" s="101" t="n">
        <v>52</v>
      </c>
      <c r="B56" s="102" t="inlineStr">
        <is>
          <t>Auto Posto Vitória Filial 2</t>
        </is>
      </c>
      <c r="C56" s="102" t="inlineStr">
        <is>
          <t>POSTO DE COMBUSTÍVEL</t>
        </is>
      </c>
      <c r="D56" s="103" t="n">
        <v>46236</v>
      </c>
      <c r="E56" s="102" t="inlineStr">
        <is>
          <t>NOTIFICAÇÃO DE ESCLARECIMENTO</t>
        </is>
      </c>
      <c r="F56" s="104" t="inlineStr">
        <is>
          <t>ELETRÔNICA</t>
        </is>
      </c>
      <c r="G56" s="104" t="inlineStr">
        <is>
          <t>DECISÃO D.P</t>
        </is>
      </c>
      <c r="H56" s="102" t="inlineStr">
        <is>
          <t>ANA PAULA SOUZA</t>
        </is>
      </c>
      <c r="I56" s="105" t="inlineStr">
        <is>
          <t>0077/2026</t>
        </is>
      </c>
      <c r="J56" s="105" t="inlineStr">
        <is>
          <t>2026.075303-8/13</t>
        </is>
      </c>
      <c r="K56" s="103" t="n">
        <v>46215</v>
      </c>
      <c r="L56" s="103" t="n">
        <v>46252</v>
      </c>
      <c r="M56" s="106">
        <f>IF(OR(D56="",E56=""),"",D56+IF(E56="NOTIFICAÇÃO DE CONSTATAÇÃO",PrazoConst,PrazoEsc))</f>
        <v>46251.0</v>
      </c>
      <c r="N56" s="107">
        <f>IF(M56="","",IF(ISNUMBER(L56),M56-L56,IF(G56="DECISÃO D.P","",M56-TODAY())))</f>
        <v>-1</v>
      </c>
      <c r="O56" s="108" t="str">
        <f>IF(B56="","",IF(ISNUMBER(L56),IF(N56="","SEM DATA",IF(N56&gt;=0,"DEFESA NO PRAZO","DEFESA FORA DO PRAZO")),IF(G56="DECISÃO D.P","SEM DEFESA",IF(G56="","SEM STATUS",IF(N56="","SEM DATA",IF(N56&lt;0,"VENCIDO",IF(N56&lt;=DiasAlerta,"VENCE EM BREVE","NO PRAZO")))))))</f>
        <v>DEFESA FORA DO PRAZO</v>
      </c>
      <c r="P56" s="109">
        <f>IF(D56="","",TODAY()-D56)</f>
        <v>68</v>
      </c>
      <c r="Q56" s="102" t="n"/>
    </row>
    <row r="57" ht="18" customHeight="1">
      <c r="A57" s="101" t="n">
        <v>53</v>
      </c>
      <c r="B57" s="102" t="inlineStr">
        <is>
          <t>Loja Nova Era</t>
        </is>
      </c>
      <c r="C57" s="102" t="inlineStr">
        <is>
          <t>LOJA</t>
        </is>
      </c>
      <c r="D57" s="103" t="n">
        <v>46237</v>
      </c>
      <c r="E57" s="102" t="inlineStr">
        <is>
          <t>NOTIFICAÇÃO DE ESCLARECIMENTO</t>
        </is>
      </c>
      <c r="F57" s="104" t="inlineStr">
        <is>
          <t>PRESENCIAL</t>
        </is>
      </c>
      <c r="G57" s="104" t="inlineStr">
        <is>
          <t>DECISÃO D.P</t>
        </is>
      </c>
      <c r="H57" s="102" t="inlineStr">
        <is>
          <t>CARLA MENDES</t>
        </is>
      </c>
      <c r="I57" s="105" t="inlineStr">
        <is>
          <t>0559/2026</t>
        </is>
      </c>
      <c r="J57" s="105" t="inlineStr">
        <is>
          <t>2026.014303-1/04</t>
        </is>
      </c>
      <c r="K57" s="103" t="n">
        <v>46222</v>
      </c>
      <c r="L57" s="103" t="n">
        <v>46252</v>
      </c>
      <c r="M57" s="106">
        <f>IF(OR(D57="",E57=""),"",D57+IF(E57="NOTIFICAÇÃO DE CONSTATAÇÃO",PrazoConst,PrazoEsc))</f>
        <v>46252.0</v>
      </c>
      <c r="N57" s="107">
        <f>IF(M57="","",IF(ISNUMBER(L57),M57-L57,IF(G57="DECISÃO D.P","",M57-TODAY())))</f>
        <v>0</v>
      </c>
      <c r="O57" s="108" t="str">
        <f>IF(B57="","",IF(ISNUMBER(L57),IF(N57="","SEM DATA",IF(N57&gt;=0,"DEFESA NO PRAZO","DEFESA FORA DO PRAZO")),IF(G57="DECISÃO D.P","SEM DEFESA",IF(G57="","SEM STATUS",IF(N57="","SEM DATA",IF(N57&lt;0,"VENCIDO",IF(N57&lt;=DiasAlerta,"VENCE EM BREVE","NO PRAZO")))))))</f>
        <v>DEFESA NO PRAZO</v>
      </c>
      <c r="P57" s="109">
        <f>IF(D57="","",TODAY()-D57)</f>
        <v>67</v>
      </c>
      <c r="Q57" s="102" t="n"/>
    </row>
    <row r="58" ht="18" customHeight="1">
      <c r="A58" s="101" t="n">
        <v>54</v>
      </c>
      <c r="B58" s="102" t="inlineStr">
        <is>
          <t>Comércio Ipê Amarelo</t>
        </is>
      </c>
      <c r="C58" s="102" t="inlineStr">
        <is>
          <t>OUTROS</t>
        </is>
      </c>
      <c r="D58" s="103" t="n">
        <v>46249</v>
      </c>
      <c r="E58" s="102" t="inlineStr">
        <is>
          <t>NOTIFICAÇÃO DE CONSTATAÇÃO</t>
        </is>
      </c>
      <c r="F58" s="104" t="inlineStr">
        <is>
          <t>PRESENCIAL</t>
        </is>
      </c>
      <c r="G58" s="104" t="inlineStr">
        <is>
          <t>DECISÃO D.P</t>
        </is>
      </c>
      <c r="H58" s="102" t="inlineStr">
        <is>
          <t>BRUNO CARVALHO</t>
        </is>
      </c>
      <c r="I58" s="105" t="inlineStr">
        <is>
          <t>0660/2026</t>
        </is>
      </c>
      <c r="J58" s="105" t="inlineStr">
        <is>
          <t>2026.018463-0/08</t>
        </is>
      </c>
      <c r="K58" s="103" t="n">
        <v>46182</v>
      </c>
      <c r="L58" s="103" t="n"/>
      <c r="M58" s="106">
        <f>IF(OR(D58="",E58=""),"",D58+IF(E58="NOTIFICAÇÃO DE CONSTATAÇÃO",PrazoConst,PrazoEsc))</f>
        <v>46259.0</v>
      </c>
      <c r="N58" s="107" t="str">
        <f>IF(M58="","",IF(ISNUMBER(L58),M58-L58,IF(G58="DECISÃO D.P","",M58-TODAY())))</f>
        <v/>
      </c>
      <c r="O58" s="108" t="str">
        <f>IF(B58="","",IF(ISNUMBER(L58),IF(N58="","SEM DATA",IF(N58&gt;=0,"DEFESA NO PRAZO","DEFESA FORA DO PRAZO")),IF(G58="DECISÃO D.P","SEM DEFESA",IF(G58="","SEM STATUS",IF(N58="","SEM DATA",IF(N58&lt;0,"VENCIDO",IF(N58&lt;=DiasAlerta,"VENCE EM BREVE","NO PRAZO")))))))</f>
        <v>SEM DEFESA</v>
      </c>
      <c r="P58" s="109">
        <f>IF(D58="","",TODAY()-D58)</f>
        <v>55</v>
      </c>
      <c r="Q58" s="102" t="n"/>
    </row>
    <row r="59" ht="18" customHeight="1">
      <c r="A59" s="101" t="n">
        <v>55</v>
      </c>
      <c r="B59" s="102" t="inlineStr">
        <is>
          <t>Studio Fitness Bela Vista</t>
        </is>
      </c>
      <c r="C59" s="102" t="inlineStr">
        <is>
          <t>ACADEMIA</t>
        </is>
      </c>
      <c r="D59" s="103" t="n">
        <v>46253</v>
      </c>
      <c r="E59" s="102" t="inlineStr">
        <is>
          <t>NOTIFICAÇÃO DE CONSTATAÇÃO</t>
        </is>
      </c>
      <c r="F59" s="104" t="inlineStr">
        <is>
          <t>ELETRÔNICA</t>
        </is>
      </c>
      <c r="G59" s="104" t="inlineStr">
        <is>
          <t>DECISÃO D.P</t>
        </is>
      </c>
      <c r="H59" s="102" t="inlineStr">
        <is>
          <t>DIEGO RIBEIRO</t>
        </is>
      </c>
      <c r="I59" s="105" t="inlineStr">
        <is>
          <t>0099/2026</t>
        </is>
      </c>
      <c r="J59" s="105" t="inlineStr">
        <is>
          <t>2026.043567-7/13</t>
        </is>
      </c>
      <c r="K59" s="103" t="n">
        <v>46219</v>
      </c>
      <c r="L59" s="103" t="n">
        <v>46266</v>
      </c>
      <c r="M59" s="106">
        <f>IF(OR(D59="",E59=""),"",D59+IF(E59="NOTIFICAÇÃO DE CONSTATAÇÃO",PrazoConst,PrazoEsc))</f>
        <v>46263.0</v>
      </c>
      <c r="N59" s="107">
        <f>IF(M59="","",IF(ISNUMBER(L59),M59-L59,IF(G59="DECISÃO D.P","",M59-TODAY())))</f>
        <v>-3</v>
      </c>
      <c r="O59" s="108" t="str">
        <f>IF(B59="","",IF(ISNUMBER(L59),IF(N59="","SEM DATA",IF(N59&gt;=0,"DEFESA NO PRAZO","DEFESA FORA DO PRAZO")),IF(G59="DECISÃO D.P","SEM DEFESA",IF(G59="","SEM STATUS",IF(N59="","SEM DATA",IF(N59&lt;0,"VENCIDO",IF(N59&lt;=DiasAlerta,"VENCE EM BREVE","NO PRAZO")))))))</f>
        <v>DEFESA FORA DO PRAZO</v>
      </c>
      <c r="P59" s="109">
        <f>IF(D59="","",TODAY()-D59)</f>
        <v>51</v>
      </c>
      <c r="Q59" s="102" t="n"/>
    </row>
    <row r="60" ht="18" customHeight="1">
      <c r="A60" s="101" t="n">
        <v>56</v>
      </c>
      <c r="B60" s="102" t="inlineStr">
        <is>
          <t>Drogaria Vida Plena</t>
        </is>
      </c>
      <c r="C60" s="102" t="inlineStr">
        <is>
          <t>FARMÁCIA</t>
        </is>
      </c>
      <c r="D60" s="103" t="n">
        <v>46254</v>
      </c>
      <c r="E60" s="102" t="inlineStr">
        <is>
          <t>NOTIFICAÇÃO DE CONSTATAÇÃO</t>
        </is>
      </c>
      <c r="F60" s="104" t="inlineStr">
        <is>
          <t>ELETRÔNICA</t>
        </is>
      </c>
      <c r="G60" s="104" t="inlineStr">
        <is>
          <t>PRAZO D.P</t>
        </is>
      </c>
      <c r="H60" s="102" t="inlineStr">
        <is>
          <t>ANA PAULA SOUZA</t>
        </is>
      </c>
      <c r="I60" s="105" t="inlineStr">
        <is>
          <t>0070/2026</t>
        </is>
      </c>
      <c r="J60" s="105" t="inlineStr">
        <is>
          <t>2026.058017-1/15</t>
        </is>
      </c>
      <c r="K60" s="103" t="n">
        <v>46212</v>
      </c>
      <c r="L60" s="103" t="n">
        <v>46267</v>
      </c>
      <c r="M60" s="106">
        <f>IF(OR(D60="",E60=""),"",D60+IF(E60="NOTIFICAÇÃO DE CONSTATAÇÃO",PrazoConst,PrazoEsc))</f>
        <v>46264.0</v>
      </c>
      <c r="N60" s="107">
        <f>IF(M60="","",IF(ISNUMBER(L60),M60-L60,IF(G60="DECISÃO D.P","",M60-TODAY())))</f>
        <v>-3</v>
      </c>
      <c r="O60" s="108" t="str">
        <f>IF(B60="","",IF(ISNUMBER(L60),IF(N60="","SEM DATA",IF(N60&gt;=0,"DEFESA NO PRAZO","DEFESA FORA DO PRAZO")),IF(G60="DECISÃO D.P","SEM DEFESA",IF(G60="","SEM STATUS",IF(N60="","SEM DATA",IF(N60&lt;0,"VENCIDO",IF(N60&lt;=DiasAlerta,"VENCE EM BREVE","NO PRAZO")))))))</f>
        <v>DEFESA FORA DO PRAZO</v>
      </c>
      <c r="P60" s="109">
        <f>IF(D60="","",TODAY()-D60)</f>
        <v>50</v>
      </c>
      <c r="Q60" s="102" t="n"/>
    </row>
    <row r="61" ht="18" customHeight="1">
      <c r="A61" s="101" t="n">
        <v>57</v>
      </c>
      <c r="B61" s="102" t="inlineStr">
        <is>
          <t>Farmácia Bom Preço</t>
        </is>
      </c>
      <c r="C61" s="102" t="inlineStr">
        <is>
          <t>FARMÁCIA</t>
        </is>
      </c>
      <c r="D61" s="103" t="n">
        <v>46255</v>
      </c>
      <c r="E61" s="102" t="inlineStr">
        <is>
          <t>NOTIFICAÇÃO DE ESCLARECIMENTO</t>
        </is>
      </c>
      <c r="F61" s="104" t="inlineStr">
        <is>
          <t>ELETRÔNICA</t>
        </is>
      </c>
      <c r="G61" s="104" t="inlineStr">
        <is>
          <t>DECISÃO D.P</t>
        </is>
      </c>
      <c r="H61" s="102" t="inlineStr">
        <is>
          <t>DIEGO RIBEIRO</t>
        </is>
      </c>
      <c r="I61" s="105" t="inlineStr">
        <is>
          <t>0687/2026</t>
        </is>
      </c>
      <c r="J61" s="105" t="inlineStr">
        <is>
          <t>2026.018382-1/13</t>
        </is>
      </c>
      <c r="K61" s="103" t="n">
        <v>46179</v>
      </c>
      <c r="L61" s="103" t="n">
        <v>46269</v>
      </c>
      <c r="M61" s="106">
        <f>IF(OR(D61="",E61=""),"",D61+IF(E61="NOTIFICAÇÃO DE CONSTATAÇÃO",PrazoConst,PrazoEsc))</f>
        <v>46270.0</v>
      </c>
      <c r="N61" s="107">
        <f>IF(M61="","",IF(ISNUMBER(L61),M61-L61,IF(G61="DECISÃO D.P","",M61-TODAY())))</f>
        <v>1</v>
      </c>
      <c r="O61" s="108" t="str">
        <f>IF(B61="","",IF(ISNUMBER(L61),IF(N61="","SEM DATA",IF(N61&gt;=0,"DEFESA NO PRAZO","DEFESA FORA DO PRAZO")),IF(G61="DECISÃO D.P","SEM DEFESA",IF(G61="","SEM STATUS",IF(N61="","SEM DATA",IF(N61&lt;0,"VENCIDO",IF(N61&lt;=DiasAlerta,"VENCE EM BREVE","NO PRAZO")))))))</f>
        <v>DEFESA NO PRAZO</v>
      </c>
      <c r="P61" s="109">
        <f>IF(D61="","",TODAY()-D61)</f>
        <v>49</v>
      </c>
      <c r="Q61" s="102" t="n"/>
    </row>
    <row r="62" ht="18" customHeight="1">
      <c r="A62" s="101" t="n">
        <v>58</v>
      </c>
      <c r="B62" s="102" t="inlineStr">
        <is>
          <t>Drogaria São Jorge</t>
        </is>
      </c>
      <c r="C62" s="102" t="inlineStr">
        <is>
          <t>FARMÁCIA</t>
        </is>
      </c>
      <c r="D62" s="103" t="n">
        <v>46256</v>
      </c>
      <c r="E62" s="102" t="inlineStr">
        <is>
          <t>NOTIFICAÇÃO DE ESCLARECIMENTO</t>
        </is>
      </c>
      <c r="F62" s="104" t="inlineStr">
        <is>
          <t>PRESENCIAL</t>
        </is>
      </c>
      <c r="G62" s="104" t="inlineStr">
        <is>
          <t>DECISÃO D.P</t>
        </is>
      </c>
      <c r="H62" s="102" t="inlineStr">
        <is>
          <t>CARLA MENDES</t>
        </is>
      </c>
      <c r="I62" s="105" t="inlineStr">
        <is>
          <t>0831/2026</t>
        </is>
      </c>
      <c r="J62" s="105" t="inlineStr">
        <is>
          <t>2026.089264-9/05</t>
        </is>
      </c>
      <c r="K62" s="103" t="n">
        <v>46191</v>
      </c>
      <c r="L62" s="103" t="n">
        <v>46277</v>
      </c>
      <c r="M62" s="106">
        <f>IF(OR(D62="",E62=""),"",D62+IF(E62="NOTIFICAÇÃO DE CONSTATAÇÃO",PrazoConst,PrazoEsc))</f>
        <v>46271.0</v>
      </c>
      <c r="N62" s="107">
        <f>IF(M62="","",IF(ISNUMBER(L62),M62-L62,IF(G62="DECISÃO D.P","",M62-TODAY())))</f>
        <v>-6</v>
      </c>
      <c r="O62" s="108" t="str">
        <f>IF(B62="","",IF(ISNUMBER(L62),IF(N62="","SEM DATA",IF(N62&gt;=0,"DEFESA NO PRAZO","DEFESA FORA DO PRAZO")),IF(G62="DECISÃO D.P","SEM DEFESA",IF(G62="","SEM STATUS",IF(N62="","SEM DATA",IF(N62&lt;0,"VENCIDO",IF(N62&lt;=DiasAlerta,"VENCE EM BREVE","NO PRAZO")))))))</f>
        <v>DEFESA FORA DO PRAZO</v>
      </c>
      <c r="P62" s="109">
        <f>IF(D62="","",TODAY()-D62)</f>
        <v>48</v>
      </c>
      <c r="Q62" s="102" t="n"/>
    </row>
    <row r="63" ht="18" customHeight="1">
      <c r="A63" s="101" t="n">
        <v>59</v>
      </c>
      <c r="B63" s="102" t="inlineStr">
        <is>
          <t>Conecta Horizonte ME</t>
        </is>
      </c>
      <c r="C63" s="102" t="inlineStr">
        <is>
          <t>TELEFONIA</t>
        </is>
      </c>
      <c r="D63" s="103" t="n">
        <v>46257</v>
      </c>
      <c r="E63" s="102" t="inlineStr">
        <is>
          <t>NOTIFICAÇÃO DE CONSTATAÇÃO</t>
        </is>
      </c>
      <c r="F63" s="104" t="inlineStr">
        <is>
          <t>ELETRÔNICA</t>
        </is>
      </c>
      <c r="G63" s="104" t="inlineStr">
        <is>
          <t>DECISÃO D.P</t>
        </is>
      </c>
      <c r="H63" s="102" t="inlineStr">
        <is>
          <t>CARLA MENDES</t>
        </is>
      </c>
      <c r="I63" s="105" t="inlineStr">
        <is>
          <t>0334/2026</t>
        </is>
      </c>
      <c r="J63" s="105" t="inlineStr">
        <is>
          <t>2026.064183-7/02</t>
        </is>
      </c>
      <c r="K63" s="103" t="n">
        <v>46186</v>
      </c>
      <c r="L63" s="103" t="n">
        <v>46274</v>
      </c>
      <c r="M63" s="106">
        <f>IF(OR(D63="",E63=""),"",D63+IF(E63="NOTIFICAÇÃO DE CONSTATAÇÃO",PrazoConst,PrazoEsc))</f>
        <v>46267.0</v>
      </c>
      <c r="N63" s="107">
        <f>IF(M63="","",IF(ISNUMBER(L63),M63-L63,IF(G63="DECISÃO D.P","",M63-TODAY())))</f>
        <v>-7</v>
      </c>
      <c r="O63" s="108" t="str">
        <f>IF(B63="","",IF(ISNUMBER(L63),IF(N63="","SEM DATA",IF(N63&gt;=0,"DEFESA NO PRAZO","DEFESA FORA DO PRAZO")),IF(G63="DECISÃO D.P","SEM DEFESA",IF(G63="","SEM STATUS",IF(N63="","SEM DATA",IF(N63&lt;0,"VENCIDO",IF(N63&lt;=DiasAlerta,"VENCE EM BREVE","NO PRAZO")))))))</f>
        <v>DEFESA FORA DO PRAZO</v>
      </c>
      <c r="P63" s="109">
        <f>IF(D63="","",TODAY()-D63)</f>
        <v>47</v>
      </c>
      <c r="Q63" s="102" t="n"/>
    </row>
    <row r="64" ht="18" customHeight="1">
      <c r="A64" s="101" t="n">
        <v>60</v>
      </c>
      <c r="B64" s="102" t="inlineStr">
        <is>
          <t>Supermercado Horizonte Filial 2</t>
        </is>
      </c>
      <c r="C64" s="102" t="inlineStr">
        <is>
          <t>SUPERMERCADO</t>
        </is>
      </c>
      <c r="D64" s="103" t="n">
        <v>46257</v>
      </c>
      <c r="E64" s="102" t="inlineStr">
        <is>
          <t>NOTIFICAÇÃO DE CONSTATAÇÃO</t>
        </is>
      </c>
      <c r="F64" s="104" t="inlineStr">
        <is>
          <t>ELETRÔNICA</t>
        </is>
      </c>
      <c r="G64" s="104" t="inlineStr">
        <is>
          <t>DECISÃO D.P</t>
        </is>
      </c>
      <c r="H64" s="102" t="inlineStr">
        <is>
          <t>DIEGO RIBEIRO</t>
        </is>
      </c>
      <c r="I64" s="105" t="inlineStr">
        <is>
          <t>0533/2026</t>
        </is>
      </c>
      <c r="J64" s="105" t="inlineStr">
        <is>
          <t>2026.070517-1/10</t>
        </is>
      </c>
      <c r="K64" s="103" t="n">
        <v>46231</v>
      </c>
      <c r="L64" s="103" t="n">
        <v>46264</v>
      </c>
      <c r="M64" s="106">
        <f>IF(OR(D64="",E64=""),"",D64+IF(E64="NOTIFICAÇÃO DE CONSTATAÇÃO",PrazoConst,PrazoEsc))</f>
        <v>46267.0</v>
      </c>
      <c r="N64" s="107">
        <f>IF(M64="","",IF(ISNUMBER(L64),M64-L64,IF(G64="DECISÃO D.P","",M64-TODAY())))</f>
        <v>3</v>
      </c>
      <c r="O64" s="108" t="str">
        <f>IF(B64="","",IF(ISNUMBER(L64),IF(N64="","SEM DATA",IF(N64&gt;=0,"DEFESA NO PRAZO","DEFESA FORA DO PRAZO")),IF(G64="DECISÃO D.P","SEM DEFESA",IF(G64="","SEM STATUS",IF(N64="","SEM DATA",IF(N64&lt;0,"VENCIDO",IF(N64&lt;=DiasAlerta,"VENCE EM BREVE","NO PRAZO")))))))</f>
        <v>DEFESA NO PRAZO</v>
      </c>
      <c r="P64" s="109">
        <f>IF(D64="","",TODAY()-D64)</f>
        <v>47</v>
      </c>
      <c r="Q64" s="102" t="n"/>
    </row>
    <row r="65" ht="18" customHeight="1">
      <c r="A65" s="101" t="n">
        <v>61</v>
      </c>
      <c r="B65" s="102" t="inlineStr">
        <is>
          <t>Escola Atlântico Filial 2</t>
        </is>
      </c>
      <c r="C65" s="102" t="inlineStr">
        <is>
          <t>ESCOLA</t>
        </is>
      </c>
      <c r="D65" s="103" t="n">
        <v>46262</v>
      </c>
      <c r="E65" s="102" t="inlineStr">
        <is>
          <t>NOTIFICAÇÃO DE ESCLARECIMENTO</t>
        </is>
      </c>
      <c r="F65" s="104" t="inlineStr">
        <is>
          <t>PRESENCIAL</t>
        </is>
      </c>
      <c r="G65" s="104" t="inlineStr">
        <is>
          <t>DECISÃO D.P</t>
        </is>
      </c>
      <c r="H65" s="102" t="inlineStr">
        <is>
          <t>BRUNO CARVALHO</t>
        </is>
      </c>
      <c r="I65" s="105" t="inlineStr">
        <is>
          <t>0470/2026</t>
        </is>
      </c>
      <c r="J65" s="105" t="inlineStr">
        <is>
          <t>2026.053591-6/01</t>
        </is>
      </c>
      <c r="K65" s="103" t="n">
        <v>46176</v>
      </c>
      <c r="L65" s="103" t="n">
        <v>46273</v>
      </c>
      <c r="M65" s="106">
        <f>IF(OR(D65="",E65=""),"",D65+IF(E65="NOTIFICAÇÃO DE CONSTATAÇÃO",PrazoConst,PrazoEsc))</f>
        <v>46277.0</v>
      </c>
      <c r="N65" s="107">
        <f>IF(M65="","",IF(ISNUMBER(L65),M65-L65,IF(G65="DECISÃO D.P","",M65-TODAY())))</f>
        <v>4</v>
      </c>
      <c r="O65" s="108" t="str">
        <f>IF(B65="","",IF(ISNUMBER(L65),IF(N65="","SEM DATA",IF(N65&gt;=0,"DEFESA NO PRAZO","DEFESA FORA DO PRAZO")),IF(G65="DECISÃO D.P","SEM DEFESA",IF(G65="","SEM STATUS",IF(N65="","SEM DATA",IF(N65&lt;0,"VENCIDO",IF(N65&lt;=DiasAlerta,"VENCE EM BREVE","NO PRAZO")))))))</f>
        <v>DEFESA NO PRAZO</v>
      </c>
      <c r="P65" s="109">
        <f>IF(D65="","",TODAY()-D65)</f>
        <v>42</v>
      </c>
      <c r="Q65" s="102" t="n"/>
    </row>
    <row r="66" ht="18" customHeight="1">
      <c r="A66" s="101" t="n">
        <v>62</v>
      </c>
      <c r="B66" s="102" t="inlineStr">
        <is>
          <t>Escola Atlântico</t>
        </is>
      </c>
      <c r="C66" s="102" t="inlineStr">
        <is>
          <t>ESCOLA</t>
        </is>
      </c>
      <c r="D66" s="103" t="n">
        <v>46263</v>
      </c>
      <c r="E66" s="102" t="inlineStr">
        <is>
          <t>NOTIFICAÇÃO DE CONSTATAÇÃO</t>
        </is>
      </c>
      <c r="F66" s="104" t="inlineStr">
        <is>
          <t>PRESENCIAL</t>
        </is>
      </c>
      <c r="G66" s="104" t="inlineStr">
        <is>
          <t>DECISÃO D.P</t>
        </is>
      </c>
      <c r="H66" s="102" t="inlineStr">
        <is>
          <t>GABRIELA NUNES</t>
        </is>
      </c>
      <c r="I66" s="105" t="inlineStr">
        <is>
          <t>0742/2026</t>
        </is>
      </c>
      <c r="J66" s="105" t="inlineStr">
        <is>
          <t>2026.065643-6/06</t>
        </is>
      </c>
      <c r="K66" s="103" t="n">
        <v>46174</v>
      </c>
      <c r="L66" s="103" t="n">
        <v>46278</v>
      </c>
      <c r="M66" s="106">
        <f>IF(OR(D66="",E66=""),"",D66+IF(E66="NOTIFICAÇÃO DE CONSTATAÇÃO",PrazoConst,PrazoEsc))</f>
        <v>46273.0</v>
      </c>
      <c r="N66" s="107">
        <f>IF(M66="","",IF(ISNUMBER(L66),M66-L66,IF(G66="DECISÃO D.P","",M66-TODAY())))</f>
        <v>-5</v>
      </c>
      <c r="O66" s="108" t="str">
        <f>IF(B66="","",IF(ISNUMBER(L66),IF(N66="","SEM DATA",IF(N66&gt;=0,"DEFESA NO PRAZO","DEFESA FORA DO PRAZO")),IF(G66="DECISÃO D.P","SEM DEFESA",IF(G66="","SEM STATUS",IF(N66="","SEM DATA",IF(N66&lt;0,"VENCIDO",IF(N66&lt;=DiasAlerta,"VENCE EM BREVE","NO PRAZO")))))))</f>
        <v>DEFESA FORA DO PRAZO</v>
      </c>
      <c r="P66" s="109">
        <f>IF(D66="","",TODAY()-D66)</f>
        <v>41</v>
      </c>
      <c r="Q66" s="102" t="n"/>
    </row>
    <row r="67" ht="18" customHeight="1">
      <c r="A67" s="101" t="n">
        <v>63</v>
      </c>
      <c r="B67" s="102" t="inlineStr">
        <is>
          <t>Supermercado Boa Esperança Filial 2</t>
        </is>
      </c>
      <c r="C67" s="102" t="inlineStr">
        <is>
          <t>SUPERMERCADO</t>
        </is>
      </c>
      <c r="D67" s="103" t="n">
        <v>46265</v>
      </c>
      <c r="E67" s="102" t="inlineStr">
        <is>
          <t>NOTIFICAÇÃO DE CONSTATAÇÃO</t>
        </is>
      </c>
      <c r="F67" s="104" t="inlineStr">
        <is>
          <t>PRESENCIAL</t>
        </is>
      </c>
      <c r="G67" s="104" t="inlineStr">
        <is>
          <t>DECISÃO D.P</t>
        </is>
      </c>
      <c r="H67" s="102" t="inlineStr">
        <is>
          <t>HENRIQUE COSTA</t>
        </is>
      </c>
      <c r="I67" s="105" t="inlineStr">
        <is>
          <t>0497/2026</t>
        </is>
      </c>
      <c r="J67" s="105" t="inlineStr">
        <is>
          <t>2026.096240-1/07</t>
        </is>
      </c>
      <c r="K67" s="103" t="n">
        <v>46247</v>
      </c>
      <c r="L67" s="103" t="n">
        <v>46275</v>
      </c>
      <c r="M67" s="106">
        <f>IF(OR(D67="",E67=""),"",D67+IF(E67="NOTIFICAÇÃO DE CONSTATAÇÃO",PrazoConst,PrazoEsc))</f>
        <v>46275.0</v>
      </c>
      <c r="N67" s="107">
        <f>IF(M67="","",IF(ISNUMBER(L67),M67-L67,IF(G67="DECISÃO D.P","",M67-TODAY())))</f>
        <v>0</v>
      </c>
      <c r="O67" s="108" t="str">
        <f>IF(B67="","",IF(ISNUMBER(L67),IF(N67="","SEM DATA",IF(N67&gt;=0,"DEFESA NO PRAZO","DEFESA FORA DO PRAZO")),IF(G67="DECISÃO D.P","SEM DEFESA",IF(G67="","SEM STATUS",IF(N67="","SEM DATA",IF(N67&lt;0,"VENCIDO",IF(N67&lt;=DiasAlerta,"VENCE EM BREVE","NO PRAZO")))))))</f>
        <v>DEFESA NO PRAZO</v>
      </c>
      <c r="P67" s="109">
        <f>IF(D67="","",TODAY()-D67)</f>
        <v>39</v>
      </c>
      <c r="Q67" s="102" t="n"/>
    </row>
    <row r="68" ht="18" customHeight="1">
      <c r="A68" s="101" t="n">
        <v>64</v>
      </c>
      <c r="B68" s="102" t="inlineStr">
        <is>
          <t>Restaurante Bela Vista</t>
        </is>
      </c>
      <c r="C68" s="102" t="inlineStr">
        <is>
          <t>RESTAURANTE</t>
        </is>
      </c>
      <c r="D68" s="103" t="n">
        <v>46265</v>
      </c>
      <c r="E68" s="102" t="inlineStr">
        <is>
          <t>NOTIFICAÇÃO DE CONSTATAÇÃO</t>
        </is>
      </c>
      <c r="F68" s="104" t="inlineStr">
        <is>
          <t>PRESENCIAL</t>
        </is>
      </c>
      <c r="G68" s="104" t="inlineStr">
        <is>
          <t>DECISÃO D.P</t>
        </is>
      </c>
      <c r="H68" s="102" t="inlineStr">
        <is>
          <t>FELIPE ARAÚJO</t>
        </is>
      </c>
      <c r="I68" s="105" t="inlineStr">
        <is>
          <t>0278/2026</t>
        </is>
      </c>
      <c r="J68" s="105" t="inlineStr">
        <is>
          <t>2026.018918-8/11</t>
        </is>
      </c>
      <c r="K68" s="103" t="n">
        <v>46198</v>
      </c>
      <c r="L68" s="103" t="n"/>
      <c r="M68" s="106">
        <f>IF(OR(D68="",E68=""),"",D68+IF(E68="NOTIFICAÇÃO DE CONSTATAÇÃO",PrazoConst,PrazoEsc))</f>
        <v>46275.0</v>
      </c>
      <c r="N68" s="107" t="str">
        <f>IF(M68="","",IF(ISNUMBER(L68),M68-L68,IF(G68="DECISÃO D.P","",M68-TODAY())))</f>
        <v/>
      </c>
      <c r="O68" s="108" t="str">
        <f>IF(B68="","",IF(ISNUMBER(L68),IF(N68="","SEM DATA",IF(N68&gt;=0,"DEFESA NO PRAZO","DEFESA FORA DO PRAZO")),IF(G68="DECISÃO D.P","SEM DEFESA",IF(G68="","SEM STATUS",IF(N68="","SEM DATA",IF(N68&lt;0,"VENCIDO",IF(N68&lt;=DiasAlerta,"VENCE EM BREVE","NO PRAZO")))))))</f>
        <v>SEM DEFESA</v>
      </c>
      <c r="P68" s="109">
        <f>IF(D68="","",TODAY()-D68)</f>
        <v>39</v>
      </c>
      <c r="Q68" s="102" t="n"/>
    </row>
    <row r="69" ht="18" customHeight="1">
      <c r="A69" s="101" t="n">
        <v>65</v>
      </c>
      <c r="B69" s="102" t="inlineStr">
        <is>
          <t>Concessionária Bela Vista</t>
        </is>
      </c>
      <c r="C69" s="102" t="inlineStr">
        <is>
          <t>CONCESSIONÁRIA</t>
        </is>
      </c>
      <c r="D69" s="103" t="n">
        <v>46267</v>
      </c>
      <c r="E69" s="102" t="inlineStr">
        <is>
          <t>NOTIFICAÇÃO DE ESCLARECIMENTO</t>
        </is>
      </c>
      <c r="F69" s="104" t="inlineStr">
        <is>
          <t>PRESENCIAL</t>
        </is>
      </c>
      <c r="G69" s="104" t="inlineStr">
        <is>
          <t>DECISÃO D.P</t>
        </is>
      </c>
      <c r="H69" s="102" t="inlineStr">
        <is>
          <t>HENRIQUE COSTA</t>
        </is>
      </c>
      <c r="I69" s="105" t="inlineStr">
        <is>
          <t>0859/2026</t>
        </is>
      </c>
      <c r="J69" s="105" t="inlineStr">
        <is>
          <t>2026.090523-5/09</t>
        </is>
      </c>
      <c r="K69" s="103" t="n">
        <v>46210</v>
      </c>
      <c r="L69" s="103" t="n">
        <v>46275</v>
      </c>
      <c r="M69" s="106">
        <f>IF(OR(D69="",E69=""),"",D69+IF(E69="NOTIFICAÇÃO DE CONSTATAÇÃO",PrazoConst,PrazoEsc))</f>
        <v>46282.0</v>
      </c>
      <c r="N69" s="107">
        <f>IF(M69="","",IF(ISNUMBER(L69),M69-L69,IF(G69="DECISÃO D.P","",M69-TODAY())))</f>
        <v>7</v>
      </c>
      <c r="O69" s="108" t="str">
        <f>IF(B69="","",IF(ISNUMBER(L69),IF(N69="","SEM DATA",IF(N69&gt;=0,"DEFESA NO PRAZO","DEFESA FORA DO PRAZO")),IF(G69="DECISÃO D.P","SEM DEFESA",IF(G69="","SEM STATUS",IF(N69="","SEM DATA",IF(N69&lt;0,"VENCIDO",IF(N69&lt;=DiasAlerta,"VENCE EM BREVE","NO PRAZO")))))))</f>
        <v>DEFESA NO PRAZO</v>
      </c>
      <c r="P69" s="109">
        <f>IF(D69="","",TODAY()-D69)</f>
        <v>37</v>
      </c>
      <c r="Q69" s="102" t="n"/>
    </row>
    <row r="70" ht="18" customHeight="1">
      <c r="A70" s="101" t="n">
        <v>66</v>
      </c>
      <c r="B70" s="102" t="inlineStr">
        <is>
          <t>Auto Posto Boa Esperança</t>
        </is>
      </c>
      <c r="C70" s="102" t="inlineStr">
        <is>
          <t>POSTO DE COMBUSTÍVEL</t>
        </is>
      </c>
      <c r="D70" s="103" t="n">
        <v>46269</v>
      </c>
      <c r="E70" s="102" t="inlineStr">
        <is>
          <t>NOTIFICAÇÃO DE ESCLARECIMENTO</t>
        </is>
      </c>
      <c r="F70" s="104" t="inlineStr">
        <is>
          <t>PRESENCIAL</t>
        </is>
      </c>
      <c r="G70" s="104" t="inlineStr">
        <is>
          <t>DECISÃO D.P</t>
        </is>
      </c>
      <c r="H70" s="102" t="inlineStr">
        <is>
          <t>FELIPE ARAÚJO</t>
        </is>
      </c>
      <c r="I70" s="105" t="inlineStr">
        <is>
          <t>0299/2026</t>
        </is>
      </c>
      <c r="J70" s="105" t="inlineStr">
        <is>
          <t>2026.022153-4/05</t>
        </is>
      </c>
      <c r="K70" s="103" t="n">
        <v>46224</v>
      </c>
      <c r="L70" s="103" t="n">
        <v>46283</v>
      </c>
      <c r="M70" s="106">
        <f>IF(OR(D70="",E70=""),"",D70+IF(E70="NOTIFICAÇÃO DE CONSTATAÇÃO",PrazoConst,PrazoEsc))</f>
        <v>46284.0</v>
      </c>
      <c r="N70" s="107">
        <f>IF(M70="","",IF(ISNUMBER(L70),M70-L70,IF(G70="DECISÃO D.P","",M70-TODAY())))</f>
        <v>1</v>
      </c>
      <c r="O70" s="108" t="str">
        <f>IF(B70="","",IF(ISNUMBER(L70),IF(N70="","SEM DATA",IF(N70&gt;=0,"DEFESA NO PRAZO","DEFESA FORA DO PRAZO")),IF(G70="DECISÃO D.P","SEM DEFESA",IF(G70="","SEM STATUS",IF(N70="","SEM DATA",IF(N70&lt;0,"VENCIDO",IF(N70&lt;=DiasAlerta,"VENCE EM BREVE","NO PRAZO")))))))</f>
        <v>DEFESA NO PRAZO</v>
      </c>
      <c r="P70" s="109">
        <f>IF(D70="","",TODAY()-D70)</f>
        <v>35</v>
      </c>
      <c r="Q70" s="102" t="n"/>
    </row>
    <row r="71" ht="18" customHeight="1">
      <c r="A71" s="101" t="n">
        <v>67</v>
      </c>
      <c r="B71" s="102" t="inlineStr">
        <is>
          <t>Conecta Horizonte</t>
        </is>
      </c>
      <c r="C71" s="102" t="inlineStr">
        <is>
          <t>TELEFONIA</t>
        </is>
      </c>
      <c r="D71" s="103" t="n">
        <v>46270</v>
      </c>
      <c r="E71" s="102" t="inlineStr">
        <is>
          <t>NOTIFICAÇÃO DE CONSTATAÇÃO</t>
        </is>
      </c>
      <c r="F71" s="104" t="inlineStr">
        <is>
          <t>PRESENCIAL</t>
        </is>
      </c>
      <c r="G71" s="104" t="inlineStr">
        <is>
          <t>DECISÃO D.P</t>
        </is>
      </c>
      <c r="H71" s="102" t="inlineStr">
        <is>
          <t>CARLA MENDES</t>
        </is>
      </c>
      <c r="I71" s="105" t="inlineStr">
        <is>
          <t>0192/2026</t>
        </is>
      </c>
      <c r="J71" s="105" t="inlineStr">
        <is>
          <t>2026.099482-2/11</t>
        </is>
      </c>
      <c r="K71" s="103" t="n">
        <v>46259</v>
      </c>
      <c r="L71" s="103" t="n">
        <v>46286</v>
      </c>
      <c r="M71" s="106">
        <f>IF(OR(D71="",E71=""),"",D71+IF(E71="NOTIFICAÇÃO DE CONSTATAÇÃO",PrazoConst,PrazoEsc))</f>
        <v>46280.0</v>
      </c>
      <c r="N71" s="107">
        <f>IF(M71="","",IF(ISNUMBER(L71),M71-L71,IF(G71="DECISÃO D.P","",M71-TODAY())))</f>
        <v>-6</v>
      </c>
      <c r="O71" s="108" t="str">
        <f>IF(B71="","",IF(ISNUMBER(L71),IF(N71="","SEM DATA",IF(N71&gt;=0,"DEFESA NO PRAZO","DEFESA FORA DO PRAZO")),IF(G71="DECISÃO D.P","SEM DEFESA",IF(G71="","SEM STATUS",IF(N71="","SEM DATA",IF(N71&lt;0,"VENCIDO",IF(N71&lt;=DiasAlerta,"VENCE EM BREVE","NO PRAZO")))))))</f>
        <v>DEFESA FORA DO PRAZO</v>
      </c>
      <c r="P71" s="109">
        <f>IF(D71="","",TODAY()-D71)</f>
        <v>34</v>
      </c>
      <c r="Q71" s="102" t="n"/>
    </row>
    <row r="72" ht="18" customHeight="1">
      <c r="A72" s="101" t="n">
        <v>68</v>
      </c>
      <c r="B72" s="102" t="inlineStr">
        <is>
          <t>Comércio Estrela</t>
        </is>
      </c>
      <c r="C72" s="102" t="inlineStr">
        <is>
          <t>OUTROS</t>
        </is>
      </c>
      <c r="D72" s="103" t="n">
        <v>46271</v>
      </c>
      <c r="E72" s="102" t="inlineStr">
        <is>
          <t>NOTIFICAÇÃO DE CONSTATAÇÃO</t>
        </is>
      </c>
      <c r="F72" s="104" t="inlineStr">
        <is>
          <t>PRESENCIAL</t>
        </is>
      </c>
      <c r="G72" s="104" t="inlineStr">
        <is>
          <t>DECISÃO D.P</t>
        </is>
      </c>
      <c r="H72" s="102" t="inlineStr">
        <is>
          <t>EDUARDA LIMA</t>
        </is>
      </c>
      <c r="I72" s="105" t="inlineStr">
        <is>
          <t>0483/2026</t>
        </is>
      </c>
      <c r="J72" s="105" t="inlineStr">
        <is>
          <t>2026.010346-8/03</t>
        </is>
      </c>
      <c r="K72" s="103" t="n">
        <v>46233</v>
      </c>
      <c r="L72" s="103" t="n">
        <v>46288</v>
      </c>
      <c r="M72" s="106">
        <f>IF(OR(D72="",E72=""),"",D72+IF(E72="NOTIFICAÇÃO DE CONSTATAÇÃO",PrazoConst,PrazoEsc))</f>
        <v>46281.0</v>
      </c>
      <c r="N72" s="107">
        <f>IF(M72="","",IF(ISNUMBER(L72),M72-L72,IF(G72="DECISÃO D.P","",M72-TODAY())))</f>
        <v>-7</v>
      </c>
      <c r="O72" s="108" t="str">
        <f>IF(B72="","",IF(ISNUMBER(L72),IF(N72="","SEM DATA",IF(N72&gt;=0,"DEFESA NO PRAZO","DEFESA FORA DO PRAZO")),IF(G72="DECISÃO D.P","SEM DEFESA",IF(G72="","SEM STATUS",IF(N72="","SEM DATA",IF(N72&lt;0,"VENCIDO",IF(N72&lt;=DiasAlerta,"VENCE EM BREVE","NO PRAZO")))))))</f>
        <v>DEFESA FORA DO PRAZO</v>
      </c>
      <c r="P72" s="109">
        <f>IF(D72="","",TODAY()-D72)</f>
        <v>33</v>
      </c>
      <c r="Q72" s="102" t="n"/>
    </row>
    <row r="73" ht="18" customHeight="1">
      <c r="A73" s="101" t="n">
        <v>69</v>
      </c>
      <c r="B73" s="102" t="inlineStr">
        <is>
          <t>Churrascaria Ipê Amarelo</t>
        </is>
      </c>
      <c r="C73" s="102" t="inlineStr">
        <is>
          <t>RESTAURANTE</t>
        </is>
      </c>
      <c r="D73" s="103" t="n">
        <v>46272</v>
      </c>
      <c r="E73" s="102" t="inlineStr">
        <is>
          <t>NOTIFICAÇÃO DE CONSTATAÇÃO</t>
        </is>
      </c>
      <c r="F73" s="104" t="inlineStr">
        <is>
          <t>ELETRÔNICA</t>
        </is>
      </c>
      <c r="G73" s="104" t="inlineStr">
        <is>
          <t>DECISÃO D.P</t>
        </is>
      </c>
      <c r="H73" s="102" t="inlineStr">
        <is>
          <t>CARLA MENDES</t>
        </is>
      </c>
      <c r="I73" s="105" t="inlineStr">
        <is>
          <t>0854/2026</t>
        </is>
      </c>
      <c r="J73" s="105" t="inlineStr">
        <is>
          <t>2026.032604-3/11</t>
        </is>
      </c>
      <c r="K73" s="103" t="n">
        <v>46246</v>
      </c>
      <c r="L73" s="103" t="n"/>
      <c r="M73" s="106">
        <f>IF(OR(D73="",E73=""),"",D73+IF(E73="NOTIFICAÇÃO DE CONSTATAÇÃO",PrazoConst,PrazoEsc))</f>
        <v>46282.0</v>
      </c>
      <c r="N73" s="107" t="str">
        <f>IF(M73="","",IF(ISNUMBER(L73),M73-L73,IF(G73="DECISÃO D.P","",M73-TODAY())))</f>
        <v/>
      </c>
      <c r="O73" s="108" t="str">
        <f>IF(B73="","",IF(ISNUMBER(L73),IF(N73="","SEM DATA",IF(N73&gt;=0,"DEFESA NO PRAZO","DEFESA FORA DO PRAZO")),IF(G73="DECISÃO D.P","SEM DEFESA",IF(G73="","SEM STATUS",IF(N73="","SEM DATA",IF(N73&lt;0,"VENCIDO",IF(N73&lt;=DiasAlerta,"VENCE EM BREVE","NO PRAZO")))))))</f>
        <v>SEM DEFESA</v>
      </c>
      <c r="P73" s="109">
        <f>IF(D73="","",TODAY()-D73)</f>
        <v>32</v>
      </c>
      <c r="Q73" s="102" t="n"/>
    </row>
    <row r="74" ht="18" customHeight="1">
      <c r="A74" s="101" t="n">
        <v>70</v>
      </c>
      <c r="B74" s="102" t="inlineStr">
        <is>
          <t>Comércio Real Filial 2</t>
        </is>
      </c>
      <c r="C74" s="102" t="inlineStr">
        <is>
          <t>OUTROS</t>
        </is>
      </c>
      <c r="D74" s="103" t="n">
        <v>46272</v>
      </c>
      <c r="E74" s="102" t="inlineStr">
        <is>
          <t>NOTIFICAÇÃO DE CONSTATAÇÃO</t>
        </is>
      </c>
      <c r="F74" s="104" t="inlineStr">
        <is>
          <t>PRESENCIAL</t>
        </is>
      </c>
      <c r="G74" s="104" t="inlineStr">
        <is>
          <t>DECISÃO D.P</t>
        </is>
      </c>
      <c r="H74" s="102" t="inlineStr">
        <is>
          <t>EDUARDA LIMA</t>
        </is>
      </c>
      <c r="I74" s="105" t="inlineStr">
        <is>
          <t>0405/2026</t>
        </is>
      </c>
      <c r="J74" s="105" t="inlineStr">
        <is>
          <t>2026.081795-8/05</t>
        </is>
      </c>
      <c r="K74" s="103" t="n">
        <v>46241</v>
      </c>
      <c r="L74" s="103" t="n"/>
      <c r="M74" s="106">
        <f>IF(OR(D74="",E74=""),"",D74+IF(E74="NOTIFICAÇÃO DE CONSTATAÇÃO",PrazoConst,PrazoEsc))</f>
        <v>46282.0</v>
      </c>
      <c r="N74" s="107" t="str">
        <f>IF(M74="","",IF(ISNUMBER(L74),M74-L74,IF(G74="DECISÃO D.P","",M74-TODAY())))</f>
        <v/>
      </c>
      <c r="O74" s="108" t="str">
        <f>IF(B74="","",IF(ISNUMBER(L74),IF(N74="","SEM DATA",IF(N74&gt;=0,"DEFESA NO PRAZO","DEFESA FORA DO PRAZO")),IF(G74="DECISÃO D.P","SEM DEFESA",IF(G74="","SEM STATUS",IF(N74="","SEM DATA",IF(N74&lt;0,"VENCIDO",IF(N74&lt;=DiasAlerta,"VENCE EM BREVE","NO PRAZO")))))))</f>
        <v>SEM DEFESA</v>
      </c>
      <c r="P74" s="109">
        <f>IF(D74="","",TODAY()-D74)</f>
        <v>32</v>
      </c>
      <c r="Q74" s="102" t="n"/>
    </row>
    <row r="75" ht="18" customHeight="1">
      <c r="A75" s="101" t="n">
        <v>71</v>
      </c>
      <c r="B75" s="102" t="inlineStr">
        <is>
          <t>Banco Estrela</t>
        </is>
      </c>
      <c r="C75" s="102" t="inlineStr">
        <is>
          <t>BANCO</t>
        </is>
      </c>
      <c r="D75" s="103" t="n">
        <v>46274</v>
      </c>
      <c r="E75" s="102" t="inlineStr">
        <is>
          <t>NOTIFICAÇÃO DE ESCLARECIMENTO</t>
        </is>
      </c>
      <c r="F75" s="104" t="inlineStr">
        <is>
          <t>ELETRÔNICA</t>
        </is>
      </c>
      <c r="G75" s="104" t="inlineStr">
        <is>
          <t>DECISÃO D.P</t>
        </is>
      </c>
      <c r="H75" s="102" t="inlineStr">
        <is>
          <t>CARLA MENDES</t>
        </is>
      </c>
      <c r="I75" s="105" t="inlineStr">
        <is>
          <t>0050/2026</t>
        </is>
      </c>
      <c r="J75" s="105" t="inlineStr">
        <is>
          <t>2026.060426-9/07</t>
        </is>
      </c>
      <c r="K75" s="103" t="n">
        <v>46261</v>
      </c>
      <c r="L75" s="103" t="n"/>
      <c r="M75" s="106">
        <f>IF(OR(D75="",E75=""),"",D75+IF(E75="NOTIFICAÇÃO DE CONSTATAÇÃO",PrazoConst,PrazoEsc))</f>
        <v>46289.0</v>
      </c>
      <c r="N75" s="107" t="str">
        <f>IF(M75="","",IF(ISNUMBER(L75),M75-L75,IF(G75="DECISÃO D.P","",M75-TODAY())))</f>
        <v/>
      </c>
      <c r="O75" s="108" t="str">
        <f>IF(B75="","",IF(ISNUMBER(L75),IF(N75="","SEM DATA",IF(N75&gt;=0,"DEFESA NO PRAZO","DEFESA FORA DO PRAZO")),IF(G75="DECISÃO D.P","SEM DEFESA",IF(G75="","SEM STATUS",IF(N75="","SEM DATA",IF(N75&lt;0,"VENCIDO",IF(N75&lt;=DiasAlerta,"VENCE EM BREVE","NO PRAZO")))))))</f>
        <v>SEM DEFESA</v>
      </c>
      <c r="P75" s="109">
        <f>IF(D75="","",TODAY()-D75)</f>
        <v>30</v>
      </c>
      <c r="Q75" s="102" t="n"/>
    </row>
    <row r="76" ht="18" customHeight="1">
      <c r="A76" s="101" t="n">
        <v>72</v>
      </c>
      <c r="B76" s="102" t="inlineStr">
        <is>
          <t>Telecom Ipê Amarelo Ltda</t>
        </is>
      </c>
      <c r="C76" s="102" t="inlineStr">
        <is>
          <t>TELEFONIA</t>
        </is>
      </c>
      <c r="D76" s="103" t="n">
        <v>46276</v>
      </c>
      <c r="E76" s="102" t="inlineStr">
        <is>
          <t>NOTIFICAÇÃO DE ESCLARECIMENTO</t>
        </is>
      </c>
      <c r="F76" s="104" t="inlineStr">
        <is>
          <t>PRESENCIAL</t>
        </is>
      </c>
      <c r="G76" s="104" t="inlineStr">
        <is>
          <t>DECISÃO D.P</t>
        </is>
      </c>
      <c r="H76" s="102" t="inlineStr">
        <is>
          <t>EDUARDA LIMA</t>
        </is>
      </c>
      <c r="I76" s="105" t="inlineStr">
        <is>
          <t>0687/2026</t>
        </is>
      </c>
      <c r="J76" s="105" t="inlineStr">
        <is>
          <t>2026.045382-8/06</t>
        </is>
      </c>
      <c r="K76" s="103" t="n">
        <v>46199</v>
      </c>
      <c r="L76" s="103" t="n">
        <v>46298</v>
      </c>
      <c r="M76" s="106">
        <f>IF(OR(D76="",E76=""),"",D76+IF(E76="NOTIFICAÇÃO DE CONSTATAÇÃO",PrazoConst,PrazoEsc))</f>
        <v>46291.0</v>
      </c>
      <c r="N76" s="107">
        <f>IF(M76="","",IF(ISNUMBER(L76),M76-L76,IF(G76="DECISÃO D.P","",M76-TODAY())))</f>
        <v>-7</v>
      </c>
      <c r="O76" s="108" t="str">
        <f>IF(B76="","",IF(ISNUMBER(L76),IF(N76="","SEM DATA",IF(N76&gt;=0,"DEFESA NO PRAZO","DEFESA FORA DO PRAZO")),IF(G76="DECISÃO D.P","SEM DEFESA",IF(G76="","SEM STATUS",IF(N76="","SEM DATA",IF(N76&lt;0,"VENCIDO",IF(N76&lt;=DiasAlerta,"VENCE EM BREVE","NO PRAZO")))))))</f>
        <v>DEFESA FORA DO PRAZO</v>
      </c>
      <c r="P76" s="109">
        <f>IF(D76="","",TODAY()-D76)</f>
        <v>28</v>
      </c>
      <c r="Q76" s="102" t="n"/>
    </row>
    <row r="77" ht="18" customHeight="1">
      <c r="A77" s="101" t="n">
        <v>73</v>
      </c>
      <c r="B77" s="102" t="inlineStr">
        <is>
          <t>Magazine Nova Era Filial 2</t>
        </is>
      </c>
      <c r="C77" s="102" t="inlineStr">
        <is>
          <t>LOJA</t>
        </is>
      </c>
      <c r="D77" s="103" t="n">
        <v>46277</v>
      </c>
      <c r="E77" s="102" t="inlineStr">
        <is>
          <t>NOTIFICAÇÃO DE CONSTATAÇÃO</t>
        </is>
      </c>
      <c r="F77" s="104" t="inlineStr">
        <is>
          <t>PRESENCIAL</t>
        </is>
      </c>
      <c r="G77" s="104" t="inlineStr">
        <is>
          <t>PRAZO D.P</t>
        </is>
      </c>
      <c r="H77" s="102" t="inlineStr">
        <is>
          <t>FELIPE ARAÚJO</t>
        </is>
      </c>
      <c r="I77" s="105" t="inlineStr">
        <is>
          <t>0872/2026</t>
        </is>
      </c>
      <c r="J77" s="105" t="inlineStr">
        <is>
          <t>2026.045400-0/01</t>
        </is>
      </c>
      <c r="K77" s="103" t="n">
        <v>46211</v>
      </c>
      <c r="L77" s="103" t="n"/>
      <c r="M77" s="106">
        <f>IF(OR(D77="",E77=""),"",D77+IF(E77="NOTIFICAÇÃO DE CONSTATAÇÃO",PrazoConst,PrazoEsc))</f>
        <v>46287.0</v>
      </c>
      <c r="N77" s="107">
        <f>IF(M77="","",IF(ISNUMBER(L77),M77-L77,IF(G77="DECISÃO D.P","",M77-TODAY())))</f>
        <v>-17</v>
      </c>
      <c r="O77" s="108" t="str">
        <f>IF(B77="","",IF(ISNUMBER(L77),IF(N77="","SEM DATA",IF(N77&gt;=0,"DEFESA NO PRAZO","DEFESA FORA DO PRAZO")),IF(G77="DECISÃO D.P","SEM DEFESA",IF(G77="","SEM STATUS",IF(N77="","SEM DATA",IF(N77&lt;0,"VENCIDO",IF(N77&lt;=DiasAlerta,"VENCE EM BREVE","NO PRAZO")))))))</f>
        <v>VENCIDO</v>
      </c>
      <c r="P77" s="109">
        <f>IF(D77="","",TODAY()-D77)</f>
        <v>27</v>
      </c>
      <c r="Q77" s="102" t="n"/>
    </row>
    <row r="78" ht="18" customHeight="1">
      <c r="A78" s="101" t="n">
        <v>74</v>
      </c>
      <c r="B78" s="102" t="inlineStr">
        <is>
          <t>Churrascaria Jardim</t>
        </is>
      </c>
      <c r="C78" s="102" t="inlineStr">
        <is>
          <t>RESTAURANTE</t>
        </is>
      </c>
      <c r="D78" s="103" t="n">
        <v>46278</v>
      </c>
      <c r="E78" s="102" t="inlineStr">
        <is>
          <t>NOTIFICAÇÃO DE CONSTATAÇÃO</t>
        </is>
      </c>
      <c r="F78" s="104" t="inlineStr">
        <is>
          <t>ELETRÔNICA</t>
        </is>
      </c>
      <c r="G78" s="104" t="inlineStr">
        <is>
          <t>DECISÃO D.P</t>
        </is>
      </c>
      <c r="H78" s="102" t="inlineStr">
        <is>
          <t>CARLA MENDES</t>
        </is>
      </c>
      <c r="I78" s="105" t="inlineStr">
        <is>
          <t>0600/2026</t>
        </is>
      </c>
      <c r="J78" s="105" t="inlineStr">
        <is>
          <t>2026.011819-1/13</t>
        </is>
      </c>
      <c r="K78" s="103" t="n">
        <v>46229</v>
      </c>
      <c r="L78" s="103" t="n"/>
      <c r="M78" s="106">
        <f>IF(OR(D78="",E78=""),"",D78+IF(E78="NOTIFICAÇÃO DE CONSTATAÇÃO",PrazoConst,PrazoEsc))</f>
        <v>46288.0</v>
      </c>
      <c r="N78" s="107" t="str">
        <f>IF(M78="","",IF(ISNUMBER(L78),M78-L78,IF(G78="DECISÃO D.P","",M78-TODAY())))</f>
        <v/>
      </c>
      <c r="O78" s="108" t="str">
        <f>IF(B78="","",IF(ISNUMBER(L78),IF(N78="","SEM DATA",IF(N78&gt;=0,"DEFESA NO PRAZO","DEFESA FORA DO PRAZO")),IF(G78="DECISÃO D.P","SEM DEFESA",IF(G78="","SEM STATUS",IF(N78="","SEM DATA",IF(N78&lt;0,"VENCIDO",IF(N78&lt;=DiasAlerta,"VENCE EM BREVE","NO PRAZO")))))))</f>
        <v>SEM DEFESA</v>
      </c>
      <c r="P78" s="109">
        <f>IF(D78="","",TODAY()-D78)</f>
        <v>26</v>
      </c>
      <c r="Q78" s="102" t="n"/>
    </row>
    <row r="79" ht="18" customHeight="1">
      <c r="A79" s="101" t="n">
        <v>75</v>
      </c>
      <c r="B79" s="102" t="inlineStr">
        <is>
          <t>Conecta Ipê Amarelo</t>
        </is>
      </c>
      <c r="C79" s="102" t="inlineStr">
        <is>
          <t>TELEFONIA</t>
        </is>
      </c>
      <c r="D79" s="103" t="n">
        <v>46278</v>
      </c>
      <c r="E79" s="102" t="inlineStr">
        <is>
          <t>NOTIFICAÇÃO DE CONSTATAÇÃO</t>
        </is>
      </c>
      <c r="F79" s="104" t="inlineStr">
        <is>
          <t>PRESENCIAL</t>
        </is>
      </c>
      <c r="G79" s="104" t="inlineStr">
        <is>
          <t>DECISÃO D.P</t>
        </is>
      </c>
      <c r="H79" s="102" t="inlineStr">
        <is>
          <t>GABRIELA NUNES</t>
        </is>
      </c>
      <c r="I79" s="105" t="inlineStr">
        <is>
          <t>0102/2026</t>
        </is>
      </c>
      <c r="J79" s="105" t="inlineStr">
        <is>
          <t>2026.056520-2/02</t>
        </is>
      </c>
      <c r="K79" s="103" t="n">
        <v>46203</v>
      </c>
      <c r="L79" s="103" t="n">
        <v>46293</v>
      </c>
      <c r="M79" s="106">
        <f>IF(OR(D79="",E79=""),"",D79+IF(E79="NOTIFICAÇÃO DE CONSTATAÇÃO",PrazoConst,PrazoEsc))</f>
        <v>46288.0</v>
      </c>
      <c r="N79" s="107">
        <f>IF(M79="","",IF(ISNUMBER(L79),M79-L79,IF(G79="DECISÃO D.P","",M79-TODAY())))</f>
        <v>-5</v>
      </c>
      <c r="O79" s="108" t="str">
        <f>IF(B79="","",IF(ISNUMBER(L79),IF(N79="","SEM DATA",IF(N79&gt;=0,"DEFESA NO PRAZO","DEFESA FORA DO PRAZO")),IF(G79="DECISÃO D.P","SEM DEFESA",IF(G79="","SEM STATUS",IF(N79="","SEM DATA",IF(N79&lt;0,"VENCIDO",IF(N79&lt;=DiasAlerta,"VENCE EM BREVE","NO PRAZO")))))))</f>
        <v>DEFESA FORA DO PRAZO</v>
      </c>
      <c r="P79" s="109">
        <f>IF(D79="","",TODAY()-D79)</f>
        <v>26</v>
      </c>
      <c r="Q79" s="102" t="n"/>
    </row>
    <row r="80" ht="18" customHeight="1">
      <c r="A80" s="101" t="n">
        <v>76</v>
      </c>
      <c r="B80" s="102" t="inlineStr">
        <is>
          <t>Restaurante Planalto</t>
        </is>
      </c>
      <c r="C80" s="102" t="inlineStr">
        <is>
          <t>RESTAURANTE</t>
        </is>
      </c>
      <c r="D80" s="103" t="n">
        <v>46279</v>
      </c>
      <c r="E80" s="102" t="inlineStr">
        <is>
          <t>NOTIFICAÇÃO DE CONSTATAÇÃO</t>
        </is>
      </c>
      <c r="F80" s="104" t="inlineStr">
        <is>
          <t>ELETRÔNICA</t>
        </is>
      </c>
      <c r="G80" s="104" t="inlineStr">
        <is>
          <t>DECISÃO D.P</t>
        </is>
      </c>
      <c r="H80" s="102" t="inlineStr">
        <is>
          <t>ANA PAULA SOUZA</t>
        </is>
      </c>
      <c r="I80" s="105" t="inlineStr">
        <is>
          <t>0202/2026</t>
        </is>
      </c>
      <c r="J80" s="105" t="inlineStr">
        <is>
          <t>2026.035429-2/09</t>
        </is>
      </c>
      <c r="K80" s="103" t="n">
        <v>46268</v>
      </c>
      <c r="L80" s="103" t="n">
        <v>46291</v>
      </c>
      <c r="M80" s="106">
        <f>IF(OR(D80="",E80=""),"",D80+IF(E80="NOTIFICAÇÃO DE CONSTATAÇÃO",PrazoConst,PrazoEsc))</f>
        <v>46289.0</v>
      </c>
      <c r="N80" s="107">
        <f>IF(M80="","",IF(ISNUMBER(L80),M80-L80,IF(G80="DECISÃO D.P","",M80-TODAY())))</f>
        <v>-2</v>
      </c>
      <c r="O80" s="108" t="str">
        <f>IF(B80="","",IF(ISNUMBER(L80),IF(N80="","SEM DATA",IF(N80&gt;=0,"DEFESA NO PRAZO","DEFESA FORA DO PRAZO")),IF(G80="DECISÃO D.P","SEM DEFESA",IF(G80="","SEM STATUS",IF(N80="","SEM DATA",IF(N80&lt;0,"VENCIDO",IF(N80&lt;=DiasAlerta,"VENCE EM BREVE","NO PRAZO")))))))</f>
        <v>DEFESA FORA DO PRAZO</v>
      </c>
      <c r="P80" s="109">
        <f>IF(D80="","",TODAY()-D80)</f>
        <v>25</v>
      </c>
      <c r="Q80" s="102" t="n"/>
    </row>
    <row r="81" ht="18" customHeight="1">
      <c r="A81" s="101" t="n">
        <v>77</v>
      </c>
      <c r="B81" s="102" t="inlineStr">
        <is>
          <t>Posto Litoral</t>
        </is>
      </c>
      <c r="C81" s="102" t="inlineStr">
        <is>
          <t>POSTO DE COMBUSTÍVEL</t>
        </is>
      </c>
      <c r="D81" s="103" t="n">
        <v>46281</v>
      </c>
      <c r="E81" s="102" t="inlineStr">
        <is>
          <t>NOTIFICAÇÃO DE ESCLARECIMENTO</t>
        </is>
      </c>
      <c r="F81" s="104" t="inlineStr">
        <is>
          <t>PRESENCIAL</t>
        </is>
      </c>
      <c r="G81" s="104" t="inlineStr">
        <is>
          <t>DECISÃO D.P</t>
        </is>
      </c>
      <c r="H81" s="102" t="inlineStr">
        <is>
          <t>BRUNO CARVALHO</t>
        </is>
      </c>
      <c r="I81" s="105" t="inlineStr">
        <is>
          <t>0111/2026</t>
        </is>
      </c>
      <c r="J81" s="105" t="inlineStr">
        <is>
          <t>2026.031065-1/12</t>
        </is>
      </c>
      <c r="K81" s="103" t="n">
        <v>46223</v>
      </c>
      <c r="L81" s="103" t="n"/>
      <c r="M81" s="106">
        <f>IF(OR(D81="",E81=""),"",D81+IF(E81="NOTIFICAÇÃO DE CONSTATAÇÃO",PrazoConst,PrazoEsc))</f>
        <v>46296.0</v>
      </c>
      <c r="N81" s="107" t="str">
        <f>IF(M81="","",IF(ISNUMBER(L81),M81-L81,IF(G81="DECISÃO D.P","",M81-TODAY())))</f>
        <v/>
      </c>
      <c r="O81" s="108" t="str">
        <f>IF(B81="","",IF(ISNUMBER(L81),IF(N81="","SEM DATA",IF(N81&gt;=0,"DEFESA NO PRAZO","DEFESA FORA DO PRAZO")),IF(G81="DECISÃO D.P","SEM DEFESA",IF(G81="","SEM STATUS",IF(N81="","SEM DATA",IF(N81&lt;0,"VENCIDO",IF(N81&lt;=DiasAlerta,"VENCE EM BREVE","NO PRAZO")))))))</f>
        <v>SEM DEFESA</v>
      </c>
      <c r="P81" s="109">
        <f>IF(D81="","",TODAY()-D81)</f>
        <v>23</v>
      </c>
      <c r="Q81" s="102" t="n"/>
    </row>
    <row r="82" ht="18" customHeight="1">
      <c r="A82" s="101" t="n">
        <v>78</v>
      </c>
      <c r="B82" s="102" t="inlineStr">
        <is>
          <t>Auto Center Atlântico</t>
        </is>
      </c>
      <c r="C82" s="102" t="inlineStr">
        <is>
          <t>CONCESSIONÁRIA</t>
        </is>
      </c>
      <c r="D82" s="103" t="n">
        <v>46284</v>
      </c>
      <c r="E82" s="102" t="inlineStr">
        <is>
          <t>NOTIFICAÇÃO DE CONSTATAÇÃO</t>
        </is>
      </c>
      <c r="F82" s="104" t="inlineStr">
        <is>
          <t>PRESENCIAL</t>
        </is>
      </c>
      <c r="G82" s="104" t="inlineStr">
        <is>
          <t>DECISÃO D.P</t>
        </is>
      </c>
      <c r="H82" s="102" t="inlineStr">
        <is>
          <t>FELIPE ARAÚJO</t>
        </is>
      </c>
      <c r="I82" s="105" t="inlineStr">
        <is>
          <t>0970/2026</t>
        </is>
      </c>
      <c r="J82" s="105" t="inlineStr">
        <is>
          <t>2026.037191-4/01</t>
        </is>
      </c>
      <c r="K82" s="103" t="n">
        <v>46267</v>
      </c>
      <c r="L82" s="103" t="n">
        <v>46286</v>
      </c>
      <c r="M82" s="106">
        <f>IF(OR(D82="",E82=""),"",D82+IF(E82="NOTIFICAÇÃO DE CONSTATAÇÃO",PrazoConst,PrazoEsc))</f>
        <v>46294.0</v>
      </c>
      <c r="N82" s="107">
        <f>IF(M82="","",IF(ISNUMBER(L82),M82-L82,IF(G82="DECISÃO D.P","",M82-TODAY())))</f>
        <v>8</v>
      </c>
      <c r="O82" s="108" t="str">
        <f>IF(B82="","",IF(ISNUMBER(L82),IF(N82="","SEM DATA",IF(N82&gt;=0,"DEFESA NO PRAZO","DEFESA FORA DO PRAZO")),IF(G82="DECISÃO D.P","SEM DEFESA",IF(G82="","SEM STATUS",IF(N82="","SEM DATA",IF(N82&lt;0,"VENCIDO",IF(N82&lt;=DiasAlerta,"VENCE EM BREVE","NO PRAZO")))))))</f>
        <v>DEFESA NO PRAZO</v>
      </c>
      <c r="P82" s="109">
        <f>IF(D82="","",TODAY()-D82)</f>
        <v>20</v>
      </c>
      <c r="Q82" s="102" t="n"/>
    </row>
    <row r="83" ht="18" customHeight="1">
      <c r="A83" s="101" t="n">
        <v>79</v>
      </c>
      <c r="B83" s="102" t="inlineStr">
        <is>
          <t>Loja Primavera</t>
        </is>
      </c>
      <c r="C83" s="102" t="inlineStr">
        <is>
          <t>LOJA</t>
        </is>
      </c>
      <c r="D83" s="103" t="n">
        <v>46284</v>
      </c>
      <c r="E83" s="102" t="inlineStr">
        <is>
          <t>NOTIFICAÇÃO DE CONSTATAÇÃO</t>
        </is>
      </c>
      <c r="F83" s="104" t="inlineStr">
        <is>
          <t>PRESENCIAL</t>
        </is>
      </c>
      <c r="G83" s="104" t="inlineStr">
        <is>
          <t>PRAZO D.P</t>
        </is>
      </c>
      <c r="H83" s="102" t="inlineStr">
        <is>
          <t>CARLA MENDES</t>
        </is>
      </c>
      <c r="I83" s="105" t="inlineStr">
        <is>
          <t>0687/2026</t>
        </is>
      </c>
      <c r="J83" s="105" t="inlineStr">
        <is>
          <t>2026.037234-8/04</t>
        </is>
      </c>
      <c r="K83" s="103" t="n">
        <v>46268</v>
      </c>
      <c r="L83" s="103" t="n">
        <v>46293</v>
      </c>
      <c r="M83" s="106">
        <f>IF(OR(D83="",E83=""),"",D83+IF(E83="NOTIFICAÇÃO DE CONSTATAÇÃO",PrazoConst,PrazoEsc))</f>
        <v>46294.0</v>
      </c>
      <c r="N83" s="107">
        <f>IF(M83="","",IF(ISNUMBER(L83),M83-L83,IF(G83="DECISÃO D.P","",M83-TODAY())))</f>
        <v>1</v>
      </c>
      <c r="O83" s="108" t="str">
        <f>IF(B83="","",IF(ISNUMBER(L83),IF(N83="","SEM DATA",IF(N83&gt;=0,"DEFESA NO PRAZO","DEFESA FORA DO PRAZO")),IF(G83="DECISÃO D.P","SEM DEFESA",IF(G83="","SEM STATUS",IF(N83="","SEM DATA",IF(N83&lt;0,"VENCIDO",IF(N83&lt;=DiasAlerta,"VENCE EM BREVE","NO PRAZO")))))))</f>
        <v>DEFESA NO PRAZO</v>
      </c>
      <c r="P83" s="109">
        <f>IF(D83="","",TODAY()-D83)</f>
        <v>20</v>
      </c>
      <c r="Q83" s="102" t="n"/>
    </row>
    <row r="84" ht="18" customHeight="1">
      <c r="A84" s="101" t="n">
        <v>80</v>
      </c>
      <c r="B84" s="102" t="inlineStr">
        <is>
          <t>Conecta Avenida</t>
        </is>
      </c>
      <c r="C84" s="102" t="inlineStr">
        <is>
          <t>TELEFONIA</t>
        </is>
      </c>
      <c r="D84" s="103" t="n">
        <v>46287</v>
      </c>
      <c r="E84" s="102" t="inlineStr">
        <is>
          <t>NOTIFICAÇÃO DE CONSTATAÇÃO</t>
        </is>
      </c>
      <c r="F84" s="104" t="inlineStr">
        <is>
          <t>PRESENCIAL</t>
        </is>
      </c>
      <c r="G84" s="104" t="inlineStr">
        <is>
          <t>DECISÃO D.P</t>
        </is>
      </c>
      <c r="H84" s="102" t="inlineStr">
        <is>
          <t>DIEGO RIBEIRO</t>
        </is>
      </c>
      <c r="I84" s="105" t="inlineStr">
        <is>
          <t>0959/2026</t>
        </is>
      </c>
      <c r="J84" s="105" t="inlineStr">
        <is>
          <t>2026.042284-7/10</t>
        </is>
      </c>
      <c r="K84" s="103" t="n">
        <v>46238</v>
      </c>
      <c r="L84" s="103" t="n">
        <v>46289</v>
      </c>
      <c r="M84" s="106">
        <f>IF(OR(D84="",E84=""),"",D84+IF(E84="NOTIFICAÇÃO DE CONSTATAÇÃO",PrazoConst,PrazoEsc))</f>
        <v>46297.0</v>
      </c>
      <c r="N84" s="107">
        <f>IF(M84="","",IF(ISNUMBER(L84),M84-L84,IF(G84="DECISÃO D.P","",M84-TODAY())))</f>
        <v>8</v>
      </c>
      <c r="O84" s="108" t="str">
        <f>IF(B84="","",IF(ISNUMBER(L84),IF(N84="","SEM DATA",IF(N84&gt;=0,"DEFESA NO PRAZO","DEFESA FORA DO PRAZO")),IF(G84="DECISÃO D.P","SEM DEFESA",IF(G84="","SEM STATUS",IF(N84="","SEM DATA",IF(N84&lt;0,"VENCIDO",IF(N84&lt;=DiasAlerta,"VENCE EM BREVE","NO PRAZO")))))))</f>
        <v>DEFESA NO PRAZO</v>
      </c>
      <c r="P84" s="109">
        <f>IF(D84="","",TODAY()-D84)</f>
        <v>17</v>
      </c>
      <c r="Q84" s="102" t="n"/>
    </row>
    <row r="85" ht="18" customHeight="1">
      <c r="A85" s="101" t="n">
        <v>81</v>
      </c>
      <c r="B85" s="102" t="inlineStr">
        <is>
          <t>Auto Center Planalto</t>
        </is>
      </c>
      <c r="C85" s="102" t="inlineStr">
        <is>
          <t>CONCESSIONÁRIA</t>
        </is>
      </c>
      <c r="D85" s="103" t="n">
        <v>46289</v>
      </c>
      <c r="E85" s="102" t="inlineStr">
        <is>
          <t>NOTIFICAÇÃO DE CONSTATAÇÃO</t>
        </is>
      </c>
      <c r="F85" s="104" t="inlineStr">
        <is>
          <t>ELETRÔNICA</t>
        </is>
      </c>
      <c r="G85" s="104" t="inlineStr">
        <is>
          <t>PRAZO D.P</t>
        </is>
      </c>
      <c r="H85" s="102" t="inlineStr">
        <is>
          <t>BRUNO CARVALHO</t>
        </is>
      </c>
      <c r="I85" s="105" t="inlineStr">
        <is>
          <t>0094/2026</t>
        </is>
      </c>
      <c r="J85" s="105" t="inlineStr">
        <is>
          <t>2026.007063-4/14</t>
        </is>
      </c>
      <c r="K85" s="103" t="n">
        <v>46204</v>
      </c>
      <c r="L85" s="103" t="n"/>
      <c r="M85" s="106">
        <f>IF(OR(D85="",E85=""),"",D85+IF(E85="NOTIFICAÇÃO DE CONSTATAÇÃO",PrazoConst,PrazoEsc))</f>
        <v>46299.0</v>
      </c>
      <c r="N85" s="107">
        <f>IF(M85="","",IF(ISNUMBER(L85),M85-L85,IF(G85="DECISÃO D.P","",M85-TODAY())))</f>
        <v>-5</v>
      </c>
      <c r="O85" s="108" t="str">
        <f>IF(B85="","",IF(ISNUMBER(L85),IF(N85="","SEM DATA",IF(N85&gt;=0,"DEFESA NO PRAZO","DEFESA FORA DO PRAZO")),IF(G85="DECISÃO D.P","SEM DEFESA",IF(G85="","SEM STATUS",IF(N85="","SEM DATA",IF(N85&lt;0,"VENCIDO",IF(N85&lt;=DiasAlerta,"VENCE EM BREVE","NO PRAZO")))))))</f>
        <v>VENCIDO</v>
      </c>
      <c r="P85" s="109">
        <f>IF(D85="","",TODAY()-D85)</f>
        <v>15</v>
      </c>
      <c r="Q85" s="102" t="n"/>
    </row>
    <row r="86" ht="18" customHeight="1">
      <c r="A86" s="101" t="n">
        <v>82</v>
      </c>
      <c r="B86" s="102" t="inlineStr">
        <is>
          <t>Posto Jardim</t>
        </is>
      </c>
      <c r="C86" s="102" t="inlineStr">
        <is>
          <t>POSTO DE COMBUSTÍVEL</t>
        </is>
      </c>
      <c r="D86" s="103" t="n">
        <v>46291</v>
      </c>
      <c r="E86" s="102" t="inlineStr">
        <is>
          <t>NOTIFICAÇÃO DE CONSTATAÇÃO</t>
        </is>
      </c>
      <c r="F86" s="104" t="inlineStr">
        <is>
          <t>PRESENCIAL</t>
        </is>
      </c>
      <c r="G86" s="104" t="inlineStr">
        <is>
          <t>PRAZO D.P</t>
        </is>
      </c>
      <c r="H86" s="102" t="inlineStr">
        <is>
          <t>FELIPE ARAÚJO</t>
        </is>
      </c>
      <c r="I86" s="105" t="inlineStr">
        <is>
          <t>0731/2026</t>
        </is>
      </c>
      <c r="J86" s="105" t="inlineStr">
        <is>
          <t>2026.028240-4/02</t>
        </is>
      </c>
      <c r="K86" s="103" t="n">
        <v>46273</v>
      </c>
      <c r="L86" s="103" t="n"/>
      <c r="M86" s="106">
        <f>IF(OR(D86="",E86=""),"",D86+IF(E86="NOTIFICAÇÃO DE CONSTATAÇÃO",PrazoConst,PrazoEsc))</f>
        <v>46301.0</v>
      </c>
      <c r="N86" s="107">
        <f>IF(M86="","",IF(ISNUMBER(L86),M86-L86,IF(G86="DECISÃO D.P","",M86-TODAY())))</f>
        <v>-3</v>
      </c>
      <c r="O86" s="108" t="str">
        <f>IF(B86="","",IF(ISNUMBER(L86),IF(N86="","SEM DATA",IF(N86&gt;=0,"DEFESA NO PRAZO","DEFESA FORA DO PRAZO")),IF(G86="DECISÃO D.P","SEM DEFESA",IF(G86="","SEM STATUS",IF(N86="","SEM DATA",IF(N86&lt;0,"VENCIDO",IF(N86&lt;=DiasAlerta,"VENCE EM BREVE","NO PRAZO")))))))</f>
        <v>VENCIDO</v>
      </c>
      <c r="P86" s="109">
        <f>IF(D86="","",TODAY()-D86)</f>
        <v>13</v>
      </c>
      <c r="Q86" s="102" t="n"/>
    </row>
    <row r="87" ht="18" customHeight="1">
      <c r="A87" s="101" t="n">
        <v>83</v>
      </c>
      <c r="B87" s="102" t="inlineStr">
        <is>
          <t>Conecta Aliança</t>
        </is>
      </c>
      <c r="C87" s="102" t="inlineStr">
        <is>
          <t>TELEFONIA</t>
        </is>
      </c>
      <c r="D87" s="103" t="n">
        <v>46292</v>
      </c>
      <c r="E87" s="102" t="inlineStr">
        <is>
          <t>NOTIFICAÇÃO DE CONSTATAÇÃO</t>
        </is>
      </c>
      <c r="F87" s="104" t="inlineStr">
        <is>
          <t>ELETRÔNICA</t>
        </is>
      </c>
      <c r="G87" s="104" t="inlineStr">
        <is>
          <t>PRAZO D.P</t>
        </is>
      </c>
      <c r="H87" s="102" t="inlineStr">
        <is>
          <t>HENRIQUE COSTA</t>
        </is>
      </c>
      <c r="I87" s="105" t="inlineStr">
        <is>
          <t>0399/2026</t>
        </is>
      </c>
      <c r="J87" s="105" t="inlineStr">
        <is>
          <t>2026.007733-5/11</t>
        </is>
      </c>
      <c r="K87" s="103" t="n">
        <v>46278</v>
      </c>
      <c r="L87" s="103" t="n"/>
      <c r="M87" s="106">
        <f>IF(OR(D87="",E87=""),"",D87+IF(E87="NOTIFICAÇÃO DE CONSTATAÇÃO",PrazoConst,PrazoEsc))</f>
        <v>46302.0</v>
      </c>
      <c r="N87" s="107">
        <f>IF(M87="","",IF(ISNUMBER(L87),M87-L87,IF(G87="DECISÃO D.P","",M87-TODAY())))</f>
        <v>-2</v>
      </c>
      <c r="O87" s="108" t="str">
        <f>IF(B87="","",IF(ISNUMBER(L87),IF(N87="","SEM DATA",IF(N87&gt;=0,"DEFESA NO PRAZO","DEFESA FORA DO PRAZO")),IF(G87="DECISÃO D.P","SEM DEFESA",IF(G87="","SEM STATUS",IF(N87="","SEM DATA",IF(N87&lt;0,"VENCIDO",IF(N87&lt;=DiasAlerta,"VENCE EM BREVE","NO PRAZO")))))))</f>
        <v>VENCIDO</v>
      </c>
      <c r="P87" s="109">
        <f>IF(D87="","",TODAY()-D87)</f>
        <v>12</v>
      </c>
      <c r="Q87" s="102" t="n"/>
    </row>
    <row r="88" ht="18" customHeight="1">
      <c r="A88" s="101" t="n">
        <v>84</v>
      </c>
      <c r="B88" s="102" t="inlineStr">
        <is>
          <t>Studio Fitness Planalto</t>
        </is>
      </c>
      <c r="C88" s="102" t="inlineStr">
        <is>
          <t>ACADEMIA</t>
        </is>
      </c>
      <c r="D88" s="103" t="n">
        <v>46294</v>
      </c>
      <c r="E88" s="102" t="inlineStr">
        <is>
          <t>NOTIFICAÇÃO DE ESCLARECIMENTO</t>
        </is>
      </c>
      <c r="F88" s="104" t="inlineStr">
        <is>
          <t>PRESENCIAL</t>
        </is>
      </c>
      <c r="G88" s="104" t="inlineStr">
        <is>
          <t>PRAZO D.P</t>
        </is>
      </c>
      <c r="H88" s="102" t="inlineStr">
        <is>
          <t>EDUARDA LIMA</t>
        </is>
      </c>
      <c r="I88" s="105" t="inlineStr">
        <is>
          <t>0178/2026</t>
        </is>
      </c>
      <c r="J88" s="105" t="inlineStr">
        <is>
          <t>2026.085964-8/15</t>
        </is>
      </c>
      <c r="K88" s="103" t="n">
        <v>46284</v>
      </c>
      <c r="L88" s="103" t="n"/>
      <c r="M88" s="106">
        <f>IF(OR(D88="",E88=""),"",D88+IF(E88="NOTIFICAÇÃO DE CONSTATAÇÃO",PrazoConst,PrazoEsc))</f>
        <v>46309.0</v>
      </c>
      <c r="N88" s="107">
        <f>IF(M88="","",IF(ISNUMBER(L88),M88-L88,IF(G88="DECISÃO D.P","",M88-TODAY())))</f>
        <v>5</v>
      </c>
      <c r="O88" s="108" t="str">
        <f>IF(B88="","",IF(ISNUMBER(L88),IF(N88="","SEM DATA",IF(N88&gt;=0,"DEFESA NO PRAZO","DEFESA FORA DO PRAZO")),IF(G88="DECISÃO D.P","SEM DEFESA",IF(G88="","SEM STATUS",IF(N88="","SEM DATA",IF(N88&lt;0,"VENCIDO",IF(N88&lt;=DiasAlerta,"VENCE EM BREVE","NO PRAZO")))))))</f>
        <v>VENCE EM BREVE</v>
      </c>
      <c r="P88" s="109">
        <f>IF(D88="","",TODAY()-D88)</f>
        <v>10</v>
      </c>
      <c r="Q88" s="102" t="n"/>
    </row>
    <row r="89" ht="18" customHeight="1">
      <c r="A89" s="101" t="n">
        <v>85</v>
      </c>
      <c r="B89" s="102" t="inlineStr">
        <is>
          <t>Hospital Vida Plena</t>
        </is>
      </c>
      <c r="C89" s="102" t="inlineStr">
        <is>
          <t>SAÚDE</t>
        </is>
      </c>
      <c r="D89" s="103" t="n">
        <v>46295</v>
      </c>
      <c r="E89" s="102" t="inlineStr">
        <is>
          <t>NOTIFICAÇÃO DE CONSTATAÇÃO</t>
        </is>
      </c>
      <c r="F89" s="104" t="inlineStr">
        <is>
          <t>ELETRÔNICA</t>
        </is>
      </c>
      <c r="G89" s="104" t="inlineStr">
        <is>
          <t>PRAZO D.P</t>
        </is>
      </c>
      <c r="H89" s="102" t="inlineStr">
        <is>
          <t>FELIPE ARAÚJO</t>
        </is>
      </c>
      <c r="I89" s="105" t="inlineStr">
        <is>
          <t>0888/2026</t>
        </is>
      </c>
      <c r="J89" s="105" t="inlineStr">
        <is>
          <t>2026.065360-6/15</t>
        </is>
      </c>
      <c r="K89" s="103" t="n">
        <v>46214</v>
      </c>
      <c r="L89" s="103" t="n"/>
      <c r="M89" s="106">
        <f>IF(OR(D89="",E89=""),"",D89+IF(E89="NOTIFICAÇÃO DE CONSTATAÇÃO",PrazoConst,PrazoEsc))</f>
        <v>46305.0</v>
      </c>
      <c r="N89" s="107">
        <f>IF(M89="","",IF(ISNUMBER(L89),M89-L89,IF(G89="DECISÃO D.P","",M89-TODAY())))</f>
        <v>1</v>
      </c>
      <c r="O89" s="108" t="str">
        <f>IF(B89="","",IF(ISNUMBER(L89),IF(N89="","SEM DATA",IF(N89&gt;=0,"DEFESA NO PRAZO","DEFESA FORA DO PRAZO")),IF(G89="DECISÃO D.P","SEM DEFESA",IF(G89="","SEM STATUS",IF(N89="","SEM DATA",IF(N89&lt;0,"VENCIDO",IF(N89&lt;=DiasAlerta,"VENCE EM BREVE","NO PRAZO")))))))</f>
        <v>VENCE EM BREVE</v>
      </c>
      <c r="P89" s="109">
        <f>IF(D89="","",TODAY()-D89)</f>
        <v>9</v>
      </c>
      <c r="Q89" s="102" t="n"/>
    </row>
    <row r="90" ht="18" customHeight="1">
      <c r="A90" s="101" t="n">
        <v>86</v>
      </c>
      <c r="B90" s="102" t="inlineStr">
        <is>
          <t>Hospital Real</t>
        </is>
      </c>
      <c r="C90" s="102" t="inlineStr">
        <is>
          <t>SAÚDE</t>
        </is>
      </c>
      <c r="D90" s="103" t="n">
        <v>46296</v>
      </c>
      <c r="E90" s="102" t="inlineStr">
        <is>
          <t>NOTIFICAÇÃO DE ESCLARECIMENTO</t>
        </is>
      </c>
      <c r="F90" s="104" t="inlineStr">
        <is>
          <t>ELETRÔNICA</t>
        </is>
      </c>
      <c r="G90" s="104" t="inlineStr">
        <is>
          <t>PRAZO D.P</t>
        </is>
      </c>
      <c r="H90" s="102" t="inlineStr">
        <is>
          <t>DIEGO RIBEIRO</t>
        </is>
      </c>
      <c r="I90" s="105" t="inlineStr">
        <is>
          <t>0295/2026</t>
        </is>
      </c>
      <c r="J90" s="105" t="inlineStr">
        <is>
          <t>2026.019466-9/05</t>
        </is>
      </c>
      <c r="K90" s="103" t="n">
        <v>46233</v>
      </c>
      <c r="L90" s="103" t="n">
        <v>46302</v>
      </c>
      <c r="M90" s="106">
        <f>IF(OR(D90="",E90=""),"",D90+IF(E90="NOTIFICAÇÃO DE CONSTATAÇÃO",PrazoConst,PrazoEsc))</f>
        <v>46311.0</v>
      </c>
      <c r="N90" s="107">
        <f>IF(M90="","",IF(ISNUMBER(L90),M90-L90,IF(G90="DECISÃO D.P","",M90-TODAY())))</f>
        <v>9</v>
      </c>
      <c r="O90" s="108" t="str">
        <f>IF(B90="","",IF(ISNUMBER(L90),IF(N90="","SEM DATA",IF(N90&gt;=0,"DEFESA NO PRAZO","DEFESA FORA DO PRAZO")),IF(G90="DECISÃO D.P","SEM DEFESA",IF(G90="","SEM STATUS",IF(N90="","SEM DATA",IF(N90&lt;0,"VENCIDO",IF(N90&lt;=DiasAlerta,"VENCE EM BREVE","NO PRAZO")))))))</f>
        <v>DEFESA NO PRAZO</v>
      </c>
      <c r="P90" s="109">
        <f>IF(D90="","",TODAY()-D90)</f>
        <v>8</v>
      </c>
      <c r="Q90" s="102" t="n"/>
    </row>
    <row r="91" ht="18" customHeight="1">
      <c r="A91" s="101" t="n">
        <v>87</v>
      </c>
      <c r="B91" s="102" t="inlineStr">
        <is>
          <t>Comércio Vida Plena</t>
        </is>
      </c>
      <c r="C91" s="102" t="inlineStr">
        <is>
          <t>OUTROS</t>
        </is>
      </c>
      <c r="D91" s="103" t="n">
        <v>46297</v>
      </c>
      <c r="E91" s="102" t="inlineStr">
        <is>
          <t>NOTIFICAÇÃO DE CONSTATAÇÃO</t>
        </is>
      </c>
      <c r="F91" s="104" t="inlineStr">
        <is>
          <t>PRESENCIAL</t>
        </is>
      </c>
      <c r="G91" s="104" t="inlineStr">
        <is>
          <t>PRAZO D.P</t>
        </is>
      </c>
      <c r="H91" s="102" t="inlineStr">
        <is>
          <t>ANA PAULA SOUZA</t>
        </is>
      </c>
      <c r="I91" s="105" t="inlineStr">
        <is>
          <t>0939/2026</t>
        </is>
      </c>
      <c r="J91" s="105" t="inlineStr">
        <is>
          <t>2026.013080-0/08</t>
        </is>
      </c>
      <c r="K91" s="103" t="n">
        <v>46291</v>
      </c>
      <c r="L91" s="103" t="n"/>
      <c r="M91" s="106">
        <f>IF(OR(D91="",E91=""),"",D91+IF(E91="NOTIFICAÇÃO DE CONSTATAÇÃO",PrazoConst,PrazoEsc))</f>
        <v>46307.0</v>
      </c>
      <c r="N91" s="107">
        <f>IF(M91="","",IF(ISNUMBER(L91),M91-L91,IF(G91="DECISÃO D.P","",M91-TODAY())))</f>
        <v>3</v>
      </c>
      <c r="O91" s="108" t="str">
        <f>IF(B91="","",IF(ISNUMBER(L91),IF(N91="","SEM DATA",IF(N91&gt;=0,"DEFESA NO PRAZO","DEFESA FORA DO PRAZO")),IF(G91="DECISÃO D.P","SEM DEFESA",IF(G91="","SEM STATUS",IF(N91="","SEM DATA",IF(N91&lt;0,"VENCIDO",IF(N91&lt;=DiasAlerta,"VENCE EM BREVE","NO PRAZO")))))))</f>
        <v>VENCE EM BREVE</v>
      </c>
      <c r="P91" s="109">
        <f>IF(D91="","",TODAY()-D91)</f>
        <v>7</v>
      </c>
      <c r="Q91" s="102" t="n"/>
    </row>
    <row r="92" ht="18" customHeight="1">
      <c r="A92" s="101" t="n">
        <v>88</v>
      </c>
      <c r="B92" s="102" t="inlineStr">
        <is>
          <t>Churrascaria Central</t>
        </is>
      </c>
      <c r="C92" s="102" t="inlineStr">
        <is>
          <t>RESTAURANTE</t>
        </is>
      </c>
      <c r="D92" s="103" t="n">
        <v>46297</v>
      </c>
      <c r="E92" s="102" t="inlineStr">
        <is>
          <t>NOTIFICAÇÃO DE ESCLARECIMENTO</t>
        </is>
      </c>
      <c r="F92" s="104" t="inlineStr">
        <is>
          <t>ELETRÔNICA</t>
        </is>
      </c>
      <c r="G92" s="104" t="inlineStr">
        <is>
          <t>PRAZO D.P</t>
        </is>
      </c>
      <c r="H92" s="102" t="inlineStr">
        <is>
          <t>DIEGO RIBEIRO</t>
        </is>
      </c>
      <c r="I92" s="105" t="inlineStr">
        <is>
          <t>0087/2026</t>
        </is>
      </c>
      <c r="J92" s="105" t="inlineStr">
        <is>
          <t>2026.088628-2/15</t>
        </is>
      </c>
      <c r="K92" s="103" t="n">
        <v>46239</v>
      </c>
      <c r="L92" s="103" t="n">
        <v>46304</v>
      </c>
      <c r="M92" s="106">
        <f>IF(OR(D92="",E92=""),"",D92+IF(E92="NOTIFICAÇÃO DE CONSTATAÇÃO",PrazoConst,PrazoEsc))</f>
        <v>46312.0</v>
      </c>
      <c r="N92" s="107">
        <f>IF(M92="","",IF(ISNUMBER(L92),M92-L92,IF(G92="DECISÃO D.P","",M92-TODAY())))</f>
        <v>8</v>
      </c>
      <c r="O92" s="108" t="str">
        <f>IF(B92="","",IF(ISNUMBER(L92),IF(N92="","SEM DATA",IF(N92&gt;=0,"DEFESA NO PRAZO","DEFESA FORA DO PRAZO")),IF(G92="DECISÃO D.P","SEM DEFESA",IF(G92="","SEM STATUS",IF(N92="","SEM DATA",IF(N92&lt;0,"VENCIDO",IF(N92&lt;=DiasAlerta,"VENCE EM BREVE","NO PRAZO")))))))</f>
        <v>DEFESA NO PRAZO</v>
      </c>
      <c r="P92" s="109">
        <f>IF(D92="","",TODAY()-D92)</f>
        <v>7</v>
      </c>
      <c r="Q92" s="102" t="n"/>
    </row>
    <row r="93" ht="18" customHeight="1">
      <c r="A93" s="101" t="n">
        <v>89</v>
      </c>
      <c r="B93" s="102" t="inlineStr">
        <is>
          <t>Banco Bela Vista</t>
        </is>
      </c>
      <c r="C93" s="102" t="inlineStr">
        <is>
          <t>BANCO</t>
        </is>
      </c>
      <c r="D93" s="103" t="n">
        <v>46299</v>
      </c>
      <c r="E93" s="102" t="inlineStr">
        <is>
          <t>NOTIFICAÇÃO DE ESCLARECIMENTO</t>
        </is>
      </c>
      <c r="F93" s="104" t="inlineStr">
        <is>
          <t>PRESENCIAL</t>
        </is>
      </c>
      <c r="G93" s="104" t="inlineStr">
        <is>
          <t>DECISÃO D.P</t>
        </is>
      </c>
      <c r="H93" s="102" t="inlineStr">
        <is>
          <t>DIEGO RIBEIRO</t>
        </is>
      </c>
      <c r="I93" s="105" t="inlineStr">
        <is>
          <t>0478/2026</t>
        </is>
      </c>
      <c r="J93" s="105" t="inlineStr">
        <is>
          <t>2026.082081-2/03</t>
        </is>
      </c>
      <c r="K93" s="103" t="n">
        <v>46221</v>
      </c>
      <c r="L93" s="103" t="n">
        <v>46304</v>
      </c>
      <c r="M93" s="106">
        <f>IF(OR(D93="",E93=""),"",D93+IF(E93="NOTIFICAÇÃO DE CONSTATAÇÃO",PrazoConst,PrazoEsc))</f>
        <v>46314.0</v>
      </c>
      <c r="N93" s="107">
        <f>IF(M93="","",IF(ISNUMBER(L93),M93-L93,IF(G93="DECISÃO D.P","",M93-TODAY())))</f>
        <v>10</v>
      </c>
      <c r="O93" s="108" t="str">
        <f>IF(B93="","",IF(ISNUMBER(L93),IF(N93="","SEM DATA",IF(N93&gt;=0,"DEFESA NO PRAZO","DEFESA FORA DO PRAZO")),IF(G93="DECISÃO D.P","SEM DEFESA",IF(G93="","SEM STATUS",IF(N93="","SEM DATA",IF(N93&lt;0,"VENCIDO",IF(N93&lt;=DiasAlerta,"VENCE EM BREVE","NO PRAZO")))))))</f>
        <v>DEFESA NO PRAZO</v>
      </c>
      <c r="P93" s="109">
        <f>IF(D93="","",TODAY()-D93)</f>
        <v>5</v>
      </c>
      <c r="Q93" s="102" t="n"/>
    </row>
    <row r="94" ht="18" customHeight="1">
      <c r="A94" s="101" t="n">
        <v>90</v>
      </c>
      <c r="B94" s="102" t="inlineStr">
        <is>
          <t>Comércio Real</t>
        </is>
      </c>
      <c r="C94" s="102" t="inlineStr">
        <is>
          <t>OUTROS</t>
        </is>
      </c>
      <c r="D94" s="103" t="n">
        <v>46300</v>
      </c>
      <c r="E94" s="102" t="inlineStr">
        <is>
          <t>NOTIFICAÇÃO DE ESCLARECIMENTO</t>
        </is>
      </c>
      <c r="F94" s="104" t="inlineStr">
        <is>
          <t>PRESENCIAL</t>
        </is>
      </c>
      <c r="G94" s="104" t="inlineStr">
        <is>
          <t>PRAZO D.P</t>
        </is>
      </c>
      <c r="H94" s="102" t="inlineStr">
        <is>
          <t>GABRIELA NUNES</t>
        </is>
      </c>
      <c r="I94" s="105" t="inlineStr">
        <is>
          <t>0470/2026</t>
        </is>
      </c>
      <c r="J94" s="105" t="inlineStr">
        <is>
          <t>2026.065162-5/15</t>
        </is>
      </c>
      <c r="K94" s="103" t="n">
        <v>46229</v>
      </c>
      <c r="L94" s="103" t="n">
        <v>46304</v>
      </c>
      <c r="M94" s="106">
        <f>IF(OR(D94="",E94=""),"",D94+IF(E94="NOTIFICAÇÃO DE CONSTATAÇÃO",PrazoConst,PrazoEsc))</f>
        <v>46315.0</v>
      </c>
      <c r="N94" s="107">
        <f>IF(M94="","",IF(ISNUMBER(L94),M94-L94,IF(G94="DECISÃO D.P","",M94-TODAY())))</f>
        <v>11</v>
      </c>
      <c r="O94" s="108" t="str">
        <f>IF(B94="","",IF(ISNUMBER(L94),IF(N94="","SEM DATA",IF(N94&gt;=0,"DEFESA NO PRAZO","DEFESA FORA DO PRAZO")),IF(G94="DECISÃO D.P","SEM DEFESA",IF(G94="","SEM STATUS",IF(N94="","SEM DATA",IF(N94&lt;0,"VENCIDO",IF(N94&lt;=DiasAlerta,"VENCE EM BREVE","NO PRAZO")))))))</f>
        <v>DEFESA NO PRAZO</v>
      </c>
      <c r="P94" s="109">
        <f>IF(D94="","",TODAY()-D94)</f>
        <v>4</v>
      </c>
      <c r="Q94" s="102" t="n"/>
    </row>
    <row r="95" ht="18" customHeight="1">
      <c r="A95" s="101" t="n">
        <v>91</v>
      </c>
      <c r="B95" s="102" t="inlineStr">
        <is>
          <t>Concessionária Litoral</t>
        </is>
      </c>
      <c r="C95" s="102" t="inlineStr">
        <is>
          <t>CONCESSIONÁRIA</t>
        </is>
      </c>
      <c r="D95" s="103" t="n">
        <v>46301</v>
      </c>
      <c r="E95" s="102" t="inlineStr">
        <is>
          <t>NOTIFICAÇÃO DE CONSTATAÇÃO</t>
        </is>
      </c>
      <c r="F95" s="104" t="inlineStr">
        <is>
          <t>PRESENCIAL</t>
        </is>
      </c>
      <c r="G95" s="104" t="inlineStr">
        <is>
          <t>PRAZO D.P</t>
        </is>
      </c>
      <c r="H95" s="102" t="inlineStr">
        <is>
          <t>BRUNO CARVALHO</t>
        </is>
      </c>
      <c r="I95" s="105" t="inlineStr">
        <is>
          <t>0776/2026</t>
        </is>
      </c>
      <c r="J95" s="105" t="inlineStr">
        <is>
          <t>2026.047825-2/01</t>
        </is>
      </c>
      <c r="K95" s="103" t="n">
        <v>46215</v>
      </c>
      <c r="L95" s="103" t="n"/>
      <c r="M95" s="106">
        <f>IF(OR(D95="",E95=""),"",D95+IF(E95="NOTIFICAÇÃO DE CONSTATAÇÃO",PrazoConst,PrazoEsc))</f>
        <v>46311.0</v>
      </c>
      <c r="N95" s="107">
        <f>IF(M95="","",IF(ISNUMBER(L95),M95-L95,IF(G95="DECISÃO D.P","",M95-TODAY())))</f>
        <v>7</v>
      </c>
      <c r="O95" s="108" t="str">
        <f>IF(B95="","",IF(ISNUMBER(L95),IF(N95="","SEM DATA",IF(N95&gt;=0,"DEFESA NO PRAZO","DEFESA FORA DO PRAZO")),IF(G95="DECISÃO D.P","SEM DEFESA",IF(G95="","SEM STATUS",IF(N95="","SEM DATA",IF(N95&lt;0,"VENCIDO",IF(N95&lt;=DiasAlerta,"VENCE EM BREVE","NO PRAZO")))))))</f>
        <v>NO PRAZO</v>
      </c>
      <c r="P95" s="109">
        <f>IF(D95="","",TODAY()-D95)</f>
        <v>3</v>
      </c>
      <c r="Q95" s="102" t="n"/>
    </row>
    <row r="96" ht="18" customHeight="1">
      <c r="A96" s="101" t="n">
        <v>92</v>
      </c>
      <c r="B96" s="102" t="inlineStr">
        <is>
          <t>Boutique Aliança</t>
        </is>
      </c>
      <c r="C96" s="102" t="inlineStr">
        <is>
          <t>LOJA</t>
        </is>
      </c>
      <c r="D96" s="103" t="n">
        <v>46303</v>
      </c>
      <c r="E96" s="102" t="inlineStr">
        <is>
          <t>NOTIFICAÇÃO DE ESCLARECIMENTO</t>
        </is>
      </c>
      <c r="F96" s="104" t="inlineStr">
        <is>
          <t>ELETRÔNICA</t>
        </is>
      </c>
      <c r="G96" s="104" t="inlineStr">
        <is>
          <t>PRAZO D.P</t>
        </is>
      </c>
      <c r="H96" s="102" t="inlineStr">
        <is>
          <t>CARLA MENDES</t>
        </is>
      </c>
      <c r="I96" s="105" t="inlineStr">
        <is>
          <t>0587/2026</t>
        </is>
      </c>
      <c r="J96" s="105" t="inlineStr">
        <is>
          <t>2026.096753-7/13</t>
        </is>
      </c>
      <c r="K96" s="103" t="n">
        <v>46228</v>
      </c>
      <c r="L96" s="103" t="n"/>
      <c r="M96" s="106">
        <f>IF(OR(D96="",E96=""),"",D96+IF(E96="NOTIFICAÇÃO DE CONSTATAÇÃO",PrazoConst,PrazoEsc))</f>
        <v>46318.0</v>
      </c>
      <c r="N96" s="107">
        <f>IF(M96="","",IF(ISNUMBER(L96),M96-L96,IF(G96="DECISÃO D.P","",M96-TODAY())))</f>
        <v>14</v>
      </c>
      <c r="O96" s="108" t="str">
        <f>IF(B96="","",IF(ISNUMBER(L96),IF(N96="","SEM DATA",IF(N96&gt;=0,"DEFESA NO PRAZO","DEFESA FORA DO PRAZO")),IF(G96="DECISÃO D.P","SEM DEFESA",IF(G96="","SEM STATUS",IF(N96="","SEM DATA",IF(N96&lt;0,"VENCIDO",IF(N96&lt;=DiasAlerta,"VENCE EM BREVE","NO PRAZO")))))))</f>
        <v>NO PRAZO</v>
      </c>
      <c r="P96" s="109">
        <f>IF(D96="","",TODAY()-D96)</f>
        <v>1</v>
      </c>
      <c r="Q96" s="102" t="n"/>
    </row>
    <row r="97" ht="18" customHeight="1">
      <c r="A97" s="101" t="n">
        <v>93</v>
      </c>
      <c r="B97" s="102" t="inlineStr">
        <is>
          <t>Financeira São Jorge Ltda</t>
        </is>
      </c>
      <c r="C97" s="102" t="inlineStr">
        <is>
          <t>BANCO</t>
        </is>
      </c>
      <c r="D97" s="103" t="n">
        <v>46303</v>
      </c>
      <c r="E97" s="102" t="inlineStr">
        <is>
          <t>NOTIFICAÇÃO DE CONSTATAÇÃO</t>
        </is>
      </c>
      <c r="F97" s="104" t="inlineStr">
        <is>
          <t>PRESENCIAL</t>
        </is>
      </c>
      <c r="G97" s="104" t="inlineStr">
        <is>
          <t>PRAZO D.P</t>
        </is>
      </c>
      <c r="H97" s="102" t="inlineStr">
        <is>
          <t>GABRIELA NUNES</t>
        </is>
      </c>
      <c r="I97" s="105" t="inlineStr">
        <is>
          <t>0503/2026</t>
        </is>
      </c>
      <c r="J97" s="105" t="inlineStr">
        <is>
          <t>2026.028554-6/05</t>
        </is>
      </c>
      <c r="K97" s="103" t="n">
        <v>46258</v>
      </c>
      <c r="L97" s="103" t="n"/>
      <c r="M97" s="106">
        <f>IF(OR(D97="",E97=""),"",D97+IF(E97="NOTIFICAÇÃO DE CONSTATAÇÃO",PrazoConst,PrazoEsc))</f>
        <v>46313.0</v>
      </c>
      <c r="N97" s="107">
        <f>IF(M97="","",IF(ISNUMBER(L97),M97-L97,IF(G97="DECISÃO D.P","",M97-TODAY())))</f>
        <v>9</v>
      </c>
      <c r="O97" s="108" t="str">
        <f>IF(B97="","",IF(ISNUMBER(L97),IF(N97="","SEM DATA",IF(N97&gt;=0,"DEFESA NO PRAZO","DEFESA FORA DO PRAZO")),IF(G97="DECISÃO D.P","SEM DEFESA",IF(G97="","SEM STATUS",IF(N97="","SEM DATA",IF(N97&lt;0,"VENCIDO",IF(N97&lt;=DiasAlerta,"VENCE EM BREVE","NO PRAZO")))))))</f>
        <v>NO PRAZO</v>
      </c>
      <c r="P97" s="109">
        <f>IF(D97="","",TODAY()-D97)</f>
        <v>1</v>
      </c>
      <c r="Q97" s="102" t="n"/>
    </row>
    <row r="98" ht="18" customHeight="1">
      <c r="A98" s="101" t="n">
        <v>94</v>
      </c>
      <c r="B98" s="102" t="inlineStr">
        <is>
          <t>Studio Fitness São Jorge</t>
        </is>
      </c>
      <c r="C98" s="102" t="inlineStr">
        <is>
          <t>ACADEMIA</t>
        </is>
      </c>
      <c r="D98" s="103" t="n">
        <v>46303</v>
      </c>
      <c r="E98" s="102" t="inlineStr">
        <is>
          <t>NOTIFICAÇÃO DE ESCLARECIMENTO</t>
        </is>
      </c>
      <c r="F98" s="104" t="inlineStr">
        <is>
          <t>PRESENCIAL</t>
        </is>
      </c>
      <c r="G98" s="104" t="inlineStr">
        <is>
          <t>PRAZO D.P</t>
        </is>
      </c>
      <c r="H98" s="102" t="inlineStr">
        <is>
          <t>GABRIELA NUNES</t>
        </is>
      </c>
      <c r="I98" s="105" t="inlineStr">
        <is>
          <t>0559/2026</t>
        </is>
      </c>
      <c r="J98" s="105" t="inlineStr">
        <is>
          <t>2026.074373-6/11</t>
        </is>
      </c>
      <c r="K98" s="103" t="n">
        <v>46266</v>
      </c>
      <c r="L98" s="103" t="n"/>
      <c r="M98" s="106">
        <f>IF(OR(D98="",E98=""),"",D98+IF(E98="NOTIFICAÇÃO DE CONSTATAÇÃO",PrazoConst,PrazoEsc))</f>
        <v>46318.0</v>
      </c>
      <c r="N98" s="107">
        <f>IF(M98="","",IF(ISNUMBER(L98),M98-L98,IF(G98="DECISÃO D.P","",M98-TODAY())))</f>
        <v>14</v>
      </c>
      <c r="O98" s="108" t="str">
        <f>IF(B98="","",IF(ISNUMBER(L98),IF(N98="","SEM DATA",IF(N98&gt;=0,"DEFESA NO PRAZO","DEFESA FORA DO PRAZO")),IF(G98="DECISÃO D.P","SEM DEFESA",IF(G98="","SEM STATUS",IF(N98="","SEM DATA",IF(N98&lt;0,"VENCIDO",IF(N98&lt;=DiasAlerta,"VENCE EM BREVE","NO PRAZO")))))))</f>
        <v>NO PRAZO</v>
      </c>
      <c r="P98" s="109">
        <f>IF(D98="","",TODAY()-D98)</f>
        <v>1</v>
      </c>
      <c r="Q98" s="102" t="n"/>
    </row>
    <row r="99" ht="18" customHeight="1">
      <c r="A99" s="101" t="n">
        <v>95</v>
      </c>
      <c r="B99" s="102" t="inlineStr">
        <is>
          <t>Escola Aliança</t>
        </is>
      </c>
      <c r="C99" s="102" t="inlineStr">
        <is>
          <t>ESCOLA</t>
        </is>
      </c>
      <c r="D99" s="103" t="n">
        <v>46304</v>
      </c>
      <c r="E99" s="102" t="inlineStr">
        <is>
          <t>NOTIFICAÇÃO DE CONSTATAÇÃO</t>
        </is>
      </c>
      <c r="F99" s="104" t="inlineStr">
        <is>
          <t>ELETRÔNICA</t>
        </is>
      </c>
      <c r="G99" s="104" t="inlineStr">
        <is>
          <t>PRAZO D.P</t>
        </is>
      </c>
      <c r="H99" s="102" t="inlineStr">
        <is>
          <t>HENRIQUE COSTA</t>
        </is>
      </c>
      <c r="I99" s="105" t="inlineStr">
        <is>
          <t>0536/2026</t>
        </is>
      </c>
      <c r="J99" s="105" t="inlineStr">
        <is>
          <t>2026.014444-9/07</t>
        </is>
      </c>
      <c r="K99" s="103" t="n">
        <v>46214</v>
      </c>
      <c r="L99" s="103" t="n"/>
      <c r="M99" s="106">
        <f>IF(OR(D99="",E99=""),"",D99+IF(E99="NOTIFICAÇÃO DE CONSTATAÇÃO",PrazoConst,PrazoEsc))</f>
        <v>46314.0</v>
      </c>
      <c r="N99" s="107">
        <f>IF(M99="","",IF(ISNUMBER(L99),M99-L99,IF(G99="DECISÃO D.P","",M99-TODAY())))</f>
        <v>10</v>
      </c>
      <c r="O99" s="108" t="str">
        <f>IF(B99="","",IF(ISNUMBER(L99),IF(N99="","SEM DATA",IF(N99&gt;=0,"DEFESA NO PRAZO","DEFESA FORA DO PRAZO")),IF(G99="DECISÃO D.P","SEM DEFESA",IF(G99="","SEM STATUS",IF(N99="","SEM DATA",IF(N99&lt;0,"VENCIDO",IF(N99&lt;=DiasAlerta,"VENCE EM BREVE","NO PRAZO")))))))</f>
        <v>NO PRAZO</v>
      </c>
      <c r="P99" s="109">
        <f>IF(D99="","",TODAY()-D99)</f>
        <v>0</v>
      </c>
      <c r="Q99" s="102" t="n"/>
    </row>
    <row r="100" ht="18" customHeight="1">
      <c r="A100" s="101" t="n">
        <v>96</v>
      </c>
      <c r="B100" s="102" t="inlineStr">
        <is>
          <t>Studio Fitness Avenida</t>
        </is>
      </c>
      <c r="C100" s="102" t="inlineStr">
        <is>
          <t>ACADEMIA</t>
        </is>
      </c>
      <c r="D100" s="103" t="n">
        <v>46304</v>
      </c>
      <c r="E100" s="102" t="inlineStr">
        <is>
          <t>NOTIFICAÇÃO DE ESCLARECIMENTO</t>
        </is>
      </c>
      <c r="F100" s="104" t="inlineStr">
        <is>
          <t>PRESENCIAL</t>
        </is>
      </c>
      <c r="G100" s="104" t="inlineStr">
        <is>
          <t>DECISÃO D.P</t>
        </is>
      </c>
      <c r="H100" s="102" t="inlineStr">
        <is>
          <t>ANA PAULA SOUZA</t>
        </is>
      </c>
      <c r="I100" s="105" t="inlineStr">
        <is>
          <t>0706/2026</t>
        </is>
      </c>
      <c r="J100" s="105" t="inlineStr">
        <is>
          <t>2026.034925-7/15</t>
        </is>
      </c>
      <c r="K100" s="103" t="n">
        <v>46234</v>
      </c>
      <c r="L100" s="103" t="n"/>
      <c r="M100" s="106">
        <f>IF(OR(D100="",E100=""),"",D100+IF(E100="NOTIFICAÇÃO DE CONSTATAÇÃO",PrazoConst,PrazoEsc))</f>
        <v>46319.0</v>
      </c>
      <c r="N100" s="107" t="str">
        <f>IF(M100="","",IF(ISNUMBER(L100),M100-L100,IF(G100="DECISÃO D.P","",M100-TODAY())))</f>
        <v/>
      </c>
      <c r="O100" s="108" t="str">
        <f>IF(B100="","",IF(ISNUMBER(L100),IF(N100="","SEM DATA",IF(N100&gt;=0,"DEFESA NO PRAZO","DEFESA FORA DO PRAZO")),IF(G100="DECISÃO D.P","SEM DEFESA",IF(G100="","SEM STATUS",IF(N100="","SEM DATA",IF(N100&lt;0,"VENCIDO",IF(N100&lt;=DiasAlerta,"VENCE EM BREVE","NO PRAZO")))))))</f>
        <v>SEM DEFESA</v>
      </c>
      <c r="P100" s="109">
        <f>IF(D100="","",TODAY()-D100)</f>
        <v>0</v>
      </c>
      <c r="Q100" s="102" t="n"/>
    </row>
    <row r="101" ht="18" customHeight="1">
      <c r="A101" s="101" t="n"/>
      <c r="B101" s="102" t="n"/>
      <c r="C101" s="102" t="n"/>
      <c r="D101" s="103" t="n"/>
      <c r="E101" s="102" t="n"/>
      <c r="F101" s="104" t="n"/>
      <c r="G101" s="104" t="n"/>
      <c r="H101" s="102" t="n"/>
      <c r="I101" s="105" t="n"/>
      <c r="J101" s="105" t="n"/>
      <c r="K101" s="103" t="n"/>
      <c r="L101" s="103" t="n"/>
      <c r="M101" s="106" t="str">
        <f>IF(OR(D101="",E101=""),"",D101+IF(E101="NOTIFICAÇÃO DE CONSTATAÇÃO",PrazoConst,PrazoEsc))</f>
        <v/>
      </c>
      <c r="N101" s="107" t="str">
        <f>IF(M101="","",IF(ISNUMBER(L101),M101-L101,IF(G101="DECISÃO D.P","",M101-TODAY())))</f>
        <v/>
      </c>
      <c r="O101" s="108" t="str">
        <f>IF(B101="","",IF(ISNUMBER(L101),IF(N101="","SEM DATA",IF(N101&gt;=0,"DEFESA NO PRAZO","DEFESA FORA DO PRAZO")),IF(G101="DECISÃO D.P","SEM DEFESA",IF(G101="","SEM STATUS",IF(N101="","SEM DATA",IF(N101&lt;0,"VENCIDO",IF(N101&lt;=DiasAlerta,"VENCE EM BREVE","NO PRAZO")))))))</f>
        <v/>
      </c>
      <c r="P101" s="109" t="str">
        <f>IF(D101="","",TODAY()-D101)</f>
        <v/>
      </c>
      <c r="Q101" s="102" t="n"/>
    </row>
    <row r="102" ht="18" customHeight="1">
      <c r="A102" s="101" t="n"/>
      <c r="B102" s="102" t="n"/>
      <c r="C102" s="102" t="n"/>
      <c r="D102" s="103" t="n"/>
      <c r="E102" s="102" t="n"/>
      <c r="F102" s="104" t="n"/>
      <c r="G102" s="104" t="n"/>
      <c r="H102" s="102" t="n"/>
      <c r="I102" s="105" t="n"/>
      <c r="J102" s="105" t="n"/>
      <c r="K102" s="103" t="n"/>
      <c r="L102" s="103" t="n"/>
      <c r="M102" s="106" t="str">
        <f>IF(OR(D102="",E102=""),"",D102+IF(E102="NOTIFICAÇÃO DE CONSTATAÇÃO",PrazoConst,PrazoEsc))</f>
        <v/>
      </c>
      <c r="N102" s="107" t="str">
        <f>IF(M102="","",IF(ISNUMBER(L102),M102-L102,IF(G102="DECISÃO D.P","",M102-TODAY())))</f>
        <v/>
      </c>
      <c r="O102" s="108" t="str">
        <f>IF(B102="","",IF(ISNUMBER(L102),IF(N102="","SEM DATA",IF(N102&gt;=0,"DEFESA NO PRAZO","DEFESA FORA DO PRAZO")),IF(G102="DECISÃO D.P","SEM DEFESA",IF(G102="","SEM STATUS",IF(N102="","SEM DATA",IF(N102&lt;0,"VENCIDO",IF(N102&lt;=DiasAlerta,"VENCE EM BREVE","NO PRAZO")))))))</f>
        <v/>
      </c>
      <c r="P102" s="109" t="str">
        <f>IF(D102="","",TODAY()-D102)</f>
        <v/>
      </c>
      <c r="Q102" s="102" t="n"/>
    </row>
    <row r="103" ht="18" customHeight="1">
      <c r="A103" s="101" t="n"/>
      <c r="B103" s="102" t="n"/>
      <c r="C103" s="102" t="n"/>
      <c r="D103" s="103" t="n"/>
      <c r="E103" s="102" t="n"/>
      <c r="F103" s="104" t="n"/>
      <c r="G103" s="104" t="n"/>
      <c r="H103" s="102" t="n"/>
      <c r="I103" s="105" t="n"/>
      <c r="J103" s="105" t="n"/>
      <c r="K103" s="103" t="n"/>
      <c r="L103" s="103" t="n"/>
      <c r="M103" s="106" t="str">
        <f>IF(OR(D103="",E103=""),"",D103+IF(E103="NOTIFICAÇÃO DE CONSTATAÇÃO",PrazoConst,PrazoEsc))</f>
        <v/>
      </c>
      <c r="N103" s="107" t="str">
        <f>IF(M103="","",IF(ISNUMBER(L103),M103-L103,IF(G103="DECISÃO D.P","",M103-TODAY())))</f>
        <v/>
      </c>
      <c r="O103" s="108" t="str">
        <f>IF(B103="","",IF(ISNUMBER(L103),IF(N103="","SEM DATA",IF(N103&gt;=0,"DEFESA NO PRAZO","DEFESA FORA DO PRAZO")),IF(G103="DECISÃO D.P","SEM DEFESA",IF(G103="","SEM STATUS",IF(N103="","SEM DATA",IF(N103&lt;0,"VENCIDO",IF(N103&lt;=DiasAlerta,"VENCE EM BREVE","NO PRAZO")))))))</f>
        <v/>
      </c>
      <c r="P103" s="109" t="str">
        <f>IF(D103="","",TODAY()-D103)</f>
        <v/>
      </c>
      <c r="Q103" s="102" t="n"/>
    </row>
    <row r="104" ht="18" customHeight="1">
      <c r="A104" s="101" t="n"/>
      <c r="B104" s="102" t="n"/>
      <c r="C104" s="102" t="n"/>
      <c r="D104" s="103" t="n"/>
      <c r="E104" s="102" t="n"/>
      <c r="F104" s="104" t="n"/>
      <c r="G104" s="104" t="n"/>
      <c r="H104" s="102" t="n"/>
      <c r="I104" s="105" t="n"/>
      <c r="J104" s="105" t="n"/>
      <c r="K104" s="103" t="n"/>
      <c r="L104" s="103" t="n"/>
      <c r="M104" s="106" t="str">
        <f>IF(OR(D104="",E104=""),"",D104+IF(E104="NOTIFICAÇÃO DE CONSTATAÇÃO",PrazoConst,PrazoEsc))</f>
        <v/>
      </c>
      <c r="N104" s="107" t="str">
        <f>IF(M104="","",IF(ISNUMBER(L104),M104-L104,IF(G104="DECISÃO D.P","",M104-TODAY())))</f>
        <v/>
      </c>
      <c r="O104" s="108" t="str">
        <f>IF(B104="","",IF(ISNUMBER(L104),IF(N104="","SEM DATA",IF(N104&gt;=0,"DEFESA NO PRAZO","DEFESA FORA DO PRAZO")),IF(G104="DECISÃO D.P","SEM DEFESA",IF(G104="","SEM STATUS",IF(N104="","SEM DATA",IF(N104&lt;0,"VENCIDO",IF(N104&lt;=DiasAlerta,"VENCE EM BREVE","NO PRAZO")))))))</f>
        <v/>
      </c>
      <c r="P104" s="109" t="str">
        <f>IF(D104="","",TODAY()-D104)</f>
        <v/>
      </c>
      <c r="Q104" s="102" t="n"/>
    </row>
    <row r="105" ht="18" customHeight="1">
      <c r="A105" s="101" t="n"/>
      <c r="B105" s="102" t="n"/>
      <c r="C105" s="102" t="n"/>
      <c r="D105" s="103" t="n"/>
      <c r="E105" s="102" t="n"/>
      <c r="F105" s="104" t="n"/>
      <c r="G105" s="104" t="n"/>
      <c r="H105" s="102" t="n"/>
      <c r="I105" s="105" t="n"/>
      <c r="J105" s="105" t="n"/>
      <c r="K105" s="103" t="n"/>
      <c r="L105" s="103" t="n"/>
      <c r="M105" s="106" t="str">
        <f>IF(OR(D105="",E105=""),"",D105+IF(E105="NOTIFICAÇÃO DE CONSTATAÇÃO",PrazoConst,PrazoEsc))</f>
        <v/>
      </c>
      <c r="N105" s="107" t="str">
        <f>IF(M105="","",IF(ISNUMBER(L105),M105-L105,IF(G105="DECISÃO D.P","",M105-TODAY())))</f>
        <v/>
      </c>
      <c r="O105" s="108" t="str">
        <f>IF(B105="","",IF(ISNUMBER(L105),IF(N105="","SEM DATA",IF(N105&gt;=0,"DEFESA NO PRAZO","DEFESA FORA DO PRAZO")),IF(G105="DECISÃO D.P","SEM DEFESA",IF(G105="","SEM STATUS",IF(N105="","SEM DATA",IF(N105&lt;0,"VENCIDO",IF(N105&lt;=DiasAlerta,"VENCE EM BREVE","NO PRAZO")))))))</f>
        <v/>
      </c>
      <c r="P105" s="109" t="str">
        <f>IF(D105="","",TODAY()-D105)</f>
        <v/>
      </c>
      <c r="Q105" s="102" t="n"/>
    </row>
    <row r="106" ht="18" customHeight="1">
      <c r="A106" s="101" t="n"/>
      <c r="B106" s="102" t="n"/>
      <c r="C106" s="102" t="n"/>
      <c r="D106" s="103" t="n"/>
      <c r="E106" s="102" t="n"/>
      <c r="F106" s="104" t="n"/>
      <c r="G106" s="104" t="n"/>
      <c r="H106" s="102" t="n"/>
      <c r="I106" s="105" t="n"/>
      <c r="J106" s="105" t="n"/>
      <c r="K106" s="103" t="n"/>
      <c r="L106" s="103" t="n"/>
      <c r="M106" s="106" t="str">
        <f>IF(OR(D106="",E106=""),"",D106+IF(E106="NOTIFICAÇÃO DE CONSTATAÇÃO",PrazoConst,PrazoEsc))</f>
        <v/>
      </c>
      <c r="N106" s="107" t="str">
        <f>IF(M106="","",IF(ISNUMBER(L106),M106-L106,IF(G106="DECISÃO D.P","",M106-TODAY())))</f>
        <v/>
      </c>
      <c r="O106" s="108" t="str">
        <f>IF(B106="","",IF(ISNUMBER(L106),IF(N106="","SEM DATA",IF(N106&gt;=0,"DEFESA NO PRAZO","DEFESA FORA DO PRAZO")),IF(G106="DECISÃO D.P","SEM DEFESA",IF(G106="","SEM STATUS",IF(N106="","SEM DATA",IF(N106&lt;0,"VENCIDO",IF(N106&lt;=DiasAlerta,"VENCE EM BREVE","NO PRAZO")))))))</f>
        <v/>
      </c>
      <c r="P106" s="109" t="str">
        <f>IF(D106="","",TODAY()-D106)</f>
        <v/>
      </c>
      <c r="Q106" s="102" t="n"/>
    </row>
    <row r="107" ht="18" customHeight="1">
      <c r="A107" s="101" t="n"/>
      <c r="B107" s="102" t="n"/>
      <c r="C107" s="102" t="n"/>
      <c r="D107" s="103" t="n"/>
      <c r="E107" s="102" t="n"/>
      <c r="F107" s="104" t="n"/>
      <c r="G107" s="104" t="n"/>
      <c r="H107" s="102" t="n"/>
      <c r="I107" s="105" t="n"/>
      <c r="J107" s="105" t="n"/>
      <c r="K107" s="103" t="n"/>
      <c r="L107" s="103" t="n"/>
      <c r="M107" s="106" t="str">
        <f>IF(OR(D107="",E107=""),"",D107+IF(E107="NOTIFICAÇÃO DE CONSTATAÇÃO",PrazoConst,PrazoEsc))</f>
        <v/>
      </c>
      <c r="N107" s="107" t="str">
        <f>IF(M107="","",IF(ISNUMBER(L107),M107-L107,IF(G107="DECISÃO D.P","",M107-TODAY())))</f>
        <v/>
      </c>
      <c r="O107" s="108" t="str">
        <f>IF(B107="","",IF(ISNUMBER(L107),IF(N107="","SEM DATA",IF(N107&gt;=0,"DEFESA NO PRAZO","DEFESA FORA DO PRAZO")),IF(G107="DECISÃO D.P","SEM DEFESA",IF(G107="","SEM STATUS",IF(N107="","SEM DATA",IF(N107&lt;0,"VENCIDO",IF(N107&lt;=DiasAlerta,"VENCE EM BREVE","NO PRAZO")))))))</f>
        <v/>
      </c>
      <c r="P107" s="109" t="str">
        <f>IF(D107="","",TODAY()-D107)</f>
        <v/>
      </c>
      <c r="Q107" s="102" t="n"/>
    </row>
    <row r="108" ht="18" customHeight="1">
      <c r="A108" s="101" t="n"/>
      <c r="B108" s="102" t="n"/>
      <c r="C108" s="102" t="n"/>
      <c r="D108" s="103" t="n"/>
      <c r="E108" s="102" t="n"/>
      <c r="F108" s="104" t="n"/>
      <c r="G108" s="104" t="n"/>
      <c r="H108" s="102" t="n"/>
      <c r="I108" s="105" t="n"/>
      <c r="J108" s="105" t="n"/>
      <c r="K108" s="103" t="n"/>
      <c r="L108" s="103" t="n"/>
      <c r="M108" s="106" t="str">
        <f>IF(OR(D108="",E108=""),"",D108+IF(E108="NOTIFICAÇÃO DE CONSTATAÇÃO",PrazoConst,PrazoEsc))</f>
        <v/>
      </c>
      <c r="N108" s="107" t="str">
        <f>IF(M108="","",IF(ISNUMBER(L108),M108-L108,IF(G108="DECISÃO D.P","",M108-TODAY())))</f>
        <v/>
      </c>
      <c r="O108" s="108" t="str">
        <f>IF(B108="","",IF(ISNUMBER(L108),IF(N108="","SEM DATA",IF(N108&gt;=0,"DEFESA NO PRAZO","DEFESA FORA DO PRAZO")),IF(G108="DECISÃO D.P","SEM DEFESA",IF(G108="","SEM STATUS",IF(N108="","SEM DATA",IF(N108&lt;0,"VENCIDO",IF(N108&lt;=DiasAlerta,"VENCE EM BREVE","NO PRAZO")))))))</f>
        <v/>
      </c>
      <c r="P108" s="109" t="str">
        <f>IF(D108="","",TODAY()-D108)</f>
        <v/>
      </c>
      <c r="Q108" s="102" t="n"/>
    </row>
    <row r="109" ht="18" customHeight="1">
      <c r="A109" s="101" t="n"/>
      <c r="B109" s="102" t="n"/>
      <c r="C109" s="102" t="n"/>
      <c r="D109" s="103" t="n"/>
      <c r="E109" s="102" t="n"/>
      <c r="F109" s="104" t="n"/>
      <c r="G109" s="104" t="n"/>
      <c r="H109" s="102" t="n"/>
      <c r="I109" s="105" t="n"/>
      <c r="J109" s="105" t="n"/>
      <c r="K109" s="103" t="n"/>
      <c r="L109" s="103" t="n"/>
      <c r="M109" s="106" t="str">
        <f>IF(OR(D109="",E109=""),"",D109+IF(E109="NOTIFICAÇÃO DE CONSTATAÇÃO",PrazoConst,PrazoEsc))</f>
        <v/>
      </c>
      <c r="N109" s="107" t="str">
        <f>IF(M109="","",IF(ISNUMBER(L109),M109-L109,IF(G109="DECISÃO D.P","",M109-TODAY())))</f>
        <v/>
      </c>
      <c r="O109" s="108" t="str">
        <f>IF(B109="","",IF(ISNUMBER(L109),IF(N109="","SEM DATA",IF(N109&gt;=0,"DEFESA NO PRAZO","DEFESA FORA DO PRAZO")),IF(G109="DECISÃO D.P","SEM DEFESA",IF(G109="","SEM STATUS",IF(N109="","SEM DATA",IF(N109&lt;0,"VENCIDO",IF(N109&lt;=DiasAlerta,"VENCE EM BREVE","NO PRAZO")))))))</f>
        <v/>
      </c>
      <c r="P109" s="109" t="str">
        <f>IF(D109="","",TODAY()-D109)</f>
        <v/>
      </c>
      <c r="Q109" s="102" t="n"/>
    </row>
    <row r="110" ht="18" customHeight="1">
      <c r="A110" s="101" t="n"/>
      <c r="B110" s="102" t="n"/>
      <c r="C110" s="102" t="n"/>
      <c r="D110" s="103" t="n"/>
      <c r="E110" s="102" t="n"/>
      <c r="F110" s="104" t="n"/>
      <c r="G110" s="104" t="n"/>
      <c r="H110" s="102" t="n"/>
      <c r="I110" s="105" t="n"/>
      <c r="J110" s="105" t="n"/>
      <c r="K110" s="103" t="n"/>
      <c r="L110" s="103" t="n"/>
      <c r="M110" s="106" t="str">
        <f>IF(OR(D110="",E110=""),"",D110+IF(E110="NOTIFICAÇÃO DE CONSTATAÇÃO",PrazoConst,PrazoEsc))</f>
        <v/>
      </c>
      <c r="N110" s="107" t="str">
        <f>IF(M110="","",IF(ISNUMBER(L110),M110-L110,IF(G110="DECISÃO D.P","",M110-TODAY())))</f>
        <v/>
      </c>
      <c r="O110" s="108" t="str">
        <f>IF(B110="","",IF(ISNUMBER(L110),IF(N110="","SEM DATA",IF(N110&gt;=0,"DEFESA NO PRAZO","DEFESA FORA DO PRAZO")),IF(G110="DECISÃO D.P","SEM DEFESA",IF(G110="","SEM STATUS",IF(N110="","SEM DATA",IF(N110&lt;0,"VENCIDO",IF(N110&lt;=DiasAlerta,"VENCE EM BREVE","NO PRAZO")))))))</f>
        <v/>
      </c>
      <c r="P110" s="109" t="str">
        <f>IF(D110="","",TODAY()-D110)</f>
        <v/>
      </c>
      <c r="Q110" s="102" t="n"/>
    </row>
    <row r="111" ht="18" customHeight="1">
      <c r="A111" s="101" t="n"/>
      <c r="B111" s="102" t="n"/>
      <c r="C111" s="102" t="n"/>
      <c r="D111" s="103" t="n"/>
      <c r="E111" s="102" t="n"/>
      <c r="F111" s="104" t="n"/>
      <c r="G111" s="104" t="n"/>
      <c r="H111" s="102" t="n"/>
      <c r="I111" s="105" t="n"/>
      <c r="J111" s="105" t="n"/>
      <c r="K111" s="103" t="n"/>
      <c r="L111" s="103" t="n"/>
      <c r="M111" s="106" t="str">
        <f>IF(OR(D111="",E111=""),"",D111+IF(E111="NOTIFICAÇÃO DE CONSTATAÇÃO",PrazoConst,PrazoEsc))</f>
        <v/>
      </c>
      <c r="N111" s="107" t="str">
        <f>IF(M111="","",IF(ISNUMBER(L111),M111-L111,IF(G111="DECISÃO D.P","",M111-TODAY())))</f>
        <v/>
      </c>
      <c r="O111" s="108" t="str">
        <f>IF(B111="","",IF(ISNUMBER(L111),IF(N111="","SEM DATA",IF(N111&gt;=0,"DEFESA NO PRAZO","DEFESA FORA DO PRAZO")),IF(G111="DECISÃO D.P","SEM DEFESA",IF(G111="","SEM STATUS",IF(N111="","SEM DATA",IF(N111&lt;0,"VENCIDO",IF(N111&lt;=DiasAlerta,"VENCE EM BREVE","NO PRAZO")))))))</f>
        <v/>
      </c>
      <c r="P111" s="109" t="str">
        <f>IF(D111="","",TODAY()-D111)</f>
        <v/>
      </c>
      <c r="Q111" s="102" t="n"/>
    </row>
    <row r="112" ht="18" customHeight="1">
      <c r="A112" s="101" t="n"/>
      <c r="B112" s="102" t="n"/>
      <c r="C112" s="102" t="n"/>
      <c r="D112" s="103" t="n"/>
      <c r="E112" s="102" t="n"/>
      <c r="F112" s="104" t="n"/>
      <c r="G112" s="104" t="n"/>
      <c r="H112" s="102" t="n"/>
      <c r="I112" s="105" t="n"/>
      <c r="J112" s="105" t="n"/>
      <c r="K112" s="103" t="n"/>
      <c r="L112" s="103" t="n"/>
      <c r="M112" s="106" t="str">
        <f>IF(OR(D112="",E112=""),"",D112+IF(E112="NOTIFICAÇÃO DE CONSTATAÇÃO",PrazoConst,PrazoEsc))</f>
        <v/>
      </c>
      <c r="N112" s="107" t="str">
        <f>IF(M112="","",IF(ISNUMBER(L112),M112-L112,IF(G112="DECISÃO D.P","",M112-TODAY())))</f>
        <v/>
      </c>
      <c r="O112" s="108" t="str">
        <f>IF(B112="","",IF(ISNUMBER(L112),IF(N112="","SEM DATA",IF(N112&gt;=0,"DEFESA NO PRAZO","DEFESA FORA DO PRAZO")),IF(G112="DECISÃO D.P","SEM DEFESA",IF(G112="","SEM STATUS",IF(N112="","SEM DATA",IF(N112&lt;0,"VENCIDO",IF(N112&lt;=DiasAlerta,"VENCE EM BREVE","NO PRAZO")))))))</f>
        <v/>
      </c>
      <c r="P112" s="109" t="str">
        <f>IF(D112="","",TODAY()-D112)</f>
        <v/>
      </c>
      <c r="Q112" s="102" t="n"/>
    </row>
    <row r="113" ht="18" customHeight="1">
      <c r="A113" s="101" t="n"/>
      <c r="B113" s="102" t="n"/>
      <c r="C113" s="102" t="n"/>
      <c r="D113" s="103" t="n"/>
      <c r="E113" s="102" t="n"/>
      <c r="F113" s="104" t="n"/>
      <c r="G113" s="104" t="n"/>
      <c r="H113" s="102" t="n"/>
      <c r="I113" s="105" t="n"/>
      <c r="J113" s="105" t="n"/>
      <c r="K113" s="103" t="n"/>
      <c r="L113" s="103" t="n"/>
      <c r="M113" s="106" t="str">
        <f>IF(OR(D113="",E113=""),"",D113+IF(E113="NOTIFICAÇÃO DE CONSTATAÇÃO",PrazoConst,PrazoEsc))</f>
        <v/>
      </c>
      <c r="N113" s="107" t="str">
        <f>IF(M113="","",IF(ISNUMBER(L113),M113-L113,IF(G113="DECISÃO D.P","",M113-TODAY())))</f>
        <v/>
      </c>
      <c r="O113" s="108" t="str">
        <f>IF(B113="","",IF(ISNUMBER(L113),IF(N113="","SEM DATA",IF(N113&gt;=0,"DEFESA NO PRAZO","DEFESA FORA DO PRAZO")),IF(G113="DECISÃO D.P","SEM DEFESA",IF(G113="","SEM STATUS",IF(N113="","SEM DATA",IF(N113&lt;0,"VENCIDO",IF(N113&lt;=DiasAlerta,"VENCE EM BREVE","NO PRAZO")))))))</f>
        <v/>
      </c>
      <c r="P113" s="109" t="str">
        <f>IF(D113="","",TODAY()-D113)</f>
        <v/>
      </c>
      <c r="Q113" s="102" t="n"/>
    </row>
    <row r="114" ht="18" customHeight="1">
      <c r="A114" s="101" t="n"/>
      <c r="B114" s="102" t="n"/>
      <c r="C114" s="102" t="n"/>
      <c r="D114" s="103" t="n"/>
      <c r="E114" s="102" t="n"/>
      <c r="F114" s="104" t="n"/>
      <c r="G114" s="104" t="n"/>
      <c r="H114" s="102" t="n"/>
      <c r="I114" s="105" t="n"/>
      <c r="J114" s="105" t="n"/>
      <c r="K114" s="103" t="n"/>
      <c r="L114" s="103" t="n"/>
      <c r="M114" s="106" t="str">
        <f>IF(OR(D114="",E114=""),"",D114+IF(E114="NOTIFICAÇÃO DE CONSTATAÇÃO",PrazoConst,PrazoEsc))</f>
        <v/>
      </c>
      <c r="N114" s="107" t="str">
        <f>IF(M114="","",IF(ISNUMBER(L114),M114-L114,IF(G114="DECISÃO D.P","",M114-TODAY())))</f>
        <v/>
      </c>
      <c r="O114" s="108" t="str">
        <f>IF(B114="","",IF(ISNUMBER(L114),IF(N114="","SEM DATA",IF(N114&gt;=0,"DEFESA NO PRAZO","DEFESA FORA DO PRAZO")),IF(G114="DECISÃO D.P","SEM DEFESA",IF(G114="","SEM STATUS",IF(N114="","SEM DATA",IF(N114&lt;0,"VENCIDO",IF(N114&lt;=DiasAlerta,"VENCE EM BREVE","NO PRAZO")))))))</f>
        <v/>
      </c>
      <c r="P114" s="109" t="str">
        <f>IF(D114="","",TODAY()-D114)</f>
        <v/>
      </c>
      <c r="Q114" s="102" t="n"/>
    </row>
    <row r="115" ht="18" customHeight="1">
      <c r="A115" s="101" t="n"/>
      <c r="B115" s="102" t="n"/>
      <c r="C115" s="102" t="n"/>
      <c r="D115" s="103" t="n"/>
      <c r="E115" s="102" t="n"/>
      <c r="F115" s="104" t="n"/>
      <c r="G115" s="104" t="n"/>
      <c r="H115" s="102" t="n"/>
      <c r="I115" s="105" t="n"/>
      <c r="J115" s="105" t="n"/>
      <c r="K115" s="103" t="n"/>
      <c r="L115" s="103" t="n"/>
      <c r="M115" s="106" t="str">
        <f>IF(OR(D115="",E115=""),"",D115+IF(E115="NOTIFICAÇÃO DE CONSTATAÇÃO",PrazoConst,PrazoEsc))</f>
        <v/>
      </c>
      <c r="N115" s="107" t="str">
        <f>IF(M115="","",IF(ISNUMBER(L115),M115-L115,IF(G115="DECISÃO D.P","",M115-TODAY())))</f>
        <v/>
      </c>
      <c r="O115" s="108" t="str">
        <f>IF(B115="","",IF(ISNUMBER(L115),IF(N115="","SEM DATA",IF(N115&gt;=0,"DEFESA NO PRAZO","DEFESA FORA DO PRAZO")),IF(G115="DECISÃO D.P","SEM DEFESA",IF(G115="","SEM STATUS",IF(N115="","SEM DATA",IF(N115&lt;0,"VENCIDO",IF(N115&lt;=DiasAlerta,"VENCE EM BREVE","NO PRAZO")))))))</f>
        <v/>
      </c>
      <c r="P115" s="109" t="str">
        <f>IF(D115="","",TODAY()-D115)</f>
        <v/>
      </c>
      <c r="Q115" s="102" t="n"/>
    </row>
    <row r="116" ht="18" customHeight="1">
      <c r="A116" s="101" t="n"/>
      <c r="B116" s="102" t="n"/>
      <c r="C116" s="102" t="n"/>
      <c r="D116" s="103" t="n"/>
      <c r="E116" s="102" t="n"/>
      <c r="F116" s="104" t="n"/>
      <c r="G116" s="104" t="n"/>
      <c r="H116" s="102" t="n"/>
      <c r="I116" s="105" t="n"/>
      <c r="J116" s="105" t="n"/>
      <c r="K116" s="103" t="n"/>
      <c r="L116" s="103" t="n"/>
      <c r="M116" s="106" t="str">
        <f>IF(OR(D116="",E116=""),"",D116+IF(E116="NOTIFICAÇÃO DE CONSTATAÇÃO",PrazoConst,PrazoEsc))</f>
        <v/>
      </c>
      <c r="N116" s="107" t="str">
        <f>IF(M116="","",IF(ISNUMBER(L116),M116-L116,IF(G116="DECISÃO D.P","",M116-TODAY())))</f>
        <v/>
      </c>
      <c r="O116" s="108" t="str">
        <f>IF(B116="","",IF(ISNUMBER(L116),IF(N116="","SEM DATA",IF(N116&gt;=0,"DEFESA NO PRAZO","DEFESA FORA DO PRAZO")),IF(G116="DECISÃO D.P","SEM DEFESA",IF(G116="","SEM STATUS",IF(N116="","SEM DATA",IF(N116&lt;0,"VENCIDO",IF(N116&lt;=DiasAlerta,"VENCE EM BREVE","NO PRAZO")))))))</f>
        <v/>
      </c>
      <c r="P116" s="109" t="str">
        <f>IF(D116="","",TODAY()-D116)</f>
        <v/>
      </c>
      <c r="Q116" s="102" t="n"/>
    </row>
    <row r="117" ht="18" customHeight="1">
      <c r="A117" s="101" t="n"/>
      <c r="B117" s="102" t="n"/>
      <c r="C117" s="102" t="n"/>
      <c r="D117" s="103" t="n"/>
      <c r="E117" s="102" t="n"/>
      <c r="F117" s="104" t="n"/>
      <c r="G117" s="104" t="n"/>
      <c r="H117" s="102" t="n"/>
      <c r="I117" s="105" t="n"/>
      <c r="J117" s="105" t="n"/>
      <c r="K117" s="103" t="n"/>
      <c r="L117" s="103" t="n"/>
      <c r="M117" s="106" t="str">
        <f>IF(OR(D117="",E117=""),"",D117+IF(E117="NOTIFICAÇÃO DE CONSTATAÇÃO",PrazoConst,PrazoEsc))</f>
        <v/>
      </c>
      <c r="N117" s="107" t="str">
        <f>IF(M117="","",IF(ISNUMBER(L117),M117-L117,IF(G117="DECISÃO D.P","",M117-TODAY())))</f>
        <v/>
      </c>
      <c r="O117" s="108" t="str">
        <f>IF(B117="","",IF(ISNUMBER(L117),IF(N117="","SEM DATA",IF(N117&gt;=0,"DEFESA NO PRAZO","DEFESA FORA DO PRAZO")),IF(G117="DECISÃO D.P","SEM DEFESA",IF(G117="","SEM STATUS",IF(N117="","SEM DATA",IF(N117&lt;0,"VENCIDO",IF(N117&lt;=DiasAlerta,"VENCE EM BREVE","NO PRAZO")))))))</f>
        <v/>
      </c>
      <c r="P117" s="109" t="str">
        <f>IF(D117="","",TODAY()-D117)</f>
        <v/>
      </c>
      <c r="Q117" s="102" t="n"/>
    </row>
    <row r="118" ht="18" customHeight="1">
      <c r="A118" s="101" t="n"/>
      <c r="B118" s="102" t="n"/>
      <c r="C118" s="102" t="n"/>
      <c r="D118" s="103" t="n"/>
      <c r="E118" s="102" t="n"/>
      <c r="F118" s="104" t="n"/>
      <c r="G118" s="104" t="n"/>
      <c r="H118" s="102" t="n"/>
      <c r="I118" s="105" t="n"/>
      <c r="J118" s="105" t="n"/>
      <c r="K118" s="103" t="n"/>
      <c r="L118" s="103" t="n"/>
      <c r="M118" s="106" t="str">
        <f>IF(OR(D118="",E118=""),"",D118+IF(E118="NOTIFICAÇÃO DE CONSTATAÇÃO",PrazoConst,PrazoEsc))</f>
        <v/>
      </c>
      <c r="N118" s="107" t="str">
        <f>IF(M118="","",IF(ISNUMBER(L118),M118-L118,IF(G118="DECISÃO D.P","",M118-TODAY())))</f>
        <v/>
      </c>
      <c r="O118" s="108" t="str">
        <f>IF(B118="","",IF(ISNUMBER(L118),IF(N118="","SEM DATA",IF(N118&gt;=0,"DEFESA NO PRAZO","DEFESA FORA DO PRAZO")),IF(G118="DECISÃO D.P","SEM DEFESA",IF(G118="","SEM STATUS",IF(N118="","SEM DATA",IF(N118&lt;0,"VENCIDO",IF(N118&lt;=DiasAlerta,"VENCE EM BREVE","NO PRAZO")))))))</f>
        <v/>
      </c>
      <c r="P118" s="109" t="str">
        <f>IF(D118="","",TODAY()-D118)</f>
        <v/>
      </c>
      <c r="Q118" s="102" t="n"/>
    </row>
    <row r="119" ht="18" customHeight="1">
      <c r="A119" s="101" t="n"/>
      <c r="B119" s="102" t="n"/>
      <c r="C119" s="102" t="n"/>
      <c r="D119" s="103" t="n"/>
      <c r="E119" s="102" t="n"/>
      <c r="F119" s="104" t="n"/>
      <c r="G119" s="104" t="n"/>
      <c r="H119" s="102" t="n"/>
      <c r="I119" s="105" t="n"/>
      <c r="J119" s="105" t="n"/>
      <c r="K119" s="103" t="n"/>
      <c r="L119" s="103" t="n"/>
      <c r="M119" s="106" t="str">
        <f>IF(OR(D119="",E119=""),"",D119+IF(E119="NOTIFICAÇÃO DE CONSTATAÇÃO",PrazoConst,PrazoEsc))</f>
        <v/>
      </c>
      <c r="N119" s="107" t="str">
        <f>IF(M119="","",IF(ISNUMBER(L119),M119-L119,IF(G119="DECISÃO D.P","",M119-TODAY())))</f>
        <v/>
      </c>
      <c r="O119" s="108" t="str">
        <f>IF(B119="","",IF(ISNUMBER(L119),IF(N119="","SEM DATA",IF(N119&gt;=0,"DEFESA NO PRAZO","DEFESA FORA DO PRAZO")),IF(G119="DECISÃO D.P","SEM DEFESA",IF(G119="","SEM STATUS",IF(N119="","SEM DATA",IF(N119&lt;0,"VENCIDO",IF(N119&lt;=DiasAlerta,"VENCE EM BREVE","NO PRAZO")))))))</f>
        <v/>
      </c>
      <c r="P119" s="109" t="str">
        <f>IF(D119="","",TODAY()-D119)</f>
        <v/>
      </c>
      <c r="Q119" s="102" t="n"/>
    </row>
    <row r="120" ht="18" customHeight="1">
      <c r="A120" s="101" t="n"/>
      <c r="B120" s="102" t="n"/>
      <c r="C120" s="102" t="n"/>
      <c r="D120" s="103" t="n"/>
      <c r="E120" s="102" t="n"/>
      <c r="F120" s="104" t="n"/>
      <c r="G120" s="104" t="n"/>
      <c r="H120" s="102" t="n"/>
      <c r="I120" s="105" t="n"/>
      <c r="J120" s="105" t="n"/>
      <c r="K120" s="103" t="n"/>
      <c r="L120" s="103" t="n"/>
      <c r="M120" s="106" t="str">
        <f>IF(OR(D120="",E120=""),"",D120+IF(E120="NOTIFICAÇÃO DE CONSTATAÇÃO",PrazoConst,PrazoEsc))</f>
        <v/>
      </c>
      <c r="N120" s="107" t="str">
        <f>IF(M120="","",IF(ISNUMBER(L120),M120-L120,IF(G120="DECISÃO D.P","",M120-TODAY())))</f>
        <v/>
      </c>
      <c r="O120" s="108" t="str">
        <f>IF(B120="","",IF(ISNUMBER(L120),IF(N120="","SEM DATA",IF(N120&gt;=0,"DEFESA NO PRAZO","DEFESA FORA DO PRAZO")),IF(G120="DECISÃO D.P","SEM DEFESA",IF(G120="","SEM STATUS",IF(N120="","SEM DATA",IF(N120&lt;0,"VENCIDO",IF(N120&lt;=DiasAlerta,"VENCE EM BREVE","NO PRAZO")))))))</f>
        <v/>
      </c>
      <c r="P120" s="109" t="str">
        <f>IF(D120="","",TODAY()-D120)</f>
        <v/>
      </c>
      <c r="Q120" s="102" t="n"/>
    </row>
    <row r="121" ht="18" customHeight="1">
      <c r="A121" s="101" t="n"/>
      <c r="B121" s="102" t="n"/>
      <c r="C121" s="102" t="n"/>
      <c r="D121" s="103" t="n"/>
      <c r="E121" s="102" t="n"/>
      <c r="F121" s="104" t="n"/>
      <c r="G121" s="104" t="n"/>
      <c r="H121" s="102" t="n"/>
      <c r="I121" s="105" t="n"/>
      <c r="J121" s="105" t="n"/>
      <c r="K121" s="103" t="n"/>
      <c r="L121" s="103" t="n"/>
      <c r="M121" s="106" t="str">
        <f>IF(OR(D121="",E121=""),"",D121+IF(E121="NOTIFICAÇÃO DE CONSTATAÇÃO",PrazoConst,PrazoEsc))</f>
        <v/>
      </c>
      <c r="N121" s="107" t="str">
        <f>IF(M121="","",IF(ISNUMBER(L121),M121-L121,IF(G121="DECISÃO D.P","",M121-TODAY())))</f>
        <v/>
      </c>
      <c r="O121" s="108" t="str">
        <f>IF(B121="","",IF(ISNUMBER(L121),IF(N121="","SEM DATA",IF(N121&gt;=0,"DEFESA NO PRAZO","DEFESA FORA DO PRAZO")),IF(G121="DECISÃO D.P","SEM DEFESA",IF(G121="","SEM STATUS",IF(N121="","SEM DATA",IF(N121&lt;0,"VENCIDO",IF(N121&lt;=DiasAlerta,"VENCE EM BREVE","NO PRAZO")))))))</f>
        <v/>
      </c>
      <c r="P121" s="109" t="str">
        <f>IF(D121="","",TODAY()-D121)</f>
        <v/>
      </c>
      <c r="Q121" s="102" t="n"/>
    </row>
    <row r="122" ht="18" customHeight="1">
      <c r="A122" s="101" t="n"/>
      <c r="B122" s="102" t="n"/>
      <c r="C122" s="102" t="n"/>
      <c r="D122" s="103" t="n"/>
      <c r="E122" s="102" t="n"/>
      <c r="F122" s="104" t="n"/>
      <c r="G122" s="104" t="n"/>
      <c r="H122" s="102" t="n"/>
      <c r="I122" s="105" t="n"/>
      <c r="J122" s="105" t="n"/>
      <c r="K122" s="103" t="n"/>
      <c r="L122" s="103" t="n"/>
      <c r="M122" s="106" t="str">
        <f>IF(OR(D122="",E122=""),"",D122+IF(E122="NOTIFICAÇÃO DE CONSTATAÇÃO",PrazoConst,PrazoEsc))</f>
        <v/>
      </c>
      <c r="N122" s="107" t="str">
        <f>IF(M122="","",IF(ISNUMBER(L122),M122-L122,IF(G122="DECISÃO D.P","",M122-TODAY())))</f>
        <v/>
      </c>
      <c r="O122" s="108" t="str">
        <f>IF(B122="","",IF(ISNUMBER(L122),IF(N122="","SEM DATA",IF(N122&gt;=0,"DEFESA NO PRAZO","DEFESA FORA DO PRAZO")),IF(G122="DECISÃO D.P","SEM DEFESA",IF(G122="","SEM STATUS",IF(N122="","SEM DATA",IF(N122&lt;0,"VENCIDO",IF(N122&lt;=DiasAlerta,"VENCE EM BREVE","NO PRAZO")))))))</f>
        <v/>
      </c>
      <c r="P122" s="109" t="str">
        <f>IF(D122="","",TODAY()-D122)</f>
        <v/>
      </c>
      <c r="Q122" s="102" t="n"/>
    </row>
    <row r="123" ht="18" customHeight="1">
      <c r="A123" s="101" t="n"/>
      <c r="B123" s="102" t="n"/>
      <c r="C123" s="102" t="n"/>
      <c r="D123" s="103" t="n"/>
      <c r="E123" s="102" t="n"/>
      <c r="F123" s="104" t="n"/>
      <c r="G123" s="104" t="n"/>
      <c r="H123" s="102" t="n"/>
      <c r="I123" s="105" t="n"/>
      <c r="J123" s="105" t="n"/>
      <c r="K123" s="103" t="n"/>
      <c r="L123" s="103" t="n"/>
      <c r="M123" s="106" t="str">
        <f>IF(OR(D123="",E123=""),"",D123+IF(E123="NOTIFICAÇÃO DE CONSTATAÇÃO",PrazoConst,PrazoEsc))</f>
        <v/>
      </c>
      <c r="N123" s="107" t="str">
        <f>IF(M123="","",IF(ISNUMBER(L123),M123-L123,IF(G123="DECISÃO D.P","",M123-TODAY())))</f>
        <v/>
      </c>
      <c r="O123" s="108" t="str">
        <f>IF(B123="","",IF(ISNUMBER(L123),IF(N123="","SEM DATA",IF(N123&gt;=0,"DEFESA NO PRAZO","DEFESA FORA DO PRAZO")),IF(G123="DECISÃO D.P","SEM DEFESA",IF(G123="","SEM STATUS",IF(N123="","SEM DATA",IF(N123&lt;0,"VENCIDO",IF(N123&lt;=DiasAlerta,"VENCE EM BREVE","NO PRAZO")))))))</f>
        <v/>
      </c>
      <c r="P123" s="109" t="str">
        <f>IF(D123="","",TODAY()-D123)</f>
        <v/>
      </c>
      <c r="Q123" s="102" t="n"/>
    </row>
    <row r="124" ht="18" customHeight="1">
      <c r="A124" s="101" t="n"/>
      <c r="B124" s="102" t="n"/>
      <c r="C124" s="102" t="n"/>
      <c r="D124" s="103" t="n"/>
      <c r="E124" s="102" t="n"/>
      <c r="F124" s="104" t="n"/>
      <c r="G124" s="104" t="n"/>
      <c r="H124" s="102" t="n"/>
      <c r="I124" s="105" t="n"/>
      <c r="J124" s="105" t="n"/>
      <c r="K124" s="103" t="n"/>
      <c r="L124" s="103" t="n"/>
      <c r="M124" s="106" t="str">
        <f>IF(OR(D124="",E124=""),"",D124+IF(E124="NOTIFICAÇÃO DE CONSTATAÇÃO",PrazoConst,PrazoEsc))</f>
        <v/>
      </c>
      <c r="N124" s="107" t="str">
        <f>IF(M124="","",IF(ISNUMBER(L124),M124-L124,IF(G124="DECISÃO D.P","",M124-TODAY())))</f>
        <v/>
      </c>
      <c r="O124" s="108" t="str">
        <f>IF(B124="","",IF(ISNUMBER(L124),IF(N124="","SEM DATA",IF(N124&gt;=0,"DEFESA NO PRAZO","DEFESA FORA DO PRAZO")),IF(G124="DECISÃO D.P","SEM DEFESA",IF(G124="","SEM STATUS",IF(N124="","SEM DATA",IF(N124&lt;0,"VENCIDO",IF(N124&lt;=DiasAlerta,"VENCE EM BREVE","NO PRAZO")))))))</f>
        <v/>
      </c>
      <c r="P124" s="109" t="str">
        <f>IF(D124="","",TODAY()-D124)</f>
        <v/>
      </c>
      <c r="Q124" s="102" t="n"/>
    </row>
    <row r="125" ht="18" customHeight="1">
      <c r="A125" s="101" t="n"/>
      <c r="B125" s="102" t="n"/>
      <c r="C125" s="102" t="n"/>
      <c r="D125" s="103" t="n"/>
      <c r="E125" s="102" t="n"/>
      <c r="F125" s="104" t="n"/>
      <c r="G125" s="104" t="n"/>
      <c r="H125" s="102" t="n"/>
      <c r="I125" s="105" t="n"/>
      <c r="J125" s="105" t="n"/>
      <c r="K125" s="103" t="n"/>
      <c r="L125" s="103" t="n"/>
      <c r="M125" s="106" t="str">
        <f>IF(OR(D125="",E125=""),"",D125+IF(E125="NOTIFICAÇÃO DE CONSTATAÇÃO",PrazoConst,PrazoEsc))</f>
        <v/>
      </c>
      <c r="N125" s="107" t="str">
        <f>IF(M125="","",IF(ISNUMBER(L125),M125-L125,IF(G125="DECISÃO D.P","",M125-TODAY())))</f>
        <v/>
      </c>
      <c r="O125" s="108" t="str">
        <f>IF(B125="","",IF(ISNUMBER(L125),IF(N125="","SEM DATA",IF(N125&gt;=0,"DEFESA NO PRAZO","DEFESA FORA DO PRAZO")),IF(G125="DECISÃO D.P","SEM DEFESA",IF(G125="","SEM STATUS",IF(N125="","SEM DATA",IF(N125&lt;0,"VENCIDO",IF(N125&lt;=DiasAlerta,"VENCE EM BREVE","NO PRAZO")))))))</f>
        <v/>
      </c>
      <c r="P125" s="109" t="str">
        <f>IF(D125="","",TODAY()-D125)</f>
        <v/>
      </c>
      <c r="Q125" s="102" t="n"/>
    </row>
    <row r="126" ht="18" customHeight="1">
      <c r="A126" s="101" t="n"/>
      <c r="B126" s="102" t="n"/>
      <c r="C126" s="102" t="n"/>
      <c r="D126" s="103" t="n"/>
      <c r="E126" s="102" t="n"/>
      <c r="F126" s="104" t="n"/>
      <c r="G126" s="104" t="n"/>
      <c r="H126" s="102" t="n"/>
      <c r="I126" s="105" t="n"/>
      <c r="J126" s="105" t="n"/>
      <c r="K126" s="103" t="n"/>
      <c r="L126" s="103" t="n"/>
      <c r="M126" s="106" t="str">
        <f>IF(OR(D126="",E126=""),"",D126+IF(E126="NOTIFICAÇÃO DE CONSTATAÇÃO",PrazoConst,PrazoEsc))</f>
        <v/>
      </c>
      <c r="N126" s="107" t="str">
        <f>IF(M126="","",IF(ISNUMBER(L126),M126-L126,IF(G126="DECISÃO D.P","",M126-TODAY())))</f>
        <v/>
      </c>
      <c r="O126" s="108" t="str">
        <f>IF(B126="","",IF(ISNUMBER(L126),IF(N126="","SEM DATA",IF(N126&gt;=0,"DEFESA NO PRAZO","DEFESA FORA DO PRAZO")),IF(G126="DECISÃO D.P","SEM DEFESA",IF(G126="","SEM STATUS",IF(N126="","SEM DATA",IF(N126&lt;0,"VENCIDO",IF(N126&lt;=DiasAlerta,"VENCE EM BREVE","NO PRAZO")))))))</f>
        <v/>
      </c>
      <c r="P126" s="109" t="str">
        <f>IF(D126="","",TODAY()-D126)</f>
        <v/>
      </c>
      <c r="Q126" s="102" t="n"/>
    </row>
    <row r="127" ht="18" customHeight="1">
      <c r="A127" s="101" t="n"/>
      <c r="B127" s="102" t="n"/>
      <c r="C127" s="102" t="n"/>
      <c r="D127" s="103" t="n"/>
      <c r="E127" s="102" t="n"/>
      <c r="F127" s="104" t="n"/>
      <c r="G127" s="104" t="n"/>
      <c r="H127" s="102" t="n"/>
      <c r="I127" s="105" t="n"/>
      <c r="J127" s="105" t="n"/>
      <c r="K127" s="103" t="n"/>
      <c r="L127" s="103" t="n"/>
      <c r="M127" s="106" t="str">
        <f>IF(OR(D127="",E127=""),"",D127+IF(E127="NOTIFICAÇÃO DE CONSTATAÇÃO",PrazoConst,PrazoEsc))</f>
        <v/>
      </c>
      <c r="N127" s="107" t="str">
        <f>IF(M127="","",IF(ISNUMBER(L127),M127-L127,IF(G127="DECISÃO D.P","",M127-TODAY())))</f>
        <v/>
      </c>
      <c r="O127" s="108" t="str">
        <f>IF(B127="","",IF(ISNUMBER(L127),IF(N127="","SEM DATA",IF(N127&gt;=0,"DEFESA NO PRAZO","DEFESA FORA DO PRAZO")),IF(G127="DECISÃO D.P","SEM DEFESA",IF(G127="","SEM STATUS",IF(N127="","SEM DATA",IF(N127&lt;0,"VENCIDO",IF(N127&lt;=DiasAlerta,"VENCE EM BREVE","NO PRAZO")))))))</f>
        <v/>
      </c>
      <c r="P127" s="109" t="str">
        <f>IF(D127="","",TODAY()-D127)</f>
        <v/>
      </c>
      <c r="Q127" s="102" t="n"/>
    </row>
    <row r="128" ht="18" customHeight="1">
      <c r="A128" s="101" t="n"/>
      <c r="B128" s="102" t="n"/>
      <c r="C128" s="102" t="n"/>
      <c r="D128" s="103" t="n"/>
      <c r="E128" s="102" t="n"/>
      <c r="F128" s="104" t="n"/>
      <c r="G128" s="104" t="n"/>
      <c r="H128" s="102" t="n"/>
      <c r="I128" s="105" t="n"/>
      <c r="J128" s="105" t="n"/>
      <c r="K128" s="103" t="n"/>
      <c r="L128" s="103" t="n"/>
      <c r="M128" s="106" t="str">
        <f>IF(OR(D128="",E128=""),"",D128+IF(E128="NOTIFICAÇÃO DE CONSTATAÇÃO",PrazoConst,PrazoEsc))</f>
        <v/>
      </c>
      <c r="N128" s="107" t="str">
        <f>IF(M128="","",IF(ISNUMBER(L128),M128-L128,IF(G128="DECISÃO D.P","",M128-TODAY())))</f>
        <v/>
      </c>
      <c r="O128" s="108" t="str">
        <f>IF(B128="","",IF(ISNUMBER(L128),IF(N128="","SEM DATA",IF(N128&gt;=0,"DEFESA NO PRAZO","DEFESA FORA DO PRAZO")),IF(G128="DECISÃO D.P","SEM DEFESA",IF(G128="","SEM STATUS",IF(N128="","SEM DATA",IF(N128&lt;0,"VENCIDO",IF(N128&lt;=DiasAlerta,"VENCE EM BREVE","NO PRAZO")))))))</f>
        <v/>
      </c>
      <c r="P128" s="109" t="str">
        <f>IF(D128="","",TODAY()-D128)</f>
        <v/>
      </c>
      <c r="Q128" s="102" t="n"/>
    </row>
    <row r="129" ht="18" customHeight="1">
      <c r="A129" s="101" t="n"/>
      <c r="B129" s="102" t="n"/>
      <c r="C129" s="102" t="n"/>
      <c r="D129" s="103" t="n"/>
      <c r="E129" s="102" t="n"/>
      <c r="F129" s="104" t="n"/>
      <c r="G129" s="104" t="n"/>
      <c r="H129" s="102" t="n"/>
      <c r="I129" s="105" t="n"/>
      <c r="J129" s="105" t="n"/>
      <c r="K129" s="103" t="n"/>
      <c r="L129" s="103" t="n"/>
      <c r="M129" s="106" t="str">
        <f>IF(OR(D129="",E129=""),"",D129+IF(E129="NOTIFICAÇÃO DE CONSTATAÇÃO",PrazoConst,PrazoEsc))</f>
        <v/>
      </c>
      <c r="N129" s="107" t="str">
        <f>IF(M129="","",IF(ISNUMBER(L129),M129-L129,IF(G129="DECISÃO D.P","",M129-TODAY())))</f>
        <v/>
      </c>
      <c r="O129" s="108" t="str">
        <f>IF(B129="","",IF(ISNUMBER(L129),IF(N129="","SEM DATA",IF(N129&gt;=0,"DEFESA NO PRAZO","DEFESA FORA DO PRAZO")),IF(G129="DECISÃO D.P","SEM DEFESA",IF(G129="","SEM STATUS",IF(N129="","SEM DATA",IF(N129&lt;0,"VENCIDO",IF(N129&lt;=DiasAlerta,"VENCE EM BREVE","NO PRAZO")))))))</f>
        <v/>
      </c>
      <c r="P129" s="109" t="str">
        <f>IF(D129="","",TODAY()-D129)</f>
        <v/>
      </c>
      <c r="Q129" s="102" t="n"/>
    </row>
    <row r="130" ht="18" customHeight="1">
      <c r="A130" s="101" t="n"/>
      <c r="B130" s="102" t="n"/>
      <c r="C130" s="102" t="n"/>
      <c r="D130" s="103" t="n"/>
      <c r="E130" s="102" t="n"/>
      <c r="F130" s="104" t="n"/>
      <c r="G130" s="104" t="n"/>
      <c r="H130" s="102" t="n"/>
      <c r="I130" s="105" t="n"/>
      <c r="J130" s="105" t="n"/>
      <c r="K130" s="103" t="n"/>
      <c r="L130" s="103" t="n"/>
      <c r="M130" s="106" t="str">
        <f>IF(OR(D130="",E130=""),"",D130+IF(E130="NOTIFICAÇÃO DE CONSTATAÇÃO",PrazoConst,PrazoEsc))</f>
        <v/>
      </c>
      <c r="N130" s="107" t="str">
        <f>IF(M130="","",IF(ISNUMBER(L130),M130-L130,IF(G130="DECISÃO D.P","",M130-TODAY())))</f>
        <v/>
      </c>
      <c r="O130" s="108" t="str">
        <f>IF(B130="","",IF(ISNUMBER(L130),IF(N130="","SEM DATA",IF(N130&gt;=0,"DEFESA NO PRAZO","DEFESA FORA DO PRAZO")),IF(G130="DECISÃO D.P","SEM DEFESA",IF(G130="","SEM STATUS",IF(N130="","SEM DATA",IF(N130&lt;0,"VENCIDO",IF(N130&lt;=DiasAlerta,"VENCE EM BREVE","NO PRAZO")))))))</f>
        <v/>
      </c>
      <c r="P130" s="109" t="str">
        <f>IF(D130="","",TODAY()-D130)</f>
        <v/>
      </c>
      <c r="Q130" s="102" t="n"/>
    </row>
    <row r="131" ht="18" customHeight="1">
      <c r="A131" s="101" t="n"/>
      <c r="B131" s="102" t="n"/>
      <c r="C131" s="102" t="n"/>
      <c r="D131" s="103" t="n"/>
      <c r="E131" s="102" t="n"/>
      <c r="F131" s="104" t="n"/>
      <c r="G131" s="104" t="n"/>
      <c r="H131" s="102" t="n"/>
      <c r="I131" s="105" t="n"/>
      <c r="J131" s="105" t="n"/>
      <c r="K131" s="103" t="n"/>
      <c r="L131" s="103" t="n"/>
      <c r="M131" s="106" t="str">
        <f>IF(OR(D131="",E131=""),"",D131+IF(E131="NOTIFICAÇÃO DE CONSTATAÇÃO",PrazoConst,PrazoEsc))</f>
        <v/>
      </c>
      <c r="N131" s="107" t="str">
        <f>IF(M131="","",IF(ISNUMBER(L131),M131-L131,IF(G131="DECISÃO D.P","",M131-TODAY())))</f>
        <v/>
      </c>
      <c r="O131" s="108" t="str">
        <f>IF(B131="","",IF(ISNUMBER(L131),IF(N131="","SEM DATA",IF(N131&gt;=0,"DEFESA NO PRAZO","DEFESA FORA DO PRAZO")),IF(G131="DECISÃO D.P","SEM DEFESA",IF(G131="","SEM STATUS",IF(N131="","SEM DATA",IF(N131&lt;0,"VENCIDO",IF(N131&lt;=DiasAlerta,"VENCE EM BREVE","NO PRAZO")))))))</f>
        <v/>
      </c>
      <c r="P131" s="109" t="str">
        <f>IF(D131="","",TODAY()-D131)</f>
        <v/>
      </c>
      <c r="Q131" s="102" t="n"/>
    </row>
    <row r="132" ht="18" customHeight="1">
      <c r="A132" s="101" t="n"/>
      <c r="B132" s="102" t="n"/>
      <c r="C132" s="102" t="n"/>
      <c r="D132" s="103" t="n"/>
      <c r="E132" s="102" t="n"/>
      <c r="F132" s="104" t="n"/>
      <c r="G132" s="104" t="n"/>
      <c r="H132" s="102" t="n"/>
      <c r="I132" s="105" t="n"/>
      <c r="J132" s="105" t="n"/>
      <c r="K132" s="103" t="n"/>
      <c r="L132" s="103" t="n"/>
      <c r="M132" s="106" t="str">
        <f>IF(OR(D132="",E132=""),"",D132+IF(E132="NOTIFICAÇÃO DE CONSTATAÇÃO",PrazoConst,PrazoEsc))</f>
        <v/>
      </c>
      <c r="N132" s="107" t="str">
        <f>IF(M132="","",IF(ISNUMBER(L132),M132-L132,IF(G132="DECISÃO D.P","",M132-TODAY())))</f>
        <v/>
      </c>
      <c r="O132" s="108" t="str">
        <f>IF(B132="","",IF(ISNUMBER(L132),IF(N132="","SEM DATA",IF(N132&gt;=0,"DEFESA NO PRAZO","DEFESA FORA DO PRAZO")),IF(G132="DECISÃO D.P","SEM DEFESA",IF(G132="","SEM STATUS",IF(N132="","SEM DATA",IF(N132&lt;0,"VENCIDO",IF(N132&lt;=DiasAlerta,"VENCE EM BREVE","NO PRAZO")))))))</f>
        <v/>
      </c>
      <c r="P132" s="109" t="str">
        <f>IF(D132="","",TODAY()-D132)</f>
        <v/>
      </c>
      <c r="Q132" s="102" t="n"/>
    </row>
    <row r="133" ht="18" customHeight="1">
      <c r="A133" s="101" t="n"/>
      <c r="B133" s="102" t="n"/>
      <c r="C133" s="102" t="n"/>
      <c r="D133" s="103" t="n"/>
      <c r="E133" s="102" t="n"/>
      <c r="F133" s="104" t="n"/>
      <c r="G133" s="104" t="n"/>
      <c r="H133" s="102" t="n"/>
      <c r="I133" s="105" t="n"/>
      <c r="J133" s="105" t="n"/>
      <c r="K133" s="103" t="n"/>
      <c r="L133" s="103" t="n"/>
      <c r="M133" s="106" t="str">
        <f>IF(OR(D133="",E133=""),"",D133+IF(E133="NOTIFICAÇÃO DE CONSTATAÇÃO",PrazoConst,PrazoEsc))</f>
        <v/>
      </c>
      <c r="N133" s="107" t="str">
        <f>IF(M133="","",IF(ISNUMBER(L133),M133-L133,IF(G133="DECISÃO D.P","",M133-TODAY())))</f>
        <v/>
      </c>
      <c r="O133" s="108" t="str">
        <f>IF(B133="","",IF(ISNUMBER(L133),IF(N133="","SEM DATA",IF(N133&gt;=0,"DEFESA NO PRAZO","DEFESA FORA DO PRAZO")),IF(G133="DECISÃO D.P","SEM DEFESA",IF(G133="","SEM STATUS",IF(N133="","SEM DATA",IF(N133&lt;0,"VENCIDO",IF(N133&lt;=DiasAlerta,"VENCE EM BREVE","NO PRAZO")))))))</f>
        <v/>
      </c>
      <c r="P133" s="109" t="str">
        <f>IF(D133="","",TODAY()-D133)</f>
        <v/>
      </c>
      <c r="Q133" s="102" t="n"/>
    </row>
    <row r="134" ht="18" customHeight="1">
      <c r="A134" s="101" t="n"/>
      <c r="B134" s="102" t="n"/>
      <c r="C134" s="102" t="n"/>
      <c r="D134" s="103" t="n"/>
      <c r="E134" s="102" t="n"/>
      <c r="F134" s="104" t="n"/>
      <c r="G134" s="104" t="n"/>
      <c r="H134" s="102" t="n"/>
      <c r="I134" s="105" t="n"/>
      <c r="J134" s="105" t="n"/>
      <c r="K134" s="103" t="n"/>
      <c r="L134" s="103" t="n"/>
      <c r="M134" s="106" t="str">
        <f>IF(OR(D134="",E134=""),"",D134+IF(E134="NOTIFICAÇÃO DE CONSTATAÇÃO",PrazoConst,PrazoEsc))</f>
        <v/>
      </c>
      <c r="N134" s="107" t="str">
        <f>IF(M134="","",IF(ISNUMBER(L134),M134-L134,IF(G134="DECISÃO D.P","",M134-TODAY())))</f>
        <v/>
      </c>
      <c r="O134" s="108" t="str">
        <f>IF(B134="","",IF(ISNUMBER(L134),IF(N134="","SEM DATA",IF(N134&gt;=0,"DEFESA NO PRAZO","DEFESA FORA DO PRAZO")),IF(G134="DECISÃO D.P","SEM DEFESA",IF(G134="","SEM STATUS",IF(N134="","SEM DATA",IF(N134&lt;0,"VENCIDO",IF(N134&lt;=DiasAlerta,"VENCE EM BREVE","NO PRAZO")))))))</f>
        <v/>
      </c>
      <c r="P134" s="109" t="str">
        <f>IF(D134="","",TODAY()-D134)</f>
        <v/>
      </c>
      <c r="Q134" s="102" t="n"/>
    </row>
    <row r="135" ht="18" customHeight="1">
      <c r="A135" s="101" t="n"/>
      <c r="B135" s="102" t="n"/>
      <c r="C135" s="102" t="n"/>
      <c r="D135" s="103" t="n"/>
      <c r="E135" s="102" t="n"/>
      <c r="F135" s="104" t="n"/>
      <c r="G135" s="104" t="n"/>
      <c r="H135" s="102" t="n"/>
      <c r="I135" s="105" t="n"/>
      <c r="J135" s="105" t="n"/>
      <c r="K135" s="103" t="n"/>
      <c r="L135" s="103" t="n"/>
      <c r="M135" s="106" t="str">
        <f>IF(OR(D135="",E135=""),"",D135+IF(E135="NOTIFICAÇÃO DE CONSTATAÇÃO",PrazoConst,PrazoEsc))</f>
        <v/>
      </c>
      <c r="N135" s="107" t="str">
        <f>IF(M135="","",IF(ISNUMBER(L135),M135-L135,IF(G135="DECISÃO D.P","",M135-TODAY())))</f>
        <v/>
      </c>
      <c r="O135" s="108" t="str">
        <f>IF(B135="","",IF(ISNUMBER(L135),IF(N135="","SEM DATA",IF(N135&gt;=0,"DEFESA NO PRAZO","DEFESA FORA DO PRAZO")),IF(G135="DECISÃO D.P","SEM DEFESA",IF(G135="","SEM STATUS",IF(N135="","SEM DATA",IF(N135&lt;0,"VENCIDO",IF(N135&lt;=DiasAlerta,"VENCE EM BREVE","NO PRAZO")))))))</f>
        <v/>
      </c>
      <c r="P135" s="109" t="str">
        <f>IF(D135="","",TODAY()-D135)</f>
        <v/>
      </c>
      <c r="Q135" s="102" t="n"/>
    </row>
    <row r="136" ht="18" customHeight="1">
      <c r="A136" s="101" t="n"/>
      <c r="B136" s="102" t="n"/>
      <c r="C136" s="102" t="n"/>
      <c r="D136" s="103" t="n"/>
      <c r="E136" s="102" t="n"/>
      <c r="F136" s="104" t="n"/>
      <c r="G136" s="104" t="n"/>
      <c r="H136" s="102" t="n"/>
      <c r="I136" s="105" t="n"/>
      <c r="J136" s="105" t="n"/>
      <c r="K136" s="103" t="n"/>
      <c r="L136" s="103" t="n"/>
      <c r="M136" s="106" t="str">
        <f>IF(OR(D136="",E136=""),"",D136+IF(E136="NOTIFICAÇÃO DE CONSTATAÇÃO",PrazoConst,PrazoEsc))</f>
        <v/>
      </c>
      <c r="N136" s="107" t="str">
        <f>IF(M136="","",IF(ISNUMBER(L136),M136-L136,IF(G136="DECISÃO D.P","",M136-TODAY())))</f>
        <v/>
      </c>
      <c r="O136" s="108" t="str">
        <f>IF(B136="","",IF(ISNUMBER(L136),IF(N136="","SEM DATA",IF(N136&gt;=0,"DEFESA NO PRAZO","DEFESA FORA DO PRAZO")),IF(G136="DECISÃO D.P","SEM DEFESA",IF(G136="","SEM STATUS",IF(N136="","SEM DATA",IF(N136&lt;0,"VENCIDO",IF(N136&lt;=DiasAlerta,"VENCE EM BREVE","NO PRAZO")))))))</f>
        <v/>
      </c>
      <c r="P136" s="109" t="str">
        <f>IF(D136="","",TODAY()-D136)</f>
        <v/>
      </c>
      <c r="Q136" s="102" t="n"/>
    </row>
    <row r="137" ht="18" customHeight="1">
      <c r="A137" s="101" t="n"/>
      <c r="B137" s="102" t="n"/>
      <c r="C137" s="102" t="n"/>
      <c r="D137" s="103" t="n"/>
      <c r="E137" s="102" t="n"/>
      <c r="F137" s="104" t="n"/>
      <c r="G137" s="104" t="n"/>
      <c r="H137" s="102" t="n"/>
      <c r="I137" s="105" t="n"/>
      <c r="J137" s="105" t="n"/>
      <c r="K137" s="103" t="n"/>
      <c r="L137" s="103" t="n"/>
      <c r="M137" s="106" t="str">
        <f>IF(OR(D137="",E137=""),"",D137+IF(E137="NOTIFICAÇÃO DE CONSTATAÇÃO",PrazoConst,PrazoEsc))</f>
        <v/>
      </c>
      <c r="N137" s="107" t="str">
        <f>IF(M137="","",IF(ISNUMBER(L137),M137-L137,IF(G137="DECISÃO D.P","",M137-TODAY())))</f>
        <v/>
      </c>
      <c r="O137" s="108" t="str">
        <f>IF(B137="","",IF(ISNUMBER(L137),IF(N137="","SEM DATA",IF(N137&gt;=0,"DEFESA NO PRAZO","DEFESA FORA DO PRAZO")),IF(G137="DECISÃO D.P","SEM DEFESA",IF(G137="","SEM STATUS",IF(N137="","SEM DATA",IF(N137&lt;0,"VENCIDO",IF(N137&lt;=DiasAlerta,"VENCE EM BREVE","NO PRAZO")))))))</f>
        <v/>
      </c>
      <c r="P137" s="109" t="str">
        <f>IF(D137="","",TODAY()-D137)</f>
        <v/>
      </c>
      <c r="Q137" s="102" t="n"/>
    </row>
    <row r="138" ht="18" customHeight="1">
      <c r="A138" s="101" t="n"/>
      <c r="B138" s="102" t="n"/>
      <c r="C138" s="102" t="n"/>
      <c r="D138" s="103" t="n"/>
      <c r="E138" s="102" t="n"/>
      <c r="F138" s="104" t="n"/>
      <c r="G138" s="104" t="n"/>
      <c r="H138" s="102" t="n"/>
      <c r="I138" s="105" t="n"/>
      <c r="J138" s="105" t="n"/>
      <c r="K138" s="103" t="n"/>
      <c r="L138" s="103" t="n"/>
      <c r="M138" s="106" t="str">
        <f>IF(OR(D138="",E138=""),"",D138+IF(E138="NOTIFICAÇÃO DE CONSTATAÇÃO",PrazoConst,PrazoEsc))</f>
        <v/>
      </c>
      <c r="N138" s="107" t="str">
        <f>IF(M138="","",IF(ISNUMBER(L138),M138-L138,IF(G138="DECISÃO D.P","",M138-TODAY())))</f>
        <v/>
      </c>
      <c r="O138" s="108" t="str">
        <f>IF(B138="","",IF(ISNUMBER(L138),IF(N138="","SEM DATA",IF(N138&gt;=0,"DEFESA NO PRAZO","DEFESA FORA DO PRAZO")),IF(G138="DECISÃO D.P","SEM DEFESA",IF(G138="","SEM STATUS",IF(N138="","SEM DATA",IF(N138&lt;0,"VENCIDO",IF(N138&lt;=DiasAlerta,"VENCE EM BREVE","NO PRAZO")))))))</f>
        <v/>
      </c>
      <c r="P138" s="109" t="str">
        <f>IF(D138="","",TODAY()-D138)</f>
        <v/>
      </c>
      <c r="Q138" s="102" t="n"/>
    </row>
    <row r="139" ht="18" customHeight="1">
      <c r="A139" s="101" t="n"/>
      <c r="B139" s="102" t="n"/>
      <c r="C139" s="102" t="n"/>
      <c r="D139" s="103" t="n"/>
      <c r="E139" s="102" t="n"/>
      <c r="F139" s="104" t="n"/>
      <c r="G139" s="104" t="n"/>
      <c r="H139" s="102" t="n"/>
      <c r="I139" s="105" t="n"/>
      <c r="J139" s="105" t="n"/>
      <c r="K139" s="103" t="n"/>
      <c r="L139" s="103" t="n"/>
      <c r="M139" s="106" t="str">
        <f>IF(OR(D139="",E139=""),"",D139+IF(E139="NOTIFICAÇÃO DE CONSTATAÇÃO",PrazoConst,PrazoEsc))</f>
        <v/>
      </c>
      <c r="N139" s="107" t="str">
        <f>IF(M139="","",IF(ISNUMBER(L139),M139-L139,IF(G139="DECISÃO D.P","",M139-TODAY())))</f>
        <v/>
      </c>
      <c r="O139" s="108" t="str">
        <f>IF(B139="","",IF(ISNUMBER(L139),IF(N139="","SEM DATA",IF(N139&gt;=0,"DEFESA NO PRAZO","DEFESA FORA DO PRAZO")),IF(G139="DECISÃO D.P","SEM DEFESA",IF(G139="","SEM STATUS",IF(N139="","SEM DATA",IF(N139&lt;0,"VENCIDO",IF(N139&lt;=DiasAlerta,"VENCE EM BREVE","NO PRAZO")))))))</f>
        <v/>
      </c>
      <c r="P139" s="109" t="str">
        <f>IF(D139="","",TODAY()-D139)</f>
        <v/>
      </c>
      <c r="Q139" s="102" t="n"/>
    </row>
    <row r="140" ht="18" customHeight="1">
      <c r="A140" s="101" t="n"/>
      <c r="B140" s="102" t="n"/>
      <c r="C140" s="102" t="n"/>
      <c r="D140" s="103" t="n"/>
      <c r="E140" s="102" t="n"/>
      <c r="F140" s="104" t="n"/>
      <c r="G140" s="104" t="n"/>
      <c r="H140" s="102" t="n"/>
      <c r="I140" s="105" t="n"/>
      <c r="J140" s="105" t="n"/>
      <c r="K140" s="103" t="n"/>
      <c r="L140" s="103" t="n"/>
      <c r="M140" s="106" t="str">
        <f>IF(OR(D140="",E140=""),"",D140+IF(E140="NOTIFICAÇÃO DE CONSTATAÇÃO",PrazoConst,PrazoEsc))</f>
        <v/>
      </c>
      <c r="N140" s="107" t="str">
        <f>IF(M140="","",IF(ISNUMBER(L140),M140-L140,IF(G140="DECISÃO D.P","",M140-TODAY())))</f>
        <v/>
      </c>
      <c r="O140" s="108" t="str">
        <f>IF(B140="","",IF(ISNUMBER(L140),IF(N140="","SEM DATA",IF(N140&gt;=0,"DEFESA NO PRAZO","DEFESA FORA DO PRAZO")),IF(G140="DECISÃO D.P","SEM DEFESA",IF(G140="","SEM STATUS",IF(N140="","SEM DATA",IF(N140&lt;0,"VENCIDO",IF(N140&lt;=DiasAlerta,"VENCE EM BREVE","NO PRAZO")))))))</f>
        <v/>
      </c>
      <c r="P140" s="109" t="str">
        <f>IF(D140="","",TODAY()-D140)</f>
        <v/>
      </c>
      <c r="Q140" s="102" t="n"/>
    </row>
    <row r="141" ht="18" customHeight="1">
      <c r="A141" s="101" t="n"/>
      <c r="B141" s="102" t="n"/>
      <c r="C141" s="102" t="n"/>
      <c r="D141" s="103" t="n"/>
      <c r="E141" s="102" t="n"/>
      <c r="F141" s="104" t="n"/>
      <c r="G141" s="104" t="n"/>
      <c r="H141" s="102" t="n"/>
      <c r="I141" s="105" t="n"/>
      <c r="J141" s="105" t="n"/>
      <c r="K141" s="103" t="n"/>
      <c r="L141" s="103" t="n"/>
      <c r="M141" s="106" t="str">
        <f>IF(OR(D141="",E141=""),"",D141+IF(E141="NOTIFICAÇÃO DE CONSTATAÇÃO",PrazoConst,PrazoEsc))</f>
        <v/>
      </c>
      <c r="N141" s="107" t="str">
        <f>IF(M141="","",IF(ISNUMBER(L141),M141-L141,IF(G141="DECISÃO D.P","",M141-TODAY())))</f>
        <v/>
      </c>
      <c r="O141" s="108" t="str">
        <f>IF(B141="","",IF(ISNUMBER(L141),IF(N141="","SEM DATA",IF(N141&gt;=0,"DEFESA NO PRAZO","DEFESA FORA DO PRAZO")),IF(G141="DECISÃO D.P","SEM DEFESA",IF(G141="","SEM STATUS",IF(N141="","SEM DATA",IF(N141&lt;0,"VENCIDO",IF(N141&lt;=DiasAlerta,"VENCE EM BREVE","NO PRAZO")))))))</f>
        <v/>
      </c>
      <c r="P141" s="109" t="str">
        <f>IF(D141="","",TODAY()-D141)</f>
        <v/>
      </c>
      <c r="Q141" s="102" t="n"/>
    </row>
    <row r="142" ht="18" customHeight="1">
      <c r="A142" s="101" t="n"/>
      <c r="B142" s="102" t="n"/>
      <c r="C142" s="102" t="n"/>
      <c r="D142" s="103" t="n"/>
      <c r="E142" s="102" t="n"/>
      <c r="F142" s="104" t="n"/>
      <c r="G142" s="104" t="n"/>
      <c r="H142" s="102" t="n"/>
      <c r="I142" s="105" t="n"/>
      <c r="J142" s="105" t="n"/>
      <c r="K142" s="103" t="n"/>
      <c r="L142" s="103" t="n"/>
      <c r="M142" s="106" t="str">
        <f>IF(OR(D142="",E142=""),"",D142+IF(E142="NOTIFICAÇÃO DE CONSTATAÇÃO",PrazoConst,PrazoEsc))</f>
        <v/>
      </c>
      <c r="N142" s="107" t="str">
        <f>IF(M142="","",IF(ISNUMBER(L142),M142-L142,IF(G142="DECISÃO D.P","",M142-TODAY())))</f>
        <v/>
      </c>
      <c r="O142" s="108" t="str">
        <f>IF(B142="","",IF(ISNUMBER(L142),IF(N142="","SEM DATA",IF(N142&gt;=0,"DEFESA NO PRAZO","DEFESA FORA DO PRAZO")),IF(G142="DECISÃO D.P","SEM DEFESA",IF(G142="","SEM STATUS",IF(N142="","SEM DATA",IF(N142&lt;0,"VENCIDO",IF(N142&lt;=DiasAlerta,"VENCE EM BREVE","NO PRAZO")))))))</f>
        <v/>
      </c>
      <c r="P142" s="109" t="str">
        <f>IF(D142="","",TODAY()-D142)</f>
        <v/>
      </c>
      <c r="Q142" s="102" t="n"/>
    </row>
    <row r="143" ht="18" customHeight="1">
      <c r="A143" s="101" t="n"/>
      <c r="B143" s="102" t="n"/>
      <c r="C143" s="102" t="n"/>
      <c r="D143" s="103" t="n"/>
      <c r="E143" s="102" t="n"/>
      <c r="F143" s="104" t="n"/>
      <c r="G143" s="104" t="n"/>
      <c r="H143" s="102" t="n"/>
      <c r="I143" s="105" t="n"/>
      <c r="J143" s="105" t="n"/>
      <c r="K143" s="103" t="n"/>
      <c r="L143" s="103" t="n"/>
      <c r="M143" s="106" t="str">
        <f>IF(OR(D143="",E143=""),"",D143+IF(E143="NOTIFICAÇÃO DE CONSTATAÇÃO",PrazoConst,PrazoEsc))</f>
        <v/>
      </c>
      <c r="N143" s="107" t="str">
        <f>IF(M143="","",IF(ISNUMBER(L143),M143-L143,IF(G143="DECISÃO D.P","",M143-TODAY())))</f>
        <v/>
      </c>
      <c r="O143" s="108" t="str">
        <f>IF(B143="","",IF(ISNUMBER(L143),IF(N143="","SEM DATA",IF(N143&gt;=0,"DEFESA NO PRAZO","DEFESA FORA DO PRAZO")),IF(G143="DECISÃO D.P","SEM DEFESA",IF(G143="","SEM STATUS",IF(N143="","SEM DATA",IF(N143&lt;0,"VENCIDO",IF(N143&lt;=DiasAlerta,"VENCE EM BREVE","NO PRAZO")))))))</f>
        <v/>
      </c>
      <c r="P143" s="109" t="str">
        <f>IF(D143="","",TODAY()-D143)</f>
        <v/>
      </c>
      <c r="Q143" s="102" t="n"/>
    </row>
    <row r="144" ht="18" customHeight="1">
      <c r="A144" s="101" t="n"/>
      <c r="B144" s="102" t="n"/>
      <c r="C144" s="102" t="n"/>
      <c r="D144" s="103" t="n"/>
      <c r="E144" s="102" t="n"/>
      <c r="F144" s="104" t="n"/>
      <c r="G144" s="104" t="n"/>
      <c r="H144" s="102" t="n"/>
      <c r="I144" s="105" t="n"/>
      <c r="J144" s="105" t="n"/>
      <c r="K144" s="103" t="n"/>
      <c r="L144" s="103" t="n"/>
      <c r="M144" s="106" t="str">
        <f>IF(OR(D144="",E144=""),"",D144+IF(E144="NOTIFICAÇÃO DE CONSTATAÇÃO",PrazoConst,PrazoEsc))</f>
        <v/>
      </c>
      <c r="N144" s="107" t="str">
        <f>IF(M144="","",IF(ISNUMBER(L144),M144-L144,IF(G144="DECISÃO D.P","",M144-TODAY())))</f>
        <v/>
      </c>
      <c r="O144" s="108" t="str">
        <f>IF(B144="","",IF(ISNUMBER(L144),IF(N144="","SEM DATA",IF(N144&gt;=0,"DEFESA NO PRAZO","DEFESA FORA DO PRAZO")),IF(G144="DECISÃO D.P","SEM DEFESA",IF(G144="","SEM STATUS",IF(N144="","SEM DATA",IF(N144&lt;0,"VENCIDO",IF(N144&lt;=DiasAlerta,"VENCE EM BREVE","NO PRAZO")))))))</f>
        <v/>
      </c>
      <c r="P144" s="109" t="str">
        <f>IF(D144="","",TODAY()-D144)</f>
        <v/>
      </c>
      <c r="Q144" s="102" t="n"/>
    </row>
    <row r="145" ht="18" customHeight="1">
      <c r="A145" s="101" t="n"/>
      <c r="B145" s="102" t="n"/>
      <c r="C145" s="102" t="n"/>
      <c r="D145" s="103" t="n"/>
      <c r="E145" s="102" t="n"/>
      <c r="F145" s="104" t="n"/>
      <c r="G145" s="104" t="n"/>
      <c r="H145" s="102" t="n"/>
      <c r="I145" s="105" t="n"/>
      <c r="J145" s="105" t="n"/>
      <c r="K145" s="103" t="n"/>
      <c r="L145" s="103" t="n"/>
      <c r="M145" s="106" t="str">
        <f>IF(OR(D145="",E145=""),"",D145+IF(E145="NOTIFICAÇÃO DE CONSTATAÇÃO",PrazoConst,PrazoEsc))</f>
        <v/>
      </c>
      <c r="N145" s="107" t="str">
        <f>IF(M145="","",IF(ISNUMBER(L145),M145-L145,IF(G145="DECISÃO D.P","",M145-TODAY())))</f>
        <v/>
      </c>
      <c r="O145" s="108" t="str">
        <f>IF(B145="","",IF(ISNUMBER(L145),IF(N145="","SEM DATA",IF(N145&gt;=0,"DEFESA NO PRAZO","DEFESA FORA DO PRAZO")),IF(G145="DECISÃO D.P","SEM DEFESA",IF(G145="","SEM STATUS",IF(N145="","SEM DATA",IF(N145&lt;0,"VENCIDO",IF(N145&lt;=DiasAlerta,"VENCE EM BREVE","NO PRAZO")))))))</f>
        <v/>
      </c>
      <c r="P145" s="109" t="str">
        <f>IF(D145="","",TODAY()-D145)</f>
        <v/>
      </c>
      <c r="Q145" s="102" t="n"/>
    </row>
    <row r="146" ht="18" customHeight="1">
      <c r="A146" s="101" t="n"/>
      <c r="B146" s="102" t="n"/>
      <c r="C146" s="102" t="n"/>
      <c r="D146" s="103" t="n"/>
      <c r="E146" s="102" t="n"/>
      <c r="F146" s="104" t="n"/>
      <c r="G146" s="104" t="n"/>
      <c r="H146" s="102" t="n"/>
      <c r="I146" s="105" t="n"/>
      <c r="J146" s="105" t="n"/>
      <c r="K146" s="103" t="n"/>
      <c r="L146" s="103" t="n"/>
      <c r="M146" s="106" t="str">
        <f>IF(OR(D146="",E146=""),"",D146+IF(E146="NOTIFICAÇÃO DE CONSTATAÇÃO",PrazoConst,PrazoEsc))</f>
        <v/>
      </c>
      <c r="N146" s="107" t="str">
        <f>IF(M146="","",IF(ISNUMBER(L146),M146-L146,IF(G146="DECISÃO D.P","",M146-TODAY())))</f>
        <v/>
      </c>
      <c r="O146" s="108" t="str">
        <f>IF(B146="","",IF(ISNUMBER(L146),IF(N146="","SEM DATA",IF(N146&gt;=0,"DEFESA NO PRAZO","DEFESA FORA DO PRAZO")),IF(G146="DECISÃO D.P","SEM DEFESA",IF(G146="","SEM STATUS",IF(N146="","SEM DATA",IF(N146&lt;0,"VENCIDO",IF(N146&lt;=DiasAlerta,"VENCE EM BREVE","NO PRAZO")))))))</f>
        <v/>
      </c>
      <c r="P146" s="109" t="str">
        <f>IF(D146="","",TODAY()-D146)</f>
        <v/>
      </c>
      <c r="Q146" s="102" t="n"/>
    </row>
    <row r="147" ht="18" customHeight="1">
      <c r="A147" s="101" t="n"/>
      <c r="B147" s="102" t="n"/>
      <c r="C147" s="102" t="n"/>
      <c r="D147" s="103" t="n"/>
      <c r="E147" s="102" t="n"/>
      <c r="F147" s="104" t="n"/>
      <c r="G147" s="104" t="n"/>
      <c r="H147" s="102" t="n"/>
      <c r="I147" s="105" t="n"/>
      <c r="J147" s="105" t="n"/>
      <c r="K147" s="103" t="n"/>
      <c r="L147" s="103" t="n"/>
      <c r="M147" s="106" t="str">
        <f>IF(OR(D147="",E147=""),"",D147+IF(E147="NOTIFICAÇÃO DE CONSTATAÇÃO",PrazoConst,PrazoEsc))</f>
        <v/>
      </c>
      <c r="N147" s="107" t="str">
        <f>IF(M147="","",IF(ISNUMBER(L147),M147-L147,IF(G147="DECISÃO D.P","",M147-TODAY())))</f>
        <v/>
      </c>
      <c r="O147" s="108" t="str">
        <f>IF(B147="","",IF(ISNUMBER(L147),IF(N147="","SEM DATA",IF(N147&gt;=0,"DEFESA NO PRAZO","DEFESA FORA DO PRAZO")),IF(G147="DECISÃO D.P","SEM DEFESA",IF(G147="","SEM STATUS",IF(N147="","SEM DATA",IF(N147&lt;0,"VENCIDO",IF(N147&lt;=DiasAlerta,"VENCE EM BREVE","NO PRAZO")))))))</f>
        <v/>
      </c>
      <c r="P147" s="109" t="str">
        <f>IF(D147="","",TODAY()-D147)</f>
        <v/>
      </c>
      <c r="Q147" s="102" t="n"/>
    </row>
    <row r="148" ht="18" customHeight="1">
      <c r="A148" s="101" t="n"/>
      <c r="B148" s="102" t="n"/>
      <c r="C148" s="102" t="n"/>
      <c r="D148" s="103" t="n"/>
      <c r="E148" s="102" t="n"/>
      <c r="F148" s="104" t="n"/>
      <c r="G148" s="104" t="n"/>
      <c r="H148" s="102" t="n"/>
      <c r="I148" s="105" t="n"/>
      <c r="J148" s="105" t="n"/>
      <c r="K148" s="103" t="n"/>
      <c r="L148" s="103" t="n"/>
      <c r="M148" s="106" t="str">
        <f>IF(OR(D148="",E148=""),"",D148+IF(E148="NOTIFICAÇÃO DE CONSTATAÇÃO",PrazoConst,PrazoEsc))</f>
        <v/>
      </c>
      <c r="N148" s="107" t="str">
        <f>IF(M148="","",IF(ISNUMBER(L148),M148-L148,IF(G148="DECISÃO D.P","",M148-TODAY())))</f>
        <v/>
      </c>
      <c r="O148" s="108" t="str">
        <f>IF(B148="","",IF(ISNUMBER(L148),IF(N148="","SEM DATA",IF(N148&gt;=0,"DEFESA NO PRAZO","DEFESA FORA DO PRAZO")),IF(G148="DECISÃO D.P","SEM DEFESA",IF(G148="","SEM STATUS",IF(N148="","SEM DATA",IF(N148&lt;0,"VENCIDO",IF(N148&lt;=DiasAlerta,"VENCE EM BREVE","NO PRAZO")))))))</f>
        <v/>
      </c>
      <c r="P148" s="109" t="str">
        <f>IF(D148="","",TODAY()-D148)</f>
        <v/>
      </c>
      <c r="Q148" s="102" t="n"/>
    </row>
    <row r="149" ht="18" customHeight="1">
      <c r="A149" s="101" t="n"/>
      <c r="B149" s="102" t="n"/>
      <c r="C149" s="102" t="n"/>
      <c r="D149" s="103" t="n"/>
      <c r="E149" s="102" t="n"/>
      <c r="F149" s="104" t="n"/>
      <c r="G149" s="104" t="n"/>
      <c r="H149" s="102" t="n"/>
      <c r="I149" s="105" t="n"/>
      <c r="J149" s="105" t="n"/>
      <c r="K149" s="103" t="n"/>
      <c r="L149" s="103" t="n"/>
      <c r="M149" s="106" t="str">
        <f>IF(OR(D149="",E149=""),"",D149+IF(E149="NOTIFICAÇÃO DE CONSTATAÇÃO",PrazoConst,PrazoEsc))</f>
        <v/>
      </c>
      <c r="N149" s="107" t="str">
        <f>IF(M149="","",IF(ISNUMBER(L149),M149-L149,IF(G149="DECISÃO D.P","",M149-TODAY())))</f>
        <v/>
      </c>
      <c r="O149" s="108" t="str">
        <f>IF(B149="","",IF(ISNUMBER(L149),IF(N149="","SEM DATA",IF(N149&gt;=0,"DEFESA NO PRAZO","DEFESA FORA DO PRAZO")),IF(G149="DECISÃO D.P","SEM DEFESA",IF(G149="","SEM STATUS",IF(N149="","SEM DATA",IF(N149&lt;0,"VENCIDO",IF(N149&lt;=DiasAlerta,"VENCE EM BREVE","NO PRAZO")))))))</f>
        <v/>
      </c>
      <c r="P149" s="109" t="str">
        <f>IF(D149="","",TODAY()-D149)</f>
        <v/>
      </c>
      <c r="Q149" s="102" t="n"/>
    </row>
    <row r="150" ht="18" customHeight="1">
      <c r="A150" s="101" t="n"/>
      <c r="B150" s="102" t="n"/>
      <c r="C150" s="102" t="n"/>
      <c r="D150" s="103" t="n"/>
      <c r="E150" s="102" t="n"/>
      <c r="F150" s="104" t="n"/>
      <c r="G150" s="104" t="n"/>
      <c r="H150" s="102" t="n"/>
      <c r="I150" s="105" t="n"/>
      <c r="J150" s="105" t="n"/>
      <c r="K150" s="103" t="n"/>
      <c r="L150" s="103" t="n"/>
      <c r="M150" s="106" t="str">
        <f>IF(OR(D150="",E150=""),"",D150+IF(E150="NOTIFICAÇÃO DE CONSTATAÇÃO",PrazoConst,PrazoEsc))</f>
        <v/>
      </c>
      <c r="N150" s="107" t="str">
        <f>IF(M150="","",IF(ISNUMBER(L150),M150-L150,IF(G150="DECISÃO D.P","",M150-TODAY())))</f>
        <v/>
      </c>
      <c r="O150" s="108" t="str">
        <f>IF(B150="","",IF(ISNUMBER(L150),IF(N150="","SEM DATA",IF(N150&gt;=0,"DEFESA NO PRAZO","DEFESA FORA DO PRAZO")),IF(G150="DECISÃO D.P","SEM DEFESA",IF(G150="","SEM STATUS",IF(N150="","SEM DATA",IF(N150&lt;0,"VENCIDO",IF(N150&lt;=DiasAlerta,"VENCE EM BREVE","NO PRAZO")))))))</f>
        <v/>
      </c>
      <c r="P150" s="109" t="str">
        <f>IF(D150="","",TODAY()-D150)</f>
        <v/>
      </c>
      <c r="Q150" s="102" t="n"/>
    </row>
    <row r="151" ht="18" customHeight="1">
      <c r="A151" s="101" t="n"/>
      <c r="B151" s="102" t="n"/>
      <c r="C151" s="102" t="n"/>
      <c r="D151" s="103" t="n"/>
      <c r="E151" s="102" t="n"/>
      <c r="F151" s="104" t="n"/>
      <c r="G151" s="104" t="n"/>
      <c r="H151" s="102" t="n"/>
      <c r="I151" s="105" t="n"/>
      <c r="J151" s="105" t="n"/>
      <c r="K151" s="103" t="n"/>
      <c r="L151" s="103" t="n"/>
      <c r="M151" s="106" t="str">
        <f>IF(OR(D151="",E151=""),"",D151+IF(E151="NOTIFICAÇÃO DE CONSTATAÇÃO",PrazoConst,PrazoEsc))</f>
        <v/>
      </c>
      <c r="N151" s="107" t="str">
        <f>IF(M151="","",IF(ISNUMBER(L151),M151-L151,IF(G151="DECISÃO D.P","",M151-TODAY())))</f>
        <v/>
      </c>
      <c r="O151" s="108" t="str">
        <f>IF(B151="","",IF(ISNUMBER(L151),IF(N151="","SEM DATA",IF(N151&gt;=0,"DEFESA NO PRAZO","DEFESA FORA DO PRAZO")),IF(G151="DECISÃO D.P","SEM DEFESA",IF(G151="","SEM STATUS",IF(N151="","SEM DATA",IF(N151&lt;0,"VENCIDO",IF(N151&lt;=DiasAlerta,"VENCE EM BREVE","NO PRAZO")))))))</f>
        <v/>
      </c>
      <c r="P151" s="109" t="str">
        <f>IF(D151="","",TODAY()-D151)</f>
        <v/>
      </c>
      <c r="Q151" s="102" t="n"/>
    </row>
    <row r="152" ht="18" customHeight="1">
      <c r="A152" s="101" t="n"/>
      <c r="B152" s="102" t="n"/>
      <c r="C152" s="102" t="n"/>
      <c r="D152" s="103" t="n"/>
      <c r="E152" s="102" t="n"/>
      <c r="F152" s="104" t="n"/>
      <c r="G152" s="104" t="n"/>
      <c r="H152" s="102" t="n"/>
      <c r="I152" s="105" t="n"/>
      <c r="J152" s="105" t="n"/>
      <c r="K152" s="103" t="n"/>
      <c r="L152" s="103" t="n"/>
      <c r="M152" s="106" t="str">
        <f>IF(OR(D152="",E152=""),"",D152+IF(E152="NOTIFICAÇÃO DE CONSTATAÇÃO",PrazoConst,PrazoEsc))</f>
        <v/>
      </c>
      <c r="N152" s="107" t="str">
        <f>IF(M152="","",IF(ISNUMBER(L152),M152-L152,IF(G152="DECISÃO D.P","",M152-TODAY())))</f>
        <v/>
      </c>
      <c r="O152" s="108" t="str">
        <f>IF(B152="","",IF(ISNUMBER(L152),IF(N152="","SEM DATA",IF(N152&gt;=0,"DEFESA NO PRAZO","DEFESA FORA DO PRAZO")),IF(G152="DECISÃO D.P","SEM DEFESA",IF(G152="","SEM STATUS",IF(N152="","SEM DATA",IF(N152&lt;0,"VENCIDO",IF(N152&lt;=DiasAlerta,"VENCE EM BREVE","NO PRAZO")))))))</f>
        <v/>
      </c>
      <c r="P152" s="109" t="str">
        <f>IF(D152="","",TODAY()-D152)</f>
        <v/>
      </c>
      <c r="Q152" s="102" t="n"/>
    </row>
    <row r="153" ht="18" customHeight="1">
      <c r="A153" s="101" t="n"/>
      <c r="B153" s="102" t="n"/>
      <c r="C153" s="102" t="n"/>
      <c r="D153" s="103" t="n"/>
      <c r="E153" s="102" t="n"/>
      <c r="F153" s="104" t="n"/>
      <c r="G153" s="104" t="n"/>
      <c r="H153" s="102" t="n"/>
      <c r="I153" s="105" t="n"/>
      <c r="J153" s="105" t="n"/>
      <c r="K153" s="103" t="n"/>
      <c r="L153" s="103" t="n"/>
      <c r="M153" s="106" t="str">
        <f>IF(OR(D153="",E153=""),"",D153+IF(E153="NOTIFICAÇÃO DE CONSTATAÇÃO",PrazoConst,PrazoEsc))</f>
        <v/>
      </c>
      <c r="N153" s="107" t="str">
        <f>IF(M153="","",IF(ISNUMBER(L153),M153-L153,IF(G153="DECISÃO D.P","",M153-TODAY())))</f>
        <v/>
      </c>
      <c r="O153" s="108" t="str">
        <f>IF(B153="","",IF(ISNUMBER(L153),IF(N153="","SEM DATA",IF(N153&gt;=0,"DEFESA NO PRAZO","DEFESA FORA DO PRAZO")),IF(G153="DECISÃO D.P","SEM DEFESA",IF(G153="","SEM STATUS",IF(N153="","SEM DATA",IF(N153&lt;0,"VENCIDO",IF(N153&lt;=DiasAlerta,"VENCE EM BREVE","NO PRAZO")))))))</f>
        <v/>
      </c>
      <c r="P153" s="109" t="str">
        <f>IF(D153="","",TODAY()-D153)</f>
        <v/>
      </c>
      <c r="Q153" s="102" t="n"/>
    </row>
    <row r="154" ht="18" customHeight="1">
      <c r="A154" s="101" t="n"/>
      <c r="B154" s="102" t="n"/>
      <c r="C154" s="102" t="n"/>
      <c r="D154" s="103" t="n"/>
      <c r="E154" s="102" t="n"/>
      <c r="F154" s="104" t="n"/>
      <c r="G154" s="104" t="n"/>
      <c r="H154" s="102" t="n"/>
      <c r="I154" s="105" t="n"/>
      <c r="J154" s="105" t="n"/>
      <c r="K154" s="103" t="n"/>
      <c r="L154" s="103" t="n"/>
      <c r="M154" s="106" t="str">
        <f>IF(OR(D154="",E154=""),"",D154+IF(E154="NOTIFICAÇÃO DE CONSTATAÇÃO",PrazoConst,PrazoEsc))</f>
        <v/>
      </c>
      <c r="N154" s="107" t="str">
        <f>IF(M154="","",IF(ISNUMBER(L154),M154-L154,IF(G154="DECISÃO D.P","",M154-TODAY())))</f>
        <v/>
      </c>
      <c r="O154" s="108" t="str">
        <f>IF(B154="","",IF(ISNUMBER(L154),IF(N154="","SEM DATA",IF(N154&gt;=0,"DEFESA NO PRAZO","DEFESA FORA DO PRAZO")),IF(G154="DECISÃO D.P","SEM DEFESA",IF(G154="","SEM STATUS",IF(N154="","SEM DATA",IF(N154&lt;0,"VENCIDO",IF(N154&lt;=DiasAlerta,"VENCE EM BREVE","NO PRAZO")))))))</f>
        <v/>
      </c>
      <c r="P154" s="109" t="str">
        <f>IF(D154="","",TODAY()-D154)</f>
        <v/>
      </c>
      <c r="Q154" s="102" t="n"/>
    </row>
    <row r="155" ht="18" customHeight="1">
      <c r="A155" s="101" t="n"/>
      <c r="B155" s="102" t="n"/>
      <c r="C155" s="102" t="n"/>
      <c r="D155" s="103" t="n"/>
      <c r="E155" s="102" t="n"/>
      <c r="F155" s="104" t="n"/>
      <c r="G155" s="104" t="n"/>
      <c r="H155" s="102" t="n"/>
      <c r="I155" s="105" t="n"/>
      <c r="J155" s="105" t="n"/>
      <c r="K155" s="103" t="n"/>
      <c r="L155" s="103" t="n"/>
      <c r="M155" s="106" t="str">
        <f>IF(OR(D155="",E155=""),"",D155+IF(E155="NOTIFICAÇÃO DE CONSTATAÇÃO",PrazoConst,PrazoEsc))</f>
        <v/>
      </c>
      <c r="N155" s="107" t="str">
        <f>IF(M155="","",IF(ISNUMBER(L155),M155-L155,IF(G155="DECISÃO D.P","",M155-TODAY())))</f>
        <v/>
      </c>
      <c r="O155" s="108" t="str">
        <f>IF(B155="","",IF(ISNUMBER(L155),IF(N155="","SEM DATA",IF(N155&gt;=0,"DEFESA NO PRAZO","DEFESA FORA DO PRAZO")),IF(G155="DECISÃO D.P","SEM DEFESA",IF(G155="","SEM STATUS",IF(N155="","SEM DATA",IF(N155&lt;0,"VENCIDO",IF(N155&lt;=DiasAlerta,"VENCE EM BREVE","NO PRAZO")))))))</f>
        <v/>
      </c>
      <c r="P155" s="109" t="str">
        <f>IF(D155="","",TODAY()-D155)</f>
        <v/>
      </c>
      <c r="Q155" s="102" t="n"/>
    </row>
    <row r="156" ht="18" customHeight="1">
      <c r="A156" s="101" t="n"/>
      <c r="B156" s="102" t="n"/>
      <c r="C156" s="102" t="n"/>
      <c r="D156" s="103" t="n"/>
      <c r="E156" s="102" t="n"/>
      <c r="F156" s="104" t="n"/>
      <c r="G156" s="104" t="n"/>
      <c r="H156" s="102" t="n"/>
      <c r="I156" s="105" t="n"/>
      <c r="J156" s="105" t="n"/>
      <c r="K156" s="103" t="n"/>
      <c r="L156" s="103" t="n"/>
      <c r="M156" s="106" t="str">
        <f>IF(OR(D156="",E156=""),"",D156+IF(E156="NOTIFICAÇÃO DE CONSTATAÇÃO",PrazoConst,PrazoEsc))</f>
        <v/>
      </c>
      <c r="N156" s="107" t="str">
        <f>IF(M156="","",IF(ISNUMBER(L156),M156-L156,IF(G156="DECISÃO D.P","",M156-TODAY())))</f>
        <v/>
      </c>
      <c r="O156" s="108" t="str">
        <f>IF(B156="","",IF(ISNUMBER(L156),IF(N156="","SEM DATA",IF(N156&gt;=0,"DEFESA NO PRAZO","DEFESA FORA DO PRAZO")),IF(G156="DECISÃO D.P","SEM DEFESA",IF(G156="","SEM STATUS",IF(N156="","SEM DATA",IF(N156&lt;0,"VENCIDO",IF(N156&lt;=DiasAlerta,"VENCE EM BREVE","NO PRAZO")))))))</f>
        <v/>
      </c>
      <c r="P156" s="109" t="str">
        <f>IF(D156="","",TODAY()-D156)</f>
        <v/>
      </c>
      <c r="Q156" s="102" t="n"/>
    </row>
    <row r="157" ht="18" customHeight="1">
      <c r="A157" s="101" t="n"/>
      <c r="B157" s="102" t="n"/>
      <c r="C157" s="102" t="n"/>
      <c r="D157" s="103" t="n"/>
      <c r="E157" s="102" t="n"/>
      <c r="F157" s="104" t="n"/>
      <c r="G157" s="104" t="n"/>
      <c r="H157" s="102" t="n"/>
      <c r="I157" s="105" t="n"/>
      <c r="J157" s="105" t="n"/>
      <c r="K157" s="103" t="n"/>
      <c r="L157" s="103" t="n"/>
      <c r="M157" s="106" t="str">
        <f>IF(OR(D157="",E157=""),"",D157+IF(E157="NOTIFICAÇÃO DE CONSTATAÇÃO",PrazoConst,PrazoEsc))</f>
        <v/>
      </c>
      <c r="N157" s="107" t="str">
        <f>IF(M157="","",IF(ISNUMBER(L157),M157-L157,IF(G157="DECISÃO D.P","",M157-TODAY())))</f>
        <v/>
      </c>
      <c r="O157" s="108" t="str">
        <f>IF(B157="","",IF(ISNUMBER(L157),IF(N157="","SEM DATA",IF(N157&gt;=0,"DEFESA NO PRAZO","DEFESA FORA DO PRAZO")),IF(G157="DECISÃO D.P","SEM DEFESA",IF(G157="","SEM STATUS",IF(N157="","SEM DATA",IF(N157&lt;0,"VENCIDO",IF(N157&lt;=DiasAlerta,"VENCE EM BREVE","NO PRAZO")))))))</f>
        <v/>
      </c>
      <c r="P157" s="109" t="str">
        <f>IF(D157="","",TODAY()-D157)</f>
        <v/>
      </c>
      <c r="Q157" s="102" t="n"/>
    </row>
    <row r="158" ht="18" customHeight="1">
      <c r="A158" s="101" t="n"/>
      <c r="B158" s="102" t="n"/>
      <c r="C158" s="102" t="n"/>
      <c r="D158" s="103" t="n"/>
      <c r="E158" s="102" t="n"/>
      <c r="F158" s="104" t="n"/>
      <c r="G158" s="104" t="n"/>
      <c r="H158" s="102" t="n"/>
      <c r="I158" s="105" t="n"/>
      <c r="J158" s="105" t="n"/>
      <c r="K158" s="103" t="n"/>
      <c r="L158" s="103" t="n"/>
      <c r="M158" s="106" t="str">
        <f>IF(OR(D158="",E158=""),"",D158+IF(E158="NOTIFICAÇÃO DE CONSTATAÇÃO",PrazoConst,PrazoEsc))</f>
        <v/>
      </c>
      <c r="N158" s="107" t="str">
        <f>IF(M158="","",IF(ISNUMBER(L158),M158-L158,IF(G158="DECISÃO D.P","",M158-TODAY())))</f>
        <v/>
      </c>
      <c r="O158" s="108" t="str">
        <f>IF(B158="","",IF(ISNUMBER(L158),IF(N158="","SEM DATA",IF(N158&gt;=0,"DEFESA NO PRAZO","DEFESA FORA DO PRAZO")),IF(G158="DECISÃO D.P","SEM DEFESA",IF(G158="","SEM STATUS",IF(N158="","SEM DATA",IF(N158&lt;0,"VENCIDO",IF(N158&lt;=DiasAlerta,"VENCE EM BREVE","NO PRAZO")))))))</f>
        <v/>
      </c>
      <c r="P158" s="109" t="str">
        <f>IF(D158="","",TODAY()-D158)</f>
        <v/>
      </c>
      <c r="Q158" s="102" t="n"/>
    </row>
    <row r="159" ht="18" customHeight="1">
      <c r="A159" s="101" t="n"/>
      <c r="B159" s="102" t="n"/>
      <c r="C159" s="102" t="n"/>
      <c r="D159" s="103" t="n"/>
      <c r="E159" s="102" t="n"/>
      <c r="F159" s="104" t="n"/>
      <c r="G159" s="104" t="n"/>
      <c r="H159" s="102" t="n"/>
      <c r="I159" s="105" t="n"/>
      <c r="J159" s="105" t="n"/>
      <c r="K159" s="103" t="n"/>
      <c r="L159" s="103" t="n"/>
      <c r="M159" s="106" t="str">
        <f>IF(OR(D159="",E159=""),"",D159+IF(E159="NOTIFICAÇÃO DE CONSTATAÇÃO",PrazoConst,PrazoEsc))</f>
        <v/>
      </c>
      <c r="N159" s="107" t="str">
        <f>IF(M159="","",IF(ISNUMBER(L159),M159-L159,IF(G159="DECISÃO D.P","",M159-TODAY())))</f>
        <v/>
      </c>
      <c r="O159" s="108" t="str">
        <f>IF(B159="","",IF(ISNUMBER(L159),IF(N159="","SEM DATA",IF(N159&gt;=0,"DEFESA NO PRAZO","DEFESA FORA DO PRAZO")),IF(G159="DECISÃO D.P","SEM DEFESA",IF(G159="","SEM STATUS",IF(N159="","SEM DATA",IF(N159&lt;0,"VENCIDO",IF(N159&lt;=DiasAlerta,"VENCE EM BREVE","NO PRAZO")))))))</f>
        <v/>
      </c>
      <c r="P159" s="109" t="str">
        <f>IF(D159="","",TODAY()-D159)</f>
        <v/>
      </c>
      <c r="Q159" s="102" t="n"/>
    </row>
    <row r="160" ht="18" customHeight="1">
      <c r="A160" s="101" t="n"/>
      <c r="B160" s="102" t="n"/>
      <c r="C160" s="102" t="n"/>
      <c r="D160" s="103" t="n"/>
      <c r="E160" s="102" t="n"/>
      <c r="F160" s="104" t="n"/>
      <c r="G160" s="104" t="n"/>
      <c r="H160" s="102" t="n"/>
      <c r="I160" s="105" t="n"/>
      <c r="J160" s="105" t="n"/>
      <c r="K160" s="103" t="n"/>
      <c r="L160" s="103" t="n"/>
      <c r="M160" s="106" t="str">
        <f>IF(OR(D160="",E160=""),"",D160+IF(E160="NOTIFICAÇÃO DE CONSTATAÇÃO",PrazoConst,PrazoEsc))</f>
        <v/>
      </c>
      <c r="N160" s="107" t="str">
        <f>IF(M160="","",IF(ISNUMBER(L160),M160-L160,IF(G160="DECISÃO D.P","",M160-TODAY())))</f>
        <v/>
      </c>
      <c r="O160" s="108" t="str">
        <f>IF(B160="","",IF(ISNUMBER(L160),IF(N160="","SEM DATA",IF(N160&gt;=0,"DEFESA NO PRAZO","DEFESA FORA DO PRAZO")),IF(G160="DECISÃO D.P","SEM DEFESA",IF(G160="","SEM STATUS",IF(N160="","SEM DATA",IF(N160&lt;0,"VENCIDO",IF(N160&lt;=DiasAlerta,"VENCE EM BREVE","NO PRAZO")))))))</f>
        <v/>
      </c>
      <c r="P160" s="109" t="str">
        <f>IF(D160="","",TODAY()-D160)</f>
        <v/>
      </c>
      <c r="Q160" s="102" t="n"/>
    </row>
    <row r="161" ht="18" customHeight="1">
      <c r="A161" s="101" t="n"/>
      <c r="B161" s="102" t="n"/>
      <c r="C161" s="102" t="n"/>
      <c r="D161" s="103" t="n"/>
      <c r="E161" s="102" t="n"/>
      <c r="F161" s="104" t="n"/>
      <c r="G161" s="104" t="n"/>
      <c r="H161" s="102" t="n"/>
      <c r="I161" s="105" t="n"/>
      <c r="J161" s="105" t="n"/>
      <c r="K161" s="103" t="n"/>
      <c r="L161" s="103" t="n"/>
      <c r="M161" s="106" t="str">
        <f>IF(OR(D161="",E161=""),"",D161+IF(E161="NOTIFICAÇÃO DE CONSTATAÇÃO",PrazoConst,PrazoEsc))</f>
        <v/>
      </c>
      <c r="N161" s="107" t="str">
        <f>IF(M161="","",IF(ISNUMBER(L161),M161-L161,IF(G161="DECISÃO D.P","",M161-TODAY())))</f>
        <v/>
      </c>
      <c r="O161" s="108" t="str">
        <f>IF(B161="","",IF(ISNUMBER(L161),IF(N161="","SEM DATA",IF(N161&gt;=0,"DEFESA NO PRAZO","DEFESA FORA DO PRAZO")),IF(G161="DECISÃO D.P","SEM DEFESA",IF(G161="","SEM STATUS",IF(N161="","SEM DATA",IF(N161&lt;0,"VENCIDO",IF(N161&lt;=DiasAlerta,"VENCE EM BREVE","NO PRAZO")))))))</f>
        <v/>
      </c>
      <c r="P161" s="109" t="str">
        <f>IF(D161="","",TODAY()-D161)</f>
        <v/>
      </c>
      <c r="Q161" s="102" t="n"/>
    </row>
    <row r="162" ht="18" customHeight="1">
      <c r="A162" s="101" t="n"/>
      <c r="B162" s="102" t="n"/>
      <c r="C162" s="102" t="n"/>
      <c r="D162" s="103" t="n"/>
      <c r="E162" s="102" t="n"/>
      <c r="F162" s="104" t="n"/>
      <c r="G162" s="104" t="n"/>
      <c r="H162" s="102" t="n"/>
      <c r="I162" s="105" t="n"/>
      <c r="J162" s="105" t="n"/>
      <c r="K162" s="103" t="n"/>
      <c r="L162" s="103" t="n"/>
      <c r="M162" s="106" t="str">
        <f>IF(OR(D162="",E162=""),"",D162+IF(E162="NOTIFICAÇÃO DE CONSTATAÇÃO",PrazoConst,PrazoEsc))</f>
        <v/>
      </c>
      <c r="N162" s="107" t="str">
        <f>IF(M162="","",IF(ISNUMBER(L162),M162-L162,IF(G162="DECISÃO D.P","",M162-TODAY())))</f>
        <v/>
      </c>
      <c r="O162" s="108" t="str">
        <f>IF(B162="","",IF(ISNUMBER(L162),IF(N162="","SEM DATA",IF(N162&gt;=0,"DEFESA NO PRAZO","DEFESA FORA DO PRAZO")),IF(G162="DECISÃO D.P","SEM DEFESA",IF(G162="","SEM STATUS",IF(N162="","SEM DATA",IF(N162&lt;0,"VENCIDO",IF(N162&lt;=DiasAlerta,"VENCE EM BREVE","NO PRAZO")))))))</f>
        <v/>
      </c>
      <c r="P162" s="109" t="str">
        <f>IF(D162="","",TODAY()-D162)</f>
        <v/>
      </c>
      <c r="Q162" s="102" t="n"/>
    </row>
    <row r="163" ht="18" customHeight="1">
      <c r="A163" s="101" t="n"/>
      <c r="B163" s="102" t="n"/>
      <c r="C163" s="102" t="n"/>
      <c r="D163" s="103" t="n"/>
      <c r="E163" s="102" t="n"/>
      <c r="F163" s="104" t="n"/>
      <c r="G163" s="104" t="n"/>
      <c r="H163" s="102" t="n"/>
      <c r="I163" s="105" t="n"/>
      <c r="J163" s="105" t="n"/>
      <c r="K163" s="103" t="n"/>
      <c r="L163" s="103" t="n"/>
      <c r="M163" s="106" t="str">
        <f>IF(OR(D163="",E163=""),"",D163+IF(E163="NOTIFICAÇÃO DE CONSTATAÇÃO",PrazoConst,PrazoEsc))</f>
        <v/>
      </c>
      <c r="N163" s="107" t="str">
        <f>IF(M163="","",IF(ISNUMBER(L163),M163-L163,IF(G163="DECISÃO D.P","",M163-TODAY())))</f>
        <v/>
      </c>
      <c r="O163" s="108" t="str">
        <f>IF(B163="","",IF(ISNUMBER(L163),IF(N163="","SEM DATA",IF(N163&gt;=0,"DEFESA NO PRAZO","DEFESA FORA DO PRAZO")),IF(G163="DECISÃO D.P","SEM DEFESA",IF(G163="","SEM STATUS",IF(N163="","SEM DATA",IF(N163&lt;0,"VENCIDO",IF(N163&lt;=DiasAlerta,"VENCE EM BREVE","NO PRAZO")))))))</f>
        <v/>
      </c>
      <c r="P163" s="109" t="str">
        <f>IF(D163="","",TODAY()-D163)</f>
        <v/>
      </c>
      <c r="Q163" s="102" t="n"/>
    </row>
    <row r="164" ht="18" customHeight="1">
      <c r="A164" s="101" t="n"/>
      <c r="B164" s="102" t="n"/>
      <c r="C164" s="102" t="n"/>
      <c r="D164" s="103" t="n"/>
      <c r="E164" s="102" t="n"/>
      <c r="F164" s="104" t="n"/>
      <c r="G164" s="104" t="n"/>
      <c r="H164" s="102" t="n"/>
      <c r="I164" s="105" t="n"/>
      <c r="J164" s="105" t="n"/>
      <c r="K164" s="103" t="n"/>
      <c r="L164" s="103" t="n"/>
      <c r="M164" s="106" t="str">
        <f>IF(OR(D164="",E164=""),"",D164+IF(E164="NOTIFICAÇÃO DE CONSTATAÇÃO",PrazoConst,PrazoEsc))</f>
        <v/>
      </c>
      <c r="N164" s="107" t="str">
        <f>IF(M164="","",IF(ISNUMBER(L164),M164-L164,IF(G164="DECISÃO D.P","",M164-TODAY())))</f>
        <v/>
      </c>
      <c r="O164" s="108" t="str">
        <f>IF(B164="","",IF(ISNUMBER(L164),IF(N164="","SEM DATA",IF(N164&gt;=0,"DEFESA NO PRAZO","DEFESA FORA DO PRAZO")),IF(G164="DECISÃO D.P","SEM DEFESA",IF(G164="","SEM STATUS",IF(N164="","SEM DATA",IF(N164&lt;0,"VENCIDO",IF(N164&lt;=DiasAlerta,"VENCE EM BREVE","NO PRAZO")))))))</f>
        <v/>
      </c>
      <c r="P164" s="109" t="str">
        <f>IF(D164="","",TODAY()-D164)</f>
        <v/>
      </c>
      <c r="Q164" s="102" t="n"/>
    </row>
    <row r="165" ht="18" customHeight="1">
      <c r="A165" s="101" t="n"/>
      <c r="B165" s="102" t="n"/>
      <c r="C165" s="102" t="n"/>
      <c r="D165" s="103" t="n"/>
      <c r="E165" s="102" t="n"/>
      <c r="F165" s="104" t="n"/>
      <c r="G165" s="104" t="n"/>
      <c r="H165" s="102" t="n"/>
      <c r="I165" s="105" t="n"/>
      <c r="J165" s="105" t="n"/>
      <c r="K165" s="103" t="n"/>
      <c r="L165" s="103" t="n"/>
      <c r="M165" s="106" t="str">
        <f>IF(OR(D165="",E165=""),"",D165+IF(E165="NOTIFICAÇÃO DE CONSTATAÇÃO",PrazoConst,PrazoEsc))</f>
        <v/>
      </c>
      <c r="N165" s="107" t="str">
        <f>IF(M165="","",IF(ISNUMBER(L165),M165-L165,IF(G165="DECISÃO D.P","",M165-TODAY())))</f>
        <v/>
      </c>
      <c r="O165" s="108" t="str">
        <f>IF(B165="","",IF(ISNUMBER(L165),IF(N165="","SEM DATA",IF(N165&gt;=0,"DEFESA NO PRAZO","DEFESA FORA DO PRAZO")),IF(G165="DECISÃO D.P","SEM DEFESA",IF(G165="","SEM STATUS",IF(N165="","SEM DATA",IF(N165&lt;0,"VENCIDO",IF(N165&lt;=DiasAlerta,"VENCE EM BREVE","NO PRAZO")))))))</f>
        <v/>
      </c>
      <c r="P165" s="109" t="str">
        <f>IF(D165="","",TODAY()-D165)</f>
        <v/>
      </c>
      <c r="Q165" s="102" t="n"/>
    </row>
    <row r="166" ht="18" customHeight="1">
      <c r="A166" s="101" t="n"/>
      <c r="B166" s="102" t="n"/>
      <c r="C166" s="102" t="n"/>
      <c r="D166" s="103" t="n"/>
      <c r="E166" s="102" t="n"/>
      <c r="F166" s="104" t="n"/>
      <c r="G166" s="104" t="n"/>
      <c r="H166" s="102" t="n"/>
      <c r="I166" s="105" t="n"/>
      <c r="J166" s="105" t="n"/>
      <c r="K166" s="103" t="n"/>
      <c r="L166" s="103" t="n"/>
      <c r="M166" s="106" t="str">
        <f>IF(OR(D166="",E166=""),"",D166+IF(E166="NOTIFICAÇÃO DE CONSTATAÇÃO",PrazoConst,PrazoEsc))</f>
        <v/>
      </c>
      <c r="N166" s="107" t="str">
        <f>IF(M166="","",IF(ISNUMBER(L166),M166-L166,IF(G166="DECISÃO D.P","",M166-TODAY())))</f>
        <v/>
      </c>
      <c r="O166" s="108" t="str">
        <f>IF(B166="","",IF(ISNUMBER(L166),IF(N166="","SEM DATA",IF(N166&gt;=0,"DEFESA NO PRAZO","DEFESA FORA DO PRAZO")),IF(G166="DECISÃO D.P","SEM DEFESA",IF(G166="","SEM STATUS",IF(N166="","SEM DATA",IF(N166&lt;0,"VENCIDO",IF(N166&lt;=DiasAlerta,"VENCE EM BREVE","NO PRAZO")))))))</f>
        <v/>
      </c>
      <c r="P166" s="109" t="str">
        <f>IF(D166="","",TODAY()-D166)</f>
        <v/>
      </c>
      <c r="Q166" s="102" t="n"/>
    </row>
    <row r="167" ht="18" customHeight="1">
      <c r="A167" s="101" t="n"/>
      <c r="B167" s="102" t="n"/>
      <c r="C167" s="102" t="n"/>
      <c r="D167" s="103" t="n"/>
      <c r="E167" s="102" t="n"/>
      <c r="F167" s="104" t="n"/>
      <c r="G167" s="104" t="n"/>
      <c r="H167" s="102" t="n"/>
      <c r="I167" s="105" t="n"/>
      <c r="J167" s="105" t="n"/>
      <c r="K167" s="103" t="n"/>
      <c r="L167" s="103" t="n"/>
      <c r="M167" s="106" t="str">
        <f>IF(OR(D167="",E167=""),"",D167+IF(E167="NOTIFICAÇÃO DE CONSTATAÇÃO",PrazoConst,PrazoEsc))</f>
        <v/>
      </c>
      <c r="N167" s="107" t="str">
        <f>IF(M167="","",IF(ISNUMBER(L167),M167-L167,IF(G167="DECISÃO D.P","",M167-TODAY())))</f>
        <v/>
      </c>
      <c r="O167" s="108" t="str">
        <f>IF(B167="","",IF(ISNUMBER(L167),IF(N167="","SEM DATA",IF(N167&gt;=0,"DEFESA NO PRAZO","DEFESA FORA DO PRAZO")),IF(G167="DECISÃO D.P","SEM DEFESA",IF(G167="","SEM STATUS",IF(N167="","SEM DATA",IF(N167&lt;0,"VENCIDO",IF(N167&lt;=DiasAlerta,"VENCE EM BREVE","NO PRAZO")))))))</f>
        <v/>
      </c>
      <c r="P167" s="109" t="str">
        <f>IF(D167="","",TODAY()-D167)</f>
        <v/>
      </c>
      <c r="Q167" s="102" t="n"/>
    </row>
    <row r="168" ht="18" customHeight="1">
      <c r="A168" s="101" t="n"/>
      <c r="B168" s="102" t="n"/>
      <c r="C168" s="102" t="n"/>
      <c r="D168" s="103" t="n"/>
      <c r="E168" s="102" t="n"/>
      <c r="F168" s="104" t="n"/>
      <c r="G168" s="104" t="n"/>
      <c r="H168" s="102" t="n"/>
      <c r="I168" s="105" t="n"/>
      <c r="J168" s="105" t="n"/>
      <c r="K168" s="103" t="n"/>
      <c r="L168" s="103" t="n"/>
      <c r="M168" s="106" t="str">
        <f>IF(OR(D168="",E168=""),"",D168+IF(E168="NOTIFICAÇÃO DE CONSTATAÇÃO",PrazoConst,PrazoEsc))</f>
        <v/>
      </c>
      <c r="N168" s="107" t="str">
        <f>IF(M168="","",IF(ISNUMBER(L168),M168-L168,IF(G168="DECISÃO D.P","",M168-TODAY())))</f>
        <v/>
      </c>
      <c r="O168" s="108" t="str">
        <f>IF(B168="","",IF(ISNUMBER(L168),IF(N168="","SEM DATA",IF(N168&gt;=0,"DEFESA NO PRAZO","DEFESA FORA DO PRAZO")),IF(G168="DECISÃO D.P","SEM DEFESA",IF(G168="","SEM STATUS",IF(N168="","SEM DATA",IF(N168&lt;0,"VENCIDO",IF(N168&lt;=DiasAlerta,"VENCE EM BREVE","NO PRAZO")))))))</f>
        <v/>
      </c>
      <c r="P168" s="109" t="str">
        <f>IF(D168="","",TODAY()-D168)</f>
        <v/>
      </c>
      <c r="Q168" s="102" t="n"/>
    </row>
    <row r="169" ht="18" customHeight="1">
      <c r="A169" s="101" t="n"/>
      <c r="B169" s="102" t="n"/>
      <c r="C169" s="102" t="n"/>
      <c r="D169" s="103" t="n"/>
      <c r="E169" s="102" t="n"/>
      <c r="F169" s="104" t="n"/>
      <c r="G169" s="104" t="n"/>
      <c r="H169" s="102" t="n"/>
      <c r="I169" s="105" t="n"/>
      <c r="J169" s="105" t="n"/>
      <c r="K169" s="103" t="n"/>
      <c r="L169" s="103" t="n"/>
      <c r="M169" s="106" t="str">
        <f>IF(OR(D169="",E169=""),"",D169+IF(E169="NOTIFICAÇÃO DE CONSTATAÇÃO",PrazoConst,PrazoEsc))</f>
        <v/>
      </c>
      <c r="N169" s="107" t="str">
        <f>IF(M169="","",IF(ISNUMBER(L169),M169-L169,IF(G169="DECISÃO D.P","",M169-TODAY())))</f>
        <v/>
      </c>
      <c r="O169" s="108" t="str">
        <f>IF(B169="","",IF(ISNUMBER(L169),IF(N169="","SEM DATA",IF(N169&gt;=0,"DEFESA NO PRAZO","DEFESA FORA DO PRAZO")),IF(G169="DECISÃO D.P","SEM DEFESA",IF(G169="","SEM STATUS",IF(N169="","SEM DATA",IF(N169&lt;0,"VENCIDO",IF(N169&lt;=DiasAlerta,"VENCE EM BREVE","NO PRAZO")))))))</f>
        <v/>
      </c>
      <c r="P169" s="109" t="str">
        <f>IF(D169="","",TODAY()-D169)</f>
        <v/>
      </c>
      <c r="Q169" s="102" t="n"/>
    </row>
    <row r="170" ht="18" customHeight="1">
      <c r="A170" s="101" t="n"/>
      <c r="B170" s="102" t="n"/>
      <c r="C170" s="102" t="n"/>
      <c r="D170" s="103" t="n"/>
      <c r="E170" s="102" t="n"/>
      <c r="F170" s="104" t="n"/>
      <c r="G170" s="104" t="n"/>
      <c r="H170" s="102" t="n"/>
      <c r="I170" s="105" t="n"/>
      <c r="J170" s="105" t="n"/>
      <c r="K170" s="103" t="n"/>
      <c r="L170" s="103" t="n"/>
      <c r="M170" s="106" t="str">
        <f>IF(OR(D170="",E170=""),"",D170+IF(E170="NOTIFICAÇÃO DE CONSTATAÇÃO",PrazoConst,PrazoEsc))</f>
        <v/>
      </c>
      <c r="N170" s="107" t="str">
        <f>IF(M170="","",IF(ISNUMBER(L170),M170-L170,IF(G170="DECISÃO D.P","",M170-TODAY())))</f>
        <v/>
      </c>
      <c r="O170" s="108" t="str">
        <f>IF(B170="","",IF(ISNUMBER(L170),IF(N170="","SEM DATA",IF(N170&gt;=0,"DEFESA NO PRAZO","DEFESA FORA DO PRAZO")),IF(G170="DECISÃO D.P","SEM DEFESA",IF(G170="","SEM STATUS",IF(N170="","SEM DATA",IF(N170&lt;0,"VENCIDO",IF(N170&lt;=DiasAlerta,"VENCE EM BREVE","NO PRAZO")))))))</f>
        <v/>
      </c>
      <c r="P170" s="109" t="str">
        <f>IF(D170="","",TODAY()-D170)</f>
        <v/>
      </c>
      <c r="Q170" s="102" t="n"/>
    </row>
    <row r="171" ht="18" customHeight="1">
      <c r="A171" s="101" t="n"/>
      <c r="B171" s="102" t="n"/>
      <c r="C171" s="102" t="n"/>
      <c r="D171" s="103" t="n"/>
      <c r="E171" s="102" t="n"/>
      <c r="F171" s="104" t="n"/>
      <c r="G171" s="104" t="n"/>
      <c r="H171" s="102" t="n"/>
      <c r="I171" s="105" t="n"/>
      <c r="J171" s="105" t="n"/>
      <c r="K171" s="103" t="n"/>
      <c r="L171" s="103" t="n"/>
      <c r="M171" s="106" t="str">
        <f>IF(OR(D171="",E171=""),"",D171+IF(E171="NOTIFICAÇÃO DE CONSTATAÇÃO",PrazoConst,PrazoEsc))</f>
        <v/>
      </c>
      <c r="N171" s="107" t="str">
        <f>IF(M171="","",IF(ISNUMBER(L171),M171-L171,IF(G171="DECISÃO D.P","",M171-TODAY())))</f>
        <v/>
      </c>
      <c r="O171" s="108" t="str">
        <f>IF(B171="","",IF(ISNUMBER(L171),IF(N171="","SEM DATA",IF(N171&gt;=0,"DEFESA NO PRAZO","DEFESA FORA DO PRAZO")),IF(G171="DECISÃO D.P","SEM DEFESA",IF(G171="","SEM STATUS",IF(N171="","SEM DATA",IF(N171&lt;0,"VENCIDO",IF(N171&lt;=DiasAlerta,"VENCE EM BREVE","NO PRAZO")))))))</f>
        <v/>
      </c>
      <c r="P171" s="109" t="str">
        <f>IF(D171="","",TODAY()-D171)</f>
        <v/>
      </c>
      <c r="Q171" s="102" t="n"/>
    </row>
    <row r="172" ht="18" customHeight="1">
      <c r="A172" s="101" t="n"/>
      <c r="B172" s="102" t="n"/>
      <c r="C172" s="102" t="n"/>
      <c r="D172" s="103" t="n"/>
      <c r="E172" s="102" t="n"/>
      <c r="F172" s="104" t="n"/>
      <c r="G172" s="104" t="n"/>
      <c r="H172" s="102" t="n"/>
      <c r="I172" s="105" t="n"/>
      <c r="J172" s="105" t="n"/>
      <c r="K172" s="103" t="n"/>
      <c r="L172" s="103" t="n"/>
      <c r="M172" s="106" t="str">
        <f>IF(OR(D172="",E172=""),"",D172+IF(E172="NOTIFICAÇÃO DE CONSTATAÇÃO",PrazoConst,PrazoEsc))</f>
        <v/>
      </c>
      <c r="N172" s="107" t="str">
        <f>IF(M172="","",IF(ISNUMBER(L172),M172-L172,IF(G172="DECISÃO D.P","",M172-TODAY())))</f>
        <v/>
      </c>
      <c r="O172" s="108" t="str">
        <f>IF(B172="","",IF(ISNUMBER(L172),IF(N172="","SEM DATA",IF(N172&gt;=0,"DEFESA NO PRAZO","DEFESA FORA DO PRAZO")),IF(G172="DECISÃO D.P","SEM DEFESA",IF(G172="","SEM STATUS",IF(N172="","SEM DATA",IF(N172&lt;0,"VENCIDO",IF(N172&lt;=DiasAlerta,"VENCE EM BREVE","NO PRAZO")))))))</f>
        <v/>
      </c>
      <c r="P172" s="109" t="str">
        <f>IF(D172="","",TODAY()-D172)</f>
        <v/>
      </c>
      <c r="Q172" s="102" t="n"/>
    </row>
    <row r="173" ht="18" customHeight="1">
      <c r="A173" s="101" t="n"/>
      <c r="B173" s="102" t="n"/>
      <c r="C173" s="102" t="n"/>
      <c r="D173" s="103" t="n"/>
      <c r="E173" s="102" t="n"/>
      <c r="F173" s="104" t="n"/>
      <c r="G173" s="104" t="n"/>
      <c r="H173" s="102" t="n"/>
      <c r="I173" s="105" t="n"/>
      <c r="J173" s="105" t="n"/>
      <c r="K173" s="103" t="n"/>
      <c r="L173" s="103" t="n"/>
      <c r="M173" s="106" t="str">
        <f>IF(OR(D173="",E173=""),"",D173+IF(E173="NOTIFICAÇÃO DE CONSTATAÇÃO",PrazoConst,PrazoEsc))</f>
        <v/>
      </c>
      <c r="N173" s="107" t="str">
        <f>IF(M173="","",IF(ISNUMBER(L173),M173-L173,IF(G173="DECISÃO D.P","",M173-TODAY())))</f>
        <v/>
      </c>
      <c r="O173" s="108" t="str">
        <f>IF(B173="","",IF(ISNUMBER(L173),IF(N173="","SEM DATA",IF(N173&gt;=0,"DEFESA NO PRAZO","DEFESA FORA DO PRAZO")),IF(G173="DECISÃO D.P","SEM DEFESA",IF(G173="","SEM STATUS",IF(N173="","SEM DATA",IF(N173&lt;0,"VENCIDO",IF(N173&lt;=DiasAlerta,"VENCE EM BREVE","NO PRAZO")))))))</f>
        <v/>
      </c>
      <c r="P173" s="109" t="str">
        <f>IF(D173="","",TODAY()-D173)</f>
        <v/>
      </c>
      <c r="Q173" s="102" t="n"/>
    </row>
    <row r="174" ht="18" customHeight="1">
      <c r="A174" s="101" t="n"/>
      <c r="B174" s="102" t="n"/>
      <c r="C174" s="102" t="n"/>
      <c r="D174" s="103" t="n"/>
      <c r="E174" s="102" t="n"/>
      <c r="F174" s="104" t="n"/>
      <c r="G174" s="104" t="n"/>
      <c r="H174" s="102" t="n"/>
      <c r="I174" s="105" t="n"/>
      <c r="J174" s="105" t="n"/>
      <c r="K174" s="103" t="n"/>
      <c r="L174" s="103" t="n"/>
      <c r="M174" s="106" t="str">
        <f>IF(OR(D174="",E174=""),"",D174+IF(E174="NOTIFICAÇÃO DE CONSTATAÇÃO",PrazoConst,PrazoEsc))</f>
        <v/>
      </c>
      <c r="N174" s="107" t="str">
        <f>IF(M174="","",IF(ISNUMBER(L174),M174-L174,IF(G174="DECISÃO D.P","",M174-TODAY())))</f>
        <v/>
      </c>
      <c r="O174" s="108" t="str">
        <f>IF(B174="","",IF(ISNUMBER(L174),IF(N174="","SEM DATA",IF(N174&gt;=0,"DEFESA NO PRAZO","DEFESA FORA DO PRAZO")),IF(G174="DECISÃO D.P","SEM DEFESA",IF(G174="","SEM STATUS",IF(N174="","SEM DATA",IF(N174&lt;0,"VENCIDO",IF(N174&lt;=DiasAlerta,"VENCE EM BREVE","NO PRAZO")))))))</f>
        <v/>
      </c>
      <c r="P174" s="109" t="str">
        <f>IF(D174="","",TODAY()-D174)</f>
        <v/>
      </c>
      <c r="Q174" s="102" t="n"/>
    </row>
    <row r="175" ht="18" customHeight="1">
      <c r="A175" s="101" t="n"/>
      <c r="B175" s="102" t="n"/>
      <c r="C175" s="102" t="n"/>
      <c r="D175" s="103" t="n"/>
      <c r="E175" s="102" t="n"/>
      <c r="F175" s="104" t="n"/>
      <c r="G175" s="104" t="n"/>
      <c r="H175" s="102" t="n"/>
      <c r="I175" s="105" t="n"/>
      <c r="J175" s="105" t="n"/>
      <c r="K175" s="103" t="n"/>
      <c r="L175" s="103" t="n"/>
      <c r="M175" s="106" t="str">
        <f>IF(OR(D175="",E175=""),"",D175+IF(E175="NOTIFICAÇÃO DE CONSTATAÇÃO",PrazoConst,PrazoEsc))</f>
        <v/>
      </c>
      <c r="N175" s="107" t="str">
        <f>IF(M175="","",IF(ISNUMBER(L175),M175-L175,IF(G175="DECISÃO D.P","",M175-TODAY())))</f>
        <v/>
      </c>
      <c r="O175" s="108" t="str">
        <f>IF(B175="","",IF(ISNUMBER(L175),IF(N175="","SEM DATA",IF(N175&gt;=0,"DEFESA NO PRAZO","DEFESA FORA DO PRAZO")),IF(G175="DECISÃO D.P","SEM DEFESA",IF(G175="","SEM STATUS",IF(N175="","SEM DATA",IF(N175&lt;0,"VENCIDO",IF(N175&lt;=DiasAlerta,"VENCE EM BREVE","NO PRAZO")))))))</f>
        <v/>
      </c>
      <c r="P175" s="109" t="str">
        <f>IF(D175="","",TODAY()-D175)</f>
        <v/>
      </c>
      <c r="Q175" s="102" t="n"/>
    </row>
    <row r="176" ht="18" customHeight="1">
      <c r="A176" s="101" t="n"/>
      <c r="B176" s="102" t="n"/>
      <c r="C176" s="102" t="n"/>
      <c r="D176" s="103" t="n"/>
      <c r="E176" s="102" t="n"/>
      <c r="F176" s="104" t="n"/>
      <c r="G176" s="104" t="n"/>
      <c r="H176" s="102" t="n"/>
      <c r="I176" s="105" t="n"/>
      <c r="J176" s="105" t="n"/>
      <c r="K176" s="103" t="n"/>
      <c r="L176" s="103" t="n"/>
      <c r="M176" s="106" t="str">
        <f>IF(OR(D176="",E176=""),"",D176+IF(E176="NOTIFICAÇÃO DE CONSTATAÇÃO",PrazoConst,PrazoEsc))</f>
        <v/>
      </c>
      <c r="N176" s="107" t="str">
        <f>IF(M176="","",IF(ISNUMBER(L176),M176-L176,IF(G176="DECISÃO D.P","",M176-TODAY())))</f>
        <v/>
      </c>
      <c r="O176" s="108" t="str">
        <f>IF(B176="","",IF(ISNUMBER(L176),IF(N176="","SEM DATA",IF(N176&gt;=0,"DEFESA NO PRAZO","DEFESA FORA DO PRAZO")),IF(G176="DECISÃO D.P","SEM DEFESA",IF(G176="","SEM STATUS",IF(N176="","SEM DATA",IF(N176&lt;0,"VENCIDO",IF(N176&lt;=DiasAlerta,"VENCE EM BREVE","NO PRAZO")))))))</f>
        <v/>
      </c>
      <c r="P176" s="109" t="str">
        <f>IF(D176="","",TODAY()-D176)</f>
        <v/>
      </c>
      <c r="Q176" s="102" t="n"/>
    </row>
    <row r="177" ht="18" customHeight="1">
      <c r="A177" s="101" t="n"/>
      <c r="B177" s="102" t="n"/>
      <c r="C177" s="102" t="n"/>
      <c r="D177" s="103" t="n"/>
      <c r="E177" s="102" t="n"/>
      <c r="F177" s="104" t="n"/>
      <c r="G177" s="104" t="n"/>
      <c r="H177" s="102" t="n"/>
      <c r="I177" s="105" t="n"/>
      <c r="J177" s="105" t="n"/>
      <c r="K177" s="103" t="n"/>
      <c r="L177" s="103" t="n"/>
      <c r="M177" s="106" t="str">
        <f>IF(OR(D177="",E177=""),"",D177+IF(E177="NOTIFICAÇÃO DE CONSTATAÇÃO",PrazoConst,PrazoEsc))</f>
        <v/>
      </c>
      <c r="N177" s="107" t="str">
        <f>IF(M177="","",IF(ISNUMBER(L177),M177-L177,IF(G177="DECISÃO D.P","",M177-TODAY())))</f>
        <v/>
      </c>
      <c r="O177" s="108" t="str">
        <f>IF(B177="","",IF(ISNUMBER(L177),IF(N177="","SEM DATA",IF(N177&gt;=0,"DEFESA NO PRAZO","DEFESA FORA DO PRAZO")),IF(G177="DECISÃO D.P","SEM DEFESA",IF(G177="","SEM STATUS",IF(N177="","SEM DATA",IF(N177&lt;0,"VENCIDO",IF(N177&lt;=DiasAlerta,"VENCE EM BREVE","NO PRAZO")))))))</f>
        <v/>
      </c>
      <c r="P177" s="109" t="str">
        <f>IF(D177="","",TODAY()-D177)</f>
        <v/>
      </c>
      <c r="Q177" s="102" t="n"/>
    </row>
    <row r="178" ht="18" customHeight="1">
      <c r="A178" s="101" t="n"/>
      <c r="B178" s="102" t="n"/>
      <c r="C178" s="102" t="n"/>
      <c r="D178" s="103" t="n"/>
      <c r="E178" s="102" t="n"/>
      <c r="F178" s="104" t="n"/>
      <c r="G178" s="104" t="n"/>
      <c r="H178" s="102" t="n"/>
      <c r="I178" s="105" t="n"/>
      <c r="J178" s="105" t="n"/>
      <c r="K178" s="103" t="n"/>
      <c r="L178" s="103" t="n"/>
      <c r="M178" s="106" t="str">
        <f>IF(OR(D178="",E178=""),"",D178+IF(E178="NOTIFICAÇÃO DE CONSTATAÇÃO",PrazoConst,PrazoEsc))</f>
        <v/>
      </c>
      <c r="N178" s="107" t="str">
        <f>IF(M178="","",IF(ISNUMBER(L178),M178-L178,IF(G178="DECISÃO D.P","",M178-TODAY())))</f>
        <v/>
      </c>
      <c r="O178" s="108" t="str">
        <f>IF(B178="","",IF(ISNUMBER(L178),IF(N178="","SEM DATA",IF(N178&gt;=0,"DEFESA NO PRAZO","DEFESA FORA DO PRAZO")),IF(G178="DECISÃO D.P","SEM DEFESA",IF(G178="","SEM STATUS",IF(N178="","SEM DATA",IF(N178&lt;0,"VENCIDO",IF(N178&lt;=DiasAlerta,"VENCE EM BREVE","NO PRAZO")))))))</f>
        <v/>
      </c>
      <c r="P178" s="109" t="str">
        <f>IF(D178="","",TODAY()-D178)</f>
        <v/>
      </c>
      <c r="Q178" s="102" t="n"/>
    </row>
    <row r="179" ht="18" customHeight="1">
      <c r="A179" s="101" t="n"/>
      <c r="B179" s="102" t="n"/>
      <c r="C179" s="102" t="n"/>
      <c r="D179" s="103" t="n"/>
      <c r="E179" s="102" t="n"/>
      <c r="F179" s="104" t="n"/>
      <c r="G179" s="104" t="n"/>
      <c r="H179" s="102" t="n"/>
      <c r="I179" s="105" t="n"/>
      <c r="J179" s="105" t="n"/>
      <c r="K179" s="103" t="n"/>
      <c r="L179" s="103" t="n"/>
      <c r="M179" s="106" t="str">
        <f>IF(OR(D179="",E179=""),"",D179+IF(E179="NOTIFICAÇÃO DE CONSTATAÇÃO",PrazoConst,PrazoEsc))</f>
        <v/>
      </c>
      <c r="N179" s="107" t="str">
        <f>IF(M179="","",IF(ISNUMBER(L179),M179-L179,IF(G179="DECISÃO D.P","",M179-TODAY())))</f>
        <v/>
      </c>
      <c r="O179" s="108" t="str">
        <f>IF(B179="","",IF(ISNUMBER(L179),IF(N179="","SEM DATA",IF(N179&gt;=0,"DEFESA NO PRAZO","DEFESA FORA DO PRAZO")),IF(G179="DECISÃO D.P","SEM DEFESA",IF(G179="","SEM STATUS",IF(N179="","SEM DATA",IF(N179&lt;0,"VENCIDO",IF(N179&lt;=DiasAlerta,"VENCE EM BREVE","NO PRAZO")))))))</f>
        <v/>
      </c>
      <c r="P179" s="109" t="str">
        <f>IF(D179="","",TODAY()-D179)</f>
        <v/>
      </c>
      <c r="Q179" s="102" t="n"/>
    </row>
    <row r="180" ht="18" customHeight="1">
      <c r="A180" s="101" t="n"/>
      <c r="B180" s="102" t="n"/>
      <c r="C180" s="102" t="n"/>
      <c r="D180" s="103" t="n"/>
      <c r="E180" s="102" t="n"/>
      <c r="F180" s="104" t="n"/>
      <c r="G180" s="104" t="n"/>
      <c r="H180" s="102" t="n"/>
      <c r="I180" s="105" t="n"/>
      <c r="J180" s="105" t="n"/>
      <c r="K180" s="103" t="n"/>
      <c r="L180" s="103" t="n"/>
      <c r="M180" s="106" t="str">
        <f>IF(OR(D180="",E180=""),"",D180+IF(E180="NOTIFICAÇÃO DE CONSTATAÇÃO",PrazoConst,PrazoEsc))</f>
        <v/>
      </c>
      <c r="N180" s="107" t="str">
        <f>IF(M180="","",IF(ISNUMBER(L180),M180-L180,IF(G180="DECISÃO D.P","",M180-TODAY())))</f>
        <v/>
      </c>
      <c r="O180" s="108" t="str">
        <f>IF(B180="","",IF(ISNUMBER(L180),IF(N180="","SEM DATA",IF(N180&gt;=0,"DEFESA NO PRAZO","DEFESA FORA DO PRAZO")),IF(G180="DECISÃO D.P","SEM DEFESA",IF(G180="","SEM STATUS",IF(N180="","SEM DATA",IF(N180&lt;0,"VENCIDO",IF(N180&lt;=DiasAlerta,"VENCE EM BREVE","NO PRAZO")))))))</f>
        <v/>
      </c>
      <c r="P180" s="109" t="str">
        <f>IF(D180="","",TODAY()-D180)</f>
        <v/>
      </c>
      <c r="Q180" s="102" t="n"/>
    </row>
    <row r="181" ht="18" customHeight="1">
      <c r="A181" s="101" t="n"/>
      <c r="B181" s="102" t="n"/>
      <c r="C181" s="102" t="n"/>
      <c r="D181" s="103" t="n"/>
      <c r="E181" s="102" t="n"/>
      <c r="F181" s="104" t="n"/>
      <c r="G181" s="104" t="n"/>
      <c r="H181" s="102" t="n"/>
      <c r="I181" s="105" t="n"/>
      <c r="J181" s="105" t="n"/>
      <c r="K181" s="103" t="n"/>
      <c r="L181" s="103" t="n"/>
      <c r="M181" s="106" t="str">
        <f>IF(OR(D181="",E181=""),"",D181+IF(E181="NOTIFICAÇÃO DE CONSTATAÇÃO",PrazoConst,PrazoEsc))</f>
        <v/>
      </c>
      <c r="N181" s="107" t="str">
        <f>IF(M181="","",IF(ISNUMBER(L181),M181-L181,IF(G181="DECISÃO D.P","",M181-TODAY())))</f>
        <v/>
      </c>
      <c r="O181" s="108" t="str">
        <f>IF(B181="","",IF(ISNUMBER(L181),IF(N181="","SEM DATA",IF(N181&gt;=0,"DEFESA NO PRAZO","DEFESA FORA DO PRAZO")),IF(G181="DECISÃO D.P","SEM DEFESA",IF(G181="","SEM STATUS",IF(N181="","SEM DATA",IF(N181&lt;0,"VENCIDO",IF(N181&lt;=DiasAlerta,"VENCE EM BREVE","NO PRAZO")))))))</f>
        <v/>
      </c>
      <c r="P181" s="109" t="str">
        <f>IF(D181="","",TODAY()-D181)</f>
        <v/>
      </c>
      <c r="Q181" s="102" t="n"/>
    </row>
    <row r="182" ht="18" customHeight="1">
      <c r="A182" s="101" t="n"/>
      <c r="B182" s="102" t="n"/>
      <c r="C182" s="102" t="n"/>
      <c r="D182" s="103" t="n"/>
      <c r="E182" s="102" t="n"/>
      <c r="F182" s="104" t="n"/>
      <c r="G182" s="104" t="n"/>
      <c r="H182" s="102" t="n"/>
      <c r="I182" s="105" t="n"/>
      <c r="J182" s="105" t="n"/>
      <c r="K182" s="103" t="n"/>
      <c r="L182" s="103" t="n"/>
      <c r="M182" s="106" t="str">
        <f>IF(OR(D182="",E182=""),"",D182+IF(E182="NOTIFICAÇÃO DE CONSTATAÇÃO",PrazoConst,PrazoEsc))</f>
        <v/>
      </c>
      <c r="N182" s="107" t="str">
        <f>IF(M182="","",IF(ISNUMBER(L182),M182-L182,IF(G182="DECISÃO D.P","",M182-TODAY())))</f>
        <v/>
      </c>
      <c r="O182" s="108" t="str">
        <f>IF(B182="","",IF(ISNUMBER(L182),IF(N182="","SEM DATA",IF(N182&gt;=0,"DEFESA NO PRAZO","DEFESA FORA DO PRAZO")),IF(G182="DECISÃO D.P","SEM DEFESA",IF(G182="","SEM STATUS",IF(N182="","SEM DATA",IF(N182&lt;0,"VENCIDO",IF(N182&lt;=DiasAlerta,"VENCE EM BREVE","NO PRAZO")))))))</f>
        <v/>
      </c>
      <c r="P182" s="109" t="str">
        <f>IF(D182="","",TODAY()-D182)</f>
        <v/>
      </c>
      <c r="Q182" s="102" t="n"/>
    </row>
    <row r="183" ht="18" customHeight="1">
      <c r="A183" s="101" t="n"/>
      <c r="B183" s="102" t="n"/>
      <c r="C183" s="102" t="n"/>
      <c r="D183" s="103" t="n"/>
      <c r="E183" s="102" t="n"/>
      <c r="F183" s="104" t="n"/>
      <c r="G183" s="104" t="n"/>
      <c r="H183" s="102" t="n"/>
      <c r="I183" s="105" t="n"/>
      <c r="J183" s="105" t="n"/>
      <c r="K183" s="103" t="n"/>
      <c r="L183" s="103" t="n"/>
      <c r="M183" s="106" t="str">
        <f>IF(OR(D183="",E183=""),"",D183+IF(E183="NOTIFICAÇÃO DE CONSTATAÇÃO",PrazoConst,PrazoEsc))</f>
        <v/>
      </c>
      <c r="N183" s="107" t="str">
        <f>IF(M183="","",IF(ISNUMBER(L183),M183-L183,IF(G183="DECISÃO D.P","",M183-TODAY())))</f>
        <v/>
      </c>
      <c r="O183" s="108" t="str">
        <f>IF(B183="","",IF(ISNUMBER(L183),IF(N183="","SEM DATA",IF(N183&gt;=0,"DEFESA NO PRAZO","DEFESA FORA DO PRAZO")),IF(G183="DECISÃO D.P","SEM DEFESA",IF(G183="","SEM STATUS",IF(N183="","SEM DATA",IF(N183&lt;0,"VENCIDO",IF(N183&lt;=DiasAlerta,"VENCE EM BREVE","NO PRAZO")))))))</f>
        <v/>
      </c>
      <c r="P183" s="109" t="str">
        <f>IF(D183="","",TODAY()-D183)</f>
        <v/>
      </c>
      <c r="Q183" s="102" t="n"/>
    </row>
    <row r="184" ht="18" customHeight="1">
      <c r="A184" s="101" t="n"/>
      <c r="B184" s="102" t="n"/>
      <c r="C184" s="102" t="n"/>
      <c r="D184" s="103" t="n"/>
      <c r="E184" s="102" t="n"/>
      <c r="F184" s="104" t="n"/>
      <c r="G184" s="104" t="n"/>
      <c r="H184" s="102" t="n"/>
      <c r="I184" s="105" t="n"/>
      <c r="J184" s="105" t="n"/>
      <c r="K184" s="103" t="n"/>
      <c r="L184" s="103" t="n"/>
      <c r="M184" s="106" t="str">
        <f>IF(OR(D184="",E184=""),"",D184+IF(E184="NOTIFICAÇÃO DE CONSTATAÇÃO",PrazoConst,PrazoEsc))</f>
        <v/>
      </c>
      <c r="N184" s="107" t="str">
        <f>IF(M184="","",IF(ISNUMBER(L184),M184-L184,IF(G184="DECISÃO D.P","",M184-TODAY())))</f>
        <v/>
      </c>
      <c r="O184" s="108" t="str">
        <f>IF(B184="","",IF(ISNUMBER(L184),IF(N184="","SEM DATA",IF(N184&gt;=0,"DEFESA NO PRAZO","DEFESA FORA DO PRAZO")),IF(G184="DECISÃO D.P","SEM DEFESA",IF(G184="","SEM STATUS",IF(N184="","SEM DATA",IF(N184&lt;0,"VENCIDO",IF(N184&lt;=DiasAlerta,"VENCE EM BREVE","NO PRAZO")))))))</f>
        <v/>
      </c>
      <c r="P184" s="109" t="str">
        <f>IF(D184="","",TODAY()-D184)</f>
        <v/>
      </c>
      <c r="Q184" s="102" t="n"/>
    </row>
    <row r="185" ht="18" customHeight="1">
      <c r="A185" s="101" t="n"/>
      <c r="B185" s="102" t="n"/>
      <c r="C185" s="102" t="n"/>
      <c r="D185" s="103" t="n"/>
      <c r="E185" s="102" t="n"/>
      <c r="F185" s="104" t="n"/>
      <c r="G185" s="104" t="n"/>
      <c r="H185" s="102" t="n"/>
      <c r="I185" s="105" t="n"/>
      <c r="J185" s="105" t="n"/>
      <c r="K185" s="103" t="n"/>
      <c r="L185" s="103" t="n"/>
      <c r="M185" s="106" t="str">
        <f>IF(OR(D185="",E185=""),"",D185+IF(E185="NOTIFICAÇÃO DE CONSTATAÇÃO",PrazoConst,PrazoEsc))</f>
        <v/>
      </c>
      <c r="N185" s="107" t="str">
        <f>IF(M185="","",IF(ISNUMBER(L185),M185-L185,IF(G185="DECISÃO D.P","",M185-TODAY())))</f>
        <v/>
      </c>
      <c r="O185" s="108" t="str">
        <f>IF(B185="","",IF(ISNUMBER(L185),IF(N185="","SEM DATA",IF(N185&gt;=0,"DEFESA NO PRAZO","DEFESA FORA DO PRAZO")),IF(G185="DECISÃO D.P","SEM DEFESA",IF(G185="","SEM STATUS",IF(N185="","SEM DATA",IF(N185&lt;0,"VENCIDO",IF(N185&lt;=DiasAlerta,"VENCE EM BREVE","NO PRAZO")))))))</f>
        <v/>
      </c>
      <c r="P185" s="109" t="str">
        <f>IF(D185="","",TODAY()-D185)</f>
        <v/>
      </c>
      <c r="Q185" s="102" t="n"/>
    </row>
    <row r="186" ht="18" customHeight="1">
      <c r="A186" s="101" t="n"/>
      <c r="B186" s="102" t="n"/>
      <c r="C186" s="102" t="n"/>
      <c r="D186" s="103" t="n"/>
      <c r="E186" s="102" t="n"/>
      <c r="F186" s="104" t="n"/>
      <c r="G186" s="104" t="n"/>
      <c r="H186" s="102" t="n"/>
      <c r="I186" s="105" t="n"/>
      <c r="J186" s="105" t="n"/>
      <c r="K186" s="103" t="n"/>
      <c r="L186" s="103" t="n"/>
      <c r="M186" s="106" t="str">
        <f>IF(OR(D186="",E186=""),"",D186+IF(E186="NOTIFICAÇÃO DE CONSTATAÇÃO",PrazoConst,PrazoEsc))</f>
        <v/>
      </c>
      <c r="N186" s="107" t="str">
        <f>IF(M186="","",IF(ISNUMBER(L186),M186-L186,IF(G186="DECISÃO D.P","",M186-TODAY())))</f>
        <v/>
      </c>
      <c r="O186" s="108" t="str">
        <f>IF(B186="","",IF(ISNUMBER(L186),IF(N186="","SEM DATA",IF(N186&gt;=0,"DEFESA NO PRAZO","DEFESA FORA DO PRAZO")),IF(G186="DECISÃO D.P","SEM DEFESA",IF(G186="","SEM STATUS",IF(N186="","SEM DATA",IF(N186&lt;0,"VENCIDO",IF(N186&lt;=DiasAlerta,"VENCE EM BREVE","NO PRAZO")))))))</f>
        <v/>
      </c>
      <c r="P186" s="109" t="str">
        <f>IF(D186="","",TODAY()-D186)</f>
        <v/>
      </c>
      <c r="Q186" s="102" t="n"/>
    </row>
    <row r="187" ht="18" customHeight="1">
      <c r="A187" s="101" t="n"/>
      <c r="B187" s="102" t="n"/>
      <c r="C187" s="102" t="n"/>
      <c r="D187" s="103" t="n"/>
      <c r="E187" s="102" t="n"/>
      <c r="F187" s="104" t="n"/>
      <c r="G187" s="104" t="n"/>
      <c r="H187" s="102" t="n"/>
      <c r="I187" s="105" t="n"/>
      <c r="J187" s="105" t="n"/>
      <c r="K187" s="103" t="n"/>
      <c r="L187" s="103" t="n"/>
      <c r="M187" s="106" t="str">
        <f>IF(OR(D187="",E187=""),"",D187+IF(E187="NOTIFICAÇÃO DE CONSTATAÇÃO",PrazoConst,PrazoEsc))</f>
        <v/>
      </c>
      <c r="N187" s="107" t="str">
        <f>IF(M187="","",IF(ISNUMBER(L187),M187-L187,IF(G187="DECISÃO D.P","",M187-TODAY())))</f>
        <v/>
      </c>
      <c r="O187" s="108" t="str">
        <f>IF(B187="","",IF(ISNUMBER(L187),IF(N187="","SEM DATA",IF(N187&gt;=0,"DEFESA NO PRAZO","DEFESA FORA DO PRAZO")),IF(G187="DECISÃO D.P","SEM DEFESA",IF(G187="","SEM STATUS",IF(N187="","SEM DATA",IF(N187&lt;0,"VENCIDO",IF(N187&lt;=DiasAlerta,"VENCE EM BREVE","NO PRAZO")))))))</f>
        <v/>
      </c>
      <c r="P187" s="109" t="str">
        <f>IF(D187="","",TODAY()-D187)</f>
        <v/>
      </c>
      <c r="Q187" s="102" t="n"/>
    </row>
    <row r="188" ht="18" customHeight="1">
      <c r="A188" s="101" t="n"/>
      <c r="B188" s="102" t="n"/>
      <c r="C188" s="102" t="n"/>
      <c r="D188" s="103" t="n"/>
      <c r="E188" s="102" t="n"/>
      <c r="F188" s="104" t="n"/>
      <c r="G188" s="104" t="n"/>
      <c r="H188" s="102" t="n"/>
      <c r="I188" s="105" t="n"/>
      <c r="J188" s="105" t="n"/>
      <c r="K188" s="103" t="n"/>
      <c r="L188" s="103" t="n"/>
      <c r="M188" s="106" t="str">
        <f>IF(OR(D188="",E188=""),"",D188+IF(E188="NOTIFICAÇÃO DE CONSTATAÇÃO",PrazoConst,PrazoEsc))</f>
        <v/>
      </c>
      <c r="N188" s="107" t="str">
        <f>IF(M188="","",IF(ISNUMBER(L188),M188-L188,IF(G188="DECISÃO D.P","",M188-TODAY())))</f>
        <v/>
      </c>
      <c r="O188" s="108" t="str">
        <f>IF(B188="","",IF(ISNUMBER(L188),IF(N188="","SEM DATA",IF(N188&gt;=0,"DEFESA NO PRAZO","DEFESA FORA DO PRAZO")),IF(G188="DECISÃO D.P","SEM DEFESA",IF(G188="","SEM STATUS",IF(N188="","SEM DATA",IF(N188&lt;0,"VENCIDO",IF(N188&lt;=DiasAlerta,"VENCE EM BREVE","NO PRAZO")))))))</f>
        <v/>
      </c>
      <c r="P188" s="109" t="str">
        <f>IF(D188="","",TODAY()-D188)</f>
        <v/>
      </c>
      <c r="Q188" s="102" t="n"/>
    </row>
    <row r="189" ht="18" customHeight="1">
      <c r="A189" s="101" t="n"/>
      <c r="B189" s="102" t="n"/>
      <c r="C189" s="102" t="n"/>
      <c r="D189" s="103" t="n"/>
      <c r="E189" s="102" t="n"/>
      <c r="F189" s="104" t="n"/>
      <c r="G189" s="104" t="n"/>
      <c r="H189" s="102" t="n"/>
      <c r="I189" s="105" t="n"/>
      <c r="J189" s="105" t="n"/>
      <c r="K189" s="103" t="n"/>
      <c r="L189" s="103" t="n"/>
      <c r="M189" s="106" t="str">
        <f>IF(OR(D189="",E189=""),"",D189+IF(E189="NOTIFICAÇÃO DE CONSTATAÇÃO",PrazoConst,PrazoEsc))</f>
        <v/>
      </c>
      <c r="N189" s="107" t="str">
        <f>IF(M189="","",IF(ISNUMBER(L189),M189-L189,IF(G189="DECISÃO D.P","",M189-TODAY())))</f>
        <v/>
      </c>
      <c r="O189" s="108" t="str">
        <f>IF(B189="","",IF(ISNUMBER(L189),IF(N189="","SEM DATA",IF(N189&gt;=0,"DEFESA NO PRAZO","DEFESA FORA DO PRAZO")),IF(G189="DECISÃO D.P","SEM DEFESA",IF(G189="","SEM STATUS",IF(N189="","SEM DATA",IF(N189&lt;0,"VENCIDO",IF(N189&lt;=DiasAlerta,"VENCE EM BREVE","NO PRAZO")))))))</f>
        <v/>
      </c>
      <c r="P189" s="109" t="str">
        <f>IF(D189="","",TODAY()-D189)</f>
        <v/>
      </c>
      <c r="Q189" s="102" t="n"/>
    </row>
    <row r="190" ht="18" customHeight="1">
      <c r="A190" s="101" t="n"/>
      <c r="B190" s="102" t="n"/>
      <c r="C190" s="102" t="n"/>
      <c r="D190" s="103" t="n"/>
      <c r="E190" s="102" t="n"/>
      <c r="F190" s="104" t="n"/>
      <c r="G190" s="104" t="n"/>
      <c r="H190" s="102" t="n"/>
      <c r="I190" s="105" t="n"/>
      <c r="J190" s="105" t="n"/>
      <c r="K190" s="103" t="n"/>
      <c r="L190" s="103" t="n"/>
      <c r="M190" s="106" t="str">
        <f>IF(OR(D190="",E190=""),"",D190+IF(E190="NOTIFICAÇÃO DE CONSTATAÇÃO",PrazoConst,PrazoEsc))</f>
        <v/>
      </c>
      <c r="N190" s="107" t="str">
        <f>IF(M190="","",IF(ISNUMBER(L190),M190-L190,IF(G190="DECISÃO D.P","",M190-TODAY())))</f>
        <v/>
      </c>
      <c r="O190" s="108" t="str">
        <f>IF(B190="","",IF(ISNUMBER(L190),IF(N190="","SEM DATA",IF(N190&gt;=0,"DEFESA NO PRAZO","DEFESA FORA DO PRAZO")),IF(G190="DECISÃO D.P","SEM DEFESA",IF(G190="","SEM STATUS",IF(N190="","SEM DATA",IF(N190&lt;0,"VENCIDO",IF(N190&lt;=DiasAlerta,"VENCE EM BREVE","NO PRAZO")))))))</f>
        <v/>
      </c>
      <c r="P190" s="109" t="str">
        <f>IF(D190="","",TODAY()-D190)</f>
        <v/>
      </c>
      <c r="Q190" s="102" t="n"/>
    </row>
    <row r="191" ht="18" customHeight="1">
      <c r="A191" s="101" t="n"/>
      <c r="B191" s="102" t="n"/>
      <c r="C191" s="102" t="n"/>
      <c r="D191" s="103" t="n"/>
      <c r="E191" s="102" t="n"/>
      <c r="F191" s="104" t="n"/>
      <c r="G191" s="104" t="n"/>
      <c r="H191" s="102" t="n"/>
      <c r="I191" s="105" t="n"/>
      <c r="J191" s="105" t="n"/>
      <c r="K191" s="103" t="n"/>
      <c r="L191" s="103" t="n"/>
      <c r="M191" s="106" t="str">
        <f>IF(OR(D191="",E191=""),"",D191+IF(E191="NOTIFICAÇÃO DE CONSTATAÇÃO",PrazoConst,PrazoEsc))</f>
        <v/>
      </c>
      <c r="N191" s="107" t="str">
        <f>IF(M191="","",IF(ISNUMBER(L191),M191-L191,IF(G191="DECISÃO D.P","",M191-TODAY())))</f>
        <v/>
      </c>
      <c r="O191" s="108" t="str">
        <f>IF(B191="","",IF(ISNUMBER(L191),IF(N191="","SEM DATA",IF(N191&gt;=0,"DEFESA NO PRAZO","DEFESA FORA DO PRAZO")),IF(G191="DECISÃO D.P","SEM DEFESA",IF(G191="","SEM STATUS",IF(N191="","SEM DATA",IF(N191&lt;0,"VENCIDO",IF(N191&lt;=DiasAlerta,"VENCE EM BREVE","NO PRAZO")))))))</f>
        <v/>
      </c>
      <c r="P191" s="109" t="str">
        <f>IF(D191="","",TODAY()-D191)</f>
        <v/>
      </c>
      <c r="Q191" s="102" t="n"/>
    </row>
    <row r="192" ht="18" customHeight="1">
      <c r="A192" s="101" t="n"/>
      <c r="B192" s="102" t="n"/>
      <c r="C192" s="102" t="n"/>
      <c r="D192" s="103" t="n"/>
      <c r="E192" s="102" t="n"/>
      <c r="F192" s="104" t="n"/>
      <c r="G192" s="104" t="n"/>
      <c r="H192" s="102" t="n"/>
      <c r="I192" s="105" t="n"/>
      <c r="J192" s="105" t="n"/>
      <c r="K192" s="103" t="n"/>
      <c r="L192" s="103" t="n"/>
      <c r="M192" s="106" t="str">
        <f>IF(OR(D192="",E192=""),"",D192+IF(E192="NOTIFICAÇÃO DE CONSTATAÇÃO",PrazoConst,PrazoEsc))</f>
        <v/>
      </c>
      <c r="N192" s="107" t="str">
        <f>IF(M192="","",IF(ISNUMBER(L192),M192-L192,IF(G192="DECISÃO D.P","",M192-TODAY())))</f>
        <v/>
      </c>
      <c r="O192" s="108" t="str">
        <f>IF(B192="","",IF(ISNUMBER(L192),IF(N192="","SEM DATA",IF(N192&gt;=0,"DEFESA NO PRAZO","DEFESA FORA DO PRAZO")),IF(G192="DECISÃO D.P","SEM DEFESA",IF(G192="","SEM STATUS",IF(N192="","SEM DATA",IF(N192&lt;0,"VENCIDO",IF(N192&lt;=DiasAlerta,"VENCE EM BREVE","NO PRAZO")))))))</f>
        <v/>
      </c>
      <c r="P192" s="109" t="str">
        <f>IF(D192="","",TODAY()-D192)</f>
        <v/>
      </c>
      <c r="Q192" s="102" t="n"/>
    </row>
    <row r="193" ht="18" customHeight="1">
      <c r="A193" s="101" t="n"/>
      <c r="B193" s="102" t="n"/>
      <c r="C193" s="102" t="n"/>
      <c r="D193" s="103" t="n"/>
      <c r="E193" s="102" t="n"/>
      <c r="F193" s="104" t="n"/>
      <c r="G193" s="104" t="n"/>
      <c r="H193" s="102" t="n"/>
      <c r="I193" s="105" t="n"/>
      <c r="J193" s="105" t="n"/>
      <c r="K193" s="103" t="n"/>
      <c r="L193" s="103" t="n"/>
      <c r="M193" s="106" t="str">
        <f>IF(OR(D193="",E193=""),"",D193+IF(E193="NOTIFICAÇÃO DE CONSTATAÇÃO",PrazoConst,PrazoEsc))</f>
        <v/>
      </c>
      <c r="N193" s="107" t="str">
        <f>IF(M193="","",IF(ISNUMBER(L193),M193-L193,IF(G193="DECISÃO D.P","",M193-TODAY())))</f>
        <v/>
      </c>
      <c r="O193" s="108" t="str">
        <f>IF(B193="","",IF(ISNUMBER(L193),IF(N193="","SEM DATA",IF(N193&gt;=0,"DEFESA NO PRAZO","DEFESA FORA DO PRAZO")),IF(G193="DECISÃO D.P","SEM DEFESA",IF(G193="","SEM STATUS",IF(N193="","SEM DATA",IF(N193&lt;0,"VENCIDO",IF(N193&lt;=DiasAlerta,"VENCE EM BREVE","NO PRAZO")))))))</f>
        <v/>
      </c>
      <c r="P193" s="109" t="str">
        <f>IF(D193="","",TODAY()-D193)</f>
        <v/>
      </c>
      <c r="Q193" s="102" t="n"/>
    </row>
    <row r="194" ht="18" customHeight="1">
      <c r="A194" s="101" t="n"/>
      <c r="B194" s="102" t="n"/>
      <c r="C194" s="102" t="n"/>
      <c r="D194" s="103" t="n"/>
      <c r="E194" s="102" t="n"/>
      <c r="F194" s="104" t="n"/>
      <c r="G194" s="104" t="n"/>
      <c r="H194" s="102" t="n"/>
      <c r="I194" s="105" t="n"/>
      <c r="J194" s="105" t="n"/>
      <c r="K194" s="103" t="n"/>
      <c r="L194" s="103" t="n"/>
      <c r="M194" s="106" t="str">
        <f>IF(OR(D194="",E194=""),"",D194+IF(E194="NOTIFICAÇÃO DE CONSTATAÇÃO",PrazoConst,PrazoEsc))</f>
        <v/>
      </c>
      <c r="N194" s="107" t="str">
        <f>IF(M194="","",IF(ISNUMBER(L194),M194-L194,IF(G194="DECISÃO D.P","",M194-TODAY())))</f>
        <v/>
      </c>
      <c r="O194" s="108" t="str">
        <f>IF(B194="","",IF(ISNUMBER(L194),IF(N194="","SEM DATA",IF(N194&gt;=0,"DEFESA NO PRAZO","DEFESA FORA DO PRAZO")),IF(G194="DECISÃO D.P","SEM DEFESA",IF(G194="","SEM STATUS",IF(N194="","SEM DATA",IF(N194&lt;0,"VENCIDO",IF(N194&lt;=DiasAlerta,"VENCE EM BREVE","NO PRAZO")))))))</f>
        <v/>
      </c>
      <c r="P194" s="109" t="str">
        <f>IF(D194="","",TODAY()-D194)</f>
        <v/>
      </c>
      <c r="Q194" s="102" t="n"/>
    </row>
    <row r="195" ht="18" customHeight="1">
      <c r="A195" s="101" t="n"/>
      <c r="B195" s="102" t="n"/>
      <c r="C195" s="102" t="n"/>
      <c r="D195" s="103" t="n"/>
      <c r="E195" s="102" t="n"/>
      <c r="F195" s="104" t="n"/>
      <c r="G195" s="104" t="n"/>
      <c r="H195" s="102" t="n"/>
      <c r="I195" s="105" t="n"/>
      <c r="J195" s="105" t="n"/>
      <c r="K195" s="103" t="n"/>
      <c r="L195" s="103" t="n"/>
      <c r="M195" s="106" t="str">
        <f>IF(OR(D195="",E195=""),"",D195+IF(E195="NOTIFICAÇÃO DE CONSTATAÇÃO",PrazoConst,PrazoEsc))</f>
        <v/>
      </c>
      <c r="N195" s="107" t="str">
        <f>IF(M195="","",IF(ISNUMBER(L195),M195-L195,IF(G195="DECISÃO D.P","",M195-TODAY())))</f>
        <v/>
      </c>
      <c r="O195" s="108" t="str">
        <f>IF(B195="","",IF(ISNUMBER(L195),IF(N195="","SEM DATA",IF(N195&gt;=0,"DEFESA NO PRAZO","DEFESA FORA DO PRAZO")),IF(G195="DECISÃO D.P","SEM DEFESA",IF(G195="","SEM STATUS",IF(N195="","SEM DATA",IF(N195&lt;0,"VENCIDO",IF(N195&lt;=DiasAlerta,"VENCE EM BREVE","NO PRAZO")))))))</f>
        <v/>
      </c>
      <c r="P195" s="109" t="str">
        <f>IF(D195="","",TODAY()-D195)</f>
        <v/>
      </c>
      <c r="Q195" s="102" t="n"/>
    </row>
    <row r="196" ht="18" customHeight="1">
      <c r="A196" s="101" t="n"/>
      <c r="B196" s="102" t="n"/>
      <c r="C196" s="102" t="n"/>
      <c r="D196" s="103" t="n"/>
      <c r="E196" s="102" t="n"/>
      <c r="F196" s="104" t="n"/>
      <c r="G196" s="104" t="n"/>
      <c r="H196" s="102" t="n"/>
      <c r="I196" s="105" t="n"/>
      <c r="J196" s="105" t="n"/>
      <c r="K196" s="103" t="n"/>
      <c r="L196" s="103" t="n"/>
      <c r="M196" s="106" t="str">
        <f>IF(OR(D196="",E196=""),"",D196+IF(E196="NOTIFICAÇÃO DE CONSTATAÇÃO",PrazoConst,PrazoEsc))</f>
        <v/>
      </c>
      <c r="N196" s="107" t="str">
        <f>IF(M196="","",IF(ISNUMBER(L196),M196-L196,IF(G196="DECISÃO D.P","",M196-TODAY())))</f>
        <v/>
      </c>
      <c r="O196" s="108" t="str">
        <f>IF(B196="","",IF(ISNUMBER(L196),IF(N196="","SEM DATA",IF(N196&gt;=0,"DEFESA NO PRAZO","DEFESA FORA DO PRAZO")),IF(G196="DECISÃO D.P","SEM DEFESA",IF(G196="","SEM STATUS",IF(N196="","SEM DATA",IF(N196&lt;0,"VENCIDO",IF(N196&lt;=DiasAlerta,"VENCE EM BREVE","NO PRAZO")))))))</f>
        <v/>
      </c>
      <c r="P196" s="109" t="str">
        <f>IF(D196="","",TODAY()-D196)</f>
        <v/>
      </c>
      <c r="Q196" s="102" t="n"/>
    </row>
    <row r="197" ht="18" customHeight="1">
      <c r="A197" s="101" t="n"/>
      <c r="B197" s="102" t="n"/>
      <c r="C197" s="102" t="n"/>
      <c r="D197" s="103" t="n"/>
      <c r="E197" s="102" t="n"/>
      <c r="F197" s="104" t="n"/>
      <c r="G197" s="104" t="n"/>
      <c r="H197" s="102" t="n"/>
      <c r="I197" s="105" t="n"/>
      <c r="J197" s="105" t="n"/>
      <c r="K197" s="103" t="n"/>
      <c r="L197" s="103" t="n"/>
      <c r="M197" s="106" t="str">
        <f>IF(OR(D197="",E197=""),"",D197+IF(E197="NOTIFICAÇÃO DE CONSTATAÇÃO",PrazoConst,PrazoEsc))</f>
        <v/>
      </c>
      <c r="N197" s="107" t="str">
        <f>IF(M197="","",IF(ISNUMBER(L197),M197-L197,IF(G197="DECISÃO D.P","",M197-TODAY())))</f>
        <v/>
      </c>
      <c r="O197" s="108" t="str">
        <f>IF(B197="","",IF(ISNUMBER(L197),IF(N197="","SEM DATA",IF(N197&gt;=0,"DEFESA NO PRAZO","DEFESA FORA DO PRAZO")),IF(G197="DECISÃO D.P","SEM DEFESA",IF(G197="","SEM STATUS",IF(N197="","SEM DATA",IF(N197&lt;0,"VENCIDO",IF(N197&lt;=DiasAlerta,"VENCE EM BREVE","NO PRAZO")))))))</f>
        <v/>
      </c>
      <c r="P197" s="109" t="str">
        <f>IF(D197="","",TODAY()-D197)</f>
        <v/>
      </c>
      <c r="Q197" s="102" t="n"/>
    </row>
    <row r="198" ht="18" customHeight="1">
      <c r="A198" s="101" t="n"/>
      <c r="B198" s="102" t="n"/>
      <c r="C198" s="102" t="n"/>
      <c r="D198" s="103" t="n"/>
      <c r="E198" s="102" t="n"/>
      <c r="F198" s="104" t="n"/>
      <c r="G198" s="104" t="n"/>
      <c r="H198" s="102" t="n"/>
      <c r="I198" s="105" t="n"/>
      <c r="J198" s="105" t="n"/>
      <c r="K198" s="103" t="n"/>
      <c r="L198" s="103" t="n"/>
      <c r="M198" s="106" t="str">
        <f>IF(OR(D198="",E198=""),"",D198+IF(E198="NOTIFICAÇÃO DE CONSTATAÇÃO",PrazoConst,PrazoEsc))</f>
        <v/>
      </c>
      <c r="N198" s="107" t="str">
        <f>IF(M198="","",IF(ISNUMBER(L198),M198-L198,IF(G198="DECISÃO D.P","",M198-TODAY())))</f>
        <v/>
      </c>
      <c r="O198" s="108" t="str">
        <f>IF(B198="","",IF(ISNUMBER(L198),IF(N198="","SEM DATA",IF(N198&gt;=0,"DEFESA NO PRAZO","DEFESA FORA DO PRAZO")),IF(G198="DECISÃO D.P","SEM DEFESA",IF(G198="","SEM STATUS",IF(N198="","SEM DATA",IF(N198&lt;0,"VENCIDO",IF(N198&lt;=DiasAlerta,"VENCE EM BREVE","NO PRAZO")))))))</f>
        <v/>
      </c>
      <c r="P198" s="109" t="str">
        <f>IF(D198="","",TODAY()-D198)</f>
        <v/>
      </c>
      <c r="Q198" s="102" t="n"/>
    </row>
    <row r="199" ht="18" customHeight="1">
      <c r="A199" s="101" t="n"/>
      <c r="B199" s="102" t="n"/>
      <c r="C199" s="102" t="n"/>
      <c r="D199" s="103" t="n"/>
      <c r="E199" s="102" t="n"/>
      <c r="F199" s="104" t="n"/>
      <c r="G199" s="104" t="n"/>
      <c r="H199" s="102" t="n"/>
      <c r="I199" s="105" t="n"/>
      <c r="J199" s="105" t="n"/>
      <c r="K199" s="103" t="n"/>
      <c r="L199" s="103" t="n"/>
      <c r="M199" s="106" t="str">
        <f>IF(OR(D199="",E199=""),"",D199+IF(E199="NOTIFICAÇÃO DE CONSTATAÇÃO",PrazoConst,PrazoEsc))</f>
        <v/>
      </c>
      <c r="N199" s="107" t="str">
        <f>IF(M199="","",IF(ISNUMBER(L199),M199-L199,IF(G199="DECISÃO D.P","",M199-TODAY())))</f>
        <v/>
      </c>
      <c r="O199" s="108" t="str">
        <f>IF(B199="","",IF(ISNUMBER(L199),IF(N199="","SEM DATA",IF(N199&gt;=0,"DEFESA NO PRAZO","DEFESA FORA DO PRAZO")),IF(G199="DECISÃO D.P","SEM DEFESA",IF(G199="","SEM STATUS",IF(N199="","SEM DATA",IF(N199&lt;0,"VENCIDO",IF(N199&lt;=DiasAlerta,"VENCE EM BREVE","NO PRAZO")))))))</f>
        <v/>
      </c>
      <c r="P199" s="109" t="str">
        <f>IF(D199="","",TODAY()-D199)</f>
        <v/>
      </c>
      <c r="Q199" s="102" t="n"/>
    </row>
    <row r="200" ht="18" customHeight="1">
      <c r="A200" s="101" t="n"/>
      <c r="B200" s="102" t="n"/>
      <c r="C200" s="102" t="n"/>
      <c r="D200" s="103" t="n"/>
      <c r="E200" s="102" t="n"/>
      <c r="F200" s="104" t="n"/>
      <c r="G200" s="104" t="n"/>
      <c r="H200" s="102" t="n"/>
      <c r="I200" s="105" t="n"/>
      <c r="J200" s="105" t="n"/>
      <c r="K200" s="103" t="n"/>
      <c r="L200" s="103" t="n"/>
      <c r="M200" s="106" t="str">
        <f>IF(OR(D200="",E200=""),"",D200+IF(E200="NOTIFICAÇÃO DE CONSTATAÇÃO",PrazoConst,PrazoEsc))</f>
        <v/>
      </c>
      <c r="N200" s="107" t="str">
        <f>IF(M200="","",IF(ISNUMBER(L200),M200-L200,IF(G200="DECISÃO D.P","",M200-TODAY())))</f>
        <v/>
      </c>
      <c r="O200" s="108" t="str">
        <f>IF(B200="","",IF(ISNUMBER(L200),IF(N200="","SEM DATA",IF(N200&gt;=0,"DEFESA NO PRAZO","DEFESA FORA DO PRAZO")),IF(G200="DECISÃO D.P","SEM DEFESA",IF(G200="","SEM STATUS",IF(N200="","SEM DATA",IF(N200&lt;0,"VENCIDO",IF(N200&lt;=DiasAlerta,"VENCE EM BREVE","NO PRAZO")))))))</f>
        <v/>
      </c>
      <c r="P200" s="109" t="str">
        <f>IF(D200="","",TODAY()-D200)</f>
        <v/>
      </c>
      <c r="Q200" s="102" t="n"/>
    </row>
    <row r="201" ht="18" customHeight="1">
      <c r="A201" s="101" t="n"/>
      <c r="B201" s="102" t="n"/>
      <c r="C201" s="102" t="n"/>
      <c r="D201" s="103" t="n"/>
      <c r="E201" s="102" t="n"/>
      <c r="F201" s="104" t="n"/>
      <c r="G201" s="104" t="n"/>
      <c r="H201" s="102" t="n"/>
      <c r="I201" s="105" t="n"/>
      <c r="J201" s="105" t="n"/>
      <c r="K201" s="103" t="n"/>
      <c r="L201" s="103" t="n"/>
      <c r="M201" s="106" t="str">
        <f>IF(OR(D201="",E201=""),"",D201+IF(E201="NOTIFICAÇÃO DE CONSTATAÇÃO",PrazoConst,PrazoEsc))</f>
        <v/>
      </c>
      <c r="N201" s="107" t="str">
        <f>IF(M201="","",IF(ISNUMBER(L201),M201-L201,IF(G201="DECISÃO D.P","",M201-TODAY())))</f>
        <v/>
      </c>
      <c r="O201" s="108" t="str">
        <f>IF(B201="","",IF(ISNUMBER(L201),IF(N201="","SEM DATA",IF(N201&gt;=0,"DEFESA NO PRAZO","DEFESA FORA DO PRAZO")),IF(G201="DECISÃO D.P","SEM DEFESA",IF(G201="","SEM STATUS",IF(N201="","SEM DATA",IF(N201&lt;0,"VENCIDO",IF(N201&lt;=DiasAlerta,"VENCE EM BREVE","NO PRAZO")))))))</f>
        <v/>
      </c>
      <c r="P201" s="109" t="str">
        <f>IF(D201="","",TODAY()-D201)</f>
        <v/>
      </c>
      <c r="Q201" s="102" t="n"/>
    </row>
    <row r="202" ht="18" customHeight="1">
      <c r="A202" s="101" t="n"/>
      <c r="B202" s="102" t="n"/>
      <c r="C202" s="102" t="n"/>
      <c r="D202" s="103" t="n"/>
      <c r="E202" s="102" t="n"/>
      <c r="F202" s="104" t="n"/>
      <c r="G202" s="104" t="n"/>
      <c r="H202" s="102" t="n"/>
      <c r="I202" s="105" t="n"/>
      <c r="J202" s="105" t="n"/>
      <c r="K202" s="103" t="n"/>
      <c r="L202" s="103" t="n"/>
      <c r="M202" s="106" t="str">
        <f>IF(OR(D202="",E202=""),"",D202+IF(E202="NOTIFICAÇÃO DE CONSTATAÇÃO",PrazoConst,PrazoEsc))</f>
        <v/>
      </c>
      <c r="N202" s="107" t="str">
        <f>IF(M202="","",IF(ISNUMBER(L202),M202-L202,IF(G202="DECISÃO D.P","",M202-TODAY())))</f>
        <v/>
      </c>
      <c r="O202" s="108" t="str">
        <f>IF(B202="","",IF(ISNUMBER(L202),IF(N202="","SEM DATA",IF(N202&gt;=0,"DEFESA NO PRAZO","DEFESA FORA DO PRAZO")),IF(G202="DECISÃO D.P","SEM DEFESA",IF(G202="","SEM STATUS",IF(N202="","SEM DATA",IF(N202&lt;0,"VENCIDO",IF(N202&lt;=DiasAlerta,"VENCE EM BREVE","NO PRAZO")))))))</f>
        <v/>
      </c>
      <c r="P202" s="109" t="str">
        <f>IF(D202="","",TODAY()-D202)</f>
        <v/>
      </c>
      <c r="Q202" s="102" t="n"/>
    </row>
    <row r="203" ht="18" customHeight="1">
      <c r="A203" s="101" t="n"/>
      <c r="B203" s="102" t="n"/>
      <c r="C203" s="102" t="n"/>
      <c r="D203" s="103" t="n"/>
      <c r="E203" s="102" t="n"/>
      <c r="F203" s="104" t="n"/>
      <c r="G203" s="104" t="n"/>
      <c r="H203" s="102" t="n"/>
      <c r="I203" s="105" t="n"/>
      <c r="J203" s="105" t="n"/>
      <c r="K203" s="103" t="n"/>
      <c r="L203" s="103" t="n"/>
      <c r="M203" s="106" t="str">
        <f>IF(OR(D203="",E203=""),"",D203+IF(E203="NOTIFICAÇÃO DE CONSTATAÇÃO",PrazoConst,PrazoEsc))</f>
        <v/>
      </c>
      <c r="N203" s="107" t="str">
        <f>IF(M203="","",IF(ISNUMBER(L203),M203-L203,IF(G203="DECISÃO D.P","",M203-TODAY())))</f>
        <v/>
      </c>
      <c r="O203" s="108" t="str">
        <f>IF(B203="","",IF(ISNUMBER(L203),IF(N203="","SEM DATA",IF(N203&gt;=0,"DEFESA NO PRAZO","DEFESA FORA DO PRAZO")),IF(G203="DECISÃO D.P","SEM DEFESA",IF(G203="","SEM STATUS",IF(N203="","SEM DATA",IF(N203&lt;0,"VENCIDO",IF(N203&lt;=DiasAlerta,"VENCE EM BREVE","NO PRAZO")))))))</f>
        <v/>
      </c>
      <c r="P203" s="109" t="str">
        <f>IF(D203="","",TODAY()-D203)</f>
        <v/>
      </c>
      <c r="Q203" s="102" t="n"/>
    </row>
    <row r="204" ht="18" customHeight="1">
      <c r="A204" s="101" t="n"/>
      <c r="B204" s="102" t="n"/>
      <c r="C204" s="102" t="n"/>
      <c r="D204" s="103" t="n"/>
      <c r="E204" s="102" t="n"/>
      <c r="F204" s="104" t="n"/>
      <c r="G204" s="104" t="n"/>
      <c r="H204" s="102" t="n"/>
      <c r="I204" s="105" t="n"/>
      <c r="J204" s="105" t="n"/>
      <c r="K204" s="103" t="n"/>
      <c r="L204" s="103" t="n"/>
      <c r="M204" s="106" t="str">
        <f>IF(OR(D204="",E204=""),"",D204+IF(E204="NOTIFICAÇÃO DE CONSTATAÇÃO",PrazoConst,PrazoEsc))</f>
        <v/>
      </c>
      <c r="N204" s="107" t="str">
        <f>IF(M204="","",IF(ISNUMBER(L204),M204-L204,IF(G204="DECISÃO D.P","",M204-TODAY())))</f>
        <v/>
      </c>
      <c r="O204" s="108" t="str">
        <f>IF(B204="","",IF(ISNUMBER(L204),IF(N204="","SEM DATA",IF(N204&gt;=0,"DEFESA NO PRAZO","DEFESA FORA DO PRAZO")),IF(G204="DECISÃO D.P","SEM DEFESA",IF(G204="","SEM STATUS",IF(N204="","SEM DATA",IF(N204&lt;0,"VENCIDO",IF(N204&lt;=DiasAlerta,"VENCE EM BREVE","NO PRAZO")))))))</f>
        <v/>
      </c>
      <c r="P204" s="109" t="str">
        <f>IF(D204="","",TODAY()-D204)</f>
        <v/>
      </c>
      <c r="Q204" s="102" t="n"/>
    </row>
    <row r="205" ht="18" customHeight="1">
      <c r="A205" s="101" t="n"/>
      <c r="B205" s="102" t="n"/>
      <c r="C205" s="102" t="n"/>
      <c r="D205" s="103" t="n"/>
      <c r="E205" s="102" t="n"/>
      <c r="F205" s="104" t="n"/>
      <c r="G205" s="104" t="n"/>
      <c r="H205" s="102" t="n"/>
      <c r="I205" s="105" t="n"/>
      <c r="J205" s="105" t="n"/>
      <c r="K205" s="103" t="n"/>
      <c r="L205" s="103" t="n"/>
      <c r="M205" s="106" t="str">
        <f>IF(OR(D205="",E205=""),"",D205+IF(E205="NOTIFICAÇÃO DE CONSTATAÇÃO",PrazoConst,PrazoEsc))</f>
        <v/>
      </c>
      <c r="N205" s="107" t="str">
        <f>IF(M205="","",IF(ISNUMBER(L205),M205-L205,IF(G205="DECISÃO D.P","",M205-TODAY())))</f>
        <v/>
      </c>
      <c r="O205" s="108" t="str">
        <f>IF(B205="","",IF(ISNUMBER(L205),IF(N205="","SEM DATA",IF(N205&gt;=0,"DEFESA NO PRAZO","DEFESA FORA DO PRAZO")),IF(G205="DECISÃO D.P","SEM DEFESA",IF(G205="","SEM STATUS",IF(N205="","SEM DATA",IF(N205&lt;0,"VENCIDO",IF(N205&lt;=DiasAlerta,"VENCE EM BREVE","NO PRAZO")))))))</f>
        <v/>
      </c>
      <c r="P205" s="109" t="str">
        <f>IF(D205="","",TODAY()-D205)</f>
        <v/>
      </c>
      <c r="Q205" s="102" t="n"/>
    </row>
    <row r="206" ht="18" customHeight="1">
      <c r="A206" s="101" t="n"/>
      <c r="B206" s="102" t="n"/>
      <c r="C206" s="102" t="n"/>
      <c r="D206" s="103" t="n"/>
      <c r="E206" s="102" t="n"/>
      <c r="F206" s="104" t="n"/>
      <c r="G206" s="104" t="n"/>
      <c r="H206" s="102" t="n"/>
      <c r="I206" s="105" t="n"/>
      <c r="J206" s="105" t="n"/>
      <c r="K206" s="103" t="n"/>
      <c r="L206" s="103" t="n"/>
      <c r="M206" s="106" t="str">
        <f>IF(OR(D206="",E206=""),"",D206+IF(E206="NOTIFICAÇÃO DE CONSTATAÇÃO",PrazoConst,PrazoEsc))</f>
        <v/>
      </c>
      <c r="N206" s="107" t="str">
        <f>IF(M206="","",IF(ISNUMBER(L206),M206-L206,IF(G206="DECISÃO D.P","",M206-TODAY())))</f>
        <v/>
      </c>
      <c r="O206" s="108" t="str">
        <f>IF(B206="","",IF(ISNUMBER(L206),IF(N206="","SEM DATA",IF(N206&gt;=0,"DEFESA NO PRAZO","DEFESA FORA DO PRAZO")),IF(G206="DECISÃO D.P","SEM DEFESA",IF(G206="","SEM STATUS",IF(N206="","SEM DATA",IF(N206&lt;0,"VENCIDO",IF(N206&lt;=DiasAlerta,"VENCE EM BREVE","NO PRAZO")))))))</f>
        <v/>
      </c>
      <c r="P206" s="109" t="str">
        <f>IF(D206="","",TODAY()-D206)</f>
        <v/>
      </c>
      <c r="Q206" s="102" t="n"/>
    </row>
    <row r="207" ht="18" customHeight="1">
      <c r="A207" s="101" t="n"/>
      <c r="B207" s="102" t="n"/>
      <c r="C207" s="102" t="n"/>
      <c r="D207" s="103" t="n"/>
      <c r="E207" s="102" t="n"/>
      <c r="F207" s="104" t="n"/>
      <c r="G207" s="104" t="n"/>
      <c r="H207" s="102" t="n"/>
      <c r="I207" s="105" t="n"/>
      <c r="J207" s="105" t="n"/>
      <c r="K207" s="103" t="n"/>
      <c r="L207" s="103" t="n"/>
      <c r="M207" s="106" t="str">
        <f>IF(OR(D207="",E207=""),"",D207+IF(E207="NOTIFICAÇÃO DE CONSTATAÇÃO",PrazoConst,PrazoEsc))</f>
        <v/>
      </c>
      <c r="N207" s="107" t="str">
        <f>IF(M207="","",IF(ISNUMBER(L207),M207-L207,IF(G207="DECISÃO D.P","",M207-TODAY())))</f>
        <v/>
      </c>
      <c r="O207" s="108" t="str">
        <f>IF(B207="","",IF(ISNUMBER(L207),IF(N207="","SEM DATA",IF(N207&gt;=0,"DEFESA NO PRAZO","DEFESA FORA DO PRAZO")),IF(G207="DECISÃO D.P","SEM DEFESA",IF(G207="","SEM STATUS",IF(N207="","SEM DATA",IF(N207&lt;0,"VENCIDO",IF(N207&lt;=DiasAlerta,"VENCE EM BREVE","NO PRAZO")))))))</f>
        <v/>
      </c>
      <c r="P207" s="109" t="str">
        <f>IF(D207="","",TODAY()-D207)</f>
        <v/>
      </c>
      <c r="Q207" s="102" t="n"/>
    </row>
    <row r="208" ht="18" customHeight="1">
      <c r="A208" s="101" t="n"/>
      <c r="B208" s="102" t="n"/>
      <c r="C208" s="102" t="n"/>
      <c r="D208" s="103" t="n"/>
      <c r="E208" s="102" t="n"/>
      <c r="F208" s="104" t="n"/>
      <c r="G208" s="104" t="n"/>
      <c r="H208" s="102" t="n"/>
      <c r="I208" s="105" t="n"/>
      <c r="J208" s="105" t="n"/>
      <c r="K208" s="103" t="n"/>
      <c r="L208" s="103" t="n"/>
      <c r="M208" s="106" t="str">
        <f>IF(OR(D208="",E208=""),"",D208+IF(E208="NOTIFICAÇÃO DE CONSTATAÇÃO",PrazoConst,PrazoEsc))</f>
        <v/>
      </c>
      <c r="N208" s="107" t="str">
        <f>IF(M208="","",IF(ISNUMBER(L208),M208-L208,IF(G208="DECISÃO D.P","",M208-TODAY())))</f>
        <v/>
      </c>
      <c r="O208" s="108" t="str">
        <f>IF(B208="","",IF(ISNUMBER(L208),IF(N208="","SEM DATA",IF(N208&gt;=0,"DEFESA NO PRAZO","DEFESA FORA DO PRAZO")),IF(G208="DECISÃO D.P","SEM DEFESA",IF(G208="","SEM STATUS",IF(N208="","SEM DATA",IF(N208&lt;0,"VENCIDO",IF(N208&lt;=DiasAlerta,"VENCE EM BREVE","NO PRAZO")))))))</f>
        <v/>
      </c>
      <c r="P208" s="109" t="str">
        <f>IF(D208="","",TODAY()-D208)</f>
        <v/>
      </c>
      <c r="Q208" s="102" t="n"/>
    </row>
    <row r="209" ht="18" customHeight="1">
      <c r="A209" s="101" t="n"/>
      <c r="B209" s="102" t="n"/>
      <c r="C209" s="102" t="n"/>
      <c r="D209" s="103" t="n"/>
      <c r="E209" s="102" t="n"/>
      <c r="F209" s="104" t="n"/>
      <c r="G209" s="104" t="n"/>
      <c r="H209" s="102" t="n"/>
      <c r="I209" s="105" t="n"/>
      <c r="J209" s="105" t="n"/>
      <c r="K209" s="103" t="n"/>
      <c r="L209" s="103" t="n"/>
      <c r="M209" s="106" t="str">
        <f>IF(OR(D209="",E209=""),"",D209+IF(E209="NOTIFICAÇÃO DE CONSTATAÇÃO",PrazoConst,PrazoEsc))</f>
        <v/>
      </c>
      <c r="N209" s="107" t="str">
        <f>IF(M209="","",IF(ISNUMBER(L209),M209-L209,IF(G209="DECISÃO D.P","",M209-TODAY())))</f>
        <v/>
      </c>
      <c r="O209" s="108" t="str">
        <f>IF(B209="","",IF(ISNUMBER(L209),IF(N209="","SEM DATA",IF(N209&gt;=0,"DEFESA NO PRAZO","DEFESA FORA DO PRAZO")),IF(G209="DECISÃO D.P","SEM DEFESA",IF(G209="","SEM STATUS",IF(N209="","SEM DATA",IF(N209&lt;0,"VENCIDO",IF(N209&lt;=DiasAlerta,"VENCE EM BREVE","NO PRAZO")))))))</f>
        <v/>
      </c>
      <c r="P209" s="109" t="str">
        <f>IF(D209="","",TODAY()-D209)</f>
        <v/>
      </c>
      <c r="Q209" s="102" t="n"/>
    </row>
    <row r="210" ht="18" customHeight="1">
      <c r="A210" s="101" t="n"/>
      <c r="B210" s="102" t="n"/>
      <c r="C210" s="102" t="n"/>
      <c r="D210" s="103" t="n"/>
      <c r="E210" s="102" t="n"/>
      <c r="F210" s="104" t="n"/>
      <c r="G210" s="104" t="n"/>
      <c r="H210" s="102" t="n"/>
      <c r="I210" s="105" t="n"/>
      <c r="J210" s="105" t="n"/>
      <c r="K210" s="103" t="n"/>
      <c r="L210" s="103" t="n"/>
      <c r="M210" s="106" t="str">
        <f>IF(OR(D210="",E210=""),"",D210+IF(E210="NOTIFICAÇÃO DE CONSTATAÇÃO",PrazoConst,PrazoEsc))</f>
        <v/>
      </c>
      <c r="N210" s="107" t="str">
        <f>IF(M210="","",IF(ISNUMBER(L210),M210-L210,IF(G210="DECISÃO D.P","",M210-TODAY())))</f>
        <v/>
      </c>
      <c r="O210" s="108" t="str">
        <f>IF(B210="","",IF(ISNUMBER(L210),IF(N210="","SEM DATA",IF(N210&gt;=0,"DEFESA NO PRAZO","DEFESA FORA DO PRAZO")),IF(G210="DECISÃO D.P","SEM DEFESA",IF(G210="","SEM STATUS",IF(N210="","SEM DATA",IF(N210&lt;0,"VENCIDO",IF(N210&lt;=DiasAlerta,"VENCE EM BREVE","NO PRAZO")))))))</f>
        <v/>
      </c>
      <c r="P210" s="109" t="str">
        <f>IF(D210="","",TODAY()-D210)</f>
        <v/>
      </c>
      <c r="Q210" s="102" t="n"/>
    </row>
    <row r="211" ht="18" customHeight="1">
      <c r="A211" s="101" t="n"/>
      <c r="B211" s="102" t="n"/>
      <c r="C211" s="102" t="n"/>
      <c r="D211" s="103" t="n"/>
      <c r="E211" s="102" t="n"/>
      <c r="F211" s="104" t="n"/>
      <c r="G211" s="104" t="n"/>
      <c r="H211" s="102" t="n"/>
      <c r="I211" s="105" t="n"/>
      <c r="J211" s="105" t="n"/>
      <c r="K211" s="103" t="n"/>
      <c r="L211" s="103" t="n"/>
      <c r="M211" s="106" t="str">
        <f>IF(OR(D211="",E211=""),"",D211+IF(E211="NOTIFICAÇÃO DE CONSTATAÇÃO",PrazoConst,PrazoEsc))</f>
        <v/>
      </c>
      <c r="N211" s="107" t="str">
        <f>IF(M211="","",IF(ISNUMBER(L211),M211-L211,IF(G211="DECISÃO D.P","",M211-TODAY())))</f>
        <v/>
      </c>
      <c r="O211" s="108" t="str">
        <f>IF(B211="","",IF(ISNUMBER(L211),IF(N211="","SEM DATA",IF(N211&gt;=0,"DEFESA NO PRAZO","DEFESA FORA DO PRAZO")),IF(G211="DECISÃO D.P","SEM DEFESA",IF(G211="","SEM STATUS",IF(N211="","SEM DATA",IF(N211&lt;0,"VENCIDO",IF(N211&lt;=DiasAlerta,"VENCE EM BREVE","NO PRAZO")))))))</f>
        <v/>
      </c>
      <c r="P211" s="109" t="str">
        <f>IF(D211="","",TODAY()-D211)</f>
        <v/>
      </c>
      <c r="Q211" s="102" t="n"/>
    </row>
    <row r="212" ht="18" customHeight="1">
      <c r="A212" s="101" t="n"/>
      <c r="B212" s="102" t="n"/>
      <c r="C212" s="102" t="n"/>
      <c r="D212" s="103" t="n"/>
      <c r="E212" s="102" t="n"/>
      <c r="F212" s="104" t="n"/>
      <c r="G212" s="104" t="n"/>
      <c r="H212" s="102" t="n"/>
      <c r="I212" s="105" t="n"/>
      <c r="J212" s="105" t="n"/>
      <c r="K212" s="103" t="n"/>
      <c r="L212" s="103" t="n"/>
      <c r="M212" s="106" t="str">
        <f>IF(OR(D212="",E212=""),"",D212+IF(E212="NOTIFICAÇÃO DE CONSTATAÇÃO",PrazoConst,PrazoEsc))</f>
        <v/>
      </c>
      <c r="N212" s="107" t="str">
        <f>IF(M212="","",IF(ISNUMBER(L212),M212-L212,IF(G212="DECISÃO D.P","",M212-TODAY())))</f>
        <v/>
      </c>
      <c r="O212" s="108" t="str">
        <f>IF(B212="","",IF(ISNUMBER(L212),IF(N212="","SEM DATA",IF(N212&gt;=0,"DEFESA NO PRAZO","DEFESA FORA DO PRAZO")),IF(G212="DECISÃO D.P","SEM DEFESA",IF(G212="","SEM STATUS",IF(N212="","SEM DATA",IF(N212&lt;0,"VENCIDO",IF(N212&lt;=DiasAlerta,"VENCE EM BREVE","NO PRAZO")))))))</f>
        <v/>
      </c>
      <c r="P212" s="109" t="str">
        <f>IF(D212="","",TODAY()-D212)</f>
        <v/>
      </c>
      <c r="Q212" s="102" t="n"/>
    </row>
    <row r="213" ht="18" customHeight="1">
      <c r="A213" s="101" t="n"/>
      <c r="B213" s="102" t="n"/>
      <c r="C213" s="102" t="n"/>
      <c r="D213" s="103" t="n"/>
      <c r="E213" s="102" t="n"/>
      <c r="F213" s="104" t="n"/>
      <c r="G213" s="104" t="n"/>
      <c r="H213" s="102" t="n"/>
      <c r="I213" s="105" t="n"/>
      <c r="J213" s="105" t="n"/>
      <c r="K213" s="103" t="n"/>
      <c r="L213" s="103" t="n"/>
      <c r="M213" s="106" t="str">
        <f>IF(OR(D213="",E213=""),"",D213+IF(E213="NOTIFICAÇÃO DE CONSTATAÇÃO",PrazoConst,PrazoEsc))</f>
        <v/>
      </c>
      <c r="N213" s="107" t="str">
        <f>IF(M213="","",IF(ISNUMBER(L213),M213-L213,IF(G213="DECISÃO D.P","",M213-TODAY())))</f>
        <v/>
      </c>
      <c r="O213" s="108" t="str">
        <f>IF(B213="","",IF(ISNUMBER(L213),IF(N213="","SEM DATA",IF(N213&gt;=0,"DEFESA NO PRAZO","DEFESA FORA DO PRAZO")),IF(G213="DECISÃO D.P","SEM DEFESA",IF(G213="","SEM STATUS",IF(N213="","SEM DATA",IF(N213&lt;0,"VENCIDO",IF(N213&lt;=DiasAlerta,"VENCE EM BREVE","NO PRAZO")))))))</f>
        <v/>
      </c>
      <c r="P213" s="109" t="str">
        <f>IF(D213="","",TODAY()-D213)</f>
        <v/>
      </c>
      <c r="Q213" s="102" t="n"/>
    </row>
    <row r="214" ht="18" customHeight="1">
      <c r="A214" s="101" t="n"/>
      <c r="B214" s="102" t="n"/>
      <c r="C214" s="102" t="n"/>
      <c r="D214" s="103" t="n"/>
      <c r="E214" s="102" t="n"/>
      <c r="F214" s="104" t="n"/>
      <c r="G214" s="104" t="n"/>
      <c r="H214" s="102" t="n"/>
      <c r="I214" s="105" t="n"/>
      <c r="J214" s="105" t="n"/>
      <c r="K214" s="103" t="n"/>
      <c r="L214" s="103" t="n"/>
      <c r="M214" s="106" t="str">
        <f>IF(OR(D214="",E214=""),"",D214+IF(E214="NOTIFICAÇÃO DE CONSTATAÇÃO",PrazoConst,PrazoEsc))</f>
        <v/>
      </c>
      <c r="N214" s="107" t="str">
        <f>IF(M214="","",IF(ISNUMBER(L214),M214-L214,IF(G214="DECISÃO D.P","",M214-TODAY())))</f>
        <v/>
      </c>
      <c r="O214" s="108" t="str">
        <f>IF(B214="","",IF(ISNUMBER(L214),IF(N214="","SEM DATA",IF(N214&gt;=0,"DEFESA NO PRAZO","DEFESA FORA DO PRAZO")),IF(G214="DECISÃO D.P","SEM DEFESA",IF(G214="","SEM STATUS",IF(N214="","SEM DATA",IF(N214&lt;0,"VENCIDO",IF(N214&lt;=DiasAlerta,"VENCE EM BREVE","NO PRAZO")))))))</f>
        <v/>
      </c>
      <c r="P214" s="109" t="str">
        <f>IF(D214="","",TODAY()-D214)</f>
        <v/>
      </c>
      <c r="Q214" s="102" t="n"/>
    </row>
    <row r="215" ht="18" customHeight="1">
      <c r="A215" s="101" t="n"/>
      <c r="B215" s="102" t="n"/>
      <c r="C215" s="102" t="n"/>
      <c r="D215" s="103" t="n"/>
      <c r="E215" s="102" t="n"/>
      <c r="F215" s="104" t="n"/>
      <c r="G215" s="104" t="n"/>
      <c r="H215" s="102" t="n"/>
      <c r="I215" s="105" t="n"/>
      <c r="J215" s="105" t="n"/>
      <c r="K215" s="103" t="n"/>
      <c r="L215" s="103" t="n"/>
      <c r="M215" s="106" t="str">
        <f>IF(OR(D215="",E215=""),"",D215+IF(E215="NOTIFICAÇÃO DE CONSTATAÇÃO",PrazoConst,PrazoEsc))</f>
        <v/>
      </c>
      <c r="N215" s="107" t="str">
        <f>IF(M215="","",IF(ISNUMBER(L215),M215-L215,IF(G215="DECISÃO D.P","",M215-TODAY())))</f>
        <v/>
      </c>
      <c r="O215" s="108" t="str">
        <f>IF(B215="","",IF(ISNUMBER(L215),IF(N215="","SEM DATA",IF(N215&gt;=0,"DEFESA NO PRAZO","DEFESA FORA DO PRAZO")),IF(G215="DECISÃO D.P","SEM DEFESA",IF(G215="","SEM STATUS",IF(N215="","SEM DATA",IF(N215&lt;0,"VENCIDO",IF(N215&lt;=DiasAlerta,"VENCE EM BREVE","NO PRAZO")))))))</f>
        <v/>
      </c>
      <c r="P215" s="109" t="str">
        <f>IF(D215="","",TODAY()-D215)</f>
        <v/>
      </c>
      <c r="Q215" s="102" t="n"/>
    </row>
    <row r="216" ht="18" customHeight="1">
      <c r="A216" s="101" t="n"/>
      <c r="B216" s="102" t="n"/>
      <c r="C216" s="102" t="n"/>
      <c r="D216" s="103" t="n"/>
      <c r="E216" s="102" t="n"/>
      <c r="F216" s="104" t="n"/>
      <c r="G216" s="104" t="n"/>
      <c r="H216" s="102" t="n"/>
      <c r="I216" s="105" t="n"/>
      <c r="J216" s="105" t="n"/>
      <c r="K216" s="103" t="n"/>
      <c r="L216" s="103" t="n"/>
      <c r="M216" s="106" t="str">
        <f>IF(OR(D216="",E216=""),"",D216+IF(E216="NOTIFICAÇÃO DE CONSTATAÇÃO",PrazoConst,PrazoEsc))</f>
        <v/>
      </c>
      <c r="N216" s="107" t="str">
        <f>IF(M216="","",IF(ISNUMBER(L216),M216-L216,IF(G216="DECISÃO D.P","",M216-TODAY())))</f>
        <v/>
      </c>
      <c r="O216" s="108" t="str">
        <f>IF(B216="","",IF(ISNUMBER(L216),IF(N216="","SEM DATA",IF(N216&gt;=0,"DEFESA NO PRAZO","DEFESA FORA DO PRAZO")),IF(G216="DECISÃO D.P","SEM DEFESA",IF(G216="","SEM STATUS",IF(N216="","SEM DATA",IF(N216&lt;0,"VENCIDO",IF(N216&lt;=DiasAlerta,"VENCE EM BREVE","NO PRAZO")))))))</f>
        <v/>
      </c>
      <c r="P216" s="109" t="str">
        <f>IF(D216="","",TODAY()-D216)</f>
        <v/>
      </c>
      <c r="Q216" s="102" t="n"/>
    </row>
    <row r="217" ht="18" customHeight="1">
      <c r="A217" s="101" t="n"/>
      <c r="B217" s="102" t="n"/>
      <c r="C217" s="102" t="n"/>
      <c r="D217" s="103" t="n"/>
      <c r="E217" s="102" t="n"/>
      <c r="F217" s="104" t="n"/>
      <c r="G217" s="104" t="n"/>
      <c r="H217" s="102" t="n"/>
      <c r="I217" s="105" t="n"/>
      <c r="J217" s="105" t="n"/>
      <c r="K217" s="103" t="n"/>
      <c r="L217" s="103" t="n"/>
      <c r="M217" s="106" t="str">
        <f>IF(OR(D217="",E217=""),"",D217+IF(E217="NOTIFICAÇÃO DE CONSTATAÇÃO",PrazoConst,PrazoEsc))</f>
        <v/>
      </c>
      <c r="N217" s="107" t="str">
        <f>IF(M217="","",IF(ISNUMBER(L217),M217-L217,IF(G217="DECISÃO D.P","",M217-TODAY())))</f>
        <v/>
      </c>
      <c r="O217" s="108" t="str">
        <f>IF(B217="","",IF(ISNUMBER(L217),IF(N217="","SEM DATA",IF(N217&gt;=0,"DEFESA NO PRAZO","DEFESA FORA DO PRAZO")),IF(G217="DECISÃO D.P","SEM DEFESA",IF(G217="","SEM STATUS",IF(N217="","SEM DATA",IF(N217&lt;0,"VENCIDO",IF(N217&lt;=DiasAlerta,"VENCE EM BREVE","NO PRAZO")))))))</f>
        <v/>
      </c>
      <c r="P217" s="109" t="str">
        <f>IF(D217="","",TODAY()-D217)</f>
        <v/>
      </c>
      <c r="Q217" s="102" t="n"/>
    </row>
    <row r="218" ht="18" customHeight="1">
      <c r="A218" s="101" t="n"/>
      <c r="B218" s="102" t="n"/>
      <c r="C218" s="102" t="n"/>
      <c r="D218" s="103" t="n"/>
      <c r="E218" s="102" t="n"/>
      <c r="F218" s="104" t="n"/>
      <c r="G218" s="104" t="n"/>
      <c r="H218" s="102" t="n"/>
      <c r="I218" s="105" t="n"/>
      <c r="J218" s="105" t="n"/>
      <c r="K218" s="103" t="n"/>
      <c r="L218" s="103" t="n"/>
      <c r="M218" s="106" t="str">
        <f>IF(OR(D218="",E218=""),"",D218+IF(E218="NOTIFICAÇÃO DE CONSTATAÇÃO",PrazoConst,PrazoEsc))</f>
        <v/>
      </c>
      <c r="N218" s="107" t="str">
        <f>IF(M218="","",IF(ISNUMBER(L218),M218-L218,IF(G218="DECISÃO D.P","",M218-TODAY())))</f>
        <v/>
      </c>
      <c r="O218" s="108" t="str">
        <f>IF(B218="","",IF(ISNUMBER(L218),IF(N218="","SEM DATA",IF(N218&gt;=0,"DEFESA NO PRAZO","DEFESA FORA DO PRAZO")),IF(G218="DECISÃO D.P","SEM DEFESA",IF(G218="","SEM STATUS",IF(N218="","SEM DATA",IF(N218&lt;0,"VENCIDO",IF(N218&lt;=DiasAlerta,"VENCE EM BREVE","NO PRAZO")))))))</f>
        <v/>
      </c>
      <c r="P218" s="109" t="str">
        <f>IF(D218="","",TODAY()-D218)</f>
        <v/>
      </c>
      <c r="Q218" s="102" t="n"/>
    </row>
    <row r="219" ht="18" customHeight="1">
      <c r="A219" s="101" t="n"/>
      <c r="B219" s="102" t="n"/>
      <c r="C219" s="102" t="n"/>
      <c r="D219" s="103" t="n"/>
      <c r="E219" s="102" t="n"/>
      <c r="F219" s="104" t="n"/>
      <c r="G219" s="104" t="n"/>
      <c r="H219" s="102" t="n"/>
      <c r="I219" s="105" t="n"/>
      <c r="J219" s="105" t="n"/>
      <c r="K219" s="103" t="n"/>
      <c r="L219" s="103" t="n"/>
      <c r="M219" s="106" t="str">
        <f>IF(OR(D219="",E219=""),"",D219+IF(E219="NOTIFICAÇÃO DE CONSTATAÇÃO",PrazoConst,PrazoEsc))</f>
        <v/>
      </c>
      <c r="N219" s="107" t="str">
        <f>IF(M219="","",IF(ISNUMBER(L219),M219-L219,IF(G219="DECISÃO D.P","",M219-TODAY())))</f>
        <v/>
      </c>
      <c r="O219" s="108" t="str">
        <f>IF(B219="","",IF(ISNUMBER(L219),IF(N219="","SEM DATA",IF(N219&gt;=0,"DEFESA NO PRAZO","DEFESA FORA DO PRAZO")),IF(G219="DECISÃO D.P","SEM DEFESA",IF(G219="","SEM STATUS",IF(N219="","SEM DATA",IF(N219&lt;0,"VENCIDO",IF(N219&lt;=DiasAlerta,"VENCE EM BREVE","NO PRAZO")))))))</f>
        <v/>
      </c>
      <c r="P219" s="109" t="str">
        <f>IF(D219="","",TODAY()-D219)</f>
        <v/>
      </c>
      <c r="Q219" s="102" t="n"/>
    </row>
    <row r="220" ht="18" customHeight="1">
      <c r="A220" s="101" t="n"/>
      <c r="B220" s="102" t="n"/>
      <c r="C220" s="102" t="n"/>
      <c r="D220" s="103" t="n"/>
      <c r="E220" s="102" t="n"/>
      <c r="F220" s="104" t="n"/>
      <c r="G220" s="104" t="n"/>
      <c r="H220" s="102" t="n"/>
      <c r="I220" s="105" t="n"/>
      <c r="J220" s="105" t="n"/>
      <c r="K220" s="103" t="n"/>
      <c r="L220" s="103" t="n"/>
      <c r="M220" s="106" t="str">
        <f>IF(OR(D220="",E220=""),"",D220+IF(E220="NOTIFICAÇÃO DE CONSTATAÇÃO",PrazoConst,PrazoEsc))</f>
        <v/>
      </c>
      <c r="N220" s="107" t="str">
        <f>IF(M220="","",IF(ISNUMBER(L220),M220-L220,IF(G220="DECISÃO D.P","",M220-TODAY())))</f>
        <v/>
      </c>
      <c r="O220" s="108" t="str">
        <f>IF(B220="","",IF(ISNUMBER(L220),IF(N220="","SEM DATA",IF(N220&gt;=0,"DEFESA NO PRAZO","DEFESA FORA DO PRAZO")),IF(G220="DECISÃO D.P","SEM DEFESA",IF(G220="","SEM STATUS",IF(N220="","SEM DATA",IF(N220&lt;0,"VENCIDO",IF(N220&lt;=DiasAlerta,"VENCE EM BREVE","NO PRAZO")))))))</f>
        <v/>
      </c>
      <c r="P220" s="109" t="str">
        <f>IF(D220="","",TODAY()-D220)</f>
        <v/>
      </c>
      <c r="Q220" s="102" t="n"/>
    </row>
    <row r="221" ht="18" customHeight="1">
      <c r="A221" s="101" t="n"/>
      <c r="B221" s="102" t="n"/>
      <c r="C221" s="102" t="n"/>
      <c r="D221" s="103" t="n"/>
      <c r="E221" s="102" t="n"/>
      <c r="F221" s="104" t="n"/>
      <c r="G221" s="104" t="n"/>
      <c r="H221" s="102" t="n"/>
      <c r="I221" s="105" t="n"/>
      <c r="J221" s="105" t="n"/>
      <c r="K221" s="103" t="n"/>
      <c r="L221" s="103" t="n"/>
      <c r="M221" s="106" t="str">
        <f>IF(OR(D221="",E221=""),"",D221+IF(E221="NOTIFICAÇÃO DE CONSTATAÇÃO",PrazoConst,PrazoEsc))</f>
        <v/>
      </c>
      <c r="N221" s="107" t="str">
        <f>IF(M221="","",IF(ISNUMBER(L221),M221-L221,IF(G221="DECISÃO D.P","",M221-TODAY())))</f>
        <v/>
      </c>
      <c r="O221" s="108" t="str">
        <f>IF(B221="","",IF(ISNUMBER(L221),IF(N221="","SEM DATA",IF(N221&gt;=0,"DEFESA NO PRAZO","DEFESA FORA DO PRAZO")),IF(G221="DECISÃO D.P","SEM DEFESA",IF(G221="","SEM STATUS",IF(N221="","SEM DATA",IF(N221&lt;0,"VENCIDO",IF(N221&lt;=DiasAlerta,"VENCE EM BREVE","NO PRAZO")))))))</f>
        <v/>
      </c>
      <c r="P221" s="109" t="str">
        <f>IF(D221="","",TODAY()-D221)</f>
        <v/>
      </c>
      <c r="Q221" s="102" t="n"/>
    </row>
    <row r="222" ht="18" customHeight="1">
      <c r="A222" s="101" t="n"/>
      <c r="B222" s="102" t="n"/>
      <c r="C222" s="102" t="n"/>
      <c r="D222" s="103" t="n"/>
      <c r="E222" s="102" t="n"/>
      <c r="F222" s="104" t="n"/>
      <c r="G222" s="104" t="n"/>
      <c r="H222" s="102" t="n"/>
      <c r="I222" s="105" t="n"/>
      <c r="J222" s="105" t="n"/>
      <c r="K222" s="103" t="n"/>
      <c r="L222" s="103" t="n"/>
      <c r="M222" s="106" t="str">
        <f>IF(OR(D222="",E222=""),"",D222+IF(E222="NOTIFICAÇÃO DE CONSTATAÇÃO",PrazoConst,PrazoEsc))</f>
        <v/>
      </c>
      <c r="N222" s="107" t="str">
        <f>IF(M222="","",IF(ISNUMBER(L222),M222-L222,IF(G222="DECISÃO D.P","",M222-TODAY())))</f>
        <v/>
      </c>
      <c r="O222" s="108" t="str">
        <f>IF(B222="","",IF(ISNUMBER(L222),IF(N222="","SEM DATA",IF(N222&gt;=0,"DEFESA NO PRAZO","DEFESA FORA DO PRAZO")),IF(G222="DECISÃO D.P","SEM DEFESA",IF(G222="","SEM STATUS",IF(N222="","SEM DATA",IF(N222&lt;0,"VENCIDO",IF(N222&lt;=DiasAlerta,"VENCE EM BREVE","NO PRAZO")))))))</f>
        <v/>
      </c>
      <c r="P222" s="109" t="str">
        <f>IF(D222="","",TODAY()-D222)</f>
        <v/>
      </c>
      <c r="Q222" s="102" t="n"/>
    </row>
    <row r="223" ht="18" customHeight="1">
      <c r="A223" s="101" t="n"/>
      <c r="B223" s="102" t="n"/>
      <c r="C223" s="102" t="n"/>
      <c r="D223" s="103" t="n"/>
      <c r="E223" s="102" t="n"/>
      <c r="F223" s="104" t="n"/>
      <c r="G223" s="104" t="n"/>
      <c r="H223" s="102" t="n"/>
      <c r="I223" s="105" t="n"/>
      <c r="J223" s="105" t="n"/>
      <c r="K223" s="103" t="n"/>
      <c r="L223" s="103" t="n"/>
      <c r="M223" s="106" t="str">
        <f>IF(OR(D223="",E223=""),"",D223+IF(E223="NOTIFICAÇÃO DE CONSTATAÇÃO",PrazoConst,PrazoEsc))</f>
        <v/>
      </c>
      <c r="N223" s="107" t="str">
        <f>IF(M223="","",IF(ISNUMBER(L223),M223-L223,IF(G223="DECISÃO D.P","",M223-TODAY())))</f>
        <v/>
      </c>
      <c r="O223" s="108" t="str">
        <f>IF(B223="","",IF(ISNUMBER(L223),IF(N223="","SEM DATA",IF(N223&gt;=0,"DEFESA NO PRAZO","DEFESA FORA DO PRAZO")),IF(G223="DECISÃO D.P","SEM DEFESA",IF(G223="","SEM STATUS",IF(N223="","SEM DATA",IF(N223&lt;0,"VENCIDO",IF(N223&lt;=DiasAlerta,"VENCE EM BREVE","NO PRAZO")))))))</f>
        <v/>
      </c>
      <c r="P223" s="109" t="str">
        <f>IF(D223="","",TODAY()-D223)</f>
        <v/>
      </c>
      <c r="Q223" s="102" t="n"/>
    </row>
    <row r="224" ht="18" customHeight="1">
      <c r="A224" s="101" t="n"/>
      <c r="B224" s="102" t="n"/>
      <c r="C224" s="102" t="n"/>
      <c r="D224" s="103" t="n"/>
      <c r="E224" s="102" t="n"/>
      <c r="F224" s="104" t="n"/>
      <c r="G224" s="104" t="n"/>
      <c r="H224" s="102" t="n"/>
      <c r="I224" s="105" t="n"/>
      <c r="J224" s="105" t="n"/>
      <c r="K224" s="103" t="n"/>
      <c r="L224" s="103" t="n"/>
      <c r="M224" s="106" t="str">
        <f>IF(OR(D224="",E224=""),"",D224+IF(E224="NOTIFICAÇÃO DE CONSTATAÇÃO",PrazoConst,PrazoEsc))</f>
        <v/>
      </c>
      <c r="N224" s="107" t="str">
        <f>IF(M224="","",IF(ISNUMBER(L224),M224-L224,IF(G224="DECISÃO D.P","",M224-TODAY())))</f>
        <v/>
      </c>
      <c r="O224" s="108" t="str">
        <f>IF(B224="","",IF(ISNUMBER(L224),IF(N224="","SEM DATA",IF(N224&gt;=0,"DEFESA NO PRAZO","DEFESA FORA DO PRAZO")),IF(G224="DECISÃO D.P","SEM DEFESA",IF(G224="","SEM STATUS",IF(N224="","SEM DATA",IF(N224&lt;0,"VENCIDO",IF(N224&lt;=DiasAlerta,"VENCE EM BREVE","NO PRAZO")))))))</f>
        <v/>
      </c>
      <c r="P224" s="109" t="str">
        <f>IF(D224="","",TODAY()-D224)</f>
        <v/>
      </c>
      <c r="Q224" s="102" t="n"/>
    </row>
    <row r="225" ht="18" customHeight="1">
      <c r="A225" s="101" t="n"/>
      <c r="B225" s="102" t="n"/>
      <c r="C225" s="102" t="n"/>
      <c r="D225" s="103" t="n"/>
      <c r="E225" s="102" t="n"/>
      <c r="F225" s="104" t="n"/>
      <c r="G225" s="104" t="n"/>
      <c r="H225" s="102" t="n"/>
      <c r="I225" s="105" t="n"/>
      <c r="J225" s="105" t="n"/>
      <c r="K225" s="103" t="n"/>
      <c r="L225" s="103" t="n"/>
      <c r="M225" s="106" t="str">
        <f>IF(OR(D225="",E225=""),"",D225+IF(E225="NOTIFICAÇÃO DE CONSTATAÇÃO",PrazoConst,PrazoEsc))</f>
        <v/>
      </c>
      <c r="N225" s="107" t="str">
        <f>IF(M225="","",IF(ISNUMBER(L225),M225-L225,IF(G225="DECISÃO D.P","",M225-TODAY())))</f>
        <v/>
      </c>
      <c r="O225" s="108" t="str">
        <f>IF(B225="","",IF(ISNUMBER(L225),IF(N225="","SEM DATA",IF(N225&gt;=0,"DEFESA NO PRAZO","DEFESA FORA DO PRAZO")),IF(G225="DECISÃO D.P","SEM DEFESA",IF(G225="","SEM STATUS",IF(N225="","SEM DATA",IF(N225&lt;0,"VENCIDO",IF(N225&lt;=DiasAlerta,"VENCE EM BREVE","NO PRAZO")))))))</f>
        <v/>
      </c>
      <c r="P225" s="109" t="str">
        <f>IF(D225="","",TODAY()-D225)</f>
        <v/>
      </c>
      <c r="Q225" s="102" t="n"/>
    </row>
    <row r="226" ht="18" customHeight="1">
      <c r="A226" s="101" t="n"/>
      <c r="B226" s="102" t="n"/>
      <c r="C226" s="102" t="n"/>
      <c r="D226" s="103" t="n"/>
      <c r="E226" s="102" t="n"/>
      <c r="F226" s="104" t="n"/>
      <c r="G226" s="104" t="n"/>
      <c r="H226" s="102" t="n"/>
      <c r="I226" s="105" t="n"/>
      <c r="J226" s="105" t="n"/>
      <c r="K226" s="103" t="n"/>
      <c r="L226" s="103" t="n"/>
      <c r="M226" s="106" t="str">
        <f>IF(OR(D226="",E226=""),"",D226+IF(E226="NOTIFICAÇÃO DE CONSTATAÇÃO",PrazoConst,PrazoEsc))</f>
        <v/>
      </c>
      <c r="N226" s="107" t="str">
        <f>IF(M226="","",IF(ISNUMBER(L226),M226-L226,IF(G226="DECISÃO D.P","",M226-TODAY())))</f>
        <v/>
      </c>
      <c r="O226" s="108" t="str">
        <f>IF(B226="","",IF(ISNUMBER(L226),IF(N226="","SEM DATA",IF(N226&gt;=0,"DEFESA NO PRAZO","DEFESA FORA DO PRAZO")),IF(G226="DECISÃO D.P","SEM DEFESA",IF(G226="","SEM STATUS",IF(N226="","SEM DATA",IF(N226&lt;0,"VENCIDO",IF(N226&lt;=DiasAlerta,"VENCE EM BREVE","NO PRAZO")))))))</f>
        <v/>
      </c>
      <c r="P226" s="109" t="str">
        <f>IF(D226="","",TODAY()-D226)</f>
        <v/>
      </c>
      <c r="Q226" s="102" t="n"/>
    </row>
    <row r="227" ht="18" customHeight="1">
      <c r="A227" s="101" t="n"/>
      <c r="B227" s="102" t="n"/>
      <c r="C227" s="102" t="n"/>
      <c r="D227" s="103" t="n"/>
      <c r="E227" s="102" t="n"/>
      <c r="F227" s="104" t="n"/>
      <c r="G227" s="104" t="n"/>
      <c r="H227" s="102" t="n"/>
      <c r="I227" s="105" t="n"/>
      <c r="J227" s="105" t="n"/>
      <c r="K227" s="103" t="n"/>
      <c r="L227" s="103" t="n"/>
      <c r="M227" s="106" t="str">
        <f>IF(OR(D227="",E227=""),"",D227+IF(E227="NOTIFICAÇÃO DE CONSTATAÇÃO",PrazoConst,PrazoEsc))</f>
        <v/>
      </c>
      <c r="N227" s="107" t="str">
        <f>IF(M227="","",IF(ISNUMBER(L227),M227-L227,IF(G227="DECISÃO D.P","",M227-TODAY())))</f>
        <v/>
      </c>
      <c r="O227" s="108" t="str">
        <f>IF(B227="","",IF(ISNUMBER(L227),IF(N227="","SEM DATA",IF(N227&gt;=0,"DEFESA NO PRAZO","DEFESA FORA DO PRAZO")),IF(G227="DECISÃO D.P","SEM DEFESA",IF(G227="","SEM STATUS",IF(N227="","SEM DATA",IF(N227&lt;0,"VENCIDO",IF(N227&lt;=DiasAlerta,"VENCE EM BREVE","NO PRAZO")))))))</f>
        <v/>
      </c>
      <c r="P227" s="109" t="str">
        <f>IF(D227="","",TODAY()-D227)</f>
        <v/>
      </c>
      <c r="Q227" s="102" t="n"/>
    </row>
    <row r="228" ht="18" customHeight="1">
      <c r="A228" s="101" t="n"/>
      <c r="B228" s="102" t="n"/>
      <c r="C228" s="102" t="n"/>
      <c r="D228" s="103" t="n"/>
      <c r="E228" s="102" t="n"/>
      <c r="F228" s="104" t="n"/>
      <c r="G228" s="104" t="n"/>
      <c r="H228" s="102" t="n"/>
      <c r="I228" s="105" t="n"/>
      <c r="J228" s="105" t="n"/>
      <c r="K228" s="103" t="n"/>
      <c r="L228" s="103" t="n"/>
      <c r="M228" s="106" t="str">
        <f>IF(OR(D228="",E228=""),"",D228+IF(E228="NOTIFICAÇÃO DE CONSTATAÇÃO",PrazoConst,PrazoEsc))</f>
        <v/>
      </c>
      <c r="N228" s="107" t="str">
        <f>IF(M228="","",IF(ISNUMBER(L228),M228-L228,IF(G228="DECISÃO D.P","",M228-TODAY())))</f>
        <v/>
      </c>
      <c r="O228" s="108" t="str">
        <f>IF(B228="","",IF(ISNUMBER(L228),IF(N228="","SEM DATA",IF(N228&gt;=0,"DEFESA NO PRAZO","DEFESA FORA DO PRAZO")),IF(G228="DECISÃO D.P","SEM DEFESA",IF(G228="","SEM STATUS",IF(N228="","SEM DATA",IF(N228&lt;0,"VENCIDO",IF(N228&lt;=DiasAlerta,"VENCE EM BREVE","NO PRAZO")))))))</f>
        <v/>
      </c>
      <c r="P228" s="109" t="str">
        <f>IF(D228="","",TODAY()-D228)</f>
        <v/>
      </c>
      <c r="Q228" s="102" t="n"/>
    </row>
    <row r="229" ht="18" customHeight="1">
      <c r="A229" s="101" t="n"/>
      <c r="B229" s="102" t="n"/>
      <c r="C229" s="102" t="n"/>
      <c r="D229" s="103" t="n"/>
      <c r="E229" s="102" t="n"/>
      <c r="F229" s="104" t="n"/>
      <c r="G229" s="104" t="n"/>
      <c r="H229" s="102" t="n"/>
      <c r="I229" s="105" t="n"/>
      <c r="J229" s="105" t="n"/>
      <c r="K229" s="103" t="n"/>
      <c r="L229" s="103" t="n"/>
      <c r="M229" s="106" t="str">
        <f>IF(OR(D229="",E229=""),"",D229+IF(E229="NOTIFICAÇÃO DE CONSTATAÇÃO",PrazoConst,PrazoEsc))</f>
        <v/>
      </c>
      <c r="N229" s="107" t="str">
        <f>IF(M229="","",IF(ISNUMBER(L229),M229-L229,IF(G229="DECISÃO D.P","",M229-TODAY())))</f>
        <v/>
      </c>
      <c r="O229" s="108" t="str">
        <f>IF(B229="","",IF(ISNUMBER(L229),IF(N229="","SEM DATA",IF(N229&gt;=0,"DEFESA NO PRAZO","DEFESA FORA DO PRAZO")),IF(G229="DECISÃO D.P","SEM DEFESA",IF(G229="","SEM STATUS",IF(N229="","SEM DATA",IF(N229&lt;0,"VENCIDO",IF(N229&lt;=DiasAlerta,"VENCE EM BREVE","NO PRAZO")))))))</f>
        <v/>
      </c>
      <c r="P229" s="109" t="str">
        <f>IF(D229="","",TODAY()-D229)</f>
        <v/>
      </c>
      <c r="Q229" s="102" t="n"/>
    </row>
    <row r="230" ht="18" customHeight="1">
      <c r="A230" s="101" t="n"/>
      <c r="B230" s="102" t="n"/>
      <c r="C230" s="102" t="n"/>
      <c r="D230" s="103" t="n"/>
      <c r="E230" s="102" t="n"/>
      <c r="F230" s="104" t="n"/>
      <c r="G230" s="104" t="n"/>
      <c r="H230" s="102" t="n"/>
      <c r="I230" s="105" t="n"/>
      <c r="J230" s="105" t="n"/>
      <c r="K230" s="103" t="n"/>
      <c r="L230" s="103" t="n"/>
      <c r="M230" s="106" t="str">
        <f>IF(OR(D230="",E230=""),"",D230+IF(E230="NOTIFICAÇÃO DE CONSTATAÇÃO",PrazoConst,PrazoEsc))</f>
        <v/>
      </c>
      <c r="N230" s="107" t="str">
        <f>IF(M230="","",IF(ISNUMBER(L230),M230-L230,IF(G230="DECISÃO D.P","",M230-TODAY())))</f>
        <v/>
      </c>
      <c r="O230" s="108" t="str">
        <f>IF(B230="","",IF(ISNUMBER(L230),IF(N230="","SEM DATA",IF(N230&gt;=0,"DEFESA NO PRAZO","DEFESA FORA DO PRAZO")),IF(G230="DECISÃO D.P","SEM DEFESA",IF(G230="","SEM STATUS",IF(N230="","SEM DATA",IF(N230&lt;0,"VENCIDO",IF(N230&lt;=DiasAlerta,"VENCE EM BREVE","NO PRAZO")))))))</f>
        <v/>
      </c>
      <c r="P230" s="109" t="str">
        <f>IF(D230="","",TODAY()-D230)</f>
        <v/>
      </c>
      <c r="Q230" s="102" t="n"/>
    </row>
    <row r="231" ht="18" customHeight="1">
      <c r="A231" s="101" t="n"/>
      <c r="B231" s="102" t="n"/>
      <c r="C231" s="102" t="n"/>
      <c r="D231" s="103" t="n"/>
      <c r="E231" s="102" t="n"/>
      <c r="F231" s="104" t="n"/>
      <c r="G231" s="104" t="n"/>
      <c r="H231" s="102" t="n"/>
      <c r="I231" s="105" t="n"/>
      <c r="J231" s="105" t="n"/>
      <c r="K231" s="103" t="n"/>
      <c r="L231" s="103" t="n"/>
      <c r="M231" s="106" t="str">
        <f>IF(OR(D231="",E231=""),"",D231+IF(E231="NOTIFICAÇÃO DE CONSTATAÇÃO",PrazoConst,PrazoEsc))</f>
        <v/>
      </c>
      <c r="N231" s="107" t="str">
        <f>IF(M231="","",IF(ISNUMBER(L231),M231-L231,IF(G231="DECISÃO D.P","",M231-TODAY())))</f>
        <v/>
      </c>
      <c r="O231" s="108" t="str">
        <f>IF(B231="","",IF(ISNUMBER(L231),IF(N231="","SEM DATA",IF(N231&gt;=0,"DEFESA NO PRAZO","DEFESA FORA DO PRAZO")),IF(G231="DECISÃO D.P","SEM DEFESA",IF(G231="","SEM STATUS",IF(N231="","SEM DATA",IF(N231&lt;0,"VENCIDO",IF(N231&lt;=DiasAlerta,"VENCE EM BREVE","NO PRAZO")))))))</f>
        <v/>
      </c>
      <c r="P231" s="109" t="str">
        <f>IF(D231="","",TODAY()-D231)</f>
        <v/>
      </c>
      <c r="Q231" s="102" t="n"/>
    </row>
    <row r="232" ht="18" customHeight="1">
      <c r="A232" s="101" t="n"/>
      <c r="B232" s="102" t="n"/>
      <c r="C232" s="102" t="n"/>
      <c r="D232" s="103" t="n"/>
      <c r="E232" s="102" t="n"/>
      <c r="F232" s="104" t="n"/>
      <c r="G232" s="104" t="n"/>
      <c r="H232" s="102" t="n"/>
      <c r="I232" s="105" t="n"/>
      <c r="J232" s="105" t="n"/>
      <c r="K232" s="103" t="n"/>
      <c r="L232" s="103" t="n"/>
      <c r="M232" s="106" t="str">
        <f>IF(OR(D232="",E232=""),"",D232+IF(E232="NOTIFICAÇÃO DE CONSTATAÇÃO",PrazoConst,PrazoEsc))</f>
        <v/>
      </c>
      <c r="N232" s="107" t="str">
        <f>IF(M232="","",IF(ISNUMBER(L232),M232-L232,IF(G232="DECISÃO D.P","",M232-TODAY())))</f>
        <v/>
      </c>
      <c r="O232" s="108" t="str">
        <f>IF(B232="","",IF(ISNUMBER(L232),IF(N232="","SEM DATA",IF(N232&gt;=0,"DEFESA NO PRAZO","DEFESA FORA DO PRAZO")),IF(G232="DECISÃO D.P","SEM DEFESA",IF(G232="","SEM STATUS",IF(N232="","SEM DATA",IF(N232&lt;0,"VENCIDO",IF(N232&lt;=DiasAlerta,"VENCE EM BREVE","NO PRAZO")))))))</f>
        <v/>
      </c>
      <c r="P232" s="109" t="str">
        <f>IF(D232="","",TODAY()-D232)</f>
        <v/>
      </c>
      <c r="Q232" s="102" t="n"/>
    </row>
    <row r="233" ht="18" customHeight="1">
      <c r="A233" s="101" t="n"/>
      <c r="B233" s="102" t="n"/>
      <c r="C233" s="102" t="n"/>
      <c r="D233" s="103" t="n"/>
      <c r="E233" s="102" t="n"/>
      <c r="F233" s="104" t="n"/>
      <c r="G233" s="104" t="n"/>
      <c r="H233" s="102" t="n"/>
      <c r="I233" s="105" t="n"/>
      <c r="J233" s="105" t="n"/>
      <c r="K233" s="103" t="n"/>
      <c r="L233" s="103" t="n"/>
      <c r="M233" s="106" t="str">
        <f>IF(OR(D233="",E233=""),"",D233+IF(E233="NOTIFICAÇÃO DE CONSTATAÇÃO",PrazoConst,PrazoEsc))</f>
        <v/>
      </c>
      <c r="N233" s="107" t="str">
        <f>IF(M233="","",IF(ISNUMBER(L233),M233-L233,IF(G233="DECISÃO D.P","",M233-TODAY())))</f>
        <v/>
      </c>
      <c r="O233" s="108" t="str">
        <f>IF(B233="","",IF(ISNUMBER(L233),IF(N233="","SEM DATA",IF(N233&gt;=0,"DEFESA NO PRAZO","DEFESA FORA DO PRAZO")),IF(G233="DECISÃO D.P","SEM DEFESA",IF(G233="","SEM STATUS",IF(N233="","SEM DATA",IF(N233&lt;0,"VENCIDO",IF(N233&lt;=DiasAlerta,"VENCE EM BREVE","NO PRAZO")))))))</f>
        <v/>
      </c>
      <c r="P233" s="109" t="str">
        <f>IF(D233="","",TODAY()-D233)</f>
        <v/>
      </c>
      <c r="Q233" s="102" t="n"/>
    </row>
    <row r="234" ht="18" customHeight="1">
      <c r="A234" s="101" t="n"/>
      <c r="B234" s="102" t="n"/>
      <c r="C234" s="102" t="n"/>
      <c r="D234" s="103" t="n"/>
      <c r="E234" s="102" t="n"/>
      <c r="F234" s="104" t="n"/>
      <c r="G234" s="104" t="n"/>
      <c r="H234" s="102" t="n"/>
      <c r="I234" s="105" t="n"/>
      <c r="J234" s="105" t="n"/>
      <c r="K234" s="103" t="n"/>
      <c r="L234" s="103" t="n"/>
      <c r="M234" s="106" t="str">
        <f>IF(OR(D234="",E234=""),"",D234+IF(E234="NOTIFICAÇÃO DE CONSTATAÇÃO",PrazoConst,PrazoEsc))</f>
        <v/>
      </c>
      <c r="N234" s="107" t="str">
        <f>IF(M234="","",IF(ISNUMBER(L234),M234-L234,IF(G234="DECISÃO D.P","",M234-TODAY())))</f>
        <v/>
      </c>
      <c r="O234" s="108" t="str">
        <f>IF(B234="","",IF(ISNUMBER(L234),IF(N234="","SEM DATA",IF(N234&gt;=0,"DEFESA NO PRAZO","DEFESA FORA DO PRAZO")),IF(G234="DECISÃO D.P","SEM DEFESA",IF(G234="","SEM STATUS",IF(N234="","SEM DATA",IF(N234&lt;0,"VENCIDO",IF(N234&lt;=DiasAlerta,"VENCE EM BREVE","NO PRAZO")))))))</f>
        <v/>
      </c>
      <c r="P234" s="109" t="str">
        <f>IF(D234="","",TODAY()-D234)</f>
        <v/>
      </c>
      <c r="Q234" s="102" t="n"/>
    </row>
    <row r="235" ht="18" customHeight="1">
      <c r="A235" s="101" t="n"/>
      <c r="B235" s="102" t="n"/>
      <c r="C235" s="102" t="n"/>
      <c r="D235" s="103" t="n"/>
      <c r="E235" s="102" t="n"/>
      <c r="F235" s="104" t="n"/>
      <c r="G235" s="104" t="n"/>
      <c r="H235" s="102" t="n"/>
      <c r="I235" s="105" t="n"/>
      <c r="J235" s="105" t="n"/>
      <c r="K235" s="103" t="n"/>
      <c r="L235" s="103" t="n"/>
      <c r="M235" s="106" t="str">
        <f>IF(OR(D235="",E235=""),"",D235+IF(E235="NOTIFICAÇÃO DE CONSTATAÇÃO",PrazoConst,PrazoEsc))</f>
        <v/>
      </c>
      <c r="N235" s="107" t="str">
        <f>IF(M235="","",IF(ISNUMBER(L235),M235-L235,IF(G235="DECISÃO D.P","",M235-TODAY())))</f>
        <v/>
      </c>
      <c r="O235" s="108" t="str">
        <f>IF(B235="","",IF(ISNUMBER(L235),IF(N235="","SEM DATA",IF(N235&gt;=0,"DEFESA NO PRAZO","DEFESA FORA DO PRAZO")),IF(G235="DECISÃO D.P","SEM DEFESA",IF(G235="","SEM STATUS",IF(N235="","SEM DATA",IF(N235&lt;0,"VENCIDO",IF(N235&lt;=DiasAlerta,"VENCE EM BREVE","NO PRAZO")))))))</f>
        <v/>
      </c>
      <c r="P235" s="109" t="str">
        <f>IF(D235="","",TODAY()-D235)</f>
        <v/>
      </c>
      <c r="Q235" s="102" t="n"/>
    </row>
    <row r="236" ht="18" customHeight="1">
      <c r="A236" s="101" t="n"/>
      <c r="B236" s="102" t="n"/>
      <c r="C236" s="102" t="n"/>
      <c r="D236" s="103" t="n"/>
      <c r="E236" s="102" t="n"/>
      <c r="F236" s="104" t="n"/>
      <c r="G236" s="104" t="n"/>
      <c r="H236" s="102" t="n"/>
      <c r="I236" s="105" t="n"/>
      <c r="J236" s="105" t="n"/>
      <c r="K236" s="103" t="n"/>
      <c r="L236" s="103" t="n"/>
      <c r="M236" s="106" t="str">
        <f>IF(OR(D236="",E236=""),"",D236+IF(E236="NOTIFICAÇÃO DE CONSTATAÇÃO",PrazoConst,PrazoEsc))</f>
        <v/>
      </c>
      <c r="N236" s="107" t="str">
        <f>IF(M236="","",IF(ISNUMBER(L236),M236-L236,IF(G236="DECISÃO D.P","",M236-TODAY())))</f>
        <v/>
      </c>
      <c r="O236" s="108" t="str">
        <f>IF(B236="","",IF(ISNUMBER(L236),IF(N236="","SEM DATA",IF(N236&gt;=0,"DEFESA NO PRAZO","DEFESA FORA DO PRAZO")),IF(G236="DECISÃO D.P","SEM DEFESA",IF(G236="","SEM STATUS",IF(N236="","SEM DATA",IF(N236&lt;0,"VENCIDO",IF(N236&lt;=DiasAlerta,"VENCE EM BREVE","NO PRAZO")))))))</f>
        <v/>
      </c>
      <c r="P236" s="109" t="str">
        <f>IF(D236="","",TODAY()-D236)</f>
        <v/>
      </c>
      <c r="Q236" s="102" t="n"/>
    </row>
    <row r="237" ht="18" customHeight="1">
      <c r="A237" s="101" t="n"/>
      <c r="B237" s="102" t="n"/>
      <c r="C237" s="102" t="n"/>
      <c r="D237" s="103" t="n"/>
      <c r="E237" s="102" t="n"/>
      <c r="F237" s="104" t="n"/>
      <c r="G237" s="104" t="n"/>
      <c r="H237" s="102" t="n"/>
      <c r="I237" s="105" t="n"/>
      <c r="J237" s="105" t="n"/>
      <c r="K237" s="103" t="n"/>
      <c r="L237" s="103" t="n"/>
      <c r="M237" s="106" t="str">
        <f>IF(OR(D237="",E237=""),"",D237+IF(E237="NOTIFICAÇÃO DE CONSTATAÇÃO",PrazoConst,PrazoEsc))</f>
        <v/>
      </c>
      <c r="N237" s="107" t="str">
        <f>IF(M237="","",IF(ISNUMBER(L237),M237-L237,IF(G237="DECISÃO D.P","",M237-TODAY())))</f>
        <v/>
      </c>
      <c r="O237" s="108" t="str">
        <f>IF(B237="","",IF(ISNUMBER(L237),IF(N237="","SEM DATA",IF(N237&gt;=0,"DEFESA NO PRAZO","DEFESA FORA DO PRAZO")),IF(G237="DECISÃO D.P","SEM DEFESA",IF(G237="","SEM STATUS",IF(N237="","SEM DATA",IF(N237&lt;0,"VENCIDO",IF(N237&lt;=DiasAlerta,"VENCE EM BREVE","NO PRAZO")))))))</f>
        <v/>
      </c>
      <c r="P237" s="109" t="str">
        <f>IF(D237="","",TODAY()-D237)</f>
        <v/>
      </c>
      <c r="Q237" s="102" t="n"/>
    </row>
    <row r="238" ht="18" customHeight="1">
      <c r="A238" s="101" t="n"/>
      <c r="B238" s="102" t="n"/>
      <c r="C238" s="102" t="n"/>
      <c r="D238" s="103" t="n"/>
      <c r="E238" s="102" t="n"/>
      <c r="F238" s="104" t="n"/>
      <c r="G238" s="104" t="n"/>
      <c r="H238" s="102" t="n"/>
      <c r="I238" s="105" t="n"/>
      <c r="J238" s="105" t="n"/>
      <c r="K238" s="103" t="n"/>
      <c r="L238" s="103" t="n"/>
      <c r="M238" s="106" t="str">
        <f>IF(OR(D238="",E238=""),"",D238+IF(E238="NOTIFICAÇÃO DE CONSTATAÇÃO",PrazoConst,PrazoEsc))</f>
        <v/>
      </c>
      <c r="N238" s="107" t="str">
        <f>IF(M238="","",IF(ISNUMBER(L238),M238-L238,IF(G238="DECISÃO D.P","",M238-TODAY())))</f>
        <v/>
      </c>
      <c r="O238" s="108" t="str">
        <f>IF(B238="","",IF(ISNUMBER(L238),IF(N238="","SEM DATA",IF(N238&gt;=0,"DEFESA NO PRAZO","DEFESA FORA DO PRAZO")),IF(G238="DECISÃO D.P","SEM DEFESA",IF(G238="","SEM STATUS",IF(N238="","SEM DATA",IF(N238&lt;0,"VENCIDO",IF(N238&lt;=DiasAlerta,"VENCE EM BREVE","NO PRAZO")))))))</f>
        <v/>
      </c>
      <c r="P238" s="109" t="str">
        <f>IF(D238="","",TODAY()-D238)</f>
        <v/>
      </c>
      <c r="Q238" s="102" t="n"/>
    </row>
    <row r="239" ht="18" customHeight="1">
      <c r="A239" s="101" t="n"/>
      <c r="B239" s="102" t="n"/>
      <c r="C239" s="102" t="n"/>
      <c r="D239" s="103" t="n"/>
      <c r="E239" s="102" t="n"/>
      <c r="F239" s="104" t="n"/>
      <c r="G239" s="104" t="n"/>
      <c r="H239" s="102" t="n"/>
      <c r="I239" s="105" t="n"/>
      <c r="J239" s="105" t="n"/>
      <c r="K239" s="103" t="n"/>
      <c r="L239" s="103" t="n"/>
      <c r="M239" s="106" t="str">
        <f>IF(OR(D239="",E239=""),"",D239+IF(E239="NOTIFICAÇÃO DE CONSTATAÇÃO",PrazoConst,PrazoEsc))</f>
        <v/>
      </c>
      <c r="N239" s="107" t="str">
        <f>IF(M239="","",IF(ISNUMBER(L239),M239-L239,IF(G239="DECISÃO D.P","",M239-TODAY())))</f>
        <v/>
      </c>
      <c r="O239" s="108" t="str">
        <f>IF(B239="","",IF(ISNUMBER(L239),IF(N239="","SEM DATA",IF(N239&gt;=0,"DEFESA NO PRAZO","DEFESA FORA DO PRAZO")),IF(G239="DECISÃO D.P","SEM DEFESA",IF(G239="","SEM STATUS",IF(N239="","SEM DATA",IF(N239&lt;0,"VENCIDO",IF(N239&lt;=DiasAlerta,"VENCE EM BREVE","NO PRAZO")))))))</f>
        <v/>
      </c>
      <c r="P239" s="109" t="str">
        <f>IF(D239="","",TODAY()-D239)</f>
        <v/>
      </c>
      <c r="Q239" s="102" t="n"/>
    </row>
    <row r="240" ht="18" customHeight="1">
      <c r="A240" s="101" t="n"/>
      <c r="B240" s="102" t="n"/>
      <c r="C240" s="102" t="n"/>
      <c r="D240" s="103" t="n"/>
      <c r="E240" s="102" t="n"/>
      <c r="F240" s="104" t="n"/>
      <c r="G240" s="104" t="n"/>
      <c r="H240" s="102" t="n"/>
      <c r="I240" s="105" t="n"/>
      <c r="J240" s="105" t="n"/>
      <c r="K240" s="103" t="n"/>
      <c r="L240" s="103" t="n"/>
      <c r="M240" s="106" t="str">
        <f>IF(OR(D240="",E240=""),"",D240+IF(E240="NOTIFICAÇÃO DE CONSTATAÇÃO",PrazoConst,PrazoEsc))</f>
        <v/>
      </c>
      <c r="N240" s="107" t="str">
        <f>IF(M240="","",IF(ISNUMBER(L240),M240-L240,IF(G240="DECISÃO D.P","",M240-TODAY())))</f>
        <v/>
      </c>
      <c r="O240" s="108" t="str">
        <f>IF(B240="","",IF(ISNUMBER(L240),IF(N240="","SEM DATA",IF(N240&gt;=0,"DEFESA NO PRAZO","DEFESA FORA DO PRAZO")),IF(G240="DECISÃO D.P","SEM DEFESA",IF(G240="","SEM STATUS",IF(N240="","SEM DATA",IF(N240&lt;0,"VENCIDO",IF(N240&lt;=DiasAlerta,"VENCE EM BREVE","NO PRAZO")))))))</f>
        <v/>
      </c>
      <c r="P240" s="109" t="str">
        <f>IF(D240="","",TODAY()-D240)</f>
        <v/>
      </c>
      <c r="Q240" s="102" t="n"/>
    </row>
    <row r="241" ht="18" customHeight="1">
      <c r="A241" s="101" t="n"/>
      <c r="B241" s="102" t="n"/>
      <c r="C241" s="102" t="n"/>
      <c r="D241" s="103" t="n"/>
      <c r="E241" s="102" t="n"/>
      <c r="F241" s="104" t="n"/>
      <c r="G241" s="104" t="n"/>
      <c r="H241" s="102" t="n"/>
      <c r="I241" s="105" t="n"/>
      <c r="J241" s="105" t="n"/>
      <c r="K241" s="103" t="n"/>
      <c r="L241" s="103" t="n"/>
      <c r="M241" s="106" t="str">
        <f>IF(OR(D241="",E241=""),"",D241+IF(E241="NOTIFICAÇÃO DE CONSTATAÇÃO",PrazoConst,PrazoEsc))</f>
        <v/>
      </c>
      <c r="N241" s="107" t="str">
        <f>IF(M241="","",IF(ISNUMBER(L241),M241-L241,IF(G241="DECISÃO D.P","",M241-TODAY())))</f>
        <v/>
      </c>
      <c r="O241" s="108" t="str">
        <f>IF(B241="","",IF(ISNUMBER(L241),IF(N241="","SEM DATA",IF(N241&gt;=0,"DEFESA NO PRAZO","DEFESA FORA DO PRAZO")),IF(G241="DECISÃO D.P","SEM DEFESA",IF(G241="","SEM STATUS",IF(N241="","SEM DATA",IF(N241&lt;0,"VENCIDO",IF(N241&lt;=DiasAlerta,"VENCE EM BREVE","NO PRAZO")))))))</f>
        <v/>
      </c>
      <c r="P241" s="109" t="str">
        <f>IF(D241="","",TODAY()-D241)</f>
        <v/>
      </c>
      <c r="Q241" s="102" t="n"/>
    </row>
    <row r="242" ht="18" customHeight="1">
      <c r="A242" s="101" t="n"/>
      <c r="B242" s="102" t="n"/>
      <c r="C242" s="102" t="n"/>
      <c r="D242" s="103" t="n"/>
      <c r="E242" s="102" t="n"/>
      <c r="F242" s="104" t="n"/>
      <c r="G242" s="104" t="n"/>
      <c r="H242" s="102" t="n"/>
      <c r="I242" s="105" t="n"/>
      <c r="J242" s="105" t="n"/>
      <c r="K242" s="103" t="n"/>
      <c r="L242" s="103" t="n"/>
      <c r="M242" s="106" t="str">
        <f>IF(OR(D242="",E242=""),"",D242+IF(E242="NOTIFICAÇÃO DE CONSTATAÇÃO",PrazoConst,PrazoEsc))</f>
        <v/>
      </c>
      <c r="N242" s="107" t="str">
        <f>IF(M242="","",IF(ISNUMBER(L242),M242-L242,IF(G242="DECISÃO D.P","",M242-TODAY())))</f>
        <v/>
      </c>
      <c r="O242" s="108" t="str">
        <f>IF(B242="","",IF(ISNUMBER(L242),IF(N242="","SEM DATA",IF(N242&gt;=0,"DEFESA NO PRAZO","DEFESA FORA DO PRAZO")),IF(G242="DECISÃO D.P","SEM DEFESA",IF(G242="","SEM STATUS",IF(N242="","SEM DATA",IF(N242&lt;0,"VENCIDO",IF(N242&lt;=DiasAlerta,"VENCE EM BREVE","NO PRAZO")))))))</f>
        <v/>
      </c>
      <c r="P242" s="109" t="str">
        <f>IF(D242="","",TODAY()-D242)</f>
        <v/>
      </c>
      <c r="Q242" s="102" t="n"/>
    </row>
    <row r="243" ht="18" customHeight="1">
      <c r="A243" s="101" t="n"/>
      <c r="B243" s="102" t="n"/>
      <c r="C243" s="102" t="n"/>
      <c r="D243" s="103" t="n"/>
      <c r="E243" s="102" t="n"/>
      <c r="F243" s="104" t="n"/>
      <c r="G243" s="104" t="n"/>
      <c r="H243" s="102" t="n"/>
      <c r="I243" s="105" t="n"/>
      <c r="J243" s="105" t="n"/>
      <c r="K243" s="103" t="n"/>
      <c r="L243" s="103" t="n"/>
      <c r="M243" s="106" t="str">
        <f>IF(OR(D243="",E243=""),"",D243+IF(E243="NOTIFICAÇÃO DE CONSTATAÇÃO",PrazoConst,PrazoEsc))</f>
        <v/>
      </c>
      <c r="N243" s="107" t="str">
        <f>IF(M243="","",IF(ISNUMBER(L243),M243-L243,IF(G243="DECISÃO D.P","",M243-TODAY())))</f>
        <v/>
      </c>
      <c r="O243" s="108" t="str">
        <f>IF(B243="","",IF(ISNUMBER(L243),IF(N243="","SEM DATA",IF(N243&gt;=0,"DEFESA NO PRAZO","DEFESA FORA DO PRAZO")),IF(G243="DECISÃO D.P","SEM DEFESA",IF(G243="","SEM STATUS",IF(N243="","SEM DATA",IF(N243&lt;0,"VENCIDO",IF(N243&lt;=DiasAlerta,"VENCE EM BREVE","NO PRAZO")))))))</f>
        <v/>
      </c>
      <c r="P243" s="109" t="str">
        <f>IF(D243="","",TODAY()-D243)</f>
        <v/>
      </c>
      <c r="Q243" s="102" t="n"/>
    </row>
    <row r="244" ht="18" customHeight="1">
      <c r="A244" s="101" t="n"/>
      <c r="B244" s="102" t="n"/>
      <c r="C244" s="102" t="n"/>
      <c r="D244" s="103" t="n"/>
      <c r="E244" s="102" t="n"/>
      <c r="F244" s="104" t="n"/>
      <c r="G244" s="104" t="n"/>
      <c r="H244" s="102" t="n"/>
      <c r="I244" s="105" t="n"/>
      <c r="J244" s="105" t="n"/>
      <c r="K244" s="103" t="n"/>
      <c r="L244" s="103" t="n"/>
      <c r="M244" s="106" t="str">
        <f>IF(OR(D244="",E244=""),"",D244+IF(E244="NOTIFICAÇÃO DE CONSTATAÇÃO",PrazoConst,PrazoEsc))</f>
        <v/>
      </c>
      <c r="N244" s="107" t="str">
        <f>IF(M244="","",IF(ISNUMBER(L244),M244-L244,IF(G244="DECISÃO D.P","",M244-TODAY())))</f>
        <v/>
      </c>
      <c r="O244" s="108" t="str">
        <f>IF(B244="","",IF(ISNUMBER(L244),IF(N244="","SEM DATA",IF(N244&gt;=0,"DEFESA NO PRAZO","DEFESA FORA DO PRAZO")),IF(G244="DECISÃO D.P","SEM DEFESA",IF(G244="","SEM STATUS",IF(N244="","SEM DATA",IF(N244&lt;0,"VENCIDO",IF(N244&lt;=DiasAlerta,"VENCE EM BREVE","NO PRAZO")))))))</f>
        <v/>
      </c>
      <c r="P244" s="109" t="str">
        <f>IF(D244="","",TODAY()-D244)</f>
        <v/>
      </c>
      <c r="Q244" s="102" t="n"/>
    </row>
    <row r="245" ht="18" customHeight="1">
      <c r="A245" s="101" t="n"/>
      <c r="B245" s="102" t="n"/>
      <c r="C245" s="102" t="n"/>
      <c r="D245" s="103" t="n"/>
      <c r="E245" s="102" t="n"/>
      <c r="F245" s="104" t="n"/>
      <c r="G245" s="104" t="n"/>
      <c r="H245" s="102" t="n"/>
      <c r="I245" s="105" t="n"/>
      <c r="J245" s="105" t="n"/>
      <c r="K245" s="103" t="n"/>
      <c r="L245" s="103" t="n"/>
      <c r="M245" s="106" t="str">
        <f>IF(OR(D245="",E245=""),"",D245+IF(E245="NOTIFICAÇÃO DE CONSTATAÇÃO",PrazoConst,PrazoEsc))</f>
        <v/>
      </c>
      <c r="N245" s="107" t="str">
        <f>IF(M245="","",IF(ISNUMBER(L245),M245-L245,IF(G245="DECISÃO D.P","",M245-TODAY())))</f>
        <v/>
      </c>
      <c r="O245" s="108" t="str">
        <f>IF(B245="","",IF(ISNUMBER(L245),IF(N245="","SEM DATA",IF(N245&gt;=0,"DEFESA NO PRAZO","DEFESA FORA DO PRAZO")),IF(G245="DECISÃO D.P","SEM DEFESA",IF(G245="","SEM STATUS",IF(N245="","SEM DATA",IF(N245&lt;0,"VENCIDO",IF(N245&lt;=DiasAlerta,"VENCE EM BREVE","NO PRAZO")))))))</f>
        <v/>
      </c>
      <c r="P245" s="109" t="str">
        <f>IF(D245="","",TODAY()-D245)</f>
        <v/>
      </c>
      <c r="Q245" s="102" t="n"/>
    </row>
    <row r="246" ht="18" customHeight="1">
      <c r="A246" s="101" t="n"/>
      <c r="B246" s="102" t="n"/>
      <c r="C246" s="102" t="n"/>
      <c r="D246" s="103" t="n"/>
      <c r="E246" s="102" t="n"/>
      <c r="F246" s="104" t="n"/>
      <c r="G246" s="104" t="n"/>
      <c r="H246" s="102" t="n"/>
      <c r="I246" s="105" t="n"/>
      <c r="J246" s="105" t="n"/>
      <c r="K246" s="103" t="n"/>
      <c r="L246" s="103" t="n"/>
      <c r="M246" s="106" t="str">
        <f>IF(OR(D246="",E246=""),"",D246+IF(E246="NOTIFICAÇÃO DE CONSTATAÇÃO",PrazoConst,PrazoEsc))</f>
        <v/>
      </c>
      <c r="N246" s="107" t="str">
        <f>IF(M246="","",IF(ISNUMBER(L246),M246-L246,IF(G246="DECISÃO D.P","",M246-TODAY())))</f>
        <v/>
      </c>
      <c r="O246" s="108" t="str">
        <f>IF(B246="","",IF(ISNUMBER(L246),IF(N246="","SEM DATA",IF(N246&gt;=0,"DEFESA NO PRAZO","DEFESA FORA DO PRAZO")),IF(G246="DECISÃO D.P","SEM DEFESA",IF(G246="","SEM STATUS",IF(N246="","SEM DATA",IF(N246&lt;0,"VENCIDO",IF(N246&lt;=DiasAlerta,"VENCE EM BREVE","NO PRAZO")))))))</f>
        <v/>
      </c>
      <c r="P246" s="109" t="str">
        <f>IF(D246="","",TODAY()-D246)</f>
        <v/>
      </c>
      <c r="Q246" s="102" t="n"/>
    </row>
    <row r="247" ht="18" customHeight="1">
      <c r="A247" s="101" t="n"/>
      <c r="B247" s="102" t="n"/>
      <c r="C247" s="102" t="n"/>
      <c r="D247" s="103" t="n"/>
      <c r="E247" s="102" t="n"/>
      <c r="F247" s="104" t="n"/>
      <c r="G247" s="104" t="n"/>
      <c r="H247" s="102" t="n"/>
      <c r="I247" s="105" t="n"/>
      <c r="J247" s="105" t="n"/>
      <c r="K247" s="103" t="n"/>
      <c r="L247" s="103" t="n"/>
      <c r="M247" s="106" t="str">
        <f>IF(OR(D247="",E247=""),"",D247+IF(E247="NOTIFICAÇÃO DE CONSTATAÇÃO",PrazoConst,PrazoEsc))</f>
        <v/>
      </c>
      <c r="N247" s="107" t="str">
        <f>IF(M247="","",IF(ISNUMBER(L247),M247-L247,IF(G247="DECISÃO D.P","",M247-TODAY())))</f>
        <v/>
      </c>
      <c r="O247" s="108" t="str">
        <f>IF(B247="","",IF(ISNUMBER(L247),IF(N247="","SEM DATA",IF(N247&gt;=0,"DEFESA NO PRAZO","DEFESA FORA DO PRAZO")),IF(G247="DECISÃO D.P","SEM DEFESA",IF(G247="","SEM STATUS",IF(N247="","SEM DATA",IF(N247&lt;0,"VENCIDO",IF(N247&lt;=DiasAlerta,"VENCE EM BREVE","NO PRAZO")))))))</f>
        <v/>
      </c>
      <c r="P247" s="109" t="str">
        <f>IF(D247="","",TODAY()-D247)</f>
        <v/>
      </c>
      <c r="Q247" s="102" t="n"/>
    </row>
    <row r="248" ht="18" customHeight="1">
      <c r="A248" s="101" t="n"/>
      <c r="B248" s="102" t="n"/>
      <c r="C248" s="102" t="n"/>
      <c r="D248" s="103" t="n"/>
      <c r="E248" s="102" t="n"/>
      <c r="F248" s="104" t="n"/>
      <c r="G248" s="104" t="n"/>
      <c r="H248" s="102" t="n"/>
      <c r="I248" s="105" t="n"/>
      <c r="J248" s="105" t="n"/>
      <c r="K248" s="103" t="n"/>
      <c r="L248" s="103" t="n"/>
      <c r="M248" s="106" t="str">
        <f>IF(OR(D248="",E248=""),"",D248+IF(E248="NOTIFICAÇÃO DE CONSTATAÇÃO",PrazoConst,PrazoEsc))</f>
        <v/>
      </c>
      <c r="N248" s="107" t="str">
        <f>IF(M248="","",IF(ISNUMBER(L248),M248-L248,IF(G248="DECISÃO D.P","",M248-TODAY())))</f>
        <v/>
      </c>
      <c r="O248" s="108" t="str">
        <f>IF(B248="","",IF(ISNUMBER(L248),IF(N248="","SEM DATA",IF(N248&gt;=0,"DEFESA NO PRAZO","DEFESA FORA DO PRAZO")),IF(G248="DECISÃO D.P","SEM DEFESA",IF(G248="","SEM STATUS",IF(N248="","SEM DATA",IF(N248&lt;0,"VENCIDO",IF(N248&lt;=DiasAlerta,"VENCE EM BREVE","NO PRAZO")))))))</f>
        <v/>
      </c>
      <c r="P248" s="109" t="str">
        <f>IF(D248="","",TODAY()-D248)</f>
        <v/>
      </c>
      <c r="Q248" s="102" t="n"/>
    </row>
    <row r="249" ht="18" customHeight="1">
      <c r="A249" s="101" t="n"/>
      <c r="B249" s="102" t="n"/>
      <c r="C249" s="102" t="n"/>
      <c r="D249" s="103" t="n"/>
      <c r="E249" s="102" t="n"/>
      <c r="F249" s="104" t="n"/>
      <c r="G249" s="104" t="n"/>
      <c r="H249" s="102" t="n"/>
      <c r="I249" s="105" t="n"/>
      <c r="J249" s="105" t="n"/>
      <c r="K249" s="103" t="n"/>
      <c r="L249" s="103" t="n"/>
      <c r="M249" s="106" t="str">
        <f>IF(OR(D249="",E249=""),"",D249+IF(E249="NOTIFICAÇÃO DE CONSTATAÇÃO",PrazoConst,PrazoEsc))</f>
        <v/>
      </c>
      <c r="N249" s="107" t="str">
        <f>IF(M249="","",IF(ISNUMBER(L249),M249-L249,IF(G249="DECISÃO D.P","",M249-TODAY())))</f>
        <v/>
      </c>
      <c r="O249" s="108" t="str">
        <f>IF(B249="","",IF(ISNUMBER(L249),IF(N249="","SEM DATA",IF(N249&gt;=0,"DEFESA NO PRAZO","DEFESA FORA DO PRAZO")),IF(G249="DECISÃO D.P","SEM DEFESA",IF(G249="","SEM STATUS",IF(N249="","SEM DATA",IF(N249&lt;0,"VENCIDO",IF(N249&lt;=DiasAlerta,"VENCE EM BREVE","NO PRAZO")))))))</f>
        <v/>
      </c>
      <c r="P249" s="109" t="str">
        <f>IF(D249="","",TODAY()-D249)</f>
        <v/>
      </c>
      <c r="Q249" s="102" t="n"/>
    </row>
    <row r="250" ht="18" customHeight="1">
      <c r="A250" s="101" t="n"/>
      <c r="B250" s="102" t="n"/>
      <c r="C250" s="102" t="n"/>
      <c r="D250" s="103" t="n"/>
      <c r="E250" s="102" t="n"/>
      <c r="F250" s="104" t="n"/>
      <c r="G250" s="104" t="n"/>
      <c r="H250" s="102" t="n"/>
      <c r="I250" s="105" t="n"/>
      <c r="J250" s="105" t="n"/>
      <c r="K250" s="103" t="n"/>
      <c r="L250" s="103" t="n"/>
      <c r="M250" s="106" t="str">
        <f>IF(OR(D250="",E250=""),"",D250+IF(E250="NOTIFICAÇÃO DE CONSTATAÇÃO",PrazoConst,PrazoEsc))</f>
        <v/>
      </c>
      <c r="N250" s="107" t="str">
        <f>IF(M250="","",IF(ISNUMBER(L250),M250-L250,IF(G250="DECISÃO D.P","",M250-TODAY())))</f>
        <v/>
      </c>
      <c r="O250" s="108" t="str">
        <f>IF(B250="","",IF(ISNUMBER(L250),IF(N250="","SEM DATA",IF(N250&gt;=0,"DEFESA NO PRAZO","DEFESA FORA DO PRAZO")),IF(G250="DECISÃO D.P","SEM DEFESA",IF(G250="","SEM STATUS",IF(N250="","SEM DATA",IF(N250&lt;0,"VENCIDO",IF(N250&lt;=DiasAlerta,"VENCE EM BREVE","NO PRAZO")))))))</f>
        <v/>
      </c>
      <c r="P250" s="109" t="str">
        <f>IF(D250="","",TODAY()-D250)</f>
        <v/>
      </c>
      <c r="Q250" s="102" t="n"/>
    </row>
    <row r="251" ht="18" customHeight="1">
      <c r="A251" s="101" t="n"/>
      <c r="B251" s="102" t="n"/>
      <c r="C251" s="102" t="n"/>
      <c r="D251" s="103" t="n"/>
      <c r="E251" s="102" t="n"/>
      <c r="F251" s="104" t="n"/>
      <c r="G251" s="104" t="n"/>
      <c r="H251" s="102" t="n"/>
      <c r="I251" s="105" t="n"/>
      <c r="J251" s="105" t="n"/>
      <c r="K251" s="103" t="n"/>
      <c r="L251" s="103" t="n"/>
      <c r="M251" s="106" t="str">
        <f>IF(OR(D251="",E251=""),"",D251+IF(E251="NOTIFICAÇÃO DE CONSTATAÇÃO",PrazoConst,PrazoEsc))</f>
        <v/>
      </c>
      <c r="N251" s="107" t="str">
        <f>IF(M251="","",IF(ISNUMBER(L251),M251-L251,IF(G251="DECISÃO D.P","",M251-TODAY())))</f>
        <v/>
      </c>
      <c r="O251" s="108" t="str">
        <f>IF(B251="","",IF(ISNUMBER(L251),IF(N251="","SEM DATA",IF(N251&gt;=0,"DEFESA NO PRAZO","DEFESA FORA DO PRAZO")),IF(G251="DECISÃO D.P","SEM DEFESA",IF(G251="","SEM STATUS",IF(N251="","SEM DATA",IF(N251&lt;0,"VENCIDO",IF(N251&lt;=DiasAlerta,"VENCE EM BREVE","NO PRAZO")))))))</f>
        <v/>
      </c>
      <c r="P251" s="109" t="str">
        <f>IF(D251="","",TODAY()-D251)</f>
        <v/>
      </c>
      <c r="Q251" s="102" t="n"/>
    </row>
    <row r="252" ht="18" customHeight="1">
      <c r="A252" s="101" t="n"/>
      <c r="B252" s="102" t="n"/>
      <c r="C252" s="102" t="n"/>
      <c r="D252" s="103" t="n"/>
      <c r="E252" s="102" t="n"/>
      <c r="F252" s="104" t="n"/>
      <c r="G252" s="104" t="n"/>
      <c r="H252" s="102" t="n"/>
      <c r="I252" s="105" t="n"/>
      <c r="J252" s="105" t="n"/>
      <c r="K252" s="103" t="n"/>
      <c r="L252" s="103" t="n"/>
      <c r="M252" s="106" t="str">
        <f>IF(OR(D252="",E252=""),"",D252+IF(E252="NOTIFICAÇÃO DE CONSTATAÇÃO",PrazoConst,PrazoEsc))</f>
        <v/>
      </c>
      <c r="N252" s="107" t="str">
        <f>IF(M252="","",IF(ISNUMBER(L252),M252-L252,IF(G252="DECISÃO D.P","",M252-TODAY())))</f>
        <v/>
      </c>
      <c r="O252" s="108" t="str">
        <f>IF(B252="","",IF(ISNUMBER(L252),IF(N252="","SEM DATA",IF(N252&gt;=0,"DEFESA NO PRAZO","DEFESA FORA DO PRAZO")),IF(G252="DECISÃO D.P","SEM DEFESA",IF(G252="","SEM STATUS",IF(N252="","SEM DATA",IF(N252&lt;0,"VENCIDO",IF(N252&lt;=DiasAlerta,"VENCE EM BREVE","NO PRAZO")))))))</f>
        <v/>
      </c>
      <c r="P252" s="109" t="str">
        <f>IF(D252="","",TODAY()-D252)</f>
        <v/>
      </c>
      <c r="Q252" s="102" t="n"/>
    </row>
    <row r="253" ht="18" customHeight="1">
      <c r="A253" s="101" t="n"/>
      <c r="B253" s="102" t="n"/>
      <c r="C253" s="102" t="n"/>
      <c r="D253" s="103" t="n"/>
      <c r="E253" s="102" t="n"/>
      <c r="F253" s="104" t="n"/>
      <c r="G253" s="104" t="n"/>
      <c r="H253" s="102" t="n"/>
      <c r="I253" s="105" t="n"/>
      <c r="J253" s="105" t="n"/>
      <c r="K253" s="103" t="n"/>
      <c r="L253" s="103" t="n"/>
      <c r="M253" s="106" t="str">
        <f>IF(OR(D253="",E253=""),"",D253+IF(E253="NOTIFICAÇÃO DE CONSTATAÇÃO",PrazoConst,PrazoEsc))</f>
        <v/>
      </c>
      <c r="N253" s="107" t="str">
        <f>IF(M253="","",IF(ISNUMBER(L253),M253-L253,IF(G253="DECISÃO D.P","",M253-TODAY())))</f>
        <v/>
      </c>
      <c r="O253" s="108" t="str">
        <f>IF(B253="","",IF(ISNUMBER(L253),IF(N253="","SEM DATA",IF(N253&gt;=0,"DEFESA NO PRAZO","DEFESA FORA DO PRAZO")),IF(G253="DECISÃO D.P","SEM DEFESA",IF(G253="","SEM STATUS",IF(N253="","SEM DATA",IF(N253&lt;0,"VENCIDO",IF(N253&lt;=DiasAlerta,"VENCE EM BREVE","NO PRAZO")))))))</f>
        <v/>
      </c>
      <c r="P253" s="109" t="str">
        <f>IF(D253="","",TODAY()-D253)</f>
        <v/>
      </c>
      <c r="Q253" s="102" t="n"/>
    </row>
    <row r="254" ht="18" customHeight="1">
      <c r="A254" s="101" t="n"/>
      <c r="B254" s="102" t="n"/>
      <c r="C254" s="102" t="n"/>
      <c r="D254" s="103" t="n"/>
      <c r="E254" s="102" t="n"/>
      <c r="F254" s="104" t="n"/>
      <c r="G254" s="104" t="n"/>
      <c r="H254" s="102" t="n"/>
      <c r="I254" s="105" t="n"/>
      <c r="J254" s="105" t="n"/>
      <c r="K254" s="103" t="n"/>
      <c r="L254" s="103" t="n"/>
      <c r="M254" s="106" t="str">
        <f>IF(OR(D254="",E254=""),"",D254+IF(E254="NOTIFICAÇÃO DE CONSTATAÇÃO",PrazoConst,PrazoEsc))</f>
        <v/>
      </c>
      <c r="N254" s="107" t="str">
        <f>IF(M254="","",IF(ISNUMBER(L254),M254-L254,IF(G254="DECISÃO D.P","",M254-TODAY())))</f>
        <v/>
      </c>
      <c r="O254" s="108" t="str">
        <f>IF(B254="","",IF(ISNUMBER(L254),IF(N254="","SEM DATA",IF(N254&gt;=0,"DEFESA NO PRAZO","DEFESA FORA DO PRAZO")),IF(G254="DECISÃO D.P","SEM DEFESA",IF(G254="","SEM STATUS",IF(N254="","SEM DATA",IF(N254&lt;0,"VENCIDO",IF(N254&lt;=DiasAlerta,"VENCE EM BREVE","NO PRAZO")))))))</f>
        <v/>
      </c>
      <c r="P254" s="109" t="str">
        <f>IF(D254="","",TODAY()-D254)</f>
        <v/>
      </c>
      <c r="Q254" s="102" t="n"/>
    </row>
    <row r="255" ht="18" customHeight="1">
      <c r="A255" s="101" t="n"/>
      <c r="B255" s="102" t="n"/>
      <c r="C255" s="102" t="n"/>
      <c r="D255" s="103" t="n"/>
      <c r="E255" s="102" t="n"/>
      <c r="F255" s="104" t="n"/>
      <c r="G255" s="104" t="n"/>
      <c r="H255" s="102" t="n"/>
      <c r="I255" s="105" t="n"/>
      <c r="J255" s="105" t="n"/>
      <c r="K255" s="103" t="n"/>
      <c r="L255" s="103" t="n"/>
      <c r="M255" s="106" t="str">
        <f>IF(OR(D255="",E255=""),"",D255+IF(E255="NOTIFICAÇÃO DE CONSTATAÇÃO",PrazoConst,PrazoEsc))</f>
        <v/>
      </c>
      <c r="N255" s="107" t="str">
        <f>IF(M255="","",IF(ISNUMBER(L255),M255-L255,IF(G255="DECISÃO D.P","",M255-TODAY())))</f>
        <v/>
      </c>
      <c r="O255" s="108" t="str">
        <f>IF(B255="","",IF(ISNUMBER(L255),IF(N255="","SEM DATA",IF(N255&gt;=0,"DEFESA NO PRAZO","DEFESA FORA DO PRAZO")),IF(G255="DECISÃO D.P","SEM DEFESA",IF(G255="","SEM STATUS",IF(N255="","SEM DATA",IF(N255&lt;0,"VENCIDO",IF(N255&lt;=DiasAlerta,"VENCE EM BREVE","NO PRAZO")))))))</f>
        <v/>
      </c>
      <c r="P255" s="109" t="str">
        <f>IF(D255="","",TODAY()-D255)</f>
        <v/>
      </c>
      <c r="Q255" s="102" t="n"/>
    </row>
    <row r="256" ht="18" customHeight="1">
      <c r="A256" s="101" t="n"/>
      <c r="B256" s="102" t="n"/>
      <c r="C256" s="102" t="n"/>
      <c r="D256" s="103" t="n"/>
      <c r="E256" s="102" t="n"/>
      <c r="F256" s="104" t="n"/>
      <c r="G256" s="104" t="n"/>
      <c r="H256" s="102" t="n"/>
      <c r="I256" s="105" t="n"/>
      <c r="J256" s="105" t="n"/>
      <c r="K256" s="103" t="n"/>
      <c r="L256" s="103" t="n"/>
      <c r="M256" s="106" t="str">
        <f>IF(OR(D256="",E256=""),"",D256+IF(E256="NOTIFICAÇÃO DE CONSTATAÇÃO",PrazoConst,PrazoEsc))</f>
        <v/>
      </c>
      <c r="N256" s="107" t="str">
        <f>IF(M256="","",IF(ISNUMBER(L256),M256-L256,IF(G256="DECISÃO D.P","",M256-TODAY())))</f>
        <v/>
      </c>
      <c r="O256" s="108" t="str">
        <f>IF(B256="","",IF(ISNUMBER(L256),IF(N256="","SEM DATA",IF(N256&gt;=0,"DEFESA NO PRAZO","DEFESA FORA DO PRAZO")),IF(G256="DECISÃO D.P","SEM DEFESA",IF(G256="","SEM STATUS",IF(N256="","SEM DATA",IF(N256&lt;0,"VENCIDO",IF(N256&lt;=DiasAlerta,"VENCE EM BREVE","NO PRAZO")))))))</f>
        <v/>
      </c>
      <c r="P256" s="109" t="str">
        <f>IF(D256="","",TODAY()-D256)</f>
        <v/>
      </c>
      <c r="Q256" s="102" t="n"/>
    </row>
    <row r="257" ht="18" customHeight="1">
      <c r="A257" s="101" t="n"/>
      <c r="B257" s="102" t="n"/>
      <c r="C257" s="102" t="n"/>
      <c r="D257" s="103" t="n"/>
      <c r="E257" s="102" t="n"/>
      <c r="F257" s="104" t="n"/>
      <c r="G257" s="104" t="n"/>
      <c r="H257" s="102" t="n"/>
      <c r="I257" s="105" t="n"/>
      <c r="J257" s="105" t="n"/>
      <c r="K257" s="103" t="n"/>
      <c r="L257" s="103" t="n"/>
      <c r="M257" s="106" t="str">
        <f>IF(OR(D257="",E257=""),"",D257+IF(E257="NOTIFICAÇÃO DE CONSTATAÇÃO",PrazoConst,PrazoEsc))</f>
        <v/>
      </c>
      <c r="N257" s="107" t="str">
        <f>IF(M257="","",IF(ISNUMBER(L257),M257-L257,IF(G257="DECISÃO D.P","",M257-TODAY())))</f>
        <v/>
      </c>
      <c r="O257" s="108" t="str">
        <f>IF(B257="","",IF(ISNUMBER(L257),IF(N257="","SEM DATA",IF(N257&gt;=0,"DEFESA NO PRAZO","DEFESA FORA DO PRAZO")),IF(G257="DECISÃO D.P","SEM DEFESA",IF(G257="","SEM STATUS",IF(N257="","SEM DATA",IF(N257&lt;0,"VENCIDO",IF(N257&lt;=DiasAlerta,"VENCE EM BREVE","NO PRAZO")))))))</f>
        <v/>
      </c>
      <c r="P257" s="109" t="str">
        <f>IF(D257="","",TODAY()-D257)</f>
        <v/>
      </c>
      <c r="Q257" s="102" t="n"/>
    </row>
    <row r="258" ht="18" customHeight="1">
      <c r="A258" s="101" t="n"/>
      <c r="B258" s="102" t="n"/>
      <c r="C258" s="102" t="n"/>
      <c r="D258" s="103" t="n"/>
      <c r="E258" s="102" t="n"/>
      <c r="F258" s="104" t="n"/>
      <c r="G258" s="104" t="n"/>
      <c r="H258" s="102" t="n"/>
      <c r="I258" s="105" t="n"/>
      <c r="J258" s="105" t="n"/>
      <c r="K258" s="103" t="n"/>
      <c r="L258" s="103" t="n"/>
      <c r="M258" s="106" t="str">
        <f>IF(OR(D258="",E258=""),"",D258+IF(E258="NOTIFICAÇÃO DE CONSTATAÇÃO",PrazoConst,PrazoEsc))</f>
        <v/>
      </c>
      <c r="N258" s="107" t="str">
        <f>IF(M258="","",IF(ISNUMBER(L258),M258-L258,IF(G258="DECISÃO D.P","",M258-TODAY())))</f>
        <v/>
      </c>
      <c r="O258" s="108" t="str">
        <f>IF(B258="","",IF(ISNUMBER(L258),IF(N258="","SEM DATA",IF(N258&gt;=0,"DEFESA NO PRAZO","DEFESA FORA DO PRAZO")),IF(G258="DECISÃO D.P","SEM DEFESA",IF(G258="","SEM STATUS",IF(N258="","SEM DATA",IF(N258&lt;0,"VENCIDO",IF(N258&lt;=DiasAlerta,"VENCE EM BREVE","NO PRAZO")))))))</f>
        <v/>
      </c>
      <c r="P258" s="109" t="str">
        <f>IF(D258="","",TODAY()-D258)</f>
        <v/>
      </c>
      <c r="Q258" s="102" t="n"/>
    </row>
    <row r="259" ht="18" customHeight="1">
      <c r="A259" s="101" t="n"/>
      <c r="B259" s="102" t="n"/>
      <c r="C259" s="102" t="n"/>
      <c r="D259" s="103" t="n"/>
      <c r="E259" s="102" t="n"/>
      <c r="F259" s="104" t="n"/>
      <c r="G259" s="104" t="n"/>
      <c r="H259" s="102" t="n"/>
      <c r="I259" s="105" t="n"/>
      <c r="J259" s="105" t="n"/>
      <c r="K259" s="103" t="n"/>
      <c r="L259" s="103" t="n"/>
      <c r="M259" s="106" t="str">
        <f>IF(OR(D259="",E259=""),"",D259+IF(E259="NOTIFICAÇÃO DE CONSTATAÇÃO",PrazoConst,PrazoEsc))</f>
        <v/>
      </c>
      <c r="N259" s="107" t="str">
        <f>IF(M259="","",IF(ISNUMBER(L259),M259-L259,IF(G259="DECISÃO D.P","",M259-TODAY())))</f>
        <v/>
      </c>
      <c r="O259" s="108" t="str">
        <f>IF(B259="","",IF(ISNUMBER(L259),IF(N259="","SEM DATA",IF(N259&gt;=0,"DEFESA NO PRAZO","DEFESA FORA DO PRAZO")),IF(G259="DECISÃO D.P","SEM DEFESA",IF(G259="","SEM STATUS",IF(N259="","SEM DATA",IF(N259&lt;0,"VENCIDO",IF(N259&lt;=DiasAlerta,"VENCE EM BREVE","NO PRAZO")))))))</f>
        <v/>
      </c>
      <c r="P259" s="109" t="str">
        <f>IF(D259="","",TODAY()-D259)</f>
        <v/>
      </c>
      <c r="Q259" s="102" t="n"/>
    </row>
    <row r="260" ht="18" customHeight="1">
      <c r="A260" s="101" t="n"/>
      <c r="B260" s="102" t="n"/>
      <c r="C260" s="102" t="n"/>
      <c r="D260" s="103" t="n"/>
      <c r="E260" s="102" t="n"/>
      <c r="F260" s="104" t="n"/>
      <c r="G260" s="104" t="n"/>
      <c r="H260" s="102" t="n"/>
      <c r="I260" s="105" t="n"/>
      <c r="J260" s="105" t="n"/>
      <c r="K260" s="103" t="n"/>
      <c r="L260" s="103" t="n"/>
      <c r="M260" s="106" t="str">
        <f>IF(OR(D260="",E260=""),"",D260+IF(E260="NOTIFICAÇÃO DE CONSTATAÇÃO",PrazoConst,PrazoEsc))</f>
        <v/>
      </c>
      <c r="N260" s="107" t="str">
        <f>IF(M260="","",IF(ISNUMBER(L260),M260-L260,IF(G260="DECISÃO D.P","",M260-TODAY())))</f>
        <v/>
      </c>
      <c r="O260" s="108" t="str">
        <f>IF(B260="","",IF(ISNUMBER(L260),IF(N260="","SEM DATA",IF(N260&gt;=0,"DEFESA NO PRAZO","DEFESA FORA DO PRAZO")),IF(G260="DECISÃO D.P","SEM DEFESA",IF(G260="","SEM STATUS",IF(N260="","SEM DATA",IF(N260&lt;0,"VENCIDO",IF(N260&lt;=DiasAlerta,"VENCE EM BREVE","NO PRAZO")))))))</f>
        <v/>
      </c>
      <c r="P260" s="109" t="str">
        <f>IF(D260="","",TODAY()-D260)</f>
        <v/>
      </c>
      <c r="Q260" s="102" t="n"/>
    </row>
    <row r="261" ht="18" customHeight="1">
      <c r="A261" s="101" t="n"/>
      <c r="B261" s="102" t="n"/>
      <c r="C261" s="102" t="n"/>
      <c r="D261" s="103" t="n"/>
      <c r="E261" s="102" t="n"/>
      <c r="F261" s="104" t="n"/>
      <c r="G261" s="104" t="n"/>
      <c r="H261" s="102" t="n"/>
      <c r="I261" s="105" t="n"/>
      <c r="J261" s="105" t="n"/>
      <c r="K261" s="103" t="n"/>
      <c r="L261" s="103" t="n"/>
      <c r="M261" s="106" t="str">
        <f>IF(OR(D261="",E261=""),"",D261+IF(E261="NOTIFICAÇÃO DE CONSTATAÇÃO",PrazoConst,PrazoEsc))</f>
        <v/>
      </c>
      <c r="N261" s="107" t="str">
        <f>IF(M261="","",IF(ISNUMBER(L261),M261-L261,IF(G261="DECISÃO D.P","",M261-TODAY())))</f>
        <v/>
      </c>
      <c r="O261" s="108" t="str">
        <f>IF(B261="","",IF(ISNUMBER(L261),IF(N261="","SEM DATA",IF(N261&gt;=0,"DEFESA NO PRAZO","DEFESA FORA DO PRAZO")),IF(G261="DECISÃO D.P","SEM DEFESA",IF(G261="","SEM STATUS",IF(N261="","SEM DATA",IF(N261&lt;0,"VENCIDO",IF(N261&lt;=DiasAlerta,"VENCE EM BREVE","NO PRAZO")))))))</f>
        <v/>
      </c>
      <c r="P261" s="109" t="str">
        <f>IF(D261="","",TODAY()-D261)</f>
        <v/>
      </c>
      <c r="Q261" s="102" t="n"/>
    </row>
    <row r="262" ht="18" customHeight="1">
      <c r="A262" s="101" t="n"/>
      <c r="B262" s="102" t="n"/>
      <c r="C262" s="102" t="n"/>
      <c r="D262" s="103" t="n"/>
      <c r="E262" s="102" t="n"/>
      <c r="F262" s="104" t="n"/>
      <c r="G262" s="104" t="n"/>
      <c r="H262" s="102" t="n"/>
      <c r="I262" s="105" t="n"/>
      <c r="J262" s="105" t="n"/>
      <c r="K262" s="103" t="n"/>
      <c r="L262" s="103" t="n"/>
      <c r="M262" s="106" t="str">
        <f>IF(OR(D262="",E262=""),"",D262+IF(E262="NOTIFICAÇÃO DE CONSTATAÇÃO",PrazoConst,PrazoEsc))</f>
        <v/>
      </c>
      <c r="N262" s="107" t="str">
        <f>IF(M262="","",IF(ISNUMBER(L262),M262-L262,IF(G262="DECISÃO D.P","",M262-TODAY())))</f>
        <v/>
      </c>
      <c r="O262" s="108" t="str">
        <f>IF(B262="","",IF(ISNUMBER(L262),IF(N262="","SEM DATA",IF(N262&gt;=0,"DEFESA NO PRAZO","DEFESA FORA DO PRAZO")),IF(G262="DECISÃO D.P","SEM DEFESA",IF(G262="","SEM STATUS",IF(N262="","SEM DATA",IF(N262&lt;0,"VENCIDO",IF(N262&lt;=DiasAlerta,"VENCE EM BREVE","NO PRAZO")))))))</f>
        <v/>
      </c>
      <c r="P262" s="109" t="str">
        <f>IF(D262="","",TODAY()-D262)</f>
        <v/>
      </c>
      <c r="Q262" s="102" t="n"/>
    </row>
    <row r="263" ht="18" customHeight="1">
      <c r="A263" s="101" t="n"/>
      <c r="B263" s="102" t="n"/>
      <c r="C263" s="102" t="n"/>
      <c r="D263" s="103" t="n"/>
      <c r="E263" s="102" t="n"/>
      <c r="F263" s="104" t="n"/>
      <c r="G263" s="104" t="n"/>
      <c r="H263" s="102" t="n"/>
      <c r="I263" s="105" t="n"/>
      <c r="J263" s="105" t="n"/>
      <c r="K263" s="103" t="n"/>
      <c r="L263" s="103" t="n"/>
      <c r="M263" s="106" t="str">
        <f>IF(OR(D263="",E263=""),"",D263+IF(E263="NOTIFICAÇÃO DE CONSTATAÇÃO",PrazoConst,PrazoEsc))</f>
        <v/>
      </c>
      <c r="N263" s="107" t="str">
        <f>IF(M263="","",IF(ISNUMBER(L263),M263-L263,IF(G263="DECISÃO D.P","",M263-TODAY())))</f>
        <v/>
      </c>
      <c r="O263" s="108" t="str">
        <f>IF(B263="","",IF(ISNUMBER(L263),IF(N263="","SEM DATA",IF(N263&gt;=0,"DEFESA NO PRAZO","DEFESA FORA DO PRAZO")),IF(G263="DECISÃO D.P","SEM DEFESA",IF(G263="","SEM STATUS",IF(N263="","SEM DATA",IF(N263&lt;0,"VENCIDO",IF(N263&lt;=DiasAlerta,"VENCE EM BREVE","NO PRAZO")))))))</f>
        <v/>
      </c>
      <c r="P263" s="109" t="str">
        <f>IF(D263="","",TODAY()-D263)</f>
        <v/>
      </c>
      <c r="Q263" s="102" t="n"/>
    </row>
    <row r="264" ht="18" customHeight="1">
      <c r="A264" s="101" t="n"/>
      <c r="B264" s="102" t="n"/>
      <c r="C264" s="102" t="n"/>
      <c r="D264" s="103" t="n"/>
      <c r="E264" s="102" t="n"/>
      <c r="F264" s="104" t="n"/>
      <c r="G264" s="104" t="n"/>
      <c r="H264" s="102" t="n"/>
      <c r="I264" s="105" t="n"/>
      <c r="J264" s="105" t="n"/>
      <c r="K264" s="103" t="n"/>
      <c r="L264" s="103" t="n"/>
      <c r="M264" s="106" t="str">
        <f>IF(OR(D264="",E264=""),"",D264+IF(E264="NOTIFICAÇÃO DE CONSTATAÇÃO",PrazoConst,PrazoEsc))</f>
        <v/>
      </c>
      <c r="N264" s="107" t="str">
        <f>IF(M264="","",IF(ISNUMBER(L264),M264-L264,IF(G264="DECISÃO D.P","",M264-TODAY())))</f>
        <v/>
      </c>
      <c r="O264" s="108" t="str">
        <f>IF(B264="","",IF(ISNUMBER(L264),IF(N264="","SEM DATA",IF(N264&gt;=0,"DEFESA NO PRAZO","DEFESA FORA DO PRAZO")),IF(G264="DECISÃO D.P","SEM DEFESA",IF(G264="","SEM STATUS",IF(N264="","SEM DATA",IF(N264&lt;0,"VENCIDO",IF(N264&lt;=DiasAlerta,"VENCE EM BREVE","NO PRAZO")))))))</f>
        <v/>
      </c>
      <c r="P264" s="109" t="str">
        <f>IF(D264="","",TODAY()-D264)</f>
        <v/>
      </c>
      <c r="Q264" s="102" t="n"/>
    </row>
    <row r="265" ht="18" customHeight="1">
      <c r="A265" s="101" t="n"/>
      <c r="B265" s="102" t="n"/>
      <c r="C265" s="102" t="n"/>
      <c r="D265" s="103" t="n"/>
      <c r="E265" s="102" t="n"/>
      <c r="F265" s="104" t="n"/>
      <c r="G265" s="104" t="n"/>
      <c r="H265" s="102" t="n"/>
      <c r="I265" s="105" t="n"/>
      <c r="J265" s="105" t="n"/>
      <c r="K265" s="103" t="n"/>
      <c r="L265" s="103" t="n"/>
      <c r="M265" s="106" t="str">
        <f>IF(OR(D265="",E265=""),"",D265+IF(E265="NOTIFICAÇÃO DE CONSTATAÇÃO",PrazoConst,PrazoEsc))</f>
        <v/>
      </c>
      <c r="N265" s="107" t="str">
        <f>IF(M265="","",IF(ISNUMBER(L265),M265-L265,IF(G265="DECISÃO D.P","",M265-TODAY())))</f>
        <v/>
      </c>
      <c r="O265" s="108" t="str">
        <f>IF(B265="","",IF(ISNUMBER(L265),IF(N265="","SEM DATA",IF(N265&gt;=0,"DEFESA NO PRAZO","DEFESA FORA DO PRAZO")),IF(G265="DECISÃO D.P","SEM DEFESA",IF(G265="","SEM STATUS",IF(N265="","SEM DATA",IF(N265&lt;0,"VENCIDO",IF(N265&lt;=DiasAlerta,"VENCE EM BREVE","NO PRAZO")))))))</f>
        <v/>
      </c>
      <c r="P265" s="109" t="str">
        <f>IF(D265="","",TODAY()-D265)</f>
        <v/>
      </c>
      <c r="Q265" s="102" t="n"/>
    </row>
    <row r="266" ht="18" customHeight="1">
      <c r="A266" s="101" t="n"/>
      <c r="B266" s="102" t="n"/>
      <c r="C266" s="102" t="n"/>
      <c r="D266" s="103" t="n"/>
      <c r="E266" s="102" t="n"/>
      <c r="F266" s="104" t="n"/>
      <c r="G266" s="104" t="n"/>
      <c r="H266" s="102" t="n"/>
      <c r="I266" s="105" t="n"/>
      <c r="J266" s="105" t="n"/>
      <c r="K266" s="103" t="n"/>
      <c r="L266" s="103" t="n"/>
      <c r="M266" s="106" t="str">
        <f>IF(OR(D266="",E266=""),"",D266+IF(E266="NOTIFICAÇÃO DE CONSTATAÇÃO",PrazoConst,PrazoEsc))</f>
        <v/>
      </c>
      <c r="N266" s="107" t="str">
        <f>IF(M266="","",IF(ISNUMBER(L266),M266-L266,IF(G266="DECISÃO D.P","",M266-TODAY())))</f>
        <v/>
      </c>
      <c r="O266" s="108" t="str">
        <f>IF(B266="","",IF(ISNUMBER(L266),IF(N266="","SEM DATA",IF(N266&gt;=0,"DEFESA NO PRAZO","DEFESA FORA DO PRAZO")),IF(G266="DECISÃO D.P","SEM DEFESA",IF(G266="","SEM STATUS",IF(N266="","SEM DATA",IF(N266&lt;0,"VENCIDO",IF(N266&lt;=DiasAlerta,"VENCE EM BREVE","NO PRAZO")))))))</f>
        <v/>
      </c>
      <c r="P266" s="109" t="str">
        <f>IF(D266="","",TODAY()-D266)</f>
        <v/>
      </c>
      <c r="Q266" s="102" t="n"/>
    </row>
    <row r="267" ht="18" customHeight="1">
      <c r="A267" s="101" t="n"/>
      <c r="B267" s="102" t="n"/>
      <c r="C267" s="102" t="n"/>
      <c r="D267" s="103" t="n"/>
      <c r="E267" s="102" t="n"/>
      <c r="F267" s="104" t="n"/>
      <c r="G267" s="104" t="n"/>
      <c r="H267" s="102" t="n"/>
      <c r="I267" s="105" t="n"/>
      <c r="J267" s="105" t="n"/>
      <c r="K267" s="103" t="n"/>
      <c r="L267" s="103" t="n"/>
      <c r="M267" s="106" t="str">
        <f>IF(OR(D267="",E267=""),"",D267+IF(E267="NOTIFICAÇÃO DE CONSTATAÇÃO",PrazoConst,PrazoEsc))</f>
        <v/>
      </c>
      <c r="N267" s="107" t="str">
        <f>IF(M267="","",IF(ISNUMBER(L267),M267-L267,IF(G267="DECISÃO D.P","",M267-TODAY())))</f>
        <v/>
      </c>
      <c r="O267" s="108" t="str">
        <f>IF(B267="","",IF(ISNUMBER(L267),IF(N267="","SEM DATA",IF(N267&gt;=0,"DEFESA NO PRAZO","DEFESA FORA DO PRAZO")),IF(G267="DECISÃO D.P","SEM DEFESA",IF(G267="","SEM STATUS",IF(N267="","SEM DATA",IF(N267&lt;0,"VENCIDO",IF(N267&lt;=DiasAlerta,"VENCE EM BREVE","NO PRAZO")))))))</f>
        <v/>
      </c>
      <c r="P267" s="109" t="str">
        <f>IF(D267="","",TODAY()-D267)</f>
        <v/>
      </c>
      <c r="Q267" s="102" t="n"/>
    </row>
    <row r="268" ht="18" customHeight="1">
      <c r="A268" s="101" t="n"/>
      <c r="B268" s="102" t="n"/>
      <c r="C268" s="102" t="n"/>
      <c r="D268" s="103" t="n"/>
      <c r="E268" s="102" t="n"/>
      <c r="F268" s="104" t="n"/>
      <c r="G268" s="104" t="n"/>
      <c r="H268" s="102" t="n"/>
      <c r="I268" s="105" t="n"/>
      <c r="J268" s="105" t="n"/>
      <c r="K268" s="103" t="n"/>
      <c r="L268" s="103" t="n"/>
      <c r="M268" s="106" t="str">
        <f>IF(OR(D268="",E268=""),"",D268+IF(E268="NOTIFICAÇÃO DE CONSTATAÇÃO",PrazoConst,PrazoEsc))</f>
        <v/>
      </c>
      <c r="N268" s="107" t="str">
        <f>IF(M268="","",IF(ISNUMBER(L268),M268-L268,IF(G268="DECISÃO D.P","",M268-TODAY())))</f>
        <v/>
      </c>
      <c r="O268" s="108" t="str">
        <f>IF(B268="","",IF(ISNUMBER(L268),IF(N268="","SEM DATA",IF(N268&gt;=0,"DEFESA NO PRAZO","DEFESA FORA DO PRAZO")),IF(G268="DECISÃO D.P","SEM DEFESA",IF(G268="","SEM STATUS",IF(N268="","SEM DATA",IF(N268&lt;0,"VENCIDO",IF(N268&lt;=DiasAlerta,"VENCE EM BREVE","NO PRAZO")))))))</f>
        <v/>
      </c>
      <c r="P268" s="109" t="str">
        <f>IF(D268="","",TODAY()-D268)</f>
        <v/>
      </c>
      <c r="Q268" s="102" t="n"/>
    </row>
    <row r="269" ht="18" customHeight="1">
      <c r="A269" s="101" t="n"/>
      <c r="B269" s="102" t="n"/>
      <c r="C269" s="102" t="n"/>
      <c r="D269" s="103" t="n"/>
      <c r="E269" s="102" t="n"/>
      <c r="F269" s="104" t="n"/>
      <c r="G269" s="104" t="n"/>
      <c r="H269" s="102" t="n"/>
      <c r="I269" s="105" t="n"/>
      <c r="J269" s="105" t="n"/>
      <c r="K269" s="103" t="n"/>
      <c r="L269" s="103" t="n"/>
      <c r="M269" s="106" t="str">
        <f>IF(OR(D269="",E269=""),"",D269+IF(E269="NOTIFICAÇÃO DE CONSTATAÇÃO",PrazoConst,PrazoEsc))</f>
        <v/>
      </c>
      <c r="N269" s="107" t="str">
        <f>IF(M269="","",IF(ISNUMBER(L269),M269-L269,IF(G269="DECISÃO D.P","",M269-TODAY())))</f>
        <v/>
      </c>
      <c r="O269" s="108" t="str">
        <f>IF(B269="","",IF(ISNUMBER(L269),IF(N269="","SEM DATA",IF(N269&gt;=0,"DEFESA NO PRAZO","DEFESA FORA DO PRAZO")),IF(G269="DECISÃO D.P","SEM DEFESA",IF(G269="","SEM STATUS",IF(N269="","SEM DATA",IF(N269&lt;0,"VENCIDO",IF(N269&lt;=DiasAlerta,"VENCE EM BREVE","NO PRAZO")))))))</f>
        <v/>
      </c>
      <c r="P269" s="109" t="str">
        <f>IF(D269="","",TODAY()-D269)</f>
        <v/>
      </c>
      <c r="Q269" s="102" t="n"/>
    </row>
    <row r="270" ht="18" customHeight="1">
      <c r="A270" s="101" t="n"/>
      <c r="B270" s="102" t="n"/>
      <c r="C270" s="102" t="n"/>
      <c r="D270" s="103" t="n"/>
      <c r="E270" s="102" t="n"/>
      <c r="F270" s="104" t="n"/>
      <c r="G270" s="104" t="n"/>
      <c r="H270" s="102" t="n"/>
      <c r="I270" s="105" t="n"/>
      <c r="J270" s="105" t="n"/>
      <c r="K270" s="103" t="n"/>
      <c r="L270" s="103" t="n"/>
      <c r="M270" s="106" t="str">
        <f>IF(OR(D270="",E270=""),"",D270+IF(E270="NOTIFICAÇÃO DE CONSTATAÇÃO",PrazoConst,PrazoEsc))</f>
        <v/>
      </c>
      <c r="N270" s="107" t="str">
        <f>IF(M270="","",IF(ISNUMBER(L270),M270-L270,IF(G270="DECISÃO D.P","",M270-TODAY())))</f>
        <v/>
      </c>
      <c r="O270" s="108" t="str">
        <f>IF(B270="","",IF(ISNUMBER(L270),IF(N270="","SEM DATA",IF(N270&gt;=0,"DEFESA NO PRAZO","DEFESA FORA DO PRAZO")),IF(G270="DECISÃO D.P","SEM DEFESA",IF(G270="","SEM STATUS",IF(N270="","SEM DATA",IF(N270&lt;0,"VENCIDO",IF(N270&lt;=DiasAlerta,"VENCE EM BREVE","NO PRAZO")))))))</f>
        <v/>
      </c>
      <c r="P270" s="109" t="str">
        <f>IF(D270="","",TODAY()-D270)</f>
        <v/>
      </c>
      <c r="Q270" s="102" t="n"/>
    </row>
    <row r="271" ht="18" customHeight="1">
      <c r="A271" s="101" t="n"/>
      <c r="B271" s="102" t="n"/>
      <c r="C271" s="102" t="n"/>
      <c r="D271" s="103" t="n"/>
      <c r="E271" s="102" t="n"/>
      <c r="F271" s="104" t="n"/>
      <c r="G271" s="104" t="n"/>
      <c r="H271" s="102" t="n"/>
      <c r="I271" s="105" t="n"/>
      <c r="J271" s="105" t="n"/>
      <c r="K271" s="103" t="n"/>
      <c r="L271" s="103" t="n"/>
      <c r="M271" s="106" t="str">
        <f>IF(OR(D271="",E271=""),"",D271+IF(E271="NOTIFICAÇÃO DE CONSTATAÇÃO",PrazoConst,PrazoEsc))</f>
        <v/>
      </c>
      <c r="N271" s="107" t="str">
        <f>IF(M271="","",IF(ISNUMBER(L271),M271-L271,IF(G271="DECISÃO D.P","",M271-TODAY())))</f>
        <v/>
      </c>
      <c r="O271" s="108" t="str">
        <f>IF(B271="","",IF(ISNUMBER(L271),IF(N271="","SEM DATA",IF(N271&gt;=0,"DEFESA NO PRAZO","DEFESA FORA DO PRAZO")),IF(G271="DECISÃO D.P","SEM DEFESA",IF(G271="","SEM STATUS",IF(N271="","SEM DATA",IF(N271&lt;0,"VENCIDO",IF(N271&lt;=DiasAlerta,"VENCE EM BREVE","NO PRAZO")))))))</f>
        <v/>
      </c>
      <c r="P271" s="109" t="str">
        <f>IF(D271="","",TODAY()-D271)</f>
        <v/>
      </c>
      <c r="Q271" s="102" t="n"/>
    </row>
    <row r="272" ht="18" customHeight="1">
      <c r="A272" s="101" t="n"/>
      <c r="B272" s="102" t="n"/>
      <c r="C272" s="102" t="n"/>
      <c r="D272" s="103" t="n"/>
      <c r="E272" s="102" t="n"/>
      <c r="F272" s="104" t="n"/>
      <c r="G272" s="104" t="n"/>
      <c r="H272" s="102" t="n"/>
      <c r="I272" s="105" t="n"/>
      <c r="J272" s="105" t="n"/>
      <c r="K272" s="103" t="n"/>
      <c r="L272" s="103" t="n"/>
      <c r="M272" s="106" t="str">
        <f>IF(OR(D272="",E272=""),"",D272+IF(E272="NOTIFICAÇÃO DE CONSTATAÇÃO",PrazoConst,PrazoEsc))</f>
        <v/>
      </c>
      <c r="N272" s="107" t="str">
        <f>IF(M272="","",IF(ISNUMBER(L272),M272-L272,IF(G272="DECISÃO D.P","",M272-TODAY())))</f>
        <v/>
      </c>
      <c r="O272" s="108" t="str">
        <f>IF(B272="","",IF(ISNUMBER(L272),IF(N272="","SEM DATA",IF(N272&gt;=0,"DEFESA NO PRAZO","DEFESA FORA DO PRAZO")),IF(G272="DECISÃO D.P","SEM DEFESA",IF(G272="","SEM STATUS",IF(N272="","SEM DATA",IF(N272&lt;0,"VENCIDO",IF(N272&lt;=DiasAlerta,"VENCE EM BREVE","NO PRAZO")))))))</f>
        <v/>
      </c>
      <c r="P272" s="109" t="str">
        <f>IF(D272="","",TODAY()-D272)</f>
        <v/>
      </c>
      <c r="Q272" s="102" t="n"/>
    </row>
    <row r="273" ht="18" customHeight="1">
      <c r="A273" s="101" t="n"/>
      <c r="B273" s="102" t="n"/>
      <c r="C273" s="102" t="n"/>
      <c r="D273" s="103" t="n"/>
      <c r="E273" s="102" t="n"/>
      <c r="F273" s="104" t="n"/>
      <c r="G273" s="104" t="n"/>
      <c r="H273" s="102" t="n"/>
      <c r="I273" s="105" t="n"/>
      <c r="J273" s="105" t="n"/>
      <c r="K273" s="103" t="n"/>
      <c r="L273" s="103" t="n"/>
      <c r="M273" s="106" t="str">
        <f>IF(OR(D273="",E273=""),"",D273+IF(E273="NOTIFICAÇÃO DE CONSTATAÇÃO",PrazoConst,PrazoEsc))</f>
        <v/>
      </c>
      <c r="N273" s="107" t="str">
        <f>IF(M273="","",IF(ISNUMBER(L273),M273-L273,IF(G273="DECISÃO D.P","",M273-TODAY())))</f>
        <v/>
      </c>
      <c r="O273" s="108" t="str">
        <f>IF(B273="","",IF(ISNUMBER(L273),IF(N273="","SEM DATA",IF(N273&gt;=0,"DEFESA NO PRAZO","DEFESA FORA DO PRAZO")),IF(G273="DECISÃO D.P","SEM DEFESA",IF(G273="","SEM STATUS",IF(N273="","SEM DATA",IF(N273&lt;0,"VENCIDO",IF(N273&lt;=DiasAlerta,"VENCE EM BREVE","NO PRAZO")))))))</f>
        <v/>
      </c>
      <c r="P273" s="109" t="str">
        <f>IF(D273="","",TODAY()-D273)</f>
        <v/>
      </c>
      <c r="Q273" s="102" t="n"/>
    </row>
    <row r="274" ht="18" customHeight="1">
      <c r="A274" s="101" t="n"/>
      <c r="B274" s="102" t="n"/>
      <c r="C274" s="102" t="n"/>
      <c r="D274" s="103" t="n"/>
      <c r="E274" s="102" t="n"/>
      <c r="F274" s="104" t="n"/>
      <c r="G274" s="104" t="n"/>
      <c r="H274" s="102" t="n"/>
      <c r="I274" s="105" t="n"/>
      <c r="J274" s="105" t="n"/>
      <c r="K274" s="103" t="n"/>
      <c r="L274" s="103" t="n"/>
      <c r="M274" s="106" t="str">
        <f>IF(OR(D274="",E274=""),"",D274+IF(E274="NOTIFICAÇÃO DE CONSTATAÇÃO",PrazoConst,PrazoEsc))</f>
        <v/>
      </c>
      <c r="N274" s="107" t="str">
        <f>IF(M274="","",IF(ISNUMBER(L274),M274-L274,IF(G274="DECISÃO D.P","",M274-TODAY())))</f>
        <v/>
      </c>
      <c r="O274" s="108" t="str">
        <f>IF(B274="","",IF(ISNUMBER(L274),IF(N274="","SEM DATA",IF(N274&gt;=0,"DEFESA NO PRAZO","DEFESA FORA DO PRAZO")),IF(G274="DECISÃO D.P","SEM DEFESA",IF(G274="","SEM STATUS",IF(N274="","SEM DATA",IF(N274&lt;0,"VENCIDO",IF(N274&lt;=DiasAlerta,"VENCE EM BREVE","NO PRAZO")))))))</f>
        <v/>
      </c>
      <c r="P274" s="109" t="str">
        <f>IF(D274="","",TODAY()-D274)</f>
        <v/>
      </c>
      <c r="Q274" s="102" t="n"/>
    </row>
    <row r="275" ht="18" customHeight="1">
      <c r="A275" s="101" t="n"/>
      <c r="B275" s="102" t="n"/>
      <c r="C275" s="102" t="n"/>
      <c r="D275" s="103" t="n"/>
      <c r="E275" s="102" t="n"/>
      <c r="F275" s="104" t="n"/>
      <c r="G275" s="104" t="n"/>
      <c r="H275" s="102" t="n"/>
      <c r="I275" s="105" t="n"/>
      <c r="J275" s="105" t="n"/>
      <c r="K275" s="103" t="n"/>
      <c r="L275" s="103" t="n"/>
      <c r="M275" s="106" t="str">
        <f>IF(OR(D275="",E275=""),"",D275+IF(E275="NOTIFICAÇÃO DE CONSTATAÇÃO",PrazoConst,PrazoEsc))</f>
        <v/>
      </c>
      <c r="N275" s="107" t="str">
        <f>IF(M275="","",IF(ISNUMBER(L275),M275-L275,IF(G275="DECISÃO D.P","",M275-TODAY())))</f>
        <v/>
      </c>
      <c r="O275" s="108" t="str">
        <f>IF(B275="","",IF(ISNUMBER(L275),IF(N275="","SEM DATA",IF(N275&gt;=0,"DEFESA NO PRAZO","DEFESA FORA DO PRAZO")),IF(G275="DECISÃO D.P","SEM DEFESA",IF(G275="","SEM STATUS",IF(N275="","SEM DATA",IF(N275&lt;0,"VENCIDO",IF(N275&lt;=DiasAlerta,"VENCE EM BREVE","NO PRAZO")))))))</f>
        <v/>
      </c>
      <c r="P275" s="109" t="str">
        <f>IF(D275="","",TODAY()-D275)</f>
        <v/>
      </c>
      <c r="Q275" s="102" t="n"/>
    </row>
    <row r="276" ht="18" customHeight="1">
      <c r="A276" s="101" t="n"/>
      <c r="B276" s="102" t="n"/>
      <c r="C276" s="102" t="n"/>
      <c r="D276" s="103" t="n"/>
      <c r="E276" s="102" t="n"/>
      <c r="F276" s="104" t="n"/>
      <c r="G276" s="104" t="n"/>
      <c r="H276" s="102" t="n"/>
      <c r="I276" s="105" t="n"/>
      <c r="J276" s="105" t="n"/>
      <c r="K276" s="103" t="n"/>
      <c r="L276" s="103" t="n"/>
      <c r="M276" s="106" t="str">
        <f>IF(OR(D276="",E276=""),"",D276+IF(E276="NOTIFICAÇÃO DE CONSTATAÇÃO",PrazoConst,PrazoEsc))</f>
        <v/>
      </c>
      <c r="N276" s="107" t="str">
        <f>IF(M276="","",IF(ISNUMBER(L276),M276-L276,IF(G276="DECISÃO D.P","",M276-TODAY())))</f>
        <v/>
      </c>
      <c r="O276" s="108" t="str">
        <f>IF(B276="","",IF(ISNUMBER(L276),IF(N276="","SEM DATA",IF(N276&gt;=0,"DEFESA NO PRAZO","DEFESA FORA DO PRAZO")),IF(G276="DECISÃO D.P","SEM DEFESA",IF(G276="","SEM STATUS",IF(N276="","SEM DATA",IF(N276&lt;0,"VENCIDO",IF(N276&lt;=DiasAlerta,"VENCE EM BREVE","NO PRAZO")))))))</f>
        <v/>
      </c>
      <c r="P276" s="109" t="str">
        <f>IF(D276="","",TODAY()-D276)</f>
        <v/>
      </c>
      <c r="Q276" s="102" t="n"/>
    </row>
    <row r="277" ht="18" customHeight="1">
      <c r="A277" s="101" t="n"/>
      <c r="B277" s="102" t="n"/>
      <c r="C277" s="102" t="n"/>
      <c r="D277" s="103" t="n"/>
      <c r="E277" s="102" t="n"/>
      <c r="F277" s="104" t="n"/>
      <c r="G277" s="104" t="n"/>
      <c r="H277" s="102" t="n"/>
      <c r="I277" s="105" t="n"/>
      <c r="J277" s="105" t="n"/>
      <c r="K277" s="103" t="n"/>
      <c r="L277" s="103" t="n"/>
      <c r="M277" s="106" t="str">
        <f>IF(OR(D277="",E277=""),"",D277+IF(E277="NOTIFICAÇÃO DE CONSTATAÇÃO",PrazoConst,PrazoEsc))</f>
        <v/>
      </c>
      <c r="N277" s="107" t="str">
        <f>IF(M277="","",IF(ISNUMBER(L277),M277-L277,IF(G277="DECISÃO D.P","",M277-TODAY())))</f>
        <v/>
      </c>
      <c r="O277" s="108" t="str">
        <f>IF(B277="","",IF(ISNUMBER(L277),IF(N277="","SEM DATA",IF(N277&gt;=0,"DEFESA NO PRAZO","DEFESA FORA DO PRAZO")),IF(G277="DECISÃO D.P","SEM DEFESA",IF(G277="","SEM STATUS",IF(N277="","SEM DATA",IF(N277&lt;0,"VENCIDO",IF(N277&lt;=DiasAlerta,"VENCE EM BREVE","NO PRAZO")))))))</f>
        <v/>
      </c>
      <c r="P277" s="109" t="str">
        <f>IF(D277="","",TODAY()-D277)</f>
        <v/>
      </c>
      <c r="Q277" s="102" t="n"/>
    </row>
    <row r="278" ht="18" customHeight="1">
      <c r="A278" s="101" t="n"/>
      <c r="B278" s="102" t="n"/>
      <c r="C278" s="102" t="n"/>
      <c r="D278" s="103" t="n"/>
      <c r="E278" s="102" t="n"/>
      <c r="F278" s="104" t="n"/>
      <c r="G278" s="104" t="n"/>
      <c r="H278" s="102" t="n"/>
      <c r="I278" s="105" t="n"/>
      <c r="J278" s="105" t="n"/>
      <c r="K278" s="103" t="n"/>
      <c r="L278" s="103" t="n"/>
      <c r="M278" s="106" t="str">
        <f>IF(OR(D278="",E278=""),"",D278+IF(E278="NOTIFICAÇÃO DE CONSTATAÇÃO",PrazoConst,PrazoEsc))</f>
        <v/>
      </c>
      <c r="N278" s="107" t="str">
        <f>IF(M278="","",IF(ISNUMBER(L278),M278-L278,IF(G278="DECISÃO D.P","",M278-TODAY())))</f>
        <v/>
      </c>
      <c r="O278" s="108" t="str">
        <f>IF(B278="","",IF(ISNUMBER(L278),IF(N278="","SEM DATA",IF(N278&gt;=0,"DEFESA NO PRAZO","DEFESA FORA DO PRAZO")),IF(G278="DECISÃO D.P","SEM DEFESA",IF(G278="","SEM STATUS",IF(N278="","SEM DATA",IF(N278&lt;0,"VENCIDO",IF(N278&lt;=DiasAlerta,"VENCE EM BREVE","NO PRAZO")))))))</f>
        <v/>
      </c>
      <c r="P278" s="109" t="str">
        <f>IF(D278="","",TODAY()-D278)</f>
        <v/>
      </c>
      <c r="Q278" s="102" t="n"/>
    </row>
    <row r="279" ht="18" customHeight="1">
      <c r="A279" s="101" t="n"/>
      <c r="B279" s="102" t="n"/>
      <c r="C279" s="102" t="n"/>
      <c r="D279" s="103" t="n"/>
      <c r="E279" s="102" t="n"/>
      <c r="F279" s="104" t="n"/>
      <c r="G279" s="104" t="n"/>
      <c r="H279" s="102" t="n"/>
      <c r="I279" s="105" t="n"/>
      <c r="J279" s="105" t="n"/>
      <c r="K279" s="103" t="n"/>
      <c r="L279" s="103" t="n"/>
      <c r="M279" s="106" t="str">
        <f>IF(OR(D279="",E279=""),"",D279+IF(E279="NOTIFICAÇÃO DE CONSTATAÇÃO",PrazoConst,PrazoEsc))</f>
        <v/>
      </c>
      <c r="N279" s="107" t="str">
        <f>IF(M279="","",IF(ISNUMBER(L279),M279-L279,IF(G279="DECISÃO D.P","",M279-TODAY())))</f>
        <v/>
      </c>
      <c r="O279" s="108" t="str">
        <f>IF(B279="","",IF(ISNUMBER(L279),IF(N279="","SEM DATA",IF(N279&gt;=0,"DEFESA NO PRAZO","DEFESA FORA DO PRAZO")),IF(G279="DECISÃO D.P","SEM DEFESA",IF(G279="","SEM STATUS",IF(N279="","SEM DATA",IF(N279&lt;0,"VENCIDO",IF(N279&lt;=DiasAlerta,"VENCE EM BREVE","NO PRAZO")))))))</f>
        <v/>
      </c>
      <c r="P279" s="109" t="str">
        <f>IF(D279="","",TODAY()-D279)</f>
        <v/>
      </c>
      <c r="Q279" s="102" t="n"/>
    </row>
    <row r="280" ht="18" customHeight="1">
      <c r="A280" s="101" t="n"/>
      <c r="B280" s="102" t="n"/>
      <c r="C280" s="102" t="n"/>
      <c r="D280" s="103" t="n"/>
      <c r="E280" s="102" t="n"/>
      <c r="F280" s="104" t="n"/>
      <c r="G280" s="104" t="n"/>
      <c r="H280" s="102" t="n"/>
      <c r="I280" s="105" t="n"/>
      <c r="J280" s="105" t="n"/>
      <c r="K280" s="103" t="n"/>
      <c r="L280" s="103" t="n"/>
      <c r="M280" s="106" t="str">
        <f>IF(OR(D280="",E280=""),"",D280+IF(E280="NOTIFICAÇÃO DE CONSTATAÇÃO",PrazoConst,PrazoEsc))</f>
        <v/>
      </c>
      <c r="N280" s="107" t="str">
        <f>IF(M280="","",IF(ISNUMBER(L280),M280-L280,IF(G280="DECISÃO D.P","",M280-TODAY())))</f>
        <v/>
      </c>
      <c r="O280" s="108" t="str">
        <f>IF(B280="","",IF(ISNUMBER(L280),IF(N280="","SEM DATA",IF(N280&gt;=0,"DEFESA NO PRAZO","DEFESA FORA DO PRAZO")),IF(G280="DECISÃO D.P","SEM DEFESA",IF(G280="","SEM STATUS",IF(N280="","SEM DATA",IF(N280&lt;0,"VENCIDO",IF(N280&lt;=DiasAlerta,"VENCE EM BREVE","NO PRAZO")))))))</f>
        <v/>
      </c>
      <c r="P280" s="109" t="str">
        <f>IF(D280="","",TODAY()-D280)</f>
        <v/>
      </c>
      <c r="Q280" s="102" t="n"/>
    </row>
    <row r="281" ht="18" customHeight="1">
      <c r="A281" s="101" t="n"/>
      <c r="B281" s="102" t="n"/>
      <c r="C281" s="102" t="n"/>
      <c r="D281" s="103" t="n"/>
      <c r="E281" s="102" t="n"/>
      <c r="F281" s="104" t="n"/>
      <c r="G281" s="104" t="n"/>
      <c r="H281" s="102" t="n"/>
      <c r="I281" s="105" t="n"/>
      <c r="J281" s="105" t="n"/>
      <c r="K281" s="103" t="n"/>
      <c r="L281" s="103" t="n"/>
      <c r="M281" s="106" t="str">
        <f>IF(OR(D281="",E281=""),"",D281+IF(E281="NOTIFICAÇÃO DE CONSTATAÇÃO",PrazoConst,PrazoEsc))</f>
        <v/>
      </c>
      <c r="N281" s="107" t="str">
        <f>IF(M281="","",IF(ISNUMBER(L281),M281-L281,IF(G281="DECISÃO D.P","",M281-TODAY())))</f>
        <v/>
      </c>
      <c r="O281" s="108" t="str">
        <f>IF(B281="","",IF(ISNUMBER(L281),IF(N281="","SEM DATA",IF(N281&gt;=0,"DEFESA NO PRAZO","DEFESA FORA DO PRAZO")),IF(G281="DECISÃO D.P","SEM DEFESA",IF(G281="","SEM STATUS",IF(N281="","SEM DATA",IF(N281&lt;0,"VENCIDO",IF(N281&lt;=DiasAlerta,"VENCE EM BREVE","NO PRAZO")))))))</f>
        <v/>
      </c>
      <c r="P281" s="109" t="str">
        <f>IF(D281="","",TODAY()-D281)</f>
        <v/>
      </c>
      <c r="Q281" s="102" t="n"/>
    </row>
    <row r="282" ht="18" customHeight="1">
      <c r="A282" s="101" t="n"/>
      <c r="B282" s="102" t="n"/>
      <c r="C282" s="102" t="n"/>
      <c r="D282" s="103" t="n"/>
      <c r="E282" s="102" t="n"/>
      <c r="F282" s="104" t="n"/>
      <c r="G282" s="104" t="n"/>
      <c r="H282" s="102" t="n"/>
      <c r="I282" s="105" t="n"/>
      <c r="J282" s="105" t="n"/>
      <c r="K282" s="103" t="n"/>
      <c r="L282" s="103" t="n"/>
      <c r="M282" s="106" t="str">
        <f>IF(OR(D282="",E282=""),"",D282+IF(E282="NOTIFICAÇÃO DE CONSTATAÇÃO",PrazoConst,PrazoEsc))</f>
        <v/>
      </c>
      <c r="N282" s="107" t="str">
        <f>IF(M282="","",IF(ISNUMBER(L282),M282-L282,IF(G282="DECISÃO D.P","",M282-TODAY())))</f>
        <v/>
      </c>
      <c r="O282" s="108" t="str">
        <f>IF(B282="","",IF(ISNUMBER(L282),IF(N282="","SEM DATA",IF(N282&gt;=0,"DEFESA NO PRAZO","DEFESA FORA DO PRAZO")),IF(G282="DECISÃO D.P","SEM DEFESA",IF(G282="","SEM STATUS",IF(N282="","SEM DATA",IF(N282&lt;0,"VENCIDO",IF(N282&lt;=DiasAlerta,"VENCE EM BREVE","NO PRAZO")))))))</f>
        <v/>
      </c>
      <c r="P282" s="109" t="str">
        <f>IF(D282="","",TODAY()-D282)</f>
        <v/>
      </c>
      <c r="Q282" s="102" t="n"/>
    </row>
    <row r="283" ht="18" customHeight="1">
      <c r="A283" s="101" t="n"/>
      <c r="B283" s="102" t="n"/>
      <c r="C283" s="102" t="n"/>
      <c r="D283" s="103" t="n"/>
      <c r="E283" s="102" t="n"/>
      <c r="F283" s="104" t="n"/>
      <c r="G283" s="104" t="n"/>
      <c r="H283" s="102" t="n"/>
      <c r="I283" s="105" t="n"/>
      <c r="J283" s="105" t="n"/>
      <c r="K283" s="103" t="n"/>
      <c r="L283" s="103" t="n"/>
      <c r="M283" s="106" t="str">
        <f>IF(OR(D283="",E283=""),"",D283+IF(E283="NOTIFICAÇÃO DE CONSTATAÇÃO",PrazoConst,PrazoEsc))</f>
        <v/>
      </c>
      <c r="N283" s="107" t="str">
        <f>IF(M283="","",IF(ISNUMBER(L283),M283-L283,IF(G283="DECISÃO D.P","",M283-TODAY())))</f>
        <v/>
      </c>
      <c r="O283" s="108" t="str">
        <f>IF(B283="","",IF(ISNUMBER(L283),IF(N283="","SEM DATA",IF(N283&gt;=0,"DEFESA NO PRAZO","DEFESA FORA DO PRAZO")),IF(G283="DECISÃO D.P","SEM DEFESA",IF(G283="","SEM STATUS",IF(N283="","SEM DATA",IF(N283&lt;0,"VENCIDO",IF(N283&lt;=DiasAlerta,"VENCE EM BREVE","NO PRAZO")))))))</f>
        <v/>
      </c>
      <c r="P283" s="109" t="str">
        <f>IF(D283="","",TODAY()-D283)</f>
        <v/>
      </c>
      <c r="Q283" s="102" t="n"/>
    </row>
    <row r="284" ht="18" customHeight="1">
      <c r="A284" s="101" t="n"/>
      <c r="B284" s="102" t="n"/>
      <c r="C284" s="102" t="n"/>
      <c r="D284" s="103" t="n"/>
      <c r="E284" s="102" t="n"/>
      <c r="F284" s="104" t="n"/>
      <c r="G284" s="104" t="n"/>
      <c r="H284" s="102" t="n"/>
      <c r="I284" s="105" t="n"/>
      <c r="J284" s="105" t="n"/>
      <c r="K284" s="103" t="n"/>
      <c r="L284" s="103" t="n"/>
      <c r="M284" s="106" t="str">
        <f>IF(OR(D284="",E284=""),"",D284+IF(E284="NOTIFICAÇÃO DE CONSTATAÇÃO",PrazoConst,PrazoEsc))</f>
        <v/>
      </c>
      <c r="N284" s="107" t="str">
        <f>IF(M284="","",IF(ISNUMBER(L284),M284-L284,IF(G284="DECISÃO D.P","",M284-TODAY())))</f>
        <v/>
      </c>
      <c r="O284" s="108" t="str">
        <f>IF(B284="","",IF(ISNUMBER(L284),IF(N284="","SEM DATA",IF(N284&gt;=0,"DEFESA NO PRAZO","DEFESA FORA DO PRAZO")),IF(G284="DECISÃO D.P","SEM DEFESA",IF(G284="","SEM STATUS",IF(N284="","SEM DATA",IF(N284&lt;0,"VENCIDO",IF(N284&lt;=DiasAlerta,"VENCE EM BREVE","NO PRAZO")))))))</f>
        <v/>
      </c>
      <c r="P284" s="109" t="str">
        <f>IF(D284="","",TODAY()-D284)</f>
        <v/>
      </c>
      <c r="Q284" s="102" t="n"/>
    </row>
    <row r="285" ht="18" customHeight="1">
      <c r="A285" s="101" t="n"/>
      <c r="B285" s="102" t="n"/>
      <c r="C285" s="102" t="n"/>
      <c r="D285" s="103" t="n"/>
      <c r="E285" s="102" t="n"/>
      <c r="F285" s="104" t="n"/>
      <c r="G285" s="104" t="n"/>
      <c r="H285" s="102" t="n"/>
      <c r="I285" s="105" t="n"/>
      <c r="J285" s="105" t="n"/>
      <c r="K285" s="103" t="n"/>
      <c r="L285" s="103" t="n"/>
      <c r="M285" s="106" t="str">
        <f>IF(OR(D285="",E285=""),"",D285+IF(E285="NOTIFICAÇÃO DE CONSTATAÇÃO",PrazoConst,PrazoEsc))</f>
        <v/>
      </c>
      <c r="N285" s="107" t="str">
        <f>IF(M285="","",IF(ISNUMBER(L285),M285-L285,IF(G285="DECISÃO D.P","",M285-TODAY())))</f>
        <v/>
      </c>
      <c r="O285" s="108" t="str">
        <f>IF(B285="","",IF(ISNUMBER(L285),IF(N285="","SEM DATA",IF(N285&gt;=0,"DEFESA NO PRAZO","DEFESA FORA DO PRAZO")),IF(G285="DECISÃO D.P","SEM DEFESA",IF(G285="","SEM STATUS",IF(N285="","SEM DATA",IF(N285&lt;0,"VENCIDO",IF(N285&lt;=DiasAlerta,"VENCE EM BREVE","NO PRAZO")))))))</f>
        <v/>
      </c>
      <c r="P285" s="109" t="str">
        <f>IF(D285="","",TODAY()-D285)</f>
        <v/>
      </c>
      <c r="Q285" s="102" t="n"/>
    </row>
    <row r="286" ht="18" customHeight="1">
      <c r="A286" s="101" t="n"/>
      <c r="B286" s="102" t="n"/>
      <c r="C286" s="102" t="n"/>
      <c r="D286" s="103" t="n"/>
      <c r="E286" s="102" t="n"/>
      <c r="F286" s="104" t="n"/>
      <c r="G286" s="104" t="n"/>
      <c r="H286" s="102" t="n"/>
      <c r="I286" s="105" t="n"/>
      <c r="J286" s="105" t="n"/>
      <c r="K286" s="103" t="n"/>
      <c r="L286" s="103" t="n"/>
      <c r="M286" s="106" t="str">
        <f>IF(OR(D286="",E286=""),"",D286+IF(E286="NOTIFICAÇÃO DE CONSTATAÇÃO",PrazoConst,PrazoEsc))</f>
        <v/>
      </c>
      <c r="N286" s="107" t="str">
        <f>IF(M286="","",IF(ISNUMBER(L286),M286-L286,IF(G286="DECISÃO D.P","",M286-TODAY())))</f>
        <v/>
      </c>
      <c r="O286" s="108" t="str">
        <f>IF(B286="","",IF(ISNUMBER(L286),IF(N286="","SEM DATA",IF(N286&gt;=0,"DEFESA NO PRAZO","DEFESA FORA DO PRAZO")),IF(G286="DECISÃO D.P","SEM DEFESA",IF(G286="","SEM STATUS",IF(N286="","SEM DATA",IF(N286&lt;0,"VENCIDO",IF(N286&lt;=DiasAlerta,"VENCE EM BREVE","NO PRAZO")))))))</f>
        <v/>
      </c>
      <c r="P286" s="109" t="str">
        <f>IF(D286="","",TODAY()-D286)</f>
        <v/>
      </c>
      <c r="Q286" s="102" t="n"/>
    </row>
    <row r="287" ht="18" customHeight="1">
      <c r="A287" s="101" t="n"/>
      <c r="B287" s="102" t="n"/>
      <c r="C287" s="102" t="n"/>
      <c r="D287" s="103" t="n"/>
      <c r="E287" s="102" t="n"/>
      <c r="F287" s="104" t="n"/>
      <c r="G287" s="104" t="n"/>
      <c r="H287" s="102" t="n"/>
      <c r="I287" s="105" t="n"/>
      <c r="J287" s="105" t="n"/>
      <c r="K287" s="103" t="n"/>
      <c r="L287" s="103" t="n"/>
      <c r="M287" s="106" t="str">
        <f>IF(OR(D287="",E287=""),"",D287+IF(E287="NOTIFICAÇÃO DE CONSTATAÇÃO",PrazoConst,PrazoEsc))</f>
        <v/>
      </c>
      <c r="N287" s="107" t="str">
        <f>IF(M287="","",IF(ISNUMBER(L287),M287-L287,IF(G287="DECISÃO D.P","",M287-TODAY())))</f>
        <v/>
      </c>
      <c r="O287" s="108" t="str">
        <f>IF(B287="","",IF(ISNUMBER(L287),IF(N287="","SEM DATA",IF(N287&gt;=0,"DEFESA NO PRAZO","DEFESA FORA DO PRAZO")),IF(G287="DECISÃO D.P","SEM DEFESA",IF(G287="","SEM STATUS",IF(N287="","SEM DATA",IF(N287&lt;0,"VENCIDO",IF(N287&lt;=DiasAlerta,"VENCE EM BREVE","NO PRAZO")))))))</f>
        <v/>
      </c>
      <c r="P287" s="109" t="str">
        <f>IF(D287="","",TODAY()-D287)</f>
        <v/>
      </c>
      <c r="Q287" s="102" t="n"/>
    </row>
    <row r="288" ht="18" customHeight="1">
      <c r="A288" s="101" t="n"/>
      <c r="B288" s="102" t="n"/>
      <c r="C288" s="102" t="n"/>
      <c r="D288" s="103" t="n"/>
      <c r="E288" s="102" t="n"/>
      <c r="F288" s="104" t="n"/>
      <c r="G288" s="104" t="n"/>
      <c r="H288" s="102" t="n"/>
      <c r="I288" s="105" t="n"/>
      <c r="J288" s="105" t="n"/>
      <c r="K288" s="103" t="n"/>
      <c r="L288" s="103" t="n"/>
      <c r="M288" s="106" t="str">
        <f>IF(OR(D288="",E288=""),"",D288+IF(E288="NOTIFICAÇÃO DE CONSTATAÇÃO",PrazoConst,PrazoEsc))</f>
        <v/>
      </c>
      <c r="N288" s="107" t="str">
        <f>IF(M288="","",IF(ISNUMBER(L288),M288-L288,IF(G288="DECISÃO D.P","",M288-TODAY())))</f>
        <v/>
      </c>
      <c r="O288" s="108" t="str">
        <f>IF(B288="","",IF(ISNUMBER(L288),IF(N288="","SEM DATA",IF(N288&gt;=0,"DEFESA NO PRAZO","DEFESA FORA DO PRAZO")),IF(G288="DECISÃO D.P","SEM DEFESA",IF(G288="","SEM STATUS",IF(N288="","SEM DATA",IF(N288&lt;0,"VENCIDO",IF(N288&lt;=DiasAlerta,"VENCE EM BREVE","NO PRAZO")))))))</f>
        <v/>
      </c>
      <c r="P288" s="109" t="str">
        <f>IF(D288="","",TODAY()-D288)</f>
        <v/>
      </c>
      <c r="Q288" s="102" t="n"/>
    </row>
    <row r="289" ht="18" customHeight="1">
      <c r="A289" s="101" t="n"/>
      <c r="B289" s="102" t="n"/>
      <c r="C289" s="102" t="n"/>
      <c r="D289" s="103" t="n"/>
      <c r="E289" s="102" t="n"/>
      <c r="F289" s="104" t="n"/>
      <c r="G289" s="104" t="n"/>
      <c r="H289" s="102" t="n"/>
      <c r="I289" s="105" t="n"/>
      <c r="J289" s="105" t="n"/>
      <c r="K289" s="103" t="n"/>
      <c r="L289" s="103" t="n"/>
      <c r="M289" s="106" t="str">
        <f>IF(OR(D289="",E289=""),"",D289+IF(E289="NOTIFICAÇÃO DE CONSTATAÇÃO",PrazoConst,PrazoEsc))</f>
        <v/>
      </c>
      <c r="N289" s="107" t="str">
        <f>IF(M289="","",IF(ISNUMBER(L289),M289-L289,IF(G289="DECISÃO D.P","",M289-TODAY())))</f>
        <v/>
      </c>
      <c r="O289" s="108" t="str">
        <f>IF(B289="","",IF(ISNUMBER(L289),IF(N289="","SEM DATA",IF(N289&gt;=0,"DEFESA NO PRAZO","DEFESA FORA DO PRAZO")),IF(G289="DECISÃO D.P","SEM DEFESA",IF(G289="","SEM STATUS",IF(N289="","SEM DATA",IF(N289&lt;0,"VENCIDO",IF(N289&lt;=DiasAlerta,"VENCE EM BREVE","NO PRAZO")))))))</f>
        <v/>
      </c>
      <c r="P289" s="109" t="str">
        <f>IF(D289="","",TODAY()-D289)</f>
        <v/>
      </c>
      <c r="Q289" s="102" t="n"/>
    </row>
    <row r="290" ht="18" customHeight="1">
      <c r="A290" s="101" t="n"/>
      <c r="B290" s="102" t="n"/>
      <c r="C290" s="102" t="n"/>
      <c r="D290" s="103" t="n"/>
      <c r="E290" s="102" t="n"/>
      <c r="F290" s="104" t="n"/>
      <c r="G290" s="104" t="n"/>
      <c r="H290" s="102" t="n"/>
      <c r="I290" s="105" t="n"/>
      <c r="J290" s="105" t="n"/>
      <c r="K290" s="103" t="n"/>
      <c r="L290" s="103" t="n"/>
      <c r="M290" s="106" t="str">
        <f>IF(OR(D290="",E290=""),"",D290+IF(E290="NOTIFICAÇÃO DE CONSTATAÇÃO",PrazoConst,PrazoEsc))</f>
        <v/>
      </c>
      <c r="N290" s="107" t="str">
        <f>IF(M290="","",IF(ISNUMBER(L290),M290-L290,IF(G290="DECISÃO D.P","",M290-TODAY())))</f>
        <v/>
      </c>
      <c r="O290" s="108" t="str">
        <f>IF(B290="","",IF(ISNUMBER(L290),IF(N290="","SEM DATA",IF(N290&gt;=0,"DEFESA NO PRAZO","DEFESA FORA DO PRAZO")),IF(G290="DECISÃO D.P","SEM DEFESA",IF(G290="","SEM STATUS",IF(N290="","SEM DATA",IF(N290&lt;0,"VENCIDO",IF(N290&lt;=DiasAlerta,"VENCE EM BREVE","NO PRAZO")))))))</f>
        <v/>
      </c>
      <c r="P290" s="109" t="str">
        <f>IF(D290="","",TODAY()-D290)</f>
        <v/>
      </c>
      <c r="Q290" s="102" t="n"/>
    </row>
    <row r="291" ht="18" customHeight="1">
      <c r="A291" s="101" t="n"/>
      <c r="B291" s="102" t="n"/>
      <c r="C291" s="102" t="n"/>
      <c r="D291" s="103" t="n"/>
      <c r="E291" s="102" t="n"/>
      <c r="F291" s="104" t="n"/>
      <c r="G291" s="104" t="n"/>
      <c r="H291" s="102" t="n"/>
      <c r="I291" s="105" t="n"/>
      <c r="J291" s="105" t="n"/>
      <c r="K291" s="103" t="n"/>
      <c r="L291" s="103" t="n"/>
      <c r="M291" s="106" t="str">
        <f>IF(OR(D291="",E291=""),"",D291+IF(E291="NOTIFICAÇÃO DE CONSTATAÇÃO",PrazoConst,PrazoEsc))</f>
        <v/>
      </c>
      <c r="N291" s="107" t="str">
        <f>IF(M291="","",IF(ISNUMBER(L291),M291-L291,IF(G291="DECISÃO D.P","",M291-TODAY())))</f>
        <v/>
      </c>
      <c r="O291" s="108" t="str">
        <f>IF(B291="","",IF(ISNUMBER(L291),IF(N291="","SEM DATA",IF(N291&gt;=0,"DEFESA NO PRAZO","DEFESA FORA DO PRAZO")),IF(G291="DECISÃO D.P","SEM DEFESA",IF(G291="","SEM STATUS",IF(N291="","SEM DATA",IF(N291&lt;0,"VENCIDO",IF(N291&lt;=DiasAlerta,"VENCE EM BREVE","NO PRAZO")))))))</f>
        <v/>
      </c>
      <c r="P291" s="109" t="str">
        <f>IF(D291="","",TODAY()-D291)</f>
        <v/>
      </c>
      <c r="Q291" s="102" t="n"/>
    </row>
    <row r="292" ht="18" customHeight="1">
      <c r="A292" s="101" t="n"/>
      <c r="B292" s="102" t="n"/>
      <c r="C292" s="102" t="n"/>
      <c r="D292" s="103" t="n"/>
      <c r="E292" s="102" t="n"/>
      <c r="F292" s="104" t="n"/>
      <c r="G292" s="104" t="n"/>
      <c r="H292" s="102" t="n"/>
      <c r="I292" s="105" t="n"/>
      <c r="J292" s="105" t="n"/>
      <c r="K292" s="103" t="n"/>
      <c r="L292" s="103" t="n"/>
      <c r="M292" s="106" t="str">
        <f>IF(OR(D292="",E292=""),"",D292+IF(E292="NOTIFICAÇÃO DE CONSTATAÇÃO",PrazoConst,PrazoEsc))</f>
        <v/>
      </c>
      <c r="N292" s="107" t="str">
        <f>IF(M292="","",IF(ISNUMBER(L292),M292-L292,IF(G292="DECISÃO D.P","",M292-TODAY())))</f>
        <v/>
      </c>
      <c r="O292" s="108" t="str">
        <f>IF(B292="","",IF(ISNUMBER(L292),IF(N292="","SEM DATA",IF(N292&gt;=0,"DEFESA NO PRAZO","DEFESA FORA DO PRAZO")),IF(G292="DECISÃO D.P","SEM DEFESA",IF(G292="","SEM STATUS",IF(N292="","SEM DATA",IF(N292&lt;0,"VENCIDO",IF(N292&lt;=DiasAlerta,"VENCE EM BREVE","NO PRAZO")))))))</f>
        <v/>
      </c>
      <c r="P292" s="109" t="str">
        <f>IF(D292="","",TODAY()-D292)</f>
        <v/>
      </c>
      <c r="Q292" s="102" t="n"/>
    </row>
    <row r="293" ht="18" customHeight="1">
      <c r="A293" s="101" t="n"/>
      <c r="B293" s="102" t="n"/>
      <c r="C293" s="102" t="n"/>
      <c r="D293" s="103" t="n"/>
      <c r="E293" s="102" t="n"/>
      <c r="F293" s="104" t="n"/>
      <c r="G293" s="104" t="n"/>
      <c r="H293" s="102" t="n"/>
      <c r="I293" s="105" t="n"/>
      <c r="J293" s="105" t="n"/>
      <c r="K293" s="103" t="n"/>
      <c r="L293" s="103" t="n"/>
      <c r="M293" s="106" t="str">
        <f>IF(OR(D293="",E293=""),"",D293+IF(E293="NOTIFICAÇÃO DE CONSTATAÇÃO",PrazoConst,PrazoEsc))</f>
        <v/>
      </c>
      <c r="N293" s="107" t="str">
        <f>IF(M293="","",IF(ISNUMBER(L293),M293-L293,IF(G293="DECISÃO D.P","",M293-TODAY())))</f>
        <v/>
      </c>
      <c r="O293" s="108" t="str">
        <f>IF(B293="","",IF(ISNUMBER(L293),IF(N293="","SEM DATA",IF(N293&gt;=0,"DEFESA NO PRAZO","DEFESA FORA DO PRAZO")),IF(G293="DECISÃO D.P","SEM DEFESA",IF(G293="","SEM STATUS",IF(N293="","SEM DATA",IF(N293&lt;0,"VENCIDO",IF(N293&lt;=DiasAlerta,"VENCE EM BREVE","NO PRAZO")))))))</f>
        <v/>
      </c>
      <c r="P293" s="109" t="str">
        <f>IF(D293="","",TODAY()-D293)</f>
        <v/>
      </c>
      <c r="Q293" s="102" t="n"/>
    </row>
    <row r="294" ht="18" customHeight="1">
      <c r="A294" s="101" t="n"/>
      <c r="B294" s="102" t="n"/>
      <c r="C294" s="102" t="n"/>
      <c r="D294" s="103" t="n"/>
      <c r="E294" s="102" t="n"/>
      <c r="F294" s="104" t="n"/>
      <c r="G294" s="104" t="n"/>
      <c r="H294" s="102" t="n"/>
      <c r="I294" s="105" t="n"/>
      <c r="J294" s="105" t="n"/>
      <c r="K294" s="103" t="n"/>
      <c r="L294" s="103" t="n"/>
      <c r="M294" s="106" t="str">
        <f>IF(OR(D294="",E294=""),"",D294+IF(E294="NOTIFICAÇÃO DE CONSTATAÇÃO",PrazoConst,PrazoEsc))</f>
        <v/>
      </c>
      <c r="N294" s="107" t="str">
        <f>IF(M294="","",IF(ISNUMBER(L294),M294-L294,IF(G294="DECISÃO D.P","",M294-TODAY())))</f>
        <v/>
      </c>
      <c r="O294" s="108" t="str">
        <f>IF(B294="","",IF(ISNUMBER(L294),IF(N294="","SEM DATA",IF(N294&gt;=0,"DEFESA NO PRAZO","DEFESA FORA DO PRAZO")),IF(G294="DECISÃO D.P","SEM DEFESA",IF(G294="","SEM STATUS",IF(N294="","SEM DATA",IF(N294&lt;0,"VENCIDO",IF(N294&lt;=DiasAlerta,"VENCE EM BREVE","NO PRAZO")))))))</f>
        <v/>
      </c>
      <c r="P294" s="109" t="str">
        <f>IF(D294="","",TODAY()-D294)</f>
        <v/>
      </c>
      <c r="Q294" s="102" t="n"/>
    </row>
    <row r="295" ht="18" customHeight="1">
      <c r="A295" s="101" t="n"/>
      <c r="B295" s="102" t="n"/>
      <c r="C295" s="102" t="n"/>
      <c r="D295" s="103" t="n"/>
      <c r="E295" s="102" t="n"/>
      <c r="F295" s="104" t="n"/>
      <c r="G295" s="104" t="n"/>
      <c r="H295" s="102" t="n"/>
      <c r="I295" s="105" t="n"/>
      <c r="J295" s="105" t="n"/>
      <c r="K295" s="103" t="n"/>
      <c r="L295" s="103" t="n"/>
      <c r="M295" s="106" t="str">
        <f>IF(OR(D295="",E295=""),"",D295+IF(E295="NOTIFICAÇÃO DE CONSTATAÇÃO",PrazoConst,PrazoEsc))</f>
        <v/>
      </c>
      <c r="N295" s="107" t="str">
        <f>IF(M295="","",IF(ISNUMBER(L295),M295-L295,IF(G295="DECISÃO D.P","",M295-TODAY())))</f>
        <v/>
      </c>
      <c r="O295" s="108" t="str">
        <f>IF(B295="","",IF(ISNUMBER(L295),IF(N295="","SEM DATA",IF(N295&gt;=0,"DEFESA NO PRAZO","DEFESA FORA DO PRAZO")),IF(G295="DECISÃO D.P","SEM DEFESA",IF(G295="","SEM STATUS",IF(N295="","SEM DATA",IF(N295&lt;0,"VENCIDO",IF(N295&lt;=DiasAlerta,"VENCE EM BREVE","NO PRAZO")))))))</f>
        <v/>
      </c>
      <c r="P295" s="109" t="str">
        <f>IF(D295="","",TODAY()-D295)</f>
        <v/>
      </c>
      <c r="Q295" s="102" t="n"/>
    </row>
    <row r="296" ht="18" customHeight="1">
      <c r="A296" s="101" t="n"/>
      <c r="B296" s="102" t="n"/>
      <c r="C296" s="102" t="n"/>
      <c r="D296" s="103" t="n"/>
      <c r="E296" s="102" t="n"/>
      <c r="F296" s="104" t="n"/>
      <c r="G296" s="104" t="n"/>
      <c r="H296" s="102" t="n"/>
      <c r="I296" s="105" t="n"/>
      <c r="J296" s="105" t="n"/>
      <c r="K296" s="103" t="n"/>
      <c r="L296" s="103" t="n"/>
      <c r="M296" s="106" t="str">
        <f>IF(OR(D296="",E296=""),"",D296+IF(E296="NOTIFICAÇÃO DE CONSTATAÇÃO",PrazoConst,PrazoEsc))</f>
        <v/>
      </c>
      <c r="N296" s="107" t="str">
        <f>IF(M296="","",IF(ISNUMBER(L296),M296-L296,IF(G296="DECISÃO D.P","",M296-TODAY())))</f>
        <v/>
      </c>
      <c r="O296" s="108" t="str">
        <f>IF(B296="","",IF(ISNUMBER(L296),IF(N296="","SEM DATA",IF(N296&gt;=0,"DEFESA NO PRAZO","DEFESA FORA DO PRAZO")),IF(G296="DECISÃO D.P","SEM DEFESA",IF(G296="","SEM STATUS",IF(N296="","SEM DATA",IF(N296&lt;0,"VENCIDO",IF(N296&lt;=DiasAlerta,"VENCE EM BREVE","NO PRAZO")))))))</f>
        <v/>
      </c>
      <c r="P296" s="109" t="str">
        <f>IF(D296="","",TODAY()-D296)</f>
        <v/>
      </c>
      <c r="Q296" s="102" t="n"/>
    </row>
    <row r="297" ht="18" customHeight="1">
      <c r="A297" s="101" t="n"/>
      <c r="B297" s="102" t="n"/>
      <c r="C297" s="102" t="n"/>
      <c r="D297" s="103" t="n"/>
      <c r="E297" s="102" t="n"/>
      <c r="F297" s="104" t="n"/>
      <c r="G297" s="104" t="n"/>
      <c r="H297" s="102" t="n"/>
      <c r="I297" s="105" t="n"/>
      <c r="J297" s="105" t="n"/>
      <c r="K297" s="103" t="n"/>
      <c r="L297" s="103" t="n"/>
      <c r="M297" s="106" t="str">
        <f>IF(OR(D297="",E297=""),"",D297+IF(E297="NOTIFICAÇÃO DE CONSTATAÇÃO",PrazoConst,PrazoEsc))</f>
        <v/>
      </c>
      <c r="N297" s="107" t="str">
        <f>IF(M297="","",IF(ISNUMBER(L297),M297-L297,IF(G297="DECISÃO D.P","",M297-TODAY())))</f>
        <v/>
      </c>
      <c r="O297" s="108" t="str">
        <f>IF(B297="","",IF(ISNUMBER(L297),IF(N297="","SEM DATA",IF(N297&gt;=0,"DEFESA NO PRAZO","DEFESA FORA DO PRAZO")),IF(G297="DECISÃO D.P","SEM DEFESA",IF(G297="","SEM STATUS",IF(N297="","SEM DATA",IF(N297&lt;0,"VENCIDO",IF(N297&lt;=DiasAlerta,"VENCE EM BREVE","NO PRAZO")))))))</f>
        <v/>
      </c>
      <c r="P297" s="109" t="str">
        <f>IF(D297="","",TODAY()-D297)</f>
        <v/>
      </c>
      <c r="Q297" s="102" t="n"/>
    </row>
    <row r="298" ht="18" customHeight="1">
      <c r="A298" s="101" t="n"/>
      <c r="B298" s="102" t="n"/>
      <c r="C298" s="102" t="n"/>
      <c r="D298" s="103" t="n"/>
      <c r="E298" s="102" t="n"/>
      <c r="F298" s="104" t="n"/>
      <c r="G298" s="104" t="n"/>
      <c r="H298" s="102" t="n"/>
      <c r="I298" s="105" t="n"/>
      <c r="J298" s="105" t="n"/>
      <c r="K298" s="103" t="n"/>
      <c r="L298" s="103" t="n"/>
      <c r="M298" s="106" t="str">
        <f>IF(OR(D298="",E298=""),"",D298+IF(E298="NOTIFICAÇÃO DE CONSTATAÇÃO",PrazoConst,PrazoEsc))</f>
        <v/>
      </c>
      <c r="N298" s="107" t="str">
        <f>IF(M298="","",IF(ISNUMBER(L298),M298-L298,IF(G298="DECISÃO D.P","",M298-TODAY())))</f>
        <v/>
      </c>
      <c r="O298" s="108" t="str">
        <f>IF(B298="","",IF(ISNUMBER(L298),IF(N298="","SEM DATA",IF(N298&gt;=0,"DEFESA NO PRAZO","DEFESA FORA DO PRAZO")),IF(G298="DECISÃO D.P","SEM DEFESA",IF(G298="","SEM STATUS",IF(N298="","SEM DATA",IF(N298&lt;0,"VENCIDO",IF(N298&lt;=DiasAlerta,"VENCE EM BREVE","NO PRAZO")))))))</f>
        <v/>
      </c>
      <c r="P298" s="109" t="str">
        <f>IF(D298="","",TODAY()-D298)</f>
        <v/>
      </c>
      <c r="Q298" s="102" t="n"/>
    </row>
    <row r="299" ht="18" customHeight="1">
      <c r="A299" s="101" t="n"/>
      <c r="B299" s="102" t="n"/>
      <c r="C299" s="102" t="n"/>
      <c r="D299" s="103" t="n"/>
      <c r="E299" s="102" t="n"/>
      <c r="F299" s="104" t="n"/>
      <c r="G299" s="104" t="n"/>
      <c r="H299" s="102" t="n"/>
      <c r="I299" s="105" t="n"/>
      <c r="J299" s="105" t="n"/>
      <c r="K299" s="103" t="n"/>
      <c r="L299" s="103" t="n"/>
      <c r="M299" s="106" t="str">
        <f>IF(OR(D299="",E299=""),"",D299+IF(E299="NOTIFICAÇÃO DE CONSTATAÇÃO",PrazoConst,PrazoEsc))</f>
        <v/>
      </c>
      <c r="N299" s="107" t="str">
        <f>IF(M299="","",IF(ISNUMBER(L299),M299-L299,IF(G299="DECISÃO D.P","",M299-TODAY())))</f>
        <v/>
      </c>
      <c r="O299" s="108" t="str">
        <f>IF(B299="","",IF(ISNUMBER(L299),IF(N299="","SEM DATA",IF(N299&gt;=0,"DEFESA NO PRAZO","DEFESA FORA DO PRAZO")),IF(G299="DECISÃO D.P","SEM DEFESA",IF(G299="","SEM STATUS",IF(N299="","SEM DATA",IF(N299&lt;0,"VENCIDO",IF(N299&lt;=DiasAlerta,"VENCE EM BREVE","NO PRAZO")))))))</f>
        <v/>
      </c>
      <c r="P299" s="109" t="str">
        <f>IF(D299="","",TODAY()-D299)</f>
        <v/>
      </c>
      <c r="Q299" s="102" t="n"/>
    </row>
    <row r="300" ht="18" customHeight="1">
      <c r="A300" s="101" t="n"/>
      <c r="B300" s="102" t="n"/>
      <c r="C300" s="102" t="n"/>
      <c r="D300" s="103" t="n"/>
      <c r="E300" s="102" t="n"/>
      <c r="F300" s="104" t="n"/>
      <c r="G300" s="104" t="n"/>
      <c r="H300" s="102" t="n"/>
      <c r="I300" s="105" t="n"/>
      <c r="J300" s="105" t="n"/>
      <c r="K300" s="103" t="n"/>
      <c r="L300" s="103" t="n"/>
      <c r="M300" s="106" t="str">
        <f>IF(OR(D300="",E300=""),"",D300+IF(E300="NOTIFICAÇÃO DE CONSTATAÇÃO",PrazoConst,PrazoEsc))</f>
        <v/>
      </c>
      <c r="N300" s="107" t="str">
        <f>IF(M300="","",IF(ISNUMBER(L300),M300-L300,IF(G300="DECISÃO D.P","",M300-TODAY())))</f>
        <v/>
      </c>
      <c r="O300" s="108" t="str">
        <f>IF(B300="","",IF(ISNUMBER(L300),IF(N300="","SEM DATA",IF(N300&gt;=0,"DEFESA NO PRAZO","DEFESA FORA DO PRAZO")),IF(G300="DECISÃO D.P","SEM DEFESA",IF(G300="","SEM STATUS",IF(N300="","SEM DATA",IF(N300&lt;0,"VENCIDO",IF(N300&lt;=DiasAlerta,"VENCE EM BREVE","NO PRAZO")))))))</f>
        <v/>
      </c>
      <c r="P300" s="109" t="str">
        <f>IF(D300="","",TODAY()-D300)</f>
        <v/>
      </c>
      <c r="Q300" s="102" t="n"/>
    </row>
    <row r="301" ht="18" customHeight="1">
      <c r="A301" s="101" t="n"/>
      <c r="B301" s="102" t="n"/>
      <c r="C301" s="102" t="n"/>
      <c r="D301" s="103" t="n"/>
      <c r="E301" s="102" t="n"/>
      <c r="F301" s="104" t="n"/>
      <c r="G301" s="104" t="n"/>
      <c r="H301" s="102" t="n"/>
      <c r="I301" s="105" t="n"/>
      <c r="J301" s="105" t="n"/>
      <c r="K301" s="103" t="n"/>
      <c r="L301" s="103" t="n"/>
      <c r="M301" s="106" t="str">
        <f>IF(OR(D301="",E301=""),"",D301+IF(E301="NOTIFICAÇÃO DE CONSTATAÇÃO",PrazoConst,PrazoEsc))</f>
        <v/>
      </c>
      <c r="N301" s="107" t="str">
        <f>IF(M301="","",IF(ISNUMBER(L301),M301-L301,IF(G301="DECISÃO D.P","",M301-TODAY())))</f>
        <v/>
      </c>
      <c r="O301" s="108" t="str">
        <f>IF(B301="","",IF(ISNUMBER(L301),IF(N301="","SEM DATA",IF(N301&gt;=0,"DEFESA NO PRAZO","DEFESA FORA DO PRAZO")),IF(G301="DECISÃO D.P","SEM DEFESA",IF(G301="","SEM STATUS",IF(N301="","SEM DATA",IF(N301&lt;0,"VENCIDO",IF(N301&lt;=DiasAlerta,"VENCE EM BREVE","NO PRAZO")))))))</f>
        <v/>
      </c>
      <c r="P301" s="109" t="str">
        <f>IF(D301="","",TODAY()-D301)</f>
        <v/>
      </c>
      <c r="Q301" s="102" t="n"/>
    </row>
    <row r="302" ht="18" customHeight="1">
      <c r="A302" s="101" t="n"/>
      <c r="B302" s="102" t="n"/>
      <c r="C302" s="102" t="n"/>
      <c r="D302" s="103" t="n"/>
      <c r="E302" s="102" t="n"/>
      <c r="F302" s="104" t="n"/>
      <c r="G302" s="104" t="n"/>
      <c r="H302" s="102" t="n"/>
      <c r="I302" s="105" t="n"/>
      <c r="J302" s="105" t="n"/>
      <c r="K302" s="103" t="n"/>
      <c r="L302" s="103" t="n"/>
      <c r="M302" s="106" t="str">
        <f>IF(OR(D302="",E302=""),"",D302+IF(E302="NOTIFICAÇÃO DE CONSTATAÇÃO",PrazoConst,PrazoEsc))</f>
        <v/>
      </c>
      <c r="N302" s="107" t="str">
        <f>IF(M302="","",IF(ISNUMBER(L302),M302-L302,IF(G302="DECISÃO D.P","",M302-TODAY())))</f>
        <v/>
      </c>
      <c r="O302" s="108" t="str">
        <f>IF(B302="","",IF(ISNUMBER(L302),IF(N302="","SEM DATA",IF(N302&gt;=0,"DEFESA NO PRAZO","DEFESA FORA DO PRAZO")),IF(G302="DECISÃO D.P","SEM DEFESA",IF(G302="","SEM STATUS",IF(N302="","SEM DATA",IF(N302&lt;0,"VENCIDO",IF(N302&lt;=DiasAlerta,"VENCE EM BREVE","NO PRAZO")))))))</f>
        <v/>
      </c>
      <c r="P302" s="109" t="str">
        <f>IF(D302="","",TODAY()-D302)</f>
        <v/>
      </c>
      <c r="Q302" s="102" t="n"/>
    </row>
    <row r="303" ht="18" customHeight="1">
      <c r="A303" s="101" t="n"/>
      <c r="B303" s="102" t="n"/>
      <c r="C303" s="102" t="n"/>
      <c r="D303" s="103" t="n"/>
      <c r="E303" s="102" t="n"/>
      <c r="F303" s="104" t="n"/>
      <c r="G303" s="104" t="n"/>
      <c r="H303" s="102" t="n"/>
      <c r="I303" s="105" t="n"/>
      <c r="J303" s="105" t="n"/>
      <c r="K303" s="103" t="n"/>
      <c r="L303" s="103" t="n"/>
      <c r="M303" s="106" t="str">
        <f>IF(OR(D303="",E303=""),"",D303+IF(E303="NOTIFICAÇÃO DE CONSTATAÇÃO",PrazoConst,PrazoEsc))</f>
        <v/>
      </c>
      <c r="N303" s="107" t="str">
        <f>IF(M303="","",IF(ISNUMBER(L303),M303-L303,IF(G303="DECISÃO D.P","",M303-TODAY())))</f>
        <v/>
      </c>
      <c r="O303" s="108" t="str">
        <f>IF(B303="","",IF(ISNUMBER(L303),IF(N303="","SEM DATA",IF(N303&gt;=0,"DEFESA NO PRAZO","DEFESA FORA DO PRAZO")),IF(G303="DECISÃO D.P","SEM DEFESA",IF(G303="","SEM STATUS",IF(N303="","SEM DATA",IF(N303&lt;0,"VENCIDO",IF(N303&lt;=DiasAlerta,"VENCE EM BREVE","NO PRAZO")))))))</f>
        <v/>
      </c>
      <c r="P303" s="109" t="str">
        <f>IF(D303="","",TODAY()-D303)</f>
        <v/>
      </c>
      <c r="Q303" s="102" t="n"/>
    </row>
    <row r="304" ht="18" customHeight="1">
      <c r="A304" s="101" t="n"/>
      <c r="B304" s="102" t="n"/>
      <c r="C304" s="102" t="n"/>
      <c r="D304" s="103" t="n"/>
      <c r="E304" s="102" t="n"/>
      <c r="F304" s="104" t="n"/>
      <c r="G304" s="104" t="n"/>
      <c r="H304" s="102" t="n"/>
      <c r="I304" s="105" t="n"/>
      <c r="J304" s="105" t="n"/>
      <c r="K304" s="103" t="n"/>
      <c r="L304" s="103" t="n"/>
      <c r="M304" s="106" t="str">
        <f>IF(OR(D304="",E304=""),"",D304+IF(E304="NOTIFICAÇÃO DE CONSTATAÇÃO",PrazoConst,PrazoEsc))</f>
        <v/>
      </c>
      <c r="N304" s="107" t="str">
        <f>IF(M304="","",IF(ISNUMBER(L304),M304-L304,IF(G304="DECISÃO D.P","",M304-TODAY())))</f>
        <v/>
      </c>
      <c r="O304" s="108" t="str">
        <f>IF(B304="","",IF(ISNUMBER(L304),IF(N304="","SEM DATA",IF(N304&gt;=0,"DEFESA NO PRAZO","DEFESA FORA DO PRAZO")),IF(G304="DECISÃO D.P","SEM DEFESA",IF(G304="","SEM STATUS",IF(N304="","SEM DATA",IF(N304&lt;0,"VENCIDO",IF(N304&lt;=DiasAlerta,"VENCE EM BREVE","NO PRAZO")))))))</f>
        <v/>
      </c>
      <c r="P304" s="109" t="str">
        <f>IF(D304="","",TODAY()-D304)</f>
        <v/>
      </c>
      <c r="Q304" s="102" t="n"/>
    </row>
    <row r="305" ht="18" customHeight="1">
      <c r="A305" s="101" t="n"/>
      <c r="B305" s="102" t="n"/>
      <c r="C305" s="102" t="n"/>
      <c r="D305" s="103" t="n"/>
      <c r="E305" s="102" t="n"/>
      <c r="F305" s="104" t="n"/>
      <c r="G305" s="104" t="n"/>
      <c r="H305" s="102" t="n"/>
      <c r="I305" s="105" t="n"/>
      <c r="J305" s="105" t="n"/>
      <c r="K305" s="103" t="n"/>
      <c r="L305" s="103" t="n"/>
      <c r="M305" s="106" t="str">
        <f>IF(OR(D305="",E305=""),"",D305+IF(E305="NOTIFICAÇÃO DE CONSTATAÇÃO",PrazoConst,PrazoEsc))</f>
        <v/>
      </c>
      <c r="N305" s="107" t="str">
        <f>IF(M305="","",IF(ISNUMBER(L305),M305-L305,IF(G305="DECISÃO D.P","",M305-TODAY())))</f>
        <v/>
      </c>
      <c r="O305" s="108" t="str">
        <f>IF(B305="","",IF(ISNUMBER(L305),IF(N305="","SEM DATA",IF(N305&gt;=0,"DEFESA NO PRAZO","DEFESA FORA DO PRAZO")),IF(G305="DECISÃO D.P","SEM DEFESA",IF(G305="","SEM STATUS",IF(N305="","SEM DATA",IF(N305&lt;0,"VENCIDO",IF(N305&lt;=DiasAlerta,"VENCE EM BREVE","NO PRAZO")))))))</f>
        <v/>
      </c>
      <c r="P305" s="109" t="str">
        <f>IF(D305="","",TODAY()-D305)</f>
        <v/>
      </c>
      <c r="Q305" s="102" t="n"/>
    </row>
    <row r="306" ht="18" customHeight="1">
      <c r="A306" s="101" t="n"/>
      <c r="B306" s="102" t="n"/>
      <c r="C306" s="102" t="n"/>
      <c r="D306" s="103" t="n"/>
      <c r="E306" s="102" t="n"/>
      <c r="F306" s="104" t="n"/>
      <c r="G306" s="104" t="n"/>
      <c r="H306" s="102" t="n"/>
      <c r="I306" s="105" t="n"/>
      <c r="J306" s="105" t="n"/>
      <c r="K306" s="103" t="n"/>
      <c r="L306" s="103" t="n"/>
      <c r="M306" s="106" t="str">
        <f>IF(OR(D306="",E306=""),"",D306+IF(E306="NOTIFICAÇÃO DE CONSTATAÇÃO",PrazoConst,PrazoEsc))</f>
        <v/>
      </c>
      <c r="N306" s="107" t="str">
        <f>IF(M306="","",IF(ISNUMBER(L306),M306-L306,IF(G306="DECISÃO D.P","",M306-TODAY())))</f>
        <v/>
      </c>
      <c r="O306" s="108" t="str">
        <f>IF(B306="","",IF(ISNUMBER(L306),IF(N306="","SEM DATA",IF(N306&gt;=0,"DEFESA NO PRAZO","DEFESA FORA DO PRAZO")),IF(G306="DECISÃO D.P","SEM DEFESA",IF(G306="","SEM STATUS",IF(N306="","SEM DATA",IF(N306&lt;0,"VENCIDO",IF(N306&lt;=DiasAlerta,"VENCE EM BREVE","NO PRAZO")))))))</f>
        <v/>
      </c>
      <c r="P306" s="109" t="str">
        <f>IF(D306="","",TODAY()-D306)</f>
        <v/>
      </c>
      <c r="Q306" s="102" t="n"/>
    </row>
    <row r="307" ht="18" customHeight="1">
      <c r="A307" s="101" t="n"/>
      <c r="B307" s="102" t="n"/>
      <c r="C307" s="102" t="n"/>
      <c r="D307" s="103" t="n"/>
      <c r="E307" s="102" t="n"/>
      <c r="F307" s="104" t="n"/>
      <c r="G307" s="104" t="n"/>
      <c r="H307" s="102" t="n"/>
      <c r="I307" s="105" t="n"/>
      <c r="J307" s="105" t="n"/>
      <c r="K307" s="103" t="n"/>
      <c r="L307" s="103" t="n"/>
      <c r="M307" s="106" t="str">
        <f>IF(OR(D307="",E307=""),"",D307+IF(E307="NOTIFICAÇÃO DE CONSTATAÇÃO",PrazoConst,PrazoEsc))</f>
        <v/>
      </c>
      <c r="N307" s="107" t="str">
        <f>IF(M307="","",IF(ISNUMBER(L307),M307-L307,IF(G307="DECISÃO D.P","",M307-TODAY())))</f>
        <v/>
      </c>
      <c r="O307" s="108" t="str">
        <f>IF(B307="","",IF(ISNUMBER(L307),IF(N307="","SEM DATA",IF(N307&gt;=0,"DEFESA NO PRAZO","DEFESA FORA DO PRAZO")),IF(G307="DECISÃO D.P","SEM DEFESA",IF(G307="","SEM STATUS",IF(N307="","SEM DATA",IF(N307&lt;0,"VENCIDO",IF(N307&lt;=DiasAlerta,"VENCE EM BREVE","NO PRAZO")))))))</f>
        <v/>
      </c>
      <c r="P307" s="109" t="str">
        <f>IF(D307="","",TODAY()-D307)</f>
        <v/>
      </c>
      <c r="Q307" s="102" t="n"/>
    </row>
    <row r="308" ht="18" customHeight="1">
      <c r="A308" s="101" t="n"/>
      <c r="B308" s="102" t="n"/>
      <c r="C308" s="102" t="n"/>
      <c r="D308" s="103" t="n"/>
      <c r="E308" s="102" t="n"/>
      <c r="F308" s="104" t="n"/>
      <c r="G308" s="104" t="n"/>
      <c r="H308" s="102" t="n"/>
      <c r="I308" s="105" t="n"/>
      <c r="J308" s="105" t="n"/>
      <c r="K308" s="103" t="n"/>
      <c r="L308" s="103" t="n"/>
      <c r="M308" s="106" t="str">
        <f>IF(OR(D308="",E308=""),"",D308+IF(E308="NOTIFICAÇÃO DE CONSTATAÇÃO",PrazoConst,PrazoEsc))</f>
        <v/>
      </c>
      <c r="N308" s="107" t="str">
        <f>IF(M308="","",IF(ISNUMBER(L308),M308-L308,IF(G308="DECISÃO D.P","",M308-TODAY())))</f>
        <v/>
      </c>
      <c r="O308" s="108" t="str">
        <f>IF(B308="","",IF(ISNUMBER(L308),IF(N308="","SEM DATA",IF(N308&gt;=0,"DEFESA NO PRAZO","DEFESA FORA DO PRAZO")),IF(G308="DECISÃO D.P","SEM DEFESA",IF(G308="","SEM STATUS",IF(N308="","SEM DATA",IF(N308&lt;0,"VENCIDO",IF(N308&lt;=DiasAlerta,"VENCE EM BREVE","NO PRAZO")))))))</f>
        <v/>
      </c>
      <c r="P308" s="109" t="str">
        <f>IF(D308="","",TODAY()-D308)</f>
        <v/>
      </c>
      <c r="Q308" s="102" t="n"/>
    </row>
    <row r="309" ht="18" customHeight="1">
      <c r="A309" s="101" t="n"/>
      <c r="B309" s="102" t="n"/>
      <c r="C309" s="102" t="n"/>
      <c r="D309" s="103" t="n"/>
      <c r="E309" s="102" t="n"/>
      <c r="F309" s="104" t="n"/>
      <c r="G309" s="104" t="n"/>
      <c r="H309" s="102" t="n"/>
      <c r="I309" s="105" t="n"/>
      <c r="J309" s="105" t="n"/>
      <c r="K309" s="103" t="n"/>
      <c r="L309" s="103" t="n"/>
      <c r="M309" s="106" t="str">
        <f>IF(OR(D309="",E309=""),"",D309+IF(E309="NOTIFICAÇÃO DE CONSTATAÇÃO",PrazoConst,PrazoEsc))</f>
        <v/>
      </c>
      <c r="N309" s="107" t="str">
        <f>IF(M309="","",IF(ISNUMBER(L309),M309-L309,IF(G309="DECISÃO D.P","",M309-TODAY())))</f>
        <v/>
      </c>
      <c r="O309" s="108" t="str">
        <f>IF(B309="","",IF(ISNUMBER(L309),IF(N309="","SEM DATA",IF(N309&gt;=0,"DEFESA NO PRAZO","DEFESA FORA DO PRAZO")),IF(G309="DECISÃO D.P","SEM DEFESA",IF(G309="","SEM STATUS",IF(N309="","SEM DATA",IF(N309&lt;0,"VENCIDO",IF(N309&lt;=DiasAlerta,"VENCE EM BREVE","NO PRAZO")))))))</f>
        <v/>
      </c>
      <c r="P309" s="109" t="str">
        <f>IF(D309="","",TODAY()-D309)</f>
        <v/>
      </c>
      <c r="Q309" s="102" t="n"/>
    </row>
    <row r="310" ht="18" customHeight="1">
      <c r="A310" s="101" t="n"/>
      <c r="B310" s="102" t="n"/>
      <c r="C310" s="102" t="n"/>
      <c r="D310" s="103" t="n"/>
      <c r="E310" s="102" t="n"/>
      <c r="F310" s="104" t="n"/>
      <c r="G310" s="104" t="n"/>
      <c r="H310" s="102" t="n"/>
      <c r="I310" s="105" t="n"/>
      <c r="J310" s="105" t="n"/>
      <c r="K310" s="103" t="n"/>
      <c r="L310" s="103" t="n"/>
      <c r="M310" s="106" t="str">
        <f>IF(OR(D310="",E310=""),"",D310+IF(E310="NOTIFICAÇÃO DE CONSTATAÇÃO",PrazoConst,PrazoEsc))</f>
        <v/>
      </c>
      <c r="N310" s="107" t="str">
        <f>IF(M310="","",IF(ISNUMBER(L310),M310-L310,IF(G310="DECISÃO D.P","",M310-TODAY())))</f>
        <v/>
      </c>
      <c r="O310" s="108" t="str">
        <f>IF(B310="","",IF(ISNUMBER(L310),IF(N310="","SEM DATA",IF(N310&gt;=0,"DEFESA NO PRAZO","DEFESA FORA DO PRAZO")),IF(G310="DECISÃO D.P","SEM DEFESA",IF(G310="","SEM STATUS",IF(N310="","SEM DATA",IF(N310&lt;0,"VENCIDO",IF(N310&lt;=DiasAlerta,"VENCE EM BREVE","NO PRAZO")))))))</f>
        <v/>
      </c>
      <c r="P310" s="109" t="str">
        <f>IF(D310="","",TODAY()-D310)</f>
        <v/>
      </c>
      <c r="Q310" s="102" t="n"/>
    </row>
    <row r="311" ht="18" customHeight="1">
      <c r="A311" s="101" t="n"/>
      <c r="B311" s="102" t="n"/>
      <c r="C311" s="102" t="n"/>
      <c r="D311" s="103" t="n"/>
      <c r="E311" s="102" t="n"/>
      <c r="F311" s="104" t="n"/>
      <c r="G311" s="104" t="n"/>
      <c r="H311" s="102" t="n"/>
      <c r="I311" s="105" t="n"/>
      <c r="J311" s="105" t="n"/>
      <c r="K311" s="103" t="n"/>
      <c r="L311" s="103" t="n"/>
      <c r="M311" s="106" t="str">
        <f>IF(OR(D311="",E311=""),"",D311+IF(E311="NOTIFICAÇÃO DE CONSTATAÇÃO",PrazoConst,PrazoEsc))</f>
        <v/>
      </c>
      <c r="N311" s="107" t="str">
        <f>IF(M311="","",IF(ISNUMBER(L311),M311-L311,IF(G311="DECISÃO D.P","",M311-TODAY())))</f>
        <v/>
      </c>
      <c r="O311" s="108" t="str">
        <f>IF(B311="","",IF(ISNUMBER(L311),IF(N311="","SEM DATA",IF(N311&gt;=0,"DEFESA NO PRAZO","DEFESA FORA DO PRAZO")),IF(G311="DECISÃO D.P","SEM DEFESA",IF(G311="","SEM STATUS",IF(N311="","SEM DATA",IF(N311&lt;0,"VENCIDO",IF(N311&lt;=DiasAlerta,"VENCE EM BREVE","NO PRAZO")))))))</f>
        <v/>
      </c>
      <c r="P311" s="109" t="str">
        <f>IF(D311="","",TODAY()-D311)</f>
        <v/>
      </c>
      <c r="Q311" s="102" t="n"/>
    </row>
    <row r="312" ht="18" customHeight="1">
      <c r="A312" s="101" t="n"/>
      <c r="B312" s="102" t="n"/>
      <c r="C312" s="102" t="n"/>
      <c r="D312" s="103" t="n"/>
      <c r="E312" s="102" t="n"/>
      <c r="F312" s="104" t="n"/>
      <c r="G312" s="104" t="n"/>
      <c r="H312" s="102" t="n"/>
      <c r="I312" s="105" t="n"/>
      <c r="J312" s="105" t="n"/>
      <c r="K312" s="103" t="n"/>
      <c r="L312" s="103" t="n"/>
      <c r="M312" s="106" t="str">
        <f>IF(OR(D312="",E312=""),"",D312+IF(E312="NOTIFICAÇÃO DE CONSTATAÇÃO",PrazoConst,PrazoEsc))</f>
        <v/>
      </c>
      <c r="N312" s="107" t="str">
        <f>IF(M312="","",IF(ISNUMBER(L312),M312-L312,IF(G312="DECISÃO D.P","",M312-TODAY())))</f>
        <v/>
      </c>
      <c r="O312" s="108" t="str">
        <f>IF(B312="","",IF(ISNUMBER(L312),IF(N312="","SEM DATA",IF(N312&gt;=0,"DEFESA NO PRAZO","DEFESA FORA DO PRAZO")),IF(G312="DECISÃO D.P","SEM DEFESA",IF(G312="","SEM STATUS",IF(N312="","SEM DATA",IF(N312&lt;0,"VENCIDO",IF(N312&lt;=DiasAlerta,"VENCE EM BREVE","NO PRAZO")))))))</f>
        <v/>
      </c>
      <c r="P312" s="109" t="str">
        <f>IF(D312="","",TODAY()-D312)</f>
        <v/>
      </c>
      <c r="Q312" s="102" t="n"/>
    </row>
    <row r="313" ht="18" customHeight="1">
      <c r="A313" s="101" t="n"/>
      <c r="B313" s="102" t="n"/>
      <c r="C313" s="102" t="n"/>
      <c r="D313" s="103" t="n"/>
      <c r="E313" s="102" t="n"/>
      <c r="F313" s="104" t="n"/>
      <c r="G313" s="104" t="n"/>
      <c r="H313" s="102" t="n"/>
      <c r="I313" s="105" t="n"/>
      <c r="J313" s="105" t="n"/>
      <c r="K313" s="103" t="n"/>
      <c r="L313" s="103" t="n"/>
      <c r="M313" s="106" t="str">
        <f>IF(OR(D313="",E313=""),"",D313+IF(E313="NOTIFICAÇÃO DE CONSTATAÇÃO",PrazoConst,PrazoEsc))</f>
        <v/>
      </c>
      <c r="N313" s="107" t="str">
        <f>IF(M313="","",IF(ISNUMBER(L313),M313-L313,IF(G313="DECISÃO D.P","",M313-TODAY())))</f>
        <v/>
      </c>
      <c r="O313" s="108" t="str">
        <f>IF(B313="","",IF(ISNUMBER(L313),IF(N313="","SEM DATA",IF(N313&gt;=0,"DEFESA NO PRAZO","DEFESA FORA DO PRAZO")),IF(G313="DECISÃO D.P","SEM DEFESA",IF(G313="","SEM STATUS",IF(N313="","SEM DATA",IF(N313&lt;0,"VENCIDO",IF(N313&lt;=DiasAlerta,"VENCE EM BREVE","NO PRAZO")))))))</f>
        <v/>
      </c>
      <c r="P313" s="109" t="str">
        <f>IF(D313="","",TODAY()-D313)</f>
        <v/>
      </c>
      <c r="Q313" s="102" t="n"/>
    </row>
    <row r="314" ht="18" customHeight="1">
      <c r="A314" s="101" t="n"/>
      <c r="B314" s="102" t="n"/>
      <c r="C314" s="102" t="n"/>
      <c r="D314" s="103" t="n"/>
      <c r="E314" s="102" t="n"/>
      <c r="F314" s="104" t="n"/>
      <c r="G314" s="104" t="n"/>
      <c r="H314" s="102" t="n"/>
      <c r="I314" s="105" t="n"/>
      <c r="J314" s="105" t="n"/>
      <c r="K314" s="103" t="n"/>
      <c r="L314" s="103" t="n"/>
      <c r="M314" s="106" t="str">
        <f>IF(OR(D314="",E314=""),"",D314+IF(E314="NOTIFICAÇÃO DE CONSTATAÇÃO",PrazoConst,PrazoEsc))</f>
        <v/>
      </c>
      <c r="N314" s="107" t="str">
        <f>IF(M314="","",IF(ISNUMBER(L314),M314-L314,IF(G314="DECISÃO D.P","",M314-TODAY())))</f>
        <v/>
      </c>
      <c r="O314" s="108" t="str">
        <f>IF(B314="","",IF(ISNUMBER(L314),IF(N314="","SEM DATA",IF(N314&gt;=0,"DEFESA NO PRAZO","DEFESA FORA DO PRAZO")),IF(G314="DECISÃO D.P","SEM DEFESA",IF(G314="","SEM STATUS",IF(N314="","SEM DATA",IF(N314&lt;0,"VENCIDO",IF(N314&lt;=DiasAlerta,"VENCE EM BREVE","NO PRAZO")))))))</f>
        <v/>
      </c>
      <c r="P314" s="109" t="str">
        <f>IF(D314="","",TODAY()-D314)</f>
        <v/>
      </c>
      <c r="Q314" s="102" t="n"/>
    </row>
    <row r="315" ht="18" customHeight="1">
      <c r="A315" s="101" t="n"/>
      <c r="B315" s="102" t="n"/>
      <c r="C315" s="102" t="n"/>
      <c r="D315" s="103" t="n"/>
      <c r="E315" s="102" t="n"/>
      <c r="F315" s="104" t="n"/>
      <c r="G315" s="104" t="n"/>
      <c r="H315" s="102" t="n"/>
      <c r="I315" s="105" t="n"/>
      <c r="J315" s="105" t="n"/>
      <c r="K315" s="103" t="n"/>
      <c r="L315" s="103" t="n"/>
      <c r="M315" s="106" t="str">
        <f>IF(OR(D315="",E315=""),"",D315+IF(E315="NOTIFICAÇÃO DE CONSTATAÇÃO",PrazoConst,PrazoEsc))</f>
        <v/>
      </c>
      <c r="N315" s="107" t="str">
        <f>IF(M315="","",IF(ISNUMBER(L315),M315-L315,IF(G315="DECISÃO D.P","",M315-TODAY())))</f>
        <v/>
      </c>
      <c r="O315" s="108" t="str">
        <f>IF(B315="","",IF(ISNUMBER(L315),IF(N315="","SEM DATA",IF(N315&gt;=0,"DEFESA NO PRAZO","DEFESA FORA DO PRAZO")),IF(G315="DECISÃO D.P","SEM DEFESA",IF(G315="","SEM STATUS",IF(N315="","SEM DATA",IF(N315&lt;0,"VENCIDO",IF(N315&lt;=DiasAlerta,"VENCE EM BREVE","NO PRAZO")))))))</f>
        <v/>
      </c>
      <c r="P315" s="109" t="str">
        <f>IF(D315="","",TODAY()-D315)</f>
        <v/>
      </c>
      <c r="Q315" s="102" t="n"/>
    </row>
    <row r="316" ht="18" customHeight="1">
      <c r="A316" s="101" t="n"/>
      <c r="B316" s="102" t="n"/>
      <c r="C316" s="102" t="n"/>
      <c r="D316" s="103" t="n"/>
      <c r="E316" s="102" t="n"/>
      <c r="F316" s="104" t="n"/>
      <c r="G316" s="104" t="n"/>
      <c r="H316" s="102" t="n"/>
      <c r="I316" s="105" t="n"/>
      <c r="J316" s="105" t="n"/>
      <c r="K316" s="103" t="n"/>
      <c r="L316" s="103" t="n"/>
      <c r="M316" s="106" t="str">
        <f>IF(OR(D316="",E316=""),"",D316+IF(E316="NOTIFICAÇÃO DE CONSTATAÇÃO",PrazoConst,PrazoEsc))</f>
        <v/>
      </c>
      <c r="N316" s="107" t="str">
        <f>IF(M316="","",IF(ISNUMBER(L316),M316-L316,IF(G316="DECISÃO D.P","",M316-TODAY())))</f>
        <v/>
      </c>
      <c r="O316" s="108" t="str">
        <f>IF(B316="","",IF(ISNUMBER(L316),IF(N316="","SEM DATA",IF(N316&gt;=0,"DEFESA NO PRAZO","DEFESA FORA DO PRAZO")),IF(G316="DECISÃO D.P","SEM DEFESA",IF(G316="","SEM STATUS",IF(N316="","SEM DATA",IF(N316&lt;0,"VENCIDO",IF(N316&lt;=DiasAlerta,"VENCE EM BREVE","NO PRAZO")))))))</f>
        <v/>
      </c>
      <c r="P316" s="109" t="str">
        <f>IF(D316="","",TODAY()-D316)</f>
        <v/>
      </c>
      <c r="Q316" s="102" t="n"/>
    </row>
    <row r="317" ht="18" customHeight="1">
      <c r="A317" s="101" t="n"/>
      <c r="B317" s="102" t="n"/>
      <c r="C317" s="102" t="n"/>
      <c r="D317" s="103" t="n"/>
      <c r="E317" s="102" t="n"/>
      <c r="F317" s="104" t="n"/>
      <c r="G317" s="104" t="n"/>
      <c r="H317" s="102" t="n"/>
      <c r="I317" s="105" t="n"/>
      <c r="J317" s="105" t="n"/>
      <c r="K317" s="103" t="n"/>
      <c r="L317" s="103" t="n"/>
      <c r="M317" s="106" t="str">
        <f>IF(OR(D317="",E317=""),"",D317+IF(E317="NOTIFICAÇÃO DE CONSTATAÇÃO",PrazoConst,PrazoEsc))</f>
        <v/>
      </c>
      <c r="N317" s="107" t="str">
        <f>IF(M317="","",IF(ISNUMBER(L317),M317-L317,IF(G317="DECISÃO D.P","",M317-TODAY())))</f>
        <v/>
      </c>
      <c r="O317" s="108" t="str">
        <f>IF(B317="","",IF(ISNUMBER(L317),IF(N317="","SEM DATA",IF(N317&gt;=0,"DEFESA NO PRAZO","DEFESA FORA DO PRAZO")),IF(G317="DECISÃO D.P","SEM DEFESA",IF(G317="","SEM STATUS",IF(N317="","SEM DATA",IF(N317&lt;0,"VENCIDO",IF(N317&lt;=DiasAlerta,"VENCE EM BREVE","NO PRAZO")))))))</f>
        <v/>
      </c>
      <c r="P317" s="109" t="str">
        <f>IF(D317="","",TODAY()-D317)</f>
        <v/>
      </c>
      <c r="Q317" s="102" t="n"/>
    </row>
    <row r="318" ht="18" customHeight="1">
      <c r="A318" s="101" t="n"/>
      <c r="B318" s="102" t="n"/>
      <c r="C318" s="102" t="n"/>
      <c r="D318" s="103" t="n"/>
      <c r="E318" s="102" t="n"/>
      <c r="F318" s="104" t="n"/>
      <c r="G318" s="104" t="n"/>
      <c r="H318" s="102" t="n"/>
      <c r="I318" s="105" t="n"/>
      <c r="J318" s="105" t="n"/>
      <c r="K318" s="103" t="n"/>
      <c r="L318" s="103" t="n"/>
      <c r="M318" s="106" t="str">
        <f>IF(OR(D318="",E318=""),"",D318+IF(E318="NOTIFICAÇÃO DE CONSTATAÇÃO",PrazoConst,PrazoEsc))</f>
        <v/>
      </c>
      <c r="N318" s="107" t="str">
        <f>IF(M318="","",IF(ISNUMBER(L318),M318-L318,IF(G318="DECISÃO D.P","",M318-TODAY())))</f>
        <v/>
      </c>
      <c r="O318" s="108" t="str">
        <f>IF(B318="","",IF(ISNUMBER(L318),IF(N318="","SEM DATA",IF(N318&gt;=0,"DEFESA NO PRAZO","DEFESA FORA DO PRAZO")),IF(G318="DECISÃO D.P","SEM DEFESA",IF(G318="","SEM STATUS",IF(N318="","SEM DATA",IF(N318&lt;0,"VENCIDO",IF(N318&lt;=DiasAlerta,"VENCE EM BREVE","NO PRAZO")))))))</f>
        <v/>
      </c>
      <c r="P318" s="109" t="str">
        <f>IF(D318="","",TODAY()-D318)</f>
        <v/>
      </c>
      <c r="Q318" s="102" t="n"/>
    </row>
    <row r="319" ht="18" customHeight="1">
      <c r="A319" s="101" t="n"/>
      <c r="B319" s="102" t="n"/>
      <c r="C319" s="102" t="n"/>
      <c r="D319" s="103" t="n"/>
      <c r="E319" s="102" t="n"/>
      <c r="F319" s="104" t="n"/>
      <c r="G319" s="104" t="n"/>
      <c r="H319" s="102" t="n"/>
      <c r="I319" s="105" t="n"/>
      <c r="J319" s="105" t="n"/>
      <c r="K319" s="103" t="n"/>
      <c r="L319" s="103" t="n"/>
      <c r="M319" s="106" t="str">
        <f>IF(OR(D319="",E319=""),"",D319+IF(E319="NOTIFICAÇÃO DE CONSTATAÇÃO",PrazoConst,PrazoEsc))</f>
        <v/>
      </c>
      <c r="N319" s="107" t="str">
        <f>IF(M319="","",IF(ISNUMBER(L319),M319-L319,IF(G319="DECISÃO D.P","",M319-TODAY())))</f>
        <v/>
      </c>
      <c r="O319" s="108" t="str">
        <f>IF(B319="","",IF(ISNUMBER(L319),IF(N319="","SEM DATA",IF(N319&gt;=0,"DEFESA NO PRAZO","DEFESA FORA DO PRAZO")),IF(G319="DECISÃO D.P","SEM DEFESA",IF(G319="","SEM STATUS",IF(N319="","SEM DATA",IF(N319&lt;0,"VENCIDO",IF(N319&lt;=DiasAlerta,"VENCE EM BREVE","NO PRAZO")))))))</f>
        <v/>
      </c>
      <c r="P319" s="109" t="str">
        <f>IF(D319="","",TODAY()-D319)</f>
        <v/>
      </c>
      <c r="Q319" s="102" t="n"/>
    </row>
    <row r="320" ht="18" customHeight="1">
      <c r="A320" s="101" t="n"/>
      <c r="B320" s="102" t="n"/>
      <c r="C320" s="102" t="n"/>
      <c r="D320" s="103" t="n"/>
      <c r="E320" s="102" t="n"/>
      <c r="F320" s="104" t="n"/>
      <c r="G320" s="104" t="n"/>
      <c r="H320" s="102" t="n"/>
      <c r="I320" s="105" t="n"/>
      <c r="J320" s="105" t="n"/>
      <c r="K320" s="103" t="n"/>
      <c r="L320" s="103" t="n"/>
      <c r="M320" s="106" t="str">
        <f>IF(OR(D320="",E320=""),"",D320+IF(E320="NOTIFICAÇÃO DE CONSTATAÇÃO",PrazoConst,PrazoEsc))</f>
        <v/>
      </c>
      <c r="N320" s="107" t="str">
        <f>IF(M320="","",IF(ISNUMBER(L320),M320-L320,IF(G320="DECISÃO D.P","",M320-TODAY())))</f>
        <v/>
      </c>
      <c r="O320" s="108" t="str">
        <f>IF(B320="","",IF(ISNUMBER(L320),IF(N320="","SEM DATA",IF(N320&gt;=0,"DEFESA NO PRAZO","DEFESA FORA DO PRAZO")),IF(G320="DECISÃO D.P","SEM DEFESA",IF(G320="","SEM STATUS",IF(N320="","SEM DATA",IF(N320&lt;0,"VENCIDO",IF(N320&lt;=DiasAlerta,"VENCE EM BREVE","NO PRAZO")))))))</f>
        <v/>
      </c>
      <c r="P320" s="109" t="str">
        <f>IF(D320="","",TODAY()-D320)</f>
        <v/>
      </c>
      <c r="Q320" s="102" t="n"/>
    </row>
    <row r="321" ht="18" customHeight="1">
      <c r="A321" s="101" t="n"/>
      <c r="B321" s="102" t="n"/>
      <c r="C321" s="102" t="n"/>
      <c r="D321" s="103" t="n"/>
      <c r="E321" s="102" t="n"/>
      <c r="F321" s="104" t="n"/>
      <c r="G321" s="104" t="n"/>
      <c r="H321" s="102" t="n"/>
      <c r="I321" s="105" t="n"/>
      <c r="J321" s="105" t="n"/>
      <c r="K321" s="103" t="n"/>
      <c r="L321" s="103" t="n"/>
      <c r="M321" s="106" t="str">
        <f>IF(OR(D321="",E321=""),"",D321+IF(E321="NOTIFICAÇÃO DE CONSTATAÇÃO",PrazoConst,PrazoEsc))</f>
        <v/>
      </c>
      <c r="N321" s="107" t="str">
        <f>IF(M321="","",IF(ISNUMBER(L321),M321-L321,IF(G321="DECISÃO D.P","",M321-TODAY())))</f>
        <v/>
      </c>
      <c r="O321" s="108" t="str">
        <f>IF(B321="","",IF(ISNUMBER(L321),IF(N321="","SEM DATA",IF(N321&gt;=0,"DEFESA NO PRAZO","DEFESA FORA DO PRAZO")),IF(G321="DECISÃO D.P","SEM DEFESA",IF(G321="","SEM STATUS",IF(N321="","SEM DATA",IF(N321&lt;0,"VENCIDO",IF(N321&lt;=DiasAlerta,"VENCE EM BREVE","NO PRAZO")))))))</f>
        <v/>
      </c>
      <c r="P321" s="109" t="str">
        <f>IF(D321="","",TODAY()-D321)</f>
        <v/>
      </c>
      <c r="Q321" s="102" t="n"/>
    </row>
    <row r="322" ht="18" customHeight="1">
      <c r="A322" s="101" t="n"/>
      <c r="B322" s="102" t="n"/>
      <c r="C322" s="102" t="n"/>
      <c r="D322" s="103" t="n"/>
      <c r="E322" s="102" t="n"/>
      <c r="F322" s="104" t="n"/>
      <c r="G322" s="104" t="n"/>
      <c r="H322" s="102" t="n"/>
      <c r="I322" s="105" t="n"/>
      <c r="J322" s="105" t="n"/>
      <c r="K322" s="103" t="n"/>
      <c r="L322" s="103" t="n"/>
      <c r="M322" s="106" t="str">
        <f>IF(OR(D322="",E322=""),"",D322+IF(E322="NOTIFICAÇÃO DE CONSTATAÇÃO",PrazoConst,PrazoEsc))</f>
        <v/>
      </c>
      <c r="N322" s="107" t="str">
        <f>IF(M322="","",IF(ISNUMBER(L322),M322-L322,IF(G322="DECISÃO D.P","",M322-TODAY())))</f>
        <v/>
      </c>
      <c r="O322" s="108" t="str">
        <f>IF(B322="","",IF(ISNUMBER(L322),IF(N322="","SEM DATA",IF(N322&gt;=0,"DEFESA NO PRAZO","DEFESA FORA DO PRAZO")),IF(G322="DECISÃO D.P","SEM DEFESA",IF(G322="","SEM STATUS",IF(N322="","SEM DATA",IF(N322&lt;0,"VENCIDO",IF(N322&lt;=DiasAlerta,"VENCE EM BREVE","NO PRAZO")))))))</f>
        <v/>
      </c>
      <c r="P322" s="109" t="str">
        <f>IF(D322="","",TODAY()-D322)</f>
        <v/>
      </c>
      <c r="Q322" s="102" t="n"/>
    </row>
    <row r="323" ht="18" customHeight="1">
      <c r="A323" s="101" t="n"/>
      <c r="B323" s="102" t="n"/>
      <c r="C323" s="102" t="n"/>
      <c r="D323" s="103" t="n"/>
      <c r="E323" s="102" t="n"/>
      <c r="F323" s="104" t="n"/>
      <c r="G323" s="104" t="n"/>
      <c r="H323" s="102" t="n"/>
      <c r="I323" s="105" t="n"/>
      <c r="J323" s="105" t="n"/>
      <c r="K323" s="103" t="n"/>
      <c r="L323" s="103" t="n"/>
      <c r="M323" s="106" t="str">
        <f>IF(OR(D323="",E323=""),"",D323+IF(E323="NOTIFICAÇÃO DE CONSTATAÇÃO",PrazoConst,PrazoEsc))</f>
        <v/>
      </c>
      <c r="N323" s="107" t="str">
        <f>IF(M323="","",IF(ISNUMBER(L323),M323-L323,IF(G323="DECISÃO D.P","",M323-TODAY())))</f>
        <v/>
      </c>
      <c r="O323" s="108" t="str">
        <f>IF(B323="","",IF(ISNUMBER(L323),IF(N323="","SEM DATA",IF(N323&gt;=0,"DEFESA NO PRAZO","DEFESA FORA DO PRAZO")),IF(G323="DECISÃO D.P","SEM DEFESA",IF(G323="","SEM STATUS",IF(N323="","SEM DATA",IF(N323&lt;0,"VENCIDO",IF(N323&lt;=DiasAlerta,"VENCE EM BREVE","NO PRAZO")))))))</f>
        <v/>
      </c>
      <c r="P323" s="109" t="str">
        <f>IF(D323="","",TODAY()-D323)</f>
        <v/>
      </c>
      <c r="Q323" s="102" t="n"/>
    </row>
    <row r="324" ht="18" customHeight="1">
      <c r="A324" s="101" t="n"/>
      <c r="B324" s="102" t="n"/>
      <c r="C324" s="102" t="n"/>
      <c r="D324" s="103" t="n"/>
      <c r="E324" s="102" t="n"/>
      <c r="F324" s="104" t="n"/>
      <c r="G324" s="104" t="n"/>
      <c r="H324" s="102" t="n"/>
      <c r="I324" s="105" t="n"/>
      <c r="J324" s="105" t="n"/>
      <c r="K324" s="103" t="n"/>
      <c r="L324" s="103" t="n"/>
      <c r="M324" s="106" t="str">
        <f>IF(OR(D324="",E324=""),"",D324+IF(E324="NOTIFICAÇÃO DE CONSTATAÇÃO",PrazoConst,PrazoEsc))</f>
        <v/>
      </c>
      <c r="N324" s="107" t="str">
        <f>IF(M324="","",IF(ISNUMBER(L324),M324-L324,IF(G324="DECISÃO D.P","",M324-TODAY())))</f>
        <v/>
      </c>
      <c r="O324" s="108" t="str">
        <f>IF(B324="","",IF(ISNUMBER(L324),IF(N324="","SEM DATA",IF(N324&gt;=0,"DEFESA NO PRAZO","DEFESA FORA DO PRAZO")),IF(G324="DECISÃO D.P","SEM DEFESA",IF(G324="","SEM STATUS",IF(N324="","SEM DATA",IF(N324&lt;0,"VENCIDO",IF(N324&lt;=DiasAlerta,"VENCE EM BREVE","NO PRAZO")))))))</f>
        <v/>
      </c>
      <c r="P324" s="109" t="str">
        <f>IF(D324="","",TODAY()-D324)</f>
        <v/>
      </c>
      <c r="Q324" s="102" t="n"/>
    </row>
    <row r="325" ht="18" customHeight="1">
      <c r="A325" s="101" t="n"/>
      <c r="B325" s="102" t="n"/>
      <c r="C325" s="102" t="n"/>
      <c r="D325" s="103" t="n"/>
      <c r="E325" s="102" t="n"/>
      <c r="F325" s="104" t="n"/>
      <c r="G325" s="104" t="n"/>
      <c r="H325" s="102" t="n"/>
      <c r="I325" s="105" t="n"/>
      <c r="J325" s="105" t="n"/>
      <c r="K325" s="103" t="n"/>
      <c r="L325" s="103" t="n"/>
      <c r="M325" s="106" t="str">
        <f>IF(OR(D325="",E325=""),"",D325+IF(E325="NOTIFICAÇÃO DE CONSTATAÇÃO",PrazoConst,PrazoEsc))</f>
        <v/>
      </c>
      <c r="N325" s="107" t="str">
        <f>IF(M325="","",IF(ISNUMBER(L325),M325-L325,IF(G325="DECISÃO D.P","",M325-TODAY())))</f>
        <v/>
      </c>
      <c r="O325" s="108" t="str">
        <f>IF(B325="","",IF(ISNUMBER(L325),IF(N325="","SEM DATA",IF(N325&gt;=0,"DEFESA NO PRAZO","DEFESA FORA DO PRAZO")),IF(G325="DECISÃO D.P","SEM DEFESA",IF(G325="","SEM STATUS",IF(N325="","SEM DATA",IF(N325&lt;0,"VENCIDO",IF(N325&lt;=DiasAlerta,"VENCE EM BREVE","NO PRAZO")))))))</f>
        <v/>
      </c>
      <c r="P325" s="109" t="str">
        <f>IF(D325="","",TODAY()-D325)</f>
        <v/>
      </c>
      <c r="Q325" s="102" t="n"/>
    </row>
    <row r="326" ht="18" customHeight="1">
      <c r="A326" s="101" t="n"/>
      <c r="B326" s="102" t="n"/>
      <c r="C326" s="102" t="n"/>
      <c r="D326" s="103" t="n"/>
      <c r="E326" s="102" t="n"/>
      <c r="F326" s="104" t="n"/>
      <c r="G326" s="104" t="n"/>
      <c r="H326" s="102" t="n"/>
      <c r="I326" s="105" t="n"/>
      <c r="J326" s="105" t="n"/>
      <c r="K326" s="103" t="n"/>
      <c r="L326" s="103" t="n"/>
      <c r="M326" s="106" t="str">
        <f>IF(OR(D326="",E326=""),"",D326+IF(E326="NOTIFICAÇÃO DE CONSTATAÇÃO",PrazoConst,PrazoEsc))</f>
        <v/>
      </c>
      <c r="N326" s="107" t="str">
        <f>IF(M326="","",IF(ISNUMBER(L326),M326-L326,IF(G326="DECISÃO D.P","",M326-TODAY())))</f>
        <v/>
      </c>
      <c r="O326" s="108" t="str">
        <f>IF(B326="","",IF(ISNUMBER(L326),IF(N326="","SEM DATA",IF(N326&gt;=0,"DEFESA NO PRAZO","DEFESA FORA DO PRAZO")),IF(G326="DECISÃO D.P","SEM DEFESA",IF(G326="","SEM STATUS",IF(N326="","SEM DATA",IF(N326&lt;0,"VENCIDO",IF(N326&lt;=DiasAlerta,"VENCE EM BREVE","NO PRAZO")))))))</f>
        <v/>
      </c>
      <c r="P326" s="109" t="str">
        <f>IF(D326="","",TODAY()-D326)</f>
        <v/>
      </c>
      <c r="Q326" s="102" t="n"/>
    </row>
    <row r="327" ht="18" customHeight="1">
      <c r="A327" s="101" t="n"/>
      <c r="B327" s="102" t="n"/>
      <c r="C327" s="102" t="n"/>
      <c r="D327" s="103" t="n"/>
      <c r="E327" s="102" t="n"/>
      <c r="F327" s="104" t="n"/>
      <c r="G327" s="104" t="n"/>
      <c r="H327" s="102" t="n"/>
      <c r="I327" s="105" t="n"/>
      <c r="J327" s="105" t="n"/>
      <c r="K327" s="103" t="n"/>
      <c r="L327" s="103" t="n"/>
      <c r="M327" s="106" t="str">
        <f>IF(OR(D327="",E327=""),"",D327+IF(E327="NOTIFICAÇÃO DE CONSTATAÇÃO",PrazoConst,PrazoEsc))</f>
        <v/>
      </c>
      <c r="N327" s="107" t="str">
        <f>IF(M327="","",IF(ISNUMBER(L327),M327-L327,IF(G327="DECISÃO D.P","",M327-TODAY())))</f>
        <v/>
      </c>
      <c r="O327" s="108" t="str">
        <f>IF(B327="","",IF(ISNUMBER(L327),IF(N327="","SEM DATA",IF(N327&gt;=0,"DEFESA NO PRAZO","DEFESA FORA DO PRAZO")),IF(G327="DECISÃO D.P","SEM DEFESA",IF(G327="","SEM STATUS",IF(N327="","SEM DATA",IF(N327&lt;0,"VENCIDO",IF(N327&lt;=DiasAlerta,"VENCE EM BREVE","NO PRAZO")))))))</f>
        <v/>
      </c>
      <c r="P327" s="109" t="str">
        <f>IF(D327="","",TODAY()-D327)</f>
        <v/>
      </c>
      <c r="Q327" s="102" t="n"/>
    </row>
    <row r="328" ht="18" customHeight="1">
      <c r="A328" s="101" t="n"/>
      <c r="B328" s="102" t="n"/>
      <c r="C328" s="102" t="n"/>
      <c r="D328" s="103" t="n"/>
      <c r="E328" s="102" t="n"/>
      <c r="F328" s="104" t="n"/>
      <c r="G328" s="104" t="n"/>
      <c r="H328" s="102" t="n"/>
      <c r="I328" s="105" t="n"/>
      <c r="J328" s="105" t="n"/>
      <c r="K328" s="103" t="n"/>
      <c r="L328" s="103" t="n"/>
      <c r="M328" s="106" t="str">
        <f>IF(OR(D328="",E328=""),"",D328+IF(E328="NOTIFICAÇÃO DE CONSTATAÇÃO",PrazoConst,PrazoEsc))</f>
        <v/>
      </c>
      <c r="N328" s="107" t="str">
        <f>IF(M328="","",IF(ISNUMBER(L328),M328-L328,IF(G328="DECISÃO D.P","",M328-TODAY())))</f>
        <v/>
      </c>
      <c r="O328" s="108" t="str">
        <f>IF(B328="","",IF(ISNUMBER(L328),IF(N328="","SEM DATA",IF(N328&gt;=0,"DEFESA NO PRAZO","DEFESA FORA DO PRAZO")),IF(G328="DECISÃO D.P","SEM DEFESA",IF(G328="","SEM STATUS",IF(N328="","SEM DATA",IF(N328&lt;0,"VENCIDO",IF(N328&lt;=DiasAlerta,"VENCE EM BREVE","NO PRAZO")))))))</f>
        <v/>
      </c>
      <c r="P328" s="109" t="str">
        <f>IF(D328="","",TODAY()-D328)</f>
        <v/>
      </c>
      <c r="Q328" s="102" t="n"/>
    </row>
    <row r="329" ht="18" customHeight="1">
      <c r="A329" s="101" t="n"/>
      <c r="B329" s="102" t="n"/>
      <c r="C329" s="102" t="n"/>
      <c r="D329" s="103" t="n"/>
      <c r="E329" s="102" t="n"/>
      <c r="F329" s="104" t="n"/>
      <c r="G329" s="104" t="n"/>
      <c r="H329" s="102" t="n"/>
      <c r="I329" s="105" t="n"/>
      <c r="J329" s="105" t="n"/>
      <c r="K329" s="103" t="n"/>
      <c r="L329" s="103" t="n"/>
      <c r="M329" s="106" t="str">
        <f>IF(OR(D329="",E329=""),"",D329+IF(E329="NOTIFICAÇÃO DE CONSTATAÇÃO",PrazoConst,PrazoEsc))</f>
        <v/>
      </c>
      <c r="N329" s="107" t="str">
        <f>IF(M329="","",IF(ISNUMBER(L329),M329-L329,IF(G329="DECISÃO D.P","",M329-TODAY())))</f>
        <v/>
      </c>
      <c r="O329" s="108" t="str">
        <f>IF(B329="","",IF(ISNUMBER(L329),IF(N329="","SEM DATA",IF(N329&gt;=0,"DEFESA NO PRAZO","DEFESA FORA DO PRAZO")),IF(G329="DECISÃO D.P","SEM DEFESA",IF(G329="","SEM STATUS",IF(N329="","SEM DATA",IF(N329&lt;0,"VENCIDO",IF(N329&lt;=DiasAlerta,"VENCE EM BREVE","NO PRAZO")))))))</f>
        <v/>
      </c>
      <c r="P329" s="109" t="str">
        <f>IF(D329="","",TODAY()-D329)</f>
        <v/>
      </c>
      <c r="Q329" s="102" t="n"/>
    </row>
    <row r="330" ht="18" customHeight="1">
      <c r="A330" s="101" t="n"/>
      <c r="B330" s="102" t="n"/>
      <c r="C330" s="102" t="n"/>
      <c r="D330" s="103" t="n"/>
      <c r="E330" s="102" t="n"/>
      <c r="F330" s="104" t="n"/>
      <c r="G330" s="104" t="n"/>
      <c r="H330" s="102" t="n"/>
      <c r="I330" s="105" t="n"/>
      <c r="J330" s="105" t="n"/>
      <c r="K330" s="103" t="n"/>
      <c r="L330" s="103" t="n"/>
      <c r="M330" s="106" t="str">
        <f>IF(OR(D330="",E330=""),"",D330+IF(E330="NOTIFICAÇÃO DE CONSTATAÇÃO",PrazoConst,PrazoEsc))</f>
        <v/>
      </c>
      <c r="N330" s="107" t="str">
        <f>IF(M330="","",IF(ISNUMBER(L330),M330-L330,IF(G330="DECISÃO D.P","",M330-TODAY())))</f>
        <v/>
      </c>
      <c r="O330" s="108" t="str">
        <f>IF(B330="","",IF(ISNUMBER(L330),IF(N330="","SEM DATA",IF(N330&gt;=0,"DEFESA NO PRAZO","DEFESA FORA DO PRAZO")),IF(G330="DECISÃO D.P","SEM DEFESA",IF(G330="","SEM STATUS",IF(N330="","SEM DATA",IF(N330&lt;0,"VENCIDO",IF(N330&lt;=DiasAlerta,"VENCE EM BREVE","NO PRAZO")))))))</f>
        <v/>
      </c>
      <c r="P330" s="109" t="str">
        <f>IF(D330="","",TODAY()-D330)</f>
        <v/>
      </c>
      <c r="Q330" s="102" t="n"/>
    </row>
    <row r="331" ht="18" customHeight="1">
      <c r="A331" s="101" t="n"/>
      <c r="B331" s="102" t="n"/>
      <c r="C331" s="102" t="n"/>
      <c r="D331" s="103" t="n"/>
      <c r="E331" s="102" t="n"/>
      <c r="F331" s="104" t="n"/>
      <c r="G331" s="104" t="n"/>
      <c r="H331" s="102" t="n"/>
      <c r="I331" s="105" t="n"/>
      <c r="J331" s="105" t="n"/>
      <c r="K331" s="103" t="n"/>
      <c r="L331" s="103" t="n"/>
      <c r="M331" s="106" t="str">
        <f>IF(OR(D331="",E331=""),"",D331+IF(E331="NOTIFICAÇÃO DE CONSTATAÇÃO",PrazoConst,PrazoEsc))</f>
        <v/>
      </c>
      <c r="N331" s="107" t="str">
        <f>IF(M331="","",IF(ISNUMBER(L331),M331-L331,IF(G331="DECISÃO D.P","",M331-TODAY())))</f>
        <v/>
      </c>
      <c r="O331" s="108" t="str">
        <f>IF(B331="","",IF(ISNUMBER(L331),IF(N331="","SEM DATA",IF(N331&gt;=0,"DEFESA NO PRAZO","DEFESA FORA DO PRAZO")),IF(G331="DECISÃO D.P","SEM DEFESA",IF(G331="","SEM STATUS",IF(N331="","SEM DATA",IF(N331&lt;0,"VENCIDO",IF(N331&lt;=DiasAlerta,"VENCE EM BREVE","NO PRAZO")))))))</f>
        <v/>
      </c>
      <c r="P331" s="109" t="str">
        <f>IF(D331="","",TODAY()-D331)</f>
        <v/>
      </c>
      <c r="Q331" s="102" t="n"/>
    </row>
    <row r="332" ht="18" customHeight="1">
      <c r="A332" s="101" t="n"/>
      <c r="B332" s="102" t="n"/>
      <c r="C332" s="102" t="n"/>
      <c r="D332" s="103" t="n"/>
      <c r="E332" s="102" t="n"/>
      <c r="F332" s="104" t="n"/>
      <c r="G332" s="104" t="n"/>
      <c r="H332" s="102" t="n"/>
      <c r="I332" s="105" t="n"/>
      <c r="J332" s="105" t="n"/>
      <c r="K332" s="103" t="n"/>
      <c r="L332" s="103" t="n"/>
      <c r="M332" s="106" t="str">
        <f>IF(OR(D332="",E332=""),"",D332+IF(E332="NOTIFICAÇÃO DE CONSTATAÇÃO",PrazoConst,PrazoEsc))</f>
        <v/>
      </c>
      <c r="N332" s="107" t="str">
        <f>IF(M332="","",IF(ISNUMBER(L332),M332-L332,IF(G332="DECISÃO D.P","",M332-TODAY())))</f>
        <v/>
      </c>
      <c r="O332" s="108" t="str">
        <f>IF(B332="","",IF(ISNUMBER(L332),IF(N332="","SEM DATA",IF(N332&gt;=0,"DEFESA NO PRAZO","DEFESA FORA DO PRAZO")),IF(G332="DECISÃO D.P","SEM DEFESA",IF(G332="","SEM STATUS",IF(N332="","SEM DATA",IF(N332&lt;0,"VENCIDO",IF(N332&lt;=DiasAlerta,"VENCE EM BREVE","NO PRAZO")))))))</f>
        <v/>
      </c>
      <c r="P332" s="109" t="str">
        <f>IF(D332="","",TODAY()-D332)</f>
        <v/>
      </c>
      <c r="Q332" s="102" t="n"/>
    </row>
    <row r="333" ht="18" customHeight="1">
      <c r="A333" s="101" t="n"/>
      <c r="B333" s="102" t="n"/>
      <c r="C333" s="102" t="n"/>
      <c r="D333" s="103" t="n"/>
      <c r="E333" s="102" t="n"/>
      <c r="F333" s="104" t="n"/>
      <c r="G333" s="104" t="n"/>
      <c r="H333" s="102" t="n"/>
      <c r="I333" s="105" t="n"/>
      <c r="J333" s="105" t="n"/>
      <c r="K333" s="103" t="n"/>
      <c r="L333" s="103" t="n"/>
      <c r="M333" s="106" t="str">
        <f>IF(OR(D333="",E333=""),"",D333+IF(E333="NOTIFICAÇÃO DE CONSTATAÇÃO",PrazoConst,PrazoEsc))</f>
        <v/>
      </c>
      <c r="N333" s="107" t="str">
        <f>IF(M333="","",IF(ISNUMBER(L333),M333-L333,IF(G333="DECISÃO D.P","",M333-TODAY())))</f>
        <v/>
      </c>
      <c r="O333" s="108" t="str">
        <f>IF(B333="","",IF(ISNUMBER(L333),IF(N333="","SEM DATA",IF(N333&gt;=0,"DEFESA NO PRAZO","DEFESA FORA DO PRAZO")),IF(G333="DECISÃO D.P","SEM DEFESA",IF(G333="","SEM STATUS",IF(N333="","SEM DATA",IF(N333&lt;0,"VENCIDO",IF(N333&lt;=DiasAlerta,"VENCE EM BREVE","NO PRAZO")))))))</f>
        <v/>
      </c>
      <c r="P333" s="109" t="str">
        <f>IF(D333="","",TODAY()-D333)</f>
        <v/>
      </c>
      <c r="Q333" s="102" t="n"/>
    </row>
    <row r="334" ht="18" customHeight="1">
      <c r="A334" s="101" t="n"/>
      <c r="B334" s="102" t="n"/>
      <c r="C334" s="102" t="n"/>
      <c r="D334" s="103" t="n"/>
      <c r="E334" s="102" t="n"/>
      <c r="F334" s="104" t="n"/>
      <c r="G334" s="104" t="n"/>
      <c r="H334" s="102" t="n"/>
      <c r="I334" s="105" t="n"/>
      <c r="J334" s="105" t="n"/>
      <c r="K334" s="103" t="n"/>
      <c r="L334" s="103" t="n"/>
      <c r="M334" s="106" t="str">
        <f>IF(OR(D334="",E334=""),"",D334+IF(E334="NOTIFICAÇÃO DE CONSTATAÇÃO",PrazoConst,PrazoEsc))</f>
        <v/>
      </c>
      <c r="N334" s="107" t="str">
        <f>IF(M334="","",IF(ISNUMBER(L334),M334-L334,IF(G334="DECISÃO D.P","",M334-TODAY())))</f>
        <v/>
      </c>
      <c r="O334" s="108" t="str">
        <f>IF(B334="","",IF(ISNUMBER(L334),IF(N334="","SEM DATA",IF(N334&gt;=0,"DEFESA NO PRAZO","DEFESA FORA DO PRAZO")),IF(G334="DECISÃO D.P","SEM DEFESA",IF(G334="","SEM STATUS",IF(N334="","SEM DATA",IF(N334&lt;0,"VENCIDO",IF(N334&lt;=DiasAlerta,"VENCE EM BREVE","NO PRAZO")))))))</f>
        <v/>
      </c>
      <c r="P334" s="109" t="str">
        <f>IF(D334="","",TODAY()-D334)</f>
        <v/>
      </c>
      <c r="Q334" s="102" t="n"/>
    </row>
    <row r="335" ht="18" customHeight="1">
      <c r="A335" s="101" t="n"/>
      <c r="B335" s="102" t="n"/>
      <c r="C335" s="102" t="n"/>
      <c r="D335" s="103" t="n"/>
      <c r="E335" s="102" t="n"/>
      <c r="F335" s="104" t="n"/>
      <c r="G335" s="104" t="n"/>
      <c r="H335" s="102" t="n"/>
      <c r="I335" s="105" t="n"/>
      <c r="J335" s="105" t="n"/>
      <c r="K335" s="103" t="n"/>
      <c r="L335" s="103" t="n"/>
      <c r="M335" s="106" t="str">
        <f>IF(OR(D335="",E335=""),"",D335+IF(E335="NOTIFICAÇÃO DE CONSTATAÇÃO",PrazoConst,PrazoEsc))</f>
        <v/>
      </c>
      <c r="N335" s="107" t="str">
        <f>IF(M335="","",IF(ISNUMBER(L335),M335-L335,IF(G335="DECISÃO D.P","",M335-TODAY())))</f>
        <v/>
      </c>
      <c r="O335" s="108" t="str">
        <f>IF(B335="","",IF(ISNUMBER(L335),IF(N335="","SEM DATA",IF(N335&gt;=0,"DEFESA NO PRAZO","DEFESA FORA DO PRAZO")),IF(G335="DECISÃO D.P","SEM DEFESA",IF(G335="","SEM STATUS",IF(N335="","SEM DATA",IF(N335&lt;0,"VENCIDO",IF(N335&lt;=DiasAlerta,"VENCE EM BREVE","NO PRAZO")))))))</f>
        <v/>
      </c>
      <c r="P335" s="109" t="str">
        <f>IF(D335="","",TODAY()-D335)</f>
        <v/>
      </c>
      <c r="Q335" s="102" t="n"/>
    </row>
    <row r="336" ht="18" customHeight="1">
      <c r="A336" s="101" t="n"/>
      <c r="B336" s="102" t="n"/>
      <c r="C336" s="102" t="n"/>
      <c r="D336" s="103" t="n"/>
      <c r="E336" s="102" t="n"/>
      <c r="F336" s="104" t="n"/>
      <c r="G336" s="104" t="n"/>
      <c r="H336" s="102" t="n"/>
      <c r="I336" s="105" t="n"/>
      <c r="J336" s="105" t="n"/>
      <c r="K336" s="103" t="n"/>
      <c r="L336" s="103" t="n"/>
      <c r="M336" s="106" t="str">
        <f>IF(OR(D336="",E336=""),"",D336+IF(E336="NOTIFICAÇÃO DE CONSTATAÇÃO",PrazoConst,PrazoEsc))</f>
        <v/>
      </c>
      <c r="N336" s="107" t="str">
        <f>IF(M336="","",IF(ISNUMBER(L336),M336-L336,IF(G336="DECISÃO D.P","",M336-TODAY())))</f>
        <v/>
      </c>
      <c r="O336" s="108" t="str">
        <f>IF(B336="","",IF(ISNUMBER(L336),IF(N336="","SEM DATA",IF(N336&gt;=0,"DEFESA NO PRAZO","DEFESA FORA DO PRAZO")),IF(G336="DECISÃO D.P","SEM DEFESA",IF(G336="","SEM STATUS",IF(N336="","SEM DATA",IF(N336&lt;0,"VENCIDO",IF(N336&lt;=DiasAlerta,"VENCE EM BREVE","NO PRAZO")))))))</f>
        <v/>
      </c>
      <c r="P336" s="109" t="str">
        <f>IF(D336="","",TODAY()-D336)</f>
        <v/>
      </c>
      <c r="Q336" s="102" t="n"/>
    </row>
    <row r="337" ht="18" customHeight="1">
      <c r="A337" s="101" t="n"/>
      <c r="B337" s="102" t="n"/>
      <c r="C337" s="102" t="n"/>
      <c r="D337" s="103" t="n"/>
      <c r="E337" s="102" t="n"/>
      <c r="F337" s="104" t="n"/>
      <c r="G337" s="104" t="n"/>
      <c r="H337" s="102" t="n"/>
      <c r="I337" s="105" t="n"/>
      <c r="J337" s="105" t="n"/>
      <c r="K337" s="103" t="n"/>
      <c r="L337" s="103" t="n"/>
      <c r="M337" s="106" t="str">
        <f>IF(OR(D337="",E337=""),"",D337+IF(E337="NOTIFICAÇÃO DE CONSTATAÇÃO",PrazoConst,PrazoEsc))</f>
        <v/>
      </c>
      <c r="N337" s="107" t="str">
        <f>IF(M337="","",IF(ISNUMBER(L337),M337-L337,IF(G337="DECISÃO D.P","",M337-TODAY())))</f>
        <v/>
      </c>
      <c r="O337" s="108" t="str">
        <f>IF(B337="","",IF(ISNUMBER(L337),IF(N337="","SEM DATA",IF(N337&gt;=0,"DEFESA NO PRAZO","DEFESA FORA DO PRAZO")),IF(G337="DECISÃO D.P","SEM DEFESA",IF(G337="","SEM STATUS",IF(N337="","SEM DATA",IF(N337&lt;0,"VENCIDO",IF(N337&lt;=DiasAlerta,"VENCE EM BREVE","NO PRAZO")))))))</f>
        <v/>
      </c>
      <c r="P337" s="109" t="str">
        <f>IF(D337="","",TODAY()-D337)</f>
        <v/>
      </c>
      <c r="Q337" s="102" t="n"/>
    </row>
    <row r="338" ht="18" customHeight="1">
      <c r="A338" s="101" t="n"/>
      <c r="B338" s="102" t="n"/>
      <c r="C338" s="102" t="n"/>
      <c r="D338" s="103" t="n"/>
      <c r="E338" s="102" t="n"/>
      <c r="F338" s="104" t="n"/>
      <c r="G338" s="104" t="n"/>
      <c r="H338" s="102" t="n"/>
      <c r="I338" s="105" t="n"/>
      <c r="J338" s="105" t="n"/>
      <c r="K338" s="103" t="n"/>
      <c r="L338" s="103" t="n"/>
      <c r="M338" s="106" t="str">
        <f>IF(OR(D338="",E338=""),"",D338+IF(E338="NOTIFICAÇÃO DE CONSTATAÇÃO",PrazoConst,PrazoEsc))</f>
        <v/>
      </c>
      <c r="N338" s="107" t="str">
        <f>IF(M338="","",IF(ISNUMBER(L338),M338-L338,IF(G338="DECISÃO D.P","",M338-TODAY())))</f>
        <v/>
      </c>
      <c r="O338" s="108" t="str">
        <f>IF(B338="","",IF(ISNUMBER(L338),IF(N338="","SEM DATA",IF(N338&gt;=0,"DEFESA NO PRAZO","DEFESA FORA DO PRAZO")),IF(G338="DECISÃO D.P","SEM DEFESA",IF(G338="","SEM STATUS",IF(N338="","SEM DATA",IF(N338&lt;0,"VENCIDO",IF(N338&lt;=DiasAlerta,"VENCE EM BREVE","NO PRAZO")))))))</f>
        <v/>
      </c>
      <c r="P338" s="109" t="str">
        <f>IF(D338="","",TODAY()-D338)</f>
        <v/>
      </c>
      <c r="Q338" s="102" t="n"/>
    </row>
    <row r="339" ht="18" customHeight="1">
      <c r="A339" s="101" t="n"/>
      <c r="B339" s="102" t="n"/>
      <c r="C339" s="102" t="n"/>
      <c r="D339" s="103" t="n"/>
      <c r="E339" s="102" t="n"/>
      <c r="F339" s="104" t="n"/>
      <c r="G339" s="104" t="n"/>
      <c r="H339" s="102" t="n"/>
      <c r="I339" s="105" t="n"/>
      <c r="J339" s="105" t="n"/>
      <c r="K339" s="103" t="n"/>
      <c r="L339" s="103" t="n"/>
      <c r="M339" s="106" t="str">
        <f>IF(OR(D339="",E339=""),"",D339+IF(E339="NOTIFICAÇÃO DE CONSTATAÇÃO",PrazoConst,PrazoEsc))</f>
        <v/>
      </c>
      <c r="N339" s="107" t="str">
        <f>IF(M339="","",IF(ISNUMBER(L339),M339-L339,IF(G339="DECISÃO D.P","",M339-TODAY())))</f>
        <v/>
      </c>
      <c r="O339" s="108" t="str">
        <f>IF(B339="","",IF(ISNUMBER(L339),IF(N339="","SEM DATA",IF(N339&gt;=0,"DEFESA NO PRAZO","DEFESA FORA DO PRAZO")),IF(G339="DECISÃO D.P","SEM DEFESA",IF(G339="","SEM STATUS",IF(N339="","SEM DATA",IF(N339&lt;0,"VENCIDO",IF(N339&lt;=DiasAlerta,"VENCE EM BREVE","NO PRAZO")))))))</f>
        <v/>
      </c>
      <c r="P339" s="109" t="str">
        <f>IF(D339="","",TODAY()-D339)</f>
        <v/>
      </c>
      <c r="Q339" s="102" t="n"/>
    </row>
    <row r="340" ht="18" customHeight="1">
      <c r="A340" s="101" t="n"/>
      <c r="B340" s="102" t="n"/>
      <c r="C340" s="102" t="n"/>
      <c r="D340" s="103" t="n"/>
      <c r="E340" s="102" t="n"/>
      <c r="F340" s="104" t="n"/>
      <c r="G340" s="104" t="n"/>
      <c r="H340" s="102" t="n"/>
      <c r="I340" s="105" t="n"/>
      <c r="J340" s="105" t="n"/>
      <c r="K340" s="103" t="n"/>
      <c r="L340" s="103" t="n"/>
      <c r="M340" s="106" t="str">
        <f>IF(OR(D340="",E340=""),"",D340+IF(E340="NOTIFICAÇÃO DE CONSTATAÇÃO",PrazoConst,PrazoEsc))</f>
        <v/>
      </c>
      <c r="N340" s="107" t="str">
        <f>IF(M340="","",IF(ISNUMBER(L340),M340-L340,IF(G340="DECISÃO D.P","",M340-TODAY())))</f>
        <v/>
      </c>
      <c r="O340" s="108" t="str">
        <f>IF(B340="","",IF(ISNUMBER(L340),IF(N340="","SEM DATA",IF(N340&gt;=0,"DEFESA NO PRAZO","DEFESA FORA DO PRAZO")),IF(G340="DECISÃO D.P","SEM DEFESA",IF(G340="","SEM STATUS",IF(N340="","SEM DATA",IF(N340&lt;0,"VENCIDO",IF(N340&lt;=DiasAlerta,"VENCE EM BREVE","NO PRAZO")))))))</f>
        <v/>
      </c>
      <c r="P340" s="109" t="str">
        <f>IF(D340="","",TODAY()-D340)</f>
        <v/>
      </c>
      <c r="Q340" s="102" t="n"/>
    </row>
    <row r="341" ht="18" customHeight="1">
      <c r="A341" s="101" t="n"/>
      <c r="B341" s="102" t="n"/>
      <c r="C341" s="102" t="n"/>
      <c r="D341" s="103" t="n"/>
      <c r="E341" s="102" t="n"/>
      <c r="F341" s="104" t="n"/>
      <c r="G341" s="104" t="n"/>
      <c r="H341" s="102" t="n"/>
      <c r="I341" s="105" t="n"/>
      <c r="J341" s="105" t="n"/>
      <c r="K341" s="103" t="n"/>
      <c r="L341" s="103" t="n"/>
      <c r="M341" s="106" t="str">
        <f>IF(OR(D341="",E341=""),"",D341+IF(E341="NOTIFICAÇÃO DE CONSTATAÇÃO",PrazoConst,PrazoEsc))</f>
        <v/>
      </c>
      <c r="N341" s="107" t="str">
        <f>IF(M341="","",IF(ISNUMBER(L341),M341-L341,IF(G341="DECISÃO D.P","",M341-TODAY())))</f>
        <v/>
      </c>
      <c r="O341" s="108" t="str">
        <f>IF(B341="","",IF(ISNUMBER(L341),IF(N341="","SEM DATA",IF(N341&gt;=0,"DEFESA NO PRAZO","DEFESA FORA DO PRAZO")),IF(G341="DECISÃO D.P","SEM DEFESA",IF(G341="","SEM STATUS",IF(N341="","SEM DATA",IF(N341&lt;0,"VENCIDO",IF(N341&lt;=DiasAlerta,"VENCE EM BREVE","NO PRAZO")))))))</f>
        <v/>
      </c>
      <c r="P341" s="109" t="str">
        <f>IF(D341="","",TODAY()-D341)</f>
        <v/>
      </c>
      <c r="Q341" s="102" t="n"/>
    </row>
    <row r="342" ht="18" customHeight="1">
      <c r="A342" s="101" t="n"/>
      <c r="B342" s="102" t="n"/>
      <c r="C342" s="102" t="n"/>
      <c r="D342" s="103" t="n"/>
      <c r="E342" s="102" t="n"/>
      <c r="F342" s="104" t="n"/>
      <c r="G342" s="104" t="n"/>
      <c r="H342" s="102" t="n"/>
      <c r="I342" s="105" t="n"/>
      <c r="J342" s="105" t="n"/>
      <c r="K342" s="103" t="n"/>
      <c r="L342" s="103" t="n"/>
      <c r="M342" s="106" t="str">
        <f>IF(OR(D342="",E342=""),"",D342+IF(E342="NOTIFICAÇÃO DE CONSTATAÇÃO",PrazoConst,PrazoEsc))</f>
        <v/>
      </c>
      <c r="N342" s="107" t="str">
        <f>IF(M342="","",IF(ISNUMBER(L342),M342-L342,IF(G342="DECISÃO D.P","",M342-TODAY())))</f>
        <v/>
      </c>
      <c r="O342" s="108" t="str">
        <f>IF(B342="","",IF(ISNUMBER(L342),IF(N342="","SEM DATA",IF(N342&gt;=0,"DEFESA NO PRAZO","DEFESA FORA DO PRAZO")),IF(G342="DECISÃO D.P","SEM DEFESA",IF(G342="","SEM STATUS",IF(N342="","SEM DATA",IF(N342&lt;0,"VENCIDO",IF(N342&lt;=DiasAlerta,"VENCE EM BREVE","NO PRAZO")))))))</f>
        <v/>
      </c>
      <c r="P342" s="109" t="str">
        <f>IF(D342="","",TODAY()-D342)</f>
        <v/>
      </c>
      <c r="Q342" s="102" t="n"/>
    </row>
    <row r="343" ht="18" customHeight="1">
      <c r="A343" s="101" t="n"/>
      <c r="B343" s="102" t="n"/>
      <c r="C343" s="102" t="n"/>
      <c r="D343" s="103" t="n"/>
      <c r="E343" s="102" t="n"/>
      <c r="F343" s="104" t="n"/>
      <c r="G343" s="104" t="n"/>
      <c r="H343" s="102" t="n"/>
      <c r="I343" s="105" t="n"/>
      <c r="J343" s="105" t="n"/>
      <c r="K343" s="103" t="n"/>
      <c r="L343" s="103" t="n"/>
      <c r="M343" s="106" t="str">
        <f>IF(OR(D343="",E343=""),"",D343+IF(E343="NOTIFICAÇÃO DE CONSTATAÇÃO",PrazoConst,PrazoEsc))</f>
        <v/>
      </c>
      <c r="N343" s="107" t="str">
        <f>IF(M343="","",IF(ISNUMBER(L343),M343-L343,IF(G343="DECISÃO D.P","",M343-TODAY())))</f>
        <v/>
      </c>
      <c r="O343" s="108" t="str">
        <f>IF(B343="","",IF(ISNUMBER(L343),IF(N343="","SEM DATA",IF(N343&gt;=0,"DEFESA NO PRAZO","DEFESA FORA DO PRAZO")),IF(G343="DECISÃO D.P","SEM DEFESA",IF(G343="","SEM STATUS",IF(N343="","SEM DATA",IF(N343&lt;0,"VENCIDO",IF(N343&lt;=DiasAlerta,"VENCE EM BREVE","NO PRAZO")))))))</f>
        <v/>
      </c>
      <c r="P343" s="109" t="str">
        <f>IF(D343="","",TODAY()-D343)</f>
        <v/>
      </c>
      <c r="Q343" s="102" t="n"/>
    </row>
    <row r="344" ht="18" customHeight="1">
      <c r="A344" s="101" t="n"/>
      <c r="B344" s="102" t="n"/>
      <c r="C344" s="102" t="n"/>
      <c r="D344" s="103" t="n"/>
      <c r="E344" s="102" t="n"/>
      <c r="F344" s="104" t="n"/>
      <c r="G344" s="104" t="n"/>
      <c r="H344" s="102" t="n"/>
      <c r="I344" s="105" t="n"/>
      <c r="J344" s="105" t="n"/>
      <c r="K344" s="103" t="n"/>
      <c r="L344" s="103" t="n"/>
      <c r="M344" s="106" t="str">
        <f>IF(OR(D344="",E344=""),"",D344+IF(E344="NOTIFICAÇÃO DE CONSTATAÇÃO",PrazoConst,PrazoEsc))</f>
        <v/>
      </c>
      <c r="N344" s="107" t="str">
        <f>IF(M344="","",IF(ISNUMBER(L344),M344-L344,IF(G344="DECISÃO D.P","",M344-TODAY())))</f>
        <v/>
      </c>
      <c r="O344" s="108" t="str">
        <f>IF(B344="","",IF(ISNUMBER(L344),IF(N344="","SEM DATA",IF(N344&gt;=0,"DEFESA NO PRAZO","DEFESA FORA DO PRAZO")),IF(G344="DECISÃO D.P","SEM DEFESA",IF(G344="","SEM STATUS",IF(N344="","SEM DATA",IF(N344&lt;0,"VENCIDO",IF(N344&lt;=DiasAlerta,"VENCE EM BREVE","NO PRAZO")))))))</f>
        <v/>
      </c>
      <c r="P344" s="109" t="str">
        <f>IF(D344="","",TODAY()-D344)</f>
        <v/>
      </c>
      <c r="Q344" s="102" t="n"/>
    </row>
    <row r="345" ht="18" customHeight="1">
      <c r="A345" s="101" t="n"/>
      <c r="B345" s="102" t="n"/>
      <c r="C345" s="102" t="n"/>
      <c r="D345" s="103" t="n"/>
      <c r="E345" s="102" t="n"/>
      <c r="F345" s="104" t="n"/>
      <c r="G345" s="104" t="n"/>
      <c r="H345" s="102" t="n"/>
      <c r="I345" s="105" t="n"/>
      <c r="J345" s="105" t="n"/>
      <c r="K345" s="103" t="n"/>
      <c r="L345" s="103" t="n"/>
      <c r="M345" s="106" t="str">
        <f>IF(OR(D345="",E345=""),"",D345+IF(E345="NOTIFICAÇÃO DE CONSTATAÇÃO",PrazoConst,PrazoEsc))</f>
        <v/>
      </c>
      <c r="N345" s="107" t="str">
        <f>IF(M345="","",IF(ISNUMBER(L345),M345-L345,IF(G345="DECISÃO D.P","",M345-TODAY())))</f>
        <v/>
      </c>
      <c r="O345" s="108" t="str">
        <f>IF(B345="","",IF(ISNUMBER(L345),IF(N345="","SEM DATA",IF(N345&gt;=0,"DEFESA NO PRAZO","DEFESA FORA DO PRAZO")),IF(G345="DECISÃO D.P","SEM DEFESA",IF(G345="","SEM STATUS",IF(N345="","SEM DATA",IF(N345&lt;0,"VENCIDO",IF(N345&lt;=DiasAlerta,"VENCE EM BREVE","NO PRAZO")))))))</f>
        <v/>
      </c>
      <c r="P345" s="109" t="str">
        <f>IF(D345="","",TODAY()-D345)</f>
        <v/>
      </c>
      <c r="Q345" s="102" t="n"/>
    </row>
    <row r="346" ht="18" customHeight="1">
      <c r="A346" s="101" t="n"/>
      <c r="B346" s="102" t="n"/>
      <c r="C346" s="102" t="n"/>
      <c r="D346" s="103" t="n"/>
      <c r="E346" s="102" t="n"/>
      <c r="F346" s="104" t="n"/>
      <c r="G346" s="104" t="n"/>
      <c r="H346" s="102" t="n"/>
      <c r="I346" s="105" t="n"/>
      <c r="J346" s="105" t="n"/>
      <c r="K346" s="103" t="n"/>
      <c r="L346" s="103" t="n"/>
      <c r="M346" s="106" t="str">
        <f>IF(OR(D346="",E346=""),"",D346+IF(E346="NOTIFICAÇÃO DE CONSTATAÇÃO",PrazoConst,PrazoEsc))</f>
        <v/>
      </c>
      <c r="N346" s="107" t="str">
        <f>IF(M346="","",IF(ISNUMBER(L346),M346-L346,IF(G346="DECISÃO D.P","",M346-TODAY())))</f>
        <v/>
      </c>
      <c r="O346" s="108" t="str">
        <f>IF(B346="","",IF(ISNUMBER(L346),IF(N346="","SEM DATA",IF(N346&gt;=0,"DEFESA NO PRAZO","DEFESA FORA DO PRAZO")),IF(G346="DECISÃO D.P","SEM DEFESA",IF(G346="","SEM STATUS",IF(N346="","SEM DATA",IF(N346&lt;0,"VENCIDO",IF(N346&lt;=DiasAlerta,"VENCE EM BREVE","NO PRAZO")))))))</f>
        <v/>
      </c>
      <c r="P346" s="109" t="str">
        <f>IF(D346="","",TODAY()-D346)</f>
        <v/>
      </c>
      <c r="Q346" s="102" t="n"/>
    </row>
    <row r="347" ht="18" customHeight="1">
      <c r="A347" s="101" t="n"/>
      <c r="B347" s="102" t="n"/>
      <c r="C347" s="102" t="n"/>
      <c r="D347" s="103" t="n"/>
      <c r="E347" s="102" t="n"/>
      <c r="F347" s="104" t="n"/>
      <c r="G347" s="104" t="n"/>
      <c r="H347" s="102" t="n"/>
      <c r="I347" s="105" t="n"/>
      <c r="J347" s="105" t="n"/>
      <c r="K347" s="103" t="n"/>
      <c r="L347" s="103" t="n"/>
      <c r="M347" s="106" t="str">
        <f>IF(OR(D347="",E347=""),"",D347+IF(E347="NOTIFICAÇÃO DE CONSTATAÇÃO",PrazoConst,PrazoEsc))</f>
        <v/>
      </c>
      <c r="N347" s="107" t="str">
        <f>IF(M347="","",IF(ISNUMBER(L347),M347-L347,IF(G347="DECISÃO D.P","",M347-TODAY())))</f>
        <v/>
      </c>
      <c r="O347" s="108" t="str">
        <f>IF(B347="","",IF(ISNUMBER(L347),IF(N347="","SEM DATA",IF(N347&gt;=0,"DEFESA NO PRAZO","DEFESA FORA DO PRAZO")),IF(G347="DECISÃO D.P","SEM DEFESA",IF(G347="","SEM STATUS",IF(N347="","SEM DATA",IF(N347&lt;0,"VENCIDO",IF(N347&lt;=DiasAlerta,"VENCE EM BREVE","NO PRAZO")))))))</f>
        <v/>
      </c>
      <c r="P347" s="109" t="str">
        <f>IF(D347="","",TODAY()-D347)</f>
        <v/>
      </c>
      <c r="Q347" s="102" t="n"/>
    </row>
    <row r="348" ht="18" customHeight="1">
      <c r="A348" s="101" t="n"/>
      <c r="B348" s="102" t="n"/>
      <c r="C348" s="102" t="n"/>
      <c r="D348" s="103" t="n"/>
      <c r="E348" s="102" t="n"/>
      <c r="F348" s="104" t="n"/>
      <c r="G348" s="104" t="n"/>
      <c r="H348" s="102" t="n"/>
      <c r="I348" s="105" t="n"/>
      <c r="J348" s="105" t="n"/>
      <c r="K348" s="103" t="n"/>
      <c r="L348" s="103" t="n"/>
      <c r="M348" s="106" t="str">
        <f>IF(OR(D348="",E348=""),"",D348+IF(E348="NOTIFICAÇÃO DE CONSTATAÇÃO",PrazoConst,PrazoEsc))</f>
        <v/>
      </c>
      <c r="N348" s="107" t="str">
        <f>IF(M348="","",IF(ISNUMBER(L348),M348-L348,IF(G348="DECISÃO D.P","",M348-TODAY())))</f>
        <v/>
      </c>
      <c r="O348" s="108" t="str">
        <f>IF(B348="","",IF(ISNUMBER(L348),IF(N348="","SEM DATA",IF(N348&gt;=0,"DEFESA NO PRAZO","DEFESA FORA DO PRAZO")),IF(G348="DECISÃO D.P","SEM DEFESA",IF(G348="","SEM STATUS",IF(N348="","SEM DATA",IF(N348&lt;0,"VENCIDO",IF(N348&lt;=DiasAlerta,"VENCE EM BREVE","NO PRAZO")))))))</f>
        <v/>
      </c>
      <c r="P348" s="109" t="str">
        <f>IF(D348="","",TODAY()-D348)</f>
        <v/>
      </c>
      <c r="Q348" s="102" t="n"/>
    </row>
    <row r="349" ht="18" customHeight="1">
      <c r="A349" s="101" t="n"/>
      <c r="B349" s="102" t="n"/>
      <c r="C349" s="102" t="n"/>
      <c r="D349" s="103" t="n"/>
      <c r="E349" s="102" t="n"/>
      <c r="F349" s="104" t="n"/>
      <c r="G349" s="104" t="n"/>
      <c r="H349" s="102" t="n"/>
      <c r="I349" s="105" t="n"/>
      <c r="J349" s="105" t="n"/>
      <c r="K349" s="103" t="n"/>
      <c r="L349" s="103" t="n"/>
      <c r="M349" s="106" t="str">
        <f>IF(OR(D349="",E349=""),"",D349+IF(E349="NOTIFICAÇÃO DE CONSTATAÇÃO",PrazoConst,PrazoEsc))</f>
        <v/>
      </c>
      <c r="N349" s="107" t="str">
        <f>IF(M349="","",IF(ISNUMBER(L349),M349-L349,IF(G349="DECISÃO D.P","",M349-TODAY())))</f>
        <v/>
      </c>
      <c r="O349" s="108" t="str">
        <f>IF(B349="","",IF(ISNUMBER(L349),IF(N349="","SEM DATA",IF(N349&gt;=0,"DEFESA NO PRAZO","DEFESA FORA DO PRAZO")),IF(G349="DECISÃO D.P","SEM DEFESA",IF(G349="","SEM STATUS",IF(N349="","SEM DATA",IF(N349&lt;0,"VENCIDO",IF(N349&lt;=DiasAlerta,"VENCE EM BREVE","NO PRAZO")))))))</f>
        <v/>
      </c>
      <c r="P349" s="109" t="str">
        <f>IF(D349="","",TODAY()-D349)</f>
        <v/>
      </c>
      <c r="Q349" s="102" t="n"/>
    </row>
    <row r="350" ht="18" customHeight="1">
      <c r="A350" s="101" t="n"/>
      <c r="B350" s="102" t="n"/>
      <c r="C350" s="102" t="n"/>
      <c r="D350" s="103" t="n"/>
      <c r="E350" s="102" t="n"/>
      <c r="F350" s="104" t="n"/>
      <c r="G350" s="104" t="n"/>
      <c r="H350" s="102" t="n"/>
      <c r="I350" s="105" t="n"/>
      <c r="J350" s="105" t="n"/>
      <c r="K350" s="103" t="n"/>
      <c r="L350" s="103" t="n"/>
      <c r="M350" s="106" t="str">
        <f>IF(OR(D350="",E350=""),"",D350+IF(E350="NOTIFICAÇÃO DE CONSTATAÇÃO",PrazoConst,PrazoEsc))</f>
        <v/>
      </c>
      <c r="N350" s="107" t="str">
        <f>IF(M350="","",IF(ISNUMBER(L350),M350-L350,IF(G350="DECISÃO D.P","",M350-TODAY())))</f>
        <v/>
      </c>
      <c r="O350" s="108" t="str">
        <f>IF(B350="","",IF(ISNUMBER(L350),IF(N350="","SEM DATA",IF(N350&gt;=0,"DEFESA NO PRAZO","DEFESA FORA DO PRAZO")),IF(G350="DECISÃO D.P","SEM DEFESA",IF(G350="","SEM STATUS",IF(N350="","SEM DATA",IF(N350&lt;0,"VENCIDO",IF(N350&lt;=DiasAlerta,"VENCE EM BREVE","NO PRAZO")))))))</f>
        <v/>
      </c>
      <c r="P350" s="109" t="str">
        <f>IF(D350="","",TODAY()-D350)</f>
        <v/>
      </c>
      <c r="Q350" s="102" t="n"/>
    </row>
    <row r="351" ht="18" customHeight="1">
      <c r="A351" s="101" t="n"/>
      <c r="B351" s="102" t="n"/>
      <c r="C351" s="102" t="n"/>
      <c r="D351" s="103" t="n"/>
      <c r="E351" s="102" t="n"/>
      <c r="F351" s="104" t="n"/>
      <c r="G351" s="104" t="n"/>
      <c r="H351" s="102" t="n"/>
      <c r="I351" s="105" t="n"/>
      <c r="J351" s="105" t="n"/>
      <c r="K351" s="103" t="n"/>
      <c r="L351" s="103" t="n"/>
      <c r="M351" s="106" t="str">
        <f>IF(OR(D351="",E351=""),"",D351+IF(E351="NOTIFICAÇÃO DE CONSTATAÇÃO",PrazoConst,PrazoEsc))</f>
        <v/>
      </c>
      <c r="N351" s="107" t="str">
        <f>IF(M351="","",IF(ISNUMBER(L351),M351-L351,IF(G351="DECISÃO D.P","",M351-TODAY())))</f>
        <v/>
      </c>
      <c r="O351" s="108" t="str">
        <f>IF(B351="","",IF(ISNUMBER(L351),IF(N351="","SEM DATA",IF(N351&gt;=0,"DEFESA NO PRAZO","DEFESA FORA DO PRAZO")),IF(G351="DECISÃO D.P","SEM DEFESA",IF(G351="","SEM STATUS",IF(N351="","SEM DATA",IF(N351&lt;0,"VENCIDO",IF(N351&lt;=DiasAlerta,"VENCE EM BREVE","NO PRAZO")))))))</f>
        <v/>
      </c>
      <c r="P351" s="109" t="str">
        <f>IF(D351="","",TODAY()-D351)</f>
        <v/>
      </c>
      <c r="Q351" s="102" t="n"/>
    </row>
    <row r="352" ht="18" customHeight="1">
      <c r="A352" s="101" t="n"/>
      <c r="B352" s="102" t="n"/>
      <c r="C352" s="102" t="n"/>
      <c r="D352" s="103" t="n"/>
      <c r="E352" s="102" t="n"/>
      <c r="F352" s="104" t="n"/>
      <c r="G352" s="104" t="n"/>
      <c r="H352" s="102" t="n"/>
      <c r="I352" s="105" t="n"/>
      <c r="J352" s="105" t="n"/>
      <c r="K352" s="103" t="n"/>
      <c r="L352" s="103" t="n"/>
      <c r="M352" s="106" t="str">
        <f>IF(OR(D352="",E352=""),"",D352+IF(E352="NOTIFICAÇÃO DE CONSTATAÇÃO",PrazoConst,PrazoEsc))</f>
        <v/>
      </c>
      <c r="N352" s="107" t="str">
        <f>IF(M352="","",IF(ISNUMBER(L352),M352-L352,IF(G352="DECISÃO D.P","",M352-TODAY())))</f>
        <v/>
      </c>
      <c r="O352" s="108" t="str">
        <f>IF(B352="","",IF(ISNUMBER(L352),IF(N352="","SEM DATA",IF(N352&gt;=0,"DEFESA NO PRAZO","DEFESA FORA DO PRAZO")),IF(G352="DECISÃO D.P","SEM DEFESA",IF(G352="","SEM STATUS",IF(N352="","SEM DATA",IF(N352&lt;0,"VENCIDO",IF(N352&lt;=DiasAlerta,"VENCE EM BREVE","NO PRAZO")))))))</f>
        <v/>
      </c>
      <c r="P352" s="109" t="str">
        <f>IF(D352="","",TODAY()-D352)</f>
        <v/>
      </c>
      <c r="Q352" s="102" t="n"/>
    </row>
    <row r="353" ht="18" customHeight="1">
      <c r="A353" s="101" t="n"/>
      <c r="B353" s="102" t="n"/>
      <c r="C353" s="102" t="n"/>
      <c r="D353" s="103" t="n"/>
      <c r="E353" s="102" t="n"/>
      <c r="F353" s="104" t="n"/>
      <c r="G353" s="104" t="n"/>
      <c r="H353" s="102" t="n"/>
      <c r="I353" s="105" t="n"/>
      <c r="J353" s="105" t="n"/>
      <c r="K353" s="103" t="n"/>
      <c r="L353" s="103" t="n"/>
      <c r="M353" s="106" t="str">
        <f>IF(OR(D353="",E353=""),"",D353+IF(E353="NOTIFICAÇÃO DE CONSTATAÇÃO",PrazoConst,PrazoEsc))</f>
        <v/>
      </c>
      <c r="N353" s="107" t="str">
        <f>IF(M353="","",IF(ISNUMBER(L353),M353-L353,IF(G353="DECISÃO D.P","",M353-TODAY())))</f>
        <v/>
      </c>
      <c r="O353" s="108" t="str">
        <f>IF(B353="","",IF(ISNUMBER(L353),IF(N353="","SEM DATA",IF(N353&gt;=0,"DEFESA NO PRAZO","DEFESA FORA DO PRAZO")),IF(G353="DECISÃO D.P","SEM DEFESA",IF(G353="","SEM STATUS",IF(N353="","SEM DATA",IF(N353&lt;0,"VENCIDO",IF(N353&lt;=DiasAlerta,"VENCE EM BREVE","NO PRAZO")))))))</f>
        <v/>
      </c>
      <c r="P353" s="109" t="str">
        <f>IF(D353="","",TODAY()-D353)</f>
        <v/>
      </c>
      <c r="Q353" s="102" t="n"/>
    </row>
    <row r="354" ht="18" customHeight="1">
      <c r="A354" s="101" t="n"/>
      <c r="B354" s="102" t="n"/>
      <c r="C354" s="102" t="n"/>
      <c r="D354" s="103" t="n"/>
      <c r="E354" s="102" t="n"/>
      <c r="F354" s="104" t="n"/>
      <c r="G354" s="104" t="n"/>
      <c r="H354" s="102" t="n"/>
      <c r="I354" s="105" t="n"/>
      <c r="J354" s="105" t="n"/>
      <c r="K354" s="103" t="n"/>
      <c r="L354" s="103" t="n"/>
      <c r="M354" s="106" t="str">
        <f>IF(OR(D354="",E354=""),"",D354+IF(E354="NOTIFICAÇÃO DE CONSTATAÇÃO",PrazoConst,PrazoEsc))</f>
        <v/>
      </c>
      <c r="N354" s="107" t="str">
        <f>IF(M354="","",IF(ISNUMBER(L354),M354-L354,IF(G354="DECISÃO D.P","",M354-TODAY())))</f>
        <v/>
      </c>
      <c r="O354" s="108" t="str">
        <f>IF(B354="","",IF(ISNUMBER(L354),IF(N354="","SEM DATA",IF(N354&gt;=0,"DEFESA NO PRAZO","DEFESA FORA DO PRAZO")),IF(G354="DECISÃO D.P","SEM DEFESA",IF(G354="","SEM STATUS",IF(N354="","SEM DATA",IF(N354&lt;0,"VENCIDO",IF(N354&lt;=DiasAlerta,"VENCE EM BREVE","NO PRAZO")))))))</f>
        <v/>
      </c>
      <c r="P354" s="109" t="str">
        <f>IF(D354="","",TODAY()-D354)</f>
        <v/>
      </c>
      <c r="Q354" s="102" t="n"/>
    </row>
    <row r="355" ht="18" customHeight="1">
      <c r="A355" s="101" t="n"/>
      <c r="B355" s="102" t="n"/>
      <c r="C355" s="102" t="n"/>
      <c r="D355" s="103" t="n"/>
      <c r="E355" s="102" t="n"/>
      <c r="F355" s="104" t="n"/>
      <c r="G355" s="104" t="n"/>
      <c r="H355" s="102" t="n"/>
      <c r="I355" s="105" t="n"/>
      <c r="J355" s="105" t="n"/>
      <c r="K355" s="103" t="n"/>
      <c r="L355" s="103" t="n"/>
      <c r="M355" s="106" t="str">
        <f>IF(OR(D355="",E355=""),"",D355+IF(E355="NOTIFICAÇÃO DE CONSTATAÇÃO",PrazoConst,PrazoEsc))</f>
        <v/>
      </c>
      <c r="N355" s="107" t="str">
        <f>IF(M355="","",IF(ISNUMBER(L355),M355-L355,IF(G355="DECISÃO D.P","",M355-TODAY())))</f>
        <v/>
      </c>
      <c r="O355" s="108" t="str">
        <f>IF(B355="","",IF(ISNUMBER(L355),IF(N355="","SEM DATA",IF(N355&gt;=0,"DEFESA NO PRAZO","DEFESA FORA DO PRAZO")),IF(G355="DECISÃO D.P","SEM DEFESA",IF(G355="","SEM STATUS",IF(N355="","SEM DATA",IF(N355&lt;0,"VENCIDO",IF(N355&lt;=DiasAlerta,"VENCE EM BREVE","NO PRAZO")))))))</f>
        <v/>
      </c>
      <c r="P355" s="109" t="str">
        <f>IF(D355="","",TODAY()-D355)</f>
        <v/>
      </c>
      <c r="Q355" s="102" t="n"/>
    </row>
    <row r="356" ht="18" customHeight="1">
      <c r="A356" s="101" t="n"/>
      <c r="B356" s="102" t="n"/>
      <c r="C356" s="102" t="n"/>
      <c r="D356" s="103" t="n"/>
      <c r="E356" s="102" t="n"/>
      <c r="F356" s="104" t="n"/>
      <c r="G356" s="104" t="n"/>
      <c r="H356" s="102" t="n"/>
      <c r="I356" s="105" t="n"/>
      <c r="J356" s="105" t="n"/>
      <c r="K356" s="103" t="n"/>
      <c r="L356" s="103" t="n"/>
      <c r="M356" s="106" t="str">
        <f>IF(OR(D356="",E356=""),"",D356+IF(E356="NOTIFICAÇÃO DE CONSTATAÇÃO",PrazoConst,PrazoEsc))</f>
        <v/>
      </c>
      <c r="N356" s="107" t="str">
        <f>IF(M356="","",IF(ISNUMBER(L356),M356-L356,IF(G356="DECISÃO D.P","",M356-TODAY())))</f>
        <v/>
      </c>
      <c r="O356" s="108" t="str">
        <f>IF(B356="","",IF(ISNUMBER(L356),IF(N356="","SEM DATA",IF(N356&gt;=0,"DEFESA NO PRAZO","DEFESA FORA DO PRAZO")),IF(G356="DECISÃO D.P","SEM DEFESA",IF(G356="","SEM STATUS",IF(N356="","SEM DATA",IF(N356&lt;0,"VENCIDO",IF(N356&lt;=DiasAlerta,"VENCE EM BREVE","NO PRAZO")))))))</f>
        <v/>
      </c>
      <c r="P356" s="109" t="str">
        <f>IF(D356="","",TODAY()-D356)</f>
        <v/>
      </c>
      <c r="Q356" s="102" t="n"/>
    </row>
    <row r="357" ht="18" customHeight="1">
      <c r="A357" s="101" t="n"/>
      <c r="B357" s="102" t="n"/>
      <c r="C357" s="102" t="n"/>
      <c r="D357" s="103" t="n"/>
      <c r="E357" s="102" t="n"/>
      <c r="F357" s="104" t="n"/>
      <c r="G357" s="104" t="n"/>
      <c r="H357" s="102" t="n"/>
      <c r="I357" s="105" t="n"/>
      <c r="J357" s="105" t="n"/>
      <c r="K357" s="103" t="n"/>
      <c r="L357" s="103" t="n"/>
      <c r="M357" s="106" t="str">
        <f>IF(OR(D357="",E357=""),"",D357+IF(E357="NOTIFICAÇÃO DE CONSTATAÇÃO",PrazoConst,PrazoEsc))</f>
        <v/>
      </c>
      <c r="N357" s="107" t="str">
        <f>IF(M357="","",IF(ISNUMBER(L357),M357-L357,IF(G357="DECISÃO D.P","",M357-TODAY())))</f>
        <v/>
      </c>
      <c r="O357" s="108" t="str">
        <f>IF(B357="","",IF(ISNUMBER(L357),IF(N357="","SEM DATA",IF(N357&gt;=0,"DEFESA NO PRAZO","DEFESA FORA DO PRAZO")),IF(G357="DECISÃO D.P","SEM DEFESA",IF(G357="","SEM STATUS",IF(N357="","SEM DATA",IF(N357&lt;0,"VENCIDO",IF(N357&lt;=DiasAlerta,"VENCE EM BREVE","NO PRAZO")))))))</f>
        <v/>
      </c>
      <c r="P357" s="109" t="str">
        <f>IF(D357="","",TODAY()-D357)</f>
        <v/>
      </c>
      <c r="Q357" s="102" t="n"/>
    </row>
    <row r="358" ht="18" customHeight="1">
      <c r="A358" s="101" t="n"/>
      <c r="B358" s="102" t="n"/>
      <c r="C358" s="102" t="n"/>
      <c r="D358" s="103" t="n"/>
      <c r="E358" s="102" t="n"/>
      <c r="F358" s="104" t="n"/>
      <c r="G358" s="104" t="n"/>
      <c r="H358" s="102" t="n"/>
      <c r="I358" s="105" t="n"/>
      <c r="J358" s="105" t="n"/>
      <c r="K358" s="103" t="n"/>
      <c r="L358" s="103" t="n"/>
      <c r="M358" s="106" t="str">
        <f>IF(OR(D358="",E358=""),"",D358+IF(E358="NOTIFICAÇÃO DE CONSTATAÇÃO",PrazoConst,PrazoEsc))</f>
        <v/>
      </c>
      <c r="N358" s="107" t="str">
        <f>IF(M358="","",IF(ISNUMBER(L358),M358-L358,IF(G358="DECISÃO D.P","",M358-TODAY())))</f>
        <v/>
      </c>
      <c r="O358" s="108" t="str">
        <f>IF(B358="","",IF(ISNUMBER(L358),IF(N358="","SEM DATA",IF(N358&gt;=0,"DEFESA NO PRAZO","DEFESA FORA DO PRAZO")),IF(G358="DECISÃO D.P","SEM DEFESA",IF(G358="","SEM STATUS",IF(N358="","SEM DATA",IF(N358&lt;0,"VENCIDO",IF(N358&lt;=DiasAlerta,"VENCE EM BREVE","NO PRAZO")))))))</f>
        <v/>
      </c>
      <c r="P358" s="109" t="str">
        <f>IF(D358="","",TODAY()-D358)</f>
        <v/>
      </c>
      <c r="Q358" s="102" t="n"/>
    </row>
    <row r="359" ht="18" customHeight="1">
      <c r="A359" s="101" t="n"/>
      <c r="B359" s="102" t="n"/>
      <c r="C359" s="102" t="n"/>
      <c r="D359" s="103" t="n"/>
      <c r="E359" s="102" t="n"/>
      <c r="F359" s="104" t="n"/>
      <c r="G359" s="104" t="n"/>
      <c r="H359" s="102" t="n"/>
      <c r="I359" s="105" t="n"/>
      <c r="J359" s="105" t="n"/>
      <c r="K359" s="103" t="n"/>
      <c r="L359" s="103" t="n"/>
      <c r="M359" s="106" t="str">
        <f>IF(OR(D359="",E359=""),"",D359+IF(E359="NOTIFICAÇÃO DE CONSTATAÇÃO",PrazoConst,PrazoEsc))</f>
        <v/>
      </c>
      <c r="N359" s="107" t="str">
        <f>IF(M359="","",IF(ISNUMBER(L359),M359-L359,IF(G359="DECISÃO D.P","",M359-TODAY())))</f>
        <v/>
      </c>
      <c r="O359" s="108" t="str">
        <f>IF(B359="","",IF(ISNUMBER(L359),IF(N359="","SEM DATA",IF(N359&gt;=0,"DEFESA NO PRAZO","DEFESA FORA DO PRAZO")),IF(G359="DECISÃO D.P","SEM DEFESA",IF(G359="","SEM STATUS",IF(N359="","SEM DATA",IF(N359&lt;0,"VENCIDO",IF(N359&lt;=DiasAlerta,"VENCE EM BREVE","NO PRAZO")))))))</f>
        <v/>
      </c>
      <c r="P359" s="109" t="str">
        <f>IF(D359="","",TODAY()-D359)</f>
        <v/>
      </c>
      <c r="Q359" s="102" t="n"/>
    </row>
    <row r="360" ht="18" customHeight="1">
      <c r="A360" s="101" t="n"/>
      <c r="B360" s="102" t="n"/>
      <c r="C360" s="102" t="n"/>
      <c r="D360" s="103" t="n"/>
      <c r="E360" s="102" t="n"/>
      <c r="F360" s="104" t="n"/>
      <c r="G360" s="104" t="n"/>
      <c r="H360" s="102" t="n"/>
      <c r="I360" s="105" t="n"/>
      <c r="J360" s="105" t="n"/>
      <c r="K360" s="103" t="n"/>
      <c r="L360" s="103" t="n"/>
      <c r="M360" s="106" t="str">
        <f>IF(OR(D360="",E360=""),"",D360+IF(E360="NOTIFICAÇÃO DE CONSTATAÇÃO",PrazoConst,PrazoEsc))</f>
        <v/>
      </c>
      <c r="N360" s="107" t="str">
        <f>IF(M360="","",IF(ISNUMBER(L360),M360-L360,IF(G360="DECISÃO D.P","",M360-TODAY())))</f>
        <v/>
      </c>
      <c r="O360" s="108" t="str">
        <f>IF(B360="","",IF(ISNUMBER(L360),IF(N360="","SEM DATA",IF(N360&gt;=0,"DEFESA NO PRAZO","DEFESA FORA DO PRAZO")),IF(G360="DECISÃO D.P","SEM DEFESA",IF(G360="","SEM STATUS",IF(N360="","SEM DATA",IF(N360&lt;0,"VENCIDO",IF(N360&lt;=DiasAlerta,"VENCE EM BREVE","NO PRAZO")))))))</f>
        <v/>
      </c>
      <c r="P360" s="109" t="str">
        <f>IF(D360="","",TODAY()-D360)</f>
        <v/>
      </c>
      <c r="Q360" s="102" t="n"/>
    </row>
    <row r="361" ht="18" customHeight="1">
      <c r="A361" s="101" t="n"/>
      <c r="B361" s="102" t="n"/>
      <c r="C361" s="102" t="n"/>
      <c r="D361" s="103" t="n"/>
      <c r="E361" s="102" t="n"/>
      <c r="F361" s="104" t="n"/>
      <c r="G361" s="104" t="n"/>
      <c r="H361" s="102" t="n"/>
      <c r="I361" s="105" t="n"/>
      <c r="J361" s="105" t="n"/>
      <c r="K361" s="103" t="n"/>
      <c r="L361" s="103" t="n"/>
      <c r="M361" s="106" t="str">
        <f>IF(OR(D361="",E361=""),"",D361+IF(E361="NOTIFICAÇÃO DE CONSTATAÇÃO",PrazoConst,PrazoEsc))</f>
        <v/>
      </c>
      <c r="N361" s="107" t="str">
        <f>IF(M361="","",IF(ISNUMBER(L361),M361-L361,IF(G361="DECISÃO D.P","",M361-TODAY())))</f>
        <v/>
      </c>
      <c r="O361" s="108" t="str">
        <f>IF(B361="","",IF(ISNUMBER(L361),IF(N361="","SEM DATA",IF(N361&gt;=0,"DEFESA NO PRAZO","DEFESA FORA DO PRAZO")),IF(G361="DECISÃO D.P","SEM DEFESA",IF(G361="","SEM STATUS",IF(N361="","SEM DATA",IF(N361&lt;0,"VENCIDO",IF(N361&lt;=DiasAlerta,"VENCE EM BREVE","NO PRAZO")))))))</f>
        <v/>
      </c>
      <c r="P361" s="109" t="str">
        <f>IF(D361="","",TODAY()-D361)</f>
        <v/>
      </c>
      <c r="Q361" s="102" t="n"/>
    </row>
    <row r="362" ht="18" customHeight="1">
      <c r="A362" s="101" t="n"/>
      <c r="B362" s="102" t="n"/>
      <c r="C362" s="102" t="n"/>
      <c r="D362" s="103" t="n"/>
      <c r="E362" s="102" t="n"/>
      <c r="F362" s="104" t="n"/>
      <c r="G362" s="104" t="n"/>
      <c r="H362" s="102" t="n"/>
      <c r="I362" s="105" t="n"/>
      <c r="J362" s="105" t="n"/>
      <c r="K362" s="103" t="n"/>
      <c r="L362" s="103" t="n"/>
      <c r="M362" s="106" t="str">
        <f>IF(OR(D362="",E362=""),"",D362+IF(E362="NOTIFICAÇÃO DE CONSTATAÇÃO",PrazoConst,PrazoEsc))</f>
        <v/>
      </c>
      <c r="N362" s="107" t="str">
        <f>IF(M362="","",IF(ISNUMBER(L362),M362-L362,IF(G362="DECISÃO D.P","",M362-TODAY())))</f>
        <v/>
      </c>
      <c r="O362" s="108" t="str">
        <f>IF(B362="","",IF(ISNUMBER(L362),IF(N362="","SEM DATA",IF(N362&gt;=0,"DEFESA NO PRAZO","DEFESA FORA DO PRAZO")),IF(G362="DECISÃO D.P","SEM DEFESA",IF(G362="","SEM STATUS",IF(N362="","SEM DATA",IF(N362&lt;0,"VENCIDO",IF(N362&lt;=DiasAlerta,"VENCE EM BREVE","NO PRAZO")))))))</f>
        <v/>
      </c>
      <c r="P362" s="109" t="str">
        <f>IF(D362="","",TODAY()-D362)</f>
        <v/>
      </c>
      <c r="Q362" s="102" t="n"/>
    </row>
    <row r="363" ht="18" customHeight="1">
      <c r="A363" s="101" t="n"/>
      <c r="B363" s="102" t="n"/>
      <c r="C363" s="102" t="n"/>
      <c r="D363" s="103" t="n"/>
      <c r="E363" s="102" t="n"/>
      <c r="F363" s="104" t="n"/>
      <c r="G363" s="104" t="n"/>
      <c r="H363" s="102" t="n"/>
      <c r="I363" s="105" t="n"/>
      <c r="J363" s="105" t="n"/>
      <c r="K363" s="103" t="n"/>
      <c r="L363" s="103" t="n"/>
      <c r="M363" s="106" t="str">
        <f>IF(OR(D363="",E363=""),"",D363+IF(E363="NOTIFICAÇÃO DE CONSTATAÇÃO",PrazoConst,PrazoEsc))</f>
        <v/>
      </c>
      <c r="N363" s="107" t="str">
        <f>IF(M363="","",IF(ISNUMBER(L363),M363-L363,IF(G363="DECISÃO D.P","",M363-TODAY())))</f>
        <v/>
      </c>
      <c r="O363" s="108" t="str">
        <f>IF(B363="","",IF(ISNUMBER(L363),IF(N363="","SEM DATA",IF(N363&gt;=0,"DEFESA NO PRAZO","DEFESA FORA DO PRAZO")),IF(G363="DECISÃO D.P","SEM DEFESA",IF(G363="","SEM STATUS",IF(N363="","SEM DATA",IF(N363&lt;0,"VENCIDO",IF(N363&lt;=DiasAlerta,"VENCE EM BREVE","NO PRAZO")))))))</f>
        <v/>
      </c>
      <c r="P363" s="109" t="str">
        <f>IF(D363="","",TODAY()-D363)</f>
        <v/>
      </c>
      <c r="Q363" s="102" t="n"/>
    </row>
    <row r="364" ht="18" customHeight="1">
      <c r="A364" s="101" t="n"/>
      <c r="B364" s="102" t="n"/>
      <c r="C364" s="102" t="n"/>
      <c r="D364" s="103" t="n"/>
      <c r="E364" s="102" t="n"/>
      <c r="F364" s="104" t="n"/>
      <c r="G364" s="104" t="n"/>
      <c r="H364" s="102" t="n"/>
      <c r="I364" s="105" t="n"/>
      <c r="J364" s="105" t="n"/>
      <c r="K364" s="103" t="n"/>
      <c r="L364" s="103" t="n"/>
      <c r="M364" s="106" t="str">
        <f>IF(OR(D364="",E364=""),"",D364+IF(E364="NOTIFICAÇÃO DE CONSTATAÇÃO",PrazoConst,PrazoEsc))</f>
        <v/>
      </c>
      <c r="N364" s="107" t="str">
        <f>IF(M364="","",IF(ISNUMBER(L364),M364-L364,IF(G364="DECISÃO D.P","",M364-TODAY())))</f>
        <v/>
      </c>
      <c r="O364" s="108" t="str">
        <f>IF(B364="","",IF(ISNUMBER(L364),IF(N364="","SEM DATA",IF(N364&gt;=0,"DEFESA NO PRAZO","DEFESA FORA DO PRAZO")),IF(G364="DECISÃO D.P","SEM DEFESA",IF(G364="","SEM STATUS",IF(N364="","SEM DATA",IF(N364&lt;0,"VENCIDO",IF(N364&lt;=DiasAlerta,"VENCE EM BREVE","NO PRAZO")))))))</f>
        <v/>
      </c>
      <c r="P364" s="109" t="str">
        <f>IF(D364="","",TODAY()-D364)</f>
        <v/>
      </c>
      <c r="Q364" s="102" t="n"/>
    </row>
    <row r="365" ht="18" customHeight="1">
      <c r="A365" s="101" t="n"/>
      <c r="B365" s="102" t="n"/>
      <c r="C365" s="102" t="n"/>
      <c r="D365" s="103" t="n"/>
      <c r="E365" s="102" t="n"/>
      <c r="F365" s="104" t="n"/>
      <c r="G365" s="104" t="n"/>
      <c r="H365" s="102" t="n"/>
      <c r="I365" s="105" t="n"/>
      <c r="J365" s="105" t="n"/>
      <c r="K365" s="103" t="n"/>
      <c r="L365" s="103" t="n"/>
      <c r="M365" s="106" t="str">
        <f>IF(OR(D365="",E365=""),"",D365+IF(E365="NOTIFICAÇÃO DE CONSTATAÇÃO",PrazoConst,PrazoEsc))</f>
        <v/>
      </c>
      <c r="N365" s="107" t="str">
        <f>IF(M365="","",IF(ISNUMBER(L365),M365-L365,IF(G365="DECISÃO D.P","",M365-TODAY())))</f>
        <v/>
      </c>
      <c r="O365" s="108" t="str">
        <f>IF(B365="","",IF(ISNUMBER(L365),IF(N365="","SEM DATA",IF(N365&gt;=0,"DEFESA NO PRAZO","DEFESA FORA DO PRAZO")),IF(G365="DECISÃO D.P","SEM DEFESA",IF(G365="","SEM STATUS",IF(N365="","SEM DATA",IF(N365&lt;0,"VENCIDO",IF(N365&lt;=DiasAlerta,"VENCE EM BREVE","NO PRAZO")))))))</f>
        <v/>
      </c>
      <c r="P365" s="109" t="str">
        <f>IF(D365="","",TODAY()-D365)</f>
        <v/>
      </c>
      <c r="Q365" s="102" t="n"/>
    </row>
    <row r="366" ht="18" customHeight="1">
      <c r="A366" s="101" t="n"/>
      <c r="B366" s="102" t="n"/>
      <c r="C366" s="102" t="n"/>
      <c r="D366" s="103" t="n"/>
      <c r="E366" s="102" t="n"/>
      <c r="F366" s="104" t="n"/>
      <c r="G366" s="104" t="n"/>
      <c r="H366" s="102" t="n"/>
      <c r="I366" s="105" t="n"/>
      <c r="J366" s="105" t="n"/>
      <c r="K366" s="103" t="n"/>
      <c r="L366" s="103" t="n"/>
      <c r="M366" s="106" t="str">
        <f>IF(OR(D366="",E366=""),"",D366+IF(E366="NOTIFICAÇÃO DE CONSTATAÇÃO",PrazoConst,PrazoEsc))</f>
        <v/>
      </c>
      <c r="N366" s="107" t="str">
        <f>IF(M366="","",IF(ISNUMBER(L366),M366-L366,IF(G366="DECISÃO D.P","",M366-TODAY())))</f>
        <v/>
      </c>
      <c r="O366" s="108" t="str">
        <f>IF(B366="","",IF(ISNUMBER(L366),IF(N366="","SEM DATA",IF(N366&gt;=0,"DEFESA NO PRAZO","DEFESA FORA DO PRAZO")),IF(G366="DECISÃO D.P","SEM DEFESA",IF(G366="","SEM STATUS",IF(N366="","SEM DATA",IF(N366&lt;0,"VENCIDO",IF(N366&lt;=DiasAlerta,"VENCE EM BREVE","NO PRAZO")))))))</f>
        <v/>
      </c>
      <c r="P366" s="109" t="str">
        <f>IF(D366="","",TODAY()-D366)</f>
        <v/>
      </c>
      <c r="Q366" s="102" t="n"/>
    </row>
    <row r="367" ht="18" customHeight="1">
      <c r="A367" s="101" t="n"/>
      <c r="B367" s="102" t="n"/>
      <c r="C367" s="102" t="n"/>
      <c r="D367" s="103" t="n"/>
      <c r="E367" s="102" t="n"/>
      <c r="F367" s="104" t="n"/>
      <c r="G367" s="104" t="n"/>
      <c r="H367" s="102" t="n"/>
      <c r="I367" s="105" t="n"/>
      <c r="J367" s="105" t="n"/>
      <c r="K367" s="103" t="n"/>
      <c r="L367" s="103" t="n"/>
      <c r="M367" s="106" t="str">
        <f>IF(OR(D367="",E367=""),"",D367+IF(E367="NOTIFICAÇÃO DE CONSTATAÇÃO",PrazoConst,PrazoEsc))</f>
        <v/>
      </c>
      <c r="N367" s="107" t="str">
        <f>IF(M367="","",IF(ISNUMBER(L367),M367-L367,IF(G367="DECISÃO D.P","",M367-TODAY())))</f>
        <v/>
      </c>
      <c r="O367" s="108" t="str">
        <f>IF(B367="","",IF(ISNUMBER(L367),IF(N367="","SEM DATA",IF(N367&gt;=0,"DEFESA NO PRAZO","DEFESA FORA DO PRAZO")),IF(G367="DECISÃO D.P","SEM DEFESA",IF(G367="","SEM STATUS",IF(N367="","SEM DATA",IF(N367&lt;0,"VENCIDO",IF(N367&lt;=DiasAlerta,"VENCE EM BREVE","NO PRAZO")))))))</f>
        <v/>
      </c>
      <c r="P367" s="109" t="str">
        <f>IF(D367="","",TODAY()-D367)</f>
        <v/>
      </c>
      <c r="Q367" s="102" t="n"/>
    </row>
    <row r="368" ht="18" customHeight="1">
      <c r="A368" s="101" t="n"/>
      <c r="B368" s="102" t="n"/>
      <c r="C368" s="102" t="n"/>
      <c r="D368" s="103" t="n"/>
      <c r="E368" s="102" t="n"/>
      <c r="F368" s="104" t="n"/>
      <c r="G368" s="104" t="n"/>
      <c r="H368" s="102" t="n"/>
      <c r="I368" s="105" t="n"/>
      <c r="J368" s="105" t="n"/>
      <c r="K368" s="103" t="n"/>
      <c r="L368" s="103" t="n"/>
      <c r="M368" s="106" t="str">
        <f>IF(OR(D368="",E368=""),"",D368+IF(E368="NOTIFICAÇÃO DE CONSTATAÇÃO",PrazoConst,PrazoEsc))</f>
        <v/>
      </c>
      <c r="N368" s="107" t="str">
        <f>IF(M368="","",IF(ISNUMBER(L368),M368-L368,IF(G368="DECISÃO D.P","",M368-TODAY())))</f>
        <v/>
      </c>
      <c r="O368" s="108" t="str">
        <f>IF(B368="","",IF(ISNUMBER(L368),IF(N368="","SEM DATA",IF(N368&gt;=0,"DEFESA NO PRAZO","DEFESA FORA DO PRAZO")),IF(G368="DECISÃO D.P","SEM DEFESA",IF(G368="","SEM STATUS",IF(N368="","SEM DATA",IF(N368&lt;0,"VENCIDO",IF(N368&lt;=DiasAlerta,"VENCE EM BREVE","NO PRAZO")))))))</f>
        <v/>
      </c>
      <c r="P368" s="109" t="str">
        <f>IF(D368="","",TODAY()-D368)</f>
        <v/>
      </c>
      <c r="Q368" s="102" t="n"/>
    </row>
    <row r="369" ht="18" customHeight="1">
      <c r="A369" s="101" t="n"/>
      <c r="B369" s="102" t="n"/>
      <c r="C369" s="102" t="n"/>
      <c r="D369" s="103" t="n"/>
      <c r="E369" s="102" t="n"/>
      <c r="F369" s="104" t="n"/>
      <c r="G369" s="104" t="n"/>
      <c r="H369" s="102" t="n"/>
      <c r="I369" s="105" t="n"/>
      <c r="J369" s="105" t="n"/>
      <c r="K369" s="103" t="n"/>
      <c r="L369" s="103" t="n"/>
      <c r="M369" s="106" t="str">
        <f>IF(OR(D369="",E369=""),"",D369+IF(E369="NOTIFICAÇÃO DE CONSTATAÇÃO",PrazoConst,PrazoEsc))</f>
        <v/>
      </c>
      <c r="N369" s="107" t="str">
        <f>IF(M369="","",IF(ISNUMBER(L369),M369-L369,IF(G369="DECISÃO D.P","",M369-TODAY())))</f>
        <v/>
      </c>
      <c r="O369" s="108" t="str">
        <f>IF(B369="","",IF(ISNUMBER(L369),IF(N369="","SEM DATA",IF(N369&gt;=0,"DEFESA NO PRAZO","DEFESA FORA DO PRAZO")),IF(G369="DECISÃO D.P","SEM DEFESA",IF(G369="","SEM STATUS",IF(N369="","SEM DATA",IF(N369&lt;0,"VENCIDO",IF(N369&lt;=DiasAlerta,"VENCE EM BREVE","NO PRAZO")))))))</f>
        <v/>
      </c>
      <c r="P369" s="109" t="str">
        <f>IF(D369="","",TODAY()-D369)</f>
        <v/>
      </c>
      <c r="Q369" s="102" t="n"/>
    </row>
    <row r="370" ht="18" customHeight="1">
      <c r="A370" s="101" t="n"/>
      <c r="B370" s="102" t="n"/>
      <c r="C370" s="102" t="n"/>
      <c r="D370" s="103" t="n"/>
      <c r="E370" s="102" t="n"/>
      <c r="F370" s="104" t="n"/>
      <c r="G370" s="104" t="n"/>
      <c r="H370" s="102" t="n"/>
      <c r="I370" s="105" t="n"/>
      <c r="J370" s="105" t="n"/>
      <c r="K370" s="103" t="n"/>
      <c r="L370" s="103" t="n"/>
      <c r="M370" s="106" t="str">
        <f>IF(OR(D370="",E370=""),"",D370+IF(E370="NOTIFICAÇÃO DE CONSTATAÇÃO",PrazoConst,PrazoEsc))</f>
        <v/>
      </c>
      <c r="N370" s="107" t="str">
        <f>IF(M370="","",IF(ISNUMBER(L370),M370-L370,IF(G370="DECISÃO D.P","",M370-TODAY())))</f>
        <v/>
      </c>
      <c r="O370" s="108" t="str">
        <f>IF(B370="","",IF(ISNUMBER(L370),IF(N370="","SEM DATA",IF(N370&gt;=0,"DEFESA NO PRAZO","DEFESA FORA DO PRAZO")),IF(G370="DECISÃO D.P","SEM DEFESA",IF(G370="","SEM STATUS",IF(N370="","SEM DATA",IF(N370&lt;0,"VENCIDO",IF(N370&lt;=DiasAlerta,"VENCE EM BREVE","NO PRAZO")))))))</f>
        <v/>
      </c>
      <c r="P370" s="109" t="str">
        <f>IF(D370="","",TODAY()-D370)</f>
        <v/>
      </c>
      <c r="Q370" s="102" t="n"/>
    </row>
    <row r="371" ht="18" customHeight="1">
      <c r="A371" s="101" t="n"/>
      <c r="B371" s="102" t="n"/>
      <c r="C371" s="102" t="n"/>
      <c r="D371" s="103" t="n"/>
      <c r="E371" s="102" t="n"/>
      <c r="F371" s="104" t="n"/>
      <c r="G371" s="104" t="n"/>
      <c r="H371" s="102" t="n"/>
      <c r="I371" s="105" t="n"/>
      <c r="J371" s="105" t="n"/>
      <c r="K371" s="103" t="n"/>
      <c r="L371" s="103" t="n"/>
      <c r="M371" s="106" t="str">
        <f>IF(OR(D371="",E371=""),"",D371+IF(E371="NOTIFICAÇÃO DE CONSTATAÇÃO",PrazoConst,PrazoEsc))</f>
        <v/>
      </c>
      <c r="N371" s="107" t="str">
        <f>IF(M371="","",IF(ISNUMBER(L371),M371-L371,IF(G371="DECISÃO D.P","",M371-TODAY())))</f>
        <v/>
      </c>
      <c r="O371" s="108" t="str">
        <f>IF(B371="","",IF(ISNUMBER(L371),IF(N371="","SEM DATA",IF(N371&gt;=0,"DEFESA NO PRAZO","DEFESA FORA DO PRAZO")),IF(G371="DECISÃO D.P","SEM DEFESA",IF(G371="","SEM STATUS",IF(N371="","SEM DATA",IF(N371&lt;0,"VENCIDO",IF(N371&lt;=DiasAlerta,"VENCE EM BREVE","NO PRAZO")))))))</f>
        <v/>
      </c>
      <c r="P371" s="109" t="str">
        <f>IF(D371="","",TODAY()-D371)</f>
        <v/>
      </c>
      <c r="Q371" s="102" t="n"/>
    </row>
    <row r="372" ht="18" customHeight="1">
      <c r="A372" s="101" t="n"/>
      <c r="B372" s="102" t="n"/>
      <c r="C372" s="102" t="n"/>
      <c r="D372" s="103" t="n"/>
      <c r="E372" s="102" t="n"/>
      <c r="F372" s="104" t="n"/>
      <c r="G372" s="104" t="n"/>
      <c r="H372" s="102" t="n"/>
      <c r="I372" s="105" t="n"/>
      <c r="J372" s="105" t="n"/>
      <c r="K372" s="103" t="n"/>
      <c r="L372" s="103" t="n"/>
      <c r="M372" s="106" t="str">
        <f>IF(OR(D372="",E372=""),"",D372+IF(E372="NOTIFICAÇÃO DE CONSTATAÇÃO",PrazoConst,PrazoEsc))</f>
        <v/>
      </c>
      <c r="N372" s="107" t="str">
        <f>IF(M372="","",IF(ISNUMBER(L372),M372-L372,IF(G372="DECISÃO D.P","",M372-TODAY())))</f>
        <v/>
      </c>
      <c r="O372" s="108" t="str">
        <f>IF(B372="","",IF(ISNUMBER(L372),IF(N372="","SEM DATA",IF(N372&gt;=0,"DEFESA NO PRAZO","DEFESA FORA DO PRAZO")),IF(G372="DECISÃO D.P","SEM DEFESA",IF(G372="","SEM STATUS",IF(N372="","SEM DATA",IF(N372&lt;0,"VENCIDO",IF(N372&lt;=DiasAlerta,"VENCE EM BREVE","NO PRAZO")))))))</f>
        <v/>
      </c>
      <c r="P372" s="109" t="str">
        <f>IF(D372="","",TODAY()-D372)</f>
        <v/>
      </c>
      <c r="Q372" s="102" t="n"/>
    </row>
    <row r="373" ht="18" customHeight="1">
      <c r="A373" s="101" t="n"/>
      <c r="B373" s="102" t="n"/>
      <c r="C373" s="102" t="n"/>
      <c r="D373" s="103" t="n"/>
      <c r="E373" s="102" t="n"/>
      <c r="F373" s="104" t="n"/>
      <c r="G373" s="104" t="n"/>
      <c r="H373" s="102" t="n"/>
      <c r="I373" s="105" t="n"/>
      <c r="J373" s="105" t="n"/>
      <c r="K373" s="103" t="n"/>
      <c r="L373" s="103" t="n"/>
      <c r="M373" s="106" t="str">
        <f>IF(OR(D373="",E373=""),"",D373+IF(E373="NOTIFICAÇÃO DE CONSTATAÇÃO",PrazoConst,PrazoEsc))</f>
        <v/>
      </c>
      <c r="N373" s="107" t="str">
        <f>IF(M373="","",IF(ISNUMBER(L373),M373-L373,IF(G373="DECISÃO D.P","",M373-TODAY())))</f>
        <v/>
      </c>
      <c r="O373" s="108" t="str">
        <f>IF(B373="","",IF(ISNUMBER(L373),IF(N373="","SEM DATA",IF(N373&gt;=0,"DEFESA NO PRAZO","DEFESA FORA DO PRAZO")),IF(G373="DECISÃO D.P","SEM DEFESA",IF(G373="","SEM STATUS",IF(N373="","SEM DATA",IF(N373&lt;0,"VENCIDO",IF(N373&lt;=DiasAlerta,"VENCE EM BREVE","NO PRAZO")))))))</f>
        <v/>
      </c>
      <c r="P373" s="109" t="str">
        <f>IF(D373="","",TODAY()-D373)</f>
        <v/>
      </c>
      <c r="Q373" s="102" t="n"/>
    </row>
    <row r="374" ht="18" customHeight="1">
      <c r="A374" s="101" t="n"/>
      <c r="B374" s="102" t="n"/>
      <c r="C374" s="102" t="n"/>
      <c r="D374" s="103" t="n"/>
      <c r="E374" s="102" t="n"/>
      <c r="F374" s="104" t="n"/>
      <c r="G374" s="104" t="n"/>
      <c r="H374" s="102" t="n"/>
      <c r="I374" s="105" t="n"/>
      <c r="J374" s="105" t="n"/>
      <c r="K374" s="103" t="n"/>
      <c r="L374" s="103" t="n"/>
      <c r="M374" s="106" t="str">
        <f>IF(OR(D374="",E374=""),"",D374+IF(E374="NOTIFICAÇÃO DE CONSTATAÇÃO",PrazoConst,PrazoEsc))</f>
        <v/>
      </c>
      <c r="N374" s="107" t="str">
        <f>IF(M374="","",IF(ISNUMBER(L374),M374-L374,IF(G374="DECISÃO D.P","",M374-TODAY())))</f>
        <v/>
      </c>
      <c r="O374" s="108" t="str">
        <f>IF(B374="","",IF(ISNUMBER(L374),IF(N374="","SEM DATA",IF(N374&gt;=0,"DEFESA NO PRAZO","DEFESA FORA DO PRAZO")),IF(G374="DECISÃO D.P","SEM DEFESA",IF(G374="","SEM STATUS",IF(N374="","SEM DATA",IF(N374&lt;0,"VENCIDO",IF(N374&lt;=DiasAlerta,"VENCE EM BREVE","NO PRAZO")))))))</f>
        <v/>
      </c>
      <c r="P374" s="109" t="str">
        <f>IF(D374="","",TODAY()-D374)</f>
        <v/>
      </c>
      <c r="Q374" s="102" t="n"/>
    </row>
    <row r="375" ht="18" customHeight="1">
      <c r="A375" s="101" t="n"/>
      <c r="B375" s="102" t="n"/>
      <c r="C375" s="102" t="n"/>
      <c r="D375" s="103" t="n"/>
      <c r="E375" s="102" t="n"/>
      <c r="F375" s="104" t="n"/>
      <c r="G375" s="104" t="n"/>
      <c r="H375" s="102" t="n"/>
      <c r="I375" s="105" t="n"/>
      <c r="J375" s="105" t="n"/>
      <c r="K375" s="103" t="n"/>
      <c r="L375" s="103" t="n"/>
      <c r="M375" s="106" t="str">
        <f>IF(OR(D375="",E375=""),"",D375+IF(E375="NOTIFICAÇÃO DE CONSTATAÇÃO",PrazoConst,PrazoEsc))</f>
        <v/>
      </c>
      <c r="N375" s="107" t="str">
        <f>IF(M375="","",IF(ISNUMBER(L375),M375-L375,IF(G375="DECISÃO D.P","",M375-TODAY())))</f>
        <v/>
      </c>
      <c r="O375" s="108" t="str">
        <f>IF(B375="","",IF(ISNUMBER(L375),IF(N375="","SEM DATA",IF(N375&gt;=0,"DEFESA NO PRAZO","DEFESA FORA DO PRAZO")),IF(G375="DECISÃO D.P","SEM DEFESA",IF(G375="","SEM STATUS",IF(N375="","SEM DATA",IF(N375&lt;0,"VENCIDO",IF(N375&lt;=DiasAlerta,"VENCE EM BREVE","NO PRAZO")))))))</f>
        <v/>
      </c>
      <c r="P375" s="109" t="str">
        <f>IF(D375="","",TODAY()-D375)</f>
        <v/>
      </c>
      <c r="Q375" s="102" t="n"/>
    </row>
    <row r="376" ht="18" customHeight="1">
      <c r="A376" s="101" t="n"/>
      <c r="B376" s="102" t="n"/>
      <c r="C376" s="102" t="n"/>
      <c r="D376" s="103" t="n"/>
      <c r="E376" s="102" t="n"/>
      <c r="F376" s="104" t="n"/>
      <c r="G376" s="104" t="n"/>
      <c r="H376" s="102" t="n"/>
      <c r="I376" s="105" t="n"/>
      <c r="J376" s="105" t="n"/>
      <c r="K376" s="103" t="n"/>
      <c r="L376" s="103" t="n"/>
      <c r="M376" s="106" t="str">
        <f>IF(OR(D376="",E376=""),"",D376+IF(E376="NOTIFICAÇÃO DE CONSTATAÇÃO",PrazoConst,PrazoEsc))</f>
        <v/>
      </c>
      <c r="N376" s="107" t="str">
        <f>IF(M376="","",IF(ISNUMBER(L376),M376-L376,IF(G376="DECISÃO D.P","",M376-TODAY())))</f>
        <v/>
      </c>
      <c r="O376" s="108" t="str">
        <f>IF(B376="","",IF(ISNUMBER(L376),IF(N376="","SEM DATA",IF(N376&gt;=0,"DEFESA NO PRAZO","DEFESA FORA DO PRAZO")),IF(G376="DECISÃO D.P","SEM DEFESA",IF(G376="","SEM STATUS",IF(N376="","SEM DATA",IF(N376&lt;0,"VENCIDO",IF(N376&lt;=DiasAlerta,"VENCE EM BREVE","NO PRAZO")))))))</f>
        <v/>
      </c>
      <c r="P376" s="109" t="str">
        <f>IF(D376="","",TODAY()-D376)</f>
        <v/>
      </c>
      <c r="Q376" s="102" t="n"/>
    </row>
    <row r="377" ht="18" customHeight="1">
      <c r="A377" s="101" t="n"/>
      <c r="B377" s="102" t="n"/>
      <c r="C377" s="102" t="n"/>
      <c r="D377" s="103" t="n"/>
      <c r="E377" s="102" t="n"/>
      <c r="F377" s="104" t="n"/>
      <c r="G377" s="104" t="n"/>
      <c r="H377" s="102" t="n"/>
      <c r="I377" s="105" t="n"/>
      <c r="J377" s="105" t="n"/>
      <c r="K377" s="103" t="n"/>
      <c r="L377" s="103" t="n"/>
      <c r="M377" s="106" t="str">
        <f>IF(OR(D377="",E377=""),"",D377+IF(E377="NOTIFICAÇÃO DE CONSTATAÇÃO",PrazoConst,PrazoEsc))</f>
        <v/>
      </c>
      <c r="N377" s="107" t="str">
        <f>IF(M377="","",IF(ISNUMBER(L377),M377-L377,IF(G377="DECISÃO D.P","",M377-TODAY())))</f>
        <v/>
      </c>
      <c r="O377" s="108" t="str">
        <f>IF(B377="","",IF(ISNUMBER(L377),IF(N377="","SEM DATA",IF(N377&gt;=0,"DEFESA NO PRAZO","DEFESA FORA DO PRAZO")),IF(G377="DECISÃO D.P","SEM DEFESA",IF(G377="","SEM STATUS",IF(N377="","SEM DATA",IF(N377&lt;0,"VENCIDO",IF(N377&lt;=DiasAlerta,"VENCE EM BREVE","NO PRAZO")))))))</f>
        <v/>
      </c>
      <c r="P377" s="109" t="str">
        <f>IF(D377="","",TODAY()-D377)</f>
        <v/>
      </c>
      <c r="Q377" s="102" t="n"/>
    </row>
    <row r="378" ht="18" customHeight="1">
      <c r="A378" s="101" t="n"/>
      <c r="B378" s="102" t="n"/>
      <c r="C378" s="102" t="n"/>
      <c r="D378" s="103" t="n"/>
      <c r="E378" s="102" t="n"/>
      <c r="F378" s="104" t="n"/>
      <c r="G378" s="104" t="n"/>
      <c r="H378" s="102" t="n"/>
      <c r="I378" s="105" t="n"/>
      <c r="J378" s="105" t="n"/>
      <c r="K378" s="103" t="n"/>
      <c r="L378" s="103" t="n"/>
      <c r="M378" s="106" t="str">
        <f>IF(OR(D378="",E378=""),"",D378+IF(E378="NOTIFICAÇÃO DE CONSTATAÇÃO",PrazoConst,PrazoEsc))</f>
        <v/>
      </c>
      <c r="N378" s="107" t="str">
        <f>IF(M378="","",IF(ISNUMBER(L378),M378-L378,IF(G378="DECISÃO D.P","",M378-TODAY())))</f>
        <v/>
      </c>
      <c r="O378" s="108" t="str">
        <f>IF(B378="","",IF(ISNUMBER(L378),IF(N378="","SEM DATA",IF(N378&gt;=0,"DEFESA NO PRAZO","DEFESA FORA DO PRAZO")),IF(G378="DECISÃO D.P","SEM DEFESA",IF(G378="","SEM STATUS",IF(N378="","SEM DATA",IF(N378&lt;0,"VENCIDO",IF(N378&lt;=DiasAlerta,"VENCE EM BREVE","NO PRAZO")))))))</f>
        <v/>
      </c>
      <c r="P378" s="109" t="str">
        <f>IF(D378="","",TODAY()-D378)</f>
        <v/>
      </c>
      <c r="Q378" s="102" t="n"/>
    </row>
    <row r="379" ht="18" customHeight="1">
      <c r="A379" s="101" t="n"/>
      <c r="B379" s="102" t="n"/>
      <c r="C379" s="102" t="n"/>
      <c r="D379" s="103" t="n"/>
      <c r="E379" s="102" t="n"/>
      <c r="F379" s="104" t="n"/>
      <c r="G379" s="104" t="n"/>
      <c r="H379" s="102" t="n"/>
      <c r="I379" s="105" t="n"/>
      <c r="J379" s="105" t="n"/>
      <c r="K379" s="103" t="n"/>
      <c r="L379" s="103" t="n"/>
      <c r="M379" s="106" t="str">
        <f>IF(OR(D379="",E379=""),"",D379+IF(E379="NOTIFICAÇÃO DE CONSTATAÇÃO",PrazoConst,PrazoEsc))</f>
        <v/>
      </c>
      <c r="N379" s="107" t="str">
        <f>IF(M379="","",IF(ISNUMBER(L379),M379-L379,IF(G379="DECISÃO D.P","",M379-TODAY())))</f>
        <v/>
      </c>
      <c r="O379" s="108" t="str">
        <f>IF(B379="","",IF(ISNUMBER(L379),IF(N379="","SEM DATA",IF(N379&gt;=0,"DEFESA NO PRAZO","DEFESA FORA DO PRAZO")),IF(G379="DECISÃO D.P","SEM DEFESA",IF(G379="","SEM STATUS",IF(N379="","SEM DATA",IF(N379&lt;0,"VENCIDO",IF(N379&lt;=DiasAlerta,"VENCE EM BREVE","NO PRAZO")))))))</f>
        <v/>
      </c>
      <c r="P379" s="109" t="str">
        <f>IF(D379="","",TODAY()-D379)</f>
        <v/>
      </c>
      <c r="Q379" s="102" t="n"/>
    </row>
    <row r="380" ht="18" customHeight="1">
      <c r="A380" s="101" t="n"/>
      <c r="B380" s="102" t="n"/>
      <c r="C380" s="102" t="n"/>
      <c r="D380" s="103" t="n"/>
      <c r="E380" s="102" t="n"/>
      <c r="F380" s="104" t="n"/>
      <c r="G380" s="104" t="n"/>
      <c r="H380" s="102" t="n"/>
      <c r="I380" s="105" t="n"/>
      <c r="J380" s="105" t="n"/>
      <c r="K380" s="103" t="n"/>
      <c r="L380" s="103" t="n"/>
      <c r="M380" s="106" t="str">
        <f>IF(OR(D380="",E380=""),"",D380+IF(E380="NOTIFICAÇÃO DE CONSTATAÇÃO",PrazoConst,PrazoEsc))</f>
        <v/>
      </c>
      <c r="N380" s="107" t="str">
        <f>IF(M380="","",IF(ISNUMBER(L380),M380-L380,IF(G380="DECISÃO D.P","",M380-TODAY())))</f>
        <v/>
      </c>
      <c r="O380" s="108" t="str">
        <f>IF(B380="","",IF(ISNUMBER(L380),IF(N380="","SEM DATA",IF(N380&gt;=0,"DEFESA NO PRAZO","DEFESA FORA DO PRAZO")),IF(G380="DECISÃO D.P","SEM DEFESA",IF(G380="","SEM STATUS",IF(N380="","SEM DATA",IF(N380&lt;0,"VENCIDO",IF(N380&lt;=DiasAlerta,"VENCE EM BREVE","NO PRAZO")))))))</f>
        <v/>
      </c>
      <c r="P380" s="109" t="str">
        <f>IF(D380="","",TODAY()-D380)</f>
        <v/>
      </c>
      <c r="Q380" s="102" t="n"/>
    </row>
    <row r="381" ht="18" customHeight="1">
      <c r="A381" s="101" t="n"/>
      <c r="B381" s="102" t="n"/>
      <c r="C381" s="102" t="n"/>
      <c r="D381" s="103" t="n"/>
      <c r="E381" s="102" t="n"/>
      <c r="F381" s="104" t="n"/>
      <c r="G381" s="104" t="n"/>
      <c r="H381" s="102" t="n"/>
      <c r="I381" s="105" t="n"/>
      <c r="J381" s="105" t="n"/>
      <c r="K381" s="103" t="n"/>
      <c r="L381" s="103" t="n"/>
      <c r="M381" s="106" t="str">
        <f>IF(OR(D381="",E381=""),"",D381+IF(E381="NOTIFICAÇÃO DE CONSTATAÇÃO",PrazoConst,PrazoEsc))</f>
        <v/>
      </c>
      <c r="N381" s="107" t="str">
        <f>IF(M381="","",IF(ISNUMBER(L381),M381-L381,IF(G381="DECISÃO D.P","",M381-TODAY())))</f>
        <v/>
      </c>
      <c r="O381" s="108" t="str">
        <f>IF(B381="","",IF(ISNUMBER(L381),IF(N381="","SEM DATA",IF(N381&gt;=0,"DEFESA NO PRAZO","DEFESA FORA DO PRAZO")),IF(G381="DECISÃO D.P","SEM DEFESA",IF(G381="","SEM STATUS",IF(N381="","SEM DATA",IF(N381&lt;0,"VENCIDO",IF(N381&lt;=DiasAlerta,"VENCE EM BREVE","NO PRAZO")))))))</f>
        <v/>
      </c>
      <c r="P381" s="109" t="str">
        <f>IF(D381="","",TODAY()-D381)</f>
        <v/>
      </c>
      <c r="Q381" s="102" t="n"/>
    </row>
    <row r="382" ht="18" customHeight="1">
      <c r="A382" s="101" t="n"/>
      <c r="B382" s="102" t="n"/>
      <c r="C382" s="102" t="n"/>
      <c r="D382" s="103" t="n"/>
      <c r="E382" s="102" t="n"/>
      <c r="F382" s="104" t="n"/>
      <c r="G382" s="104" t="n"/>
      <c r="H382" s="102" t="n"/>
      <c r="I382" s="105" t="n"/>
      <c r="J382" s="105" t="n"/>
      <c r="K382" s="103" t="n"/>
      <c r="L382" s="103" t="n"/>
      <c r="M382" s="106" t="str">
        <f>IF(OR(D382="",E382=""),"",D382+IF(E382="NOTIFICAÇÃO DE CONSTATAÇÃO",PrazoConst,PrazoEsc))</f>
        <v/>
      </c>
      <c r="N382" s="107" t="str">
        <f>IF(M382="","",IF(ISNUMBER(L382),M382-L382,IF(G382="DECISÃO D.P","",M382-TODAY())))</f>
        <v/>
      </c>
      <c r="O382" s="108" t="str">
        <f>IF(B382="","",IF(ISNUMBER(L382),IF(N382="","SEM DATA",IF(N382&gt;=0,"DEFESA NO PRAZO","DEFESA FORA DO PRAZO")),IF(G382="DECISÃO D.P","SEM DEFESA",IF(G382="","SEM STATUS",IF(N382="","SEM DATA",IF(N382&lt;0,"VENCIDO",IF(N382&lt;=DiasAlerta,"VENCE EM BREVE","NO PRAZO")))))))</f>
        <v/>
      </c>
      <c r="P382" s="109" t="str">
        <f>IF(D382="","",TODAY()-D382)</f>
        <v/>
      </c>
      <c r="Q382" s="102" t="n"/>
    </row>
    <row r="383" ht="18" customHeight="1">
      <c r="A383" s="101" t="n"/>
      <c r="B383" s="102" t="n"/>
      <c r="C383" s="102" t="n"/>
      <c r="D383" s="103" t="n"/>
      <c r="E383" s="102" t="n"/>
      <c r="F383" s="104" t="n"/>
      <c r="G383" s="104" t="n"/>
      <c r="H383" s="102" t="n"/>
      <c r="I383" s="105" t="n"/>
      <c r="J383" s="105" t="n"/>
      <c r="K383" s="103" t="n"/>
      <c r="L383" s="103" t="n"/>
      <c r="M383" s="106" t="str">
        <f>IF(OR(D383="",E383=""),"",D383+IF(E383="NOTIFICAÇÃO DE CONSTATAÇÃO",PrazoConst,PrazoEsc))</f>
        <v/>
      </c>
      <c r="N383" s="107" t="str">
        <f>IF(M383="","",IF(ISNUMBER(L383),M383-L383,IF(G383="DECISÃO D.P","",M383-TODAY())))</f>
        <v/>
      </c>
      <c r="O383" s="108" t="str">
        <f>IF(B383="","",IF(ISNUMBER(L383),IF(N383="","SEM DATA",IF(N383&gt;=0,"DEFESA NO PRAZO","DEFESA FORA DO PRAZO")),IF(G383="DECISÃO D.P","SEM DEFESA",IF(G383="","SEM STATUS",IF(N383="","SEM DATA",IF(N383&lt;0,"VENCIDO",IF(N383&lt;=DiasAlerta,"VENCE EM BREVE","NO PRAZO")))))))</f>
        <v/>
      </c>
      <c r="P383" s="109" t="str">
        <f>IF(D383="","",TODAY()-D383)</f>
        <v/>
      </c>
      <c r="Q383" s="102" t="n"/>
    </row>
    <row r="384" ht="18" customHeight="1">
      <c r="A384" s="101" t="n"/>
      <c r="B384" s="102" t="n"/>
      <c r="C384" s="102" t="n"/>
      <c r="D384" s="103" t="n"/>
      <c r="E384" s="102" t="n"/>
      <c r="F384" s="104" t="n"/>
      <c r="G384" s="104" t="n"/>
      <c r="H384" s="102" t="n"/>
      <c r="I384" s="105" t="n"/>
      <c r="J384" s="105" t="n"/>
      <c r="K384" s="103" t="n"/>
      <c r="L384" s="103" t="n"/>
      <c r="M384" s="106" t="str">
        <f>IF(OR(D384="",E384=""),"",D384+IF(E384="NOTIFICAÇÃO DE CONSTATAÇÃO",PrazoConst,PrazoEsc))</f>
        <v/>
      </c>
      <c r="N384" s="107" t="str">
        <f>IF(M384="","",IF(ISNUMBER(L384),M384-L384,IF(G384="DECISÃO D.P","",M384-TODAY())))</f>
        <v/>
      </c>
      <c r="O384" s="108" t="str">
        <f>IF(B384="","",IF(ISNUMBER(L384),IF(N384="","SEM DATA",IF(N384&gt;=0,"DEFESA NO PRAZO","DEFESA FORA DO PRAZO")),IF(G384="DECISÃO D.P","SEM DEFESA",IF(G384="","SEM STATUS",IF(N384="","SEM DATA",IF(N384&lt;0,"VENCIDO",IF(N384&lt;=DiasAlerta,"VENCE EM BREVE","NO PRAZO")))))))</f>
        <v/>
      </c>
      <c r="P384" s="109" t="str">
        <f>IF(D384="","",TODAY()-D384)</f>
        <v/>
      </c>
      <c r="Q384" s="102" t="n"/>
    </row>
    <row r="385" ht="18" customHeight="1">
      <c r="A385" s="101" t="n"/>
      <c r="B385" s="102" t="n"/>
      <c r="C385" s="102" t="n"/>
      <c r="D385" s="103" t="n"/>
      <c r="E385" s="102" t="n"/>
      <c r="F385" s="104" t="n"/>
      <c r="G385" s="104" t="n"/>
      <c r="H385" s="102" t="n"/>
      <c r="I385" s="105" t="n"/>
      <c r="J385" s="105" t="n"/>
      <c r="K385" s="103" t="n"/>
      <c r="L385" s="103" t="n"/>
      <c r="M385" s="106" t="str">
        <f>IF(OR(D385="",E385=""),"",D385+IF(E385="NOTIFICAÇÃO DE CONSTATAÇÃO",PrazoConst,PrazoEsc))</f>
        <v/>
      </c>
      <c r="N385" s="107" t="str">
        <f>IF(M385="","",IF(ISNUMBER(L385),M385-L385,IF(G385="DECISÃO D.P","",M385-TODAY())))</f>
        <v/>
      </c>
      <c r="O385" s="108" t="str">
        <f>IF(B385="","",IF(ISNUMBER(L385),IF(N385="","SEM DATA",IF(N385&gt;=0,"DEFESA NO PRAZO","DEFESA FORA DO PRAZO")),IF(G385="DECISÃO D.P","SEM DEFESA",IF(G385="","SEM STATUS",IF(N385="","SEM DATA",IF(N385&lt;0,"VENCIDO",IF(N385&lt;=DiasAlerta,"VENCE EM BREVE","NO PRAZO")))))))</f>
        <v/>
      </c>
      <c r="P385" s="109" t="str">
        <f>IF(D385="","",TODAY()-D385)</f>
        <v/>
      </c>
      <c r="Q385" s="102" t="n"/>
    </row>
    <row r="386" ht="18" customHeight="1">
      <c r="A386" s="101" t="n"/>
      <c r="B386" s="102" t="n"/>
      <c r="C386" s="102" t="n"/>
      <c r="D386" s="103" t="n"/>
      <c r="E386" s="102" t="n"/>
      <c r="F386" s="104" t="n"/>
      <c r="G386" s="104" t="n"/>
      <c r="H386" s="102" t="n"/>
      <c r="I386" s="105" t="n"/>
      <c r="J386" s="105" t="n"/>
      <c r="K386" s="103" t="n"/>
      <c r="L386" s="103" t="n"/>
      <c r="M386" s="106" t="str">
        <f>IF(OR(D386="",E386=""),"",D386+IF(E386="NOTIFICAÇÃO DE CONSTATAÇÃO",PrazoConst,PrazoEsc))</f>
        <v/>
      </c>
      <c r="N386" s="107" t="str">
        <f>IF(M386="","",IF(ISNUMBER(L386),M386-L386,IF(G386="DECISÃO D.P","",M386-TODAY())))</f>
        <v/>
      </c>
      <c r="O386" s="108" t="str">
        <f>IF(B386="","",IF(ISNUMBER(L386),IF(N386="","SEM DATA",IF(N386&gt;=0,"DEFESA NO PRAZO","DEFESA FORA DO PRAZO")),IF(G386="DECISÃO D.P","SEM DEFESA",IF(G386="","SEM STATUS",IF(N386="","SEM DATA",IF(N386&lt;0,"VENCIDO",IF(N386&lt;=DiasAlerta,"VENCE EM BREVE","NO PRAZO")))))))</f>
        <v/>
      </c>
      <c r="P386" s="109" t="str">
        <f>IF(D386="","",TODAY()-D386)</f>
        <v/>
      </c>
      <c r="Q386" s="102" t="n"/>
    </row>
    <row r="387" ht="18" customHeight="1">
      <c r="A387" s="101" t="n"/>
      <c r="B387" s="102" t="n"/>
      <c r="C387" s="102" t="n"/>
      <c r="D387" s="103" t="n"/>
      <c r="E387" s="102" t="n"/>
      <c r="F387" s="104" t="n"/>
      <c r="G387" s="104" t="n"/>
      <c r="H387" s="102" t="n"/>
      <c r="I387" s="105" t="n"/>
      <c r="J387" s="105" t="n"/>
      <c r="K387" s="103" t="n"/>
      <c r="L387" s="103" t="n"/>
      <c r="M387" s="106" t="str">
        <f>IF(OR(D387="",E387=""),"",D387+IF(E387="NOTIFICAÇÃO DE CONSTATAÇÃO",PrazoConst,PrazoEsc))</f>
        <v/>
      </c>
      <c r="N387" s="107" t="str">
        <f>IF(M387="","",IF(ISNUMBER(L387),M387-L387,IF(G387="DECISÃO D.P","",M387-TODAY())))</f>
        <v/>
      </c>
      <c r="O387" s="108" t="str">
        <f>IF(B387="","",IF(ISNUMBER(L387),IF(N387="","SEM DATA",IF(N387&gt;=0,"DEFESA NO PRAZO","DEFESA FORA DO PRAZO")),IF(G387="DECISÃO D.P","SEM DEFESA",IF(G387="","SEM STATUS",IF(N387="","SEM DATA",IF(N387&lt;0,"VENCIDO",IF(N387&lt;=DiasAlerta,"VENCE EM BREVE","NO PRAZO")))))))</f>
        <v/>
      </c>
      <c r="P387" s="109" t="str">
        <f>IF(D387="","",TODAY()-D387)</f>
        <v/>
      </c>
      <c r="Q387" s="102" t="n"/>
    </row>
    <row r="388" ht="18" customHeight="1">
      <c r="A388" s="101" t="n"/>
      <c r="B388" s="102" t="n"/>
      <c r="C388" s="102" t="n"/>
      <c r="D388" s="103" t="n"/>
      <c r="E388" s="102" t="n"/>
      <c r="F388" s="104" t="n"/>
      <c r="G388" s="104" t="n"/>
      <c r="H388" s="102" t="n"/>
      <c r="I388" s="105" t="n"/>
      <c r="J388" s="105" t="n"/>
      <c r="K388" s="103" t="n"/>
      <c r="L388" s="103" t="n"/>
      <c r="M388" s="106" t="str">
        <f>IF(OR(D388="",E388=""),"",D388+IF(E388="NOTIFICAÇÃO DE CONSTATAÇÃO",PrazoConst,PrazoEsc))</f>
        <v/>
      </c>
      <c r="N388" s="107" t="str">
        <f>IF(M388="","",IF(ISNUMBER(L388),M388-L388,IF(G388="DECISÃO D.P","",M388-TODAY())))</f>
        <v/>
      </c>
      <c r="O388" s="108" t="str">
        <f>IF(B388="","",IF(ISNUMBER(L388),IF(N388="","SEM DATA",IF(N388&gt;=0,"DEFESA NO PRAZO","DEFESA FORA DO PRAZO")),IF(G388="DECISÃO D.P","SEM DEFESA",IF(G388="","SEM STATUS",IF(N388="","SEM DATA",IF(N388&lt;0,"VENCIDO",IF(N388&lt;=DiasAlerta,"VENCE EM BREVE","NO PRAZO")))))))</f>
        <v/>
      </c>
      <c r="P388" s="109" t="str">
        <f>IF(D388="","",TODAY()-D388)</f>
        <v/>
      </c>
      <c r="Q388" s="102" t="n"/>
    </row>
    <row r="389" ht="18" customHeight="1">
      <c r="A389" s="101" t="n"/>
      <c r="B389" s="102" t="n"/>
      <c r="C389" s="102" t="n"/>
      <c r="D389" s="103" t="n"/>
      <c r="E389" s="102" t="n"/>
      <c r="F389" s="104" t="n"/>
      <c r="G389" s="104" t="n"/>
      <c r="H389" s="102" t="n"/>
      <c r="I389" s="105" t="n"/>
      <c r="J389" s="105" t="n"/>
      <c r="K389" s="103" t="n"/>
      <c r="L389" s="103" t="n"/>
      <c r="M389" s="106" t="str">
        <f>IF(OR(D389="",E389=""),"",D389+IF(E389="NOTIFICAÇÃO DE CONSTATAÇÃO",PrazoConst,PrazoEsc))</f>
        <v/>
      </c>
      <c r="N389" s="107" t="str">
        <f>IF(M389="","",IF(ISNUMBER(L389),M389-L389,IF(G389="DECISÃO D.P","",M389-TODAY())))</f>
        <v/>
      </c>
      <c r="O389" s="108" t="str">
        <f>IF(B389="","",IF(ISNUMBER(L389),IF(N389="","SEM DATA",IF(N389&gt;=0,"DEFESA NO PRAZO","DEFESA FORA DO PRAZO")),IF(G389="DECISÃO D.P","SEM DEFESA",IF(G389="","SEM STATUS",IF(N389="","SEM DATA",IF(N389&lt;0,"VENCIDO",IF(N389&lt;=DiasAlerta,"VENCE EM BREVE","NO PRAZO")))))))</f>
        <v/>
      </c>
      <c r="P389" s="109" t="str">
        <f>IF(D389="","",TODAY()-D389)</f>
        <v/>
      </c>
      <c r="Q389" s="102" t="n"/>
    </row>
    <row r="390" ht="18" customHeight="1">
      <c r="A390" s="101" t="n"/>
      <c r="B390" s="102" t="n"/>
      <c r="C390" s="102" t="n"/>
      <c r="D390" s="103" t="n"/>
      <c r="E390" s="102" t="n"/>
      <c r="F390" s="104" t="n"/>
      <c r="G390" s="104" t="n"/>
      <c r="H390" s="102" t="n"/>
      <c r="I390" s="105" t="n"/>
      <c r="J390" s="105" t="n"/>
      <c r="K390" s="103" t="n"/>
      <c r="L390" s="103" t="n"/>
      <c r="M390" s="106" t="str">
        <f>IF(OR(D390="",E390=""),"",D390+IF(E390="NOTIFICAÇÃO DE CONSTATAÇÃO",PrazoConst,PrazoEsc))</f>
        <v/>
      </c>
      <c r="N390" s="107" t="str">
        <f>IF(M390="","",IF(ISNUMBER(L390),M390-L390,IF(G390="DECISÃO D.P","",M390-TODAY())))</f>
        <v/>
      </c>
      <c r="O390" s="108" t="str">
        <f>IF(B390="","",IF(ISNUMBER(L390),IF(N390="","SEM DATA",IF(N390&gt;=0,"DEFESA NO PRAZO","DEFESA FORA DO PRAZO")),IF(G390="DECISÃO D.P","SEM DEFESA",IF(G390="","SEM STATUS",IF(N390="","SEM DATA",IF(N390&lt;0,"VENCIDO",IF(N390&lt;=DiasAlerta,"VENCE EM BREVE","NO PRAZO")))))))</f>
        <v/>
      </c>
      <c r="P390" s="109" t="str">
        <f>IF(D390="","",TODAY()-D390)</f>
        <v/>
      </c>
      <c r="Q390" s="102" t="n"/>
    </row>
    <row r="391" ht="18" customHeight="1">
      <c r="A391" s="101" t="n"/>
      <c r="B391" s="102" t="n"/>
      <c r="C391" s="102" t="n"/>
      <c r="D391" s="103" t="n"/>
      <c r="E391" s="102" t="n"/>
      <c r="F391" s="104" t="n"/>
      <c r="G391" s="104" t="n"/>
      <c r="H391" s="102" t="n"/>
      <c r="I391" s="105" t="n"/>
      <c r="J391" s="105" t="n"/>
      <c r="K391" s="103" t="n"/>
      <c r="L391" s="103" t="n"/>
      <c r="M391" s="106" t="str">
        <f>IF(OR(D391="",E391=""),"",D391+IF(E391="NOTIFICAÇÃO DE CONSTATAÇÃO",PrazoConst,PrazoEsc))</f>
        <v/>
      </c>
      <c r="N391" s="107" t="str">
        <f>IF(M391="","",IF(ISNUMBER(L391),M391-L391,IF(G391="DECISÃO D.P","",M391-TODAY())))</f>
        <v/>
      </c>
      <c r="O391" s="108" t="str">
        <f>IF(B391="","",IF(ISNUMBER(L391),IF(N391="","SEM DATA",IF(N391&gt;=0,"DEFESA NO PRAZO","DEFESA FORA DO PRAZO")),IF(G391="DECISÃO D.P","SEM DEFESA",IF(G391="","SEM STATUS",IF(N391="","SEM DATA",IF(N391&lt;0,"VENCIDO",IF(N391&lt;=DiasAlerta,"VENCE EM BREVE","NO PRAZO")))))))</f>
        <v/>
      </c>
      <c r="P391" s="109" t="str">
        <f>IF(D391="","",TODAY()-D391)</f>
        <v/>
      </c>
      <c r="Q391" s="102" t="n"/>
    </row>
    <row r="392" ht="18" customHeight="1">
      <c r="A392" s="101" t="n"/>
      <c r="B392" s="102" t="n"/>
      <c r="C392" s="102" t="n"/>
      <c r="D392" s="103" t="n"/>
      <c r="E392" s="102" t="n"/>
      <c r="F392" s="104" t="n"/>
      <c r="G392" s="104" t="n"/>
      <c r="H392" s="102" t="n"/>
      <c r="I392" s="105" t="n"/>
      <c r="J392" s="105" t="n"/>
      <c r="K392" s="103" t="n"/>
      <c r="L392" s="103" t="n"/>
      <c r="M392" s="106" t="str">
        <f>IF(OR(D392="",E392=""),"",D392+IF(E392="NOTIFICAÇÃO DE CONSTATAÇÃO",PrazoConst,PrazoEsc))</f>
        <v/>
      </c>
      <c r="N392" s="107" t="str">
        <f>IF(M392="","",IF(ISNUMBER(L392),M392-L392,IF(G392="DECISÃO D.P","",M392-TODAY())))</f>
        <v/>
      </c>
      <c r="O392" s="108" t="str">
        <f>IF(B392="","",IF(ISNUMBER(L392),IF(N392="","SEM DATA",IF(N392&gt;=0,"DEFESA NO PRAZO","DEFESA FORA DO PRAZO")),IF(G392="DECISÃO D.P","SEM DEFESA",IF(G392="","SEM STATUS",IF(N392="","SEM DATA",IF(N392&lt;0,"VENCIDO",IF(N392&lt;=DiasAlerta,"VENCE EM BREVE","NO PRAZO")))))))</f>
        <v/>
      </c>
      <c r="P392" s="109" t="str">
        <f>IF(D392="","",TODAY()-D392)</f>
        <v/>
      </c>
      <c r="Q392" s="102" t="n"/>
    </row>
    <row r="393" ht="18" customHeight="1">
      <c r="A393" s="101" t="n"/>
      <c r="B393" s="102" t="n"/>
      <c r="C393" s="102" t="n"/>
      <c r="D393" s="103" t="n"/>
      <c r="E393" s="102" t="n"/>
      <c r="F393" s="104" t="n"/>
      <c r="G393" s="104" t="n"/>
      <c r="H393" s="102" t="n"/>
      <c r="I393" s="105" t="n"/>
      <c r="J393" s="105" t="n"/>
      <c r="K393" s="103" t="n"/>
      <c r="L393" s="103" t="n"/>
      <c r="M393" s="106" t="str">
        <f>IF(OR(D393="",E393=""),"",D393+IF(E393="NOTIFICAÇÃO DE CONSTATAÇÃO",PrazoConst,PrazoEsc))</f>
        <v/>
      </c>
      <c r="N393" s="107" t="str">
        <f>IF(M393="","",IF(ISNUMBER(L393),M393-L393,IF(G393="DECISÃO D.P","",M393-TODAY())))</f>
        <v/>
      </c>
      <c r="O393" s="108" t="str">
        <f>IF(B393="","",IF(ISNUMBER(L393),IF(N393="","SEM DATA",IF(N393&gt;=0,"DEFESA NO PRAZO","DEFESA FORA DO PRAZO")),IF(G393="DECISÃO D.P","SEM DEFESA",IF(G393="","SEM STATUS",IF(N393="","SEM DATA",IF(N393&lt;0,"VENCIDO",IF(N393&lt;=DiasAlerta,"VENCE EM BREVE","NO PRAZO")))))))</f>
        <v/>
      </c>
      <c r="P393" s="109" t="str">
        <f>IF(D393="","",TODAY()-D393)</f>
        <v/>
      </c>
      <c r="Q393" s="102" t="n"/>
    </row>
    <row r="394" ht="18" customHeight="1">
      <c r="A394" s="101" t="n"/>
      <c r="B394" s="102" t="n"/>
      <c r="C394" s="102" t="n"/>
      <c r="D394" s="103" t="n"/>
      <c r="E394" s="102" t="n"/>
      <c r="F394" s="104" t="n"/>
      <c r="G394" s="104" t="n"/>
      <c r="H394" s="102" t="n"/>
      <c r="I394" s="105" t="n"/>
      <c r="J394" s="105" t="n"/>
      <c r="K394" s="103" t="n"/>
      <c r="L394" s="103" t="n"/>
      <c r="M394" s="106" t="str">
        <f>IF(OR(D394="",E394=""),"",D394+IF(E394="NOTIFICAÇÃO DE CONSTATAÇÃO",PrazoConst,PrazoEsc))</f>
        <v/>
      </c>
      <c r="N394" s="107" t="str">
        <f>IF(M394="","",IF(ISNUMBER(L394),M394-L394,IF(G394="DECISÃO D.P","",M394-TODAY())))</f>
        <v/>
      </c>
      <c r="O394" s="108" t="str">
        <f>IF(B394="","",IF(ISNUMBER(L394),IF(N394="","SEM DATA",IF(N394&gt;=0,"DEFESA NO PRAZO","DEFESA FORA DO PRAZO")),IF(G394="DECISÃO D.P","SEM DEFESA",IF(G394="","SEM STATUS",IF(N394="","SEM DATA",IF(N394&lt;0,"VENCIDO",IF(N394&lt;=DiasAlerta,"VENCE EM BREVE","NO PRAZO")))))))</f>
        <v/>
      </c>
      <c r="P394" s="109" t="str">
        <f>IF(D394="","",TODAY()-D394)</f>
        <v/>
      </c>
      <c r="Q394" s="102" t="n"/>
    </row>
    <row r="395" ht="18" customHeight="1">
      <c r="A395" s="101" t="n"/>
      <c r="B395" s="102" t="n"/>
      <c r="C395" s="102" t="n"/>
      <c r="D395" s="103" t="n"/>
      <c r="E395" s="102" t="n"/>
      <c r="F395" s="104" t="n"/>
      <c r="G395" s="104" t="n"/>
      <c r="H395" s="102" t="n"/>
      <c r="I395" s="105" t="n"/>
      <c r="J395" s="105" t="n"/>
      <c r="K395" s="103" t="n"/>
      <c r="L395" s="103" t="n"/>
      <c r="M395" s="106" t="str">
        <f>IF(OR(D395="",E395=""),"",D395+IF(E395="NOTIFICAÇÃO DE CONSTATAÇÃO",PrazoConst,PrazoEsc))</f>
        <v/>
      </c>
      <c r="N395" s="107" t="str">
        <f>IF(M395="","",IF(ISNUMBER(L395),M395-L395,IF(G395="DECISÃO D.P","",M395-TODAY())))</f>
        <v/>
      </c>
      <c r="O395" s="108" t="str">
        <f>IF(B395="","",IF(ISNUMBER(L395),IF(N395="","SEM DATA",IF(N395&gt;=0,"DEFESA NO PRAZO","DEFESA FORA DO PRAZO")),IF(G395="DECISÃO D.P","SEM DEFESA",IF(G395="","SEM STATUS",IF(N395="","SEM DATA",IF(N395&lt;0,"VENCIDO",IF(N395&lt;=DiasAlerta,"VENCE EM BREVE","NO PRAZO")))))))</f>
        <v/>
      </c>
      <c r="P395" s="109" t="str">
        <f>IF(D395="","",TODAY()-D395)</f>
        <v/>
      </c>
      <c r="Q395" s="102" t="n"/>
    </row>
    <row r="396" ht="18" customHeight="1">
      <c r="A396" s="101" t="n"/>
      <c r="B396" s="102" t="n"/>
      <c r="C396" s="102" t="n"/>
      <c r="D396" s="103" t="n"/>
      <c r="E396" s="102" t="n"/>
      <c r="F396" s="104" t="n"/>
      <c r="G396" s="104" t="n"/>
      <c r="H396" s="102" t="n"/>
      <c r="I396" s="105" t="n"/>
      <c r="J396" s="105" t="n"/>
      <c r="K396" s="103" t="n"/>
      <c r="L396" s="103" t="n"/>
      <c r="M396" s="106" t="str">
        <f>IF(OR(D396="",E396=""),"",D396+IF(E396="NOTIFICAÇÃO DE CONSTATAÇÃO",PrazoConst,PrazoEsc))</f>
        <v/>
      </c>
      <c r="N396" s="107" t="str">
        <f>IF(M396="","",IF(ISNUMBER(L396),M396-L396,IF(G396="DECISÃO D.P","",M396-TODAY())))</f>
        <v/>
      </c>
      <c r="O396" s="108" t="str">
        <f>IF(B396="","",IF(ISNUMBER(L396),IF(N396="","SEM DATA",IF(N396&gt;=0,"DEFESA NO PRAZO","DEFESA FORA DO PRAZO")),IF(G396="DECISÃO D.P","SEM DEFESA",IF(G396="","SEM STATUS",IF(N396="","SEM DATA",IF(N396&lt;0,"VENCIDO",IF(N396&lt;=DiasAlerta,"VENCE EM BREVE","NO PRAZO")))))))</f>
        <v/>
      </c>
      <c r="P396" s="109" t="str">
        <f>IF(D396="","",TODAY()-D396)</f>
        <v/>
      </c>
      <c r="Q396" s="102" t="n"/>
    </row>
    <row r="397" ht="18" customHeight="1">
      <c r="A397" s="101" t="n"/>
      <c r="B397" s="102" t="n"/>
      <c r="C397" s="102" t="n"/>
      <c r="D397" s="103" t="n"/>
      <c r="E397" s="102" t="n"/>
      <c r="F397" s="104" t="n"/>
      <c r="G397" s="104" t="n"/>
      <c r="H397" s="102" t="n"/>
      <c r="I397" s="105" t="n"/>
      <c r="J397" s="105" t="n"/>
      <c r="K397" s="103" t="n"/>
      <c r="L397" s="103" t="n"/>
      <c r="M397" s="106" t="str">
        <f>IF(OR(D397="",E397=""),"",D397+IF(E397="NOTIFICAÇÃO DE CONSTATAÇÃO",PrazoConst,PrazoEsc))</f>
        <v/>
      </c>
      <c r="N397" s="107" t="str">
        <f>IF(M397="","",IF(ISNUMBER(L397),M397-L397,IF(G397="DECISÃO D.P","",M397-TODAY())))</f>
        <v/>
      </c>
      <c r="O397" s="108" t="str">
        <f>IF(B397="","",IF(ISNUMBER(L397),IF(N397="","SEM DATA",IF(N397&gt;=0,"DEFESA NO PRAZO","DEFESA FORA DO PRAZO")),IF(G397="DECISÃO D.P","SEM DEFESA",IF(G397="","SEM STATUS",IF(N397="","SEM DATA",IF(N397&lt;0,"VENCIDO",IF(N397&lt;=DiasAlerta,"VENCE EM BREVE","NO PRAZO")))))))</f>
        <v/>
      </c>
      <c r="P397" s="109" t="str">
        <f>IF(D397="","",TODAY()-D397)</f>
        <v/>
      </c>
      <c r="Q397" s="102" t="n"/>
    </row>
    <row r="398" ht="18" customHeight="1">
      <c r="A398" s="101" t="n"/>
      <c r="B398" s="102" t="n"/>
      <c r="C398" s="102" t="n"/>
      <c r="D398" s="103" t="n"/>
      <c r="E398" s="102" t="n"/>
      <c r="F398" s="104" t="n"/>
      <c r="G398" s="104" t="n"/>
      <c r="H398" s="102" t="n"/>
      <c r="I398" s="105" t="n"/>
      <c r="J398" s="105" t="n"/>
      <c r="K398" s="103" t="n"/>
      <c r="L398" s="103" t="n"/>
      <c r="M398" s="106" t="str">
        <f>IF(OR(D398="",E398=""),"",D398+IF(E398="NOTIFICAÇÃO DE CONSTATAÇÃO",PrazoConst,PrazoEsc))</f>
        <v/>
      </c>
      <c r="N398" s="107" t="str">
        <f>IF(M398="","",IF(ISNUMBER(L398),M398-L398,IF(G398="DECISÃO D.P","",M398-TODAY())))</f>
        <v/>
      </c>
      <c r="O398" s="108" t="str">
        <f>IF(B398="","",IF(ISNUMBER(L398),IF(N398="","SEM DATA",IF(N398&gt;=0,"DEFESA NO PRAZO","DEFESA FORA DO PRAZO")),IF(G398="DECISÃO D.P","SEM DEFESA",IF(G398="","SEM STATUS",IF(N398="","SEM DATA",IF(N398&lt;0,"VENCIDO",IF(N398&lt;=DiasAlerta,"VENCE EM BREVE","NO PRAZO")))))))</f>
        <v/>
      </c>
      <c r="P398" s="109" t="str">
        <f>IF(D398="","",TODAY()-D398)</f>
        <v/>
      </c>
      <c r="Q398" s="102" t="n"/>
    </row>
    <row r="399" ht="18" customHeight="1">
      <c r="A399" s="101" t="n"/>
      <c r="B399" s="102" t="n"/>
      <c r="C399" s="102" t="n"/>
      <c r="D399" s="103" t="n"/>
      <c r="E399" s="102" t="n"/>
      <c r="F399" s="104" t="n"/>
      <c r="G399" s="104" t="n"/>
      <c r="H399" s="102" t="n"/>
      <c r="I399" s="105" t="n"/>
      <c r="J399" s="105" t="n"/>
      <c r="K399" s="103" t="n"/>
      <c r="L399" s="103" t="n"/>
      <c r="M399" s="106" t="str">
        <f>IF(OR(D399="",E399=""),"",D399+IF(E399="NOTIFICAÇÃO DE CONSTATAÇÃO",PrazoConst,PrazoEsc))</f>
        <v/>
      </c>
      <c r="N399" s="107" t="str">
        <f>IF(M399="","",IF(ISNUMBER(L399),M399-L399,IF(G399="DECISÃO D.P","",M399-TODAY())))</f>
        <v/>
      </c>
      <c r="O399" s="108" t="str">
        <f>IF(B399="","",IF(ISNUMBER(L399),IF(N399="","SEM DATA",IF(N399&gt;=0,"DEFESA NO PRAZO","DEFESA FORA DO PRAZO")),IF(G399="DECISÃO D.P","SEM DEFESA",IF(G399="","SEM STATUS",IF(N399="","SEM DATA",IF(N399&lt;0,"VENCIDO",IF(N399&lt;=DiasAlerta,"VENCE EM BREVE","NO PRAZO")))))))</f>
        <v/>
      </c>
      <c r="P399" s="109" t="str">
        <f>IF(D399="","",TODAY()-D399)</f>
        <v/>
      </c>
      <c r="Q399" s="102" t="n"/>
    </row>
    <row r="400" ht="18" customHeight="1">
      <c r="A400" s="101" t="n"/>
      <c r="B400" s="102" t="n"/>
      <c r="C400" s="102" t="n"/>
      <c r="D400" s="103" t="n"/>
      <c r="E400" s="102" t="n"/>
      <c r="F400" s="104" t="n"/>
      <c r="G400" s="104" t="n"/>
      <c r="H400" s="102" t="n"/>
      <c r="I400" s="105" t="n"/>
      <c r="J400" s="105" t="n"/>
      <c r="K400" s="103" t="n"/>
      <c r="L400" s="103" t="n"/>
      <c r="M400" s="106" t="str">
        <f>IF(OR(D400="",E400=""),"",D400+IF(E400="NOTIFICAÇÃO DE CONSTATAÇÃO",PrazoConst,PrazoEsc))</f>
        <v/>
      </c>
      <c r="N400" s="107" t="str">
        <f>IF(M400="","",IF(ISNUMBER(L400),M400-L400,IF(G400="DECISÃO D.P","",M400-TODAY())))</f>
        <v/>
      </c>
      <c r="O400" s="108" t="str">
        <f>IF(B400="","",IF(ISNUMBER(L400),IF(N400="","SEM DATA",IF(N400&gt;=0,"DEFESA NO PRAZO","DEFESA FORA DO PRAZO")),IF(G400="DECISÃO D.P","SEM DEFESA",IF(G400="","SEM STATUS",IF(N400="","SEM DATA",IF(N400&lt;0,"VENCIDO",IF(N400&lt;=DiasAlerta,"VENCE EM BREVE","NO PRAZO")))))))</f>
        <v/>
      </c>
      <c r="P400" s="109" t="str">
        <f>IF(D400="","",TODAY()-D400)</f>
        <v/>
      </c>
      <c r="Q400" s="102" t="n"/>
    </row>
    <row r="401" ht="18" customHeight="1">
      <c r="A401" s="101" t="n"/>
      <c r="B401" s="102" t="n"/>
      <c r="C401" s="102" t="n"/>
      <c r="D401" s="103" t="n"/>
      <c r="E401" s="102" t="n"/>
      <c r="F401" s="104" t="n"/>
      <c r="G401" s="104" t="n"/>
      <c r="H401" s="102" t="n"/>
      <c r="I401" s="105" t="n"/>
      <c r="J401" s="105" t="n"/>
      <c r="K401" s="103" t="n"/>
      <c r="L401" s="103" t="n"/>
      <c r="M401" s="106" t="str">
        <f>IF(OR(D401="",E401=""),"",D401+IF(E401="NOTIFICAÇÃO DE CONSTATAÇÃO",PrazoConst,PrazoEsc))</f>
        <v/>
      </c>
      <c r="N401" s="107" t="str">
        <f>IF(M401="","",IF(ISNUMBER(L401),M401-L401,IF(G401="DECISÃO D.P","",M401-TODAY())))</f>
        <v/>
      </c>
      <c r="O401" s="108" t="str">
        <f>IF(B401="","",IF(ISNUMBER(L401),IF(N401="","SEM DATA",IF(N401&gt;=0,"DEFESA NO PRAZO","DEFESA FORA DO PRAZO")),IF(G401="DECISÃO D.P","SEM DEFESA",IF(G401="","SEM STATUS",IF(N401="","SEM DATA",IF(N401&lt;0,"VENCIDO",IF(N401&lt;=DiasAlerta,"VENCE EM BREVE","NO PRAZO")))))))</f>
        <v/>
      </c>
      <c r="P401" s="109" t="str">
        <f>IF(D401="","",TODAY()-D401)</f>
        <v/>
      </c>
      <c r="Q401" s="102" t="n"/>
    </row>
    <row r="402" ht="18" customHeight="1">
      <c r="A402" s="101" t="n"/>
      <c r="B402" s="102" t="n"/>
      <c r="C402" s="102" t="n"/>
      <c r="D402" s="103" t="n"/>
      <c r="E402" s="102" t="n"/>
      <c r="F402" s="104" t="n"/>
      <c r="G402" s="104" t="n"/>
      <c r="H402" s="102" t="n"/>
      <c r="I402" s="105" t="n"/>
      <c r="J402" s="105" t="n"/>
      <c r="K402" s="103" t="n"/>
      <c r="L402" s="103" t="n"/>
      <c r="M402" s="106" t="str">
        <f>IF(OR(D402="",E402=""),"",D402+IF(E402="NOTIFICAÇÃO DE CONSTATAÇÃO",PrazoConst,PrazoEsc))</f>
        <v/>
      </c>
      <c r="N402" s="107" t="str">
        <f>IF(M402="","",IF(ISNUMBER(L402),M402-L402,IF(G402="DECISÃO D.P","",M402-TODAY())))</f>
        <v/>
      </c>
      <c r="O402" s="108" t="str">
        <f>IF(B402="","",IF(ISNUMBER(L402),IF(N402="","SEM DATA",IF(N402&gt;=0,"DEFESA NO PRAZO","DEFESA FORA DO PRAZO")),IF(G402="DECISÃO D.P","SEM DEFESA",IF(G402="","SEM STATUS",IF(N402="","SEM DATA",IF(N402&lt;0,"VENCIDO",IF(N402&lt;=DiasAlerta,"VENCE EM BREVE","NO PRAZO")))))))</f>
        <v/>
      </c>
      <c r="P402" s="109" t="str">
        <f>IF(D402="","",TODAY()-D402)</f>
        <v/>
      </c>
      <c r="Q402" s="102" t="n"/>
    </row>
    <row r="403" ht="18" customHeight="1">
      <c r="A403" s="101" t="n"/>
      <c r="B403" s="102" t="n"/>
      <c r="C403" s="102" t="n"/>
      <c r="D403" s="103" t="n"/>
      <c r="E403" s="102" t="n"/>
      <c r="F403" s="104" t="n"/>
      <c r="G403" s="104" t="n"/>
      <c r="H403" s="102" t="n"/>
      <c r="I403" s="105" t="n"/>
      <c r="J403" s="105" t="n"/>
      <c r="K403" s="103" t="n"/>
      <c r="L403" s="103" t="n"/>
      <c r="M403" s="106" t="str">
        <f>IF(OR(D403="",E403=""),"",D403+IF(E403="NOTIFICAÇÃO DE CONSTATAÇÃO",PrazoConst,PrazoEsc))</f>
        <v/>
      </c>
      <c r="N403" s="107" t="str">
        <f>IF(M403="","",IF(ISNUMBER(L403),M403-L403,IF(G403="DECISÃO D.P","",M403-TODAY())))</f>
        <v/>
      </c>
      <c r="O403" s="108" t="str">
        <f>IF(B403="","",IF(ISNUMBER(L403),IF(N403="","SEM DATA",IF(N403&gt;=0,"DEFESA NO PRAZO","DEFESA FORA DO PRAZO")),IF(G403="DECISÃO D.P","SEM DEFESA",IF(G403="","SEM STATUS",IF(N403="","SEM DATA",IF(N403&lt;0,"VENCIDO",IF(N403&lt;=DiasAlerta,"VENCE EM BREVE","NO PRAZO")))))))</f>
        <v/>
      </c>
      <c r="P403" s="109" t="str">
        <f>IF(D403="","",TODAY()-D403)</f>
        <v/>
      </c>
      <c r="Q403" s="102" t="n"/>
    </row>
    <row r="404" ht="18" customHeight="1">
      <c r="A404" s="101" t="n"/>
      <c r="B404" s="102" t="n"/>
      <c r="C404" s="102" t="n"/>
      <c r="D404" s="103" t="n"/>
      <c r="E404" s="102" t="n"/>
      <c r="F404" s="104" t="n"/>
      <c r="G404" s="104" t="n"/>
      <c r="H404" s="102" t="n"/>
      <c r="I404" s="105" t="n"/>
      <c r="J404" s="105" t="n"/>
      <c r="K404" s="103" t="n"/>
      <c r="L404" s="103" t="n"/>
      <c r="M404" s="106" t="str">
        <f>IF(OR(D404="",E404=""),"",D404+IF(E404="NOTIFICAÇÃO DE CONSTATAÇÃO",PrazoConst,PrazoEsc))</f>
        <v/>
      </c>
      <c r="N404" s="107" t="str">
        <f>IF(M404="","",IF(ISNUMBER(L404),M404-L404,IF(G404="DECISÃO D.P","",M404-TODAY())))</f>
        <v/>
      </c>
      <c r="O404" s="108" t="str">
        <f>IF(B404="","",IF(ISNUMBER(L404),IF(N404="","SEM DATA",IF(N404&gt;=0,"DEFESA NO PRAZO","DEFESA FORA DO PRAZO")),IF(G404="DECISÃO D.P","SEM DEFESA",IF(G404="","SEM STATUS",IF(N404="","SEM DATA",IF(N404&lt;0,"VENCIDO",IF(N404&lt;=DiasAlerta,"VENCE EM BREVE","NO PRAZO")))))))</f>
        <v/>
      </c>
      <c r="P404" s="109" t="str">
        <f>IF(D404="","",TODAY()-D404)</f>
        <v/>
      </c>
      <c r="Q404" s="102" t="n"/>
    </row>
    <row r="405" ht="18" customHeight="1">
      <c r="A405" s="101" t="n"/>
      <c r="B405" s="102" t="n"/>
      <c r="C405" s="102" t="n"/>
      <c r="D405" s="103" t="n"/>
      <c r="E405" s="102" t="n"/>
      <c r="F405" s="104" t="n"/>
      <c r="G405" s="104" t="n"/>
      <c r="H405" s="102" t="n"/>
      <c r="I405" s="105" t="n"/>
      <c r="J405" s="105" t="n"/>
      <c r="K405" s="103" t="n"/>
      <c r="L405" s="103" t="n"/>
      <c r="M405" s="106" t="str">
        <f>IF(OR(D405="",E405=""),"",D405+IF(E405="NOTIFICAÇÃO DE CONSTATAÇÃO",PrazoConst,PrazoEsc))</f>
        <v/>
      </c>
      <c r="N405" s="107" t="str">
        <f>IF(M405="","",IF(ISNUMBER(L405),M405-L405,IF(G405="DECISÃO D.P","",M405-TODAY())))</f>
        <v/>
      </c>
      <c r="O405" s="108" t="str">
        <f>IF(B405="","",IF(ISNUMBER(L405),IF(N405="","SEM DATA",IF(N405&gt;=0,"DEFESA NO PRAZO","DEFESA FORA DO PRAZO")),IF(G405="DECISÃO D.P","SEM DEFESA",IF(G405="","SEM STATUS",IF(N405="","SEM DATA",IF(N405&lt;0,"VENCIDO",IF(N405&lt;=DiasAlerta,"VENCE EM BREVE","NO PRAZO")))))))</f>
        <v/>
      </c>
      <c r="P405" s="109" t="str">
        <f>IF(D405="","",TODAY()-D405)</f>
        <v/>
      </c>
      <c r="Q405" s="102" t="n"/>
    </row>
    <row r="406" ht="18" customHeight="1">
      <c r="A406" s="101" t="n"/>
      <c r="B406" s="102" t="n"/>
      <c r="C406" s="102" t="n"/>
      <c r="D406" s="103" t="n"/>
      <c r="E406" s="102" t="n"/>
      <c r="F406" s="104" t="n"/>
      <c r="G406" s="104" t="n"/>
      <c r="H406" s="102" t="n"/>
      <c r="I406" s="105" t="n"/>
      <c r="J406" s="105" t="n"/>
      <c r="K406" s="103" t="n"/>
      <c r="L406" s="103" t="n"/>
      <c r="M406" s="106" t="str">
        <f>IF(OR(D406="",E406=""),"",D406+IF(E406="NOTIFICAÇÃO DE CONSTATAÇÃO",PrazoConst,PrazoEsc))</f>
        <v/>
      </c>
      <c r="N406" s="107" t="str">
        <f>IF(M406="","",IF(ISNUMBER(L406),M406-L406,IF(G406="DECISÃO D.P","",M406-TODAY())))</f>
        <v/>
      </c>
      <c r="O406" s="108" t="str">
        <f>IF(B406="","",IF(ISNUMBER(L406),IF(N406="","SEM DATA",IF(N406&gt;=0,"DEFESA NO PRAZO","DEFESA FORA DO PRAZO")),IF(G406="DECISÃO D.P","SEM DEFESA",IF(G406="","SEM STATUS",IF(N406="","SEM DATA",IF(N406&lt;0,"VENCIDO",IF(N406&lt;=DiasAlerta,"VENCE EM BREVE","NO PRAZO")))))))</f>
        <v/>
      </c>
      <c r="P406" s="109" t="str">
        <f>IF(D406="","",TODAY()-D406)</f>
        <v/>
      </c>
      <c r="Q406" s="102" t="n"/>
    </row>
    <row r="407" ht="18" customHeight="1">
      <c r="A407" s="101" t="n"/>
      <c r="B407" s="102" t="n"/>
      <c r="C407" s="102" t="n"/>
      <c r="D407" s="103" t="n"/>
      <c r="E407" s="102" t="n"/>
      <c r="F407" s="104" t="n"/>
      <c r="G407" s="104" t="n"/>
      <c r="H407" s="102" t="n"/>
      <c r="I407" s="105" t="n"/>
      <c r="J407" s="105" t="n"/>
      <c r="K407" s="103" t="n"/>
      <c r="L407" s="103" t="n"/>
      <c r="M407" s="106" t="str">
        <f>IF(OR(D407="",E407=""),"",D407+IF(E407="NOTIFICAÇÃO DE CONSTATAÇÃO",PrazoConst,PrazoEsc))</f>
        <v/>
      </c>
      <c r="N407" s="107" t="str">
        <f>IF(M407="","",IF(ISNUMBER(L407),M407-L407,IF(G407="DECISÃO D.P","",M407-TODAY())))</f>
        <v/>
      </c>
      <c r="O407" s="108" t="str">
        <f>IF(B407="","",IF(ISNUMBER(L407),IF(N407="","SEM DATA",IF(N407&gt;=0,"DEFESA NO PRAZO","DEFESA FORA DO PRAZO")),IF(G407="DECISÃO D.P","SEM DEFESA",IF(G407="","SEM STATUS",IF(N407="","SEM DATA",IF(N407&lt;0,"VENCIDO",IF(N407&lt;=DiasAlerta,"VENCE EM BREVE","NO PRAZO")))))))</f>
        <v/>
      </c>
      <c r="P407" s="109" t="str">
        <f>IF(D407="","",TODAY()-D407)</f>
        <v/>
      </c>
      <c r="Q407" s="102" t="n"/>
    </row>
    <row r="408" ht="18" customHeight="1">
      <c r="A408" s="101" t="n"/>
      <c r="B408" s="102" t="n"/>
      <c r="C408" s="102" t="n"/>
      <c r="D408" s="103" t="n"/>
      <c r="E408" s="102" t="n"/>
      <c r="F408" s="104" t="n"/>
      <c r="G408" s="104" t="n"/>
      <c r="H408" s="102" t="n"/>
      <c r="I408" s="105" t="n"/>
      <c r="J408" s="105" t="n"/>
      <c r="K408" s="103" t="n"/>
      <c r="L408" s="103" t="n"/>
      <c r="M408" s="106" t="str">
        <f>IF(OR(D408="",E408=""),"",D408+IF(E408="NOTIFICAÇÃO DE CONSTATAÇÃO",PrazoConst,PrazoEsc))</f>
        <v/>
      </c>
      <c r="N408" s="107" t="str">
        <f>IF(M408="","",IF(ISNUMBER(L408),M408-L408,IF(G408="DECISÃO D.P","",M408-TODAY())))</f>
        <v/>
      </c>
      <c r="O408" s="108" t="str">
        <f>IF(B408="","",IF(ISNUMBER(L408),IF(N408="","SEM DATA",IF(N408&gt;=0,"DEFESA NO PRAZO","DEFESA FORA DO PRAZO")),IF(G408="DECISÃO D.P","SEM DEFESA",IF(G408="","SEM STATUS",IF(N408="","SEM DATA",IF(N408&lt;0,"VENCIDO",IF(N408&lt;=DiasAlerta,"VENCE EM BREVE","NO PRAZO")))))))</f>
        <v/>
      </c>
      <c r="P408" s="109" t="str">
        <f>IF(D408="","",TODAY()-D408)</f>
        <v/>
      </c>
      <c r="Q408" s="102" t="n"/>
    </row>
    <row r="409" ht="18" customHeight="1">
      <c r="A409" s="101" t="n"/>
      <c r="B409" s="102" t="n"/>
      <c r="C409" s="102" t="n"/>
      <c r="D409" s="103" t="n"/>
      <c r="E409" s="102" t="n"/>
      <c r="F409" s="104" t="n"/>
      <c r="G409" s="104" t="n"/>
      <c r="H409" s="102" t="n"/>
      <c r="I409" s="105" t="n"/>
      <c r="J409" s="105" t="n"/>
      <c r="K409" s="103" t="n"/>
      <c r="L409" s="103" t="n"/>
      <c r="M409" s="106" t="str">
        <f>IF(OR(D409="",E409=""),"",D409+IF(E409="NOTIFICAÇÃO DE CONSTATAÇÃO",PrazoConst,PrazoEsc))</f>
        <v/>
      </c>
      <c r="N409" s="107" t="str">
        <f>IF(M409="","",IF(ISNUMBER(L409),M409-L409,IF(G409="DECISÃO D.P","",M409-TODAY())))</f>
        <v/>
      </c>
      <c r="O409" s="108" t="str">
        <f>IF(B409="","",IF(ISNUMBER(L409),IF(N409="","SEM DATA",IF(N409&gt;=0,"DEFESA NO PRAZO","DEFESA FORA DO PRAZO")),IF(G409="DECISÃO D.P","SEM DEFESA",IF(G409="","SEM STATUS",IF(N409="","SEM DATA",IF(N409&lt;0,"VENCIDO",IF(N409&lt;=DiasAlerta,"VENCE EM BREVE","NO PRAZO")))))))</f>
        <v/>
      </c>
      <c r="P409" s="109" t="str">
        <f>IF(D409="","",TODAY()-D409)</f>
        <v/>
      </c>
      <c r="Q409" s="102" t="n"/>
    </row>
    <row r="410" ht="18" customHeight="1">
      <c r="A410" s="101" t="n"/>
      <c r="B410" s="102" t="n"/>
      <c r="C410" s="102" t="n"/>
      <c r="D410" s="103" t="n"/>
      <c r="E410" s="102" t="n"/>
      <c r="F410" s="104" t="n"/>
      <c r="G410" s="104" t="n"/>
      <c r="H410" s="102" t="n"/>
      <c r="I410" s="105" t="n"/>
      <c r="J410" s="105" t="n"/>
      <c r="K410" s="103" t="n"/>
      <c r="L410" s="103" t="n"/>
      <c r="M410" s="106" t="str">
        <f>IF(OR(D410="",E410=""),"",D410+IF(E410="NOTIFICAÇÃO DE CONSTATAÇÃO",PrazoConst,PrazoEsc))</f>
        <v/>
      </c>
      <c r="N410" s="107" t="str">
        <f>IF(M410="","",IF(ISNUMBER(L410),M410-L410,IF(G410="DECISÃO D.P","",M410-TODAY())))</f>
        <v/>
      </c>
      <c r="O410" s="108" t="str">
        <f>IF(B410="","",IF(ISNUMBER(L410),IF(N410="","SEM DATA",IF(N410&gt;=0,"DEFESA NO PRAZO","DEFESA FORA DO PRAZO")),IF(G410="DECISÃO D.P","SEM DEFESA",IF(G410="","SEM STATUS",IF(N410="","SEM DATA",IF(N410&lt;0,"VENCIDO",IF(N410&lt;=DiasAlerta,"VENCE EM BREVE","NO PRAZO")))))))</f>
        <v/>
      </c>
      <c r="P410" s="109" t="str">
        <f>IF(D410="","",TODAY()-D410)</f>
        <v/>
      </c>
      <c r="Q410" s="102" t="n"/>
    </row>
    <row r="411" ht="18" customHeight="1">
      <c r="A411" s="101" t="n"/>
      <c r="B411" s="102" t="n"/>
      <c r="C411" s="102" t="n"/>
      <c r="D411" s="103" t="n"/>
      <c r="E411" s="102" t="n"/>
      <c r="F411" s="104" t="n"/>
      <c r="G411" s="104" t="n"/>
      <c r="H411" s="102" t="n"/>
      <c r="I411" s="105" t="n"/>
      <c r="J411" s="105" t="n"/>
      <c r="K411" s="103" t="n"/>
      <c r="L411" s="103" t="n"/>
      <c r="M411" s="106" t="str">
        <f>IF(OR(D411="",E411=""),"",D411+IF(E411="NOTIFICAÇÃO DE CONSTATAÇÃO",PrazoConst,PrazoEsc))</f>
        <v/>
      </c>
      <c r="N411" s="107" t="str">
        <f>IF(M411="","",IF(ISNUMBER(L411),M411-L411,IF(G411="DECISÃO D.P","",M411-TODAY())))</f>
        <v/>
      </c>
      <c r="O411" s="108" t="str">
        <f>IF(B411="","",IF(ISNUMBER(L411),IF(N411="","SEM DATA",IF(N411&gt;=0,"DEFESA NO PRAZO","DEFESA FORA DO PRAZO")),IF(G411="DECISÃO D.P","SEM DEFESA",IF(G411="","SEM STATUS",IF(N411="","SEM DATA",IF(N411&lt;0,"VENCIDO",IF(N411&lt;=DiasAlerta,"VENCE EM BREVE","NO PRAZO")))))))</f>
        <v/>
      </c>
      <c r="P411" s="109" t="str">
        <f>IF(D411="","",TODAY()-D411)</f>
        <v/>
      </c>
      <c r="Q411" s="102" t="n"/>
    </row>
    <row r="412" ht="18" customHeight="1">
      <c r="A412" s="101" t="n"/>
      <c r="B412" s="102" t="n"/>
      <c r="C412" s="102" t="n"/>
      <c r="D412" s="103" t="n"/>
      <c r="E412" s="102" t="n"/>
      <c r="F412" s="104" t="n"/>
      <c r="G412" s="104" t="n"/>
      <c r="H412" s="102" t="n"/>
      <c r="I412" s="105" t="n"/>
      <c r="J412" s="105" t="n"/>
      <c r="K412" s="103" t="n"/>
      <c r="L412" s="103" t="n"/>
      <c r="M412" s="106" t="str">
        <f>IF(OR(D412="",E412=""),"",D412+IF(E412="NOTIFICAÇÃO DE CONSTATAÇÃO",PrazoConst,PrazoEsc))</f>
        <v/>
      </c>
      <c r="N412" s="107" t="str">
        <f>IF(M412="","",IF(ISNUMBER(L412),M412-L412,IF(G412="DECISÃO D.P","",M412-TODAY())))</f>
        <v/>
      </c>
      <c r="O412" s="108" t="str">
        <f>IF(B412="","",IF(ISNUMBER(L412),IF(N412="","SEM DATA",IF(N412&gt;=0,"DEFESA NO PRAZO","DEFESA FORA DO PRAZO")),IF(G412="DECISÃO D.P","SEM DEFESA",IF(G412="","SEM STATUS",IF(N412="","SEM DATA",IF(N412&lt;0,"VENCIDO",IF(N412&lt;=DiasAlerta,"VENCE EM BREVE","NO PRAZO")))))))</f>
        <v/>
      </c>
      <c r="P412" s="109" t="str">
        <f>IF(D412="","",TODAY()-D412)</f>
        <v/>
      </c>
      <c r="Q412" s="102" t="n"/>
    </row>
    <row r="413" ht="18" customHeight="1">
      <c r="A413" s="101" t="n"/>
      <c r="B413" s="102" t="n"/>
      <c r="C413" s="102" t="n"/>
      <c r="D413" s="103" t="n"/>
      <c r="E413" s="102" t="n"/>
      <c r="F413" s="104" t="n"/>
      <c r="G413" s="104" t="n"/>
      <c r="H413" s="102" t="n"/>
      <c r="I413" s="105" t="n"/>
      <c r="J413" s="105" t="n"/>
      <c r="K413" s="103" t="n"/>
      <c r="L413" s="103" t="n"/>
      <c r="M413" s="106" t="str">
        <f>IF(OR(D413="",E413=""),"",D413+IF(E413="NOTIFICAÇÃO DE CONSTATAÇÃO",PrazoConst,PrazoEsc))</f>
        <v/>
      </c>
      <c r="N413" s="107" t="str">
        <f>IF(M413="","",IF(ISNUMBER(L413),M413-L413,IF(G413="DECISÃO D.P","",M413-TODAY())))</f>
        <v/>
      </c>
      <c r="O413" s="108" t="str">
        <f>IF(B413="","",IF(ISNUMBER(L413),IF(N413="","SEM DATA",IF(N413&gt;=0,"DEFESA NO PRAZO","DEFESA FORA DO PRAZO")),IF(G413="DECISÃO D.P","SEM DEFESA",IF(G413="","SEM STATUS",IF(N413="","SEM DATA",IF(N413&lt;0,"VENCIDO",IF(N413&lt;=DiasAlerta,"VENCE EM BREVE","NO PRAZO")))))))</f>
        <v/>
      </c>
      <c r="P413" s="109" t="str">
        <f>IF(D413="","",TODAY()-D413)</f>
        <v/>
      </c>
      <c r="Q413" s="102" t="n"/>
    </row>
    <row r="414" ht="18" customHeight="1">
      <c r="A414" s="101" t="n"/>
      <c r="B414" s="102" t="n"/>
      <c r="C414" s="102" t="n"/>
      <c r="D414" s="103" t="n"/>
      <c r="E414" s="102" t="n"/>
      <c r="F414" s="104" t="n"/>
      <c r="G414" s="104" t="n"/>
      <c r="H414" s="102" t="n"/>
      <c r="I414" s="105" t="n"/>
      <c r="J414" s="105" t="n"/>
      <c r="K414" s="103" t="n"/>
      <c r="L414" s="103" t="n"/>
      <c r="M414" s="106" t="str">
        <f>IF(OR(D414="",E414=""),"",D414+IF(E414="NOTIFICAÇÃO DE CONSTATAÇÃO",PrazoConst,PrazoEsc))</f>
        <v/>
      </c>
      <c r="N414" s="107" t="str">
        <f>IF(M414="","",IF(ISNUMBER(L414),M414-L414,IF(G414="DECISÃO D.P","",M414-TODAY())))</f>
        <v/>
      </c>
      <c r="O414" s="108" t="str">
        <f>IF(B414="","",IF(ISNUMBER(L414),IF(N414="","SEM DATA",IF(N414&gt;=0,"DEFESA NO PRAZO","DEFESA FORA DO PRAZO")),IF(G414="DECISÃO D.P","SEM DEFESA",IF(G414="","SEM STATUS",IF(N414="","SEM DATA",IF(N414&lt;0,"VENCIDO",IF(N414&lt;=DiasAlerta,"VENCE EM BREVE","NO PRAZO")))))))</f>
        <v/>
      </c>
      <c r="P414" s="109" t="str">
        <f>IF(D414="","",TODAY()-D414)</f>
        <v/>
      </c>
      <c r="Q414" s="102" t="n"/>
    </row>
    <row r="415" ht="18" customHeight="1">
      <c r="A415" s="101" t="n"/>
      <c r="B415" s="102" t="n"/>
      <c r="C415" s="102" t="n"/>
      <c r="D415" s="103" t="n"/>
      <c r="E415" s="102" t="n"/>
      <c r="F415" s="104" t="n"/>
      <c r="G415" s="104" t="n"/>
      <c r="H415" s="102" t="n"/>
      <c r="I415" s="105" t="n"/>
      <c r="J415" s="105" t="n"/>
      <c r="K415" s="103" t="n"/>
      <c r="L415" s="103" t="n"/>
      <c r="M415" s="106" t="str">
        <f>IF(OR(D415="",E415=""),"",D415+IF(E415="NOTIFICAÇÃO DE CONSTATAÇÃO",PrazoConst,PrazoEsc))</f>
        <v/>
      </c>
      <c r="N415" s="107" t="str">
        <f>IF(M415="","",IF(ISNUMBER(L415),M415-L415,IF(G415="DECISÃO D.P","",M415-TODAY())))</f>
        <v/>
      </c>
      <c r="O415" s="108" t="str">
        <f>IF(B415="","",IF(ISNUMBER(L415),IF(N415="","SEM DATA",IF(N415&gt;=0,"DEFESA NO PRAZO","DEFESA FORA DO PRAZO")),IF(G415="DECISÃO D.P","SEM DEFESA",IF(G415="","SEM STATUS",IF(N415="","SEM DATA",IF(N415&lt;0,"VENCIDO",IF(N415&lt;=DiasAlerta,"VENCE EM BREVE","NO PRAZO")))))))</f>
        <v/>
      </c>
      <c r="P415" s="109" t="str">
        <f>IF(D415="","",TODAY()-D415)</f>
        <v/>
      </c>
      <c r="Q415" s="102" t="n"/>
    </row>
    <row r="416" ht="18" customHeight="1">
      <c r="A416" s="101" t="n"/>
      <c r="B416" s="102" t="n"/>
      <c r="C416" s="102" t="n"/>
      <c r="D416" s="103" t="n"/>
      <c r="E416" s="102" t="n"/>
      <c r="F416" s="104" t="n"/>
      <c r="G416" s="104" t="n"/>
      <c r="H416" s="102" t="n"/>
      <c r="I416" s="105" t="n"/>
      <c r="J416" s="105" t="n"/>
      <c r="K416" s="103" t="n"/>
      <c r="L416" s="103" t="n"/>
      <c r="M416" s="106" t="str">
        <f>IF(OR(D416="",E416=""),"",D416+IF(E416="NOTIFICAÇÃO DE CONSTATAÇÃO",PrazoConst,PrazoEsc))</f>
        <v/>
      </c>
      <c r="N416" s="107" t="str">
        <f>IF(M416="","",IF(ISNUMBER(L416),M416-L416,IF(G416="DECISÃO D.P","",M416-TODAY())))</f>
        <v/>
      </c>
      <c r="O416" s="108" t="str">
        <f>IF(B416="","",IF(ISNUMBER(L416),IF(N416="","SEM DATA",IF(N416&gt;=0,"DEFESA NO PRAZO","DEFESA FORA DO PRAZO")),IF(G416="DECISÃO D.P","SEM DEFESA",IF(G416="","SEM STATUS",IF(N416="","SEM DATA",IF(N416&lt;0,"VENCIDO",IF(N416&lt;=DiasAlerta,"VENCE EM BREVE","NO PRAZO")))))))</f>
        <v/>
      </c>
      <c r="P416" s="109" t="str">
        <f>IF(D416="","",TODAY()-D416)</f>
        <v/>
      </c>
      <c r="Q416" s="102" t="n"/>
    </row>
    <row r="417" ht="18" customHeight="1">
      <c r="A417" s="101" t="n"/>
      <c r="B417" s="102" t="n"/>
      <c r="C417" s="102" t="n"/>
      <c r="D417" s="103" t="n"/>
      <c r="E417" s="102" t="n"/>
      <c r="F417" s="104" t="n"/>
      <c r="G417" s="104" t="n"/>
      <c r="H417" s="102" t="n"/>
      <c r="I417" s="105" t="n"/>
      <c r="J417" s="105" t="n"/>
      <c r="K417" s="103" t="n"/>
      <c r="L417" s="103" t="n"/>
      <c r="M417" s="106" t="str">
        <f>IF(OR(D417="",E417=""),"",D417+IF(E417="NOTIFICAÇÃO DE CONSTATAÇÃO",PrazoConst,PrazoEsc))</f>
        <v/>
      </c>
      <c r="N417" s="107" t="str">
        <f>IF(M417="","",IF(ISNUMBER(L417),M417-L417,IF(G417="DECISÃO D.P","",M417-TODAY())))</f>
        <v/>
      </c>
      <c r="O417" s="108" t="str">
        <f>IF(B417="","",IF(ISNUMBER(L417),IF(N417="","SEM DATA",IF(N417&gt;=0,"DEFESA NO PRAZO","DEFESA FORA DO PRAZO")),IF(G417="DECISÃO D.P","SEM DEFESA",IF(G417="","SEM STATUS",IF(N417="","SEM DATA",IF(N417&lt;0,"VENCIDO",IF(N417&lt;=DiasAlerta,"VENCE EM BREVE","NO PRAZO")))))))</f>
        <v/>
      </c>
      <c r="P417" s="109" t="str">
        <f>IF(D417="","",TODAY()-D417)</f>
        <v/>
      </c>
      <c r="Q417" s="102" t="n"/>
    </row>
    <row r="418" ht="18" customHeight="1">
      <c r="A418" s="101" t="n"/>
      <c r="B418" s="102" t="n"/>
      <c r="C418" s="102" t="n"/>
      <c r="D418" s="103" t="n"/>
      <c r="E418" s="102" t="n"/>
      <c r="F418" s="104" t="n"/>
      <c r="G418" s="104" t="n"/>
      <c r="H418" s="102" t="n"/>
      <c r="I418" s="105" t="n"/>
      <c r="J418" s="105" t="n"/>
      <c r="K418" s="103" t="n"/>
      <c r="L418" s="103" t="n"/>
      <c r="M418" s="106" t="str">
        <f>IF(OR(D418="",E418=""),"",D418+IF(E418="NOTIFICAÇÃO DE CONSTATAÇÃO",PrazoConst,PrazoEsc))</f>
        <v/>
      </c>
      <c r="N418" s="107" t="str">
        <f>IF(M418="","",IF(ISNUMBER(L418),M418-L418,IF(G418="DECISÃO D.P","",M418-TODAY())))</f>
        <v/>
      </c>
      <c r="O418" s="108" t="str">
        <f>IF(B418="","",IF(ISNUMBER(L418),IF(N418="","SEM DATA",IF(N418&gt;=0,"DEFESA NO PRAZO","DEFESA FORA DO PRAZO")),IF(G418="DECISÃO D.P","SEM DEFESA",IF(G418="","SEM STATUS",IF(N418="","SEM DATA",IF(N418&lt;0,"VENCIDO",IF(N418&lt;=DiasAlerta,"VENCE EM BREVE","NO PRAZO")))))))</f>
        <v/>
      </c>
      <c r="P418" s="109" t="str">
        <f>IF(D418="","",TODAY()-D418)</f>
        <v/>
      </c>
      <c r="Q418" s="102" t="n"/>
    </row>
    <row r="419" ht="18" customHeight="1">
      <c r="A419" s="101" t="n"/>
      <c r="B419" s="102" t="n"/>
      <c r="C419" s="102" t="n"/>
      <c r="D419" s="103" t="n"/>
      <c r="E419" s="102" t="n"/>
      <c r="F419" s="104" t="n"/>
      <c r="G419" s="104" t="n"/>
      <c r="H419" s="102" t="n"/>
      <c r="I419" s="105" t="n"/>
      <c r="J419" s="105" t="n"/>
      <c r="K419" s="103" t="n"/>
      <c r="L419" s="103" t="n"/>
      <c r="M419" s="106" t="str">
        <f>IF(OR(D419="",E419=""),"",D419+IF(E419="NOTIFICAÇÃO DE CONSTATAÇÃO",PrazoConst,PrazoEsc))</f>
        <v/>
      </c>
      <c r="N419" s="107" t="str">
        <f>IF(M419="","",IF(ISNUMBER(L419),M419-L419,IF(G419="DECISÃO D.P","",M419-TODAY())))</f>
        <v/>
      </c>
      <c r="O419" s="108" t="str">
        <f>IF(B419="","",IF(ISNUMBER(L419),IF(N419="","SEM DATA",IF(N419&gt;=0,"DEFESA NO PRAZO","DEFESA FORA DO PRAZO")),IF(G419="DECISÃO D.P","SEM DEFESA",IF(G419="","SEM STATUS",IF(N419="","SEM DATA",IF(N419&lt;0,"VENCIDO",IF(N419&lt;=DiasAlerta,"VENCE EM BREVE","NO PRAZO")))))))</f>
        <v/>
      </c>
      <c r="P419" s="109" t="str">
        <f>IF(D419="","",TODAY()-D419)</f>
        <v/>
      </c>
      <c r="Q419" s="102" t="n"/>
    </row>
    <row r="420" ht="18" customHeight="1">
      <c r="A420" s="101" t="n"/>
      <c r="B420" s="102" t="n"/>
      <c r="C420" s="102" t="n"/>
      <c r="D420" s="103" t="n"/>
      <c r="E420" s="102" t="n"/>
      <c r="F420" s="104" t="n"/>
      <c r="G420" s="104" t="n"/>
      <c r="H420" s="102" t="n"/>
      <c r="I420" s="105" t="n"/>
      <c r="J420" s="105" t="n"/>
      <c r="K420" s="103" t="n"/>
      <c r="L420" s="103" t="n"/>
      <c r="M420" s="106" t="str">
        <f>IF(OR(D420="",E420=""),"",D420+IF(E420="NOTIFICAÇÃO DE CONSTATAÇÃO",PrazoConst,PrazoEsc))</f>
        <v/>
      </c>
      <c r="N420" s="107" t="str">
        <f>IF(M420="","",IF(ISNUMBER(L420),M420-L420,IF(G420="DECISÃO D.P","",M420-TODAY())))</f>
        <v/>
      </c>
      <c r="O420" s="108" t="str">
        <f>IF(B420="","",IF(ISNUMBER(L420),IF(N420="","SEM DATA",IF(N420&gt;=0,"DEFESA NO PRAZO","DEFESA FORA DO PRAZO")),IF(G420="DECISÃO D.P","SEM DEFESA",IF(G420="","SEM STATUS",IF(N420="","SEM DATA",IF(N420&lt;0,"VENCIDO",IF(N420&lt;=DiasAlerta,"VENCE EM BREVE","NO PRAZO")))))))</f>
        <v/>
      </c>
      <c r="P420" s="109" t="str">
        <f>IF(D420="","",TODAY()-D420)</f>
        <v/>
      </c>
      <c r="Q420" s="102" t="n"/>
    </row>
    <row r="421" ht="18" customHeight="1">
      <c r="A421" s="101" t="n"/>
      <c r="B421" s="102" t="n"/>
      <c r="C421" s="102" t="n"/>
      <c r="D421" s="103" t="n"/>
      <c r="E421" s="102" t="n"/>
      <c r="F421" s="104" t="n"/>
      <c r="G421" s="104" t="n"/>
      <c r="H421" s="102" t="n"/>
      <c r="I421" s="105" t="n"/>
      <c r="J421" s="105" t="n"/>
      <c r="K421" s="103" t="n"/>
      <c r="L421" s="103" t="n"/>
      <c r="M421" s="106" t="str">
        <f>IF(OR(D421="",E421=""),"",D421+IF(E421="NOTIFICAÇÃO DE CONSTATAÇÃO",PrazoConst,PrazoEsc))</f>
        <v/>
      </c>
      <c r="N421" s="107" t="str">
        <f>IF(M421="","",IF(ISNUMBER(L421),M421-L421,IF(G421="DECISÃO D.P","",M421-TODAY())))</f>
        <v/>
      </c>
      <c r="O421" s="108" t="str">
        <f>IF(B421="","",IF(ISNUMBER(L421),IF(N421="","SEM DATA",IF(N421&gt;=0,"DEFESA NO PRAZO","DEFESA FORA DO PRAZO")),IF(G421="DECISÃO D.P","SEM DEFESA",IF(G421="","SEM STATUS",IF(N421="","SEM DATA",IF(N421&lt;0,"VENCIDO",IF(N421&lt;=DiasAlerta,"VENCE EM BREVE","NO PRAZO")))))))</f>
        <v/>
      </c>
      <c r="P421" s="109" t="str">
        <f>IF(D421="","",TODAY()-D421)</f>
        <v/>
      </c>
      <c r="Q421" s="102" t="n"/>
    </row>
    <row r="422" ht="18" customHeight="1">
      <c r="A422" s="101" t="n"/>
      <c r="B422" s="102" t="n"/>
      <c r="C422" s="102" t="n"/>
      <c r="D422" s="103" t="n"/>
      <c r="E422" s="102" t="n"/>
      <c r="F422" s="104" t="n"/>
      <c r="G422" s="104" t="n"/>
      <c r="H422" s="102" t="n"/>
      <c r="I422" s="105" t="n"/>
      <c r="J422" s="105" t="n"/>
      <c r="K422" s="103" t="n"/>
      <c r="L422" s="103" t="n"/>
      <c r="M422" s="106" t="str">
        <f>IF(OR(D422="",E422=""),"",D422+IF(E422="NOTIFICAÇÃO DE CONSTATAÇÃO",PrazoConst,PrazoEsc))</f>
        <v/>
      </c>
      <c r="N422" s="107" t="str">
        <f>IF(M422="","",IF(ISNUMBER(L422),M422-L422,IF(G422="DECISÃO D.P","",M422-TODAY())))</f>
        <v/>
      </c>
      <c r="O422" s="108" t="str">
        <f>IF(B422="","",IF(ISNUMBER(L422),IF(N422="","SEM DATA",IF(N422&gt;=0,"DEFESA NO PRAZO","DEFESA FORA DO PRAZO")),IF(G422="DECISÃO D.P","SEM DEFESA",IF(G422="","SEM STATUS",IF(N422="","SEM DATA",IF(N422&lt;0,"VENCIDO",IF(N422&lt;=DiasAlerta,"VENCE EM BREVE","NO PRAZO")))))))</f>
        <v/>
      </c>
      <c r="P422" s="109" t="str">
        <f>IF(D422="","",TODAY()-D422)</f>
        <v/>
      </c>
      <c r="Q422" s="102" t="n"/>
    </row>
    <row r="423" ht="18" customHeight="1">
      <c r="A423" s="101" t="n"/>
      <c r="B423" s="102" t="n"/>
      <c r="C423" s="102" t="n"/>
      <c r="D423" s="103" t="n"/>
      <c r="E423" s="102" t="n"/>
      <c r="F423" s="104" t="n"/>
      <c r="G423" s="104" t="n"/>
      <c r="H423" s="102" t="n"/>
      <c r="I423" s="105" t="n"/>
      <c r="J423" s="105" t="n"/>
      <c r="K423" s="103" t="n"/>
      <c r="L423" s="103" t="n"/>
      <c r="M423" s="106" t="str">
        <f>IF(OR(D423="",E423=""),"",D423+IF(E423="NOTIFICAÇÃO DE CONSTATAÇÃO",PrazoConst,PrazoEsc))</f>
        <v/>
      </c>
      <c r="N423" s="107" t="str">
        <f>IF(M423="","",IF(ISNUMBER(L423),M423-L423,IF(G423="DECISÃO D.P","",M423-TODAY())))</f>
        <v/>
      </c>
      <c r="O423" s="108" t="str">
        <f>IF(B423="","",IF(ISNUMBER(L423),IF(N423="","SEM DATA",IF(N423&gt;=0,"DEFESA NO PRAZO","DEFESA FORA DO PRAZO")),IF(G423="DECISÃO D.P","SEM DEFESA",IF(G423="","SEM STATUS",IF(N423="","SEM DATA",IF(N423&lt;0,"VENCIDO",IF(N423&lt;=DiasAlerta,"VENCE EM BREVE","NO PRAZO")))))))</f>
        <v/>
      </c>
      <c r="P423" s="109" t="str">
        <f>IF(D423="","",TODAY()-D423)</f>
        <v/>
      </c>
      <c r="Q423" s="102" t="n"/>
    </row>
    <row r="424" ht="18" customHeight="1">
      <c r="A424" s="101" t="n"/>
      <c r="B424" s="102" t="n"/>
      <c r="C424" s="102" t="n"/>
      <c r="D424" s="103" t="n"/>
      <c r="E424" s="102" t="n"/>
      <c r="F424" s="104" t="n"/>
      <c r="G424" s="104" t="n"/>
      <c r="H424" s="102" t="n"/>
      <c r="I424" s="105" t="n"/>
      <c r="J424" s="105" t="n"/>
      <c r="K424" s="103" t="n"/>
      <c r="L424" s="103" t="n"/>
      <c r="M424" s="106" t="str">
        <f>IF(OR(D424="",E424=""),"",D424+IF(E424="NOTIFICAÇÃO DE CONSTATAÇÃO",PrazoConst,PrazoEsc))</f>
        <v/>
      </c>
      <c r="N424" s="107" t="str">
        <f>IF(M424="","",IF(ISNUMBER(L424),M424-L424,IF(G424="DECISÃO D.P","",M424-TODAY())))</f>
        <v/>
      </c>
      <c r="O424" s="108" t="str">
        <f>IF(B424="","",IF(ISNUMBER(L424),IF(N424="","SEM DATA",IF(N424&gt;=0,"DEFESA NO PRAZO","DEFESA FORA DO PRAZO")),IF(G424="DECISÃO D.P","SEM DEFESA",IF(G424="","SEM STATUS",IF(N424="","SEM DATA",IF(N424&lt;0,"VENCIDO",IF(N424&lt;=DiasAlerta,"VENCE EM BREVE","NO PRAZO")))))))</f>
        <v/>
      </c>
      <c r="P424" s="109" t="str">
        <f>IF(D424="","",TODAY()-D424)</f>
        <v/>
      </c>
      <c r="Q424" s="102" t="n"/>
    </row>
    <row r="425" ht="18" customHeight="1">
      <c r="A425" s="101" t="n"/>
      <c r="B425" s="102" t="n"/>
      <c r="C425" s="102" t="n"/>
      <c r="D425" s="103" t="n"/>
      <c r="E425" s="102" t="n"/>
      <c r="F425" s="104" t="n"/>
      <c r="G425" s="104" t="n"/>
      <c r="H425" s="102" t="n"/>
      <c r="I425" s="105" t="n"/>
      <c r="J425" s="105" t="n"/>
      <c r="K425" s="103" t="n"/>
      <c r="L425" s="103" t="n"/>
      <c r="M425" s="106" t="str">
        <f>IF(OR(D425="",E425=""),"",D425+IF(E425="NOTIFICAÇÃO DE CONSTATAÇÃO",PrazoConst,PrazoEsc))</f>
        <v/>
      </c>
      <c r="N425" s="107" t="str">
        <f>IF(M425="","",IF(ISNUMBER(L425),M425-L425,IF(G425="DECISÃO D.P","",M425-TODAY())))</f>
        <v/>
      </c>
      <c r="O425" s="108" t="str">
        <f>IF(B425="","",IF(ISNUMBER(L425),IF(N425="","SEM DATA",IF(N425&gt;=0,"DEFESA NO PRAZO","DEFESA FORA DO PRAZO")),IF(G425="DECISÃO D.P","SEM DEFESA",IF(G425="","SEM STATUS",IF(N425="","SEM DATA",IF(N425&lt;0,"VENCIDO",IF(N425&lt;=DiasAlerta,"VENCE EM BREVE","NO PRAZO")))))))</f>
        <v/>
      </c>
      <c r="P425" s="109" t="str">
        <f>IF(D425="","",TODAY()-D425)</f>
        <v/>
      </c>
      <c r="Q425" s="102" t="n"/>
    </row>
    <row r="426" ht="18" customHeight="1">
      <c r="A426" s="101" t="n"/>
      <c r="B426" s="102" t="n"/>
      <c r="C426" s="102" t="n"/>
      <c r="D426" s="103" t="n"/>
      <c r="E426" s="102" t="n"/>
      <c r="F426" s="104" t="n"/>
      <c r="G426" s="104" t="n"/>
      <c r="H426" s="102" t="n"/>
      <c r="I426" s="105" t="n"/>
      <c r="J426" s="105" t="n"/>
      <c r="K426" s="103" t="n"/>
      <c r="L426" s="103" t="n"/>
      <c r="M426" s="106" t="str">
        <f>IF(OR(D426="",E426=""),"",D426+IF(E426="NOTIFICAÇÃO DE CONSTATAÇÃO",PrazoConst,PrazoEsc))</f>
        <v/>
      </c>
      <c r="N426" s="107" t="str">
        <f>IF(M426="","",IF(ISNUMBER(L426),M426-L426,IF(G426="DECISÃO D.P","",M426-TODAY())))</f>
        <v/>
      </c>
      <c r="O426" s="108" t="str">
        <f>IF(B426="","",IF(ISNUMBER(L426),IF(N426="","SEM DATA",IF(N426&gt;=0,"DEFESA NO PRAZO","DEFESA FORA DO PRAZO")),IF(G426="DECISÃO D.P","SEM DEFESA",IF(G426="","SEM STATUS",IF(N426="","SEM DATA",IF(N426&lt;0,"VENCIDO",IF(N426&lt;=DiasAlerta,"VENCE EM BREVE","NO PRAZO")))))))</f>
        <v/>
      </c>
      <c r="P426" s="109" t="str">
        <f>IF(D426="","",TODAY()-D426)</f>
        <v/>
      </c>
      <c r="Q426" s="102" t="n"/>
    </row>
    <row r="427" ht="18" customHeight="1">
      <c r="A427" s="101" t="n"/>
      <c r="B427" s="102" t="n"/>
      <c r="C427" s="102" t="n"/>
      <c r="D427" s="103" t="n"/>
      <c r="E427" s="102" t="n"/>
      <c r="F427" s="104" t="n"/>
      <c r="G427" s="104" t="n"/>
      <c r="H427" s="102" t="n"/>
      <c r="I427" s="105" t="n"/>
      <c r="J427" s="105" t="n"/>
      <c r="K427" s="103" t="n"/>
      <c r="L427" s="103" t="n"/>
      <c r="M427" s="106" t="str">
        <f>IF(OR(D427="",E427=""),"",D427+IF(E427="NOTIFICAÇÃO DE CONSTATAÇÃO",PrazoConst,PrazoEsc))</f>
        <v/>
      </c>
      <c r="N427" s="107" t="str">
        <f>IF(M427="","",IF(ISNUMBER(L427),M427-L427,IF(G427="DECISÃO D.P","",M427-TODAY())))</f>
        <v/>
      </c>
      <c r="O427" s="108" t="str">
        <f>IF(B427="","",IF(ISNUMBER(L427),IF(N427="","SEM DATA",IF(N427&gt;=0,"DEFESA NO PRAZO","DEFESA FORA DO PRAZO")),IF(G427="DECISÃO D.P","SEM DEFESA",IF(G427="","SEM STATUS",IF(N427="","SEM DATA",IF(N427&lt;0,"VENCIDO",IF(N427&lt;=DiasAlerta,"VENCE EM BREVE","NO PRAZO")))))))</f>
        <v/>
      </c>
      <c r="P427" s="109" t="str">
        <f>IF(D427="","",TODAY()-D427)</f>
        <v/>
      </c>
      <c r="Q427" s="102" t="n"/>
    </row>
    <row r="428" ht="18" customHeight="1">
      <c r="A428" s="101" t="n"/>
      <c r="B428" s="102" t="n"/>
      <c r="C428" s="102" t="n"/>
      <c r="D428" s="103" t="n"/>
      <c r="E428" s="102" t="n"/>
      <c r="F428" s="104" t="n"/>
      <c r="G428" s="104" t="n"/>
      <c r="H428" s="102" t="n"/>
      <c r="I428" s="105" t="n"/>
      <c r="J428" s="105" t="n"/>
      <c r="K428" s="103" t="n"/>
      <c r="L428" s="103" t="n"/>
      <c r="M428" s="106" t="str">
        <f>IF(OR(D428="",E428=""),"",D428+IF(E428="NOTIFICAÇÃO DE CONSTATAÇÃO",PrazoConst,PrazoEsc))</f>
        <v/>
      </c>
      <c r="N428" s="107" t="str">
        <f>IF(M428="","",IF(ISNUMBER(L428),M428-L428,IF(G428="DECISÃO D.P","",M428-TODAY())))</f>
        <v/>
      </c>
      <c r="O428" s="108" t="str">
        <f>IF(B428="","",IF(ISNUMBER(L428),IF(N428="","SEM DATA",IF(N428&gt;=0,"DEFESA NO PRAZO","DEFESA FORA DO PRAZO")),IF(G428="DECISÃO D.P","SEM DEFESA",IF(G428="","SEM STATUS",IF(N428="","SEM DATA",IF(N428&lt;0,"VENCIDO",IF(N428&lt;=DiasAlerta,"VENCE EM BREVE","NO PRAZO")))))))</f>
        <v/>
      </c>
      <c r="P428" s="109" t="str">
        <f>IF(D428="","",TODAY()-D428)</f>
        <v/>
      </c>
      <c r="Q428" s="102" t="n"/>
    </row>
    <row r="429" ht="18" customHeight="1">
      <c r="A429" s="101" t="n"/>
      <c r="B429" s="102" t="n"/>
      <c r="C429" s="102" t="n"/>
      <c r="D429" s="103" t="n"/>
      <c r="E429" s="102" t="n"/>
      <c r="F429" s="104" t="n"/>
      <c r="G429" s="104" t="n"/>
      <c r="H429" s="102" t="n"/>
      <c r="I429" s="105" t="n"/>
      <c r="J429" s="105" t="n"/>
      <c r="K429" s="103" t="n"/>
      <c r="L429" s="103" t="n"/>
      <c r="M429" s="106" t="str">
        <f>IF(OR(D429="",E429=""),"",D429+IF(E429="NOTIFICAÇÃO DE CONSTATAÇÃO",PrazoConst,PrazoEsc))</f>
        <v/>
      </c>
      <c r="N429" s="107" t="str">
        <f>IF(M429="","",IF(ISNUMBER(L429),M429-L429,IF(G429="DECISÃO D.P","",M429-TODAY())))</f>
        <v/>
      </c>
      <c r="O429" s="108" t="str">
        <f>IF(B429="","",IF(ISNUMBER(L429),IF(N429="","SEM DATA",IF(N429&gt;=0,"DEFESA NO PRAZO","DEFESA FORA DO PRAZO")),IF(G429="DECISÃO D.P","SEM DEFESA",IF(G429="","SEM STATUS",IF(N429="","SEM DATA",IF(N429&lt;0,"VENCIDO",IF(N429&lt;=DiasAlerta,"VENCE EM BREVE","NO PRAZO")))))))</f>
        <v/>
      </c>
      <c r="P429" s="109" t="str">
        <f>IF(D429="","",TODAY()-D429)</f>
        <v/>
      </c>
      <c r="Q429" s="102" t="n"/>
    </row>
    <row r="430" ht="18" customHeight="1">
      <c r="A430" s="101" t="n"/>
      <c r="B430" s="102" t="n"/>
      <c r="C430" s="102" t="n"/>
      <c r="D430" s="103" t="n"/>
      <c r="E430" s="102" t="n"/>
      <c r="F430" s="104" t="n"/>
      <c r="G430" s="104" t="n"/>
      <c r="H430" s="102" t="n"/>
      <c r="I430" s="105" t="n"/>
      <c r="J430" s="105" t="n"/>
      <c r="K430" s="103" t="n"/>
      <c r="L430" s="103" t="n"/>
      <c r="M430" s="106" t="str">
        <f>IF(OR(D430="",E430=""),"",D430+IF(E430="NOTIFICAÇÃO DE CONSTATAÇÃO",PrazoConst,PrazoEsc))</f>
        <v/>
      </c>
      <c r="N430" s="107" t="str">
        <f>IF(M430="","",IF(ISNUMBER(L430),M430-L430,IF(G430="DECISÃO D.P","",M430-TODAY())))</f>
        <v/>
      </c>
      <c r="O430" s="108" t="str">
        <f>IF(B430="","",IF(ISNUMBER(L430),IF(N430="","SEM DATA",IF(N430&gt;=0,"DEFESA NO PRAZO","DEFESA FORA DO PRAZO")),IF(G430="DECISÃO D.P","SEM DEFESA",IF(G430="","SEM STATUS",IF(N430="","SEM DATA",IF(N430&lt;0,"VENCIDO",IF(N430&lt;=DiasAlerta,"VENCE EM BREVE","NO PRAZO")))))))</f>
        <v/>
      </c>
      <c r="P430" s="109" t="str">
        <f>IF(D430="","",TODAY()-D430)</f>
        <v/>
      </c>
      <c r="Q430" s="102" t="n"/>
    </row>
    <row r="431" ht="18" customHeight="1">
      <c r="A431" s="101" t="n"/>
      <c r="B431" s="102" t="n"/>
      <c r="C431" s="102" t="n"/>
      <c r="D431" s="103" t="n"/>
      <c r="E431" s="102" t="n"/>
      <c r="F431" s="104" t="n"/>
      <c r="G431" s="104" t="n"/>
      <c r="H431" s="102" t="n"/>
      <c r="I431" s="105" t="n"/>
      <c r="J431" s="105" t="n"/>
      <c r="K431" s="103" t="n"/>
      <c r="L431" s="103" t="n"/>
      <c r="M431" s="106" t="str">
        <f>IF(OR(D431="",E431=""),"",D431+IF(E431="NOTIFICAÇÃO DE CONSTATAÇÃO",PrazoConst,PrazoEsc))</f>
        <v/>
      </c>
      <c r="N431" s="107" t="str">
        <f>IF(M431="","",IF(ISNUMBER(L431),M431-L431,IF(G431="DECISÃO D.P","",M431-TODAY())))</f>
        <v/>
      </c>
      <c r="O431" s="108" t="str">
        <f>IF(B431="","",IF(ISNUMBER(L431),IF(N431="","SEM DATA",IF(N431&gt;=0,"DEFESA NO PRAZO","DEFESA FORA DO PRAZO")),IF(G431="DECISÃO D.P","SEM DEFESA",IF(G431="","SEM STATUS",IF(N431="","SEM DATA",IF(N431&lt;0,"VENCIDO",IF(N431&lt;=DiasAlerta,"VENCE EM BREVE","NO PRAZO")))))))</f>
        <v/>
      </c>
      <c r="P431" s="109" t="str">
        <f>IF(D431="","",TODAY()-D431)</f>
        <v/>
      </c>
      <c r="Q431" s="102" t="n"/>
    </row>
    <row r="432" ht="18" customHeight="1">
      <c r="A432" s="101" t="n"/>
      <c r="B432" s="102" t="n"/>
      <c r="C432" s="102" t="n"/>
      <c r="D432" s="103" t="n"/>
      <c r="E432" s="102" t="n"/>
      <c r="F432" s="104" t="n"/>
      <c r="G432" s="104" t="n"/>
      <c r="H432" s="102" t="n"/>
      <c r="I432" s="105" t="n"/>
      <c r="J432" s="105" t="n"/>
      <c r="K432" s="103" t="n"/>
      <c r="L432" s="103" t="n"/>
      <c r="M432" s="106" t="str">
        <f>IF(OR(D432="",E432=""),"",D432+IF(E432="NOTIFICAÇÃO DE CONSTATAÇÃO",PrazoConst,PrazoEsc))</f>
        <v/>
      </c>
      <c r="N432" s="107" t="str">
        <f>IF(M432="","",IF(ISNUMBER(L432),M432-L432,IF(G432="DECISÃO D.P","",M432-TODAY())))</f>
        <v/>
      </c>
      <c r="O432" s="108" t="str">
        <f>IF(B432="","",IF(ISNUMBER(L432),IF(N432="","SEM DATA",IF(N432&gt;=0,"DEFESA NO PRAZO","DEFESA FORA DO PRAZO")),IF(G432="DECISÃO D.P","SEM DEFESA",IF(G432="","SEM STATUS",IF(N432="","SEM DATA",IF(N432&lt;0,"VENCIDO",IF(N432&lt;=DiasAlerta,"VENCE EM BREVE","NO PRAZO")))))))</f>
        <v/>
      </c>
      <c r="P432" s="109" t="str">
        <f>IF(D432="","",TODAY()-D432)</f>
        <v/>
      </c>
      <c r="Q432" s="102" t="n"/>
    </row>
    <row r="433" ht="18" customHeight="1">
      <c r="A433" s="101" t="n"/>
      <c r="B433" s="102" t="n"/>
      <c r="C433" s="102" t="n"/>
      <c r="D433" s="103" t="n"/>
      <c r="E433" s="102" t="n"/>
      <c r="F433" s="104" t="n"/>
      <c r="G433" s="104" t="n"/>
      <c r="H433" s="102" t="n"/>
      <c r="I433" s="105" t="n"/>
      <c r="J433" s="105" t="n"/>
      <c r="K433" s="103" t="n"/>
      <c r="L433" s="103" t="n"/>
      <c r="M433" s="106" t="str">
        <f>IF(OR(D433="",E433=""),"",D433+IF(E433="NOTIFICAÇÃO DE CONSTATAÇÃO",PrazoConst,PrazoEsc))</f>
        <v/>
      </c>
      <c r="N433" s="107" t="str">
        <f>IF(M433="","",IF(ISNUMBER(L433),M433-L433,IF(G433="DECISÃO D.P","",M433-TODAY())))</f>
        <v/>
      </c>
      <c r="O433" s="108" t="str">
        <f>IF(B433="","",IF(ISNUMBER(L433),IF(N433="","SEM DATA",IF(N433&gt;=0,"DEFESA NO PRAZO","DEFESA FORA DO PRAZO")),IF(G433="DECISÃO D.P","SEM DEFESA",IF(G433="","SEM STATUS",IF(N433="","SEM DATA",IF(N433&lt;0,"VENCIDO",IF(N433&lt;=DiasAlerta,"VENCE EM BREVE","NO PRAZO")))))))</f>
        <v/>
      </c>
      <c r="P433" s="109" t="str">
        <f>IF(D433="","",TODAY()-D433)</f>
        <v/>
      </c>
      <c r="Q433" s="102" t="n"/>
    </row>
    <row r="434" ht="18" customHeight="1">
      <c r="A434" s="101" t="n"/>
      <c r="B434" s="102" t="n"/>
      <c r="C434" s="102" t="n"/>
      <c r="D434" s="103" t="n"/>
      <c r="E434" s="102" t="n"/>
      <c r="F434" s="104" t="n"/>
      <c r="G434" s="104" t="n"/>
      <c r="H434" s="102" t="n"/>
      <c r="I434" s="105" t="n"/>
      <c r="J434" s="105" t="n"/>
      <c r="K434" s="103" t="n"/>
      <c r="L434" s="103" t="n"/>
      <c r="M434" s="106" t="str">
        <f>IF(OR(D434="",E434=""),"",D434+IF(E434="NOTIFICAÇÃO DE CONSTATAÇÃO",PrazoConst,PrazoEsc))</f>
        <v/>
      </c>
      <c r="N434" s="107" t="str">
        <f>IF(M434="","",IF(ISNUMBER(L434),M434-L434,IF(G434="DECISÃO D.P","",M434-TODAY())))</f>
        <v/>
      </c>
      <c r="O434" s="108" t="str">
        <f>IF(B434="","",IF(ISNUMBER(L434),IF(N434="","SEM DATA",IF(N434&gt;=0,"DEFESA NO PRAZO","DEFESA FORA DO PRAZO")),IF(G434="DECISÃO D.P","SEM DEFESA",IF(G434="","SEM STATUS",IF(N434="","SEM DATA",IF(N434&lt;0,"VENCIDO",IF(N434&lt;=DiasAlerta,"VENCE EM BREVE","NO PRAZO")))))))</f>
        <v/>
      </c>
      <c r="P434" s="109" t="str">
        <f>IF(D434="","",TODAY()-D434)</f>
        <v/>
      </c>
      <c r="Q434" s="102" t="n"/>
    </row>
    <row r="435" ht="18" customHeight="1">
      <c r="A435" s="101" t="n"/>
      <c r="B435" s="102" t="n"/>
      <c r="C435" s="102" t="n"/>
      <c r="D435" s="103" t="n"/>
      <c r="E435" s="102" t="n"/>
      <c r="F435" s="104" t="n"/>
      <c r="G435" s="104" t="n"/>
      <c r="H435" s="102" t="n"/>
      <c r="I435" s="105" t="n"/>
      <c r="J435" s="105" t="n"/>
      <c r="K435" s="103" t="n"/>
      <c r="L435" s="103" t="n"/>
      <c r="M435" s="106" t="str">
        <f>IF(OR(D435="",E435=""),"",D435+IF(E435="NOTIFICAÇÃO DE CONSTATAÇÃO",PrazoConst,PrazoEsc))</f>
        <v/>
      </c>
      <c r="N435" s="107" t="str">
        <f>IF(M435="","",IF(ISNUMBER(L435),M435-L435,IF(G435="DECISÃO D.P","",M435-TODAY())))</f>
        <v/>
      </c>
      <c r="O435" s="108" t="str">
        <f>IF(B435="","",IF(ISNUMBER(L435),IF(N435="","SEM DATA",IF(N435&gt;=0,"DEFESA NO PRAZO","DEFESA FORA DO PRAZO")),IF(G435="DECISÃO D.P","SEM DEFESA",IF(G435="","SEM STATUS",IF(N435="","SEM DATA",IF(N435&lt;0,"VENCIDO",IF(N435&lt;=DiasAlerta,"VENCE EM BREVE","NO PRAZO")))))))</f>
        <v/>
      </c>
      <c r="P435" s="109" t="str">
        <f>IF(D435="","",TODAY()-D435)</f>
        <v/>
      </c>
      <c r="Q435" s="102" t="n"/>
    </row>
    <row r="436" ht="18" customHeight="1">
      <c r="A436" s="101" t="n"/>
      <c r="B436" s="102" t="n"/>
      <c r="C436" s="102" t="n"/>
      <c r="D436" s="103" t="n"/>
      <c r="E436" s="102" t="n"/>
      <c r="F436" s="104" t="n"/>
      <c r="G436" s="104" t="n"/>
      <c r="H436" s="102" t="n"/>
      <c r="I436" s="105" t="n"/>
      <c r="J436" s="105" t="n"/>
      <c r="K436" s="103" t="n"/>
      <c r="L436" s="103" t="n"/>
      <c r="M436" s="106" t="str">
        <f>IF(OR(D436="",E436=""),"",D436+IF(E436="NOTIFICAÇÃO DE CONSTATAÇÃO",PrazoConst,PrazoEsc))</f>
        <v/>
      </c>
      <c r="N436" s="107" t="str">
        <f>IF(M436="","",IF(ISNUMBER(L436),M436-L436,IF(G436="DECISÃO D.P","",M436-TODAY())))</f>
        <v/>
      </c>
      <c r="O436" s="108" t="str">
        <f>IF(B436="","",IF(ISNUMBER(L436),IF(N436="","SEM DATA",IF(N436&gt;=0,"DEFESA NO PRAZO","DEFESA FORA DO PRAZO")),IF(G436="DECISÃO D.P","SEM DEFESA",IF(G436="","SEM STATUS",IF(N436="","SEM DATA",IF(N436&lt;0,"VENCIDO",IF(N436&lt;=DiasAlerta,"VENCE EM BREVE","NO PRAZO")))))))</f>
        <v/>
      </c>
      <c r="P436" s="109" t="str">
        <f>IF(D436="","",TODAY()-D436)</f>
        <v/>
      </c>
      <c r="Q436" s="102" t="n"/>
    </row>
    <row r="437" ht="18" customHeight="1">
      <c r="A437" s="101" t="n"/>
      <c r="B437" s="102" t="n"/>
      <c r="C437" s="102" t="n"/>
      <c r="D437" s="103" t="n"/>
      <c r="E437" s="102" t="n"/>
      <c r="F437" s="104" t="n"/>
      <c r="G437" s="104" t="n"/>
      <c r="H437" s="102" t="n"/>
      <c r="I437" s="105" t="n"/>
      <c r="J437" s="105" t="n"/>
      <c r="K437" s="103" t="n"/>
      <c r="L437" s="103" t="n"/>
      <c r="M437" s="106" t="str">
        <f>IF(OR(D437="",E437=""),"",D437+IF(E437="NOTIFICAÇÃO DE CONSTATAÇÃO",PrazoConst,PrazoEsc))</f>
        <v/>
      </c>
      <c r="N437" s="107" t="str">
        <f>IF(M437="","",IF(ISNUMBER(L437),M437-L437,IF(G437="DECISÃO D.P","",M437-TODAY())))</f>
        <v/>
      </c>
      <c r="O437" s="108" t="str">
        <f>IF(B437="","",IF(ISNUMBER(L437),IF(N437="","SEM DATA",IF(N437&gt;=0,"DEFESA NO PRAZO","DEFESA FORA DO PRAZO")),IF(G437="DECISÃO D.P","SEM DEFESA",IF(G437="","SEM STATUS",IF(N437="","SEM DATA",IF(N437&lt;0,"VENCIDO",IF(N437&lt;=DiasAlerta,"VENCE EM BREVE","NO PRAZO")))))))</f>
        <v/>
      </c>
      <c r="P437" s="109" t="str">
        <f>IF(D437="","",TODAY()-D437)</f>
        <v/>
      </c>
      <c r="Q437" s="102" t="n"/>
    </row>
    <row r="438" ht="18" customHeight="1">
      <c r="A438" s="101" t="n"/>
      <c r="B438" s="102" t="n"/>
      <c r="C438" s="102" t="n"/>
      <c r="D438" s="103" t="n"/>
      <c r="E438" s="102" t="n"/>
      <c r="F438" s="104" t="n"/>
      <c r="G438" s="104" t="n"/>
      <c r="H438" s="102" t="n"/>
      <c r="I438" s="105" t="n"/>
      <c r="J438" s="105" t="n"/>
      <c r="K438" s="103" t="n"/>
      <c r="L438" s="103" t="n"/>
      <c r="M438" s="106" t="str">
        <f>IF(OR(D438="",E438=""),"",D438+IF(E438="NOTIFICAÇÃO DE CONSTATAÇÃO",PrazoConst,PrazoEsc))</f>
        <v/>
      </c>
      <c r="N438" s="107" t="str">
        <f>IF(M438="","",IF(ISNUMBER(L438),M438-L438,IF(G438="DECISÃO D.P","",M438-TODAY())))</f>
        <v/>
      </c>
      <c r="O438" s="108" t="str">
        <f>IF(B438="","",IF(ISNUMBER(L438),IF(N438="","SEM DATA",IF(N438&gt;=0,"DEFESA NO PRAZO","DEFESA FORA DO PRAZO")),IF(G438="DECISÃO D.P","SEM DEFESA",IF(G438="","SEM STATUS",IF(N438="","SEM DATA",IF(N438&lt;0,"VENCIDO",IF(N438&lt;=DiasAlerta,"VENCE EM BREVE","NO PRAZO")))))))</f>
        <v/>
      </c>
      <c r="P438" s="109" t="str">
        <f>IF(D438="","",TODAY()-D438)</f>
        <v/>
      </c>
      <c r="Q438" s="102" t="n"/>
    </row>
    <row r="439" ht="18" customHeight="1">
      <c r="A439" s="101" t="n"/>
      <c r="B439" s="102" t="n"/>
      <c r="C439" s="102" t="n"/>
      <c r="D439" s="103" t="n"/>
      <c r="E439" s="102" t="n"/>
      <c r="F439" s="104" t="n"/>
      <c r="G439" s="104" t="n"/>
      <c r="H439" s="102" t="n"/>
      <c r="I439" s="105" t="n"/>
      <c r="J439" s="105" t="n"/>
      <c r="K439" s="103" t="n"/>
      <c r="L439" s="103" t="n"/>
      <c r="M439" s="106" t="str">
        <f>IF(OR(D439="",E439=""),"",D439+IF(E439="NOTIFICAÇÃO DE CONSTATAÇÃO",PrazoConst,PrazoEsc))</f>
        <v/>
      </c>
      <c r="N439" s="107" t="str">
        <f>IF(M439="","",IF(ISNUMBER(L439),M439-L439,IF(G439="DECISÃO D.P","",M439-TODAY())))</f>
        <v/>
      </c>
      <c r="O439" s="108" t="str">
        <f>IF(B439="","",IF(ISNUMBER(L439),IF(N439="","SEM DATA",IF(N439&gt;=0,"DEFESA NO PRAZO","DEFESA FORA DO PRAZO")),IF(G439="DECISÃO D.P","SEM DEFESA",IF(G439="","SEM STATUS",IF(N439="","SEM DATA",IF(N439&lt;0,"VENCIDO",IF(N439&lt;=DiasAlerta,"VENCE EM BREVE","NO PRAZO")))))))</f>
        <v/>
      </c>
      <c r="P439" s="109" t="str">
        <f>IF(D439="","",TODAY()-D439)</f>
        <v/>
      </c>
      <c r="Q439" s="102" t="n"/>
    </row>
    <row r="440" ht="18" customHeight="1">
      <c r="A440" s="101" t="n"/>
      <c r="B440" s="102" t="n"/>
      <c r="C440" s="102" t="n"/>
      <c r="D440" s="103" t="n"/>
      <c r="E440" s="102" t="n"/>
      <c r="F440" s="104" t="n"/>
      <c r="G440" s="104" t="n"/>
      <c r="H440" s="102" t="n"/>
      <c r="I440" s="105" t="n"/>
      <c r="J440" s="105" t="n"/>
      <c r="K440" s="103" t="n"/>
      <c r="L440" s="103" t="n"/>
      <c r="M440" s="106" t="str">
        <f>IF(OR(D440="",E440=""),"",D440+IF(E440="NOTIFICAÇÃO DE CONSTATAÇÃO",PrazoConst,PrazoEsc))</f>
        <v/>
      </c>
      <c r="N440" s="107" t="str">
        <f>IF(M440="","",IF(ISNUMBER(L440),M440-L440,IF(G440="DECISÃO D.P","",M440-TODAY())))</f>
        <v/>
      </c>
      <c r="O440" s="108" t="str">
        <f>IF(B440="","",IF(ISNUMBER(L440),IF(N440="","SEM DATA",IF(N440&gt;=0,"DEFESA NO PRAZO","DEFESA FORA DO PRAZO")),IF(G440="DECISÃO D.P","SEM DEFESA",IF(G440="","SEM STATUS",IF(N440="","SEM DATA",IF(N440&lt;0,"VENCIDO",IF(N440&lt;=DiasAlerta,"VENCE EM BREVE","NO PRAZO")))))))</f>
        <v/>
      </c>
      <c r="P440" s="109" t="str">
        <f>IF(D440="","",TODAY()-D440)</f>
        <v/>
      </c>
      <c r="Q440" s="102" t="n"/>
    </row>
    <row r="441" ht="18" customHeight="1">
      <c r="A441" s="101" t="n"/>
      <c r="B441" s="102" t="n"/>
      <c r="C441" s="102" t="n"/>
      <c r="D441" s="103" t="n"/>
      <c r="E441" s="102" t="n"/>
      <c r="F441" s="104" t="n"/>
      <c r="G441" s="104" t="n"/>
      <c r="H441" s="102" t="n"/>
      <c r="I441" s="105" t="n"/>
      <c r="J441" s="105" t="n"/>
      <c r="K441" s="103" t="n"/>
      <c r="L441" s="103" t="n"/>
      <c r="M441" s="106" t="str">
        <f>IF(OR(D441="",E441=""),"",D441+IF(E441="NOTIFICAÇÃO DE CONSTATAÇÃO",PrazoConst,PrazoEsc))</f>
        <v/>
      </c>
      <c r="N441" s="107" t="str">
        <f>IF(M441="","",IF(ISNUMBER(L441),M441-L441,IF(G441="DECISÃO D.P","",M441-TODAY())))</f>
        <v/>
      </c>
      <c r="O441" s="108" t="str">
        <f>IF(B441="","",IF(ISNUMBER(L441),IF(N441="","SEM DATA",IF(N441&gt;=0,"DEFESA NO PRAZO","DEFESA FORA DO PRAZO")),IF(G441="DECISÃO D.P","SEM DEFESA",IF(G441="","SEM STATUS",IF(N441="","SEM DATA",IF(N441&lt;0,"VENCIDO",IF(N441&lt;=DiasAlerta,"VENCE EM BREVE","NO PRAZO")))))))</f>
        <v/>
      </c>
      <c r="P441" s="109" t="str">
        <f>IF(D441="","",TODAY()-D441)</f>
        <v/>
      </c>
      <c r="Q441" s="102" t="n"/>
    </row>
    <row r="442" ht="18" customHeight="1">
      <c r="A442" s="101" t="n"/>
      <c r="B442" s="102" t="n"/>
      <c r="C442" s="102" t="n"/>
      <c r="D442" s="103" t="n"/>
      <c r="E442" s="102" t="n"/>
      <c r="F442" s="104" t="n"/>
      <c r="G442" s="104" t="n"/>
      <c r="H442" s="102" t="n"/>
      <c r="I442" s="105" t="n"/>
      <c r="J442" s="105" t="n"/>
      <c r="K442" s="103" t="n"/>
      <c r="L442" s="103" t="n"/>
      <c r="M442" s="106" t="str">
        <f>IF(OR(D442="",E442=""),"",D442+IF(E442="NOTIFICAÇÃO DE CONSTATAÇÃO",PrazoConst,PrazoEsc))</f>
        <v/>
      </c>
      <c r="N442" s="107" t="str">
        <f>IF(M442="","",IF(ISNUMBER(L442),M442-L442,IF(G442="DECISÃO D.P","",M442-TODAY())))</f>
        <v/>
      </c>
      <c r="O442" s="108" t="str">
        <f>IF(B442="","",IF(ISNUMBER(L442),IF(N442="","SEM DATA",IF(N442&gt;=0,"DEFESA NO PRAZO","DEFESA FORA DO PRAZO")),IF(G442="DECISÃO D.P","SEM DEFESA",IF(G442="","SEM STATUS",IF(N442="","SEM DATA",IF(N442&lt;0,"VENCIDO",IF(N442&lt;=DiasAlerta,"VENCE EM BREVE","NO PRAZO")))))))</f>
        <v/>
      </c>
      <c r="P442" s="109" t="str">
        <f>IF(D442="","",TODAY()-D442)</f>
        <v/>
      </c>
      <c r="Q442" s="102" t="n"/>
    </row>
    <row r="443" ht="18" customHeight="1">
      <c r="A443" s="101" t="n"/>
      <c r="B443" s="102" t="n"/>
      <c r="C443" s="102" t="n"/>
      <c r="D443" s="103" t="n"/>
      <c r="E443" s="102" t="n"/>
      <c r="F443" s="104" t="n"/>
      <c r="G443" s="104" t="n"/>
      <c r="H443" s="102" t="n"/>
      <c r="I443" s="105" t="n"/>
      <c r="J443" s="105" t="n"/>
      <c r="K443" s="103" t="n"/>
      <c r="L443" s="103" t="n"/>
      <c r="M443" s="106" t="str">
        <f>IF(OR(D443="",E443=""),"",D443+IF(E443="NOTIFICAÇÃO DE CONSTATAÇÃO",PrazoConst,PrazoEsc))</f>
        <v/>
      </c>
      <c r="N443" s="107" t="str">
        <f>IF(M443="","",IF(ISNUMBER(L443),M443-L443,IF(G443="DECISÃO D.P","",M443-TODAY())))</f>
        <v/>
      </c>
      <c r="O443" s="108" t="str">
        <f>IF(B443="","",IF(ISNUMBER(L443),IF(N443="","SEM DATA",IF(N443&gt;=0,"DEFESA NO PRAZO","DEFESA FORA DO PRAZO")),IF(G443="DECISÃO D.P","SEM DEFESA",IF(G443="","SEM STATUS",IF(N443="","SEM DATA",IF(N443&lt;0,"VENCIDO",IF(N443&lt;=DiasAlerta,"VENCE EM BREVE","NO PRAZO")))))))</f>
        <v/>
      </c>
      <c r="P443" s="109" t="str">
        <f>IF(D443="","",TODAY()-D443)</f>
        <v/>
      </c>
      <c r="Q443" s="102" t="n"/>
    </row>
    <row r="444" ht="18" customHeight="1">
      <c r="A444" s="101" t="n"/>
      <c r="B444" s="102" t="n"/>
      <c r="C444" s="102" t="n"/>
      <c r="D444" s="103" t="n"/>
      <c r="E444" s="102" t="n"/>
      <c r="F444" s="104" t="n"/>
      <c r="G444" s="104" t="n"/>
      <c r="H444" s="102" t="n"/>
      <c r="I444" s="105" t="n"/>
      <c r="J444" s="105" t="n"/>
      <c r="K444" s="103" t="n"/>
      <c r="L444" s="103" t="n"/>
      <c r="M444" s="106" t="str">
        <f>IF(OR(D444="",E444=""),"",D444+IF(E444="NOTIFICAÇÃO DE CONSTATAÇÃO",PrazoConst,PrazoEsc))</f>
        <v/>
      </c>
      <c r="N444" s="107" t="str">
        <f>IF(M444="","",IF(ISNUMBER(L444),M444-L444,IF(G444="DECISÃO D.P","",M444-TODAY())))</f>
        <v/>
      </c>
      <c r="O444" s="108" t="str">
        <f>IF(B444="","",IF(ISNUMBER(L444),IF(N444="","SEM DATA",IF(N444&gt;=0,"DEFESA NO PRAZO","DEFESA FORA DO PRAZO")),IF(G444="DECISÃO D.P","SEM DEFESA",IF(G444="","SEM STATUS",IF(N444="","SEM DATA",IF(N444&lt;0,"VENCIDO",IF(N444&lt;=DiasAlerta,"VENCE EM BREVE","NO PRAZO")))))))</f>
        <v/>
      </c>
      <c r="P444" s="109" t="str">
        <f>IF(D444="","",TODAY()-D444)</f>
        <v/>
      </c>
      <c r="Q444" s="102" t="n"/>
    </row>
    <row r="445" ht="18" customHeight="1">
      <c r="A445" s="101" t="n"/>
      <c r="B445" s="102" t="n"/>
      <c r="C445" s="102" t="n"/>
      <c r="D445" s="103" t="n"/>
      <c r="E445" s="102" t="n"/>
      <c r="F445" s="104" t="n"/>
      <c r="G445" s="104" t="n"/>
      <c r="H445" s="102" t="n"/>
      <c r="I445" s="105" t="n"/>
      <c r="J445" s="105" t="n"/>
      <c r="K445" s="103" t="n"/>
      <c r="L445" s="103" t="n"/>
      <c r="M445" s="106" t="str">
        <f>IF(OR(D445="",E445=""),"",D445+IF(E445="NOTIFICAÇÃO DE CONSTATAÇÃO",PrazoConst,PrazoEsc))</f>
        <v/>
      </c>
      <c r="N445" s="107" t="str">
        <f>IF(M445="","",IF(ISNUMBER(L445),M445-L445,IF(G445="DECISÃO D.P","",M445-TODAY())))</f>
        <v/>
      </c>
      <c r="O445" s="108" t="str">
        <f>IF(B445="","",IF(ISNUMBER(L445),IF(N445="","SEM DATA",IF(N445&gt;=0,"DEFESA NO PRAZO","DEFESA FORA DO PRAZO")),IF(G445="DECISÃO D.P","SEM DEFESA",IF(G445="","SEM STATUS",IF(N445="","SEM DATA",IF(N445&lt;0,"VENCIDO",IF(N445&lt;=DiasAlerta,"VENCE EM BREVE","NO PRAZO")))))))</f>
        <v/>
      </c>
      <c r="P445" s="109" t="str">
        <f>IF(D445="","",TODAY()-D445)</f>
        <v/>
      </c>
      <c r="Q445" s="102" t="n"/>
    </row>
    <row r="446" ht="18" customHeight="1">
      <c r="A446" s="101" t="n"/>
      <c r="B446" s="102" t="n"/>
      <c r="C446" s="102" t="n"/>
      <c r="D446" s="103" t="n"/>
      <c r="E446" s="102" t="n"/>
      <c r="F446" s="104" t="n"/>
      <c r="G446" s="104" t="n"/>
      <c r="H446" s="102" t="n"/>
      <c r="I446" s="105" t="n"/>
      <c r="J446" s="105" t="n"/>
      <c r="K446" s="103" t="n"/>
      <c r="L446" s="103" t="n"/>
      <c r="M446" s="106" t="str">
        <f>IF(OR(D446="",E446=""),"",D446+IF(E446="NOTIFICAÇÃO DE CONSTATAÇÃO",PrazoConst,PrazoEsc))</f>
        <v/>
      </c>
      <c r="N446" s="107" t="str">
        <f>IF(M446="","",IF(ISNUMBER(L446),M446-L446,IF(G446="DECISÃO D.P","",M446-TODAY())))</f>
        <v/>
      </c>
      <c r="O446" s="108" t="str">
        <f>IF(B446="","",IF(ISNUMBER(L446),IF(N446="","SEM DATA",IF(N446&gt;=0,"DEFESA NO PRAZO","DEFESA FORA DO PRAZO")),IF(G446="DECISÃO D.P","SEM DEFESA",IF(G446="","SEM STATUS",IF(N446="","SEM DATA",IF(N446&lt;0,"VENCIDO",IF(N446&lt;=DiasAlerta,"VENCE EM BREVE","NO PRAZO")))))))</f>
        <v/>
      </c>
      <c r="P446" s="109" t="str">
        <f>IF(D446="","",TODAY()-D446)</f>
        <v/>
      </c>
      <c r="Q446" s="102" t="n"/>
    </row>
    <row r="447" ht="18" customHeight="1">
      <c r="A447" s="101" t="n"/>
      <c r="B447" s="102" t="n"/>
      <c r="C447" s="102" t="n"/>
      <c r="D447" s="103" t="n"/>
      <c r="E447" s="102" t="n"/>
      <c r="F447" s="104" t="n"/>
      <c r="G447" s="104" t="n"/>
      <c r="H447" s="102" t="n"/>
      <c r="I447" s="105" t="n"/>
      <c r="J447" s="105" t="n"/>
      <c r="K447" s="103" t="n"/>
      <c r="L447" s="103" t="n"/>
      <c r="M447" s="106" t="str">
        <f>IF(OR(D447="",E447=""),"",D447+IF(E447="NOTIFICAÇÃO DE CONSTATAÇÃO",PrazoConst,PrazoEsc))</f>
        <v/>
      </c>
      <c r="N447" s="107" t="str">
        <f>IF(M447="","",IF(ISNUMBER(L447),M447-L447,IF(G447="DECISÃO D.P","",M447-TODAY())))</f>
        <v/>
      </c>
      <c r="O447" s="108" t="str">
        <f>IF(B447="","",IF(ISNUMBER(L447),IF(N447="","SEM DATA",IF(N447&gt;=0,"DEFESA NO PRAZO","DEFESA FORA DO PRAZO")),IF(G447="DECISÃO D.P","SEM DEFESA",IF(G447="","SEM STATUS",IF(N447="","SEM DATA",IF(N447&lt;0,"VENCIDO",IF(N447&lt;=DiasAlerta,"VENCE EM BREVE","NO PRAZO")))))))</f>
        <v/>
      </c>
      <c r="P447" s="109" t="str">
        <f>IF(D447="","",TODAY()-D447)</f>
        <v/>
      </c>
      <c r="Q447" s="102" t="n"/>
    </row>
    <row r="448" ht="18" customHeight="1">
      <c r="A448" s="101" t="n"/>
      <c r="B448" s="102" t="n"/>
      <c r="C448" s="102" t="n"/>
      <c r="D448" s="103" t="n"/>
      <c r="E448" s="102" t="n"/>
      <c r="F448" s="104" t="n"/>
      <c r="G448" s="104" t="n"/>
      <c r="H448" s="102" t="n"/>
      <c r="I448" s="105" t="n"/>
      <c r="J448" s="105" t="n"/>
      <c r="K448" s="103" t="n"/>
      <c r="L448" s="103" t="n"/>
      <c r="M448" s="106" t="str">
        <f>IF(OR(D448="",E448=""),"",D448+IF(E448="NOTIFICAÇÃO DE CONSTATAÇÃO",PrazoConst,PrazoEsc))</f>
        <v/>
      </c>
      <c r="N448" s="107" t="str">
        <f>IF(M448="","",IF(ISNUMBER(L448),M448-L448,IF(G448="DECISÃO D.P","",M448-TODAY())))</f>
        <v/>
      </c>
      <c r="O448" s="108" t="str">
        <f>IF(B448="","",IF(ISNUMBER(L448),IF(N448="","SEM DATA",IF(N448&gt;=0,"DEFESA NO PRAZO","DEFESA FORA DO PRAZO")),IF(G448="DECISÃO D.P","SEM DEFESA",IF(G448="","SEM STATUS",IF(N448="","SEM DATA",IF(N448&lt;0,"VENCIDO",IF(N448&lt;=DiasAlerta,"VENCE EM BREVE","NO PRAZO")))))))</f>
        <v/>
      </c>
      <c r="P448" s="109" t="str">
        <f>IF(D448="","",TODAY()-D448)</f>
        <v/>
      </c>
      <c r="Q448" s="102" t="n"/>
    </row>
    <row r="449" ht="18" customHeight="1">
      <c r="A449" s="101" t="n"/>
      <c r="B449" s="102" t="n"/>
      <c r="C449" s="102" t="n"/>
      <c r="D449" s="103" t="n"/>
      <c r="E449" s="102" t="n"/>
      <c r="F449" s="104" t="n"/>
      <c r="G449" s="104" t="n"/>
      <c r="H449" s="102" t="n"/>
      <c r="I449" s="105" t="n"/>
      <c r="J449" s="105" t="n"/>
      <c r="K449" s="103" t="n"/>
      <c r="L449" s="103" t="n"/>
      <c r="M449" s="106" t="str">
        <f>IF(OR(D449="",E449=""),"",D449+IF(E449="NOTIFICAÇÃO DE CONSTATAÇÃO",PrazoConst,PrazoEsc))</f>
        <v/>
      </c>
      <c r="N449" s="107" t="str">
        <f>IF(M449="","",IF(ISNUMBER(L449),M449-L449,IF(G449="DECISÃO D.P","",M449-TODAY())))</f>
        <v/>
      </c>
      <c r="O449" s="108" t="str">
        <f>IF(B449="","",IF(ISNUMBER(L449),IF(N449="","SEM DATA",IF(N449&gt;=0,"DEFESA NO PRAZO","DEFESA FORA DO PRAZO")),IF(G449="DECISÃO D.P","SEM DEFESA",IF(G449="","SEM STATUS",IF(N449="","SEM DATA",IF(N449&lt;0,"VENCIDO",IF(N449&lt;=DiasAlerta,"VENCE EM BREVE","NO PRAZO")))))))</f>
        <v/>
      </c>
      <c r="P449" s="109" t="str">
        <f>IF(D449="","",TODAY()-D449)</f>
        <v/>
      </c>
      <c r="Q449" s="102" t="n"/>
    </row>
    <row r="450" ht="18" customHeight="1">
      <c r="A450" s="101" t="n"/>
      <c r="B450" s="102" t="n"/>
      <c r="C450" s="102" t="n"/>
      <c r="D450" s="103" t="n"/>
      <c r="E450" s="102" t="n"/>
      <c r="F450" s="104" t="n"/>
      <c r="G450" s="104" t="n"/>
      <c r="H450" s="102" t="n"/>
      <c r="I450" s="105" t="n"/>
      <c r="J450" s="105" t="n"/>
      <c r="K450" s="103" t="n"/>
      <c r="L450" s="103" t="n"/>
      <c r="M450" s="106" t="str">
        <f>IF(OR(D450="",E450=""),"",D450+IF(E450="NOTIFICAÇÃO DE CONSTATAÇÃO",PrazoConst,PrazoEsc))</f>
        <v/>
      </c>
      <c r="N450" s="107" t="str">
        <f>IF(M450="","",IF(ISNUMBER(L450),M450-L450,IF(G450="DECISÃO D.P","",M450-TODAY())))</f>
        <v/>
      </c>
      <c r="O450" s="108" t="str">
        <f>IF(B450="","",IF(ISNUMBER(L450),IF(N450="","SEM DATA",IF(N450&gt;=0,"DEFESA NO PRAZO","DEFESA FORA DO PRAZO")),IF(G450="DECISÃO D.P","SEM DEFESA",IF(G450="","SEM STATUS",IF(N450="","SEM DATA",IF(N450&lt;0,"VENCIDO",IF(N450&lt;=DiasAlerta,"VENCE EM BREVE","NO PRAZO")))))))</f>
        <v/>
      </c>
      <c r="P450" s="109" t="str">
        <f>IF(D450="","",TODAY()-D450)</f>
        <v/>
      </c>
      <c r="Q450" s="102" t="n"/>
    </row>
    <row r="451" ht="18" customHeight="1">
      <c r="A451" s="101" t="n"/>
      <c r="B451" s="102" t="n"/>
      <c r="C451" s="102" t="n"/>
      <c r="D451" s="103" t="n"/>
      <c r="E451" s="102" t="n"/>
      <c r="F451" s="104" t="n"/>
      <c r="G451" s="104" t="n"/>
      <c r="H451" s="102" t="n"/>
      <c r="I451" s="105" t="n"/>
      <c r="J451" s="105" t="n"/>
      <c r="K451" s="103" t="n"/>
      <c r="L451" s="103" t="n"/>
      <c r="M451" s="106" t="str">
        <f>IF(OR(D451="",E451=""),"",D451+IF(E451="NOTIFICAÇÃO DE CONSTATAÇÃO",PrazoConst,PrazoEsc))</f>
        <v/>
      </c>
      <c r="N451" s="107" t="str">
        <f>IF(M451="","",IF(ISNUMBER(L451),M451-L451,IF(G451="DECISÃO D.P","",M451-TODAY())))</f>
        <v/>
      </c>
      <c r="O451" s="108" t="str">
        <f>IF(B451="","",IF(ISNUMBER(L451),IF(N451="","SEM DATA",IF(N451&gt;=0,"DEFESA NO PRAZO","DEFESA FORA DO PRAZO")),IF(G451="DECISÃO D.P","SEM DEFESA",IF(G451="","SEM STATUS",IF(N451="","SEM DATA",IF(N451&lt;0,"VENCIDO",IF(N451&lt;=DiasAlerta,"VENCE EM BREVE","NO PRAZO")))))))</f>
        <v/>
      </c>
      <c r="P451" s="109" t="str">
        <f>IF(D451="","",TODAY()-D451)</f>
        <v/>
      </c>
      <c r="Q451" s="102" t="n"/>
    </row>
    <row r="452" ht="18" customHeight="1">
      <c r="A452" s="101" t="n"/>
      <c r="B452" s="102" t="n"/>
      <c r="C452" s="102" t="n"/>
      <c r="D452" s="103" t="n"/>
      <c r="E452" s="102" t="n"/>
      <c r="F452" s="104" t="n"/>
      <c r="G452" s="104" t="n"/>
      <c r="H452" s="102" t="n"/>
      <c r="I452" s="105" t="n"/>
      <c r="J452" s="105" t="n"/>
      <c r="K452" s="103" t="n"/>
      <c r="L452" s="103" t="n"/>
      <c r="M452" s="106" t="str">
        <f>IF(OR(D452="",E452=""),"",D452+IF(E452="NOTIFICAÇÃO DE CONSTATAÇÃO",PrazoConst,PrazoEsc))</f>
        <v/>
      </c>
      <c r="N452" s="107" t="str">
        <f>IF(M452="","",IF(ISNUMBER(L452),M452-L452,IF(G452="DECISÃO D.P","",M452-TODAY())))</f>
        <v/>
      </c>
      <c r="O452" s="108" t="str">
        <f>IF(B452="","",IF(ISNUMBER(L452),IF(N452="","SEM DATA",IF(N452&gt;=0,"DEFESA NO PRAZO","DEFESA FORA DO PRAZO")),IF(G452="DECISÃO D.P","SEM DEFESA",IF(G452="","SEM STATUS",IF(N452="","SEM DATA",IF(N452&lt;0,"VENCIDO",IF(N452&lt;=DiasAlerta,"VENCE EM BREVE","NO PRAZO")))))))</f>
        <v/>
      </c>
      <c r="P452" s="109" t="str">
        <f>IF(D452="","",TODAY()-D452)</f>
        <v/>
      </c>
      <c r="Q452" s="102" t="n"/>
    </row>
    <row r="453" ht="18" customHeight="1">
      <c r="A453" s="101" t="n"/>
      <c r="B453" s="102" t="n"/>
      <c r="C453" s="102" t="n"/>
      <c r="D453" s="103" t="n"/>
      <c r="E453" s="102" t="n"/>
      <c r="F453" s="104" t="n"/>
      <c r="G453" s="104" t="n"/>
      <c r="H453" s="102" t="n"/>
      <c r="I453" s="105" t="n"/>
      <c r="J453" s="105" t="n"/>
      <c r="K453" s="103" t="n"/>
      <c r="L453" s="103" t="n"/>
      <c r="M453" s="106" t="str">
        <f>IF(OR(D453="",E453=""),"",D453+IF(E453="NOTIFICAÇÃO DE CONSTATAÇÃO",PrazoConst,PrazoEsc))</f>
        <v/>
      </c>
      <c r="N453" s="107" t="str">
        <f>IF(M453="","",IF(ISNUMBER(L453),M453-L453,IF(G453="DECISÃO D.P","",M453-TODAY())))</f>
        <v/>
      </c>
      <c r="O453" s="108" t="str">
        <f>IF(B453="","",IF(ISNUMBER(L453),IF(N453="","SEM DATA",IF(N453&gt;=0,"DEFESA NO PRAZO","DEFESA FORA DO PRAZO")),IF(G453="DECISÃO D.P","SEM DEFESA",IF(G453="","SEM STATUS",IF(N453="","SEM DATA",IF(N453&lt;0,"VENCIDO",IF(N453&lt;=DiasAlerta,"VENCE EM BREVE","NO PRAZO")))))))</f>
        <v/>
      </c>
      <c r="P453" s="109" t="str">
        <f>IF(D453="","",TODAY()-D453)</f>
        <v/>
      </c>
      <c r="Q453" s="102" t="n"/>
    </row>
    <row r="454" ht="18" customHeight="1">
      <c r="A454" s="101" t="n"/>
      <c r="B454" s="102" t="n"/>
      <c r="C454" s="102" t="n"/>
      <c r="D454" s="103" t="n"/>
      <c r="E454" s="102" t="n"/>
      <c r="F454" s="104" t="n"/>
      <c r="G454" s="104" t="n"/>
      <c r="H454" s="102" t="n"/>
      <c r="I454" s="105" t="n"/>
      <c r="J454" s="105" t="n"/>
      <c r="K454" s="103" t="n"/>
      <c r="L454" s="103" t="n"/>
      <c r="M454" s="106" t="str">
        <f>IF(OR(D454="",E454=""),"",D454+IF(E454="NOTIFICAÇÃO DE CONSTATAÇÃO",PrazoConst,PrazoEsc))</f>
        <v/>
      </c>
      <c r="N454" s="107" t="str">
        <f>IF(M454="","",IF(ISNUMBER(L454),M454-L454,IF(G454="DECISÃO D.P","",M454-TODAY())))</f>
        <v/>
      </c>
      <c r="O454" s="108" t="str">
        <f>IF(B454="","",IF(ISNUMBER(L454),IF(N454="","SEM DATA",IF(N454&gt;=0,"DEFESA NO PRAZO","DEFESA FORA DO PRAZO")),IF(G454="DECISÃO D.P","SEM DEFESA",IF(G454="","SEM STATUS",IF(N454="","SEM DATA",IF(N454&lt;0,"VENCIDO",IF(N454&lt;=DiasAlerta,"VENCE EM BREVE","NO PRAZO")))))))</f>
        <v/>
      </c>
      <c r="P454" s="109" t="str">
        <f>IF(D454="","",TODAY()-D454)</f>
        <v/>
      </c>
      <c r="Q454" s="102" t="n"/>
    </row>
    <row r="455" ht="18" customHeight="1">
      <c r="A455" s="101" t="n"/>
      <c r="B455" s="102" t="n"/>
      <c r="C455" s="102" t="n"/>
      <c r="D455" s="103" t="n"/>
      <c r="E455" s="102" t="n"/>
      <c r="F455" s="104" t="n"/>
      <c r="G455" s="104" t="n"/>
      <c r="H455" s="102" t="n"/>
      <c r="I455" s="105" t="n"/>
      <c r="J455" s="105" t="n"/>
      <c r="K455" s="103" t="n"/>
      <c r="L455" s="103" t="n"/>
      <c r="M455" s="106" t="str">
        <f>IF(OR(D455="",E455=""),"",D455+IF(E455="NOTIFICAÇÃO DE CONSTATAÇÃO",PrazoConst,PrazoEsc))</f>
        <v/>
      </c>
      <c r="N455" s="107" t="str">
        <f>IF(M455="","",IF(ISNUMBER(L455),M455-L455,IF(G455="DECISÃO D.P","",M455-TODAY())))</f>
        <v/>
      </c>
      <c r="O455" s="108" t="str">
        <f>IF(B455="","",IF(ISNUMBER(L455),IF(N455="","SEM DATA",IF(N455&gt;=0,"DEFESA NO PRAZO","DEFESA FORA DO PRAZO")),IF(G455="DECISÃO D.P","SEM DEFESA",IF(G455="","SEM STATUS",IF(N455="","SEM DATA",IF(N455&lt;0,"VENCIDO",IF(N455&lt;=DiasAlerta,"VENCE EM BREVE","NO PRAZO")))))))</f>
        <v/>
      </c>
      <c r="P455" s="109" t="str">
        <f>IF(D455="","",TODAY()-D455)</f>
        <v/>
      </c>
      <c r="Q455" s="102" t="n"/>
    </row>
    <row r="456" ht="18" customHeight="1">
      <c r="A456" s="101" t="n"/>
      <c r="B456" s="102" t="n"/>
      <c r="C456" s="102" t="n"/>
      <c r="D456" s="103" t="n"/>
      <c r="E456" s="102" t="n"/>
      <c r="F456" s="104" t="n"/>
      <c r="G456" s="104" t="n"/>
      <c r="H456" s="102" t="n"/>
      <c r="I456" s="105" t="n"/>
      <c r="J456" s="105" t="n"/>
      <c r="K456" s="103" t="n"/>
      <c r="L456" s="103" t="n"/>
      <c r="M456" s="106" t="str">
        <f>IF(OR(D456="",E456=""),"",D456+IF(E456="NOTIFICAÇÃO DE CONSTATAÇÃO",PrazoConst,PrazoEsc))</f>
        <v/>
      </c>
      <c r="N456" s="107" t="str">
        <f>IF(M456="","",IF(ISNUMBER(L456),M456-L456,IF(G456="DECISÃO D.P","",M456-TODAY())))</f>
        <v/>
      </c>
      <c r="O456" s="108" t="str">
        <f>IF(B456="","",IF(ISNUMBER(L456),IF(N456="","SEM DATA",IF(N456&gt;=0,"DEFESA NO PRAZO","DEFESA FORA DO PRAZO")),IF(G456="DECISÃO D.P","SEM DEFESA",IF(G456="","SEM STATUS",IF(N456="","SEM DATA",IF(N456&lt;0,"VENCIDO",IF(N456&lt;=DiasAlerta,"VENCE EM BREVE","NO PRAZO")))))))</f>
        <v/>
      </c>
      <c r="P456" s="109" t="str">
        <f>IF(D456="","",TODAY()-D456)</f>
        <v/>
      </c>
      <c r="Q456" s="102" t="n"/>
    </row>
    <row r="457" ht="18" customHeight="1">
      <c r="A457" s="101" t="n"/>
      <c r="B457" s="102" t="n"/>
      <c r="C457" s="102" t="n"/>
      <c r="D457" s="103" t="n"/>
      <c r="E457" s="102" t="n"/>
      <c r="F457" s="104" t="n"/>
      <c r="G457" s="104" t="n"/>
      <c r="H457" s="102" t="n"/>
      <c r="I457" s="105" t="n"/>
      <c r="J457" s="105" t="n"/>
      <c r="K457" s="103" t="n"/>
      <c r="L457" s="103" t="n"/>
      <c r="M457" s="106" t="str">
        <f>IF(OR(D457="",E457=""),"",D457+IF(E457="NOTIFICAÇÃO DE CONSTATAÇÃO",PrazoConst,PrazoEsc))</f>
        <v/>
      </c>
      <c r="N457" s="107" t="str">
        <f>IF(M457="","",IF(ISNUMBER(L457),M457-L457,IF(G457="DECISÃO D.P","",M457-TODAY())))</f>
        <v/>
      </c>
      <c r="O457" s="108" t="str">
        <f>IF(B457="","",IF(ISNUMBER(L457),IF(N457="","SEM DATA",IF(N457&gt;=0,"DEFESA NO PRAZO","DEFESA FORA DO PRAZO")),IF(G457="DECISÃO D.P","SEM DEFESA",IF(G457="","SEM STATUS",IF(N457="","SEM DATA",IF(N457&lt;0,"VENCIDO",IF(N457&lt;=DiasAlerta,"VENCE EM BREVE","NO PRAZO")))))))</f>
        <v/>
      </c>
      <c r="P457" s="109" t="str">
        <f>IF(D457="","",TODAY()-D457)</f>
        <v/>
      </c>
      <c r="Q457" s="102" t="n"/>
    </row>
    <row r="458" ht="18" customHeight="1">
      <c r="A458" s="101" t="n"/>
      <c r="B458" s="102" t="n"/>
      <c r="C458" s="102" t="n"/>
      <c r="D458" s="103" t="n"/>
      <c r="E458" s="102" t="n"/>
      <c r="F458" s="104" t="n"/>
      <c r="G458" s="104" t="n"/>
      <c r="H458" s="102" t="n"/>
      <c r="I458" s="105" t="n"/>
      <c r="J458" s="105" t="n"/>
      <c r="K458" s="103" t="n"/>
      <c r="L458" s="103" t="n"/>
      <c r="M458" s="106" t="str">
        <f>IF(OR(D458="",E458=""),"",D458+IF(E458="NOTIFICAÇÃO DE CONSTATAÇÃO",PrazoConst,PrazoEsc))</f>
        <v/>
      </c>
      <c r="N458" s="107" t="str">
        <f>IF(M458="","",IF(ISNUMBER(L458),M458-L458,IF(G458="DECISÃO D.P","",M458-TODAY())))</f>
        <v/>
      </c>
      <c r="O458" s="108" t="str">
        <f>IF(B458="","",IF(ISNUMBER(L458),IF(N458="","SEM DATA",IF(N458&gt;=0,"DEFESA NO PRAZO","DEFESA FORA DO PRAZO")),IF(G458="DECISÃO D.P","SEM DEFESA",IF(G458="","SEM STATUS",IF(N458="","SEM DATA",IF(N458&lt;0,"VENCIDO",IF(N458&lt;=DiasAlerta,"VENCE EM BREVE","NO PRAZO")))))))</f>
        <v/>
      </c>
      <c r="P458" s="109" t="str">
        <f>IF(D458="","",TODAY()-D458)</f>
        <v/>
      </c>
      <c r="Q458" s="102" t="n"/>
    </row>
    <row r="459" ht="18" customHeight="1">
      <c r="A459" s="101" t="n"/>
      <c r="B459" s="102" t="n"/>
      <c r="C459" s="102" t="n"/>
      <c r="D459" s="103" t="n"/>
      <c r="E459" s="102" t="n"/>
      <c r="F459" s="104" t="n"/>
      <c r="G459" s="104" t="n"/>
      <c r="H459" s="102" t="n"/>
      <c r="I459" s="105" t="n"/>
      <c r="J459" s="105" t="n"/>
      <c r="K459" s="103" t="n"/>
      <c r="L459" s="103" t="n"/>
      <c r="M459" s="106" t="str">
        <f>IF(OR(D459="",E459=""),"",D459+IF(E459="NOTIFICAÇÃO DE CONSTATAÇÃO",PrazoConst,PrazoEsc))</f>
        <v/>
      </c>
      <c r="N459" s="107" t="str">
        <f>IF(M459="","",IF(ISNUMBER(L459),M459-L459,IF(G459="DECISÃO D.P","",M459-TODAY())))</f>
        <v/>
      </c>
      <c r="O459" s="108" t="str">
        <f>IF(B459="","",IF(ISNUMBER(L459),IF(N459="","SEM DATA",IF(N459&gt;=0,"DEFESA NO PRAZO","DEFESA FORA DO PRAZO")),IF(G459="DECISÃO D.P","SEM DEFESA",IF(G459="","SEM STATUS",IF(N459="","SEM DATA",IF(N459&lt;0,"VENCIDO",IF(N459&lt;=DiasAlerta,"VENCE EM BREVE","NO PRAZO")))))))</f>
        <v/>
      </c>
      <c r="P459" s="109" t="str">
        <f>IF(D459="","",TODAY()-D459)</f>
        <v/>
      </c>
      <c r="Q459" s="102" t="n"/>
    </row>
    <row r="460" ht="18" customHeight="1">
      <c r="A460" s="101" t="n"/>
      <c r="B460" s="102" t="n"/>
      <c r="C460" s="102" t="n"/>
      <c r="D460" s="103" t="n"/>
      <c r="E460" s="102" t="n"/>
      <c r="F460" s="104" t="n"/>
      <c r="G460" s="104" t="n"/>
      <c r="H460" s="102" t="n"/>
      <c r="I460" s="105" t="n"/>
      <c r="J460" s="105" t="n"/>
      <c r="K460" s="103" t="n"/>
      <c r="L460" s="103" t="n"/>
      <c r="M460" s="106" t="str">
        <f>IF(OR(D460="",E460=""),"",D460+IF(E460="NOTIFICAÇÃO DE CONSTATAÇÃO",PrazoConst,PrazoEsc))</f>
        <v/>
      </c>
      <c r="N460" s="107" t="str">
        <f>IF(M460="","",IF(ISNUMBER(L460),M460-L460,IF(G460="DECISÃO D.P","",M460-TODAY())))</f>
        <v/>
      </c>
      <c r="O460" s="108" t="str">
        <f>IF(B460="","",IF(ISNUMBER(L460),IF(N460="","SEM DATA",IF(N460&gt;=0,"DEFESA NO PRAZO","DEFESA FORA DO PRAZO")),IF(G460="DECISÃO D.P","SEM DEFESA",IF(G460="","SEM STATUS",IF(N460="","SEM DATA",IF(N460&lt;0,"VENCIDO",IF(N460&lt;=DiasAlerta,"VENCE EM BREVE","NO PRAZO")))))))</f>
        <v/>
      </c>
      <c r="P460" s="109" t="str">
        <f>IF(D460="","",TODAY()-D460)</f>
        <v/>
      </c>
      <c r="Q460" s="102" t="n"/>
    </row>
    <row r="461" ht="18" customHeight="1">
      <c r="A461" s="101" t="n"/>
      <c r="B461" s="102" t="n"/>
      <c r="C461" s="102" t="n"/>
      <c r="D461" s="103" t="n"/>
      <c r="E461" s="102" t="n"/>
      <c r="F461" s="104" t="n"/>
      <c r="G461" s="104" t="n"/>
      <c r="H461" s="102" t="n"/>
      <c r="I461" s="105" t="n"/>
      <c r="J461" s="105" t="n"/>
      <c r="K461" s="103" t="n"/>
      <c r="L461" s="103" t="n"/>
      <c r="M461" s="106" t="str">
        <f>IF(OR(D461="",E461=""),"",D461+IF(E461="NOTIFICAÇÃO DE CONSTATAÇÃO",PrazoConst,PrazoEsc))</f>
        <v/>
      </c>
      <c r="N461" s="107" t="str">
        <f>IF(M461="","",IF(ISNUMBER(L461),M461-L461,IF(G461="DECISÃO D.P","",M461-TODAY())))</f>
        <v/>
      </c>
      <c r="O461" s="108" t="str">
        <f>IF(B461="","",IF(ISNUMBER(L461),IF(N461="","SEM DATA",IF(N461&gt;=0,"DEFESA NO PRAZO","DEFESA FORA DO PRAZO")),IF(G461="DECISÃO D.P","SEM DEFESA",IF(G461="","SEM STATUS",IF(N461="","SEM DATA",IF(N461&lt;0,"VENCIDO",IF(N461&lt;=DiasAlerta,"VENCE EM BREVE","NO PRAZO")))))))</f>
        <v/>
      </c>
      <c r="P461" s="109" t="str">
        <f>IF(D461="","",TODAY()-D461)</f>
        <v/>
      </c>
      <c r="Q461" s="102" t="n"/>
    </row>
    <row r="462" ht="18" customHeight="1">
      <c r="A462" s="101" t="n"/>
      <c r="B462" s="102" t="n"/>
      <c r="C462" s="102" t="n"/>
      <c r="D462" s="103" t="n"/>
      <c r="E462" s="102" t="n"/>
      <c r="F462" s="104" t="n"/>
      <c r="G462" s="104" t="n"/>
      <c r="H462" s="102" t="n"/>
      <c r="I462" s="105" t="n"/>
      <c r="J462" s="105" t="n"/>
      <c r="K462" s="103" t="n"/>
      <c r="L462" s="103" t="n"/>
      <c r="M462" s="106" t="str">
        <f>IF(OR(D462="",E462=""),"",D462+IF(E462="NOTIFICAÇÃO DE CONSTATAÇÃO",PrazoConst,PrazoEsc))</f>
        <v/>
      </c>
      <c r="N462" s="107" t="str">
        <f>IF(M462="","",IF(ISNUMBER(L462),M462-L462,IF(G462="DECISÃO D.P","",M462-TODAY())))</f>
        <v/>
      </c>
      <c r="O462" s="108" t="str">
        <f>IF(B462="","",IF(ISNUMBER(L462),IF(N462="","SEM DATA",IF(N462&gt;=0,"DEFESA NO PRAZO","DEFESA FORA DO PRAZO")),IF(G462="DECISÃO D.P","SEM DEFESA",IF(G462="","SEM STATUS",IF(N462="","SEM DATA",IF(N462&lt;0,"VENCIDO",IF(N462&lt;=DiasAlerta,"VENCE EM BREVE","NO PRAZO")))))))</f>
        <v/>
      </c>
      <c r="P462" s="109" t="str">
        <f>IF(D462="","",TODAY()-D462)</f>
        <v/>
      </c>
      <c r="Q462" s="102" t="n"/>
    </row>
    <row r="463" ht="18" customHeight="1">
      <c r="A463" s="101" t="n"/>
      <c r="B463" s="102" t="n"/>
      <c r="C463" s="102" t="n"/>
      <c r="D463" s="103" t="n"/>
      <c r="E463" s="102" t="n"/>
      <c r="F463" s="104" t="n"/>
      <c r="G463" s="104" t="n"/>
      <c r="H463" s="102" t="n"/>
      <c r="I463" s="105" t="n"/>
      <c r="J463" s="105" t="n"/>
      <c r="K463" s="103" t="n"/>
      <c r="L463" s="103" t="n"/>
      <c r="M463" s="106" t="str">
        <f>IF(OR(D463="",E463=""),"",D463+IF(E463="NOTIFICAÇÃO DE CONSTATAÇÃO",PrazoConst,PrazoEsc))</f>
        <v/>
      </c>
      <c r="N463" s="107" t="str">
        <f>IF(M463="","",IF(ISNUMBER(L463),M463-L463,IF(G463="DECISÃO D.P","",M463-TODAY())))</f>
        <v/>
      </c>
      <c r="O463" s="108" t="str">
        <f>IF(B463="","",IF(ISNUMBER(L463),IF(N463="","SEM DATA",IF(N463&gt;=0,"DEFESA NO PRAZO","DEFESA FORA DO PRAZO")),IF(G463="DECISÃO D.P","SEM DEFESA",IF(G463="","SEM STATUS",IF(N463="","SEM DATA",IF(N463&lt;0,"VENCIDO",IF(N463&lt;=DiasAlerta,"VENCE EM BREVE","NO PRAZO")))))))</f>
        <v/>
      </c>
      <c r="P463" s="109" t="str">
        <f>IF(D463="","",TODAY()-D463)</f>
        <v/>
      </c>
      <c r="Q463" s="102" t="n"/>
    </row>
    <row r="464" ht="18" customHeight="1">
      <c r="A464" s="101" t="n"/>
      <c r="B464" s="102" t="n"/>
      <c r="C464" s="102" t="n"/>
      <c r="D464" s="103" t="n"/>
      <c r="E464" s="102" t="n"/>
      <c r="F464" s="104" t="n"/>
      <c r="G464" s="104" t="n"/>
      <c r="H464" s="102" t="n"/>
      <c r="I464" s="105" t="n"/>
      <c r="J464" s="105" t="n"/>
      <c r="K464" s="103" t="n"/>
      <c r="L464" s="103" t="n"/>
      <c r="M464" s="106" t="str">
        <f>IF(OR(D464="",E464=""),"",D464+IF(E464="NOTIFICAÇÃO DE CONSTATAÇÃO",PrazoConst,PrazoEsc))</f>
        <v/>
      </c>
      <c r="N464" s="107" t="str">
        <f>IF(M464="","",IF(ISNUMBER(L464),M464-L464,IF(G464="DECISÃO D.P","",M464-TODAY())))</f>
        <v/>
      </c>
      <c r="O464" s="108" t="str">
        <f>IF(B464="","",IF(ISNUMBER(L464),IF(N464="","SEM DATA",IF(N464&gt;=0,"DEFESA NO PRAZO","DEFESA FORA DO PRAZO")),IF(G464="DECISÃO D.P","SEM DEFESA",IF(G464="","SEM STATUS",IF(N464="","SEM DATA",IF(N464&lt;0,"VENCIDO",IF(N464&lt;=DiasAlerta,"VENCE EM BREVE","NO PRAZO")))))))</f>
        <v/>
      </c>
      <c r="P464" s="109" t="str">
        <f>IF(D464="","",TODAY()-D464)</f>
        <v/>
      </c>
      <c r="Q464" s="102" t="n"/>
    </row>
    <row r="465" ht="18" customHeight="1">
      <c r="A465" s="101" t="n"/>
      <c r="B465" s="102" t="n"/>
      <c r="C465" s="102" t="n"/>
      <c r="D465" s="103" t="n"/>
      <c r="E465" s="102" t="n"/>
      <c r="F465" s="104" t="n"/>
      <c r="G465" s="104" t="n"/>
      <c r="H465" s="102" t="n"/>
      <c r="I465" s="105" t="n"/>
      <c r="J465" s="105" t="n"/>
      <c r="K465" s="103" t="n"/>
      <c r="L465" s="103" t="n"/>
      <c r="M465" s="106" t="str">
        <f>IF(OR(D465="",E465=""),"",D465+IF(E465="NOTIFICAÇÃO DE CONSTATAÇÃO",PrazoConst,PrazoEsc))</f>
        <v/>
      </c>
      <c r="N465" s="107" t="str">
        <f>IF(M465="","",IF(ISNUMBER(L465),M465-L465,IF(G465="DECISÃO D.P","",M465-TODAY())))</f>
        <v/>
      </c>
      <c r="O465" s="108" t="str">
        <f>IF(B465="","",IF(ISNUMBER(L465),IF(N465="","SEM DATA",IF(N465&gt;=0,"DEFESA NO PRAZO","DEFESA FORA DO PRAZO")),IF(G465="DECISÃO D.P","SEM DEFESA",IF(G465="","SEM STATUS",IF(N465="","SEM DATA",IF(N465&lt;0,"VENCIDO",IF(N465&lt;=DiasAlerta,"VENCE EM BREVE","NO PRAZO")))))))</f>
        <v/>
      </c>
      <c r="P465" s="109" t="str">
        <f>IF(D465="","",TODAY()-D465)</f>
        <v/>
      </c>
      <c r="Q465" s="102" t="n"/>
    </row>
    <row r="466" ht="18" customHeight="1">
      <c r="A466" s="101" t="n"/>
      <c r="B466" s="102" t="n"/>
      <c r="C466" s="102" t="n"/>
      <c r="D466" s="103" t="n"/>
      <c r="E466" s="102" t="n"/>
      <c r="F466" s="104" t="n"/>
      <c r="G466" s="104" t="n"/>
      <c r="H466" s="102" t="n"/>
      <c r="I466" s="105" t="n"/>
      <c r="J466" s="105" t="n"/>
      <c r="K466" s="103" t="n"/>
      <c r="L466" s="103" t="n"/>
      <c r="M466" s="106" t="str">
        <f>IF(OR(D466="",E466=""),"",D466+IF(E466="NOTIFICAÇÃO DE CONSTATAÇÃO",PrazoConst,PrazoEsc))</f>
        <v/>
      </c>
      <c r="N466" s="107" t="str">
        <f>IF(M466="","",IF(ISNUMBER(L466),M466-L466,IF(G466="DECISÃO D.P","",M466-TODAY())))</f>
        <v/>
      </c>
      <c r="O466" s="108" t="str">
        <f>IF(B466="","",IF(ISNUMBER(L466),IF(N466="","SEM DATA",IF(N466&gt;=0,"DEFESA NO PRAZO","DEFESA FORA DO PRAZO")),IF(G466="DECISÃO D.P","SEM DEFESA",IF(G466="","SEM STATUS",IF(N466="","SEM DATA",IF(N466&lt;0,"VENCIDO",IF(N466&lt;=DiasAlerta,"VENCE EM BREVE","NO PRAZO")))))))</f>
        <v/>
      </c>
      <c r="P466" s="109" t="str">
        <f>IF(D466="","",TODAY()-D466)</f>
        <v/>
      </c>
      <c r="Q466" s="102" t="n"/>
    </row>
    <row r="467" ht="18" customHeight="1">
      <c r="A467" s="101" t="n"/>
      <c r="B467" s="102" t="n"/>
      <c r="C467" s="102" t="n"/>
      <c r="D467" s="103" t="n"/>
      <c r="E467" s="102" t="n"/>
      <c r="F467" s="104" t="n"/>
      <c r="G467" s="104" t="n"/>
      <c r="H467" s="102" t="n"/>
      <c r="I467" s="105" t="n"/>
      <c r="J467" s="105" t="n"/>
      <c r="K467" s="103" t="n"/>
      <c r="L467" s="103" t="n"/>
      <c r="M467" s="106" t="str">
        <f>IF(OR(D467="",E467=""),"",D467+IF(E467="NOTIFICAÇÃO DE CONSTATAÇÃO",PrazoConst,PrazoEsc))</f>
        <v/>
      </c>
      <c r="N467" s="107" t="str">
        <f>IF(M467="","",IF(ISNUMBER(L467),M467-L467,IF(G467="DECISÃO D.P","",M467-TODAY())))</f>
        <v/>
      </c>
      <c r="O467" s="108" t="str">
        <f>IF(B467="","",IF(ISNUMBER(L467),IF(N467="","SEM DATA",IF(N467&gt;=0,"DEFESA NO PRAZO","DEFESA FORA DO PRAZO")),IF(G467="DECISÃO D.P","SEM DEFESA",IF(G467="","SEM STATUS",IF(N467="","SEM DATA",IF(N467&lt;0,"VENCIDO",IF(N467&lt;=DiasAlerta,"VENCE EM BREVE","NO PRAZO")))))))</f>
        <v/>
      </c>
      <c r="P467" s="109" t="str">
        <f>IF(D467="","",TODAY()-D467)</f>
        <v/>
      </c>
      <c r="Q467" s="102" t="n"/>
    </row>
    <row r="468" ht="18" customHeight="1">
      <c r="A468" s="101" t="n"/>
      <c r="B468" s="102" t="n"/>
      <c r="C468" s="102" t="n"/>
      <c r="D468" s="103" t="n"/>
      <c r="E468" s="102" t="n"/>
      <c r="F468" s="104" t="n"/>
      <c r="G468" s="104" t="n"/>
      <c r="H468" s="102" t="n"/>
      <c r="I468" s="105" t="n"/>
      <c r="J468" s="105" t="n"/>
      <c r="K468" s="103" t="n"/>
      <c r="L468" s="103" t="n"/>
      <c r="M468" s="106" t="str">
        <f>IF(OR(D468="",E468=""),"",D468+IF(E468="NOTIFICAÇÃO DE CONSTATAÇÃO",PrazoConst,PrazoEsc))</f>
        <v/>
      </c>
      <c r="N468" s="107" t="str">
        <f>IF(M468="","",IF(ISNUMBER(L468),M468-L468,IF(G468="DECISÃO D.P","",M468-TODAY())))</f>
        <v/>
      </c>
      <c r="O468" s="108" t="str">
        <f>IF(B468="","",IF(ISNUMBER(L468),IF(N468="","SEM DATA",IF(N468&gt;=0,"DEFESA NO PRAZO","DEFESA FORA DO PRAZO")),IF(G468="DECISÃO D.P","SEM DEFESA",IF(G468="","SEM STATUS",IF(N468="","SEM DATA",IF(N468&lt;0,"VENCIDO",IF(N468&lt;=DiasAlerta,"VENCE EM BREVE","NO PRAZO")))))))</f>
        <v/>
      </c>
      <c r="P468" s="109" t="str">
        <f>IF(D468="","",TODAY()-D468)</f>
        <v/>
      </c>
      <c r="Q468" s="102" t="n"/>
    </row>
    <row r="469" ht="18" customHeight="1">
      <c r="A469" s="101" t="n"/>
      <c r="B469" s="102" t="n"/>
      <c r="C469" s="102" t="n"/>
      <c r="D469" s="103" t="n"/>
      <c r="E469" s="102" t="n"/>
      <c r="F469" s="104" t="n"/>
      <c r="G469" s="104" t="n"/>
      <c r="H469" s="102" t="n"/>
      <c r="I469" s="105" t="n"/>
      <c r="J469" s="105" t="n"/>
      <c r="K469" s="103" t="n"/>
      <c r="L469" s="103" t="n"/>
      <c r="M469" s="106" t="str">
        <f>IF(OR(D469="",E469=""),"",D469+IF(E469="NOTIFICAÇÃO DE CONSTATAÇÃO",PrazoConst,PrazoEsc))</f>
        <v/>
      </c>
      <c r="N469" s="107" t="str">
        <f>IF(M469="","",IF(ISNUMBER(L469),M469-L469,IF(G469="DECISÃO D.P","",M469-TODAY())))</f>
        <v/>
      </c>
      <c r="O469" s="108" t="str">
        <f>IF(B469="","",IF(ISNUMBER(L469),IF(N469="","SEM DATA",IF(N469&gt;=0,"DEFESA NO PRAZO","DEFESA FORA DO PRAZO")),IF(G469="DECISÃO D.P","SEM DEFESA",IF(G469="","SEM STATUS",IF(N469="","SEM DATA",IF(N469&lt;0,"VENCIDO",IF(N469&lt;=DiasAlerta,"VENCE EM BREVE","NO PRAZO")))))))</f>
        <v/>
      </c>
      <c r="P469" s="109" t="str">
        <f>IF(D469="","",TODAY()-D469)</f>
        <v/>
      </c>
      <c r="Q469" s="102" t="n"/>
    </row>
    <row r="470" ht="18" customHeight="1">
      <c r="A470" s="101" t="n"/>
      <c r="B470" s="102" t="n"/>
      <c r="C470" s="102" t="n"/>
      <c r="D470" s="103" t="n"/>
      <c r="E470" s="102" t="n"/>
      <c r="F470" s="104" t="n"/>
      <c r="G470" s="104" t="n"/>
      <c r="H470" s="102" t="n"/>
      <c r="I470" s="105" t="n"/>
      <c r="J470" s="105" t="n"/>
      <c r="K470" s="103" t="n"/>
      <c r="L470" s="103" t="n"/>
      <c r="M470" s="106" t="str">
        <f>IF(OR(D470="",E470=""),"",D470+IF(E470="NOTIFICAÇÃO DE CONSTATAÇÃO",PrazoConst,PrazoEsc))</f>
        <v/>
      </c>
      <c r="N470" s="107" t="str">
        <f>IF(M470="","",IF(ISNUMBER(L470),M470-L470,IF(G470="DECISÃO D.P","",M470-TODAY())))</f>
        <v/>
      </c>
      <c r="O470" s="108" t="str">
        <f>IF(B470="","",IF(ISNUMBER(L470),IF(N470="","SEM DATA",IF(N470&gt;=0,"DEFESA NO PRAZO","DEFESA FORA DO PRAZO")),IF(G470="DECISÃO D.P","SEM DEFESA",IF(G470="","SEM STATUS",IF(N470="","SEM DATA",IF(N470&lt;0,"VENCIDO",IF(N470&lt;=DiasAlerta,"VENCE EM BREVE","NO PRAZO")))))))</f>
        <v/>
      </c>
      <c r="P470" s="109" t="str">
        <f>IF(D470="","",TODAY()-D470)</f>
        <v/>
      </c>
      <c r="Q470" s="102" t="n"/>
    </row>
    <row r="471" ht="18" customHeight="1">
      <c r="A471" s="101" t="n"/>
      <c r="B471" s="102" t="n"/>
      <c r="C471" s="102" t="n"/>
      <c r="D471" s="103" t="n"/>
      <c r="E471" s="102" t="n"/>
      <c r="F471" s="104" t="n"/>
      <c r="G471" s="104" t="n"/>
      <c r="H471" s="102" t="n"/>
      <c r="I471" s="105" t="n"/>
      <c r="J471" s="105" t="n"/>
      <c r="K471" s="103" t="n"/>
      <c r="L471" s="103" t="n"/>
      <c r="M471" s="106" t="str">
        <f>IF(OR(D471="",E471=""),"",D471+IF(E471="NOTIFICAÇÃO DE CONSTATAÇÃO",PrazoConst,PrazoEsc))</f>
        <v/>
      </c>
      <c r="N471" s="107" t="str">
        <f>IF(M471="","",IF(ISNUMBER(L471),M471-L471,IF(G471="DECISÃO D.P","",M471-TODAY())))</f>
        <v/>
      </c>
      <c r="O471" s="108" t="str">
        <f>IF(B471="","",IF(ISNUMBER(L471),IF(N471="","SEM DATA",IF(N471&gt;=0,"DEFESA NO PRAZO","DEFESA FORA DO PRAZO")),IF(G471="DECISÃO D.P","SEM DEFESA",IF(G471="","SEM STATUS",IF(N471="","SEM DATA",IF(N471&lt;0,"VENCIDO",IF(N471&lt;=DiasAlerta,"VENCE EM BREVE","NO PRAZO")))))))</f>
        <v/>
      </c>
      <c r="P471" s="109" t="str">
        <f>IF(D471="","",TODAY()-D471)</f>
        <v/>
      </c>
      <c r="Q471" s="102" t="n"/>
    </row>
    <row r="472" ht="18" customHeight="1">
      <c r="A472" s="101" t="n"/>
      <c r="B472" s="102" t="n"/>
      <c r="C472" s="102" t="n"/>
      <c r="D472" s="103" t="n"/>
      <c r="E472" s="102" t="n"/>
      <c r="F472" s="104" t="n"/>
      <c r="G472" s="104" t="n"/>
      <c r="H472" s="102" t="n"/>
      <c r="I472" s="105" t="n"/>
      <c r="J472" s="105" t="n"/>
      <c r="K472" s="103" t="n"/>
      <c r="L472" s="103" t="n"/>
      <c r="M472" s="106" t="str">
        <f>IF(OR(D472="",E472=""),"",D472+IF(E472="NOTIFICAÇÃO DE CONSTATAÇÃO",PrazoConst,PrazoEsc))</f>
        <v/>
      </c>
      <c r="N472" s="107" t="str">
        <f>IF(M472="","",IF(ISNUMBER(L472),M472-L472,IF(G472="DECISÃO D.P","",M472-TODAY())))</f>
        <v/>
      </c>
      <c r="O472" s="108" t="str">
        <f>IF(B472="","",IF(ISNUMBER(L472),IF(N472="","SEM DATA",IF(N472&gt;=0,"DEFESA NO PRAZO","DEFESA FORA DO PRAZO")),IF(G472="DECISÃO D.P","SEM DEFESA",IF(G472="","SEM STATUS",IF(N472="","SEM DATA",IF(N472&lt;0,"VENCIDO",IF(N472&lt;=DiasAlerta,"VENCE EM BREVE","NO PRAZO")))))))</f>
        <v/>
      </c>
      <c r="P472" s="109" t="str">
        <f>IF(D472="","",TODAY()-D472)</f>
        <v/>
      </c>
      <c r="Q472" s="102" t="n"/>
    </row>
    <row r="473" ht="18" customHeight="1">
      <c r="A473" s="101" t="n"/>
      <c r="B473" s="102" t="n"/>
      <c r="C473" s="102" t="n"/>
      <c r="D473" s="103" t="n"/>
      <c r="E473" s="102" t="n"/>
      <c r="F473" s="104" t="n"/>
      <c r="G473" s="104" t="n"/>
      <c r="H473" s="102" t="n"/>
      <c r="I473" s="105" t="n"/>
      <c r="J473" s="105" t="n"/>
      <c r="K473" s="103" t="n"/>
      <c r="L473" s="103" t="n"/>
      <c r="M473" s="106" t="str">
        <f>IF(OR(D473="",E473=""),"",D473+IF(E473="NOTIFICAÇÃO DE CONSTATAÇÃO",PrazoConst,PrazoEsc))</f>
        <v/>
      </c>
      <c r="N473" s="107" t="str">
        <f>IF(M473="","",IF(ISNUMBER(L473),M473-L473,IF(G473="DECISÃO D.P","",M473-TODAY())))</f>
        <v/>
      </c>
      <c r="O473" s="108" t="str">
        <f>IF(B473="","",IF(ISNUMBER(L473),IF(N473="","SEM DATA",IF(N473&gt;=0,"DEFESA NO PRAZO","DEFESA FORA DO PRAZO")),IF(G473="DECISÃO D.P","SEM DEFESA",IF(G473="","SEM STATUS",IF(N473="","SEM DATA",IF(N473&lt;0,"VENCIDO",IF(N473&lt;=DiasAlerta,"VENCE EM BREVE","NO PRAZO")))))))</f>
        <v/>
      </c>
      <c r="P473" s="109" t="str">
        <f>IF(D473="","",TODAY()-D473)</f>
        <v/>
      </c>
      <c r="Q473" s="102" t="n"/>
    </row>
    <row r="474" ht="18" customHeight="1">
      <c r="A474" s="101" t="n"/>
      <c r="B474" s="102" t="n"/>
      <c r="C474" s="102" t="n"/>
      <c r="D474" s="103" t="n"/>
      <c r="E474" s="102" t="n"/>
      <c r="F474" s="104" t="n"/>
      <c r="G474" s="104" t="n"/>
      <c r="H474" s="102" t="n"/>
      <c r="I474" s="105" t="n"/>
      <c r="J474" s="105" t="n"/>
      <c r="K474" s="103" t="n"/>
      <c r="L474" s="103" t="n"/>
      <c r="M474" s="106" t="str">
        <f>IF(OR(D474="",E474=""),"",D474+IF(E474="NOTIFICAÇÃO DE CONSTATAÇÃO",PrazoConst,PrazoEsc))</f>
        <v/>
      </c>
      <c r="N474" s="107" t="str">
        <f>IF(M474="","",IF(ISNUMBER(L474),M474-L474,IF(G474="DECISÃO D.P","",M474-TODAY())))</f>
        <v/>
      </c>
      <c r="O474" s="108" t="str">
        <f>IF(B474="","",IF(ISNUMBER(L474),IF(N474="","SEM DATA",IF(N474&gt;=0,"DEFESA NO PRAZO","DEFESA FORA DO PRAZO")),IF(G474="DECISÃO D.P","SEM DEFESA",IF(G474="","SEM STATUS",IF(N474="","SEM DATA",IF(N474&lt;0,"VENCIDO",IF(N474&lt;=DiasAlerta,"VENCE EM BREVE","NO PRAZO")))))))</f>
        <v/>
      </c>
      <c r="P474" s="109" t="str">
        <f>IF(D474="","",TODAY()-D474)</f>
        <v/>
      </c>
      <c r="Q474" s="102" t="n"/>
    </row>
    <row r="475" ht="18" customHeight="1">
      <c r="A475" s="101" t="n"/>
      <c r="B475" s="102" t="n"/>
      <c r="C475" s="102" t="n"/>
      <c r="D475" s="103" t="n"/>
      <c r="E475" s="102" t="n"/>
      <c r="F475" s="104" t="n"/>
      <c r="G475" s="104" t="n"/>
      <c r="H475" s="102" t="n"/>
      <c r="I475" s="105" t="n"/>
      <c r="J475" s="105" t="n"/>
      <c r="K475" s="103" t="n"/>
      <c r="L475" s="103" t="n"/>
      <c r="M475" s="106" t="str">
        <f>IF(OR(D475="",E475=""),"",D475+IF(E475="NOTIFICAÇÃO DE CONSTATAÇÃO",PrazoConst,PrazoEsc))</f>
        <v/>
      </c>
      <c r="N475" s="107" t="str">
        <f>IF(M475="","",IF(ISNUMBER(L475),M475-L475,IF(G475="DECISÃO D.P","",M475-TODAY())))</f>
        <v/>
      </c>
      <c r="O475" s="108" t="str">
        <f>IF(B475="","",IF(ISNUMBER(L475),IF(N475="","SEM DATA",IF(N475&gt;=0,"DEFESA NO PRAZO","DEFESA FORA DO PRAZO")),IF(G475="DECISÃO D.P","SEM DEFESA",IF(G475="","SEM STATUS",IF(N475="","SEM DATA",IF(N475&lt;0,"VENCIDO",IF(N475&lt;=DiasAlerta,"VENCE EM BREVE","NO PRAZO")))))))</f>
        <v/>
      </c>
      <c r="P475" s="109" t="str">
        <f>IF(D475="","",TODAY()-D475)</f>
        <v/>
      </c>
      <c r="Q475" s="102" t="n"/>
    </row>
    <row r="476" ht="18" customHeight="1">
      <c r="A476" s="101" t="n"/>
      <c r="B476" s="102" t="n"/>
      <c r="C476" s="102" t="n"/>
      <c r="D476" s="103" t="n"/>
      <c r="E476" s="102" t="n"/>
      <c r="F476" s="104" t="n"/>
      <c r="G476" s="104" t="n"/>
      <c r="H476" s="102" t="n"/>
      <c r="I476" s="105" t="n"/>
      <c r="J476" s="105" t="n"/>
      <c r="K476" s="103" t="n"/>
      <c r="L476" s="103" t="n"/>
      <c r="M476" s="106" t="str">
        <f>IF(OR(D476="",E476=""),"",D476+IF(E476="NOTIFICAÇÃO DE CONSTATAÇÃO",PrazoConst,PrazoEsc))</f>
        <v/>
      </c>
      <c r="N476" s="107" t="str">
        <f>IF(M476="","",IF(ISNUMBER(L476),M476-L476,IF(G476="DECISÃO D.P","",M476-TODAY())))</f>
        <v/>
      </c>
      <c r="O476" s="108" t="str">
        <f>IF(B476="","",IF(ISNUMBER(L476),IF(N476="","SEM DATA",IF(N476&gt;=0,"DEFESA NO PRAZO","DEFESA FORA DO PRAZO")),IF(G476="DECISÃO D.P","SEM DEFESA",IF(G476="","SEM STATUS",IF(N476="","SEM DATA",IF(N476&lt;0,"VENCIDO",IF(N476&lt;=DiasAlerta,"VENCE EM BREVE","NO PRAZO")))))))</f>
        <v/>
      </c>
      <c r="P476" s="109" t="str">
        <f>IF(D476="","",TODAY()-D476)</f>
        <v/>
      </c>
      <c r="Q476" s="102" t="n"/>
    </row>
    <row r="477" ht="18" customHeight="1">
      <c r="A477" s="101" t="n"/>
      <c r="B477" s="102" t="n"/>
      <c r="C477" s="102" t="n"/>
      <c r="D477" s="103" t="n"/>
      <c r="E477" s="102" t="n"/>
      <c r="F477" s="104" t="n"/>
      <c r="G477" s="104" t="n"/>
      <c r="H477" s="102" t="n"/>
      <c r="I477" s="105" t="n"/>
      <c r="J477" s="105" t="n"/>
      <c r="K477" s="103" t="n"/>
      <c r="L477" s="103" t="n"/>
      <c r="M477" s="106" t="str">
        <f>IF(OR(D477="",E477=""),"",D477+IF(E477="NOTIFICAÇÃO DE CONSTATAÇÃO",PrazoConst,PrazoEsc))</f>
        <v/>
      </c>
      <c r="N477" s="107" t="str">
        <f>IF(M477="","",IF(ISNUMBER(L477),M477-L477,IF(G477="DECISÃO D.P","",M477-TODAY())))</f>
        <v/>
      </c>
      <c r="O477" s="108" t="str">
        <f>IF(B477="","",IF(ISNUMBER(L477),IF(N477="","SEM DATA",IF(N477&gt;=0,"DEFESA NO PRAZO","DEFESA FORA DO PRAZO")),IF(G477="DECISÃO D.P","SEM DEFESA",IF(G477="","SEM STATUS",IF(N477="","SEM DATA",IF(N477&lt;0,"VENCIDO",IF(N477&lt;=DiasAlerta,"VENCE EM BREVE","NO PRAZO")))))))</f>
        <v/>
      </c>
      <c r="P477" s="109" t="str">
        <f>IF(D477="","",TODAY()-D477)</f>
        <v/>
      </c>
      <c r="Q477" s="102" t="n"/>
    </row>
    <row r="478" ht="18" customHeight="1">
      <c r="A478" s="101" t="n"/>
      <c r="B478" s="102" t="n"/>
      <c r="C478" s="102" t="n"/>
      <c r="D478" s="103" t="n"/>
      <c r="E478" s="102" t="n"/>
      <c r="F478" s="104" t="n"/>
      <c r="G478" s="104" t="n"/>
      <c r="H478" s="102" t="n"/>
      <c r="I478" s="105" t="n"/>
      <c r="J478" s="105" t="n"/>
      <c r="K478" s="103" t="n"/>
      <c r="L478" s="103" t="n"/>
      <c r="M478" s="106" t="str">
        <f>IF(OR(D478="",E478=""),"",D478+IF(E478="NOTIFICAÇÃO DE CONSTATAÇÃO",PrazoConst,PrazoEsc))</f>
        <v/>
      </c>
      <c r="N478" s="107" t="str">
        <f>IF(M478="","",IF(ISNUMBER(L478),M478-L478,IF(G478="DECISÃO D.P","",M478-TODAY())))</f>
        <v/>
      </c>
      <c r="O478" s="108" t="str">
        <f>IF(B478="","",IF(ISNUMBER(L478),IF(N478="","SEM DATA",IF(N478&gt;=0,"DEFESA NO PRAZO","DEFESA FORA DO PRAZO")),IF(G478="DECISÃO D.P","SEM DEFESA",IF(G478="","SEM STATUS",IF(N478="","SEM DATA",IF(N478&lt;0,"VENCIDO",IF(N478&lt;=DiasAlerta,"VENCE EM BREVE","NO PRAZO")))))))</f>
        <v/>
      </c>
      <c r="P478" s="109" t="str">
        <f>IF(D478="","",TODAY()-D478)</f>
        <v/>
      </c>
      <c r="Q478" s="102" t="n"/>
    </row>
    <row r="479" ht="18" customHeight="1">
      <c r="A479" s="101" t="n"/>
      <c r="B479" s="102" t="n"/>
      <c r="C479" s="102" t="n"/>
      <c r="D479" s="103" t="n"/>
      <c r="E479" s="102" t="n"/>
      <c r="F479" s="104" t="n"/>
      <c r="G479" s="104" t="n"/>
      <c r="H479" s="102" t="n"/>
      <c r="I479" s="105" t="n"/>
      <c r="J479" s="105" t="n"/>
      <c r="K479" s="103" t="n"/>
      <c r="L479" s="103" t="n"/>
      <c r="M479" s="106" t="str">
        <f>IF(OR(D479="",E479=""),"",D479+IF(E479="NOTIFICAÇÃO DE CONSTATAÇÃO",PrazoConst,PrazoEsc))</f>
        <v/>
      </c>
      <c r="N479" s="107" t="str">
        <f>IF(M479="","",IF(ISNUMBER(L479),M479-L479,IF(G479="DECISÃO D.P","",M479-TODAY())))</f>
        <v/>
      </c>
      <c r="O479" s="108" t="str">
        <f>IF(B479="","",IF(ISNUMBER(L479),IF(N479="","SEM DATA",IF(N479&gt;=0,"DEFESA NO PRAZO","DEFESA FORA DO PRAZO")),IF(G479="DECISÃO D.P","SEM DEFESA",IF(G479="","SEM STATUS",IF(N479="","SEM DATA",IF(N479&lt;0,"VENCIDO",IF(N479&lt;=DiasAlerta,"VENCE EM BREVE","NO PRAZO")))))))</f>
        <v/>
      </c>
      <c r="P479" s="109" t="str">
        <f>IF(D479="","",TODAY()-D479)</f>
        <v/>
      </c>
      <c r="Q479" s="102" t="n"/>
    </row>
    <row r="480" ht="18" customHeight="1">
      <c r="A480" s="101" t="n"/>
      <c r="B480" s="102" t="n"/>
      <c r="C480" s="102" t="n"/>
      <c r="D480" s="103" t="n"/>
      <c r="E480" s="102" t="n"/>
      <c r="F480" s="104" t="n"/>
      <c r="G480" s="104" t="n"/>
      <c r="H480" s="102" t="n"/>
      <c r="I480" s="105" t="n"/>
      <c r="J480" s="105" t="n"/>
      <c r="K480" s="103" t="n"/>
      <c r="L480" s="103" t="n"/>
      <c r="M480" s="106" t="str">
        <f>IF(OR(D480="",E480=""),"",D480+IF(E480="NOTIFICAÇÃO DE CONSTATAÇÃO",PrazoConst,PrazoEsc))</f>
        <v/>
      </c>
      <c r="N480" s="107" t="str">
        <f>IF(M480="","",IF(ISNUMBER(L480),M480-L480,IF(G480="DECISÃO D.P","",M480-TODAY())))</f>
        <v/>
      </c>
      <c r="O480" s="108" t="str">
        <f>IF(B480="","",IF(ISNUMBER(L480),IF(N480="","SEM DATA",IF(N480&gt;=0,"DEFESA NO PRAZO","DEFESA FORA DO PRAZO")),IF(G480="DECISÃO D.P","SEM DEFESA",IF(G480="","SEM STATUS",IF(N480="","SEM DATA",IF(N480&lt;0,"VENCIDO",IF(N480&lt;=DiasAlerta,"VENCE EM BREVE","NO PRAZO")))))))</f>
        <v/>
      </c>
      <c r="P480" s="109" t="str">
        <f>IF(D480="","",TODAY()-D480)</f>
        <v/>
      </c>
      <c r="Q480" s="102" t="n"/>
    </row>
    <row r="481" ht="18" customHeight="1">
      <c r="A481" s="101" t="n"/>
      <c r="B481" s="102" t="n"/>
      <c r="C481" s="102" t="n"/>
      <c r="D481" s="103" t="n"/>
      <c r="E481" s="102" t="n"/>
      <c r="F481" s="104" t="n"/>
      <c r="G481" s="104" t="n"/>
      <c r="H481" s="102" t="n"/>
      <c r="I481" s="105" t="n"/>
      <c r="J481" s="105" t="n"/>
      <c r="K481" s="103" t="n"/>
      <c r="L481" s="103" t="n"/>
      <c r="M481" s="106" t="str">
        <f>IF(OR(D481="",E481=""),"",D481+IF(E481="NOTIFICAÇÃO DE CONSTATAÇÃO",PrazoConst,PrazoEsc))</f>
        <v/>
      </c>
      <c r="N481" s="107" t="str">
        <f>IF(M481="","",IF(ISNUMBER(L481),M481-L481,IF(G481="DECISÃO D.P","",M481-TODAY())))</f>
        <v/>
      </c>
      <c r="O481" s="108" t="str">
        <f>IF(B481="","",IF(ISNUMBER(L481),IF(N481="","SEM DATA",IF(N481&gt;=0,"DEFESA NO PRAZO","DEFESA FORA DO PRAZO")),IF(G481="DECISÃO D.P","SEM DEFESA",IF(G481="","SEM STATUS",IF(N481="","SEM DATA",IF(N481&lt;0,"VENCIDO",IF(N481&lt;=DiasAlerta,"VENCE EM BREVE","NO PRAZO")))))))</f>
        <v/>
      </c>
      <c r="P481" s="109" t="str">
        <f>IF(D481="","",TODAY()-D481)</f>
        <v/>
      </c>
      <c r="Q481" s="102" t="n"/>
    </row>
    <row r="482" ht="18" customHeight="1">
      <c r="A482" s="101" t="n"/>
      <c r="B482" s="102" t="n"/>
      <c r="C482" s="102" t="n"/>
      <c r="D482" s="103" t="n"/>
      <c r="E482" s="102" t="n"/>
      <c r="F482" s="104" t="n"/>
      <c r="G482" s="104" t="n"/>
      <c r="H482" s="102" t="n"/>
      <c r="I482" s="105" t="n"/>
      <c r="J482" s="105" t="n"/>
      <c r="K482" s="103" t="n"/>
      <c r="L482" s="103" t="n"/>
      <c r="M482" s="106" t="str">
        <f>IF(OR(D482="",E482=""),"",D482+IF(E482="NOTIFICAÇÃO DE CONSTATAÇÃO",PrazoConst,PrazoEsc))</f>
        <v/>
      </c>
      <c r="N482" s="107" t="str">
        <f>IF(M482="","",IF(ISNUMBER(L482),M482-L482,IF(G482="DECISÃO D.P","",M482-TODAY())))</f>
        <v/>
      </c>
      <c r="O482" s="108" t="str">
        <f>IF(B482="","",IF(ISNUMBER(L482),IF(N482="","SEM DATA",IF(N482&gt;=0,"DEFESA NO PRAZO","DEFESA FORA DO PRAZO")),IF(G482="DECISÃO D.P","SEM DEFESA",IF(G482="","SEM STATUS",IF(N482="","SEM DATA",IF(N482&lt;0,"VENCIDO",IF(N482&lt;=DiasAlerta,"VENCE EM BREVE","NO PRAZO")))))))</f>
        <v/>
      </c>
      <c r="P482" s="109" t="str">
        <f>IF(D482="","",TODAY()-D482)</f>
        <v/>
      </c>
      <c r="Q482" s="102" t="n"/>
    </row>
    <row r="483" ht="18" customHeight="1">
      <c r="A483" s="101" t="n"/>
      <c r="B483" s="102" t="n"/>
      <c r="C483" s="102" t="n"/>
      <c r="D483" s="103" t="n"/>
      <c r="E483" s="102" t="n"/>
      <c r="F483" s="104" t="n"/>
      <c r="G483" s="104" t="n"/>
      <c r="H483" s="102" t="n"/>
      <c r="I483" s="105" t="n"/>
      <c r="J483" s="105" t="n"/>
      <c r="K483" s="103" t="n"/>
      <c r="L483" s="103" t="n"/>
      <c r="M483" s="106" t="str">
        <f>IF(OR(D483="",E483=""),"",D483+IF(E483="NOTIFICAÇÃO DE CONSTATAÇÃO",PrazoConst,PrazoEsc))</f>
        <v/>
      </c>
      <c r="N483" s="107" t="str">
        <f>IF(M483="","",IF(ISNUMBER(L483),M483-L483,IF(G483="DECISÃO D.P","",M483-TODAY())))</f>
        <v/>
      </c>
      <c r="O483" s="108" t="str">
        <f>IF(B483="","",IF(ISNUMBER(L483),IF(N483="","SEM DATA",IF(N483&gt;=0,"DEFESA NO PRAZO","DEFESA FORA DO PRAZO")),IF(G483="DECISÃO D.P","SEM DEFESA",IF(G483="","SEM STATUS",IF(N483="","SEM DATA",IF(N483&lt;0,"VENCIDO",IF(N483&lt;=DiasAlerta,"VENCE EM BREVE","NO PRAZO")))))))</f>
        <v/>
      </c>
      <c r="P483" s="109" t="str">
        <f>IF(D483="","",TODAY()-D483)</f>
        <v/>
      </c>
      <c r="Q483" s="102" t="n"/>
    </row>
    <row r="484" ht="18" customHeight="1">
      <c r="A484" s="101" t="n"/>
      <c r="B484" s="102" t="n"/>
      <c r="C484" s="102" t="n"/>
      <c r="D484" s="103" t="n"/>
      <c r="E484" s="102" t="n"/>
      <c r="F484" s="104" t="n"/>
      <c r="G484" s="104" t="n"/>
      <c r="H484" s="102" t="n"/>
      <c r="I484" s="105" t="n"/>
      <c r="J484" s="105" t="n"/>
      <c r="K484" s="103" t="n"/>
      <c r="L484" s="103" t="n"/>
      <c r="M484" s="106" t="str">
        <f>IF(OR(D484="",E484=""),"",D484+IF(E484="NOTIFICAÇÃO DE CONSTATAÇÃO",PrazoConst,PrazoEsc))</f>
        <v/>
      </c>
      <c r="N484" s="107" t="str">
        <f>IF(M484="","",IF(ISNUMBER(L484),M484-L484,IF(G484="DECISÃO D.P","",M484-TODAY())))</f>
        <v/>
      </c>
      <c r="O484" s="108" t="str">
        <f>IF(B484="","",IF(ISNUMBER(L484),IF(N484="","SEM DATA",IF(N484&gt;=0,"DEFESA NO PRAZO","DEFESA FORA DO PRAZO")),IF(G484="DECISÃO D.P","SEM DEFESA",IF(G484="","SEM STATUS",IF(N484="","SEM DATA",IF(N484&lt;0,"VENCIDO",IF(N484&lt;=DiasAlerta,"VENCE EM BREVE","NO PRAZO")))))))</f>
        <v/>
      </c>
      <c r="P484" s="109" t="str">
        <f>IF(D484="","",TODAY()-D484)</f>
        <v/>
      </c>
      <c r="Q484" s="102" t="n"/>
    </row>
    <row r="485" ht="18" customHeight="1">
      <c r="A485" s="101" t="n"/>
      <c r="B485" s="102" t="n"/>
      <c r="C485" s="102" t="n"/>
      <c r="D485" s="103" t="n"/>
      <c r="E485" s="102" t="n"/>
      <c r="F485" s="104" t="n"/>
      <c r="G485" s="104" t="n"/>
      <c r="H485" s="102" t="n"/>
      <c r="I485" s="105" t="n"/>
      <c r="J485" s="105" t="n"/>
      <c r="K485" s="103" t="n"/>
      <c r="L485" s="103" t="n"/>
      <c r="M485" s="106" t="str">
        <f>IF(OR(D485="",E485=""),"",D485+IF(E485="NOTIFICAÇÃO DE CONSTATAÇÃO",PrazoConst,PrazoEsc))</f>
        <v/>
      </c>
      <c r="N485" s="107" t="str">
        <f>IF(M485="","",IF(ISNUMBER(L485),M485-L485,IF(G485="DECISÃO D.P","",M485-TODAY())))</f>
        <v/>
      </c>
      <c r="O485" s="108" t="str">
        <f>IF(B485="","",IF(ISNUMBER(L485),IF(N485="","SEM DATA",IF(N485&gt;=0,"DEFESA NO PRAZO","DEFESA FORA DO PRAZO")),IF(G485="DECISÃO D.P","SEM DEFESA",IF(G485="","SEM STATUS",IF(N485="","SEM DATA",IF(N485&lt;0,"VENCIDO",IF(N485&lt;=DiasAlerta,"VENCE EM BREVE","NO PRAZO")))))))</f>
        <v/>
      </c>
      <c r="P485" s="109" t="str">
        <f>IF(D485="","",TODAY()-D485)</f>
        <v/>
      </c>
      <c r="Q485" s="102" t="n"/>
    </row>
    <row r="486" ht="18" customHeight="1">
      <c r="A486" s="101" t="n"/>
      <c r="B486" s="102" t="n"/>
      <c r="C486" s="102" t="n"/>
      <c r="D486" s="103" t="n"/>
      <c r="E486" s="102" t="n"/>
      <c r="F486" s="104" t="n"/>
      <c r="G486" s="104" t="n"/>
      <c r="H486" s="102" t="n"/>
      <c r="I486" s="105" t="n"/>
      <c r="J486" s="105" t="n"/>
      <c r="K486" s="103" t="n"/>
      <c r="L486" s="103" t="n"/>
      <c r="M486" s="106" t="str">
        <f>IF(OR(D486="",E486=""),"",D486+IF(E486="NOTIFICAÇÃO DE CONSTATAÇÃO",PrazoConst,PrazoEsc))</f>
        <v/>
      </c>
      <c r="N486" s="107" t="str">
        <f>IF(M486="","",IF(ISNUMBER(L486),M486-L486,IF(G486="DECISÃO D.P","",M486-TODAY())))</f>
        <v/>
      </c>
      <c r="O486" s="108" t="str">
        <f>IF(B486="","",IF(ISNUMBER(L486),IF(N486="","SEM DATA",IF(N486&gt;=0,"DEFESA NO PRAZO","DEFESA FORA DO PRAZO")),IF(G486="DECISÃO D.P","SEM DEFESA",IF(G486="","SEM STATUS",IF(N486="","SEM DATA",IF(N486&lt;0,"VENCIDO",IF(N486&lt;=DiasAlerta,"VENCE EM BREVE","NO PRAZO")))))))</f>
        <v/>
      </c>
      <c r="P486" s="109" t="str">
        <f>IF(D486="","",TODAY()-D486)</f>
        <v/>
      </c>
      <c r="Q486" s="102" t="n"/>
    </row>
    <row r="487" ht="18" customHeight="1">
      <c r="A487" s="101" t="n"/>
      <c r="B487" s="102" t="n"/>
      <c r="C487" s="102" t="n"/>
      <c r="D487" s="103" t="n"/>
      <c r="E487" s="102" t="n"/>
      <c r="F487" s="104" t="n"/>
      <c r="G487" s="104" t="n"/>
      <c r="H487" s="102" t="n"/>
      <c r="I487" s="105" t="n"/>
      <c r="J487" s="105" t="n"/>
      <c r="K487" s="103" t="n"/>
      <c r="L487" s="103" t="n"/>
      <c r="M487" s="106" t="str">
        <f>IF(OR(D487="",E487=""),"",D487+IF(E487="NOTIFICAÇÃO DE CONSTATAÇÃO",PrazoConst,PrazoEsc))</f>
        <v/>
      </c>
      <c r="N487" s="107" t="str">
        <f>IF(M487="","",IF(ISNUMBER(L487),M487-L487,IF(G487="DECISÃO D.P","",M487-TODAY())))</f>
        <v/>
      </c>
      <c r="O487" s="108" t="str">
        <f>IF(B487="","",IF(ISNUMBER(L487),IF(N487="","SEM DATA",IF(N487&gt;=0,"DEFESA NO PRAZO","DEFESA FORA DO PRAZO")),IF(G487="DECISÃO D.P","SEM DEFESA",IF(G487="","SEM STATUS",IF(N487="","SEM DATA",IF(N487&lt;0,"VENCIDO",IF(N487&lt;=DiasAlerta,"VENCE EM BREVE","NO PRAZO")))))))</f>
        <v/>
      </c>
      <c r="P487" s="109" t="str">
        <f>IF(D487="","",TODAY()-D487)</f>
        <v/>
      </c>
      <c r="Q487" s="102" t="n"/>
    </row>
    <row r="488" ht="18" customHeight="1">
      <c r="A488" s="101" t="n"/>
      <c r="B488" s="102" t="n"/>
      <c r="C488" s="102" t="n"/>
      <c r="D488" s="103" t="n"/>
      <c r="E488" s="102" t="n"/>
      <c r="F488" s="104" t="n"/>
      <c r="G488" s="104" t="n"/>
      <c r="H488" s="102" t="n"/>
      <c r="I488" s="105" t="n"/>
      <c r="J488" s="105" t="n"/>
      <c r="K488" s="103" t="n"/>
      <c r="L488" s="103" t="n"/>
      <c r="M488" s="106" t="str">
        <f>IF(OR(D488="",E488=""),"",D488+IF(E488="NOTIFICAÇÃO DE CONSTATAÇÃO",PrazoConst,PrazoEsc))</f>
        <v/>
      </c>
      <c r="N488" s="107" t="str">
        <f>IF(M488="","",IF(ISNUMBER(L488),M488-L488,IF(G488="DECISÃO D.P","",M488-TODAY())))</f>
        <v/>
      </c>
      <c r="O488" s="108" t="str">
        <f>IF(B488="","",IF(ISNUMBER(L488),IF(N488="","SEM DATA",IF(N488&gt;=0,"DEFESA NO PRAZO","DEFESA FORA DO PRAZO")),IF(G488="DECISÃO D.P","SEM DEFESA",IF(G488="","SEM STATUS",IF(N488="","SEM DATA",IF(N488&lt;0,"VENCIDO",IF(N488&lt;=DiasAlerta,"VENCE EM BREVE","NO PRAZO")))))))</f>
        <v/>
      </c>
      <c r="P488" s="109" t="str">
        <f>IF(D488="","",TODAY()-D488)</f>
        <v/>
      </c>
      <c r="Q488" s="102" t="n"/>
    </row>
    <row r="489" ht="18" customHeight="1">
      <c r="A489" s="101" t="n"/>
      <c r="B489" s="102" t="n"/>
      <c r="C489" s="102" t="n"/>
      <c r="D489" s="103" t="n"/>
      <c r="E489" s="102" t="n"/>
      <c r="F489" s="104" t="n"/>
      <c r="G489" s="104" t="n"/>
      <c r="H489" s="102" t="n"/>
      <c r="I489" s="105" t="n"/>
      <c r="J489" s="105" t="n"/>
      <c r="K489" s="103" t="n"/>
      <c r="L489" s="103" t="n"/>
      <c r="M489" s="106" t="str">
        <f>IF(OR(D489="",E489=""),"",D489+IF(E489="NOTIFICAÇÃO DE CONSTATAÇÃO",PrazoConst,PrazoEsc))</f>
        <v/>
      </c>
      <c r="N489" s="107" t="str">
        <f>IF(M489="","",IF(ISNUMBER(L489),M489-L489,IF(G489="DECISÃO D.P","",M489-TODAY())))</f>
        <v/>
      </c>
      <c r="O489" s="108" t="str">
        <f>IF(B489="","",IF(ISNUMBER(L489),IF(N489="","SEM DATA",IF(N489&gt;=0,"DEFESA NO PRAZO","DEFESA FORA DO PRAZO")),IF(G489="DECISÃO D.P","SEM DEFESA",IF(G489="","SEM STATUS",IF(N489="","SEM DATA",IF(N489&lt;0,"VENCIDO",IF(N489&lt;=DiasAlerta,"VENCE EM BREVE","NO PRAZO")))))))</f>
        <v/>
      </c>
      <c r="P489" s="109" t="str">
        <f>IF(D489="","",TODAY()-D489)</f>
        <v/>
      </c>
      <c r="Q489" s="102" t="n"/>
    </row>
    <row r="490" ht="18" customHeight="1">
      <c r="A490" s="101" t="n"/>
      <c r="B490" s="102" t="n"/>
      <c r="C490" s="102" t="n"/>
      <c r="D490" s="103" t="n"/>
      <c r="E490" s="102" t="n"/>
      <c r="F490" s="104" t="n"/>
      <c r="G490" s="104" t="n"/>
      <c r="H490" s="102" t="n"/>
      <c r="I490" s="105" t="n"/>
      <c r="J490" s="105" t="n"/>
      <c r="K490" s="103" t="n"/>
      <c r="L490" s="103" t="n"/>
      <c r="M490" s="106" t="str">
        <f>IF(OR(D490="",E490=""),"",D490+IF(E490="NOTIFICAÇÃO DE CONSTATAÇÃO",PrazoConst,PrazoEsc))</f>
        <v/>
      </c>
      <c r="N490" s="107" t="str">
        <f>IF(M490="","",IF(ISNUMBER(L490),M490-L490,IF(G490="DECISÃO D.P","",M490-TODAY())))</f>
        <v/>
      </c>
      <c r="O490" s="108" t="str">
        <f>IF(B490="","",IF(ISNUMBER(L490),IF(N490="","SEM DATA",IF(N490&gt;=0,"DEFESA NO PRAZO","DEFESA FORA DO PRAZO")),IF(G490="DECISÃO D.P","SEM DEFESA",IF(G490="","SEM STATUS",IF(N490="","SEM DATA",IF(N490&lt;0,"VENCIDO",IF(N490&lt;=DiasAlerta,"VENCE EM BREVE","NO PRAZO")))))))</f>
        <v/>
      </c>
      <c r="P490" s="109" t="str">
        <f>IF(D490="","",TODAY()-D490)</f>
        <v/>
      </c>
      <c r="Q490" s="102" t="n"/>
    </row>
    <row r="491" ht="18" customHeight="1">
      <c r="A491" s="101" t="n"/>
      <c r="B491" s="102" t="n"/>
      <c r="C491" s="102" t="n"/>
      <c r="D491" s="103" t="n"/>
      <c r="E491" s="102" t="n"/>
      <c r="F491" s="104" t="n"/>
      <c r="G491" s="104" t="n"/>
      <c r="H491" s="102" t="n"/>
      <c r="I491" s="105" t="n"/>
      <c r="J491" s="105" t="n"/>
      <c r="K491" s="103" t="n"/>
      <c r="L491" s="103" t="n"/>
      <c r="M491" s="106" t="str">
        <f>IF(OR(D491="",E491=""),"",D491+IF(E491="NOTIFICAÇÃO DE CONSTATAÇÃO",PrazoConst,PrazoEsc))</f>
        <v/>
      </c>
      <c r="N491" s="107" t="str">
        <f>IF(M491="","",IF(ISNUMBER(L491),M491-L491,IF(G491="DECISÃO D.P","",M491-TODAY())))</f>
        <v/>
      </c>
      <c r="O491" s="108" t="str">
        <f>IF(B491="","",IF(ISNUMBER(L491),IF(N491="","SEM DATA",IF(N491&gt;=0,"DEFESA NO PRAZO","DEFESA FORA DO PRAZO")),IF(G491="DECISÃO D.P","SEM DEFESA",IF(G491="","SEM STATUS",IF(N491="","SEM DATA",IF(N491&lt;0,"VENCIDO",IF(N491&lt;=DiasAlerta,"VENCE EM BREVE","NO PRAZO")))))))</f>
        <v/>
      </c>
      <c r="P491" s="109" t="str">
        <f>IF(D491="","",TODAY()-D491)</f>
        <v/>
      </c>
      <c r="Q491" s="102" t="n"/>
    </row>
    <row r="492" ht="18" customHeight="1">
      <c r="A492" s="101" t="n"/>
      <c r="B492" s="102" t="n"/>
      <c r="C492" s="102" t="n"/>
      <c r="D492" s="103" t="n"/>
      <c r="E492" s="102" t="n"/>
      <c r="F492" s="104" t="n"/>
      <c r="G492" s="104" t="n"/>
      <c r="H492" s="102" t="n"/>
      <c r="I492" s="105" t="n"/>
      <c r="J492" s="105" t="n"/>
      <c r="K492" s="103" t="n"/>
      <c r="L492" s="103" t="n"/>
      <c r="M492" s="106" t="str">
        <f>IF(OR(D492="",E492=""),"",D492+IF(E492="NOTIFICAÇÃO DE CONSTATAÇÃO",PrazoConst,PrazoEsc))</f>
        <v/>
      </c>
      <c r="N492" s="107" t="str">
        <f>IF(M492="","",IF(ISNUMBER(L492),M492-L492,IF(G492="DECISÃO D.P","",M492-TODAY())))</f>
        <v/>
      </c>
      <c r="O492" s="108" t="str">
        <f>IF(B492="","",IF(ISNUMBER(L492),IF(N492="","SEM DATA",IF(N492&gt;=0,"DEFESA NO PRAZO","DEFESA FORA DO PRAZO")),IF(G492="DECISÃO D.P","SEM DEFESA",IF(G492="","SEM STATUS",IF(N492="","SEM DATA",IF(N492&lt;0,"VENCIDO",IF(N492&lt;=DiasAlerta,"VENCE EM BREVE","NO PRAZO")))))))</f>
        <v/>
      </c>
      <c r="P492" s="109" t="str">
        <f>IF(D492="","",TODAY()-D492)</f>
        <v/>
      </c>
      <c r="Q492" s="102" t="n"/>
    </row>
    <row r="493" ht="18" customHeight="1">
      <c r="A493" s="101" t="n"/>
      <c r="B493" s="102" t="n"/>
      <c r="C493" s="102" t="n"/>
      <c r="D493" s="103" t="n"/>
      <c r="E493" s="102" t="n"/>
      <c r="F493" s="104" t="n"/>
      <c r="G493" s="104" t="n"/>
      <c r="H493" s="102" t="n"/>
      <c r="I493" s="105" t="n"/>
      <c r="J493" s="105" t="n"/>
      <c r="K493" s="103" t="n"/>
      <c r="L493" s="103" t="n"/>
      <c r="M493" s="106" t="str">
        <f>IF(OR(D493="",E493=""),"",D493+IF(E493="NOTIFICAÇÃO DE CONSTATAÇÃO",PrazoConst,PrazoEsc))</f>
        <v/>
      </c>
      <c r="N493" s="107" t="str">
        <f>IF(M493="","",IF(ISNUMBER(L493),M493-L493,IF(G493="DECISÃO D.P","",M493-TODAY())))</f>
        <v/>
      </c>
      <c r="O493" s="108" t="str">
        <f>IF(B493="","",IF(ISNUMBER(L493),IF(N493="","SEM DATA",IF(N493&gt;=0,"DEFESA NO PRAZO","DEFESA FORA DO PRAZO")),IF(G493="DECISÃO D.P","SEM DEFESA",IF(G493="","SEM STATUS",IF(N493="","SEM DATA",IF(N493&lt;0,"VENCIDO",IF(N493&lt;=DiasAlerta,"VENCE EM BREVE","NO PRAZO")))))))</f>
        <v/>
      </c>
      <c r="P493" s="109" t="str">
        <f>IF(D493="","",TODAY()-D493)</f>
        <v/>
      </c>
      <c r="Q493" s="102" t="n"/>
    </row>
    <row r="494" ht="18" customHeight="1">
      <c r="A494" s="101" t="n"/>
      <c r="B494" s="102" t="n"/>
      <c r="C494" s="102" t="n"/>
      <c r="D494" s="103" t="n"/>
      <c r="E494" s="102" t="n"/>
      <c r="F494" s="104" t="n"/>
      <c r="G494" s="104" t="n"/>
      <c r="H494" s="102" t="n"/>
      <c r="I494" s="105" t="n"/>
      <c r="J494" s="105" t="n"/>
      <c r="K494" s="103" t="n"/>
      <c r="L494" s="103" t="n"/>
      <c r="M494" s="106" t="str">
        <f>IF(OR(D494="",E494=""),"",D494+IF(E494="NOTIFICAÇÃO DE CONSTATAÇÃO",PrazoConst,PrazoEsc))</f>
        <v/>
      </c>
      <c r="N494" s="107" t="str">
        <f>IF(M494="","",IF(ISNUMBER(L494),M494-L494,IF(G494="DECISÃO D.P","",M494-TODAY())))</f>
        <v/>
      </c>
      <c r="O494" s="108" t="str">
        <f>IF(B494="","",IF(ISNUMBER(L494),IF(N494="","SEM DATA",IF(N494&gt;=0,"DEFESA NO PRAZO","DEFESA FORA DO PRAZO")),IF(G494="DECISÃO D.P","SEM DEFESA",IF(G494="","SEM STATUS",IF(N494="","SEM DATA",IF(N494&lt;0,"VENCIDO",IF(N494&lt;=DiasAlerta,"VENCE EM BREVE","NO PRAZO")))))))</f>
        <v/>
      </c>
      <c r="P494" s="109" t="str">
        <f>IF(D494="","",TODAY()-D494)</f>
        <v/>
      </c>
      <c r="Q494" s="102" t="n"/>
    </row>
    <row r="495" ht="18" customHeight="1">
      <c r="A495" s="101" t="n"/>
      <c r="B495" s="102" t="n"/>
      <c r="C495" s="102" t="n"/>
      <c r="D495" s="103" t="n"/>
      <c r="E495" s="102" t="n"/>
      <c r="F495" s="104" t="n"/>
      <c r="G495" s="104" t="n"/>
      <c r="H495" s="102" t="n"/>
      <c r="I495" s="105" t="n"/>
      <c r="J495" s="105" t="n"/>
      <c r="K495" s="103" t="n"/>
      <c r="L495" s="103" t="n"/>
      <c r="M495" s="106" t="str">
        <f>IF(OR(D495="",E495=""),"",D495+IF(E495="NOTIFICAÇÃO DE CONSTATAÇÃO",PrazoConst,PrazoEsc))</f>
        <v/>
      </c>
      <c r="N495" s="107" t="str">
        <f>IF(M495="","",IF(ISNUMBER(L495),M495-L495,IF(G495="DECISÃO D.P","",M495-TODAY())))</f>
        <v/>
      </c>
      <c r="O495" s="108" t="str">
        <f>IF(B495="","",IF(ISNUMBER(L495),IF(N495="","SEM DATA",IF(N495&gt;=0,"DEFESA NO PRAZO","DEFESA FORA DO PRAZO")),IF(G495="DECISÃO D.P","SEM DEFESA",IF(G495="","SEM STATUS",IF(N495="","SEM DATA",IF(N495&lt;0,"VENCIDO",IF(N495&lt;=DiasAlerta,"VENCE EM BREVE","NO PRAZO")))))))</f>
        <v/>
      </c>
      <c r="P495" s="109" t="str">
        <f>IF(D495="","",TODAY()-D495)</f>
        <v/>
      </c>
      <c r="Q495" s="102" t="n"/>
    </row>
    <row r="496" ht="18" customHeight="1">
      <c r="A496" s="101" t="n"/>
      <c r="B496" s="102" t="n"/>
      <c r="C496" s="102" t="n"/>
      <c r="D496" s="103" t="n"/>
      <c r="E496" s="102" t="n"/>
      <c r="F496" s="104" t="n"/>
      <c r="G496" s="104" t="n"/>
      <c r="H496" s="102" t="n"/>
      <c r="I496" s="105" t="n"/>
      <c r="J496" s="105" t="n"/>
      <c r="K496" s="103" t="n"/>
      <c r="L496" s="103" t="n"/>
      <c r="M496" s="106" t="str">
        <f>IF(OR(D496="",E496=""),"",D496+IF(E496="NOTIFICAÇÃO DE CONSTATAÇÃO",PrazoConst,PrazoEsc))</f>
        <v/>
      </c>
      <c r="N496" s="107" t="str">
        <f>IF(M496="","",IF(ISNUMBER(L496),M496-L496,IF(G496="DECISÃO D.P","",M496-TODAY())))</f>
        <v/>
      </c>
      <c r="O496" s="108" t="str">
        <f>IF(B496="","",IF(ISNUMBER(L496),IF(N496="","SEM DATA",IF(N496&gt;=0,"DEFESA NO PRAZO","DEFESA FORA DO PRAZO")),IF(G496="DECISÃO D.P","SEM DEFESA",IF(G496="","SEM STATUS",IF(N496="","SEM DATA",IF(N496&lt;0,"VENCIDO",IF(N496&lt;=DiasAlerta,"VENCE EM BREVE","NO PRAZO")))))))</f>
        <v/>
      </c>
      <c r="P496" s="109" t="str">
        <f>IF(D496="","",TODAY()-D496)</f>
        <v/>
      </c>
      <c r="Q496" s="102" t="n"/>
    </row>
    <row r="497" ht="18" customHeight="1">
      <c r="A497" s="101" t="n"/>
      <c r="B497" s="102" t="n"/>
      <c r="C497" s="102" t="n"/>
      <c r="D497" s="103" t="n"/>
      <c r="E497" s="102" t="n"/>
      <c r="F497" s="104" t="n"/>
      <c r="G497" s="104" t="n"/>
      <c r="H497" s="102" t="n"/>
      <c r="I497" s="105" t="n"/>
      <c r="J497" s="105" t="n"/>
      <c r="K497" s="103" t="n"/>
      <c r="L497" s="103" t="n"/>
      <c r="M497" s="106" t="str">
        <f>IF(OR(D497="",E497=""),"",D497+IF(E497="NOTIFICAÇÃO DE CONSTATAÇÃO",PrazoConst,PrazoEsc))</f>
        <v/>
      </c>
      <c r="N497" s="107" t="str">
        <f>IF(M497="","",IF(ISNUMBER(L497),M497-L497,IF(G497="DECISÃO D.P","",M497-TODAY())))</f>
        <v/>
      </c>
      <c r="O497" s="108" t="str">
        <f>IF(B497="","",IF(ISNUMBER(L497),IF(N497="","SEM DATA",IF(N497&gt;=0,"DEFESA NO PRAZO","DEFESA FORA DO PRAZO")),IF(G497="DECISÃO D.P","SEM DEFESA",IF(G497="","SEM STATUS",IF(N497="","SEM DATA",IF(N497&lt;0,"VENCIDO",IF(N497&lt;=DiasAlerta,"VENCE EM BREVE","NO PRAZO")))))))</f>
        <v/>
      </c>
      <c r="P497" s="109" t="str">
        <f>IF(D497="","",TODAY()-D497)</f>
        <v/>
      </c>
      <c r="Q497" s="102" t="n"/>
    </row>
    <row r="498" ht="18" customHeight="1">
      <c r="A498" s="101" t="n"/>
      <c r="B498" s="102" t="n"/>
      <c r="C498" s="102" t="n"/>
      <c r="D498" s="103" t="n"/>
      <c r="E498" s="102" t="n"/>
      <c r="F498" s="104" t="n"/>
      <c r="G498" s="104" t="n"/>
      <c r="H498" s="102" t="n"/>
      <c r="I498" s="105" t="n"/>
      <c r="J498" s="105" t="n"/>
      <c r="K498" s="103" t="n"/>
      <c r="L498" s="103" t="n"/>
      <c r="M498" s="106" t="str">
        <f>IF(OR(D498="",E498=""),"",D498+IF(E498="NOTIFICAÇÃO DE CONSTATAÇÃO",PrazoConst,PrazoEsc))</f>
        <v/>
      </c>
      <c r="N498" s="107" t="str">
        <f>IF(M498="","",IF(ISNUMBER(L498),M498-L498,IF(G498="DECISÃO D.P","",M498-TODAY())))</f>
        <v/>
      </c>
      <c r="O498" s="108" t="str">
        <f>IF(B498="","",IF(ISNUMBER(L498),IF(N498="","SEM DATA",IF(N498&gt;=0,"DEFESA NO PRAZO","DEFESA FORA DO PRAZO")),IF(G498="DECISÃO D.P","SEM DEFESA",IF(G498="","SEM STATUS",IF(N498="","SEM DATA",IF(N498&lt;0,"VENCIDO",IF(N498&lt;=DiasAlerta,"VENCE EM BREVE","NO PRAZO")))))))</f>
        <v/>
      </c>
      <c r="P498" s="109" t="str">
        <f>IF(D498="","",TODAY()-D498)</f>
        <v/>
      </c>
      <c r="Q498" s="102" t="n"/>
    </row>
    <row r="499" ht="18" customHeight="1">
      <c r="A499" s="101" t="n"/>
      <c r="B499" s="102" t="n"/>
      <c r="C499" s="102" t="n"/>
      <c r="D499" s="103" t="n"/>
      <c r="E499" s="102" t="n"/>
      <c r="F499" s="104" t="n"/>
      <c r="G499" s="104" t="n"/>
      <c r="H499" s="102" t="n"/>
      <c r="I499" s="105" t="n"/>
      <c r="J499" s="105" t="n"/>
      <c r="K499" s="103" t="n"/>
      <c r="L499" s="103" t="n"/>
      <c r="M499" s="106" t="str">
        <f>IF(OR(D499="",E499=""),"",D499+IF(E499="NOTIFICAÇÃO DE CONSTATAÇÃO",PrazoConst,PrazoEsc))</f>
        <v/>
      </c>
      <c r="N499" s="107" t="str">
        <f>IF(M499="","",IF(ISNUMBER(L499),M499-L499,IF(G499="DECISÃO D.P","",M499-TODAY())))</f>
        <v/>
      </c>
      <c r="O499" s="108" t="str">
        <f>IF(B499="","",IF(ISNUMBER(L499),IF(N499="","SEM DATA",IF(N499&gt;=0,"DEFESA NO PRAZO","DEFESA FORA DO PRAZO")),IF(G499="DECISÃO D.P","SEM DEFESA",IF(G499="","SEM STATUS",IF(N499="","SEM DATA",IF(N499&lt;0,"VENCIDO",IF(N499&lt;=DiasAlerta,"VENCE EM BREVE","NO PRAZO")))))))</f>
        <v/>
      </c>
      <c r="P499" s="109" t="str">
        <f>IF(D499="","",TODAY()-D499)</f>
        <v/>
      </c>
      <c r="Q499" s="102" t="n"/>
    </row>
    <row r="500" ht="18" customHeight="1">
      <c r="A500" s="101" t="n"/>
      <c r="B500" s="102" t="n"/>
      <c r="C500" s="102" t="n"/>
      <c r="D500" s="103" t="n"/>
      <c r="E500" s="102" t="n"/>
      <c r="F500" s="104" t="n"/>
      <c r="G500" s="104" t="n"/>
      <c r="H500" s="102" t="n"/>
      <c r="I500" s="105" t="n"/>
      <c r="J500" s="105" t="n"/>
      <c r="K500" s="103" t="n"/>
      <c r="L500" s="103" t="n"/>
      <c r="M500" s="106" t="str">
        <f>IF(OR(D500="",E500=""),"",D500+IF(E500="NOTIFICAÇÃO DE CONSTATAÇÃO",PrazoConst,PrazoEsc))</f>
        <v/>
      </c>
      <c r="N500" s="107" t="str">
        <f>IF(M500="","",IF(ISNUMBER(L500),M500-L500,IF(G500="DECISÃO D.P","",M500-TODAY())))</f>
        <v/>
      </c>
      <c r="O500" s="108" t="str">
        <f>IF(B500="","",IF(ISNUMBER(L500),IF(N500="","SEM DATA",IF(N500&gt;=0,"DEFESA NO PRAZO","DEFESA FORA DO PRAZO")),IF(G500="DECISÃO D.P","SEM DEFESA",IF(G500="","SEM STATUS",IF(N500="","SEM DATA",IF(N500&lt;0,"VENCIDO",IF(N500&lt;=DiasAlerta,"VENCE EM BREVE","NO PRAZO")))))))</f>
        <v/>
      </c>
      <c r="P500" s="109" t="str">
        <f>IF(D500="","",TODAY()-D500)</f>
        <v/>
      </c>
      <c r="Q500" s="102" t="n"/>
    </row>
    <row r="501" ht="18" customHeight="1">
      <c r="A501" s="101" t="n"/>
      <c r="B501" s="102" t="n"/>
      <c r="C501" s="102" t="n"/>
      <c r="D501" s="103" t="n"/>
      <c r="E501" s="102" t="n"/>
      <c r="F501" s="104" t="n"/>
      <c r="G501" s="104" t="n"/>
      <c r="H501" s="102" t="n"/>
      <c r="I501" s="105" t="n"/>
      <c r="J501" s="105" t="n"/>
      <c r="K501" s="103" t="n"/>
      <c r="L501" s="103" t="n"/>
      <c r="M501" s="106" t="str">
        <f>IF(OR(D501="",E501=""),"",D501+IF(E501="NOTIFICAÇÃO DE CONSTATAÇÃO",PrazoConst,PrazoEsc))</f>
        <v/>
      </c>
      <c r="N501" s="107" t="str">
        <f>IF(M501="","",IF(ISNUMBER(L501),M501-L501,IF(G501="DECISÃO D.P","",M501-TODAY())))</f>
        <v/>
      </c>
      <c r="O501" s="108" t="str">
        <f>IF(B501="","",IF(ISNUMBER(L501),IF(N501="","SEM DATA",IF(N501&gt;=0,"DEFESA NO PRAZO","DEFESA FORA DO PRAZO")),IF(G501="DECISÃO D.P","SEM DEFESA",IF(G501="","SEM STATUS",IF(N501="","SEM DATA",IF(N501&lt;0,"VENCIDO",IF(N501&lt;=DiasAlerta,"VENCE EM BREVE","NO PRAZO")))))))</f>
        <v/>
      </c>
      <c r="P501" s="109" t="str">
        <f>IF(D501="","",TODAY()-D501)</f>
        <v/>
      </c>
      <c r="Q501" s="102" t="n"/>
    </row>
    <row r="502" ht="18" customHeight="1">
      <c r="A502" s="101" t="n"/>
      <c r="B502" s="102" t="n"/>
      <c r="C502" s="102" t="n"/>
      <c r="D502" s="103" t="n"/>
      <c r="E502" s="102" t="n"/>
      <c r="F502" s="104" t="n"/>
      <c r="G502" s="104" t="n"/>
      <c r="H502" s="102" t="n"/>
      <c r="I502" s="105" t="n"/>
      <c r="J502" s="105" t="n"/>
      <c r="K502" s="103" t="n"/>
      <c r="L502" s="103" t="n"/>
      <c r="M502" s="106" t="str">
        <f>IF(OR(D502="",E502=""),"",D502+IF(E502="NOTIFICAÇÃO DE CONSTATAÇÃO",PrazoConst,PrazoEsc))</f>
        <v/>
      </c>
      <c r="N502" s="107" t="str">
        <f>IF(M502="","",IF(ISNUMBER(L502),M502-L502,IF(G502="DECISÃO D.P","",M502-TODAY())))</f>
        <v/>
      </c>
      <c r="O502" s="108" t="str">
        <f>IF(B502="","",IF(ISNUMBER(L502),IF(N502="","SEM DATA",IF(N502&gt;=0,"DEFESA NO PRAZO","DEFESA FORA DO PRAZO")),IF(G502="DECISÃO D.P","SEM DEFESA",IF(G502="","SEM STATUS",IF(N502="","SEM DATA",IF(N502&lt;0,"VENCIDO",IF(N502&lt;=DiasAlerta,"VENCE EM BREVE","NO PRAZO")))))))</f>
        <v/>
      </c>
      <c r="P502" s="109" t="str">
        <f>IF(D502="","",TODAY()-D502)</f>
        <v/>
      </c>
      <c r="Q502" s="102" t="n"/>
    </row>
    <row r="503" ht="18" customHeight="1">
      <c r="A503" s="101" t="n"/>
      <c r="B503" s="102" t="n"/>
      <c r="C503" s="102" t="n"/>
      <c r="D503" s="103" t="n"/>
      <c r="E503" s="102" t="n"/>
      <c r="F503" s="104" t="n"/>
      <c r="G503" s="104" t="n"/>
      <c r="H503" s="102" t="n"/>
      <c r="I503" s="105" t="n"/>
      <c r="J503" s="105" t="n"/>
      <c r="K503" s="103" t="n"/>
      <c r="L503" s="103" t="n"/>
      <c r="M503" s="106" t="str">
        <f>IF(OR(D503="",E503=""),"",D503+IF(E503="NOTIFICAÇÃO DE CONSTATAÇÃO",PrazoConst,PrazoEsc))</f>
        <v/>
      </c>
      <c r="N503" s="107" t="str">
        <f>IF(M503="","",IF(ISNUMBER(L503),M503-L503,IF(G503="DECISÃO D.P","",M503-TODAY())))</f>
        <v/>
      </c>
      <c r="O503" s="108" t="str">
        <f>IF(B503="","",IF(ISNUMBER(L503),IF(N503="","SEM DATA",IF(N503&gt;=0,"DEFESA NO PRAZO","DEFESA FORA DO PRAZO")),IF(G503="DECISÃO D.P","SEM DEFESA",IF(G503="","SEM STATUS",IF(N503="","SEM DATA",IF(N503&lt;0,"VENCIDO",IF(N503&lt;=DiasAlerta,"VENCE EM BREVE","NO PRAZO")))))))</f>
        <v/>
      </c>
      <c r="P503" s="109" t="str">
        <f>IF(D503="","",TODAY()-D503)</f>
        <v/>
      </c>
      <c r="Q503" s="102" t="n"/>
    </row>
    <row r="504" ht="18" customHeight="1">
      <c r="A504" s="101" t="n"/>
      <c r="B504" s="102" t="n"/>
      <c r="C504" s="102" t="n"/>
      <c r="D504" s="103" t="n"/>
      <c r="E504" s="102" t="n"/>
      <c r="F504" s="104" t="n"/>
      <c r="G504" s="104" t="n"/>
      <c r="H504" s="102" t="n"/>
      <c r="I504" s="105" t="n"/>
      <c r="J504" s="105" t="n"/>
      <c r="K504" s="103" t="n"/>
      <c r="L504" s="103" t="n"/>
      <c r="M504" s="106" t="str">
        <f>IF(OR(D504="",E504=""),"",D504+IF(E504="NOTIFICAÇÃO DE CONSTATAÇÃO",PrazoConst,PrazoEsc))</f>
        <v/>
      </c>
      <c r="N504" s="107" t="str">
        <f>IF(M504="","",IF(ISNUMBER(L504),M504-L504,IF(G504="DECISÃO D.P","",M504-TODAY())))</f>
        <v/>
      </c>
      <c r="O504" s="108" t="str">
        <f>IF(B504="","",IF(ISNUMBER(L504),IF(N504="","SEM DATA",IF(N504&gt;=0,"DEFESA NO PRAZO","DEFESA FORA DO PRAZO")),IF(G504="DECISÃO D.P","SEM DEFESA",IF(G504="","SEM STATUS",IF(N504="","SEM DATA",IF(N504&lt;0,"VENCIDO",IF(N504&lt;=DiasAlerta,"VENCE EM BREVE","NO PRAZO")))))))</f>
        <v/>
      </c>
      <c r="P504" s="109" t="str">
        <f>IF(D504="","",TODAY()-D504)</f>
        <v/>
      </c>
      <c r="Q504" s="102" t="n"/>
    </row>
    <row r="505" ht="18" customHeight="1">
      <c r="A505" s="101" t="n"/>
      <c r="B505" s="102" t="n"/>
      <c r="C505" s="102" t="n"/>
      <c r="D505" s="103" t="n"/>
      <c r="E505" s="102" t="n"/>
      <c r="F505" s="104" t="n"/>
      <c r="G505" s="104" t="n"/>
      <c r="H505" s="102" t="n"/>
      <c r="I505" s="105" t="n"/>
      <c r="J505" s="105" t="n"/>
      <c r="K505" s="103" t="n"/>
      <c r="L505" s="103" t="n"/>
      <c r="M505" s="106" t="str">
        <f>IF(OR(D505="",E505=""),"",D505+IF(E505="NOTIFICAÇÃO DE CONSTATAÇÃO",PrazoConst,PrazoEsc))</f>
        <v/>
      </c>
      <c r="N505" s="107" t="str">
        <f>IF(M505="","",IF(ISNUMBER(L505),M505-L505,IF(G505="DECISÃO D.P","",M505-TODAY())))</f>
        <v/>
      </c>
      <c r="O505" s="108" t="str">
        <f>IF(B505="","",IF(ISNUMBER(L505),IF(N505="","SEM DATA",IF(N505&gt;=0,"DEFESA NO PRAZO","DEFESA FORA DO PRAZO")),IF(G505="DECISÃO D.P","SEM DEFESA",IF(G505="","SEM STATUS",IF(N505="","SEM DATA",IF(N505&lt;0,"VENCIDO",IF(N505&lt;=DiasAlerta,"VENCE EM BREVE","NO PRAZO")))))))</f>
        <v/>
      </c>
      <c r="P505" s="109" t="str">
        <f>IF(D505="","",TODAY()-D505)</f>
        <v/>
      </c>
      <c r="Q505" s="102" t="n"/>
    </row>
    <row r="506" ht="18" customHeight="1">
      <c r="A506" s="101" t="n"/>
      <c r="B506" s="102" t="n"/>
      <c r="C506" s="102" t="n"/>
      <c r="D506" s="103" t="n"/>
      <c r="E506" s="102" t="n"/>
      <c r="F506" s="104" t="n"/>
      <c r="G506" s="104" t="n"/>
      <c r="H506" s="102" t="n"/>
      <c r="I506" s="105" t="n"/>
      <c r="J506" s="105" t="n"/>
      <c r="K506" s="103" t="n"/>
      <c r="L506" s="103" t="n"/>
      <c r="M506" s="106" t="str">
        <f>IF(OR(D506="",E506=""),"",D506+IF(E506="NOTIFICAÇÃO DE CONSTATAÇÃO",PrazoConst,PrazoEsc))</f>
        <v/>
      </c>
      <c r="N506" s="107" t="str">
        <f>IF(M506="","",IF(ISNUMBER(L506),M506-L506,IF(G506="DECISÃO D.P","",M506-TODAY())))</f>
        <v/>
      </c>
      <c r="O506" s="108" t="str">
        <f>IF(B506="","",IF(ISNUMBER(L506),IF(N506="","SEM DATA",IF(N506&gt;=0,"DEFESA NO PRAZO","DEFESA FORA DO PRAZO")),IF(G506="DECISÃO D.P","SEM DEFESA",IF(G506="","SEM STATUS",IF(N506="","SEM DATA",IF(N506&lt;0,"VENCIDO",IF(N506&lt;=DiasAlerta,"VENCE EM BREVE","NO PRAZO")))))))</f>
        <v/>
      </c>
      <c r="P506" s="109" t="str">
        <f>IF(D506="","",TODAY()-D506)</f>
        <v/>
      </c>
      <c r="Q506" s="102" t="n"/>
    </row>
    <row r="507" ht="18" customHeight="1">
      <c r="A507" s="101" t="n"/>
      <c r="B507" s="102" t="n"/>
      <c r="C507" s="102" t="n"/>
      <c r="D507" s="103" t="n"/>
      <c r="E507" s="102" t="n"/>
      <c r="F507" s="104" t="n"/>
      <c r="G507" s="104" t="n"/>
      <c r="H507" s="102" t="n"/>
      <c r="I507" s="105" t="n"/>
      <c r="J507" s="105" t="n"/>
      <c r="K507" s="103" t="n"/>
      <c r="L507" s="103" t="n"/>
      <c r="M507" s="106" t="str">
        <f>IF(OR(D507="",E507=""),"",D507+IF(E507="NOTIFICAÇÃO DE CONSTATAÇÃO",PrazoConst,PrazoEsc))</f>
        <v/>
      </c>
      <c r="N507" s="107" t="str">
        <f>IF(M507="","",IF(ISNUMBER(L507),M507-L507,IF(G507="DECISÃO D.P","",M507-TODAY())))</f>
        <v/>
      </c>
      <c r="O507" s="108" t="str">
        <f>IF(B507="","",IF(ISNUMBER(L507),IF(N507="","SEM DATA",IF(N507&gt;=0,"DEFESA NO PRAZO","DEFESA FORA DO PRAZO")),IF(G507="DECISÃO D.P","SEM DEFESA",IF(G507="","SEM STATUS",IF(N507="","SEM DATA",IF(N507&lt;0,"VENCIDO",IF(N507&lt;=DiasAlerta,"VENCE EM BREVE","NO PRAZO")))))))</f>
        <v/>
      </c>
      <c r="P507" s="109" t="str">
        <f>IF(D507="","",TODAY()-D507)</f>
        <v/>
      </c>
      <c r="Q507" s="102" t="n"/>
    </row>
    <row r="508" ht="18" customHeight="1">
      <c r="A508" s="101" t="n"/>
      <c r="B508" s="102" t="n"/>
      <c r="C508" s="102" t="n"/>
      <c r="D508" s="103" t="n"/>
      <c r="E508" s="102" t="n"/>
      <c r="F508" s="104" t="n"/>
      <c r="G508" s="104" t="n"/>
      <c r="H508" s="102" t="n"/>
      <c r="I508" s="105" t="n"/>
      <c r="J508" s="105" t="n"/>
      <c r="K508" s="103" t="n"/>
      <c r="L508" s="103" t="n"/>
      <c r="M508" s="106" t="str">
        <f>IF(OR(D508="",E508=""),"",D508+IF(E508="NOTIFICAÇÃO DE CONSTATAÇÃO",PrazoConst,PrazoEsc))</f>
        <v/>
      </c>
      <c r="N508" s="107" t="str">
        <f>IF(M508="","",IF(ISNUMBER(L508),M508-L508,IF(G508="DECISÃO D.P","",M508-TODAY())))</f>
        <v/>
      </c>
      <c r="O508" s="108" t="str">
        <f>IF(B508="","",IF(ISNUMBER(L508),IF(N508="","SEM DATA",IF(N508&gt;=0,"DEFESA NO PRAZO","DEFESA FORA DO PRAZO")),IF(G508="DECISÃO D.P","SEM DEFESA",IF(G508="","SEM STATUS",IF(N508="","SEM DATA",IF(N508&lt;0,"VENCIDO",IF(N508&lt;=DiasAlerta,"VENCE EM BREVE","NO PRAZO")))))))</f>
        <v/>
      </c>
      <c r="P508" s="109" t="str">
        <f>IF(D508="","",TODAY()-D508)</f>
        <v/>
      </c>
      <c r="Q508" s="102" t="n"/>
    </row>
    <row r="509" ht="18" customHeight="1">
      <c r="A509" s="101" t="n"/>
      <c r="B509" s="102" t="n"/>
      <c r="C509" s="102" t="n"/>
      <c r="D509" s="103" t="n"/>
      <c r="E509" s="102" t="n"/>
      <c r="F509" s="104" t="n"/>
      <c r="G509" s="104" t="n"/>
      <c r="H509" s="102" t="n"/>
      <c r="I509" s="105" t="n"/>
      <c r="J509" s="105" t="n"/>
      <c r="K509" s="103" t="n"/>
      <c r="L509" s="103" t="n"/>
      <c r="M509" s="106" t="str">
        <f>IF(OR(D509="",E509=""),"",D509+IF(E509="NOTIFICAÇÃO DE CONSTATAÇÃO",PrazoConst,PrazoEsc))</f>
        <v/>
      </c>
      <c r="N509" s="107" t="str">
        <f>IF(M509="","",IF(ISNUMBER(L509),M509-L509,IF(G509="DECISÃO D.P","",M509-TODAY())))</f>
        <v/>
      </c>
      <c r="O509" s="108" t="str">
        <f>IF(B509="","",IF(ISNUMBER(L509),IF(N509="","SEM DATA",IF(N509&gt;=0,"DEFESA NO PRAZO","DEFESA FORA DO PRAZO")),IF(G509="DECISÃO D.P","SEM DEFESA",IF(G509="","SEM STATUS",IF(N509="","SEM DATA",IF(N509&lt;0,"VENCIDO",IF(N509&lt;=DiasAlerta,"VENCE EM BREVE","NO PRAZO")))))))</f>
        <v/>
      </c>
      <c r="P509" s="109" t="str">
        <f>IF(D509="","",TODAY()-D509)</f>
        <v/>
      </c>
      <c r="Q509" s="102" t="n"/>
    </row>
    <row r="510" ht="18" customHeight="1">
      <c r="A510" s="101" t="n"/>
      <c r="B510" s="102" t="n"/>
      <c r="C510" s="102" t="n"/>
      <c r="D510" s="103" t="n"/>
      <c r="E510" s="102" t="n"/>
      <c r="F510" s="104" t="n"/>
      <c r="G510" s="104" t="n"/>
      <c r="H510" s="102" t="n"/>
      <c r="I510" s="105" t="n"/>
      <c r="J510" s="105" t="n"/>
      <c r="K510" s="103" t="n"/>
      <c r="L510" s="103" t="n"/>
      <c r="M510" s="106" t="str">
        <f>IF(OR(D510="",E510=""),"",D510+IF(E510="NOTIFICAÇÃO DE CONSTATAÇÃO",PrazoConst,PrazoEsc))</f>
        <v/>
      </c>
      <c r="N510" s="107" t="str">
        <f>IF(M510="","",IF(ISNUMBER(L510),M510-L510,IF(G510="DECISÃO D.P","",M510-TODAY())))</f>
        <v/>
      </c>
      <c r="O510" s="108" t="str">
        <f>IF(B510="","",IF(ISNUMBER(L510),IF(N510="","SEM DATA",IF(N510&gt;=0,"DEFESA NO PRAZO","DEFESA FORA DO PRAZO")),IF(G510="DECISÃO D.P","SEM DEFESA",IF(G510="","SEM STATUS",IF(N510="","SEM DATA",IF(N510&lt;0,"VENCIDO",IF(N510&lt;=DiasAlerta,"VENCE EM BREVE","NO PRAZO")))))))</f>
        <v/>
      </c>
      <c r="P510" s="109" t="str">
        <f>IF(D510="","",TODAY()-D510)</f>
        <v/>
      </c>
      <c r="Q510" s="102" t="n"/>
    </row>
    <row r="511" ht="18" customHeight="1">
      <c r="A511" s="101" t="n"/>
      <c r="B511" s="102" t="n"/>
      <c r="C511" s="102" t="n"/>
      <c r="D511" s="103" t="n"/>
      <c r="E511" s="102" t="n"/>
      <c r="F511" s="104" t="n"/>
      <c r="G511" s="104" t="n"/>
      <c r="H511" s="102" t="n"/>
      <c r="I511" s="105" t="n"/>
      <c r="J511" s="105" t="n"/>
      <c r="K511" s="103" t="n"/>
      <c r="L511" s="103" t="n"/>
      <c r="M511" s="106" t="str">
        <f>IF(OR(D511="",E511=""),"",D511+IF(E511="NOTIFICAÇÃO DE CONSTATAÇÃO",PrazoConst,PrazoEsc))</f>
        <v/>
      </c>
      <c r="N511" s="107" t="str">
        <f>IF(M511="","",IF(ISNUMBER(L511),M511-L511,IF(G511="DECISÃO D.P","",M511-TODAY())))</f>
        <v/>
      </c>
      <c r="O511" s="108" t="str">
        <f>IF(B511="","",IF(ISNUMBER(L511),IF(N511="","SEM DATA",IF(N511&gt;=0,"DEFESA NO PRAZO","DEFESA FORA DO PRAZO")),IF(G511="DECISÃO D.P","SEM DEFESA",IF(G511="","SEM STATUS",IF(N511="","SEM DATA",IF(N511&lt;0,"VENCIDO",IF(N511&lt;=DiasAlerta,"VENCE EM BREVE","NO PRAZO")))))))</f>
        <v/>
      </c>
      <c r="P511" s="109" t="str">
        <f>IF(D511="","",TODAY()-D511)</f>
        <v/>
      </c>
      <c r="Q511" s="102" t="n"/>
    </row>
    <row r="512" ht="18" customHeight="1">
      <c r="A512" s="101" t="n"/>
      <c r="B512" s="102" t="n"/>
      <c r="C512" s="102" t="n"/>
      <c r="D512" s="103" t="n"/>
      <c r="E512" s="102" t="n"/>
      <c r="F512" s="104" t="n"/>
      <c r="G512" s="104" t="n"/>
      <c r="H512" s="102" t="n"/>
      <c r="I512" s="105" t="n"/>
      <c r="J512" s="105" t="n"/>
      <c r="K512" s="103" t="n"/>
      <c r="L512" s="103" t="n"/>
      <c r="M512" s="106" t="str">
        <f>IF(OR(D512="",E512=""),"",D512+IF(E512="NOTIFICAÇÃO DE CONSTATAÇÃO",PrazoConst,PrazoEsc))</f>
        <v/>
      </c>
      <c r="N512" s="107" t="str">
        <f>IF(M512="","",IF(ISNUMBER(L512),M512-L512,IF(G512="DECISÃO D.P","",M512-TODAY())))</f>
        <v/>
      </c>
      <c r="O512" s="108" t="str">
        <f>IF(B512="","",IF(ISNUMBER(L512),IF(N512="","SEM DATA",IF(N512&gt;=0,"DEFESA NO PRAZO","DEFESA FORA DO PRAZO")),IF(G512="DECISÃO D.P","SEM DEFESA",IF(G512="","SEM STATUS",IF(N512="","SEM DATA",IF(N512&lt;0,"VENCIDO",IF(N512&lt;=DiasAlerta,"VENCE EM BREVE","NO PRAZO")))))))</f>
        <v/>
      </c>
      <c r="P512" s="109" t="str">
        <f>IF(D512="","",TODAY()-D512)</f>
        <v/>
      </c>
      <c r="Q512" s="102" t="n"/>
    </row>
    <row r="513" ht="18" customHeight="1">
      <c r="A513" s="101" t="n"/>
      <c r="B513" s="102" t="n"/>
      <c r="C513" s="102" t="n"/>
      <c r="D513" s="103" t="n"/>
      <c r="E513" s="102" t="n"/>
      <c r="F513" s="104" t="n"/>
      <c r="G513" s="104" t="n"/>
      <c r="H513" s="102" t="n"/>
      <c r="I513" s="105" t="n"/>
      <c r="J513" s="105" t="n"/>
      <c r="K513" s="103" t="n"/>
      <c r="L513" s="103" t="n"/>
      <c r="M513" s="106" t="str">
        <f>IF(OR(D513="",E513=""),"",D513+IF(E513="NOTIFICAÇÃO DE CONSTATAÇÃO",PrazoConst,PrazoEsc))</f>
        <v/>
      </c>
      <c r="N513" s="107" t="str">
        <f>IF(M513="","",IF(ISNUMBER(L513),M513-L513,IF(G513="DECISÃO D.P","",M513-TODAY())))</f>
        <v/>
      </c>
      <c r="O513" s="108" t="str">
        <f>IF(B513="","",IF(ISNUMBER(L513),IF(N513="","SEM DATA",IF(N513&gt;=0,"DEFESA NO PRAZO","DEFESA FORA DO PRAZO")),IF(G513="DECISÃO D.P","SEM DEFESA",IF(G513="","SEM STATUS",IF(N513="","SEM DATA",IF(N513&lt;0,"VENCIDO",IF(N513&lt;=DiasAlerta,"VENCE EM BREVE","NO PRAZO")))))))</f>
        <v/>
      </c>
      <c r="P513" s="109" t="str">
        <f>IF(D513="","",TODAY()-D513)</f>
        <v/>
      </c>
      <c r="Q513" s="102" t="n"/>
    </row>
    <row r="514" ht="18" customHeight="1">
      <c r="A514" s="101" t="n"/>
      <c r="B514" s="102" t="n"/>
      <c r="C514" s="102" t="n"/>
      <c r="D514" s="103" t="n"/>
      <c r="E514" s="102" t="n"/>
      <c r="F514" s="104" t="n"/>
      <c r="G514" s="104" t="n"/>
      <c r="H514" s="102" t="n"/>
      <c r="I514" s="105" t="n"/>
      <c r="J514" s="105" t="n"/>
      <c r="K514" s="103" t="n"/>
      <c r="L514" s="103" t="n"/>
      <c r="M514" s="106" t="str">
        <f>IF(OR(D514="",E514=""),"",D514+IF(E514="NOTIFICAÇÃO DE CONSTATAÇÃO",PrazoConst,PrazoEsc))</f>
        <v/>
      </c>
      <c r="N514" s="107" t="str">
        <f>IF(M514="","",IF(ISNUMBER(L514),M514-L514,IF(G514="DECISÃO D.P","",M514-TODAY())))</f>
        <v/>
      </c>
      <c r="O514" s="108" t="str">
        <f>IF(B514="","",IF(ISNUMBER(L514),IF(N514="","SEM DATA",IF(N514&gt;=0,"DEFESA NO PRAZO","DEFESA FORA DO PRAZO")),IF(G514="DECISÃO D.P","SEM DEFESA",IF(G514="","SEM STATUS",IF(N514="","SEM DATA",IF(N514&lt;0,"VENCIDO",IF(N514&lt;=DiasAlerta,"VENCE EM BREVE","NO PRAZO")))))))</f>
        <v/>
      </c>
      <c r="P514" s="109" t="str">
        <f>IF(D514="","",TODAY()-D514)</f>
        <v/>
      </c>
      <c r="Q514" s="102" t="n"/>
    </row>
    <row r="515" ht="18" customHeight="1">
      <c r="A515" s="101" t="n"/>
      <c r="B515" s="102" t="n"/>
      <c r="C515" s="102" t="n"/>
      <c r="D515" s="103" t="n"/>
      <c r="E515" s="102" t="n"/>
      <c r="F515" s="104" t="n"/>
      <c r="G515" s="104" t="n"/>
      <c r="H515" s="102" t="n"/>
      <c r="I515" s="105" t="n"/>
      <c r="J515" s="105" t="n"/>
      <c r="K515" s="103" t="n"/>
      <c r="L515" s="103" t="n"/>
      <c r="M515" s="106" t="str">
        <f>IF(OR(D515="",E515=""),"",D515+IF(E515="NOTIFICAÇÃO DE CONSTATAÇÃO",PrazoConst,PrazoEsc))</f>
        <v/>
      </c>
      <c r="N515" s="107" t="str">
        <f>IF(M515="","",IF(ISNUMBER(L515),M515-L515,IF(G515="DECISÃO D.P","",M515-TODAY())))</f>
        <v/>
      </c>
      <c r="O515" s="108" t="str">
        <f>IF(B515="","",IF(ISNUMBER(L515),IF(N515="","SEM DATA",IF(N515&gt;=0,"DEFESA NO PRAZO","DEFESA FORA DO PRAZO")),IF(G515="DECISÃO D.P","SEM DEFESA",IF(G515="","SEM STATUS",IF(N515="","SEM DATA",IF(N515&lt;0,"VENCIDO",IF(N515&lt;=DiasAlerta,"VENCE EM BREVE","NO PRAZO")))))))</f>
        <v/>
      </c>
      <c r="P515" s="109" t="str">
        <f>IF(D515="","",TODAY()-D515)</f>
        <v/>
      </c>
      <c r="Q515" s="102" t="n"/>
    </row>
    <row r="516" ht="18" customHeight="1">
      <c r="A516" s="101" t="n"/>
      <c r="B516" s="102" t="n"/>
      <c r="C516" s="102" t="n"/>
      <c r="D516" s="103" t="n"/>
      <c r="E516" s="102" t="n"/>
      <c r="F516" s="104" t="n"/>
      <c r="G516" s="104" t="n"/>
      <c r="H516" s="102" t="n"/>
      <c r="I516" s="105" t="n"/>
      <c r="J516" s="105" t="n"/>
      <c r="K516" s="103" t="n"/>
      <c r="L516" s="103" t="n"/>
      <c r="M516" s="106" t="str">
        <f>IF(OR(D516="",E516=""),"",D516+IF(E516="NOTIFICAÇÃO DE CONSTATAÇÃO",PrazoConst,PrazoEsc))</f>
        <v/>
      </c>
      <c r="N516" s="107" t="str">
        <f>IF(M516="","",IF(ISNUMBER(L516),M516-L516,IF(G516="DECISÃO D.P","",M516-TODAY())))</f>
        <v/>
      </c>
      <c r="O516" s="108" t="str">
        <f>IF(B516="","",IF(ISNUMBER(L516),IF(N516="","SEM DATA",IF(N516&gt;=0,"DEFESA NO PRAZO","DEFESA FORA DO PRAZO")),IF(G516="DECISÃO D.P","SEM DEFESA",IF(G516="","SEM STATUS",IF(N516="","SEM DATA",IF(N516&lt;0,"VENCIDO",IF(N516&lt;=DiasAlerta,"VENCE EM BREVE","NO PRAZO")))))))</f>
        <v/>
      </c>
      <c r="P516" s="109" t="str">
        <f>IF(D516="","",TODAY()-D516)</f>
        <v/>
      </c>
      <c r="Q516" s="102" t="n"/>
    </row>
    <row r="517" ht="18" customHeight="1">
      <c r="A517" s="101" t="n"/>
      <c r="B517" s="102" t="n"/>
      <c r="C517" s="102" t="n"/>
      <c r="D517" s="103" t="n"/>
      <c r="E517" s="102" t="n"/>
      <c r="F517" s="104" t="n"/>
      <c r="G517" s="104" t="n"/>
      <c r="H517" s="102" t="n"/>
      <c r="I517" s="105" t="n"/>
      <c r="J517" s="105" t="n"/>
      <c r="K517" s="103" t="n"/>
      <c r="L517" s="103" t="n"/>
      <c r="M517" s="106" t="str">
        <f>IF(OR(D517="",E517=""),"",D517+IF(E517="NOTIFICAÇÃO DE CONSTATAÇÃO",PrazoConst,PrazoEsc))</f>
        <v/>
      </c>
      <c r="N517" s="107" t="str">
        <f>IF(M517="","",IF(ISNUMBER(L517),M517-L517,IF(G517="DECISÃO D.P","",M517-TODAY())))</f>
        <v/>
      </c>
      <c r="O517" s="108" t="str">
        <f>IF(B517="","",IF(ISNUMBER(L517),IF(N517="","SEM DATA",IF(N517&gt;=0,"DEFESA NO PRAZO","DEFESA FORA DO PRAZO")),IF(G517="DECISÃO D.P","SEM DEFESA",IF(G517="","SEM STATUS",IF(N517="","SEM DATA",IF(N517&lt;0,"VENCIDO",IF(N517&lt;=DiasAlerta,"VENCE EM BREVE","NO PRAZO")))))))</f>
        <v/>
      </c>
      <c r="P517" s="109" t="str">
        <f>IF(D517="","",TODAY()-D517)</f>
        <v/>
      </c>
      <c r="Q517" s="102" t="n"/>
    </row>
    <row r="518" ht="18" customHeight="1">
      <c r="A518" s="101" t="n"/>
      <c r="B518" s="102" t="n"/>
      <c r="C518" s="102" t="n"/>
      <c r="D518" s="103" t="n"/>
      <c r="E518" s="102" t="n"/>
      <c r="F518" s="104" t="n"/>
      <c r="G518" s="104" t="n"/>
      <c r="H518" s="102" t="n"/>
      <c r="I518" s="105" t="n"/>
      <c r="J518" s="105" t="n"/>
      <c r="K518" s="103" t="n"/>
      <c r="L518" s="103" t="n"/>
      <c r="M518" s="106" t="str">
        <f>IF(OR(D518="",E518=""),"",D518+IF(E518="NOTIFICAÇÃO DE CONSTATAÇÃO",PrazoConst,PrazoEsc))</f>
        <v/>
      </c>
      <c r="N518" s="107" t="str">
        <f>IF(M518="","",IF(ISNUMBER(L518),M518-L518,IF(G518="DECISÃO D.P","",M518-TODAY())))</f>
        <v/>
      </c>
      <c r="O518" s="108" t="str">
        <f>IF(B518="","",IF(ISNUMBER(L518),IF(N518="","SEM DATA",IF(N518&gt;=0,"DEFESA NO PRAZO","DEFESA FORA DO PRAZO")),IF(G518="DECISÃO D.P","SEM DEFESA",IF(G518="","SEM STATUS",IF(N518="","SEM DATA",IF(N518&lt;0,"VENCIDO",IF(N518&lt;=DiasAlerta,"VENCE EM BREVE","NO PRAZO")))))))</f>
        <v/>
      </c>
      <c r="P518" s="109" t="str">
        <f>IF(D518="","",TODAY()-D518)</f>
        <v/>
      </c>
      <c r="Q518" s="102" t="n"/>
    </row>
    <row r="519" ht="18" customHeight="1">
      <c r="A519" s="101" t="n"/>
      <c r="B519" s="102" t="n"/>
      <c r="C519" s="102" t="n"/>
      <c r="D519" s="103" t="n"/>
      <c r="E519" s="102" t="n"/>
      <c r="F519" s="104" t="n"/>
      <c r="G519" s="104" t="n"/>
      <c r="H519" s="102" t="n"/>
      <c r="I519" s="105" t="n"/>
      <c r="J519" s="105" t="n"/>
      <c r="K519" s="103" t="n"/>
      <c r="L519" s="103" t="n"/>
      <c r="M519" s="106" t="str">
        <f>IF(OR(D519="",E519=""),"",D519+IF(E519="NOTIFICAÇÃO DE CONSTATAÇÃO",PrazoConst,PrazoEsc))</f>
        <v/>
      </c>
      <c r="N519" s="107" t="str">
        <f>IF(M519="","",IF(ISNUMBER(L519),M519-L519,IF(G519="DECISÃO D.P","",M519-TODAY())))</f>
        <v/>
      </c>
      <c r="O519" s="108" t="str">
        <f>IF(B519="","",IF(ISNUMBER(L519),IF(N519="","SEM DATA",IF(N519&gt;=0,"DEFESA NO PRAZO","DEFESA FORA DO PRAZO")),IF(G519="DECISÃO D.P","SEM DEFESA",IF(G519="","SEM STATUS",IF(N519="","SEM DATA",IF(N519&lt;0,"VENCIDO",IF(N519&lt;=DiasAlerta,"VENCE EM BREVE","NO PRAZO")))))))</f>
        <v/>
      </c>
      <c r="P519" s="109" t="str">
        <f>IF(D519="","",TODAY()-D519)</f>
        <v/>
      </c>
      <c r="Q519" s="102" t="n"/>
    </row>
    <row r="520" ht="18" customHeight="1">
      <c r="A520" s="101" t="n"/>
      <c r="B520" s="102" t="n"/>
      <c r="C520" s="102" t="n"/>
      <c r="D520" s="103" t="n"/>
      <c r="E520" s="102" t="n"/>
      <c r="F520" s="104" t="n"/>
      <c r="G520" s="104" t="n"/>
      <c r="H520" s="102" t="n"/>
      <c r="I520" s="105" t="n"/>
      <c r="J520" s="105" t="n"/>
      <c r="K520" s="103" t="n"/>
      <c r="L520" s="103" t="n"/>
      <c r="M520" s="106" t="str">
        <f>IF(OR(D520="",E520=""),"",D520+IF(E520="NOTIFICAÇÃO DE CONSTATAÇÃO",PrazoConst,PrazoEsc))</f>
        <v/>
      </c>
      <c r="N520" s="107" t="str">
        <f>IF(M520="","",IF(ISNUMBER(L520),M520-L520,IF(G520="DECISÃO D.P","",M520-TODAY())))</f>
        <v/>
      </c>
      <c r="O520" s="108" t="str">
        <f>IF(B520="","",IF(ISNUMBER(L520),IF(N520="","SEM DATA",IF(N520&gt;=0,"DEFESA NO PRAZO","DEFESA FORA DO PRAZO")),IF(G520="DECISÃO D.P","SEM DEFESA",IF(G520="","SEM STATUS",IF(N520="","SEM DATA",IF(N520&lt;0,"VENCIDO",IF(N520&lt;=DiasAlerta,"VENCE EM BREVE","NO PRAZO")))))))</f>
        <v/>
      </c>
      <c r="P520" s="109" t="str">
        <f>IF(D520="","",TODAY()-D520)</f>
        <v/>
      </c>
      <c r="Q520" s="102" t="n"/>
    </row>
    <row r="521" ht="18" customHeight="1">
      <c r="A521" s="101" t="n"/>
      <c r="B521" s="102" t="n"/>
      <c r="C521" s="102" t="n"/>
      <c r="D521" s="103" t="n"/>
      <c r="E521" s="102" t="n"/>
      <c r="F521" s="104" t="n"/>
      <c r="G521" s="104" t="n"/>
      <c r="H521" s="102" t="n"/>
      <c r="I521" s="105" t="n"/>
      <c r="J521" s="105" t="n"/>
      <c r="K521" s="103" t="n"/>
      <c r="L521" s="103" t="n"/>
      <c r="M521" s="106" t="str">
        <f>IF(OR(D521="",E521=""),"",D521+IF(E521="NOTIFICAÇÃO DE CONSTATAÇÃO",PrazoConst,PrazoEsc))</f>
        <v/>
      </c>
      <c r="N521" s="107" t="str">
        <f>IF(M521="","",IF(ISNUMBER(L521),M521-L521,IF(G521="DECISÃO D.P","",M521-TODAY())))</f>
        <v/>
      </c>
      <c r="O521" s="108" t="str">
        <f>IF(B521="","",IF(ISNUMBER(L521),IF(N521="","SEM DATA",IF(N521&gt;=0,"DEFESA NO PRAZO","DEFESA FORA DO PRAZO")),IF(G521="DECISÃO D.P","SEM DEFESA",IF(G521="","SEM STATUS",IF(N521="","SEM DATA",IF(N521&lt;0,"VENCIDO",IF(N521&lt;=DiasAlerta,"VENCE EM BREVE","NO PRAZO")))))))</f>
        <v/>
      </c>
      <c r="P521" s="109" t="str">
        <f>IF(D521="","",TODAY()-D521)</f>
        <v/>
      </c>
      <c r="Q521" s="102" t="n"/>
    </row>
    <row r="522" ht="18" customHeight="1">
      <c r="A522" s="101" t="n"/>
      <c r="B522" s="102" t="n"/>
      <c r="C522" s="102" t="n"/>
      <c r="D522" s="103" t="n"/>
      <c r="E522" s="102" t="n"/>
      <c r="F522" s="104" t="n"/>
      <c r="G522" s="104" t="n"/>
      <c r="H522" s="102" t="n"/>
      <c r="I522" s="105" t="n"/>
      <c r="J522" s="105" t="n"/>
      <c r="K522" s="103" t="n"/>
      <c r="L522" s="103" t="n"/>
      <c r="M522" s="106" t="str">
        <f>IF(OR(D522="",E522=""),"",D522+IF(E522="NOTIFICAÇÃO DE CONSTATAÇÃO",PrazoConst,PrazoEsc))</f>
        <v/>
      </c>
      <c r="N522" s="107" t="str">
        <f>IF(M522="","",IF(ISNUMBER(L522),M522-L522,IF(G522="DECISÃO D.P","",M522-TODAY())))</f>
        <v/>
      </c>
      <c r="O522" s="108" t="str">
        <f>IF(B522="","",IF(ISNUMBER(L522),IF(N522="","SEM DATA",IF(N522&gt;=0,"DEFESA NO PRAZO","DEFESA FORA DO PRAZO")),IF(G522="DECISÃO D.P","SEM DEFESA",IF(G522="","SEM STATUS",IF(N522="","SEM DATA",IF(N522&lt;0,"VENCIDO",IF(N522&lt;=DiasAlerta,"VENCE EM BREVE","NO PRAZO")))))))</f>
        <v/>
      </c>
      <c r="P522" s="109" t="str">
        <f>IF(D522="","",TODAY()-D522)</f>
        <v/>
      </c>
      <c r="Q522" s="102" t="n"/>
    </row>
    <row r="523" ht="18" customHeight="1">
      <c r="A523" s="101" t="n"/>
      <c r="B523" s="102" t="n"/>
      <c r="C523" s="102" t="n"/>
      <c r="D523" s="103" t="n"/>
      <c r="E523" s="102" t="n"/>
      <c r="F523" s="104" t="n"/>
      <c r="G523" s="104" t="n"/>
      <c r="H523" s="102" t="n"/>
      <c r="I523" s="105" t="n"/>
      <c r="J523" s="105" t="n"/>
      <c r="K523" s="103" t="n"/>
      <c r="L523" s="103" t="n"/>
      <c r="M523" s="106" t="str">
        <f>IF(OR(D523="",E523=""),"",D523+IF(E523="NOTIFICAÇÃO DE CONSTATAÇÃO",PrazoConst,PrazoEsc))</f>
        <v/>
      </c>
      <c r="N523" s="107" t="str">
        <f>IF(M523="","",IF(ISNUMBER(L523),M523-L523,IF(G523="DECISÃO D.P","",M523-TODAY())))</f>
        <v/>
      </c>
      <c r="O523" s="108" t="str">
        <f>IF(B523="","",IF(ISNUMBER(L523),IF(N523="","SEM DATA",IF(N523&gt;=0,"DEFESA NO PRAZO","DEFESA FORA DO PRAZO")),IF(G523="DECISÃO D.P","SEM DEFESA",IF(G523="","SEM STATUS",IF(N523="","SEM DATA",IF(N523&lt;0,"VENCIDO",IF(N523&lt;=DiasAlerta,"VENCE EM BREVE","NO PRAZO")))))))</f>
        <v/>
      </c>
      <c r="P523" s="109" t="str">
        <f>IF(D523="","",TODAY()-D523)</f>
        <v/>
      </c>
      <c r="Q523" s="102" t="n"/>
    </row>
    <row r="524" ht="18" customHeight="1">
      <c r="A524" s="101" t="n"/>
      <c r="B524" s="102" t="n"/>
      <c r="C524" s="102" t="n"/>
      <c r="D524" s="103" t="n"/>
      <c r="E524" s="102" t="n"/>
      <c r="F524" s="104" t="n"/>
      <c r="G524" s="104" t="n"/>
      <c r="H524" s="102" t="n"/>
      <c r="I524" s="105" t="n"/>
      <c r="J524" s="105" t="n"/>
      <c r="K524" s="103" t="n"/>
      <c r="L524" s="103" t="n"/>
      <c r="M524" s="106" t="str">
        <f>IF(OR(D524="",E524=""),"",D524+IF(E524="NOTIFICAÇÃO DE CONSTATAÇÃO",PrazoConst,PrazoEsc))</f>
        <v/>
      </c>
      <c r="N524" s="107" t="str">
        <f>IF(M524="","",IF(ISNUMBER(L524),M524-L524,IF(G524="DECISÃO D.P","",M524-TODAY())))</f>
        <v/>
      </c>
      <c r="O524" s="108" t="str">
        <f>IF(B524="","",IF(ISNUMBER(L524),IF(N524="","SEM DATA",IF(N524&gt;=0,"DEFESA NO PRAZO","DEFESA FORA DO PRAZO")),IF(G524="DECISÃO D.P","SEM DEFESA",IF(G524="","SEM STATUS",IF(N524="","SEM DATA",IF(N524&lt;0,"VENCIDO",IF(N524&lt;=DiasAlerta,"VENCE EM BREVE","NO PRAZO")))))))</f>
        <v/>
      </c>
      <c r="P524" s="109" t="str">
        <f>IF(D524="","",TODAY()-D524)</f>
        <v/>
      </c>
      <c r="Q524" s="102" t="n"/>
    </row>
    <row r="525" ht="18" customHeight="1">
      <c r="A525" s="101" t="n"/>
      <c r="B525" s="102" t="n"/>
      <c r="C525" s="102" t="n"/>
      <c r="D525" s="103" t="n"/>
      <c r="E525" s="102" t="n"/>
      <c r="F525" s="104" t="n"/>
      <c r="G525" s="104" t="n"/>
      <c r="H525" s="102" t="n"/>
      <c r="I525" s="105" t="n"/>
      <c r="J525" s="105" t="n"/>
      <c r="K525" s="103" t="n"/>
      <c r="L525" s="103" t="n"/>
      <c r="M525" s="106" t="str">
        <f>IF(OR(D525="",E525=""),"",D525+IF(E525="NOTIFICAÇÃO DE CONSTATAÇÃO",PrazoConst,PrazoEsc))</f>
        <v/>
      </c>
      <c r="N525" s="107" t="str">
        <f>IF(M525="","",IF(ISNUMBER(L525),M525-L525,IF(G525="DECISÃO D.P","",M525-TODAY())))</f>
        <v/>
      </c>
      <c r="O525" s="108" t="str">
        <f>IF(B525="","",IF(ISNUMBER(L525),IF(N525="","SEM DATA",IF(N525&gt;=0,"DEFESA NO PRAZO","DEFESA FORA DO PRAZO")),IF(G525="DECISÃO D.P","SEM DEFESA",IF(G525="","SEM STATUS",IF(N525="","SEM DATA",IF(N525&lt;0,"VENCIDO",IF(N525&lt;=DiasAlerta,"VENCE EM BREVE","NO PRAZO")))))))</f>
        <v/>
      </c>
      <c r="P525" s="109" t="str">
        <f>IF(D525="","",TODAY()-D525)</f>
        <v/>
      </c>
      <c r="Q525" s="102" t="n"/>
    </row>
    <row r="526" ht="18" customHeight="1">
      <c r="A526" s="101" t="n"/>
      <c r="B526" s="102" t="n"/>
      <c r="C526" s="102" t="n"/>
      <c r="D526" s="103" t="n"/>
      <c r="E526" s="102" t="n"/>
      <c r="F526" s="104" t="n"/>
      <c r="G526" s="104" t="n"/>
      <c r="H526" s="102" t="n"/>
      <c r="I526" s="105" t="n"/>
      <c r="J526" s="105" t="n"/>
      <c r="K526" s="103" t="n"/>
      <c r="L526" s="103" t="n"/>
      <c r="M526" s="106" t="str">
        <f>IF(OR(D526="",E526=""),"",D526+IF(E526="NOTIFICAÇÃO DE CONSTATAÇÃO",PrazoConst,PrazoEsc))</f>
        <v/>
      </c>
      <c r="N526" s="107" t="str">
        <f>IF(M526="","",IF(ISNUMBER(L526),M526-L526,IF(G526="DECISÃO D.P","",M526-TODAY())))</f>
        <v/>
      </c>
      <c r="O526" s="108" t="str">
        <f>IF(B526="","",IF(ISNUMBER(L526),IF(N526="","SEM DATA",IF(N526&gt;=0,"DEFESA NO PRAZO","DEFESA FORA DO PRAZO")),IF(G526="DECISÃO D.P","SEM DEFESA",IF(G526="","SEM STATUS",IF(N526="","SEM DATA",IF(N526&lt;0,"VENCIDO",IF(N526&lt;=DiasAlerta,"VENCE EM BREVE","NO PRAZO")))))))</f>
        <v/>
      </c>
      <c r="P526" s="109" t="str">
        <f>IF(D526="","",TODAY()-D526)</f>
        <v/>
      </c>
      <c r="Q526" s="102" t="n"/>
    </row>
    <row r="527" ht="18" customHeight="1">
      <c r="A527" s="101" t="n"/>
      <c r="B527" s="102" t="n"/>
      <c r="C527" s="102" t="n"/>
      <c r="D527" s="103" t="n"/>
      <c r="E527" s="102" t="n"/>
      <c r="F527" s="104" t="n"/>
      <c r="G527" s="104" t="n"/>
      <c r="H527" s="102" t="n"/>
      <c r="I527" s="105" t="n"/>
      <c r="J527" s="105" t="n"/>
      <c r="K527" s="103" t="n"/>
      <c r="L527" s="103" t="n"/>
      <c r="M527" s="106" t="str">
        <f>IF(OR(D527="",E527=""),"",D527+IF(E527="NOTIFICAÇÃO DE CONSTATAÇÃO",PrazoConst,PrazoEsc))</f>
        <v/>
      </c>
      <c r="N527" s="107" t="str">
        <f>IF(M527="","",IF(ISNUMBER(L527),M527-L527,IF(G527="DECISÃO D.P","",M527-TODAY())))</f>
        <v/>
      </c>
      <c r="O527" s="108" t="str">
        <f>IF(B527="","",IF(ISNUMBER(L527),IF(N527="","SEM DATA",IF(N527&gt;=0,"DEFESA NO PRAZO","DEFESA FORA DO PRAZO")),IF(G527="DECISÃO D.P","SEM DEFESA",IF(G527="","SEM STATUS",IF(N527="","SEM DATA",IF(N527&lt;0,"VENCIDO",IF(N527&lt;=DiasAlerta,"VENCE EM BREVE","NO PRAZO")))))))</f>
        <v/>
      </c>
      <c r="P527" s="109" t="str">
        <f>IF(D527="","",TODAY()-D527)</f>
        <v/>
      </c>
      <c r="Q527" s="102" t="n"/>
    </row>
    <row r="528" ht="18" customHeight="1">
      <c r="A528" s="101" t="n"/>
      <c r="B528" s="102" t="n"/>
      <c r="C528" s="102" t="n"/>
      <c r="D528" s="103" t="n"/>
      <c r="E528" s="102" t="n"/>
      <c r="F528" s="104" t="n"/>
      <c r="G528" s="104" t="n"/>
      <c r="H528" s="102" t="n"/>
      <c r="I528" s="105" t="n"/>
      <c r="J528" s="105" t="n"/>
      <c r="K528" s="103" t="n"/>
      <c r="L528" s="103" t="n"/>
      <c r="M528" s="106" t="str">
        <f>IF(OR(D528="",E528=""),"",D528+IF(E528="NOTIFICAÇÃO DE CONSTATAÇÃO",PrazoConst,PrazoEsc))</f>
        <v/>
      </c>
      <c r="N528" s="107" t="str">
        <f>IF(M528="","",IF(ISNUMBER(L528),M528-L528,IF(G528="DECISÃO D.P","",M528-TODAY())))</f>
        <v/>
      </c>
      <c r="O528" s="108" t="str">
        <f>IF(B528="","",IF(ISNUMBER(L528),IF(N528="","SEM DATA",IF(N528&gt;=0,"DEFESA NO PRAZO","DEFESA FORA DO PRAZO")),IF(G528="DECISÃO D.P","SEM DEFESA",IF(G528="","SEM STATUS",IF(N528="","SEM DATA",IF(N528&lt;0,"VENCIDO",IF(N528&lt;=DiasAlerta,"VENCE EM BREVE","NO PRAZO")))))))</f>
        <v/>
      </c>
      <c r="P528" s="109" t="str">
        <f>IF(D528="","",TODAY()-D528)</f>
        <v/>
      </c>
      <c r="Q528" s="102" t="n"/>
    </row>
    <row r="529" ht="18" customHeight="1">
      <c r="A529" s="101" t="n"/>
      <c r="B529" s="102" t="n"/>
      <c r="C529" s="102" t="n"/>
      <c r="D529" s="103" t="n"/>
      <c r="E529" s="102" t="n"/>
      <c r="F529" s="104" t="n"/>
      <c r="G529" s="104" t="n"/>
      <c r="H529" s="102" t="n"/>
      <c r="I529" s="105" t="n"/>
      <c r="J529" s="105" t="n"/>
      <c r="K529" s="103" t="n"/>
      <c r="L529" s="103" t="n"/>
      <c r="M529" s="106" t="str">
        <f>IF(OR(D529="",E529=""),"",D529+IF(E529="NOTIFICAÇÃO DE CONSTATAÇÃO",PrazoConst,PrazoEsc))</f>
        <v/>
      </c>
      <c r="N529" s="107" t="str">
        <f>IF(M529="","",IF(ISNUMBER(L529),M529-L529,IF(G529="DECISÃO D.P","",M529-TODAY())))</f>
        <v/>
      </c>
      <c r="O529" s="108" t="str">
        <f>IF(B529="","",IF(ISNUMBER(L529),IF(N529="","SEM DATA",IF(N529&gt;=0,"DEFESA NO PRAZO","DEFESA FORA DO PRAZO")),IF(G529="DECISÃO D.P","SEM DEFESA",IF(G529="","SEM STATUS",IF(N529="","SEM DATA",IF(N529&lt;0,"VENCIDO",IF(N529&lt;=DiasAlerta,"VENCE EM BREVE","NO PRAZO")))))))</f>
        <v/>
      </c>
      <c r="P529" s="109" t="str">
        <f>IF(D529="","",TODAY()-D529)</f>
        <v/>
      </c>
      <c r="Q529" s="102" t="n"/>
    </row>
    <row r="530" ht="18" customHeight="1">
      <c r="A530" s="101" t="n"/>
      <c r="B530" s="102" t="n"/>
      <c r="C530" s="102" t="n"/>
      <c r="D530" s="103" t="n"/>
      <c r="E530" s="102" t="n"/>
      <c r="F530" s="104" t="n"/>
      <c r="G530" s="104" t="n"/>
      <c r="H530" s="102" t="n"/>
      <c r="I530" s="105" t="n"/>
      <c r="J530" s="105" t="n"/>
      <c r="K530" s="103" t="n"/>
      <c r="L530" s="103" t="n"/>
      <c r="M530" s="106" t="str">
        <f>IF(OR(D530="",E530=""),"",D530+IF(E530="NOTIFICAÇÃO DE CONSTATAÇÃO",PrazoConst,PrazoEsc))</f>
        <v/>
      </c>
      <c r="N530" s="107" t="str">
        <f>IF(M530="","",IF(ISNUMBER(L530),M530-L530,IF(G530="DECISÃO D.P","",M530-TODAY())))</f>
        <v/>
      </c>
      <c r="O530" s="108" t="str">
        <f>IF(B530="","",IF(ISNUMBER(L530),IF(N530="","SEM DATA",IF(N530&gt;=0,"DEFESA NO PRAZO","DEFESA FORA DO PRAZO")),IF(G530="DECISÃO D.P","SEM DEFESA",IF(G530="","SEM STATUS",IF(N530="","SEM DATA",IF(N530&lt;0,"VENCIDO",IF(N530&lt;=DiasAlerta,"VENCE EM BREVE","NO PRAZO")))))))</f>
        <v/>
      </c>
      <c r="P530" s="109" t="str">
        <f>IF(D530="","",TODAY()-D530)</f>
        <v/>
      </c>
      <c r="Q530" s="102" t="n"/>
    </row>
    <row r="531" ht="18" customHeight="1">
      <c r="A531" s="101" t="n"/>
      <c r="B531" s="102" t="n"/>
      <c r="C531" s="102" t="n"/>
      <c r="D531" s="103" t="n"/>
      <c r="E531" s="102" t="n"/>
      <c r="F531" s="104" t="n"/>
      <c r="G531" s="104" t="n"/>
      <c r="H531" s="102" t="n"/>
      <c r="I531" s="105" t="n"/>
      <c r="J531" s="105" t="n"/>
      <c r="K531" s="103" t="n"/>
      <c r="L531" s="103" t="n"/>
      <c r="M531" s="106" t="str">
        <f>IF(OR(D531="",E531=""),"",D531+IF(E531="NOTIFICAÇÃO DE CONSTATAÇÃO",PrazoConst,PrazoEsc))</f>
        <v/>
      </c>
      <c r="N531" s="107" t="str">
        <f>IF(M531="","",IF(ISNUMBER(L531),M531-L531,IF(G531="DECISÃO D.P","",M531-TODAY())))</f>
        <v/>
      </c>
      <c r="O531" s="108" t="str">
        <f>IF(B531="","",IF(ISNUMBER(L531),IF(N531="","SEM DATA",IF(N531&gt;=0,"DEFESA NO PRAZO","DEFESA FORA DO PRAZO")),IF(G531="DECISÃO D.P","SEM DEFESA",IF(G531="","SEM STATUS",IF(N531="","SEM DATA",IF(N531&lt;0,"VENCIDO",IF(N531&lt;=DiasAlerta,"VENCE EM BREVE","NO PRAZO")))))))</f>
        <v/>
      </c>
      <c r="P531" s="109" t="str">
        <f>IF(D531="","",TODAY()-D531)</f>
        <v/>
      </c>
      <c r="Q531" s="102" t="n"/>
    </row>
    <row r="532" ht="18" customHeight="1">
      <c r="A532" s="101" t="n"/>
      <c r="B532" s="102" t="n"/>
      <c r="C532" s="102" t="n"/>
      <c r="D532" s="103" t="n"/>
      <c r="E532" s="102" t="n"/>
      <c r="F532" s="104" t="n"/>
      <c r="G532" s="104" t="n"/>
      <c r="H532" s="102" t="n"/>
      <c r="I532" s="105" t="n"/>
      <c r="J532" s="105" t="n"/>
      <c r="K532" s="103" t="n"/>
      <c r="L532" s="103" t="n"/>
      <c r="M532" s="106" t="str">
        <f>IF(OR(D532="",E532=""),"",D532+IF(E532="NOTIFICAÇÃO DE CONSTATAÇÃO",PrazoConst,PrazoEsc))</f>
        <v/>
      </c>
      <c r="N532" s="107" t="str">
        <f>IF(M532="","",IF(ISNUMBER(L532),M532-L532,IF(G532="DECISÃO D.P","",M532-TODAY())))</f>
        <v/>
      </c>
      <c r="O532" s="108" t="str">
        <f>IF(B532="","",IF(ISNUMBER(L532),IF(N532="","SEM DATA",IF(N532&gt;=0,"DEFESA NO PRAZO","DEFESA FORA DO PRAZO")),IF(G532="DECISÃO D.P","SEM DEFESA",IF(G532="","SEM STATUS",IF(N532="","SEM DATA",IF(N532&lt;0,"VENCIDO",IF(N532&lt;=DiasAlerta,"VENCE EM BREVE","NO PRAZO")))))))</f>
        <v/>
      </c>
      <c r="P532" s="109" t="str">
        <f>IF(D532="","",TODAY()-D532)</f>
        <v/>
      </c>
      <c r="Q532" s="102" t="n"/>
    </row>
    <row r="533" ht="18" customHeight="1">
      <c r="A533" s="101" t="n"/>
      <c r="B533" s="102" t="n"/>
      <c r="C533" s="102" t="n"/>
      <c r="D533" s="103" t="n"/>
      <c r="E533" s="102" t="n"/>
      <c r="F533" s="104" t="n"/>
      <c r="G533" s="104" t="n"/>
      <c r="H533" s="102" t="n"/>
      <c r="I533" s="105" t="n"/>
      <c r="J533" s="105" t="n"/>
      <c r="K533" s="103" t="n"/>
      <c r="L533" s="103" t="n"/>
      <c r="M533" s="106" t="str">
        <f>IF(OR(D533="",E533=""),"",D533+IF(E533="NOTIFICAÇÃO DE CONSTATAÇÃO",PrazoConst,PrazoEsc))</f>
        <v/>
      </c>
      <c r="N533" s="107" t="str">
        <f>IF(M533="","",IF(ISNUMBER(L533),M533-L533,IF(G533="DECISÃO D.P","",M533-TODAY())))</f>
        <v/>
      </c>
      <c r="O533" s="108" t="str">
        <f>IF(B533="","",IF(ISNUMBER(L533),IF(N533="","SEM DATA",IF(N533&gt;=0,"DEFESA NO PRAZO","DEFESA FORA DO PRAZO")),IF(G533="DECISÃO D.P","SEM DEFESA",IF(G533="","SEM STATUS",IF(N533="","SEM DATA",IF(N533&lt;0,"VENCIDO",IF(N533&lt;=DiasAlerta,"VENCE EM BREVE","NO PRAZO")))))))</f>
        <v/>
      </c>
      <c r="P533" s="109" t="str">
        <f>IF(D533="","",TODAY()-D533)</f>
        <v/>
      </c>
      <c r="Q533" s="102" t="n"/>
    </row>
    <row r="534" ht="18" customHeight="1">
      <c r="A534" s="101" t="n"/>
      <c r="B534" s="102" t="n"/>
      <c r="C534" s="102" t="n"/>
      <c r="D534" s="103" t="n"/>
      <c r="E534" s="102" t="n"/>
      <c r="F534" s="104" t="n"/>
      <c r="G534" s="104" t="n"/>
      <c r="H534" s="102" t="n"/>
      <c r="I534" s="105" t="n"/>
      <c r="J534" s="105" t="n"/>
      <c r="K534" s="103" t="n"/>
      <c r="L534" s="103" t="n"/>
      <c r="M534" s="106" t="str">
        <f>IF(OR(D534="",E534=""),"",D534+IF(E534="NOTIFICAÇÃO DE CONSTATAÇÃO",PrazoConst,PrazoEsc))</f>
        <v/>
      </c>
      <c r="N534" s="107" t="str">
        <f>IF(M534="","",IF(ISNUMBER(L534),M534-L534,IF(G534="DECISÃO D.P","",M534-TODAY())))</f>
        <v/>
      </c>
      <c r="O534" s="108" t="str">
        <f>IF(B534="","",IF(ISNUMBER(L534),IF(N534="","SEM DATA",IF(N534&gt;=0,"DEFESA NO PRAZO","DEFESA FORA DO PRAZO")),IF(G534="DECISÃO D.P","SEM DEFESA",IF(G534="","SEM STATUS",IF(N534="","SEM DATA",IF(N534&lt;0,"VENCIDO",IF(N534&lt;=DiasAlerta,"VENCE EM BREVE","NO PRAZO")))))))</f>
        <v/>
      </c>
      <c r="P534" s="109" t="str">
        <f>IF(D534="","",TODAY()-D534)</f>
        <v/>
      </c>
      <c r="Q534" s="102" t="n"/>
    </row>
    <row r="535" ht="18" customHeight="1">
      <c r="A535" s="101" t="n"/>
      <c r="B535" s="102" t="n"/>
      <c r="C535" s="102" t="n"/>
      <c r="D535" s="103" t="n"/>
      <c r="E535" s="102" t="n"/>
      <c r="F535" s="104" t="n"/>
      <c r="G535" s="104" t="n"/>
      <c r="H535" s="102" t="n"/>
      <c r="I535" s="105" t="n"/>
      <c r="J535" s="105" t="n"/>
      <c r="K535" s="103" t="n"/>
      <c r="L535" s="103" t="n"/>
      <c r="M535" s="106" t="str">
        <f>IF(OR(D535="",E535=""),"",D535+IF(E535="NOTIFICAÇÃO DE CONSTATAÇÃO",PrazoConst,PrazoEsc))</f>
        <v/>
      </c>
      <c r="N535" s="107" t="str">
        <f>IF(M535="","",IF(ISNUMBER(L535),M535-L535,IF(G535="DECISÃO D.P","",M535-TODAY())))</f>
        <v/>
      </c>
      <c r="O535" s="108" t="str">
        <f>IF(B535="","",IF(ISNUMBER(L535),IF(N535="","SEM DATA",IF(N535&gt;=0,"DEFESA NO PRAZO","DEFESA FORA DO PRAZO")),IF(G535="DECISÃO D.P","SEM DEFESA",IF(G535="","SEM STATUS",IF(N535="","SEM DATA",IF(N535&lt;0,"VENCIDO",IF(N535&lt;=DiasAlerta,"VENCE EM BREVE","NO PRAZO")))))))</f>
        <v/>
      </c>
      <c r="P535" s="109" t="str">
        <f>IF(D535="","",TODAY()-D535)</f>
        <v/>
      </c>
      <c r="Q535" s="102" t="n"/>
    </row>
    <row r="536" ht="18" customHeight="1">
      <c r="A536" s="101" t="n"/>
      <c r="B536" s="102" t="n"/>
      <c r="C536" s="102" t="n"/>
      <c r="D536" s="103" t="n"/>
      <c r="E536" s="102" t="n"/>
      <c r="F536" s="104" t="n"/>
      <c r="G536" s="104" t="n"/>
      <c r="H536" s="102" t="n"/>
      <c r="I536" s="105" t="n"/>
      <c r="J536" s="105" t="n"/>
      <c r="K536" s="103" t="n"/>
      <c r="L536" s="103" t="n"/>
      <c r="M536" s="106" t="str">
        <f>IF(OR(D536="",E536=""),"",D536+IF(E536="NOTIFICAÇÃO DE CONSTATAÇÃO",PrazoConst,PrazoEsc))</f>
        <v/>
      </c>
      <c r="N536" s="107" t="str">
        <f>IF(M536="","",IF(ISNUMBER(L536),M536-L536,IF(G536="DECISÃO D.P","",M536-TODAY())))</f>
        <v/>
      </c>
      <c r="O536" s="108" t="str">
        <f>IF(B536="","",IF(ISNUMBER(L536),IF(N536="","SEM DATA",IF(N536&gt;=0,"DEFESA NO PRAZO","DEFESA FORA DO PRAZO")),IF(G536="DECISÃO D.P","SEM DEFESA",IF(G536="","SEM STATUS",IF(N536="","SEM DATA",IF(N536&lt;0,"VENCIDO",IF(N536&lt;=DiasAlerta,"VENCE EM BREVE","NO PRAZO")))))))</f>
        <v/>
      </c>
      <c r="P536" s="109" t="str">
        <f>IF(D536="","",TODAY()-D536)</f>
        <v/>
      </c>
      <c r="Q536" s="102" t="n"/>
    </row>
    <row r="537" ht="18" customHeight="1">
      <c r="A537" s="101" t="n"/>
      <c r="B537" s="102" t="n"/>
      <c r="C537" s="102" t="n"/>
      <c r="D537" s="103" t="n"/>
      <c r="E537" s="102" t="n"/>
      <c r="F537" s="104" t="n"/>
      <c r="G537" s="104" t="n"/>
      <c r="H537" s="102" t="n"/>
      <c r="I537" s="105" t="n"/>
      <c r="J537" s="105" t="n"/>
      <c r="K537" s="103" t="n"/>
      <c r="L537" s="103" t="n"/>
      <c r="M537" s="106" t="str">
        <f>IF(OR(D537="",E537=""),"",D537+IF(E537="NOTIFICAÇÃO DE CONSTATAÇÃO",PrazoConst,PrazoEsc))</f>
        <v/>
      </c>
      <c r="N537" s="107" t="str">
        <f>IF(M537="","",IF(ISNUMBER(L537),M537-L537,IF(G537="DECISÃO D.P","",M537-TODAY())))</f>
        <v/>
      </c>
      <c r="O537" s="108" t="str">
        <f>IF(B537="","",IF(ISNUMBER(L537),IF(N537="","SEM DATA",IF(N537&gt;=0,"DEFESA NO PRAZO","DEFESA FORA DO PRAZO")),IF(G537="DECISÃO D.P","SEM DEFESA",IF(G537="","SEM STATUS",IF(N537="","SEM DATA",IF(N537&lt;0,"VENCIDO",IF(N537&lt;=DiasAlerta,"VENCE EM BREVE","NO PRAZO")))))))</f>
        <v/>
      </c>
      <c r="P537" s="109" t="str">
        <f>IF(D537="","",TODAY()-D537)</f>
        <v/>
      </c>
      <c r="Q537" s="102" t="n"/>
    </row>
    <row r="538" ht="18" customHeight="1">
      <c r="A538" s="101" t="n"/>
      <c r="B538" s="102" t="n"/>
      <c r="C538" s="102" t="n"/>
      <c r="D538" s="103" t="n"/>
      <c r="E538" s="102" t="n"/>
      <c r="F538" s="104" t="n"/>
      <c r="G538" s="104" t="n"/>
      <c r="H538" s="102" t="n"/>
      <c r="I538" s="105" t="n"/>
      <c r="J538" s="105" t="n"/>
      <c r="K538" s="103" t="n"/>
      <c r="L538" s="103" t="n"/>
      <c r="M538" s="106" t="str">
        <f>IF(OR(D538="",E538=""),"",D538+IF(E538="NOTIFICAÇÃO DE CONSTATAÇÃO",PrazoConst,PrazoEsc))</f>
        <v/>
      </c>
      <c r="N538" s="107" t="str">
        <f>IF(M538="","",IF(ISNUMBER(L538),M538-L538,IF(G538="DECISÃO D.P","",M538-TODAY())))</f>
        <v/>
      </c>
      <c r="O538" s="108" t="str">
        <f>IF(B538="","",IF(ISNUMBER(L538),IF(N538="","SEM DATA",IF(N538&gt;=0,"DEFESA NO PRAZO","DEFESA FORA DO PRAZO")),IF(G538="DECISÃO D.P","SEM DEFESA",IF(G538="","SEM STATUS",IF(N538="","SEM DATA",IF(N538&lt;0,"VENCIDO",IF(N538&lt;=DiasAlerta,"VENCE EM BREVE","NO PRAZO")))))))</f>
        <v/>
      </c>
      <c r="P538" s="109" t="str">
        <f>IF(D538="","",TODAY()-D538)</f>
        <v/>
      </c>
      <c r="Q538" s="102" t="n"/>
    </row>
    <row r="539" ht="18" customHeight="1">
      <c r="A539" s="101" t="n"/>
      <c r="B539" s="102" t="n"/>
      <c r="C539" s="102" t="n"/>
      <c r="D539" s="103" t="n"/>
      <c r="E539" s="102" t="n"/>
      <c r="F539" s="104" t="n"/>
      <c r="G539" s="104" t="n"/>
      <c r="H539" s="102" t="n"/>
      <c r="I539" s="105" t="n"/>
      <c r="J539" s="105" t="n"/>
      <c r="K539" s="103" t="n"/>
      <c r="L539" s="103" t="n"/>
      <c r="M539" s="106" t="str">
        <f>IF(OR(D539="",E539=""),"",D539+IF(E539="NOTIFICAÇÃO DE CONSTATAÇÃO",PrazoConst,PrazoEsc))</f>
        <v/>
      </c>
      <c r="N539" s="107" t="str">
        <f>IF(M539="","",IF(ISNUMBER(L539),M539-L539,IF(G539="DECISÃO D.P","",M539-TODAY())))</f>
        <v/>
      </c>
      <c r="O539" s="108" t="str">
        <f>IF(B539="","",IF(ISNUMBER(L539),IF(N539="","SEM DATA",IF(N539&gt;=0,"DEFESA NO PRAZO","DEFESA FORA DO PRAZO")),IF(G539="DECISÃO D.P","SEM DEFESA",IF(G539="","SEM STATUS",IF(N539="","SEM DATA",IF(N539&lt;0,"VENCIDO",IF(N539&lt;=DiasAlerta,"VENCE EM BREVE","NO PRAZO")))))))</f>
        <v/>
      </c>
      <c r="P539" s="109" t="str">
        <f>IF(D539="","",TODAY()-D539)</f>
        <v/>
      </c>
      <c r="Q539" s="102" t="n"/>
    </row>
    <row r="540" ht="18" customHeight="1">
      <c r="A540" s="101" t="n"/>
      <c r="B540" s="102" t="n"/>
      <c r="C540" s="102" t="n"/>
      <c r="D540" s="103" t="n"/>
      <c r="E540" s="102" t="n"/>
      <c r="F540" s="104" t="n"/>
      <c r="G540" s="104" t="n"/>
      <c r="H540" s="102" t="n"/>
      <c r="I540" s="105" t="n"/>
      <c r="J540" s="105" t="n"/>
      <c r="K540" s="103" t="n"/>
      <c r="L540" s="103" t="n"/>
      <c r="M540" s="106" t="str">
        <f>IF(OR(D540="",E540=""),"",D540+IF(E540="NOTIFICAÇÃO DE CONSTATAÇÃO",PrazoConst,PrazoEsc))</f>
        <v/>
      </c>
      <c r="N540" s="107" t="str">
        <f>IF(M540="","",IF(ISNUMBER(L540),M540-L540,IF(G540="DECISÃO D.P","",M540-TODAY())))</f>
        <v/>
      </c>
      <c r="O540" s="108" t="str">
        <f>IF(B540="","",IF(ISNUMBER(L540),IF(N540="","SEM DATA",IF(N540&gt;=0,"DEFESA NO PRAZO","DEFESA FORA DO PRAZO")),IF(G540="DECISÃO D.P","SEM DEFESA",IF(G540="","SEM STATUS",IF(N540="","SEM DATA",IF(N540&lt;0,"VENCIDO",IF(N540&lt;=DiasAlerta,"VENCE EM BREVE","NO PRAZO")))))))</f>
        <v/>
      </c>
      <c r="P540" s="109" t="str">
        <f>IF(D540="","",TODAY()-D540)</f>
        <v/>
      </c>
      <c r="Q540" s="102" t="n"/>
    </row>
    <row r="541" ht="18" customHeight="1">
      <c r="A541" s="101" t="n"/>
      <c r="B541" s="102" t="n"/>
      <c r="C541" s="102" t="n"/>
      <c r="D541" s="103" t="n"/>
      <c r="E541" s="102" t="n"/>
      <c r="F541" s="104" t="n"/>
      <c r="G541" s="104" t="n"/>
      <c r="H541" s="102" t="n"/>
      <c r="I541" s="105" t="n"/>
      <c r="J541" s="105" t="n"/>
      <c r="K541" s="103" t="n"/>
      <c r="L541" s="103" t="n"/>
      <c r="M541" s="106" t="str">
        <f>IF(OR(D541="",E541=""),"",D541+IF(E541="NOTIFICAÇÃO DE CONSTATAÇÃO",PrazoConst,PrazoEsc))</f>
        <v/>
      </c>
      <c r="N541" s="107" t="str">
        <f>IF(M541="","",IF(ISNUMBER(L541),M541-L541,IF(G541="DECISÃO D.P","",M541-TODAY())))</f>
        <v/>
      </c>
      <c r="O541" s="108" t="str">
        <f>IF(B541="","",IF(ISNUMBER(L541),IF(N541="","SEM DATA",IF(N541&gt;=0,"DEFESA NO PRAZO","DEFESA FORA DO PRAZO")),IF(G541="DECISÃO D.P","SEM DEFESA",IF(G541="","SEM STATUS",IF(N541="","SEM DATA",IF(N541&lt;0,"VENCIDO",IF(N541&lt;=DiasAlerta,"VENCE EM BREVE","NO PRAZO")))))))</f>
        <v/>
      </c>
      <c r="P541" s="109" t="str">
        <f>IF(D541="","",TODAY()-D541)</f>
        <v/>
      </c>
      <c r="Q541" s="102" t="n"/>
    </row>
    <row r="542" ht="18" customHeight="1">
      <c r="A542" s="101" t="n"/>
      <c r="B542" s="102" t="n"/>
      <c r="C542" s="102" t="n"/>
      <c r="D542" s="103" t="n"/>
      <c r="E542" s="102" t="n"/>
      <c r="F542" s="104" t="n"/>
      <c r="G542" s="104" t="n"/>
      <c r="H542" s="102" t="n"/>
      <c r="I542" s="105" t="n"/>
      <c r="J542" s="105" t="n"/>
      <c r="K542" s="103" t="n"/>
      <c r="L542" s="103" t="n"/>
      <c r="M542" s="106" t="str">
        <f>IF(OR(D542="",E542=""),"",D542+IF(E542="NOTIFICAÇÃO DE CONSTATAÇÃO",PrazoConst,PrazoEsc))</f>
        <v/>
      </c>
      <c r="N542" s="107" t="str">
        <f>IF(M542="","",IF(ISNUMBER(L542),M542-L542,IF(G542="DECISÃO D.P","",M542-TODAY())))</f>
        <v/>
      </c>
      <c r="O542" s="108" t="str">
        <f>IF(B542="","",IF(ISNUMBER(L542),IF(N542="","SEM DATA",IF(N542&gt;=0,"DEFESA NO PRAZO","DEFESA FORA DO PRAZO")),IF(G542="DECISÃO D.P","SEM DEFESA",IF(G542="","SEM STATUS",IF(N542="","SEM DATA",IF(N542&lt;0,"VENCIDO",IF(N542&lt;=DiasAlerta,"VENCE EM BREVE","NO PRAZO")))))))</f>
        <v/>
      </c>
      <c r="P542" s="109" t="str">
        <f>IF(D542="","",TODAY()-D542)</f>
        <v/>
      </c>
      <c r="Q542" s="102" t="n"/>
    </row>
    <row r="543" ht="18" customHeight="1">
      <c r="A543" s="101" t="n"/>
      <c r="B543" s="102" t="n"/>
      <c r="C543" s="102" t="n"/>
      <c r="D543" s="103" t="n"/>
      <c r="E543" s="102" t="n"/>
      <c r="F543" s="104" t="n"/>
      <c r="G543" s="104" t="n"/>
      <c r="H543" s="102" t="n"/>
      <c r="I543" s="105" t="n"/>
      <c r="J543" s="105" t="n"/>
      <c r="K543" s="103" t="n"/>
      <c r="L543" s="103" t="n"/>
      <c r="M543" s="106" t="str">
        <f>IF(OR(D543="",E543=""),"",D543+IF(E543="NOTIFICAÇÃO DE CONSTATAÇÃO",PrazoConst,PrazoEsc))</f>
        <v/>
      </c>
      <c r="N543" s="107" t="str">
        <f>IF(M543="","",IF(ISNUMBER(L543),M543-L543,IF(G543="DECISÃO D.P","",M543-TODAY())))</f>
        <v/>
      </c>
      <c r="O543" s="108" t="str">
        <f>IF(B543="","",IF(ISNUMBER(L543),IF(N543="","SEM DATA",IF(N543&gt;=0,"DEFESA NO PRAZO","DEFESA FORA DO PRAZO")),IF(G543="DECISÃO D.P","SEM DEFESA",IF(G543="","SEM STATUS",IF(N543="","SEM DATA",IF(N543&lt;0,"VENCIDO",IF(N543&lt;=DiasAlerta,"VENCE EM BREVE","NO PRAZO")))))))</f>
        <v/>
      </c>
      <c r="P543" s="109" t="str">
        <f>IF(D543="","",TODAY()-D543)</f>
        <v/>
      </c>
      <c r="Q543" s="102" t="n"/>
    </row>
    <row r="544" ht="18" customHeight="1">
      <c r="A544" s="101" t="n"/>
      <c r="B544" s="102" t="n"/>
      <c r="C544" s="102" t="n"/>
      <c r="D544" s="103" t="n"/>
      <c r="E544" s="102" t="n"/>
      <c r="F544" s="104" t="n"/>
      <c r="G544" s="104" t="n"/>
      <c r="H544" s="102" t="n"/>
      <c r="I544" s="105" t="n"/>
      <c r="J544" s="105" t="n"/>
      <c r="K544" s="103" t="n"/>
      <c r="L544" s="103" t="n"/>
      <c r="M544" s="106" t="str">
        <f>IF(OR(D544="",E544=""),"",D544+IF(E544="NOTIFICAÇÃO DE CONSTATAÇÃO",PrazoConst,PrazoEsc))</f>
        <v/>
      </c>
      <c r="N544" s="107" t="str">
        <f>IF(M544="","",IF(ISNUMBER(L544),M544-L544,IF(G544="DECISÃO D.P","",M544-TODAY())))</f>
        <v/>
      </c>
      <c r="O544" s="108" t="str">
        <f>IF(B544="","",IF(ISNUMBER(L544),IF(N544="","SEM DATA",IF(N544&gt;=0,"DEFESA NO PRAZO","DEFESA FORA DO PRAZO")),IF(G544="DECISÃO D.P","SEM DEFESA",IF(G544="","SEM STATUS",IF(N544="","SEM DATA",IF(N544&lt;0,"VENCIDO",IF(N544&lt;=DiasAlerta,"VENCE EM BREVE","NO PRAZO")))))))</f>
        <v/>
      </c>
      <c r="P544" s="109" t="str">
        <f>IF(D544="","",TODAY()-D544)</f>
        <v/>
      </c>
      <c r="Q544" s="102" t="n"/>
    </row>
    <row r="545" ht="18" customHeight="1">
      <c r="A545" s="101" t="n"/>
      <c r="B545" s="102" t="n"/>
      <c r="C545" s="102" t="n"/>
      <c r="D545" s="103" t="n"/>
      <c r="E545" s="102" t="n"/>
      <c r="F545" s="104" t="n"/>
      <c r="G545" s="104" t="n"/>
      <c r="H545" s="102" t="n"/>
      <c r="I545" s="105" t="n"/>
      <c r="J545" s="105" t="n"/>
      <c r="K545" s="103" t="n"/>
      <c r="L545" s="103" t="n"/>
      <c r="M545" s="106" t="str">
        <f>IF(OR(D545="",E545=""),"",D545+IF(E545="NOTIFICAÇÃO DE CONSTATAÇÃO",PrazoConst,PrazoEsc))</f>
        <v/>
      </c>
      <c r="N545" s="107" t="str">
        <f>IF(M545="","",IF(ISNUMBER(L545),M545-L545,IF(G545="DECISÃO D.P","",M545-TODAY())))</f>
        <v/>
      </c>
      <c r="O545" s="108" t="str">
        <f>IF(B545="","",IF(ISNUMBER(L545),IF(N545="","SEM DATA",IF(N545&gt;=0,"DEFESA NO PRAZO","DEFESA FORA DO PRAZO")),IF(G545="DECISÃO D.P","SEM DEFESA",IF(G545="","SEM STATUS",IF(N545="","SEM DATA",IF(N545&lt;0,"VENCIDO",IF(N545&lt;=DiasAlerta,"VENCE EM BREVE","NO PRAZO")))))))</f>
        <v/>
      </c>
      <c r="P545" s="109" t="str">
        <f>IF(D545="","",TODAY()-D545)</f>
        <v/>
      </c>
      <c r="Q545" s="102" t="n"/>
    </row>
    <row r="546" ht="18" customHeight="1">
      <c r="A546" s="101" t="n"/>
      <c r="B546" s="102" t="n"/>
      <c r="C546" s="102" t="n"/>
      <c r="D546" s="103" t="n"/>
      <c r="E546" s="102" t="n"/>
      <c r="F546" s="104" t="n"/>
      <c r="G546" s="104" t="n"/>
      <c r="H546" s="102" t="n"/>
      <c r="I546" s="105" t="n"/>
      <c r="J546" s="105" t="n"/>
      <c r="K546" s="103" t="n"/>
      <c r="L546" s="103" t="n"/>
      <c r="M546" s="106" t="str">
        <f>IF(OR(D546="",E546=""),"",D546+IF(E546="NOTIFICAÇÃO DE CONSTATAÇÃO",PrazoConst,PrazoEsc))</f>
        <v/>
      </c>
      <c r="N546" s="107" t="str">
        <f>IF(M546="","",IF(ISNUMBER(L546),M546-L546,IF(G546="DECISÃO D.P","",M546-TODAY())))</f>
        <v/>
      </c>
      <c r="O546" s="108" t="str">
        <f>IF(B546="","",IF(ISNUMBER(L546),IF(N546="","SEM DATA",IF(N546&gt;=0,"DEFESA NO PRAZO","DEFESA FORA DO PRAZO")),IF(G546="DECISÃO D.P","SEM DEFESA",IF(G546="","SEM STATUS",IF(N546="","SEM DATA",IF(N546&lt;0,"VENCIDO",IF(N546&lt;=DiasAlerta,"VENCE EM BREVE","NO PRAZO")))))))</f>
        <v/>
      </c>
      <c r="P546" s="109" t="str">
        <f>IF(D546="","",TODAY()-D546)</f>
        <v/>
      </c>
      <c r="Q546" s="102" t="n"/>
    </row>
    <row r="547" ht="18" customHeight="1">
      <c r="A547" s="101" t="n"/>
      <c r="B547" s="102" t="n"/>
      <c r="C547" s="102" t="n"/>
      <c r="D547" s="103" t="n"/>
      <c r="E547" s="102" t="n"/>
      <c r="F547" s="104" t="n"/>
      <c r="G547" s="104" t="n"/>
      <c r="H547" s="102" t="n"/>
      <c r="I547" s="105" t="n"/>
      <c r="J547" s="105" t="n"/>
      <c r="K547" s="103" t="n"/>
      <c r="L547" s="103" t="n"/>
      <c r="M547" s="106" t="str">
        <f>IF(OR(D547="",E547=""),"",D547+IF(E547="NOTIFICAÇÃO DE CONSTATAÇÃO",PrazoConst,PrazoEsc))</f>
        <v/>
      </c>
      <c r="N547" s="107" t="str">
        <f>IF(M547="","",IF(ISNUMBER(L547),M547-L547,IF(G547="DECISÃO D.P","",M547-TODAY())))</f>
        <v/>
      </c>
      <c r="O547" s="108" t="str">
        <f>IF(B547="","",IF(ISNUMBER(L547),IF(N547="","SEM DATA",IF(N547&gt;=0,"DEFESA NO PRAZO","DEFESA FORA DO PRAZO")),IF(G547="DECISÃO D.P","SEM DEFESA",IF(G547="","SEM STATUS",IF(N547="","SEM DATA",IF(N547&lt;0,"VENCIDO",IF(N547&lt;=DiasAlerta,"VENCE EM BREVE","NO PRAZO")))))))</f>
        <v/>
      </c>
      <c r="P547" s="109" t="str">
        <f>IF(D547="","",TODAY()-D547)</f>
        <v/>
      </c>
      <c r="Q547" s="102" t="n"/>
    </row>
    <row r="548" ht="18" customHeight="1">
      <c r="A548" s="101" t="n"/>
      <c r="B548" s="102" t="n"/>
      <c r="C548" s="102" t="n"/>
      <c r="D548" s="103" t="n"/>
      <c r="E548" s="102" t="n"/>
      <c r="F548" s="104" t="n"/>
      <c r="G548" s="104" t="n"/>
      <c r="H548" s="102" t="n"/>
      <c r="I548" s="105" t="n"/>
      <c r="J548" s="105" t="n"/>
      <c r="K548" s="103" t="n"/>
      <c r="L548" s="103" t="n"/>
      <c r="M548" s="106" t="str">
        <f>IF(OR(D548="",E548=""),"",D548+IF(E548="NOTIFICAÇÃO DE CONSTATAÇÃO",PrazoConst,PrazoEsc))</f>
        <v/>
      </c>
      <c r="N548" s="107" t="str">
        <f>IF(M548="","",IF(ISNUMBER(L548),M548-L548,IF(G548="DECISÃO D.P","",M548-TODAY())))</f>
        <v/>
      </c>
      <c r="O548" s="108" t="str">
        <f>IF(B548="","",IF(ISNUMBER(L548),IF(N548="","SEM DATA",IF(N548&gt;=0,"DEFESA NO PRAZO","DEFESA FORA DO PRAZO")),IF(G548="DECISÃO D.P","SEM DEFESA",IF(G548="","SEM STATUS",IF(N548="","SEM DATA",IF(N548&lt;0,"VENCIDO",IF(N548&lt;=DiasAlerta,"VENCE EM BREVE","NO PRAZO")))))))</f>
        <v/>
      </c>
      <c r="P548" s="109" t="str">
        <f>IF(D548="","",TODAY()-D548)</f>
        <v/>
      </c>
      <c r="Q548" s="102" t="n"/>
    </row>
    <row r="549" ht="18" customHeight="1">
      <c r="A549" s="101" t="n"/>
      <c r="B549" s="102" t="n"/>
      <c r="C549" s="102" t="n"/>
      <c r="D549" s="103" t="n"/>
      <c r="E549" s="102" t="n"/>
      <c r="F549" s="104" t="n"/>
      <c r="G549" s="104" t="n"/>
      <c r="H549" s="102" t="n"/>
      <c r="I549" s="105" t="n"/>
      <c r="J549" s="105" t="n"/>
      <c r="K549" s="103" t="n"/>
      <c r="L549" s="103" t="n"/>
      <c r="M549" s="106" t="str">
        <f>IF(OR(D549="",E549=""),"",D549+IF(E549="NOTIFICAÇÃO DE CONSTATAÇÃO",PrazoConst,PrazoEsc))</f>
        <v/>
      </c>
      <c r="N549" s="107" t="str">
        <f>IF(M549="","",IF(ISNUMBER(L549),M549-L549,IF(G549="DECISÃO D.P","",M549-TODAY())))</f>
        <v/>
      </c>
      <c r="O549" s="108" t="str">
        <f>IF(B549="","",IF(ISNUMBER(L549),IF(N549="","SEM DATA",IF(N549&gt;=0,"DEFESA NO PRAZO","DEFESA FORA DO PRAZO")),IF(G549="DECISÃO D.P","SEM DEFESA",IF(G549="","SEM STATUS",IF(N549="","SEM DATA",IF(N549&lt;0,"VENCIDO",IF(N549&lt;=DiasAlerta,"VENCE EM BREVE","NO PRAZO")))))))</f>
        <v/>
      </c>
      <c r="P549" s="109" t="str">
        <f>IF(D549="","",TODAY()-D549)</f>
        <v/>
      </c>
      <c r="Q549" s="102" t="n"/>
    </row>
    <row r="550" ht="18" customHeight="1">
      <c r="A550" s="101" t="n"/>
      <c r="B550" s="102" t="n"/>
      <c r="C550" s="102" t="n"/>
      <c r="D550" s="103" t="n"/>
      <c r="E550" s="102" t="n"/>
      <c r="F550" s="104" t="n"/>
      <c r="G550" s="104" t="n"/>
      <c r="H550" s="102" t="n"/>
      <c r="I550" s="105" t="n"/>
      <c r="J550" s="105" t="n"/>
      <c r="K550" s="103" t="n"/>
      <c r="L550" s="103" t="n"/>
      <c r="M550" s="106" t="str">
        <f>IF(OR(D550="",E550=""),"",D550+IF(E550="NOTIFICAÇÃO DE CONSTATAÇÃO",PrazoConst,PrazoEsc))</f>
        <v/>
      </c>
      <c r="N550" s="107" t="str">
        <f>IF(M550="","",IF(ISNUMBER(L550),M550-L550,IF(G550="DECISÃO D.P","",M550-TODAY())))</f>
        <v/>
      </c>
      <c r="O550" s="108" t="str">
        <f>IF(B550="","",IF(ISNUMBER(L550),IF(N550="","SEM DATA",IF(N550&gt;=0,"DEFESA NO PRAZO","DEFESA FORA DO PRAZO")),IF(G550="DECISÃO D.P","SEM DEFESA",IF(G550="","SEM STATUS",IF(N550="","SEM DATA",IF(N550&lt;0,"VENCIDO",IF(N550&lt;=DiasAlerta,"VENCE EM BREVE","NO PRAZO")))))))</f>
        <v/>
      </c>
      <c r="P550" s="109" t="str">
        <f>IF(D550="","",TODAY()-D550)</f>
        <v/>
      </c>
      <c r="Q550" s="102" t="n"/>
    </row>
    <row r="551" ht="18" customHeight="1">
      <c r="A551" s="101" t="n"/>
      <c r="B551" s="102" t="n"/>
      <c r="C551" s="102" t="n"/>
      <c r="D551" s="103" t="n"/>
      <c r="E551" s="102" t="n"/>
      <c r="F551" s="104" t="n"/>
      <c r="G551" s="104" t="n"/>
      <c r="H551" s="102" t="n"/>
      <c r="I551" s="105" t="n"/>
      <c r="J551" s="105" t="n"/>
      <c r="K551" s="103" t="n"/>
      <c r="L551" s="103" t="n"/>
      <c r="M551" s="106" t="str">
        <f>IF(OR(D551="",E551=""),"",D551+IF(E551="NOTIFICAÇÃO DE CONSTATAÇÃO",PrazoConst,PrazoEsc))</f>
        <v/>
      </c>
      <c r="N551" s="107" t="str">
        <f>IF(M551="","",IF(ISNUMBER(L551),M551-L551,IF(G551="DECISÃO D.P","",M551-TODAY())))</f>
        <v/>
      </c>
      <c r="O551" s="108" t="str">
        <f>IF(B551="","",IF(ISNUMBER(L551),IF(N551="","SEM DATA",IF(N551&gt;=0,"DEFESA NO PRAZO","DEFESA FORA DO PRAZO")),IF(G551="DECISÃO D.P","SEM DEFESA",IF(G551="","SEM STATUS",IF(N551="","SEM DATA",IF(N551&lt;0,"VENCIDO",IF(N551&lt;=DiasAlerta,"VENCE EM BREVE","NO PRAZO")))))))</f>
        <v/>
      </c>
      <c r="P551" s="109" t="str">
        <f>IF(D551="","",TODAY()-D551)</f>
        <v/>
      </c>
      <c r="Q551" s="102" t="n"/>
    </row>
    <row r="552" ht="18" customHeight="1">
      <c r="A552" s="101" t="n"/>
      <c r="B552" s="102" t="n"/>
      <c r="C552" s="102" t="n"/>
      <c r="D552" s="103" t="n"/>
      <c r="E552" s="102" t="n"/>
      <c r="F552" s="104" t="n"/>
      <c r="G552" s="104" t="n"/>
      <c r="H552" s="102" t="n"/>
      <c r="I552" s="105" t="n"/>
      <c r="J552" s="105" t="n"/>
      <c r="K552" s="103" t="n"/>
      <c r="L552" s="103" t="n"/>
      <c r="M552" s="106" t="str">
        <f>IF(OR(D552="",E552=""),"",D552+IF(E552="NOTIFICAÇÃO DE CONSTATAÇÃO",PrazoConst,PrazoEsc))</f>
        <v/>
      </c>
      <c r="N552" s="107" t="str">
        <f>IF(M552="","",IF(ISNUMBER(L552),M552-L552,IF(G552="DECISÃO D.P","",M552-TODAY())))</f>
        <v/>
      </c>
      <c r="O552" s="108" t="str">
        <f>IF(B552="","",IF(ISNUMBER(L552),IF(N552="","SEM DATA",IF(N552&gt;=0,"DEFESA NO PRAZO","DEFESA FORA DO PRAZO")),IF(G552="DECISÃO D.P","SEM DEFESA",IF(G552="","SEM STATUS",IF(N552="","SEM DATA",IF(N552&lt;0,"VENCIDO",IF(N552&lt;=DiasAlerta,"VENCE EM BREVE","NO PRAZO")))))))</f>
        <v/>
      </c>
      <c r="P552" s="109" t="str">
        <f>IF(D552="","",TODAY()-D552)</f>
        <v/>
      </c>
      <c r="Q552" s="102" t="n"/>
    </row>
    <row r="553" ht="18" customHeight="1">
      <c r="A553" s="101" t="n"/>
      <c r="B553" s="102" t="n"/>
      <c r="C553" s="102" t="n"/>
      <c r="D553" s="103" t="n"/>
      <c r="E553" s="102" t="n"/>
      <c r="F553" s="104" t="n"/>
      <c r="G553" s="104" t="n"/>
      <c r="H553" s="102" t="n"/>
      <c r="I553" s="105" t="n"/>
      <c r="J553" s="105" t="n"/>
      <c r="K553" s="103" t="n"/>
      <c r="L553" s="103" t="n"/>
      <c r="M553" s="106" t="str">
        <f>IF(OR(D553="",E553=""),"",D553+IF(E553="NOTIFICAÇÃO DE CONSTATAÇÃO",PrazoConst,PrazoEsc))</f>
        <v/>
      </c>
      <c r="N553" s="107" t="str">
        <f>IF(M553="","",IF(ISNUMBER(L553),M553-L553,IF(G553="DECISÃO D.P","",M553-TODAY())))</f>
        <v/>
      </c>
      <c r="O553" s="108" t="str">
        <f>IF(B553="","",IF(ISNUMBER(L553),IF(N553="","SEM DATA",IF(N553&gt;=0,"DEFESA NO PRAZO","DEFESA FORA DO PRAZO")),IF(G553="DECISÃO D.P","SEM DEFESA",IF(G553="","SEM STATUS",IF(N553="","SEM DATA",IF(N553&lt;0,"VENCIDO",IF(N553&lt;=DiasAlerta,"VENCE EM BREVE","NO PRAZO")))))))</f>
        <v/>
      </c>
      <c r="P553" s="109" t="str">
        <f>IF(D553="","",TODAY()-D553)</f>
        <v/>
      </c>
      <c r="Q553" s="102" t="n"/>
    </row>
    <row r="554" ht="18" customHeight="1">
      <c r="A554" s="101" t="n"/>
      <c r="B554" s="102" t="n"/>
      <c r="C554" s="102" t="n"/>
      <c r="D554" s="103" t="n"/>
      <c r="E554" s="102" t="n"/>
      <c r="F554" s="104" t="n"/>
      <c r="G554" s="104" t="n"/>
      <c r="H554" s="102" t="n"/>
      <c r="I554" s="105" t="n"/>
      <c r="J554" s="105" t="n"/>
      <c r="K554" s="103" t="n"/>
      <c r="L554" s="103" t="n"/>
      <c r="M554" s="106" t="str">
        <f>IF(OR(D554="",E554=""),"",D554+IF(E554="NOTIFICAÇÃO DE CONSTATAÇÃO",PrazoConst,PrazoEsc))</f>
        <v/>
      </c>
      <c r="N554" s="107" t="str">
        <f>IF(M554="","",IF(ISNUMBER(L554),M554-L554,IF(G554="DECISÃO D.P","",M554-TODAY())))</f>
        <v/>
      </c>
      <c r="O554" s="108" t="str">
        <f>IF(B554="","",IF(ISNUMBER(L554),IF(N554="","SEM DATA",IF(N554&gt;=0,"DEFESA NO PRAZO","DEFESA FORA DO PRAZO")),IF(G554="DECISÃO D.P","SEM DEFESA",IF(G554="","SEM STATUS",IF(N554="","SEM DATA",IF(N554&lt;0,"VENCIDO",IF(N554&lt;=DiasAlerta,"VENCE EM BREVE","NO PRAZO")))))))</f>
        <v/>
      </c>
      <c r="P554" s="109" t="str">
        <f>IF(D554="","",TODAY()-D554)</f>
        <v/>
      </c>
      <c r="Q554" s="102" t="n"/>
    </row>
    <row r="555" ht="18" customHeight="1">
      <c r="A555" s="101" t="n"/>
      <c r="B555" s="102" t="n"/>
      <c r="C555" s="102" t="n"/>
      <c r="D555" s="103" t="n"/>
      <c r="E555" s="102" t="n"/>
      <c r="F555" s="104" t="n"/>
      <c r="G555" s="104" t="n"/>
      <c r="H555" s="102" t="n"/>
      <c r="I555" s="105" t="n"/>
      <c r="J555" s="105" t="n"/>
      <c r="K555" s="103" t="n"/>
      <c r="L555" s="103" t="n"/>
      <c r="M555" s="106" t="str">
        <f>IF(OR(D555="",E555=""),"",D555+IF(E555="NOTIFICAÇÃO DE CONSTATAÇÃO",PrazoConst,PrazoEsc))</f>
        <v/>
      </c>
      <c r="N555" s="107" t="str">
        <f>IF(M555="","",IF(ISNUMBER(L555),M555-L555,IF(G555="DECISÃO D.P","",M555-TODAY())))</f>
        <v/>
      </c>
      <c r="O555" s="108" t="str">
        <f>IF(B555="","",IF(ISNUMBER(L555),IF(N555="","SEM DATA",IF(N555&gt;=0,"DEFESA NO PRAZO","DEFESA FORA DO PRAZO")),IF(G555="DECISÃO D.P","SEM DEFESA",IF(G555="","SEM STATUS",IF(N555="","SEM DATA",IF(N555&lt;0,"VENCIDO",IF(N555&lt;=DiasAlerta,"VENCE EM BREVE","NO PRAZO")))))))</f>
        <v/>
      </c>
      <c r="P555" s="109" t="str">
        <f>IF(D555="","",TODAY()-D555)</f>
        <v/>
      </c>
      <c r="Q555" s="102" t="n"/>
    </row>
    <row r="556" ht="18" customHeight="1">
      <c r="A556" s="101" t="n"/>
      <c r="B556" s="102" t="n"/>
      <c r="C556" s="102" t="n"/>
      <c r="D556" s="103" t="n"/>
      <c r="E556" s="102" t="n"/>
      <c r="F556" s="104" t="n"/>
      <c r="G556" s="104" t="n"/>
      <c r="H556" s="102" t="n"/>
      <c r="I556" s="105" t="n"/>
      <c r="J556" s="105" t="n"/>
      <c r="K556" s="103" t="n"/>
      <c r="L556" s="103" t="n"/>
      <c r="M556" s="106" t="str">
        <f>IF(OR(D556="",E556=""),"",D556+IF(E556="NOTIFICAÇÃO DE CONSTATAÇÃO",PrazoConst,PrazoEsc))</f>
        <v/>
      </c>
      <c r="N556" s="107" t="str">
        <f>IF(M556="","",IF(ISNUMBER(L556),M556-L556,IF(G556="DECISÃO D.P","",M556-TODAY())))</f>
        <v/>
      </c>
      <c r="O556" s="108" t="str">
        <f>IF(B556="","",IF(ISNUMBER(L556),IF(N556="","SEM DATA",IF(N556&gt;=0,"DEFESA NO PRAZO","DEFESA FORA DO PRAZO")),IF(G556="DECISÃO D.P","SEM DEFESA",IF(G556="","SEM STATUS",IF(N556="","SEM DATA",IF(N556&lt;0,"VENCIDO",IF(N556&lt;=DiasAlerta,"VENCE EM BREVE","NO PRAZO")))))))</f>
        <v/>
      </c>
      <c r="P556" s="109" t="str">
        <f>IF(D556="","",TODAY()-D556)</f>
        <v/>
      </c>
      <c r="Q556" s="102" t="n"/>
    </row>
    <row r="557" ht="18" customHeight="1">
      <c r="A557" s="101" t="n"/>
      <c r="B557" s="102" t="n"/>
      <c r="C557" s="102" t="n"/>
      <c r="D557" s="103" t="n"/>
      <c r="E557" s="102" t="n"/>
      <c r="F557" s="104" t="n"/>
      <c r="G557" s="104" t="n"/>
      <c r="H557" s="102" t="n"/>
      <c r="I557" s="105" t="n"/>
      <c r="J557" s="105" t="n"/>
      <c r="K557" s="103" t="n"/>
      <c r="L557" s="103" t="n"/>
      <c r="M557" s="106" t="str">
        <f>IF(OR(D557="",E557=""),"",D557+IF(E557="NOTIFICAÇÃO DE CONSTATAÇÃO",PrazoConst,PrazoEsc))</f>
        <v/>
      </c>
      <c r="N557" s="107" t="str">
        <f>IF(M557="","",IF(ISNUMBER(L557),M557-L557,IF(G557="DECISÃO D.P","",M557-TODAY())))</f>
        <v/>
      </c>
      <c r="O557" s="108" t="str">
        <f>IF(B557="","",IF(ISNUMBER(L557),IF(N557="","SEM DATA",IF(N557&gt;=0,"DEFESA NO PRAZO","DEFESA FORA DO PRAZO")),IF(G557="DECISÃO D.P","SEM DEFESA",IF(G557="","SEM STATUS",IF(N557="","SEM DATA",IF(N557&lt;0,"VENCIDO",IF(N557&lt;=DiasAlerta,"VENCE EM BREVE","NO PRAZO")))))))</f>
        <v/>
      </c>
      <c r="P557" s="109" t="str">
        <f>IF(D557="","",TODAY()-D557)</f>
        <v/>
      </c>
      <c r="Q557" s="102" t="n"/>
    </row>
    <row r="558" ht="18" customHeight="1">
      <c r="A558" s="101" t="n"/>
      <c r="B558" s="102" t="n"/>
      <c r="C558" s="102" t="n"/>
      <c r="D558" s="103" t="n"/>
      <c r="E558" s="102" t="n"/>
      <c r="F558" s="104" t="n"/>
      <c r="G558" s="104" t="n"/>
      <c r="H558" s="102" t="n"/>
      <c r="I558" s="105" t="n"/>
      <c r="J558" s="105" t="n"/>
      <c r="K558" s="103" t="n"/>
      <c r="L558" s="103" t="n"/>
      <c r="M558" s="106" t="str">
        <f>IF(OR(D558="",E558=""),"",D558+IF(E558="NOTIFICAÇÃO DE CONSTATAÇÃO",PrazoConst,PrazoEsc))</f>
        <v/>
      </c>
      <c r="N558" s="107" t="str">
        <f>IF(M558="","",IF(ISNUMBER(L558),M558-L558,IF(G558="DECISÃO D.P","",M558-TODAY())))</f>
        <v/>
      </c>
      <c r="O558" s="108" t="str">
        <f>IF(B558="","",IF(ISNUMBER(L558),IF(N558="","SEM DATA",IF(N558&gt;=0,"DEFESA NO PRAZO","DEFESA FORA DO PRAZO")),IF(G558="DECISÃO D.P","SEM DEFESA",IF(G558="","SEM STATUS",IF(N558="","SEM DATA",IF(N558&lt;0,"VENCIDO",IF(N558&lt;=DiasAlerta,"VENCE EM BREVE","NO PRAZO")))))))</f>
        <v/>
      </c>
      <c r="P558" s="109" t="str">
        <f>IF(D558="","",TODAY()-D558)</f>
        <v/>
      </c>
      <c r="Q558" s="102" t="n"/>
    </row>
    <row r="559" ht="18" customHeight="1">
      <c r="A559" s="101" t="n"/>
      <c r="B559" s="102" t="n"/>
      <c r="C559" s="102" t="n"/>
      <c r="D559" s="103" t="n"/>
      <c r="E559" s="102" t="n"/>
      <c r="F559" s="104" t="n"/>
      <c r="G559" s="104" t="n"/>
      <c r="H559" s="102" t="n"/>
      <c r="I559" s="105" t="n"/>
      <c r="J559" s="105" t="n"/>
      <c r="K559" s="103" t="n"/>
      <c r="L559" s="103" t="n"/>
      <c r="M559" s="106" t="str">
        <f>IF(OR(D559="",E559=""),"",D559+IF(E559="NOTIFICAÇÃO DE CONSTATAÇÃO",PrazoConst,PrazoEsc))</f>
        <v/>
      </c>
      <c r="N559" s="107" t="str">
        <f>IF(M559="","",IF(ISNUMBER(L559),M559-L559,IF(G559="DECISÃO D.P","",M559-TODAY())))</f>
        <v/>
      </c>
      <c r="O559" s="108" t="str">
        <f>IF(B559="","",IF(ISNUMBER(L559),IF(N559="","SEM DATA",IF(N559&gt;=0,"DEFESA NO PRAZO","DEFESA FORA DO PRAZO")),IF(G559="DECISÃO D.P","SEM DEFESA",IF(G559="","SEM STATUS",IF(N559="","SEM DATA",IF(N559&lt;0,"VENCIDO",IF(N559&lt;=DiasAlerta,"VENCE EM BREVE","NO PRAZO")))))))</f>
        <v/>
      </c>
      <c r="P559" s="109" t="str">
        <f>IF(D559="","",TODAY()-D559)</f>
        <v/>
      </c>
      <c r="Q559" s="102" t="n"/>
    </row>
    <row r="560" ht="18" customHeight="1">
      <c r="A560" s="101" t="n"/>
      <c r="B560" s="102" t="n"/>
      <c r="C560" s="102" t="n"/>
      <c r="D560" s="103" t="n"/>
      <c r="E560" s="102" t="n"/>
      <c r="F560" s="104" t="n"/>
      <c r="G560" s="104" t="n"/>
      <c r="H560" s="102" t="n"/>
      <c r="I560" s="105" t="n"/>
      <c r="J560" s="105" t="n"/>
      <c r="K560" s="103" t="n"/>
      <c r="L560" s="103" t="n"/>
      <c r="M560" s="106" t="str">
        <f>IF(OR(D560="",E560=""),"",D560+IF(E560="NOTIFICAÇÃO DE CONSTATAÇÃO",PrazoConst,PrazoEsc))</f>
        <v/>
      </c>
      <c r="N560" s="107" t="str">
        <f>IF(M560="","",IF(ISNUMBER(L560),M560-L560,IF(G560="DECISÃO D.P","",M560-TODAY())))</f>
        <v/>
      </c>
      <c r="O560" s="108" t="str">
        <f>IF(B560="","",IF(ISNUMBER(L560),IF(N560="","SEM DATA",IF(N560&gt;=0,"DEFESA NO PRAZO","DEFESA FORA DO PRAZO")),IF(G560="DECISÃO D.P","SEM DEFESA",IF(G560="","SEM STATUS",IF(N560="","SEM DATA",IF(N560&lt;0,"VENCIDO",IF(N560&lt;=DiasAlerta,"VENCE EM BREVE","NO PRAZO")))))))</f>
        <v/>
      </c>
      <c r="P560" s="109" t="str">
        <f>IF(D560="","",TODAY()-D560)</f>
        <v/>
      </c>
      <c r="Q560" s="102" t="n"/>
    </row>
    <row r="561" ht="18" customHeight="1">
      <c r="A561" s="101" t="n"/>
      <c r="B561" s="102" t="n"/>
      <c r="C561" s="102" t="n"/>
      <c r="D561" s="103" t="n"/>
      <c r="E561" s="102" t="n"/>
      <c r="F561" s="104" t="n"/>
      <c r="G561" s="104" t="n"/>
      <c r="H561" s="102" t="n"/>
      <c r="I561" s="105" t="n"/>
      <c r="J561" s="105" t="n"/>
      <c r="K561" s="103" t="n"/>
      <c r="L561" s="103" t="n"/>
      <c r="M561" s="106" t="str">
        <f>IF(OR(D561="",E561=""),"",D561+IF(E561="NOTIFICAÇÃO DE CONSTATAÇÃO",PrazoConst,PrazoEsc))</f>
        <v/>
      </c>
      <c r="N561" s="107" t="str">
        <f>IF(M561="","",IF(ISNUMBER(L561),M561-L561,IF(G561="DECISÃO D.P","",M561-TODAY())))</f>
        <v/>
      </c>
      <c r="O561" s="108" t="str">
        <f>IF(B561="","",IF(ISNUMBER(L561),IF(N561="","SEM DATA",IF(N561&gt;=0,"DEFESA NO PRAZO","DEFESA FORA DO PRAZO")),IF(G561="DECISÃO D.P","SEM DEFESA",IF(G561="","SEM STATUS",IF(N561="","SEM DATA",IF(N561&lt;0,"VENCIDO",IF(N561&lt;=DiasAlerta,"VENCE EM BREVE","NO PRAZO")))))))</f>
        <v/>
      </c>
      <c r="P561" s="109" t="str">
        <f>IF(D561="","",TODAY()-D561)</f>
        <v/>
      </c>
      <c r="Q561" s="102" t="n"/>
    </row>
    <row r="562" ht="18" customHeight="1">
      <c r="A562" s="101" t="n"/>
      <c r="B562" s="102" t="n"/>
      <c r="C562" s="102" t="n"/>
      <c r="D562" s="103" t="n"/>
      <c r="E562" s="102" t="n"/>
      <c r="F562" s="104" t="n"/>
      <c r="G562" s="104" t="n"/>
      <c r="H562" s="102" t="n"/>
      <c r="I562" s="105" t="n"/>
      <c r="J562" s="105" t="n"/>
      <c r="K562" s="103" t="n"/>
      <c r="L562" s="103" t="n"/>
      <c r="M562" s="106" t="str">
        <f>IF(OR(D562="",E562=""),"",D562+IF(E562="NOTIFICAÇÃO DE CONSTATAÇÃO",PrazoConst,PrazoEsc))</f>
        <v/>
      </c>
      <c r="N562" s="107" t="str">
        <f>IF(M562="","",IF(ISNUMBER(L562),M562-L562,IF(G562="DECISÃO D.P","",M562-TODAY())))</f>
        <v/>
      </c>
      <c r="O562" s="108" t="str">
        <f>IF(B562="","",IF(ISNUMBER(L562),IF(N562="","SEM DATA",IF(N562&gt;=0,"DEFESA NO PRAZO","DEFESA FORA DO PRAZO")),IF(G562="DECISÃO D.P","SEM DEFESA",IF(G562="","SEM STATUS",IF(N562="","SEM DATA",IF(N562&lt;0,"VENCIDO",IF(N562&lt;=DiasAlerta,"VENCE EM BREVE","NO PRAZO")))))))</f>
        <v/>
      </c>
      <c r="P562" s="109" t="str">
        <f>IF(D562="","",TODAY()-D562)</f>
        <v/>
      </c>
      <c r="Q562" s="102" t="n"/>
    </row>
    <row r="563" ht="18" customHeight="1">
      <c r="A563" s="101" t="n"/>
      <c r="B563" s="102" t="n"/>
      <c r="C563" s="102" t="n"/>
      <c r="D563" s="103" t="n"/>
      <c r="E563" s="102" t="n"/>
      <c r="F563" s="104" t="n"/>
      <c r="G563" s="104" t="n"/>
      <c r="H563" s="102" t="n"/>
      <c r="I563" s="105" t="n"/>
      <c r="J563" s="105" t="n"/>
      <c r="K563" s="103" t="n"/>
      <c r="L563" s="103" t="n"/>
      <c r="M563" s="106" t="str">
        <f>IF(OR(D563="",E563=""),"",D563+IF(E563="NOTIFICAÇÃO DE CONSTATAÇÃO",PrazoConst,PrazoEsc))</f>
        <v/>
      </c>
      <c r="N563" s="107" t="str">
        <f>IF(M563="","",IF(ISNUMBER(L563),M563-L563,IF(G563="DECISÃO D.P","",M563-TODAY())))</f>
        <v/>
      </c>
      <c r="O563" s="108" t="str">
        <f>IF(B563="","",IF(ISNUMBER(L563),IF(N563="","SEM DATA",IF(N563&gt;=0,"DEFESA NO PRAZO","DEFESA FORA DO PRAZO")),IF(G563="DECISÃO D.P","SEM DEFESA",IF(G563="","SEM STATUS",IF(N563="","SEM DATA",IF(N563&lt;0,"VENCIDO",IF(N563&lt;=DiasAlerta,"VENCE EM BREVE","NO PRAZO")))))))</f>
        <v/>
      </c>
      <c r="P563" s="109" t="str">
        <f>IF(D563="","",TODAY()-D563)</f>
        <v/>
      </c>
      <c r="Q563" s="102" t="n"/>
    </row>
    <row r="564" ht="18" customHeight="1">
      <c r="A564" s="101" t="n"/>
      <c r="B564" s="102" t="n"/>
      <c r="C564" s="102" t="n"/>
      <c r="D564" s="103" t="n"/>
      <c r="E564" s="102" t="n"/>
      <c r="F564" s="104" t="n"/>
      <c r="G564" s="104" t="n"/>
      <c r="H564" s="102" t="n"/>
      <c r="I564" s="105" t="n"/>
      <c r="J564" s="105" t="n"/>
      <c r="K564" s="103" t="n"/>
      <c r="L564" s="103" t="n"/>
      <c r="M564" s="106" t="str">
        <f>IF(OR(D564="",E564=""),"",D564+IF(E564="NOTIFICAÇÃO DE CONSTATAÇÃO",PrazoConst,PrazoEsc))</f>
        <v/>
      </c>
      <c r="N564" s="107" t="str">
        <f>IF(M564="","",IF(ISNUMBER(L564),M564-L564,IF(G564="DECISÃO D.P","",M564-TODAY())))</f>
        <v/>
      </c>
      <c r="O564" s="108" t="str">
        <f>IF(B564="","",IF(ISNUMBER(L564),IF(N564="","SEM DATA",IF(N564&gt;=0,"DEFESA NO PRAZO","DEFESA FORA DO PRAZO")),IF(G564="DECISÃO D.P","SEM DEFESA",IF(G564="","SEM STATUS",IF(N564="","SEM DATA",IF(N564&lt;0,"VENCIDO",IF(N564&lt;=DiasAlerta,"VENCE EM BREVE","NO PRAZO")))))))</f>
        <v/>
      </c>
      <c r="P564" s="109" t="str">
        <f>IF(D564="","",TODAY()-D564)</f>
        <v/>
      </c>
      <c r="Q564" s="102" t="n"/>
    </row>
    <row r="565" ht="18" customHeight="1">
      <c r="A565" s="101" t="n"/>
      <c r="B565" s="102" t="n"/>
      <c r="C565" s="102" t="n"/>
      <c r="D565" s="103" t="n"/>
      <c r="E565" s="102" t="n"/>
      <c r="F565" s="104" t="n"/>
      <c r="G565" s="104" t="n"/>
      <c r="H565" s="102" t="n"/>
      <c r="I565" s="105" t="n"/>
      <c r="J565" s="105" t="n"/>
      <c r="K565" s="103" t="n"/>
      <c r="L565" s="103" t="n"/>
      <c r="M565" s="106" t="str">
        <f>IF(OR(D565="",E565=""),"",D565+IF(E565="NOTIFICAÇÃO DE CONSTATAÇÃO",PrazoConst,PrazoEsc))</f>
        <v/>
      </c>
      <c r="N565" s="107" t="str">
        <f>IF(M565="","",IF(ISNUMBER(L565),M565-L565,IF(G565="DECISÃO D.P","",M565-TODAY())))</f>
        <v/>
      </c>
      <c r="O565" s="108" t="str">
        <f>IF(B565="","",IF(ISNUMBER(L565),IF(N565="","SEM DATA",IF(N565&gt;=0,"DEFESA NO PRAZO","DEFESA FORA DO PRAZO")),IF(G565="DECISÃO D.P","SEM DEFESA",IF(G565="","SEM STATUS",IF(N565="","SEM DATA",IF(N565&lt;0,"VENCIDO",IF(N565&lt;=DiasAlerta,"VENCE EM BREVE","NO PRAZO")))))))</f>
        <v/>
      </c>
      <c r="P565" s="109" t="str">
        <f>IF(D565="","",TODAY()-D565)</f>
        <v/>
      </c>
      <c r="Q565" s="102" t="n"/>
    </row>
    <row r="566" ht="18" customHeight="1">
      <c r="A566" s="101" t="n"/>
      <c r="B566" s="102" t="n"/>
      <c r="C566" s="102" t="n"/>
      <c r="D566" s="103" t="n"/>
      <c r="E566" s="102" t="n"/>
      <c r="F566" s="104" t="n"/>
      <c r="G566" s="104" t="n"/>
      <c r="H566" s="102" t="n"/>
      <c r="I566" s="105" t="n"/>
      <c r="J566" s="105" t="n"/>
      <c r="K566" s="103" t="n"/>
      <c r="L566" s="103" t="n"/>
      <c r="M566" s="106" t="str">
        <f>IF(OR(D566="",E566=""),"",D566+IF(E566="NOTIFICAÇÃO DE CONSTATAÇÃO",PrazoConst,PrazoEsc))</f>
        <v/>
      </c>
      <c r="N566" s="107" t="str">
        <f>IF(M566="","",IF(ISNUMBER(L566),M566-L566,IF(G566="DECISÃO D.P","",M566-TODAY())))</f>
        <v/>
      </c>
      <c r="O566" s="108" t="str">
        <f>IF(B566="","",IF(ISNUMBER(L566),IF(N566="","SEM DATA",IF(N566&gt;=0,"DEFESA NO PRAZO","DEFESA FORA DO PRAZO")),IF(G566="DECISÃO D.P","SEM DEFESA",IF(G566="","SEM STATUS",IF(N566="","SEM DATA",IF(N566&lt;0,"VENCIDO",IF(N566&lt;=DiasAlerta,"VENCE EM BREVE","NO PRAZO")))))))</f>
        <v/>
      </c>
      <c r="P566" s="109" t="str">
        <f>IF(D566="","",TODAY()-D566)</f>
        <v/>
      </c>
      <c r="Q566" s="102" t="n"/>
    </row>
    <row r="567" ht="18" customHeight="1">
      <c r="A567" s="101" t="n"/>
      <c r="B567" s="102" t="n"/>
      <c r="C567" s="102" t="n"/>
      <c r="D567" s="103" t="n"/>
      <c r="E567" s="102" t="n"/>
      <c r="F567" s="104" t="n"/>
      <c r="G567" s="104" t="n"/>
      <c r="H567" s="102" t="n"/>
      <c r="I567" s="105" t="n"/>
      <c r="J567" s="105" t="n"/>
      <c r="K567" s="103" t="n"/>
      <c r="L567" s="103" t="n"/>
      <c r="M567" s="106" t="str">
        <f>IF(OR(D567="",E567=""),"",D567+IF(E567="NOTIFICAÇÃO DE CONSTATAÇÃO",PrazoConst,PrazoEsc))</f>
        <v/>
      </c>
      <c r="N567" s="107" t="str">
        <f>IF(M567="","",IF(ISNUMBER(L567),M567-L567,IF(G567="DECISÃO D.P","",M567-TODAY())))</f>
        <v/>
      </c>
      <c r="O567" s="108" t="str">
        <f>IF(B567="","",IF(ISNUMBER(L567),IF(N567="","SEM DATA",IF(N567&gt;=0,"DEFESA NO PRAZO","DEFESA FORA DO PRAZO")),IF(G567="DECISÃO D.P","SEM DEFESA",IF(G567="","SEM STATUS",IF(N567="","SEM DATA",IF(N567&lt;0,"VENCIDO",IF(N567&lt;=DiasAlerta,"VENCE EM BREVE","NO PRAZO")))))))</f>
        <v/>
      </c>
      <c r="P567" s="109" t="str">
        <f>IF(D567="","",TODAY()-D567)</f>
        <v/>
      </c>
      <c r="Q567" s="102" t="n"/>
    </row>
    <row r="568" ht="18" customHeight="1">
      <c r="A568" s="101" t="n"/>
      <c r="B568" s="102" t="n"/>
      <c r="C568" s="102" t="n"/>
      <c r="D568" s="103" t="n"/>
      <c r="E568" s="102" t="n"/>
      <c r="F568" s="104" t="n"/>
      <c r="G568" s="104" t="n"/>
      <c r="H568" s="102" t="n"/>
      <c r="I568" s="105" t="n"/>
      <c r="J568" s="105" t="n"/>
      <c r="K568" s="103" t="n"/>
      <c r="L568" s="103" t="n"/>
      <c r="M568" s="106" t="str">
        <f>IF(OR(D568="",E568=""),"",D568+IF(E568="NOTIFICAÇÃO DE CONSTATAÇÃO",PrazoConst,PrazoEsc))</f>
        <v/>
      </c>
      <c r="N568" s="107" t="str">
        <f>IF(M568="","",IF(ISNUMBER(L568),M568-L568,IF(G568="DECISÃO D.P","",M568-TODAY())))</f>
        <v/>
      </c>
      <c r="O568" s="108" t="str">
        <f>IF(B568="","",IF(ISNUMBER(L568),IF(N568="","SEM DATA",IF(N568&gt;=0,"DEFESA NO PRAZO","DEFESA FORA DO PRAZO")),IF(G568="DECISÃO D.P","SEM DEFESA",IF(G568="","SEM STATUS",IF(N568="","SEM DATA",IF(N568&lt;0,"VENCIDO",IF(N568&lt;=DiasAlerta,"VENCE EM BREVE","NO PRAZO")))))))</f>
        <v/>
      </c>
      <c r="P568" s="109" t="str">
        <f>IF(D568="","",TODAY()-D568)</f>
        <v/>
      </c>
      <c r="Q568" s="102" t="n"/>
    </row>
    <row r="569" ht="18" customHeight="1">
      <c r="A569" s="101" t="n"/>
      <c r="B569" s="102" t="n"/>
      <c r="C569" s="102" t="n"/>
      <c r="D569" s="103" t="n"/>
      <c r="E569" s="102" t="n"/>
      <c r="F569" s="104" t="n"/>
      <c r="G569" s="104" t="n"/>
      <c r="H569" s="102" t="n"/>
      <c r="I569" s="105" t="n"/>
      <c r="J569" s="105" t="n"/>
      <c r="K569" s="103" t="n"/>
      <c r="L569" s="103" t="n"/>
      <c r="M569" s="106" t="str">
        <f>IF(OR(D569="",E569=""),"",D569+IF(E569="NOTIFICAÇÃO DE CONSTATAÇÃO",PrazoConst,PrazoEsc))</f>
        <v/>
      </c>
      <c r="N569" s="107" t="str">
        <f>IF(M569="","",IF(ISNUMBER(L569),M569-L569,IF(G569="DECISÃO D.P","",M569-TODAY())))</f>
        <v/>
      </c>
      <c r="O569" s="108" t="str">
        <f>IF(B569="","",IF(ISNUMBER(L569),IF(N569="","SEM DATA",IF(N569&gt;=0,"DEFESA NO PRAZO","DEFESA FORA DO PRAZO")),IF(G569="DECISÃO D.P","SEM DEFESA",IF(G569="","SEM STATUS",IF(N569="","SEM DATA",IF(N569&lt;0,"VENCIDO",IF(N569&lt;=DiasAlerta,"VENCE EM BREVE","NO PRAZO")))))))</f>
        <v/>
      </c>
      <c r="P569" s="109" t="str">
        <f>IF(D569="","",TODAY()-D569)</f>
        <v/>
      </c>
      <c r="Q569" s="102" t="n"/>
    </row>
    <row r="570" ht="18" customHeight="1">
      <c r="A570" s="101" t="n"/>
      <c r="B570" s="102" t="n"/>
      <c r="C570" s="102" t="n"/>
      <c r="D570" s="103" t="n"/>
      <c r="E570" s="102" t="n"/>
      <c r="F570" s="104" t="n"/>
      <c r="G570" s="104" t="n"/>
      <c r="H570" s="102" t="n"/>
      <c r="I570" s="105" t="n"/>
      <c r="J570" s="105" t="n"/>
      <c r="K570" s="103" t="n"/>
      <c r="L570" s="103" t="n"/>
      <c r="M570" s="106" t="str">
        <f>IF(OR(D570="",E570=""),"",D570+IF(E570="NOTIFICAÇÃO DE CONSTATAÇÃO",PrazoConst,PrazoEsc))</f>
        <v/>
      </c>
      <c r="N570" s="107" t="str">
        <f>IF(M570="","",IF(ISNUMBER(L570),M570-L570,IF(G570="DECISÃO D.P","",M570-TODAY())))</f>
        <v/>
      </c>
      <c r="O570" s="108" t="str">
        <f>IF(B570="","",IF(ISNUMBER(L570),IF(N570="","SEM DATA",IF(N570&gt;=0,"DEFESA NO PRAZO","DEFESA FORA DO PRAZO")),IF(G570="DECISÃO D.P","SEM DEFESA",IF(G570="","SEM STATUS",IF(N570="","SEM DATA",IF(N570&lt;0,"VENCIDO",IF(N570&lt;=DiasAlerta,"VENCE EM BREVE","NO PRAZO")))))))</f>
        <v/>
      </c>
      <c r="P570" s="109" t="str">
        <f>IF(D570="","",TODAY()-D570)</f>
        <v/>
      </c>
      <c r="Q570" s="102" t="n"/>
    </row>
    <row r="571" ht="18" customHeight="1">
      <c r="A571" s="101" t="n"/>
      <c r="B571" s="102" t="n"/>
      <c r="C571" s="102" t="n"/>
      <c r="D571" s="103" t="n"/>
      <c r="E571" s="102" t="n"/>
      <c r="F571" s="104" t="n"/>
      <c r="G571" s="104" t="n"/>
      <c r="H571" s="102" t="n"/>
      <c r="I571" s="105" t="n"/>
      <c r="J571" s="105" t="n"/>
      <c r="K571" s="103" t="n"/>
      <c r="L571" s="103" t="n"/>
      <c r="M571" s="106" t="str">
        <f>IF(OR(D571="",E571=""),"",D571+IF(E571="NOTIFICAÇÃO DE CONSTATAÇÃO",PrazoConst,PrazoEsc))</f>
        <v/>
      </c>
      <c r="N571" s="107" t="str">
        <f>IF(M571="","",IF(ISNUMBER(L571),M571-L571,IF(G571="DECISÃO D.P","",M571-TODAY())))</f>
        <v/>
      </c>
      <c r="O571" s="108" t="str">
        <f>IF(B571="","",IF(ISNUMBER(L571),IF(N571="","SEM DATA",IF(N571&gt;=0,"DEFESA NO PRAZO","DEFESA FORA DO PRAZO")),IF(G571="DECISÃO D.P","SEM DEFESA",IF(G571="","SEM STATUS",IF(N571="","SEM DATA",IF(N571&lt;0,"VENCIDO",IF(N571&lt;=DiasAlerta,"VENCE EM BREVE","NO PRAZO")))))))</f>
        <v/>
      </c>
      <c r="P571" s="109" t="str">
        <f>IF(D571="","",TODAY()-D571)</f>
        <v/>
      </c>
      <c r="Q571" s="102" t="n"/>
    </row>
    <row r="572" ht="18" customHeight="1">
      <c r="A572" s="101" t="n"/>
      <c r="B572" s="102" t="n"/>
      <c r="C572" s="102" t="n"/>
      <c r="D572" s="103" t="n"/>
      <c r="E572" s="102" t="n"/>
      <c r="F572" s="104" t="n"/>
      <c r="G572" s="104" t="n"/>
      <c r="H572" s="102" t="n"/>
      <c r="I572" s="105" t="n"/>
      <c r="J572" s="105" t="n"/>
      <c r="K572" s="103" t="n"/>
      <c r="L572" s="103" t="n"/>
      <c r="M572" s="106" t="str">
        <f>IF(OR(D572="",E572=""),"",D572+IF(E572="NOTIFICAÇÃO DE CONSTATAÇÃO",PrazoConst,PrazoEsc))</f>
        <v/>
      </c>
      <c r="N572" s="107" t="str">
        <f>IF(M572="","",IF(ISNUMBER(L572),M572-L572,IF(G572="DECISÃO D.P","",M572-TODAY())))</f>
        <v/>
      </c>
      <c r="O572" s="108" t="str">
        <f>IF(B572="","",IF(ISNUMBER(L572),IF(N572="","SEM DATA",IF(N572&gt;=0,"DEFESA NO PRAZO","DEFESA FORA DO PRAZO")),IF(G572="DECISÃO D.P","SEM DEFESA",IF(G572="","SEM STATUS",IF(N572="","SEM DATA",IF(N572&lt;0,"VENCIDO",IF(N572&lt;=DiasAlerta,"VENCE EM BREVE","NO PRAZO")))))))</f>
        <v/>
      </c>
      <c r="P572" s="109" t="str">
        <f>IF(D572="","",TODAY()-D572)</f>
        <v/>
      </c>
      <c r="Q572" s="102" t="n"/>
    </row>
    <row r="573" ht="18" customHeight="1">
      <c r="A573" s="101" t="n"/>
      <c r="B573" s="102" t="n"/>
      <c r="C573" s="102" t="n"/>
      <c r="D573" s="103" t="n"/>
      <c r="E573" s="102" t="n"/>
      <c r="F573" s="104" t="n"/>
      <c r="G573" s="104" t="n"/>
      <c r="H573" s="102" t="n"/>
      <c r="I573" s="105" t="n"/>
      <c r="J573" s="105" t="n"/>
      <c r="K573" s="103" t="n"/>
      <c r="L573" s="103" t="n"/>
      <c r="M573" s="106" t="str">
        <f>IF(OR(D573="",E573=""),"",D573+IF(E573="NOTIFICAÇÃO DE CONSTATAÇÃO",PrazoConst,PrazoEsc))</f>
        <v/>
      </c>
      <c r="N573" s="107" t="str">
        <f>IF(M573="","",IF(ISNUMBER(L573),M573-L573,IF(G573="DECISÃO D.P","",M573-TODAY())))</f>
        <v/>
      </c>
      <c r="O573" s="108" t="str">
        <f>IF(B573="","",IF(ISNUMBER(L573),IF(N573="","SEM DATA",IF(N573&gt;=0,"DEFESA NO PRAZO","DEFESA FORA DO PRAZO")),IF(G573="DECISÃO D.P","SEM DEFESA",IF(G573="","SEM STATUS",IF(N573="","SEM DATA",IF(N573&lt;0,"VENCIDO",IF(N573&lt;=DiasAlerta,"VENCE EM BREVE","NO PRAZO")))))))</f>
        <v/>
      </c>
      <c r="P573" s="109" t="str">
        <f>IF(D573="","",TODAY()-D573)</f>
        <v/>
      </c>
      <c r="Q573" s="102" t="n"/>
    </row>
    <row r="574" ht="18" customHeight="1">
      <c r="A574" s="101" t="n"/>
      <c r="B574" s="102" t="n"/>
      <c r="C574" s="102" t="n"/>
      <c r="D574" s="103" t="n"/>
      <c r="E574" s="102" t="n"/>
      <c r="F574" s="104" t="n"/>
      <c r="G574" s="104" t="n"/>
      <c r="H574" s="102" t="n"/>
      <c r="I574" s="105" t="n"/>
      <c r="J574" s="105" t="n"/>
      <c r="K574" s="103" t="n"/>
      <c r="L574" s="103" t="n"/>
      <c r="M574" s="106" t="str">
        <f>IF(OR(D574="",E574=""),"",D574+IF(E574="NOTIFICAÇÃO DE CONSTATAÇÃO",PrazoConst,PrazoEsc))</f>
        <v/>
      </c>
      <c r="N574" s="107" t="str">
        <f>IF(M574="","",IF(ISNUMBER(L574),M574-L574,IF(G574="DECISÃO D.P","",M574-TODAY())))</f>
        <v/>
      </c>
      <c r="O574" s="108" t="str">
        <f>IF(B574="","",IF(ISNUMBER(L574),IF(N574="","SEM DATA",IF(N574&gt;=0,"DEFESA NO PRAZO","DEFESA FORA DO PRAZO")),IF(G574="DECISÃO D.P","SEM DEFESA",IF(G574="","SEM STATUS",IF(N574="","SEM DATA",IF(N574&lt;0,"VENCIDO",IF(N574&lt;=DiasAlerta,"VENCE EM BREVE","NO PRAZO")))))))</f>
        <v/>
      </c>
      <c r="P574" s="109" t="str">
        <f>IF(D574="","",TODAY()-D574)</f>
        <v/>
      </c>
      <c r="Q574" s="102" t="n"/>
    </row>
    <row r="575" ht="18" customHeight="1">
      <c r="A575" s="101" t="n"/>
      <c r="B575" s="102" t="n"/>
      <c r="C575" s="102" t="n"/>
      <c r="D575" s="103" t="n"/>
      <c r="E575" s="102" t="n"/>
      <c r="F575" s="104" t="n"/>
      <c r="G575" s="104" t="n"/>
      <c r="H575" s="102" t="n"/>
      <c r="I575" s="105" t="n"/>
      <c r="J575" s="105" t="n"/>
      <c r="K575" s="103" t="n"/>
      <c r="L575" s="103" t="n"/>
      <c r="M575" s="106" t="str">
        <f>IF(OR(D575="",E575=""),"",D575+IF(E575="NOTIFICAÇÃO DE CONSTATAÇÃO",PrazoConst,PrazoEsc))</f>
        <v/>
      </c>
      <c r="N575" s="107" t="str">
        <f>IF(M575="","",IF(ISNUMBER(L575),M575-L575,IF(G575="DECISÃO D.P","",M575-TODAY())))</f>
        <v/>
      </c>
      <c r="O575" s="108" t="str">
        <f>IF(B575="","",IF(ISNUMBER(L575),IF(N575="","SEM DATA",IF(N575&gt;=0,"DEFESA NO PRAZO","DEFESA FORA DO PRAZO")),IF(G575="DECISÃO D.P","SEM DEFESA",IF(G575="","SEM STATUS",IF(N575="","SEM DATA",IF(N575&lt;0,"VENCIDO",IF(N575&lt;=DiasAlerta,"VENCE EM BREVE","NO PRAZO")))))))</f>
        <v/>
      </c>
      <c r="P575" s="109" t="str">
        <f>IF(D575="","",TODAY()-D575)</f>
        <v/>
      </c>
      <c r="Q575" s="102" t="n"/>
    </row>
    <row r="576" ht="18" customHeight="1">
      <c r="A576" s="101" t="n"/>
      <c r="B576" s="102" t="n"/>
      <c r="C576" s="102" t="n"/>
      <c r="D576" s="103" t="n"/>
      <c r="E576" s="102" t="n"/>
      <c r="F576" s="104" t="n"/>
      <c r="G576" s="104" t="n"/>
      <c r="H576" s="102" t="n"/>
      <c r="I576" s="105" t="n"/>
      <c r="J576" s="105" t="n"/>
      <c r="K576" s="103" t="n"/>
      <c r="L576" s="103" t="n"/>
      <c r="M576" s="106" t="str">
        <f>IF(OR(D576="",E576=""),"",D576+IF(E576="NOTIFICAÇÃO DE CONSTATAÇÃO",PrazoConst,PrazoEsc))</f>
        <v/>
      </c>
      <c r="N576" s="107" t="str">
        <f>IF(M576="","",IF(ISNUMBER(L576),M576-L576,IF(G576="DECISÃO D.P","",M576-TODAY())))</f>
        <v/>
      </c>
      <c r="O576" s="108" t="str">
        <f>IF(B576="","",IF(ISNUMBER(L576),IF(N576="","SEM DATA",IF(N576&gt;=0,"DEFESA NO PRAZO","DEFESA FORA DO PRAZO")),IF(G576="DECISÃO D.P","SEM DEFESA",IF(G576="","SEM STATUS",IF(N576="","SEM DATA",IF(N576&lt;0,"VENCIDO",IF(N576&lt;=DiasAlerta,"VENCE EM BREVE","NO PRAZO")))))))</f>
        <v/>
      </c>
      <c r="P576" s="109" t="str">
        <f>IF(D576="","",TODAY()-D576)</f>
        <v/>
      </c>
      <c r="Q576" s="102" t="n"/>
    </row>
    <row r="577" ht="18" customHeight="1">
      <c r="A577" s="101" t="n"/>
      <c r="B577" s="102" t="n"/>
      <c r="C577" s="102" t="n"/>
      <c r="D577" s="103" t="n"/>
      <c r="E577" s="102" t="n"/>
      <c r="F577" s="104" t="n"/>
      <c r="G577" s="104" t="n"/>
      <c r="H577" s="102" t="n"/>
      <c r="I577" s="105" t="n"/>
      <c r="J577" s="105" t="n"/>
      <c r="K577" s="103" t="n"/>
      <c r="L577" s="103" t="n"/>
      <c r="M577" s="106" t="str">
        <f>IF(OR(D577="",E577=""),"",D577+IF(E577="NOTIFICAÇÃO DE CONSTATAÇÃO",PrazoConst,PrazoEsc))</f>
        <v/>
      </c>
      <c r="N577" s="107" t="str">
        <f>IF(M577="","",IF(ISNUMBER(L577),M577-L577,IF(G577="DECISÃO D.P","",M577-TODAY())))</f>
        <v/>
      </c>
      <c r="O577" s="108" t="str">
        <f>IF(B577="","",IF(ISNUMBER(L577),IF(N577="","SEM DATA",IF(N577&gt;=0,"DEFESA NO PRAZO","DEFESA FORA DO PRAZO")),IF(G577="DECISÃO D.P","SEM DEFESA",IF(G577="","SEM STATUS",IF(N577="","SEM DATA",IF(N577&lt;0,"VENCIDO",IF(N577&lt;=DiasAlerta,"VENCE EM BREVE","NO PRAZO")))))))</f>
        <v/>
      </c>
      <c r="P577" s="109" t="str">
        <f>IF(D577="","",TODAY()-D577)</f>
        <v/>
      </c>
      <c r="Q577" s="102" t="n"/>
    </row>
    <row r="578" ht="18" customHeight="1">
      <c r="A578" s="101" t="n"/>
      <c r="B578" s="102" t="n"/>
      <c r="C578" s="102" t="n"/>
      <c r="D578" s="103" t="n"/>
      <c r="E578" s="102" t="n"/>
      <c r="F578" s="104" t="n"/>
      <c r="G578" s="104" t="n"/>
      <c r="H578" s="102" t="n"/>
      <c r="I578" s="105" t="n"/>
      <c r="J578" s="105" t="n"/>
      <c r="K578" s="103" t="n"/>
      <c r="L578" s="103" t="n"/>
      <c r="M578" s="106" t="str">
        <f>IF(OR(D578="",E578=""),"",D578+IF(E578="NOTIFICAÇÃO DE CONSTATAÇÃO",PrazoConst,PrazoEsc))</f>
        <v/>
      </c>
      <c r="N578" s="107" t="str">
        <f>IF(M578="","",IF(ISNUMBER(L578),M578-L578,IF(G578="DECISÃO D.P","",M578-TODAY())))</f>
        <v/>
      </c>
      <c r="O578" s="108" t="str">
        <f>IF(B578="","",IF(ISNUMBER(L578),IF(N578="","SEM DATA",IF(N578&gt;=0,"DEFESA NO PRAZO","DEFESA FORA DO PRAZO")),IF(G578="DECISÃO D.P","SEM DEFESA",IF(G578="","SEM STATUS",IF(N578="","SEM DATA",IF(N578&lt;0,"VENCIDO",IF(N578&lt;=DiasAlerta,"VENCE EM BREVE","NO PRAZO")))))))</f>
        <v/>
      </c>
      <c r="P578" s="109" t="str">
        <f>IF(D578="","",TODAY()-D578)</f>
        <v/>
      </c>
      <c r="Q578" s="102" t="n"/>
    </row>
    <row r="579" ht="18" customHeight="1">
      <c r="A579" s="101" t="n"/>
      <c r="B579" s="102" t="n"/>
      <c r="C579" s="102" t="n"/>
      <c r="D579" s="103" t="n"/>
      <c r="E579" s="102" t="n"/>
      <c r="F579" s="104" t="n"/>
      <c r="G579" s="104" t="n"/>
      <c r="H579" s="102" t="n"/>
      <c r="I579" s="105" t="n"/>
      <c r="J579" s="105" t="n"/>
      <c r="K579" s="103" t="n"/>
      <c r="L579" s="103" t="n"/>
      <c r="M579" s="106" t="str">
        <f>IF(OR(D579="",E579=""),"",D579+IF(E579="NOTIFICAÇÃO DE CONSTATAÇÃO",PrazoConst,PrazoEsc))</f>
        <v/>
      </c>
      <c r="N579" s="107" t="str">
        <f>IF(M579="","",IF(ISNUMBER(L579),M579-L579,IF(G579="DECISÃO D.P","",M579-TODAY())))</f>
        <v/>
      </c>
      <c r="O579" s="108" t="str">
        <f>IF(B579="","",IF(ISNUMBER(L579),IF(N579="","SEM DATA",IF(N579&gt;=0,"DEFESA NO PRAZO","DEFESA FORA DO PRAZO")),IF(G579="DECISÃO D.P","SEM DEFESA",IF(G579="","SEM STATUS",IF(N579="","SEM DATA",IF(N579&lt;0,"VENCIDO",IF(N579&lt;=DiasAlerta,"VENCE EM BREVE","NO PRAZO")))))))</f>
        <v/>
      </c>
      <c r="P579" s="109" t="str">
        <f>IF(D579="","",TODAY()-D579)</f>
        <v/>
      </c>
      <c r="Q579" s="102" t="n"/>
    </row>
    <row r="580" ht="18" customHeight="1">
      <c r="A580" s="101" t="n"/>
      <c r="B580" s="102" t="n"/>
      <c r="C580" s="102" t="n"/>
      <c r="D580" s="103" t="n"/>
      <c r="E580" s="102" t="n"/>
      <c r="F580" s="104" t="n"/>
      <c r="G580" s="104" t="n"/>
      <c r="H580" s="102" t="n"/>
      <c r="I580" s="105" t="n"/>
      <c r="J580" s="105" t="n"/>
      <c r="K580" s="103" t="n"/>
      <c r="L580" s="103" t="n"/>
      <c r="M580" s="106" t="str">
        <f>IF(OR(D580="",E580=""),"",D580+IF(E580="NOTIFICAÇÃO DE CONSTATAÇÃO",PrazoConst,PrazoEsc))</f>
        <v/>
      </c>
      <c r="N580" s="107" t="str">
        <f>IF(M580="","",IF(ISNUMBER(L580),M580-L580,IF(G580="DECISÃO D.P","",M580-TODAY())))</f>
        <v/>
      </c>
      <c r="O580" s="108" t="str">
        <f>IF(B580="","",IF(ISNUMBER(L580),IF(N580="","SEM DATA",IF(N580&gt;=0,"DEFESA NO PRAZO","DEFESA FORA DO PRAZO")),IF(G580="DECISÃO D.P","SEM DEFESA",IF(G580="","SEM STATUS",IF(N580="","SEM DATA",IF(N580&lt;0,"VENCIDO",IF(N580&lt;=DiasAlerta,"VENCE EM BREVE","NO PRAZO")))))))</f>
        <v/>
      </c>
      <c r="P580" s="109" t="str">
        <f>IF(D580="","",TODAY()-D580)</f>
        <v/>
      </c>
      <c r="Q580" s="102" t="n"/>
    </row>
    <row r="581" ht="18" customHeight="1">
      <c r="A581" s="101" t="n"/>
      <c r="B581" s="102" t="n"/>
      <c r="C581" s="102" t="n"/>
      <c r="D581" s="103" t="n"/>
      <c r="E581" s="102" t="n"/>
      <c r="F581" s="104" t="n"/>
      <c r="G581" s="104" t="n"/>
      <c r="H581" s="102" t="n"/>
      <c r="I581" s="105" t="n"/>
      <c r="J581" s="105" t="n"/>
      <c r="K581" s="103" t="n"/>
      <c r="L581" s="103" t="n"/>
      <c r="M581" s="106" t="str">
        <f>IF(OR(D581="",E581=""),"",D581+IF(E581="NOTIFICAÇÃO DE CONSTATAÇÃO",PrazoConst,PrazoEsc))</f>
        <v/>
      </c>
      <c r="N581" s="107" t="str">
        <f>IF(M581="","",IF(ISNUMBER(L581),M581-L581,IF(G581="DECISÃO D.P","",M581-TODAY())))</f>
        <v/>
      </c>
      <c r="O581" s="108" t="str">
        <f>IF(B581="","",IF(ISNUMBER(L581),IF(N581="","SEM DATA",IF(N581&gt;=0,"DEFESA NO PRAZO","DEFESA FORA DO PRAZO")),IF(G581="DECISÃO D.P","SEM DEFESA",IF(G581="","SEM STATUS",IF(N581="","SEM DATA",IF(N581&lt;0,"VENCIDO",IF(N581&lt;=DiasAlerta,"VENCE EM BREVE","NO PRAZO")))))))</f>
        <v/>
      </c>
      <c r="P581" s="109" t="str">
        <f>IF(D581="","",TODAY()-D581)</f>
        <v/>
      </c>
      <c r="Q581" s="102" t="n"/>
    </row>
    <row r="582" ht="18" customHeight="1">
      <c r="A582" s="101" t="n"/>
      <c r="B582" s="102" t="n"/>
      <c r="C582" s="102" t="n"/>
      <c r="D582" s="103" t="n"/>
      <c r="E582" s="102" t="n"/>
      <c r="F582" s="104" t="n"/>
      <c r="G582" s="104" t="n"/>
      <c r="H582" s="102" t="n"/>
      <c r="I582" s="105" t="n"/>
      <c r="J582" s="105" t="n"/>
      <c r="K582" s="103" t="n"/>
      <c r="L582" s="103" t="n"/>
      <c r="M582" s="106" t="str">
        <f>IF(OR(D582="",E582=""),"",D582+IF(E582="NOTIFICAÇÃO DE CONSTATAÇÃO",PrazoConst,PrazoEsc))</f>
        <v/>
      </c>
      <c r="N582" s="107" t="str">
        <f>IF(M582="","",IF(ISNUMBER(L582),M582-L582,IF(G582="DECISÃO D.P","",M582-TODAY())))</f>
        <v/>
      </c>
      <c r="O582" s="108" t="str">
        <f>IF(B582="","",IF(ISNUMBER(L582),IF(N582="","SEM DATA",IF(N582&gt;=0,"DEFESA NO PRAZO","DEFESA FORA DO PRAZO")),IF(G582="DECISÃO D.P","SEM DEFESA",IF(G582="","SEM STATUS",IF(N582="","SEM DATA",IF(N582&lt;0,"VENCIDO",IF(N582&lt;=DiasAlerta,"VENCE EM BREVE","NO PRAZO")))))))</f>
        <v/>
      </c>
      <c r="P582" s="109" t="str">
        <f>IF(D582="","",TODAY()-D582)</f>
        <v/>
      </c>
      <c r="Q582" s="102" t="n"/>
    </row>
    <row r="583" ht="18" customHeight="1">
      <c r="A583" s="101" t="n"/>
      <c r="B583" s="102" t="n"/>
      <c r="C583" s="102" t="n"/>
      <c r="D583" s="103" t="n"/>
      <c r="E583" s="102" t="n"/>
      <c r="F583" s="104" t="n"/>
      <c r="G583" s="104" t="n"/>
      <c r="H583" s="102" t="n"/>
      <c r="I583" s="105" t="n"/>
      <c r="J583" s="105" t="n"/>
      <c r="K583" s="103" t="n"/>
      <c r="L583" s="103" t="n"/>
      <c r="M583" s="106" t="str">
        <f>IF(OR(D583="",E583=""),"",D583+IF(E583="NOTIFICAÇÃO DE CONSTATAÇÃO",PrazoConst,PrazoEsc))</f>
        <v/>
      </c>
      <c r="N583" s="107" t="str">
        <f>IF(M583="","",IF(ISNUMBER(L583),M583-L583,IF(G583="DECISÃO D.P","",M583-TODAY())))</f>
        <v/>
      </c>
      <c r="O583" s="108" t="str">
        <f>IF(B583="","",IF(ISNUMBER(L583),IF(N583="","SEM DATA",IF(N583&gt;=0,"DEFESA NO PRAZO","DEFESA FORA DO PRAZO")),IF(G583="DECISÃO D.P","SEM DEFESA",IF(G583="","SEM STATUS",IF(N583="","SEM DATA",IF(N583&lt;0,"VENCIDO",IF(N583&lt;=DiasAlerta,"VENCE EM BREVE","NO PRAZO")))))))</f>
        <v/>
      </c>
      <c r="P583" s="109" t="str">
        <f>IF(D583="","",TODAY()-D583)</f>
        <v/>
      </c>
      <c r="Q583" s="102" t="n"/>
    </row>
    <row r="584" ht="18" customHeight="1">
      <c r="A584" s="101" t="n"/>
      <c r="B584" s="102" t="n"/>
      <c r="C584" s="102" t="n"/>
      <c r="D584" s="103" t="n"/>
      <c r="E584" s="102" t="n"/>
      <c r="F584" s="104" t="n"/>
      <c r="G584" s="104" t="n"/>
      <c r="H584" s="102" t="n"/>
      <c r="I584" s="105" t="n"/>
      <c r="J584" s="105" t="n"/>
      <c r="K584" s="103" t="n"/>
      <c r="L584" s="103" t="n"/>
      <c r="M584" s="106" t="str">
        <f>IF(OR(D584="",E584=""),"",D584+IF(E584="NOTIFICAÇÃO DE CONSTATAÇÃO",PrazoConst,PrazoEsc))</f>
        <v/>
      </c>
      <c r="N584" s="107" t="str">
        <f>IF(M584="","",IF(ISNUMBER(L584),M584-L584,IF(G584="DECISÃO D.P","",M584-TODAY())))</f>
        <v/>
      </c>
      <c r="O584" s="108" t="str">
        <f>IF(B584="","",IF(ISNUMBER(L584),IF(N584="","SEM DATA",IF(N584&gt;=0,"DEFESA NO PRAZO","DEFESA FORA DO PRAZO")),IF(G584="DECISÃO D.P","SEM DEFESA",IF(G584="","SEM STATUS",IF(N584="","SEM DATA",IF(N584&lt;0,"VENCIDO",IF(N584&lt;=DiasAlerta,"VENCE EM BREVE","NO PRAZO")))))))</f>
        <v/>
      </c>
      <c r="P584" s="109" t="str">
        <f>IF(D584="","",TODAY()-D584)</f>
        <v/>
      </c>
      <c r="Q584" s="102" t="n"/>
    </row>
    <row r="585" ht="18" customHeight="1">
      <c r="A585" s="101" t="n"/>
      <c r="B585" s="102" t="n"/>
      <c r="C585" s="102" t="n"/>
      <c r="D585" s="103" t="n"/>
      <c r="E585" s="102" t="n"/>
      <c r="F585" s="104" t="n"/>
      <c r="G585" s="104" t="n"/>
      <c r="H585" s="102" t="n"/>
      <c r="I585" s="105" t="n"/>
      <c r="J585" s="105" t="n"/>
      <c r="K585" s="103" t="n"/>
      <c r="L585" s="103" t="n"/>
      <c r="M585" s="106" t="str">
        <f>IF(OR(D585="",E585=""),"",D585+IF(E585="NOTIFICAÇÃO DE CONSTATAÇÃO",PrazoConst,PrazoEsc))</f>
        <v/>
      </c>
      <c r="N585" s="107" t="str">
        <f>IF(M585="","",IF(ISNUMBER(L585),M585-L585,IF(G585="DECISÃO D.P","",M585-TODAY())))</f>
        <v/>
      </c>
      <c r="O585" s="108" t="str">
        <f>IF(B585="","",IF(ISNUMBER(L585),IF(N585="","SEM DATA",IF(N585&gt;=0,"DEFESA NO PRAZO","DEFESA FORA DO PRAZO")),IF(G585="DECISÃO D.P","SEM DEFESA",IF(G585="","SEM STATUS",IF(N585="","SEM DATA",IF(N585&lt;0,"VENCIDO",IF(N585&lt;=DiasAlerta,"VENCE EM BREVE","NO PRAZO")))))))</f>
        <v/>
      </c>
      <c r="P585" s="109" t="str">
        <f>IF(D585="","",TODAY()-D585)</f>
        <v/>
      </c>
      <c r="Q585" s="102" t="n"/>
    </row>
    <row r="586" ht="18" customHeight="1">
      <c r="A586" s="101" t="n"/>
      <c r="B586" s="102" t="n"/>
      <c r="C586" s="102" t="n"/>
      <c r="D586" s="103" t="n"/>
      <c r="E586" s="102" t="n"/>
      <c r="F586" s="104" t="n"/>
      <c r="G586" s="104" t="n"/>
      <c r="H586" s="102" t="n"/>
      <c r="I586" s="105" t="n"/>
      <c r="J586" s="105" t="n"/>
      <c r="K586" s="103" t="n"/>
      <c r="L586" s="103" t="n"/>
      <c r="M586" s="106" t="str">
        <f>IF(OR(D586="",E586=""),"",D586+IF(E586="NOTIFICAÇÃO DE CONSTATAÇÃO",PrazoConst,PrazoEsc))</f>
        <v/>
      </c>
      <c r="N586" s="107" t="str">
        <f>IF(M586="","",IF(ISNUMBER(L586),M586-L586,IF(G586="DECISÃO D.P","",M586-TODAY())))</f>
        <v/>
      </c>
      <c r="O586" s="108" t="str">
        <f>IF(B586="","",IF(ISNUMBER(L586),IF(N586="","SEM DATA",IF(N586&gt;=0,"DEFESA NO PRAZO","DEFESA FORA DO PRAZO")),IF(G586="DECISÃO D.P","SEM DEFESA",IF(G586="","SEM STATUS",IF(N586="","SEM DATA",IF(N586&lt;0,"VENCIDO",IF(N586&lt;=DiasAlerta,"VENCE EM BREVE","NO PRAZO")))))))</f>
        <v/>
      </c>
      <c r="P586" s="109" t="str">
        <f>IF(D586="","",TODAY()-D586)</f>
        <v/>
      </c>
      <c r="Q586" s="102" t="n"/>
    </row>
    <row r="587" ht="18" customHeight="1">
      <c r="A587" s="101" t="n"/>
      <c r="B587" s="102" t="n"/>
      <c r="C587" s="102" t="n"/>
      <c r="D587" s="103" t="n"/>
      <c r="E587" s="102" t="n"/>
      <c r="F587" s="104" t="n"/>
      <c r="G587" s="104" t="n"/>
      <c r="H587" s="102" t="n"/>
      <c r="I587" s="105" t="n"/>
      <c r="J587" s="105" t="n"/>
      <c r="K587" s="103" t="n"/>
      <c r="L587" s="103" t="n"/>
      <c r="M587" s="106" t="str">
        <f>IF(OR(D587="",E587=""),"",D587+IF(E587="NOTIFICAÇÃO DE CONSTATAÇÃO",PrazoConst,PrazoEsc))</f>
        <v/>
      </c>
      <c r="N587" s="107" t="str">
        <f>IF(M587="","",IF(ISNUMBER(L587),M587-L587,IF(G587="DECISÃO D.P","",M587-TODAY())))</f>
        <v/>
      </c>
      <c r="O587" s="108" t="str">
        <f>IF(B587="","",IF(ISNUMBER(L587),IF(N587="","SEM DATA",IF(N587&gt;=0,"DEFESA NO PRAZO","DEFESA FORA DO PRAZO")),IF(G587="DECISÃO D.P","SEM DEFESA",IF(G587="","SEM STATUS",IF(N587="","SEM DATA",IF(N587&lt;0,"VENCIDO",IF(N587&lt;=DiasAlerta,"VENCE EM BREVE","NO PRAZO")))))))</f>
        <v/>
      </c>
      <c r="P587" s="109" t="str">
        <f>IF(D587="","",TODAY()-D587)</f>
        <v/>
      </c>
      <c r="Q587" s="102" t="n"/>
    </row>
    <row r="588" ht="18" customHeight="1">
      <c r="A588" s="101" t="n"/>
      <c r="B588" s="102" t="n"/>
      <c r="C588" s="102" t="n"/>
      <c r="D588" s="103" t="n"/>
      <c r="E588" s="102" t="n"/>
      <c r="F588" s="104" t="n"/>
      <c r="G588" s="104" t="n"/>
      <c r="H588" s="102" t="n"/>
      <c r="I588" s="105" t="n"/>
      <c r="J588" s="105" t="n"/>
      <c r="K588" s="103" t="n"/>
      <c r="L588" s="103" t="n"/>
      <c r="M588" s="106" t="str">
        <f>IF(OR(D588="",E588=""),"",D588+IF(E588="NOTIFICAÇÃO DE CONSTATAÇÃO",PrazoConst,PrazoEsc))</f>
        <v/>
      </c>
      <c r="N588" s="107" t="str">
        <f>IF(M588="","",IF(ISNUMBER(L588),M588-L588,IF(G588="DECISÃO D.P","",M588-TODAY())))</f>
        <v/>
      </c>
      <c r="O588" s="108" t="str">
        <f>IF(B588="","",IF(ISNUMBER(L588),IF(N588="","SEM DATA",IF(N588&gt;=0,"DEFESA NO PRAZO","DEFESA FORA DO PRAZO")),IF(G588="DECISÃO D.P","SEM DEFESA",IF(G588="","SEM STATUS",IF(N588="","SEM DATA",IF(N588&lt;0,"VENCIDO",IF(N588&lt;=DiasAlerta,"VENCE EM BREVE","NO PRAZO")))))))</f>
        <v/>
      </c>
      <c r="P588" s="109" t="str">
        <f>IF(D588="","",TODAY()-D588)</f>
        <v/>
      </c>
      <c r="Q588" s="102" t="n"/>
    </row>
    <row r="589" ht="18" customHeight="1">
      <c r="A589" s="101" t="n"/>
      <c r="B589" s="102" t="n"/>
      <c r="C589" s="102" t="n"/>
      <c r="D589" s="103" t="n"/>
      <c r="E589" s="102" t="n"/>
      <c r="F589" s="104" t="n"/>
      <c r="G589" s="104" t="n"/>
      <c r="H589" s="102" t="n"/>
      <c r="I589" s="105" t="n"/>
      <c r="J589" s="105" t="n"/>
      <c r="K589" s="103" t="n"/>
      <c r="L589" s="103" t="n"/>
      <c r="M589" s="106" t="str">
        <f>IF(OR(D589="",E589=""),"",D589+IF(E589="NOTIFICAÇÃO DE CONSTATAÇÃO",PrazoConst,PrazoEsc))</f>
        <v/>
      </c>
      <c r="N589" s="107" t="str">
        <f>IF(M589="","",IF(ISNUMBER(L589),M589-L589,IF(G589="DECISÃO D.P","",M589-TODAY())))</f>
        <v/>
      </c>
      <c r="O589" s="108" t="str">
        <f>IF(B589="","",IF(ISNUMBER(L589),IF(N589="","SEM DATA",IF(N589&gt;=0,"DEFESA NO PRAZO","DEFESA FORA DO PRAZO")),IF(G589="DECISÃO D.P","SEM DEFESA",IF(G589="","SEM STATUS",IF(N589="","SEM DATA",IF(N589&lt;0,"VENCIDO",IF(N589&lt;=DiasAlerta,"VENCE EM BREVE","NO PRAZO")))))))</f>
        <v/>
      </c>
      <c r="P589" s="109" t="str">
        <f>IF(D589="","",TODAY()-D589)</f>
        <v/>
      </c>
      <c r="Q589" s="102" t="n"/>
    </row>
    <row r="590" ht="18" customHeight="1">
      <c r="A590" s="101" t="n"/>
      <c r="B590" s="102" t="n"/>
      <c r="C590" s="102" t="n"/>
      <c r="D590" s="103" t="n"/>
      <c r="E590" s="102" t="n"/>
      <c r="F590" s="104" t="n"/>
      <c r="G590" s="104" t="n"/>
      <c r="H590" s="102" t="n"/>
      <c r="I590" s="105" t="n"/>
      <c r="J590" s="105" t="n"/>
      <c r="K590" s="103" t="n"/>
      <c r="L590" s="103" t="n"/>
      <c r="M590" s="106" t="str">
        <f>IF(OR(D590="",E590=""),"",D590+IF(E590="NOTIFICAÇÃO DE CONSTATAÇÃO",PrazoConst,PrazoEsc))</f>
        <v/>
      </c>
      <c r="N590" s="107" t="str">
        <f>IF(M590="","",IF(ISNUMBER(L590),M590-L590,IF(G590="DECISÃO D.P","",M590-TODAY())))</f>
        <v/>
      </c>
      <c r="O590" s="108" t="str">
        <f>IF(B590="","",IF(ISNUMBER(L590),IF(N590="","SEM DATA",IF(N590&gt;=0,"DEFESA NO PRAZO","DEFESA FORA DO PRAZO")),IF(G590="DECISÃO D.P","SEM DEFESA",IF(G590="","SEM STATUS",IF(N590="","SEM DATA",IF(N590&lt;0,"VENCIDO",IF(N590&lt;=DiasAlerta,"VENCE EM BREVE","NO PRAZO")))))))</f>
        <v/>
      </c>
      <c r="P590" s="109" t="str">
        <f>IF(D590="","",TODAY()-D590)</f>
        <v/>
      </c>
      <c r="Q590" s="102" t="n"/>
    </row>
    <row r="591" ht="18" customHeight="1">
      <c r="A591" s="101" t="n"/>
      <c r="B591" s="102" t="n"/>
      <c r="C591" s="102" t="n"/>
      <c r="D591" s="103" t="n"/>
      <c r="E591" s="102" t="n"/>
      <c r="F591" s="104" t="n"/>
      <c r="G591" s="104" t="n"/>
      <c r="H591" s="102" t="n"/>
      <c r="I591" s="105" t="n"/>
      <c r="J591" s="105" t="n"/>
      <c r="K591" s="103" t="n"/>
      <c r="L591" s="103" t="n"/>
      <c r="M591" s="106" t="str">
        <f>IF(OR(D591="",E591=""),"",D591+IF(E591="NOTIFICAÇÃO DE CONSTATAÇÃO",PrazoConst,PrazoEsc))</f>
        <v/>
      </c>
      <c r="N591" s="107" t="str">
        <f>IF(M591="","",IF(ISNUMBER(L591),M591-L591,IF(G591="DECISÃO D.P","",M591-TODAY())))</f>
        <v/>
      </c>
      <c r="O591" s="108" t="str">
        <f>IF(B591="","",IF(ISNUMBER(L591),IF(N591="","SEM DATA",IF(N591&gt;=0,"DEFESA NO PRAZO","DEFESA FORA DO PRAZO")),IF(G591="DECISÃO D.P","SEM DEFESA",IF(G591="","SEM STATUS",IF(N591="","SEM DATA",IF(N591&lt;0,"VENCIDO",IF(N591&lt;=DiasAlerta,"VENCE EM BREVE","NO PRAZO")))))))</f>
        <v/>
      </c>
      <c r="P591" s="109" t="str">
        <f>IF(D591="","",TODAY()-D591)</f>
        <v/>
      </c>
      <c r="Q591" s="102" t="n"/>
    </row>
    <row r="592" ht="18" customHeight="1">
      <c r="A592" s="101" t="n"/>
      <c r="B592" s="102" t="n"/>
      <c r="C592" s="102" t="n"/>
      <c r="D592" s="103" t="n"/>
      <c r="E592" s="102" t="n"/>
      <c r="F592" s="104" t="n"/>
      <c r="G592" s="104" t="n"/>
      <c r="H592" s="102" t="n"/>
      <c r="I592" s="105" t="n"/>
      <c r="J592" s="105" t="n"/>
      <c r="K592" s="103" t="n"/>
      <c r="L592" s="103" t="n"/>
      <c r="M592" s="106" t="str">
        <f>IF(OR(D592="",E592=""),"",D592+IF(E592="NOTIFICAÇÃO DE CONSTATAÇÃO",PrazoConst,PrazoEsc))</f>
        <v/>
      </c>
      <c r="N592" s="107" t="str">
        <f>IF(M592="","",IF(ISNUMBER(L592),M592-L592,IF(G592="DECISÃO D.P","",M592-TODAY())))</f>
        <v/>
      </c>
      <c r="O592" s="108" t="str">
        <f>IF(B592="","",IF(ISNUMBER(L592),IF(N592="","SEM DATA",IF(N592&gt;=0,"DEFESA NO PRAZO","DEFESA FORA DO PRAZO")),IF(G592="DECISÃO D.P","SEM DEFESA",IF(G592="","SEM STATUS",IF(N592="","SEM DATA",IF(N592&lt;0,"VENCIDO",IF(N592&lt;=DiasAlerta,"VENCE EM BREVE","NO PRAZO")))))))</f>
        <v/>
      </c>
      <c r="P592" s="109" t="str">
        <f>IF(D592="","",TODAY()-D592)</f>
        <v/>
      </c>
      <c r="Q592" s="102" t="n"/>
    </row>
    <row r="593" ht="18" customHeight="1">
      <c r="A593" s="101" t="n"/>
      <c r="B593" s="102" t="n"/>
      <c r="C593" s="102" t="n"/>
      <c r="D593" s="103" t="n"/>
      <c r="E593" s="102" t="n"/>
      <c r="F593" s="104" t="n"/>
      <c r="G593" s="104" t="n"/>
      <c r="H593" s="102" t="n"/>
      <c r="I593" s="105" t="n"/>
      <c r="J593" s="105" t="n"/>
      <c r="K593" s="103" t="n"/>
      <c r="L593" s="103" t="n"/>
      <c r="M593" s="106" t="str">
        <f>IF(OR(D593="",E593=""),"",D593+IF(E593="NOTIFICAÇÃO DE CONSTATAÇÃO",PrazoConst,PrazoEsc))</f>
        <v/>
      </c>
      <c r="N593" s="107" t="str">
        <f>IF(M593="","",IF(ISNUMBER(L593),M593-L593,IF(G593="DECISÃO D.P","",M593-TODAY())))</f>
        <v/>
      </c>
      <c r="O593" s="108" t="str">
        <f>IF(B593="","",IF(ISNUMBER(L593),IF(N593="","SEM DATA",IF(N593&gt;=0,"DEFESA NO PRAZO","DEFESA FORA DO PRAZO")),IF(G593="DECISÃO D.P","SEM DEFESA",IF(G593="","SEM STATUS",IF(N593="","SEM DATA",IF(N593&lt;0,"VENCIDO",IF(N593&lt;=DiasAlerta,"VENCE EM BREVE","NO PRAZO")))))))</f>
        <v/>
      </c>
      <c r="P593" s="109" t="str">
        <f>IF(D593="","",TODAY()-D593)</f>
        <v/>
      </c>
      <c r="Q593" s="102" t="n"/>
    </row>
    <row r="594" ht="18" customHeight="1">
      <c r="A594" s="101" t="n"/>
      <c r="B594" s="102" t="n"/>
      <c r="C594" s="102" t="n"/>
      <c r="D594" s="103" t="n"/>
      <c r="E594" s="102" t="n"/>
      <c r="F594" s="104" t="n"/>
      <c r="G594" s="104" t="n"/>
      <c r="H594" s="102" t="n"/>
      <c r="I594" s="105" t="n"/>
      <c r="J594" s="105" t="n"/>
      <c r="K594" s="103" t="n"/>
      <c r="L594" s="103" t="n"/>
      <c r="M594" s="106" t="str">
        <f>IF(OR(D594="",E594=""),"",D594+IF(E594="NOTIFICAÇÃO DE CONSTATAÇÃO",PrazoConst,PrazoEsc))</f>
        <v/>
      </c>
      <c r="N594" s="107" t="str">
        <f>IF(M594="","",IF(ISNUMBER(L594),M594-L594,IF(G594="DECISÃO D.P","",M594-TODAY())))</f>
        <v/>
      </c>
      <c r="O594" s="108" t="str">
        <f>IF(B594="","",IF(ISNUMBER(L594),IF(N594="","SEM DATA",IF(N594&gt;=0,"DEFESA NO PRAZO","DEFESA FORA DO PRAZO")),IF(G594="DECISÃO D.P","SEM DEFESA",IF(G594="","SEM STATUS",IF(N594="","SEM DATA",IF(N594&lt;0,"VENCIDO",IF(N594&lt;=DiasAlerta,"VENCE EM BREVE","NO PRAZO")))))))</f>
        <v/>
      </c>
      <c r="P594" s="109" t="str">
        <f>IF(D594="","",TODAY()-D594)</f>
        <v/>
      </c>
      <c r="Q594" s="102" t="n"/>
    </row>
    <row r="595" ht="18" customHeight="1">
      <c r="A595" s="101" t="n"/>
      <c r="B595" s="102" t="n"/>
      <c r="C595" s="102" t="n"/>
      <c r="D595" s="103" t="n"/>
      <c r="E595" s="102" t="n"/>
      <c r="F595" s="104" t="n"/>
      <c r="G595" s="104" t="n"/>
      <c r="H595" s="102" t="n"/>
      <c r="I595" s="105" t="n"/>
      <c r="J595" s="105" t="n"/>
      <c r="K595" s="103" t="n"/>
      <c r="L595" s="103" t="n"/>
      <c r="M595" s="106" t="str">
        <f>IF(OR(D595="",E595=""),"",D595+IF(E595="NOTIFICAÇÃO DE CONSTATAÇÃO",PrazoConst,PrazoEsc))</f>
        <v/>
      </c>
      <c r="N595" s="107" t="str">
        <f>IF(M595="","",IF(ISNUMBER(L595),M595-L595,IF(G595="DECISÃO D.P","",M595-TODAY())))</f>
        <v/>
      </c>
      <c r="O595" s="108" t="str">
        <f>IF(B595="","",IF(ISNUMBER(L595),IF(N595="","SEM DATA",IF(N595&gt;=0,"DEFESA NO PRAZO","DEFESA FORA DO PRAZO")),IF(G595="DECISÃO D.P","SEM DEFESA",IF(G595="","SEM STATUS",IF(N595="","SEM DATA",IF(N595&lt;0,"VENCIDO",IF(N595&lt;=DiasAlerta,"VENCE EM BREVE","NO PRAZO")))))))</f>
        <v/>
      </c>
      <c r="P595" s="109" t="str">
        <f>IF(D595="","",TODAY()-D595)</f>
        <v/>
      </c>
      <c r="Q595" s="102" t="n"/>
    </row>
    <row r="596" ht="18" customHeight="1">
      <c r="A596" s="101" t="n"/>
      <c r="B596" s="102" t="n"/>
      <c r="C596" s="102" t="n"/>
      <c r="D596" s="103" t="n"/>
      <c r="E596" s="102" t="n"/>
      <c r="F596" s="104" t="n"/>
      <c r="G596" s="104" t="n"/>
      <c r="H596" s="102" t="n"/>
      <c r="I596" s="105" t="n"/>
      <c r="J596" s="105" t="n"/>
      <c r="K596" s="103" t="n"/>
      <c r="L596" s="103" t="n"/>
      <c r="M596" s="106" t="str">
        <f>IF(OR(D596="",E596=""),"",D596+IF(E596="NOTIFICAÇÃO DE CONSTATAÇÃO",PrazoConst,PrazoEsc))</f>
        <v/>
      </c>
      <c r="N596" s="107" t="str">
        <f>IF(M596="","",IF(ISNUMBER(L596),M596-L596,IF(G596="DECISÃO D.P","",M596-TODAY())))</f>
        <v/>
      </c>
      <c r="O596" s="108" t="str">
        <f>IF(B596="","",IF(ISNUMBER(L596),IF(N596="","SEM DATA",IF(N596&gt;=0,"DEFESA NO PRAZO","DEFESA FORA DO PRAZO")),IF(G596="DECISÃO D.P","SEM DEFESA",IF(G596="","SEM STATUS",IF(N596="","SEM DATA",IF(N596&lt;0,"VENCIDO",IF(N596&lt;=DiasAlerta,"VENCE EM BREVE","NO PRAZO")))))))</f>
        <v/>
      </c>
      <c r="P596" s="109" t="str">
        <f>IF(D596="","",TODAY()-D596)</f>
        <v/>
      </c>
      <c r="Q596" s="102" t="n"/>
    </row>
    <row r="597" ht="18" customHeight="1">
      <c r="A597" s="101" t="n"/>
      <c r="B597" s="102" t="n"/>
      <c r="C597" s="102" t="n"/>
      <c r="D597" s="103" t="n"/>
      <c r="E597" s="102" t="n"/>
      <c r="F597" s="104" t="n"/>
      <c r="G597" s="104" t="n"/>
      <c r="H597" s="102" t="n"/>
      <c r="I597" s="105" t="n"/>
      <c r="J597" s="105" t="n"/>
      <c r="K597" s="103" t="n"/>
      <c r="L597" s="103" t="n"/>
      <c r="M597" s="106" t="str">
        <f>IF(OR(D597="",E597=""),"",D597+IF(E597="NOTIFICAÇÃO DE CONSTATAÇÃO",PrazoConst,PrazoEsc))</f>
        <v/>
      </c>
      <c r="N597" s="107" t="str">
        <f>IF(M597="","",IF(ISNUMBER(L597),M597-L597,IF(G597="DECISÃO D.P","",M597-TODAY())))</f>
        <v/>
      </c>
      <c r="O597" s="108" t="str">
        <f>IF(B597="","",IF(ISNUMBER(L597),IF(N597="","SEM DATA",IF(N597&gt;=0,"DEFESA NO PRAZO","DEFESA FORA DO PRAZO")),IF(G597="DECISÃO D.P","SEM DEFESA",IF(G597="","SEM STATUS",IF(N597="","SEM DATA",IF(N597&lt;0,"VENCIDO",IF(N597&lt;=DiasAlerta,"VENCE EM BREVE","NO PRAZO")))))))</f>
        <v/>
      </c>
      <c r="P597" s="109" t="str">
        <f>IF(D597="","",TODAY()-D597)</f>
        <v/>
      </c>
      <c r="Q597" s="102" t="n"/>
    </row>
    <row r="598" ht="18" customHeight="1">
      <c r="A598" s="101" t="n"/>
      <c r="B598" s="102" t="n"/>
      <c r="C598" s="102" t="n"/>
      <c r="D598" s="103" t="n"/>
      <c r="E598" s="102" t="n"/>
      <c r="F598" s="104" t="n"/>
      <c r="G598" s="104" t="n"/>
      <c r="H598" s="102" t="n"/>
      <c r="I598" s="105" t="n"/>
      <c r="J598" s="105" t="n"/>
      <c r="K598" s="103" t="n"/>
      <c r="L598" s="103" t="n"/>
      <c r="M598" s="106" t="str">
        <f>IF(OR(D598="",E598=""),"",D598+IF(E598="NOTIFICAÇÃO DE CONSTATAÇÃO",PrazoConst,PrazoEsc))</f>
        <v/>
      </c>
      <c r="N598" s="107" t="str">
        <f>IF(M598="","",IF(ISNUMBER(L598),M598-L598,IF(G598="DECISÃO D.P","",M598-TODAY())))</f>
        <v/>
      </c>
      <c r="O598" s="108" t="str">
        <f>IF(B598="","",IF(ISNUMBER(L598),IF(N598="","SEM DATA",IF(N598&gt;=0,"DEFESA NO PRAZO","DEFESA FORA DO PRAZO")),IF(G598="DECISÃO D.P","SEM DEFESA",IF(G598="","SEM STATUS",IF(N598="","SEM DATA",IF(N598&lt;0,"VENCIDO",IF(N598&lt;=DiasAlerta,"VENCE EM BREVE","NO PRAZO")))))))</f>
        <v/>
      </c>
      <c r="P598" s="109" t="str">
        <f>IF(D598="","",TODAY()-D598)</f>
        <v/>
      </c>
      <c r="Q598" s="102" t="n"/>
    </row>
    <row r="599" ht="18" customHeight="1">
      <c r="A599" s="101" t="n"/>
      <c r="B599" s="102" t="n"/>
      <c r="C599" s="102" t="n"/>
      <c r="D599" s="103" t="n"/>
      <c r="E599" s="102" t="n"/>
      <c r="F599" s="104" t="n"/>
      <c r="G599" s="104" t="n"/>
      <c r="H599" s="102" t="n"/>
      <c r="I599" s="105" t="n"/>
      <c r="J599" s="105" t="n"/>
      <c r="K599" s="103" t="n"/>
      <c r="L599" s="103" t="n"/>
      <c r="M599" s="106" t="str">
        <f>IF(OR(D599="",E599=""),"",D599+IF(E599="NOTIFICAÇÃO DE CONSTATAÇÃO",PrazoConst,PrazoEsc))</f>
        <v/>
      </c>
      <c r="N599" s="107" t="str">
        <f>IF(M599="","",IF(ISNUMBER(L599),M599-L599,IF(G599="DECISÃO D.P","",M599-TODAY())))</f>
        <v/>
      </c>
      <c r="O599" s="108" t="str">
        <f>IF(B599="","",IF(ISNUMBER(L599),IF(N599="","SEM DATA",IF(N599&gt;=0,"DEFESA NO PRAZO","DEFESA FORA DO PRAZO")),IF(G599="DECISÃO D.P","SEM DEFESA",IF(G599="","SEM STATUS",IF(N599="","SEM DATA",IF(N599&lt;0,"VENCIDO",IF(N599&lt;=DiasAlerta,"VENCE EM BREVE","NO PRAZO")))))))</f>
        <v/>
      </c>
      <c r="P599" s="109" t="str">
        <f>IF(D599="","",TODAY()-D599)</f>
        <v/>
      </c>
      <c r="Q599" s="102" t="n"/>
    </row>
    <row r="600" ht="18" customHeight="1">
      <c r="A600" s="101" t="n"/>
      <c r="B600" s="102" t="n"/>
      <c r="C600" s="102" t="n"/>
      <c r="D600" s="103" t="n"/>
      <c r="E600" s="102" t="n"/>
      <c r="F600" s="104" t="n"/>
      <c r="G600" s="104" t="n"/>
      <c r="H600" s="102" t="n"/>
      <c r="I600" s="105" t="n"/>
      <c r="J600" s="105" t="n"/>
      <c r="K600" s="103" t="n"/>
      <c r="L600" s="103" t="n"/>
      <c r="M600" s="106" t="str">
        <f>IF(OR(D600="",E600=""),"",D600+IF(E600="NOTIFICAÇÃO DE CONSTATAÇÃO",PrazoConst,PrazoEsc))</f>
        <v/>
      </c>
      <c r="N600" s="107" t="str">
        <f>IF(M600="","",IF(ISNUMBER(L600),M600-L600,IF(G600="DECISÃO D.P","",M600-TODAY())))</f>
        <v/>
      </c>
      <c r="O600" s="108" t="str">
        <f>IF(B600="","",IF(ISNUMBER(L600),IF(N600="","SEM DATA",IF(N600&gt;=0,"DEFESA NO PRAZO","DEFESA FORA DO PRAZO")),IF(G600="DECISÃO D.P","SEM DEFESA",IF(G600="","SEM STATUS",IF(N600="","SEM DATA",IF(N600&lt;0,"VENCIDO",IF(N600&lt;=DiasAlerta,"VENCE EM BREVE","NO PRAZO")))))))</f>
        <v/>
      </c>
      <c r="P600" s="109" t="str">
        <f>IF(D600="","",TODAY()-D600)</f>
        <v/>
      </c>
      <c r="Q600" s="102" t="n"/>
    </row>
    <row r="601" ht="18" customHeight="1">
      <c r="A601" s="101" t="n"/>
      <c r="B601" s="102" t="n"/>
      <c r="C601" s="102" t="n"/>
      <c r="D601" s="103" t="n"/>
      <c r="E601" s="102" t="n"/>
      <c r="F601" s="104" t="n"/>
      <c r="G601" s="104" t="n"/>
      <c r="H601" s="102" t="n"/>
      <c r="I601" s="105" t="n"/>
      <c r="J601" s="105" t="n"/>
      <c r="K601" s="103" t="n"/>
      <c r="L601" s="103" t="n"/>
      <c r="M601" s="106" t="str">
        <f>IF(OR(D601="",E601=""),"",D601+IF(E601="NOTIFICAÇÃO DE CONSTATAÇÃO",PrazoConst,PrazoEsc))</f>
        <v/>
      </c>
      <c r="N601" s="107" t="str">
        <f>IF(M601="","",IF(ISNUMBER(L601),M601-L601,IF(G601="DECISÃO D.P","",M601-TODAY())))</f>
        <v/>
      </c>
      <c r="O601" s="108" t="str">
        <f>IF(B601="","",IF(ISNUMBER(L601),IF(N601="","SEM DATA",IF(N601&gt;=0,"DEFESA NO PRAZO","DEFESA FORA DO PRAZO")),IF(G601="DECISÃO D.P","SEM DEFESA",IF(G601="","SEM STATUS",IF(N601="","SEM DATA",IF(N601&lt;0,"VENCIDO",IF(N601&lt;=DiasAlerta,"VENCE EM BREVE","NO PRAZO")))))))</f>
        <v/>
      </c>
      <c r="P601" s="109" t="str">
        <f>IF(D601="","",TODAY()-D601)</f>
        <v/>
      </c>
      <c r="Q601" s="102" t="n"/>
    </row>
    <row r="602" ht="18" customHeight="1">
      <c r="A602" s="101" t="n"/>
      <c r="B602" s="102" t="n"/>
      <c r="C602" s="102" t="n"/>
      <c r="D602" s="103" t="n"/>
      <c r="E602" s="102" t="n"/>
      <c r="F602" s="104" t="n"/>
      <c r="G602" s="104" t="n"/>
      <c r="H602" s="102" t="n"/>
      <c r="I602" s="105" t="n"/>
      <c r="J602" s="105" t="n"/>
      <c r="K602" s="103" t="n"/>
      <c r="L602" s="103" t="n"/>
      <c r="M602" s="106" t="str">
        <f>IF(OR(D602="",E602=""),"",D602+IF(E602="NOTIFICAÇÃO DE CONSTATAÇÃO",PrazoConst,PrazoEsc))</f>
        <v/>
      </c>
      <c r="N602" s="107" t="str">
        <f>IF(M602="","",IF(ISNUMBER(L602),M602-L602,IF(G602="DECISÃO D.P","",M602-TODAY())))</f>
        <v/>
      </c>
      <c r="O602" s="108" t="str">
        <f>IF(B602="","",IF(ISNUMBER(L602),IF(N602="","SEM DATA",IF(N602&gt;=0,"DEFESA NO PRAZO","DEFESA FORA DO PRAZO")),IF(G602="DECISÃO D.P","SEM DEFESA",IF(G602="","SEM STATUS",IF(N602="","SEM DATA",IF(N602&lt;0,"VENCIDO",IF(N602&lt;=DiasAlerta,"VENCE EM BREVE","NO PRAZO")))))))</f>
        <v/>
      </c>
      <c r="P602" s="109" t="str">
        <f>IF(D602="","",TODAY()-D602)</f>
        <v/>
      </c>
      <c r="Q602" s="102" t="n"/>
    </row>
    <row r="603" ht="18" customHeight="1">
      <c r="A603" s="101" t="n"/>
      <c r="B603" s="102" t="n"/>
      <c r="C603" s="102" t="n"/>
      <c r="D603" s="103" t="n"/>
      <c r="E603" s="102" t="n"/>
      <c r="F603" s="104" t="n"/>
      <c r="G603" s="104" t="n"/>
      <c r="H603" s="102" t="n"/>
      <c r="I603" s="105" t="n"/>
      <c r="J603" s="105" t="n"/>
      <c r="K603" s="103" t="n"/>
      <c r="L603" s="103" t="n"/>
      <c r="M603" s="106" t="str">
        <f>IF(OR(D603="",E603=""),"",D603+IF(E603="NOTIFICAÇÃO DE CONSTATAÇÃO",PrazoConst,PrazoEsc))</f>
        <v/>
      </c>
      <c r="N603" s="107" t="str">
        <f>IF(M603="","",IF(ISNUMBER(L603),M603-L603,IF(G603="DECISÃO D.P","",M603-TODAY())))</f>
        <v/>
      </c>
      <c r="O603" s="108" t="str">
        <f>IF(B603="","",IF(ISNUMBER(L603),IF(N603="","SEM DATA",IF(N603&gt;=0,"DEFESA NO PRAZO","DEFESA FORA DO PRAZO")),IF(G603="DECISÃO D.P","SEM DEFESA",IF(G603="","SEM STATUS",IF(N603="","SEM DATA",IF(N603&lt;0,"VENCIDO",IF(N603&lt;=DiasAlerta,"VENCE EM BREVE","NO PRAZO")))))))</f>
        <v/>
      </c>
      <c r="P603" s="109" t="str">
        <f>IF(D603="","",TODAY()-D603)</f>
        <v/>
      </c>
      <c r="Q603" s="102" t="n"/>
    </row>
    <row r="604" ht="18" customHeight="1">
      <c r="A604" s="101" t="n"/>
      <c r="B604" s="102" t="n"/>
      <c r="C604" s="102" t="n"/>
      <c r="D604" s="103" t="n"/>
      <c r="E604" s="102" t="n"/>
      <c r="F604" s="104" t="n"/>
      <c r="G604" s="104" t="n"/>
      <c r="H604" s="102" t="n"/>
      <c r="I604" s="105" t="n"/>
      <c r="J604" s="105" t="n"/>
      <c r="K604" s="103" t="n"/>
      <c r="L604" s="103" t="n"/>
      <c r="M604" s="106" t="str">
        <f>IF(OR(D604="",E604=""),"",D604+IF(E604="NOTIFICAÇÃO DE CONSTATAÇÃO",PrazoConst,PrazoEsc))</f>
        <v/>
      </c>
      <c r="N604" s="107" t="str">
        <f>IF(M604="","",IF(ISNUMBER(L604),M604-L604,IF(G604="DECISÃO D.P","",M604-TODAY())))</f>
        <v/>
      </c>
      <c r="O604" s="108" t="str">
        <f>IF(B604="","",IF(ISNUMBER(L604),IF(N604="","SEM DATA",IF(N604&gt;=0,"DEFESA NO PRAZO","DEFESA FORA DO PRAZO")),IF(G604="DECISÃO D.P","SEM DEFESA",IF(G604="","SEM STATUS",IF(N604="","SEM DATA",IF(N604&lt;0,"VENCIDO",IF(N604&lt;=DiasAlerta,"VENCE EM BREVE","NO PRAZO")))))))</f>
        <v/>
      </c>
      <c r="P604" s="109" t="str">
        <f>IF(D604="","",TODAY()-D604)</f>
        <v/>
      </c>
      <c r="Q604" s="102" t="n"/>
    </row>
    <row r="605" ht="18" customHeight="1">
      <c r="A605" s="101" t="n"/>
      <c r="B605" s="102" t="n"/>
      <c r="C605" s="102" t="n"/>
      <c r="D605" s="103" t="n"/>
      <c r="E605" s="102" t="n"/>
      <c r="F605" s="104" t="n"/>
      <c r="G605" s="104" t="n"/>
      <c r="H605" s="102" t="n"/>
      <c r="I605" s="105" t="n"/>
      <c r="J605" s="105" t="n"/>
      <c r="K605" s="103" t="n"/>
      <c r="L605" s="103" t="n"/>
      <c r="M605" s="106" t="str">
        <f>IF(OR(D605="",E605=""),"",D605+IF(E605="NOTIFICAÇÃO DE CONSTATAÇÃO",PrazoConst,PrazoEsc))</f>
        <v/>
      </c>
      <c r="N605" s="107" t="str">
        <f>IF(M605="","",IF(ISNUMBER(L605),M605-L605,IF(G605="DECISÃO D.P","",M605-TODAY())))</f>
        <v/>
      </c>
      <c r="O605" s="108" t="str">
        <f>IF(B605="","",IF(ISNUMBER(L605),IF(N605="","SEM DATA",IF(N605&gt;=0,"DEFESA NO PRAZO","DEFESA FORA DO PRAZO")),IF(G605="DECISÃO D.P","SEM DEFESA",IF(G605="","SEM STATUS",IF(N605="","SEM DATA",IF(N605&lt;0,"VENCIDO",IF(N605&lt;=DiasAlerta,"VENCE EM BREVE","NO PRAZO")))))))</f>
        <v/>
      </c>
      <c r="P605" s="109" t="str">
        <f>IF(D605="","",TODAY()-D605)</f>
        <v/>
      </c>
      <c r="Q605" s="102" t="n"/>
    </row>
    <row r="606" ht="18" customHeight="1">
      <c r="A606" s="101" t="n"/>
      <c r="B606" s="102" t="n"/>
      <c r="C606" s="102" t="n"/>
      <c r="D606" s="103" t="n"/>
      <c r="E606" s="102" t="n"/>
      <c r="F606" s="104" t="n"/>
      <c r="G606" s="104" t="n"/>
      <c r="H606" s="102" t="n"/>
      <c r="I606" s="105" t="n"/>
      <c r="J606" s="105" t="n"/>
      <c r="K606" s="103" t="n"/>
      <c r="L606" s="103" t="n"/>
      <c r="M606" s="106" t="str">
        <f>IF(OR(D606="",E606=""),"",D606+IF(E606="NOTIFICAÇÃO DE CONSTATAÇÃO",PrazoConst,PrazoEsc))</f>
        <v/>
      </c>
      <c r="N606" s="107" t="str">
        <f>IF(M606="","",IF(ISNUMBER(L606),M606-L606,IF(G606="DECISÃO D.P","",M606-TODAY())))</f>
        <v/>
      </c>
      <c r="O606" s="108" t="str">
        <f>IF(B606="","",IF(ISNUMBER(L606),IF(N606="","SEM DATA",IF(N606&gt;=0,"DEFESA NO PRAZO","DEFESA FORA DO PRAZO")),IF(G606="DECISÃO D.P","SEM DEFESA",IF(G606="","SEM STATUS",IF(N606="","SEM DATA",IF(N606&lt;0,"VENCIDO",IF(N606&lt;=DiasAlerta,"VENCE EM BREVE","NO PRAZO")))))))</f>
        <v/>
      </c>
      <c r="P606" s="109" t="str">
        <f>IF(D606="","",TODAY()-D606)</f>
        <v/>
      </c>
      <c r="Q606" s="102" t="n"/>
    </row>
    <row r="607" ht="18" customHeight="1">
      <c r="A607" s="101" t="n"/>
      <c r="B607" s="102" t="n"/>
      <c r="C607" s="102" t="n"/>
      <c r="D607" s="103" t="n"/>
      <c r="E607" s="102" t="n"/>
      <c r="F607" s="104" t="n"/>
      <c r="G607" s="104" t="n"/>
      <c r="H607" s="102" t="n"/>
      <c r="I607" s="105" t="n"/>
      <c r="J607" s="105" t="n"/>
      <c r="K607" s="103" t="n"/>
      <c r="L607" s="103" t="n"/>
      <c r="M607" s="106" t="str">
        <f>IF(OR(D607="",E607=""),"",D607+IF(E607="NOTIFICAÇÃO DE CONSTATAÇÃO",PrazoConst,PrazoEsc))</f>
        <v/>
      </c>
      <c r="N607" s="107" t="str">
        <f>IF(M607="","",IF(ISNUMBER(L607),M607-L607,IF(G607="DECISÃO D.P","",M607-TODAY())))</f>
        <v/>
      </c>
      <c r="O607" s="108" t="str">
        <f>IF(B607="","",IF(ISNUMBER(L607),IF(N607="","SEM DATA",IF(N607&gt;=0,"DEFESA NO PRAZO","DEFESA FORA DO PRAZO")),IF(G607="DECISÃO D.P","SEM DEFESA",IF(G607="","SEM STATUS",IF(N607="","SEM DATA",IF(N607&lt;0,"VENCIDO",IF(N607&lt;=DiasAlerta,"VENCE EM BREVE","NO PRAZO")))))))</f>
        <v/>
      </c>
      <c r="P607" s="109" t="str">
        <f>IF(D607="","",TODAY()-D607)</f>
        <v/>
      </c>
      <c r="Q607" s="102" t="n"/>
    </row>
    <row r="608" ht="18" customHeight="1">
      <c r="A608" s="101" t="n"/>
      <c r="B608" s="102" t="n"/>
      <c r="C608" s="102" t="n"/>
      <c r="D608" s="103" t="n"/>
      <c r="E608" s="102" t="n"/>
      <c r="F608" s="104" t="n"/>
      <c r="G608" s="104" t="n"/>
      <c r="H608" s="102" t="n"/>
      <c r="I608" s="105" t="n"/>
      <c r="J608" s="105" t="n"/>
      <c r="K608" s="103" t="n"/>
      <c r="L608" s="103" t="n"/>
      <c r="M608" s="106" t="str">
        <f>IF(OR(D608="",E608=""),"",D608+IF(E608="NOTIFICAÇÃO DE CONSTATAÇÃO",PrazoConst,PrazoEsc))</f>
        <v/>
      </c>
      <c r="N608" s="107" t="str">
        <f>IF(M608="","",IF(ISNUMBER(L608),M608-L608,IF(G608="DECISÃO D.P","",M608-TODAY())))</f>
        <v/>
      </c>
      <c r="O608" s="108" t="str">
        <f>IF(B608="","",IF(ISNUMBER(L608),IF(N608="","SEM DATA",IF(N608&gt;=0,"DEFESA NO PRAZO","DEFESA FORA DO PRAZO")),IF(G608="DECISÃO D.P","SEM DEFESA",IF(G608="","SEM STATUS",IF(N608="","SEM DATA",IF(N608&lt;0,"VENCIDO",IF(N608&lt;=DiasAlerta,"VENCE EM BREVE","NO PRAZO")))))))</f>
        <v/>
      </c>
      <c r="P608" s="109" t="str">
        <f>IF(D608="","",TODAY()-D608)</f>
        <v/>
      </c>
      <c r="Q608" s="102" t="n"/>
    </row>
    <row r="609" ht="18" customHeight="1">
      <c r="A609" s="101" t="n"/>
      <c r="B609" s="102" t="n"/>
      <c r="C609" s="102" t="n"/>
      <c r="D609" s="103" t="n"/>
      <c r="E609" s="102" t="n"/>
      <c r="F609" s="104" t="n"/>
      <c r="G609" s="104" t="n"/>
      <c r="H609" s="102" t="n"/>
      <c r="I609" s="105" t="n"/>
      <c r="J609" s="105" t="n"/>
      <c r="K609" s="103" t="n"/>
      <c r="L609" s="103" t="n"/>
      <c r="M609" s="106" t="str">
        <f>IF(OR(D609="",E609=""),"",D609+IF(E609="NOTIFICAÇÃO DE CONSTATAÇÃO",PrazoConst,PrazoEsc))</f>
        <v/>
      </c>
      <c r="N609" s="107" t="str">
        <f>IF(M609="","",IF(ISNUMBER(L609),M609-L609,IF(G609="DECISÃO D.P","",M609-TODAY())))</f>
        <v/>
      </c>
      <c r="O609" s="108" t="str">
        <f>IF(B609="","",IF(ISNUMBER(L609),IF(N609="","SEM DATA",IF(N609&gt;=0,"DEFESA NO PRAZO","DEFESA FORA DO PRAZO")),IF(G609="DECISÃO D.P","SEM DEFESA",IF(G609="","SEM STATUS",IF(N609="","SEM DATA",IF(N609&lt;0,"VENCIDO",IF(N609&lt;=DiasAlerta,"VENCE EM BREVE","NO PRAZO")))))))</f>
        <v/>
      </c>
      <c r="P609" s="109" t="str">
        <f>IF(D609="","",TODAY()-D609)</f>
        <v/>
      </c>
      <c r="Q609" s="102" t="n"/>
    </row>
    <row r="610" ht="18" customHeight="1">
      <c r="A610" s="101" t="n"/>
      <c r="B610" s="102" t="n"/>
      <c r="C610" s="102" t="n"/>
      <c r="D610" s="103" t="n"/>
      <c r="E610" s="102" t="n"/>
      <c r="F610" s="104" t="n"/>
      <c r="G610" s="104" t="n"/>
      <c r="H610" s="102" t="n"/>
      <c r="I610" s="105" t="n"/>
      <c r="J610" s="105" t="n"/>
      <c r="K610" s="103" t="n"/>
      <c r="L610" s="103" t="n"/>
      <c r="M610" s="106" t="str">
        <f>IF(OR(D610="",E610=""),"",D610+IF(E610="NOTIFICAÇÃO DE CONSTATAÇÃO",PrazoConst,PrazoEsc))</f>
        <v/>
      </c>
      <c r="N610" s="107" t="str">
        <f>IF(M610="","",IF(ISNUMBER(L610),M610-L610,IF(G610="DECISÃO D.P","",M610-TODAY())))</f>
        <v/>
      </c>
      <c r="O610" s="108" t="str">
        <f>IF(B610="","",IF(ISNUMBER(L610),IF(N610="","SEM DATA",IF(N610&gt;=0,"DEFESA NO PRAZO","DEFESA FORA DO PRAZO")),IF(G610="DECISÃO D.P","SEM DEFESA",IF(G610="","SEM STATUS",IF(N610="","SEM DATA",IF(N610&lt;0,"VENCIDO",IF(N610&lt;=DiasAlerta,"VENCE EM BREVE","NO PRAZO")))))))</f>
        <v/>
      </c>
      <c r="P610" s="109" t="str">
        <f>IF(D610="","",TODAY()-D610)</f>
        <v/>
      </c>
      <c r="Q610" s="102" t="n"/>
    </row>
    <row r="611" ht="18" customHeight="1">
      <c r="A611" s="101" t="n"/>
      <c r="B611" s="102" t="n"/>
      <c r="C611" s="102" t="n"/>
      <c r="D611" s="103" t="n"/>
      <c r="E611" s="102" t="n"/>
      <c r="F611" s="104" t="n"/>
      <c r="G611" s="104" t="n"/>
      <c r="H611" s="102" t="n"/>
      <c r="I611" s="105" t="n"/>
      <c r="J611" s="105" t="n"/>
      <c r="K611" s="103" t="n"/>
      <c r="L611" s="103" t="n"/>
      <c r="M611" s="106" t="str">
        <f>IF(OR(D611="",E611=""),"",D611+IF(E611="NOTIFICAÇÃO DE CONSTATAÇÃO",PrazoConst,PrazoEsc))</f>
        <v/>
      </c>
      <c r="N611" s="107" t="str">
        <f>IF(M611="","",IF(ISNUMBER(L611),M611-L611,IF(G611="DECISÃO D.P","",M611-TODAY())))</f>
        <v/>
      </c>
      <c r="O611" s="108" t="str">
        <f>IF(B611="","",IF(ISNUMBER(L611),IF(N611="","SEM DATA",IF(N611&gt;=0,"DEFESA NO PRAZO","DEFESA FORA DO PRAZO")),IF(G611="DECISÃO D.P","SEM DEFESA",IF(G611="","SEM STATUS",IF(N611="","SEM DATA",IF(N611&lt;0,"VENCIDO",IF(N611&lt;=DiasAlerta,"VENCE EM BREVE","NO PRAZO")))))))</f>
        <v/>
      </c>
      <c r="P611" s="109" t="str">
        <f>IF(D611="","",TODAY()-D611)</f>
        <v/>
      </c>
      <c r="Q611" s="102" t="n"/>
    </row>
    <row r="612" ht="18" customHeight="1">
      <c r="A612" s="101" t="n"/>
      <c r="B612" s="102" t="n"/>
      <c r="C612" s="102" t="n"/>
      <c r="D612" s="103" t="n"/>
      <c r="E612" s="102" t="n"/>
      <c r="F612" s="104" t="n"/>
      <c r="G612" s="104" t="n"/>
      <c r="H612" s="102" t="n"/>
      <c r="I612" s="105" t="n"/>
      <c r="J612" s="105" t="n"/>
      <c r="K612" s="103" t="n"/>
      <c r="L612" s="103" t="n"/>
      <c r="M612" s="106" t="str">
        <f>IF(OR(D612="",E612=""),"",D612+IF(E612="NOTIFICAÇÃO DE CONSTATAÇÃO",PrazoConst,PrazoEsc))</f>
        <v/>
      </c>
      <c r="N612" s="107" t="str">
        <f>IF(M612="","",IF(ISNUMBER(L612),M612-L612,IF(G612="DECISÃO D.P","",M612-TODAY())))</f>
        <v/>
      </c>
      <c r="O612" s="108" t="str">
        <f>IF(B612="","",IF(ISNUMBER(L612),IF(N612="","SEM DATA",IF(N612&gt;=0,"DEFESA NO PRAZO","DEFESA FORA DO PRAZO")),IF(G612="DECISÃO D.P","SEM DEFESA",IF(G612="","SEM STATUS",IF(N612="","SEM DATA",IF(N612&lt;0,"VENCIDO",IF(N612&lt;=DiasAlerta,"VENCE EM BREVE","NO PRAZO")))))))</f>
        <v/>
      </c>
      <c r="P612" s="109" t="str">
        <f>IF(D612="","",TODAY()-D612)</f>
        <v/>
      </c>
      <c r="Q612" s="102" t="n"/>
    </row>
    <row r="613" ht="18" customHeight="1">
      <c r="A613" s="101" t="n"/>
      <c r="B613" s="102" t="n"/>
      <c r="C613" s="102" t="n"/>
      <c r="D613" s="103" t="n"/>
      <c r="E613" s="102" t="n"/>
      <c r="F613" s="104" t="n"/>
      <c r="G613" s="104" t="n"/>
      <c r="H613" s="102" t="n"/>
      <c r="I613" s="105" t="n"/>
      <c r="J613" s="105" t="n"/>
      <c r="K613" s="103" t="n"/>
      <c r="L613" s="103" t="n"/>
      <c r="M613" s="106" t="str">
        <f>IF(OR(D613="",E613=""),"",D613+IF(E613="NOTIFICAÇÃO DE CONSTATAÇÃO",PrazoConst,PrazoEsc))</f>
        <v/>
      </c>
      <c r="N613" s="107" t="str">
        <f>IF(M613="","",IF(ISNUMBER(L613),M613-L613,IF(G613="DECISÃO D.P","",M613-TODAY())))</f>
        <v/>
      </c>
      <c r="O613" s="108" t="str">
        <f>IF(B613="","",IF(ISNUMBER(L613),IF(N613="","SEM DATA",IF(N613&gt;=0,"DEFESA NO PRAZO","DEFESA FORA DO PRAZO")),IF(G613="DECISÃO D.P","SEM DEFESA",IF(G613="","SEM STATUS",IF(N613="","SEM DATA",IF(N613&lt;0,"VENCIDO",IF(N613&lt;=DiasAlerta,"VENCE EM BREVE","NO PRAZO")))))))</f>
        <v/>
      </c>
      <c r="P613" s="109" t="str">
        <f>IF(D613="","",TODAY()-D613)</f>
        <v/>
      </c>
      <c r="Q613" s="102" t="n"/>
    </row>
    <row r="614" ht="18" customHeight="1">
      <c r="A614" s="101" t="n"/>
      <c r="B614" s="102" t="n"/>
      <c r="C614" s="102" t="n"/>
      <c r="D614" s="103" t="n"/>
      <c r="E614" s="102" t="n"/>
      <c r="F614" s="104" t="n"/>
      <c r="G614" s="104" t="n"/>
      <c r="H614" s="102" t="n"/>
      <c r="I614" s="105" t="n"/>
      <c r="J614" s="105" t="n"/>
      <c r="K614" s="103" t="n"/>
      <c r="L614" s="103" t="n"/>
      <c r="M614" s="106" t="str">
        <f>IF(OR(D614="",E614=""),"",D614+IF(E614="NOTIFICAÇÃO DE CONSTATAÇÃO",PrazoConst,PrazoEsc))</f>
        <v/>
      </c>
      <c r="N614" s="107" t="str">
        <f>IF(M614="","",IF(ISNUMBER(L614),M614-L614,IF(G614="DECISÃO D.P","",M614-TODAY())))</f>
        <v/>
      </c>
      <c r="O614" s="108" t="str">
        <f>IF(B614="","",IF(ISNUMBER(L614),IF(N614="","SEM DATA",IF(N614&gt;=0,"DEFESA NO PRAZO","DEFESA FORA DO PRAZO")),IF(G614="DECISÃO D.P","SEM DEFESA",IF(G614="","SEM STATUS",IF(N614="","SEM DATA",IF(N614&lt;0,"VENCIDO",IF(N614&lt;=DiasAlerta,"VENCE EM BREVE","NO PRAZO")))))))</f>
        <v/>
      </c>
      <c r="P614" s="109" t="str">
        <f>IF(D614="","",TODAY()-D614)</f>
        <v/>
      </c>
      <c r="Q614" s="102" t="n"/>
    </row>
    <row r="615" ht="18" customHeight="1">
      <c r="A615" s="101" t="n"/>
      <c r="B615" s="102" t="n"/>
      <c r="C615" s="102" t="n"/>
      <c r="D615" s="103" t="n"/>
      <c r="E615" s="102" t="n"/>
      <c r="F615" s="104" t="n"/>
      <c r="G615" s="104" t="n"/>
      <c r="H615" s="102" t="n"/>
      <c r="I615" s="105" t="n"/>
      <c r="J615" s="105" t="n"/>
      <c r="K615" s="103" t="n"/>
      <c r="L615" s="103" t="n"/>
      <c r="M615" s="106" t="str">
        <f>IF(OR(D615="",E615=""),"",D615+IF(E615="NOTIFICAÇÃO DE CONSTATAÇÃO",PrazoConst,PrazoEsc))</f>
        <v/>
      </c>
      <c r="N615" s="107" t="str">
        <f>IF(M615="","",IF(ISNUMBER(L615),M615-L615,IF(G615="DECISÃO D.P","",M615-TODAY())))</f>
        <v/>
      </c>
      <c r="O615" s="108" t="str">
        <f>IF(B615="","",IF(ISNUMBER(L615),IF(N615="","SEM DATA",IF(N615&gt;=0,"DEFESA NO PRAZO","DEFESA FORA DO PRAZO")),IF(G615="DECISÃO D.P","SEM DEFESA",IF(G615="","SEM STATUS",IF(N615="","SEM DATA",IF(N615&lt;0,"VENCIDO",IF(N615&lt;=DiasAlerta,"VENCE EM BREVE","NO PRAZO")))))))</f>
        <v/>
      </c>
      <c r="P615" s="109" t="str">
        <f>IF(D615="","",TODAY()-D615)</f>
        <v/>
      </c>
      <c r="Q615" s="102" t="n"/>
    </row>
    <row r="616" ht="18" customHeight="1">
      <c r="A616" s="101" t="n"/>
      <c r="B616" s="102" t="n"/>
      <c r="C616" s="102" t="n"/>
      <c r="D616" s="103" t="n"/>
      <c r="E616" s="102" t="n"/>
      <c r="F616" s="104" t="n"/>
      <c r="G616" s="104" t="n"/>
      <c r="H616" s="102" t="n"/>
      <c r="I616" s="105" t="n"/>
      <c r="J616" s="105" t="n"/>
      <c r="K616" s="103" t="n"/>
      <c r="L616" s="103" t="n"/>
      <c r="M616" s="106" t="str">
        <f>IF(OR(D616="",E616=""),"",D616+IF(E616="NOTIFICAÇÃO DE CONSTATAÇÃO",PrazoConst,PrazoEsc))</f>
        <v/>
      </c>
      <c r="N616" s="107" t="str">
        <f>IF(M616="","",IF(ISNUMBER(L616),M616-L616,IF(G616="DECISÃO D.P","",M616-TODAY())))</f>
        <v/>
      </c>
      <c r="O616" s="108" t="str">
        <f>IF(B616="","",IF(ISNUMBER(L616),IF(N616="","SEM DATA",IF(N616&gt;=0,"DEFESA NO PRAZO","DEFESA FORA DO PRAZO")),IF(G616="DECISÃO D.P","SEM DEFESA",IF(G616="","SEM STATUS",IF(N616="","SEM DATA",IF(N616&lt;0,"VENCIDO",IF(N616&lt;=DiasAlerta,"VENCE EM BREVE","NO PRAZO")))))))</f>
        <v/>
      </c>
      <c r="P616" s="109" t="str">
        <f>IF(D616="","",TODAY()-D616)</f>
        <v/>
      </c>
      <c r="Q616" s="102" t="n"/>
    </row>
    <row r="617" ht="18" customHeight="1">
      <c r="A617" s="101" t="n"/>
      <c r="B617" s="102" t="n"/>
      <c r="C617" s="102" t="n"/>
      <c r="D617" s="103" t="n"/>
      <c r="E617" s="102" t="n"/>
      <c r="F617" s="104" t="n"/>
      <c r="G617" s="104" t="n"/>
      <c r="H617" s="102" t="n"/>
      <c r="I617" s="105" t="n"/>
      <c r="J617" s="105" t="n"/>
      <c r="K617" s="103" t="n"/>
      <c r="L617" s="103" t="n"/>
      <c r="M617" s="106" t="str">
        <f>IF(OR(D617="",E617=""),"",D617+IF(E617="NOTIFICAÇÃO DE CONSTATAÇÃO",PrazoConst,PrazoEsc))</f>
        <v/>
      </c>
      <c r="N617" s="107" t="str">
        <f>IF(M617="","",IF(ISNUMBER(L617),M617-L617,IF(G617="DECISÃO D.P","",M617-TODAY())))</f>
        <v/>
      </c>
      <c r="O617" s="108" t="str">
        <f>IF(B617="","",IF(ISNUMBER(L617),IF(N617="","SEM DATA",IF(N617&gt;=0,"DEFESA NO PRAZO","DEFESA FORA DO PRAZO")),IF(G617="DECISÃO D.P","SEM DEFESA",IF(G617="","SEM STATUS",IF(N617="","SEM DATA",IF(N617&lt;0,"VENCIDO",IF(N617&lt;=DiasAlerta,"VENCE EM BREVE","NO PRAZO")))))))</f>
        <v/>
      </c>
      <c r="P617" s="109" t="str">
        <f>IF(D617="","",TODAY()-D617)</f>
        <v/>
      </c>
      <c r="Q617" s="102" t="n"/>
    </row>
    <row r="618" ht="18" customHeight="1">
      <c r="A618" s="101" t="n"/>
      <c r="B618" s="102" t="n"/>
      <c r="C618" s="102" t="n"/>
      <c r="D618" s="103" t="n"/>
      <c r="E618" s="102" t="n"/>
      <c r="F618" s="104" t="n"/>
      <c r="G618" s="104" t="n"/>
      <c r="H618" s="102" t="n"/>
      <c r="I618" s="105" t="n"/>
      <c r="J618" s="105" t="n"/>
      <c r="K618" s="103" t="n"/>
      <c r="L618" s="103" t="n"/>
      <c r="M618" s="106" t="str">
        <f>IF(OR(D618="",E618=""),"",D618+IF(E618="NOTIFICAÇÃO DE CONSTATAÇÃO",PrazoConst,PrazoEsc))</f>
        <v/>
      </c>
      <c r="N618" s="107" t="str">
        <f>IF(M618="","",IF(ISNUMBER(L618),M618-L618,IF(G618="DECISÃO D.P","",M618-TODAY())))</f>
        <v/>
      </c>
      <c r="O618" s="108" t="str">
        <f>IF(B618="","",IF(ISNUMBER(L618),IF(N618="","SEM DATA",IF(N618&gt;=0,"DEFESA NO PRAZO","DEFESA FORA DO PRAZO")),IF(G618="DECISÃO D.P","SEM DEFESA",IF(G618="","SEM STATUS",IF(N618="","SEM DATA",IF(N618&lt;0,"VENCIDO",IF(N618&lt;=DiasAlerta,"VENCE EM BREVE","NO PRAZO")))))))</f>
        <v/>
      </c>
      <c r="P618" s="109" t="str">
        <f>IF(D618="","",TODAY()-D618)</f>
        <v/>
      </c>
      <c r="Q618" s="102" t="n"/>
    </row>
    <row r="619" ht="18" customHeight="1">
      <c r="A619" s="101" t="n"/>
      <c r="B619" s="102" t="n"/>
      <c r="C619" s="102" t="n"/>
      <c r="D619" s="103" t="n"/>
      <c r="E619" s="102" t="n"/>
      <c r="F619" s="104" t="n"/>
      <c r="G619" s="104" t="n"/>
      <c r="H619" s="102" t="n"/>
      <c r="I619" s="105" t="n"/>
      <c r="J619" s="105" t="n"/>
      <c r="K619" s="103" t="n"/>
      <c r="L619" s="103" t="n"/>
      <c r="M619" s="106" t="str">
        <f>IF(OR(D619="",E619=""),"",D619+IF(E619="NOTIFICAÇÃO DE CONSTATAÇÃO",PrazoConst,PrazoEsc))</f>
        <v/>
      </c>
      <c r="N619" s="107" t="str">
        <f>IF(M619="","",IF(ISNUMBER(L619),M619-L619,IF(G619="DECISÃO D.P","",M619-TODAY())))</f>
        <v/>
      </c>
      <c r="O619" s="108" t="str">
        <f>IF(B619="","",IF(ISNUMBER(L619),IF(N619="","SEM DATA",IF(N619&gt;=0,"DEFESA NO PRAZO","DEFESA FORA DO PRAZO")),IF(G619="DECISÃO D.P","SEM DEFESA",IF(G619="","SEM STATUS",IF(N619="","SEM DATA",IF(N619&lt;0,"VENCIDO",IF(N619&lt;=DiasAlerta,"VENCE EM BREVE","NO PRAZO")))))))</f>
        <v/>
      </c>
      <c r="P619" s="109" t="str">
        <f>IF(D619="","",TODAY()-D619)</f>
        <v/>
      </c>
      <c r="Q619" s="102" t="n"/>
    </row>
    <row r="620" ht="18" customHeight="1">
      <c r="A620" s="101" t="n"/>
      <c r="B620" s="102" t="n"/>
      <c r="C620" s="102" t="n"/>
      <c r="D620" s="103" t="n"/>
      <c r="E620" s="102" t="n"/>
      <c r="F620" s="104" t="n"/>
      <c r="G620" s="104" t="n"/>
      <c r="H620" s="102" t="n"/>
      <c r="I620" s="105" t="n"/>
      <c r="J620" s="105" t="n"/>
      <c r="K620" s="103" t="n"/>
      <c r="L620" s="103" t="n"/>
      <c r="M620" s="106" t="str">
        <f>IF(OR(D620="",E620=""),"",D620+IF(E620="NOTIFICAÇÃO DE CONSTATAÇÃO",PrazoConst,PrazoEsc))</f>
        <v/>
      </c>
      <c r="N620" s="107" t="str">
        <f>IF(M620="","",IF(ISNUMBER(L620),M620-L620,IF(G620="DECISÃO D.P","",M620-TODAY())))</f>
        <v/>
      </c>
      <c r="O620" s="108" t="str">
        <f>IF(B620="","",IF(ISNUMBER(L620),IF(N620="","SEM DATA",IF(N620&gt;=0,"DEFESA NO PRAZO","DEFESA FORA DO PRAZO")),IF(G620="DECISÃO D.P","SEM DEFESA",IF(G620="","SEM STATUS",IF(N620="","SEM DATA",IF(N620&lt;0,"VENCIDO",IF(N620&lt;=DiasAlerta,"VENCE EM BREVE","NO PRAZO")))))))</f>
        <v/>
      </c>
      <c r="P620" s="109" t="str">
        <f>IF(D620="","",TODAY()-D620)</f>
        <v/>
      </c>
      <c r="Q620" s="102" t="n"/>
    </row>
    <row r="621" ht="18" customHeight="1">
      <c r="A621" s="101" t="n"/>
      <c r="B621" s="102" t="n"/>
      <c r="C621" s="102" t="n"/>
      <c r="D621" s="103" t="n"/>
      <c r="E621" s="102" t="n"/>
      <c r="F621" s="104" t="n"/>
      <c r="G621" s="104" t="n"/>
      <c r="H621" s="102" t="n"/>
      <c r="I621" s="105" t="n"/>
      <c r="J621" s="105" t="n"/>
      <c r="K621" s="103" t="n"/>
      <c r="L621" s="103" t="n"/>
      <c r="M621" s="106" t="str">
        <f>IF(OR(D621="",E621=""),"",D621+IF(E621="NOTIFICAÇÃO DE CONSTATAÇÃO",PrazoConst,PrazoEsc))</f>
        <v/>
      </c>
      <c r="N621" s="107" t="str">
        <f>IF(M621="","",IF(ISNUMBER(L621),M621-L621,IF(G621="DECISÃO D.P","",M621-TODAY())))</f>
        <v/>
      </c>
      <c r="O621" s="108" t="str">
        <f>IF(B621="","",IF(ISNUMBER(L621),IF(N621="","SEM DATA",IF(N621&gt;=0,"DEFESA NO PRAZO","DEFESA FORA DO PRAZO")),IF(G621="DECISÃO D.P","SEM DEFESA",IF(G621="","SEM STATUS",IF(N621="","SEM DATA",IF(N621&lt;0,"VENCIDO",IF(N621&lt;=DiasAlerta,"VENCE EM BREVE","NO PRAZO")))))))</f>
        <v/>
      </c>
      <c r="P621" s="109" t="str">
        <f>IF(D621="","",TODAY()-D621)</f>
        <v/>
      </c>
      <c r="Q621" s="102" t="n"/>
    </row>
    <row r="622" ht="18" customHeight="1">
      <c r="A622" s="101" t="n"/>
      <c r="B622" s="102" t="n"/>
      <c r="C622" s="102" t="n"/>
      <c r="D622" s="103" t="n"/>
      <c r="E622" s="102" t="n"/>
      <c r="F622" s="104" t="n"/>
      <c r="G622" s="104" t="n"/>
      <c r="H622" s="102" t="n"/>
      <c r="I622" s="105" t="n"/>
      <c r="J622" s="105" t="n"/>
      <c r="K622" s="103" t="n"/>
      <c r="L622" s="103" t="n"/>
      <c r="M622" s="106" t="str">
        <f>IF(OR(D622="",E622=""),"",D622+IF(E622="NOTIFICAÇÃO DE CONSTATAÇÃO",PrazoConst,PrazoEsc))</f>
        <v/>
      </c>
      <c r="N622" s="107" t="str">
        <f>IF(M622="","",IF(ISNUMBER(L622),M622-L622,IF(G622="DECISÃO D.P","",M622-TODAY())))</f>
        <v/>
      </c>
      <c r="O622" s="108" t="str">
        <f>IF(B622="","",IF(ISNUMBER(L622),IF(N622="","SEM DATA",IF(N622&gt;=0,"DEFESA NO PRAZO","DEFESA FORA DO PRAZO")),IF(G622="DECISÃO D.P","SEM DEFESA",IF(G622="","SEM STATUS",IF(N622="","SEM DATA",IF(N622&lt;0,"VENCIDO",IF(N622&lt;=DiasAlerta,"VENCE EM BREVE","NO PRAZO")))))))</f>
        <v/>
      </c>
      <c r="P622" s="109" t="str">
        <f>IF(D622="","",TODAY()-D622)</f>
        <v/>
      </c>
      <c r="Q622" s="102" t="n"/>
    </row>
    <row r="623" ht="18" customHeight="1">
      <c r="A623" s="101" t="n"/>
      <c r="B623" s="102" t="n"/>
      <c r="C623" s="102" t="n"/>
      <c r="D623" s="103" t="n"/>
      <c r="E623" s="102" t="n"/>
      <c r="F623" s="104" t="n"/>
      <c r="G623" s="104" t="n"/>
      <c r="H623" s="102" t="n"/>
      <c r="I623" s="105" t="n"/>
      <c r="J623" s="105" t="n"/>
      <c r="K623" s="103" t="n"/>
      <c r="L623" s="103" t="n"/>
      <c r="M623" s="106" t="str">
        <f>IF(OR(D623="",E623=""),"",D623+IF(E623="NOTIFICAÇÃO DE CONSTATAÇÃO",PrazoConst,PrazoEsc))</f>
        <v/>
      </c>
      <c r="N623" s="107" t="str">
        <f>IF(M623="","",IF(ISNUMBER(L623),M623-L623,IF(G623="DECISÃO D.P","",M623-TODAY())))</f>
        <v/>
      </c>
      <c r="O623" s="108" t="str">
        <f>IF(B623="","",IF(ISNUMBER(L623),IF(N623="","SEM DATA",IF(N623&gt;=0,"DEFESA NO PRAZO","DEFESA FORA DO PRAZO")),IF(G623="DECISÃO D.P","SEM DEFESA",IF(G623="","SEM STATUS",IF(N623="","SEM DATA",IF(N623&lt;0,"VENCIDO",IF(N623&lt;=DiasAlerta,"VENCE EM BREVE","NO PRAZO")))))))</f>
        <v/>
      </c>
      <c r="P623" s="109" t="str">
        <f>IF(D623="","",TODAY()-D623)</f>
        <v/>
      </c>
      <c r="Q623" s="102" t="n"/>
    </row>
    <row r="624" ht="18" customHeight="1">
      <c r="A624" s="101" t="n"/>
      <c r="B624" s="102" t="n"/>
      <c r="C624" s="102" t="n"/>
      <c r="D624" s="103" t="n"/>
      <c r="E624" s="102" t="n"/>
      <c r="F624" s="104" t="n"/>
      <c r="G624" s="104" t="n"/>
      <c r="H624" s="102" t="n"/>
      <c r="I624" s="105" t="n"/>
      <c r="J624" s="105" t="n"/>
      <c r="K624" s="103" t="n"/>
      <c r="L624" s="103" t="n"/>
      <c r="M624" s="106" t="str">
        <f>IF(OR(D624="",E624=""),"",D624+IF(E624="NOTIFICAÇÃO DE CONSTATAÇÃO",PrazoConst,PrazoEsc))</f>
        <v/>
      </c>
      <c r="N624" s="107" t="str">
        <f>IF(M624="","",IF(ISNUMBER(L624),M624-L624,IF(G624="DECISÃO D.P","",M624-TODAY())))</f>
        <v/>
      </c>
      <c r="O624" s="108" t="str">
        <f>IF(B624="","",IF(ISNUMBER(L624),IF(N624="","SEM DATA",IF(N624&gt;=0,"DEFESA NO PRAZO","DEFESA FORA DO PRAZO")),IF(G624="DECISÃO D.P","SEM DEFESA",IF(G624="","SEM STATUS",IF(N624="","SEM DATA",IF(N624&lt;0,"VENCIDO",IF(N624&lt;=DiasAlerta,"VENCE EM BREVE","NO PRAZO")))))))</f>
        <v/>
      </c>
      <c r="P624" s="109" t="str">
        <f>IF(D624="","",TODAY()-D624)</f>
        <v/>
      </c>
      <c r="Q624" s="102" t="n"/>
    </row>
    <row r="625" ht="18" customHeight="1">
      <c r="A625" s="101" t="n"/>
      <c r="B625" s="102" t="n"/>
      <c r="C625" s="102" t="n"/>
      <c r="D625" s="103" t="n"/>
      <c r="E625" s="102" t="n"/>
      <c r="F625" s="104" t="n"/>
      <c r="G625" s="104" t="n"/>
      <c r="H625" s="102" t="n"/>
      <c r="I625" s="105" t="n"/>
      <c r="J625" s="105" t="n"/>
      <c r="K625" s="103" t="n"/>
      <c r="L625" s="103" t="n"/>
      <c r="M625" s="106" t="str">
        <f>IF(OR(D625="",E625=""),"",D625+IF(E625="NOTIFICAÇÃO DE CONSTATAÇÃO",PrazoConst,PrazoEsc))</f>
        <v/>
      </c>
      <c r="N625" s="107" t="str">
        <f>IF(M625="","",IF(ISNUMBER(L625),M625-L625,IF(G625="DECISÃO D.P","",M625-TODAY())))</f>
        <v/>
      </c>
      <c r="O625" s="108" t="str">
        <f>IF(B625="","",IF(ISNUMBER(L625),IF(N625="","SEM DATA",IF(N625&gt;=0,"DEFESA NO PRAZO","DEFESA FORA DO PRAZO")),IF(G625="DECISÃO D.P","SEM DEFESA",IF(G625="","SEM STATUS",IF(N625="","SEM DATA",IF(N625&lt;0,"VENCIDO",IF(N625&lt;=DiasAlerta,"VENCE EM BREVE","NO PRAZO")))))))</f>
        <v/>
      </c>
      <c r="P625" s="109" t="str">
        <f>IF(D625="","",TODAY()-D625)</f>
        <v/>
      </c>
      <c r="Q625" s="102" t="n"/>
    </row>
    <row r="626" ht="18" customHeight="1">
      <c r="A626" s="101" t="n"/>
      <c r="B626" s="102" t="n"/>
      <c r="C626" s="102" t="n"/>
      <c r="D626" s="103" t="n"/>
      <c r="E626" s="102" t="n"/>
      <c r="F626" s="104" t="n"/>
      <c r="G626" s="104" t="n"/>
      <c r="H626" s="102" t="n"/>
      <c r="I626" s="105" t="n"/>
      <c r="J626" s="105" t="n"/>
      <c r="K626" s="103" t="n"/>
      <c r="L626" s="103" t="n"/>
      <c r="M626" s="106" t="str">
        <f>IF(OR(D626="",E626=""),"",D626+IF(E626="NOTIFICAÇÃO DE CONSTATAÇÃO",PrazoConst,PrazoEsc))</f>
        <v/>
      </c>
      <c r="N626" s="107" t="str">
        <f>IF(M626="","",IF(ISNUMBER(L626),M626-L626,IF(G626="DECISÃO D.P","",M626-TODAY())))</f>
        <v/>
      </c>
      <c r="O626" s="108" t="str">
        <f>IF(B626="","",IF(ISNUMBER(L626),IF(N626="","SEM DATA",IF(N626&gt;=0,"DEFESA NO PRAZO","DEFESA FORA DO PRAZO")),IF(G626="DECISÃO D.P","SEM DEFESA",IF(G626="","SEM STATUS",IF(N626="","SEM DATA",IF(N626&lt;0,"VENCIDO",IF(N626&lt;=DiasAlerta,"VENCE EM BREVE","NO PRAZO")))))))</f>
        <v/>
      </c>
      <c r="P626" s="109" t="str">
        <f>IF(D626="","",TODAY()-D626)</f>
        <v/>
      </c>
      <c r="Q626" s="102" t="n"/>
    </row>
    <row r="627" ht="18" customHeight="1">
      <c r="A627" s="101" t="n"/>
      <c r="B627" s="102" t="n"/>
      <c r="C627" s="102" t="n"/>
      <c r="D627" s="103" t="n"/>
      <c r="E627" s="102" t="n"/>
      <c r="F627" s="104" t="n"/>
      <c r="G627" s="104" t="n"/>
      <c r="H627" s="102" t="n"/>
      <c r="I627" s="105" t="n"/>
      <c r="J627" s="105" t="n"/>
      <c r="K627" s="103" t="n"/>
      <c r="L627" s="103" t="n"/>
      <c r="M627" s="106" t="str">
        <f>IF(OR(D627="",E627=""),"",D627+IF(E627="NOTIFICAÇÃO DE CONSTATAÇÃO",PrazoConst,PrazoEsc))</f>
        <v/>
      </c>
      <c r="N627" s="107" t="str">
        <f>IF(M627="","",IF(ISNUMBER(L627),M627-L627,IF(G627="DECISÃO D.P","",M627-TODAY())))</f>
        <v/>
      </c>
      <c r="O627" s="108" t="str">
        <f>IF(B627="","",IF(ISNUMBER(L627),IF(N627="","SEM DATA",IF(N627&gt;=0,"DEFESA NO PRAZO","DEFESA FORA DO PRAZO")),IF(G627="DECISÃO D.P","SEM DEFESA",IF(G627="","SEM STATUS",IF(N627="","SEM DATA",IF(N627&lt;0,"VENCIDO",IF(N627&lt;=DiasAlerta,"VENCE EM BREVE","NO PRAZO")))))))</f>
        <v/>
      </c>
      <c r="P627" s="109" t="str">
        <f>IF(D627="","",TODAY()-D627)</f>
        <v/>
      </c>
      <c r="Q627" s="102" t="n"/>
    </row>
    <row r="628" ht="18" customHeight="1">
      <c r="A628" s="101" t="n"/>
      <c r="B628" s="102" t="n"/>
      <c r="C628" s="102" t="n"/>
      <c r="D628" s="103" t="n"/>
      <c r="E628" s="102" t="n"/>
      <c r="F628" s="104" t="n"/>
      <c r="G628" s="104" t="n"/>
      <c r="H628" s="102" t="n"/>
      <c r="I628" s="105" t="n"/>
      <c r="J628" s="105" t="n"/>
      <c r="K628" s="103" t="n"/>
      <c r="L628" s="103" t="n"/>
      <c r="M628" s="106" t="str">
        <f>IF(OR(D628="",E628=""),"",D628+IF(E628="NOTIFICAÇÃO DE CONSTATAÇÃO",PrazoConst,PrazoEsc))</f>
        <v/>
      </c>
      <c r="N628" s="107" t="str">
        <f>IF(M628="","",IF(ISNUMBER(L628),M628-L628,IF(G628="DECISÃO D.P","",M628-TODAY())))</f>
        <v/>
      </c>
      <c r="O628" s="108" t="str">
        <f>IF(B628="","",IF(ISNUMBER(L628),IF(N628="","SEM DATA",IF(N628&gt;=0,"DEFESA NO PRAZO","DEFESA FORA DO PRAZO")),IF(G628="DECISÃO D.P","SEM DEFESA",IF(G628="","SEM STATUS",IF(N628="","SEM DATA",IF(N628&lt;0,"VENCIDO",IF(N628&lt;=DiasAlerta,"VENCE EM BREVE","NO PRAZO")))))))</f>
        <v/>
      </c>
      <c r="P628" s="109" t="str">
        <f>IF(D628="","",TODAY()-D628)</f>
        <v/>
      </c>
      <c r="Q628" s="102" t="n"/>
    </row>
    <row r="629" ht="18" customHeight="1">
      <c r="A629" s="101" t="n"/>
      <c r="B629" s="102" t="n"/>
      <c r="C629" s="102" t="n"/>
      <c r="D629" s="103" t="n"/>
      <c r="E629" s="102" t="n"/>
      <c r="F629" s="104" t="n"/>
      <c r="G629" s="104" t="n"/>
      <c r="H629" s="102" t="n"/>
      <c r="I629" s="105" t="n"/>
      <c r="J629" s="105" t="n"/>
      <c r="K629" s="103" t="n"/>
      <c r="L629" s="103" t="n"/>
      <c r="M629" s="106" t="str">
        <f>IF(OR(D629="",E629=""),"",D629+IF(E629="NOTIFICAÇÃO DE CONSTATAÇÃO",PrazoConst,PrazoEsc))</f>
        <v/>
      </c>
      <c r="N629" s="107" t="str">
        <f>IF(M629="","",IF(ISNUMBER(L629),M629-L629,IF(G629="DECISÃO D.P","",M629-TODAY())))</f>
        <v/>
      </c>
      <c r="O629" s="108" t="str">
        <f>IF(B629="","",IF(ISNUMBER(L629),IF(N629="","SEM DATA",IF(N629&gt;=0,"DEFESA NO PRAZO","DEFESA FORA DO PRAZO")),IF(G629="DECISÃO D.P","SEM DEFESA",IF(G629="","SEM STATUS",IF(N629="","SEM DATA",IF(N629&lt;0,"VENCIDO",IF(N629&lt;=DiasAlerta,"VENCE EM BREVE","NO PRAZO")))))))</f>
        <v/>
      </c>
      <c r="P629" s="109" t="str">
        <f>IF(D629="","",TODAY()-D629)</f>
        <v/>
      </c>
      <c r="Q629" s="102" t="n"/>
    </row>
    <row r="630" ht="18" customHeight="1">
      <c r="A630" s="101" t="n"/>
      <c r="B630" s="102" t="n"/>
      <c r="C630" s="102" t="n"/>
      <c r="D630" s="103" t="n"/>
      <c r="E630" s="102" t="n"/>
      <c r="F630" s="104" t="n"/>
      <c r="G630" s="104" t="n"/>
      <c r="H630" s="102" t="n"/>
      <c r="I630" s="105" t="n"/>
      <c r="J630" s="105" t="n"/>
      <c r="K630" s="103" t="n"/>
      <c r="L630" s="103" t="n"/>
      <c r="M630" s="106" t="str">
        <f>IF(OR(D630="",E630=""),"",D630+IF(E630="NOTIFICAÇÃO DE CONSTATAÇÃO",PrazoConst,PrazoEsc))</f>
        <v/>
      </c>
      <c r="N630" s="107" t="str">
        <f>IF(M630="","",IF(ISNUMBER(L630),M630-L630,IF(G630="DECISÃO D.P","",M630-TODAY())))</f>
        <v/>
      </c>
      <c r="O630" s="108" t="str">
        <f>IF(B630="","",IF(ISNUMBER(L630),IF(N630="","SEM DATA",IF(N630&gt;=0,"DEFESA NO PRAZO","DEFESA FORA DO PRAZO")),IF(G630="DECISÃO D.P","SEM DEFESA",IF(G630="","SEM STATUS",IF(N630="","SEM DATA",IF(N630&lt;0,"VENCIDO",IF(N630&lt;=DiasAlerta,"VENCE EM BREVE","NO PRAZO")))))))</f>
        <v/>
      </c>
      <c r="P630" s="109" t="str">
        <f>IF(D630="","",TODAY()-D630)</f>
        <v/>
      </c>
      <c r="Q630" s="102" t="n"/>
    </row>
    <row r="631" ht="18" customHeight="1">
      <c r="A631" s="101" t="n"/>
      <c r="B631" s="102" t="n"/>
      <c r="C631" s="102" t="n"/>
      <c r="D631" s="103" t="n"/>
      <c r="E631" s="102" t="n"/>
      <c r="F631" s="104" t="n"/>
      <c r="G631" s="104" t="n"/>
      <c r="H631" s="102" t="n"/>
      <c r="I631" s="105" t="n"/>
      <c r="J631" s="105" t="n"/>
      <c r="K631" s="103" t="n"/>
      <c r="L631" s="103" t="n"/>
      <c r="M631" s="106" t="str">
        <f>IF(OR(D631="",E631=""),"",D631+IF(E631="NOTIFICAÇÃO DE CONSTATAÇÃO",PrazoConst,PrazoEsc))</f>
        <v/>
      </c>
      <c r="N631" s="107" t="str">
        <f>IF(M631="","",IF(ISNUMBER(L631),M631-L631,IF(G631="DECISÃO D.P","",M631-TODAY())))</f>
        <v/>
      </c>
      <c r="O631" s="108" t="str">
        <f>IF(B631="","",IF(ISNUMBER(L631),IF(N631="","SEM DATA",IF(N631&gt;=0,"DEFESA NO PRAZO","DEFESA FORA DO PRAZO")),IF(G631="DECISÃO D.P","SEM DEFESA",IF(G631="","SEM STATUS",IF(N631="","SEM DATA",IF(N631&lt;0,"VENCIDO",IF(N631&lt;=DiasAlerta,"VENCE EM BREVE","NO PRAZO")))))))</f>
        <v/>
      </c>
      <c r="P631" s="109" t="str">
        <f>IF(D631="","",TODAY()-D631)</f>
        <v/>
      </c>
      <c r="Q631" s="102" t="n"/>
    </row>
    <row r="632" ht="18" customHeight="1">
      <c r="A632" s="101" t="n"/>
      <c r="B632" s="102" t="n"/>
      <c r="C632" s="102" t="n"/>
      <c r="D632" s="103" t="n"/>
      <c r="E632" s="102" t="n"/>
      <c r="F632" s="104" t="n"/>
      <c r="G632" s="104" t="n"/>
      <c r="H632" s="102" t="n"/>
      <c r="I632" s="105" t="n"/>
      <c r="J632" s="105" t="n"/>
      <c r="K632" s="103" t="n"/>
      <c r="L632" s="103" t="n"/>
      <c r="M632" s="106" t="str">
        <f>IF(OR(D632="",E632=""),"",D632+IF(E632="NOTIFICAÇÃO DE CONSTATAÇÃO",PrazoConst,PrazoEsc))</f>
        <v/>
      </c>
      <c r="N632" s="107" t="str">
        <f>IF(M632="","",IF(ISNUMBER(L632),M632-L632,IF(G632="DECISÃO D.P","",M632-TODAY())))</f>
        <v/>
      </c>
      <c r="O632" s="108" t="str">
        <f>IF(B632="","",IF(ISNUMBER(L632),IF(N632="","SEM DATA",IF(N632&gt;=0,"DEFESA NO PRAZO","DEFESA FORA DO PRAZO")),IF(G632="DECISÃO D.P","SEM DEFESA",IF(G632="","SEM STATUS",IF(N632="","SEM DATA",IF(N632&lt;0,"VENCIDO",IF(N632&lt;=DiasAlerta,"VENCE EM BREVE","NO PRAZO")))))))</f>
        <v/>
      </c>
      <c r="P632" s="109" t="str">
        <f>IF(D632="","",TODAY()-D632)</f>
        <v/>
      </c>
      <c r="Q632" s="102" t="n"/>
    </row>
    <row r="633" ht="18" customHeight="1">
      <c r="A633" s="101" t="n"/>
      <c r="B633" s="102" t="n"/>
      <c r="C633" s="102" t="n"/>
      <c r="D633" s="103" t="n"/>
      <c r="E633" s="102" t="n"/>
      <c r="F633" s="104" t="n"/>
      <c r="G633" s="104" t="n"/>
      <c r="H633" s="102" t="n"/>
      <c r="I633" s="105" t="n"/>
      <c r="J633" s="105" t="n"/>
      <c r="K633" s="103" t="n"/>
      <c r="L633" s="103" t="n"/>
      <c r="M633" s="106" t="str">
        <f>IF(OR(D633="",E633=""),"",D633+IF(E633="NOTIFICAÇÃO DE CONSTATAÇÃO",PrazoConst,PrazoEsc))</f>
        <v/>
      </c>
      <c r="N633" s="107" t="str">
        <f>IF(M633="","",IF(ISNUMBER(L633),M633-L633,IF(G633="DECISÃO D.P","",M633-TODAY())))</f>
        <v/>
      </c>
      <c r="O633" s="108" t="str">
        <f>IF(B633="","",IF(ISNUMBER(L633),IF(N633="","SEM DATA",IF(N633&gt;=0,"DEFESA NO PRAZO","DEFESA FORA DO PRAZO")),IF(G633="DECISÃO D.P","SEM DEFESA",IF(G633="","SEM STATUS",IF(N633="","SEM DATA",IF(N633&lt;0,"VENCIDO",IF(N633&lt;=DiasAlerta,"VENCE EM BREVE","NO PRAZO")))))))</f>
        <v/>
      </c>
      <c r="P633" s="109" t="str">
        <f>IF(D633="","",TODAY()-D633)</f>
        <v/>
      </c>
      <c r="Q633" s="102" t="n"/>
    </row>
    <row r="634" ht="18" customHeight="1">
      <c r="A634" s="101" t="n"/>
      <c r="B634" s="102" t="n"/>
      <c r="C634" s="102" t="n"/>
      <c r="D634" s="103" t="n"/>
      <c r="E634" s="102" t="n"/>
      <c r="F634" s="104" t="n"/>
      <c r="G634" s="104" t="n"/>
      <c r="H634" s="102" t="n"/>
      <c r="I634" s="105" t="n"/>
      <c r="J634" s="105" t="n"/>
      <c r="K634" s="103" t="n"/>
      <c r="L634" s="103" t="n"/>
      <c r="M634" s="106" t="str">
        <f>IF(OR(D634="",E634=""),"",D634+IF(E634="NOTIFICAÇÃO DE CONSTATAÇÃO",PrazoConst,PrazoEsc))</f>
        <v/>
      </c>
      <c r="N634" s="107" t="str">
        <f>IF(M634="","",IF(ISNUMBER(L634),M634-L634,IF(G634="DECISÃO D.P","",M634-TODAY())))</f>
        <v/>
      </c>
      <c r="O634" s="108" t="str">
        <f>IF(B634="","",IF(ISNUMBER(L634),IF(N634="","SEM DATA",IF(N634&gt;=0,"DEFESA NO PRAZO","DEFESA FORA DO PRAZO")),IF(G634="DECISÃO D.P","SEM DEFESA",IF(G634="","SEM STATUS",IF(N634="","SEM DATA",IF(N634&lt;0,"VENCIDO",IF(N634&lt;=DiasAlerta,"VENCE EM BREVE","NO PRAZO")))))))</f>
        <v/>
      </c>
      <c r="P634" s="109" t="str">
        <f>IF(D634="","",TODAY()-D634)</f>
        <v/>
      </c>
      <c r="Q634" s="102" t="n"/>
    </row>
    <row r="635" ht="18" customHeight="1">
      <c r="A635" s="101" t="n"/>
      <c r="B635" s="102" t="n"/>
      <c r="C635" s="102" t="n"/>
      <c r="D635" s="103" t="n"/>
      <c r="E635" s="102" t="n"/>
      <c r="F635" s="104" t="n"/>
      <c r="G635" s="104" t="n"/>
      <c r="H635" s="102" t="n"/>
      <c r="I635" s="105" t="n"/>
      <c r="J635" s="105" t="n"/>
      <c r="K635" s="103" t="n"/>
      <c r="L635" s="103" t="n"/>
      <c r="M635" s="106" t="str">
        <f>IF(OR(D635="",E635=""),"",D635+IF(E635="NOTIFICAÇÃO DE CONSTATAÇÃO",PrazoConst,PrazoEsc))</f>
        <v/>
      </c>
      <c r="N635" s="107" t="str">
        <f>IF(M635="","",IF(ISNUMBER(L635),M635-L635,IF(G635="DECISÃO D.P","",M635-TODAY())))</f>
        <v/>
      </c>
      <c r="O635" s="108" t="str">
        <f>IF(B635="","",IF(ISNUMBER(L635),IF(N635="","SEM DATA",IF(N635&gt;=0,"DEFESA NO PRAZO","DEFESA FORA DO PRAZO")),IF(G635="DECISÃO D.P","SEM DEFESA",IF(G635="","SEM STATUS",IF(N635="","SEM DATA",IF(N635&lt;0,"VENCIDO",IF(N635&lt;=DiasAlerta,"VENCE EM BREVE","NO PRAZO")))))))</f>
        <v/>
      </c>
      <c r="P635" s="109" t="str">
        <f>IF(D635="","",TODAY()-D635)</f>
        <v/>
      </c>
      <c r="Q635" s="102" t="n"/>
    </row>
    <row r="636" ht="18" customHeight="1">
      <c r="A636" s="101" t="n"/>
      <c r="B636" s="102" t="n"/>
      <c r="C636" s="102" t="n"/>
      <c r="D636" s="103" t="n"/>
      <c r="E636" s="102" t="n"/>
      <c r="F636" s="104" t="n"/>
      <c r="G636" s="104" t="n"/>
      <c r="H636" s="102" t="n"/>
      <c r="I636" s="105" t="n"/>
      <c r="J636" s="105" t="n"/>
      <c r="K636" s="103" t="n"/>
      <c r="L636" s="103" t="n"/>
      <c r="M636" s="106" t="str">
        <f>IF(OR(D636="",E636=""),"",D636+IF(E636="NOTIFICAÇÃO DE CONSTATAÇÃO",PrazoConst,PrazoEsc))</f>
        <v/>
      </c>
      <c r="N636" s="107" t="str">
        <f>IF(M636="","",IF(ISNUMBER(L636),M636-L636,IF(G636="DECISÃO D.P","",M636-TODAY())))</f>
        <v/>
      </c>
      <c r="O636" s="108" t="str">
        <f>IF(B636="","",IF(ISNUMBER(L636),IF(N636="","SEM DATA",IF(N636&gt;=0,"DEFESA NO PRAZO","DEFESA FORA DO PRAZO")),IF(G636="DECISÃO D.P","SEM DEFESA",IF(G636="","SEM STATUS",IF(N636="","SEM DATA",IF(N636&lt;0,"VENCIDO",IF(N636&lt;=DiasAlerta,"VENCE EM BREVE","NO PRAZO")))))))</f>
        <v/>
      </c>
      <c r="P636" s="109" t="str">
        <f>IF(D636="","",TODAY()-D636)</f>
        <v/>
      </c>
      <c r="Q636" s="102" t="n"/>
    </row>
    <row r="637" ht="18" customHeight="1">
      <c r="A637" s="101" t="n"/>
      <c r="B637" s="102" t="n"/>
      <c r="C637" s="102" t="n"/>
      <c r="D637" s="103" t="n"/>
      <c r="E637" s="102" t="n"/>
      <c r="F637" s="104" t="n"/>
      <c r="G637" s="104" t="n"/>
      <c r="H637" s="102" t="n"/>
      <c r="I637" s="105" t="n"/>
      <c r="J637" s="105" t="n"/>
      <c r="K637" s="103" t="n"/>
      <c r="L637" s="103" t="n"/>
      <c r="M637" s="106" t="str">
        <f>IF(OR(D637="",E637=""),"",D637+IF(E637="NOTIFICAÇÃO DE CONSTATAÇÃO",PrazoConst,PrazoEsc))</f>
        <v/>
      </c>
      <c r="N637" s="107" t="str">
        <f>IF(M637="","",IF(ISNUMBER(L637),M637-L637,IF(G637="DECISÃO D.P","",M637-TODAY())))</f>
        <v/>
      </c>
      <c r="O637" s="108" t="str">
        <f>IF(B637="","",IF(ISNUMBER(L637),IF(N637="","SEM DATA",IF(N637&gt;=0,"DEFESA NO PRAZO","DEFESA FORA DO PRAZO")),IF(G637="DECISÃO D.P","SEM DEFESA",IF(G637="","SEM STATUS",IF(N637="","SEM DATA",IF(N637&lt;0,"VENCIDO",IF(N637&lt;=DiasAlerta,"VENCE EM BREVE","NO PRAZO")))))))</f>
        <v/>
      </c>
      <c r="P637" s="109" t="str">
        <f>IF(D637="","",TODAY()-D637)</f>
        <v/>
      </c>
      <c r="Q637" s="102" t="n"/>
    </row>
    <row r="638" ht="18" customHeight="1">
      <c r="A638" s="101" t="n"/>
      <c r="B638" s="102" t="n"/>
      <c r="C638" s="102" t="n"/>
      <c r="D638" s="103" t="n"/>
      <c r="E638" s="102" t="n"/>
      <c r="F638" s="104" t="n"/>
      <c r="G638" s="104" t="n"/>
      <c r="H638" s="102" t="n"/>
      <c r="I638" s="105" t="n"/>
      <c r="J638" s="105" t="n"/>
      <c r="K638" s="103" t="n"/>
      <c r="L638" s="103" t="n"/>
      <c r="M638" s="106" t="str">
        <f>IF(OR(D638="",E638=""),"",D638+IF(E638="NOTIFICAÇÃO DE CONSTATAÇÃO",PrazoConst,PrazoEsc))</f>
        <v/>
      </c>
      <c r="N638" s="107" t="str">
        <f>IF(M638="","",IF(ISNUMBER(L638),M638-L638,IF(G638="DECISÃO D.P","",M638-TODAY())))</f>
        <v/>
      </c>
      <c r="O638" s="108" t="str">
        <f>IF(B638="","",IF(ISNUMBER(L638),IF(N638="","SEM DATA",IF(N638&gt;=0,"DEFESA NO PRAZO","DEFESA FORA DO PRAZO")),IF(G638="DECISÃO D.P","SEM DEFESA",IF(G638="","SEM STATUS",IF(N638="","SEM DATA",IF(N638&lt;0,"VENCIDO",IF(N638&lt;=DiasAlerta,"VENCE EM BREVE","NO PRAZO")))))))</f>
        <v/>
      </c>
      <c r="P638" s="109" t="str">
        <f>IF(D638="","",TODAY()-D638)</f>
        <v/>
      </c>
      <c r="Q638" s="102" t="n"/>
    </row>
    <row r="639" ht="18" customHeight="1">
      <c r="A639" s="101" t="n"/>
      <c r="B639" s="102" t="n"/>
      <c r="C639" s="102" t="n"/>
      <c r="D639" s="103" t="n"/>
      <c r="E639" s="102" t="n"/>
      <c r="F639" s="104" t="n"/>
      <c r="G639" s="104" t="n"/>
      <c r="H639" s="102" t="n"/>
      <c r="I639" s="105" t="n"/>
      <c r="J639" s="105" t="n"/>
      <c r="K639" s="103" t="n"/>
      <c r="L639" s="103" t="n"/>
      <c r="M639" s="106" t="str">
        <f>IF(OR(D639="",E639=""),"",D639+IF(E639="NOTIFICAÇÃO DE CONSTATAÇÃO",PrazoConst,PrazoEsc))</f>
        <v/>
      </c>
      <c r="N639" s="107" t="str">
        <f>IF(M639="","",IF(ISNUMBER(L639),M639-L639,IF(G639="DECISÃO D.P","",M639-TODAY())))</f>
        <v/>
      </c>
      <c r="O639" s="108" t="str">
        <f>IF(B639="","",IF(ISNUMBER(L639),IF(N639="","SEM DATA",IF(N639&gt;=0,"DEFESA NO PRAZO","DEFESA FORA DO PRAZO")),IF(G639="DECISÃO D.P","SEM DEFESA",IF(G639="","SEM STATUS",IF(N639="","SEM DATA",IF(N639&lt;0,"VENCIDO",IF(N639&lt;=DiasAlerta,"VENCE EM BREVE","NO PRAZO")))))))</f>
        <v/>
      </c>
      <c r="P639" s="109" t="str">
        <f>IF(D639="","",TODAY()-D639)</f>
        <v/>
      </c>
      <c r="Q639" s="102" t="n"/>
    </row>
    <row r="640" ht="18" customHeight="1">
      <c r="A640" s="101" t="n"/>
      <c r="B640" s="102" t="n"/>
      <c r="C640" s="102" t="n"/>
      <c r="D640" s="103" t="n"/>
      <c r="E640" s="102" t="n"/>
      <c r="F640" s="104" t="n"/>
      <c r="G640" s="104" t="n"/>
      <c r="H640" s="102" t="n"/>
      <c r="I640" s="105" t="n"/>
      <c r="J640" s="105" t="n"/>
      <c r="K640" s="103" t="n"/>
      <c r="L640" s="103" t="n"/>
      <c r="M640" s="106" t="str">
        <f>IF(OR(D640="",E640=""),"",D640+IF(E640="NOTIFICAÇÃO DE CONSTATAÇÃO",PrazoConst,PrazoEsc))</f>
        <v/>
      </c>
      <c r="N640" s="107" t="str">
        <f>IF(M640="","",IF(ISNUMBER(L640),M640-L640,IF(G640="DECISÃO D.P","",M640-TODAY())))</f>
        <v/>
      </c>
      <c r="O640" s="108" t="str">
        <f>IF(B640="","",IF(ISNUMBER(L640),IF(N640="","SEM DATA",IF(N640&gt;=0,"DEFESA NO PRAZO","DEFESA FORA DO PRAZO")),IF(G640="DECISÃO D.P","SEM DEFESA",IF(G640="","SEM STATUS",IF(N640="","SEM DATA",IF(N640&lt;0,"VENCIDO",IF(N640&lt;=DiasAlerta,"VENCE EM BREVE","NO PRAZO")))))))</f>
        <v/>
      </c>
      <c r="P640" s="109" t="str">
        <f>IF(D640="","",TODAY()-D640)</f>
        <v/>
      </c>
      <c r="Q640" s="102" t="n"/>
    </row>
    <row r="641" ht="18" customHeight="1">
      <c r="A641" s="101" t="n"/>
      <c r="B641" s="102" t="n"/>
      <c r="C641" s="102" t="n"/>
      <c r="D641" s="103" t="n"/>
      <c r="E641" s="102" t="n"/>
      <c r="F641" s="104" t="n"/>
      <c r="G641" s="104" t="n"/>
      <c r="H641" s="102" t="n"/>
      <c r="I641" s="105" t="n"/>
      <c r="J641" s="105" t="n"/>
      <c r="K641" s="103" t="n"/>
      <c r="L641" s="103" t="n"/>
      <c r="M641" s="106" t="str">
        <f>IF(OR(D641="",E641=""),"",D641+IF(E641="NOTIFICAÇÃO DE CONSTATAÇÃO",PrazoConst,PrazoEsc))</f>
        <v/>
      </c>
      <c r="N641" s="107" t="str">
        <f>IF(M641="","",IF(ISNUMBER(L641),M641-L641,IF(G641="DECISÃO D.P","",M641-TODAY())))</f>
        <v/>
      </c>
      <c r="O641" s="108" t="str">
        <f>IF(B641="","",IF(ISNUMBER(L641),IF(N641="","SEM DATA",IF(N641&gt;=0,"DEFESA NO PRAZO","DEFESA FORA DO PRAZO")),IF(G641="DECISÃO D.P","SEM DEFESA",IF(G641="","SEM STATUS",IF(N641="","SEM DATA",IF(N641&lt;0,"VENCIDO",IF(N641&lt;=DiasAlerta,"VENCE EM BREVE","NO PRAZO")))))))</f>
        <v/>
      </c>
      <c r="P641" s="109" t="str">
        <f>IF(D641="","",TODAY()-D641)</f>
        <v/>
      </c>
      <c r="Q641" s="102" t="n"/>
    </row>
    <row r="642" ht="18" customHeight="1">
      <c r="A642" s="101" t="n"/>
      <c r="B642" s="102" t="n"/>
      <c r="C642" s="102" t="n"/>
      <c r="D642" s="103" t="n"/>
      <c r="E642" s="102" t="n"/>
      <c r="F642" s="104" t="n"/>
      <c r="G642" s="104" t="n"/>
      <c r="H642" s="102" t="n"/>
      <c r="I642" s="105" t="n"/>
      <c r="J642" s="105" t="n"/>
      <c r="K642" s="103" t="n"/>
      <c r="L642" s="103" t="n"/>
      <c r="M642" s="106" t="str">
        <f>IF(OR(D642="",E642=""),"",D642+IF(E642="NOTIFICAÇÃO DE CONSTATAÇÃO",PrazoConst,PrazoEsc))</f>
        <v/>
      </c>
      <c r="N642" s="107" t="str">
        <f>IF(M642="","",IF(ISNUMBER(L642),M642-L642,IF(G642="DECISÃO D.P","",M642-TODAY())))</f>
        <v/>
      </c>
      <c r="O642" s="108" t="str">
        <f>IF(B642="","",IF(ISNUMBER(L642),IF(N642="","SEM DATA",IF(N642&gt;=0,"DEFESA NO PRAZO","DEFESA FORA DO PRAZO")),IF(G642="DECISÃO D.P","SEM DEFESA",IF(G642="","SEM STATUS",IF(N642="","SEM DATA",IF(N642&lt;0,"VENCIDO",IF(N642&lt;=DiasAlerta,"VENCE EM BREVE","NO PRAZO")))))))</f>
        <v/>
      </c>
      <c r="P642" s="109" t="str">
        <f>IF(D642="","",TODAY()-D642)</f>
        <v/>
      </c>
      <c r="Q642" s="102" t="n"/>
    </row>
    <row r="643" ht="18" customHeight="1">
      <c r="A643" s="101" t="n"/>
      <c r="B643" s="102" t="n"/>
      <c r="C643" s="102" t="n"/>
      <c r="D643" s="103" t="n"/>
      <c r="E643" s="102" t="n"/>
      <c r="F643" s="104" t="n"/>
      <c r="G643" s="104" t="n"/>
      <c r="H643" s="102" t="n"/>
      <c r="I643" s="105" t="n"/>
      <c r="J643" s="105" t="n"/>
      <c r="K643" s="103" t="n"/>
      <c r="L643" s="103" t="n"/>
      <c r="M643" s="106" t="str">
        <f>IF(OR(D643="",E643=""),"",D643+IF(E643="NOTIFICAÇÃO DE CONSTATAÇÃO",PrazoConst,PrazoEsc))</f>
        <v/>
      </c>
      <c r="N643" s="107" t="str">
        <f>IF(M643="","",IF(ISNUMBER(L643),M643-L643,IF(G643="DECISÃO D.P","",M643-TODAY())))</f>
        <v/>
      </c>
      <c r="O643" s="108" t="str">
        <f>IF(B643="","",IF(ISNUMBER(L643),IF(N643="","SEM DATA",IF(N643&gt;=0,"DEFESA NO PRAZO","DEFESA FORA DO PRAZO")),IF(G643="DECISÃO D.P","SEM DEFESA",IF(G643="","SEM STATUS",IF(N643="","SEM DATA",IF(N643&lt;0,"VENCIDO",IF(N643&lt;=DiasAlerta,"VENCE EM BREVE","NO PRAZO")))))))</f>
        <v/>
      </c>
      <c r="P643" s="109" t="str">
        <f>IF(D643="","",TODAY()-D643)</f>
        <v/>
      </c>
      <c r="Q643" s="102" t="n"/>
    </row>
    <row r="644" ht="18" customHeight="1">
      <c r="A644" s="101" t="n"/>
      <c r="B644" s="102" t="n"/>
      <c r="C644" s="102" t="n"/>
      <c r="D644" s="103" t="n"/>
      <c r="E644" s="102" t="n"/>
      <c r="F644" s="104" t="n"/>
      <c r="G644" s="104" t="n"/>
      <c r="H644" s="102" t="n"/>
      <c r="I644" s="105" t="n"/>
      <c r="J644" s="105" t="n"/>
      <c r="K644" s="103" t="n"/>
      <c r="L644" s="103" t="n"/>
      <c r="M644" s="106" t="str">
        <f>IF(OR(D644="",E644=""),"",D644+IF(E644="NOTIFICAÇÃO DE CONSTATAÇÃO",PrazoConst,PrazoEsc))</f>
        <v/>
      </c>
      <c r="N644" s="107" t="str">
        <f>IF(M644="","",IF(ISNUMBER(L644),M644-L644,IF(G644="DECISÃO D.P","",M644-TODAY())))</f>
        <v/>
      </c>
      <c r="O644" s="108" t="str">
        <f>IF(B644="","",IF(ISNUMBER(L644),IF(N644="","SEM DATA",IF(N644&gt;=0,"DEFESA NO PRAZO","DEFESA FORA DO PRAZO")),IF(G644="DECISÃO D.P","SEM DEFESA",IF(G644="","SEM STATUS",IF(N644="","SEM DATA",IF(N644&lt;0,"VENCIDO",IF(N644&lt;=DiasAlerta,"VENCE EM BREVE","NO PRAZO")))))))</f>
        <v/>
      </c>
      <c r="P644" s="109" t="str">
        <f>IF(D644="","",TODAY()-D644)</f>
        <v/>
      </c>
      <c r="Q644" s="102" t="n"/>
    </row>
    <row r="645" ht="18" customHeight="1">
      <c r="A645" s="101" t="n"/>
      <c r="B645" s="102" t="n"/>
      <c r="C645" s="102" t="n"/>
      <c r="D645" s="103" t="n"/>
      <c r="E645" s="102" t="n"/>
      <c r="F645" s="104" t="n"/>
      <c r="G645" s="104" t="n"/>
      <c r="H645" s="102" t="n"/>
      <c r="I645" s="105" t="n"/>
      <c r="J645" s="105" t="n"/>
      <c r="K645" s="103" t="n"/>
      <c r="L645" s="103" t="n"/>
      <c r="M645" s="106" t="str">
        <f>IF(OR(D645="",E645=""),"",D645+IF(E645="NOTIFICAÇÃO DE CONSTATAÇÃO",PrazoConst,PrazoEsc))</f>
        <v/>
      </c>
      <c r="N645" s="107" t="str">
        <f>IF(M645="","",IF(ISNUMBER(L645),M645-L645,IF(G645="DECISÃO D.P","",M645-TODAY())))</f>
        <v/>
      </c>
      <c r="O645" s="108" t="str">
        <f>IF(B645="","",IF(ISNUMBER(L645),IF(N645="","SEM DATA",IF(N645&gt;=0,"DEFESA NO PRAZO","DEFESA FORA DO PRAZO")),IF(G645="DECISÃO D.P","SEM DEFESA",IF(G645="","SEM STATUS",IF(N645="","SEM DATA",IF(N645&lt;0,"VENCIDO",IF(N645&lt;=DiasAlerta,"VENCE EM BREVE","NO PRAZO")))))))</f>
        <v/>
      </c>
      <c r="P645" s="109" t="str">
        <f>IF(D645="","",TODAY()-D645)</f>
        <v/>
      </c>
      <c r="Q645" s="102" t="n"/>
    </row>
    <row r="646" ht="18" customHeight="1">
      <c r="A646" s="101" t="n"/>
      <c r="B646" s="102" t="n"/>
      <c r="C646" s="102" t="n"/>
      <c r="D646" s="103" t="n"/>
      <c r="E646" s="102" t="n"/>
      <c r="F646" s="104" t="n"/>
      <c r="G646" s="104" t="n"/>
      <c r="H646" s="102" t="n"/>
      <c r="I646" s="105" t="n"/>
      <c r="J646" s="105" t="n"/>
      <c r="K646" s="103" t="n"/>
      <c r="L646" s="103" t="n"/>
      <c r="M646" s="106" t="str">
        <f>IF(OR(D646="",E646=""),"",D646+IF(E646="NOTIFICAÇÃO DE CONSTATAÇÃO",PrazoConst,PrazoEsc))</f>
        <v/>
      </c>
      <c r="N646" s="107" t="str">
        <f>IF(M646="","",IF(ISNUMBER(L646),M646-L646,IF(G646="DECISÃO D.P","",M646-TODAY())))</f>
        <v/>
      </c>
      <c r="O646" s="108" t="str">
        <f>IF(B646="","",IF(ISNUMBER(L646),IF(N646="","SEM DATA",IF(N646&gt;=0,"DEFESA NO PRAZO","DEFESA FORA DO PRAZO")),IF(G646="DECISÃO D.P","SEM DEFESA",IF(G646="","SEM STATUS",IF(N646="","SEM DATA",IF(N646&lt;0,"VENCIDO",IF(N646&lt;=DiasAlerta,"VENCE EM BREVE","NO PRAZO")))))))</f>
        <v/>
      </c>
      <c r="P646" s="109" t="str">
        <f>IF(D646="","",TODAY()-D646)</f>
        <v/>
      </c>
      <c r="Q646" s="102" t="n"/>
    </row>
    <row r="647" ht="18" customHeight="1">
      <c r="A647" s="101" t="n"/>
      <c r="B647" s="102" t="n"/>
      <c r="C647" s="102" t="n"/>
      <c r="D647" s="103" t="n"/>
      <c r="E647" s="102" t="n"/>
      <c r="F647" s="104" t="n"/>
      <c r="G647" s="104" t="n"/>
      <c r="H647" s="102" t="n"/>
      <c r="I647" s="105" t="n"/>
      <c r="J647" s="105" t="n"/>
      <c r="K647" s="103" t="n"/>
      <c r="L647" s="103" t="n"/>
      <c r="M647" s="106" t="str">
        <f>IF(OR(D647="",E647=""),"",D647+IF(E647="NOTIFICAÇÃO DE CONSTATAÇÃO",PrazoConst,PrazoEsc))</f>
        <v/>
      </c>
      <c r="N647" s="107" t="str">
        <f>IF(M647="","",IF(ISNUMBER(L647),M647-L647,IF(G647="DECISÃO D.P","",M647-TODAY())))</f>
        <v/>
      </c>
      <c r="O647" s="108" t="str">
        <f>IF(B647="","",IF(ISNUMBER(L647),IF(N647="","SEM DATA",IF(N647&gt;=0,"DEFESA NO PRAZO","DEFESA FORA DO PRAZO")),IF(G647="DECISÃO D.P","SEM DEFESA",IF(G647="","SEM STATUS",IF(N647="","SEM DATA",IF(N647&lt;0,"VENCIDO",IF(N647&lt;=DiasAlerta,"VENCE EM BREVE","NO PRAZO")))))))</f>
        <v/>
      </c>
      <c r="P647" s="109" t="str">
        <f>IF(D647="","",TODAY()-D647)</f>
        <v/>
      </c>
      <c r="Q647" s="102" t="n"/>
    </row>
    <row r="648" ht="18" customHeight="1">
      <c r="A648" s="101" t="n"/>
      <c r="B648" s="102" t="n"/>
      <c r="C648" s="102" t="n"/>
      <c r="D648" s="103" t="n"/>
      <c r="E648" s="102" t="n"/>
      <c r="F648" s="104" t="n"/>
      <c r="G648" s="104" t="n"/>
      <c r="H648" s="102" t="n"/>
      <c r="I648" s="105" t="n"/>
      <c r="J648" s="105" t="n"/>
      <c r="K648" s="103" t="n"/>
      <c r="L648" s="103" t="n"/>
      <c r="M648" s="106" t="str">
        <f>IF(OR(D648="",E648=""),"",D648+IF(E648="NOTIFICAÇÃO DE CONSTATAÇÃO",PrazoConst,PrazoEsc))</f>
        <v/>
      </c>
      <c r="N648" s="107" t="str">
        <f>IF(M648="","",IF(ISNUMBER(L648),M648-L648,IF(G648="DECISÃO D.P","",M648-TODAY())))</f>
        <v/>
      </c>
      <c r="O648" s="108" t="str">
        <f>IF(B648="","",IF(ISNUMBER(L648),IF(N648="","SEM DATA",IF(N648&gt;=0,"DEFESA NO PRAZO","DEFESA FORA DO PRAZO")),IF(G648="DECISÃO D.P","SEM DEFESA",IF(G648="","SEM STATUS",IF(N648="","SEM DATA",IF(N648&lt;0,"VENCIDO",IF(N648&lt;=DiasAlerta,"VENCE EM BREVE","NO PRAZO")))))))</f>
        <v/>
      </c>
      <c r="P648" s="109" t="str">
        <f>IF(D648="","",TODAY()-D648)</f>
        <v/>
      </c>
      <c r="Q648" s="102" t="n"/>
    </row>
    <row r="649" ht="18" customHeight="1">
      <c r="A649" s="101" t="n"/>
      <c r="B649" s="102" t="n"/>
      <c r="C649" s="102" t="n"/>
      <c r="D649" s="103" t="n"/>
      <c r="E649" s="102" t="n"/>
      <c r="F649" s="104" t="n"/>
      <c r="G649" s="104" t="n"/>
      <c r="H649" s="102" t="n"/>
      <c r="I649" s="105" t="n"/>
      <c r="J649" s="105" t="n"/>
      <c r="K649" s="103" t="n"/>
      <c r="L649" s="103" t="n"/>
      <c r="M649" s="106" t="str">
        <f>IF(OR(D649="",E649=""),"",D649+IF(E649="NOTIFICAÇÃO DE CONSTATAÇÃO",PrazoConst,PrazoEsc))</f>
        <v/>
      </c>
      <c r="N649" s="107" t="str">
        <f>IF(M649="","",IF(ISNUMBER(L649),M649-L649,IF(G649="DECISÃO D.P","",M649-TODAY())))</f>
        <v/>
      </c>
      <c r="O649" s="108" t="str">
        <f>IF(B649="","",IF(ISNUMBER(L649),IF(N649="","SEM DATA",IF(N649&gt;=0,"DEFESA NO PRAZO","DEFESA FORA DO PRAZO")),IF(G649="DECISÃO D.P","SEM DEFESA",IF(G649="","SEM STATUS",IF(N649="","SEM DATA",IF(N649&lt;0,"VENCIDO",IF(N649&lt;=DiasAlerta,"VENCE EM BREVE","NO PRAZO")))))))</f>
        <v/>
      </c>
      <c r="P649" s="109" t="str">
        <f>IF(D649="","",TODAY()-D649)</f>
        <v/>
      </c>
      <c r="Q649" s="102" t="n"/>
    </row>
    <row r="650" ht="18" customHeight="1">
      <c r="A650" s="101" t="n"/>
      <c r="B650" s="102" t="n"/>
      <c r="C650" s="102" t="n"/>
      <c r="D650" s="103" t="n"/>
      <c r="E650" s="102" t="n"/>
      <c r="F650" s="104" t="n"/>
      <c r="G650" s="104" t="n"/>
      <c r="H650" s="102" t="n"/>
      <c r="I650" s="105" t="n"/>
      <c r="J650" s="105" t="n"/>
      <c r="K650" s="103" t="n"/>
      <c r="L650" s="103" t="n"/>
      <c r="M650" s="106" t="str">
        <f>IF(OR(D650="",E650=""),"",D650+IF(E650="NOTIFICAÇÃO DE CONSTATAÇÃO",PrazoConst,PrazoEsc))</f>
        <v/>
      </c>
      <c r="N650" s="107" t="str">
        <f>IF(M650="","",IF(ISNUMBER(L650),M650-L650,IF(G650="DECISÃO D.P","",M650-TODAY())))</f>
        <v/>
      </c>
      <c r="O650" s="108" t="str">
        <f>IF(B650="","",IF(ISNUMBER(L650),IF(N650="","SEM DATA",IF(N650&gt;=0,"DEFESA NO PRAZO","DEFESA FORA DO PRAZO")),IF(G650="DECISÃO D.P","SEM DEFESA",IF(G650="","SEM STATUS",IF(N650="","SEM DATA",IF(N650&lt;0,"VENCIDO",IF(N650&lt;=DiasAlerta,"VENCE EM BREVE","NO PRAZO")))))))</f>
        <v/>
      </c>
      <c r="P650" s="109" t="str">
        <f>IF(D650="","",TODAY()-D650)</f>
        <v/>
      </c>
      <c r="Q650" s="102" t="n"/>
    </row>
    <row r="651" ht="18" customHeight="1">
      <c r="A651" s="101" t="n"/>
      <c r="B651" s="102" t="n"/>
      <c r="C651" s="102" t="n"/>
      <c r="D651" s="103" t="n"/>
      <c r="E651" s="102" t="n"/>
      <c r="F651" s="104" t="n"/>
      <c r="G651" s="104" t="n"/>
      <c r="H651" s="102" t="n"/>
      <c r="I651" s="105" t="n"/>
      <c r="J651" s="105" t="n"/>
      <c r="K651" s="103" t="n"/>
      <c r="L651" s="103" t="n"/>
      <c r="M651" s="106" t="str">
        <f>IF(OR(D651="",E651=""),"",D651+IF(E651="NOTIFICAÇÃO DE CONSTATAÇÃO",PrazoConst,PrazoEsc))</f>
        <v/>
      </c>
      <c r="N651" s="107" t="str">
        <f>IF(M651="","",IF(ISNUMBER(L651),M651-L651,IF(G651="DECISÃO D.P","",M651-TODAY())))</f>
        <v/>
      </c>
      <c r="O651" s="108" t="str">
        <f>IF(B651="","",IF(ISNUMBER(L651),IF(N651="","SEM DATA",IF(N651&gt;=0,"DEFESA NO PRAZO","DEFESA FORA DO PRAZO")),IF(G651="DECISÃO D.P","SEM DEFESA",IF(G651="","SEM STATUS",IF(N651="","SEM DATA",IF(N651&lt;0,"VENCIDO",IF(N651&lt;=DiasAlerta,"VENCE EM BREVE","NO PRAZO")))))))</f>
        <v/>
      </c>
      <c r="P651" s="109" t="str">
        <f>IF(D651="","",TODAY()-D651)</f>
        <v/>
      </c>
      <c r="Q651" s="102" t="n"/>
    </row>
    <row r="652" ht="18" customHeight="1">
      <c r="A652" s="101" t="n"/>
      <c r="B652" s="102" t="n"/>
      <c r="C652" s="102" t="n"/>
      <c r="D652" s="103" t="n"/>
      <c r="E652" s="102" t="n"/>
      <c r="F652" s="104" t="n"/>
      <c r="G652" s="104" t="n"/>
      <c r="H652" s="102" t="n"/>
      <c r="I652" s="105" t="n"/>
      <c r="J652" s="105" t="n"/>
      <c r="K652" s="103" t="n"/>
      <c r="L652" s="103" t="n"/>
      <c r="M652" s="106" t="str">
        <f>IF(OR(D652="",E652=""),"",D652+IF(E652="NOTIFICAÇÃO DE CONSTATAÇÃO",PrazoConst,PrazoEsc))</f>
        <v/>
      </c>
      <c r="N652" s="107" t="str">
        <f>IF(M652="","",IF(ISNUMBER(L652),M652-L652,IF(G652="DECISÃO D.P","",M652-TODAY())))</f>
        <v/>
      </c>
      <c r="O652" s="108" t="str">
        <f>IF(B652="","",IF(ISNUMBER(L652),IF(N652="","SEM DATA",IF(N652&gt;=0,"DEFESA NO PRAZO","DEFESA FORA DO PRAZO")),IF(G652="DECISÃO D.P","SEM DEFESA",IF(G652="","SEM STATUS",IF(N652="","SEM DATA",IF(N652&lt;0,"VENCIDO",IF(N652&lt;=DiasAlerta,"VENCE EM BREVE","NO PRAZO")))))))</f>
        <v/>
      </c>
      <c r="P652" s="109" t="str">
        <f>IF(D652="","",TODAY()-D652)</f>
        <v/>
      </c>
      <c r="Q652" s="102" t="n"/>
    </row>
    <row r="653" ht="18" customHeight="1">
      <c r="A653" s="101" t="n"/>
      <c r="B653" s="102" t="n"/>
      <c r="C653" s="102" t="n"/>
      <c r="D653" s="103" t="n"/>
      <c r="E653" s="102" t="n"/>
      <c r="F653" s="104" t="n"/>
      <c r="G653" s="104" t="n"/>
      <c r="H653" s="102" t="n"/>
      <c r="I653" s="105" t="n"/>
      <c r="J653" s="105" t="n"/>
      <c r="K653" s="103" t="n"/>
      <c r="L653" s="103" t="n"/>
      <c r="M653" s="106" t="str">
        <f>IF(OR(D653="",E653=""),"",D653+IF(E653="NOTIFICAÇÃO DE CONSTATAÇÃO",PrazoConst,PrazoEsc))</f>
        <v/>
      </c>
      <c r="N653" s="107" t="str">
        <f>IF(M653="","",IF(ISNUMBER(L653),M653-L653,IF(G653="DECISÃO D.P","",M653-TODAY())))</f>
        <v/>
      </c>
      <c r="O653" s="108" t="str">
        <f>IF(B653="","",IF(ISNUMBER(L653),IF(N653="","SEM DATA",IF(N653&gt;=0,"DEFESA NO PRAZO","DEFESA FORA DO PRAZO")),IF(G653="DECISÃO D.P","SEM DEFESA",IF(G653="","SEM STATUS",IF(N653="","SEM DATA",IF(N653&lt;0,"VENCIDO",IF(N653&lt;=DiasAlerta,"VENCE EM BREVE","NO PRAZO")))))))</f>
        <v/>
      </c>
      <c r="P653" s="109" t="str">
        <f>IF(D653="","",TODAY()-D653)</f>
        <v/>
      </c>
      <c r="Q653" s="102" t="n"/>
    </row>
    <row r="654" ht="18" customHeight="1">
      <c r="A654" s="101" t="n"/>
      <c r="B654" s="102" t="n"/>
      <c r="C654" s="102" t="n"/>
      <c r="D654" s="103" t="n"/>
      <c r="E654" s="102" t="n"/>
      <c r="F654" s="104" t="n"/>
      <c r="G654" s="104" t="n"/>
      <c r="H654" s="102" t="n"/>
      <c r="I654" s="105" t="n"/>
      <c r="J654" s="105" t="n"/>
      <c r="K654" s="103" t="n"/>
      <c r="L654" s="103" t="n"/>
      <c r="M654" s="106" t="str">
        <f>IF(OR(D654="",E654=""),"",D654+IF(E654="NOTIFICAÇÃO DE CONSTATAÇÃO",PrazoConst,PrazoEsc))</f>
        <v/>
      </c>
      <c r="N654" s="107" t="str">
        <f>IF(M654="","",IF(ISNUMBER(L654),M654-L654,IF(G654="DECISÃO D.P","",M654-TODAY())))</f>
        <v/>
      </c>
      <c r="O654" s="108" t="str">
        <f>IF(B654="","",IF(ISNUMBER(L654),IF(N654="","SEM DATA",IF(N654&gt;=0,"DEFESA NO PRAZO","DEFESA FORA DO PRAZO")),IF(G654="DECISÃO D.P","SEM DEFESA",IF(G654="","SEM STATUS",IF(N654="","SEM DATA",IF(N654&lt;0,"VENCIDO",IF(N654&lt;=DiasAlerta,"VENCE EM BREVE","NO PRAZO")))))))</f>
        <v/>
      </c>
      <c r="P654" s="109" t="str">
        <f>IF(D654="","",TODAY()-D654)</f>
        <v/>
      </c>
      <c r="Q654" s="102" t="n"/>
    </row>
    <row r="655" ht="18" customHeight="1">
      <c r="A655" s="101" t="n"/>
      <c r="B655" s="102" t="n"/>
      <c r="C655" s="102" t="n"/>
      <c r="D655" s="103" t="n"/>
      <c r="E655" s="102" t="n"/>
      <c r="F655" s="104" t="n"/>
      <c r="G655" s="104" t="n"/>
      <c r="H655" s="102" t="n"/>
      <c r="I655" s="105" t="n"/>
      <c r="J655" s="105" t="n"/>
      <c r="K655" s="103" t="n"/>
      <c r="L655" s="103" t="n"/>
      <c r="M655" s="106" t="str">
        <f>IF(OR(D655="",E655=""),"",D655+IF(E655="NOTIFICAÇÃO DE CONSTATAÇÃO",PrazoConst,PrazoEsc))</f>
        <v/>
      </c>
      <c r="N655" s="107" t="str">
        <f>IF(M655="","",IF(ISNUMBER(L655),M655-L655,IF(G655="DECISÃO D.P","",M655-TODAY())))</f>
        <v/>
      </c>
      <c r="O655" s="108" t="str">
        <f>IF(B655="","",IF(ISNUMBER(L655),IF(N655="","SEM DATA",IF(N655&gt;=0,"DEFESA NO PRAZO","DEFESA FORA DO PRAZO")),IF(G655="DECISÃO D.P","SEM DEFESA",IF(G655="","SEM STATUS",IF(N655="","SEM DATA",IF(N655&lt;0,"VENCIDO",IF(N655&lt;=DiasAlerta,"VENCE EM BREVE","NO PRAZO")))))))</f>
        <v/>
      </c>
      <c r="P655" s="109" t="str">
        <f>IF(D655="","",TODAY()-D655)</f>
        <v/>
      </c>
      <c r="Q655" s="102" t="n"/>
    </row>
    <row r="656" ht="18" customHeight="1">
      <c r="A656" s="101" t="n"/>
      <c r="B656" s="102" t="n"/>
      <c r="C656" s="102" t="n"/>
      <c r="D656" s="103" t="n"/>
      <c r="E656" s="102" t="n"/>
      <c r="F656" s="104" t="n"/>
      <c r="G656" s="104" t="n"/>
      <c r="H656" s="102" t="n"/>
      <c r="I656" s="105" t="n"/>
      <c r="J656" s="105" t="n"/>
      <c r="K656" s="103" t="n"/>
      <c r="L656" s="103" t="n"/>
      <c r="M656" s="106" t="str">
        <f>IF(OR(D656="",E656=""),"",D656+IF(E656="NOTIFICAÇÃO DE CONSTATAÇÃO",PrazoConst,PrazoEsc))</f>
        <v/>
      </c>
      <c r="N656" s="107" t="str">
        <f>IF(M656="","",IF(ISNUMBER(L656),M656-L656,IF(G656="DECISÃO D.P","",M656-TODAY())))</f>
        <v/>
      </c>
      <c r="O656" s="108" t="str">
        <f>IF(B656="","",IF(ISNUMBER(L656),IF(N656="","SEM DATA",IF(N656&gt;=0,"DEFESA NO PRAZO","DEFESA FORA DO PRAZO")),IF(G656="DECISÃO D.P","SEM DEFESA",IF(G656="","SEM STATUS",IF(N656="","SEM DATA",IF(N656&lt;0,"VENCIDO",IF(N656&lt;=DiasAlerta,"VENCE EM BREVE","NO PRAZO")))))))</f>
        <v/>
      </c>
      <c r="P656" s="109" t="str">
        <f>IF(D656="","",TODAY()-D656)</f>
        <v/>
      </c>
      <c r="Q656" s="102" t="n"/>
    </row>
    <row r="657" ht="18" customHeight="1">
      <c r="A657" s="101" t="n"/>
      <c r="B657" s="102" t="n"/>
      <c r="C657" s="102" t="n"/>
      <c r="D657" s="103" t="n"/>
      <c r="E657" s="102" t="n"/>
      <c r="F657" s="104" t="n"/>
      <c r="G657" s="104" t="n"/>
      <c r="H657" s="102" t="n"/>
      <c r="I657" s="105" t="n"/>
      <c r="J657" s="105" t="n"/>
      <c r="K657" s="103" t="n"/>
      <c r="L657" s="103" t="n"/>
      <c r="M657" s="106" t="str">
        <f>IF(OR(D657="",E657=""),"",D657+IF(E657="NOTIFICAÇÃO DE CONSTATAÇÃO",PrazoConst,PrazoEsc))</f>
        <v/>
      </c>
      <c r="N657" s="107" t="str">
        <f>IF(M657="","",IF(ISNUMBER(L657),M657-L657,IF(G657="DECISÃO D.P","",M657-TODAY())))</f>
        <v/>
      </c>
      <c r="O657" s="108" t="str">
        <f>IF(B657="","",IF(ISNUMBER(L657),IF(N657="","SEM DATA",IF(N657&gt;=0,"DEFESA NO PRAZO","DEFESA FORA DO PRAZO")),IF(G657="DECISÃO D.P","SEM DEFESA",IF(G657="","SEM STATUS",IF(N657="","SEM DATA",IF(N657&lt;0,"VENCIDO",IF(N657&lt;=DiasAlerta,"VENCE EM BREVE","NO PRAZO")))))))</f>
        <v/>
      </c>
      <c r="P657" s="109" t="str">
        <f>IF(D657="","",TODAY()-D657)</f>
        <v/>
      </c>
      <c r="Q657" s="102" t="n"/>
    </row>
    <row r="658" ht="18" customHeight="1">
      <c r="A658" s="101" t="n"/>
      <c r="B658" s="102" t="n"/>
      <c r="C658" s="102" t="n"/>
      <c r="D658" s="103" t="n"/>
      <c r="E658" s="102" t="n"/>
      <c r="F658" s="104" t="n"/>
      <c r="G658" s="104" t="n"/>
      <c r="H658" s="102" t="n"/>
      <c r="I658" s="105" t="n"/>
      <c r="J658" s="105" t="n"/>
      <c r="K658" s="103" t="n"/>
      <c r="L658" s="103" t="n"/>
      <c r="M658" s="106" t="str">
        <f>IF(OR(D658="",E658=""),"",D658+IF(E658="NOTIFICAÇÃO DE CONSTATAÇÃO",PrazoConst,PrazoEsc))</f>
        <v/>
      </c>
      <c r="N658" s="107" t="str">
        <f>IF(M658="","",IF(ISNUMBER(L658),M658-L658,IF(G658="DECISÃO D.P","",M658-TODAY())))</f>
        <v/>
      </c>
      <c r="O658" s="108" t="str">
        <f>IF(B658="","",IF(ISNUMBER(L658),IF(N658="","SEM DATA",IF(N658&gt;=0,"DEFESA NO PRAZO","DEFESA FORA DO PRAZO")),IF(G658="DECISÃO D.P","SEM DEFESA",IF(G658="","SEM STATUS",IF(N658="","SEM DATA",IF(N658&lt;0,"VENCIDO",IF(N658&lt;=DiasAlerta,"VENCE EM BREVE","NO PRAZO")))))))</f>
        <v/>
      </c>
      <c r="P658" s="109" t="str">
        <f>IF(D658="","",TODAY()-D658)</f>
        <v/>
      </c>
      <c r="Q658" s="102" t="n"/>
    </row>
    <row r="659" ht="18" customHeight="1">
      <c r="A659" s="101" t="n"/>
      <c r="B659" s="102" t="n"/>
      <c r="C659" s="102" t="n"/>
      <c r="D659" s="103" t="n"/>
      <c r="E659" s="102" t="n"/>
      <c r="F659" s="104" t="n"/>
      <c r="G659" s="104" t="n"/>
      <c r="H659" s="102" t="n"/>
      <c r="I659" s="105" t="n"/>
      <c r="J659" s="105" t="n"/>
      <c r="K659" s="103" t="n"/>
      <c r="L659" s="103" t="n"/>
      <c r="M659" s="106" t="str">
        <f>IF(OR(D659="",E659=""),"",D659+IF(E659="NOTIFICAÇÃO DE CONSTATAÇÃO",PrazoConst,PrazoEsc))</f>
        <v/>
      </c>
      <c r="N659" s="107" t="str">
        <f>IF(M659="","",IF(ISNUMBER(L659),M659-L659,IF(G659="DECISÃO D.P","",M659-TODAY())))</f>
        <v/>
      </c>
      <c r="O659" s="108" t="str">
        <f>IF(B659="","",IF(ISNUMBER(L659),IF(N659="","SEM DATA",IF(N659&gt;=0,"DEFESA NO PRAZO","DEFESA FORA DO PRAZO")),IF(G659="DECISÃO D.P","SEM DEFESA",IF(G659="","SEM STATUS",IF(N659="","SEM DATA",IF(N659&lt;0,"VENCIDO",IF(N659&lt;=DiasAlerta,"VENCE EM BREVE","NO PRAZO")))))))</f>
        <v/>
      </c>
      <c r="P659" s="109" t="str">
        <f>IF(D659="","",TODAY()-D659)</f>
        <v/>
      </c>
      <c r="Q659" s="102" t="n"/>
    </row>
    <row r="660" ht="18" customHeight="1">
      <c r="A660" s="101" t="n"/>
      <c r="B660" s="102" t="n"/>
      <c r="C660" s="102" t="n"/>
      <c r="D660" s="103" t="n"/>
      <c r="E660" s="102" t="n"/>
      <c r="F660" s="104" t="n"/>
      <c r="G660" s="104" t="n"/>
      <c r="H660" s="102" t="n"/>
      <c r="I660" s="105" t="n"/>
      <c r="J660" s="105" t="n"/>
      <c r="K660" s="103" t="n"/>
      <c r="L660" s="103" t="n"/>
      <c r="M660" s="106" t="str">
        <f>IF(OR(D660="",E660=""),"",D660+IF(E660="NOTIFICAÇÃO DE CONSTATAÇÃO",PrazoConst,PrazoEsc))</f>
        <v/>
      </c>
      <c r="N660" s="107" t="str">
        <f>IF(M660="","",IF(ISNUMBER(L660),M660-L660,IF(G660="DECISÃO D.P","",M660-TODAY())))</f>
        <v/>
      </c>
      <c r="O660" s="108" t="str">
        <f>IF(B660="","",IF(ISNUMBER(L660),IF(N660="","SEM DATA",IF(N660&gt;=0,"DEFESA NO PRAZO","DEFESA FORA DO PRAZO")),IF(G660="DECISÃO D.P","SEM DEFESA",IF(G660="","SEM STATUS",IF(N660="","SEM DATA",IF(N660&lt;0,"VENCIDO",IF(N660&lt;=DiasAlerta,"VENCE EM BREVE","NO PRAZO")))))))</f>
        <v/>
      </c>
      <c r="P660" s="109" t="str">
        <f>IF(D660="","",TODAY()-D660)</f>
        <v/>
      </c>
      <c r="Q660" s="102" t="n"/>
    </row>
    <row r="661" ht="18" customHeight="1">
      <c r="A661" s="101" t="n"/>
      <c r="B661" s="102" t="n"/>
      <c r="C661" s="102" t="n"/>
      <c r="D661" s="103" t="n"/>
      <c r="E661" s="102" t="n"/>
      <c r="F661" s="104" t="n"/>
      <c r="G661" s="104" t="n"/>
      <c r="H661" s="102" t="n"/>
      <c r="I661" s="105" t="n"/>
      <c r="J661" s="105" t="n"/>
      <c r="K661" s="103" t="n"/>
      <c r="L661" s="103" t="n"/>
      <c r="M661" s="106" t="str">
        <f>IF(OR(D661="",E661=""),"",D661+IF(E661="NOTIFICAÇÃO DE CONSTATAÇÃO",PrazoConst,PrazoEsc))</f>
        <v/>
      </c>
      <c r="N661" s="107" t="str">
        <f>IF(M661="","",IF(ISNUMBER(L661),M661-L661,IF(G661="DECISÃO D.P","",M661-TODAY())))</f>
        <v/>
      </c>
      <c r="O661" s="108" t="str">
        <f>IF(B661="","",IF(ISNUMBER(L661),IF(N661="","SEM DATA",IF(N661&gt;=0,"DEFESA NO PRAZO","DEFESA FORA DO PRAZO")),IF(G661="DECISÃO D.P","SEM DEFESA",IF(G661="","SEM STATUS",IF(N661="","SEM DATA",IF(N661&lt;0,"VENCIDO",IF(N661&lt;=DiasAlerta,"VENCE EM BREVE","NO PRAZO")))))))</f>
        <v/>
      </c>
      <c r="P661" s="109" t="str">
        <f>IF(D661="","",TODAY()-D661)</f>
        <v/>
      </c>
      <c r="Q661" s="102" t="n"/>
    </row>
    <row r="662" ht="18" customHeight="1">
      <c r="A662" s="101" t="n"/>
      <c r="B662" s="102" t="n"/>
      <c r="C662" s="102" t="n"/>
      <c r="D662" s="103" t="n"/>
      <c r="E662" s="102" t="n"/>
      <c r="F662" s="104" t="n"/>
      <c r="G662" s="104" t="n"/>
      <c r="H662" s="102" t="n"/>
      <c r="I662" s="105" t="n"/>
      <c r="J662" s="105" t="n"/>
      <c r="K662" s="103" t="n"/>
      <c r="L662" s="103" t="n"/>
      <c r="M662" s="106" t="str">
        <f>IF(OR(D662="",E662=""),"",D662+IF(E662="NOTIFICAÇÃO DE CONSTATAÇÃO",PrazoConst,PrazoEsc))</f>
        <v/>
      </c>
      <c r="N662" s="107" t="str">
        <f>IF(M662="","",IF(ISNUMBER(L662),M662-L662,IF(G662="DECISÃO D.P","",M662-TODAY())))</f>
        <v/>
      </c>
      <c r="O662" s="108" t="str">
        <f>IF(B662="","",IF(ISNUMBER(L662),IF(N662="","SEM DATA",IF(N662&gt;=0,"DEFESA NO PRAZO","DEFESA FORA DO PRAZO")),IF(G662="DECISÃO D.P","SEM DEFESA",IF(G662="","SEM STATUS",IF(N662="","SEM DATA",IF(N662&lt;0,"VENCIDO",IF(N662&lt;=DiasAlerta,"VENCE EM BREVE","NO PRAZO")))))))</f>
        <v/>
      </c>
      <c r="P662" s="109" t="str">
        <f>IF(D662="","",TODAY()-D662)</f>
        <v/>
      </c>
      <c r="Q662" s="102" t="n"/>
    </row>
    <row r="663" ht="18" customHeight="1">
      <c r="A663" s="101" t="n"/>
      <c r="B663" s="102" t="n"/>
      <c r="C663" s="102" t="n"/>
      <c r="D663" s="103" t="n"/>
      <c r="E663" s="102" t="n"/>
      <c r="F663" s="104" t="n"/>
      <c r="G663" s="104" t="n"/>
      <c r="H663" s="102" t="n"/>
      <c r="I663" s="105" t="n"/>
      <c r="J663" s="105" t="n"/>
      <c r="K663" s="103" t="n"/>
      <c r="L663" s="103" t="n"/>
      <c r="M663" s="106" t="str">
        <f>IF(OR(D663="",E663=""),"",D663+IF(E663="NOTIFICAÇÃO DE CONSTATAÇÃO",PrazoConst,PrazoEsc))</f>
        <v/>
      </c>
      <c r="N663" s="107" t="str">
        <f>IF(M663="","",IF(ISNUMBER(L663),M663-L663,IF(G663="DECISÃO D.P","",M663-TODAY())))</f>
        <v/>
      </c>
      <c r="O663" s="108" t="str">
        <f>IF(B663="","",IF(ISNUMBER(L663),IF(N663="","SEM DATA",IF(N663&gt;=0,"DEFESA NO PRAZO","DEFESA FORA DO PRAZO")),IF(G663="DECISÃO D.P","SEM DEFESA",IF(G663="","SEM STATUS",IF(N663="","SEM DATA",IF(N663&lt;0,"VENCIDO",IF(N663&lt;=DiasAlerta,"VENCE EM BREVE","NO PRAZO")))))))</f>
        <v/>
      </c>
      <c r="P663" s="109" t="str">
        <f>IF(D663="","",TODAY()-D663)</f>
        <v/>
      </c>
      <c r="Q663" s="102" t="n"/>
    </row>
    <row r="664" ht="18" customHeight="1">
      <c r="A664" s="101" t="n"/>
      <c r="B664" s="102" t="n"/>
      <c r="C664" s="102" t="n"/>
      <c r="D664" s="103" t="n"/>
      <c r="E664" s="102" t="n"/>
      <c r="F664" s="104" t="n"/>
      <c r="G664" s="104" t="n"/>
      <c r="H664" s="102" t="n"/>
      <c r="I664" s="105" t="n"/>
      <c r="J664" s="105" t="n"/>
      <c r="K664" s="103" t="n"/>
      <c r="L664" s="103" t="n"/>
      <c r="M664" s="106" t="str">
        <f>IF(OR(D664="",E664=""),"",D664+IF(E664="NOTIFICAÇÃO DE CONSTATAÇÃO",PrazoConst,PrazoEsc))</f>
        <v/>
      </c>
      <c r="N664" s="107" t="str">
        <f>IF(M664="","",IF(ISNUMBER(L664),M664-L664,IF(G664="DECISÃO D.P","",M664-TODAY())))</f>
        <v/>
      </c>
      <c r="O664" s="108" t="str">
        <f>IF(B664="","",IF(ISNUMBER(L664),IF(N664="","SEM DATA",IF(N664&gt;=0,"DEFESA NO PRAZO","DEFESA FORA DO PRAZO")),IF(G664="DECISÃO D.P","SEM DEFESA",IF(G664="","SEM STATUS",IF(N664="","SEM DATA",IF(N664&lt;0,"VENCIDO",IF(N664&lt;=DiasAlerta,"VENCE EM BREVE","NO PRAZO")))))))</f>
        <v/>
      </c>
      <c r="P664" s="109" t="str">
        <f>IF(D664="","",TODAY()-D664)</f>
        <v/>
      </c>
      <c r="Q664" s="102" t="n"/>
    </row>
    <row r="665" ht="18" customHeight="1">
      <c r="A665" s="101" t="n"/>
      <c r="B665" s="102" t="n"/>
      <c r="C665" s="102" t="n"/>
      <c r="D665" s="103" t="n"/>
      <c r="E665" s="102" t="n"/>
      <c r="F665" s="104" t="n"/>
      <c r="G665" s="104" t="n"/>
      <c r="H665" s="102" t="n"/>
      <c r="I665" s="105" t="n"/>
      <c r="J665" s="105" t="n"/>
      <c r="K665" s="103" t="n"/>
      <c r="L665" s="103" t="n"/>
      <c r="M665" s="106" t="str">
        <f>IF(OR(D665="",E665=""),"",D665+IF(E665="NOTIFICAÇÃO DE CONSTATAÇÃO",PrazoConst,PrazoEsc))</f>
        <v/>
      </c>
      <c r="N665" s="107" t="str">
        <f>IF(M665="","",IF(ISNUMBER(L665),M665-L665,IF(G665="DECISÃO D.P","",M665-TODAY())))</f>
        <v/>
      </c>
      <c r="O665" s="108" t="str">
        <f>IF(B665="","",IF(ISNUMBER(L665),IF(N665="","SEM DATA",IF(N665&gt;=0,"DEFESA NO PRAZO","DEFESA FORA DO PRAZO")),IF(G665="DECISÃO D.P","SEM DEFESA",IF(G665="","SEM STATUS",IF(N665="","SEM DATA",IF(N665&lt;0,"VENCIDO",IF(N665&lt;=DiasAlerta,"VENCE EM BREVE","NO PRAZO")))))))</f>
        <v/>
      </c>
      <c r="P665" s="109" t="str">
        <f>IF(D665="","",TODAY()-D665)</f>
        <v/>
      </c>
      <c r="Q665" s="102" t="n"/>
    </row>
    <row r="666" ht="18" customHeight="1">
      <c r="A666" s="101" t="n"/>
      <c r="B666" s="102" t="n"/>
      <c r="C666" s="102" t="n"/>
      <c r="D666" s="103" t="n"/>
      <c r="E666" s="102" t="n"/>
      <c r="F666" s="104" t="n"/>
      <c r="G666" s="104" t="n"/>
      <c r="H666" s="102" t="n"/>
      <c r="I666" s="105" t="n"/>
      <c r="J666" s="105" t="n"/>
      <c r="K666" s="103" t="n"/>
      <c r="L666" s="103" t="n"/>
      <c r="M666" s="106" t="str">
        <f>IF(OR(D666="",E666=""),"",D666+IF(E666="NOTIFICAÇÃO DE CONSTATAÇÃO",PrazoConst,PrazoEsc))</f>
        <v/>
      </c>
      <c r="N666" s="107" t="str">
        <f>IF(M666="","",IF(ISNUMBER(L666),M666-L666,IF(G666="DECISÃO D.P","",M666-TODAY())))</f>
        <v/>
      </c>
      <c r="O666" s="108" t="str">
        <f>IF(B666="","",IF(ISNUMBER(L666),IF(N666="","SEM DATA",IF(N666&gt;=0,"DEFESA NO PRAZO","DEFESA FORA DO PRAZO")),IF(G666="DECISÃO D.P","SEM DEFESA",IF(G666="","SEM STATUS",IF(N666="","SEM DATA",IF(N666&lt;0,"VENCIDO",IF(N666&lt;=DiasAlerta,"VENCE EM BREVE","NO PRAZO")))))))</f>
        <v/>
      </c>
      <c r="P666" s="109" t="str">
        <f>IF(D666="","",TODAY()-D666)</f>
        <v/>
      </c>
      <c r="Q666" s="102" t="n"/>
    </row>
    <row r="667" ht="18" customHeight="1">
      <c r="A667" s="101" t="n"/>
      <c r="B667" s="102" t="n"/>
      <c r="C667" s="102" t="n"/>
      <c r="D667" s="103" t="n"/>
      <c r="E667" s="102" t="n"/>
      <c r="F667" s="104" t="n"/>
      <c r="G667" s="104" t="n"/>
      <c r="H667" s="102" t="n"/>
      <c r="I667" s="105" t="n"/>
      <c r="J667" s="105" t="n"/>
      <c r="K667" s="103" t="n"/>
      <c r="L667" s="103" t="n"/>
      <c r="M667" s="106" t="str">
        <f>IF(OR(D667="",E667=""),"",D667+IF(E667="NOTIFICAÇÃO DE CONSTATAÇÃO",PrazoConst,PrazoEsc))</f>
        <v/>
      </c>
      <c r="N667" s="107" t="str">
        <f>IF(M667="","",IF(ISNUMBER(L667),M667-L667,IF(G667="DECISÃO D.P","",M667-TODAY())))</f>
        <v/>
      </c>
      <c r="O667" s="108" t="str">
        <f>IF(B667="","",IF(ISNUMBER(L667),IF(N667="","SEM DATA",IF(N667&gt;=0,"DEFESA NO PRAZO","DEFESA FORA DO PRAZO")),IF(G667="DECISÃO D.P","SEM DEFESA",IF(G667="","SEM STATUS",IF(N667="","SEM DATA",IF(N667&lt;0,"VENCIDO",IF(N667&lt;=DiasAlerta,"VENCE EM BREVE","NO PRAZO")))))))</f>
        <v/>
      </c>
      <c r="P667" s="109" t="str">
        <f>IF(D667="","",TODAY()-D667)</f>
        <v/>
      </c>
      <c r="Q667" s="102" t="n"/>
    </row>
    <row r="668" ht="18" customHeight="1">
      <c r="A668" s="101" t="n"/>
      <c r="B668" s="102" t="n"/>
      <c r="C668" s="102" t="n"/>
      <c r="D668" s="103" t="n"/>
      <c r="E668" s="102" t="n"/>
      <c r="F668" s="104" t="n"/>
      <c r="G668" s="104" t="n"/>
      <c r="H668" s="102" t="n"/>
      <c r="I668" s="105" t="n"/>
      <c r="J668" s="105" t="n"/>
      <c r="K668" s="103" t="n"/>
      <c r="L668" s="103" t="n"/>
      <c r="M668" s="106" t="str">
        <f>IF(OR(D668="",E668=""),"",D668+IF(E668="NOTIFICAÇÃO DE CONSTATAÇÃO",PrazoConst,PrazoEsc))</f>
        <v/>
      </c>
      <c r="N668" s="107" t="str">
        <f>IF(M668="","",IF(ISNUMBER(L668),M668-L668,IF(G668="DECISÃO D.P","",M668-TODAY())))</f>
        <v/>
      </c>
      <c r="O668" s="108" t="str">
        <f>IF(B668="","",IF(ISNUMBER(L668),IF(N668="","SEM DATA",IF(N668&gt;=0,"DEFESA NO PRAZO","DEFESA FORA DO PRAZO")),IF(G668="DECISÃO D.P","SEM DEFESA",IF(G668="","SEM STATUS",IF(N668="","SEM DATA",IF(N668&lt;0,"VENCIDO",IF(N668&lt;=DiasAlerta,"VENCE EM BREVE","NO PRAZO")))))))</f>
        <v/>
      </c>
      <c r="P668" s="109" t="str">
        <f>IF(D668="","",TODAY()-D668)</f>
        <v/>
      </c>
      <c r="Q668" s="102" t="n"/>
    </row>
    <row r="669" ht="18" customHeight="1">
      <c r="A669" s="101" t="n"/>
      <c r="B669" s="102" t="n"/>
      <c r="C669" s="102" t="n"/>
      <c r="D669" s="103" t="n"/>
      <c r="E669" s="102" t="n"/>
      <c r="F669" s="104" t="n"/>
      <c r="G669" s="104" t="n"/>
      <c r="H669" s="102" t="n"/>
      <c r="I669" s="105" t="n"/>
      <c r="J669" s="105" t="n"/>
      <c r="K669" s="103" t="n"/>
      <c r="L669" s="103" t="n"/>
      <c r="M669" s="106" t="str">
        <f>IF(OR(D669="",E669=""),"",D669+IF(E669="NOTIFICAÇÃO DE CONSTATAÇÃO",PrazoConst,PrazoEsc))</f>
        <v/>
      </c>
      <c r="N669" s="107" t="str">
        <f>IF(M669="","",IF(ISNUMBER(L669),M669-L669,IF(G669="DECISÃO D.P","",M669-TODAY())))</f>
        <v/>
      </c>
      <c r="O669" s="108" t="str">
        <f>IF(B669="","",IF(ISNUMBER(L669),IF(N669="","SEM DATA",IF(N669&gt;=0,"DEFESA NO PRAZO","DEFESA FORA DO PRAZO")),IF(G669="DECISÃO D.P","SEM DEFESA",IF(G669="","SEM STATUS",IF(N669="","SEM DATA",IF(N669&lt;0,"VENCIDO",IF(N669&lt;=DiasAlerta,"VENCE EM BREVE","NO PRAZO")))))))</f>
        <v/>
      </c>
      <c r="P669" s="109" t="str">
        <f>IF(D669="","",TODAY()-D669)</f>
        <v/>
      </c>
      <c r="Q669" s="102" t="n"/>
    </row>
    <row r="670" ht="18" customHeight="1">
      <c r="A670" s="101" t="n"/>
      <c r="B670" s="102" t="n"/>
      <c r="C670" s="102" t="n"/>
      <c r="D670" s="103" t="n"/>
      <c r="E670" s="102" t="n"/>
      <c r="F670" s="104" t="n"/>
      <c r="G670" s="104" t="n"/>
      <c r="H670" s="102" t="n"/>
      <c r="I670" s="105" t="n"/>
      <c r="J670" s="105" t="n"/>
      <c r="K670" s="103" t="n"/>
      <c r="L670" s="103" t="n"/>
      <c r="M670" s="106" t="str">
        <f>IF(OR(D670="",E670=""),"",D670+IF(E670="NOTIFICAÇÃO DE CONSTATAÇÃO",PrazoConst,PrazoEsc))</f>
        <v/>
      </c>
      <c r="N670" s="107" t="str">
        <f>IF(M670="","",IF(ISNUMBER(L670),M670-L670,IF(G670="DECISÃO D.P","",M670-TODAY())))</f>
        <v/>
      </c>
      <c r="O670" s="108" t="str">
        <f>IF(B670="","",IF(ISNUMBER(L670),IF(N670="","SEM DATA",IF(N670&gt;=0,"DEFESA NO PRAZO","DEFESA FORA DO PRAZO")),IF(G670="DECISÃO D.P","SEM DEFESA",IF(G670="","SEM STATUS",IF(N670="","SEM DATA",IF(N670&lt;0,"VENCIDO",IF(N670&lt;=DiasAlerta,"VENCE EM BREVE","NO PRAZO")))))))</f>
        <v/>
      </c>
      <c r="P670" s="109" t="str">
        <f>IF(D670="","",TODAY()-D670)</f>
        <v/>
      </c>
      <c r="Q670" s="102" t="n"/>
    </row>
    <row r="671" ht="18" customHeight="1">
      <c r="A671" s="101" t="n"/>
      <c r="B671" s="102" t="n"/>
      <c r="C671" s="102" t="n"/>
      <c r="D671" s="103" t="n"/>
      <c r="E671" s="102" t="n"/>
      <c r="F671" s="104" t="n"/>
      <c r="G671" s="104" t="n"/>
      <c r="H671" s="102" t="n"/>
      <c r="I671" s="105" t="n"/>
      <c r="J671" s="105" t="n"/>
      <c r="K671" s="103" t="n"/>
      <c r="L671" s="103" t="n"/>
      <c r="M671" s="106" t="str">
        <f>IF(OR(D671="",E671=""),"",D671+IF(E671="NOTIFICAÇÃO DE CONSTATAÇÃO",PrazoConst,PrazoEsc))</f>
        <v/>
      </c>
      <c r="N671" s="107" t="str">
        <f>IF(M671="","",IF(ISNUMBER(L671),M671-L671,IF(G671="DECISÃO D.P","",M671-TODAY())))</f>
        <v/>
      </c>
      <c r="O671" s="108" t="str">
        <f>IF(B671="","",IF(ISNUMBER(L671),IF(N671="","SEM DATA",IF(N671&gt;=0,"DEFESA NO PRAZO","DEFESA FORA DO PRAZO")),IF(G671="DECISÃO D.P","SEM DEFESA",IF(G671="","SEM STATUS",IF(N671="","SEM DATA",IF(N671&lt;0,"VENCIDO",IF(N671&lt;=DiasAlerta,"VENCE EM BREVE","NO PRAZO")))))))</f>
        <v/>
      </c>
      <c r="P671" s="109" t="str">
        <f>IF(D671="","",TODAY()-D671)</f>
        <v/>
      </c>
      <c r="Q671" s="102" t="n"/>
    </row>
    <row r="672" ht="18" customHeight="1">
      <c r="A672" s="101" t="n"/>
      <c r="B672" s="102" t="n"/>
      <c r="C672" s="102" t="n"/>
      <c r="D672" s="103" t="n"/>
      <c r="E672" s="102" t="n"/>
      <c r="F672" s="104" t="n"/>
      <c r="G672" s="104" t="n"/>
      <c r="H672" s="102" t="n"/>
      <c r="I672" s="105" t="n"/>
      <c r="J672" s="105" t="n"/>
      <c r="K672" s="103" t="n"/>
      <c r="L672" s="103" t="n"/>
      <c r="M672" s="106" t="str">
        <f>IF(OR(D672="",E672=""),"",D672+IF(E672="NOTIFICAÇÃO DE CONSTATAÇÃO",PrazoConst,PrazoEsc))</f>
        <v/>
      </c>
      <c r="N672" s="107" t="str">
        <f>IF(M672="","",IF(ISNUMBER(L672),M672-L672,IF(G672="DECISÃO D.P","",M672-TODAY())))</f>
        <v/>
      </c>
      <c r="O672" s="108" t="str">
        <f>IF(B672="","",IF(ISNUMBER(L672),IF(N672="","SEM DATA",IF(N672&gt;=0,"DEFESA NO PRAZO","DEFESA FORA DO PRAZO")),IF(G672="DECISÃO D.P","SEM DEFESA",IF(G672="","SEM STATUS",IF(N672="","SEM DATA",IF(N672&lt;0,"VENCIDO",IF(N672&lt;=DiasAlerta,"VENCE EM BREVE","NO PRAZO")))))))</f>
        <v/>
      </c>
      <c r="P672" s="109" t="str">
        <f>IF(D672="","",TODAY()-D672)</f>
        <v/>
      </c>
      <c r="Q672" s="102" t="n"/>
    </row>
    <row r="673" ht="18" customHeight="1">
      <c r="A673" s="101" t="n"/>
      <c r="B673" s="102" t="n"/>
      <c r="C673" s="102" t="n"/>
      <c r="D673" s="103" t="n"/>
      <c r="E673" s="102" t="n"/>
      <c r="F673" s="104" t="n"/>
      <c r="G673" s="104" t="n"/>
      <c r="H673" s="102" t="n"/>
      <c r="I673" s="105" t="n"/>
      <c r="J673" s="105" t="n"/>
      <c r="K673" s="103" t="n"/>
      <c r="L673" s="103" t="n"/>
      <c r="M673" s="106" t="str">
        <f>IF(OR(D673="",E673=""),"",D673+IF(E673="NOTIFICAÇÃO DE CONSTATAÇÃO",PrazoConst,PrazoEsc))</f>
        <v/>
      </c>
      <c r="N673" s="107" t="str">
        <f>IF(M673="","",IF(ISNUMBER(L673),M673-L673,IF(G673="DECISÃO D.P","",M673-TODAY())))</f>
        <v/>
      </c>
      <c r="O673" s="108" t="str">
        <f>IF(B673="","",IF(ISNUMBER(L673),IF(N673="","SEM DATA",IF(N673&gt;=0,"DEFESA NO PRAZO","DEFESA FORA DO PRAZO")),IF(G673="DECISÃO D.P","SEM DEFESA",IF(G673="","SEM STATUS",IF(N673="","SEM DATA",IF(N673&lt;0,"VENCIDO",IF(N673&lt;=DiasAlerta,"VENCE EM BREVE","NO PRAZO")))))))</f>
        <v/>
      </c>
      <c r="P673" s="109" t="str">
        <f>IF(D673="","",TODAY()-D673)</f>
        <v/>
      </c>
      <c r="Q673" s="102" t="n"/>
    </row>
    <row r="674" ht="18" customHeight="1">
      <c r="A674" s="101" t="n"/>
      <c r="B674" s="102" t="n"/>
      <c r="C674" s="102" t="n"/>
      <c r="D674" s="103" t="n"/>
      <c r="E674" s="102" t="n"/>
      <c r="F674" s="104" t="n"/>
      <c r="G674" s="104" t="n"/>
      <c r="H674" s="102" t="n"/>
      <c r="I674" s="105" t="n"/>
      <c r="J674" s="105" t="n"/>
      <c r="K674" s="103" t="n"/>
      <c r="L674" s="103" t="n"/>
      <c r="M674" s="106" t="str">
        <f>IF(OR(D674="",E674=""),"",D674+IF(E674="NOTIFICAÇÃO DE CONSTATAÇÃO",PrazoConst,PrazoEsc))</f>
        <v/>
      </c>
      <c r="N674" s="107" t="str">
        <f>IF(M674="","",IF(ISNUMBER(L674),M674-L674,IF(G674="DECISÃO D.P","",M674-TODAY())))</f>
        <v/>
      </c>
      <c r="O674" s="108" t="str">
        <f>IF(B674="","",IF(ISNUMBER(L674),IF(N674="","SEM DATA",IF(N674&gt;=0,"DEFESA NO PRAZO","DEFESA FORA DO PRAZO")),IF(G674="DECISÃO D.P","SEM DEFESA",IF(G674="","SEM STATUS",IF(N674="","SEM DATA",IF(N674&lt;0,"VENCIDO",IF(N674&lt;=DiasAlerta,"VENCE EM BREVE","NO PRAZO")))))))</f>
        <v/>
      </c>
      <c r="P674" s="109" t="str">
        <f>IF(D674="","",TODAY()-D674)</f>
        <v/>
      </c>
      <c r="Q674" s="102" t="n"/>
    </row>
    <row r="675" ht="18" customHeight="1">
      <c r="A675" s="101" t="n"/>
      <c r="B675" s="102" t="n"/>
      <c r="C675" s="102" t="n"/>
      <c r="D675" s="103" t="n"/>
      <c r="E675" s="102" t="n"/>
      <c r="F675" s="104" t="n"/>
      <c r="G675" s="104" t="n"/>
      <c r="H675" s="102" t="n"/>
      <c r="I675" s="105" t="n"/>
      <c r="J675" s="105" t="n"/>
      <c r="K675" s="103" t="n"/>
      <c r="L675" s="103" t="n"/>
      <c r="M675" s="106" t="str">
        <f>IF(OR(D675="",E675=""),"",D675+IF(E675="NOTIFICAÇÃO DE CONSTATAÇÃO",PrazoConst,PrazoEsc))</f>
        <v/>
      </c>
      <c r="N675" s="107" t="str">
        <f>IF(M675="","",IF(ISNUMBER(L675),M675-L675,IF(G675="DECISÃO D.P","",M675-TODAY())))</f>
        <v/>
      </c>
      <c r="O675" s="108" t="str">
        <f>IF(B675="","",IF(ISNUMBER(L675),IF(N675="","SEM DATA",IF(N675&gt;=0,"DEFESA NO PRAZO","DEFESA FORA DO PRAZO")),IF(G675="DECISÃO D.P","SEM DEFESA",IF(G675="","SEM STATUS",IF(N675="","SEM DATA",IF(N675&lt;0,"VENCIDO",IF(N675&lt;=DiasAlerta,"VENCE EM BREVE","NO PRAZO")))))))</f>
        <v/>
      </c>
      <c r="P675" s="109" t="str">
        <f>IF(D675="","",TODAY()-D675)</f>
        <v/>
      </c>
      <c r="Q675" s="102" t="n"/>
    </row>
    <row r="676" ht="18" customHeight="1">
      <c r="A676" s="101" t="n"/>
      <c r="B676" s="102" t="n"/>
      <c r="C676" s="102" t="n"/>
      <c r="D676" s="103" t="n"/>
      <c r="E676" s="102" t="n"/>
      <c r="F676" s="104" t="n"/>
      <c r="G676" s="104" t="n"/>
      <c r="H676" s="102" t="n"/>
      <c r="I676" s="105" t="n"/>
      <c r="J676" s="105" t="n"/>
      <c r="K676" s="103" t="n"/>
      <c r="L676" s="103" t="n"/>
      <c r="M676" s="106" t="str">
        <f>IF(OR(D676="",E676=""),"",D676+IF(E676="NOTIFICAÇÃO DE CONSTATAÇÃO",PrazoConst,PrazoEsc))</f>
        <v/>
      </c>
      <c r="N676" s="107" t="str">
        <f>IF(M676="","",IF(ISNUMBER(L676),M676-L676,IF(G676="DECISÃO D.P","",M676-TODAY())))</f>
        <v/>
      </c>
      <c r="O676" s="108" t="str">
        <f>IF(B676="","",IF(ISNUMBER(L676),IF(N676="","SEM DATA",IF(N676&gt;=0,"DEFESA NO PRAZO","DEFESA FORA DO PRAZO")),IF(G676="DECISÃO D.P","SEM DEFESA",IF(G676="","SEM STATUS",IF(N676="","SEM DATA",IF(N676&lt;0,"VENCIDO",IF(N676&lt;=DiasAlerta,"VENCE EM BREVE","NO PRAZO")))))))</f>
        <v/>
      </c>
      <c r="P676" s="109" t="str">
        <f>IF(D676="","",TODAY()-D676)</f>
        <v/>
      </c>
      <c r="Q676" s="102" t="n"/>
    </row>
    <row r="677" ht="18" customHeight="1">
      <c r="A677" s="101" t="n"/>
      <c r="B677" s="102" t="n"/>
      <c r="C677" s="102" t="n"/>
      <c r="D677" s="103" t="n"/>
      <c r="E677" s="102" t="n"/>
      <c r="F677" s="104" t="n"/>
      <c r="G677" s="104" t="n"/>
      <c r="H677" s="102" t="n"/>
      <c r="I677" s="105" t="n"/>
      <c r="J677" s="105" t="n"/>
      <c r="K677" s="103" t="n"/>
      <c r="L677" s="103" t="n"/>
      <c r="M677" s="106" t="str">
        <f>IF(OR(D677="",E677=""),"",D677+IF(E677="NOTIFICAÇÃO DE CONSTATAÇÃO",PrazoConst,PrazoEsc))</f>
        <v/>
      </c>
      <c r="N677" s="107" t="str">
        <f>IF(M677="","",IF(ISNUMBER(L677),M677-L677,IF(G677="DECISÃO D.P","",M677-TODAY())))</f>
        <v/>
      </c>
      <c r="O677" s="108" t="str">
        <f>IF(B677="","",IF(ISNUMBER(L677),IF(N677="","SEM DATA",IF(N677&gt;=0,"DEFESA NO PRAZO","DEFESA FORA DO PRAZO")),IF(G677="DECISÃO D.P","SEM DEFESA",IF(G677="","SEM STATUS",IF(N677="","SEM DATA",IF(N677&lt;0,"VENCIDO",IF(N677&lt;=DiasAlerta,"VENCE EM BREVE","NO PRAZO")))))))</f>
        <v/>
      </c>
      <c r="P677" s="109" t="str">
        <f>IF(D677="","",TODAY()-D677)</f>
        <v/>
      </c>
      <c r="Q677" s="102" t="n"/>
    </row>
    <row r="678" ht="18" customHeight="1">
      <c r="A678" s="101" t="n"/>
      <c r="B678" s="102" t="n"/>
      <c r="C678" s="102" t="n"/>
      <c r="D678" s="103" t="n"/>
      <c r="E678" s="102" t="n"/>
      <c r="F678" s="104" t="n"/>
      <c r="G678" s="104" t="n"/>
      <c r="H678" s="102" t="n"/>
      <c r="I678" s="105" t="n"/>
      <c r="J678" s="105" t="n"/>
      <c r="K678" s="103" t="n"/>
      <c r="L678" s="103" t="n"/>
      <c r="M678" s="106" t="str">
        <f>IF(OR(D678="",E678=""),"",D678+IF(E678="NOTIFICAÇÃO DE CONSTATAÇÃO",PrazoConst,PrazoEsc))</f>
        <v/>
      </c>
      <c r="N678" s="107" t="str">
        <f>IF(M678="","",IF(ISNUMBER(L678),M678-L678,IF(G678="DECISÃO D.P","",M678-TODAY())))</f>
        <v/>
      </c>
      <c r="O678" s="108" t="str">
        <f>IF(B678="","",IF(ISNUMBER(L678),IF(N678="","SEM DATA",IF(N678&gt;=0,"DEFESA NO PRAZO","DEFESA FORA DO PRAZO")),IF(G678="DECISÃO D.P","SEM DEFESA",IF(G678="","SEM STATUS",IF(N678="","SEM DATA",IF(N678&lt;0,"VENCIDO",IF(N678&lt;=DiasAlerta,"VENCE EM BREVE","NO PRAZO")))))))</f>
        <v/>
      </c>
      <c r="P678" s="109" t="str">
        <f>IF(D678="","",TODAY()-D678)</f>
        <v/>
      </c>
      <c r="Q678" s="102" t="n"/>
    </row>
    <row r="679" ht="18" customHeight="1">
      <c r="A679" s="101" t="n"/>
      <c r="B679" s="102" t="n"/>
      <c r="C679" s="102" t="n"/>
      <c r="D679" s="103" t="n"/>
      <c r="E679" s="102" t="n"/>
      <c r="F679" s="104" t="n"/>
      <c r="G679" s="104" t="n"/>
      <c r="H679" s="102" t="n"/>
      <c r="I679" s="105" t="n"/>
      <c r="J679" s="105" t="n"/>
      <c r="K679" s="103" t="n"/>
      <c r="L679" s="103" t="n"/>
      <c r="M679" s="106" t="str">
        <f>IF(OR(D679="",E679=""),"",D679+IF(E679="NOTIFICAÇÃO DE CONSTATAÇÃO",PrazoConst,PrazoEsc))</f>
        <v/>
      </c>
      <c r="N679" s="107" t="str">
        <f>IF(M679="","",IF(ISNUMBER(L679),M679-L679,IF(G679="DECISÃO D.P","",M679-TODAY())))</f>
        <v/>
      </c>
      <c r="O679" s="108" t="str">
        <f>IF(B679="","",IF(ISNUMBER(L679),IF(N679="","SEM DATA",IF(N679&gt;=0,"DEFESA NO PRAZO","DEFESA FORA DO PRAZO")),IF(G679="DECISÃO D.P","SEM DEFESA",IF(G679="","SEM STATUS",IF(N679="","SEM DATA",IF(N679&lt;0,"VENCIDO",IF(N679&lt;=DiasAlerta,"VENCE EM BREVE","NO PRAZO")))))))</f>
        <v/>
      </c>
      <c r="P679" s="109" t="str">
        <f>IF(D679="","",TODAY()-D679)</f>
        <v/>
      </c>
      <c r="Q679" s="102" t="n"/>
    </row>
    <row r="680" ht="18" customHeight="1">
      <c r="A680" s="101" t="n"/>
      <c r="B680" s="102" t="n"/>
      <c r="C680" s="102" t="n"/>
      <c r="D680" s="103" t="n"/>
      <c r="E680" s="102" t="n"/>
      <c r="F680" s="104" t="n"/>
      <c r="G680" s="104" t="n"/>
      <c r="H680" s="102" t="n"/>
      <c r="I680" s="105" t="n"/>
      <c r="J680" s="105" t="n"/>
      <c r="K680" s="103" t="n"/>
      <c r="L680" s="103" t="n"/>
      <c r="M680" s="106" t="str">
        <f>IF(OR(D680="",E680=""),"",D680+IF(E680="NOTIFICAÇÃO DE CONSTATAÇÃO",PrazoConst,PrazoEsc))</f>
        <v/>
      </c>
      <c r="N680" s="107" t="str">
        <f>IF(M680="","",IF(ISNUMBER(L680),M680-L680,IF(G680="DECISÃO D.P","",M680-TODAY())))</f>
        <v/>
      </c>
      <c r="O680" s="108" t="str">
        <f>IF(B680="","",IF(ISNUMBER(L680),IF(N680="","SEM DATA",IF(N680&gt;=0,"DEFESA NO PRAZO","DEFESA FORA DO PRAZO")),IF(G680="DECISÃO D.P","SEM DEFESA",IF(G680="","SEM STATUS",IF(N680="","SEM DATA",IF(N680&lt;0,"VENCIDO",IF(N680&lt;=DiasAlerta,"VENCE EM BREVE","NO PRAZO")))))))</f>
        <v/>
      </c>
      <c r="P680" s="109" t="str">
        <f>IF(D680="","",TODAY()-D680)</f>
        <v/>
      </c>
      <c r="Q680" s="102" t="n"/>
    </row>
    <row r="681" ht="18" customHeight="1">
      <c r="A681" s="101" t="n"/>
      <c r="B681" s="102" t="n"/>
      <c r="C681" s="102" t="n"/>
      <c r="D681" s="103" t="n"/>
      <c r="E681" s="102" t="n"/>
      <c r="F681" s="104" t="n"/>
      <c r="G681" s="104" t="n"/>
      <c r="H681" s="102" t="n"/>
      <c r="I681" s="105" t="n"/>
      <c r="J681" s="105" t="n"/>
      <c r="K681" s="103" t="n"/>
      <c r="L681" s="103" t="n"/>
      <c r="M681" s="106" t="str">
        <f>IF(OR(D681="",E681=""),"",D681+IF(E681="NOTIFICAÇÃO DE CONSTATAÇÃO",PrazoConst,PrazoEsc))</f>
        <v/>
      </c>
      <c r="N681" s="107" t="str">
        <f>IF(M681="","",IF(ISNUMBER(L681),M681-L681,IF(G681="DECISÃO D.P","",M681-TODAY())))</f>
        <v/>
      </c>
      <c r="O681" s="108" t="str">
        <f>IF(B681="","",IF(ISNUMBER(L681),IF(N681="","SEM DATA",IF(N681&gt;=0,"DEFESA NO PRAZO","DEFESA FORA DO PRAZO")),IF(G681="DECISÃO D.P","SEM DEFESA",IF(G681="","SEM STATUS",IF(N681="","SEM DATA",IF(N681&lt;0,"VENCIDO",IF(N681&lt;=DiasAlerta,"VENCE EM BREVE","NO PRAZO")))))))</f>
        <v/>
      </c>
      <c r="P681" s="109" t="str">
        <f>IF(D681="","",TODAY()-D681)</f>
        <v/>
      </c>
      <c r="Q681" s="102" t="n"/>
    </row>
    <row r="682" ht="18" customHeight="1">
      <c r="A682" s="101" t="n"/>
      <c r="B682" s="102" t="n"/>
      <c r="C682" s="102" t="n"/>
      <c r="D682" s="103" t="n"/>
      <c r="E682" s="102" t="n"/>
      <c r="F682" s="104" t="n"/>
      <c r="G682" s="104" t="n"/>
      <c r="H682" s="102" t="n"/>
      <c r="I682" s="105" t="n"/>
      <c r="J682" s="105" t="n"/>
      <c r="K682" s="103" t="n"/>
      <c r="L682" s="103" t="n"/>
      <c r="M682" s="106" t="str">
        <f>IF(OR(D682="",E682=""),"",D682+IF(E682="NOTIFICAÇÃO DE CONSTATAÇÃO",PrazoConst,PrazoEsc))</f>
        <v/>
      </c>
      <c r="N682" s="107" t="str">
        <f>IF(M682="","",IF(ISNUMBER(L682),M682-L682,IF(G682="DECISÃO D.P","",M682-TODAY())))</f>
        <v/>
      </c>
      <c r="O682" s="108" t="str">
        <f>IF(B682="","",IF(ISNUMBER(L682),IF(N682="","SEM DATA",IF(N682&gt;=0,"DEFESA NO PRAZO","DEFESA FORA DO PRAZO")),IF(G682="DECISÃO D.P","SEM DEFESA",IF(G682="","SEM STATUS",IF(N682="","SEM DATA",IF(N682&lt;0,"VENCIDO",IF(N682&lt;=DiasAlerta,"VENCE EM BREVE","NO PRAZO")))))))</f>
        <v/>
      </c>
      <c r="P682" s="109" t="str">
        <f>IF(D682="","",TODAY()-D682)</f>
        <v/>
      </c>
      <c r="Q682" s="102" t="n"/>
    </row>
    <row r="683" ht="18" customHeight="1">
      <c r="A683" s="101" t="n"/>
      <c r="B683" s="102" t="n"/>
      <c r="C683" s="102" t="n"/>
      <c r="D683" s="103" t="n"/>
      <c r="E683" s="102" t="n"/>
      <c r="F683" s="104" t="n"/>
      <c r="G683" s="104" t="n"/>
      <c r="H683" s="102" t="n"/>
      <c r="I683" s="105" t="n"/>
      <c r="J683" s="105" t="n"/>
      <c r="K683" s="103" t="n"/>
      <c r="L683" s="103" t="n"/>
      <c r="M683" s="106" t="str">
        <f>IF(OR(D683="",E683=""),"",D683+IF(E683="NOTIFICAÇÃO DE CONSTATAÇÃO",PrazoConst,PrazoEsc))</f>
        <v/>
      </c>
      <c r="N683" s="107" t="str">
        <f>IF(M683="","",IF(ISNUMBER(L683),M683-L683,IF(G683="DECISÃO D.P","",M683-TODAY())))</f>
        <v/>
      </c>
      <c r="O683" s="108" t="str">
        <f>IF(B683="","",IF(ISNUMBER(L683),IF(N683="","SEM DATA",IF(N683&gt;=0,"DEFESA NO PRAZO","DEFESA FORA DO PRAZO")),IF(G683="DECISÃO D.P","SEM DEFESA",IF(G683="","SEM STATUS",IF(N683="","SEM DATA",IF(N683&lt;0,"VENCIDO",IF(N683&lt;=DiasAlerta,"VENCE EM BREVE","NO PRAZO")))))))</f>
        <v/>
      </c>
      <c r="P683" s="109" t="str">
        <f>IF(D683="","",TODAY()-D683)</f>
        <v/>
      </c>
      <c r="Q683" s="102" t="n"/>
    </row>
    <row r="684" ht="18" customHeight="1">
      <c r="A684" s="101" t="n"/>
      <c r="B684" s="102" t="n"/>
      <c r="C684" s="102" t="n"/>
      <c r="D684" s="103" t="n"/>
      <c r="E684" s="102" t="n"/>
      <c r="F684" s="104" t="n"/>
      <c r="G684" s="104" t="n"/>
      <c r="H684" s="102" t="n"/>
      <c r="I684" s="105" t="n"/>
      <c r="J684" s="105" t="n"/>
      <c r="K684" s="103" t="n"/>
      <c r="L684" s="103" t="n"/>
      <c r="M684" s="106" t="str">
        <f>IF(OR(D684="",E684=""),"",D684+IF(E684="NOTIFICAÇÃO DE CONSTATAÇÃO",PrazoConst,PrazoEsc))</f>
        <v/>
      </c>
      <c r="N684" s="107" t="str">
        <f>IF(M684="","",IF(ISNUMBER(L684),M684-L684,IF(G684="DECISÃO D.P","",M684-TODAY())))</f>
        <v/>
      </c>
      <c r="O684" s="108" t="str">
        <f>IF(B684="","",IF(ISNUMBER(L684),IF(N684="","SEM DATA",IF(N684&gt;=0,"DEFESA NO PRAZO","DEFESA FORA DO PRAZO")),IF(G684="DECISÃO D.P","SEM DEFESA",IF(G684="","SEM STATUS",IF(N684="","SEM DATA",IF(N684&lt;0,"VENCIDO",IF(N684&lt;=DiasAlerta,"VENCE EM BREVE","NO PRAZO")))))))</f>
        <v/>
      </c>
      <c r="P684" s="109" t="str">
        <f>IF(D684="","",TODAY()-D684)</f>
        <v/>
      </c>
      <c r="Q684" s="102" t="n"/>
    </row>
    <row r="685" ht="18" customHeight="1">
      <c r="A685" s="101" t="n"/>
      <c r="B685" s="102" t="n"/>
      <c r="C685" s="102" t="n"/>
      <c r="D685" s="103" t="n"/>
      <c r="E685" s="102" t="n"/>
      <c r="F685" s="104" t="n"/>
      <c r="G685" s="104" t="n"/>
      <c r="H685" s="102" t="n"/>
      <c r="I685" s="105" t="n"/>
      <c r="J685" s="105" t="n"/>
      <c r="K685" s="103" t="n"/>
      <c r="L685" s="103" t="n"/>
      <c r="M685" s="106" t="str">
        <f>IF(OR(D685="",E685=""),"",D685+IF(E685="NOTIFICAÇÃO DE CONSTATAÇÃO",PrazoConst,PrazoEsc))</f>
        <v/>
      </c>
      <c r="N685" s="107" t="str">
        <f>IF(M685="","",IF(ISNUMBER(L685),M685-L685,IF(G685="DECISÃO D.P","",M685-TODAY())))</f>
        <v/>
      </c>
      <c r="O685" s="108" t="str">
        <f>IF(B685="","",IF(ISNUMBER(L685),IF(N685="","SEM DATA",IF(N685&gt;=0,"DEFESA NO PRAZO","DEFESA FORA DO PRAZO")),IF(G685="DECISÃO D.P","SEM DEFESA",IF(G685="","SEM STATUS",IF(N685="","SEM DATA",IF(N685&lt;0,"VENCIDO",IF(N685&lt;=DiasAlerta,"VENCE EM BREVE","NO PRAZO")))))))</f>
        <v/>
      </c>
      <c r="P685" s="109" t="str">
        <f>IF(D685="","",TODAY()-D685)</f>
        <v/>
      </c>
      <c r="Q685" s="102" t="n"/>
    </row>
    <row r="686" ht="18" customHeight="1">
      <c r="A686" s="101" t="n"/>
      <c r="B686" s="102" t="n"/>
      <c r="C686" s="102" t="n"/>
      <c r="D686" s="103" t="n"/>
      <c r="E686" s="102" t="n"/>
      <c r="F686" s="104" t="n"/>
      <c r="G686" s="104" t="n"/>
      <c r="H686" s="102" t="n"/>
      <c r="I686" s="105" t="n"/>
      <c r="J686" s="105" t="n"/>
      <c r="K686" s="103" t="n"/>
      <c r="L686" s="103" t="n"/>
      <c r="M686" s="106" t="str">
        <f>IF(OR(D686="",E686=""),"",D686+IF(E686="NOTIFICAÇÃO DE CONSTATAÇÃO",PrazoConst,PrazoEsc))</f>
        <v/>
      </c>
      <c r="N686" s="107" t="str">
        <f>IF(M686="","",IF(ISNUMBER(L686),M686-L686,IF(G686="DECISÃO D.P","",M686-TODAY())))</f>
        <v/>
      </c>
      <c r="O686" s="108" t="str">
        <f>IF(B686="","",IF(ISNUMBER(L686),IF(N686="","SEM DATA",IF(N686&gt;=0,"DEFESA NO PRAZO","DEFESA FORA DO PRAZO")),IF(G686="DECISÃO D.P","SEM DEFESA",IF(G686="","SEM STATUS",IF(N686="","SEM DATA",IF(N686&lt;0,"VENCIDO",IF(N686&lt;=DiasAlerta,"VENCE EM BREVE","NO PRAZO")))))))</f>
        <v/>
      </c>
      <c r="P686" s="109" t="str">
        <f>IF(D686="","",TODAY()-D686)</f>
        <v/>
      </c>
      <c r="Q686" s="102" t="n"/>
    </row>
    <row r="687" ht="18" customHeight="1">
      <c r="A687" s="101" t="n"/>
      <c r="B687" s="102" t="n"/>
      <c r="C687" s="102" t="n"/>
      <c r="D687" s="103" t="n"/>
      <c r="E687" s="102" t="n"/>
      <c r="F687" s="104" t="n"/>
      <c r="G687" s="104" t="n"/>
      <c r="H687" s="102" t="n"/>
      <c r="I687" s="105" t="n"/>
      <c r="J687" s="105" t="n"/>
      <c r="K687" s="103" t="n"/>
      <c r="L687" s="103" t="n"/>
      <c r="M687" s="106" t="str">
        <f>IF(OR(D687="",E687=""),"",D687+IF(E687="NOTIFICAÇÃO DE CONSTATAÇÃO",PrazoConst,PrazoEsc))</f>
        <v/>
      </c>
      <c r="N687" s="107" t="str">
        <f>IF(M687="","",IF(ISNUMBER(L687),M687-L687,IF(G687="DECISÃO D.P","",M687-TODAY())))</f>
        <v/>
      </c>
      <c r="O687" s="108" t="str">
        <f>IF(B687="","",IF(ISNUMBER(L687),IF(N687="","SEM DATA",IF(N687&gt;=0,"DEFESA NO PRAZO","DEFESA FORA DO PRAZO")),IF(G687="DECISÃO D.P","SEM DEFESA",IF(G687="","SEM STATUS",IF(N687="","SEM DATA",IF(N687&lt;0,"VENCIDO",IF(N687&lt;=DiasAlerta,"VENCE EM BREVE","NO PRAZO")))))))</f>
        <v/>
      </c>
      <c r="P687" s="109" t="str">
        <f>IF(D687="","",TODAY()-D687)</f>
        <v/>
      </c>
      <c r="Q687" s="102" t="n"/>
    </row>
    <row r="688" ht="18" customHeight="1">
      <c r="A688" s="101" t="n"/>
      <c r="B688" s="102" t="n"/>
      <c r="C688" s="102" t="n"/>
      <c r="D688" s="103" t="n"/>
      <c r="E688" s="102" t="n"/>
      <c r="F688" s="104" t="n"/>
      <c r="G688" s="104" t="n"/>
      <c r="H688" s="102" t="n"/>
      <c r="I688" s="105" t="n"/>
      <c r="J688" s="105" t="n"/>
      <c r="K688" s="103" t="n"/>
      <c r="L688" s="103" t="n"/>
      <c r="M688" s="106" t="str">
        <f>IF(OR(D688="",E688=""),"",D688+IF(E688="NOTIFICAÇÃO DE CONSTATAÇÃO",PrazoConst,PrazoEsc))</f>
        <v/>
      </c>
      <c r="N688" s="107" t="str">
        <f>IF(M688="","",IF(ISNUMBER(L688),M688-L688,IF(G688="DECISÃO D.P","",M688-TODAY())))</f>
        <v/>
      </c>
      <c r="O688" s="108" t="str">
        <f>IF(B688="","",IF(ISNUMBER(L688),IF(N688="","SEM DATA",IF(N688&gt;=0,"DEFESA NO PRAZO","DEFESA FORA DO PRAZO")),IF(G688="DECISÃO D.P","SEM DEFESA",IF(G688="","SEM STATUS",IF(N688="","SEM DATA",IF(N688&lt;0,"VENCIDO",IF(N688&lt;=DiasAlerta,"VENCE EM BREVE","NO PRAZO")))))))</f>
        <v/>
      </c>
      <c r="P688" s="109" t="str">
        <f>IF(D688="","",TODAY()-D688)</f>
        <v/>
      </c>
      <c r="Q688" s="102" t="n"/>
    </row>
    <row r="689" ht="18" customHeight="1">
      <c r="A689" s="101" t="n"/>
      <c r="B689" s="102" t="n"/>
      <c r="C689" s="102" t="n"/>
      <c r="D689" s="103" t="n"/>
      <c r="E689" s="102" t="n"/>
      <c r="F689" s="104" t="n"/>
      <c r="G689" s="104" t="n"/>
      <c r="H689" s="102" t="n"/>
      <c r="I689" s="105" t="n"/>
      <c r="J689" s="105" t="n"/>
      <c r="K689" s="103" t="n"/>
      <c r="L689" s="103" t="n"/>
      <c r="M689" s="106" t="str">
        <f>IF(OR(D689="",E689=""),"",D689+IF(E689="NOTIFICAÇÃO DE CONSTATAÇÃO",PrazoConst,PrazoEsc))</f>
        <v/>
      </c>
      <c r="N689" s="107" t="str">
        <f>IF(M689="","",IF(ISNUMBER(L689),M689-L689,IF(G689="DECISÃO D.P","",M689-TODAY())))</f>
        <v/>
      </c>
      <c r="O689" s="108" t="str">
        <f>IF(B689="","",IF(ISNUMBER(L689),IF(N689="","SEM DATA",IF(N689&gt;=0,"DEFESA NO PRAZO","DEFESA FORA DO PRAZO")),IF(G689="DECISÃO D.P","SEM DEFESA",IF(G689="","SEM STATUS",IF(N689="","SEM DATA",IF(N689&lt;0,"VENCIDO",IF(N689&lt;=DiasAlerta,"VENCE EM BREVE","NO PRAZO")))))))</f>
        <v/>
      </c>
      <c r="P689" s="109" t="str">
        <f>IF(D689="","",TODAY()-D689)</f>
        <v/>
      </c>
      <c r="Q689" s="102" t="n"/>
    </row>
    <row r="690" ht="18" customHeight="1">
      <c r="A690" s="101" t="n"/>
      <c r="B690" s="102" t="n"/>
      <c r="C690" s="102" t="n"/>
      <c r="D690" s="103" t="n"/>
      <c r="E690" s="102" t="n"/>
      <c r="F690" s="104" t="n"/>
      <c r="G690" s="104" t="n"/>
      <c r="H690" s="102" t="n"/>
      <c r="I690" s="105" t="n"/>
      <c r="J690" s="105" t="n"/>
      <c r="K690" s="103" t="n"/>
      <c r="L690" s="103" t="n"/>
      <c r="M690" s="106" t="str">
        <f>IF(OR(D690="",E690=""),"",D690+IF(E690="NOTIFICAÇÃO DE CONSTATAÇÃO",PrazoConst,PrazoEsc))</f>
        <v/>
      </c>
      <c r="N690" s="107" t="str">
        <f>IF(M690="","",IF(ISNUMBER(L690),M690-L690,IF(G690="DECISÃO D.P","",M690-TODAY())))</f>
        <v/>
      </c>
      <c r="O690" s="108" t="str">
        <f>IF(B690="","",IF(ISNUMBER(L690),IF(N690="","SEM DATA",IF(N690&gt;=0,"DEFESA NO PRAZO","DEFESA FORA DO PRAZO")),IF(G690="DECISÃO D.P","SEM DEFESA",IF(G690="","SEM STATUS",IF(N690="","SEM DATA",IF(N690&lt;0,"VENCIDO",IF(N690&lt;=DiasAlerta,"VENCE EM BREVE","NO PRAZO")))))))</f>
        <v/>
      </c>
      <c r="P690" s="109" t="str">
        <f>IF(D690="","",TODAY()-D690)</f>
        <v/>
      </c>
      <c r="Q690" s="102" t="n"/>
    </row>
    <row r="691" ht="18" customHeight="1">
      <c r="A691" s="101" t="n"/>
      <c r="B691" s="102" t="n"/>
      <c r="C691" s="102" t="n"/>
      <c r="D691" s="103" t="n"/>
      <c r="E691" s="102" t="n"/>
      <c r="F691" s="104" t="n"/>
      <c r="G691" s="104" t="n"/>
      <c r="H691" s="102" t="n"/>
      <c r="I691" s="105" t="n"/>
      <c r="J691" s="105" t="n"/>
      <c r="K691" s="103" t="n"/>
      <c r="L691" s="103" t="n"/>
      <c r="M691" s="106" t="str">
        <f>IF(OR(D691="",E691=""),"",D691+IF(E691="NOTIFICAÇÃO DE CONSTATAÇÃO",PrazoConst,PrazoEsc))</f>
        <v/>
      </c>
      <c r="N691" s="107" t="str">
        <f>IF(M691="","",IF(ISNUMBER(L691),M691-L691,IF(G691="DECISÃO D.P","",M691-TODAY())))</f>
        <v/>
      </c>
      <c r="O691" s="108" t="str">
        <f>IF(B691="","",IF(ISNUMBER(L691),IF(N691="","SEM DATA",IF(N691&gt;=0,"DEFESA NO PRAZO","DEFESA FORA DO PRAZO")),IF(G691="DECISÃO D.P","SEM DEFESA",IF(G691="","SEM STATUS",IF(N691="","SEM DATA",IF(N691&lt;0,"VENCIDO",IF(N691&lt;=DiasAlerta,"VENCE EM BREVE","NO PRAZO")))))))</f>
        <v/>
      </c>
      <c r="P691" s="109" t="str">
        <f>IF(D691="","",TODAY()-D691)</f>
        <v/>
      </c>
      <c r="Q691" s="102" t="n"/>
    </row>
    <row r="692" ht="18" customHeight="1">
      <c r="A692" s="101" t="n"/>
      <c r="B692" s="102" t="n"/>
      <c r="C692" s="102" t="n"/>
      <c r="D692" s="103" t="n"/>
      <c r="E692" s="102" t="n"/>
      <c r="F692" s="104" t="n"/>
      <c r="G692" s="104" t="n"/>
      <c r="H692" s="102" t="n"/>
      <c r="I692" s="105" t="n"/>
      <c r="J692" s="105" t="n"/>
      <c r="K692" s="103" t="n"/>
      <c r="L692" s="103" t="n"/>
      <c r="M692" s="106" t="str">
        <f>IF(OR(D692="",E692=""),"",D692+IF(E692="NOTIFICAÇÃO DE CONSTATAÇÃO",PrazoConst,PrazoEsc))</f>
        <v/>
      </c>
      <c r="N692" s="107" t="str">
        <f>IF(M692="","",IF(ISNUMBER(L692),M692-L692,IF(G692="DECISÃO D.P","",M692-TODAY())))</f>
        <v/>
      </c>
      <c r="O692" s="108" t="str">
        <f>IF(B692="","",IF(ISNUMBER(L692),IF(N692="","SEM DATA",IF(N692&gt;=0,"DEFESA NO PRAZO","DEFESA FORA DO PRAZO")),IF(G692="DECISÃO D.P","SEM DEFESA",IF(G692="","SEM STATUS",IF(N692="","SEM DATA",IF(N692&lt;0,"VENCIDO",IF(N692&lt;=DiasAlerta,"VENCE EM BREVE","NO PRAZO")))))))</f>
        <v/>
      </c>
      <c r="P692" s="109" t="str">
        <f>IF(D692="","",TODAY()-D692)</f>
        <v/>
      </c>
      <c r="Q692" s="102" t="n"/>
    </row>
    <row r="693" ht="18" customHeight="1">
      <c r="A693" s="101" t="n"/>
      <c r="B693" s="102" t="n"/>
      <c r="C693" s="102" t="n"/>
      <c r="D693" s="103" t="n"/>
      <c r="E693" s="102" t="n"/>
      <c r="F693" s="104" t="n"/>
      <c r="G693" s="104" t="n"/>
      <c r="H693" s="102" t="n"/>
      <c r="I693" s="105" t="n"/>
      <c r="J693" s="105" t="n"/>
      <c r="K693" s="103" t="n"/>
      <c r="L693" s="103" t="n"/>
      <c r="M693" s="106" t="str">
        <f>IF(OR(D693="",E693=""),"",D693+IF(E693="NOTIFICAÇÃO DE CONSTATAÇÃO",PrazoConst,PrazoEsc))</f>
        <v/>
      </c>
      <c r="N693" s="107" t="str">
        <f>IF(M693="","",IF(ISNUMBER(L693),M693-L693,IF(G693="DECISÃO D.P","",M693-TODAY())))</f>
        <v/>
      </c>
      <c r="O693" s="108" t="str">
        <f>IF(B693="","",IF(ISNUMBER(L693),IF(N693="","SEM DATA",IF(N693&gt;=0,"DEFESA NO PRAZO","DEFESA FORA DO PRAZO")),IF(G693="DECISÃO D.P","SEM DEFESA",IF(G693="","SEM STATUS",IF(N693="","SEM DATA",IF(N693&lt;0,"VENCIDO",IF(N693&lt;=DiasAlerta,"VENCE EM BREVE","NO PRAZO")))))))</f>
        <v/>
      </c>
      <c r="P693" s="109" t="str">
        <f>IF(D693="","",TODAY()-D693)</f>
        <v/>
      </c>
      <c r="Q693" s="102" t="n"/>
    </row>
    <row r="694" ht="18" customHeight="1">
      <c r="A694" s="101" t="n"/>
      <c r="B694" s="102" t="n"/>
      <c r="C694" s="102" t="n"/>
      <c r="D694" s="103" t="n"/>
      <c r="E694" s="102" t="n"/>
      <c r="F694" s="104" t="n"/>
      <c r="G694" s="104" t="n"/>
      <c r="H694" s="102" t="n"/>
      <c r="I694" s="105" t="n"/>
      <c r="J694" s="105" t="n"/>
      <c r="K694" s="103" t="n"/>
      <c r="L694" s="103" t="n"/>
      <c r="M694" s="106" t="str">
        <f>IF(OR(D694="",E694=""),"",D694+IF(E694="NOTIFICAÇÃO DE CONSTATAÇÃO",PrazoConst,PrazoEsc))</f>
        <v/>
      </c>
      <c r="N694" s="107" t="str">
        <f>IF(M694="","",IF(ISNUMBER(L694),M694-L694,IF(G694="DECISÃO D.P","",M694-TODAY())))</f>
        <v/>
      </c>
      <c r="O694" s="108" t="str">
        <f>IF(B694="","",IF(ISNUMBER(L694),IF(N694="","SEM DATA",IF(N694&gt;=0,"DEFESA NO PRAZO","DEFESA FORA DO PRAZO")),IF(G694="DECISÃO D.P","SEM DEFESA",IF(G694="","SEM STATUS",IF(N694="","SEM DATA",IF(N694&lt;0,"VENCIDO",IF(N694&lt;=DiasAlerta,"VENCE EM BREVE","NO PRAZO")))))))</f>
        <v/>
      </c>
      <c r="P694" s="109" t="str">
        <f>IF(D694="","",TODAY()-D694)</f>
        <v/>
      </c>
      <c r="Q694" s="102" t="n"/>
    </row>
    <row r="695" ht="18" customHeight="1">
      <c r="A695" s="101" t="n"/>
      <c r="B695" s="102" t="n"/>
      <c r="C695" s="102" t="n"/>
      <c r="D695" s="103" t="n"/>
      <c r="E695" s="102" t="n"/>
      <c r="F695" s="104" t="n"/>
      <c r="G695" s="104" t="n"/>
      <c r="H695" s="102" t="n"/>
      <c r="I695" s="105" t="n"/>
      <c r="J695" s="105" t="n"/>
      <c r="K695" s="103" t="n"/>
      <c r="L695" s="103" t="n"/>
      <c r="M695" s="106" t="str">
        <f>IF(OR(D695="",E695=""),"",D695+IF(E695="NOTIFICAÇÃO DE CONSTATAÇÃO",PrazoConst,PrazoEsc))</f>
        <v/>
      </c>
      <c r="N695" s="107" t="str">
        <f>IF(M695="","",IF(ISNUMBER(L695),M695-L695,IF(G695="DECISÃO D.P","",M695-TODAY())))</f>
        <v/>
      </c>
      <c r="O695" s="108" t="str">
        <f>IF(B695="","",IF(ISNUMBER(L695),IF(N695="","SEM DATA",IF(N695&gt;=0,"DEFESA NO PRAZO","DEFESA FORA DO PRAZO")),IF(G695="DECISÃO D.P","SEM DEFESA",IF(G695="","SEM STATUS",IF(N695="","SEM DATA",IF(N695&lt;0,"VENCIDO",IF(N695&lt;=DiasAlerta,"VENCE EM BREVE","NO PRAZO")))))))</f>
        <v/>
      </c>
      <c r="P695" s="109" t="str">
        <f>IF(D695="","",TODAY()-D695)</f>
        <v/>
      </c>
      <c r="Q695" s="102" t="n"/>
    </row>
    <row r="696" ht="18" customHeight="1">
      <c r="A696" s="101" t="n"/>
      <c r="B696" s="102" t="n"/>
      <c r="C696" s="102" t="n"/>
      <c r="D696" s="103" t="n"/>
      <c r="E696" s="102" t="n"/>
      <c r="F696" s="104" t="n"/>
      <c r="G696" s="104" t="n"/>
      <c r="H696" s="102" t="n"/>
      <c r="I696" s="105" t="n"/>
      <c r="J696" s="105" t="n"/>
      <c r="K696" s="103" t="n"/>
      <c r="L696" s="103" t="n"/>
      <c r="M696" s="106" t="str">
        <f>IF(OR(D696="",E696=""),"",D696+IF(E696="NOTIFICAÇÃO DE CONSTATAÇÃO",PrazoConst,PrazoEsc))</f>
        <v/>
      </c>
      <c r="N696" s="107" t="str">
        <f>IF(M696="","",IF(ISNUMBER(L696),M696-L696,IF(G696="DECISÃO D.P","",M696-TODAY())))</f>
        <v/>
      </c>
      <c r="O696" s="108" t="str">
        <f>IF(B696="","",IF(ISNUMBER(L696),IF(N696="","SEM DATA",IF(N696&gt;=0,"DEFESA NO PRAZO","DEFESA FORA DO PRAZO")),IF(G696="DECISÃO D.P","SEM DEFESA",IF(G696="","SEM STATUS",IF(N696="","SEM DATA",IF(N696&lt;0,"VENCIDO",IF(N696&lt;=DiasAlerta,"VENCE EM BREVE","NO PRAZO")))))))</f>
        <v/>
      </c>
      <c r="P696" s="109" t="str">
        <f>IF(D696="","",TODAY()-D696)</f>
        <v/>
      </c>
      <c r="Q696" s="102" t="n"/>
    </row>
    <row r="697" ht="18" customHeight="1">
      <c r="A697" s="101" t="n"/>
      <c r="B697" s="102" t="n"/>
      <c r="C697" s="102" t="n"/>
      <c r="D697" s="103" t="n"/>
      <c r="E697" s="102" t="n"/>
      <c r="F697" s="104" t="n"/>
      <c r="G697" s="104" t="n"/>
      <c r="H697" s="102" t="n"/>
      <c r="I697" s="105" t="n"/>
      <c r="J697" s="105" t="n"/>
      <c r="K697" s="103" t="n"/>
      <c r="L697" s="103" t="n"/>
      <c r="M697" s="106" t="str">
        <f>IF(OR(D697="",E697=""),"",D697+IF(E697="NOTIFICAÇÃO DE CONSTATAÇÃO",PrazoConst,PrazoEsc))</f>
        <v/>
      </c>
      <c r="N697" s="107" t="str">
        <f>IF(M697="","",IF(ISNUMBER(L697),M697-L697,IF(G697="DECISÃO D.P","",M697-TODAY())))</f>
        <v/>
      </c>
      <c r="O697" s="108" t="str">
        <f>IF(B697="","",IF(ISNUMBER(L697),IF(N697="","SEM DATA",IF(N697&gt;=0,"DEFESA NO PRAZO","DEFESA FORA DO PRAZO")),IF(G697="DECISÃO D.P","SEM DEFESA",IF(G697="","SEM STATUS",IF(N697="","SEM DATA",IF(N697&lt;0,"VENCIDO",IF(N697&lt;=DiasAlerta,"VENCE EM BREVE","NO PRAZO")))))))</f>
        <v/>
      </c>
      <c r="P697" s="109" t="str">
        <f>IF(D697="","",TODAY()-D697)</f>
        <v/>
      </c>
      <c r="Q697" s="102" t="n"/>
    </row>
    <row r="698" ht="18" customHeight="1">
      <c r="A698" s="101" t="n"/>
      <c r="B698" s="102" t="n"/>
      <c r="C698" s="102" t="n"/>
      <c r="D698" s="103" t="n"/>
      <c r="E698" s="102" t="n"/>
      <c r="F698" s="104" t="n"/>
      <c r="G698" s="104" t="n"/>
      <c r="H698" s="102" t="n"/>
      <c r="I698" s="105" t="n"/>
      <c r="J698" s="105" t="n"/>
      <c r="K698" s="103" t="n"/>
      <c r="L698" s="103" t="n"/>
      <c r="M698" s="106" t="str">
        <f>IF(OR(D698="",E698=""),"",D698+IF(E698="NOTIFICAÇÃO DE CONSTATAÇÃO",PrazoConst,PrazoEsc))</f>
        <v/>
      </c>
      <c r="N698" s="107" t="str">
        <f>IF(M698="","",IF(ISNUMBER(L698),M698-L698,IF(G698="DECISÃO D.P","",M698-TODAY())))</f>
        <v/>
      </c>
      <c r="O698" s="108" t="str">
        <f>IF(B698="","",IF(ISNUMBER(L698),IF(N698="","SEM DATA",IF(N698&gt;=0,"DEFESA NO PRAZO","DEFESA FORA DO PRAZO")),IF(G698="DECISÃO D.P","SEM DEFESA",IF(G698="","SEM STATUS",IF(N698="","SEM DATA",IF(N698&lt;0,"VENCIDO",IF(N698&lt;=DiasAlerta,"VENCE EM BREVE","NO PRAZO")))))))</f>
        <v/>
      </c>
      <c r="P698" s="109" t="str">
        <f>IF(D698="","",TODAY()-D698)</f>
        <v/>
      </c>
      <c r="Q698" s="102" t="n"/>
    </row>
    <row r="699" ht="18" customHeight="1">
      <c r="A699" s="101" t="n"/>
      <c r="B699" s="102" t="n"/>
      <c r="C699" s="102" t="n"/>
      <c r="D699" s="103" t="n"/>
      <c r="E699" s="102" t="n"/>
      <c r="F699" s="104" t="n"/>
      <c r="G699" s="104" t="n"/>
      <c r="H699" s="102" t="n"/>
      <c r="I699" s="105" t="n"/>
      <c r="J699" s="105" t="n"/>
      <c r="K699" s="103" t="n"/>
      <c r="L699" s="103" t="n"/>
      <c r="M699" s="106" t="str">
        <f>IF(OR(D699="",E699=""),"",D699+IF(E699="NOTIFICAÇÃO DE CONSTATAÇÃO",PrazoConst,PrazoEsc))</f>
        <v/>
      </c>
      <c r="N699" s="107" t="str">
        <f>IF(M699="","",IF(ISNUMBER(L699),M699-L699,IF(G699="DECISÃO D.P","",M699-TODAY())))</f>
        <v/>
      </c>
      <c r="O699" s="108" t="str">
        <f>IF(B699="","",IF(ISNUMBER(L699),IF(N699="","SEM DATA",IF(N699&gt;=0,"DEFESA NO PRAZO","DEFESA FORA DO PRAZO")),IF(G699="DECISÃO D.P","SEM DEFESA",IF(G699="","SEM STATUS",IF(N699="","SEM DATA",IF(N699&lt;0,"VENCIDO",IF(N699&lt;=DiasAlerta,"VENCE EM BREVE","NO PRAZO")))))))</f>
        <v/>
      </c>
      <c r="P699" s="109" t="str">
        <f>IF(D699="","",TODAY()-D699)</f>
        <v/>
      </c>
      <c r="Q699" s="102" t="n"/>
    </row>
    <row r="700" ht="18" customHeight="1">
      <c r="A700" s="101" t="n"/>
      <c r="B700" s="102" t="n"/>
      <c r="C700" s="102" t="n"/>
      <c r="D700" s="103" t="n"/>
      <c r="E700" s="102" t="n"/>
      <c r="F700" s="104" t="n"/>
      <c r="G700" s="104" t="n"/>
      <c r="H700" s="102" t="n"/>
      <c r="I700" s="105" t="n"/>
      <c r="J700" s="105" t="n"/>
      <c r="K700" s="103" t="n"/>
      <c r="L700" s="103" t="n"/>
      <c r="M700" s="106" t="str">
        <f>IF(OR(D700="",E700=""),"",D700+IF(E700="NOTIFICAÇÃO DE CONSTATAÇÃO",PrazoConst,PrazoEsc))</f>
        <v/>
      </c>
      <c r="N700" s="107" t="str">
        <f>IF(M700="","",IF(ISNUMBER(L700),M700-L700,IF(G700="DECISÃO D.P","",M700-TODAY())))</f>
        <v/>
      </c>
      <c r="O700" s="108" t="str">
        <f>IF(B700="","",IF(ISNUMBER(L700),IF(N700="","SEM DATA",IF(N700&gt;=0,"DEFESA NO PRAZO","DEFESA FORA DO PRAZO")),IF(G700="DECISÃO D.P","SEM DEFESA",IF(G700="","SEM STATUS",IF(N700="","SEM DATA",IF(N700&lt;0,"VENCIDO",IF(N700&lt;=DiasAlerta,"VENCE EM BREVE","NO PRAZO")))))))</f>
        <v/>
      </c>
      <c r="P700" s="109" t="str">
        <f>IF(D700="","",TODAY()-D700)</f>
        <v/>
      </c>
      <c r="Q700" s="102" t="n"/>
    </row>
    <row r="701" ht="18" customHeight="1">
      <c r="A701" s="101" t="n"/>
      <c r="B701" s="102" t="n"/>
      <c r="C701" s="102" t="n"/>
      <c r="D701" s="103" t="n"/>
      <c r="E701" s="102" t="n"/>
      <c r="F701" s="104" t="n"/>
      <c r="G701" s="104" t="n"/>
      <c r="H701" s="102" t="n"/>
      <c r="I701" s="105" t="n"/>
      <c r="J701" s="105" t="n"/>
      <c r="K701" s="103" t="n"/>
      <c r="L701" s="103" t="n"/>
      <c r="M701" s="106" t="str">
        <f>IF(OR(D701="",E701=""),"",D701+IF(E701="NOTIFICAÇÃO DE CONSTATAÇÃO",PrazoConst,PrazoEsc))</f>
        <v/>
      </c>
      <c r="N701" s="107" t="str">
        <f>IF(M701="","",IF(ISNUMBER(L701),M701-L701,IF(G701="DECISÃO D.P","",M701-TODAY())))</f>
        <v/>
      </c>
      <c r="O701" s="108" t="str">
        <f>IF(B701="","",IF(ISNUMBER(L701),IF(N701="","SEM DATA",IF(N701&gt;=0,"DEFESA NO PRAZO","DEFESA FORA DO PRAZO")),IF(G701="DECISÃO D.P","SEM DEFESA",IF(G701="","SEM STATUS",IF(N701="","SEM DATA",IF(N701&lt;0,"VENCIDO",IF(N701&lt;=DiasAlerta,"VENCE EM BREVE","NO PRAZO")))))))</f>
        <v/>
      </c>
      <c r="P701" s="109" t="str">
        <f>IF(D701="","",TODAY()-D701)</f>
        <v/>
      </c>
      <c r="Q701" s="102" t="n"/>
    </row>
    <row r="702" ht="18" customHeight="1">
      <c r="A702" s="101" t="n"/>
      <c r="B702" s="102" t="n"/>
      <c r="C702" s="102" t="n"/>
      <c r="D702" s="103" t="n"/>
      <c r="E702" s="102" t="n"/>
      <c r="F702" s="104" t="n"/>
      <c r="G702" s="104" t="n"/>
      <c r="H702" s="102" t="n"/>
      <c r="I702" s="105" t="n"/>
      <c r="J702" s="105" t="n"/>
      <c r="K702" s="103" t="n"/>
      <c r="L702" s="103" t="n"/>
      <c r="M702" s="106" t="str">
        <f>IF(OR(D702="",E702=""),"",D702+IF(E702="NOTIFICAÇÃO DE CONSTATAÇÃO",PrazoConst,PrazoEsc))</f>
        <v/>
      </c>
      <c r="N702" s="107" t="str">
        <f>IF(M702="","",IF(ISNUMBER(L702),M702-L702,IF(G702="DECISÃO D.P","",M702-TODAY())))</f>
        <v/>
      </c>
      <c r="O702" s="108" t="str">
        <f>IF(B702="","",IF(ISNUMBER(L702),IF(N702="","SEM DATA",IF(N702&gt;=0,"DEFESA NO PRAZO","DEFESA FORA DO PRAZO")),IF(G702="DECISÃO D.P","SEM DEFESA",IF(G702="","SEM STATUS",IF(N702="","SEM DATA",IF(N702&lt;0,"VENCIDO",IF(N702&lt;=DiasAlerta,"VENCE EM BREVE","NO PRAZO")))))))</f>
        <v/>
      </c>
      <c r="P702" s="109" t="str">
        <f>IF(D702="","",TODAY()-D702)</f>
        <v/>
      </c>
      <c r="Q702" s="102" t="n"/>
    </row>
    <row r="703" ht="18" customHeight="1">
      <c r="A703" s="101" t="n"/>
      <c r="B703" s="102" t="n"/>
      <c r="C703" s="102" t="n"/>
      <c r="D703" s="103" t="n"/>
      <c r="E703" s="102" t="n"/>
      <c r="F703" s="104" t="n"/>
      <c r="G703" s="104" t="n"/>
      <c r="H703" s="102" t="n"/>
      <c r="I703" s="105" t="n"/>
      <c r="J703" s="105" t="n"/>
      <c r="K703" s="103" t="n"/>
      <c r="L703" s="103" t="n"/>
      <c r="M703" s="106" t="str">
        <f>IF(OR(D703="",E703=""),"",D703+IF(E703="NOTIFICAÇÃO DE CONSTATAÇÃO",PrazoConst,PrazoEsc))</f>
        <v/>
      </c>
      <c r="N703" s="107" t="str">
        <f>IF(M703="","",IF(ISNUMBER(L703),M703-L703,IF(G703="DECISÃO D.P","",M703-TODAY())))</f>
        <v/>
      </c>
      <c r="O703" s="108" t="str">
        <f>IF(B703="","",IF(ISNUMBER(L703),IF(N703="","SEM DATA",IF(N703&gt;=0,"DEFESA NO PRAZO","DEFESA FORA DO PRAZO")),IF(G703="DECISÃO D.P","SEM DEFESA",IF(G703="","SEM STATUS",IF(N703="","SEM DATA",IF(N703&lt;0,"VENCIDO",IF(N703&lt;=DiasAlerta,"VENCE EM BREVE","NO PRAZO")))))))</f>
        <v/>
      </c>
      <c r="P703" s="109" t="str">
        <f>IF(D703="","",TODAY()-D703)</f>
        <v/>
      </c>
      <c r="Q703" s="102" t="n"/>
    </row>
    <row r="704" ht="18" customHeight="1">
      <c r="A704" s="101" t="n"/>
      <c r="B704" s="102" t="n"/>
      <c r="C704" s="102" t="n"/>
      <c r="D704" s="103" t="n"/>
      <c r="E704" s="102" t="n"/>
      <c r="F704" s="104" t="n"/>
      <c r="G704" s="104" t="n"/>
      <c r="H704" s="102" t="n"/>
      <c r="I704" s="105" t="n"/>
      <c r="J704" s="105" t="n"/>
      <c r="K704" s="103" t="n"/>
      <c r="L704" s="103" t="n"/>
      <c r="M704" s="106" t="str">
        <f>IF(OR(D704="",E704=""),"",D704+IF(E704="NOTIFICAÇÃO DE CONSTATAÇÃO",PrazoConst,PrazoEsc))</f>
        <v/>
      </c>
      <c r="N704" s="107" t="str">
        <f>IF(M704="","",IF(ISNUMBER(L704),M704-L704,IF(G704="DECISÃO D.P","",M704-TODAY())))</f>
        <v/>
      </c>
      <c r="O704" s="108" t="str">
        <f>IF(B704="","",IF(ISNUMBER(L704),IF(N704="","SEM DATA",IF(N704&gt;=0,"DEFESA NO PRAZO","DEFESA FORA DO PRAZO")),IF(G704="DECISÃO D.P","SEM DEFESA",IF(G704="","SEM STATUS",IF(N704="","SEM DATA",IF(N704&lt;0,"VENCIDO",IF(N704&lt;=DiasAlerta,"VENCE EM BREVE","NO PRAZO")))))))</f>
        <v/>
      </c>
      <c r="P704" s="109" t="str">
        <f>IF(D704="","",TODAY()-D704)</f>
        <v/>
      </c>
      <c r="Q704" s="102" t="n"/>
    </row>
    <row r="705" ht="18" customHeight="1">
      <c r="A705" s="101" t="n"/>
      <c r="B705" s="102" t="n"/>
      <c r="C705" s="102" t="n"/>
      <c r="D705" s="103" t="n"/>
      <c r="E705" s="102" t="n"/>
      <c r="F705" s="104" t="n"/>
      <c r="G705" s="104" t="n"/>
      <c r="H705" s="102" t="n"/>
      <c r="I705" s="105" t="n"/>
      <c r="J705" s="105" t="n"/>
      <c r="K705" s="103" t="n"/>
      <c r="L705" s="103" t="n"/>
      <c r="M705" s="106" t="str">
        <f>IF(OR(D705="",E705=""),"",D705+IF(E705="NOTIFICAÇÃO DE CONSTATAÇÃO",PrazoConst,PrazoEsc))</f>
        <v/>
      </c>
      <c r="N705" s="107" t="str">
        <f>IF(M705="","",IF(ISNUMBER(L705),M705-L705,IF(G705="DECISÃO D.P","",M705-TODAY())))</f>
        <v/>
      </c>
      <c r="O705" s="108" t="str">
        <f>IF(B705="","",IF(ISNUMBER(L705),IF(N705="","SEM DATA",IF(N705&gt;=0,"DEFESA NO PRAZO","DEFESA FORA DO PRAZO")),IF(G705="DECISÃO D.P","SEM DEFESA",IF(G705="","SEM STATUS",IF(N705="","SEM DATA",IF(N705&lt;0,"VENCIDO",IF(N705&lt;=DiasAlerta,"VENCE EM BREVE","NO PRAZO")))))))</f>
        <v/>
      </c>
      <c r="P705" s="109" t="str">
        <f>IF(D705="","",TODAY()-D705)</f>
        <v/>
      </c>
      <c r="Q705" s="102" t="n"/>
    </row>
    <row r="706" ht="18" customHeight="1">
      <c r="A706" s="101" t="n"/>
      <c r="B706" s="102" t="n"/>
      <c r="C706" s="102" t="n"/>
      <c r="D706" s="103" t="n"/>
      <c r="E706" s="102" t="n"/>
      <c r="F706" s="104" t="n"/>
      <c r="G706" s="104" t="n"/>
      <c r="H706" s="102" t="n"/>
      <c r="I706" s="105" t="n"/>
      <c r="J706" s="105" t="n"/>
      <c r="K706" s="103" t="n"/>
      <c r="L706" s="103" t="n"/>
      <c r="M706" s="106" t="str">
        <f>IF(OR(D706="",E706=""),"",D706+IF(E706="NOTIFICAÇÃO DE CONSTATAÇÃO",PrazoConst,PrazoEsc))</f>
        <v/>
      </c>
      <c r="N706" s="107" t="str">
        <f>IF(M706="","",IF(ISNUMBER(L706),M706-L706,IF(G706="DECISÃO D.P","",M706-TODAY())))</f>
        <v/>
      </c>
      <c r="O706" s="108" t="str">
        <f>IF(B706="","",IF(ISNUMBER(L706),IF(N706="","SEM DATA",IF(N706&gt;=0,"DEFESA NO PRAZO","DEFESA FORA DO PRAZO")),IF(G706="DECISÃO D.P","SEM DEFESA",IF(G706="","SEM STATUS",IF(N706="","SEM DATA",IF(N706&lt;0,"VENCIDO",IF(N706&lt;=DiasAlerta,"VENCE EM BREVE","NO PRAZO")))))))</f>
        <v/>
      </c>
      <c r="P706" s="109" t="str">
        <f>IF(D706="","",TODAY()-D706)</f>
        <v/>
      </c>
      <c r="Q706" s="102" t="n"/>
    </row>
    <row r="707" ht="18" customHeight="1">
      <c r="A707" s="101" t="n"/>
      <c r="B707" s="102" t="n"/>
      <c r="C707" s="102" t="n"/>
      <c r="D707" s="103" t="n"/>
      <c r="E707" s="102" t="n"/>
      <c r="F707" s="104" t="n"/>
      <c r="G707" s="104" t="n"/>
      <c r="H707" s="102" t="n"/>
      <c r="I707" s="105" t="n"/>
      <c r="J707" s="105" t="n"/>
      <c r="K707" s="103" t="n"/>
      <c r="L707" s="103" t="n"/>
      <c r="M707" s="106" t="str">
        <f>IF(OR(D707="",E707=""),"",D707+IF(E707="NOTIFICAÇÃO DE CONSTATAÇÃO",PrazoConst,PrazoEsc))</f>
        <v/>
      </c>
      <c r="N707" s="107" t="str">
        <f>IF(M707="","",IF(ISNUMBER(L707),M707-L707,IF(G707="DECISÃO D.P","",M707-TODAY())))</f>
        <v/>
      </c>
      <c r="O707" s="108" t="str">
        <f>IF(B707="","",IF(ISNUMBER(L707),IF(N707="","SEM DATA",IF(N707&gt;=0,"DEFESA NO PRAZO","DEFESA FORA DO PRAZO")),IF(G707="DECISÃO D.P","SEM DEFESA",IF(G707="","SEM STATUS",IF(N707="","SEM DATA",IF(N707&lt;0,"VENCIDO",IF(N707&lt;=DiasAlerta,"VENCE EM BREVE","NO PRAZO")))))))</f>
        <v/>
      </c>
      <c r="P707" s="109" t="str">
        <f>IF(D707="","",TODAY()-D707)</f>
        <v/>
      </c>
      <c r="Q707" s="102" t="n"/>
    </row>
    <row r="708" ht="18" customHeight="1">
      <c r="A708" s="101" t="n"/>
      <c r="B708" s="102" t="n"/>
      <c r="C708" s="102" t="n"/>
      <c r="D708" s="103" t="n"/>
      <c r="E708" s="102" t="n"/>
      <c r="F708" s="104" t="n"/>
      <c r="G708" s="104" t="n"/>
      <c r="H708" s="102" t="n"/>
      <c r="I708" s="105" t="n"/>
      <c r="J708" s="105" t="n"/>
      <c r="K708" s="103" t="n"/>
      <c r="L708" s="103" t="n"/>
      <c r="M708" s="106" t="str">
        <f>IF(OR(D708="",E708=""),"",D708+IF(E708="NOTIFICAÇÃO DE CONSTATAÇÃO",PrazoConst,PrazoEsc))</f>
        <v/>
      </c>
      <c r="N708" s="107" t="str">
        <f>IF(M708="","",IF(ISNUMBER(L708),M708-L708,IF(G708="DECISÃO D.P","",M708-TODAY())))</f>
        <v/>
      </c>
      <c r="O708" s="108" t="str">
        <f>IF(B708="","",IF(ISNUMBER(L708),IF(N708="","SEM DATA",IF(N708&gt;=0,"DEFESA NO PRAZO","DEFESA FORA DO PRAZO")),IF(G708="DECISÃO D.P","SEM DEFESA",IF(G708="","SEM STATUS",IF(N708="","SEM DATA",IF(N708&lt;0,"VENCIDO",IF(N708&lt;=DiasAlerta,"VENCE EM BREVE","NO PRAZO")))))))</f>
        <v/>
      </c>
      <c r="P708" s="109" t="str">
        <f>IF(D708="","",TODAY()-D708)</f>
        <v/>
      </c>
      <c r="Q708" s="102" t="n"/>
    </row>
    <row r="709" ht="18" customHeight="1">
      <c r="A709" s="101" t="n"/>
      <c r="B709" s="102" t="n"/>
      <c r="C709" s="102" t="n"/>
      <c r="D709" s="103" t="n"/>
      <c r="E709" s="102" t="n"/>
      <c r="F709" s="104" t="n"/>
      <c r="G709" s="104" t="n"/>
      <c r="H709" s="102" t="n"/>
      <c r="I709" s="105" t="n"/>
      <c r="J709" s="105" t="n"/>
      <c r="K709" s="103" t="n"/>
      <c r="L709" s="103" t="n"/>
      <c r="M709" s="106" t="str">
        <f>IF(OR(D709="",E709=""),"",D709+IF(E709="NOTIFICAÇÃO DE CONSTATAÇÃO",PrazoConst,PrazoEsc))</f>
        <v/>
      </c>
      <c r="N709" s="107" t="str">
        <f>IF(M709="","",IF(ISNUMBER(L709),M709-L709,IF(G709="DECISÃO D.P","",M709-TODAY())))</f>
        <v/>
      </c>
      <c r="O709" s="108" t="str">
        <f>IF(B709="","",IF(ISNUMBER(L709),IF(N709="","SEM DATA",IF(N709&gt;=0,"DEFESA NO PRAZO","DEFESA FORA DO PRAZO")),IF(G709="DECISÃO D.P","SEM DEFESA",IF(G709="","SEM STATUS",IF(N709="","SEM DATA",IF(N709&lt;0,"VENCIDO",IF(N709&lt;=DiasAlerta,"VENCE EM BREVE","NO PRAZO")))))))</f>
        <v/>
      </c>
      <c r="P709" s="109" t="str">
        <f>IF(D709="","",TODAY()-D709)</f>
        <v/>
      </c>
      <c r="Q709" s="102" t="n"/>
    </row>
    <row r="710" ht="18" customHeight="1">
      <c r="A710" s="101" t="n"/>
      <c r="B710" s="102" t="n"/>
      <c r="C710" s="102" t="n"/>
      <c r="D710" s="103" t="n"/>
      <c r="E710" s="102" t="n"/>
      <c r="F710" s="104" t="n"/>
      <c r="G710" s="104" t="n"/>
      <c r="H710" s="102" t="n"/>
      <c r="I710" s="105" t="n"/>
      <c r="J710" s="105" t="n"/>
      <c r="K710" s="103" t="n"/>
      <c r="L710" s="103" t="n"/>
      <c r="M710" s="106" t="str">
        <f>IF(OR(D710="",E710=""),"",D710+IF(E710="NOTIFICAÇÃO DE CONSTATAÇÃO",PrazoConst,PrazoEsc))</f>
        <v/>
      </c>
      <c r="N710" s="107" t="str">
        <f>IF(M710="","",IF(ISNUMBER(L710),M710-L710,IF(G710="DECISÃO D.P","",M710-TODAY())))</f>
        <v/>
      </c>
      <c r="O710" s="108" t="str">
        <f>IF(B710="","",IF(ISNUMBER(L710),IF(N710="","SEM DATA",IF(N710&gt;=0,"DEFESA NO PRAZO","DEFESA FORA DO PRAZO")),IF(G710="DECISÃO D.P","SEM DEFESA",IF(G710="","SEM STATUS",IF(N710="","SEM DATA",IF(N710&lt;0,"VENCIDO",IF(N710&lt;=DiasAlerta,"VENCE EM BREVE","NO PRAZO")))))))</f>
        <v/>
      </c>
      <c r="P710" s="109" t="str">
        <f>IF(D710="","",TODAY()-D710)</f>
        <v/>
      </c>
      <c r="Q710" s="102" t="n"/>
    </row>
    <row r="711" ht="18" customHeight="1">
      <c r="A711" s="101" t="n"/>
      <c r="B711" s="102" t="n"/>
      <c r="C711" s="102" t="n"/>
      <c r="D711" s="103" t="n"/>
      <c r="E711" s="102" t="n"/>
      <c r="F711" s="104" t="n"/>
      <c r="G711" s="104" t="n"/>
      <c r="H711" s="102" t="n"/>
      <c r="I711" s="105" t="n"/>
      <c r="J711" s="105" t="n"/>
      <c r="K711" s="103" t="n"/>
      <c r="L711" s="103" t="n"/>
      <c r="M711" s="106" t="str">
        <f>IF(OR(D711="",E711=""),"",D711+IF(E711="NOTIFICAÇÃO DE CONSTATAÇÃO",PrazoConst,PrazoEsc))</f>
        <v/>
      </c>
      <c r="N711" s="107" t="str">
        <f>IF(M711="","",IF(ISNUMBER(L711),M711-L711,IF(G711="DECISÃO D.P","",M711-TODAY())))</f>
        <v/>
      </c>
      <c r="O711" s="108" t="str">
        <f>IF(B711="","",IF(ISNUMBER(L711),IF(N711="","SEM DATA",IF(N711&gt;=0,"DEFESA NO PRAZO","DEFESA FORA DO PRAZO")),IF(G711="DECISÃO D.P","SEM DEFESA",IF(G711="","SEM STATUS",IF(N711="","SEM DATA",IF(N711&lt;0,"VENCIDO",IF(N711&lt;=DiasAlerta,"VENCE EM BREVE","NO PRAZO")))))))</f>
        <v/>
      </c>
      <c r="P711" s="109" t="str">
        <f>IF(D711="","",TODAY()-D711)</f>
        <v/>
      </c>
      <c r="Q711" s="102" t="n"/>
    </row>
    <row r="712" ht="18" customHeight="1">
      <c r="A712" s="101" t="n"/>
      <c r="B712" s="102" t="n"/>
      <c r="C712" s="102" t="n"/>
      <c r="D712" s="103" t="n"/>
      <c r="E712" s="102" t="n"/>
      <c r="F712" s="104" t="n"/>
      <c r="G712" s="104" t="n"/>
      <c r="H712" s="102" t="n"/>
      <c r="I712" s="105" t="n"/>
      <c r="J712" s="105" t="n"/>
      <c r="K712" s="103" t="n"/>
      <c r="L712" s="103" t="n"/>
      <c r="M712" s="106" t="str">
        <f>IF(OR(D712="",E712=""),"",D712+IF(E712="NOTIFICAÇÃO DE CONSTATAÇÃO",PrazoConst,PrazoEsc))</f>
        <v/>
      </c>
      <c r="N712" s="107" t="str">
        <f>IF(M712="","",IF(ISNUMBER(L712),M712-L712,IF(G712="DECISÃO D.P","",M712-TODAY())))</f>
        <v/>
      </c>
      <c r="O712" s="108" t="str">
        <f>IF(B712="","",IF(ISNUMBER(L712),IF(N712="","SEM DATA",IF(N712&gt;=0,"DEFESA NO PRAZO","DEFESA FORA DO PRAZO")),IF(G712="DECISÃO D.P","SEM DEFESA",IF(G712="","SEM STATUS",IF(N712="","SEM DATA",IF(N712&lt;0,"VENCIDO",IF(N712&lt;=DiasAlerta,"VENCE EM BREVE","NO PRAZO")))))))</f>
        <v/>
      </c>
      <c r="P712" s="109" t="str">
        <f>IF(D712="","",TODAY()-D712)</f>
        <v/>
      </c>
      <c r="Q712" s="102" t="n"/>
    </row>
    <row r="713" ht="18" customHeight="1">
      <c r="A713" s="101" t="n"/>
      <c r="B713" s="102" t="n"/>
      <c r="C713" s="102" t="n"/>
      <c r="D713" s="103" t="n"/>
      <c r="E713" s="102" t="n"/>
      <c r="F713" s="104" t="n"/>
      <c r="G713" s="104" t="n"/>
      <c r="H713" s="102" t="n"/>
      <c r="I713" s="105" t="n"/>
      <c r="J713" s="105" t="n"/>
      <c r="K713" s="103" t="n"/>
      <c r="L713" s="103" t="n"/>
      <c r="M713" s="106" t="str">
        <f>IF(OR(D713="",E713=""),"",D713+IF(E713="NOTIFICAÇÃO DE CONSTATAÇÃO",PrazoConst,PrazoEsc))</f>
        <v/>
      </c>
      <c r="N713" s="107" t="str">
        <f>IF(M713="","",IF(ISNUMBER(L713),M713-L713,IF(G713="DECISÃO D.P","",M713-TODAY())))</f>
        <v/>
      </c>
      <c r="O713" s="108" t="str">
        <f>IF(B713="","",IF(ISNUMBER(L713),IF(N713="","SEM DATA",IF(N713&gt;=0,"DEFESA NO PRAZO","DEFESA FORA DO PRAZO")),IF(G713="DECISÃO D.P","SEM DEFESA",IF(G713="","SEM STATUS",IF(N713="","SEM DATA",IF(N713&lt;0,"VENCIDO",IF(N713&lt;=DiasAlerta,"VENCE EM BREVE","NO PRAZO")))))))</f>
        <v/>
      </c>
      <c r="P713" s="109" t="str">
        <f>IF(D713="","",TODAY()-D713)</f>
        <v/>
      </c>
      <c r="Q713" s="102" t="n"/>
    </row>
    <row r="714" ht="18" customHeight="1">
      <c r="A714" s="101" t="n"/>
      <c r="B714" s="102" t="n"/>
      <c r="C714" s="102" t="n"/>
      <c r="D714" s="103" t="n"/>
      <c r="E714" s="102" t="n"/>
      <c r="F714" s="104" t="n"/>
      <c r="G714" s="104" t="n"/>
      <c r="H714" s="102" t="n"/>
      <c r="I714" s="105" t="n"/>
      <c r="J714" s="105" t="n"/>
      <c r="K714" s="103" t="n"/>
      <c r="L714" s="103" t="n"/>
      <c r="M714" s="106" t="str">
        <f>IF(OR(D714="",E714=""),"",D714+IF(E714="NOTIFICAÇÃO DE CONSTATAÇÃO",PrazoConst,PrazoEsc))</f>
        <v/>
      </c>
      <c r="N714" s="107" t="str">
        <f>IF(M714="","",IF(ISNUMBER(L714),M714-L714,IF(G714="DECISÃO D.P","",M714-TODAY())))</f>
        <v/>
      </c>
      <c r="O714" s="108" t="str">
        <f>IF(B714="","",IF(ISNUMBER(L714),IF(N714="","SEM DATA",IF(N714&gt;=0,"DEFESA NO PRAZO","DEFESA FORA DO PRAZO")),IF(G714="DECISÃO D.P","SEM DEFESA",IF(G714="","SEM STATUS",IF(N714="","SEM DATA",IF(N714&lt;0,"VENCIDO",IF(N714&lt;=DiasAlerta,"VENCE EM BREVE","NO PRAZO")))))))</f>
        <v/>
      </c>
      <c r="P714" s="109" t="str">
        <f>IF(D714="","",TODAY()-D714)</f>
        <v/>
      </c>
      <c r="Q714" s="102" t="n"/>
    </row>
    <row r="715" ht="18" customHeight="1">
      <c r="A715" s="101" t="n"/>
      <c r="B715" s="102" t="n"/>
      <c r="C715" s="102" t="n"/>
      <c r="D715" s="103" t="n"/>
      <c r="E715" s="102" t="n"/>
      <c r="F715" s="104" t="n"/>
      <c r="G715" s="104" t="n"/>
      <c r="H715" s="102" t="n"/>
      <c r="I715" s="105" t="n"/>
      <c r="J715" s="105" t="n"/>
      <c r="K715" s="103" t="n"/>
      <c r="L715" s="103" t="n"/>
      <c r="M715" s="106" t="str">
        <f>IF(OR(D715="",E715=""),"",D715+IF(E715="NOTIFICAÇÃO DE CONSTATAÇÃO",PrazoConst,PrazoEsc))</f>
        <v/>
      </c>
      <c r="N715" s="107" t="str">
        <f>IF(M715="","",IF(ISNUMBER(L715),M715-L715,IF(G715="DECISÃO D.P","",M715-TODAY())))</f>
        <v/>
      </c>
      <c r="O715" s="108" t="str">
        <f>IF(B715="","",IF(ISNUMBER(L715),IF(N715="","SEM DATA",IF(N715&gt;=0,"DEFESA NO PRAZO","DEFESA FORA DO PRAZO")),IF(G715="DECISÃO D.P","SEM DEFESA",IF(G715="","SEM STATUS",IF(N715="","SEM DATA",IF(N715&lt;0,"VENCIDO",IF(N715&lt;=DiasAlerta,"VENCE EM BREVE","NO PRAZO")))))))</f>
        <v/>
      </c>
      <c r="P715" s="109" t="str">
        <f>IF(D715="","",TODAY()-D715)</f>
        <v/>
      </c>
      <c r="Q715" s="102" t="n"/>
    </row>
    <row r="716" ht="18" customHeight="1">
      <c r="A716" s="101" t="n"/>
      <c r="B716" s="102" t="n"/>
      <c r="C716" s="102" t="n"/>
      <c r="D716" s="103" t="n"/>
      <c r="E716" s="102" t="n"/>
      <c r="F716" s="104" t="n"/>
      <c r="G716" s="104" t="n"/>
      <c r="H716" s="102" t="n"/>
      <c r="I716" s="105" t="n"/>
      <c r="J716" s="105" t="n"/>
      <c r="K716" s="103" t="n"/>
      <c r="L716" s="103" t="n"/>
      <c r="M716" s="106" t="str">
        <f>IF(OR(D716="",E716=""),"",D716+IF(E716="NOTIFICAÇÃO DE CONSTATAÇÃO",PrazoConst,PrazoEsc))</f>
        <v/>
      </c>
      <c r="N716" s="107" t="str">
        <f>IF(M716="","",IF(ISNUMBER(L716),M716-L716,IF(G716="DECISÃO D.P","",M716-TODAY())))</f>
        <v/>
      </c>
      <c r="O716" s="108" t="str">
        <f>IF(B716="","",IF(ISNUMBER(L716),IF(N716="","SEM DATA",IF(N716&gt;=0,"DEFESA NO PRAZO","DEFESA FORA DO PRAZO")),IF(G716="DECISÃO D.P","SEM DEFESA",IF(G716="","SEM STATUS",IF(N716="","SEM DATA",IF(N716&lt;0,"VENCIDO",IF(N716&lt;=DiasAlerta,"VENCE EM BREVE","NO PRAZO")))))))</f>
        <v/>
      </c>
      <c r="P716" s="109" t="str">
        <f>IF(D716="","",TODAY()-D716)</f>
        <v/>
      </c>
      <c r="Q716" s="102" t="n"/>
    </row>
    <row r="717" ht="18" customHeight="1">
      <c r="A717" s="101" t="n"/>
      <c r="B717" s="102" t="n"/>
      <c r="C717" s="102" t="n"/>
      <c r="D717" s="103" t="n"/>
      <c r="E717" s="102" t="n"/>
      <c r="F717" s="104" t="n"/>
      <c r="G717" s="104" t="n"/>
      <c r="H717" s="102" t="n"/>
      <c r="I717" s="105" t="n"/>
      <c r="J717" s="105" t="n"/>
      <c r="K717" s="103" t="n"/>
      <c r="L717" s="103" t="n"/>
      <c r="M717" s="106" t="str">
        <f>IF(OR(D717="",E717=""),"",D717+IF(E717="NOTIFICAÇÃO DE CONSTATAÇÃO",PrazoConst,PrazoEsc))</f>
        <v/>
      </c>
      <c r="N717" s="107" t="str">
        <f>IF(M717="","",IF(ISNUMBER(L717),M717-L717,IF(G717="DECISÃO D.P","",M717-TODAY())))</f>
        <v/>
      </c>
      <c r="O717" s="108" t="str">
        <f>IF(B717="","",IF(ISNUMBER(L717),IF(N717="","SEM DATA",IF(N717&gt;=0,"DEFESA NO PRAZO","DEFESA FORA DO PRAZO")),IF(G717="DECISÃO D.P","SEM DEFESA",IF(G717="","SEM STATUS",IF(N717="","SEM DATA",IF(N717&lt;0,"VENCIDO",IF(N717&lt;=DiasAlerta,"VENCE EM BREVE","NO PRAZO")))))))</f>
        <v/>
      </c>
      <c r="P717" s="109" t="str">
        <f>IF(D717="","",TODAY()-D717)</f>
        <v/>
      </c>
      <c r="Q717" s="102" t="n"/>
    </row>
    <row r="718" ht="18" customHeight="1">
      <c r="A718" s="101" t="n"/>
      <c r="B718" s="102" t="n"/>
      <c r="C718" s="102" t="n"/>
      <c r="D718" s="103" t="n"/>
      <c r="E718" s="102" t="n"/>
      <c r="F718" s="104" t="n"/>
      <c r="G718" s="104" t="n"/>
      <c r="H718" s="102" t="n"/>
      <c r="I718" s="105" t="n"/>
      <c r="J718" s="105" t="n"/>
      <c r="K718" s="103" t="n"/>
      <c r="L718" s="103" t="n"/>
      <c r="M718" s="106" t="str">
        <f>IF(OR(D718="",E718=""),"",D718+IF(E718="NOTIFICAÇÃO DE CONSTATAÇÃO",PrazoConst,PrazoEsc))</f>
        <v/>
      </c>
      <c r="N718" s="107" t="str">
        <f>IF(M718="","",IF(ISNUMBER(L718),M718-L718,IF(G718="DECISÃO D.P","",M718-TODAY())))</f>
        <v/>
      </c>
      <c r="O718" s="108" t="str">
        <f>IF(B718="","",IF(ISNUMBER(L718),IF(N718="","SEM DATA",IF(N718&gt;=0,"DEFESA NO PRAZO","DEFESA FORA DO PRAZO")),IF(G718="DECISÃO D.P","SEM DEFESA",IF(G718="","SEM STATUS",IF(N718="","SEM DATA",IF(N718&lt;0,"VENCIDO",IF(N718&lt;=DiasAlerta,"VENCE EM BREVE","NO PRAZO")))))))</f>
        <v/>
      </c>
      <c r="P718" s="109" t="str">
        <f>IF(D718="","",TODAY()-D718)</f>
        <v/>
      </c>
      <c r="Q718" s="102" t="n"/>
    </row>
    <row r="719" ht="18" customHeight="1">
      <c r="A719" s="101" t="n"/>
      <c r="B719" s="102" t="n"/>
      <c r="C719" s="102" t="n"/>
      <c r="D719" s="103" t="n"/>
      <c r="E719" s="102" t="n"/>
      <c r="F719" s="104" t="n"/>
      <c r="G719" s="104" t="n"/>
      <c r="H719" s="102" t="n"/>
      <c r="I719" s="105" t="n"/>
      <c r="J719" s="105" t="n"/>
      <c r="K719" s="103" t="n"/>
      <c r="L719" s="103" t="n"/>
      <c r="M719" s="106" t="str">
        <f>IF(OR(D719="",E719=""),"",D719+IF(E719="NOTIFICAÇÃO DE CONSTATAÇÃO",PrazoConst,PrazoEsc))</f>
        <v/>
      </c>
      <c r="N719" s="107" t="str">
        <f>IF(M719="","",IF(ISNUMBER(L719),M719-L719,IF(G719="DECISÃO D.P","",M719-TODAY())))</f>
        <v/>
      </c>
      <c r="O719" s="108" t="str">
        <f>IF(B719="","",IF(ISNUMBER(L719),IF(N719="","SEM DATA",IF(N719&gt;=0,"DEFESA NO PRAZO","DEFESA FORA DO PRAZO")),IF(G719="DECISÃO D.P","SEM DEFESA",IF(G719="","SEM STATUS",IF(N719="","SEM DATA",IF(N719&lt;0,"VENCIDO",IF(N719&lt;=DiasAlerta,"VENCE EM BREVE","NO PRAZO")))))))</f>
        <v/>
      </c>
      <c r="P719" s="109" t="str">
        <f>IF(D719="","",TODAY()-D719)</f>
        <v/>
      </c>
      <c r="Q719" s="102" t="n"/>
    </row>
    <row r="720" ht="18" customHeight="1">
      <c r="A720" s="101" t="n"/>
      <c r="B720" s="102" t="n"/>
      <c r="C720" s="102" t="n"/>
      <c r="D720" s="103" t="n"/>
      <c r="E720" s="102" t="n"/>
      <c r="F720" s="104" t="n"/>
      <c r="G720" s="104" t="n"/>
      <c r="H720" s="102" t="n"/>
      <c r="I720" s="105" t="n"/>
      <c r="J720" s="105" t="n"/>
      <c r="K720" s="103" t="n"/>
      <c r="L720" s="103" t="n"/>
      <c r="M720" s="106" t="str">
        <f>IF(OR(D720="",E720=""),"",D720+IF(E720="NOTIFICAÇÃO DE CONSTATAÇÃO",PrazoConst,PrazoEsc))</f>
        <v/>
      </c>
      <c r="N720" s="107" t="str">
        <f>IF(M720="","",IF(ISNUMBER(L720),M720-L720,IF(G720="DECISÃO D.P","",M720-TODAY())))</f>
        <v/>
      </c>
      <c r="O720" s="108" t="str">
        <f>IF(B720="","",IF(ISNUMBER(L720),IF(N720="","SEM DATA",IF(N720&gt;=0,"DEFESA NO PRAZO","DEFESA FORA DO PRAZO")),IF(G720="DECISÃO D.P","SEM DEFESA",IF(G720="","SEM STATUS",IF(N720="","SEM DATA",IF(N720&lt;0,"VENCIDO",IF(N720&lt;=DiasAlerta,"VENCE EM BREVE","NO PRAZO")))))))</f>
        <v/>
      </c>
      <c r="P720" s="109" t="str">
        <f>IF(D720="","",TODAY()-D720)</f>
        <v/>
      </c>
      <c r="Q720" s="102" t="n"/>
    </row>
    <row r="721" ht="18" customHeight="1">
      <c r="A721" s="101" t="n"/>
      <c r="B721" s="102" t="n"/>
      <c r="C721" s="102" t="n"/>
      <c r="D721" s="103" t="n"/>
      <c r="E721" s="102" t="n"/>
      <c r="F721" s="104" t="n"/>
      <c r="G721" s="104" t="n"/>
      <c r="H721" s="102" t="n"/>
      <c r="I721" s="105" t="n"/>
      <c r="J721" s="105" t="n"/>
      <c r="K721" s="103" t="n"/>
      <c r="L721" s="103" t="n"/>
      <c r="M721" s="106" t="str">
        <f>IF(OR(D721="",E721=""),"",D721+IF(E721="NOTIFICAÇÃO DE CONSTATAÇÃO",PrazoConst,PrazoEsc))</f>
        <v/>
      </c>
      <c r="N721" s="107" t="str">
        <f>IF(M721="","",IF(ISNUMBER(L721),M721-L721,IF(G721="DECISÃO D.P","",M721-TODAY())))</f>
        <v/>
      </c>
      <c r="O721" s="108" t="str">
        <f>IF(B721="","",IF(ISNUMBER(L721),IF(N721="","SEM DATA",IF(N721&gt;=0,"DEFESA NO PRAZO","DEFESA FORA DO PRAZO")),IF(G721="DECISÃO D.P","SEM DEFESA",IF(G721="","SEM STATUS",IF(N721="","SEM DATA",IF(N721&lt;0,"VENCIDO",IF(N721&lt;=DiasAlerta,"VENCE EM BREVE","NO PRAZO")))))))</f>
        <v/>
      </c>
      <c r="P721" s="109" t="str">
        <f>IF(D721="","",TODAY()-D721)</f>
        <v/>
      </c>
      <c r="Q721" s="102" t="n"/>
    </row>
    <row r="722" ht="18" customHeight="1">
      <c r="A722" s="101" t="n"/>
      <c r="B722" s="102" t="n"/>
      <c r="C722" s="102" t="n"/>
      <c r="D722" s="103" t="n"/>
      <c r="E722" s="102" t="n"/>
      <c r="F722" s="104" t="n"/>
      <c r="G722" s="104" t="n"/>
      <c r="H722" s="102" t="n"/>
      <c r="I722" s="105" t="n"/>
      <c r="J722" s="105" t="n"/>
      <c r="K722" s="103" t="n"/>
      <c r="L722" s="103" t="n"/>
      <c r="M722" s="106" t="str">
        <f>IF(OR(D722="",E722=""),"",D722+IF(E722="NOTIFICAÇÃO DE CONSTATAÇÃO",PrazoConst,PrazoEsc))</f>
        <v/>
      </c>
      <c r="N722" s="107" t="str">
        <f>IF(M722="","",IF(ISNUMBER(L722),M722-L722,IF(G722="DECISÃO D.P","",M722-TODAY())))</f>
        <v/>
      </c>
      <c r="O722" s="108" t="str">
        <f>IF(B722="","",IF(ISNUMBER(L722),IF(N722="","SEM DATA",IF(N722&gt;=0,"DEFESA NO PRAZO","DEFESA FORA DO PRAZO")),IF(G722="DECISÃO D.P","SEM DEFESA",IF(G722="","SEM STATUS",IF(N722="","SEM DATA",IF(N722&lt;0,"VENCIDO",IF(N722&lt;=DiasAlerta,"VENCE EM BREVE","NO PRAZO")))))))</f>
        <v/>
      </c>
      <c r="P722" s="109" t="str">
        <f>IF(D722="","",TODAY()-D722)</f>
        <v/>
      </c>
      <c r="Q722" s="102" t="n"/>
    </row>
    <row r="723" ht="18" customHeight="1">
      <c r="A723" s="101" t="n"/>
      <c r="B723" s="102" t="n"/>
      <c r="C723" s="102" t="n"/>
      <c r="D723" s="103" t="n"/>
      <c r="E723" s="102" t="n"/>
      <c r="F723" s="104" t="n"/>
      <c r="G723" s="104" t="n"/>
      <c r="H723" s="102" t="n"/>
      <c r="I723" s="105" t="n"/>
      <c r="J723" s="105" t="n"/>
      <c r="K723" s="103" t="n"/>
      <c r="L723" s="103" t="n"/>
      <c r="M723" s="106" t="str">
        <f>IF(OR(D723="",E723=""),"",D723+IF(E723="NOTIFICAÇÃO DE CONSTATAÇÃO",PrazoConst,PrazoEsc))</f>
        <v/>
      </c>
      <c r="N723" s="107" t="str">
        <f>IF(M723="","",IF(ISNUMBER(L723),M723-L723,IF(G723="DECISÃO D.P","",M723-TODAY())))</f>
        <v/>
      </c>
      <c r="O723" s="108" t="str">
        <f>IF(B723="","",IF(ISNUMBER(L723),IF(N723="","SEM DATA",IF(N723&gt;=0,"DEFESA NO PRAZO","DEFESA FORA DO PRAZO")),IF(G723="DECISÃO D.P","SEM DEFESA",IF(G723="","SEM STATUS",IF(N723="","SEM DATA",IF(N723&lt;0,"VENCIDO",IF(N723&lt;=DiasAlerta,"VENCE EM BREVE","NO PRAZO")))))))</f>
        <v/>
      </c>
      <c r="P723" s="109" t="str">
        <f>IF(D723="","",TODAY()-D723)</f>
        <v/>
      </c>
      <c r="Q723" s="102" t="n"/>
    </row>
    <row r="724" ht="18" customHeight="1">
      <c r="A724" s="101" t="n"/>
      <c r="B724" s="102" t="n"/>
      <c r="C724" s="102" t="n"/>
      <c r="D724" s="103" t="n"/>
      <c r="E724" s="102" t="n"/>
      <c r="F724" s="104" t="n"/>
      <c r="G724" s="104" t="n"/>
      <c r="H724" s="102" t="n"/>
      <c r="I724" s="105" t="n"/>
      <c r="J724" s="105" t="n"/>
      <c r="K724" s="103" t="n"/>
      <c r="L724" s="103" t="n"/>
      <c r="M724" s="106" t="str">
        <f>IF(OR(D724="",E724=""),"",D724+IF(E724="NOTIFICAÇÃO DE CONSTATAÇÃO",PrazoConst,PrazoEsc))</f>
        <v/>
      </c>
      <c r="N724" s="107" t="str">
        <f>IF(M724="","",IF(ISNUMBER(L724),M724-L724,IF(G724="DECISÃO D.P","",M724-TODAY())))</f>
        <v/>
      </c>
      <c r="O724" s="108" t="str">
        <f>IF(B724="","",IF(ISNUMBER(L724),IF(N724="","SEM DATA",IF(N724&gt;=0,"DEFESA NO PRAZO","DEFESA FORA DO PRAZO")),IF(G724="DECISÃO D.P","SEM DEFESA",IF(G724="","SEM STATUS",IF(N724="","SEM DATA",IF(N724&lt;0,"VENCIDO",IF(N724&lt;=DiasAlerta,"VENCE EM BREVE","NO PRAZO")))))))</f>
        <v/>
      </c>
      <c r="P724" s="109" t="str">
        <f>IF(D724="","",TODAY()-D724)</f>
        <v/>
      </c>
      <c r="Q724" s="102" t="n"/>
    </row>
    <row r="725" ht="18" customHeight="1">
      <c r="A725" s="101" t="n"/>
      <c r="B725" s="102" t="n"/>
      <c r="C725" s="102" t="n"/>
      <c r="D725" s="103" t="n"/>
      <c r="E725" s="102" t="n"/>
      <c r="F725" s="104" t="n"/>
      <c r="G725" s="104" t="n"/>
      <c r="H725" s="102" t="n"/>
      <c r="I725" s="105" t="n"/>
      <c r="J725" s="105" t="n"/>
      <c r="K725" s="103" t="n"/>
      <c r="L725" s="103" t="n"/>
      <c r="M725" s="106" t="str">
        <f>IF(OR(D725="",E725=""),"",D725+IF(E725="NOTIFICAÇÃO DE CONSTATAÇÃO",PrazoConst,PrazoEsc))</f>
        <v/>
      </c>
      <c r="N725" s="107" t="str">
        <f>IF(M725="","",IF(ISNUMBER(L725),M725-L725,IF(G725="DECISÃO D.P","",M725-TODAY())))</f>
        <v/>
      </c>
      <c r="O725" s="108" t="str">
        <f>IF(B725="","",IF(ISNUMBER(L725),IF(N725="","SEM DATA",IF(N725&gt;=0,"DEFESA NO PRAZO","DEFESA FORA DO PRAZO")),IF(G725="DECISÃO D.P","SEM DEFESA",IF(G725="","SEM STATUS",IF(N725="","SEM DATA",IF(N725&lt;0,"VENCIDO",IF(N725&lt;=DiasAlerta,"VENCE EM BREVE","NO PRAZO")))))))</f>
        <v/>
      </c>
      <c r="P725" s="109" t="str">
        <f>IF(D725="","",TODAY()-D725)</f>
        <v/>
      </c>
      <c r="Q725" s="102" t="n"/>
    </row>
    <row r="726" ht="18" customHeight="1">
      <c r="A726" s="101" t="n"/>
      <c r="B726" s="102" t="n"/>
      <c r="C726" s="102" t="n"/>
      <c r="D726" s="103" t="n"/>
      <c r="E726" s="102" t="n"/>
      <c r="F726" s="104" t="n"/>
      <c r="G726" s="104" t="n"/>
      <c r="H726" s="102" t="n"/>
      <c r="I726" s="105" t="n"/>
      <c r="J726" s="105" t="n"/>
      <c r="K726" s="103" t="n"/>
      <c r="L726" s="103" t="n"/>
      <c r="M726" s="106" t="str">
        <f>IF(OR(D726="",E726=""),"",D726+IF(E726="NOTIFICAÇÃO DE CONSTATAÇÃO",PrazoConst,PrazoEsc))</f>
        <v/>
      </c>
      <c r="N726" s="107" t="str">
        <f>IF(M726="","",IF(ISNUMBER(L726),M726-L726,IF(G726="DECISÃO D.P","",M726-TODAY())))</f>
        <v/>
      </c>
      <c r="O726" s="108" t="str">
        <f>IF(B726="","",IF(ISNUMBER(L726),IF(N726="","SEM DATA",IF(N726&gt;=0,"DEFESA NO PRAZO","DEFESA FORA DO PRAZO")),IF(G726="DECISÃO D.P","SEM DEFESA",IF(G726="","SEM STATUS",IF(N726="","SEM DATA",IF(N726&lt;0,"VENCIDO",IF(N726&lt;=DiasAlerta,"VENCE EM BREVE","NO PRAZO")))))))</f>
        <v/>
      </c>
      <c r="P726" s="109" t="str">
        <f>IF(D726="","",TODAY()-D726)</f>
        <v/>
      </c>
      <c r="Q726" s="102" t="n"/>
    </row>
    <row r="727" ht="18" customHeight="1">
      <c r="A727" s="101" t="n"/>
      <c r="B727" s="102" t="n"/>
      <c r="C727" s="102" t="n"/>
      <c r="D727" s="103" t="n"/>
      <c r="E727" s="102" t="n"/>
      <c r="F727" s="104" t="n"/>
      <c r="G727" s="104" t="n"/>
      <c r="H727" s="102" t="n"/>
      <c r="I727" s="105" t="n"/>
      <c r="J727" s="105" t="n"/>
      <c r="K727" s="103" t="n"/>
      <c r="L727" s="103" t="n"/>
      <c r="M727" s="106" t="str">
        <f>IF(OR(D727="",E727=""),"",D727+IF(E727="NOTIFICAÇÃO DE CONSTATAÇÃO",PrazoConst,PrazoEsc))</f>
        <v/>
      </c>
      <c r="N727" s="107" t="str">
        <f>IF(M727="","",IF(ISNUMBER(L727),M727-L727,IF(G727="DECISÃO D.P","",M727-TODAY())))</f>
        <v/>
      </c>
      <c r="O727" s="108" t="str">
        <f>IF(B727="","",IF(ISNUMBER(L727),IF(N727="","SEM DATA",IF(N727&gt;=0,"DEFESA NO PRAZO","DEFESA FORA DO PRAZO")),IF(G727="DECISÃO D.P","SEM DEFESA",IF(G727="","SEM STATUS",IF(N727="","SEM DATA",IF(N727&lt;0,"VENCIDO",IF(N727&lt;=DiasAlerta,"VENCE EM BREVE","NO PRAZO")))))))</f>
        <v/>
      </c>
      <c r="P727" s="109" t="str">
        <f>IF(D727="","",TODAY()-D727)</f>
        <v/>
      </c>
      <c r="Q727" s="102" t="n"/>
    </row>
    <row r="728" ht="18" customHeight="1">
      <c r="A728" s="101" t="n"/>
      <c r="B728" s="102" t="n"/>
      <c r="C728" s="102" t="n"/>
      <c r="D728" s="103" t="n"/>
      <c r="E728" s="102" t="n"/>
      <c r="F728" s="104" t="n"/>
      <c r="G728" s="104" t="n"/>
      <c r="H728" s="102" t="n"/>
      <c r="I728" s="105" t="n"/>
      <c r="J728" s="105" t="n"/>
      <c r="K728" s="103" t="n"/>
      <c r="L728" s="103" t="n"/>
      <c r="M728" s="106" t="str">
        <f>IF(OR(D728="",E728=""),"",D728+IF(E728="NOTIFICAÇÃO DE CONSTATAÇÃO",PrazoConst,PrazoEsc))</f>
        <v/>
      </c>
      <c r="N728" s="107" t="str">
        <f>IF(M728="","",IF(ISNUMBER(L728),M728-L728,IF(G728="DECISÃO D.P","",M728-TODAY())))</f>
        <v/>
      </c>
      <c r="O728" s="108" t="str">
        <f>IF(B728="","",IF(ISNUMBER(L728),IF(N728="","SEM DATA",IF(N728&gt;=0,"DEFESA NO PRAZO","DEFESA FORA DO PRAZO")),IF(G728="DECISÃO D.P","SEM DEFESA",IF(G728="","SEM STATUS",IF(N728="","SEM DATA",IF(N728&lt;0,"VENCIDO",IF(N728&lt;=DiasAlerta,"VENCE EM BREVE","NO PRAZO")))))))</f>
        <v/>
      </c>
      <c r="P728" s="109" t="str">
        <f>IF(D728="","",TODAY()-D728)</f>
        <v/>
      </c>
      <c r="Q728" s="102" t="n"/>
    </row>
    <row r="729" ht="18" customHeight="1">
      <c r="A729" s="101" t="n"/>
      <c r="B729" s="102" t="n"/>
      <c r="C729" s="102" t="n"/>
      <c r="D729" s="103" t="n"/>
      <c r="E729" s="102" t="n"/>
      <c r="F729" s="104" t="n"/>
      <c r="G729" s="104" t="n"/>
      <c r="H729" s="102" t="n"/>
      <c r="I729" s="105" t="n"/>
      <c r="J729" s="105" t="n"/>
      <c r="K729" s="103" t="n"/>
      <c r="L729" s="103" t="n"/>
      <c r="M729" s="106" t="str">
        <f>IF(OR(D729="",E729=""),"",D729+IF(E729="NOTIFICAÇÃO DE CONSTATAÇÃO",PrazoConst,PrazoEsc))</f>
        <v/>
      </c>
      <c r="N729" s="107" t="str">
        <f>IF(M729="","",IF(ISNUMBER(L729),M729-L729,IF(G729="DECISÃO D.P","",M729-TODAY())))</f>
        <v/>
      </c>
      <c r="O729" s="108" t="str">
        <f>IF(B729="","",IF(ISNUMBER(L729),IF(N729="","SEM DATA",IF(N729&gt;=0,"DEFESA NO PRAZO","DEFESA FORA DO PRAZO")),IF(G729="DECISÃO D.P","SEM DEFESA",IF(G729="","SEM STATUS",IF(N729="","SEM DATA",IF(N729&lt;0,"VENCIDO",IF(N729&lt;=DiasAlerta,"VENCE EM BREVE","NO PRAZO")))))))</f>
        <v/>
      </c>
      <c r="P729" s="109" t="str">
        <f>IF(D729="","",TODAY()-D729)</f>
        <v/>
      </c>
      <c r="Q729" s="102" t="n"/>
    </row>
    <row r="730" ht="18" customHeight="1">
      <c r="A730" s="101" t="n"/>
      <c r="B730" s="102" t="n"/>
      <c r="C730" s="102" t="n"/>
      <c r="D730" s="103" t="n"/>
      <c r="E730" s="102" t="n"/>
      <c r="F730" s="104" t="n"/>
      <c r="G730" s="104" t="n"/>
      <c r="H730" s="102" t="n"/>
      <c r="I730" s="105" t="n"/>
      <c r="J730" s="105" t="n"/>
      <c r="K730" s="103" t="n"/>
      <c r="L730" s="103" t="n"/>
      <c r="M730" s="106" t="str">
        <f>IF(OR(D730="",E730=""),"",D730+IF(E730="NOTIFICAÇÃO DE CONSTATAÇÃO",PrazoConst,PrazoEsc))</f>
        <v/>
      </c>
      <c r="N730" s="107" t="str">
        <f>IF(M730="","",IF(ISNUMBER(L730),M730-L730,IF(G730="DECISÃO D.P","",M730-TODAY())))</f>
        <v/>
      </c>
      <c r="O730" s="108" t="str">
        <f>IF(B730="","",IF(ISNUMBER(L730),IF(N730="","SEM DATA",IF(N730&gt;=0,"DEFESA NO PRAZO","DEFESA FORA DO PRAZO")),IF(G730="DECISÃO D.P","SEM DEFESA",IF(G730="","SEM STATUS",IF(N730="","SEM DATA",IF(N730&lt;0,"VENCIDO",IF(N730&lt;=DiasAlerta,"VENCE EM BREVE","NO PRAZO")))))))</f>
        <v/>
      </c>
      <c r="P730" s="109" t="str">
        <f>IF(D730="","",TODAY()-D730)</f>
        <v/>
      </c>
      <c r="Q730" s="102" t="n"/>
    </row>
    <row r="731" ht="18" customHeight="1">
      <c r="A731" s="101" t="n"/>
      <c r="B731" s="102" t="n"/>
      <c r="C731" s="102" t="n"/>
      <c r="D731" s="103" t="n"/>
      <c r="E731" s="102" t="n"/>
      <c r="F731" s="104" t="n"/>
      <c r="G731" s="104" t="n"/>
      <c r="H731" s="102" t="n"/>
      <c r="I731" s="105" t="n"/>
      <c r="J731" s="105" t="n"/>
      <c r="K731" s="103" t="n"/>
      <c r="L731" s="103" t="n"/>
      <c r="M731" s="106" t="str">
        <f>IF(OR(D731="",E731=""),"",D731+IF(E731="NOTIFICAÇÃO DE CONSTATAÇÃO",PrazoConst,PrazoEsc))</f>
        <v/>
      </c>
      <c r="N731" s="107" t="str">
        <f>IF(M731="","",IF(ISNUMBER(L731),M731-L731,IF(G731="DECISÃO D.P","",M731-TODAY())))</f>
        <v/>
      </c>
      <c r="O731" s="108" t="str">
        <f>IF(B731="","",IF(ISNUMBER(L731),IF(N731="","SEM DATA",IF(N731&gt;=0,"DEFESA NO PRAZO","DEFESA FORA DO PRAZO")),IF(G731="DECISÃO D.P","SEM DEFESA",IF(G731="","SEM STATUS",IF(N731="","SEM DATA",IF(N731&lt;0,"VENCIDO",IF(N731&lt;=DiasAlerta,"VENCE EM BREVE","NO PRAZO")))))))</f>
        <v/>
      </c>
      <c r="P731" s="109" t="str">
        <f>IF(D731="","",TODAY()-D731)</f>
        <v/>
      </c>
      <c r="Q731" s="102" t="n"/>
    </row>
    <row r="732" ht="18" customHeight="1">
      <c r="A732" s="101" t="n"/>
      <c r="B732" s="102" t="n"/>
      <c r="C732" s="102" t="n"/>
      <c r="D732" s="103" t="n"/>
      <c r="E732" s="102" t="n"/>
      <c r="F732" s="104" t="n"/>
      <c r="G732" s="104" t="n"/>
      <c r="H732" s="102" t="n"/>
      <c r="I732" s="105" t="n"/>
      <c r="J732" s="105" t="n"/>
      <c r="K732" s="103" t="n"/>
      <c r="L732" s="103" t="n"/>
      <c r="M732" s="106" t="str">
        <f>IF(OR(D732="",E732=""),"",D732+IF(E732="NOTIFICAÇÃO DE CONSTATAÇÃO",PrazoConst,PrazoEsc))</f>
        <v/>
      </c>
      <c r="N732" s="107" t="str">
        <f>IF(M732="","",IF(ISNUMBER(L732),M732-L732,IF(G732="DECISÃO D.P","",M732-TODAY())))</f>
        <v/>
      </c>
      <c r="O732" s="108" t="str">
        <f>IF(B732="","",IF(ISNUMBER(L732),IF(N732="","SEM DATA",IF(N732&gt;=0,"DEFESA NO PRAZO","DEFESA FORA DO PRAZO")),IF(G732="DECISÃO D.P","SEM DEFESA",IF(G732="","SEM STATUS",IF(N732="","SEM DATA",IF(N732&lt;0,"VENCIDO",IF(N732&lt;=DiasAlerta,"VENCE EM BREVE","NO PRAZO")))))))</f>
        <v/>
      </c>
      <c r="P732" s="109" t="str">
        <f>IF(D732="","",TODAY()-D732)</f>
        <v/>
      </c>
      <c r="Q732" s="102" t="n"/>
    </row>
    <row r="733" ht="18" customHeight="1">
      <c r="A733" s="101" t="n"/>
      <c r="B733" s="102" t="n"/>
      <c r="C733" s="102" t="n"/>
      <c r="D733" s="103" t="n"/>
      <c r="E733" s="102" t="n"/>
      <c r="F733" s="104" t="n"/>
      <c r="G733" s="104" t="n"/>
      <c r="H733" s="102" t="n"/>
      <c r="I733" s="105" t="n"/>
      <c r="J733" s="105" t="n"/>
      <c r="K733" s="103" t="n"/>
      <c r="L733" s="103" t="n"/>
      <c r="M733" s="106" t="str">
        <f>IF(OR(D733="",E733=""),"",D733+IF(E733="NOTIFICAÇÃO DE CONSTATAÇÃO",PrazoConst,PrazoEsc))</f>
        <v/>
      </c>
      <c r="N733" s="107" t="str">
        <f>IF(M733="","",IF(ISNUMBER(L733),M733-L733,IF(G733="DECISÃO D.P","",M733-TODAY())))</f>
        <v/>
      </c>
      <c r="O733" s="108" t="str">
        <f>IF(B733="","",IF(ISNUMBER(L733),IF(N733="","SEM DATA",IF(N733&gt;=0,"DEFESA NO PRAZO","DEFESA FORA DO PRAZO")),IF(G733="DECISÃO D.P","SEM DEFESA",IF(G733="","SEM STATUS",IF(N733="","SEM DATA",IF(N733&lt;0,"VENCIDO",IF(N733&lt;=DiasAlerta,"VENCE EM BREVE","NO PRAZO")))))))</f>
        <v/>
      </c>
      <c r="P733" s="109" t="str">
        <f>IF(D733="","",TODAY()-D733)</f>
        <v/>
      </c>
      <c r="Q733" s="102" t="n"/>
    </row>
    <row r="734" ht="18" customHeight="1">
      <c r="A734" s="101" t="n"/>
      <c r="B734" s="102" t="n"/>
      <c r="C734" s="102" t="n"/>
      <c r="D734" s="103" t="n"/>
      <c r="E734" s="102" t="n"/>
      <c r="F734" s="104" t="n"/>
      <c r="G734" s="104" t="n"/>
      <c r="H734" s="102" t="n"/>
      <c r="I734" s="105" t="n"/>
      <c r="J734" s="105" t="n"/>
      <c r="K734" s="103" t="n"/>
      <c r="L734" s="103" t="n"/>
      <c r="M734" s="106" t="str">
        <f>IF(OR(D734="",E734=""),"",D734+IF(E734="NOTIFICAÇÃO DE CONSTATAÇÃO",PrazoConst,PrazoEsc))</f>
        <v/>
      </c>
      <c r="N734" s="107" t="str">
        <f>IF(M734="","",IF(ISNUMBER(L734),M734-L734,IF(G734="DECISÃO D.P","",M734-TODAY())))</f>
        <v/>
      </c>
      <c r="O734" s="108" t="str">
        <f>IF(B734="","",IF(ISNUMBER(L734),IF(N734="","SEM DATA",IF(N734&gt;=0,"DEFESA NO PRAZO","DEFESA FORA DO PRAZO")),IF(G734="DECISÃO D.P","SEM DEFESA",IF(G734="","SEM STATUS",IF(N734="","SEM DATA",IF(N734&lt;0,"VENCIDO",IF(N734&lt;=DiasAlerta,"VENCE EM BREVE","NO PRAZO")))))))</f>
        <v/>
      </c>
      <c r="P734" s="109" t="str">
        <f>IF(D734="","",TODAY()-D734)</f>
        <v/>
      </c>
      <c r="Q734" s="102" t="n"/>
    </row>
    <row r="735" ht="18" customHeight="1">
      <c r="A735" s="101" t="n"/>
      <c r="B735" s="102" t="n"/>
      <c r="C735" s="102" t="n"/>
      <c r="D735" s="103" t="n"/>
      <c r="E735" s="102" t="n"/>
      <c r="F735" s="104" t="n"/>
      <c r="G735" s="104" t="n"/>
      <c r="H735" s="102" t="n"/>
      <c r="I735" s="105" t="n"/>
      <c r="J735" s="105" t="n"/>
      <c r="K735" s="103" t="n"/>
      <c r="L735" s="103" t="n"/>
      <c r="M735" s="106" t="str">
        <f>IF(OR(D735="",E735=""),"",D735+IF(E735="NOTIFICAÇÃO DE CONSTATAÇÃO",PrazoConst,PrazoEsc))</f>
        <v/>
      </c>
      <c r="N735" s="107" t="str">
        <f>IF(M735="","",IF(ISNUMBER(L735),M735-L735,IF(G735="DECISÃO D.P","",M735-TODAY())))</f>
        <v/>
      </c>
      <c r="O735" s="108" t="str">
        <f>IF(B735="","",IF(ISNUMBER(L735),IF(N735="","SEM DATA",IF(N735&gt;=0,"DEFESA NO PRAZO","DEFESA FORA DO PRAZO")),IF(G735="DECISÃO D.P","SEM DEFESA",IF(G735="","SEM STATUS",IF(N735="","SEM DATA",IF(N735&lt;0,"VENCIDO",IF(N735&lt;=DiasAlerta,"VENCE EM BREVE","NO PRAZO")))))))</f>
        <v/>
      </c>
      <c r="P735" s="109" t="str">
        <f>IF(D735="","",TODAY()-D735)</f>
        <v/>
      </c>
      <c r="Q735" s="102" t="n"/>
    </row>
    <row r="736" ht="18" customHeight="1">
      <c r="A736" s="101" t="n"/>
      <c r="B736" s="102" t="n"/>
      <c r="C736" s="102" t="n"/>
      <c r="D736" s="103" t="n"/>
      <c r="E736" s="102" t="n"/>
      <c r="F736" s="104" t="n"/>
      <c r="G736" s="104" t="n"/>
      <c r="H736" s="102" t="n"/>
      <c r="I736" s="105" t="n"/>
      <c r="J736" s="105" t="n"/>
      <c r="K736" s="103" t="n"/>
      <c r="L736" s="103" t="n"/>
      <c r="M736" s="106" t="str">
        <f>IF(OR(D736="",E736=""),"",D736+IF(E736="NOTIFICAÇÃO DE CONSTATAÇÃO",PrazoConst,PrazoEsc))</f>
        <v/>
      </c>
      <c r="N736" s="107" t="str">
        <f>IF(M736="","",IF(ISNUMBER(L736),M736-L736,IF(G736="DECISÃO D.P","",M736-TODAY())))</f>
        <v/>
      </c>
      <c r="O736" s="108" t="str">
        <f>IF(B736="","",IF(ISNUMBER(L736),IF(N736="","SEM DATA",IF(N736&gt;=0,"DEFESA NO PRAZO","DEFESA FORA DO PRAZO")),IF(G736="DECISÃO D.P","SEM DEFESA",IF(G736="","SEM STATUS",IF(N736="","SEM DATA",IF(N736&lt;0,"VENCIDO",IF(N736&lt;=DiasAlerta,"VENCE EM BREVE","NO PRAZO")))))))</f>
        <v/>
      </c>
      <c r="P736" s="109" t="str">
        <f>IF(D736="","",TODAY()-D736)</f>
        <v/>
      </c>
      <c r="Q736" s="102" t="n"/>
    </row>
    <row r="737" ht="18" customHeight="1">
      <c r="A737" s="101" t="n"/>
      <c r="B737" s="102" t="n"/>
      <c r="C737" s="102" t="n"/>
      <c r="D737" s="103" t="n"/>
      <c r="E737" s="102" t="n"/>
      <c r="F737" s="104" t="n"/>
      <c r="G737" s="104" t="n"/>
      <c r="H737" s="102" t="n"/>
      <c r="I737" s="105" t="n"/>
      <c r="J737" s="105" t="n"/>
      <c r="K737" s="103" t="n"/>
      <c r="L737" s="103" t="n"/>
      <c r="M737" s="106" t="str">
        <f>IF(OR(D737="",E737=""),"",D737+IF(E737="NOTIFICAÇÃO DE CONSTATAÇÃO",PrazoConst,PrazoEsc))</f>
        <v/>
      </c>
      <c r="N737" s="107" t="str">
        <f>IF(M737="","",IF(ISNUMBER(L737),M737-L737,IF(G737="DECISÃO D.P","",M737-TODAY())))</f>
        <v/>
      </c>
      <c r="O737" s="108" t="str">
        <f>IF(B737="","",IF(ISNUMBER(L737),IF(N737="","SEM DATA",IF(N737&gt;=0,"DEFESA NO PRAZO","DEFESA FORA DO PRAZO")),IF(G737="DECISÃO D.P","SEM DEFESA",IF(G737="","SEM STATUS",IF(N737="","SEM DATA",IF(N737&lt;0,"VENCIDO",IF(N737&lt;=DiasAlerta,"VENCE EM BREVE","NO PRAZO")))))))</f>
        <v/>
      </c>
      <c r="P737" s="109" t="str">
        <f>IF(D737="","",TODAY()-D737)</f>
        <v/>
      </c>
      <c r="Q737" s="102" t="n"/>
    </row>
    <row r="738" ht="18" customHeight="1">
      <c r="A738" s="101" t="n"/>
      <c r="B738" s="102" t="n"/>
      <c r="C738" s="102" t="n"/>
      <c r="D738" s="103" t="n"/>
      <c r="E738" s="102" t="n"/>
      <c r="F738" s="104" t="n"/>
      <c r="G738" s="104" t="n"/>
      <c r="H738" s="102" t="n"/>
      <c r="I738" s="105" t="n"/>
      <c r="J738" s="105" t="n"/>
      <c r="K738" s="103" t="n"/>
      <c r="L738" s="103" t="n"/>
      <c r="M738" s="106" t="str">
        <f>IF(OR(D738="",E738=""),"",D738+IF(E738="NOTIFICAÇÃO DE CONSTATAÇÃO",PrazoConst,PrazoEsc))</f>
        <v/>
      </c>
      <c r="N738" s="107" t="str">
        <f>IF(M738="","",IF(ISNUMBER(L738),M738-L738,IF(G738="DECISÃO D.P","",M738-TODAY())))</f>
        <v/>
      </c>
      <c r="O738" s="108" t="str">
        <f>IF(B738="","",IF(ISNUMBER(L738),IF(N738="","SEM DATA",IF(N738&gt;=0,"DEFESA NO PRAZO","DEFESA FORA DO PRAZO")),IF(G738="DECISÃO D.P","SEM DEFESA",IF(G738="","SEM STATUS",IF(N738="","SEM DATA",IF(N738&lt;0,"VENCIDO",IF(N738&lt;=DiasAlerta,"VENCE EM BREVE","NO PRAZO")))))))</f>
        <v/>
      </c>
      <c r="P738" s="109" t="str">
        <f>IF(D738="","",TODAY()-D738)</f>
        <v/>
      </c>
      <c r="Q738" s="102" t="n"/>
    </row>
    <row r="739" ht="18" customHeight="1">
      <c r="A739" s="101" t="n"/>
      <c r="B739" s="102" t="n"/>
      <c r="C739" s="102" t="n"/>
      <c r="D739" s="103" t="n"/>
      <c r="E739" s="102" t="n"/>
      <c r="F739" s="104" t="n"/>
      <c r="G739" s="104" t="n"/>
      <c r="H739" s="102" t="n"/>
      <c r="I739" s="105" t="n"/>
      <c r="J739" s="105" t="n"/>
      <c r="K739" s="103" t="n"/>
      <c r="L739" s="103" t="n"/>
      <c r="M739" s="106" t="str">
        <f>IF(OR(D739="",E739=""),"",D739+IF(E739="NOTIFICAÇÃO DE CONSTATAÇÃO",PrazoConst,PrazoEsc))</f>
        <v/>
      </c>
      <c r="N739" s="107" t="str">
        <f>IF(M739="","",IF(ISNUMBER(L739),M739-L739,IF(G739="DECISÃO D.P","",M739-TODAY())))</f>
        <v/>
      </c>
      <c r="O739" s="108" t="str">
        <f>IF(B739="","",IF(ISNUMBER(L739),IF(N739="","SEM DATA",IF(N739&gt;=0,"DEFESA NO PRAZO","DEFESA FORA DO PRAZO")),IF(G739="DECISÃO D.P","SEM DEFESA",IF(G739="","SEM STATUS",IF(N739="","SEM DATA",IF(N739&lt;0,"VENCIDO",IF(N739&lt;=DiasAlerta,"VENCE EM BREVE","NO PRAZO")))))))</f>
        <v/>
      </c>
      <c r="P739" s="109" t="str">
        <f>IF(D739="","",TODAY()-D739)</f>
        <v/>
      </c>
      <c r="Q739" s="102" t="n"/>
    </row>
    <row r="740" ht="18" customHeight="1">
      <c r="A740" s="101" t="n"/>
      <c r="B740" s="102" t="n"/>
      <c r="C740" s="102" t="n"/>
      <c r="D740" s="103" t="n"/>
      <c r="E740" s="102" t="n"/>
      <c r="F740" s="104" t="n"/>
      <c r="G740" s="104" t="n"/>
      <c r="H740" s="102" t="n"/>
      <c r="I740" s="105" t="n"/>
      <c r="J740" s="105" t="n"/>
      <c r="K740" s="103" t="n"/>
      <c r="L740" s="103" t="n"/>
      <c r="M740" s="106" t="str">
        <f>IF(OR(D740="",E740=""),"",D740+IF(E740="NOTIFICAÇÃO DE CONSTATAÇÃO",PrazoConst,PrazoEsc))</f>
        <v/>
      </c>
      <c r="N740" s="107" t="str">
        <f>IF(M740="","",IF(ISNUMBER(L740),M740-L740,IF(G740="DECISÃO D.P","",M740-TODAY())))</f>
        <v/>
      </c>
      <c r="O740" s="108" t="str">
        <f>IF(B740="","",IF(ISNUMBER(L740),IF(N740="","SEM DATA",IF(N740&gt;=0,"DEFESA NO PRAZO","DEFESA FORA DO PRAZO")),IF(G740="DECISÃO D.P","SEM DEFESA",IF(G740="","SEM STATUS",IF(N740="","SEM DATA",IF(N740&lt;0,"VENCIDO",IF(N740&lt;=DiasAlerta,"VENCE EM BREVE","NO PRAZO")))))))</f>
        <v/>
      </c>
      <c r="P740" s="109" t="str">
        <f>IF(D740="","",TODAY()-D740)</f>
        <v/>
      </c>
      <c r="Q740" s="102" t="n"/>
    </row>
    <row r="741" ht="18" customHeight="1">
      <c r="A741" s="101" t="n"/>
      <c r="B741" s="102" t="n"/>
      <c r="C741" s="102" t="n"/>
      <c r="D741" s="103" t="n"/>
      <c r="E741" s="102" t="n"/>
      <c r="F741" s="104" t="n"/>
      <c r="G741" s="104" t="n"/>
      <c r="H741" s="102" t="n"/>
      <c r="I741" s="105" t="n"/>
      <c r="J741" s="105" t="n"/>
      <c r="K741" s="103" t="n"/>
      <c r="L741" s="103" t="n"/>
      <c r="M741" s="106" t="str">
        <f>IF(OR(D741="",E741=""),"",D741+IF(E741="NOTIFICAÇÃO DE CONSTATAÇÃO",PrazoConst,PrazoEsc))</f>
        <v/>
      </c>
      <c r="N741" s="107" t="str">
        <f>IF(M741="","",IF(ISNUMBER(L741),M741-L741,IF(G741="DECISÃO D.P","",M741-TODAY())))</f>
        <v/>
      </c>
      <c r="O741" s="108" t="str">
        <f>IF(B741="","",IF(ISNUMBER(L741),IF(N741="","SEM DATA",IF(N741&gt;=0,"DEFESA NO PRAZO","DEFESA FORA DO PRAZO")),IF(G741="DECISÃO D.P","SEM DEFESA",IF(G741="","SEM STATUS",IF(N741="","SEM DATA",IF(N741&lt;0,"VENCIDO",IF(N741&lt;=DiasAlerta,"VENCE EM BREVE","NO PRAZO")))))))</f>
        <v/>
      </c>
      <c r="P741" s="109" t="str">
        <f>IF(D741="","",TODAY()-D741)</f>
        <v/>
      </c>
      <c r="Q741" s="102" t="n"/>
    </row>
    <row r="742" ht="18" customHeight="1">
      <c r="A742" s="101" t="n"/>
      <c r="B742" s="102" t="n"/>
      <c r="C742" s="102" t="n"/>
      <c r="D742" s="103" t="n"/>
      <c r="E742" s="102" t="n"/>
      <c r="F742" s="104" t="n"/>
      <c r="G742" s="104" t="n"/>
      <c r="H742" s="102" t="n"/>
      <c r="I742" s="105" t="n"/>
      <c r="J742" s="105" t="n"/>
      <c r="K742" s="103" t="n"/>
      <c r="L742" s="103" t="n"/>
      <c r="M742" s="106" t="str">
        <f>IF(OR(D742="",E742=""),"",D742+IF(E742="NOTIFICAÇÃO DE CONSTATAÇÃO",PrazoConst,PrazoEsc))</f>
        <v/>
      </c>
      <c r="N742" s="107" t="str">
        <f>IF(M742="","",IF(ISNUMBER(L742),M742-L742,IF(G742="DECISÃO D.P","",M742-TODAY())))</f>
        <v/>
      </c>
      <c r="O742" s="108" t="str">
        <f>IF(B742="","",IF(ISNUMBER(L742),IF(N742="","SEM DATA",IF(N742&gt;=0,"DEFESA NO PRAZO","DEFESA FORA DO PRAZO")),IF(G742="DECISÃO D.P","SEM DEFESA",IF(G742="","SEM STATUS",IF(N742="","SEM DATA",IF(N742&lt;0,"VENCIDO",IF(N742&lt;=DiasAlerta,"VENCE EM BREVE","NO PRAZO")))))))</f>
        <v/>
      </c>
      <c r="P742" s="109" t="str">
        <f>IF(D742="","",TODAY()-D742)</f>
        <v/>
      </c>
      <c r="Q742" s="102" t="n"/>
    </row>
    <row r="743" ht="18" customHeight="1">
      <c r="A743" s="101" t="n"/>
      <c r="B743" s="102" t="n"/>
      <c r="C743" s="102" t="n"/>
      <c r="D743" s="103" t="n"/>
      <c r="E743" s="102" t="n"/>
      <c r="F743" s="104" t="n"/>
      <c r="G743" s="104" t="n"/>
      <c r="H743" s="102" t="n"/>
      <c r="I743" s="105" t="n"/>
      <c r="J743" s="105" t="n"/>
      <c r="K743" s="103" t="n"/>
      <c r="L743" s="103" t="n"/>
      <c r="M743" s="106" t="str">
        <f>IF(OR(D743="",E743=""),"",D743+IF(E743="NOTIFICAÇÃO DE CONSTATAÇÃO",PrazoConst,PrazoEsc))</f>
        <v/>
      </c>
      <c r="N743" s="107" t="str">
        <f>IF(M743="","",IF(ISNUMBER(L743),M743-L743,IF(G743="DECISÃO D.P","",M743-TODAY())))</f>
        <v/>
      </c>
      <c r="O743" s="108" t="str">
        <f>IF(B743="","",IF(ISNUMBER(L743),IF(N743="","SEM DATA",IF(N743&gt;=0,"DEFESA NO PRAZO","DEFESA FORA DO PRAZO")),IF(G743="DECISÃO D.P","SEM DEFESA",IF(G743="","SEM STATUS",IF(N743="","SEM DATA",IF(N743&lt;0,"VENCIDO",IF(N743&lt;=DiasAlerta,"VENCE EM BREVE","NO PRAZO")))))))</f>
        <v/>
      </c>
      <c r="P743" s="109" t="str">
        <f>IF(D743="","",TODAY()-D743)</f>
        <v/>
      </c>
      <c r="Q743" s="102" t="n"/>
    </row>
    <row r="744" ht="18" customHeight="1">
      <c r="A744" s="101" t="n"/>
      <c r="B744" s="102" t="n"/>
      <c r="C744" s="102" t="n"/>
      <c r="D744" s="103" t="n"/>
      <c r="E744" s="102" t="n"/>
      <c r="F744" s="104" t="n"/>
      <c r="G744" s="104" t="n"/>
      <c r="H744" s="102" t="n"/>
      <c r="I744" s="105" t="n"/>
      <c r="J744" s="105" t="n"/>
      <c r="K744" s="103" t="n"/>
      <c r="L744" s="103" t="n"/>
      <c r="M744" s="106" t="str">
        <f>IF(OR(D744="",E744=""),"",D744+IF(E744="NOTIFICAÇÃO DE CONSTATAÇÃO",PrazoConst,PrazoEsc))</f>
        <v/>
      </c>
      <c r="N744" s="107" t="str">
        <f>IF(M744="","",IF(ISNUMBER(L744),M744-L744,IF(G744="DECISÃO D.P","",M744-TODAY())))</f>
        <v/>
      </c>
      <c r="O744" s="108" t="str">
        <f>IF(B744="","",IF(ISNUMBER(L744),IF(N744="","SEM DATA",IF(N744&gt;=0,"DEFESA NO PRAZO","DEFESA FORA DO PRAZO")),IF(G744="DECISÃO D.P","SEM DEFESA",IF(G744="","SEM STATUS",IF(N744="","SEM DATA",IF(N744&lt;0,"VENCIDO",IF(N744&lt;=DiasAlerta,"VENCE EM BREVE","NO PRAZO")))))))</f>
        <v/>
      </c>
      <c r="P744" s="109" t="str">
        <f>IF(D744="","",TODAY()-D744)</f>
        <v/>
      </c>
      <c r="Q744" s="102" t="n"/>
    </row>
    <row r="745" ht="18" customHeight="1">
      <c r="A745" s="101" t="n"/>
      <c r="B745" s="102" t="n"/>
      <c r="C745" s="102" t="n"/>
      <c r="D745" s="103" t="n"/>
      <c r="E745" s="102" t="n"/>
      <c r="F745" s="104" t="n"/>
      <c r="G745" s="104" t="n"/>
      <c r="H745" s="102" t="n"/>
      <c r="I745" s="105" t="n"/>
      <c r="J745" s="105" t="n"/>
      <c r="K745" s="103" t="n"/>
      <c r="L745" s="103" t="n"/>
      <c r="M745" s="106" t="str">
        <f>IF(OR(D745="",E745=""),"",D745+IF(E745="NOTIFICAÇÃO DE CONSTATAÇÃO",PrazoConst,PrazoEsc))</f>
        <v/>
      </c>
      <c r="N745" s="107" t="str">
        <f>IF(M745="","",IF(ISNUMBER(L745),M745-L745,IF(G745="DECISÃO D.P","",M745-TODAY())))</f>
        <v/>
      </c>
      <c r="O745" s="108" t="str">
        <f>IF(B745="","",IF(ISNUMBER(L745),IF(N745="","SEM DATA",IF(N745&gt;=0,"DEFESA NO PRAZO","DEFESA FORA DO PRAZO")),IF(G745="DECISÃO D.P","SEM DEFESA",IF(G745="","SEM STATUS",IF(N745="","SEM DATA",IF(N745&lt;0,"VENCIDO",IF(N745&lt;=DiasAlerta,"VENCE EM BREVE","NO PRAZO")))))))</f>
        <v/>
      </c>
      <c r="P745" s="109" t="str">
        <f>IF(D745="","",TODAY()-D745)</f>
        <v/>
      </c>
      <c r="Q745" s="102" t="n"/>
    </row>
    <row r="746" ht="18" customHeight="1">
      <c r="A746" s="101" t="n"/>
      <c r="B746" s="102" t="n"/>
      <c r="C746" s="102" t="n"/>
      <c r="D746" s="103" t="n"/>
      <c r="E746" s="102" t="n"/>
      <c r="F746" s="104" t="n"/>
      <c r="G746" s="104" t="n"/>
      <c r="H746" s="102" t="n"/>
      <c r="I746" s="105" t="n"/>
      <c r="J746" s="105" t="n"/>
      <c r="K746" s="103" t="n"/>
      <c r="L746" s="103" t="n"/>
      <c r="M746" s="106" t="str">
        <f>IF(OR(D746="",E746=""),"",D746+IF(E746="NOTIFICAÇÃO DE CONSTATAÇÃO",PrazoConst,PrazoEsc))</f>
        <v/>
      </c>
      <c r="N746" s="107" t="str">
        <f>IF(M746="","",IF(ISNUMBER(L746),M746-L746,IF(G746="DECISÃO D.P","",M746-TODAY())))</f>
        <v/>
      </c>
      <c r="O746" s="108" t="str">
        <f>IF(B746="","",IF(ISNUMBER(L746),IF(N746="","SEM DATA",IF(N746&gt;=0,"DEFESA NO PRAZO","DEFESA FORA DO PRAZO")),IF(G746="DECISÃO D.P","SEM DEFESA",IF(G746="","SEM STATUS",IF(N746="","SEM DATA",IF(N746&lt;0,"VENCIDO",IF(N746&lt;=DiasAlerta,"VENCE EM BREVE","NO PRAZO")))))))</f>
        <v/>
      </c>
      <c r="P746" s="109" t="str">
        <f>IF(D746="","",TODAY()-D746)</f>
        <v/>
      </c>
      <c r="Q746" s="102" t="n"/>
    </row>
    <row r="747" ht="18" customHeight="1">
      <c r="A747" s="101" t="n"/>
      <c r="B747" s="102" t="n"/>
      <c r="C747" s="102" t="n"/>
      <c r="D747" s="103" t="n"/>
      <c r="E747" s="102" t="n"/>
      <c r="F747" s="104" t="n"/>
      <c r="G747" s="104" t="n"/>
      <c r="H747" s="102" t="n"/>
      <c r="I747" s="105" t="n"/>
      <c r="J747" s="105" t="n"/>
      <c r="K747" s="103" t="n"/>
      <c r="L747" s="103" t="n"/>
      <c r="M747" s="106" t="str">
        <f>IF(OR(D747="",E747=""),"",D747+IF(E747="NOTIFICAÇÃO DE CONSTATAÇÃO",PrazoConst,PrazoEsc))</f>
        <v/>
      </c>
      <c r="N747" s="107" t="str">
        <f>IF(M747="","",IF(ISNUMBER(L747),M747-L747,IF(G747="DECISÃO D.P","",M747-TODAY())))</f>
        <v/>
      </c>
      <c r="O747" s="108" t="str">
        <f>IF(B747="","",IF(ISNUMBER(L747),IF(N747="","SEM DATA",IF(N747&gt;=0,"DEFESA NO PRAZO","DEFESA FORA DO PRAZO")),IF(G747="DECISÃO D.P","SEM DEFESA",IF(G747="","SEM STATUS",IF(N747="","SEM DATA",IF(N747&lt;0,"VENCIDO",IF(N747&lt;=DiasAlerta,"VENCE EM BREVE","NO PRAZO")))))))</f>
        <v/>
      </c>
      <c r="P747" s="109" t="str">
        <f>IF(D747="","",TODAY()-D747)</f>
        <v/>
      </c>
      <c r="Q747" s="102" t="n"/>
    </row>
    <row r="748" ht="18" customHeight="1">
      <c r="A748" s="101" t="n"/>
      <c r="B748" s="102" t="n"/>
      <c r="C748" s="102" t="n"/>
      <c r="D748" s="103" t="n"/>
      <c r="E748" s="102" t="n"/>
      <c r="F748" s="104" t="n"/>
      <c r="G748" s="104" t="n"/>
      <c r="H748" s="102" t="n"/>
      <c r="I748" s="105" t="n"/>
      <c r="J748" s="105" t="n"/>
      <c r="K748" s="103" t="n"/>
      <c r="L748" s="103" t="n"/>
      <c r="M748" s="106" t="str">
        <f>IF(OR(D748="",E748=""),"",D748+IF(E748="NOTIFICAÇÃO DE CONSTATAÇÃO",PrazoConst,PrazoEsc))</f>
        <v/>
      </c>
      <c r="N748" s="107" t="str">
        <f>IF(M748="","",IF(ISNUMBER(L748),M748-L748,IF(G748="DECISÃO D.P","",M748-TODAY())))</f>
        <v/>
      </c>
      <c r="O748" s="108" t="str">
        <f>IF(B748="","",IF(ISNUMBER(L748),IF(N748="","SEM DATA",IF(N748&gt;=0,"DEFESA NO PRAZO","DEFESA FORA DO PRAZO")),IF(G748="DECISÃO D.P","SEM DEFESA",IF(G748="","SEM STATUS",IF(N748="","SEM DATA",IF(N748&lt;0,"VENCIDO",IF(N748&lt;=DiasAlerta,"VENCE EM BREVE","NO PRAZO")))))))</f>
        <v/>
      </c>
      <c r="P748" s="109" t="str">
        <f>IF(D748="","",TODAY()-D748)</f>
        <v/>
      </c>
      <c r="Q748" s="102" t="n"/>
    </row>
    <row r="749" ht="18" customHeight="1">
      <c r="A749" s="101" t="n"/>
      <c r="B749" s="102" t="n"/>
      <c r="C749" s="102" t="n"/>
      <c r="D749" s="103" t="n"/>
      <c r="E749" s="102" t="n"/>
      <c r="F749" s="104" t="n"/>
      <c r="G749" s="104" t="n"/>
      <c r="H749" s="102" t="n"/>
      <c r="I749" s="105" t="n"/>
      <c r="J749" s="105" t="n"/>
      <c r="K749" s="103" t="n"/>
      <c r="L749" s="103" t="n"/>
      <c r="M749" s="106" t="str">
        <f>IF(OR(D749="",E749=""),"",D749+IF(E749="NOTIFICAÇÃO DE CONSTATAÇÃO",PrazoConst,PrazoEsc))</f>
        <v/>
      </c>
      <c r="N749" s="107" t="str">
        <f>IF(M749="","",IF(ISNUMBER(L749),M749-L749,IF(G749="DECISÃO D.P","",M749-TODAY())))</f>
        <v/>
      </c>
      <c r="O749" s="108" t="str">
        <f>IF(B749="","",IF(ISNUMBER(L749),IF(N749="","SEM DATA",IF(N749&gt;=0,"DEFESA NO PRAZO","DEFESA FORA DO PRAZO")),IF(G749="DECISÃO D.P","SEM DEFESA",IF(G749="","SEM STATUS",IF(N749="","SEM DATA",IF(N749&lt;0,"VENCIDO",IF(N749&lt;=DiasAlerta,"VENCE EM BREVE","NO PRAZO")))))))</f>
        <v/>
      </c>
      <c r="P749" s="109" t="str">
        <f>IF(D749="","",TODAY()-D749)</f>
        <v/>
      </c>
      <c r="Q749" s="102" t="n"/>
    </row>
    <row r="750" ht="18" customHeight="1">
      <c r="A750" s="101" t="n"/>
      <c r="B750" s="102" t="n"/>
      <c r="C750" s="102" t="n"/>
      <c r="D750" s="103" t="n"/>
      <c r="E750" s="102" t="n"/>
      <c r="F750" s="104" t="n"/>
      <c r="G750" s="104" t="n"/>
      <c r="H750" s="102" t="n"/>
      <c r="I750" s="105" t="n"/>
      <c r="J750" s="105" t="n"/>
      <c r="K750" s="103" t="n"/>
      <c r="L750" s="103" t="n"/>
      <c r="M750" s="106" t="str">
        <f>IF(OR(D750="",E750=""),"",D750+IF(E750="NOTIFICAÇÃO DE CONSTATAÇÃO",PrazoConst,PrazoEsc))</f>
        <v/>
      </c>
      <c r="N750" s="107" t="str">
        <f>IF(M750="","",IF(ISNUMBER(L750),M750-L750,IF(G750="DECISÃO D.P","",M750-TODAY())))</f>
        <v/>
      </c>
      <c r="O750" s="108" t="str">
        <f>IF(B750="","",IF(ISNUMBER(L750),IF(N750="","SEM DATA",IF(N750&gt;=0,"DEFESA NO PRAZO","DEFESA FORA DO PRAZO")),IF(G750="DECISÃO D.P","SEM DEFESA",IF(G750="","SEM STATUS",IF(N750="","SEM DATA",IF(N750&lt;0,"VENCIDO",IF(N750&lt;=DiasAlerta,"VENCE EM BREVE","NO PRAZO")))))))</f>
        <v/>
      </c>
      <c r="P750" s="109" t="str">
        <f>IF(D750="","",TODAY()-D750)</f>
        <v/>
      </c>
      <c r="Q750" s="102" t="n"/>
    </row>
    <row r="751" ht="18" customHeight="1">
      <c r="A751" s="101" t="n"/>
      <c r="B751" s="102" t="n"/>
      <c r="C751" s="102" t="n"/>
      <c r="D751" s="103" t="n"/>
      <c r="E751" s="102" t="n"/>
      <c r="F751" s="104" t="n"/>
      <c r="G751" s="104" t="n"/>
      <c r="H751" s="102" t="n"/>
      <c r="I751" s="105" t="n"/>
      <c r="J751" s="105" t="n"/>
      <c r="K751" s="103" t="n"/>
      <c r="L751" s="103" t="n"/>
      <c r="M751" s="106" t="str">
        <f>IF(OR(D751="",E751=""),"",D751+IF(E751="NOTIFICAÇÃO DE CONSTATAÇÃO",PrazoConst,PrazoEsc))</f>
        <v/>
      </c>
      <c r="N751" s="107" t="str">
        <f>IF(M751="","",IF(ISNUMBER(L751),M751-L751,IF(G751="DECISÃO D.P","",M751-TODAY())))</f>
        <v/>
      </c>
      <c r="O751" s="108" t="str">
        <f>IF(B751="","",IF(ISNUMBER(L751),IF(N751="","SEM DATA",IF(N751&gt;=0,"DEFESA NO PRAZO","DEFESA FORA DO PRAZO")),IF(G751="DECISÃO D.P","SEM DEFESA",IF(G751="","SEM STATUS",IF(N751="","SEM DATA",IF(N751&lt;0,"VENCIDO",IF(N751&lt;=DiasAlerta,"VENCE EM BREVE","NO PRAZO")))))))</f>
        <v/>
      </c>
      <c r="P751" s="109" t="str">
        <f>IF(D751="","",TODAY()-D751)</f>
        <v/>
      </c>
      <c r="Q751" s="102" t="n"/>
    </row>
    <row r="752" ht="18" customHeight="1">
      <c r="A752" s="101" t="n"/>
      <c r="B752" s="102" t="n"/>
      <c r="C752" s="102" t="n"/>
      <c r="D752" s="103" t="n"/>
      <c r="E752" s="102" t="n"/>
      <c r="F752" s="104" t="n"/>
      <c r="G752" s="104" t="n"/>
      <c r="H752" s="102" t="n"/>
      <c r="I752" s="105" t="n"/>
      <c r="J752" s="105" t="n"/>
      <c r="K752" s="103" t="n"/>
      <c r="L752" s="103" t="n"/>
      <c r="M752" s="106" t="str">
        <f>IF(OR(D752="",E752=""),"",D752+IF(E752="NOTIFICAÇÃO DE CONSTATAÇÃO",PrazoConst,PrazoEsc))</f>
        <v/>
      </c>
      <c r="N752" s="107" t="str">
        <f>IF(M752="","",IF(ISNUMBER(L752),M752-L752,IF(G752="DECISÃO D.P","",M752-TODAY())))</f>
        <v/>
      </c>
      <c r="O752" s="108" t="str">
        <f>IF(B752="","",IF(ISNUMBER(L752),IF(N752="","SEM DATA",IF(N752&gt;=0,"DEFESA NO PRAZO","DEFESA FORA DO PRAZO")),IF(G752="DECISÃO D.P","SEM DEFESA",IF(G752="","SEM STATUS",IF(N752="","SEM DATA",IF(N752&lt;0,"VENCIDO",IF(N752&lt;=DiasAlerta,"VENCE EM BREVE","NO PRAZO")))))))</f>
        <v/>
      </c>
      <c r="P752" s="109" t="str">
        <f>IF(D752="","",TODAY()-D752)</f>
        <v/>
      </c>
      <c r="Q752" s="102" t="n"/>
    </row>
    <row r="753" ht="18" customHeight="1">
      <c r="A753" s="101" t="n"/>
      <c r="B753" s="102" t="n"/>
      <c r="C753" s="102" t="n"/>
      <c r="D753" s="103" t="n"/>
      <c r="E753" s="102" t="n"/>
      <c r="F753" s="104" t="n"/>
      <c r="G753" s="104" t="n"/>
      <c r="H753" s="102" t="n"/>
      <c r="I753" s="105" t="n"/>
      <c r="J753" s="105" t="n"/>
      <c r="K753" s="103" t="n"/>
      <c r="L753" s="103" t="n"/>
      <c r="M753" s="106" t="str">
        <f>IF(OR(D753="",E753=""),"",D753+IF(E753="NOTIFICAÇÃO DE CONSTATAÇÃO",PrazoConst,PrazoEsc))</f>
        <v/>
      </c>
      <c r="N753" s="107" t="str">
        <f>IF(M753="","",IF(ISNUMBER(L753),M753-L753,IF(G753="DECISÃO D.P","",M753-TODAY())))</f>
        <v/>
      </c>
      <c r="O753" s="108" t="str">
        <f>IF(B753="","",IF(ISNUMBER(L753),IF(N753="","SEM DATA",IF(N753&gt;=0,"DEFESA NO PRAZO","DEFESA FORA DO PRAZO")),IF(G753="DECISÃO D.P","SEM DEFESA",IF(G753="","SEM STATUS",IF(N753="","SEM DATA",IF(N753&lt;0,"VENCIDO",IF(N753&lt;=DiasAlerta,"VENCE EM BREVE","NO PRAZO")))))))</f>
        <v/>
      </c>
      <c r="P753" s="109" t="str">
        <f>IF(D753="","",TODAY()-D753)</f>
        <v/>
      </c>
      <c r="Q753" s="102" t="n"/>
    </row>
    <row r="754" ht="18" customHeight="1">
      <c r="A754" s="101" t="n"/>
      <c r="B754" s="102" t="n"/>
      <c r="C754" s="102" t="n"/>
      <c r="D754" s="103" t="n"/>
      <c r="E754" s="102" t="n"/>
      <c r="F754" s="104" t="n"/>
      <c r="G754" s="104" t="n"/>
      <c r="H754" s="102" t="n"/>
      <c r="I754" s="105" t="n"/>
      <c r="J754" s="105" t="n"/>
      <c r="K754" s="103" t="n"/>
      <c r="L754" s="103" t="n"/>
      <c r="M754" s="106" t="str">
        <f>IF(OR(D754="",E754=""),"",D754+IF(E754="NOTIFICAÇÃO DE CONSTATAÇÃO",PrazoConst,PrazoEsc))</f>
        <v/>
      </c>
      <c r="N754" s="107" t="str">
        <f>IF(M754="","",IF(ISNUMBER(L754),M754-L754,IF(G754="DECISÃO D.P","",M754-TODAY())))</f>
        <v/>
      </c>
      <c r="O754" s="108" t="str">
        <f>IF(B754="","",IF(ISNUMBER(L754),IF(N754="","SEM DATA",IF(N754&gt;=0,"DEFESA NO PRAZO","DEFESA FORA DO PRAZO")),IF(G754="DECISÃO D.P","SEM DEFESA",IF(G754="","SEM STATUS",IF(N754="","SEM DATA",IF(N754&lt;0,"VENCIDO",IF(N754&lt;=DiasAlerta,"VENCE EM BREVE","NO PRAZO")))))))</f>
        <v/>
      </c>
      <c r="P754" s="109" t="str">
        <f>IF(D754="","",TODAY()-D754)</f>
        <v/>
      </c>
      <c r="Q754" s="102" t="n"/>
    </row>
    <row r="755" ht="18" customHeight="1">
      <c r="A755" s="101" t="n"/>
      <c r="B755" s="102" t="n"/>
      <c r="C755" s="102" t="n"/>
      <c r="D755" s="103" t="n"/>
      <c r="E755" s="102" t="n"/>
      <c r="F755" s="104" t="n"/>
      <c r="G755" s="104" t="n"/>
      <c r="H755" s="102" t="n"/>
      <c r="I755" s="105" t="n"/>
      <c r="J755" s="105" t="n"/>
      <c r="K755" s="103" t="n"/>
      <c r="L755" s="103" t="n"/>
      <c r="M755" s="106" t="str">
        <f>IF(OR(D755="",E755=""),"",D755+IF(E755="NOTIFICAÇÃO DE CONSTATAÇÃO",PrazoConst,PrazoEsc))</f>
        <v/>
      </c>
      <c r="N755" s="107" t="str">
        <f>IF(M755="","",IF(ISNUMBER(L755),M755-L755,IF(G755="DECISÃO D.P","",M755-TODAY())))</f>
        <v/>
      </c>
      <c r="O755" s="108" t="str">
        <f>IF(B755="","",IF(ISNUMBER(L755),IF(N755="","SEM DATA",IF(N755&gt;=0,"DEFESA NO PRAZO","DEFESA FORA DO PRAZO")),IF(G755="DECISÃO D.P","SEM DEFESA",IF(G755="","SEM STATUS",IF(N755="","SEM DATA",IF(N755&lt;0,"VENCIDO",IF(N755&lt;=DiasAlerta,"VENCE EM BREVE","NO PRAZO")))))))</f>
        <v/>
      </c>
      <c r="P755" s="109" t="str">
        <f>IF(D755="","",TODAY()-D755)</f>
        <v/>
      </c>
      <c r="Q755" s="102" t="n"/>
    </row>
    <row r="756" ht="18" customHeight="1">
      <c r="A756" s="101" t="n"/>
      <c r="B756" s="102" t="n"/>
      <c r="C756" s="102" t="n"/>
      <c r="D756" s="103" t="n"/>
      <c r="E756" s="102" t="n"/>
      <c r="F756" s="104" t="n"/>
      <c r="G756" s="104" t="n"/>
      <c r="H756" s="102" t="n"/>
      <c r="I756" s="105" t="n"/>
      <c r="J756" s="105" t="n"/>
      <c r="K756" s="103" t="n"/>
      <c r="L756" s="103" t="n"/>
      <c r="M756" s="106" t="str">
        <f>IF(OR(D756="",E756=""),"",D756+IF(E756="NOTIFICAÇÃO DE CONSTATAÇÃO",PrazoConst,PrazoEsc))</f>
        <v/>
      </c>
      <c r="N756" s="107" t="str">
        <f>IF(M756="","",IF(ISNUMBER(L756),M756-L756,IF(G756="DECISÃO D.P","",M756-TODAY())))</f>
        <v/>
      </c>
      <c r="O756" s="108" t="str">
        <f>IF(B756="","",IF(ISNUMBER(L756),IF(N756="","SEM DATA",IF(N756&gt;=0,"DEFESA NO PRAZO","DEFESA FORA DO PRAZO")),IF(G756="DECISÃO D.P","SEM DEFESA",IF(G756="","SEM STATUS",IF(N756="","SEM DATA",IF(N756&lt;0,"VENCIDO",IF(N756&lt;=DiasAlerta,"VENCE EM BREVE","NO PRAZO")))))))</f>
        <v/>
      </c>
      <c r="P756" s="109" t="str">
        <f>IF(D756="","",TODAY()-D756)</f>
        <v/>
      </c>
      <c r="Q756" s="102" t="n"/>
    </row>
    <row r="757" ht="18" customHeight="1">
      <c r="A757" s="101" t="n"/>
      <c r="B757" s="102" t="n"/>
      <c r="C757" s="102" t="n"/>
      <c r="D757" s="103" t="n"/>
      <c r="E757" s="102" t="n"/>
      <c r="F757" s="104" t="n"/>
      <c r="G757" s="104" t="n"/>
      <c r="H757" s="102" t="n"/>
      <c r="I757" s="105" t="n"/>
      <c r="J757" s="105" t="n"/>
      <c r="K757" s="103" t="n"/>
      <c r="L757" s="103" t="n"/>
      <c r="M757" s="106" t="str">
        <f>IF(OR(D757="",E757=""),"",D757+IF(E757="NOTIFICAÇÃO DE CONSTATAÇÃO",PrazoConst,PrazoEsc))</f>
        <v/>
      </c>
      <c r="N757" s="107" t="str">
        <f>IF(M757="","",IF(ISNUMBER(L757),M757-L757,IF(G757="DECISÃO D.P","",M757-TODAY())))</f>
        <v/>
      </c>
      <c r="O757" s="108" t="str">
        <f>IF(B757="","",IF(ISNUMBER(L757),IF(N757="","SEM DATA",IF(N757&gt;=0,"DEFESA NO PRAZO","DEFESA FORA DO PRAZO")),IF(G757="DECISÃO D.P","SEM DEFESA",IF(G757="","SEM STATUS",IF(N757="","SEM DATA",IF(N757&lt;0,"VENCIDO",IF(N757&lt;=DiasAlerta,"VENCE EM BREVE","NO PRAZO")))))))</f>
        <v/>
      </c>
      <c r="P757" s="109" t="str">
        <f>IF(D757="","",TODAY()-D757)</f>
        <v/>
      </c>
      <c r="Q757" s="102" t="n"/>
    </row>
    <row r="758" ht="18" customHeight="1">
      <c r="A758" s="101" t="n"/>
      <c r="B758" s="102" t="n"/>
      <c r="C758" s="102" t="n"/>
      <c r="D758" s="103" t="n"/>
      <c r="E758" s="102" t="n"/>
      <c r="F758" s="104" t="n"/>
      <c r="G758" s="104" t="n"/>
      <c r="H758" s="102" t="n"/>
      <c r="I758" s="105" t="n"/>
      <c r="J758" s="105" t="n"/>
      <c r="K758" s="103" t="n"/>
      <c r="L758" s="103" t="n"/>
      <c r="M758" s="106" t="str">
        <f>IF(OR(D758="",E758=""),"",D758+IF(E758="NOTIFICAÇÃO DE CONSTATAÇÃO",PrazoConst,PrazoEsc))</f>
        <v/>
      </c>
      <c r="N758" s="107" t="str">
        <f>IF(M758="","",IF(ISNUMBER(L758),M758-L758,IF(G758="DECISÃO D.P","",M758-TODAY())))</f>
        <v/>
      </c>
      <c r="O758" s="108" t="str">
        <f>IF(B758="","",IF(ISNUMBER(L758),IF(N758="","SEM DATA",IF(N758&gt;=0,"DEFESA NO PRAZO","DEFESA FORA DO PRAZO")),IF(G758="DECISÃO D.P","SEM DEFESA",IF(G758="","SEM STATUS",IF(N758="","SEM DATA",IF(N758&lt;0,"VENCIDO",IF(N758&lt;=DiasAlerta,"VENCE EM BREVE","NO PRAZO")))))))</f>
        <v/>
      </c>
      <c r="P758" s="109" t="str">
        <f>IF(D758="","",TODAY()-D758)</f>
        <v/>
      </c>
      <c r="Q758" s="102" t="n"/>
    </row>
    <row r="759" ht="18" customHeight="1">
      <c r="A759" s="101" t="n"/>
      <c r="B759" s="102" t="n"/>
      <c r="C759" s="102" t="n"/>
      <c r="D759" s="103" t="n"/>
      <c r="E759" s="102" t="n"/>
      <c r="F759" s="104" t="n"/>
      <c r="G759" s="104" t="n"/>
      <c r="H759" s="102" t="n"/>
      <c r="I759" s="105" t="n"/>
      <c r="J759" s="105" t="n"/>
      <c r="K759" s="103" t="n"/>
      <c r="L759" s="103" t="n"/>
      <c r="M759" s="106" t="str">
        <f>IF(OR(D759="",E759=""),"",D759+IF(E759="NOTIFICAÇÃO DE CONSTATAÇÃO",PrazoConst,PrazoEsc))</f>
        <v/>
      </c>
      <c r="N759" s="107" t="str">
        <f>IF(M759="","",IF(ISNUMBER(L759),M759-L759,IF(G759="DECISÃO D.P","",M759-TODAY())))</f>
        <v/>
      </c>
      <c r="O759" s="108" t="str">
        <f>IF(B759="","",IF(ISNUMBER(L759),IF(N759="","SEM DATA",IF(N759&gt;=0,"DEFESA NO PRAZO","DEFESA FORA DO PRAZO")),IF(G759="DECISÃO D.P","SEM DEFESA",IF(G759="","SEM STATUS",IF(N759="","SEM DATA",IF(N759&lt;0,"VENCIDO",IF(N759&lt;=DiasAlerta,"VENCE EM BREVE","NO PRAZO")))))))</f>
        <v/>
      </c>
      <c r="P759" s="109" t="str">
        <f>IF(D759="","",TODAY()-D759)</f>
        <v/>
      </c>
      <c r="Q759" s="102" t="n"/>
    </row>
    <row r="760" ht="18" customHeight="1">
      <c r="A760" s="101" t="n"/>
      <c r="B760" s="102" t="n"/>
      <c r="C760" s="102" t="n"/>
      <c r="D760" s="103" t="n"/>
      <c r="E760" s="102" t="n"/>
      <c r="F760" s="104" t="n"/>
      <c r="G760" s="104" t="n"/>
      <c r="H760" s="102" t="n"/>
      <c r="I760" s="105" t="n"/>
      <c r="J760" s="105" t="n"/>
      <c r="K760" s="103" t="n"/>
      <c r="L760" s="103" t="n"/>
      <c r="M760" s="106" t="str">
        <f>IF(OR(D760="",E760=""),"",D760+IF(E760="NOTIFICAÇÃO DE CONSTATAÇÃO",PrazoConst,PrazoEsc))</f>
        <v/>
      </c>
      <c r="N760" s="107" t="str">
        <f>IF(M760="","",IF(ISNUMBER(L760),M760-L760,IF(G760="DECISÃO D.P","",M760-TODAY())))</f>
        <v/>
      </c>
      <c r="O760" s="108" t="str">
        <f>IF(B760="","",IF(ISNUMBER(L760),IF(N760="","SEM DATA",IF(N760&gt;=0,"DEFESA NO PRAZO","DEFESA FORA DO PRAZO")),IF(G760="DECISÃO D.P","SEM DEFESA",IF(G760="","SEM STATUS",IF(N760="","SEM DATA",IF(N760&lt;0,"VENCIDO",IF(N760&lt;=DiasAlerta,"VENCE EM BREVE","NO PRAZO")))))))</f>
        <v/>
      </c>
      <c r="P760" s="109" t="str">
        <f>IF(D760="","",TODAY()-D760)</f>
        <v/>
      </c>
      <c r="Q760" s="102" t="n"/>
    </row>
    <row r="761" ht="18" customHeight="1">
      <c r="A761" s="101" t="n"/>
      <c r="B761" s="102" t="n"/>
      <c r="C761" s="102" t="n"/>
      <c r="D761" s="103" t="n"/>
      <c r="E761" s="102" t="n"/>
      <c r="F761" s="104" t="n"/>
      <c r="G761" s="104" t="n"/>
      <c r="H761" s="102" t="n"/>
      <c r="I761" s="105" t="n"/>
      <c r="J761" s="105" t="n"/>
      <c r="K761" s="103" t="n"/>
      <c r="L761" s="103" t="n"/>
      <c r="M761" s="106" t="str">
        <f>IF(OR(D761="",E761=""),"",D761+IF(E761="NOTIFICAÇÃO DE CONSTATAÇÃO",PrazoConst,PrazoEsc))</f>
        <v/>
      </c>
      <c r="N761" s="107" t="str">
        <f>IF(M761="","",IF(ISNUMBER(L761),M761-L761,IF(G761="DECISÃO D.P","",M761-TODAY())))</f>
        <v/>
      </c>
      <c r="O761" s="108" t="str">
        <f>IF(B761="","",IF(ISNUMBER(L761),IF(N761="","SEM DATA",IF(N761&gt;=0,"DEFESA NO PRAZO","DEFESA FORA DO PRAZO")),IF(G761="DECISÃO D.P","SEM DEFESA",IF(G761="","SEM STATUS",IF(N761="","SEM DATA",IF(N761&lt;0,"VENCIDO",IF(N761&lt;=DiasAlerta,"VENCE EM BREVE","NO PRAZO")))))))</f>
        <v/>
      </c>
      <c r="P761" s="109" t="str">
        <f>IF(D761="","",TODAY()-D761)</f>
        <v/>
      </c>
      <c r="Q761" s="102" t="n"/>
    </row>
    <row r="762" ht="18" customHeight="1">
      <c r="A762" s="101" t="n"/>
      <c r="B762" s="102" t="n"/>
      <c r="C762" s="102" t="n"/>
      <c r="D762" s="103" t="n"/>
      <c r="E762" s="102" t="n"/>
      <c r="F762" s="104" t="n"/>
      <c r="G762" s="104" t="n"/>
      <c r="H762" s="102" t="n"/>
      <c r="I762" s="105" t="n"/>
      <c r="J762" s="105" t="n"/>
      <c r="K762" s="103" t="n"/>
      <c r="L762" s="103" t="n"/>
      <c r="M762" s="106" t="str">
        <f>IF(OR(D762="",E762=""),"",D762+IF(E762="NOTIFICAÇÃO DE CONSTATAÇÃO",PrazoConst,PrazoEsc))</f>
        <v/>
      </c>
      <c r="N762" s="107" t="str">
        <f>IF(M762="","",IF(ISNUMBER(L762),M762-L762,IF(G762="DECISÃO D.P","",M762-TODAY())))</f>
        <v/>
      </c>
      <c r="O762" s="108" t="str">
        <f>IF(B762="","",IF(ISNUMBER(L762),IF(N762="","SEM DATA",IF(N762&gt;=0,"DEFESA NO PRAZO","DEFESA FORA DO PRAZO")),IF(G762="DECISÃO D.P","SEM DEFESA",IF(G762="","SEM STATUS",IF(N762="","SEM DATA",IF(N762&lt;0,"VENCIDO",IF(N762&lt;=DiasAlerta,"VENCE EM BREVE","NO PRAZO")))))))</f>
        <v/>
      </c>
      <c r="P762" s="109" t="str">
        <f>IF(D762="","",TODAY()-D762)</f>
        <v/>
      </c>
      <c r="Q762" s="102" t="n"/>
    </row>
    <row r="763" ht="18" customHeight="1">
      <c r="A763" s="101" t="n"/>
      <c r="B763" s="102" t="n"/>
      <c r="C763" s="102" t="n"/>
      <c r="D763" s="103" t="n"/>
      <c r="E763" s="102" t="n"/>
      <c r="F763" s="104" t="n"/>
      <c r="G763" s="104" t="n"/>
      <c r="H763" s="102" t="n"/>
      <c r="I763" s="105" t="n"/>
      <c r="J763" s="105" t="n"/>
      <c r="K763" s="103" t="n"/>
      <c r="L763" s="103" t="n"/>
      <c r="M763" s="106" t="str">
        <f>IF(OR(D763="",E763=""),"",D763+IF(E763="NOTIFICAÇÃO DE CONSTATAÇÃO",PrazoConst,PrazoEsc))</f>
        <v/>
      </c>
      <c r="N763" s="107" t="str">
        <f>IF(M763="","",IF(ISNUMBER(L763),M763-L763,IF(G763="DECISÃO D.P","",M763-TODAY())))</f>
        <v/>
      </c>
      <c r="O763" s="108" t="str">
        <f>IF(B763="","",IF(ISNUMBER(L763),IF(N763="","SEM DATA",IF(N763&gt;=0,"DEFESA NO PRAZO","DEFESA FORA DO PRAZO")),IF(G763="DECISÃO D.P","SEM DEFESA",IF(G763="","SEM STATUS",IF(N763="","SEM DATA",IF(N763&lt;0,"VENCIDO",IF(N763&lt;=DiasAlerta,"VENCE EM BREVE","NO PRAZO")))))))</f>
        <v/>
      </c>
      <c r="P763" s="109" t="str">
        <f>IF(D763="","",TODAY()-D763)</f>
        <v/>
      </c>
      <c r="Q763" s="102" t="n"/>
    </row>
    <row r="764" ht="18" customHeight="1">
      <c r="A764" s="101" t="n"/>
      <c r="B764" s="102" t="n"/>
      <c r="C764" s="102" t="n"/>
      <c r="D764" s="103" t="n"/>
      <c r="E764" s="102" t="n"/>
      <c r="F764" s="104" t="n"/>
      <c r="G764" s="104" t="n"/>
      <c r="H764" s="102" t="n"/>
      <c r="I764" s="105" t="n"/>
      <c r="J764" s="105" t="n"/>
      <c r="K764" s="103" t="n"/>
      <c r="L764" s="103" t="n"/>
      <c r="M764" s="106" t="str">
        <f>IF(OR(D764="",E764=""),"",D764+IF(E764="NOTIFICAÇÃO DE CONSTATAÇÃO",PrazoConst,PrazoEsc))</f>
        <v/>
      </c>
      <c r="N764" s="107" t="str">
        <f>IF(M764="","",IF(ISNUMBER(L764),M764-L764,IF(G764="DECISÃO D.P","",M764-TODAY())))</f>
        <v/>
      </c>
      <c r="O764" s="108" t="str">
        <f>IF(B764="","",IF(ISNUMBER(L764),IF(N764="","SEM DATA",IF(N764&gt;=0,"DEFESA NO PRAZO","DEFESA FORA DO PRAZO")),IF(G764="DECISÃO D.P","SEM DEFESA",IF(G764="","SEM STATUS",IF(N764="","SEM DATA",IF(N764&lt;0,"VENCIDO",IF(N764&lt;=DiasAlerta,"VENCE EM BREVE","NO PRAZO")))))))</f>
        <v/>
      </c>
      <c r="P764" s="109" t="str">
        <f>IF(D764="","",TODAY()-D764)</f>
        <v/>
      </c>
      <c r="Q764" s="102" t="n"/>
    </row>
    <row r="765" ht="18" customHeight="1">
      <c r="A765" s="101" t="n"/>
      <c r="B765" s="102" t="n"/>
      <c r="C765" s="102" t="n"/>
      <c r="D765" s="103" t="n"/>
      <c r="E765" s="102" t="n"/>
      <c r="F765" s="104" t="n"/>
      <c r="G765" s="104" t="n"/>
      <c r="H765" s="102" t="n"/>
      <c r="I765" s="105" t="n"/>
      <c r="J765" s="105" t="n"/>
      <c r="K765" s="103" t="n"/>
      <c r="L765" s="103" t="n"/>
      <c r="M765" s="106" t="str">
        <f>IF(OR(D765="",E765=""),"",D765+IF(E765="NOTIFICAÇÃO DE CONSTATAÇÃO",PrazoConst,PrazoEsc))</f>
        <v/>
      </c>
      <c r="N765" s="107" t="str">
        <f>IF(M765="","",IF(ISNUMBER(L765),M765-L765,IF(G765="DECISÃO D.P","",M765-TODAY())))</f>
        <v/>
      </c>
      <c r="O765" s="108" t="str">
        <f>IF(B765="","",IF(ISNUMBER(L765),IF(N765="","SEM DATA",IF(N765&gt;=0,"DEFESA NO PRAZO","DEFESA FORA DO PRAZO")),IF(G765="DECISÃO D.P","SEM DEFESA",IF(G765="","SEM STATUS",IF(N765="","SEM DATA",IF(N765&lt;0,"VENCIDO",IF(N765&lt;=DiasAlerta,"VENCE EM BREVE","NO PRAZO")))))))</f>
        <v/>
      </c>
      <c r="P765" s="109" t="str">
        <f>IF(D765="","",TODAY()-D765)</f>
        <v/>
      </c>
      <c r="Q765" s="102" t="n"/>
    </row>
    <row r="766" ht="18" customHeight="1">
      <c r="A766" s="101" t="n"/>
      <c r="B766" s="102" t="n"/>
      <c r="C766" s="102" t="n"/>
      <c r="D766" s="103" t="n"/>
      <c r="E766" s="102" t="n"/>
      <c r="F766" s="104" t="n"/>
      <c r="G766" s="104" t="n"/>
      <c r="H766" s="102" t="n"/>
      <c r="I766" s="105" t="n"/>
      <c r="J766" s="105" t="n"/>
      <c r="K766" s="103" t="n"/>
      <c r="L766" s="103" t="n"/>
      <c r="M766" s="106" t="str">
        <f>IF(OR(D766="",E766=""),"",D766+IF(E766="NOTIFICAÇÃO DE CONSTATAÇÃO",PrazoConst,PrazoEsc))</f>
        <v/>
      </c>
      <c r="N766" s="107" t="str">
        <f>IF(M766="","",IF(ISNUMBER(L766),M766-L766,IF(G766="DECISÃO D.P","",M766-TODAY())))</f>
        <v/>
      </c>
      <c r="O766" s="108" t="str">
        <f>IF(B766="","",IF(ISNUMBER(L766),IF(N766="","SEM DATA",IF(N766&gt;=0,"DEFESA NO PRAZO","DEFESA FORA DO PRAZO")),IF(G766="DECISÃO D.P","SEM DEFESA",IF(G766="","SEM STATUS",IF(N766="","SEM DATA",IF(N766&lt;0,"VENCIDO",IF(N766&lt;=DiasAlerta,"VENCE EM BREVE","NO PRAZO")))))))</f>
        <v/>
      </c>
      <c r="P766" s="109" t="str">
        <f>IF(D766="","",TODAY()-D766)</f>
        <v/>
      </c>
      <c r="Q766" s="102" t="n"/>
    </row>
    <row r="767" ht="18" customHeight="1">
      <c r="A767" s="101" t="n"/>
      <c r="B767" s="102" t="n"/>
      <c r="C767" s="102" t="n"/>
      <c r="D767" s="103" t="n"/>
      <c r="E767" s="102" t="n"/>
      <c r="F767" s="104" t="n"/>
      <c r="G767" s="104" t="n"/>
      <c r="H767" s="102" t="n"/>
      <c r="I767" s="105" t="n"/>
      <c r="J767" s="105" t="n"/>
      <c r="K767" s="103" t="n"/>
      <c r="L767" s="103" t="n"/>
      <c r="M767" s="106" t="str">
        <f>IF(OR(D767="",E767=""),"",D767+IF(E767="NOTIFICAÇÃO DE CONSTATAÇÃO",PrazoConst,PrazoEsc))</f>
        <v/>
      </c>
      <c r="N767" s="107" t="str">
        <f>IF(M767="","",IF(ISNUMBER(L767),M767-L767,IF(G767="DECISÃO D.P","",M767-TODAY())))</f>
        <v/>
      </c>
      <c r="O767" s="108" t="str">
        <f>IF(B767="","",IF(ISNUMBER(L767),IF(N767="","SEM DATA",IF(N767&gt;=0,"DEFESA NO PRAZO","DEFESA FORA DO PRAZO")),IF(G767="DECISÃO D.P","SEM DEFESA",IF(G767="","SEM STATUS",IF(N767="","SEM DATA",IF(N767&lt;0,"VENCIDO",IF(N767&lt;=DiasAlerta,"VENCE EM BREVE","NO PRAZO")))))))</f>
        <v/>
      </c>
      <c r="P767" s="109" t="str">
        <f>IF(D767="","",TODAY()-D767)</f>
        <v/>
      </c>
      <c r="Q767" s="102" t="n"/>
    </row>
    <row r="768" ht="18" customHeight="1">
      <c r="A768" s="101" t="n"/>
      <c r="B768" s="102" t="n"/>
      <c r="C768" s="102" t="n"/>
      <c r="D768" s="103" t="n"/>
      <c r="E768" s="102" t="n"/>
      <c r="F768" s="104" t="n"/>
      <c r="G768" s="104" t="n"/>
      <c r="H768" s="102" t="n"/>
      <c r="I768" s="105" t="n"/>
      <c r="J768" s="105" t="n"/>
      <c r="K768" s="103" t="n"/>
      <c r="L768" s="103" t="n"/>
      <c r="M768" s="106" t="str">
        <f>IF(OR(D768="",E768=""),"",D768+IF(E768="NOTIFICAÇÃO DE CONSTATAÇÃO",PrazoConst,PrazoEsc))</f>
        <v/>
      </c>
      <c r="N768" s="107" t="str">
        <f>IF(M768="","",IF(ISNUMBER(L768),M768-L768,IF(G768="DECISÃO D.P","",M768-TODAY())))</f>
        <v/>
      </c>
      <c r="O768" s="108" t="str">
        <f>IF(B768="","",IF(ISNUMBER(L768),IF(N768="","SEM DATA",IF(N768&gt;=0,"DEFESA NO PRAZO","DEFESA FORA DO PRAZO")),IF(G768="DECISÃO D.P","SEM DEFESA",IF(G768="","SEM STATUS",IF(N768="","SEM DATA",IF(N768&lt;0,"VENCIDO",IF(N768&lt;=DiasAlerta,"VENCE EM BREVE","NO PRAZO")))))))</f>
        <v/>
      </c>
      <c r="P768" s="109" t="str">
        <f>IF(D768="","",TODAY()-D768)</f>
        <v/>
      </c>
      <c r="Q768" s="102" t="n"/>
    </row>
    <row r="769" ht="18" customHeight="1">
      <c r="A769" s="101" t="n"/>
      <c r="B769" s="102" t="n"/>
      <c r="C769" s="102" t="n"/>
      <c r="D769" s="103" t="n"/>
      <c r="E769" s="102" t="n"/>
      <c r="F769" s="104" t="n"/>
      <c r="G769" s="104" t="n"/>
      <c r="H769" s="102" t="n"/>
      <c r="I769" s="105" t="n"/>
      <c r="J769" s="105" t="n"/>
      <c r="K769" s="103" t="n"/>
      <c r="L769" s="103" t="n"/>
      <c r="M769" s="106" t="str">
        <f>IF(OR(D769="",E769=""),"",D769+IF(E769="NOTIFICAÇÃO DE CONSTATAÇÃO",PrazoConst,PrazoEsc))</f>
        <v/>
      </c>
      <c r="N769" s="107" t="str">
        <f>IF(M769="","",IF(ISNUMBER(L769),M769-L769,IF(G769="DECISÃO D.P","",M769-TODAY())))</f>
        <v/>
      </c>
      <c r="O769" s="108" t="str">
        <f>IF(B769="","",IF(ISNUMBER(L769),IF(N769="","SEM DATA",IF(N769&gt;=0,"DEFESA NO PRAZO","DEFESA FORA DO PRAZO")),IF(G769="DECISÃO D.P","SEM DEFESA",IF(G769="","SEM STATUS",IF(N769="","SEM DATA",IF(N769&lt;0,"VENCIDO",IF(N769&lt;=DiasAlerta,"VENCE EM BREVE","NO PRAZO")))))))</f>
        <v/>
      </c>
      <c r="P769" s="109" t="str">
        <f>IF(D769="","",TODAY()-D769)</f>
        <v/>
      </c>
      <c r="Q769" s="102" t="n"/>
    </row>
    <row r="770" ht="18" customHeight="1">
      <c r="A770" s="101" t="n"/>
      <c r="B770" s="102" t="n"/>
      <c r="C770" s="102" t="n"/>
      <c r="D770" s="103" t="n"/>
      <c r="E770" s="102" t="n"/>
      <c r="F770" s="104" t="n"/>
      <c r="G770" s="104" t="n"/>
      <c r="H770" s="102" t="n"/>
      <c r="I770" s="105" t="n"/>
      <c r="J770" s="105" t="n"/>
      <c r="K770" s="103" t="n"/>
      <c r="L770" s="103" t="n"/>
      <c r="M770" s="106" t="str">
        <f>IF(OR(D770="",E770=""),"",D770+IF(E770="NOTIFICAÇÃO DE CONSTATAÇÃO",PrazoConst,PrazoEsc))</f>
        <v/>
      </c>
      <c r="N770" s="107" t="str">
        <f>IF(M770="","",IF(ISNUMBER(L770),M770-L770,IF(G770="DECISÃO D.P","",M770-TODAY())))</f>
        <v/>
      </c>
      <c r="O770" s="108" t="str">
        <f>IF(B770="","",IF(ISNUMBER(L770),IF(N770="","SEM DATA",IF(N770&gt;=0,"DEFESA NO PRAZO","DEFESA FORA DO PRAZO")),IF(G770="DECISÃO D.P","SEM DEFESA",IF(G770="","SEM STATUS",IF(N770="","SEM DATA",IF(N770&lt;0,"VENCIDO",IF(N770&lt;=DiasAlerta,"VENCE EM BREVE","NO PRAZO")))))))</f>
        <v/>
      </c>
      <c r="P770" s="109" t="str">
        <f>IF(D770="","",TODAY()-D770)</f>
        <v/>
      </c>
      <c r="Q770" s="102" t="n"/>
    </row>
    <row r="771" ht="18" customHeight="1">
      <c r="A771" s="101" t="n"/>
      <c r="B771" s="102" t="n"/>
      <c r="C771" s="102" t="n"/>
      <c r="D771" s="103" t="n"/>
      <c r="E771" s="102" t="n"/>
      <c r="F771" s="104" t="n"/>
      <c r="G771" s="104" t="n"/>
      <c r="H771" s="102" t="n"/>
      <c r="I771" s="105" t="n"/>
      <c r="J771" s="105" t="n"/>
      <c r="K771" s="103" t="n"/>
      <c r="L771" s="103" t="n"/>
      <c r="M771" s="106" t="str">
        <f>IF(OR(D771="",E771=""),"",D771+IF(E771="NOTIFICAÇÃO DE CONSTATAÇÃO",PrazoConst,PrazoEsc))</f>
        <v/>
      </c>
      <c r="N771" s="107" t="str">
        <f>IF(M771="","",IF(ISNUMBER(L771),M771-L771,IF(G771="DECISÃO D.P","",M771-TODAY())))</f>
        <v/>
      </c>
      <c r="O771" s="108" t="str">
        <f>IF(B771="","",IF(ISNUMBER(L771),IF(N771="","SEM DATA",IF(N771&gt;=0,"DEFESA NO PRAZO","DEFESA FORA DO PRAZO")),IF(G771="DECISÃO D.P","SEM DEFESA",IF(G771="","SEM STATUS",IF(N771="","SEM DATA",IF(N771&lt;0,"VENCIDO",IF(N771&lt;=DiasAlerta,"VENCE EM BREVE","NO PRAZO")))))))</f>
        <v/>
      </c>
      <c r="P771" s="109" t="str">
        <f>IF(D771="","",TODAY()-D771)</f>
        <v/>
      </c>
      <c r="Q771" s="102" t="n"/>
    </row>
    <row r="772" ht="18" customHeight="1">
      <c r="A772" s="101" t="n"/>
      <c r="B772" s="102" t="n"/>
      <c r="C772" s="102" t="n"/>
      <c r="D772" s="103" t="n"/>
      <c r="E772" s="102" t="n"/>
      <c r="F772" s="104" t="n"/>
      <c r="G772" s="104" t="n"/>
      <c r="H772" s="102" t="n"/>
      <c r="I772" s="105" t="n"/>
      <c r="J772" s="105" t="n"/>
      <c r="K772" s="103" t="n"/>
      <c r="L772" s="103" t="n"/>
      <c r="M772" s="106" t="str">
        <f>IF(OR(D772="",E772=""),"",D772+IF(E772="NOTIFICAÇÃO DE CONSTATAÇÃO",PrazoConst,PrazoEsc))</f>
        <v/>
      </c>
      <c r="N772" s="107" t="str">
        <f>IF(M772="","",IF(ISNUMBER(L772),M772-L772,IF(G772="DECISÃO D.P","",M772-TODAY())))</f>
        <v/>
      </c>
      <c r="O772" s="108" t="str">
        <f>IF(B772="","",IF(ISNUMBER(L772),IF(N772="","SEM DATA",IF(N772&gt;=0,"DEFESA NO PRAZO","DEFESA FORA DO PRAZO")),IF(G772="DECISÃO D.P","SEM DEFESA",IF(G772="","SEM STATUS",IF(N772="","SEM DATA",IF(N772&lt;0,"VENCIDO",IF(N772&lt;=DiasAlerta,"VENCE EM BREVE","NO PRAZO")))))))</f>
        <v/>
      </c>
      <c r="P772" s="109" t="str">
        <f>IF(D772="","",TODAY()-D772)</f>
        <v/>
      </c>
      <c r="Q772" s="102" t="n"/>
    </row>
    <row r="773" ht="18" customHeight="1">
      <c r="A773" s="101" t="n"/>
      <c r="B773" s="102" t="n"/>
      <c r="C773" s="102" t="n"/>
      <c r="D773" s="103" t="n"/>
      <c r="E773" s="102" t="n"/>
      <c r="F773" s="104" t="n"/>
      <c r="G773" s="104" t="n"/>
      <c r="H773" s="102" t="n"/>
      <c r="I773" s="105" t="n"/>
      <c r="J773" s="105" t="n"/>
      <c r="K773" s="103" t="n"/>
      <c r="L773" s="103" t="n"/>
      <c r="M773" s="106" t="str">
        <f>IF(OR(D773="",E773=""),"",D773+IF(E773="NOTIFICAÇÃO DE CONSTATAÇÃO",PrazoConst,PrazoEsc))</f>
        <v/>
      </c>
      <c r="N773" s="107" t="str">
        <f>IF(M773="","",IF(ISNUMBER(L773),M773-L773,IF(G773="DECISÃO D.P","",M773-TODAY())))</f>
        <v/>
      </c>
      <c r="O773" s="108" t="str">
        <f>IF(B773="","",IF(ISNUMBER(L773),IF(N773="","SEM DATA",IF(N773&gt;=0,"DEFESA NO PRAZO","DEFESA FORA DO PRAZO")),IF(G773="DECISÃO D.P","SEM DEFESA",IF(G773="","SEM STATUS",IF(N773="","SEM DATA",IF(N773&lt;0,"VENCIDO",IF(N773&lt;=DiasAlerta,"VENCE EM BREVE","NO PRAZO")))))))</f>
        <v/>
      </c>
      <c r="P773" s="109" t="str">
        <f>IF(D773="","",TODAY()-D773)</f>
        <v/>
      </c>
      <c r="Q773" s="102" t="n"/>
    </row>
    <row r="774" ht="18" customHeight="1">
      <c r="A774" s="101" t="n"/>
      <c r="B774" s="102" t="n"/>
      <c r="C774" s="102" t="n"/>
      <c r="D774" s="103" t="n"/>
      <c r="E774" s="102" t="n"/>
      <c r="F774" s="104" t="n"/>
      <c r="G774" s="104" t="n"/>
      <c r="H774" s="102" t="n"/>
      <c r="I774" s="105" t="n"/>
      <c r="J774" s="105" t="n"/>
      <c r="K774" s="103" t="n"/>
      <c r="L774" s="103" t="n"/>
      <c r="M774" s="106" t="str">
        <f>IF(OR(D774="",E774=""),"",D774+IF(E774="NOTIFICAÇÃO DE CONSTATAÇÃO",PrazoConst,PrazoEsc))</f>
        <v/>
      </c>
      <c r="N774" s="107" t="str">
        <f>IF(M774="","",IF(ISNUMBER(L774),M774-L774,IF(G774="DECISÃO D.P","",M774-TODAY())))</f>
        <v/>
      </c>
      <c r="O774" s="108" t="str">
        <f>IF(B774="","",IF(ISNUMBER(L774),IF(N774="","SEM DATA",IF(N774&gt;=0,"DEFESA NO PRAZO","DEFESA FORA DO PRAZO")),IF(G774="DECISÃO D.P","SEM DEFESA",IF(G774="","SEM STATUS",IF(N774="","SEM DATA",IF(N774&lt;0,"VENCIDO",IF(N774&lt;=DiasAlerta,"VENCE EM BREVE","NO PRAZO")))))))</f>
        <v/>
      </c>
      <c r="P774" s="109" t="str">
        <f>IF(D774="","",TODAY()-D774)</f>
        <v/>
      </c>
      <c r="Q774" s="102" t="n"/>
    </row>
    <row r="775" ht="18" customHeight="1">
      <c r="A775" s="101" t="n"/>
      <c r="B775" s="102" t="n"/>
      <c r="C775" s="102" t="n"/>
      <c r="D775" s="103" t="n"/>
      <c r="E775" s="102" t="n"/>
      <c r="F775" s="104" t="n"/>
      <c r="G775" s="104" t="n"/>
      <c r="H775" s="102" t="n"/>
      <c r="I775" s="105" t="n"/>
      <c r="J775" s="105" t="n"/>
      <c r="K775" s="103" t="n"/>
      <c r="L775" s="103" t="n"/>
      <c r="M775" s="106" t="str">
        <f>IF(OR(D775="",E775=""),"",D775+IF(E775="NOTIFICAÇÃO DE CONSTATAÇÃO",PrazoConst,PrazoEsc))</f>
        <v/>
      </c>
      <c r="N775" s="107" t="str">
        <f>IF(M775="","",IF(ISNUMBER(L775),M775-L775,IF(G775="DECISÃO D.P","",M775-TODAY())))</f>
        <v/>
      </c>
      <c r="O775" s="108" t="str">
        <f>IF(B775="","",IF(ISNUMBER(L775),IF(N775="","SEM DATA",IF(N775&gt;=0,"DEFESA NO PRAZO","DEFESA FORA DO PRAZO")),IF(G775="DECISÃO D.P","SEM DEFESA",IF(G775="","SEM STATUS",IF(N775="","SEM DATA",IF(N775&lt;0,"VENCIDO",IF(N775&lt;=DiasAlerta,"VENCE EM BREVE","NO PRAZO")))))))</f>
        <v/>
      </c>
      <c r="P775" s="109" t="str">
        <f>IF(D775="","",TODAY()-D775)</f>
        <v/>
      </c>
      <c r="Q775" s="102" t="n"/>
    </row>
    <row r="776" ht="18" customHeight="1">
      <c r="A776" s="101" t="n"/>
      <c r="B776" s="102" t="n"/>
      <c r="C776" s="102" t="n"/>
      <c r="D776" s="103" t="n"/>
      <c r="E776" s="102" t="n"/>
      <c r="F776" s="104" t="n"/>
      <c r="G776" s="104" t="n"/>
      <c r="H776" s="102" t="n"/>
      <c r="I776" s="105" t="n"/>
      <c r="J776" s="105" t="n"/>
      <c r="K776" s="103" t="n"/>
      <c r="L776" s="103" t="n"/>
      <c r="M776" s="106" t="str">
        <f>IF(OR(D776="",E776=""),"",D776+IF(E776="NOTIFICAÇÃO DE CONSTATAÇÃO",PrazoConst,PrazoEsc))</f>
        <v/>
      </c>
      <c r="N776" s="107" t="str">
        <f>IF(M776="","",IF(ISNUMBER(L776),M776-L776,IF(G776="DECISÃO D.P","",M776-TODAY())))</f>
        <v/>
      </c>
      <c r="O776" s="108" t="str">
        <f>IF(B776="","",IF(ISNUMBER(L776),IF(N776="","SEM DATA",IF(N776&gt;=0,"DEFESA NO PRAZO","DEFESA FORA DO PRAZO")),IF(G776="DECISÃO D.P","SEM DEFESA",IF(G776="","SEM STATUS",IF(N776="","SEM DATA",IF(N776&lt;0,"VENCIDO",IF(N776&lt;=DiasAlerta,"VENCE EM BREVE","NO PRAZO")))))))</f>
        <v/>
      </c>
      <c r="P776" s="109" t="str">
        <f>IF(D776="","",TODAY()-D776)</f>
        <v/>
      </c>
      <c r="Q776" s="102" t="n"/>
    </row>
    <row r="777" ht="18" customHeight="1">
      <c r="A777" s="101" t="n"/>
      <c r="B777" s="102" t="n"/>
      <c r="C777" s="102" t="n"/>
      <c r="D777" s="103" t="n"/>
      <c r="E777" s="102" t="n"/>
      <c r="F777" s="104" t="n"/>
      <c r="G777" s="104" t="n"/>
      <c r="H777" s="102" t="n"/>
      <c r="I777" s="105" t="n"/>
      <c r="J777" s="105" t="n"/>
      <c r="K777" s="103" t="n"/>
      <c r="L777" s="103" t="n"/>
      <c r="M777" s="106" t="str">
        <f>IF(OR(D777="",E777=""),"",D777+IF(E777="NOTIFICAÇÃO DE CONSTATAÇÃO",PrazoConst,PrazoEsc))</f>
        <v/>
      </c>
      <c r="N777" s="107" t="str">
        <f>IF(M777="","",IF(ISNUMBER(L777),M777-L777,IF(G777="DECISÃO D.P","",M777-TODAY())))</f>
        <v/>
      </c>
      <c r="O777" s="108" t="str">
        <f>IF(B777="","",IF(ISNUMBER(L777),IF(N777="","SEM DATA",IF(N777&gt;=0,"DEFESA NO PRAZO","DEFESA FORA DO PRAZO")),IF(G777="DECISÃO D.P","SEM DEFESA",IF(G777="","SEM STATUS",IF(N777="","SEM DATA",IF(N777&lt;0,"VENCIDO",IF(N777&lt;=DiasAlerta,"VENCE EM BREVE","NO PRAZO")))))))</f>
        <v/>
      </c>
      <c r="P777" s="109" t="str">
        <f>IF(D777="","",TODAY()-D777)</f>
        <v/>
      </c>
      <c r="Q777" s="102" t="n"/>
    </row>
    <row r="778" ht="18" customHeight="1">
      <c r="A778" s="101" t="n"/>
      <c r="B778" s="102" t="n"/>
      <c r="C778" s="102" t="n"/>
      <c r="D778" s="103" t="n"/>
      <c r="E778" s="102" t="n"/>
      <c r="F778" s="104" t="n"/>
      <c r="G778" s="104" t="n"/>
      <c r="H778" s="102" t="n"/>
      <c r="I778" s="105" t="n"/>
      <c r="J778" s="105" t="n"/>
      <c r="K778" s="103" t="n"/>
      <c r="L778" s="103" t="n"/>
      <c r="M778" s="106" t="str">
        <f>IF(OR(D778="",E778=""),"",D778+IF(E778="NOTIFICAÇÃO DE CONSTATAÇÃO",PrazoConst,PrazoEsc))</f>
        <v/>
      </c>
      <c r="N778" s="107" t="str">
        <f>IF(M778="","",IF(ISNUMBER(L778),M778-L778,IF(G778="DECISÃO D.P","",M778-TODAY())))</f>
        <v/>
      </c>
      <c r="O778" s="108" t="str">
        <f>IF(B778="","",IF(ISNUMBER(L778),IF(N778="","SEM DATA",IF(N778&gt;=0,"DEFESA NO PRAZO","DEFESA FORA DO PRAZO")),IF(G778="DECISÃO D.P","SEM DEFESA",IF(G778="","SEM STATUS",IF(N778="","SEM DATA",IF(N778&lt;0,"VENCIDO",IF(N778&lt;=DiasAlerta,"VENCE EM BREVE","NO PRAZO")))))))</f>
        <v/>
      </c>
      <c r="P778" s="109" t="str">
        <f>IF(D778="","",TODAY()-D778)</f>
        <v/>
      </c>
      <c r="Q778" s="102" t="n"/>
    </row>
    <row r="779" ht="18" customHeight="1">
      <c r="A779" s="101" t="n"/>
      <c r="B779" s="102" t="n"/>
      <c r="C779" s="102" t="n"/>
      <c r="D779" s="103" t="n"/>
      <c r="E779" s="102" t="n"/>
      <c r="F779" s="104" t="n"/>
      <c r="G779" s="104" t="n"/>
      <c r="H779" s="102" t="n"/>
      <c r="I779" s="105" t="n"/>
      <c r="J779" s="105" t="n"/>
      <c r="K779" s="103" t="n"/>
      <c r="L779" s="103" t="n"/>
      <c r="M779" s="106" t="str">
        <f>IF(OR(D779="",E779=""),"",D779+IF(E779="NOTIFICAÇÃO DE CONSTATAÇÃO",PrazoConst,PrazoEsc))</f>
        <v/>
      </c>
      <c r="N779" s="107" t="str">
        <f>IF(M779="","",IF(ISNUMBER(L779),M779-L779,IF(G779="DECISÃO D.P","",M779-TODAY())))</f>
        <v/>
      </c>
      <c r="O779" s="108" t="str">
        <f>IF(B779="","",IF(ISNUMBER(L779),IF(N779="","SEM DATA",IF(N779&gt;=0,"DEFESA NO PRAZO","DEFESA FORA DO PRAZO")),IF(G779="DECISÃO D.P","SEM DEFESA",IF(G779="","SEM STATUS",IF(N779="","SEM DATA",IF(N779&lt;0,"VENCIDO",IF(N779&lt;=DiasAlerta,"VENCE EM BREVE","NO PRAZO")))))))</f>
        <v/>
      </c>
      <c r="P779" s="109" t="str">
        <f>IF(D779="","",TODAY()-D779)</f>
        <v/>
      </c>
      <c r="Q779" s="102" t="n"/>
    </row>
    <row r="780" ht="18" customHeight="1">
      <c r="A780" s="101" t="n"/>
      <c r="B780" s="102" t="n"/>
      <c r="C780" s="102" t="n"/>
      <c r="D780" s="103" t="n"/>
      <c r="E780" s="102" t="n"/>
      <c r="F780" s="104" t="n"/>
      <c r="G780" s="104" t="n"/>
      <c r="H780" s="102" t="n"/>
      <c r="I780" s="105" t="n"/>
      <c r="J780" s="105" t="n"/>
      <c r="K780" s="103" t="n"/>
      <c r="L780" s="103" t="n"/>
      <c r="M780" s="106" t="str">
        <f>IF(OR(D780="",E780=""),"",D780+IF(E780="NOTIFICAÇÃO DE CONSTATAÇÃO",PrazoConst,PrazoEsc))</f>
        <v/>
      </c>
      <c r="N780" s="107" t="str">
        <f>IF(M780="","",IF(ISNUMBER(L780),M780-L780,IF(G780="DECISÃO D.P","",M780-TODAY())))</f>
        <v/>
      </c>
      <c r="O780" s="108" t="str">
        <f>IF(B780="","",IF(ISNUMBER(L780),IF(N780="","SEM DATA",IF(N780&gt;=0,"DEFESA NO PRAZO","DEFESA FORA DO PRAZO")),IF(G780="DECISÃO D.P","SEM DEFESA",IF(G780="","SEM STATUS",IF(N780="","SEM DATA",IF(N780&lt;0,"VENCIDO",IF(N780&lt;=DiasAlerta,"VENCE EM BREVE","NO PRAZO")))))))</f>
        <v/>
      </c>
      <c r="P780" s="109" t="str">
        <f>IF(D780="","",TODAY()-D780)</f>
        <v/>
      </c>
      <c r="Q780" s="102" t="n"/>
    </row>
    <row r="781" ht="18" customHeight="1">
      <c r="A781" s="101" t="n"/>
      <c r="B781" s="102" t="n"/>
      <c r="C781" s="102" t="n"/>
      <c r="D781" s="103" t="n"/>
      <c r="E781" s="102" t="n"/>
      <c r="F781" s="104" t="n"/>
      <c r="G781" s="104" t="n"/>
      <c r="H781" s="102" t="n"/>
      <c r="I781" s="105" t="n"/>
      <c r="J781" s="105" t="n"/>
      <c r="K781" s="103" t="n"/>
      <c r="L781" s="103" t="n"/>
      <c r="M781" s="106" t="str">
        <f>IF(OR(D781="",E781=""),"",D781+IF(E781="NOTIFICAÇÃO DE CONSTATAÇÃO",PrazoConst,PrazoEsc))</f>
        <v/>
      </c>
      <c r="N781" s="107" t="str">
        <f>IF(M781="","",IF(ISNUMBER(L781),M781-L781,IF(G781="DECISÃO D.P","",M781-TODAY())))</f>
        <v/>
      </c>
      <c r="O781" s="108" t="str">
        <f>IF(B781="","",IF(ISNUMBER(L781),IF(N781="","SEM DATA",IF(N781&gt;=0,"DEFESA NO PRAZO","DEFESA FORA DO PRAZO")),IF(G781="DECISÃO D.P","SEM DEFESA",IF(G781="","SEM STATUS",IF(N781="","SEM DATA",IF(N781&lt;0,"VENCIDO",IF(N781&lt;=DiasAlerta,"VENCE EM BREVE","NO PRAZO")))))))</f>
        <v/>
      </c>
      <c r="P781" s="109" t="str">
        <f>IF(D781="","",TODAY()-D781)</f>
        <v/>
      </c>
      <c r="Q781" s="102" t="n"/>
    </row>
    <row r="782" ht="18" customHeight="1">
      <c r="A782" s="101" t="n"/>
      <c r="B782" s="102" t="n"/>
      <c r="C782" s="102" t="n"/>
      <c r="D782" s="103" t="n"/>
      <c r="E782" s="102" t="n"/>
      <c r="F782" s="104" t="n"/>
      <c r="G782" s="104" t="n"/>
      <c r="H782" s="102" t="n"/>
      <c r="I782" s="105" t="n"/>
      <c r="J782" s="105" t="n"/>
      <c r="K782" s="103" t="n"/>
      <c r="L782" s="103" t="n"/>
      <c r="M782" s="106" t="str">
        <f>IF(OR(D782="",E782=""),"",D782+IF(E782="NOTIFICAÇÃO DE CONSTATAÇÃO",PrazoConst,PrazoEsc))</f>
        <v/>
      </c>
      <c r="N782" s="107" t="str">
        <f>IF(M782="","",IF(ISNUMBER(L782),M782-L782,IF(G782="DECISÃO D.P","",M782-TODAY())))</f>
        <v/>
      </c>
      <c r="O782" s="108" t="str">
        <f>IF(B782="","",IF(ISNUMBER(L782),IF(N782="","SEM DATA",IF(N782&gt;=0,"DEFESA NO PRAZO","DEFESA FORA DO PRAZO")),IF(G782="DECISÃO D.P","SEM DEFESA",IF(G782="","SEM STATUS",IF(N782="","SEM DATA",IF(N782&lt;0,"VENCIDO",IF(N782&lt;=DiasAlerta,"VENCE EM BREVE","NO PRAZO")))))))</f>
        <v/>
      </c>
      <c r="P782" s="109" t="str">
        <f>IF(D782="","",TODAY()-D782)</f>
        <v/>
      </c>
      <c r="Q782" s="102" t="n"/>
    </row>
    <row r="783" ht="18" customHeight="1">
      <c r="A783" s="101" t="n"/>
      <c r="B783" s="102" t="n"/>
      <c r="C783" s="102" t="n"/>
      <c r="D783" s="103" t="n"/>
      <c r="E783" s="102" t="n"/>
      <c r="F783" s="104" t="n"/>
      <c r="G783" s="104" t="n"/>
      <c r="H783" s="102" t="n"/>
      <c r="I783" s="105" t="n"/>
      <c r="J783" s="105" t="n"/>
      <c r="K783" s="103" t="n"/>
      <c r="L783" s="103" t="n"/>
      <c r="M783" s="106" t="str">
        <f>IF(OR(D783="",E783=""),"",D783+IF(E783="NOTIFICAÇÃO DE CONSTATAÇÃO",PrazoConst,PrazoEsc))</f>
        <v/>
      </c>
      <c r="N783" s="107" t="str">
        <f>IF(M783="","",IF(ISNUMBER(L783),M783-L783,IF(G783="DECISÃO D.P","",M783-TODAY())))</f>
        <v/>
      </c>
      <c r="O783" s="108" t="str">
        <f>IF(B783="","",IF(ISNUMBER(L783),IF(N783="","SEM DATA",IF(N783&gt;=0,"DEFESA NO PRAZO","DEFESA FORA DO PRAZO")),IF(G783="DECISÃO D.P","SEM DEFESA",IF(G783="","SEM STATUS",IF(N783="","SEM DATA",IF(N783&lt;0,"VENCIDO",IF(N783&lt;=DiasAlerta,"VENCE EM BREVE","NO PRAZO")))))))</f>
        <v/>
      </c>
      <c r="P783" s="109" t="str">
        <f>IF(D783="","",TODAY()-D783)</f>
        <v/>
      </c>
      <c r="Q783" s="102" t="n"/>
    </row>
    <row r="784" ht="18" customHeight="1">
      <c r="A784" s="101" t="n"/>
      <c r="B784" s="102" t="n"/>
      <c r="C784" s="102" t="n"/>
      <c r="D784" s="103" t="n"/>
      <c r="E784" s="102" t="n"/>
      <c r="F784" s="104" t="n"/>
      <c r="G784" s="104" t="n"/>
      <c r="H784" s="102" t="n"/>
      <c r="I784" s="105" t="n"/>
      <c r="J784" s="105" t="n"/>
      <c r="K784" s="103" t="n"/>
      <c r="L784" s="103" t="n"/>
      <c r="M784" s="106" t="str">
        <f>IF(OR(D784="",E784=""),"",D784+IF(E784="NOTIFICAÇÃO DE CONSTATAÇÃO",PrazoConst,PrazoEsc))</f>
        <v/>
      </c>
      <c r="N784" s="107" t="str">
        <f>IF(M784="","",IF(ISNUMBER(L784),M784-L784,IF(G784="DECISÃO D.P","",M784-TODAY())))</f>
        <v/>
      </c>
      <c r="O784" s="108" t="str">
        <f>IF(B784="","",IF(ISNUMBER(L784),IF(N784="","SEM DATA",IF(N784&gt;=0,"DEFESA NO PRAZO","DEFESA FORA DO PRAZO")),IF(G784="DECISÃO D.P","SEM DEFESA",IF(G784="","SEM STATUS",IF(N784="","SEM DATA",IF(N784&lt;0,"VENCIDO",IF(N784&lt;=DiasAlerta,"VENCE EM BREVE","NO PRAZO")))))))</f>
        <v/>
      </c>
      <c r="P784" s="109" t="str">
        <f>IF(D784="","",TODAY()-D784)</f>
        <v/>
      </c>
      <c r="Q784" s="102" t="n"/>
    </row>
    <row r="785" ht="18" customHeight="1">
      <c r="A785" s="101" t="n"/>
      <c r="B785" s="102" t="n"/>
      <c r="C785" s="102" t="n"/>
      <c r="D785" s="103" t="n"/>
      <c r="E785" s="102" t="n"/>
      <c r="F785" s="104" t="n"/>
      <c r="G785" s="104" t="n"/>
      <c r="H785" s="102" t="n"/>
      <c r="I785" s="105" t="n"/>
      <c r="J785" s="105" t="n"/>
      <c r="K785" s="103" t="n"/>
      <c r="L785" s="103" t="n"/>
      <c r="M785" s="106" t="str">
        <f>IF(OR(D785="",E785=""),"",D785+IF(E785="NOTIFICAÇÃO DE CONSTATAÇÃO",PrazoConst,PrazoEsc))</f>
        <v/>
      </c>
      <c r="N785" s="107" t="str">
        <f>IF(M785="","",IF(ISNUMBER(L785),M785-L785,IF(G785="DECISÃO D.P","",M785-TODAY())))</f>
        <v/>
      </c>
      <c r="O785" s="108" t="str">
        <f>IF(B785="","",IF(ISNUMBER(L785),IF(N785="","SEM DATA",IF(N785&gt;=0,"DEFESA NO PRAZO","DEFESA FORA DO PRAZO")),IF(G785="DECISÃO D.P","SEM DEFESA",IF(G785="","SEM STATUS",IF(N785="","SEM DATA",IF(N785&lt;0,"VENCIDO",IF(N785&lt;=DiasAlerta,"VENCE EM BREVE","NO PRAZO")))))))</f>
        <v/>
      </c>
      <c r="P785" s="109" t="str">
        <f>IF(D785="","",TODAY()-D785)</f>
        <v/>
      </c>
      <c r="Q785" s="102" t="n"/>
    </row>
    <row r="786" ht="18" customHeight="1">
      <c r="A786" s="101" t="n"/>
      <c r="B786" s="102" t="n"/>
      <c r="C786" s="102" t="n"/>
      <c r="D786" s="103" t="n"/>
      <c r="E786" s="102" t="n"/>
      <c r="F786" s="104" t="n"/>
      <c r="G786" s="104" t="n"/>
      <c r="H786" s="102" t="n"/>
      <c r="I786" s="105" t="n"/>
      <c r="J786" s="105" t="n"/>
      <c r="K786" s="103" t="n"/>
      <c r="L786" s="103" t="n"/>
      <c r="M786" s="106" t="str">
        <f>IF(OR(D786="",E786=""),"",D786+IF(E786="NOTIFICAÇÃO DE CONSTATAÇÃO",PrazoConst,PrazoEsc))</f>
        <v/>
      </c>
      <c r="N786" s="107" t="str">
        <f>IF(M786="","",IF(ISNUMBER(L786),M786-L786,IF(G786="DECISÃO D.P","",M786-TODAY())))</f>
        <v/>
      </c>
      <c r="O786" s="108" t="str">
        <f>IF(B786="","",IF(ISNUMBER(L786),IF(N786="","SEM DATA",IF(N786&gt;=0,"DEFESA NO PRAZO","DEFESA FORA DO PRAZO")),IF(G786="DECISÃO D.P","SEM DEFESA",IF(G786="","SEM STATUS",IF(N786="","SEM DATA",IF(N786&lt;0,"VENCIDO",IF(N786&lt;=DiasAlerta,"VENCE EM BREVE","NO PRAZO")))))))</f>
        <v/>
      </c>
      <c r="P786" s="109" t="str">
        <f>IF(D786="","",TODAY()-D786)</f>
        <v/>
      </c>
      <c r="Q786" s="102" t="n"/>
    </row>
    <row r="787" ht="18" customHeight="1">
      <c r="A787" s="101" t="n"/>
      <c r="B787" s="102" t="n"/>
      <c r="C787" s="102" t="n"/>
      <c r="D787" s="103" t="n"/>
      <c r="E787" s="102" t="n"/>
      <c r="F787" s="104" t="n"/>
      <c r="G787" s="104" t="n"/>
      <c r="H787" s="102" t="n"/>
      <c r="I787" s="105" t="n"/>
      <c r="J787" s="105" t="n"/>
      <c r="K787" s="103" t="n"/>
      <c r="L787" s="103" t="n"/>
      <c r="M787" s="106" t="str">
        <f>IF(OR(D787="",E787=""),"",D787+IF(E787="NOTIFICAÇÃO DE CONSTATAÇÃO",PrazoConst,PrazoEsc))</f>
        <v/>
      </c>
      <c r="N787" s="107" t="str">
        <f>IF(M787="","",IF(ISNUMBER(L787),M787-L787,IF(G787="DECISÃO D.P","",M787-TODAY())))</f>
        <v/>
      </c>
      <c r="O787" s="108" t="str">
        <f>IF(B787="","",IF(ISNUMBER(L787),IF(N787="","SEM DATA",IF(N787&gt;=0,"DEFESA NO PRAZO","DEFESA FORA DO PRAZO")),IF(G787="DECISÃO D.P","SEM DEFESA",IF(G787="","SEM STATUS",IF(N787="","SEM DATA",IF(N787&lt;0,"VENCIDO",IF(N787&lt;=DiasAlerta,"VENCE EM BREVE","NO PRAZO")))))))</f>
        <v/>
      </c>
      <c r="P787" s="109" t="str">
        <f>IF(D787="","",TODAY()-D787)</f>
        <v/>
      </c>
      <c r="Q787" s="102" t="n"/>
    </row>
    <row r="788" ht="18" customHeight="1">
      <c r="A788" s="101" t="n"/>
      <c r="B788" s="102" t="n"/>
      <c r="C788" s="102" t="n"/>
      <c r="D788" s="103" t="n"/>
      <c r="E788" s="102" t="n"/>
      <c r="F788" s="104" t="n"/>
      <c r="G788" s="104" t="n"/>
      <c r="H788" s="102" t="n"/>
      <c r="I788" s="105" t="n"/>
      <c r="J788" s="105" t="n"/>
      <c r="K788" s="103" t="n"/>
      <c r="L788" s="103" t="n"/>
      <c r="M788" s="106" t="str">
        <f>IF(OR(D788="",E788=""),"",D788+IF(E788="NOTIFICAÇÃO DE CONSTATAÇÃO",PrazoConst,PrazoEsc))</f>
        <v/>
      </c>
      <c r="N788" s="107" t="str">
        <f>IF(M788="","",IF(ISNUMBER(L788),M788-L788,IF(G788="DECISÃO D.P","",M788-TODAY())))</f>
        <v/>
      </c>
      <c r="O788" s="108" t="str">
        <f>IF(B788="","",IF(ISNUMBER(L788),IF(N788="","SEM DATA",IF(N788&gt;=0,"DEFESA NO PRAZO","DEFESA FORA DO PRAZO")),IF(G788="DECISÃO D.P","SEM DEFESA",IF(G788="","SEM STATUS",IF(N788="","SEM DATA",IF(N788&lt;0,"VENCIDO",IF(N788&lt;=DiasAlerta,"VENCE EM BREVE","NO PRAZO")))))))</f>
        <v/>
      </c>
      <c r="P788" s="109" t="str">
        <f>IF(D788="","",TODAY()-D788)</f>
        <v/>
      </c>
      <c r="Q788" s="102" t="n"/>
    </row>
    <row r="789" ht="18" customHeight="1">
      <c r="A789" s="101" t="n"/>
      <c r="B789" s="102" t="n"/>
      <c r="C789" s="102" t="n"/>
      <c r="D789" s="103" t="n"/>
      <c r="E789" s="102" t="n"/>
      <c r="F789" s="104" t="n"/>
      <c r="G789" s="104" t="n"/>
      <c r="H789" s="102" t="n"/>
      <c r="I789" s="105" t="n"/>
      <c r="J789" s="105" t="n"/>
      <c r="K789" s="103" t="n"/>
      <c r="L789" s="103" t="n"/>
      <c r="M789" s="106" t="str">
        <f>IF(OR(D789="",E789=""),"",D789+IF(E789="NOTIFICAÇÃO DE CONSTATAÇÃO",PrazoConst,PrazoEsc))</f>
        <v/>
      </c>
      <c r="N789" s="107" t="str">
        <f>IF(M789="","",IF(ISNUMBER(L789),M789-L789,IF(G789="DECISÃO D.P","",M789-TODAY())))</f>
        <v/>
      </c>
      <c r="O789" s="108" t="str">
        <f>IF(B789="","",IF(ISNUMBER(L789),IF(N789="","SEM DATA",IF(N789&gt;=0,"DEFESA NO PRAZO","DEFESA FORA DO PRAZO")),IF(G789="DECISÃO D.P","SEM DEFESA",IF(G789="","SEM STATUS",IF(N789="","SEM DATA",IF(N789&lt;0,"VENCIDO",IF(N789&lt;=DiasAlerta,"VENCE EM BREVE","NO PRAZO")))))))</f>
        <v/>
      </c>
      <c r="P789" s="109" t="str">
        <f>IF(D789="","",TODAY()-D789)</f>
        <v/>
      </c>
      <c r="Q789" s="102" t="n"/>
    </row>
    <row r="790" ht="18" customHeight="1">
      <c r="A790" s="101" t="n"/>
      <c r="B790" s="102" t="n"/>
      <c r="C790" s="102" t="n"/>
      <c r="D790" s="103" t="n"/>
      <c r="E790" s="102" t="n"/>
      <c r="F790" s="104" t="n"/>
      <c r="G790" s="104" t="n"/>
      <c r="H790" s="102" t="n"/>
      <c r="I790" s="105" t="n"/>
      <c r="J790" s="105" t="n"/>
      <c r="K790" s="103" t="n"/>
      <c r="L790" s="103" t="n"/>
      <c r="M790" s="106" t="str">
        <f>IF(OR(D790="",E790=""),"",D790+IF(E790="NOTIFICAÇÃO DE CONSTATAÇÃO",PrazoConst,PrazoEsc))</f>
        <v/>
      </c>
      <c r="N790" s="107" t="str">
        <f>IF(M790="","",IF(ISNUMBER(L790),M790-L790,IF(G790="DECISÃO D.P","",M790-TODAY())))</f>
        <v/>
      </c>
      <c r="O790" s="108" t="str">
        <f>IF(B790="","",IF(ISNUMBER(L790),IF(N790="","SEM DATA",IF(N790&gt;=0,"DEFESA NO PRAZO","DEFESA FORA DO PRAZO")),IF(G790="DECISÃO D.P","SEM DEFESA",IF(G790="","SEM STATUS",IF(N790="","SEM DATA",IF(N790&lt;0,"VENCIDO",IF(N790&lt;=DiasAlerta,"VENCE EM BREVE","NO PRAZO")))))))</f>
        <v/>
      </c>
      <c r="P790" s="109" t="str">
        <f>IF(D790="","",TODAY()-D790)</f>
        <v/>
      </c>
      <c r="Q790" s="102" t="n"/>
    </row>
    <row r="791" ht="18" customHeight="1">
      <c r="A791" s="101" t="n"/>
      <c r="B791" s="102" t="n"/>
      <c r="C791" s="102" t="n"/>
      <c r="D791" s="103" t="n"/>
      <c r="E791" s="102" t="n"/>
      <c r="F791" s="104" t="n"/>
      <c r="G791" s="104" t="n"/>
      <c r="H791" s="102" t="n"/>
      <c r="I791" s="105" t="n"/>
      <c r="J791" s="105" t="n"/>
      <c r="K791" s="103" t="n"/>
      <c r="L791" s="103" t="n"/>
      <c r="M791" s="106" t="str">
        <f>IF(OR(D791="",E791=""),"",D791+IF(E791="NOTIFICAÇÃO DE CONSTATAÇÃO",PrazoConst,PrazoEsc))</f>
        <v/>
      </c>
      <c r="N791" s="107" t="str">
        <f>IF(M791="","",IF(ISNUMBER(L791),M791-L791,IF(G791="DECISÃO D.P","",M791-TODAY())))</f>
        <v/>
      </c>
      <c r="O791" s="108" t="str">
        <f>IF(B791="","",IF(ISNUMBER(L791),IF(N791="","SEM DATA",IF(N791&gt;=0,"DEFESA NO PRAZO","DEFESA FORA DO PRAZO")),IF(G791="DECISÃO D.P","SEM DEFESA",IF(G791="","SEM STATUS",IF(N791="","SEM DATA",IF(N791&lt;0,"VENCIDO",IF(N791&lt;=DiasAlerta,"VENCE EM BREVE","NO PRAZO")))))))</f>
        <v/>
      </c>
      <c r="P791" s="109" t="str">
        <f>IF(D791="","",TODAY()-D791)</f>
        <v/>
      </c>
      <c r="Q791" s="102" t="n"/>
    </row>
    <row r="792" ht="18" customHeight="1">
      <c r="A792" s="101" t="n"/>
      <c r="B792" s="102" t="n"/>
      <c r="C792" s="102" t="n"/>
      <c r="D792" s="103" t="n"/>
      <c r="E792" s="102" t="n"/>
      <c r="F792" s="104" t="n"/>
      <c r="G792" s="104" t="n"/>
      <c r="H792" s="102" t="n"/>
      <c r="I792" s="105" t="n"/>
      <c r="J792" s="105" t="n"/>
      <c r="K792" s="103" t="n"/>
      <c r="L792" s="103" t="n"/>
      <c r="M792" s="106" t="str">
        <f>IF(OR(D792="",E792=""),"",D792+IF(E792="NOTIFICAÇÃO DE CONSTATAÇÃO",PrazoConst,PrazoEsc))</f>
        <v/>
      </c>
      <c r="N792" s="107" t="str">
        <f>IF(M792="","",IF(ISNUMBER(L792),M792-L792,IF(G792="DECISÃO D.P","",M792-TODAY())))</f>
        <v/>
      </c>
      <c r="O792" s="108" t="str">
        <f>IF(B792="","",IF(ISNUMBER(L792),IF(N792="","SEM DATA",IF(N792&gt;=0,"DEFESA NO PRAZO","DEFESA FORA DO PRAZO")),IF(G792="DECISÃO D.P","SEM DEFESA",IF(G792="","SEM STATUS",IF(N792="","SEM DATA",IF(N792&lt;0,"VENCIDO",IF(N792&lt;=DiasAlerta,"VENCE EM BREVE","NO PRAZO")))))))</f>
        <v/>
      </c>
      <c r="P792" s="109" t="str">
        <f>IF(D792="","",TODAY()-D792)</f>
        <v/>
      </c>
      <c r="Q792" s="102" t="n"/>
    </row>
    <row r="793" ht="18" customHeight="1">
      <c r="A793" s="101" t="n"/>
      <c r="B793" s="102" t="n"/>
      <c r="C793" s="102" t="n"/>
      <c r="D793" s="103" t="n"/>
      <c r="E793" s="102" t="n"/>
      <c r="F793" s="104" t="n"/>
      <c r="G793" s="104" t="n"/>
      <c r="H793" s="102" t="n"/>
      <c r="I793" s="105" t="n"/>
      <c r="J793" s="105" t="n"/>
      <c r="K793" s="103" t="n"/>
      <c r="L793" s="103" t="n"/>
      <c r="M793" s="106" t="str">
        <f>IF(OR(D793="",E793=""),"",D793+IF(E793="NOTIFICAÇÃO DE CONSTATAÇÃO",PrazoConst,PrazoEsc))</f>
        <v/>
      </c>
      <c r="N793" s="107" t="str">
        <f>IF(M793="","",IF(ISNUMBER(L793),M793-L793,IF(G793="DECISÃO D.P","",M793-TODAY())))</f>
        <v/>
      </c>
      <c r="O793" s="108" t="str">
        <f>IF(B793="","",IF(ISNUMBER(L793),IF(N793="","SEM DATA",IF(N793&gt;=0,"DEFESA NO PRAZO","DEFESA FORA DO PRAZO")),IF(G793="DECISÃO D.P","SEM DEFESA",IF(G793="","SEM STATUS",IF(N793="","SEM DATA",IF(N793&lt;0,"VENCIDO",IF(N793&lt;=DiasAlerta,"VENCE EM BREVE","NO PRAZO")))))))</f>
        <v/>
      </c>
      <c r="P793" s="109" t="str">
        <f>IF(D793="","",TODAY()-D793)</f>
        <v/>
      </c>
      <c r="Q793" s="102" t="n"/>
    </row>
    <row r="794" ht="18" customHeight="1">
      <c r="A794" s="101" t="n"/>
      <c r="B794" s="102" t="n"/>
      <c r="C794" s="102" t="n"/>
      <c r="D794" s="103" t="n"/>
      <c r="E794" s="102" t="n"/>
      <c r="F794" s="104" t="n"/>
      <c r="G794" s="104" t="n"/>
      <c r="H794" s="102" t="n"/>
      <c r="I794" s="105" t="n"/>
      <c r="J794" s="105" t="n"/>
      <c r="K794" s="103" t="n"/>
      <c r="L794" s="103" t="n"/>
      <c r="M794" s="106" t="str">
        <f>IF(OR(D794="",E794=""),"",D794+IF(E794="NOTIFICAÇÃO DE CONSTATAÇÃO",PrazoConst,PrazoEsc))</f>
        <v/>
      </c>
      <c r="N794" s="107" t="str">
        <f>IF(M794="","",IF(ISNUMBER(L794),M794-L794,IF(G794="DECISÃO D.P","",M794-TODAY())))</f>
        <v/>
      </c>
      <c r="O794" s="108" t="str">
        <f>IF(B794="","",IF(ISNUMBER(L794),IF(N794="","SEM DATA",IF(N794&gt;=0,"DEFESA NO PRAZO","DEFESA FORA DO PRAZO")),IF(G794="DECISÃO D.P","SEM DEFESA",IF(G794="","SEM STATUS",IF(N794="","SEM DATA",IF(N794&lt;0,"VENCIDO",IF(N794&lt;=DiasAlerta,"VENCE EM BREVE","NO PRAZO")))))))</f>
        <v/>
      </c>
      <c r="P794" s="109" t="str">
        <f>IF(D794="","",TODAY()-D794)</f>
        <v/>
      </c>
      <c r="Q794" s="102" t="n"/>
    </row>
    <row r="795" ht="18" customHeight="1">
      <c r="A795" s="101" t="n"/>
      <c r="B795" s="102" t="n"/>
      <c r="C795" s="102" t="n"/>
      <c r="D795" s="103" t="n"/>
      <c r="E795" s="102" t="n"/>
      <c r="F795" s="104" t="n"/>
      <c r="G795" s="104" t="n"/>
      <c r="H795" s="102" t="n"/>
      <c r="I795" s="105" t="n"/>
      <c r="J795" s="105" t="n"/>
      <c r="K795" s="103" t="n"/>
      <c r="L795" s="103" t="n"/>
      <c r="M795" s="106" t="str">
        <f>IF(OR(D795="",E795=""),"",D795+IF(E795="NOTIFICAÇÃO DE CONSTATAÇÃO",PrazoConst,PrazoEsc))</f>
        <v/>
      </c>
      <c r="N795" s="107" t="str">
        <f>IF(M795="","",IF(ISNUMBER(L795),M795-L795,IF(G795="DECISÃO D.P","",M795-TODAY())))</f>
        <v/>
      </c>
      <c r="O795" s="108" t="str">
        <f>IF(B795="","",IF(ISNUMBER(L795),IF(N795="","SEM DATA",IF(N795&gt;=0,"DEFESA NO PRAZO","DEFESA FORA DO PRAZO")),IF(G795="DECISÃO D.P","SEM DEFESA",IF(G795="","SEM STATUS",IF(N795="","SEM DATA",IF(N795&lt;0,"VENCIDO",IF(N795&lt;=DiasAlerta,"VENCE EM BREVE","NO PRAZO")))))))</f>
        <v/>
      </c>
      <c r="P795" s="109" t="str">
        <f>IF(D795="","",TODAY()-D795)</f>
        <v/>
      </c>
      <c r="Q795" s="102" t="n"/>
    </row>
    <row r="796" ht="18" customHeight="1">
      <c r="A796" s="101" t="n"/>
      <c r="B796" s="102" t="n"/>
      <c r="C796" s="102" t="n"/>
      <c r="D796" s="103" t="n"/>
      <c r="E796" s="102" t="n"/>
      <c r="F796" s="104" t="n"/>
      <c r="G796" s="104" t="n"/>
      <c r="H796" s="102" t="n"/>
      <c r="I796" s="105" t="n"/>
      <c r="J796" s="105" t="n"/>
      <c r="K796" s="103" t="n"/>
      <c r="L796" s="103" t="n"/>
      <c r="M796" s="106" t="str">
        <f>IF(OR(D796="",E796=""),"",D796+IF(E796="NOTIFICAÇÃO DE CONSTATAÇÃO",PrazoConst,PrazoEsc))</f>
        <v/>
      </c>
      <c r="N796" s="107" t="str">
        <f>IF(M796="","",IF(ISNUMBER(L796),M796-L796,IF(G796="DECISÃO D.P","",M796-TODAY())))</f>
        <v/>
      </c>
      <c r="O796" s="108" t="str">
        <f>IF(B796="","",IF(ISNUMBER(L796),IF(N796="","SEM DATA",IF(N796&gt;=0,"DEFESA NO PRAZO","DEFESA FORA DO PRAZO")),IF(G796="DECISÃO D.P","SEM DEFESA",IF(G796="","SEM STATUS",IF(N796="","SEM DATA",IF(N796&lt;0,"VENCIDO",IF(N796&lt;=DiasAlerta,"VENCE EM BREVE","NO PRAZO")))))))</f>
        <v/>
      </c>
      <c r="P796" s="109" t="str">
        <f>IF(D796="","",TODAY()-D796)</f>
        <v/>
      </c>
      <c r="Q796" s="102" t="n"/>
    </row>
    <row r="797" ht="18" customHeight="1">
      <c r="A797" s="101" t="n"/>
      <c r="B797" s="102" t="n"/>
      <c r="C797" s="102" t="n"/>
      <c r="D797" s="103" t="n"/>
      <c r="E797" s="102" t="n"/>
      <c r="F797" s="104" t="n"/>
      <c r="G797" s="104" t="n"/>
      <c r="H797" s="102" t="n"/>
      <c r="I797" s="105" t="n"/>
      <c r="J797" s="105" t="n"/>
      <c r="K797" s="103" t="n"/>
      <c r="L797" s="103" t="n"/>
      <c r="M797" s="106" t="str">
        <f>IF(OR(D797="",E797=""),"",D797+IF(E797="NOTIFICAÇÃO DE CONSTATAÇÃO",PrazoConst,PrazoEsc))</f>
        <v/>
      </c>
      <c r="N797" s="107" t="str">
        <f>IF(M797="","",IF(ISNUMBER(L797),M797-L797,IF(G797="DECISÃO D.P","",M797-TODAY())))</f>
        <v/>
      </c>
      <c r="O797" s="108" t="str">
        <f>IF(B797="","",IF(ISNUMBER(L797),IF(N797="","SEM DATA",IF(N797&gt;=0,"DEFESA NO PRAZO","DEFESA FORA DO PRAZO")),IF(G797="DECISÃO D.P","SEM DEFESA",IF(G797="","SEM STATUS",IF(N797="","SEM DATA",IF(N797&lt;0,"VENCIDO",IF(N797&lt;=DiasAlerta,"VENCE EM BREVE","NO PRAZO")))))))</f>
        <v/>
      </c>
      <c r="P797" s="109" t="str">
        <f>IF(D797="","",TODAY()-D797)</f>
        <v/>
      </c>
      <c r="Q797" s="102" t="n"/>
    </row>
    <row r="798" ht="18" customHeight="1">
      <c r="A798" s="101" t="n"/>
      <c r="B798" s="102" t="n"/>
      <c r="C798" s="102" t="n"/>
      <c r="D798" s="103" t="n"/>
      <c r="E798" s="102" t="n"/>
      <c r="F798" s="104" t="n"/>
      <c r="G798" s="104" t="n"/>
      <c r="H798" s="102" t="n"/>
      <c r="I798" s="105" t="n"/>
      <c r="J798" s="105" t="n"/>
      <c r="K798" s="103" t="n"/>
      <c r="L798" s="103" t="n"/>
      <c r="M798" s="106" t="str">
        <f>IF(OR(D798="",E798=""),"",D798+IF(E798="NOTIFICAÇÃO DE CONSTATAÇÃO",PrazoConst,PrazoEsc))</f>
        <v/>
      </c>
      <c r="N798" s="107" t="str">
        <f>IF(M798="","",IF(ISNUMBER(L798),M798-L798,IF(G798="DECISÃO D.P","",M798-TODAY())))</f>
        <v/>
      </c>
      <c r="O798" s="108" t="str">
        <f>IF(B798="","",IF(ISNUMBER(L798),IF(N798="","SEM DATA",IF(N798&gt;=0,"DEFESA NO PRAZO","DEFESA FORA DO PRAZO")),IF(G798="DECISÃO D.P","SEM DEFESA",IF(G798="","SEM STATUS",IF(N798="","SEM DATA",IF(N798&lt;0,"VENCIDO",IF(N798&lt;=DiasAlerta,"VENCE EM BREVE","NO PRAZO")))))))</f>
        <v/>
      </c>
      <c r="P798" s="109" t="str">
        <f>IF(D798="","",TODAY()-D798)</f>
        <v/>
      </c>
      <c r="Q798" s="102" t="n"/>
    </row>
    <row r="799" ht="18" customHeight="1">
      <c r="A799" s="101" t="n"/>
      <c r="B799" s="102" t="n"/>
      <c r="C799" s="102" t="n"/>
      <c r="D799" s="103" t="n"/>
      <c r="E799" s="102" t="n"/>
      <c r="F799" s="104" t="n"/>
      <c r="G799" s="104" t="n"/>
      <c r="H799" s="102" t="n"/>
      <c r="I799" s="105" t="n"/>
      <c r="J799" s="105" t="n"/>
      <c r="K799" s="103" t="n"/>
      <c r="L799" s="103" t="n"/>
      <c r="M799" s="106" t="str">
        <f>IF(OR(D799="",E799=""),"",D799+IF(E799="NOTIFICAÇÃO DE CONSTATAÇÃO",PrazoConst,PrazoEsc))</f>
        <v/>
      </c>
      <c r="N799" s="107" t="str">
        <f>IF(M799="","",IF(ISNUMBER(L799),M799-L799,IF(G799="DECISÃO D.P","",M799-TODAY())))</f>
        <v/>
      </c>
      <c r="O799" s="108" t="str">
        <f>IF(B799="","",IF(ISNUMBER(L799),IF(N799="","SEM DATA",IF(N799&gt;=0,"DEFESA NO PRAZO","DEFESA FORA DO PRAZO")),IF(G799="DECISÃO D.P","SEM DEFESA",IF(G799="","SEM STATUS",IF(N799="","SEM DATA",IF(N799&lt;0,"VENCIDO",IF(N799&lt;=DiasAlerta,"VENCE EM BREVE","NO PRAZO")))))))</f>
        <v/>
      </c>
      <c r="P799" s="109" t="str">
        <f>IF(D799="","",TODAY()-D799)</f>
        <v/>
      </c>
      <c r="Q799" s="102" t="n"/>
    </row>
    <row r="800" ht="18" customHeight="1">
      <c r="A800" s="101" t="n"/>
      <c r="B800" s="102" t="n"/>
      <c r="C800" s="102" t="n"/>
      <c r="D800" s="103" t="n"/>
      <c r="E800" s="102" t="n"/>
      <c r="F800" s="104" t="n"/>
      <c r="G800" s="104" t="n"/>
      <c r="H800" s="102" t="n"/>
      <c r="I800" s="105" t="n"/>
      <c r="J800" s="105" t="n"/>
      <c r="K800" s="103" t="n"/>
      <c r="L800" s="103" t="n"/>
      <c r="M800" s="106" t="str">
        <f>IF(OR(D800="",E800=""),"",D800+IF(E800="NOTIFICAÇÃO DE CONSTATAÇÃO",PrazoConst,PrazoEsc))</f>
        <v/>
      </c>
      <c r="N800" s="107" t="str">
        <f>IF(M800="","",IF(ISNUMBER(L800),M800-L800,IF(G800="DECISÃO D.P","",M800-TODAY())))</f>
        <v/>
      </c>
      <c r="O800" s="108" t="str">
        <f>IF(B800="","",IF(ISNUMBER(L800),IF(N800="","SEM DATA",IF(N800&gt;=0,"DEFESA NO PRAZO","DEFESA FORA DO PRAZO")),IF(G800="DECISÃO D.P","SEM DEFESA",IF(G800="","SEM STATUS",IF(N800="","SEM DATA",IF(N800&lt;0,"VENCIDO",IF(N800&lt;=DiasAlerta,"VENCE EM BREVE","NO PRAZO")))))))</f>
        <v/>
      </c>
      <c r="P800" s="109" t="str">
        <f>IF(D800="","",TODAY()-D800)</f>
        <v/>
      </c>
      <c r="Q800" s="102" t="n"/>
    </row>
    <row r="801" ht="18" customHeight="1">
      <c r="A801" s="101" t="n"/>
      <c r="B801" s="102" t="n"/>
      <c r="C801" s="102" t="n"/>
      <c r="D801" s="103" t="n"/>
      <c r="E801" s="102" t="n"/>
      <c r="F801" s="104" t="n"/>
      <c r="G801" s="104" t="n"/>
      <c r="H801" s="102" t="n"/>
      <c r="I801" s="105" t="n"/>
      <c r="J801" s="105" t="n"/>
      <c r="K801" s="103" t="n"/>
      <c r="L801" s="103" t="n"/>
      <c r="M801" s="106" t="str">
        <f>IF(OR(D801="",E801=""),"",D801+IF(E801="NOTIFICAÇÃO DE CONSTATAÇÃO",PrazoConst,PrazoEsc))</f>
        <v/>
      </c>
      <c r="N801" s="107" t="str">
        <f>IF(M801="","",IF(ISNUMBER(L801),M801-L801,IF(G801="DECISÃO D.P","",M801-TODAY())))</f>
        <v/>
      </c>
      <c r="O801" s="108" t="str">
        <f>IF(B801="","",IF(ISNUMBER(L801),IF(N801="","SEM DATA",IF(N801&gt;=0,"DEFESA NO PRAZO","DEFESA FORA DO PRAZO")),IF(G801="DECISÃO D.P","SEM DEFESA",IF(G801="","SEM STATUS",IF(N801="","SEM DATA",IF(N801&lt;0,"VENCIDO",IF(N801&lt;=DiasAlerta,"VENCE EM BREVE","NO PRAZO")))))))</f>
        <v/>
      </c>
      <c r="P801" s="109" t="str">
        <f>IF(D801="","",TODAY()-D801)</f>
        <v/>
      </c>
      <c r="Q801" s="102" t="n"/>
    </row>
    <row r="802" ht="18" customHeight="1">
      <c r="A802" s="101" t="n"/>
      <c r="B802" s="102" t="n"/>
      <c r="C802" s="102" t="n"/>
      <c r="D802" s="103" t="n"/>
      <c r="E802" s="102" t="n"/>
      <c r="F802" s="104" t="n"/>
      <c r="G802" s="104" t="n"/>
      <c r="H802" s="102" t="n"/>
      <c r="I802" s="105" t="n"/>
      <c r="J802" s="105" t="n"/>
      <c r="K802" s="103" t="n"/>
      <c r="L802" s="103" t="n"/>
      <c r="M802" s="106" t="str">
        <f>IF(OR(D802="",E802=""),"",D802+IF(E802="NOTIFICAÇÃO DE CONSTATAÇÃO",PrazoConst,PrazoEsc))</f>
        <v/>
      </c>
      <c r="N802" s="107" t="str">
        <f>IF(M802="","",IF(ISNUMBER(L802),M802-L802,IF(G802="DECISÃO D.P","",M802-TODAY())))</f>
        <v/>
      </c>
      <c r="O802" s="108" t="str">
        <f>IF(B802="","",IF(ISNUMBER(L802),IF(N802="","SEM DATA",IF(N802&gt;=0,"DEFESA NO PRAZO","DEFESA FORA DO PRAZO")),IF(G802="DECISÃO D.P","SEM DEFESA",IF(G802="","SEM STATUS",IF(N802="","SEM DATA",IF(N802&lt;0,"VENCIDO",IF(N802&lt;=DiasAlerta,"VENCE EM BREVE","NO PRAZO")))))))</f>
        <v/>
      </c>
      <c r="P802" s="109" t="str">
        <f>IF(D802="","",TODAY()-D802)</f>
        <v/>
      </c>
      <c r="Q802" s="102" t="n"/>
    </row>
    <row r="803" ht="18" customHeight="1">
      <c r="A803" s="101" t="n"/>
      <c r="B803" s="102" t="n"/>
      <c r="C803" s="102" t="n"/>
      <c r="D803" s="103" t="n"/>
      <c r="E803" s="102" t="n"/>
      <c r="F803" s="104" t="n"/>
      <c r="G803" s="104" t="n"/>
      <c r="H803" s="102" t="n"/>
      <c r="I803" s="105" t="n"/>
      <c r="J803" s="105" t="n"/>
      <c r="K803" s="103" t="n"/>
      <c r="L803" s="103" t="n"/>
      <c r="M803" s="106" t="str">
        <f>IF(OR(D803="",E803=""),"",D803+IF(E803="NOTIFICAÇÃO DE CONSTATAÇÃO",PrazoConst,PrazoEsc))</f>
        <v/>
      </c>
      <c r="N803" s="107" t="str">
        <f>IF(M803="","",IF(ISNUMBER(L803),M803-L803,IF(G803="DECISÃO D.P","",M803-TODAY())))</f>
        <v/>
      </c>
      <c r="O803" s="108" t="str">
        <f>IF(B803="","",IF(ISNUMBER(L803),IF(N803="","SEM DATA",IF(N803&gt;=0,"DEFESA NO PRAZO","DEFESA FORA DO PRAZO")),IF(G803="DECISÃO D.P","SEM DEFESA",IF(G803="","SEM STATUS",IF(N803="","SEM DATA",IF(N803&lt;0,"VENCIDO",IF(N803&lt;=DiasAlerta,"VENCE EM BREVE","NO PRAZO")))))))</f>
        <v/>
      </c>
      <c r="P803" s="109" t="str">
        <f>IF(D803="","",TODAY()-D803)</f>
        <v/>
      </c>
      <c r="Q803" s="102" t="n"/>
    </row>
    <row r="804" ht="18" customHeight="1">
      <c r="A804" s="101" t="n"/>
      <c r="B804" s="102" t="n"/>
      <c r="C804" s="102" t="n"/>
      <c r="D804" s="103" t="n"/>
      <c r="E804" s="102" t="n"/>
      <c r="F804" s="104" t="n"/>
      <c r="G804" s="104" t="n"/>
      <c r="H804" s="102" t="n"/>
      <c r="I804" s="105" t="n"/>
      <c r="J804" s="105" t="n"/>
      <c r="K804" s="103" t="n"/>
      <c r="L804" s="103" t="n"/>
      <c r="M804" s="106" t="str">
        <f>IF(OR(D804="",E804=""),"",D804+IF(E804="NOTIFICAÇÃO DE CONSTATAÇÃO",PrazoConst,PrazoEsc))</f>
        <v/>
      </c>
      <c r="N804" s="107" t="str">
        <f>IF(M804="","",IF(ISNUMBER(L804),M804-L804,IF(G804="DECISÃO D.P","",M804-TODAY())))</f>
        <v/>
      </c>
      <c r="O804" s="108" t="str">
        <f>IF(B804="","",IF(ISNUMBER(L804),IF(N804="","SEM DATA",IF(N804&gt;=0,"DEFESA NO PRAZO","DEFESA FORA DO PRAZO")),IF(G804="DECISÃO D.P","SEM DEFESA",IF(G804="","SEM STATUS",IF(N804="","SEM DATA",IF(N804&lt;0,"VENCIDO",IF(N804&lt;=DiasAlerta,"VENCE EM BREVE","NO PRAZO")))))))</f>
        <v/>
      </c>
      <c r="P804" s="109" t="str">
        <f>IF(D804="","",TODAY()-D804)</f>
        <v/>
      </c>
      <c r="Q804" s="102" t="n"/>
    </row>
    <row r="805" ht="18" customHeight="1">
      <c r="A805" s="101" t="n"/>
      <c r="B805" s="102" t="n"/>
      <c r="C805" s="102" t="n"/>
      <c r="D805" s="103" t="n"/>
      <c r="E805" s="102" t="n"/>
      <c r="F805" s="104" t="n"/>
      <c r="G805" s="104" t="n"/>
      <c r="H805" s="102" t="n"/>
      <c r="I805" s="105" t="n"/>
      <c r="J805" s="105" t="n"/>
      <c r="K805" s="103" t="n"/>
      <c r="L805" s="103" t="n"/>
      <c r="M805" s="106" t="str">
        <f>IF(OR(D805="",E805=""),"",D805+IF(E805="NOTIFICAÇÃO DE CONSTATAÇÃO",PrazoConst,PrazoEsc))</f>
        <v/>
      </c>
      <c r="N805" s="107" t="str">
        <f>IF(M805="","",IF(ISNUMBER(L805),M805-L805,IF(G805="DECISÃO D.P","",M805-TODAY())))</f>
        <v/>
      </c>
      <c r="O805" s="108" t="str">
        <f>IF(B805="","",IF(ISNUMBER(L805),IF(N805="","SEM DATA",IF(N805&gt;=0,"DEFESA NO PRAZO","DEFESA FORA DO PRAZO")),IF(G805="DECISÃO D.P","SEM DEFESA",IF(G805="","SEM STATUS",IF(N805="","SEM DATA",IF(N805&lt;0,"VENCIDO",IF(N805&lt;=DiasAlerta,"VENCE EM BREVE","NO PRAZO")))))))</f>
        <v/>
      </c>
      <c r="P805" s="109" t="str">
        <f>IF(D805="","",TODAY()-D805)</f>
        <v/>
      </c>
      <c r="Q805" s="102" t="n"/>
    </row>
    <row r="806" ht="18" customHeight="1">
      <c r="A806" s="101" t="n"/>
      <c r="B806" s="102" t="n"/>
      <c r="C806" s="102" t="n"/>
      <c r="D806" s="103" t="n"/>
      <c r="E806" s="102" t="n"/>
      <c r="F806" s="104" t="n"/>
      <c r="G806" s="104" t="n"/>
      <c r="H806" s="102" t="n"/>
      <c r="I806" s="105" t="n"/>
      <c r="J806" s="105" t="n"/>
      <c r="K806" s="103" t="n"/>
      <c r="L806" s="103" t="n"/>
      <c r="M806" s="106" t="str">
        <f>IF(OR(D806="",E806=""),"",D806+IF(E806="NOTIFICAÇÃO DE CONSTATAÇÃO",PrazoConst,PrazoEsc))</f>
        <v/>
      </c>
      <c r="N806" s="107" t="str">
        <f>IF(M806="","",IF(ISNUMBER(L806),M806-L806,IF(G806="DECISÃO D.P","",M806-TODAY())))</f>
        <v/>
      </c>
      <c r="O806" s="108" t="str">
        <f>IF(B806="","",IF(ISNUMBER(L806),IF(N806="","SEM DATA",IF(N806&gt;=0,"DEFESA NO PRAZO","DEFESA FORA DO PRAZO")),IF(G806="DECISÃO D.P","SEM DEFESA",IF(G806="","SEM STATUS",IF(N806="","SEM DATA",IF(N806&lt;0,"VENCIDO",IF(N806&lt;=DiasAlerta,"VENCE EM BREVE","NO PRAZO")))))))</f>
        <v/>
      </c>
      <c r="P806" s="109" t="str">
        <f>IF(D806="","",TODAY()-D806)</f>
        <v/>
      </c>
      <c r="Q806" s="102" t="n"/>
    </row>
    <row r="807" ht="18" customHeight="1">
      <c r="A807" s="101" t="n"/>
      <c r="B807" s="102" t="n"/>
      <c r="C807" s="102" t="n"/>
      <c r="D807" s="103" t="n"/>
      <c r="E807" s="102" t="n"/>
      <c r="F807" s="104" t="n"/>
      <c r="G807" s="104" t="n"/>
      <c r="H807" s="102" t="n"/>
      <c r="I807" s="105" t="n"/>
      <c r="J807" s="105" t="n"/>
      <c r="K807" s="103" t="n"/>
      <c r="L807" s="103" t="n"/>
      <c r="M807" s="106" t="str">
        <f>IF(OR(D807="",E807=""),"",D807+IF(E807="NOTIFICAÇÃO DE CONSTATAÇÃO",PrazoConst,PrazoEsc))</f>
        <v/>
      </c>
      <c r="N807" s="107" t="str">
        <f>IF(M807="","",IF(ISNUMBER(L807),M807-L807,IF(G807="DECISÃO D.P","",M807-TODAY())))</f>
        <v/>
      </c>
      <c r="O807" s="108" t="str">
        <f>IF(B807="","",IF(ISNUMBER(L807),IF(N807="","SEM DATA",IF(N807&gt;=0,"DEFESA NO PRAZO","DEFESA FORA DO PRAZO")),IF(G807="DECISÃO D.P","SEM DEFESA",IF(G807="","SEM STATUS",IF(N807="","SEM DATA",IF(N807&lt;0,"VENCIDO",IF(N807&lt;=DiasAlerta,"VENCE EM BREVE","NO PRAZO")))))))</f>
        <v/>
      </c>
      <c r="P807" s="109" t="str">
        <f>IF(D807="","",TODAY()-D807)</f>
        <v/>
      </c>
      <c r="Q807" s="102" t="n"/>
    </row>
    <row r="808" ht="18" customHeight="1">
      <c r="A808" s="101" t="n"/>
      <c r="B808" s="102" t="n"/>
      <c r="C808" s="102" t="n"/>
      <c r="D808" s="103" t="n"/>
      <c r="E808" s="102" t="n"/>
      <c r="F808" s="104" t="n"/>
      <c r="G808" s="104" t="n"/>
      <c r="H808" s="102" t="n"/>
      <c r="I808" s="105" t="n"/>
      <c r="J808" s="105" t="n"/>
      <c r="K808" s="103" t="n"/>
      <c r="L808" s="103" t="n"/>
      <c r="M808" s="106" t="str">
        <f>IF(OR(D808="",E808=""),"",D808+IF(E808="NOTIFICAÇÃO DE CONSTATAÇÃO",PrazoConst,PrazoEsc))</f>
        <v/>
      </c>
      <c r="N808" s="107" t="str">
        <f>IF(M808="","",IF(ISNUMBER(L808),M808-L808,IF(G808="DECISÃO D.P","",M808-TODAY())))</f>
        <v/>
      </c>
      <c r="O808" s="108" t="str">
        <f>IF(B808="","",IF(ISNUMBER(L808),IF(N808="","SEM DATA",IF(N808&gt;=0,"DEFESA NO PRAZO","DEFESA FORA DO PRAZO")),IF(G808="DECISÃO D.P","SEM DEFESA",IF(G808="","SEM STATUS",IF(N808="","SEM DATA",IF(N808&lt;0,"VENCIDO",IF(N808&lt;=DiasAlerta,"VENCE EM BREVE","NO PRAZO")))))))</f>
        <v/>
      </c>
      <c r="P808" s="109" t="str">
        <f>IF(D808="","",TODAY()-D808)</f>
        <v/>
      </c>
      <c r="Q808" s="102" t="n"/>
    </row>
    <row r="809" ht="18" customHeight="1">
      <c r="A809" s="101" t="n"/>
      <c r="B809" s="102" t="n"/>
      <c r="C809" s="102" t="n"/>
      <c r="D809" s="103" t="n"/>
      <c r="E809" s="102" t="n"/>
      <c r="F809" s="104" t="n"/>
      <c r="G809" s="104" t="n"/>
      <c r="H809" s="102" t="n"/>
      <c r="I809" s="105" t="n"/>
      <c r="J809" s="105" t="n"/>
      <c r="K809" s="103" t="n"/>
      <c r="L809" s="103" t="n"/>
      <c r="M809" s="106" t="str">
        <f>IF(OR(D809="",E809=""),"",D809+IF(E809="NOTIFICAÇÃO DE CONSTATAÇÃO",PrazoConst,PrazoEsc))</f>
        <v/>
      </c>
      <c r="N809" s="107" t="str">
        <f>IF(M809="","",IF(ISNUMBER(L809),M809-L809,IF(G809="DECISÃO D.P","",M809-TODAY())))</f>
        <v/>
      </c>
      <c r="O809" s="108" t="str">
        <f>IF(B809="","",IF(ISNUMBER(L809),IF(N809="","SEM DATA",IF(N809&gt;=0,"DEFESA NO PRAZO","DEFESA FORA DO PRAZO")),IF(G809="DECISÃO D.P","SEM DEFESA",IF(G809="","SEM STATUS",IF(N809="","SEM DATA",IF(N809&lt;0,"VENCIDO",IF(N809&lt;=DiasAlerta,"VENCE EM BREVE","NO PRAZO")))))))</f>
        <v/>
      </c>
      <c r="P809" s="109" t="str">
        <f>IF(D809="","",TODAY()-D809)</f>
        <v/>
      </c>
      <c r="Q809" s="102" t="n"/>
    </row>
    <row r="810" ht="18" customHeight="1">
      <c r="A810" s="101" t="n"/>
      <c r="B810" s="102" t="n"/>
      <c r="C810" s="102" t="n"/>
      <c r="D810" s="103" t="n"/>
      <c r="E810" s="102" t="n"/>
      <c r="F810" s="104" t="n"/>
      <c r="G810" s="104" t="n"/>
      <c r="H810" s="102" t="n"/>
      <c r="I810" s="105" t="n"/>
      <c r="J810" s="105" t="n"/>
      <c r="K810" s="103" t="n"/>
      <c r="L810" s="103" t="n"/>
      <c r="M810" s="106" t="str">
        <f>IF(OR(D810="",E810=""),"",D810+IF(E810="NOTIFICAÇÃO DE CONSTATAÇÃO",PrazoConst,PrazoEsc))</f>
        <v/>
      </c>
      <c r="N810" s="107" t="str">
        <f>IF(M810="","",IF(ISNUMBER(L810),M810-L810,IF(G810="DECISÃO D.P","",M810-TODAY())))</f>
        <v/>
      </c>
      <c r="O810" s="108" t="str">
        <f>IF(B810="","",IF(ISNUMBER(L810),IF(N810="","SEM DATA",IF(N810&gt;=0,"DEFESA NO PRAZO","DEFESA FORA DO PRAZO")),IF(G810="DECISÃO D.P","SEM DEFESA",IF(G810="","SEM STATUS",IF(N810="","SEM DATA",IF(N810&lt;0,"VENCIDO",IF(N810&lt;=DiasAlerta,"VENCE EM BREVE","NO PRAZO")))))))</f>
        <v/>
      </c>
      <c r="P810" s="109" t="str">
        <f>IF(D810="","",TODAY()-D810)</f>
        <v/>
      </c>
      <c r="Q810" s="102" t="n"/>
    </row>
    <row r="811" ht="18" customHeight="1">
      <c r="A811" s="101" t="n"/>
      <c r="B811" s="102" t="n"/>
      <c r="C811" s="102" t="n"/>
      <c r="D811" s="103" t="n"/>
      <c r="E811" s="102" t="n"/>
      <c r="F811" s="104" t="n"/>
      <c r="G811" s="104" t="n"/>
      <c r="H811" s="102" t="n"/>
      <c r="I811" s="105" t="n"/>
      <c r="J811" s="105" t="n"/>
      <c r="K811" s="103" t="n"/>
      <c r="L811" s="103" t="n"/>
      <c r="M811" s="106" t="str">
        <f>IF(OR(D811="",E811=""),"",D811+IF(E811="NOTIFICAÇÃO DE CONSTATAÇÃO",PrazoConst,PrazoEsc))</f>
        <v/>
      </c>
      <c r="N811" s="107" t="str">
        <f>IF(M811="","",IF(ISNUMBER(L811),M811-L811,IF(G811="DECISÃO D.P","",M811-TODAY())))</f>
        <v/>
      </c>
      <c r="O811" s="108" t="str">
        <f>IF(B811="","",IF(ISNUMBER(L811),IF(N811="","SEM DATA",IF(N811&gt;=0,"DEFESA NO PRAZO","DEFESA FORA DO PRAZO")),IF(G811="DECISÃO D.P","SEM DEFESA",IF(G811="","SEM STATUS",IF(N811="","SEM DATA",IF(N811&lt;0,"VENCIDO",IF(N811&lt;=DiasAlerta,"VENCE EM BREVE","NO PRAZO")))))))</f>
        <v/>
      </c>
      <c r="P811" s="109" t="str">
        <f>IF(D811="","",TODAY()-D811)</f>
        <v/>
      </c>
      <c r="Q811" s="102" t="n"/>
    </row>
    <row r="812" ht="18" customHeight="1">
      <c r="A812" s="101" t="n"/>
      <c r="B812" s="102" t="n"/>
      <c r="C812" s="102" t="n"/>
      <c r="D812" s="103" t="n"/>
      <c r="E812" s="102" t="n"/>
      <c r="F812" s="104" t="n"/>
      <c r="G812" s="104" t="n"/>
      <c r="H812" s="102" t="n"/>
      <c r="I812" s="105" t="n"/>
      <c r="J812" s="105" t="n"/>
      <c r="K812" s="103" t="n"/>
      <c r="L812" s="103" t="n"/>
      <c r="M812" s="106" t="str">
        <f>IF(OR(D812="",E812=""),"",D812+IF(E812="NOTIFICAÇÃO DE CONSTATAÇÃO",PrazoConst,PrazoEsc))</f>
        <v/>
      </c>
      <c r="N812" s="107" t="str">
        <f>IF(M812="","",IF(ISNUMBER(L812),M812-L812,IF(G812="DECISÃO D.P","",M812-TODAY())))</f>
        <v/>
      </c>
      <c r="O812" s="108" t="str">
        <f>IF(B812="","",IF(ISNUMBER(L812),IF(N812="","SEM DATA",IF(N812&gt;=0,"DEFESA NO PRAZO","DEFESA FORA DO PRAZO")),IF(G812="DECISÃO D.P","SEM DEFESA",IF(G812="","SEM STATUS",IF(N812="","SEM DATA",IF(N812&lt;0,"VENCIDO",IF(N812&lt;=DiasAlerta,"VENCE EM BREVE","NO PRAZO")))))))</f>
        <v/>
      </c>
      <c r="P812" s="109" t="str">
        <f>IF(D812="","",TODAY()-D812)</f>
        <v/>
      </c>
      <c r="Q812" s="102" t="n"/>
    </row>
    <row r="813" ht="18" customHeight="1">
      <c r="A813" s="101" t="n"/>
      <c r="B813" s="102" t="n"/>
      <c r="C813" s="102" t="n"/>
      <c r="D813" s="103" t="n"/>
      <c r="E813" s="102" t="n"/>
      <c r="F813" s="104" t="n"/>
      <c r="G813" s="104" t="n"/>
      <c r="H813" s="102" t="n"/>
      <c r="I813" s="105" t="n"/>
      <c r="J813" s="105" t="n"/>
      <c r="K813" s="103" t="n"/>
      <c r="L813" s="103" t="n"/>
      <c r="M813" s="106" t="str">
        <f>IF(OR(D813="",E813=""),"",D813+IF(E813="NOTIFICAÇÃO DE CONSTATAÇÃO",PrazoConst,PrazoEsc))</f>
        <v/>
      </c>
      <c r="N813" s="107" t="str">
        <f>IF(M813="","",IF(ISNUMBER(L813),M813-L813,IF(G813="DECISÃO D.P","",M813-TODAY())))</f>
        <v/>
      </c>
      <c r="O813" s="108" t="str">
        <f>IF(B813="","",IF(ISNUMBER(L813),IF(N813="","SEM DATA",IF(N813&gt;=0,"DEFESA NO PRAZO","DEFESA FORA DO PRAZO")),IF(G813="DECISÃO D.P","SEM DEFESA",IF(G813="","SEM STATUS",IF(N813="","SEM DATA",IF(N813&lt;0,"VENCIDO",IF(N813&lt;=DiasAlerta,"VENCE EM BREVE","NO PRAZO")))))))</f>
        <v/>
      </c>
      <c r="P813" s="109" t="str">
        <f>IF(D813="","",TODAY()-D813)</f>
        <v/>
      </c>
      <c r="Q813" s="102" t="n"/>
    </row>
    <row r="814" ht="18" customHeight="1">
      <c r="A814" s="101" t="n"/>
      <c r="B814" s="102" t="n"/>
      <c r="C814" s="102" t="n"/>
      <c r="D814" s="103" t="n"/>
      <c r="E814" s="102" t="n"/>
      <c r="F814" s="104" t="n"/>
      <c r="G814" s="104" t="n"/>
      <c r="H814" s="102" t="n"/>
      <c r="I814" s="105" t="n"/>
      <c r="J814" s="105" t="n"/>
      <c r="K814" s="103" t="n"/>
      <c r="L814" s="103" t="n"/>
      <c r="M814" s="106" t="str">
        <f>IF(OR(D814="",E814=""),"",D814+IF(E814="NOTIFICAÇÃO DE CONSTATAÇÃO",PrazoConst,PrazoEsc))</f>
        <v/>
      </c>
      <c r="N814" s="107" t="str">
        <f>IF(M814="","",IF(ISNUMBER(L814),M814-L814,IF(G814="DECISÃO D.P","",M814-TODAY())))</f>
        <v/>
      </c>
      <c r="O814" s="108" t="str">
        <f>IF(B814="","",IF(ISNUMBER(L814),IF(N814="","SEM DATA",IF(N814&gt;=0,"DEFESA NO PRAZO","DEFESA FORA DO PRAZO")),IF(G814="DECISÃO D.P","SEM DEFESA",IF(G814="","SEM STATUS",IF(N814="","SEM DATA",IF(N814&lt;0,"VENCIDO",IF(N814&lt;=DiasAlerta,"VENCE EM BREVE","NO PRAZO")))))))</f>
        <v/>
      </c>
      <c r="P814" s="109" t="str">
        <f>IF(D814="","",TODAY()-D814)</f>
        <v/>
      </c>
      <c r="Q814" s="102" t="n"/>
    </row>
    <row r="815" ht="18" customHeight="1">
      <c r="A815" s="101" t="n"/>
      <c r="B815" s="102" t="n"/>
      <c r="C815" s="102" t="n"/>
      <c r="D815" s="103" t="n"/>
      <c r="E815" s="102" t="n"/>
      <c r="F815" s="104" t="n"/>
      <c r="G815" s="104" t="n"/>
      <c r="H815" s="102" t="n"/>
      <c r="I815" s="105" t="n"/>
      <c r="J815" s="105" t="n"/>
      <c r="K815" s="103" t="n"/>
      <c r="L815" s="103" t="n"/>
      <c r="M815" s="106" t="str">
        <f>IF(OR(D815="",E815=""),"",D815+IF(E815="NOTIFICAÇÃO DE CONSTATAÇÃO",PrazoConst,PrazoEsc))</f>
        <v/>
      </c>
      <c r="N815" s="107" t="str">
        <f>IF(M815="","",IF(ISNUMBER(L815),M815-L815,IF(G815="DECISÃO D.P","",M815-TODAY())))</f>
        <v/>
      </c>
      <c r="O815" s="108" t="str">
        <f>IF(B815="","",IF(ISNUMBER(L815),IF(N815="","SEM DATA",IF(N815&gt;=0,"DEFESA NO PRAZO","DEFESA FORA DO PRAZO")),IF(G815="DECISÃO D.P","SEM DEFESA",IF(G815="","SEM STATUS",IF(N815="","SEM DATA",IF(N815&lt;0,"VENCIDO",IF(N815&lt;=DiasAlerta,"VENCE EM BREVE","NO PRAZO")))))))</f>
        <v/>
      </c>
      <c r="P815" s="109" t="str">
        <f>IF(D815="","",TODAY()-D815)</f>
        <v/>
      </c>
      <c r="Q815" s="102" t="n"/>
    </row>
    <row r="816" ht="18" customHeight="1">
      <c r="A816" s="101" t="n"/>
      <c r="B816" s="102" t="n"/>
      <c r="C816" s="102" t="n"/>
      <c r="D816" s="103" t="n"/>
      <c r="E816" s="102" t="n"/>
      <c r="F816" s="104" t="n"/>
      <c r="G816" s="104" t="n"/>
      <c r="H816" s="102" t="n"/>
      <c r="I816" s="105" t="n"/>
      <c r="J816" s="105" t="n"/>
      <c r="K816" s="103" t="n"/>
      <c r="L816" s="103" t="n"/>
      <c r="M816" s="106" t="str">
        <f>IF(OR(D816="",E816=""),"",D816+IF(E816="NOTIFICAÇÃO DE CONSTATAÇÃO",PrazoConst,PrazoEsc))</f>
        <v/>
      </c>
      <c r="N816" s="107" t="str">
        <f>IF(M816="","",IF(ISNUMBER(L816),M816-L816,IF(G816="DECISÃO D.P","",M816-TODAY())))</f>
        <v/>
      </c>
      <c r="O816" s="108" t="str">
        <f>IF(B816="","",IF(ISNUMBER(L816),IF(N816="","SEM DATA",IF(N816&gt;=0,"DEFESA NO PRAZO","DEFESA FORA DO PRAZO")),IF(G816="DECISÃO D.P","SEM DEFESA",IF(G816="","SEM STATUS",IF(N816="","SEM DATA",IF(N816&lt;0,"VENCIDO",IF(N816&lt;=DiasAlerta,"VENCE EM BREVE","NO PRAZO")))))))</f>
        <v/>
      </c>
      <c r="P816" s="109" t="str">
        <f>IF(D816="","",TODAY()-D816)</f>
        <v/>
      </c>
      <c r="Q816" s="102" t="n"/>
    </row>
    <row r="817" ht="18" customHeight="1">
      <c r="A817" s="101" t="n"/>
      <c r="B817" s="102" t="n"/>
      <c r="C817" s="102" t="n"/>
      <c r="D817" s="103" t="n"/>
      <c r="E817" s="102" t="n"/>
      <c r="F817" s="104" t="n"/>
      <c r="G817" s="104" t="n"/>
      <c r="H817" s="102" t="n"/>
      <c r="I817" s="105" t="n"/>
      <c r="J817" s="105" t="n"/>
      <c r="K817" s="103" t="n"/>
      <c r="L817" s="103" t="n"/>
      <c r="M817" s="106" t="str">
        <f>IF(OR(D817="",E817=""),"",D817+IF(E817="NOTIFICAÇÃO DE CONSTATAÇÃO",PrazoConst,PrazoEsc))</f>
        <v/>
      </c>
      <c r="N817" s="107" t="str">
        <f>IF(M817="","",IF(ISNUMBER(L817),M817-L817,IF(G817="DECISÃO D.P","",M817-TODAY())))</f>
        <v/>
      </c>
      <c r="O817" s="108" t="str">
        <f>IF(B817="","",IF(ISNUMBER(L817),IF(N817="","SEM DATA",IF(N817&gt;=0,"DEFESA NO PRAZO","DEFESA FORA DO PRAZO")),IF(G817="DECISÃO D.P","SEM DEFESA",IF(G817="","SEM STATUS",IF(N817="","SEM DATA",IF(N817&lt;0,"VENCIDO",IF(N817&lt;=DiasAlerta,"VENCE EM BREVE","NO PRAZO")))))))</f>
        <v/>
      </c>
      <c r="P817" s="109" t="str">
        <f>IF(D817="","",TODAY()-D817)</f>
        <v/>
      </c>
      <c r="Q817" s="102" t="n"/>
    </row>
    <row r="818" ht="18" customHeight="1">
      <c r="A818" s="101" t="n"/>
      <c r="B818" s="102" t="n"/>
      <c r="C818" s="102" t="n"/>
      <c r="D818" s="103" t="n"/>
      <c r="E818" s="102" t="n"/>
      <c r="F818" s="104" t="n"/>
      <c r="G818" s="104" t="n"/>
      <c r="H818" s="102" t="n"/>
      <c r="I818" s="105" t="n"/>
      <c r="J818" s="105" t="n"/>
      <c r="K818" s="103" t="n"/>
      <c r="L818" s="103" t="n"/>
      <c r="M818" s="106" t="str">
        <f>IF(OR(D818="",E818=""),"",D818+IF(E818="NOTIFICAÇÃO DE CONSTATAÇÃO",PrazoConst,PrazoEsc))</f>
        <v/>
      </c>
      <c r="N818" s="107" t="str">
        <f>IF(M818="","",IF(ISNUMBER(L818),M818-L818,IF(G818="DECISÃO D.P","",M818-TODAY())))</f>
        <v/>
      </c>
      <c r="O818" s="108" t="str">
        <f>IF(B818="","",IF(ISNUMBER(L818),IF(N818="","SEM DATA",IF(N818&gt;=0,"DEFESA NO PRAZO","DEFESA FORA DO PRAZO")),IF(G818="DECISÃO D.P","SEM DEFESA",IF(G818="","SEM STATUS",IF(N818="","SEM DATA",IF(N818&lt;0,"VENCIDO",IF(N818&lt;=DiasAlerta,"VENCE EM BREVE","NO PRAZO")))))))</f>
        <v/>
      </c>
      <c r="P818" s="109" t="str">
        <f>IF(D818="","",TODAY()-D818)</f>
        <v/>
      </c>
      <c r="Q818" s="102" t="n"/>
    </row>
    <row r="819" ht="18" customHeight="1">
      <c r="A819" s="101" t="n"/>
      <c r="B819" s="102" t="n"/>
      <c r="C819" s="102" t="n"/>
      <c r="D819" s="103" t="n"/>
      <c r="E819" s="102" t="n"/>
      <c r="F819" s="104" t="n"/>
      <c r="G819" s="104" t="n"/>
      <c r="H819" s="102" t="n"/>
      <c r="I819" s="105" t="n"/>
      <c r="J819" s="105" t="n"/>
      <c r="K819" s="103" t="n"/>
      <c r="L819" s="103" t="n"/>
      <c r="M819" s="106" t="str">
        <f>IF(OR(D819="",E819=""),"",D819+IF(E819="NOTIFICAÇÃO DE CONSTATAÇÃO",PrazoConst,PrazoEsc))</f>
        <v/>
      </c>
      <c r="N819" s="107" t="str">
        <f>IF(M819="","",IF(ISNUMBER(L819),M819-L819,IF(G819="DECISÃO D.P","",M819-TODAY())))</f>
        <v/>
      </c>
      <c r="O819" s="108" t="str">
        <f>IF(B819="","",IF(ISNUMBER(L819),IF(N819="","SEM DATA",IF(N819&gt;=0,"DEFESA NO PRAZO","DEFESA FORA DO PRAZO")),IF(G819="DECISÃO D.P","SEM DEFESA",IF(G819="","SEM STATUS",IF(N819="","SEM DATA",IF(N819&lt;0,"VENCIDO",IF(N819&lt;=DiasAlerta,"VENCE EM BREVE","NO PRAZO")))))))</f>
        <v/>
      </c>
      <c r="P819" s="109" t="str">
        <f>IF(D819="","",TODAY()-D819)</f>
        <v/>
      </c>
      <c r="Q819" s="102" t="n"/>
    </row>
    <row r="820" ht="18" customHeight="1">
      <c r="A820" s="101" t="n"/>
      <c r="B820" s="102" t="n"/>
      <c r="C820" s="102" t="n"/>
      <c r="D820" s="103" t="n"/>
      <c r="E820" s="102" t="n"/>
      <c r="F820" s="104" t="n"/>
      <c r="G820" s="104" t="n"/>
      <c r="H820" s="102" t="n"/>
      <c r="I820" s="105" t="n"/>
      <c r="J820" s="105" t="n"/>
      <c r="K820" s="103" t="n"/>
      <c r="L820" s="103" t="n"/>
      <c r="M820" s="106" t="str">
        <f>IF(OR(D820="",E820=""),"",D820+IF(E820="NOTIFICAÇÃO DE CONSTATAÇÃO",PrazoConst,PrazoEsc))</f>
        <v/>
      </c>
      <c r="N820" s="107" t="str">
        <f>IF(M820="","",IF(ISNUMBER(L820),M820-L820,IF(G820="DECISÃO D.P","",M820-TODAY())))</f>
        <v/>
      </c>
      <c r="O820" s="108" t="str">
        <f>IF(B820="","",IF(ISNUMBER(L820),IF(N820="","SEM DATA",IF(N820&gt;=0,"DEFESA NO PRAZO","DEFESA FORA DO PRAZO")),IF(G820="DECISÃO D.P","SEM DEFESA",IF(G820="","SEM STATUS",IF(N820="","SEM DATA",IF(N820&lt;0,"VENCIDO",IF(N820&lt;=DiasAlerta,"VENCE EM BREVE","NO PRAZO")))))))</f>
        <v/>
      </c>
      <c r="P820" s="109" t="str">
        <f>IF(D820="","",TODAY()-D820)</f>
        <v/>
      </c>
      <c r="Q820" s="102" t="n"/>
    </row>
    <row r="821" ht="18" customHeight="1">
      <c r="A821" s="101" t="n"/>
      <c r="B821" s="102" t="n"/>
      <c r="C821" s="102" t="n"/>
      <c r="D821" s="103" t="n"/>
      <c r="E821" s="102" t="n"/>
      <c r="F821" s="104" t="n"/>
      <c r="G821" s="104" t="n"/>
      <c r="H821" s="102" t="n"/>
      <c r="I821" s="105" t="n"/>
      <c r="J821" s="105" t="n"/>
      <c r="K821" s="103" t="n"/>
      <c r="L821" s="103" t="n"/>
      <c r="M821" s="106" t="str">
        <f>IF(OR(D821="",E821=""),"",D821+IF(E821="NOTIFICAÇÃO DE CONSTATAÇÃO",PrazoConst,PrazoEsc))</f>
        <v/>
      </c>
      <c r="N821" s="107" t="str">
        <f>IF(M821="","",IF(ISNUMBER(L821),M821-L821,IF(G821="DECISÃO D.P","",M821-TODAY())))</f>
        <v/>
      </c>
      <c r="O821" s="108" t="str">
        <f>IF(B821="","",IF(ISNUMBER(L821),IF(N821="","SEM DATA",IF(N821&gt;=0,"DEFESA NO PRAZO","DEFESA FORA DO PRAZO")),IF(G821="DECISÃO D.P","SEM DEFESA",IF(G821="","SEM STATUS",IF(N821="","SEM DATA",IF(N821&lt;0,"VENCIDO",IF(N821&lt;=DiasAlerta,"VENCE EM BREVE","NO PRAZO")))))))</f>
        <v/>
      </c>
      <c r="P821" s="109" t="str">
        <f>IF(D821="","",TODAY()-D821)</f>
        <v/>
      </c>
      <c r="Q821" s="102" t="n"/>
    </row>
    <row r="822" ht="18" customHeight="1">
      <c r="A822" s="101" t="n"/>
      <c r="B822" s="102" t="n"/>
      <c r="C822" s="102" t="n"/>
      <c r="D822" s="103" t="n"/>
      <c r="E822" s="102" t="n"/>
      <c r="F822" s="104" t="n"/>
      <c r="G822" s="104" t="n"/>
      <c r="H822" s="102" t="n"/>
      <c r="I822" s="105" t="n"/>
      <c r="J822" s="105" t="n"/>
      <c r="K822" s="103" t="n"/>
      <c r="L822" s="103" t="n"/>
      <c r="M822" s="106" t="str">
        <f>IF(OR(D822="",E822=""),"",D822+IF(E822="NOTIFICAÇÃO DE CONSTATAÇÃO",PrazoConst,PrazoEsc))</f>
        <v/>
      </c>
      <c r="N822" s="107" t="str">
        <f>IF(M822="","",IF(ISNUMBER(L822),M822-L822,IF(G822="DECISÃO D.P","",M822-TODAY())))</f>
        <v/>
      </c>
      <c r="O822" s="108" t="str">
        <f>IF(B822="","",IF(ISNUMBER(L822),IF(N822="","SEM DATA",IF(N822&gt;=0,"DEFESA NO PRAZO","DEFESA FORA DO PRAZO")),IF(G822="DECISÃO D.P","SEM DEFESA",IF(G822="","SEM STATUS",IF(N822="","SEM DATA",IF(N822&lt;0,"VENCIDO",IF(N822&lt;=DiasAlerta,"VENCE EM BREVE","NO PRAZO")))))))</f>
        <v/>
      </c>
      <c r="P822" s="109" t="str">
        <f>IF(D822="","",TODAY()-D822)</f>
        <v/>
      </c>
      <c r="Q822" s="102" t="n"/>
    </row>
    <row r="823" ht="18" customHeight="1">
      <c r="A823" s="101" t="n"/>
      <c r="B823" s="102" t="n"/>
      <c r="C823" s="102" t="n"/>
      <c r="D823" s="103" t="n"/>
      <c r="E823" s="102" t="n"/>
      <c r="F823" s="104" t="n"/>
      <c r="G823" s="104" t="n"/>
      <c r="H823" s="102" t="n"/>
      <c r="I823" s="105" t="n"/>
      <c r="J823" s="105" t="n"/>
      <c r="K823" s="103" t="n"/>
      <c r="L823" s="103" t="n"/>
      <c r="M823" s="106" t="str">
        <f>IF(OR(D823="",E823=""),"",D823+IF(E823="NOTIFICAÇÃO DE CONSTATAÇÃO",PrazoConst,PrazoEsc))</f>
        <v/>
      </c>
      <c r="N823" s="107" t="str">
        <f>IF(M823="","",IF(ISNUMBER(L823),M823-L823,IF(G823="DECISÃO D.P","",M823-TODAY())))</f>
        <v/>
      </c>
      <c r="O823" s="108" t="str">
        <f>IF(B823="","",IF(ISNUMBER(L823),IF(N823="","SEM DATA",IF(N823&gt;=0,"DEFESA NO PRAZO","DEFESA FORA DO PRAZO")),IF(G823="DECISÃO D.P","SEM DEFESA",IF(G823="","SEM STATUS",IF(N823="","SEM DATA",IF(N823&lt;0,"VENCIDO",IF(N823&lt;=DiasAlerta,"VENCE EM BREVE","NO PRAZO")))))))</f>
        <v/>
      </c>
      <c r="P823" s="109" t="str">
        <f>IF(D823="","",TODAY()-D823)</f>
        <v/>
      </c>
      <c r="Q823" s="102" t="n"/>
    </row>
    <row r="824" ht="18" customHeight="1">
      <c r="A824" s="101" t="n"/>
      <c r="B824" s="102" t="n"/>
      <c r="C824" s="102" t="n"/>
      <c r="D824" s="103" t="n"/>
      <c r="E824" s="102" t="n"/>
      <c r="F824" s="104" t="n"/>
      <c r="G824" s="104" t="n"/>
      <c r="H824" s="102" t="n"/>
      <c r="I824" s="105" t="n"/>
      <c r="J824" s="105" t="n"/>
      <c r="K824" s="103" t="n"/>
      <c r="L824" s="103" t="n"/>
      <c r="M824" s="106" t="str">
        <f>IF(OR(D824="",E824=""),"",D824+IF(E824="NOTIFICAÇÃO DE CONSTATAÇÃO",PrazoConst,PrazoEsc))</f>
        <v/>
      </c>
      <c r="N824" s="107" t="str">
        <f>IF(M824="","",IF(ISNUMBER(L824),M824-L824,IF(G824="DECISÃO D.P","",M824-TODAY())))</f>
        <v/>
      </c>
      <c r="O824" s="108" t="str">
        <f>IF(B824="","",IF(ISNUMBER(L824),IF(N824="","SEM DATA",IF(N824&gt;=0,"DEFESA NO PRAZO","DEFESA FORA DO PRAZO")),IF(G824="DECISÃO D.P","SEM DEFESA",IF(G824="","SEM STATUS",IF(N824="","SEM DATA",IF(N824&lt;0,"VENCIDO",IF(N824&lt;=DiasAlerta,"VENCE EM BREVE","NO PRAZO")))))))</f>
        <v/>
      </c>
      <c r="P824" s="109" t="str">
        <f>IF(D824="","",TODAY()-D824)</f>
        <v/>
      </c>
      <c r="Q824" s="102" t="n"/>
    </row>
    <row r="825" ht="18" customHeight="1">
      <c r="A825" s="101" t="n"/>
      <c r="B825" s="102" t="n"/>
      <c r="C825" s="102" t="n"/>
      <c r="D825" s="103" t="n"/>
      <c r="E825" s="102" t="n"/>
      <c r="F825" s="104" t="n"/>
      <c r="G825" s="104" t="n"/>
      <c r="H825" s="102" t="n"/>
      <c r="I825" s="105" t="n"/>
      <c r="J825" s="105" t="n"/>
      <c r="K825" s="103" t="n"/>
      <c r="L825" s="103" t="n"/>
      <c r="M825" s="106" t="str">
        <f>IF(OR(D825="",E825=""),"",D825+IF(E825="NOTIFICAÇÃO DE CONSTATAÇÃO",PrazoConst,PrazoEsc))</f>
        <v/>
      </c>
      <c r="N825" s="107" t="str">
        <f>IF(M825="","",IF(ISNUMBER(L825),M825-L825,IF(G825="DECISÃO D.P","",M825-TODAY())))</f>
        <v/>
      </c>
      <c r="O825" s="108" t="str">
        <f>IF(B825="","",IF(ISNUMBER(L825),IF(N825="","SEM DATA",IF(N825&gt;=0,"DEFESA NO PRAZO","DEFESA FORA DO PRAZO")),IF(G825="DECISÃO D.P","SEM DEFESA",IF(G825="","SEM STATUS",IF(N825="","SEM DATA",IF(N825&lt;0,"VENCIDO",IF(N825&lt;=DiasAlerta,"VENCE EM BREVE","NO PRAZO")))))))</f>
        <v/>
      </c>
      <c r="P825" s="109" t="str">
        <f>IF(D825="","",TODAY()-D825)</f>
        <v/>
      </c>
      <c r="Q825" s="102" t="n"/>
    </row>
    <row r="826" ht="18" customHeight="1">
      <c r="A826" s="101" t="n"/>
      <c r="B826" s="102" t="n"/>
      <c r="C826" s="102" t="n"/>
      <c r="D826" s="103" t="n"/>
      <c r="E826" s="102" t="n"/>
      <c r="F826" s="104" t="n"/>
      <c r="G826" s="104" t="n"/>
      <c r="H826" s="102" t="n"/>
      <c r="I826" s="105" t="n"/>
      <c r="J826" s="105" t="n"/>
      <c r="K826" s="103" t="n"/>
      <c r="L826" s="103" t="n"/>
      <c r="M826" s="106" t="str">
        <f>IF(OR(D826="",E826=""),"",D826+IF(E826="NOTIFICAÇÃO DE CONSTATAÇÃO",PrazoConst,PrazoEsc))</f>
        <v/>
      </c>
      <c r="N826" s="107" t="str">
        <f>IF(M826="","",IF(ISNUMBER(L826),M826-L826,IF(G826="DECISÃO D.P","",M826-TODAY())))</f>
        <v/>
      </c>
      <c r="O826" s="108" t="str">
        <f>IF(B826="","",IF(ISNUMBER(L826),IF(N826="","SEM DATA",IF(N826&gt;=0,"DEFESA NO PRAZO","DEFESA FORA DO PRAZO")),IF(G826="DECISÃO D.P","SEM DEFESA",IF(G826="","SEM STATUS",IF(N826="","SEM DATA",IF(N826&lt;0,"VENCIDO",IF(N826&lt;=DiasAlerta,"VENCE EM BREVE","NO PRAZO")))))))</f>
        <v/>
      </c>
      <c r="P826" s="109" t="str">
        <f>IF(D826="","",TODAY()-D826)</f>
        <v/>
      </c>
      <c r="Q826" s="102" t="n"/>
    </row>
    <row r="827" ht="18" customHeight="1">
      <c r="A827" s="101" t="n"/>
      <c r="B827" s="102" t="n"/>
      <c r="C827" s="102" t="n"/>
      <c r="D827" s="103" t="n"/>
      <c r="E827" s="102" t="n"/>
      <c r="F827" s="104" t="n"/>
      <c r="G827" s="104" t="n"/>
      <c r="H827" s="102" t="n"/>
      <c r="I827" s="105" t="n"/>
      <c r="J827" s="105" t="n"/>
      <c r="K827" s="103" t="n"/>
      <c r="L827" s="103" t="n"/>
      <c r="M827" s="106" t="str">
        <f>IF(OR(D827="",E827=""),"",D827+IF(E827="NOTIFICAÇÃO DE CONSTATAÇÃO",PrazoConst,PrazoEsc))</f>
        <v/>
      </c>
      <c r="N827" s="107" t="str">
        <f>IF(M827="","",IF(ISNUMBER(L827),M827-L827,IF(G827="DECISÃO D.P","",M827-TODAY())))</f>
        <v/>
      </c>
      <c r="O827" s="108" t="str">
        <f>IF(B827="","",IF(ISNUMBER(L827),IF(N827="","SEM DATA",IF(N827&gt;=0,"DEFESA NO PRAZO","DEFESA FORA DO PRAZO")),IF(G827="DECISÃO D.P","SEM DEFESA",IF(G827="","SEM STATUS",IF(N827="","SEM DATA",IF(N827&lt;0,"VENCIDO",IF(N827&lt;=DiasAlerta,"VENCE EM BREVE","NO PRAZO")))))))</f>
        <v/>
      </c>
      <c r="P827" s="109" t="str">
        <f>IF(D827="","",TODAY()-D827)</f>
        <v/>
      </c>
      <c r="Q827" s="102" t="n"/>
    </row>
    <row r="828" ht="18" customHeight="1">
      <c r="A828" s="101" t="n"/>
      <c r="B828" s="102" t="n"/>
      <c r="C828" s="102" t="n"/>
      <c r="D828" s="103" t="n"/>
      <c r="E828" s="102" t="n"/>
      <c r="F828" s="104" t="n"/>
      <c r="G828" s="104" t="n"/>
      <c r="H828" s="102" t="n"/>
      <c r="I828" s="105" t="n"/>
      <c r="J828" s="105" t="n"/>
      <c r="K828" s="103" t="n"/>
      <c r="L828" s="103" t="n"/>
      <c r="M828" s="106" t="str">
        <f>IF(OR(D828="",E828=""),"",D828+IF(E828="NOTIFICAÇÃO DE CONSTATAÇÃO",PrazoConst,PrazoEsc))</f>
        <v/>
      </c>
      <c r="N828" s="107" t="str">
        <f>IF(M828="","",IF(ISNUMBER(L828),M828-L828,IF(G828="DECISÃO D.P","",M828-TODAY())))</f>
        <v/>
      </c>
      <c r="O828" s="108" t="str">
        <f>IF(B828="","",IF(ISNUMBER(L828),IF(N828="","SEM DATA",IF(N828&gt;=0,"DEFESA NO PRAZO","DEFESA FORA DO PRAZO")),IF(G828="DECISÃO D.P","SEM DEFESA",IF(G828="","SEM STATUS",IF(N828="","SEM DATA",IF(N828&lt;0,"VENCIDO",IF(N828&lt;=DiasAlerta,"VENCE EM BREVE","NO PRAZO")))))))</f>
        <v/>
      </c>
      <c r="P828" s="109" t="str">
        <f>IF(D828="","",TODAY()-D828)</f>
        <v/>
      </c>
      <c r="Q828" s="102" t="n"/>
    </row>
    <row r="829" ht="18" customHeight="1">
      <c r="A829" s="101" t="n"/>
      <c r="B829" s="102" t="n"/>
      <c r="C829" s="102" t="n"/>
      <c r="D829" s="103" t="n"/>
      <c r="E829" s="102" t="n"/>
      <c r="F829" s="104" t="n"/>
      <c r="G829" s="104" t="n"/>
      <c r="H829" s="102" t="n"/>
      <c r="I829" s="105" t="n"/>
      <c r="J829" s="105" t="n"/>
      <c r="K829" s="103" t="n"/>
      <c r="L829" s="103" t="n"/>
      <c r="M829" s="106" t="str">
        <f>IF(OR(D829="",E829=""),"",D829+IF(E829="NOTIFICAÇÃO DE CONSTATAÇÃO",PrazoConst,PrazoEsc))</f>
        <v/>
      </c>
      <c r="N829" s="107" t="str">
        <f>IF(M829="","",IF(ISNUMBER(L829),M829-L829,IF(G829="DECISÃO D.P","",M829-TODAY())))</f>
        <v/>
      </c>
      <c r="O829" s="108" t="str">
        <f>IF(B829="","",IF(ISNUMBER(L829),IF(N829="","SEM DATA",IF(N829&gt;=0,"DEFESA NO PRAZO","DEFESA FORA DO PRAZO")),IF(G829="DECISÃO D.P","SEM DEFESA",IF(G829="","SEM STATUS",IF(N829="","SEM DATA",IF(N829&lt;0,"VENCIDO",IF(N829&lt;=DiasAlerta,"VENCE EM BREVE","NO PRAZO")))))))</f>
        <v/>
      </c>
      <c r="P829" s="109" t="str">
        <f>IF(D829="","",TODAY()-D829)</f>
        <v/>
      </c>
      <c r="Q829" s="102" t="n"/>
    </row>
    <row r="830" ht="18" customHeight="1">
      <c r="A830" s="101" t="n"/>
      <c r="B830" s="102" t="n"/>
      <c r="C830" s="102" t="n"/>
      <c r="D830" s="103" t="n"/>
      <c r="E830" s="102" t="n"/>
      <c r="F830" s="104" t="n"/>
      <c r="G830" s="104" t="n"/>
      <c r="H830" s="102" t="n"/>
      <c r="I830" s="105" t="n"/>
      <c r="J830" s="105" t="n"/>
      <c r="K830" s="103" t="n"/>
      <c r="L830" s="103" t="n"/>
      <c r="M830" s="106" t="str">
        <f>IF(OR(D830="",E830=""),"",D830+IF(E830="NOTIFICAÇÃO DE CONSTATAÇÃO",PrazoConst,PrazoEsc))</f>
        <v/>
      </c>
      <c r="N830" s="107" t="str">
        <f>IF(M830="","",IF(ISNUMBER(L830),M830-L830,IF(G830="DECISÃO D.P","",M830-TODAY())))</f>
        <v/>
      </c>
      <c r="O830" s="108" t="str">
        <f>IF(B830="","",IF(ISNUMBER(L830),IF(N830="","SEM DATA",IF(N830&gt;=0,"DEFESA NO PRAZO","DEFESA FORA DO PRAZO")),IF(G830="DECISÃO D.P","SEM DEFESA",IF(G830="","SEM STATUS",IF(N830="","SEM DATA",IF(N830&lt;0,"VENCIDO",IF(N830&lt;=DiasAlerta,"VENCE EM BREVE","NO PRAZO")))))))</f>
        <v/>
      </c>
      <c r="P830" s="109" t="str">
        <f>IF(D830="","",TODAY()-D830)</f>
        <v/>
      </c>
      <c r="Q830" s="102" t="n"/>
    </row>
    <row r="831" ht="18" customHeight="1">
      <c r="A831" s="101" t="n"/>
      <c r="B831" s="102" t="n"/>
      <c r="C831" s="102" t="n"/>
      <c r="D831" s="103" t="n"/>
      <c r="E831" s="102" t="n"/>
      <c r="F831" s="104" t="n"/>
      <c r="G831" s="104" t="n"/>
      <c r="H831" s="102" t="n"/>
      <c r="I831" s="105" t="n"/>
      <c r="J831" s="105" t="n"/>
      <c r="K831" s="103" t="n"/>
      <c r="L831" s="103" t="n"/>
      <c r="M831" s="106" t="str">
        <f>IF(OR(D831="",E831=""),"",D831+IF(E831="NOTIFICAÇÃO DE CONSTATAÇÃO",PrazoConst,PrazoEsc))</f>
        <v/>
      </c>
      <c r="N831" s="107" t="str">
        <f>IF(M831="","",IF(ISNUMBER(L831),M831-L831,IF(G831="DECISÃO D.P","",M831-TODAY())))</f>
        <v/>
      </c>
      <c r="O831" s="108" t="str">
        <f>IF(B831="","",IF(ISNUMBER(L831),IF(N831="","SEM DATA",IF(N831&gt;=0,"DEFESA NO PRAZO","DEFESA FORA DO PRAZO")),IF(G831="DECISÃO D.P","SEM DEFESA",IF(G831="","SEM STATUS",IF(N831="","SEM DATA",IF(N831&lt;0,"VENCIDO",IF(N831&lt;=DiasAlerta,"VENCE EM BREVE","NO PRAZO")))))))</f>
        <v/>
      </c>
      <c r="P831" s="109" t="str">
        <f>IF(D831="","",TODAY()-D831)</f>
        <v/>
      </c>
      <c r="Q831" s="102" t="n"/>
    </row>
    <row r="832" ht="18" customHeight="1">
      <c r="A832" s="101" t="n"/>
      <c r="B832" s="102" t="n"/>
      <c r="C832" s="102" t="n"/>
      <c r="D832" s="103" t="n"/>
      <c r="E832" s="102" t="n"/>
      <c r="F832" s="104" t="n"/>
      <c r="G832" s="104" t="n"/>
      <c r="H832" s="102" t="n"/>
      <c r="I832" s="105" t="n"/>
      <c r="J832" s="105" t="n"/>
      <c r="K832" s="103" t="n"/>
      <c r="L832" s="103" t="n"/>
      <c r="M832" s="106" t="str">
        <f>IF(OR(D832="",E832=""),"",D832+IF(E832="NOTIFICAÇÃO DE CONSTATAÇÃO",PrazoConst,PrazoEsc))</f>
        <v/>
      </c>
      <c r="N832" s="107" t="str">
        <f>IF(M832="","",IF(ISNUMBER(L832),M832-L832,IF(G832="DECISÃO D.P","",M832-TODAY())))</f>
        <v/>
      </c>
      <c r="O832" s="108" t="str">
        <f>IF(B832="","",IF(ISNUMBER(L832),IF(N832="","SEM DATA",IF(N832&gt;=0,"DEFESA NO PRAZO","DEFESA FORA DO PRAZO")),IF(G832="DECISÃO D.P","SEM DEFESA",IF(G832="","SEM STATUS",IF(N832="","SEM DATA",IF(N832&lt;0,"VENCIDO",IF(N832&lt;=DiasAlerta,"VENCE EM BREVE","NO PRAZO")))))))</f>
        <v/>
      </c>
      <c r="P832" s="109" t="str">
        <f>IF(D832="","",TODAY()-D832)</f>
        <v/>
      </c>
      <c r="Q832" s="102" t="n"/>
    </row>
    <row r="833" ht="18" customHeight="1">
      <c r="A833" s="101" t="n"/>
      <c r="B833" s="102" t="n"/>
      <c r="C833" s="102" t="n"/>
      <c r="D833" s="103" t="n"/>
      <c r="E833" s="102" t="n"/>
      <c r="F833" s="104" t="n"/>
      <c r="G833" s="104" t="n"/>
      <c r="H833" s="102" t="n"/>
      <c r="I833" s="105" t="n"/>
      <c r="J833" s="105" t="n"/>
      <c r="K833" s="103" t="n"/>
      <c r="L833" s="103" t="n"/>
      <c r="M833" s="106" t="str">
        <f>IF(OR(D833="",E833=""),"",D833+IF(E833="NOTIFICAÇÃO DE CONSTATAÇÃO",PrazoConst,PrazoEsc))</f>
        <v/>
      </c>
      <c r="N833" s="107" t="str">
        <f>IF(M833="","",IF(ISNUMBER(L833),M833-L833,IF(G833="DECISÃO D.P","",M833-TODAY())))</f>
        <v/>
      </c>
      <c r="O833" s="108" t="str">
        <f>IF(B833="","",IF(ISNUMBER(L833),IF(N833="","SEM DATA",IF(N833&gt;=0,"DEFESA NO PRAZO","DEFESA FORA DO PRAZO")),IF(G833="DECISÃO D.P","SEM DEFESA",IF(G833="","SEM STATUS",IF(N833="","SEM DATA",IF(N833&lt;0,"VENCIDO",IF(N833&lt;=DiasAlerta,"VENCE EM BREVE","NO PRAZO")))))))</f>
        <v/>
      </c>
      <c r="P833" s="109" t="str">
        <f>IF(D833="","",TODAY()-D833)</f>
        <v/>
      </c>
      <c r="Q833" s="102" t="n"/>
    </row>
    <row r="834" ht="18" customHeight="1">
      <c r="A834" s="101" t="n"/>
      <c r="B834" s="102" t="n"/>
      <c r="C834" s="102" t="n"/>
      <c r="D834" s="103" t="n"/>
      <c r="E834" s="102" t="n"/>
      <c r="F834" s="104" t="n"/>
      <c r="G834" s="104" t="n"/>
      <c r="H834" s="102" t="n"/>
      <c r="I834" s="105" t="n"/>
      <c r="J834" s="105" t="n"/>
      <c r="K834" s="103" t="n"/>
      <c r="L834" s="103" t="n"/>
      <c r="M834" s="106" t="str">
        <f>IF(OR(D834="",E834=""),"",D834+IF(E834="NOTIFICAÇÃO DE CONSTATAÇÃO",PrazoConst,PrazoEsc))</f>
        <v/>
      </c>
      <c r="N834" s="107" t="str">
        <f>IF(M834="","",IF(ISNUMBER(L834),M834-L834,IF(G834="DECISÃO D.P","",M834-TODAY())))</f>
        <v/>
      </c>
      <c r="O834" s="108" t="str">
        <f>IF(B834="","",IF(ISNUMBER(L834),IF(N834="","SEM DATA",IF(N834&gt;=0,"DEFESA NO PRAZO","DEFESA FORA DO PRAZO")),IF(G834="DECISÃO D.P","SEM DEFESA",IF(G834="","SEM STATUS",IF(N834="","SEM DATA",IF(N834&lt;0,"VENCIDO",IF(N834&lt;=DiasAlerta,"VENCE EM BREVE","NO PRAZO")))))))</f>
        <v/>
      </c>
      <c r="P834" s="109" t="str">
        <f>IF(D834="","",TODAY()-D834)</f>
        <v/>
      </c>
      <c r="Q834" s="102" t="n"/>
    </row>
    <row r="835" ht="18" customHeight="1">
      <c r="A835" s="101" t="n"/>
      <c r="B835" s="102" t="n"/>
      <c r="C835" s="102" t="n"/>
      <c r="D835" s="103" t="n"/>
      <c r="E835" s="102" t="n"/>
      <c r="F835" s="104" t="n"/>
      <c r="G835" s="104" t="n"/>
      <c r="H835" s="102" t="n"/>
      <c r="I835" s="105" t="n"/>
      <c r="J835" s="105" t="n"/>
      <c r="K835" s="103" t="n"/>
      <c r="L835" s="103" t="n"/>
      <c r="M835" s="106" t="str">
        <f>IF(OR(D835="",E835=""),"",D835+IF(E835="NOTIFICAÇÃO DE CONSTATAÇÃO",PrazoConst,PrazoEsc))</f>
        <v/>
      </c>
      <c r="N835" s="107" t="str">
        <f>IF(M835="","",IF(ISNUMBER(L835),M835-L835,IF(G835="DECISÃO D.P","",M835-TODAY())))</f>
        <v/>
      </c>
      <c r="O835" s="108" t="str">
        <f>IF(B835="","",IF(ISNUMBER(L835),IF(N835="","SEM DATA",IF(N835&gt;=0,"DEFESA NO PRAZO","DEFESA FORA DO PRAZO")),IF(G835="DECISÃO D.P","SEM DEFESA",IF(G835="","SEM STATUS",IF(N835="","SEM DATA",IF(N835&lt;0,"VENCIDO",IF(N835&lt;=DiasAlerta,"VENCE EM BREVE","NO PRAZO")))))))</f>
        <v/>
      </c>
      <c r="P835" s="109" t="str">
        <f>IF(D835="","",TODAY()-D835)</f>
        <v/>
      </c>
      <c r="Q835" s="102" t="n"/>
    </row>
    <row r="836" ht="18" customHeight="1">
      <c r="A836" s="101" t="n"/>
      <c r="B836" s="102" t="n"/>
      <c r="C836" s="102" t="n"/>
      <c r="D836" s="103" t="n"/>
      <c r="E836" s="102" t="n"/>
      <c r="F836" s="104" t="n"/>
      <c r="G836" s="104" t="n"/>
      <c r="H836" s="102" t="n"/>
      <c r="I836" s="105" t="n"/>
      <c r="J836" s="105" t="n"/>
      <c r="K836" s="103" t="n"/>
      <c r="L836" s="103" t="n"/>
      <c r="M836" s="106" t="str">
        <f>IF(OR(D836="",E836=""),"",D836+IF(E836="NOTIFICAÇÃO DE CONSTATAÇÃO",PrazoConst,PrazoEsc))</f>
        <v/>
      </c>
      <c r="N836" s="107" t="str">
        <f>IF(M836="","",IF(ISNUMBER(L836),M836-L836,IF(G836="DECISÃO D.P","",M836-TODAY())))</f>
        <v/>
      </c>
      <c r="O836" s="108" t="str">
        <f>IF(B836="","",IF(ISNUMBER(L836),IF(N836="","SEM DATA",IF(N836&gt;=0,"DEFESA NO PRAZO","DEFESA FORA DO PRAZO")),IF(G836="DECISÃO D.P","SEM DEFESA",IF(G836="","SEM STATUS",IF(N836="","SEM DATA",IF(N836&lt;0,"VENCIDO",IF(N836&lt;=DiasAlerta,"VENCE EM BREVE","NO PRAZO")))))))</f>
        <v/>
      </c>
      <c r="P836" s="109" t="str">
        <f>IF(D836="","",TODAY()-D836)</f>
        <v/>
      </c>
      <c r="Q836" s="102" t="n"/>
    </row>
    <row r="837" ht="18" customHeight="1">
      <c r="A837" s="101" t="n"/>
      <c r="B837" s="102" t="n"/>
      <c r="C837" s="102" t="n"/>
      <c r="D837" s="103" t="n"/>
      <c r="E837" s="102" t="n"/>
      <c r="F837" s="104" t="n"/>
      <c r="G837" s="104" t="n"/>
      <c r="H837" s="102" t="n"/>
      <c r="I837" s="105" t="n"/>
      <c r="J837" s="105" t="n"/>
      <c r="K837" s="103" t="n"/>
      <c r="L837" s="103" t="n"/>
      <c r="M837" s="106" t="str">
        <f>IF(OR(D837="",E837=""),"",D837+IF(E837="NOTIFICAÇÃO DE CONSTATAÇÃO",PrazoConst,PrazoEsc))</f>
        <v/>
      </c>
      <c r="N837" s="107" t="str">
        <f>IF(M837="","",IF(ISNUMBER(L837),M837-L837,IF(G837="DECISÃO D.P","",M837-TODAY())))</f>
        <v/>
      </c>
      <c r="O837" s="108" t="str">
        <f>IF(B837="","",IF(ISNUMBER(L837),IF(N837="","SEM DATA",IF(N837&gt;=0,"DEFESA NO PRAZO","DEFESA FORA DO PRAZO")),IF(G837="DECISÃO D.P","SEM DEFESA",IF(G837="","SEM STATUS",IF(N837="","SEM DATA",IF(N837&lt;0,"VENCIDO",IF(N837&lt;=DiasAlerta,"VENCE EM BREVE","NO PRAZO")))))))</f>
        <v/>
      </c>
      <c r="P837" s="109" t="str">
        <f>IF(D837="","",TODAY()-D837)</f>
        <v/>
      </c>
      <c r="Q837" s="102" t="n"/>
    </row>
    <row r="838" ht="18" customHeight="1">
      <c r="A838" s="101" t="n"/>
      <c r="B838" s="102" t="n"/>
      <c r="C838" s="102" t="n"/>
      <c r="D838" s="103" t="n"/>
      <c r="E838" s="102" t="n"/>
      <c r="F838" s="104" t="n"/>
      <c r="G838" s="104" t="n"/>
      <c r="H838" s="102" t="n"/>
      <c r="I838" s="105" t="n"/>
      <c r="J838" s="105" t="n"/>
      <c r="K838" s="103" t="n"/>
      <c r="L838" s="103" t="n"/>
      <c r="M838" s="106" t="str">
        <f>IF(OR(D838="",E838=""),"",D838+IF(E838="NOTIFICAÇÃO DE CONSTATAÇÃO",PrazoConst,PrazoEsc))</f>
        <v/>
      </c>
      <c r="N838" s="107" t="str">
        <f>IF(M838="","",IF(ISNUMBER(L838),M838-L838,IF(G838="DECISÃO D.P","",M838-TODAY())))</f>
        <v/>
      </c>
      <c r="O838" s="108" t="str">
        <f>IF(B838="","",IF(ISNUMBER(L838),IF(N838="","SEM DATA",IF(N838&gt;=0,"DEFESA NO PRAZO","DEFESA FORA DO PRAZO")),IF(G838="DECISÃO D.P","SEM DEFESA",IF(G838="","SEM STATUS",IF(N838="","SEM DATA",IF(N838&lt;0,"VENCIDO",IF(N838&lt;=DiasAlerta,"VENCE EM BREVE","NO PRAZO")))))))</f>
        <v/>
      </c>
      <c r="P838" s="109" t="str">
        <f>IF(D838="","",TODAY()-D838)</f>
        <v/>
      </c>
      <c r="Q838" s="102" t="n"/>
    </row>
    <row r="839" ht="18" customHeight="1">
      <c r="A839" s="101" t="n"/>
      <c r="B839" s="102" t="n"/>
      <c r="C839" s="102" t="n"/>
      <c r="D839" s="103" t="n"/>
      <c r="E839" s="102" t="n"/>
      <c r="F839" s="104" t="n"/>
      <c r="G839" s="104" t="n"/>
      <c r="H839" s="102" t="n"/>
      <c r="I839" s="105" t="n"/>
      <c r="J839" s="105" t="n"/>
      <c r="K839" s="103" t="n"/>
      <c r="L839" s="103" t="n"/>
      <c r="M839" s="106" t="str">
        <f>IF(OR(D839="",E839=""),"",D839+IF(E839="NOTIFICAÇÃO DE CONSTATAÇÃO",PrazoConst,PrazoEsc))</f>
        <v/>
      </c>
      <c r="N839" s="107" t="str">
        <f>IF(M839="","",IF(ISNUMBER(L839),M839-L839,IF(G839="DECISÃO D.P","",M839-TODAY())))</f>
        <v/>
      </c>
      <c r="O839" s="108" t="str">
        <f>IF(B839="","",IF(ISNUMBER(L839),IF(N839="","SEM DATA",IF(N839&gt;=0,"DEFESA NO PRAZO","DEFESA FORA DO PRAZO")),IF(G839="DECISÃO D.P","SEM DEFESA",IF(G839="","SEM STATUS",IF(N839="","SEM DATA",IF(N839&lt;0,"VENCIDO",IF(N839&lt;=DiasAlerta,"VENCE EM BREVE","NO PRAZO")))))))</f>
        <v/>
      </c>
      <c r="P839" s="109" t="str">
        <f>IF(D839="","",TODAY()-D839)</f>
        <v/>
      </c>
      <c r="Q839" s="102" t="n"/>
    </row>
    <row r="840" ht="18" customHeight="1">
      <c r="A840" s="101" t="n"/>
      <c r="B840" s="102" t="n"/>
      <c r="C840" s="102" t="n"/>
      <c r="D840" s="103" t="n"/>
      <c r="E840" s="102" t="n"/>
      <c r="F840" s="104" t="n"/>
      <c r="G840" s="104" t="n"/>
      <c r="H840" s="102" t="n"/>
      <c r="I840" s="105" t="n"/>
      <c r="J840" s="105" t="n"/>
      <c r="K840" s="103" t="n"/>
      <c r="L840" s="103" t="n"/>
      <c r="M840" s="106" t="str">
        <f>IF(OR(D840="",E840=""),"",D840+IF(E840="NOTIFICAÇÃO DE CONSTATAÇÃO",PrazoConst,PrazoEsc))</f>
        <v/>
      </c>
      <c r="N840" s="107" t="str">
        <f>IF(M840="","",IF(ISNUMBER(L840),M840-L840,IF(G840="DECISÃO D.P","",M840-TODAY())))</f>
        <v/>
      </c>
      <c r="O840" s="108" t="str">
        <f>IF(B840="","",IF(ISNUMBER(L840),IF(N840="","SEM DATA",IF(N840&gt;=0,"DEFESA NO PRAZO","DEFESA FORA DO PRAZO")),IF(G840="DECISÃO D.P","SEM DEFESA",IF(G840="","SEM STATUS",IF(N840="","SEM DATA",IF(N840&lt;0,"VENCIDO",IF(N840&lt;=DiasAlerta,"VENCE EM BREVE","NO PRAZO")))))))</f>
        <v/>
      </c>
      <c r="P840" s="109" t="str">
        <f>IF(D840="","",TODAY()-D840)</f>
        <v/>
      </c>
      <c r="Q840" s="102" t="n"/>
    </row>
    <row r="841" ht="18" customHeight="1">
      <c r="A841" s="101" t="n"/>
      <c r="B841" s="102" t="n"/>
      <c r="C841" s="102" t="n"/>
      <c r="D841" s="103" t="n"/>
      <c r="E841" s="102" t="n"/>
      <c r="F841" s="104" t="n"/>
      <c r="G841" s="104" t="n"/>
      <c r="H841" s="102" t="n"/>
      <c r="I841" s="105" t="n"/>
      <c r="J841" s="105" t="n"/>
      <c r="K841" s="103" t="n"/>
      <c r="L841" s="103" t="n"/>
      <c r="M841" s="106" t="str">
        <f>IF(OR(D841="",E841=""),"",D841+IF(E841="NOTIFICAÇÃO DE CONSTATAÇÃO",PrazoConst,PrazoEsc))</f>
        <v/>
      </c>
      <c r="N841" s="107" t="str">
        <f>IF(M841="","",IF(ISNUMBER(L841),M841-L841,IF(G841="DECISÃO D.P","",M841-TODAY())))</f>
        <v/>
      </c>
      <c r="O841" s="108" t="str">
        <f>IF(B841="","",IF(ISNUMBER(L841),IF(N841="","SEM DATA",IF(N841&gt;=0,"DEFESA NO PRAZO","DEFESA FORA DO PRAZO")),IF(G841="DECISÃO D.P","SEM DEFESA",IF(G841="","SEM STATUS",IF(N841="","SEM DATA",IF(N841&lt;0,"VENCIDO",IF(N841&lt;=DiasAlerta,"VENCE EM BREVE","NO PRAZO")))))))</f>
        <v/>
      </c>
      <c r="P841" s="109" t="str">
        <f>IF(D841="","",TODAY()-D841)</f>
        <v/>
      </c>
      <c r="Q841" s="102" t="n"/>
    </row>
    <row r="842" ht="18" customHeight="1">
      <c r="A842" s="101" t="n"/>
      <c r="B842" s="102" t="n"/>
      <c r="C842" s="102" t="n"/>
      <c r="D842" s="103" t="n"/>
      <c r="E842" s="102" t="n"/>
      <c r="F842" s="104" t="n"/>
      <c r="G842" s="104" t="n"/>
      <c r="H842" s="102" t="n"/>
      <c r="I842" s="105" t="n"/>
      <c r="J842" s="105" t="n"/>
      <c r="K842" s="103" t="n"/>
      <c r="L842" s="103" t="n"/>
      <c r="M842" s="106" t="str">
        <f>IF(OR(D842="",E842=""),"",D842+IF(E842="NOTIFICAÇÃO DE CONSTATAÇÃO",PrazoConst,PrazoEsc))</f>
        <v/>
      </c>
      <c r="N842" s="107" t="str">
        <f>IF(M842="","",IF(ISNUMBER(L842),M842-L842,IF(G842="DECISÃO D.P","",M842-TODAY())))</f>
        <v/>
      </c>
      <c r="O842" s="108" t="str">
        <f>IF(B842="","",IF(ISNUMBER(L842),IF(N842="","SEM DATA",IF(N842&gt;=0,"DEFESA NO PRAZO","DEFESA FORA DO PRAZO")),IF(G842="DECISÃO D.P","SEM DEFESA",IF(G842="","SEM STATUS",IF(N842="","SEM DATA",IF(N842&lt;0,"VENCIDO",IF(N842&lt;=DiasAlerta,"VENCE EM BREVE","NO PRAZO")))))))</f>
        <v/>
      </c>
      <c r="P842" s="109" t="str">
        <f>IF(D842="","",TODAY()-D842)</f>
        <v/>
      </c>
      <c r="Q842" s="102" t="n"/>
    </row>
    <row r="843" ht="18" customHeight="1">
      <c r="A843" s="101" t="n"/>
      <c r="B843" s="102" t="n"/>
      <c r="C843" s="102" t="n"/>
      <c r="D843" s="103" t="n"/>
      <c r="E843" s="102" t="n"/>
      <c r="F843" s="104" t="n"/>
      <c r="G843" s="104" t="n"/>
      <c r="H843" s="102" t="n"/>
      <c r="I843" s="105" t="n"/>
      <c r="J843" s="105" t="n"/>
      <c r="K843" s="103" t="n"/>
      <c r="L843" s="103" t="n"/>
      <c r="M843" s="106" t="str">
        <f>IF(OR(D843="",E843=""),"",D843+IF(E843="NOTIFICAÇÃO DE CONSTATAÇÃO",PrazoConst,PrazoEsc))</f>
        <v/>
      </c>
      <c r="N843" s="107" t="str">
        <f>IF(M843="","",IF(ISNUMBER(L843),M843-L843,IF(G843="DECISÃO D.P","",M843-TODAY())))</f>
        <v/>
      </c>
      <c r="O843" s="108" t="str">
        <f>IF(B843="","",IF(ISNUMBER(L843),IF(N843="","SEM DATA",IF(N843&gt;=0,"DEFESA NO PRAZO","DEFESA FORA DO PRAZO")),IF(G843="DECISÃO D.P","SEM DEFESA",IF(G843="","SEM STATUS",IF(N843="","SEM DATA",IF(N843&lt;0,"VENCIDO",IF(N843&lt;=DiasAlerta,"VENCE EM BREVE","NO PRAZO")))))))</f>
        <v/>
      </c>
      <c r="P843" s="109" t="str">
        <f>IF(D843="","",TODAY()-D843)</f>
        <v/>
      </c>
      <c r="Q843" s="102" t="n"/>
    </row>
    <row r="844" ht="18" customHeight="1">
      <c r="A844" s="101" t="n"/>
      <c r="B844" s="102" t="n"/>
      <c r="C844" s="102" t="n"/>
      <c r="D844" s="103" t="n"/>
      <c r="E844" s="102" t="n"/>
      <c r="F844" s="104" t="n"/>
      <c r="G844" s="104" t="n"/>
      <c r="H844" s="102" t="n"/>
      <c r="I844" s="105" t="n"/>
      <c r="J844" s="105" t="n"/>
      <c r="K844" s="103" t="n"/>
      <c r="L844" s="103" t="n"/>
      <c r="M844" s="106" t="str">
        <f>IF(OR(D844="",E844=""),"",D844+IF(E844="NOTIFICAÇÃO DE CONSTATAÇÃO",PrazoConst,PrazoEsc))</f>
        <v/>
      </c>
      <c r="N844" s="107" t="str">
        <f>IF(M844="","",IF(ISNUMBER(L844),M844-L844,IF(G844="DECISÃO D.P","",M844-TODAY())))</f>
        <v/>
      </c>
      <c r="O844" s="108" t="str">
        <f>IF(B844="","",IF(ISNUMBER(L844),IF(N844="","SEM DATA",IF(N844&gt;=0,"DEFESA NO PRAZO","DEFESA FORA DO PRAZO")),IF(G844="DECISÃO D.P","SEM DEFESA",IF(G844="","SEM STATUS",IF(N844="","SEM DATA",IF(N844&lt;0,"VENCIDO",IF(N844&lt;=DiasAlerta,"VENCE EM BREVE","NO PRAZO")))))))</f>
        <v/>
      </c>
      <c r="P844" s="109" t="str">
        <f>IF(D844="","",TODAY()-D844)</f>
        <v/>
      </c>
      <c r="Q844" s="102" t="n"/>
    </row>
    <row r="845" ht="18" customHeight="1">
      <c r="A845" s="101" t="n"/>
      <c r="B845" s="102" t="n"/>
      <c r="C845" s="102" t="n"/>
      <c r="D845" s="103" t="n"/>
      <c r="E845" s="102" t="n"/>
      <c r="F845" s="104" t="n"/>
      <c r="G845" s="104" t="n"/>
      <c r="H845" s="102" t="n"/>
      <c r="I845" s="105" t="n"/>
      <c r="J845" s="105" t="n"/>
      <c r="K845" s="103" t="n"/>
      <c r="L845" s="103" t="n"/>
      <c r="M845" s="106" t="str">
        <f>IF(OR(D845="",E845=""),"",D845+IF(E845="NOTIFICAÇÃO DE CONSTATAÇÃO",PrazoConst,PrazoEsc))</f>
        <v/>
      </c>
      <c r="N845" s="107" t="str">
        <f>IF(M845="","",IF(ISNUMBER(L845),M845-L845,IF(G845="DECISÃO D.P","",M845-TODAY())))</f>
        <v/>
      </c>
      <c r="O845" s="108" t="str">
        <f>IF(B845="","",IF(ISNUMBER(L845),IF(N845="","SEM DATA",IF(N845&gt;=0,"DEFESA NO PRAZO","DEFESA FORA DO PRAZO")),IF(G845="DECISÃO D.P","SEM DEFESA",IF(G845="","SEM STATUS",IF(N845="","SEM DATA",IF(N845&lt;0,"VENCIDO",IF(N845&lt;=DiasAlerta,"VENCE EM BREVE","NO PRAZO")))))))</f>
        <v/>
      </c>
      <c r="P845" s="109" t="str">
        <f>IF(D845="","",TODAY()-D845)</f>
        <v/>
      </c>
      <c r="Q845" s="102" t="n"/>
    </row>
    <row r="846" ht="18" customHeight="1">
      <c r="A846" s="101" t="n"/>
      <c r="B846" s="102" t="n"/>
      <c r="C846" s="102" t="n"/>
      <c r="D846" s="103" t="n"/>
      <c r="E846" s="102" t="n"/>
      <c r="F846" s="104" t="n"/>
      <c r="G846" s="104" t="n"/>
      <c r="H846" s="102" t="n"/>
      <c r="I846" s="105" t="n"/>
      <c r="J846" s="105" t="n"/>
      <c r="K846" s="103" t="n"/>
      <c r="L846" s="103" t="n"/>
      <c r="M846" s="106" t="str">
        <f>IF(OR(D846="",E846=""),"",D846+IF(E846="NOTIFICAÇÃO DE CONSTATAÇÃO",PrazoConst,PrazoEsc))</f>
        <v/>
      </c>
      <c r="N846" s="107" t="str">
        <f>IF(M846="","",IF(ISNUMBER(L846),M846-L846,IF(G846="DECISÃO D.P","",M846-TODAY())))</f>
        <v/>
      </c>
      <c r="O846" s="108" t="str">
        <f>IF(B846="","",IF(ISNUMBER(L846),IF(N846="","SEM DATA",IF(N846&gt;=0,"DEFESA NO PRAZO","DEFESA FORA DO PRAZO")),IF(G846="DECISÃO D.P","SEM DEFESA",IF(G846="","SEM STATUS",IF(N846="","SEM DATA",IF(N846&lt;0,"VENCIDO",IF(N846&lt;=DiasAlerta,"VENCE EM BREVE","NO PRAZO")))))))</f>
        <v/>
      </c>
      <c r="P846" s="109" t="str">
        <f>IF(D846="","",TODAY()-D846)</f>
        <v/>
      </c>
      <c r="Q846" s="102" t="n"/>
    </row>
    <row r="847" ht="18" customHeight="1">
      <c r="A847" s="101" t="n"/>
      <c r="B847" s="102" t="n"/>
      <c r="C847" s="102" t="n"/>
      <c r="D847" s="103" t="n"/>
      <c r="E847" s="102" t="n"/>
      <c r="F847" s="104" t="n"/>
      <c r="G847" s="104" t="n"/>
      <c r="H847" s="102" t="n"/>
      <c r="I847" s="105" t="n"/>
      <c r="J847" s="105" t="n"/>
      <c r="K847" s="103" t="n"/>
      <c r="L847" s="103" t="n"/>
      <c r="M847" s="106" t="str">
        <f>IF(OR(D847="",E847=""),"",D847+IF(E847="NOTIFICAÇÃO DE CONSTATAÇÃO",PrazoConst,PrazoEsc))</f>
        <v/>
      </c>
      <c r="N847" s="107" t="str">
        <f>IF(M847="","",IF(ISNUMBER(L847),M847-L847,IF(G847="DECISÃO D.P","",M847-TODAY())))</f>
        <v/>
      </c>
      <c r="O847" s="108" t="str">
        <f>IF(B847="","",IF(ISNUMBER(L847),IF(N847="","SEM DATA",IF(N847&gt;=0,"DEFESA NO PRAZO","DEFESA FORA DO PRAZO")),IF(G847="DECISÃO D.P","SEM DEFESA",IF(G847="","SEM STATUS",IF(N847="","SEM DATA",IF(N847&lt;0,"VENCIDO",IF(N847&lt;=DiasAlerta,"VENCE EM BREVE","NO PRAZO")))))))</f>
        <v/>
      </c>
      <c r="P847" s="109" t="str">
        <f>IF(D847="","",TODAY()-D847)</f>
        <v/>
      </c>
      <c r="Q847" s="102" t="n"/>
    </row>
    <row r="848" ht="18" customHeight="1">
      <c r="A848" s="101" t="n"/>
      <c r="B848" s="102" t="n"/>
      <c r="C848" s="102" t="n"/>
      <c r="D848" s="103" t="n"/>
      <c r="E848" s="102" t="n"/>
      <c r="F848" s="104" t="n"/>
      <c r="G848" s="104" t="n"/>
      <c r="H848" s="102" t="n"/>
      <c r="I848" s="105" t="n"/>
      <c r="J848" s="105" t="n"/>
      <c r="K848" s="103" t="n"/>
      <c r="L848" s="103" t="n"/>
      <c r="M848" s="106" t="str">
        <f>IF(OR(D848="",E848=""),"",D848+IF(E848="NOTIFICAÇÃO DE CONSTATAÇÃO",PrazoConst,PrazoEsc))</f>
        <v/>
      </c>
      <c r="N848" s="107" t="str">
        <f>IF(M848="","",IF(ISNUMBER(L848),M848-L848,IF(G848="DECISÃO D.P","",M848-TODAY())))</f>
        <v/>
      </c>
      <c r="O848" s="108" t="str">
        <f>IF(B848="","",IF(ISNUMBER(L848),IF(N848="","SEM DATA",IF(N848&gt;=0,"DEFESA NO PRAZO","DEFESA FORA DO PRAZO")),IF(G848="DECISÃO D.P","SEM DEFESA",IF(G848="","SEM STATUS",IF(N848="","SEM DATA",IF(N848&lt;0,"VENCIDO",IF(N848&lt;=DiasAlerta,"VENCE EM BREVE","NO PRAZO")))))))</f>
        <v/>
      </c>
      <c r="P848" s="109" t="str">
        <f>IF(D848="","",TODAY()-D848)</f>
        <v/>
      </c>
      <c r="Q848" s="102" t="n"/>
    </row>
    <row r="849" ht="18" customHeight="1">
      <c r="A849" s="101" t="n"/>
      <c r="B849" s="102" t="n"/>
      <c r="C849" s="102" t="n"/>
      <c r="D849" s="103" t="n"/>
      <c r="E849" s="102" t="n"/>
      <c r="F849" s="104" t="n"/>
      <c r="G849" s="104" t="n"/>
      <c r="H849" s="102" t="n"/>
      <c r="I849" s="105" t="n"/>
      <c r="J849" s="105" t="n"/>
      <c r="K849" s="103" t="n"/>
      <c r="L849" s="103" t="n"/>
      <c r="M849" s="106" t="str">
        <f>IF(OR(D849="",E849=""),"",D849+IF(E849="NOTIFICAÇÃO DE CONSTATAÇÃO",PrazoConst,PrazoEsc))</f>
        <v/>
      </c>
      <c r="N849" s="107" t="str">
        <f>IF(M849="","",IF(ISNUMBER(L849),M849-L849,IF(G849="DECISÃO D.P","",M849-TODAY())))</f>
        <v/>
      </c>
      <c r="O849" s="108" t="str">
        <f>IF(B849="","",IF(ISNUMBER(L849),IF(N849="","SEM DATA",IF(N849&gt;=0,"DEFESA NO PRAZO","DEFESA FORA DO PRAZO")),IF(G849="DECISÃO D.P","SEM DEFESA",IF(G849="","SEM STATUS",IF(N849="","SEM DATA",IF(N849&lt;0,"VENCIDO",IF(N849&lt;=DiasAlerta,"VENCE EM BREVE","NO PRAZO")))))))</f>
        <v/>
      </c>
      <c r="P849" s="109" t="str">
        <f>IF(D849="","",TODAY()-D849)</f>
        <v/>
      </c>
      <c r="Q849" s="102" t="n"/>
    </row>
    <row r="850" ht="18" customHeight="1">
      <c r="A850" s="101" t="n"/>
      <c r="B850" s="102" t="n"/>
      <c r="C850" s="102" t="n"/>
      <c r="D850" s="103" t="n"/>
      <c r="E850" s="102" t="n"/>
      <c r="F850" s="104" t="n"/>
      <c r="G850" s="104" t="n"/>
      <c r="H850" s="102" t="n"/>
      <c r="I850" s="105" t="n"/>
      <c r="J850" s="105" t="n"/>
      <c r="K850" s="103" t="n"/>
      <c r="L850" s="103" t="n"/>
      <c r="M850" s="106" t="str">
        <f>IF(OR(D850="",E850=""),"",D850+IF(E850="NOTIFICAÇÃO DE CONSTATAÇÃO",PrazoConst,PrazoEsc))</f>
        <v/>
      </c>
      <c r="N850" s="107" t="str">
        <f>IF(M850="","",IF(ISNUMBER(L850),M850-L850,IF(G850="DECISÃO D.P","",M850-TODAY())))</f>
        <v/>
      </c>
      <c r="O850" s="108" t="str">
        <f>IF(B850="","",IF(ISNUMBER(L850),IF(N850="","SEM DATA",IF(N850&gt;=0,"DEFESA NO PRAZO","DEFESA FORA DO PRAZO")),IF(G850="DECISÃO D.P","SEM DEFESA",IF(G850="","SEM STATUS",IF(N850="","SEM DATA",IF(N850&lt;0,"VENCIDO",IF(N850&lt;=DiasAlerta,"VENCE EM BREVE","NO PRAZO")))))))</f>
        <v/>
      </c>
      <c r="P850" s="109" t="str">
        <f>IF(D850="","",TODAY()-D850)</f>
        <v/>
      </c>
      <c r="Q850" s="102" t="n"/>
    </row>
    <row r="851" ht="18" customHeight="1">
      <c r="A851" s="101" t="n"/>
      <c r="B851" s="102" t="n"/>
      <c r="C851" s="102" t="n"/>
      <c r="D851" s="103" t="n"/>
      <c r="E851" s="102" t="n"/>
      <c r="F851" s="104" t="n"/>
      <c r="G851" s="104" t="n"/>
      <c r="H851" s="102" t="n"/>
      <c r="I851" s="105" t="n"/>
      <c r="J851" s="105" t="n"/>
      <c r="K851" s="103" t="n"/>
      <c r="L851" s="103" t="n"/>
      <c r="M851" s="106" t="str">
        <f>IF(OR(D851="",E851=""),"",D851+IF(E851="NOTIFICAÇÃO DE CONSTATAÇÃO",PrazoConst,PrazoEsc))</f>
        <v/>
      </c>
      <c r="N851" s="107" t="str">
        <f>IF(M851="","",IF(ISNUMBER(L851),M851-L851,IF(G851="DECISÃO D.P","",M851-TODAY())))</f>
        <v/>
      </c>
      <c r="O851" s="108" t="str">
        <f>IF(B851="","",IF(ISNUMBER(L851),IF(N851="","SEM DATA",IF(N851&gt;=0,"DEFESA NO PRAZO","DEFESA FORA DO PRAZO")),IF(G851="DECISÃO D.P","SEM DEFESA",IF(G851="","SEM STATUS",IF(N851="","SEM DATA",IF(N851&lt;0,"VENCIDO",IF(N851&lt;=DiasAlerta,"VENCE EM BREVE","NO PRAZO")))))))</f>
        <v/>
      </c>
      <c r="P851" s="109" t="str">
        <f>IF(D851="","",TODAY()-D851)</f>
        <v/>
      </c>
      <c r="Q851" s="102" t="n"/>
    </row>
    <row r="852" ht="18" customHeight="1">
      <c r="A852" s="101" t="n"/>
      <c r="B852" s="102" t="n"/>
      <c r="C852" s="102" t="n"/>
      <c r="D852" s="103" t="n"/>
      <c r="E852" s="102" t="n"/>
      <c r="F852" s="104" t="n"/>
      <c r="G852" s="104" t="n"/>
      <c r="H852" s="102" t="n"/>
      <c r="I852" s="105" t="n"/>
      <c r="J852" s="105" t="n"/>
      <c r="K852" s="103" t="n"/>
      <c r="L852" s="103" t="n"/>
      <c r="M852" s="106" t="str">
        <f>IF(OR(D852="",E852=""),"",D852+IF(E852="NOTIFICAÇÃO DE CONSTATAÇÃO",PrazoConst,PrazoEsc))</f>
        <v/>
      </c>
      <c r="N852" s="107" t="str">
        <f>IF(M852="","",IF(ISNUMBER(L852),M852-L852,IF(G852="DECISÃO D.P","",M852-TODAY())))</f>
        <v/>
      </c>
      <c r="O852" s="108" t="str">
        <f>IF(B852="","",IF(ISNUMBER(L852),IF(N852="","SEM DATA",IF(N852&gt;=0,"DEFESA NO PRAZO","DEFESA FORA DO PRAZO")),IF(G852="DECISÃO D.P","SEM DEFESA",IF(G852="","SEM STATUS",IF(N852="","SEM DATA",IF(N852&lt;0,"VENCIDO",IF(N852&lt;=DiasAlerta,"VENCE EM BREVE","NO PRAZO")))))))</f>
        <v/>
      </c>
      <c r="P852" s="109" t="str">
        <f>IF(D852="","",TODAY()-D852)</f>
        <v/>
      </c>
      <c r="Q852" s="102" t="n"/>
    </row>
    <row r="853" ht="18" customHeight="1">
      <c r="A853" s="101" t="n"/>
      <c r="B853" s="102" t="n"/>
      <c r="C853" s="102" t="n"/>
      <c r="D853" s="103" t="n"/>
      <c r="E853" s="102" t="n"/>
      <c r="F853" s="104" t="n"/>
      <c r="G853" s="104" t="n"/>
      <c r="H853" s="102" t="n"/>
      <c r="I853" s="105" t="n"/>
      <c r="J853" s="105" t="n"/>
      <c r="K853" s="103" t="n"/>
      <c r="L853" s="103" t="n"/>
      <c r="M853" s="106" t="str">
        <f>IF(OR(D853="",E853=""),"",D853+IF(E853="NOTIFICAÇÃO DE CONSTATAÇÃO",PrazoConst,PrazoEsc))</f>
        <v/>
      </c>
      <c r="N853" s="107" t="str">
        <f>IF(M853="","",IF(ISNUMBER(L853),M853-L853,IF(G853="DECISÃO D.P","",M853-TODAY())))</f>
        <v/>
      </c>
      <c r="O853" s="108" t="str">
        <f>IF(B853="","",IF(ISNUMBER(L853),IF(N853="","SEM DATA",IF(N853&gt;=0,"DEFESA NO PRAZO","DEFESA FORA DO PRAZO")),IF(G853="DECISÃO D.P","SEM DEFESA",IF(G853="","SEM STATUS",IF(N853="","SEM DATA",IF(N853&lt;0,"VENCIDO",IF(N853&lt;=DiasAlerta,"VENCE EM BREVE","NO PRAZO")))))))</f>
        <v/>
      </c>
      <c r="P853" s="109" t="str">
        <f>IF(D853="","",TODAY()-D853)</f>
        <v/>
      </c>
      <c r="Q853" s="102" t="n"/>
    </row>
    <row r="854" ht="18" customHeight="1">
      <c r="A854" s="101" t="n"/>
      <c r="B854" s="102" t="n"/>
      <c r="C854" s="102" t="n"/>
      <c r="D854" s="103" t="n"/>
      <c r="E854" s="102" t="n"/>
      <c r="F854" s="104" t="n"/>
      <c r="G854" s="104" t="n"/>
      <c r="H854" s="102" t="n"/>
      <c r="I854" s="105" t="n"/>
      <c r="J854" s="105" t="n"/>
      <c r="K854" s="103" t="n"/>
      <c r="L854" s="103" t="n"/>
      <c r="M854" s="106" t="str">
        <f>IF(OR(D854="",E854=""),"",D854+IF(E854="NOTIFICAÇÃO DE CONSTATAÇÃO",PrazoConst,PrazoEsc))</f>
        <v/>
      </c>
      <c r="N854" s="107" t="str">
        <f>IF(M854="","",IF(ISNUMBER(L854),M854-L854,IF(G854="DECISÃO D.P","",M854-TODAY())))</f>
        <v/>
      </c>
      <c r="O854" s="108" t="str">
        <f>IF(B854="","",IF(ISNUMBER(L854),IF(N854="","SEM DATA",IF(N854&gt;=0,"DEFESA NO PRAZO","DEFESA FORA DO PRAZO")),IF(G854="DECISÃO D.P","SEM DEFESA",IF(G854="","SEM STATUS",IF(N854="","SEM DATA",IF(N854&lt;0,"VENCIDO",IF(N854&lt;=DiasAlerta,"VENCE EM BREVE","NO PRAZO")))))))</f>
        <v/>
      </c>
      <c r="P854" s="109" t="str">
        <f>IF(D854="","",TODAY()-D854)</f>
        <v/>
      </c>
      <c r="Q854" s="102" t="n"/>
    </row>
    <row r="855" ht="18" customHeight="1">
      <c r="A855" s="101" t="n"/>
      <c r="B855" s="102" t="n"/>
      <c r="C855" s="102" t="n"/>
      <c r="D855" s="103" t="n"/>
      <c r="E855" s="102" t="n"/>
      <c r="F855" s="104" t="n"/>
      <c r="G855" s="104" t="n"/>
      <c r="H855" s="102" t="n"/>
      <c r="I855" s="105" t="n"/>
      <c r="J855" s="105" t="n"/>
      <c r="K855" s="103" t="n"/>
      <c r="L855" s="103" t="n"/>
      <c r="M855" s="106" t="str">
        <f>IF(OR(D855="",E855=""),"",D855+IF(E855="NOTIFICAÇÃO DE CONSTATAÇÃO",PrazoConst,PrazoEsc))</f>
        <v/>
      </c>
      <c r="N855" s="107" t="str">
        <f>IF(M855="","",IF(ISNUMBER(L855),M855-L855,IF(G855="DECISÃO D.P","",M855-TODAY())))</f>
        <v/>
      </c>
      <c r="O855" s="108" t="str">
        <f>IF(B855="","",IF(ISNUMBER(L855),IF(N855="","SEM DATA",IF(N855&gt;=0,"DEFESA NO PRAZO","DEFESA FORA DO PRAZO")),IF(G855="DECISÃO D.P","SEM DEFESA",IF(G855="","SEM STATUS",IF(N855="","SEM DATA",IF(N855&lt;0,"VENCIDO",IF(N855&lt;=DiasAlerta,"VENCE EM BREVE","NO PRAZO")))))))</f>
        <v/>
      </c>
      <c r="P855" s="109" t="str">
        <f>IF(D855="","",TODAY()-D855)</f>
        <v/>
      </c>
      <c r="Q855" s="102" t="n"/>
    </row>
    <row r="856" ht="18" customHeight="1">
      <c r="A856" s="101" t="n"/>
      <c r="B856" s="102" t="n"/>
      <c r="C856" s="102" t="n"/>
      <c r="D856" s="103" t="n"/>
      <c r="E856" s="102" t="n"/>
      <c r="F856" s="104" t="n"/>
      <c r="G856" s="104" t="n"/>
      <c r="H856" s="102" t="n"/>
      <c r="I856" s="105" t="n"/>
      <c r="J856" s="105" t="n"/>
      <c r="K856" s="103" t="n"/>
      <c r="L856" s="103" t="n"/>
      <c r="M856" s="106" t="str">
        <f>IF(OR(D856="",E856=""),"",D856+IF(E856="NOTIFICAÇÃO DE CONSTATAÇÃO",PrazoConst,PrazoEsc))</f>
        <v/>
      </c>
      <c r="N856" s="107" t="str">
        <f>IF(M856="","",IF(ISNUMBER(L856),M856-L856,IF(G856="DECISÃO D.P","",M856-TODAY())))</f>
        <v/>
      </c>
      <c r="O856" s="108" t="str">
        <f>IF(B856="","",IF(ISNUMBER(L856),IF(N856="","SEM DATA",IF(N856&gt;=0,"DEFESA NO PRAZO","DEFESA FORA DO PRAZO")),IF(G856="DECISÃO D.P","SEM DEFESA",IF(G856="","SEM STATUS",IF(N856="","SEM DATA",IF(N856&lt;0,"VENCIDO",IF(N856&lt;=DiasAlerta,"VENCE EM BREVE","NO PRAZO")))))))</f>
        <v/>
      </c>
      <c r="P856" s="109" t="str">
        <f>IF(D856="","",TODAY()-D856)</f>
        <v/>
      </c>
      <c r="Q856" s="102" t="n"/>
    </row>
    <row r="857" ht="18" customHeight="1">
      <c r="A857" s="101" t="n"/>
      <c r="B857" s="102" t="n"/>
      <c r="C857" s="102" t="n"/>
      <c r="D857" s="103" t="n"/>
      <c r="E857" s="102" t="n"/>
      <c r="F857" s="104" t="n"/>
      <c r="G857" s="104" t="n"/>
      <c r="H857" s="102" t="n"/>
      <c r="I857" s="105" t="n"/>
      <c r="J857" s="105" t="n"/>
      <c r="K857" s="103" t="n"/>
      <c r="L857" s="103" t="n"/>
      <c r="M857" s="106" t="str">
        <f>IF(OR(D857="",E857=""),"",D857+IF(E857="NOTIFICAÇÃO DE CONSTATAÇÃO",PrazoConst,PrazoEsc))</f>
        <v/>
      </c>
      <c r="N857" s="107" t="str">
        <f>IF(M857="","",IF(ISNUMBER(L857),M857-L857,IF(G857="DECISÃO D.P","",M857-TODAY())))</f>
        <v/>
      </c>
      <c r="O857" s="108" t="str">
        <f>IF(B857="","",IF(ISNUMBER(L857),IF(N857="","SEM DATA",IF(N857&gt;=0,"DEFESA NO PRAZO","DEFESA FORA DO PRAZO")),IF(G857="DECISÃO D.P","SEM DEFESA",IF(G857="","SEM STATUS",IF(N857="","SEM DATA",IF(N857&lt;0,"VENCIDO",IF(N857&lt;=DiasAlerta,"VENCE EM BREVE","NO PRAZO")))))))</f>
        <v/>
      </c>
      <c r="P857" s="109" t="str">
        <f>IF(D857="","",TODAY()-D857)</f>
        <v/>
      </c>
      <c r="Q857" s="102" t="n"/>
    </row>
    <row r="858" ht="18" customHeight="1">
      <c r="A858" s="101" t="n"/>
      <c r="B858" s="102" t="n"/>
      <c r="C858" s="102" t="n"/>
      <c r="D858" s="103" t="n"/>
      <c r="E858" s="102" t="n"/>
      <c r="F858" s="104" t="n"/>
      <c r="G858" s="104" t="n"/>
      <c r="H858" s="102" t="n"/>
      <c r="I858" s="105" t="n"/>
      <c r="J858" s="105" t="n"/>
      <c r="K858" s="103" t="n"/>
      <c r="L858" s="103" t="n"/>
      <c r="M858" s="106" t="str">
        <f>IF(OR(D858="",E858=""),"",D858+IF(E858="NOTIFICAÇÃO DE CONSTATAÇÃO",PrazoConst,PrazoEsc))</f>
        <v/>
      </c>
      <c r="N858" s="107" t="str">
        <f>IF(M858="","",IF(ISNUMBER(L858),M858-L858,IF(G858="DECISÃO D.P","",M858-TODAY())))</f>
        <v/>
      </c>
      <c r="O858" s="108" t="str">
        <f>IF(B858="","",IF(ISNUMBER(L858),IF(N858="","SEM DATA",IF(N858&gt;=0,"DEFESA NO PRAZO","DEFESA FORA DO PRAZO")),IF(G858="DECISÃO D.P","SEM DEFESA",IF(G858="","SEM STATUS",IF(N858="","SEM DATA",IF(N858&lt;0,"VENCIDO",IF(N858&lt;=DiasAlerta,"VENCE EM BREVE","NO PRAZO")))))))</f>
        <v/>
      </c>
      <c r="P858" s="109" t="str">
        <f>IF(D858="","",TODAY()-D858)</f>
        <v/>
      </c>
      <c r="Q858" s="102" t="n"/>
    </row>
    <row r="859" ht="18" customHeight="1">
      <c r="A859" s="101" t="n"/>
      <c r="B859" s="102" t="n"/>
      <c r="C859" s="102" t="n"/>
      <c r="D859" s="103" t="n"/>
      <c r="E859" s="102" t="n"/>
      <c r="F859" s="104" t="n"/>
      <c r="G859" s="104" t="n"/>
      <c r="H859" s="102" t="n"/>
      <c r="I859" s="105" t="n"/>
      <c r="J859" s="105" t="n"/>
      <c r="K859" s="103" t="n"/>
      <c r="L859" s="103" t="n"/>
      <c r="M859" s="106" t="str">
        <f>IF(OR(D859="",E859=""),"",D859+IF(E859="NOTIFICAÇÃO DE CONSTATAÇÃO",PrazoConst,PrazoEsc))</f>
        <v/>
      </c>
      <c r="N859" s="107" t="str">
        <f>IF(M859="","",IF(ISNUMBER(L859),M859-L859,IF(G859="DECISÃO D.P","",M859-TODAY())))</f>
        <v/>
      </c>
      <c r="O859" s="108" t="str">
        <f>IF(B859="","",IF(ISNUMBER(L859),IF(N859="","SEM DATA",IF(N859&gt;=0,"DEFESA NO PRAZO","DEFESA FORA DO PRAZO")),IF(G859="DECISÃO D.P","SEM DEFESA",IF(G859="","SEM STATUS",IF(N859="","SEM DATA",IF(N859&lt;0,"VENCIDO",IF(N859&lt;=DiasAlerta,"VENCE EM BREVE","NO PRAZO")))))))</f>
        <v/>
      </c>
      <c r="P859" s="109" t="str">
        <f>IF(D859="","",TODAY()-D859)</f>
        <v/>
      </c>
      <c r="Q859" s="102" t="n"/>
    </row>
    <row r="860" ht="18" customHeight="1">
      <c r="A860" s="101" t="n"/>
      <c r="B860" s="102" t="n"/>
      <c r="C860" s="102" t="n"/>
      <c r="D860" s="103" t="n"/>
      <c r="E860" s="102" t="n"/>
      <c r="F860" s="104" t="n"/>
      <c r="G860" s="104" t="n"/>
      <c r="H860" s="102" t="n"/>
      <c r="I860" s="105" t="n"/>
      <c r="J860" s="105" t="n"/>
      <c r="K860" s="103" t="n"/>
      <c r="L860" s="103" t="n"/>
      <c r="M860" s="106" t="str">
        <f>IF(OR(D860="",E860=""),"",D860+IF(E860="NOTIFICAÇÃO DE CONSTATAÇÃO",PrazoConst,PrazoEsc))</f>
        <v/>
      </c>
      <c r="N860" s="107" t="str">
        <f>IF(M860="","",IF(ISNUMBER(L860),M860-L860,IF(G860="DECISÃO D.P","",M860-TODAY())))</f>
        <v/>
      </c>
      <c r="O860" s="108" t="str">
        <f>IF(B860="","",IF(ISNUMBER(L860),IF(N860="","SEM DATA",IF(N860&gt;=0,"DEFESA NO PRAZO","DEFESA FORA DO PRAZO")),IF(G860="DECISÃO D.P","SEM DEFESA",IF(G860="","SEM STATUS",IF(N860="","SEM DATA",IF(N860&lt;0,"VENCIDO",IF(N860&lt;=DiasAlerta,"VENCE EM BREVE","NO PRAZO")))))))</f>
        <v/>
      </c>
      <c r="P860" s="109" t="str">
        <f>IF(D860="","",TODAY()-D860)</f>
        <v/>
      </c>
      <c r="Q860" s="102" t="n"/>
    </row>
    <row r="861" ht="18" customHeight="1">
      <c r="A861" s="101" t="n"/>
      <c r="B861" s="102" t="n"/>
      <c r="C861" s="102" t="n"/>
      <c r="D861" s="103" t="n"/>
      <c r="E861" s="102" t="n"/>
      <c r="F861" s="104" t="n"/>
      <c r="G861" s="104" t="n"/>
      <c r="H861" s="102" t="n"/>
      <c r="I861" s="105" t="n"/>
      <c r="J861" s="105" t="n"/>
      <c r="K861" s="103" t="n"/>
      <c r="L861" s="103" t="n"/>
      <c r="M861" s="106" t="str">
        <f>IF(OR(D861="",E861=""),"",D861+IF(E861="NOTIFICAÇÃO DE CONSTATAÇÃO",PrazoConst,PrazoEsc))</f>
        <v/>
      </c>
      <c r="N861" s="107" t="str">
        <f>IF(M861="","",IF(ISNUMBER(L861),M861-L861,IF(G861="DECISÃO D.P","",M861-TODAY())))</f>
        <v/>
      </c>
      <c r="O861" s="108" t="str">
        <f>IF(B861="","",IF(ISNUMBER(L861),IF(N861="","SEM DATA",IF(N861&gt;=0,"DEFESA NO PRAZO","DEFESA FORA DO PRAZO")),IF(G861="DECISÃO D.P","SEM DEFESA",IF(G861="","SEM STATUS",IF(N861="","SEM DATA",IF(N861&lt;0,"VENCIDO",IF(N861&lt;=DiasAlerta,"VENCE EM BREVE","NO PRAZO")))))))</f>
        <v/>
      </c>
      <c r="P861" s="109" t="str">
        <f>IF(D861="","",TODAY()-D861)</f>
        <v/>
      </c>
      <c r="Q861" s="102" t="n"/>
    </row>
    <row r="862" ht="18" customHeight="1">
      <c r="A862" s="101" t="n"/>
      <c r="B862" s="102" t="n"/>
      <c r="C862" s="102" t="n"/>
      <c r="D862" s="103" t="n"/>
      <c r="E862" s="102" t="n"/>
      <c r="F862" s="104" t="n"/>
      <c r="G862" s="104" t="n"/>
      <c r="H862" s="102" t="n"/>
      <c r="I862" s="105" t="n"/>
      <c r="J862" s="105" t="n"/>
      <c r="K862" s="103" t="n"/>
      <c r="L862" s="103" t="n"/>
      <c r="M862" s="106" t="str">
        <f>IF(OR(D862="",E862=""),"",D862+IF(E862="NOTIFICAÇÃO DE CONSTATAÇÃO",PrazoConst,PrazoEsc))</f>
        <v/>
      </c>
      <c r="N862" s="107" t="str">
        <f>IF(M862="","",IF(ISNUMBER(L862),M862-L862,IF(G862="DECISÃO D.P","",M862-TODAY())))</f>
        <v/>
      </c>
      <c r="O862" s="108" t="str">
        <f>IF(B862="","",IF(ISNUMBER(L862),IF(N862="","SEM DATA",IF(N862&gt;=0,"DEFESA NO PRAZO","DEFESA FORA DO PRAZO")),IF(G862="DECISÃO D.P","SEM DEFESA",IF(G862="","SEM STATUS",IF(N862="","SEM DATA",IF(N862&lt;0,"VENCIDO",IF(N862&lt;=DiasAlerta,"VENCE EM BREVE","NO PRAZO")))))))</f>
        <v/>
      </c>
      <c r="P862" s="109" t="str">
        <f>IF(D862="","",TODAY()-D862)</f>
        <v/>
      </c>
      <c r="Q862" s="102" t="n"/>
    </row>
    <row r="863" ht="18" customHeight="1">
      <c r="A863" s="101" t="n"/>
      <c r="B863" s="102" t="n"/>
      <c r="C863" s="102" t="n"/>
      <c r="D863" s="103" t="n"/>
      <c r="E863" s="102" t="n"/>
      <c r="F863" s="104" t="n"/>
      <c r="G863" s="104" t="n"/>
      <c r="H863" s="102" t="n"/>
      <c r="I863" s="105" t="n"/>
      <c r="J863" s="105" t="n"/>
      <c r="K863" s="103" t="n"/>
      <c r="L863" s="103" t="n"/>
      <c r="M863" s="106" t="str">
        <f>IF(OR(D863="",E863=""),"",D863+IF(E863="NOTIFICAÇÃO DE CONSTATAÇÃO",PrazoConst,PrazoEsc))</f>
        <v/>
      </c>
      <c r="N863" s="107" t="str">
        <f>IF(M863="","",IF(ISNUMBER(L863),M863-L863,IF(G863="DECISÃO D.P","",M863-TODAY())))</f>
        <v/>
      </c>
      <c r="O863" s="108" t="str">
        <f>IF(B863="","",IF(ISNUMBER(L863),IF(N863="","SEM DATA",IF(N863&gt;=0,"DEFESA NO PRAZO","DEFESA FORA DO PRAZO")),IF(G863="DECISÃO D.P","SEM DEFESA",IF(G863="","SEM STATUS",IF(N863="","SEM DATA",IF(N863&lt;0,"VENCIDO",IF(N863&lt;=DiasAlerta,"VENCE EM BREVE","NO PRAZO")))))))</f>
        <v/>
      </c>
      <c r="P863" s="109" t="str">
        <f>IF(D863="","",TODAY()-D863)</f>
        <v/>
      </c>
      <c r="Q863" s="102" t="n"/>
    </row>
    <row r="864" ht="18" customHeight="1">
      <c r="A864" s="101" t="n"/>
      <c r="B864" s="102" t="n"/>
      <c r="C864" s="102" t="n"/>
      <c r="D864" s="103" t="n"/>
      <c r="E864" s="102" t="n"/>
      <c r="F864" s="104" t="n"/>
      <c r="G864" s="104" t="n"/>
      <c r="H864" s="102" t="n"/>
      <c r="I864" s="105" t="n"/>
      <c r="J864" s="105" t="n"/>
      <c r="K864" s="103" t="n"/>
      <c r="L864" s="103" t="n"/>
      <c r="M864" s="106" t="str">
        <f>IF(OR(D864="",E864=""),"",D864+IF(E864="NOTIFICAÇÃO DE CONSTATAÇÃO",PrazoConst,PrazoEsc))</f>
        <v/>
      </c>
      <c r="N864" s="107" t="str">
        <f>IF(M864="","",IF(ISNUMBER(L864),M864-L864,IF(G864="DECISÃO D.P","",M864-TODAY())))</f>
        <v/>
      </c>
      <c r="O864" s="108" t="str">
        <f>IF(B864="","",IF(ISNUMBER(L864),IF(N864="","SEM DATA",IF(N864&gt;=0,"DEFESA NO PRAZO","DEFESA FORA DO PRAZO")),IF(G864="DECISÃO D.P","SEM DEFESA",IF(G864="","SEM STATUS",IF(N864="","SEM DATA",IF(N864&lt;0,"VENCIDO",IF(N864&lt;=DiasAlerta,"VENCE EM BREVE","NO PRAZO")))))))</f>
        <v/>
      </c>
      <c r="P864" s="109" t="str">
        <f>IF(D864="","",TODAY()-D864)</f>
        <v/>
      </c>
      <c r="Q864" s="102" t="n"/>
    </row>
    <row r="865" ht="18" customHeight="1">
      <c r="A865" s="101" t="n"/>
      <c r="B865" s="102" t="n"/>
      <c r="C865" s="102" t="n"/>
      <c r="D865" s="103" t="n"/>
      <c r="E865" s="102" t="n"/>
      <c r="F865" s="104" t="n"/>
      <c r="G865" s="104" t="n"/>
      <c r="H865" s="102" t="n"/>
      <c r="I865" s="105" t="n"/>
      <c r="J865" s="105" t="n"/>
      <c r="K865" s="103" t="n"/>
      <c r="L865" s="103" t="n"/>
      <c r="M865" s="106" t="str">
        <f>IF(OR(D865="",E865=""),"",D865+IF(E865="NOTIFICAÇÃO DE CONSTATAÇÃO",PrazoConst,PrazoEsc))</f>
        <v/>
      </c>
      <c r="N865" s="107" t="str">
        <f>IF(M865="","",IF(ISNUMBER(L865),M865-L865,IF(G865="DECISÃO D.P","",M865-TODAY())))</f>
        <v/>
      </c>
      <c r="O865" s="108" t="str">
        <f>IF(B865="","",IF(ISNUMBER(L865),IF(N865="","SEM DATA",IF(N865&gt;=0,"DEFESA NO PRAZO","DEFESA FORA DO PRAZO")),IF(G865="DECISÃO D.P","SEM DEFESA",IF(G865="","SEM STATUS",IF(N865="","SEM DATA",IF(N865&lt;0,"VENCIDO",IF(N865&lt;=DiasAlerta,"VENCE EM BREVE","NO PRAZO")))))))</f>
        <v/>
      </c>
      <c r="P865" s="109" t="str">
        <f>IF(D865="","",TODAY()-D865)</f>
        <v/>
      </c>
      <c r="Q865" s="102" t="n"/>
    </row>
    <row r="866" ht="18" customHeight="1">
      <c r="A866" s="101" t="n"/>
      <c r="B866" s="102" t="n"/>
      <c r="C866" s="102" t="n"/>
      <c r="D866" s="103" t="n"/>
      <c r="E866" s="102" t="n"/>
      <c r="F866" s="104" t="n"/>
      <c r="G866" s="104" t="n"/>
      <c r="H866" s="102" t="n"/>
      <c r="I866" s="105" t="n"/>
      <c r="J866" s="105" t="n"/>
      <c r="K866" s="103" t="n"/>
      <c r="L866" s="103" t="n"/>
      <c r="M866" s="106" t="str">
        <f>IF(OR(D866="",E866=""),"",D866+IF(E866="NOTIFICAÇÃO DE CONSTATAÇÃO",PrazoConst,PrazoEsc))</f>
        <v/>
      </c>
      <c r="N866" s="107" t="str">
        <f>IF(M866="","",IF(ISNUMBER(L866),M866-L866,IF(G866="DECISÃO D.P","",M866-TODAY())))</f>
        <v/>
      </c>
      <c r="O866" s="108" t="str">
        <f>IF(B866="","",IF(ISNUMBER(L866),IF(N866="","SEM DATA",IF(N866&gt;=0,"DEFESA NO PRAZO","DEFESA FORA DO PRAZO")),IF(G866="DECISÃO D.P","SEM DEFESA",IF(G866="","SEM STATUS",IF(N866="","SEM DATA",IF(N866&lt;0,"VENCIDO",IF(N866&lt;=DiasAlerta,"VENCE EM BREVE","NO PRAZO")))))))</f>
        <v/>
      </c>
      <c r="P866" s="109" t="str">
        <f>IF(D866="","",TODAY()-D866)</f>
        <v/>
      </c>
      <c r="Q866" s="102" t="n"/>
    </row>
    <row r="867" ht="18" customHeight="1">
      <c r="A867" s="101" t="n"/>
      <c r="B867" s="102" t="n"/>
      <c r="C867" s="102" t="n"/>
      <c r="D867" s="103" t="n"/>
      <c r="E867" s="102" t="n"/>
      <c r="F867" s="104" t="n"/>
      <c r="G867" s="104" t="n"/>
      <c r="H867" s="102" t="n"/>
      <c r="I867" s="105" t="n"/>
      <c r="J867" s="105" t="n"/>
      <c r="K867" s="103" t="n"/>
      <c r="L867" s="103" t="n"/>
      <c r="M867" s="106" t="str">
        <f>IF(OR(D867="",E867=""),"",D867+IF(E867="NOTIFICAÇÃO DE CONSTATAÇÃO",PrazoConst,PrazoEsc))</f>
        <v/>
      </c>
      <c r="N867" s="107" t="str">
        <f>IF(M867="","",IF(ISNUMBER(L867),M867-L867,IF(G867="DECISÃO D.P","",M867-TODAY())))</f>
        <v/>
      </c>
      <c r="O867" s="108" t="str">
        <f>IF(B867="","",IF(ISNUMBER(L867),IF(N867="","SEM DATA",IF(N867&gt;=0,"DEFESA NO PRAZO","DEFESA FORA DO PRAZO")),IF(G867="DECISÃO D.P","SEM DEFESA",IF(G867="","SEM STATUS",IF(N867="","SEM DATA",IF(N867&lt;0,"VENCIDO",IF(N867&lt;=DiasAlerta,"VENCE EM BREVE","NO PRAZO")))))))</f>
        <v/>
      </c>
      <c r="P867" s="109" t="str">
        <f>IF(D867="","",TODAY()-D867)</f>
        <v/>
      </c>
      <c r="Q867" s="102" t="n"/>
    </row>
    <row r="868" ht="18" customHeight="1">
      <c r="A868" s="101" t="n"/>
      <c r="B868" s="102" t="n"/>
      <c r="C868" s="102" t="n"/>
      <c r="D868" s="103" t="n"/>
      <c r="E868" s="102" t="n"/>
      <c r="F868" s="104" t="n"/>
      <c r="G868" s="104" t="n"/>
      <c r="H868" s="102" t="n"/>
      <c r="I868" s="105" t="n"/>
      <c r="J868" s="105" t="n"/>
      <c r="K868" s="103" t="n"/>
      <c r="L868" s="103" t="n"/>
      <c r="M868" s="106" t="str">
        <f>IF(OR(D868="",E868=""),"",D868+IF(E868="NOTIFICAÇÃO DE CONSTATAÇÃO",PrazoConst,PrazoEsc))</f>
        <v/>
      </c>
      <c r="N868" s="107" t="str">
        <f>IF(M868="","",IF(ISNUMBER(L868),M868-L868,IF(G868="DECISÃO D.P","",M868-TODAY())))</f>
        <v/>
      </c>
      <c r="O868" s="108" t="str">
        <f>IF(B868="","",IF(ISNUMBER(L868),IF(N868="","SEM DATA",IF(N868&gt;=0,"DEFESA NO PRAZO","DEFESA FORA DO PRAZO")),IF(G868="DECISÃO D.P","SEM DEFESA",IF(G868="","SEM STATUS",IF(N868="","SEM DATA",IF(N868&lt;0,"VENCIDO",IF(N868&lt;=DiasAlerta,"VENCE EM BREVE","NO PRAZO")))))))</f>
        <v/>
      </c>
      <c r="P868" s="109" t="str">
        <f>IF(D868="","",TODAY()-D868)</f>
        <v/>
      </c>
      <c r="Q868" s="102" t="n"/>
    </row>
    <row r="869" ht="18" customHeight="1">
      <c r="A869" s="101" t="n"/>
      <c r="B869" s="102" t="n"/>
      <c r="C869" s="102" t="n"/>
      <c r="D869" s="103" t="n"/>
      <c r="E869" s="102" t="n"/>
      <c r="F869" s="104" t="n"/>
      <c r="G869" s="104" t="n"/>
      <c r="H869" s="102" t="n"/>
      <c r="I869" s="105" t="n"/>
      <c r="J869" s="105" t="n"/>
      <c r="K869" s="103" t="n"/>
      <c r="L869" s="103" t="n"/>
      <c r="M869" s="106" t="str">
        <f>IF(OR(D869="",E869=""),"",D869+IF(E869="NOTIFICAÇÃO DE CONSTATAÇÃO",PrazoConst,PrazoEsc))</f>
        <v/>
      </c>
      <c r="N869" s="107" t="str">
        <f>IF(M869="","",IF(ISNUMBER(L869),M869-L869,IF(G869="DECISÃO D.P","",M869-TODAY())))</f>
        <v/>
      </c>
      <c r="O869" s="108" t="str">
        <f>IF(B869="","",IF(ISNUMBER(L869),IF(N869="","SEM DATA",IF(N869&gt;=0,"DEFESA NO PRAZO","DEFESA FORA DO PRAZO")),IF(G869="DECISÃO D.P","SEM DEFESA",IF(G869="","SEM STATUS",IF(N869="","SEM DATA",IF(N869&lt;0,"VENCIDO",IF(N869&lt;=DiasAlerta,"VENCE EM BREVE","NO PRAZO")))))))</f>
        <v/>
      </c>
      <c r="P869" s="109" t="str">
        <f>IF(D869="","",TODAY()-D869)</f>
        <v/>
      </c>
      <c r="Q869" s="102" t="n"/>
    </row>
    <row r="870" ht="18" customHeight="1">
      <c r="A870" s="101" t="n"/>
      <c r="B870" s="102" t="n"/>
      <c r="C870" s="102" t="n"/>
      <c r="D870" s="103" t="n"/>
      <c r="E870" s="102" t="n"/>
      <c r="F870" s="104" t="n"/>
      <c r="G870" s="104" t="n"/>
      <c r="H870" s="102" t="n"/>
      <c r="I870" s="105" t="n"/>
      <c r="J870" s="105" t="n"/>
      <c r="K870" s="103" t="n"/>
      <c r="L870" s="103" t="n"/>
      <c r="M870" s="106" t="str">
        <f>IF(OR(D870="",E870=""),"",D870+IF(E870="NOTIFICAÇÃO DE CONSTATAÇÃO",PrazoConst,PrazoEsc))</f>
        <v/>
      </c>
      <c r="N870" s="107" t="str">
        <f>IF(M870="","",IF(ISNUMBER(L870),M870-L870,IF(G870="DECISÃO D.P","",M870-TODAY())))</f>
        <v/>
      </c>
      <c r="O870" s="108" t="str">
        <f>IF(B870="","",IF(ISNUMBER(L870),IF(N870="","SEM DATA",IF(N870&gt;=0,"DEFESA NO PRAZO","DEFESA FORA DO PRAZO")),IF(G870="DECISÃO D.P","SEM DEFESA",IF(G870="","SEM STATUS",IF(N870="","SEM DATA",IF(N870&lt;0,"VENCIDO",IF(N870&lt;=DiasAlerta,"VENCE EM BREVE","NO PRAZO")))))))</f>
        <v/>
      </c>
      <c r="P870" s="109" t="str">
        <f>IF(D870="","",TODAY()-D870)</f>
        <v/>
      </c>
      <c r="Q870" s="102" t="n"/>
    </row>
    <row r="871" ht="18" customHeight="1">
      <c r="A871" s="101" t="n"/>
      <c r="B871" s="102" t="n"/>
      <c r="C871" s="102" t="n"/>
      <c r="D871" s="103" t="n"/>
      <c r="E871" s="102" t="n"/>
      <c r="F871" s="104" t="n"/>
      <c r="G871" s="104" t="n"/>
      <c r="H871" s="102" t="n"/>
      <c r="I871" s="105" t="n"/>
      <c r="J871" s="105" t="n"/>
      <c r="K871" s="103" t="n"/>
      <c r="L871" s="103" t="n"/>
      <c r="M871" s="106" t="str">
        <f>IF(OR(D871="",E871=""),"",D871+IF(E871="NOTIFICAÇÃO DE CONSTATAÇÃO",PrazoConst,PrazoEsc))</f>
        <v/>
      </c>
      <c r="N871" s="107" t="str">
        <f>IF(M871="","",IF(ISNUMBER(L871),M871-L871,IF(G871="DECISÃO D.P","",M871-TODAY())))</f>
        <v/>
      </c>
      <c r="O871" s="108" t="str">
        <f>IF(B871="","",IF(ISNUMBER(L871),IF(N871="","SEM DATA",IF(N871&gt;=0,"DEFESA NO PRAZO","DEFESA FORA DO PRAZO")),IF(G871="DECISÃO D.P","SEM DEFESA",IF(G871="","SEM STATUS",IF(N871="","SEM DATA",IF(N871&lt;0,"VENCIDO",IF(N871&lt;=DiasAlerta,"VENCE EM BREVE","NO PRAZO")))))))</f>
        <v/>
      </c>
      <c r="P871" s="109" t="str">
        <f>IF(D871="","",TODAY()-D871)</f>
        <v/>
      </c>
      <c r="Q871" s="102" t="n"/>
    </row>
    <row r="872" ht="18" customHeight="1">
      <c r="A872" s="101" t="n"/>
      <c r="B872" s="102" t="n"/>
      <c r="C872" s="102" t="n"/>
      <c r="D872" s="103" t="n"/>
      <c r="E872" s="102" t="n"/>
      <c r="F872" s="104" t="n"/>
      <c r="G872" s="104" t="n"/>
      <c r="H872" s="102" t="n"/>
      <c r="I872" s="105" t="n"/>
      <c r="J872" s="105" t="n"/>
      <c r="K872" s="103" t="n"/>
      <c r="L872" s="103" t="n"/>
      <c r="M872" s="106" t="str">
        <f>IF(OR(D872="",E872=""),"",D872+IF(E872="NOTIFICAÇÃO DE CONSTATAÇÃO",PrazoConst,PrazoEsc))</f>
        <v/>
      </c>
      <c r="N872" s="107" t="str">
        <f>IF(M872="","",IF(ISNUMBER(L872),M872-L872,IF(G872="DECISÃO D.P","",M872-TODAY())))</f>
        <v/>
      </c>
      <c r="O872" s="108" t="str">
        <f>IF(B872="","",IF(ISNUMBER(L872),IF(N872="","SEM DATA",IF(N872&gt;=0,"DEFESA NO PRAZO","DEFESA FORA DO PRAZO")),IF(G872="DECISÃO D.P","SEM DEFESA",IF(G872="","SEM STATUS",IF(N872="","SEM DATA",IF(N872&lt;0,"VENCIDO",IF(N872&lt;=DiasAlerta,"VENCE EM BREVE","NO PRAZO")))))))</f>
        <v/>
      </c>
      <c r="P872" s="109" t="str">
        <f>IF(D872="","",TODAY()-D872)</f>
        <v/>
      </c>
      <c r="Q872" s="102" t="n"/>
    </row>
    <row r="873" ht="18" customHeight="1">
      <c r="A873" s="101" t="n"/>
      <c r="B873" s="102" t="n"/>
      <c r="C873" s="102" t="n"/>
      <c r="D873" s="103" t="n"/>
      <c r="E873" s="102" t="n"/>
      <c r="F873" s="104" t="n"/>
      <c r="G873" s="104" t="n"/>
      <c r="H873" s="102" t="n"/>
      <c r="I873" s="105" t="n"/>
      <c r="J873" s="105" t="n"/>
      <c r="K873" s="103" t="n"/>
      <c r="L873" s="103" t="n"/>
      <c r="M873" s="106" t="str">
        <f>IF(OR(D873="",E873=""),"",D873+IF(E873="NOTIFICAÇÃO DE CONSTATAÇÃO",PrazoConst,PrazoEsc))</f>
        <v/>
      </c>
      <c r="N873" s="107" t="str">
        <f>IF(M873="","",IF(ISNUMBER(L873),M873-L873,IF(G873="DECISÃO D.P","",M873-TODAY())))</f>
        <v/>
      </c>
      <c r="O873" s="108" t="str">
        <f>IF(B873="","",IF(ISNUMBER(L873),IF(N873="","SEM DATA",IF(N873&gt;=0,"DEFESA NO PRAZO","DEFESA FORA DO PRAZO")),IF(G873="DECISÃO D.P","SEM DEFESA",IF(G873="","SEM STATUS",IF(N873="","SEM DATA",IF(N873&lt;0,"VENCIDO",IF(N873&lt;=DiasAlerta,"VENCE EM BREVE","NO PRAZO")))))))</f>
        <v/>
      </c>
      <c r="P873" s="109" t="str">
        <f>IF(D873="","",TODAY()-D873)</f>
        <v/>
      </c>
      <c r="Q873" s="102" t="n"/>
    </row>
    <row r="874" ht="18" customHeight="1">
      <c r="A874" s="101" t="n"/>
      <c r="B874" s="102" t="n"/>
      <c r="C874" s="102" t="n"/>
      <c r="D874" s="103" t="n"/>
      <c r="E874" s="102" t="n"/>
      <c r="F874" s="104" t="n"/>
      <c r="G874" s="104" t="n"/>
      <c r="H874" s="102" t="n"/>
      <c r="I874" s="105" t="n"/>
      <c r="J874" s="105" t="n"/>
      <c r="K874" s="103" t="n"/>
      <c r="L874" s="103" t="n"/>
      <c r="M874" s="106" t="str">
        <f>IF(OR(D874="",E874=""),"",D874+IF(E874="NOTIFICAÇÃO DE CONSTATAÇÃO",PrazoConst,PrazoEsc))</f>
        <v/>
      </c>
      <c r="N874" s="107" t="str">
        <f>IF(M874="","",IF(ISNUMBER(L874),M874-L874,IF(G874="DECISÃO D.P","",M874-TODAY())))</f>
        <v/>
      </c>
      <c r="O874" s="108" t="str">
        <f>IF(B874="","",IF(ISNUMBER(L874),IF(N874="","SEM DATA",IF(N874&gt;=0,"DEFESA NO PRAZO","DEFESA FORA DO PRAZO")),IF(G874="DECISÃO D.P","SEM DEFESA",IF(G874="","SEM STATUS",IF(N874="","SEM DATA",IF(N874&lt;0,"VENCIDO",IF(N874&lt;=DiasAlerta,"VENCE EM BREVE","NO PRAZO")))))))</f>
        <v/>
      </c>
      <c r="P874" s="109" t="str">
        <f>IF(D874="","",TODAY()-D874)</f>
        <v/>
      </c>
      <c r="Q874" s="102" t="n"/>
    </row>
    <row r="875" ht="18" customHeight="1">
      <c r="A875" s="101" t="n"/>
      <c r="B875" s="102" t="n"/>
      <c r="C875" s="102" t="n"/>
      <c r="D875" s="103" t="n"/>
      <c r="E875" s="102" t="n"/>
      <c r="F875" s="104" t="n"/>
      <c r="G875" s="104" t="n"/>
      <c r="H875" s="102" t="n"/>
      <c r="I875" s="105" t="n"/>
      <c r="J875" s="105" t="n"/>
      <c r="K875" s="103" t="n"/>
      <c r="L875" s="103" t="n"/>
      <c r="M875" s="106" t="str">
        <f>IF(OR(D875="",E875=""),"",D875+IF(E875="NOTIFICAÇÃO DE CONSTATAÇÃO",PrazoConst,PrazoEsc))</f>
        <v/>
      </c>
      <c r="N875" s="107" t="str">
        <f>IF(M875="","",IF(ISNUMBER(L875),M875-L875,IF(G875="DECISÃO D.P","",M875-TODAY())))</f>
        <v/>
      </c>
      <c r="O875" s="108" t="str">
        <f>IF(B875="","",IF(ISNUMBER(L875),IF(N875="","SEM DATA",IF(N875&gt;=0,"DEFESA NO PRAZO","DEFESA FORA DO PRAZO")),IF(G875="DECISÃO D.P","SEM DEFESA",IF(G875="","SEM STATUS",IF(N875="","SEM DATA",IF(N875&lt;0,"VENCIDO",IF(N875&lt;=DiasAlerta,"VENCE EM BREVE","NO PRAZO")))))))</f>
        <v/>
      </c>
      <c r="P875" s="109" t="str">
        <f>IF(D875="","",TODAY()-D875)</f>
        <v/>
      </c>
      <c r="Q875" s="102" t="n"/>
    </row>
    <row r="876" ht="18" customHeight="1">
      <c r="A876" s="101" t="n"/>
      <c r="B876" s="102" t="n"/>
      <c r="C876" s="102" t="n"/>
      <c r="D876" s="103" t="n"/>
      <c r="E876" s="102" t="n"/>
      <c r="F876" s="104" t="n"/>
      <c r="G876" s="104" t="n"/>
      <c r="H876" s="102" t="n"/>
      <c r="I876" s="105" t="n"/>
      <c r="J876" s="105" t="n"/>
      <c r="K876" s="103" t="n"/>
      <c r="L876" s="103" t="n"/>
      <c r="M876" s="106" t="str">
        <f>IF(OR(D876="",E876=""),"",D876+IF(E876="NOTIFICAÇÃO DE CONSTATAÇÃO",PrazoConst,PrazoEsc))</f>
        <v/>
      </c>
      <c r="N876" s="107" t="str">
        <f>IF(M876="","",IF(ISNUMBER(L876),M876-L876,IF(G876="DECISÃO D.P","",M876-TODAY())))</f>
        <v/>
      </c>
      <c r="O876" s="108" t="str">
        <f>IF(B876="","",IF(ISNUMBER(L876),IF(N876="","SEM DATA",IF(N876&gt;=0,"DEFESA NO PRAZO","DEFESA FORA DO PRAZO")),IF(G876="DECISÃO D.P","SEM DEFESA",IF(G876="","SEM STATUS",IF(N876="","SEM DATA",IF(N876&lt;0,"VENCIDO",IF(N876&lt;=DiasAlerta,"VENCE EM BREVE","NO PRAZO")))))))</f>
        <v/>
      </c>
      <c r="P876" s="109" t="str">
        <f>IF(D876="","",TODAY()-D876)</f>
        <v/>
      </c>
      <c r="Q876" s="102" t="n"/>
    </row>
    <row r="877" ht="18" customHeight="1">
      <c r="A877" s="101" t="n"/>
      <c r="B877" s="102" t="n"/>
      <c r="C877" s="102" t="n"/>
      <c r="D877" s="103" t="n"/>
      <c r="E877" s="102" t="n"/>
      <c r="F877" s="104" t="n"/>
      <c r="G877" s="104" t="n"/>
      <c r="H877" s="102" t="n"/>
      <c r="I877" s="105" t="n"/>
      <c r="J877" s="105" t="n"/>
      <c r="K877" s="103" t="n"/>
      <c r="L877" s="103" t="n"/>
      <c r="M877" s="106" t="str">
        <f>IF(OR(D877="",E877=""),"",D877+IF(E877="NOTIFICAÇÃO DE CONSTATAÇÃO",PrazoConst,PrazoEsc))</f>
        <v/>
      </c>
      <c r="N877" s="107" t="str">
        <f>IF(M877="","",IF(ISNUMBER(L877),M877-L877,IF(G877="DECISÃO D.P","",M877-TODAY())))</f>
        <v/>
      </c>
      <c r="O877" s="108" t="str">
        <f>IF(B877="","",IF(ISNUMBER(L877),IF(N877="","SEM DATA",IF(N877&gt;=0,"DEFESA NO PRAZO","DEFESA FORA DO PRAZO")),IF(G877="DECISÃO D.P","SEM DEFESA",IF(G877="","SEM STATUS",IF(N877="","SEM DATA",IF(N877&lt;0,"VENCIDO",IF(N877&lt;=DiasAlerta,"VENCE EM BREVE","NO PRAZO")))))))</f>
        <v/>
      </c>
      <c r="P877" s="109" t="str">
        <f>IF(D877="","",TODAY()-D877)</f>
        <v/>
      </c>
      <c r="Q877" s="102" t="n"/>
    </row>
    <row r="878" ht="18" customHeight="1">
      <c r="A878" s="101" t="n"/>
      <c r="B878" s="102" t="n"/>
      <c r="C878" s="102" t="n"/>
      <c r="D878" s="103" t="n"/>
      <c r="E878" s="102" t="n"/>
      <c r="F878" s="104" t="n"/>
      <c r="G878" s="104" t="n"/>
      <c r="H878" s="102" t="n"/>
      <c r="I878" s="105" t="n"/>
      <c r="J878" s="105" t="n"/>
      <c r="K878" s="103" t="n"/>
      <c r="L878" s="103" t="n"/>
      <c r="M878" s="106" t="str">
        <f>IF(OR(D878="",E878=""),"",D878+IF(E878="NOTIFICAÇÃO DE CONSTATAÇÃO",PrazoConst,PrazoEsc))</f>
        <v/>
      </c>
      <c r="N878" s="107" t="str">
        <f>IF(M878="","",IF(ISNUMBER(L878),M878-L878,IF(G878="DECISÃO D.P","",M878-TODAY())))</f>
        <v/>
      </c>
      <c r="O878" s="108" t="str">
        <f>IF(B878="","",IF(ISNUMBER(L878),IF(N878="","SEM DATA",IF(N878&gt;=0,"DEFESA NO PRAZO","DEFESA FORA DO PRAZO")),IF(G878="DECISÃO D.P","SEM DEFESA",IF(G878="","SEM STATUS",IF(N878="","SEM DATA",IF(N878&lt;0,"VENCIDO",IF(N878&lt;=DiasAlerta,"VENCE EM BREVE","NO PRAZO")))))))</f>
        <v/>
      </c>
      <c r="P878" s="109" t="str">
        <f>IF(D878="","",TODAY()-D878)</f>
        <v/>
      </c>
      <c r="Q878" s="102" t="n"/>
    </row>
    <row r="879" ht="18" customHeight="1">
      <c r="A879" s="101" t="n"/>
      <c r="B879" s="102" t="n"/>
      <c r="C879" s="102" t="n"/>
      <c r="D879" s="103" t="n"/>
      <c r="E879" s="102" t="n"/>
      <c r="F879" s="104" t="n"/>
      <c r="G879" s="104" t="n"/>
      <c r="H879" s="102" t="n"/>
      <c r="I879" s="105" t="n"/>
      <c r="J879" s="105" t="n"/>
      <c r="K879" s="103" t="n"/>
      <c r="L879" s="103" t="n"/>
      <c r="M879" s="106" t="str">
        <f>IF(OR(D879="",E879=""),"",D879+IF(E879="NOTIFICAÇÃO DE CONSTATAÇÃO",PrazoConst,PrazoEsc))</f>
        <v/>
      </c>
      <c r="N879" s="107" t="str">
        <f>IF(M879="","",IF(ISNUMBER(L879),M879-L879,IF(G879="DECISÃO D.P","",M879-TODAY())))</f>
        <v/>
      </c>
      <c r="O879" s="108" t="str">
        <f>IF(B879="","",IF(ISNUMBER(L879),IF(N879="","SEM DATA",IF(N879&gt;=0,"DEFESA NO PRAZO","DEFESA FORA DO PRAZO")),IF(G879="DECISÃO D.P","SEM DEFESA",IF(G879="","SEM STATUS",IF(N879="","SEM DATA",IF(N879&lt;0,"VENCIDO",IF(N879&lt;=DiasAlerta,"VENCE EM BREVE","NO PRAZO")))))))</f>
        <v/>
      </c>
      <c r="P879" s="109" t="str">
        <f>IF(D879="","",TODAY()-D879)</f>
        <v/>
      </c>
      <c r="Q879" s="102" t="n"/>
    </row>
    <row r="880" ht="18" customHeight="1">
      <c r="A880" s="101" t="n"/>
      <c r="B880" s="102" t="n"/>
      <c r="C880" s="102" t="n"/>
      <c r="D880" s="103" t="n"/>
      <c r="E880" s="102" t="n"/>
      <c r="F880" s="104" t="n"/>
      <c r="G880" s="104" t="n"/>
      <c r="H880" s="102" t="n"/>
      <c r="I880" s="105" t="n"/>
      <c r="J880" s="105" t="n"/>
      <c r="K880" s="103" t="n"/>
      <c r="L880" s="103" t="n"/>
      <c r="M880" s="106" t="str">
        <f>IF(OR(D880="",E880=""),"",D880+IF(E880="NOTIFICAÇÃO DE CONSTATAÇÃO",PrazoConst,PrazoEsc))</f>
        <v/>
      </c>
      <c r="N880" s="107" t="str">
        <f>IF(M880="","",IF(ISNUMBER(L880),M880-L880,IF(G880="DECISÃO D.P","",M880-TODAY())))</f>
        <v/>
      </c>
      <c r="O880" s="108" t="str">
        <f>IF(B880="","",IF(ISNUMBER(L880),IF(N880="","SEM DATA",IF(N880&gt;=0,"DEFESA NO PRAZO","DEFESA FORA DO PRAZO")),IF(G880="DECISÃO D.P","SEM DEFESA",IF(G880="","SEM STATUS",IF(N880="","SEM DATA",IF(N880&lt;0,"VENCIDO",IF(N880&lt;=DiasAlerta,"VENCE EM BREVE","NO PRAZO")))))))</f>
        <v/>
      </c>
      <c r="P880" s="109" t="str">
        <f>IF(D880="","",TODAY()-D880)</f>
        <v/>
      </c>
      <c r="Q880" s="102" t="n"/>
    </row>
    <row r="881" ht="18" customHeight="1">
      <c r="A881" s="101" t="n"/>
      <c r="B881" s="102" t="n"/>
      <c r="C881" s="102" t="n"/>
      <c r="D881" s="103" t="n"/>
      <c r="E881" s="102" t="n"/>
      <c r="F881" s="104" t="n"/>
      <c r="G881" s="104" t="n"/>
      <c r="H881" s="102" t="n"/>
      <c r="I881" s="105" t="n"/>
      <c r="J881" s="105" t="n"/>
      <c r="K881" s="103" t="n"/>
      <c r="L881" s="103" t="n"/>
      <c r="M881" s="106" t="str">
        <f>IF(OR(D881="",E881=""),"",D881+IF(E881="NOTIFICAÇÃO DE CONSTATAÇÃO",PrazoConst,PrazoEsc))</f>
        <v/>
      </c>
      <c r="N881" s="107" t="str">
        <f>IF(M881="","",IF(ISNUMBER(L881),M881-L881,IF(G881="DECISÃO D.P","",M881-TODAY())))</f>
        <v/>
      </c>
      <c r="O881" s="108" t="str">
        <f>IF(B881="","",IF(ISNUMBER(L881),IF(N881="","SEM DATA",IF(N881&gt;=0,"DEFESA NO PRAZO","DEFESA FORA DO PRAZO")),IF(G881="DECISÃO D.P","SEM DEFESA",IF(G881="","SEM STATUS",IF(N881="","SEM DATA",IF(N881&lt;0,"VENCIDO",IF(N881&lt;=DiasAlerta,"VENCE EM BREVE","NO PRAZO")))))))</f>
        <v/>
      </c>
      <c r="P881" s="109" t="str">
        <f>IF(D881="","",TODAY()-D881)</f>
        <v/>
      </c>
      <c r="Q881" s="102" t="n"/>
    </row>
    <row r="882" ht="18" customHeight="1">
      <c r="A882" s="101" t="n"/>
      <c r="B882" s="102" t="n"/>
      <c r="C882" s="102" t="n"/>
      <c r="D882" s="103" t="n"/>
      <c r="E882" s="102" t="n"/>
      <c r="F882" s="104" t="n"/>
      <c r="G882" s="104" t="n"/>
      <c r="H882" s="102" t="n"/>
      <c r="I882" s="105" t="n"/>
      <c r="J882" s="105" t="n"/>
      <c r="K882" s="103" t="n"/>
      <c r="L882" s="103" t="n"/>
      <c r="M882" s="106" t="str">
        <f>IF(OR(D882="",E882=""),"",D882+IF(E882="NOTIFICAÇÃO DE CONSTATAÇÃO",PrazoConst,PrazoEsc))</f>
        <v/>
      </c>
      <c r="N882" s="107" t="str">
        <f>IF(M882="","",IF(ISNUMBER(L882),M882-L882,IF(G882="DECISÃO D.P","",M882-TODAY())))</f>
        <v/>
      </c>
      <c r="O882" s="108" t="str">
        <f>IF(B882="","",IF(ISNUMBER(L882),IF(N882="","SEM DATA",IF(N882&gt;=0,"DEFESA NO PRAZO","DEFESA FORA DO PRAZO")),IF(G882="DECISÃO D.P","SEM DEFESA",IF(G882="","SEM STATUS",IF(N882="","SEM DATA",IF(N882&lt;0,"VENCIDO",IF(N882&lt;=DiasAlerta,"VENCE EM BREVE","NO PRAZO")))))))</f>
        <v/>
      </c>
      <c r="P882" s="109" t="str">
        <f>IF(D882="","",TODAY()-D882)</f>
        <v/>
      </c>
      <c r="Q882" s="102" t="n"/>
    </row>
    <row r="883" ht="18" customHeight="1">
      <c r="A883" s="101" t="n"/>
      <c r="B883" s="102" t="n"/>
      <c r="C883" s="102" t="n"/>
      <c r="D883" s="103" t="n"/>
      <c r="E883" s="102" t="n"/>
      <c r="F883" s="104" t="n"/>
      <c r="G883" s="104" t="n"/>
      <c r="H883" s="102" t="n"/>
      <c r="I883" s="105" t="n"/>
      <c r="J883" s="105" t="n"/>
      <c r="K883" s="103" t="n"/>
      <c r="L883" s="103" t="n"/>
      <c r="M883" s="106" t="str">
        <f>IF(OR(D883="",E883=""),"",D883+IF(E883="NOTIFICAÇÃO DE CONSTATAÇÃO",PrazoConst,PrazoEsc))</f>
        <v/>
      </c>
      <c r="N883" s="107" t="str">
        <f>IF(M883="","",IF(ISNUMBER(L883),M883-L883,IF(G883="DECISÃO D.P","",M883-TODAY())))</f>
        <v/>
      </c>
      <c r="O883" s="108" t="str">
        <f>IF(B883="","",IF(ISNUMBER(L883),IF(N883="","SEM DATA",IF(N883&gt;=0,"DEFESA NO PRAZO","DEFESA FORA DO PRAZO")),IF(G883="DECISÃO D.P","SEM DEFESA",IF(G883="","SEM STATUS",IF(N883="","SEM DATA",IF(N883&lt;0,"VENCIDO",IF(N883&lt;=DiasAlerta,"VENCE EM BREVE","NO PRAZO")))))))</f>
        <v/>
      </c>
      <c r="P883" s="109" t="str">
        <f>IF(D883="","",TODAY()-D883)</f>
        <v/>
      </c>
      <c r="Q883" s="102" t="n"/>
    </row>
    <row r="884" ht="18" customHeight="1">
      <c r="A884" s="101" t="n"/>
      <c r="B884" s="102" t="n"/>
      <c r="C884" s="102" t="n"/>
      <c r="D884" s="103" t="n"/>
      <c r="E884" s="102" t="n"/>
      <c r="F884" s="104" t="n"/>
      <c r="G884" s="104" t="n"/>
      <c r="H884" s="102" t="n"/>
      <c r="I884" s="105" t="n"/>
      <c r="J884" s="105" t="n"/>
      <c r="K884" s="103" t="n"/>
      <c r="L884" s="103" t="n"/>
      <c r="M884" s="106" t="str">
        <f>IF(OR(D884="",E884=""),"",D884+IF(E884="NOTIFICAÇÃO DE CONSTATAÇÃO",PrazoConst,PrazoEsc))</f>
        <v/>
      </c>
      <c r="N884" s="107" t="str">
        <f>IF(M884="","",IF(ISNUMBER(L884),M884-L884,IF(G884="DECISÃO D.P","",M884-TODAY())))</f>
        <v/>
      </c>
      <c r="O884" s="108" t="str">
        <f>IF(B884="","",IF(ISNUMBER(L884),IF(N884="","SEM DATA",IF(N884&gt;=0,"DEFESA NO PRAZO","DEFESA FORA DO PRAZO")),IF(G884="DECISÃO D.P","SEM DEFESA",IF(G884="","SEM STATUS",IF(N884="","SEM DATA",IF(N884&lt;0,"VENCIDO",IF(N884&lt;=DiasAlerta,"VENCE EM BREVE","NO PRAZO")))))))</f>
        <v/>
      </c>
      <c r="P884" s="109" t="str">
        <f>IF(D884="","",TODAY()-D884)</f>
        <v/>
      </c>
      <c r="Q884" s="102" t="n"/>
    </row>
    <row r="885" ht="18" customHeight="1">
      <c r="A885" s="101" t="n"/>
      <c r="B885" s="102" t="n"/>
      <c r="C885" s="102" t="n"/>
      <c r="D885" s="103" t="n"/>
      <c r="E885" s="102" t="n"/>
      <c r="F885" s="104" t="n"/>
      <c r="G885" s="104" t="n"/>
      <c r="H885" s="102" t="n"/>
      <c r="I885" s="105" t="n"/>
      <c r="J885" s="105" t="n"/>
      <c r="K885" s="103" t="n"/>
      <c r="L885" s="103" t="n"/>
      <c r="M885" s="106" t="str">
        <f>IF(OR(D885="",E885=""),"",D885+IF(E885="NOTIFICAÇÃO DE CONSTATAÇÃO",PrazoConst,PrazoEsc))</f>
        <v/>
      </c>
      <c r="N885" s="107" t="str">
        <f>IF(M885="","",IF(ISNUMBER(L885),M885-L885,IF(G885="DECISÃO D.P","",M885-TODAY())))</f>
        <v/>
      </c>
      <c r="O885" s="108" t="str">
        <f>IF(B885="","",IF(ISNUMBER(L885),IF(N885="","SEM DATA",IF(N885&gt;=0,"DEFESA NO PRAZO","DEFESA FORA DO PRAZO")),IF(G885="DECISÃO D.P","SEM DEFESA",IF(G885="","SEM STATUS",IF(N885="","SEM DATA",IF(N885&lt;0,"VENCIDO",IF(N885&lt;=DiasAlerta,"VENCE EM BREVE","NO PRAZO")))))))</f>
        <v/>
      </c>
      <c r="P885" s="109" t="str">
        <f>IF(D885="","",TODAY()-D885)</f>
        <v/>
      </c>
      <c r="Q885" s="102" t="n"/>
    </row>
    <row r="886" ht="18" customHeight="1">
      <c r="A886" s="101" t="n"/>
      <c r="B886" s="102" t="n"/>
      <c r="C886" s="102" t="n"/>
      <c r="D886" s="103" t="n"/>
      <c r="E886" s="102" t="n"/>
      <c r="F886" s="104" t="n"/>
      <c r="G886" s="104" t="n"/>
      <c r="H886" s="102" t="n"/>
      <c r="I886" s="105" t="n"/>
      <c r="J886" s="105" t="n"/>
      <c r="K886" s="103" t="n"/>
      <c r="L886" s="103" t="n"/>
      <c r="M886" s="106" t="str">
        <f>IF(OR(D886="",E886=""),"",D886+IF(E886="NOTIFICAÇÃO DE CONSTATAÇÃO",PrazoConst,PrazoEsc))</f>
        <v/>
      </c>
      <c r="N886" s="107" t="str">
        <f>IF(M886="","",IF(ISNUMBER(L886),M886-L886,IF(G886="DECISÃO D.P","",M886-TODAY())))</f>
        <v/>
      </c>
      <c r="O886" s="108" t="str">
        <f>IF(B886="","",IF(ISNUMBER(L886),IF(N886="","SEM DATA",IF(N886&gt;=0,"DEFESA NO PRAZO","DEFESA FORA DO PRAZO")),IF(G886="DECISÃO D.P","SEM DEFESA",IF(G886="","SEM STATUS",IF(N886="","SEM DATA",IF(N886&lt;0,"VENCIDO",IF(N886&lt;=DiasAlerta,"VENCE EM BREVE","NO PRAZO")))))))</f>
        <v/>
      </c>
      <c r="P886" s="109" t="str">
        <f>IF(D886="","",TODAY()-D886)</f>
        <v/>
      </c>
      <c r="Q886" s="102" t="n"/>
    </row>
    <row r="887" ht="18" customHeight="1">
      <c r="A887" s="101" t="n"/>
      <c r="B887" s="102" t="n"/>
      <c r="C887" s="102" t="n"/>
      <c r="D887" s="103" t="n"/>
      <c r="E887" s="102" t="n"/>
      <c r="F887" s="104" t="n"/>
      <c r="G887" s="104" t="n"/>
      <c r="H887" s="102" t="n"/>
      <c r="I887" s="105" t="n"/>
      <c r="J887" s="105" t="n"/>
      <c r="K887" s="103" t="n"/>
      <c r="L887" s="103" t="n"/>
      <c r="M887" s="106" t="str">
        <f>IF(OR(D887="",E887=""),"",D887+IF(E887="NOTIFICAÇÃO DE CONSTATAÇÃO",PrazoConst,PrazoEsc))</f>
        <v/>
      </c>
      <c r="N887" s="107" t="str">
        <f>IF(M887="","",IF(ISNUMBER(L887),M887-L887,IF(G887="DECISÃO D.P","",M887-TODAY())))</f>
        <v/>
      </c>
      <c r="O887" s="108" t="str">
        <f>IF(B887="","",IF(ISNUMBER(L887),IF(N887="","SEM DATA",IF(N887&gt;=0,"DEFESA NO PRAZO","DEFESA FORA DO PRAZO")),IF(G887="DECISÃO D.P","SEM DEFESA",IF(G887="","SEM STATUS",IF(N887="","SEM DATA",IF(N887&lt;0,"VENCIDO",IF(N887&lt;=DiasAlerta,"VENCE EM BREVE","NO PRAZO")))))))</f>
        <v/>
      </c>
      <c r="P887" s="109" t="str">
        <f>IF(D887="","",TODAY()-D887)</f>
        <v/>
      </c>
      <c r="Q887" s="102" t="n"/>
    </row>
    <row r="888" ht="18" customHeight="1">
      <c r="A888" s="101" t="n"/>
      <c r="B888" s="102" t="n"/>
      <c r="C888" s="102" t="n"/>
      <c r="D888" s="103" t="n"/>
      <c r="E888" s="102" t="n"/>
      <c r="F888" s="104" t="n"/>
      <c r="G888" s="104" t="n"/>
      <c r="H888" s="102" t="n"/>
      <c r="I888" s="105" t="n"/>
      <c r="J888" s="105" t="n"/>
      <c r="K888" s="103" t="n"/>
      <c r="L888" s="103" t="n"/>
      <c r="M888" s="106" t="str">
        <f>IF(OR(D888="",E888=""),"",D888+IF(E888="NOTIFICAÇÃO DE CONSTATAÇÃO",PrazoConst,PrazoEsc))</f>
        <v/>
      </c>
      <c r="N888" s="107" t="str">
        <f>IF(M888="","",IF(ISNUMBER(L888),M888-L888,IF(G888="DECISÃO D.P","",M888-TODAY())))</f>
        <v/>
      </c>
      <c r="O888" s="108" t="str">
        <f>IF(B888="","",IF(ISNUMBER(L888),IF(N888="","SEM DATA",IF(N888&gt;=0,"DEFESA NO PRAZO","DEFESA FORA DO PRAZO")),IF(G888="DECISÃO D.P","SEM DEFESA",IF(G888="","SEM STATUS",IF(N888="","SEM DATA",IF(N888&lt;0,"VENCIDO",IF(N888&lt;=DiasAlerta,"VENCE EM BREVE","NO PRAZO")))))))</f>
        <v/>
      </c>
      <c r="P888" s="109" t="str">
        <f>IF(D888="","",TODAY()-D888)</f>
        <v/>
      </c>
      <c r="Q888" s="102" t="n"/>
    </row>
    <row r="889" ht="18" customHeight="1">
      <c r="A889" s="101" t="n"/>
      <c r="B889" s="102" t="n"/>
      <c r="C889" s="102" t="n"/>
      <c r="D889" s="103" t="n"/>
      <c r="E889" s="102" t="n"/>
      <c r="F889" s="104" t="n"/>
      <c r="G889" s="104" t="n"/>
      <c r="H889" s="102" t="n"/>
      <c r="I889" s="105" t="n"/>
      <c r="J889" s="105" t="n"/>
      <c r="K889" s="103" t="n"/>
      <c r="L889" s="103" t="n"/>
      <c r="M889" s="106" t="str">
        <f>IF(OR(D889="",E889=""),"",D889+IF(E889="NOTIFICAÇÃO DE CONSTATAÇÃO",PrazoConst,PrazoEsc))</f>
        <v/>
      </c>
      <c r="N889" s="107" t="str">
        <f>IF(M889="","",IF(ISNUMBER(L889),M889-L889,IF(G889="DECISÃO D.P","",M889-TODAY())))</f>
        <v/>
      </c>
      <c r="O889" s="108" t="str">
        <f>IF(B889="","",IF(ISNUMBER(L889),IF(N889="","SEM DATA",IF(N889&gt;=0,"DEFESA NO PRAZO","DEFESA FORA DO PRAZO")),IF(G889="DECISÃO D.P","SEM DEFESA",IF(G889="","SEM STATUS",IF(N889="","SEM DATA",IF(N889&lt;0,"VENCIDO",IF(N889&lt;=DiasAlerta,"VENCE EM BREVE","NO PRAZO")))))))</f>
        <v/>
      </c>
      <c r="P889" s="109" t="str">
        <f>IF(D889="","",TODAY()-D889)</f>
        <v/>
      </c>
      <c r="Q889" s="102" t="n"/>
    </row>
    <row r="890" ht="18" customHeight="1">
      <c r="A890" s="101" t="n"/>
      <c r="B890" s="102" t="n"/>
      <c r="C890" s="102" t="n"/>
      <c r="D890" s="103" t="n"/>
      <c r="E890" s="102" t="n"/>
      <c r="F890" s="104" t="n"/>
      <c r="G890" s="104" t="n"/>
      <c r="H890" s="102" t="n"/>
      <c r="I890" s="105" t="n"/>
      <c r="J890" s="105" t="n"/>
      <c r="K890" s="103" t="n"/>
      <c r="L890" s="103" t="n"/>
      <c r="M890" s="106" t="str">
        <f>IF(OR(D890="",E890=""),"",D890+IF(E890="NOTIFICAÇÃO DE CONSTATAÇÃO",PrazoConst,PrazoEsc))</f>
        <v/>
      </c>
      <c r="N890" s="107" t="str">
        <f>IF(M890="","",IF(ISNUMBER(L890),M890-L890,IF(G890="DECISÃO D.P","",M890-TODAY())))</f>
        <v/>
      </c>
      <c r="O890" s="108" t="str">
        <f>IF(B890="","",IF(ISNUMBER(L890),IF(N890="","SEM DATA",IF(N890&gt;=0,"DEFESA NO PRAZO","DEFESA FORA DO PRAZO")),IF(G890="DECISÃO D.P","SEM DEFESA",IF(G890="","SEM STATUS",IF(N890="","SEM DATA",IF(N890&lt;0,"VENCIDO",IF(N890&lt;=DiasAlerta,"VENCE EM BREVE","NO PRAZO")))))))</f>
        <v/>
      </c>
      <c r="P890" s="109" t="str">
        <f>IF(D890="","",TODAY()-D890)</f>
        <v/>
      </c>
      <c r="Q890" s="102" t="n"/>
    </row>
    <row r="891" ht="18" customHeight="1">
      <c r="A891" s="101" t="n"/>
      <c r="B891" s="102" t="n"/>
      <c r="C891" s="102" t="n"/>
      <c r="D891" s="103" t="n"/>
      <c r="E891" s="102" t="n"/>
      <c r="F891" s="104" t="n"/>
      <c r="G891" s="104" t="n"/>
      <c r="H891" s="102" t="n"/>
      <c r="I891" s="105" t="n"/>
      <c r="J891" s="105" t="n"/>
      <c r="K891" s="103" t="n"/>
      <c r="L891" s="103" t="n"/>
      <c r="M891" s="106" t="str">
        <f>IF(OR(D891="",E891=""),"",D891+IF(E891="NOTIFICAÇÃO DE CONSTATAÇÃO",PrazoConst,PrazoEsc))</f>
        <v/>
      </c>
      <c r="N891" s="107" t="str">
        <f>IF(M891="","",IF(ISNUMBER(L891),M891-L891,IF(G891="DECISÃO D.P","",M891-TODAY())))</f>
        <v/>
      </c>
      <c r="O891" s="108" t="str">
        <f>IF(B891="","",IF(ISNUMBER(L891),IF(N891="","SEM DATA",IF(N891&gt;=0,"DEFESA NO PRAZO","DEFESA FORA DO PRAZO")),IF(G891="DECISÃO D.P","SEM DEFESA",IF(G891="","SEM STATUS",IF(N891="","SEM DATA",IF(N891&lt;0,"VENCIDO",IF(N891&lt;=DiasAlerta,"VENCE EM BREVE","NO PRAZO")))))))</f>
        <v/>
      </c>
      <c r="P891" s="109" t="str">
        <f>IF(D891="","",TODAY()-D891)</f>
        <v/>
      </c>
      <c r="Q891" s="102" t="n"/>
    </row>
    <row r="892" ht="18" customHeight="1">
      <c r="A892" s="101" t="n"/>
      <c r="B892" s="102" t="n"/>
      <c r="C892" s="102" t="n"/>
      <c r="D892" s="103" t="n"/>
      <c r="E892" s="102" t="n"/>
      <c r="F892" s="104" t="n"/>
      <c r="G892" s="104" t="n"/>
      <c r="H892" s="102" t="n"/>
      <c r="I892" s="105" t="n"/>
      <c r="J892" s="105" t="n"/>
      <c r="K892" s="103" t="n"/>
      <c r="L892" s="103" t="n"/>
      <c r="M892" s="106" t="str">
        <f>IF(OR(D892="",E892=""),"",D892+IF(E892="NOTIFICAÇÃO DE CONSTATAÇÃO",PrazoConst,PrazoEsc))</f>
        <v/>
      </c>
      <c r="N892" s="107" t="str">
        <f>IF(M892="","",IF(ISNUMBER(L892),M892-L892,IF(G892="DECISÃO D.P","",M892-TODAY())))</f>
        <v/>
      </c>
      <c r="O892" s="108" t="str">
        <f>IF(B892="","",IF(ISNUMBER(L892),IF(N892="","SEM DATA",IF(N892&gt;=0,"DEFESA NO PRAZO","DEFESA FORA DO PRAZO")),IF(G892="DECISÃO D.P","SEM DEFESA",IF(G892="","SEM STATUS",IF(N892="","SEM DATA",IF(N892&lt;0,"VENCIDO",IF(N892&lt;=DiasAlerta,"VENCE EM BREVE","NO PRAZO")))))))</f>
        <v/>
      </c>
      <c r="P892" s="109" t="str">
        <f>IF(D892="","",TODAY()-D892)</f>
        <v/>
      </c>
      <c r="Q892" s="102" t="n"/>
    </row>
    <row r="893" ht="18" customHeight="1">
      <c r="A893" s="101" t="n"/>
      <c r="B893" s="102" t="n"/>
      <c r="C893" s="102" t="n"/>
      <c r="D893" s="103" t="n"/>
      <c r="E893" s="102" t="n"/>
      <c r="F893" s="104" t="n"/>
      <c r="G893" s="104" t="n"/>
      <c r="H893" s="102" t="n"/>
      <c r="I893" s="105" t="n"/>
      <c r="J893" s="105" t="n"/>
      <c r="K893" s="103" t="n"/>
      <c r="L893" s="103" t="n"/>
      <c r="M893" s="106" t="str">
        <f>IF(OR(D893="",E893=""),"",D893+IF(E893="NOTIFICAÇÃO DE CONSTATAÇÃO",PrazoConst,PrazoEsc))</f>
        <v/>
      </c>
      <c r="N893" s="107" t="str">
        <f>IF(M893="","",IF(ISNUMBER(L893),M893-L893,IF(G893="DECISÃO D.P","",M893-TODAY())))</f>
        <v/>
      </c>
      <c r="O893" s="108" t="str">
        <f>IF(B893="","",IF(ISNUMBER(L893),IF(N893="","SEM DATA",IF(N893&gt;=0,"DEFESA NO PRAZO","DEFESA FORA DO PRAZO")),IF(G893="DECISÃO D.P","SEM DEFESA",IF(G893="","SEM STATUS",IF(N893="","SEM DATA",IF(N893&lt;0,"VENCIDO",IF(N893&lt;=DiasAlerta,"VENCE EM BREVE","NO PRAZO")))))))</f>
        <v/>
      </c>
      <c r="P893" s="109" t="str">
        <f>IF(D893="","",TODAY()-D893)</f>
        <v/>
      </c>
      <c r="Q893" s="102" t="n"/>
    </row>
    <row r="894" ht="18" customHeight="1">
      <c r="A894" s="101" t="n"/>
      <c r="B894" s="102" t="n"/>
      <c r="C894" s="102" t="n"/>
      <c r="D894" s="103" t="n"/>
      <c r="E894" s="102" t="n"/>
      <c r="F894" s="104" t="n"/>
      <c r="G894" s="104" t="n"/>
      <c r="H894" s="102" t="n"/>
      <c r="I894" s="105" t="n"/>
      <c r="J894" s="105" t="n"/>
      <c r="K894" s="103" t="n"/>
      <c r="L894" s="103" t="n"/>
      <c r="M894" s="106" t="str">
        <f>IF(OR(D894="",E894=""),"",D894+IF(E894="NOTIFICAÇÃO DE CONSTATAÇÃO",PrazoConst,PrazoEsc))</f>
        <v/>
      </c>
      <c r="N894" s="107" t="str">
        <f>IF(M894="","",IF(ISNUMBER(L894),M894-L894,IF(G894="DECISÃO D.P","",M894-TODAY())))</f>
        <v/>
      </c>
      <c r="O894" s="108" t="str">
        <f>IF(B894="","",IF(ISNUMBER(L894),IF(N894="","SEM DATA",IF(N894&gt;=0,"DEFESA NO PRAZO","DEFESA FORA DO PRAZO")),IF(G894="DECISÃO D.P","SEM DEFESA",IF(G894="","SEM STATUS",IF(N894="","SEM DATA",IF(N894&lt;0,"VENCIDO",IF(N894&lt;=DiasAlerta,"VENCE EM BREVE","NO PRAZO")))))))</f>
        <v/>
      </c>
      <c r="P894" s="109" t="str">
        <f>IF(D894="","",TODAY()-D894)</f>
        <v/>
      </c>
      <c r="Q894" s="102" t="n"/>
    </row>
    <row r="895" ht="18" customHeight="1">
      <c r="A895" s="101" t="n"/>
      <c r="B895" s="102" t="n"/>
      <c r="C895" s="102" t="n"/>
      <c r="D895" s="103" t="n"/>
      <c r="E895" s="102" t="n"/>
      <c r="F895" s="104" t="n"/>
      <c r="G895" s="104" t="n"/>
      <c r="H895" s="102" t="n"/>
      <c r="I895" s="105" t="n"/>
      <c r="J895" s="105" t="n"/>
      <c r="K895" s="103" t="n"/>
      <c r="L895" s="103" t="n"/>
      <c r="M895" s="106" t="str">
        <f>IF(OR(D895="",E895=""),"",D895+IF(E895="NOTIFICAÇÃO DE CONSTATAÇÃO",PrazoConst,PrazoEsc))</f>
        <v/>
      </c>
      <c r="N895" s="107" t="str">
        <f>IF(M895="","",IF(ISNUMBER(L895),M895-L895,IF(G895="DECISÃO D.P","",M895-TODAY())))</f>
        <v/>
      </c>
      <c r="O895" s="108" t="str">
        <f>IF(B895="","",IF(ISNUMBER(L895),IF(N895="","SEM DATA",IF(N895&gt;=0,"DEFESA NO PRAZO","DEFESA FORA DO PRAZO")),IF(G895="DECISÃO D.P","SEM DEFESA",IF(G895="","SEM STATUS",IF(N895="","SEM DATA",IF(N895&lt;0,"VENCIDO",IF(N895&lt;=DiasAlerta,"VENCE EM BREVE","NO PRAZO")))))))</f>
        <v/>
      </c>
      <c r="P895" s="109" t="str">
        <f>IF(D895="","",TODAY()-D895)</f>
        <v/>
      </c>
      <c r="Q895" s="102" t="n"/>
    </row>
    <row r="896" ht="18" customHeight="1">
      <c r="A896" s="101" t="n"/>
      <c r="B896" s="102" t="n"/>
      <c r="C896" s="102" t="n"/>
      <c r="D896" s="103" t="n"/>
      <c r="E896" s="102" t="n"/>
      <c r="F896" s="104" t="n"/>
      <c r="G896" s="104" t="n"/>
      <c r="H896" s="102" t="n"/>
      <c r="I896" s="105" t="n"/>
      <c r="J896" s="105" t="n"/>
      <c r="K896" s="103" t="n"/>
      <c r="L896" s="103" t="n"/>
      <c r="M896" s="106" t="str">
        <f>IF(OR(D896="",E896=""),"",D896+IF(E896="NOTIFICAÇÃO DE CONSTATAÇÃO",PrazoConst,PrazoEsc))</f>
        <v/>
      </c>
      <c r="N896" s="107" t="str">
        <f>IF(M896="","",IF(ISNUMBER(L896),M896-L896,IF(G896="DECISÃO D.P","",M896-TODAY())))</f>
        <v/>
      </c>
      <c r="O896" s="108" t="str">
        <f>IF(B896="","",IF(ISNUMBER(L896),IF(N896="","SEM DATA",IF(N896&gt;=0,"DEFESA NO PRAZO","DEFESA FORA DO PRAZO")),IF(G896="DECISÃO D.P","SEM DEFESA",IF(G896="","SEM STATUS",IF(N896="","SEM DATA",IF(N896&lt;0,"VENCIDO",IF(N896&lt;=DiasAlerta,"VENCE EM BREVE","NO PRAZO")))))))</f>
        <v/>
      </c>
      <c r="P896" s="109" t="str">
        <f>IF(D896="","",TODAY()-D896)</f>
        <v/>
      </c>
      <c r="Q896" s="102" t="n"/>
    </row>
    <row r="897" ht="18" customHeight="1">
      <c r="A897" s="101" t="n"/>
      <c r="B897" s="102" t="n"/>
      <c r="C897" s="102" t="n"/>
      <c r="D897" s="103" t="n"/>
      <c r="E897" s="102" t="n"/>
      <c r="F897" s="104" t="n"/>
      <c r="G897" s="104" t="n"/>
      <c r="H897" s="102" t="n"/>
      <c r="I897" s="105" t="n"/>
      <c r="J897" s="105" t="n"/>
      <c r="K897" s="103" t="n"/>
      <c r="L897" s="103" t="n"/>
      <c r="M897" s="106" t="str">
        <f>IF(OR(D897="",E897=""),"",D897+IF(E897="NOTIFICAÇÃO DE CONSTATAÇÃO",PrazoConst,PrazoEsc))</f>
        <v/>
      </c>
      <c r="N897" s="107" t="str">
        <f>IF(M897="","",IF(ISNUMBER(L897),M897-L897,IF(G897="DECISÃO D.P","",M897-TODAY())))</f>
        <v/>
      </c>
      <c r="O897" s="108" t="str">
        <f>IF(B897="","",IF(ISNUMBER(L897),IF(N897="","SEM DATA",IF(N897&gt;=0,"DEFESA NO PRAZO","DEFESA FORA DO PRAZO")),IF(G897="DECISÃO D.P","SEM DEFESA",IF(G897="","SEM STATUS",IF(N897="","SEM DATA",IF(N897&lt;0,"VENCIDO",IF(N897&lt;=DiasAlerta,"VENCE EM BREVE","NO PRAZO")))))))</f>
        <v/>
      </c>
      <c r="P897" s="109" t="str">
        <f>IF(D897="","",TODAY()-D897)</f>
        <v/>
      </c>
      <c r="Q897" s="102" t="n"/>
    </row>
    <row r="898" ht="18" customHeight="1">
      <c r="A898" s="101" t="n"/>
      <c r="B898" s="102" t="n"/>
      <c r="C898" s="102" t="n"/>
      <c r="D898" s="103" t="n"/>
      <c r="E898" s="102" t="n"/>
      <c r="F898" s="104" t="n"/>
      <c r="G898" s="104" t="n"/>
      <c r="H898" s="102" t="n"/>
      <c r="I898" s="105" t="n"/>
      <c r="J898" s="105" t="n"/>
      <c r="K898" s="103" t="n"/>
      <c r="L898" s="103" t="n"/>
      <c r="M898" s="106" t="str">
        <f>IF(OR(D898="",E898=""),"",D898+IF(E898="NOTIFICAÇÃO DE CONSTATAÇÃO",PrazoConst,PrazoEsc))</f>
        <v/>
      </c>
      <c r="N898" s="107" t="str">
        <f>IF(M898="","",IF(ISNUMBER(L898),M898-L898,IF(G898="DECISÃO D.P","",M898-TODAY())))</f>
        <v/>
      </c>
      <c r="O898" s="108" t="str">
        <f>IF(B898="","",IF(ISNUMBER(L898),IF(N898="","SEM DATA",IF(N898&gt;=0,"DEFESA NO PRAZO","DEFESA FORA DO PRAZO")),IF(G898="DECISÃO D.P","SEM DEFESA",IF(G898="","SEM STATUS",IF(N898="","SEM DATA",IF(N898&lt;0,"VENCIDO",IF(N898&lt;=DiasAlerta,"VENCE EM BREVE","NO PRAZO")))))))</f>
        <v/>
      </c>
      <c r="P898" s="109" t="str">
        <f>IF(D898="","",TODAY()-D898)</f>
        <v/>
      </c>
      <c r="Q898" s="102" t="n"/>
    </row>
    <row r="899" ht="18" customHeight="1">
      <c r="A899" s="101" t="n"/>
      <c r="B899" s="102" t="n"/>
      <c r="C899" s="102" t="n"/>
      <c r="D899" s="103" t="n"/>
      <c r="E899" s="102" t="n"/>
      <c r="F899" s="104" t="n"/>
      <c r="G899" s="104" t="n"/>
      <c r="H899" s="102" t="n"/>
      <c r="I899" s="105" t="n"/>
      <c r="J899" s="105" t="n"/>
      <c r="K899" s="103" t="n"/>
      <c r="L899" s="103" t="n"/>
      <c r="M899" s="106" t="str">
        <f>IF(OR(D899="",E899=""),"",D899+IF(E899="NOTIFICAÇÃO DE CONSTATAÇÃO",PrazoConst,PrazoEsc))</f>
        <v/>
      </c>
      <c r="N899" s="107" t="str">
        <f>IF(M899="","",IF(ISNUMBER(L899),M899-L899,IF(G899="DECISÃO D.P","",M899-TODAY())))</f>
        <v/>
      </c>
      <c r="O899" s="108" t="str">
        <f>IF(B899="","",IF(ISNUMBER(L899),IF(N899="","SEM DATA",IF(N899&gt;=0,"DEFESA NO PRAZO","DEFESA FORA DO PRAZO")),IF(G899="DECISÃO D.P","SEM DEFESA",IF(G899="","SEM STATUS",IF(N899="","SEM DATA",IF(N899&lt;0,"VENCIDO",IF(N899&lt;=DiasAlerta,"VENCE EM BREVE","NO PRAZO")))))))</f>
        <v/>
      </c>
      <c r="P899" s="109" t="str">
        <f>IF(D899="","",TODAY()-D899)</f>
        <v/>
      </c>
      <c r="Q899" s="102" t="n"/>
    </row>
    <row r="900" ht="18" customHeight="1">
      <c r="A900" s="101" t="n"/>
      <c r="B900" s="102" t="n"/>
      <c r="C900" s="102" t="n"/>
      <c r="D900" s="103" t="n"/>
      <c r="E900" s="102" t="n"/>
      <c r="F900" s="104" t="n"/>
      <c r="G900" s="104" t="n"/>
      <c r="H900" s="102" t="n"/>
      <c r="I900" s="105" t="n"/>
      <c r="J900" s="105" t="n"/>
      <c r="K900" s="103" t="n"/>
      <c r="L900" s="103" t="n"/>
      <c r="M900" s="106" t="str">
        <f>IF(OR(D900="",E900=""),"",D900+IF(E900="NOTIFICAÇÃO DE CONSTATAÇÃO",PrazoConst,PrazoEsc))</f>
        <v/>
      </c>
      <c r="N900" s="107" t="str">
        <f>IF(M900="","",IF(ISNUMBER(L900),M900-L900,IF(G900="DECISÃO D.P","",M900-TODAY())))</f>
        <v/>
      </c>
      <c r="O900" s="108" t="str">
        <f>IF(B900="","",IF(ISNUMBER(L900),IF(N900="","SEM DATA",IF(N900&gt;=0,"DEFESA NO PRAZO","DEFESA FORA DO PRAZO")),IF(G900="DECISÃO D.P","SEM DEFESA",IF(G900="","SEM STATUS",IF(N900="","SEM DATA",IF(N900&lt;0,"VENCIDO",IF(N900&lt;=DiasAlerta,"VENCE EM BREVE","NO PRAZO")))))))</f>
        <v/>
      </c>
      <c r="P900" s="109" t="str">
        <f>IF(D900="","",TODAY()-D900)</f>
        <v/>
      </c>
      <c r="Q900" s="102" t="n"/>
    </row>
    <row r="901" ht="18" customHeight="1">
      <c r="A901" s="101" t="n"/>
      <c r="B901" s="102" t="n"/>
      <c r="C901" s="102" t="n"/>
      <c r="D901" s="103" t="n"/>
      <c r="E901" s="102" t="n"/>
      <c r="F901" s="104" t="n"/>
      <c r="G901" s="104" t="n"/>
      <c r="H901" s="102" t="n"/>
      <c r="I901" s="105" t="n"/>
      <c r="J901" s="105" t="n"/>
      <c r="K901" s="103" t="n"/>
      <c r="L901" s="103" t="n"/>
      <c r="M901" s="106" t="str">
        <f>IF(OR(D901="",E901=""),"",D901+IF(E901="NOTIFICAÇÃO DE CONSTATAÇÃO",PrazoConst,PrazoEsc))</f>
        <v/>
      </c>
      <c r="N901" s="107" t="str">
        <f>IF(M901="","",IF(ISNUMBER(L901),M901-L901,IF(G901="DECISÃO D.P","",M901-TODAY())))</f>
        <v/>
      </c>
      <c r="O901" s="108" t="str">
        <f>IF(B901="","",IF(ISNUMBER(L901),IF(N901="","SEM DATA",IF(N901&gt;=0,"DEFESA NO PRAZO","DEFESA FORA DO PRAZO")),IF(G901="DECISÃO D.P","SEM DEFESA",IF(G901="","SEM STATUS",IF(N901="","SEM DATA",IF(N901&lt;0,"VENCIDO",IF(N901&lt;=DiasAlerta,"VENCE EM BREVE","NO PRAZO")))))))</f>
        <v/>
      </c>
      <c r="P901" s="109" t="str">
        <f>IF(D901="","",TODAY()-D901)</f>
        <v/>
      </c>
      <c r="Q901" s="102" t="n"/>
    </row>
    <row r="902" ht="18" customHeight="1">
      <c r="A902" s="101" t="n"/>
      <c r="B902" s="102" t="n"/>
      <c r="C902" s="102" t="n"/>
      <c r="D902" s="103" t="n"/>
      <c r="E902" s="102" t="n"/>
      <c r="F902" s="104" t="n"/>
      <c r="G902" s="104" t="n"/>
      <c r="H902" s="102" t="n"/>
      <c r="I902" s="105" t="n"/>
      <c r="J902" s="105" t="n"/>
      <c r="K902" s="103" t="n"/>
      <c r="L902" s="103" t="n"/>
      <c r="M902" s="106" t="str">
        <f>IF(OR(D902="",E902=""),"",D902+IF(E902="NOTIFICAÇÃO DE CONSTATAÇÃO",PrazoConst,PrazoEsc))</f>
        <v/>
      </c>
      <c r="N902" s="107" t="str">
        <f>IF(M902="","",IF(ISNUMBER(L902),M902-L902,IF(G902="DECISÃO D.P","",M902-TODAY())))</f>
        <v/>
      </c>
      <c r="O902" s="108" t="str">
        <f>IF(B902="","",IF(ISNUMBER(L902),IF(N902="","SEM DATA",IF(N902&gt;=0,"DEFESA NO PRAZO","DEFESA FORA DO PRAZO")),IF(G902="DECISÃO D.P","SEM DEFESA",IF(G902="","SEM STATUS",IF(N902="","SEM DATA",IF(N902&lt;0,"VENCIDO",IF(N902&lt;=DiasAlerta,"VENCE EM BREVE","NO PRAZO")))))))</f>
        <v/>
      </c>
      <c r="P902" s="109" t="str">
        <f>IF(D902="","",TODAY()-D902)</f>
        <v/>
      </c>
      <c r="Q902" s="102" t="n"/>
    </row>
    <row r="903" ht="18" customHeight="1">
      <c r="A903" s="101" t="n"/>
      <c r="B903" s="102" t="n"/>
      <c r="C903" s="102" t="n"/>
      <c r="D903" s="103" t="n"/>
      <c r="E903" s="102" t="n"/>
      <c r="F903" s="104" t="n"/>
      <c r="G903" s="104" t="n"/>
      <c r="H903" s="102" t="n"/>
      <c r="I903" s="105" t="n"/>
      <c r="J903" s="105" t="n"/>
      <c r="K903" s="103" t="n"/>
      <c r="L903" s="103" t="n"/>
      <c r="M903" s="106" t="str">
        <f>IF(OR(D903="",E903=""),"",D903+IF(E903="NOTIFICAÇÃO DE CONSTATAÇÃO",PrazoConst,PrazoEsc))</f>
        <v/>
      </c>
      <c r="N903" s="107" t="str">
        <f>IF(M903="","",IF(ISNUMBER(L903),M903-L903,IF(G903="DECISÃO D.P","",M903-TODAY())))</f>
        <v/>
      </c>
      <c r="O903" s="108" t="str">
        <f>IF(B903="","",IF(ISNUMBER(L903),IF(N903="","SEM DATA",IF(N903&gt;=0,"DEFESA NO PRAZO","DEFESA FORA DO PRAZO")),IF(G903="DECISÃO D.P","SEM DEFESA",IF(G903="","SEM STATUS",IF(N903="","SEM DATA",IF(N903&lt;0,"VENCIDO",IF(N903&lt;=DiasAlerta,"VENCE EM BREVE","NO PRAZO")))))))</f>
        <v/>
      </c>
      <c r="P903" s="109" t="str">
        <f>IF(D903="","",TODAY()-D903)</f>
        <v/>
      </c>
      <c r="Q903" s="102" t="n"/>
    </row>
    <row r="904" ht="18" customHeight="1">
      <c r="A904" s="101" t="n"/>
      <c r="B904" s="102" t="n"/>
      <c r="C904" s="102" t="n"/>
      <c r="D904" s="103" t="n"/>
      <c r="E904" s="102" t="n"/>
      <c r="F904" s="104" t="n"/>
      <c r="G904" s="104" t="n"/>
      <c r="H904" s="102" t="n"/>
      <c r="I904" s="105" t="n"/>
      <c r="J904" s="105" t="n"/>
      <c r="K904" s="103" t="n"/>
      <c r="L904" s="103" t="n"/>
      <c r="M904" s="106" t="str">
        <f>IF(OR(D904="",E904=""),"",D904+IF(E904="NOTIFICAÇÃO DE CONSTATAÇÃO",PrazoConst,PrazoEsc))</f>
        <v/>
      </c>
      <c r="N904" s="107" t="str">
        <f>IF(M904="","",IF(ISNUMBER(L904),M904-L904,IF(G904="DECISÃO D.P","",M904-TODAY())))</f>
        <v/>
      </c>
      <c r="O904" s="108" t="str">
        <f>IF(B904="","",IF(ISNUMBER(L904),IF(N904="","SEM DATA",IF(N904&gt;=0,"DEFESA NO PRAZO","DEFESA FORA DO PRAZO")),IF(G904="DECISÃO D.P","SEM DEFESA",IF(G904="","SEM STATUS",IF(N904="","SEM DATA",IF(N904&lt;0,"VENCIDO",IF(N904&lt;=DiasAlerta,"VENCE EM BREVE","NO PRAZO")))))))</f>
        <v/>
      </c>
      <c r="P904" s="109" t="str">
        <f>IF(D904="","",TODAY()-D904)</f>
        <v/>
      </c>
      <c r="Q904" s="102" t="n"/>
    </row>
    <row r="905" ht="18" customHeight="1">
      <c r="A905" s="101" t="n"/>
      <c r="B905" s="102" t="n"/>
      <c r="C905" s="102" t="n"/>
      <c r="D905" s="103" t="n"/>
      <c r="E905" s="102" t="n"/>
      <c r="F905" s="104" t="n"/>
      <c r="G905" s="104" t="n"/>
      <c r="H905" s="102" t="n"/>
      <c r="I905" s="105" t="n"/>
      <c r="J905" s="105" t="n"/>
      <c r="K905" s="103" t="n"/>
      <c r="L905" s="103" t="n"/>
      <c r="M905" s="106" t="str">
        <f>IF(OR(D905="",E905=""),"",D905+IF(E905="NOTIFICAÇÃO DE CONSTATAÇÃO",PrazoConst,PrazoEsc))</f>
        <v/>
      </c>
      <c r="N905" s="107" t="str">
        <f>IF(M905="","",IF(ISNUMBER(L905),M905-L905,IF(G905="DECISÃO D.P","",M905-TODAY())))</f>
        <v/>
      </c>
      <c r="O905" s="108" t="str">
        <f>IF(B905="","",IF(ISNUMBER(L905),IF(N905="","SEM DATA",IF(N905&gt;=0,"DEFESA NO PRAZO","DEFESA FORA DO PRAZO")),IF(G905="DECISÃO D.P","SEM DEFESA",IF(G905="","SEM STATUS",IF(N905="","SEM DATA",IF(N905&lt;0,"VENCIDO",IF(N905&lt;=DiasAlerta,"VENCE EM BREVE","NO PRAZO")))))))</f>
        <v/>
      </c>
      <c r="P905" s="109" t="str">
        <f>IF(D905="","",TODAY()-D905)</f>
        <v/>
      </c>
      <c r="Q905" s="102" t="n"/>
    </row>
    <row r="906" ht="18" customHeight="1">
      <c r="A906" s="101" t="n"/>
      <c r="B906" s="102" t="n"/>
      <c r="C906" s="102" t="n"/>
      <c r="D906" s="103" t="n"/>
      <c r="E906" s="102" t="n"/>
      <c r="F906" s="104" t="n"/>
      <c r="G906" s="104" t="n"/>
      <c r="H906" s="102" t="n"/>
      <c r="I906" s="105" t="n"/>
      <c r="J906" s="105" t="n"/>
      <c r="K906" s="103" t="n"/>
      <c r="L906" s="103" t="n"/>
      <c r="M906" s="106" t="str">
        <f>IF(OR(D906="",E906=""),"",D906+IF(E906="NOTIFICAÇÃO DE CONSTATAÇÃO",PrazoConst,PrazoEsc))</f>
        <v/>
      </c>
      <c r="N906" s="107" t="str">
        <f>IF(M906="","",IF(ISNUMBER(L906),M906-L906,IF(G906="DECISÃO D.P","",M906-TODAY())))</f>
        <v/>
      </c>
      <c r="O906" s="108" t="str">
        <f>IF(B906="","",IF(ISNUMBER(L906),IF(N906="","SEM DATA",IF(N906&gt;=0,"DEFESA NO PRAZO","DEFESA FORA DO PRAZO")),IF(G906="DECISÃO D.P","SEM DEFESA",IF(G906="","SEM STATUS",IF(N906="","SEM DATA",IF(N906&lt;0,"VENCIDO",IF(N906&lt;=DiasAlerta,"VENCE EM BREVE","NO PRAZO")))))))</f>
        <v/>
      </c>
      <c r="P906" s="109" t="str">
        <f>IF(D906="","",TODAY()-D906)</f>
        <v/>
      </c>
      <c r="Q906" s="102" t="n"/>
    </row>
    <row r="907" ht="18" customHeight="1">
      <c r="A907" s="101" t="n"/>
      <c r="B907" s="102" t="n"/>
      <c r="C907" s="102" t="n"/>
      <c r="D907" s="103" t="n"/>
      <c r="E907" s="102" t="n"/>
      <c r="F907" s="104" t="n"/>
      <c r="G907" s="104" t="n"/>
      <c r="H907" s="102" t="n"/>
      <c r="I907" s="105" t="n"/>
      <c r="J907" s="105" t="n"/>
      <c r="K907" s="103" t="n"/>
      <c r="L907" s="103" t="n"/>
      <c r="M907" s="106" t="str">
        <f>IF(OR(D907="",E907=""),"",D907+IF(E907="NOTIFICAÇÃO DE CONSTATAÇÃO",PrazoConst,PrazoEsc))</f>
        <v/>
      </c>
      <c r="N907" s="107" t="str">
        <f>IF(M907="","",IF(ISNUMBER(L907),M907-L907,IF(G907="DECISÃO D.P","",M907-TODAY())))</f>
        <v/>
      </c>
      <c r="O907" s="108" t="str">
        <f>IF(B907="","",IF(ISNUMBER(L907),IF(N907="","SEM DATA",IF(N907&gt;=0,"DEFESA NO PRAZO","DEFESA FORA DO PRAZO")),IF(G907="DECISÃO D.P","SEM DEFESA",IF(G907="","SEM STATUS",IF(N907="","SEM DATA",IF(N907&lt;0,"VENCIDO",IF(N907&lt;=DiasAlerta,"VENCE EM BREVE","NO PRAZO")))))))</f>
        <v/>
      </c>
      <c r="P907" s="109" t="str">
        <f>IF(D907="","",TODAY()-D907)</f>
        <v/>
      </c>
      <c r="Q907" s="102" t="n"/>
    </row>
    <row r="908" ht="18" customHeight="1">
      <c r="A908" s="101" t="n"/>
      <c r="B908" s="102" t="n"/>
      <c r="C908" s="102" t="n"/>
      <c r="D908" s="103" t="n"/>
      <c r="E908" s="102" t="n"/>
      <c r="F908" s="104" t="n"/>
      <c r="G908" s="104" t="n"/>
      <c r="H908" s="102" t="n"/>
      <c r="I908" s="105" t="n"/>
      <c r="J908" s="105" t="n"/>
      <c r="K908" s="103" t="n"/>
      <c r="L908" s="103" t="n"/>
      <c r="M908" s="106" t="str">
        <f>IF(OR(D908="",E908=""),"",D908+IF(E908="NOTIFICAÇÃO DE CONSTATAÇÃO",PrazoConst,PrazoEsc))</f>
        <v/>
      </c>
      <c r="N908" s="107" t="str">
        <f>IF(M908="","",IF(ISNUMBER(L908),M908-L908,IF(G908="DECISÃO D.P","",M908-TODAY())))</f>
        <v/>
      </c>
      <c r="O908" s="108" t="str">
        <f>IF(B908="","",IF(ISNUMBER(L908),IF(N908="","SEM DATA",IF(N908&gt;=0,"DEFESA NO PRAZO","DEFESA FORA DO PRAZO")),IF(G908="DECISÃO D.P","SEM DEFESA",IF(G908="","SEM STATUS",IF(N908="","SEM DATA",IF(N908&lt;0,"VENCIDO",IF(N908&lt;=DiasAlerta,"VENCE EM BREVE","NO PRAZO")))))))</f>
        <v/>
      </c>
      <c r="P908" s="109" t="str">
        <f>IF(D908="","",TODAY()-D908)</f>
        <v/>
      </c>
      <c r="Q908" s="102" t="n"/>
    </row>
    <row r="909" ht="18" customHeight="1">
      <c r="A909" s="101" t="n"/>
      <c r="B909" s="102" t="n"/>
      <c r="C909" s="102" t="n"/>
      <c r="D909" s="103" t="n"/>
      <c r="E909" s="102" t="n"/>
      <c r="F909" s="104" t="n"/>
      <c r="G909" s="104" t="n"/>
      <c r="H909" s="102" t="n"/>
      <c r="I909" s="105" t="n"/>
      <c r="J909" s="105" t="n"/>
      <c r="K909" s="103" t="n"/>
      <c r="L909" s="103" t="n"/>
      <c r="M909" s="106" t="str">
        <f>IF(OR(D909="",E909=""),"",D909+IF(E909="NOTIFICAÇÃO DE CONSTATAÇÃO",PrazoConst,PrazoEsc))</f>
        <v/>
      </c>
      <c r="N909" s="107" t="str">
        <f>IF(M909="","",IF(ISNUMBER(L909),M909-L909,IF(G909="DECISÃO D.P","",M909-TODAY())))</f>
        <v/>
      </c>
      <c r="O909" s="108" t="str">
        <f>IF(B909="","",IF(ISNUMBER(L909),IF(N909="","SEM DATA",IF(N909&gt;=0,"DEFESA NO PRAZO","DEFESA FORA DO PRAZO")),IF(G909="DECISÃO D.P","SEM DEFESA",IF(G909="","SEM STATUS",IF(N909="","SEM DATA",IF(N909&lt;0,"VENCIDO",IF(N909&lt;=DiasAlerta,"VENCE EM BREVE","NO PRAZO")))))))</f>
        <v/>
      </c>
      <c r="P909" s="109" t="str">
        <f>IF(D909="","",TODAY()-D909)</f>
        <v/>
      </c>
      <c r="Q909" s="102" t="n"/>
    </row>
    <row r="910" ht="18" customHeight="1">
      <c r="A910" s="101" t="n"/>
      <c r="B910" s="102" t="n"/>
      <c r="C910" s="102" t="n"/>
      <c r="D910" s="103" t="n"/>
      <c r="E910" s="102" t="n"/>
      <c r="F910" s="104" t="n"/>
      <c r="G910" s="104" t="n"/>
      <c r="H910" s="102" t="n"/>
      <c r="I910" s="105" t="n"/>
      <c r="J910" s="105" t="n"/>
      <c r="K910" s="103" t="n"/>
      <c r="L910" s="103" t="n"/>
      <c r="M910" s="106" t="str">
        <f>IF(OR(D910="",E910=""),"",D910+IF(E910="NOTIFICAÇÃO DE CONSTATAÇÃO",PrazoConst,PrazoEsc))</f>
        <v/>
      </c>
      <c r="N910" s="107" t="str">
        <f>IF(M910="","",IF(ISNUMBER(L910),M910-L910,IF(G910="DECISÃO D.P","",M910-TODAY())))</f>
        <v/>
      </c>
      <c r="O910" s="108" t="str">
        <f>IF(B910="","",IF(ISNUMBER(L910),IF(N910="","SEM DATA",IF(N910&gt;=0,"DEFESA NO PRAZO","DEFESA FORA DO PRAZO")),IF(G910="DECISÃO D.P","SEM DEFESA",IF(G910="","SEM STATUS",IF(N910="","SEM DATA",IF(N910&lt;0,"VENCIDO",IF(N910&lt;=DiasAlerta,"VENCE EM BREVE","NO PRAZO")))))))</f>
        <v/>
      </c>
      <c r="P910" s="109" t="str">
        <f>IF(D910="","",TODAY()-D910)</f>
        <v/>
      </c>
      <c r="Q910" s="102" t="n"/>
    </row>
    <row r="911" ht="18" customHeight="1">
      <c r="A911" s="101" t="n"/>
      <c r="B911" s="102" t="n"/>
      <c r="C911" s="102" t="n"/>
      <c r="D911" s="103" t="n"/>
      <c r="E911" s="102" t="n"/>
      <c r="F911" s="104" t="n"/>
      <c r="G911" s="104" t="n"/>
      <c r="H911" s="102" t="n"/>
      <c r="I911" s="105" t="n"/>
      <c r="J911" s="105" t="n"/>
      <c r="K911" s="103" t="n"/>
      <c r="L911" s="103" t="n"/>
      <c r="M911" s="106" t="str">
        <f>IF(OR(D911="",E911=""),"",D911+IF(E911="NOTIFICAÇÃO DE CONSTATAÇÃO",PrazoConst,PrazoEsc))</f>
        <v/>
      </c>
      <c r="N911" s="107" t="str">
        <f>IF(M911="","",IF(ISNUMBER(L911),M911-L911,IF(G911="DECISÃO D.P","",M911-TODAY())))</f>
        <v/>
      </c>
      <c r="O911" s="108" t="str">
        <f>IF(B911="","",IF(ISNUMBER(L911),IF(N911="","SEM DATA",IF(N911&gt;=0,"DEFESA NO PRAZO","DEFESA FORA DO PRAZO")),IF(G911="DECISÃO D.P","SEM DEFESA",IF(G911="","SEM STATUS",IF(N911="","SEM DATA",IF(N911&lt;0,"VENCIDO",IF(N911&lt;=DiasAlerta,"VENCE EM BREVE","NO PRAZO")))))))</f>
        <v/>
      </c>
      <c r="P911" s="109" t="str">
        <f>IF(D911="","",TODAY()-D911)</f>
        <v/>
      </c>
      <c r="Q911" s="102" t="n"/>
    </row>
    <row r="912" ht="18" customHeight="1">
      <c r="A912" s="101" t="n"/>
      <c r="B912" s="102" t="n"/>
      <c r="C912" s="102" t="n"/>
      <c r="D912" s="103" t="n"/>
      <c r="E912" s="102" t="n"/>
      <c r="F912" s="104" t="n"/>
      <c r="G912" s="104" t="n"/>
      <c r="H912" s="102" t="n"/>
      <c r="I912" s="105" t="n"/>
      <c r="J912" s="105" t="n"/>
      <c r="K912" s="103" t="n"/>
      <c r="L912" s="103" t="n"/>
      <c r="M912" s="106" t="str">
        <f>IF(OR(D912="",E912=""),"",D912+IF(E912="NOTIFICAÇÃO DE CONSTATAÇÃO",PrazoConst,PrazoEsc))</f>
        <v/>
      </c>
      <c r="N912" s="107" t="str">
        <f>IF(M912="","",IF(ISNUMBER(L912),M912-L912,IF(G912="DECISÃO D.P","",M912-TODAY())))</f>
        <v/>
      </c>
      <c r="O912" s="108" t="str">
        <f>IF(B912="","",IF(ISNUMBER(L912),IF(N912="","SEM DATA",IF(N912&gt;=0,"DEFESA NO PRAZO","DEFESA FORA DO PRAZO")),IF(G912="DECISÃO D.P","SEM DEFESA",IF(G912="","SEM STATUS",IF(N912="","SEM DATA",IF(N912&lt;0,"VENCIDO",IF(N912&lt;=DiasAlerta,"VENCE EM BREVE","NO PRAZO")))))))</f>
        <v/>
      </c>
      <c r="P912" s="109" t="str">
        <f>IF(D912="","",TODAY()-D912)</f>
        <v/>
      </c>
      <c r="Q912" s="102" t="n"/>
    </row>
    <row r="913" ht="18" customHeight="1">
      <c r="A913" s="101" t="n"/>
      <c r="B913" s="102" t="n"/>
      <c r="C913" s="102" t="n"/>
      <c r="D913" s="103" t="n"/>
      <c r="E913" s="102" t="n"/>
      <c r="F913" s="104" t="n"/>
      <c r="G913" s="104" t="n"/>
      <c r="H913" s="102" t="n"/>
      <c r="I913" s="105" t="n"/>
      <c r="J913" s="105" t="n"/>
      <c r="K913" s="103" t="n"/>
      <c r="L913" s="103" t="n"/>
      <c r="M913" s="106" t="str">
        <f>IF(OR(D913="",E913=""),"",D913+IF(E913="NOTIFICAÇÃO DE CONSTATAÇÃO",PrazoConst,PrazoEsc))</f>
        <v/>
      </c>
      <c r="N913" s="107" t="str">
        <f>IF(M913="","",IF(ISNUMBER(L913),M913-L913,IF(G913="DECISÃO D.P","",M913-TODAY())))</f>
        <v/>
      </c>
      <c r="O913" s="108" t="str">
        <f>IF(B913="","",IF(ISNUMBER(L913),IF(N913="","SEM DATA",IF(N913&gt;=0,"DEFESA NO PRAZO","DEFESA FORA DO PRAZO")),IF(G913="DECISÃO D.P","SEM DEFESA",IF(G913="","SEM STATUS",IF(N913="","SEM DATA",IF(N913&lt;0,"VENCIDO",IF(N913&lt;=DiasAlerta,"VENCE EM BREVE","NO PRAZO")))))))</f>
        <v/>
      </c>
      <c r="P913" s="109" t="str">
        <f>IF(D913="","",TODAY()-D913)</f>
        <v/>
      </c>
      <c r="Q913" s="102" t="n"/>
    </row>
    <row r="914" ht="18" customHeight="1">
      <c r="A914" s="101" t="n"/>
      <c r="B914" s="102" t="n"/>
      <c r="C914" s="102" t="n"/>
      <c r="D914" s="103" t="n"/>
      <c r="E914" s="102" t="n"/>
      <c r="F914" s="104" t="n"/>
      <c r="G914" s="104" t="n"/>
      <c r="H914" s="102" t="n"/>
      <c r="I914" s="105" t="n"/>
      <c r="J914" s="105" t="n"/>
      <c r="K914" s="103" t="n"/>
      <c r="L914" s="103" t="n"/>
      <c r="M914" s="106" t="str">
        <f>IF(OR(D914="",E914=""),"",D914+IF(E914="NOTIFICAÇÃO DE CONSTATAÇÃO",PrazoConst,PrazoEsc))</f>
        <v/>
      </c>
      <c r="N914" s="107" t="str">
        <f>IF(M914="","",IF(ISNUMBER(L914),M914-L914,IF(G914="DECISÃO D.P","",M914-TODAY())))</f>
        <v/>
      </c>
      <c r="O914" s="108" t="str">
        <f>IF(B914="","",IF(ISNUMBER(L914),IF(N914="","SEM DATA",IF(N914&gt;=0,"DEFESA NO PRAZO","DEFESA FORA DO PRAZO")),IF(G914="DECISÃO D.P","SEM DEFESA",IF(G914="","SEM STATUS",IF(N914="","SEM DATA",IF(N914&lt;0,"VENCIDO",IF(N914&lt;=DiasAlerta,"VENCE EM BREVE","NO PRAZO")))))))</f>
        <v/>
      </c>
      <c r="P914" s="109" t="str">
        <f>IF(D914="","",TODAY()-D914)</f>
        <v/>
      </c>
      <c r="Q914" s="102" t="n"/>
    </row>
    <row r="915" ht="18" customHeight="1">
      <c r="A915" s="101" t="n"/>
      <c r="B915" s="102" t="n"/>
      <c r="C915" s="102" t="n"/>
      <c r="D915" s="103" t="n"/>
      <c r="E915" s="102" t="n"/>
      <c r="F915" s="104" t="n"/>
      <c r="G915" s="104" t="n"/>
      <c r="H915" s="102" t="n"/>
      <c r="I915" s="105" t="n"/>
      <c r="J915" s="105" t="n"/>
      <c r="K915" s="103" t="n"/>
      <c r="L915" s="103" t="n"/>
      <c r="M915" s="106" t="str">
        <f>IF(OR(D915="",E915=""),"",D915+IF(E915="NOTIFICAÇÃO DE CONSTATAÇÃO",PrazoConst,PrazoEsc))</f>
        <v/>
      </c>
      <c r="N915" s="107" t="str">
        <f>IF(M915="","",IF(ISNUMBER(L915),M915-L915,IF(G915="DECISÃO D.P","",M915-TODAY())))</f>
        <v/>
      </c>
      <c r="O915" s="108" t="str">
        <f>IF(B915="","",IF(ISNUMBER(L915),IF(N915="","SEM DATA",IF(N915&gt;=0,"DEFESA NO PRAZO","DEFESA FORA DO PRAZO")),IF(G915="DECISÃO D.P","SEM DEFESA",IF(G915="","SEM STATUS",IF(N915="","SEM DATA",IF(N915&lt;0,"VENCIDO",IF(N915&lt;=DiasAlerta,"VENCE EM BREVE","NO PRAZO")))))))</f>
        <v/>
      </c>
      <c r="P915" s="109" t="str">
        <f>IF(D915="","",TODAY()-D915)</f>
        <v/>
      </c>
      <c r="Q915" s="102" t="n"/>
    </row>
    <row r="916" ht="18" customHeight="1">
      <c r="A916" s="101" t="n"/>
      <c r="B916" s="102" t="n"/>
      <c r="C916" s="102" t="n"/>
      <c r="D916" s="103" t="n"/>
      <c r="E916" s="102" t="n"/>
      <c r="F916" s="104" t="n"/>
      <c r="G916" s="104" t="n"/>
      <c r="H916" s="102" t="n"/>
      <c r="I916" s="105" t="n"/>
      <c r="J916" s="105" t="n"/>
      <c r="K916" s="103" t="n"/>
      <c r="L916" s="103" t="n"/>
      <c r="M916" s="106" t="str">
        <f>IF(OR(D916="",E916=""),"",D916+IF(E916="NOTIFICAÇÃO DE CONSTATAÇÃO",PrazoConst,PrazoEsc))</f>
        <v/>
      </c>
      <c r="N916" s="107" t="str">
        <f>IF(M916="","",IF(ISNUMBER(L916),M916-L916,IF(G916="DECISÃO D.P","",M916-TODAY())))</f>
        <v/>
      </c>
      <c r="O916" s="108" t="str">
        <f>IF(B916="","",IF(ISNUMBER(L916),IF(N916="","SEM DATA",IF(N916&gt;=0,"DEFESA NO PRAZO","DEFESA FORA DO PRAZO")),IF(G916="DECISÃO D.P","SEM DEFESA",IF(G916="","SEM STATUS",IF(N916="","SEM DATA",IF(N916&lt;0,"VENCIDO",IF(N916&lt;=DiasAlerta,"VENCE EM BREVE","NO PRAZO")))))))</f>
        <v/>
      </c>
      <c r="P916" s="109" t="str">
        <f>IF(D916="","",TODAY()-D916)</f>
        <v/>
      </c>
      <c r="Q916" s="102" t="n"/>
    </row>
    <row r="917" ht="18" customHeight="1">
      <c r="A917" s="101" t="n"/>
      <c r="B917" s="102" t="n"/>
      <c r="C917" s="102" t="n"/>
      <c r="D917" s="103" t="n"/>
      <c r="E917" s="102" t="n"/>
      <c r="F917" s="104" t="n"/>
      <c r="G917" s="104" t="n"/>
      <c r="H917" s="102" t="n"/>
      <c r="I917" s="105" t="n"/>
      <c r="J917" s="105" t="n"/>
      <c r="K917" s="103" t="n"/>
      <c r="L917" s="103" t="n"/>
      <c r="M917" s="106" t="str">
        <f>IF(OR(D917="",E917=""),"",D917+IF(E917="NOTIFICAÇÃO DE CONSTATAÇÃO",PrazoConst,PrazoEsc))</f>
        <v/>
      </c>
      <c r="N917" s="107" t="str">
        <f>IF(M917="","",IF(ISNUMBER(L917),M917-L917,IF(G917="DECISÃO D.P","",M917-TODAY())))</f>
        <v/>
      </c>
      <c r="O917" s="108" t="str">
        <f>IF(B917="","",IF(ISNUMBER(L917),IF(N917="","SEM DATA",IF(N917&gt;=0,"DEFESA NO PRAZO","DEFESA FORA DO PRAZO")),IF(G917="DECISÃO D.P","SEM DEFESA",IF(G917="","SEM STATUS",IF(N917="","SEM DATA",IF(N917&lt;0,"VENCIDO",IF(N917&lt;=DiasAlerta,"VENCE EM BREVE","NO PRAZO")))))))</f>
        <v/>
      </c>
      <c r="P917" s="109" t="str">
        <f>IF(D917="","",TODAY()-D917)</f>
        <v/>
      </c>
      <c r="Q917" s="102" t="n"/>
    </row>
    <row r="918" ht="18" customHeight="1">
      <c r="A918" s="101" t="n"/>
      <c r="B918" s="102" t="n"/>
      <c r="C918" s="102" t="n"/>
      <c r="D918" s="103" t="n"/>
      <c r="E918" s="102" t="n"/>
      <c r="F918" s="104" t="n"/>
      <c r="G918" s="104" t="n"/>
      <c r="H918" s="102" t="n"/>
      <c r="I918" s="105" t="n"/>
      <c r="J918" s="105" t="n"/>
      <c r="K918" s="103" t="n"/>
      <c r="L918" s="103" t="n"/>
      <c r="M918" s="106" t="str">
        <f>IF(OR(D918="",E918=""),"",D918+IF(E918="NOTIFICAÇÃO DE CONSTATAÇÃO",PrazoConst,PrazoEsc))</f>
        <v/>
      </c>
      <c r="N918" s="107" t="str">
        <f>IF(M918="","",IF(ISNUMBER(L918),M918-L918,IF(G918="DECISÃO D.P","",M918-TODAY())))</f>
        <v/>
      </c>
      <c r="O918" s="108" t="str">
        <f>IF(B918="","",IF(ISNUMBER(L918),IF(N918="","SEM DATA",IF(N918&gt;=0,"DEFESA NO PRAZO","DEFESA FORA DO PRAZO")),IF(G918="DECISÃO D.P","SEM DEFESA",IF(G918="","SEM STATUS",IF(N918="","SEM DATA",IF(N918&lt;0,"VENCIDO",IF(N918&lt;=DiasAlerta,"VENCE EM BREVE","NO PRAZO")))))))</f>
        <v/>
      </c>
      <c r="P918" s="109" t="str">
        <f>IF(D918="","",TODAY()-D918)</f>
        <v/>
      </c>
      <c r="Q918" s="102" t="n"/>
    </row>
    <row r="919" ht="18" customHeight="1">
      <c r="A919" s="101" t="n"/>
      <c r="B919" s="102" t="n"/>
      <c r="C919" s="102" t="n"/>
      <c r="D919" s="103" t="n"/>
      <c r="E919" s="102" t="n"/>
      <c r="F919" s="104" t="n"/>
      <c r="G919" s="104" t="n"/>
      <c r="H919" s="102" t="n"/>
      <c r="I919" s="105" t="n"/>
      <c r="J919" s="105" t="n"/>
      <c r="K919" s="103" t="n"/>
      <c r="L919" s="103" t="n"/>
      <c r="M919" s="106" t="str">
        <f>IF(OR(D919="",E919=""),"",D919+IF(E919="NOTIFICAÇÃO DE CONSTATAÇÃO",PrazoConst,PrazoEsc))</f>
        <v/>
      </c>
      <c r="N919" s="107" t="str">
        <f>IF(M919="","",IF(ISNUMBER(L919),M919-L919,IF(G919="DECISÃO D.P","",M919-TODAY())))</f>
        <v/>
      </c>
      <c r="O919" s="108" t="str">
        <f>IF(B919="","",IF(ISNUMBER(L919),IF(N919="","SEM DATA",IF(N919&gt;=0,"DEFESA NO PRAZO","DEFESA FORA DO PRAZO")),IF(G919="DECISÃO D.P","SEM DEFESA",IF(G919="","SEM STATUS",IF(N919="","SEM DATA",IF(N919&lt;0,"VENCIDO",IF(N919&lt;=DiasAlerta,"VENCE EM BREVE","NO PRAZO")))))))</f>
        <v/>
      </c>
      <c r="P919" s="109" t="str">
        <f>IF(D919="","",TODAY()-D919)</f>
        <v/>
      </c>
      <c r="Q919" s="102" t="n"/>
    </row>
    <row r="920" ht="18" customHeight="1">
      <c r="A920" s="101" t="n"/>
      <c r="B920" s="102" t="n"/>
      <c r="C920" s="102" t="n"/>
      <c r="D920" s="103" t="n"/>
      <c r="E920" s="102" t="n"/>
      <c r="F920" s="104" t="n"/>
      <c r="G920" s="104" t="n"/>
      <c r="H920" s="102" t="n"/>
      <c r="I920" s="105" t="n"/>
      <c r="J920" s="105" t="n"/>
      <c r="K920" s="103" t="n"/>
      <c r="L920" s="103" t="n"/>
      <c r="M920" s="106" t="str">
        <f>IF(OR(D920="",E920=""),"",D920+IF(E920="NOTIFICAÇÃO DE CONSTATAÇÃO",PrazoConst,PrazoEsc))</f>
        <v/>
      </c>
      <c r="N920" s="107" t="str">
        <f>IF(M920="","",IF(ISNUMBER(L920),M920-L920,IF(G920="DECISÃO D.P","",M920-TODAY())))</f>
        <v/>
      </c>
      <c r="O920" s="108" t="str">
        <f>IF(B920="","",IF(ISNUMBER(L920),IF(N920="","SEM DATA",IF(N920&gt;=0,"DEFESA NO PRAZO","DEFESA FORA DO PRAZO")),IF(G920="DECISÃO D.P","SEM DEFESA",IF(G920="","SEM STATUS",IF(N920="","SEM DATA",IF(N920&lt;0,"VENCIDO",IF(N920&lt;=DiasAlerta,"VENCE EM BREVE","NO PRAZO")))))))</f>
        <v/>
      </c>
      <c r="P920" s="109" t="str">
        <f>IF(D920="","",TODAY()-D920)</f>
        <v/>
      </c>
      <c r="Q920" s="102" t="n"/>
    </row>
    <row r="921" ht="18" customHeight="1">
      <c r="A921" s="101" t="n"/>
      <c r="B921" s="102" t="n"/>
      <c r="C921" s="102" t="n"/>
      <c r="D921" s="103" t="n"/>
      <c r="E921" s="102" t="n"/>
      <c r="F921" s="104" t="n"/>
      <c r="G921" s="104" t="n"/>
      <c r="H921" s="102" t="n"/>
      <c r="I921" s="105" t="n"/>
      <c r="J921" s="105" t="n"/>
      <c r="K921" s="103" t="n"/>
      <c r="L921" s="103" t="n"/>
      <c r="M921" s="106" t="str">
        <f>IF(OR(D921="",E921=""),"",D921+IF(E921="NOTIFICAÇÃO DE CONSTATAÇÃO",PrazoConst,PrazoEsc))</f>
        <v/>
      </c>
      <c r="N921" s="107" t="str">
        <f>IF(M921="","",IF(ISNUMBER(L921),M921-L921,IF(G921="DECISÃO D.P","",M921-TODAY())))</f>
        <v/>
      </c>
      <c r="O921" s="108" t="str">
        <f>IF(B921="","",IF(ISNUMBER(L921),IF(N921="","SEM DATA",IF(N921&gt;=0,"DEFESA NO PRAZO","DEFESA FORA DO PRAZO")),IF(G921="DECISÃO D.P","SEM DEFESA",IF(G921="","SEM STATUS",IF(N921="","SEM DATA",IF(N921&lt;0,"VENCIDO",IF(N921&lt;=DiasAlerta,"VENCE EM BREVE","NO PRAZO")))))))</f>
        <v/>
      </c>
      <c r="P921" s="109" t="str">
        <f>IF(D921="","",TODAY()-D921)</f>
        <v/>
      </c>
      <c r="Q921" s="102" t="n"/>
    </row>
    <row r="922" ht="18" customHeight="1">
      <c r="A922" s="101" t="n"/>
      <c r="B922" s="102" t="n"/>
      <c r="C922" s="102" t="n"/>
      <c r="D922" s="103" t="n"/>
      <c r="E922" s="102" t="n"/>
      <c r="F922" s="104" t="n"/>
      <c r="G922" s="104" t="n"/>
      <c r="H922" s="102" t="n"/>
      <c r="I922" s="105" t="n"/>
      <c r="J922" s="105" t="n"/>
      <c r="K922" s="103" t="n"/>
      <c r="L922" s="103" t="n"/>
      <c r="M922" s="106" t="str">
        <f>IF(OR(D922="",E922=""),"",D922+IF(E922="NOTIFICAÇÃO DE CONSTATAÇÃO",PrazoConst,PrazoEsc))</f>
        <v/>
      </c>
      <c r="N922" s="107" t="str">
        <f>IF(M922="","",IF(ISNUMBER(L922),M922-L922,IF(G922="DECISÃO D.P","",M922-TODAY())))</f>
        <v/>
      </c>
      <c r="O922" s="108" t="str">
        <f>IF(B922="","",IF(ISNUMBER(L922),IF(N922="","SEM DATA",IF(N922&gt;=0,"DEFESA NO PRAZO","DEFESA FORA DO PRAZO")),IF(G922="DECISÃO D.P","SEM DEFESA",IF(G922="","SEM STATUS",IF(N922="","SEM DATA",IF(N922&lt;0,"VENCIDO",IF(N922&lt;=DiasAlerta,"VENCE EM BREVE","NO PRAZO")))))))</f>
        <v/>
      </c>
      <c r="P922" s="109" t="str">
        <f>IF(D922="","",TODAY()-D922)</f>
        <v/>
      </c>
      <c r="Q922" s="102" t="n"/>
    </row>
    <row r="923" ht="18" customHeight="1">
      <c r="A923" s="101" t="n"/>
      <c r="B923" s="102" t="n"/>
      <c r="C923" s="102" t="n"/>
      <c r="D923" s="103" t="n"/>
      <c r="E923" s="102" t="n"/>
      <c r="F923" s="104" t="n"/>
      <c r="G923" s="104" t="n"/>
      <c r="H923" s="102" t="n"/>
      <c r="I923" s="105" t="n"/>
      <c r="J923" s="105" t="n"/>
      <c r="K923" s="103" t="n"/>
      <c r="L923" s="103" t="n"/>
      <c r="M923" s="106" t="str">
        <f>IF(OR(D923="",E923=""),"",D923+IF(E923="NOTIFICAÇÃO DE CONSTATAÇÃO",PrazoConst,PrazoEsc))</f>
        <v/>
      </c>
      <c r="N923" s="107" t="str">
        <f>IF(M923="","",IF(ISNUMBER(L923),M923-L923,IF(G923="DECISÃO D.P","",M923-TODAY())))</f>
        <v/>
      </c>
      <c r="O923" s="108" t="str">
        <f>IF(B923="","",IF(ISNUMBER(L923),IF(N923="","SEM DATA",IF(N923&gt;=0,"DEFESA NO PRAZO","DEFESA FORA DO PRAZO")),IF(G923="DECISÃO D.P","SEM DEFESA",IF(G923="","SEM STATUS",IF(N923="","SEM DATA",IF(N923&lt;0,"VENCIDO",IF(N923&lt;=DiasAlerta,"VENCE EM BREVE","NO PRAZO")))))))</f>
        <v/>
      </c>
      <c r="P923" s="109" t="str">
        <f>IF(D923="","",TODAY()-D923)</f>
        <v/>
      </c>
      <c r="Q923" s="102" t="n"/>
    </row>
    <row r="924" ht="18" customHeight="1">
      <c r="A924" s="101" t="n"/>
      <c r="B924" s="102" t="n"/>
      <c r="C924" s="102" t="n"/>
      <c r="D924" s="103" t="n"/>
      <c r="E924" s="102" t="n"/>
      <c r="F924" s="104" t="n"/>
      <c r="G924" s="104" t="n"/>
      <c r="H924" s="102" t="n"/>
      <c r="I924" s="105" t="n"/>
      <c r="J924" s="105" t="n"/>
      <c r="K924" s="103" t="n"/>
      <c r="L924" s="103" t="n"/>
      <c r="M924" s="106" t="str">
        <f>IF(OR(D924="",E924=""),"",D924+IF(E924="NOTIFICAÇÃO DE CONSTATAÇÃO",PrazoConst,PrazoEsc))</f>
        <v/>
      </c>
      <c r="N924" s="107" t="str">
        <f>IF(M924="","",IF(ISNUMBER(L924),M924-L924,IF(G924="DECISÃO D.P","",M924-TODAY())))</f>
        <v/>
      </c>
      <c r="O924" s="108" t="str">
        <f>IF(B924="","",IF(ISNUMBER(L924),IF(N924="","SEM DATA",IF(N924&gt;=0,"DEFESA NO PRAZO","DEFESA FORA DO PRAZO")),IF(G924="DECISÃO D.P","SEM DEFESA",IF(G924="","SEM STATUS",IF(N924="","SEM DATA",IF(N924&lt;0,"VENCIDO",IF(N924&lt;=DiasAlerta,"VENCE EM BREVE","NO PRAZO")))))))</f>
        <v/>
      </c>
      <c r="P924" s="109" t="str">
        <f>IF(D924="","",TODAY()-D924)</f>
        <v/>
      </c>
      <c r="Q924" s="102" t="n"/>
    </row>
    <row r="925" ht="18" customHeight="1">
      <c r="A925" s="101" t="n"/>
      <c r="B925" s="102" t="n"/>
      <c r="C925" s="102" t="n"/>
      <c r="D925" s="103" t="n"/>
      <c r="E925" s="102" t="n"/>
      <c r="F925" s="104" t="n"/>
      <c r="G925" s="104" t="n"/>
      <c r="H925" s="102" t="n"/>
      <c r="I925" s="105" t="n"/>
      <c r="J925" s="105" t="n"/>
      <c r="K925" s="103" t="n"/>
      <c r="L925" s="103" t="n"/>
      <c r="M925" s="106" t="str">
        <f>IF(OR(D925="",E925=""),"",D925+IF(E925="NOTIFICAÇÃO DE CONSTATAÇÃO",PrazoConst,PrazoEsc))</f>
        <v/>
      </c>
      <c r="N925" s="107" t="str">
        <f>IF(M925="","",IF(ISNUMBER(L925),M925-L925,IF(G925="DECISÃO D.P","",M925-TODAY())))</f>
        <v/>
      </c>
      <c r="O925" s="108" t="str">
        <f>IF(B925="","",IF(ISNUMBER(L925),IF(N925="","SEM DATA",IF(N925&gt;=0,"DEFESA NO PRAZO","DEFESA FORA DO PRAZO")),IF(G925="DECISÃO D.P","SEM DEFESA",IF(G925="","SEM STATUS",IF(N925="","SEM DATA",IF(N925&lt;0,"VENCIDO",IF(N925&lt;=DiasAlerta,"VENCE EM BREVE","NO PRAZO")))))))</f>
        <v/>
      </c>
      <c r="P925" s="109" t="str">
        <f>IF(D925="","",TODAY()-D925)</f>
        <v/>
      </c>
      <c r="Q925" s="102" t="n"/>
    </row>
    <row r="926" ht="18" customHeight="1">
      <c r="A926" s="101" t="n"/>
      <c r="B926" s="102" t="n"/>
      <c r="C926" s="102" t="n"/>
      <c r="D926" s="103" t="n"/>
      <c r="E926" s="102" t="n"/>
      <c r="F926" s="104" t="n"/>
      <c r="G926" s="104" t="n"/>
      <c r="H926" s="102" t="n"/>
      <c r="I926" s="105" t="n"/>
      <c r="J926" s="105" t="n"/>
      <c r="K926" s="103" t="n"/>
      <c r="L926" s="103" t="n"/>
      <c r="M926" s="106" t="str">
        <f>IF(OR(D926="",E926=""),"",D926+IF(E926="NOTIFICAÇÃO DE CONSTATAÇÃO",PrazoConst,PrazoEsc))</f>
        <v/>
      </c>
      <c r="N926" s="107" t="str">
        <f>IF(M926="","",IF(ISNUMBER(L926),M926-L926,IF(G926="DECISÃO D.P","",M926-TODAY())))</f>
        <v/>
      </c>
      <c r="O926" s="108" t="str">
        <f>IF(B926="","",IF(ISNUMBER(L926),IF(N926="","SEM DATA",IF(N926&gt;=0,"DEFESA NO PRAZO","DEFESA FORA DO PRAZO")),IF(G926="DECISÃO D.P","SEM DEFESA",IF(G926="","SEM STATUS",IF(N926="","SEM DATA",IF(N926&lt;0,"VENCIDO",IF(N926&lt;=DiasAlerta,"VENCE EM BREVE","NO PRAZO")))))))</f>
        <v/>
      </c>
      <c r="P926" s="109" t="str">
        <f>IF(D926="","",TODAY()-D926)</f>
        <v/>
      </c>
      <c r="Q926" s="102" t="n"/>
    </row>
    <row r="927" ht="18" customHeight="1">
      <c r="A927" s="101" t="n"/>
      <c r="B927" s="102" t="n"/>
      <c r="C927" s="102" t="n"/>
      <c r="D927" s="103" t="n"/>
      <c r="E927" s="102" t="n"/>
      <c r="F927" s="104" t="n"/>
      <c r="G927" s="104" t="n"/>
      <c r="H927" s="102" t="n"/>
      <c r="I927" s="105" t="n"/>
      <c r="J927" s="105" t="n"/>
      <c r="K927" s="103" t="n"/>
      <c r="L927" s="103" t="n"/>
      <c r="M927" s="106" t="str">
        <f>IF(OR(D927="",E927=""),"",D927+IF(E927="NOTIFICAÇÃO DE CONSTATAÇÃO",PrazoConst,PrazoEsc))</f>
        <v/>
      </c>
      <c r="N927" s="107" t="str">
        <f>IF(M927="","",IF(ISNUMBER(L927),M927-L927,IF(G927="DECISÃO D.P","",M927-TODAY())))</f>
        <v/>
      </c>
      <c r="O927" s="108" t="str">
        <f>IF(B927="","",IF(ISNUMBER(L927),IF(N927="","SEM DATA",IF(N927&gt;=0,"DEFESA NO PRAZO","DEFESA FORA DO PRAZO")),IF(G927="DECISÃO D.P","SEM DEFESA",IF(G927="","SEM STATUS",IF(N927="","SEM DATA",IF(N927&lt;0,"VENCIDO",IF(N927&lt;=DiasAlerta,"VENCE EM BREVE","NO PRAZO")))))))</f>
        <v/>
      </c>
      <c r="P927" s="109" t="str">
        <f>IF(D927="","",TODAY()-D927)</f>
        <v/>
      </c>
      <c r="Q927" s="102" t="n"/>
    </row>
    <row r="928" ht="18" customHeight="1">
      <c r="A928" s="101" t="n"/>
      <c r="B928" s="102" t="n"/>
      <c r="C928" s="102" t="n"/>
      <c r="D928" s="103" t="n"/>
      <c r="E928" s="102" t="n"/>
      <c r="F928" s="104" t="n"/>
      <c r="G928" s="104" t="n"/>
      <c r="H928" s="102" t="n"/>
      <c r="I928" s="105" t="n"/>
      <c r="J928" s="105" t="n"/>
      <c r="K928" s="103" t="n"/>
      <c r="L928" s="103" t="n"/>
      <c r="M928" s="106" t="str">
        <f>IF(OR(D928="",E928=""),"",D928+IF(E928="NOTIFICAÇÃO DE CONSTATAÇÃO",PrazoConst,PrazoEsc))</f>
        <v/>
      </c>
      <c r="N928" s="107" t="str">
        <f>IF(M928="","",IF(ISNUMBER(L928),M928-L928,IF(G928="DECISÃO D.P","",M928-TODAY())))</f>
        <v/>
      </c>
      <c r="O928" s="108" t="str">
        <f>IF(B928="","",IF(ISNUMBER(L928),IF(N928="","SEM DATA",IF(N928&gt;=0,"DEFESA NO PRAZO","DEFESA FORA DO PRAZO")),IF(G928="DECISÃO D.P","SEM DEFESA",IF(G928="","SEM STATUS",IF(N928="","SEM DATA",IF(N928&lt;0,"VENCIDO",IF(N928&lt;=DiasAlerta,"VENCE EM BREVE","NO PRAZO")))))))</f>
        <v/>
      </c>
      <c r="P928" s="109" t="str">
        <f>IF(D928="","",TODAY()-D928)</f>
        <v/>
      </c>
      <c r="Q928" s="102" t="n"/>
    </row>
    <row r="929" ht="18" customHeight="1">
      <c r="A929" s="101" t="n"/>
      <c r="B929" s="102" t="n"/>
      <c r="C929" s="102" t="n"/>
      <c r="D929" s="103" t="n"/>
      <c r="E929" s="102" t="n"/>
      <c r="F929" s="104" t="n"/>
      <c r="G929" s="104" t="n"/>
      <c r="H929" s="102" t="n"/>
      <c r="I929" s="105" t="n"/>
      <c r="J929" s="105" t="n"/>
      <c r="K929" s="103" t="n"/>
      <c r="L929" s="103" t="n"/>
      <c r="M929" s="106" t="str">
        <f>IF(OR(D929="",E929=""),"",D929+IF(E929="NOTIFICAÇÃO DE CONSTATAÇÃO",PrazoConst,PrazoEsc))</f>
        <v/>
      </c>
      <c r="N929" s="107" t="str">
        <f>IF(M929="","",IF(ISNUMBER(L929),M929-L929,IF(G929="DECISÃO D.P","",M929-TODAY())))</f>
        <v/>
      </c>
      <c r="O929" s="108" t="str">
        <f>IF(B929="","",IF(ISNUMBER(L929),IF(N929="","SEM DATA",IF(N929&gt;=0,"DEFESA NO PRAZO","DEFESA FORA DO PRAZO")),IF(G929="DECISÃO D.P","SEM DEFESA",IF(G929="","SEM STATUS",IF(N929="","SEM DATA",IF(N929&lt;0,"VENCIDO",IF(N929&lt;=DiasAlerta,"VENCE EM BREVE","NO PRAZO")))))))</f>
        <v/>
      </c>
      <c r="P929" s="109" t="str">
        <f>IF(D929="","",TODAY()-D929)</f>
        <v/>
      </c>
      <c r="Q929" s="102" t="n"/>
    </row>
    <row r="930" ht="18" customHeight="1">
      <c r="A930" s="101" t="n"/>
      <c r="B930" s="102" t="n"/>
      <c r="C930" s="102" t="n"/>
      <c r="D930" s="103" t="n"/>
      <c r="E930" s="102" t="n"/>
      <c r="F930" s="104" t="n"/>
      <c r="G930" s="104" t="n"/>
      <c r="H930" s="102" t="n"/>
      <c r="I930" s="105" t="n"/>
      <c r="J930" s="105" t="n"/>
      <c r="K930" s="103" t="n"/>
      <c r="L930" s="103" t="n"/>
      <c r="M930" s="106" t="str">
        <f>IF(OR(D930="",E930=""),"",D930+IF(E930="NOTIFICAÇÃO DE CONSTATAÇÃO",PrazoConst,PrazoEsc))</f>
        <v/>
      </c>
      <c r="N930" s="107" t="str">
        <f>IF(M930="","",IF(ISNUMBER(L930),M930-L930,IF(G930="DECISÃO D.P","",M930-TODAY())))</f>
        <v/>
      </c>
      <c r="O930" s="108" t="str">
        <f>IF(B930="","",IF(ISNUMBER(L930),IF(N930="","SEM DATA",IF(N930&gt;=0,"DEFESA NO PRAZO","DEFESA FORA DO PRAZO")),IF(G930="DECISÃO D.P","SEM DEFESA",IF(G930="","SEM STATUS",IF(N930="","SEM DATA",IF(N930&lt;0,"VENCIDO",IF(N930&lt;=DiasAlerta,"VENCE EM BREVE","NO PRAZO")))))))</f>
        <v/>
      </c>
      <c r="P930" s="109" t="str">
        <f>IF(D930="","",TODAY()-D930)</f>
        <v/>
      </c>
      <c r="Q930" s="102" t="n"/>
    </row>
    <row r="931" ht="18" customHeight="1">
      <c r="A931" s="101" t="n"/>
      <c r="B931" s="102" t="n"/>
      <c r="C931" s="102" t="n"/>
      <c r="D931" s="103" t="n"/>
      <c r="E931" s="102" t="n"/>
      <c r="F931" s="104" t="n"/>
      <c r="G931" s="104" t="n"/>
      <c r="H931" s="102" t="n"/>
      <c r="I931" s="105" t="n"/>
      <c r="J931" s="105" t="n"/>
      <c r="K931" s="103" t="n"/>
      <c r="L931" s="103" t="n"/>
      <c r="M931" s="106" t="str">
        <f>IF(OR(D931="",E931=""),"",D931+IF(E931="NOTIFICAÇÃO DE CONSTATAÇÃO",PrazoConst,PrazoEsc))</f>
        <v/>
      </c>
      <c r="N931" s="107" t="str">
        <f>IF(M931="","",IF(ISNUMBER(L931),M931-L931,IF(G931="DECISÃO D.P","",M931-TODAY())))</f>
        <v/>
      </c>
      <c r="O931" s="108" t="str">
        <f>IF(B931="","",IF(ISNUMBER(L931),IF(N931="","SEM DATA",IF(N931&gt;=0,"DEFESA NO PRAZO","DEFESA FORA DO PRAZO")),IF(G931="DECISÃO D.P","SEM DEFESA",IF(G931="","SEM STATUS",IF(N931="","SEM DATA",IF(N931&lt;0,"VENCIDO",IF(N931&lt;=DiasAlerta,"VENCE EM BREVE","NO PRAZO")))))))</f>
        <v/>
      </c>
      <c r="P931" s="109" t="str">
        <f>IF(D931="","",TODAY()-D931)</f>
        <v/>
      </c>
      <c r="Q931" s="102" t="n"/>
    </row>
    <row r="932" ht="18" customHeight="1">
      <c r="A932" s="101" t="n"/>
      <c r="B932" s="102" t="n"/>
      <c r="C932" s="102" t="n"/>
      <c r="D932" s="103" t="n"/>
      <c r="E932" s="102" t="n"/>
      <c r="F932" s="104" t="n"/>
      <c r="G932" s="104" t="n"/>
      <c r="H932" s="102" t="n"/>
      <c r="I932" s="105" t="n"/>
      <c r="J932" s="105" t="n"/>
      <c r="K932" s="103" t="n"/>
      <c r="L932" s="103" t="n"/>
      <c r="M932" s="106" t="str">
        <f>IF(OR(D932="",E932=""),"",D932+IF(E932="NOTIFICAÇÃO DE CONSTATAÇÃO",PrazoConst,PrazoEsc))</f>
        <v/>
      </c>
      <c r="N932" s="107" t="str">
        <f>IF(M932="","",IF(ISNUMBER(L932),M932-L932,IF(G932="DECISÃO D.P","",M932-TODAY())))</f>
        <v/>
      </c>
      <c r="O932" s="108" t="str">
        <f>IF(B932="","",IF(ISNUMBER(L932),IF(N932="","SEM DATA",IF(N932&gt;=0,"DEFESA NO PRAZO","DEFESA FORA DO PRAZO")),IF(G932="DECISÃO D.P","SEM DEFESA",IF(G932="","SEM STATUS",IF(N932="","SEM DATA",IF(N932&lt;0,"VENCIDO",IF(N932&lt;=DiasAlerta,"VENCE EM BREVE","NO PRAZO")))))))</f>
        <v/>
      </c>
      <c r="P932" s="109" t="str">
        <f>IF(D932="","",TODAY()-D932)</f>
        <v/>
      </c>
      <c r="Q932" s="102" t="n"/>
    </row>
    <row r="933" ht="18" customHeight="1">
      <c r="A933" s="101" t="n"/>
      <c r="B933" s="102" t="n"/>
      <c r="C933" s="102" t="n"/>
      <c r="D933" s="103" t="n"/>
      <c r="E933" s="102" t="n"/>
      <c r="F933" s="104" t="n"/>
      <c r="G933" s="104" t="n"/>
      <c r="H933" s="102" t="n"/>
      <c r="I933" s="105" t="n"/>
      <c r="J933" s="105" t="n"/>
      <c r="K933" s="103" t="n"/>
      <c r="L933" s="103" t="n"/>
      <c r="M933" s="106" t="str">
        <f>IF(OR(D933="",E933=""),"",D933+IF(E933="NOTIFICAÇÃO DE CONSTATAÇÃO",PrazoConst,PrazoEsc))</f>
        <v/>
      </c>
      <c r="N933" s="107" t="str">
        <f>IF(M933="","",IF(ISNUMBER(L933),M933-L933,IF(G933="DECISÃO D.P","",M933-TODAY())))</f>
        <v/>
      </c>
      <c r="O933" s="108" t="str">
        <f>IF(B933="","",IF(ISNUMBER(L933),IF(N933="","SEM DATA",IF(N933&gt;=0,"DEFESA NO PRAZO","DEFESA FORA DO PRAZO")),IF(G933="DECISÃO D.P","SEM DEFESA",IF(G933="","SEM STATUS",IF(N933="","SEM DATA",IF(N933&lt;0,"VENCIDO",IF(N933&lt;=DiasAlerta,"VENCE EM BREVE","NO PRAZO")))))))</f>
        <v/>
      </c>
      <c r="P933" s="109" t="str">
        <f>IF(D933="","",TODAY()-D933)</f>
        <v/>
      </c>
      <c r="Q933" s="102" t="n"/>
    </row>
    <row r="934" ht="18" customHeight="1">
      <c r="A934" s="101" t="n"/>
      <c r="B934" s="102" t="n"/>
      <c r="C934" s="102" t="n"/>
      <c r="D934" s="103" t="n"/>
      <c r="E934" s="102" t="n"/>
      <c r="F934" s="104" t="n"/>
      <c r="G934" s="104" t="n"/>
      <c r="H934" s="102" t="n"/>
      <c r="I934" s="105" t="n"/>
      <c r="J934" s="105" t="n"/>
      <c r="K934" s="103" t="n"/>
      <c r="L934" s="103" t="n"/>
      <c r="M934" s="106" t="str">
        <f>IF(OR(D934="",E934=""),"",D934+IF(E934="NOTIFICAÇÃO DE CONSTATAÇÃO",PrazoConst,PrazoEsc))</f>
        <v/>
      </c>
      <c r="N934" s="107" t="str">
        <f>IF(M934="","",IF(ISNUMBER(L934),M934-L934,IF(G934="DECISÃO D.P","",M934-TODAY())))</f>
        <v/>
      </c>
      <c r="O934" s="108" t="str">
        <f>IF(B934="","",IF(ISNUMBER(L934),IF(N934="","SEM DATA",IF(N934&gt;=0,"DEFESA NO PRAZO","DEFESA FORA DO PRAZO")),IF(G934="DECISÃO D.P","SEM DEFESA",IF(G934="","SEM STATUS",IF(N934="","SEM DATA",IF(N934&lt;0,"VENCIDO",IF(N934&lt;=DiasAlerta,"VENCE EM BREVE","NO PRAZO")))))))</f>
        <v/>
      </c>
      <c r="P934" s="109" t="str">
        <f>IF(D934="","",TODAY()-D934)</f>
        <v/>
      </c>
      <c r="Q934" s="102" t="n"/>
    </row>
    <row r="935" ht="18" customHeight="1">
      <c r="A935" s="101" t="n"/>
      <c r="B935" s="102" t="n"/>
      <c r="C935" s="102" t="n"/>
      <c r="D935" s="103" t="n"/>
      <c r="E935" s="102" t="n"/>
      <c r="F935" s="104" t="n"/>
      <c r="G935" s="104" t="n"/>
      <c r="H935" s="102" t="n"/>
      <c r="I935" s="105" t="n"/>
      <c r="J935" s="105" t="n"/>
      <c r="K935" s="103" t="n"/>
      <c r="L935" s="103" t="n"/>
      <c r="M935" s="106" t="str">
        <f>IF(OR(D935="",E935=""),"",D935+IF(E935="NOTIFICAÇÃO DE CONSTATAÇÃO",PrazoConst,PrazoEsc))</f>
        <v/>
      </c>
      <c r="N935" s="107" t="str">
        <f>IF(M935="","",IF(ISNUMBER(L935),M935-L935,IF(G935="DECISÃO D.P","",M935-TODAY())))</f>
        <v/>
      </c>
      <c r="O935" s="108" t="str">
        <f>IF(B935="","",IF(ISNUMBER(L935),IF(N935="","SEM DATA",IF(N935&gt;=0,"DEFESA NO PRAZO","DEFESA FORA DO PRAZO")),IF(G935="DECISÃO D.P","SEM DEFESA",IF(G935="","SEM STATUS",IF(N935="","SEM DATA",IF(N935&lt;0,"VENCIDO",IF(N935&lt;=DiasAlerta,"VENCE EM BREVE","NO PRAZO")))))))</f>
        <v/>
      </c>
      <c r="P935" s="109" t="str">
        <f>IF(D935="","",TODAY()-D935)</f>
        <v/>
      </c>
      <c r="Q935" s="102" t="n"/>
    </row>
    <row r="936" ht="18" customHeight="1">
      <c r="A936" s="101" t="n"/>
      <c r="B936" s="102" t="n"/>
      <c r="C936" s="102" t="n"/>
      <c r="D936" s="103" t="n"/>
      <c r="E936" s="102" t="n"/>
      <c r="F936" s="104" t="n"/>
      <c r="G936" s="104" t="n"/>
      <c r="H936" s="102" t="n"/>
      <c r="I936" s="105" t="n"/>
      <c r="J936" s="105" t="n"/>
      <c r="K936" s="103" t="n"/>
      <c r="L936" s="103" t="n"/>
      <c r="M936" s="106" t="str">
        <f>IF(OR(D936="",E936=""),"",D936+IF(E936="NOTIFICAÇÃO DE CONSTATAÇÃO",PrazoConst,PrazoEsc))</f>
        <v/>
      </c>
      <c r="N936" s="107" t="str">
        <f>IF(M936="","",IF(ISNUMBER(L936),M936-L936,IF(G936="DECISÃO D.P","",M936-TODAY())))</f>
        <v/>
      </c>
      <c r="O936" s="108" t="str">
        <f>IF(B936="","",IF(ISNUMBER(L936),IF(N936="","SEM DATA",IF(N936&gt;=0,"DEFESA NO PRAZO","DEFESA FORA DO PRAZO")),IF(G936="DECISÃO D.P","SEM DEFESA",IF(G936="","SEM STATUS",IF(N936="","SEM DATA",IF(N936&lt;0,"VENCIDO",IF(N936&lt;=DiasAlerta,"VENCE EM BREVE","NO PRAZO")))))))</f>
        <v/>
      </c>
      <c r="P936" s="109" t="str">
        <f>IF(D936="","",TODAY()-D936)</f>
        <v/>
      </c>
      <c r="Q936" s="102" t="n"/>
    </row>
    <row r="937" ht="18" customHeight="1">
      <c r="A937" s="101" t="n"/>
      <c r="B937" s="102" t="n"/>
      <c r="C937" s="102" t="n"/>
      <c r="D937" s="103" t="n"/>
      <c r="E937" s="102" t="n"/>
      <c r="F937" s="104" t="n"/>
      <c r="G937" s="104" t="n"/>
      <c r="H937" s="102" t="n"/>
      <c r="I937" s="105" t="n"/>
      <c r="J937" s="105" t="n"/>
      <c r="K937" s="103" t="n"/>
      <c r="L937" s="103" t="n"/>
      <c r="M937" s="106" t="str">
        <f>IF(OR(D937="",E937=""),"",D937+IF(E937="NOTIFICAÇÃO DE CONSTATAÇÃO",PrazoConst,PrazoEsc))</f>
        <v/>
      </c>
      <c r="N937" s="107" t="str">
        <f>IF(M937="","",IF(ISNUMBER(L937),M937-L937,IF(G937="DECISÃO D.P","",M937-TODAY())))</f>
        <v/>
      </c>
      <c r="O937" s="108" t="str">
        <f>IF(B937="","",IF(ISNUMBER(L937),IF(N937="","SEM DATA",IF(N937&gt;=0,"DEFESA NO PRAZO","DEFESA FORA DO PRAZO")),IF(G937="DECISÃO D.P","SEM DEFESA",IF(G937="","SEM STATUS",IF(N937="","SEM DATA",IF(N937&lt;0,"VENCIDO",IF(N937&lt;=DiasAlerta,"VENCE EM BREVE","NO PRAZO")))))))</f>
        <v/>
      </c>
      <c r="P937" s="109" t="str">
        <f>IF(D937="","",TODAY()-D937)</f>
        <v/>
      </c>
      <c r="Q937" s="102" t="n"/>
    </row>
    <row r="938" ht="18" customHeight="1">
      <c r="A938" s="101" t="n"/>
      <c r="B938" s="102" t="n"/>
      <c r="C938" s="102" t="n"/>
      <c r="D938" s="103" t="n"/>
      <c r="E938" s="102" t="n"/>
      <c r="F938" s="104" t="n"/>
      <c r="G938" s="104" t="n"/>
      <c r="H938" s="102" t="n"/>
      <c r="I938" s="105" t="n"/>
      <c r="J938" s="105" t="n"/>
      <c r="K938" s="103" t="n"/>
      <c r="L938" s="103" t="n"/>
      <c r="M938" s="106" t="str">
        <f>IF(OR(D938="",E938=""),"",D938+IF(E938="NOTIFICAÇÃO DE CONSTATAÇÃO",PrazoConst,PrazoEsc))</f>
        <v/>
      </c>
      <c r="N938" s="107" t="str">
        <f>IF(M938="","",IF(ISNUMBER(L938),M938-L938,IF(G938="DECISÃO D.P","",M938-TODAY())))</f>
        <v/>
      </c>
      <c r="O938" s="108" t="str">
        <f>IF(B938="","",IF(ISNUMBER(L938),IF(N938="","SEM DATA",IF(N938&gt;=0,"DEFESA NO PRAZO","DEFESA FORA DO PRAZO")),IF(G938="DECISÃO D.P","SEM DEFESA",IF(G938="","SEM STATUS",IF(N938="","SEM DATA",IF(N938&lt;0,"VENCIDO",IF(N938&lt;=DiasAlerta,"VENCE EM BREVE","NO PRAZO")))))))</f>
        <v/>
      </c>
      <c r="P938" s="109" t="str">
        <f>IF(D938="","",TODAY()-D938)</f>
        <v/>
      </c>
      <c r="Q938" s="102" t="n"/>
    </row>
    <row r="939" ht="18" customHeight="1">
      <c r="A939" s="101" t="n"/>
      <c r="B939" s="102" t="n"/>
      <c r="C939" s="102" t="n"/>
      <c r="D939" s="103" t="n"/>
      <c r="E939" s="102" t="n"/>
      <c r="F939" s="104" t="n"/>
      <c r="G939" s="104" t="n"/>
      <c r="H939" s="102" t="n"/>
      <c r="I939" s="105" t="n"/>
      <c r="J939" s="105" t="n"/>
      <c r="K939" s="103" t="n"/>
      <c r="L939" s="103" t="n"/>
      <c r="M939" s="106" t="str">
        <f>IF(OR(D939="",E939=""),"",D939+IF(E939="NOTIFICAÇÃO DE CONSTATAÇÃO",PrazoConst,PrazoEsc))</f>
        <v/>
      </c>
      <c r="N939" s="107" t="str">
        <f>IF(M939="","",IF(ISNUMBER(L939),M939-L939,IF(G939="DECISÃO D.P","",M939-TODAY())))</f>
        <v/>
      </c>
      <c r="O939" s="108" t="str">
        <f>IF(B939="","",IF(ISNUMBER(L939),IF(N939="","SEM DATA",IF(N939&gt;=0,"DEFESA NO PRAZO","DEFESA FORA DO PRAZO")),IF(G939="DECISÃO D.P","SEM DEFESA",IF(G939="","SEM STATUS",IF(N939="","SEM DATA",IF(N939&lt;0,"VENCIDO",IF(N939&lt;=DiasAlerta,"VENCE EM BREVE","NO PRAZO")))))))</f>
        <v/>
      </c>
      <c r="P939" s="109" t="str">
        <f>IF(D939="","",TODAY()-D939)</f>
        <v/>
      </c>
      <c r="Q939" s="102" t="n"/>
    </row>
    <row r="940" ht="18" customHeight="1">
      <c r="A940" s="101" t="n"/>
      <c r="B940" s="102" t="n"/>
      <c r="C940" s="102" t="n"/>
      <c r="D940" s="103" t="n"/>
      <c r="E940" s="102" t="n"/>
      <c r="F940" s="104" t="n"/>
      <c r="G940" s="104" t="n"/>
      <c r="H940" s="102" t="n"/>
      <c r="I940" s="105" t="n"/>
      <c r="J940" s="105" t="n"/>
      <c r="K940" s="103" t="n"/>
      <c r="L940" s="103" t="n"/>
      <c r="M940" s="106" t="str">
        <f>IF(OR(D940="",E940=""),"",D940+IF(E940="NOTIFICAÇÃO DE CONSTATAÇÃO",PrazoConst,PrazoEsc))</f>
        <v/>
      </c>
      <c r="N940" s="107" t="str">
        <f>IF(M940="","",IF(ISNUMBER(L940),M940-L940,IF(G940="DECISÃO D.P","",M940-TODAY())))</f>
        <v/>
      </c>
      <c r="O940" s="108" t="str">
        <f>IF(B940="","",IF(ISNUMBER(L940),IF(N940="","SEM DATA",IF(N940&gt;=0,"DEFESA NO PRAZO","DEFESA FORA DO PRAZO")),IF(G940="DECISÃO D.P","SEM DEFESA",IF(G940="","SEM STATUS",IF(N940="","SEM DATA",IF(N940&lt;0,"VENCIDO",IF(N940&lt;=DiasAlerta,"VENCE EM BREVE","NO PRAZO")))))))</f>
        <v/>
      </c>
      <c r="P940" s="109" t="str">
        <f>IF(D940="","",TODAY()-D940)</f>
        <v/>
      </c>
      <c r="Q940" s="102" t="n"/>
    </row>
    <row r="941" ht="18" customHeight="1">
      <c r="A941" s="101" t="n"/>
      <c r="B941" s="102" t="n"/>
      <c r="C941" s="102" t="n"/>
      <c r="D941" s="103" t="n"/>
      <c r="E941" s="102" t="n"/>
      <c r="F941" s="104" t="n"/>
      <c r="G941" s="104" t="n"/>
      <c r="H941" s="102" t="n"/>
      <c r="I941" s="105" t="n"/>
      <c r="J941" s="105" t="n"/>
      <c r="K941" s="103" t="n"/>
      <c r="L941" s="103" t="n"/>
      <c r="M941" s="106" t="str">
        <f>IF(OR(D941="",E941=""),"",D941+IF(E941="NOTIFICAÇÃO DE CONSTATAÇÃO",PrazoConst,PrazoEsc))</f>
        <v/>
      </c>
      <c r="N941" s="107" t="str">
        <f>IF(M941="","",IF(ISNUMBER(L941),M941-L941,IF(G941="DECISÃO D.P","",M941-TODAY())))</f>
        <v/>
      </c>
      <c r="O941" s="108" t="str">
        <f>IF(B941="","",IF(ISNUMBER(L941),IF(N941="","SEM DATA",IF(N941&gt;=0,"DEFESA NO PRAZO","DEFESA FORA DO PRAZO")),IF(G941="DECISÃO D.P","SEM DEFESA",IF(G941="","SEM STATUS",IF(N941="","SEM DATA",IF(N941&lt;0,"VENCIDO",IF(N941&lt;=DiasAlerta,"VENCE EM BREVE","NO PRAZO")))))))</f>
        <v/>
      </c>
      <c r="P941" s="109" t="str">
        <f>IF(D941="","",TODAY()-D941)</f>
        <v/>
      </c>
      <c r="Q941" s="102" t="n"/>
    </row>
    <row r="942" ht="18" customHeight="1">
      <c r="A942" s="101" t="n"/>
      <c r="B942" s="102" t="n"/>
      <c r="C942" s="102" t="n"/>
      <c r="D942" s="103" t="n"/>
      <c r="E942" s="102" t="n"/>
      <c r="F942" s="104" t="n"/>
      <c r="G942" s="104" t="n"/>
      <c r="H942" s="102" t="n"/>
      <c r="I942" s="105" t="n"/>
      <c r="J942" s="105" t="n"/>
      <c r="K942" s="103" t="n"/>
      <c r="L942" s="103" t="n"/>
      <c r="M942" s="106" t="str">
        <f>IF(OR(D942="",E942=""),"",D942+IF(E942="NOTIFICAÇÃO DE CONSTATAÇÃO",PrazoConst,PrazoEsc))</f>
        <v/>
      </c>
      <c r="N942" s="107" t="str">
        <f>IF(M942="","",IF(ISNUMBER(L942),M942-L942,IF(G942="DECISÃO D.P","",M942-TODAY())))</f>
        <v/>
      </c>
      <c r="O942" s="108" t="str">
        <f>IF(B942="","",IF(ISNUMBER(L942),IF(N942="","SEM DATA",IF(N942&gt;=0,"DEFESA NO PRAZO","DEFESA FORA DO PRAZO")),IF(G942="DECISÃO D.P","SEM DEFESA",IF(G942="","SEM STATUS",IF(N942="","SEM DATA",IF(N942&lt;0,"VENCIDO",IF(N942&lt;=DiasAlerta,"VENCE EM BREVE","NO PRAZO")))))))</f>
        <v/>
      </c>
      <c r="P942" s="109" t="str">
        <f>IF(D942="","",TODAY()-D942)</f>
        <v/>
      </c>
      <c r="Q942" s="102" t="n"/>
    </row>
    <row r="943" ht="18" customHeight="1">
      <c r="A943" s="101" t="n"/>
      <c r="B943" s="102" t="n"/>
      <c r="C943" s="102" t="n"/>
      <c r="D943" s="103" t="n"/>
      <c r="E943" s="102" t="n"/>
      <c r="F943" s="104" t="n"/>
      <c r="G943" s="104" t="n"/>
      <c r="H943" s="102" t="n"/>
      <c r="I943" s="105" t="n"/>
      <c r="J943" s="105" t="n"/>
      <c r="K943" s="103" t="n"/>
      <c r="L943" s="103" t="n"/>
      <c r="M943" s="106" t="str">
        <f>IF(OR(D943="",E943=""),"",D943+IF(E943="NOTIFICAÇÃO DE CONSTATAÇÃO",PrazoConst,PrazoEsc))</f>
        <v/>
      </c>
      <c r="N943" s="107" t="str">
        <f>IF(M943="","",IF(ISNUMBER(L943),M943-L943,IF(G943="DECISÃO D.P","",M943-TODAY())))</f>
        <v/>
      </c>
      <c r="O943" s="108" t="str">
        <f>IF(B943="","",IF(ISNUMBER(L943),IF(N943="","SEM DATA",IF(N943&gt;=0,"DEFESA NO PRAZO","DEFESA FORA DO PRAZO")),IF(G943="DECISÃO D.P","SEM DEFESA",IF(G943="","SEM STATUS",IF(N943="","SEM DATA",IF(N943&lt;0,"VENCIDO",IF(N943&lt;=DiasAlerta,"VENCE EM BREVE","NO PRAZO")))))))</f>
        <v/>
      </c>
      <c r="P943" s="109" t="str">
        <f>IF(D943="","",TODAY()-D943)</f>
        <v/>
      </c>
      <c r="Q943" s="102" t="n"/>
    </row>
    <row r="944" ht="18" customHeight="1">
      <c r="A944" s="101" t="n"/>
      <c r="B944" s="102" t="n"/>
      <c r="C944" s="102" t="n"/>
      <c r="D944" s="103" t="n"/>
      <c r="E944" s="102" t="n"/>
      <c r="F944" s="104" t="n"/>
      <c r="G944" s="104" t="n"/>
      <c r="H944" s="102" t="n"/>
      <c r="I944" s="105" t="n"/>
      <c r="J944" s="105" t="n"/>
      <c r="K944" s="103" t="n"/>
      <c r="L944" s="103" t="n"/>
      <c r="M944" s="106" t="str">
        <f>IF(OR(D944="",E944=""),"",D944+IF(E944="NOTIFICAÇÃO DE CONSTATAÇÃO",PrazoConst,PrazoEsc))</f>
        <v/>
      </c>
      <c r="N944" s="107" t="str">
        <f>IF(M944="","",IF(ISNUMBER(L944),M944-L944,IF(G944="DECISÃO D.P","",M944-TODAY())))</f>
        <v/>
      </c>
      <c r="O944" s="108" t="str">
        <f>IF(B944="","",IF(ISNUMBER(L944),IF(N944="","SEM DATA",IF(N944&gt;=0,"DEFESA NO PRAZO","DEFESA FORA DO PRAZO")),IF(G944="DECISÃO D.P","SEM DEFESA",IF(G944="","SEM STATUS",IF(N944="","SEM DATA",IF(N944&lt;0,"VENCIDO",IF(N944&lt;=DiasAlerta,"VENCE EM BREVE","NO PRAZO")))))))</f>
        <v/>
      </c>
      <c r="P944" s="109" t="str">
        <f>IF(D944="","",TODAY()-D944)</f>
        <v/>
      </c>
      <c r="Q944" s="102" t="n"/>
    </row>
    <row r="945" ht="18" customHeight="1">
      <c r="A945" s="101" t="n"/>
      <c r="B945" s="102" t="n"/>
      <c r="C945" s="102" t="n"/>
      <c r="D945" s="103" t="n"/>
      <c r="E945" s="102" t="n"/>
      <c r="F945" s="104" t="n"/>
      <c r="G945" s="104" t="n"/>
      <c r="H945" s="102" t="n"/>
      <c r="I945" s="105" t="n"/>
      <c r="J945" s="105" t="n"/>
      <c r="K945" s="103" t="n"/>
      <c r="L945" s="103" t="n"/>
      <c r="M945" s="106" t="str">
        <f>IF(OR(D945="",E945=""),"",D945+IF(E945="NOTIFICAÇÃO DE CONSTATAÇÃO",PrazoConst,PrazoEsc))</f>
        <v/>
      </c>
      <c r="N945" s="107" t="str">
        <f>IF(M945="","",IF(ISNUMBER(L945),M945-L945,IF(G945="DECISÃO D.P","",M945-TODAY())))</f>
        <v/>
      </c>
      <c r="O945" s="108" t="str">
        <f>IF(B945="","",IF(ISNUMBER(L945),IF(N945="","SEM DATA",IF(N945&gt;=0,"DEFESA NO PRAZO","DEFESA FORA DO PRAZO")),IF(G945="DECISÃO D.P","SEM DEFESA",IF(G945="","SEM STATUS",IF(N945="","SEM DATA",IF(N945&lt;0,"VENCIDO",IF(N945&lt;=DiasAlerta,"VENCE EM BREVE","NO PRAZO")))))))</f>
        <v/>
      </c>
      <c r="P945" s="109" t="str">
        <f>IF(D945="","",TODAY()-D945)</f>
        <v/>
      </c>
      <c r="Q945" s="102" t="n"/>
    </row>
    <row r="946" ht="18" customHeight="1">
      <c r="A946" s="101" t="n"/>
      <c r="B946" s="102" t="n"/>
      <c r="C946" s="102" t="n"/>
      <c r="D946" s="103" t="n"/>
      <c r="E946" s="102" t="n"/>
      <c r="F946" s="104" t="n"/>
      <c r="G946" s="104" t="n"/>
      <c r="H946" s="102" t="n"/>
      <c r="I946" s="105" t="n"/>
      <c r="J946" s="105" t="n"/>
      <c r="K946" s="103" t="n"/>
      <c r="L946" s="103" t="n"/>
      <c r="M946" s="106" t="str">
        <f>IF(OR(D946="",E946=""),"",D946+IF(E946="NOTIFICAÇÃO DE CONSTATAÇÃO",PrazoConst,PrazoEsc))</f>
        <v/>
      </c>
      <c r="N946" s="107" t="str">
        <f>IF(M946="","",IF(ISNUMBER(L946),M946-L946,IF(G946="DECISÃO D.P","",M946-TODAY())))</f>
        <v/>
      </c>
      <c r="O946" s="108" t="str">
        <f>IF(B946="","",IF(ISNUMBER(L946),IF(N946="","SEM DATA",IF(N946&gt;=0,"DEFESA NO PRAZO","DEFESA FORA DO PRAZO")),IF(G946="DECISÃO D.P","SEM DEFESA",IF(G946="","SEM STATUS",IF(N946="","SEM DATA",IF(N946&lt;0,"VENCIDO",IF(N946&lt;=DiasAlerta,"VENCE EM BREVE","NO PRAZO")))))))</f>
        <v/>
      </c>
      <c r="P946" s="109" t="str">
        <f>IF(D946="","",TODAY()-D946)</f>
        <v/>
      </c>
      <c r="Q946" s="102" t="n"/>
    </row>
    <row r="947" ht="18" customHeight="1">
      <c r="A947" s="101" t="n"/>
      <c r="B947" s="102" t="n"/>
      <c r="C947" s="102" t="n"/>
      <c r="D947" s="103" t="n"/>
      <c r="E947" s="102" t="n"/>
      <c r="F947" s="104" t="n"/>
      <c r="G947" s="104" t="n"/>
      <c r="H947" s="102" t="n"/>
      <c r="I947" s="105" t="n"/>
      <c r="J947" s="105" t="n"/>
      <c r="K947" s="103" t="n"/>
      <c r="L947" s="103" t="n"/>
      <c r="M947" s="106" t="str">
        <f>IF(OR(D947="",E947=""),"",D947+IF(E947="NOTIFICAÇÃO DE CONSTATAÇÃO",PrazoConst,PrazoEsc))</f>
        <v/>
      </c>
      <c r="N947" s="107" t="str">
        <f>IF(M947="","",IF(ISNUMBER(L947),M947-L947,IF(G947="DECISÃO D.P","",M947-TODAY())))</f>
        <v/>
      </c>
      <c r="O947" s="108" t="str">
        <f>IF(B947="","",IF(ISNUMBER(L947),IF(N947="","SEM DATA",IF(N947&gt;=0,"DEFESA NO PRAZO","DEFESA FORA DO PRAZO")),IF(G947="DECISÃO D.P","SEM DEFESA",IF(G947="","SEM STATUS",IF(N947="","SEM DATA",IF(N947&lt;0,"VENCIDO",IF(N947&lt;=DiasAlerta,"VENCE EM BREVE","NO PRAZO")))))))</f>
        <v/>
      </c>
      <c r="P947" s="109" t="str">
        <f>IF(D947="","",TODAY()-D947)</f>
        <v/>
      </c>
      <c r="Q947" s="102" t="n"/>
    </row>
    <row r="948" ht="18" customHeight="1">
      <c r="A948" s="101" t="n"/>
      <c r="B948" s="102" t="n"/>
      <c r="C948" s="102" t="n"/>
      <c r="D948" s="103" t="n"/>
      <c r="E948" s="102" t="n"/>
      <c r="F948" s="104" t="n"/>
      <c r="G948" s="104" t="n"/>
      <c r="H948" s="102" t="n"/>
      <c r="I948" s="105" t="n"/>
      <c r="J948" s="105" t="n"/>
      <c r="K948" s="103" t="n"/>
      <c r="L948" s="103" t="n"/>
      <c r="M948" s="106" t="str">
        <f>IF(OR(D948="",E948=""),"",D948+IF(E948="NOTIFICAÇÃO DE CONSTATAÇÃO",PrazoConst,PrazoEsc))</f>
        <v/>
      </c>
      <c r="N948" s="107" t="str">
        <f>IF(M948="","",IF(ISNUMBER(L948),M948-L948,IF(G948="DECISÃO D.P","",M948-TODAY())))</f>
        <v/>
      </c>
      <c r="O948" s="108" t="str">
        <f>IF(B948="","",IF(ISNUMBER(L948),IF(N948="","SEM DATA",IF(N948&gt;=0,"DEFESA NO PRAZO","DEFESA FORA DO PRAZO")),IF(G948="DECISÃO D.P","SEM DEFESA",IF(G948="","SEM STATUS",IF(N948="","SEM DATA",IF(N948&lt;0,"VENCIDO",IF(N948&lt;=DiasAlerta,"VENCE EM BREVE","NO PRAZO")))))))</f>
        <v/>
      </c>
      <c r="P948" s="109" t="str">
        <f>IF(D948="","",TODAY()-D948)</f>
        <v/>
      </c>
      <c r="Q948" s="102" t="n"/>
    </row>
    <row r="949" ht="18" customHeight="1">
      <c r="A949" s="101" t="n"/>
      <c r="B949" s="102" t="n"/>
      <c r="C949" s="102" t="n"/>
      <c r="D949" s="103" t="n"/>
      <c r="E949" s="102" t="n"/>
      <c r="F949" s="104" t="n"/>
      <c r="G949" s="104" t="n"/>
      <c r="H949" s="102" t="n"/>
      <c r="I949" s="105" t="n"/>
      <c r="J949" s="105" t="n"/>
      <c r="K949" s="103" t="n"/>
      <c r="L949" s="103" t="n"/>
      <c r="M949" s="106" t="str">
        <f>IF(OR(D949="",E949=""),"",D949+IF(E949="NOTIFICAÇÃO DE CONSTATAÇÃO",PrazoConst,PrazoEsc))</f>
        <v/>
      </c>
      <c r="N949" s="107" t="str">
        <f>IF(M949="","",IF(ISNUMBER(L949),M949-L949,IF(G949="DECISÃO D.P","",M949-TODAY())))</f>
        <v/>
      </c>
      <c r="O949" s="108" t="str">
        <f>IF(B949="","",IF(ISNUMBER(L949),IF(N949="","SEM DATA",IF(N949&gt;=0,"DEFESA NO PRAZO","DEFESA FORA DO PRAZO")),IF(G949="DECISÃO D.P","SEM DEFESA",IF(G949="","SEM STATUS",IF(N949="","SEM DATA",IF(N949&lt;0,"VENCIDO",IF(N949&lt;=DiasAlerta,"VENCE EM BREVE","NO PRAZO")))))))</f>
        <v/>
      </c>
      <c r="P949" s="109" t="str">
        <f>IF(D949="","",TODAY()-D949)</f>
        <v/>
      </c>
      <c r="Q949" s="102" t="n"/>
    </row>
    <row r="950" ht="18" customHeight="1">
      <c r="A950" s="101" t="n"/>
      <c r="B950" s="102" t="n"/>
      <c r="C950" s="102" t="n"/>
      <c r="D950" s="103" t="n"/>
      <c r="E950" s="102" t="n"/>
      <c r="F950" s="104" t="n"/>
      <c r="G950" s="104" t="n"/>
      <c r="H950" s="102" t="n"/>
      <c r="I950" s="105" t="n"/>
      <c r="J950" s="105" t="n"/>
      <c r="K950" s="103" t="n"/>
      <c r="L950" s="103" t="n"/>
      <c r="M950" s="106" t="str">
        <f>IF(OR(D950="",E950=""),"",D950+IF(E950="NOTIFICAÇÃO DE CONSTATAÇÃO",PrazoConst,PrazoEsc))</f>
        <v/>
      </c>
      <c r="N950" s="107" t="str">
        <f>IF(M950="","",IF(ISNUMBER(L950),M950-L950,IF(G950="DECISÃO D.P","",M950-TODAY())))</f>
        <v/>
      </c>
      <c r="O950" s="108" t="str">
        <f>IF(B950="","",IF(ISNUMBER(L950),IF(N950="","SEM DATA",IF(N950&gt;=0,"DEFESA NO PRAZO","DEFESA FORA DO PRAZO")),IF(G950="DECISÃO D.P","SEM DEFESA",IF(G950="","SEM STATUS",IF(N950="","SEM DATA",IF(N950&lt;0,"VENCIDO",IF(N950&lt;=DiasAlerta,"VENCE EM BREVE","NO PRAZO")))))))</f>
        <v/>
      </c>
      <c r="P950" s="109" t="str">
        <f>IF(D950="","",TODAY()-D950)</f>
        <v/>
      </c>
      <c r="Q950" s="102" t="n"/>
    </row>
    <row r="951" ht="18" customHeight="1">
      <c r="A951" s="101" t="n"/>
      <c r="B951" s="102" t="n"/>
      <c r="C951" s="102" t="n"/>
      <c r="D951" s="103" t="n"/>
      <c r="E951" s="102" t="n"/>
      <c r="F951" s="104" t="n"/>
      <c r="G951" s="104" t="n"/>
      <c r="H951" s="102" t="n"/>
      <c r="I951" s="105" t="n"/>
      <c r="J951" s="105" t="n"/>
      <c r="K951" s="103" t="n"/>
      <c r="L951" s="103" t="n"/>
      <c r="M951" s="106" t="str">
        <f>IF(OR(D951="",E951=""),"",D951+IF(E951="NOTIFICAÇÃO DE CONSTATAÇÃO",PrazoConst,PrazoEsc))</f>
        <v/>
      </c>
      <c r="N951" s="107" t="str">
        <f>IF(M951="","",IF(ISNUMBER(L951),M951-L951,IF(G951="DECISÃO D.P","",M951-TODAY())))</f>
        <v/>
      </c>
      <c r="O951" s="108" t="str">
        <f>IF(B951="","",IF(ISNUMBER(L951),IF(N951="","SEM DATA",IF(N951&gt;=0,"DEFESA NO PRAZO","DEFESA FORA DO PRAZO")),IF(G951="DECISÃO D.P","SEM DEFESA",IF(G951="","SEM STATUS",IF(N951="","SEM DATA",IF(N951&lt;0,"VENCIDO",IF(N951&lt;=DiasAlerta,"VENCE EM BREVE","NO PRAZO")))))))</f>
        <v/>
      </c>
      <c r="P951" s="109" t="str">
        <f>IF(D951="","",TODAY()-D951)</f>
        <v/>
      </c>
      <c r="Q951" s="102" t="n"/>
    </row>
    <row r="952" ht="18" customHeight="1">
      <c r="A952" s="101" t="n"/>
      <c r="B952" s="102" t="n"/>
      <c r="C952" s="102" t="n"/>
      <c r="D952" s="103" t="n"/>
      <c r="E952" s="102" t="n"/>
      <c r="F952" s="104" t="n"/>
      <c r="G952" s="104" t="n"/>
      <c r="H952" s="102" t="n"/>
      <c r="I952" s="105" t="n"/>
      <c r="J952" s="105" t="n"/>
      <c r="K952" s="103" t="n"/>
      <c r="L952" s="103" t="n"/>
      <c r="M952" s="106" t="str">
        <f>IF(OR(D952="",E952=""),"",D952+IF(E952="NOTIFICAÇÃO DE CONSTATAÇÃO",PrazoConst,PrazoEsc))</f>
        <v/>
      </c>
      <c r="N952" s="107" t="str">
        <f>IF(M952="","",IF(ISNUMBER(L952),M952-L952,IF(G952="DECISÃO D.P","",M952-TODAY())))</f>
        <v/>
      </c>
      <c r="O952" s="108" t="str">
        <f>IF(B952="","",IF(ISNUMBER(L952),IF(N952="","SEM DATA",IF(N952&gt;=0,"DEFESA NO PRAZO","DEFESA FORA DO PRAZO")),IF(G952="DECISÃO D.P","SEM DEFESA",IF(G952="","SEM STATUS",IF(N952="","SEM DATA",IF(N952&lt;0,"VENCIDO",IF(N952&lt;=DiasAlerta,"VENCE EM BREVE","NO PRAZO")))))))</f>
        <v/>
      </c>
      <c r="P952" s="109" t="str">
        <f>IF(D952="","",TODAY()-D952)</f>
        <v/>
      </c>
      <c r="Q952" s="102" t="n"/>
    </row>
    <row r="953" ht="18" customHeight="1">
      <c r="A953" s="101" t="n"/>
      <c r="B953" s="102" t="n"/>
      <c r="C953" s="102" t="n"/>
      <c r="D953" s="103" t="n"/>
      <c r="E953" s="102" t="n"/>
      <c r="F953" s="104" t="n"/>
      <c r="G953" s="104" t="n"/>
      <c r="H953" s="102" t="n"/>
      <c r="I953" s="105" t="n"/>
      <c r="J953" s="105" t="n"/>
      <c r="K953" s="103" t="n"/>
      <c r="L953" s="103" t="n"/>
      <c r="M953" s="106" t="str">
        <f>IF(OR(D953="",E953=""),"",D953+IF(E953="NOTIFICAÇÃO DE CONSTATAÇÃO",PrazoConst,PrazoEsc))</f>
        <v/>
      </c>
      <c r="N953" s="107" t="str">
        <f>IF(M953="","",IF(ISNUMBER(L953),M953-L953,IF(G953="DECISÃO D.P","",M953-TODAY())))</f>
        <v/>
      </c>
      <c r="O953" s="108" t="str">
        <f>IF(B953="","",IF(ISNUMBER(L953),IF(N953="","SEM DATA",IF(N953&gt;=0,"DEFESA NO PRAZO","DEFESA FORA DO PRAZO")),IF(G953="DECISÃO D.P","SEM DEFESA",IF(G953="","SEM STATUS",IF(N953="","SEM DATA",IF(N953&lt;0,"VENCIDO",IF(N953&lt;=DiasAlerta,"VENCE EM BREVE","NO PRAZO")))))))</f>
        <v/>
      </c>
      <c r="P953" s="109" t="str">
        <f>IF(D953="","",TODAY()-D953)</f>
        <v/>
      </c>
      <c r="Q953" s="102" t="n"/>
    </row>
    <row r="954" ht="18" customHeight="1">
      <c r="A954" s="101" t="n"/>
      <c r="B954" s="102" t="n"/>
      <c r="C954" s="102" t="n"/>
      <c r="D954" s="103" t="n"/>
      <c r="E954" s="102" t="n"/>
      <c r="F954" s="104" t="n"/>
      <c r="G954" s="104" t="n"/>
      <c r="H954" s="102" t="n"/>
      <c r="I954" s="105" t="n"/>
      <c r="J954" s="105" t="n"/>
      <c r="K954" s="103" t="n"/>
      <c r="L954" s="103" t="n"/>
      <c r="M954" s="106" t="str">
        <f>IF(OR(D954="",E954=""),"",D954+IF(E954="NOTIFICAÇÃO DE CONSTATAÇÃO",PrazoConst,PrazoEsc))</f>
        <v/>
      </c>
      <c r="N954" s="107" t="str">
        <f>IF(M954="","",IF(ISNUMBER(L954),M954-L954,IF(G954="DECISÃO D.P","",M954-TODAY())))</f>
        <v/>
      </c>
      <c r="O954" s="108" t="str">
        <f>IF(B954="","",IF(ISNUMBER(L954),IF(N954="","SEM DATA",IF(N954&gt;=0,"DEFESA NO PRAZO","DEFESA FORA DO PRAZO")),IF(G954="DECISÃO D.P","SEM DEFESA",IF(G954="","SEM STATUS",IF(N954="","SEM DATA",IF(N954&lt;0,"VENCIDO",IF(N954&lt;=DiasAlerta,"VENCE EM BREVE","NO PRAZO")))))))</f>
        <v/>
      </c>
      <c r="P954" s="109" t="str">
        <f>IF(D954="","",TODAY()-D954)</f>
        <v/>
      </c>
      <c r="Q954" s="102" t="n"/>
    </row>
    <row r="955" ht="18" customHeight="1">
      <c r="A955" s="101" t="n"/>
      <c r="B955" s="102" t="n"/>
      <c r="C955" s="102" t="n"/>
      <c r="D955" s="103" t="n"/>
      <c r="E955" s="102" t="n"/>
      <c r="F955" s="104" t="n"/>
      <c r="G955" s="104" t="n"/>
      <c r="H955" s="102" t="n"/>
      <c r="I955" s="105" t="n"/>
      <c r="J955" s="105" t="n"/>
      <c r="K955" s="103" t="n"/>
      <c r="L955" s="103" t="n"/>
      <c r="M955" s="106" t="str">
        <f>IF(OR(D955="",E955=""),"",D955+IF(E955="NOTIFICAÇÃO DE CONSTATAÇÃO",PrazoConst,PrazoEsc))</f>
        <v/>
      </c>
      <c r="N955" s="107" t="str">
        <f>IF(M955="","",IF(ISNUMBER(L955),M955-L955,IF(G955="DECISÃO D.P","",M955-TODAY())))</f>
        <v/>
      </c>
      <c r="O955" s="108" t="str">
        <f>IF(B955="","",IF(ISNUMBER(L955),IF(N955="","SEM DATA",IF(N955&gt;=0,"DEFESA NO PRAZO","DEFESA FORA DO PRAZO")),IF(G955="DECISÃO D.P","SEM DEFESA",IF(G955="","SEM STATUS",IF(N955="","SEM DATA",IF(N955&lt;0,"VENCIDO",IF(N955&lt;=DiasAlerta,"VENCE EM BREVE","NO PRAZO")))))))</f>
        <v/>
      </c>
      <c r="P955" s="109" t="str">
        <f>IF(D955="","",TODAY()-D955)</f>
        <v/>
      </c>
      <c r="Q955" s="102" t="n"/>
    </row>
    <row r="956" ht="18" customHeight="1">
      <c r="A956" s="101" t="n"/>
      <c r="B956" s="102" t="n"/>
      <c r="C956" s="102" t="n"/>
      <c r="D956" s="103" t="n"/>
      <c r="E956" s="102" t="n"/>
      <c r="F956" s="104" t="n"/>
      <c r="G956" s="104" t="n"/>
      <c r="H956" s="102" t="n"/>
      <c r="I956" s="105" t="n"/>
      <c r="J956" s="105" t="n"/>
      <c r="K956" s="103" t="n"/>
      <c r="L956" s="103" t="n"/>
      <c r="M956" s="106" t="str">
        <f>IF(OR(D956="",E956=""),"",D956+IF(E956="NOTIFICAÇÃO DE CONSTATAÇÃO",PrazoConst,PrazoEsc))</f>
        <v/>
      </c>
      <c r="N956" s="107" t="str">
        <f>IF(M956="","",IF(ISNUMBER(L956),M956-L956,IF(G956="DECISÃO D.P","",M956-TODAY())))</f>
        <v/>
      </c>
      <c r="O956" s="108" t="str">
        <f>IF(B956="","",IF(ISNUMBER(L956),IF(N956="","SEM DATA",IF(N956&gt;=0,"DEFESA NO PRAZO","DEFESA FORA DO PRAZO")),IF(G956="DECISÃO D.P","SEM DEFESA",IF(G956="","SEM STATUS",IF(N956="","SEM DATA",IF(N956&lt;0,"VENCIDO",IF(N956&lt;=DiasAlerta,"VENCE EM BREVE","NO PRAZO")))))))</f>
        <v/>
      </c>
      <c r="P956" s="109" t="str">
        <f>IF(D956="","",TODAY()-D956)</f>
        <v/>
      </c>
      <c r="Q956" s="102" t="n"/>
    </row>
    <row r="957" ht="18" customHeight="1">
      <c r="A957" s="101" t="n"/>
      <c r="B957" s="102" t="n"/>
      <c r="C957" s="102" t="n"/>
      <c r="D957" s="103" t="n"/>
      <c r="E957" s="102" t="n"/>
      <c r="F957" s="104" t="n"/>
      <c r="G957" s="104" t="n"/>
      <c r="H957" s="102" t="n"/>
      <c r="I957" s="105" t="n"/>
      <c r="J957" s="105" t="n"/>
      <c r="K957" s="103" t="n"/>
      <c r="L957" s="103" t="n"/>
      <c r="M957" s="106" t="str">
        <f>IF(OR(D957="",E957=""),"",D957+IF(E957="NOTIFICAÇÃO DE CONSTATAÇÃO",PrazoConst,PrazoEsc))</f>
        <v/>
      </c>
      <c r="N957" s="107" t="str">
        <f>IF(M957="","",IF(ISNUMBER(L957),M957-L957,IF(G957="DECISÃO D.P","",M957-TODAY())))</f>
        <v/>
      </c>
      <c r="O957" s="108" t="str">
        <f>IF(B957="","",IF(ISNUMBER(L957),IF(N957="","SEM DATA",IF(N957&gt;=0,"DEFESA NO PRAZO","DEFESA FORA DO PRAZO")),IF(G957="DECISÃO D.P","SEM DEFESA",IF(G957="","SEM STATUS",IF(N957="","SEM DATA",IF(N957&lt;0,"VENCIDO",IF(N957&lt;=DiasAlerta,"VENCE EM BREVE","NO PRAZO")))))))</f>
        <v/>
      </c>
      <c r="P957" s="109" t="str">
        <f>IF(D957="","",TODAY()-D957)</f>
        <v/>
      </c>
      <c r="Q957" s="102" t="n"/>
    </row>
    <row r="958" ht="18" customHeight="1">
      <c r="A958" s="101" t="n"/>
      <c r="B958" s="102" t="n"/>
      <c r="C958" s="102" t="n"/>
      <c r="D958" s="103" t="n"/>
      <c r="E958" s="102" t="n"/>
      <c r="F958" s="104" t="n"/>
      <c r="G958" s="104" t="n"/>
      <c r="H958" s="102" t="n"/>
      <c r="I958" s="105" t="n"/>
      <c r="J958" s="105" t="n"/>
      <c r="K958" s="103" t="n"/>
      <c r="L958" s="103" t="n"/>
      <c r="M958" s="106" t="str">
        <f>IF(OR(D958="",E958=""),"",D958+IF(E958="NOTIFICAÇÃO DE CONSTATAÇÃO",PrazoConst,PrazoEsc))</f>
        <v/>
      </c>
      <c r="N958" s="107" t="str">
        <f>IF(M958="","",IF(ISNUMBER(L958),M958-L958,IF(G958="DECISÃO D.P","",M958-TODAY())))</f>
        <v/>
      </c>
      <c r="O958" s="108" t="str">
        <f>IF(B958="","",IF(ISNUMBER(L958),IF(N958="","SEM DATA",IF(N958&gt;=0,"DEFESA NO PRAZO","DEFESA FORA DO PRAZO")),IF(G958="DECISÃO D.P","SEM DEFESA",IF(G958="","SEM STATUS",IF(N958="","SEM DATA",IF(N958&lt;0,"VENCIDO",IF(N958&lt;=DiasAlerta,"VENCE EM BREVE","NO PRAZO")))))))</f>
        <v/>
      </c>
      <c r="P958" s="109" t="str">
        <f>IF(D958="","",TODAY()-D958)</f>
        <v/>
      </c>
      <c r="Q958" s="102" t="n"/>
    </row>
    <row r="959" ht="18" customHeight="1">
      <c r="A959" s="101" t="n"/>
      <c r="B959" s="102" t="n"/>
      <c r="C959" s="102" t="n"/>
      <c r="D959" s="103" t="n"/>
      <c r="E959" s="102" t="n"/>
      <c r="F959" s="104" t="n"/>
      <c r="G959" s="104" t="n"/>
      <c r="H959" s="102" t="n"/>
      <c r="I959" s="105" t="n"/>
      <c r="J959" s="105" t="n"/>
      <c r="K959" s="103" t="n"/>
      <c r="L959" s="103" t="n"/>
      <c r="M959" s="106" t="str">
        <f>IF(OR(D959="",E959=""),"",D959+IF(E959="NOTIFICAÇÃO DE CONSTATAÇÃO",PrazoConst,PrazoEsc))</f>
        <v/>
      </c>
      <c r="N959" s="107" t="str">
        <f>IF(M959="","",IF(ISNUMBER(L959),M959-L959,IF(G959="DECISÃO D.P","",M959-TODAY())))</f>
        <v/>
      </c>
      <c r="O959" s="108" t="str">
        <f>IF(B959="","",IF(ISNUMBER(L959),IF(N959="","SEM DATA",IF(N959&gt;=0,"DEFESA NO PRAZO","DEFESA FORA DO PRAZO")),IF(G959="DECISÃO D.P","SEM DEFESA",IF(G959="","SEM STATUS",IF(N959="","SEM DATA",IF(N959&lt;0,"VENCIDO",IF(N959&lt;=DiasAlerta,"VENCE EM BREVE","NO PRAZO")))))))</f>
        <v/>
      </c>
      <c r="P959" s="109" t="str">
        <f>IF(D959="","",TODAY()-D959)</f>
        <v/>
      </c>
      <c r="Q959" s="102" t="n"/>
    </row>
    <row r="960" ht="18" customHeight="1">
      <c r="A960" s="101" t="n"/>
      <c r="B960" s="102" t="n"/>
      <c r="C960" s="102" t="n"/>
      <c r="D960" s="103" t="n"/>
      <c r="E960" s="102" t="n"/>
      <c r="F960" s="104" t="n"/>
      <c r="G960" s="104" t="n"/>
      <c r="H960" s="102" t="n"/>
      <c r="I960" s="105" t="n"/>
      <c r="J960" s="105" t="n"/>
      <c r="K960" s="103" t="n"/>
      <c r="L960" s="103" t="n"/>
      <c r="M960" s="106" t="str">
        <f>IF(OR(D960="",E960=""),"",D960+IF(E960="NOTIFICAÇÃO DE CONSTATAÇÃO",PrazoConst,PrazoEsc))</f>
        <v/>
      </c>
      <c r="N960" s="107" t="str">
        <f>IF(M960="","",IF(ISNUMBER(L960),M960-L960,IF(G960="DECISÃO D.P","",M960-TODAY())))</f>
        <v/>
      </c>
      <c r="O960" s="108" t="str">
        <f>IF(B960="","",IF(ISNUMBER(L960),IF(N960="","SEM DATA",IF(N960&gt;=0,"DEFESA NO PRAZO","DEFESA FORA DO PRAZO")),IF(G960="DECISÃO D.P","SEM DEFESA",IF(G960="","SEM STATUS",IF(N960="","SEM DATA",IF(N960&lt;0,"VENCIDO",IF(N960&lt;=DiasAlerta,"VENCE EM BREVE","NO PRAZO")))))))</f>
        <v/>
      </c>
      <c r="P960" s="109" t="str">
        <f>IF(D960="","",TODAY()-D960)</f>
        <v/>
      </c>
      <c r="Q960" s="102" t="n"/>
    </row>
    <row r="961" ht="18" customHeight="1">
      <c r="A961" s="101" t="n"/>
      <c r="B961" s="102" t="n"/>
      <c r="C961" s="102" t="n"/>
      <c r="D961" s="103" t="n"/>
      <c r="E961" s="102" t="n"/>
      <c r="F961" s="104" t="n"/>
      <c r="G961" s="104" t="n"/>
      <c r="H961" s="102" t="n"/>
      <c r="I961" s="105" t="n"/>
      <c r="J961" s="105" t="n"/>
      <c r="K961" s="103" t="n"/>
      <c r="L961" s="103" t="n"/>
      <c r="M961" s="106" t="str">
        <f>IF(OR(D961="",E961=""),"",D961+IF(E961="NOTIFICAÇÃO DE CONSTATAÇÃO",PrazoConst,PrazoEsc))</f>
        <v/>
      </c>
      <c r="N961" s="107" t="str">
        <f>IF(M961="","",IF(ISNUMBER(L961),M961-L961,IF(G961="DECISÃO D.P","",M961-TODAY())))</f>
        <v/>
      </c>
      <c r="O961" s="108" t="str">
        <f>IF(B961="","",IF(ISNUMBER(L961),IF(N961="","SEM DATA",IF(N961&gt;=0,"DEFESA NO PRAZO","DEFESA FORA DO PRAZO")),IF(G961="DECISÃO D.P","SEM DEFESA",IF(G961="","SEM STATUS",IF(N961="","SEM DATA",IF(N961&lt;0,"VENCIDO",IF(N961&lt;=DiasAlerta,"VENCE EM BREVE","NO PRAZO")))))))</f>
        <v/>
      </c>
      <c r="P961" s="109" t="str">
        <f>IF(D961="","",TODAY()-D961)</f>
        <v/>
      </c>
      <c r="Q961" s="102" t="n"/>
    </row>
    <row r="962" ht="18" customHeight="1">
      <c r="A962" s="101" t="n"/>
      <c r="B962" s="102" t="n"/>
      <c r="C962" s="102" t="n"/>
      <c r="D962" s="103" t="n"/>
      <c r="E962" s="102" t="n"/>
      <c r="F962" s="104" t="n"/>
      <c r="G962" s="104" t="n"/>
      <c r="H962" s="102" t="n"/>
      <c r="I962" s="105" t="n"/>
      <c r="J962" s="105" t="n"/>
      <c r="K962" s="103" t="n"/>
      <c r="L962" s="103" t="n"/>
      <c r="M962" s="106" t="str">
        <f>IF(OR(D962="",E962=""),"",D962+IF(E962="NOTIFICAÇÃO DE CONSTATAÇÃO",PrazoConst,PrazoEsc))</f>
        <v/>
      </c>
      <c r="N962" s="107" t="str">
        <f>IF(M962="","",IF(ISNUMBER(L962),M962-L962,IF(G962="DECISÃO D.P","",M962-TODAY())))</f>
        <v/>
      </c>
      <c r="O962" s="108" t="str">
        <f>IF(B962="","",IF(ISNUMBER(L962),IF(N962="","SEM DATA",IF(N962&gt;=0,"DEFESA NO PRAZO","DEFESA FORA DO PRAZO")),IF(G962="DECISÃO D.P","SEM DEFESA",IF(G962="","SEM STATUS",IF(N962="","SEM DATA",IF(N962&lt;0,"VENCIDO",IF(N962&lt;=DiasAlerta,"VENCE EM BREVE","NO PRAZO")))))))</f>
        <v/>
      </c>
      <c r="P962" s="109" t="str">
        <f>IF(D962="","",TODAY()-D962)</f>
        <v/>
      </c>
      <c r="Q962" s="102" t="n"/>
    </row>
    <row r="963" ht="18" customHeight="1">
      <c r="A963" s="101" t="n"/>
      <c r="B963" s="102" t="n"/>
      <c r="C963" s="102" t="n"/>
      <c r="D963" s="103" t="n"/>
      <c r="E963" s="102" t="n"/>
      <c r="F963" s="104" t="n"/>
      <c r="G963" s="104" t="n"/>
      <c r="H963" s="102" t="n"/>
      <c r="I963" s="105" t="n"/>
      <c r="J963" s="105" t="n"/>
      <c r="K963" s="103" t="n"/>
      <c r="L963" s="103" t="n"/>
      <c r="M963" s="106" t="str">
        <f>IF(OR(D963="",E963=""),"",D963+IF(E963="NOTIFICAÇÃO DE CONSTATAÇÃO",PrazoConst,PrazoEsc))</f>
        <v/>
      </c>
      <c r="N963" s="107" t="str">
        <f>IF(M963="","",IF(ISNUMBER(L963),M963-L963,IF(G963="DECISÃO D.P","",M963-TODAY())))</f>
        <v/>
      </c>
      <c r="O963" s="108" t="str">
        <f>IF(B963="","",IF(ISNUMBER(L963),IF(N963="","SEM DATA",IF(N963&gt;=0,"DEFESA NO PRAZO","DEFESA FORA DO PRAZO")),IF(G963="DECISÃO D.P","SEM DEFESA",IF(G963="","SEM STATUS",IF(N963="","SEM DATA",IF(N963&lt;0,"VENCIDO",IF(N963&lt;=DiasAlerta,"VENCE EM BREVE","NO PRAZO")))))))</f>
        <v/>
      </c>
      <c r="P963" s="109" t="str">
        <f>IF(D963="","",TODAY()-D963)</f>
        <v/>
      </c>
      <c r="Q963" s="102" t="n"/>
    </row>
    <row r="964" ht="18" customHeight="1">
      <c r="A964" s="101" t="n"/>
      <c r="B964" s="102" t="n"/>
      <c r="C964" s="102" t="n"/>
      <c r="D964" s="103" t="n"/>
      <c r="E964" s="102" t="n"/>
      <c r="F964" s="104" t="n"/>
      <c r="G964" s="104" t="n"/>
      <c r="H964" s="102" t="n"/>
      <c r="I964" s="105" t="n"/>
      <c r="J964" s="105" t="n"/>
      <c r="K964" s="103" t="n"/>
      <c r="L964" s="103" t="n"/>
      <c r="M964" s="106" t="str">
        <f>IF(OR(D964="",E964=""),"",D964+IF(E964="NOTIFICAÇÃO DE CONSTATAÇÃO",PrazoConst,PrazoEsc))</f>
        <v/>
      </c>
      <c r="N964" s="107" t="str">
        <f>IF(M964="","",IF(ISNUMBER(L964),M964-L964,IF(G964="DECISÃO D.P","",M964-TODAY())))</f>
        <v/>
      </c>
      <c r="O964" s="108" t="str">
        <f>IF(B964="","",IF(ISNUMBER(L964),IF(N964="","SEM DATA",IF(N964&gt;=0,"DEFESA NO PRAZO","DEFESA FORA DO PRAZO")),IF(G964="DECISÃO D.P","SEM DEFESA",IF(G964="","SEM STATUS",IF(N964="","SEM DATA",IF(N964&lt;0,"VENCIDO",IF(N964&lt;=DiasAlerta,"VENCE EM BREVE","NO PRAZO")))))))</f>
        <v/>
      </c>
      <c r="P964" s="109" t="str">
        <f>IF(D964="","",TODAY()-D964)</f>
        <v/>
      </c>
      <c r="Q964" s="102" t="n"/>
    </row>
    <row r="965" ht="18" customHeight="1">
      <c r="A965" s="101" t="n"/>
      <c r="B965" s="102" t="n"/>
      <c r="C965" s="102" t="n"/>
      <c r="D965" s="103" t="n"/>
      <c r="E965" s="102" t="n"/>
      <c r="F965" s="104" t="n"/>
      <c r="G965" s="104" t="n"/>
      <c r="H965" s="102" t="n"/>
      <c r="I965" s="105" t="n"/>
      <c r="J965" s="105" t="n"/>
      <c r="K965" s="103" t="n"/>
      <c r="L965" s="103" t="n"/>
      <c r="M965" s="106" t="str">
        <f>IF(OR(D965="",E965=""),"",D965+IF(E965="NOTIFICAÇÃO DE CONSTATAÇÃO",PrazoConst,PrazoEsc))</f>
        <v/>
      </c>
      <c r="N965" s="107" t="str">
        <f>IF(M965="","",IF(ISNUMBER(L965),M965-L965,IF(G965="DECISÃO D.P","",M965-TODAY())))</f>
        <v/>
      </c>
      <c r="O965" s="108" t="str">
        <f>IF(B965="","",IF(ISNUMBER(L965),IF(N965="","SEM DATA",IF(N965&gt;=0,"DEFESA NO PRAZO","DEFESA FORA DO PRAZO")),IF(G965="DECISÃO D.P","SEM DEFESA",IF(G965="","SEM STATUS",IF(N965="","SEM DATA",IF(N965&lt;0,"VENCIDO",IF(N965&lt;=DiasAlerta,"VENCE EM BREVE","NO PRAZO")))))))</f>
        <v/>
      </c>
      <c r="P965" s="109" t="str">
        <f>IF(D965="","",TODAY()-D965)</f>
        <v/>
      </c>
      <c r="Q965" s="102" t="n"/>
    </row>
    <row r="966" ht="18" customHeight="1">
      <c r="A966" s="101" t="n"/>
      <c r="B966" s="102" t="n"/>
      <c r="C966" s="102" t="n"/>
      <c r="D966" s="103" t="n"/>
      <c r="E966" s="102" t="n"/>
      <c r="F966" s="104" t="n"/>
      <c r="G966" s="104" t="n"/>
      <c r="H966" s="102" t="n"/>
      <c r="I966" s="105" t="n"/>
      <c r="J966" s="105" t="n"/>
      <c r="K966" s="103" t="n"/>
      <c r="L966" s="103" t="n"/>
      <c r="M966" s="106" t="str">
        <f>IF(OR(D966="",E966=""),"",D966+IF(E966="NOTIFICAÇÃO DE CONSTATAÇÃO",PrazoConst,PrazoEsc))</f>
        <v/>
      </c>
      <c r="N966" s="107" t="str">
        <f>IF(M966="","",IF(ISNUMBER(L966),M966-L966,IF(G966="DECISÃO D.P","",M966-TODAY())))</f>
        <v/>
      </c>
      <c r="O966" s="108" t="str">
        <f>IF(B966="","",IF(ISNUMBER(L966),IF(N966="","SEM DATA",IF(N966&gt;=0,"DEFESA NO PRAZO","DEFESA FORA DO PRAZO")),IF(G966="DECISÃO D.P","SEM DEFESA",IF(G966="","SEM STATUS",IF(N966="","SEM DATA",IF(N966&lt;0,"VENCIDO",IF(N966&lt;=DiasAlerta,"VENCE EM BREVE","NO PRAZO")))))))</f>
        <v/>
      </c>
      <c r="P966" s="109" t="str">
        <f>IF(D966="","",TODAY()-D966)</f>
        <v/>
      </c>
      <c r="Q966" s="102" t="n"/>
    </row>
    <row r="967" ht="18" customHeight="1">
      <c r="A967" s="101" t="n"/>
      <c r="B967" s="102" t="n"/>
      <c r="C967" s="102" t="n"/>
      <c r="D967" s="103" t="n"/>
      <c r="E967" s="102" t="n"/>
      <c r="F967" s="104" t="n"/>
      <c r="G967" s="104" t="n"/>
      <c r="H967" s="102" t="n"/>
      <c r="I967" s="105" t="n"/>
      <c r="J967" s="105" t="n"/>
      <c r="K967" s="103" t="n"/>
      <c r="L967" s="103" t="n"/>
      <c r="M967" s="106" t="str">
        <f>IF(OR(D967="",E967=""),"",D967+IF(E967="NOTIFICAÇÃO DE CONSTATAÇÃO",PrazoConst,PrazoEsc))</f>
        <v/>
      </c>
      <c r="N967" s="107" t="str">
        <f>IF(M967="","",IF(ISNUMBER(L967),M967-L967,IF(G967="DECISÃO D.P","",M967-TODAY())))</f>
        <v/>
      </c>
      <c r="O967" s="108" t="str">
        <f>IF(B967="","",IF(ISNUMBER(L967),IF(N967="","SEM DATA",IF(N967&gt;=0,"DEFESA NO PRAZO","DEFESA FORA DO PRAZO")),IF(G967="DECISÃO D.P","SEM DEFESA",IF(G967="","SEM STATUS",IF(N967="","SEM DATA",IF(N967&lt;0,"VENCIDO",IF(N967&lt;=DiasAlerta,"VENCE EM BREVE","NO PRAZO")))))))</f>
        <v/>
      </c>
      <c r="P967" s="109" t="str">
        <f>IF(D967="","",TODAY()-D967)</f>
        <v/>
      </c>
      <c r="Q967" s="102" t="n"/>
    </row>
    <row r="968" ht="18" customHeight="1">
      <c r="A968" s="101" t="n"/>
      <c r="B968" s="102" t="n"/>
      <c r="C968" s="102" t="n"/>
      <c r="D968" s="103" t="n"/>
      <c r="E968" s="102" t="n"/>
      <c r="F968" s="104" t="n"/>
      <c r="G968" s="104" t="n"/>
      <c r="H968" s="102" t="n"/>
      <c r="I968" s="105" t="n"/>
      <c r="J968" s="105" t="n"/>
      <c r="K968" s="103" t="n"/>
      <c r="L968" s="103" t="n"/>
      <c r="M968" s="106" t="str">
        <f>IF(OR(D968="",E968=""),"",D968+IF(E968="NOTIFICAÇÃO DE CONSTATAÇÃO",PrazoConst,PrazoEsc))</f>
        <v/>
      </c>
      <c r="N968" s="107" t="str">
        <f>IF(M968="","",IF(ISNUMBER(L968),M968-L968,IF(G968="DECISÃO D.P","",M968-TODAY())))</f>
        <v/>
      </c>
      <c r="O968" s="108" t="str">
        <f>IF(B968="","",IF(ISNUMBER(L968),IF(N968="","SEM DATA",IF(N968&gt;=0,"DEFESA NO PRAZO","DEFESA FORA DO PRAZO")),IF(G968="DECISÃO D.P","SEM DEFESA",IF(G968="","SEM STATUS",IF(N968="","SEM DATA",IF(N968&lt;0,"VENCIDO",IF(N968&lt;=DiasAlerta,"VENCE EM BREVE","NO PRAZO")))))))</f>
        <v/>
      </c>
      <c r="P968" s="109" t="str">
        <f>IF(D968="","",TODAY()-D968)</f>
        <v/>
      </c>
      <c r="Q968" s="102" t="n"/>
    </row>
    <row r="969" ht="18" customHeight="1">
      <c r="A969" s="101" t="n"/>
      <c r="B969" s="102" t="n"/>
      <c r="C969" s="102" t="n"/>
      <c r="D969" s="103" t="n"/>
      <c r="E969" s="102" t="n"/>
      <c r="F969" s="104" t="n"/>
      <c r="G969" s="104" t="n"/>
      <c r="H969" s="102" t="n"/>
      <c r="I969" s="105" t="n"/>
      <c r="J969" s="105" t="n"/>
      <c r="K969" s="103" t="n"/>
      <c r="L969" s="103" t="n"/>
      <c r="M969" s="106" t="str">
        <f>IF(OR(D969="",E969=""),"",D969+IF(E969="NOTIFICAÇÃO DE CONSTATAÇÃO",PrazoConst,PrazoEsc))</f>
        <v/>
      </c>
      <c r="N969" s="107" t="str">
        <f>IF(M969="","",IF(ISNUMBER(L969),M969-L969,IF(G969="DECISÃO D.P","",M969-TODAY())))</f>
        <v/>
      </c>
      <c r="O969" s="108" t="str">
        <f>IF(B969="","",IF(ISNUMBER(L969),IF(N969="","SEM DATA",IF(N969&gt;=0,"DEFESA NO PRAZO","DEFESA FORA DO PRAZO")),IF(G969="DECISÃO D.P","SEM DEFESA",IF(G969="","SEM STATUS",IF(N969="","SEM DATA",IF(N969&lt;0,"VENCIDO",IF(N969&lt;=DiasAlerta,"VENCE EM BREVE","NO PRAZO")))))))</f>
        <v/>
      </c>
      <c r="P969" s="109" t="str">
        <f>IF(D969="","",TODAY()-D969)</f>
        <v/>
      </c>
      <c r="Q969" s="102" t="n"/>
    </row>
    <row r="970" ht="18" customHeight="1">
      <c r="A970" s="101" t="n"/>
      <c r="B970" s="102" t="n"/>
      <c r="C970" s="102" t="n"/>
      <c r="D970" s="103" t="n"/>
      <c r="E970" s="102" t="n"/>
      <c r="F970" s="104" t="n"/>
      <c r="G970" s="104" t="n"/>
      <c r="H970" s="102" t="n"/>
      <c r="I970" s="105" t="n"/>
      <c r="J970" s="105" t="n"/>
      <c r="K970" s="103" t="n"/>
      <c r="L970" s="103" t="n"/>
      <c r="M970" s="106" t="str">
        <f>IF(OR(D970="",E970=""),"",D970+IF(E970="NOTIFICAÇÃO DE CONSTATAÇÃO",PrazoConst,PrazoEsc))</f>
        <v/>
      </c>
      <c r="N970" s="107" t="str">
        <f>IF(M970="","",IF(ISNUMBER(L970),M970-L970,IF(G970="DECISÃO D.P","",M970-TODAY())))</f>
        <v/>
      </c>
      <c r="O970" s="108" t="str">
        <f>IF(B970="","",IF(ISNUMBER(L970),IF(N970="","SEM DATA",IF(N970&gt;=0,"DEFESA NO PRAZO","DEFESA FORA DO PRAZO")),IF(G970="DECISÃO D.P","SEM DEFESA",IF(G970="","SEM STATUS",IF(N970="","SEM DATA",IF(N970&lt;0,"VENCIDO",IF(N970&lt;=DiasAlerta,"VENCE EM BREVE","NO PRAZO")))))))</f>
        <v/>
      </c>
      <c r="P970" s="109" t="str">
        <f>IF(D970="","",TODAY()-D970)</f>
        <v/>
      </c>
      <c r="Q970" s="102" t="n"/>
    </row>
    <row r="971" ht="18" customHeight="1">
      <c r="A971" s="101" t="n"/>
      <c r="B971" s="102" t="n"/>
      <c r="C971" s="102" t="n"/>
      <c r="D971" s="103" t="n"/>
      <c r="E971" s="102" t="n"/>
      <c r="F971" s="104" t="n"/>
      <c r="G971" s="104" t="n"/>
      <c r="H971" s="102" t="n"/>
      <c r="I971" s="105" t="n"/>
      <c r="J971" s="105" t="n"/>
      <c r="K971" s="103" t="n"/>
      <c r="L971" s="103" t="n"/>
      <c r="M971" s="106" t="str">
        <f>IF(OR(D971="",E971=""),"",D971+IF(E971="NOTIFICAÇÃO DE CONSTATAÇÃO",PrazoConst,PrazoEsc))</f>
        <v/>
      </c>
      <c r="N971" s="107" t="str">
        <f>IF(M971="","",IF(ISNUMBER(L971),M971-L971,IF(G971="DECISÃO D.P","",M971-TODAY())))</f>
        <v/>
      </c>
      <c r="O971" s="108" t="str">
        <f>IF(B971="","",IF(ISNUMBER(L971),IF(N971="","SEM DATA",IF(N971&gt;=0,"DEFESA NO PRAZO","DEFESA FORA DO PRAZO")),IF(G971="DECISÃO D.P","SEM DEFESA",IF(G971="","SEM STATUS",IF(N971="","SEM DATA",IF(N971&lt;0,"VENCIDO",IF(N971&lt;=DiasAlerta,"VENCE EM BREVE","NO PRAZO")))))))</f>
        <v/>
      </c>
      <c r="P971" s="109" t="str">
        <f>IF(D971="","",TODAY()-D971)</f>
        <v/>
      </c>
      <c r="Q971" s="102" t="n"/>
    </row>
    <row r="972" ht="18" customHeight="1">
      <c r="A972" s="101" t="n"/>
      <c r="B972" s="102" t="n"/>
      <c r="C972" s="102" t="n"/>
      <c r="D972" s="103" t="n"/>
      <c r="E972" s="102" t="n"/>
      <c r="F972" s="104" t="n"/>
      <c r="G972" s="104" t="n"/>
      <c r="H972" s="102" t="n"/>
      <c r="I972" s="105" t="n"/>
      <c r="J972" s="105" t="n"/>
      <c r="K972" s="103" t="n"/>
      <c r="L972" s="103" t="n"/>
      <c r="M972" s="106" t="str">
        <f>IF(OR(D972="",E972=""),"",D972+IF(E972="NOTIFICAÇÃO DE CONSTATAÇÃO",PrazoConst,PrazoEsc))</f>
        <v/>
      </c>
      <c r="N972" s="107" t="str">
        <f>IF(M972="","",IF(ISNUMBER(L972),M972-L972,IF(G972="DECISÃO D.P","",M972-TODAY())))</f>
        <v/>
      </c>
      <c r="O972" s="108" t="str">
        <f>IF(B972="","",IF(ISNUMBER(L972),IF(N972="","SEM DATA",IF(N972&gt;=0,"DEFESA NO PRAZO","DEFESA FORA DO PRAZO")),IF(G972="DECISÃO D.P","SEM DEFESA",IF(G972="","SEM STATUS",IF(N972="","SEM DATA",IF(N972&lt;0,"VENCIDO",IF(N972&lt;=DiasAlerta,"VENCE EM BREVE","NO PRAZO")))))))</f>
        <v/>
      </c>
      <c r="P972" s="109" t="str">
        <f>IF(D972="","",TODAY()-D972)</f>
        <v/>
      </c>
      <c r="Q972" s="102" t="n"/>
    </row>
    <row r="973" ht="18" customHeight="1">
      <c r="A973" s="101" t="n"/>
      <c r="B973" s="102" t="n"/>
      <c r="C973" s="102" t="n"/>
      <c r="D973" s="103" t="n"/>
      <c r="E973" s="102" t="n"/>
      <c r="F973" s="104" t="n"/>
      <c r="G973" s="104" t="n"/>
      <c r="H973" s="102" t="n"/>
      <c r="I973" s="105" t="n"/>
      <c r="J973" s="105" t="n"/>
      <c r="K973" s="103" t="n"/>
      <c r="L973" s="103" t="n"/>
      <c r="M973" s="106" t="str">
        <f>IF(OR(D973="",E973=""),"",D973+IF(E973="NOTIFICAÇÃO DE CONSTATAÇÃO",PrazoConst,PrazoEsc))</f>
        <v/>
      </c>
      <c r="N973" s="107" t="str">
        <f>IF(M973="","",IF(ISNUMBER(L973),M973-L973,IF(G973="DECISÃO D.P","",M973-TODAY())))</f>
        <v/>
      </c>
      <c r="O973" s="108" t="str">
        <f>IF(B973="","",IF(ISNUMBER(L973),IF(N973="","SEM DATA",IF(N973&gt;=0,"DEFESA NO PRAZO","DEFESA FORA DO PRAZO")),IF(G973="DECISÃO D.P","SEM DEFESA",IF(G973="","SEM STATUS",IF(N973="","SEM DATA",IF(N973&lt;0,"VENCIDO",IF(N973&lt;=DiasAlerta,"VENCE EM BREVE","NO PRAZO")))))))</f>
        <v/>
      </c>
      <c r="P973" s="109" t="str">
        <f>IF(D973="","",TODAY()-D973)</f>
        <v/>
      </c>
      <c r="Q973" s="102" t="n"/>
    </row>
    <row r="974" ht="18" customHeight="1">
      <c r="A974" s="101" t="n"/>
      <c r="B974" s="102" t="n"/>
      <c r="C974" s="102" t="n"/>
      <c r="D974" s="103" t="n"/>
      <c r="E974" s="102" t="n"/>
      <c r="F974" s="104" t="n"/>
      <c r="G974" s="104" t="n"/>
      <c r="H974" s="102" t="n"/>
      <c r="I974" s="105" t="n"/>
      <c r="J974" s="105" t="n"/>
      <c r="K974" s="103" t="n"/>
      <c r="L974" s="103" t="n"/>
      <c r="M974" s="106" t="str">
        <f>IF(OR(D974="",E974=""),"",D974+IF(E974="NOTIFICAÇÃO DE CONSTATAÇÃO",PrazoConst,PrazoEsc))</f>
        <v/>
      </c>
      <c r="N974" s="107" t="str">
        <f>IF(M974="","",IF(ISNUMBER(L974),M974-L974,IF(G974="DECISÃO D.P","",M974-TODAY())))</f>
        <v/>
      </c>
      <c r="O974" s="108" t="str">
        <f>IF(B974="","",IF(ISNUMBER(L974),IF(N974="","SEM DATA",IF(N974&gt;=0,"DEFESA NO PRAZO","DEFESA FORA DO PRAZO")),IF(G974="DECISÃO D.P","SEM DEFESA",IF(G974="","SEM STATUS",IF(N974="","SEM DATA",IF(N974&lt;0,"VENCIDO",IF(N974&lt;=DiasAlerta,"VENCE EM BREVE","NO PRAZO")))))))</f>
        <v/>
      </c>
      <c r="P974" s="109" t="str">
        <f>IF(D974="","",TODAY()-D974)</f>
        <v/>
      </c>
      <c r="Q974" s="102" t="n"/>
    </row>
    <row r="975" ht="18" customHeight="1">
      <c r="A975" s="101" t="n"/>
      <c r="B975" s="102" t="n"/>
      <c r="C975" s="102" t="n"/>
      <c r="D975" s="103" t="n"/>
      <c r="E975" s="102" t="n"/>
      <c r="F975" s="104" t="n"/>
      <c r="G975" s="104" t="n"/>
      <c r="H975" s="102" t="n"/>
      <c r="I975" s="105" t="n"/>
      <c r="J975" s="105" t="n"/>
      <c r="K975" s="103" t="n"/>
      <c r="L975" s="103" t="n"/>
      <c r="M975" s="106" t="str">
        <f>IF(OR(D975="",E975=""),"",D975+IF(E975="NOTIFICAÇÃO DE CONSTATAÇÃO",PrazoConst,PrazoEsc))</f>
        <v/>
      </c>
      <c r="N975" s="107" t="str">
        <f>IF(M975="","",IF(ISNUMBER(L975),M975-L975,IF(G975="DECISÃO D.P","",M975-TODAY())))</f>
        <v/>
      </c>
      <c r="O975" s="108" t="str">
        <f>IF(B975="","",IF(ISNUMBER(L975),IF(N975="","SEM DATA",IF(N975&gt;=0,"DEFESA NO PRAZO","DEFESA FORA DO PRAZO")),IF(G975="DECISÃO D.P","SEM DEFESA",IF(G975="","SEM STATUS",IF(N975="","SEM DATA",IF(N975&lt;0,"VENCIDO",IF(N975&lt;=DiasAlerta,"VENCE EM BREVE","NO PRAZO")))))))</f>
        <v/>
      </c>
      <c r="P975" s="109" t="str">
        <f>IF(D975="","",TODAY()-D975)</f>
        <v/>
      </c>
      <c r="Q975" s="102" t="n"/>
    </row>
    <row r="976" ht="18" customHeight="1">
      <c r="A976" s="101" t="n"/>
      <c r="B976" s="102" t="n"/>
      <c r="C976" s="102" t="n"/>
      <c r="D976" s="103" t="n"/>
      <c r="E976" s="102" t="n"/>
      <c r="F976" s="104" t="n"/>
      <c r="G976" s="104" t="n"/>
      <c r="H976" s="102" t="n"/>
      <c r="I976" s="105" t="n"/>
      <c r="J976" s="105" t="n"/>
      <c r="K976" s="103" t="n"/>
      <c r="L976" s="103" t="n"/>
      <c r="M976" s="106" t="str">
        <f>IF(OR(D976="",E976=""),"",D976+IF(E976="NOTIFICAÇÃO DE CONSTATAÇÃO",PrazoConst,PrazoEsc))</f>
        <v/>
      </c>
      <c r="N976" s="107" t="str">
        <f>IF(M976="","",IF(ISNUMBER(L976),M976-L976,IF(G976="DECISÃO D.P","",M976-TODAY())))</f>
        <v/>
      </c>
      <c r="O976" s="108" t="str">
        <f>IF(B976="","",IF(ISNUMBER(L976),IF(N976="","SEM DATA",IF(N976&gt;=0,"DEFESA NO PRAZO","DEFESA FORA DO PRAZO")),IF(G976="DECISÃO D.P","SEM DEFESA",IF(G976="","SEM STATUS",IF(N976="","SEM DATA",IF(N976&lt;0,"VENCIDO",IF(N976&lt;=DiasAlerta,"VENCE EM BREVE","NO PRAZO")))))))</f>
        <v/>
      </c>
      <c r="P976" s="109" t="str">
        <f>IF(D976="","",TODAY()-D976)</f>
        <v/>
      </c>
      <c r="Q976" s="102" t="n"/>
    </row>
    <row r="977" ht="18" customHeight="1">
      <c r="A977" s="101" t="n"/>
      <c r="B977" s="102" t="n"/>
      <c r="C977" s="102" t="n"/>
      <c r="D977" s="103" t="n"/>
      <c r="E977" s="102" t="n"/>
      <c r="F977" s="104" t="n"/>
      <c r="G977" s="104" t="n"/>
      <c r="H977" s="102" t="n"/>
      <c r="I977" s="105" t="n"/>
      <c r="J977" s="105" t="n"/>
      <c r="K977" s="103" t="n"/>
      <c r="L977" s="103" t="n"/>
      <c r="M977" s="106" t="str">
        <f>IF(OR(D977="",E977=""),"",D977+IF(E977="NOTIFICAÇÃO DE CONSTATAÇÃO",PrazoConst,PrazoEsc))</f>
        <v/>
      </c>
      <c r="N977" s="107" t="str">
        <f>IF(M977="","",IF(ISNUMBER(L977),M977-L977,IF(G977="DECISÃO D.P","",M977-TODAY())))</f>
        <v/>
      </c>
      <c r="O977" s="108" t="str">
        <f>IF(B977="","",IF(ISNUMBER(L977),IF(N977="","SEM DATA",IF(N977&gt;=0,"DEFESA NO PRAZO","DEFESA FORA DO PRAZO")),IF(G977="DECISÃO D.P","SEM DEFESA",IF(G977="","SEM STATUS",IF(N977="","SEM DATA",IF(N977&lt;0,"VENCIDO",IF(N977&lt;=DiasAlerta,"VENCE EM BREVE","NO PRAZO")))))))</f>
        <v/>
      </c>
      <c r="P977" s="109" t="str">
        <f>IF(D977="","",TODAY()-D977)</f>
        <v/>
      </c>
      <c r="Q977" s="102" t="n"/>
    </row>
    <row r="978" ht="18" customHeight="1">
      <c r="A978" s="101" t="n"/>
      <c r="B978" s="102" t="n"/>
      <c r="C978" s="102" t="n"/>
      <c r="D978" s="103" t="n"/>
      <c r="E978" s="102" t="n"/>
      <c r="F978" s="104" t="n"/>
      <c r="G978" s="104" t="n"/>
      <c r="H978" s="102" t="n"/>
      <c r="I978" s="105" t="n"/>
      <c r="J978" s="105" t="n"/>
      <c r="K978" s="103" t="n"/>
      <c r="L978" s="103" t="n"/>
      <c r="M978" s="106" t="str">
        <f>IF(OR(D978="",E978=""),"",D978+IF(E978="NOTIFICAÇÃO DE CONSTATAÇÃO",PrazoConst,PrazoEsc))</f>
        <v/>
      </c>
      <c r="N978" s="107" t="str">
        <f>IF(M978="","",IF(ISNUMBER(L978),M978-L978,IF(G978="DECISÃO D.P","",M978-TODAY())))</f>
        <v/>
      </c>
      <c r="O978" s="108" t="str">
        <f>IF(B978="","",IF(ISNUMBER(L978),IF(N978="","SEM DATA",IF(N978&gt;=0,"DEFESA NO PRAZO","DEFESA FORA DO PRAZO")),IF(G978="DECISÃO D.P","SEM DEFESA",IF(G978="","SEM STATUS",IF(N978="","SEM DATA",IF(N978&lt;0,"VENCIDO",IF(N978&lt;=DiasAlerta,"VENCE EM BREVE","NO PRAZO")))))))</f>
        <v/>
      </c>
      <c r="P978" s="109" t="str">
        <f>IF(D978="","",TODAY()-D978)</f>
        <v/>
      </c>
      <c r="Q978" s="102" t="n"/>
    </row>
    <row r="979" ht="18" customHeight="1">
      <c r="A979" s="101" t="n"/>
      <c r="B979" s="102" t="n"/>
      <c r="C979" s="102" t="n"/>
      <c r="D979" s="103" t="n"/>
      <c r="E979" s="102" t="n"/>
      <c r="F979" s="104" t="n"/>
      <c r="G979" s="104" t="n"/>
      <c r="H979" s="102" t="n"/>
      <c r="I979" s="105" t="n"/>
      <c r="J979" s="105" t="n"/>
      <c r="K979" s="103" t="n"/>
      <c r="L979" s="103" t="n"/>
      <c r="M979" s="106" t="str">
        <f>IF(OR(D979="",E979=""),"",D979+IF(E979="NOTIFICAÇÃO DE CONSTATAÇÃO",PrazoConst,PrazoEsc))</f>
        <v/>
      </c>
      <c r="N979" s="107" t="str">
        <f>IF(M979="","",IF(ISNUMBER(L979),M979-L979,IF(G979="DECISÃO D.P","",M979-TODAY())))</f>
        <v/>
      </c>
      <c r="O979" s="108" t="str">
        <f>IF(B979="","",IF(ISNUMBER(L979),IF(N979="","SEM DATA",IF(N979&gt;=0,"DEFESA NO PRAZO","DEFESA FORA DO PRAZO")),IF(G979="DECISÃO D.P","SEM DEFESA",IF(G979="","SEM STATUS",IF(N979="","SEM DATA",IF(N979&lt;0,"VENCIDO",IF(N979&lt;=DiasAlerta,"VENCE EM BREVE","NO PRAZO")))))))</f>
        <v/>
      </c>
      <c r="P979" s="109" t="str">
        <f>IF(D979="","",TODAY()-D979)</f>
        <v/>
      </c>
      <c r="Q979" s="102" t="n"/>
    </row>
    <row r="980" ht="18" customHeight="1">
      <c r="A980" s="101" t="n"/>
      <c r="B980" s="102" t="n"/>
      <c r="C980" s="102" t="n"/>
      <c r="D980" s="103" t="n"/>
      <c r="E980" s="102" t="n"/>
      <c r="F980" s="104" t="n"/>
      <c r="G980" s="104" t="n"/>
      <c r="H980" s="102" t="n"/>
      <c r="I980" s="105" t="n"/>
      <c r="J980" s="105" t="n"/>
      <c r="K980" s="103" t="n"/>
      <c r="L980" s="103" t="n"/>
      <c r="M980" s="106" t="str">
        <f>IF(OR(D980="",E980=""),"",D980+IF(E980="NOTIFICAÇÃO DE CONSTATAÇÃO",PrazoConst,PrazoEsc))</f>
        <v/>
      </c>
      <c r="N980" s="107" t="str">
        <f>IF(M980="","",IF(ISNUMBER(L980),M980-L980,IF(G980="DECISÃO D.P","",M980-TODAY())))</f>
        <v/>
      </c>
      <c r="O980" s="108" t="str">
        <f>IF(B980="","",IF(ISNUMBER(L980),IF(N980="","SEM DATA",IF(N980&gt;=0,"DEFESA NO PRAZO","DEFESA FORA DO PRAZO")),IF(G980="DECISÃO D.P","SEM DEFESA",IF(G980="","SEM STATUS",IF(N980="","SEM DATA",IF(N980&lt;0,"VENCIDO",IF(N980&lt;=DiasAlerta,"VENCE EM BREVE","NO PRAZO")))))))</f>
        <v/>
      </c>
      <c r="P980" s="109" t="str">
        <f>IF(D980="","",TODAY()-D980)</f>
        <v/>
      </c>
      <c r="Q980" s="102" t="n"/>
    </row>
    <row r="981" ht="18" customHeight="1">
      <c r="A981" s="101" t="n"/>
      <c r="B981" s="102" t="n"/>
      <c r="C981" s="102" t="n"/>
      <c r="D981" s="103" t="n"/>
      <c r="E981" s="102" t="n"/>
      <c r="F981" s="104" t="n"/>
      <c r="G981" s="104" t="n"/>
      <c r="H981" s="102" t="n"/>
      <c r="I981" s="105" t="n"/>
      <c r="J981" s="105" t="n"/>
      <c r="K981" s="103" t="n"/>
      <c r="L981" s="103" t="n"/>
      <c r="M981" s="106" t="str">
        <f>IF(OR(D981="",E981=""),"",D981+IF(E981="NOTIFICAÇÃO DE CONSTATAÇÃO",PrazoConst,PrazoEsc))</f>
        <v/>
      </c>
      <c r="N981" s="107" t="str">
        <f>IF(M981="","",IF(ISNUMBER(L981),M981-L981,IF(G981="DECISÃO D.P","",M981-TODAY())))</f>
        <v/>
      </c>
      <c r="O981" s="108" t="str">
        <f>IF(B981="","",IF(ISNUMBER(L981),IF(N981="","SEM DATA",IF(N981&gt;=0,"DEFESA NO PRAZO","DEFESA FORA DO PRAZO")),IF(G981="DECISÃO D.P","SEM DEFESA",IF(G981="","SEM STATUS",IF(N981="","SEM DATA",IF(N981&lt;0,"VENCIDO",IF(N981&lt;=DiasAlerta,"VENCE EM BREVE","NO PRAZO")))))))</f>
        <v/>
      </c>
      <c r="P981" s="109" t="str">
        <f>IF(D981="","",TODAY()-D981)</f>
        <v/>
      </c>
      <c r="Q981" s="102" t="n"/>
    </row>
    <row r="982" ht="18" customHeight="1">
      <c r="A982" s="101" t="n"/>
      <c r="B982" s="102" t="n"/>
      <c r="C982" s="102" t="n"/>
      <c r="D982" s="103" t="n"/>
      <c r="E982" s="102" t="n"/>
      <c r="F982" s="104" t="n"/>
      <c r="G982" s="104" t="n"/>
      <c r="H982" s="102" t="n"/>
      <c r="I982" s="105" t="n"/>
      <c r="J982" s="105" t="n"/>
      <c r="K982" s="103" t="n"/>
      <c r="L982" s="103" t="n"/>
      <c r="M982" s="106" t="str">
        <f>IF(OR(D982="",E982=""),"",D982+IF(E982="NOTIFICAÇÃO DE CONSTATAÇÃO",PrazoConst,PrazoEsc))</f>
        <v/>
      </c>
      <c r="N982" s="107" t="str">
        <f>IF(M982="","",IF(ISNUMBER(L982),M982-L982,IF(G982="DECISÃO D.P","",M982-TODAY())))</f>
        <v/>
      </c>
      <c r="O982" s="108" t="str">
        <f>IF(B982="","",IF(ISNUMBER(L982),IF(N982="","SEM DATA",IF(N982&gt;=0,"DEFESA NO PRAZO","DEFESA FORA DO PRAZO")),IF(G982="DECISÃO D.P","SEM DEFESA",IF(G982="","SEM STATUS",IF(N982="","SEM DATA",IF(N982&lt;0,"VENCIDO",IF(N982&lt;=DiasAlerta,"VENCE EM BREVE","NO PRAZO")))))))</f>
        <v/>
      </c>
      <c r="P982" s="109" t="str">
        <f>IF(D982="","",TODAY()-D982)</f>
        <v/>
      </c>
      <c r="Q982" s="102" t="n"/>
    </row>
    <row r="983" ht="18" customHeight="1">
      <c r="A983" s="101" t="n"/>
      <c r="B983" s="102" t="n"/>
      <c r="C983" s="102" t="n"/>
      <c r="D983" s="103" t="n"/>
      <c r="E983" s="102" t="n"/>
      <c r="F983" s="104" t="n"/>
      <c r="G983" s="104" t="n"/>
      <c r="H983" s="102" t="n"/>
      <c r="I983" s="105" t="n"/>
      <c r="J983" s="105" t="n"/>
      <c r="K983" s="103" t="n"/>
      <c r="L983" s="103" t="n"/>
      <c r="M983" s="106" t="str">
        <f>IF(OR(D983="",E983=""),"",D983+IF(E983="NOTIFICAÇÃO DE CONSTATAÇÃO",PrazoConst,PrazoEsc))</f>
        <v/>
      </c>
      <c r="N983" s="107" t="str">
        <f>IF(M983="","",IF(ISNUMBER(L983),M983-L983,IF(G983="DECISÃO D.P","",M983-TODAY())))</f>
        <v/>
      </c>
      <c r="O983" s="108" t="str">
        <f>IF(B983="","",IF(ISNUMBER(L983),IF(N983="","SEM DATA",IF(N983&gt;=0,"DEFESA NO PRAZO","DEFESA FORA DO PRAZO")),IF(G983="DECISÃO D.P","SEM DEFESA",IF(G983="","SEM STATUS",IF(N983="","SEM DATA",IF(N983&lt;0,"VENCIDO",IF(N983&lt;=DiasAlerta,"VENCE EM BREVE","NO PRAZO")))))))</f>
        <v/>
      </c>
      <c r="P983" s="109" t="str">
        <f>IF(D983="","",TODAY()-D983)</f>
        <v/>
      </c>
      <c r="Q983" s="102" t="n"/>
    </row>
    <row r="984" ht="18" customHeight="1">
      <c r="A984" s="101" t="n"/>
      <c r="B984" s="102" t="n"/>
      <c r="C984" s="102" t="n"/>
      <c r="D984" s="103" t="n"/>
      <c r="E984" s="102" t="n"/>
      <c r="F984" s="104" t="n"/>
      <c r="G984" s="104" t="n"/>
      <c r="H984" s="102" t="n"/>
      <c r="I984" s="105" t="n"/>
      <c r="J984" s="105" t="n"/>
      <c r="K984" s="103" t="n"/>
      <c r="L984" s="103" t="n"/>
      <c r="M984" s="106" t="str">
        <f>IF(OR(D984="",E984=""),"",D984+IF(E984="NOTIFICAÇÃO DE CONSTATAÇÃO",PrazoConst,PrazoEsc))</f>
        <v/>
      </c>
      <c r="N984" s="107" t="str">
        <f>IF(M984="","",IF(ISNUMBER(L984),M984-L984,IF(G984="DECISÃO D.P","",M984-TODAY())))</f>
        <v/>
      </c>
      <c r="O984" s="108" t="str">
        <f>IF(B984="","",IF(ISNUMBER(L984),IF(N984="","SEM DATA",IF(N984&gt;=0,"DEFESA NO PRAZO","DEFESA FORA DO PRAZO")),IF(G984="DECISÃO D.P","SEM DEFESA",IF(G984="","SEM STATUS",IF(N984="","SEM DATA",IF(N984&lt;0,"VENCIDO",IF(N984&lt;=DiasAlerta,"VENCE EM BREVE","NO PRAZO")))))))</f>
        <v/>
      </c>
      <c r="P984" s="109" t="str">
        <f>IF(D984="","",TODAY()-D984)</f>
        <v/>
      </c>
      <c r="Q984" s="102" t="n"/>
    </row>
    <row r="985" ht="18" customHeight="1">
      <c r="A985" s="101" t="n"/>
      <c r="B985" s="102" t="n"/>
      <c r="C985" s="102" t="n"/>
      <c r="D985" s="103" t="n"/>
      <c r="E985" s="102" t="n"/>
      <c r="F985" s="104" t="n"/>
      <c r="G985" s="104" t="n"/>
      <c r="H985" s="102" t="n"/>
      <c r="I985" s="105" t="n"/>
      <c r="J985" s="105" t="n"/>
      <c r="K985" s="103" t="n"/>
      <c r="L985" s="103" t="n"/>
      <c r="M985" s="106" t="str">
        <f>IF(OR(D985="",E985=""),"",D985+IF(E985="NOTIFICAÇÃO DE CONSTATAÇÃO",PrazoConst,PrazoEsc))</f>
        <v/>
      </c>
      <c r="N985" s="107" t="str">
        <f>IF(M985="","",IF(ISNUMBER(L985),M985-L985,IF(G985="DECISÃO D.P","",M985-TODAY())))</f>
        <v/>
      </c>
      <c r="O985" s="108" t="str">
        <f>IF(B985="","",IF(ISNUMBER(L985),IF(N985="","SEM DATA",IF(N985&gt;=0,"DEFESA NO PRAZO","DEFESA FORA DO PRAZO")),IF(G985="DECISÃO D.P","SEM DEFESA",IF(G985="","SEM STATUS",IF(N985="","SEM DATA",IF(N985&lt;0,"VENCIDO",IF(N985&lt;=DiasAlerta,"VENCE EM BREVE","NO PRAZO")))))))</f>
        <v/>
      </c>
      <c r="P985" s="109" t="str">
        <f>IF(D985="","",TODAY()-D985)</f>
        <v/>
      </c>
      <c r="Q985" s="102" t="n"/>
    </row>
    <row r="986" ht="18" customHeight="1">
      <c r="A986" s="101" t="n"/>
      <c r="B986" s="102" t="n"/>
      <c r="C986" s="102" t="n"/>
      <c r="D986" s="103" t="n"/>
      <c r="E986" s="102" t="n"/>
      <c r="F986" s="104" t="n"/>
      <c r="G986" s="104" t="n"/>
      <c r="H986" s="102" t="n"/>
      <c r="I986" s="105" t="n"/>
      <c r="J986" s="105" t="n"/>
      <c r="K986" s="103" t="n"/>
      <c r="L986" s="103" t="n"/>
      <c r="M986" s="106" t="str">
        <f>IF(OR(D986="",E986=""),"",D986+IF(E986="NOTIFICAÇÃO DE CONSTATAÇÃO",PrazoConst,PrazoEsc))</f>
        <v/>
      </c>
      <c r="N986" s="107" t="str">
        <f>IF(M986="","",IF(ISNUMBER(L986),M986-L986,IF(G986="DECISÃO D.P","",M986-TODAY())))</f>
        <v/>
      </c>
      <c r="O986" s="108" t="str">
        <f>IF(B986="","",IF(ISNUMBER(L986),IF(N986="","SEM DATA",IF(N986&gt;=0,"DEFESA NO PRAZO","DEFESA FORA DO PRAZO")),IF(G986="DECISÃO D.P","SEM DEFESA",IF(G986="","SEM STATUS",IF(N986="","SEM DATA",IF(N986&lt;0,"VENCIDO",IF(N986&lt;=DiasAlerta,"VENCE EM BREVE","NO PRAZO")))))))</f>
        <v/>
      </c>
      <c r="P986" s="109" t="str">
        <f>IF(D986="","",TODAY()-D986)</f>
        <v/>
      </c>
      <c r="Q986" s="102" t="n"/>
    </row>
    <row r="987" ht="18" customHeight="1">
      <c r="A987" s="101" t="n"/>
      <c r="B987" s="102" t="n"/>
      <c r="C987" s="102" t="n"/>
      <c r="D987" s="103" t="n"/>
      <c r="E987" s="102" t="n"/>
      <c r="F987" s="104" t="n"/>
      <c r="G987" s="104" t="n"/>
      <c r="H987" s="102" t="n"/>
      <c r="I987" s="105" t="n"/>
      <c r="J987" s="105" t="n"/>
      <c r="K987" s="103" t="n"/>
      <c r="L987" s="103" t="n"/>
      <c r="M987" s="106" t="str">
        <f>IF(OR(D987="",E987=""),"",D987+IF(E987="NOTIFICAÇÃO DE CONSTATAÇÃO",PrazoConst,PrazoEsc))</f>
        <v/>
      </c>
      <c r="N987" s="107" t="str">
        <f>IF(M987="","",IF(ISNUMBER(L987),M987-L987,IF(G987="DECISÃO D.P","",M987-TODAY())))</f>
        <v/>
      </c>
      <c r="O987" s="108" t="str">
        <f>IF(B987="","",IF(ISNUMBER(L987),IF(N987="","SEM DATA",IF(N987&gt;=0,"DEFESA NO PRAZO","DEFESA FORA DO PRAZO")),IF(G987="DECISÃO D.P","SEM DEFESA",IF(G987="","SEM STATUS",IF(N987="","SEM DATA",IF(N987&lt;0,"VENCIDO",IF(N987&lt;=DiasAlerta,"VENCE EM BREVE","NO PRAZO")))))))</f>
        <v/>
      </c>
      <c r="P987" s="109" t="str">
        <f>IF(D987="","",TODAY()-D987)</f>
        <v/>
      </c>
      <c r="Q987" s="102" t="n"/>
    </row>
    <row r="988" ht="18" customHeight="1">
      <c r="A988" s="101" t="n"/>
      <c r="B988" s="102" t="n"/>
      <c r="C988" s="102" t="n"/>
      <c r="D988" s="103" t="n"/>
      <c r="E988" s="102" t="n"/>
      <c r="F988" s="104" t="n"/>
      <c r="G988" s="104" t="n"/>
      <c r="H988" s="102" t="n"/>
      <c r="I988" s="105" t="n"/>
      <c r="J988" s="105" t="n"/>
      <c r="K988" s="103" t="n"/>
      <c r="L988" s="103" t="n"/>
      <c r="M988" s="106" t="str">
        <f>IF(OR(D988="",E988=""),"",D988+IF(E988="NOTIFICAÇÃO DE CONSTATAÇÃO",PrazoConst,PrazoEsc))</f>
        <v/>
      </c>
      <c r="N988" s="107" t="str">
        <f>IF(M988="","",IF(ISNUMBER(L988),M988-L988,IF(G988="DECISÃO D.P","",M988-TODAY())))</f>
        <v/>
      </c>
      <c r="O988" s="108" t="str">
        <f>IF(B988="","",IF(ISNUMBER(L988),IF(N988="","SEM DATA",IF(N988&gt;=0,"DEFESA NO PRAZO","DEFESA FORA DO PRAZO")),IF(G988="DECISÃO D.P","SEM DEFESA",IF(G988="","SEM STATUS",IF(N988="","SEM DATA",IF(N988&lt;0,"VENCIDO",IF(N988&lt;=DiasAlerta,"VENCE EM BREVE","NO PRAZO")))))))</f>
        <v/>
      </c>
      <c r="P988" s="109" t="str">
        <f>IF(D988="","",TODAY()-D988)</f>
        <v/>
      </c>
      <c r="Q988" s="102" t="n"/>
    </row>
    <row r="989" ht="18" customHeight="1">
      <c r="A989" s="101" t="n"/>
      <c r="B989" s="102" t="n"/>
      <c r="C989" s="102" t="n"/>
      <c r="D989" s="103" t="n"/>
      <c r="E989" s="102" t="n"/>
      <c r="F989" s="104" t="n"/>
      <c r="G989" s="104" t="n"/>
      <c r="H989" s="102" t="n"/>
      <c r="I989" s="105" t="n"/>
      <c r="J989" s="105" t="n"/>
      <c r="K989" s="103" t="n"/>
      <c r="L989" s="103" t="n"/>
      <c r="M989" s="106" t="str">
        <f>IF(OR(D989="",E989=""),"",D989+IF(E989="NOTIFICAÇÃO DE CONSTATAÇÃO",PrazoConst,PrazoEsc))</f>
        <v/>
      </c>
      <c r="N989" s="107" t="str">
        <f>IF(M989="","",IF(ISNUMBER(L989),M989-L989,IF(G989="DECISÃO D.P","",M989-TODAY())))</f>
        <v/>
      </c>
      <c r="O989" s="108" t="str">
        <f>IF(B989="","",IF(ISNUMBER(L989),IF(N989="","SEM DATA",IF(N989&gt;=0,"DEFESA NO PRAZO","DEFESA FORA DO PRAZO")),IF(G989="DECISÃO D.P","SEM DEFESA",IF(G989="","SEM STATUS",IF(N989="","SEM DATA",IF(N989&lt;0,"VENCIDO",IF(N989&lt;=DiasAlerta,"VENCE EM BREVE","NO PRAZO")))))))</f>
        <v/>
      </c>
      <c r="P989" s="109" t="str">
        <f>IF(D989="","",TODAY()-D989)</f>
        <v/>
      </c>
      <c r="Q989" s="102" t="n"/>
    </row>
    <row r="990" ht="18" customHeight="1">
      <c r="A990" s="101" t="n"/>
      <c r="B990" s="102" t="n"/>
      <c r="C990" s="102" t="n"/>
      <c r="D990" s="103" t="n"/>
      <c r="E990" s="102" t="n"/>
      <c r="F990" s="104" t="n"/>
      <c r="G990" s="104" t="n"/>
      <c r="H990" s="102" t="n"/>
      <c r="I990" s="105" t="n"/>
      <c r="J990" s="105" t="n"/>
      <c r="K990" s="103" t="n"/>
      <c r="L990" s="103" t="n"/>
      <c r="M990" s="106" t="str">
        <f>IF(OR(D990="",E990=""),"",D990+IF(E990="NOTIFICAÇÃO DE CONSTATAÇÃO",PrazoConst,PrazoEsc))</f>
        <v/>
      </c>
      <c r="N990" s="107" t="str">
        <f>IF(M990="","",IF(ISNUMBER(L990),M990-L990,IF(G990="DECISÃO D.P","",M990-TODAY())))</f>
        <v/>
      </c>
      <c r="O990" s="108" t="str">
        <f>IF(B990="","",IF(ISNUMBER(L990),IF(N990="","SEM DATA",IF(N990&gt;=0,"DEFESA NO PRAZO","DEFESA FORA DO PRAZO")),IF(G990="DECISÃO D.P","SEM DEFESA",IF(G990="","SEM STATUS",IF(N990="","SEM DATA",IF(N990&lt;0,"VENCIDO",IF(N990&lt;=DiasAlerta,"VENCE EM BREVE","NO PRAZO")))))))</f>
        <v/>
      </c>
      <c r="P990" s="109" t="str">
        <f>IF(D990="","",TODAY()-D990)</f>
        <v/>
      </c>
      <c r="Q990" s="102" t="n"/>
    </row>
    <row r="991" ht="18" customHeight="1">
      <c r="A991" s="101" t="n"/>
      <c r="B991" s="102" t="n"/>
      <c r="C991" s="102" t="n"/>
      <c r="D991" s="103" t="n"/>
      <c r="E991" s="102" t="n"/>
      <c r="F991" s="104" t="n"/>
      <c r="G991" s="104" t="n"/>
      <c r="H991" s="102" t="n"/>
      <c r="I991" s="105" t="n"/>
      <c r="J991" s="105" t="n"/>
      <c r="K991" s="103" t="n"/>
      <c r="L991" s="103" t="n"/>
      <c r="M991" s="106" t="str">
        <f>IF(OR(D991="",E991=""),"",D991+IF(E991="NOTIFICAÇÃO DE CONSTATAÇÃO",PrazoConst,PrazoEsc))</f>
        <v/>
      </c>
      <c r="N991" s="107" t="str">
        <f>IF(M991="","",IF(ISNUMBER(L991),M991-L991,IF(G991="DECISÃO D.P","",M991-TODAY())))</f>
        <v/>
      </c>
      <c r="O991" s="108" t="str">
        <f>IF(B991="","",IF(ISNUMBER(L991),IF(N991="","SEM DATA",IF(N991&gt;=0,"DEFESA NO PRAZO","DEFESA FORA DO PRAZO")),IF(G991="DECISÃO D.P","SEM DEFESA",IF(G991="","SEM STATUS",IF(N991="","SEM DATA",IF(N991&lt;0,"VENCIDO",IF(N991&lt;=DiasAlerta,"VENCE EM BREVE","NO PRAZO")))))))</f>
        <v/>
      </c>
      <c r="P991" s="109" t="str">
        <f>IF(D991="","",TODAY()-D991)</f>
        <v/>
      </c>
      <c r="Q991" s="102" t="n"/>
    </row>
    <row r="992" ht="18" customHeight="1">
      <c r="A992" s="101" t="n"/>
      <c r="B992" s="102" t="n"/>
      <c r="C992" s="102" t="n"/>
      <c r="D992" s="103" t="n"/>
      <c r="E992" s="102" t="n"/>
      <c r="F992" s="104" t="n"/>
      <c r="G992" s="104" t="n"/>
      <c r="H992" s="102" t="n"/>
      <c r="I992" s="105" t="n"/>
      <c r="J992" s="105" t="n"/>
      <c r="K992" s="103" t="n"/>
      <c r="L992" s="103" t="n"/>
      <c r="M992" s="106" t="str">
        <f>IF(OR(D992="",E992=""),"",D992+IF(E992="NOTIFICAÇÃO DE CONSTATAÇÃO",PrazoConst,PrazoEsc))</f>
        <v/>
      </c>
      <c r="N992" s="107" t="str">
        <f>IF(M992="","",IF(ISNUMBER(L992),M992-L992,IF(G992="DECISÃO D.P","",M992-TODAY())))</f>
        <v/>
      </c>
      <c r="O992" s="108" t="str">
        <f>IF(B992="","",IF(ISNUMBER(L992),IF(N992="","SEM DATA",IF(N992&gt;=0,"DEFESA NO PRAZO","DEFESA FORA DO PRAZO")),IF(G992="DECISÃO D.P","SEM DEFESA",IF(G992="","SEM STATUS",IF(N992="","SEM DATA",IF(N992&lt;0,"VENCIDO",IF(N992&lt;=DiasAlerta,"VENCE EM BREVE","NO PRAZO")))))))</f>
        <v/>
      </c>
      <c r="P992" s="109" t="str">
        <f>IF(D992="","",TODAY()-D992)</f>
        <v/>
      </c>
      <c r="Q992" s="102" t="n"/>
    </row>
    <row r="993" ht="18" customHeight="1">
      <c r="A993" s="101" t="n"/>
      <c r="B993" s="102" t="n"/>
      <c r="C993" s="102" t="n"/>
      <c r="D993" s="103" t="n"/>
      <c r="E993" s="102" t="n"/>
      <c r="F993" s="104" t="n"/>
      <c r="G993" s="104" t="n"/>
      <c r="H993" s="102" t="n"/>
      <c r="I993" s="105" t="n"/>
      <c r="J993" s="105" t="n"/>
      <c r="K993" s="103" t="n"/>
      <c r="L993" s="103" t="n"/>
      <c r="M993" s="106" t="str">
        <f>IF(OR(D993="",E993=""),"",D993+IF(E993="NOTIFICAÇÃO DE CONSTATAÇÃO",PrazoConst,PrazoEsc))</f>
        <v/>
      </c>
      <c r="N993" s="107" t="str">
        <f>IF(M993="","",IF(ISNUMBER(L993),M993-L993,IF(G993="DECISÃO D.P","",M993-TODAY())))</f>
        <v/>
      </c>
      <c r="O993" s="108" t="str">
        <f>IF(B993="","",IF(ISNUMBER(L993),IF(N993="","SEM DATA",IF(N993&gt;=0,"DEFESA NO PRAZO","DEFESA FORA DO PRAZO")),IF(G993="DECISÃO D.P","SEM DEFESA",IF(G993="","SEM STATUS",IF(N993="","SEM DATA",IF(N993&lt;0,"VENCIDO",IF(N993&lt;=DiasAlerta,"VENCE EM BREVE","NO PRAZO")))))))</f>
        <v/>
      </c>
      <c r="P993" s="109" t="str">
        <f>IF(D993="","",TODAY()-D993)</f>
        <v/>
      </c>
      <c r="Q993" s="102" t="n"/>
    </row>
    <row r="994" ht="18" customHeight="1">
      <c r="A994" s="101" t="n"/>
      <c r="B994" s="102" t="n"/>
      <c r="C994" s="102" t="n"/>
      <c r="D994" s="103" t="n"/>
      <c r="E994" s="102" t="n"/>
      <c r="F994" s="104" t="n"/>
      <c r="G994" s="104" t="n"/>
      <c r="H994" s="102" t="n"/>
      <c r="I994" s="105" t="n"/>
      <c r="J994" s="105" t="n"/>
      <c r="K994" s="103" t="n"/>
      <c r="L994" s="103" t="n"/>
      <c r="M994" s="106" t="str">
        <f>IF(OR(D994="",E994=""),"",D994+IF(E994="NOTIFICAÇÃO DE CONSTATAÇÃO",PrazoConst,PrazoEsc))</f>
        <v/>
      </c>
      <c r="N994" s="107" t="str">
        <f>IF(M994="","",IF(ISNUMBER(L994),M994-L994,IF(G994="DECISÃO D.P","",M994-TODAY())))</f>
        <v/>
      </c>
      <c r="O994" s="108" t="str">
        <f>IF(B994="","",IF(ISNUMBER(L994),IF(N994="","SEM DATA",IF(N994&gt;=0,"DEFESA NO PRAZO","DEFESA FORA DO PRAZO")),IF(G994="DECISÃO D.P","SEM DEFESA",IF(G994="","SEM STATUS",IF(N994="","SEM DATA",IF(N994&lt;0,"VENCIDO",IF(N994&lt;=DiasAlerta,"VENCE EM BREVE","NO PRAZO")))))))</f>
        <v/>
      </c>
      <c r="P994" s="109" t="str">
        <f>IF(D994="","",TODAY()-D994)</f>
        <v/>
      </c>
      <c r="Q994" s="102" t="n"/>
    </row>
    <row r="995" ht="18" customHeight="1">
      <c r="A995" s="101" t="n"/>
      <c r="B995" s="102" t="n"/>
      <c r="C995" s="102" t="n"/>
      <c r="D995" s="103" t="n"/>
      <c r="E995" s="102" t="n"/>
      <c r="F995" s="104" t="n"/>
      <c r="G995" s="104" t="n"/>
      <c r="H995" s="102" t="n"/>
      <c r="I995" s="105" t="n"/>
      <c r="J995" s="105" t="n"/>
      <c r="K995" s="103" t="n"/>
      <c r="L995" s="103" t="n"/>
      <c r="M995" s="106" t="str">
        <f>IF(OR(D995="",E995=""),"",D995+IF(E995="NOTIFICAÇÃO DE CONSTATAÇÃO",PrazoConst,PrazoEsc))</f>
        <v/>
      </c>
      <c r="N995" s="107" t="str">
        <f>IF(M995="","",IF(ISNUMBER(L995),M995-L995,IF(G995="DECISÃO D.P","",M995-TODAY())))</f>
        <v/>
      </c>
      <c r="O995" s="108" t="str">
        <f>IF(B995="","",IF(ISNUMBER(L995),IF(N995="","SEM DATA",IF(N995&gt;=0,"DEFESA NO PRAZO","DEFESA FORA DO PRAZO")),IF(G995="DECISÃO D.P","SEM DEFESA",IF(G995="","SEM STATUS",IF(N995="","SEM DATA",IF(N995&lt;0,"VENCIDO",IF(N995&lt;=DiasAlerta,"VENCE EM BREVE","NO PRAZO")))))))</f>
        <v/>
      </c>
      <c r="P995" s="109" t="str">
        <f>IF(D995="","",TODAY()-D995)</f>
        <v/>
      </c>
      <c r="Q995" s="102" t="n"/>
    </row>
    <row r="996" ht="18" customHeight="1">
      <c r="A996" s="101" t="n"/>
      <c r="B996" s="102" t="n"/>
      <c r="C996" s="102" t="n"/>
      <c r="D996" s="103" t="n"/>
      <c r="E996" s="102" t="n"/>
      <c r="F996" s="104" t="n"/>
      <c r="G996" s="104" t="n"/>
      <c r="H996" s="102" t="n"/>
      <c r="I996" s="105" t="n"/>
      <c r="J996" s="105" t="n"/>
      <c r="K996" s="103" t="n"/>
      <c r="L996" s="103" t="n"/>
      <c r="M996" s="106" t="str">
        <f>IF(OR(D996="",E996=""),"",D996+IF(E996="NOTIFICAÇÃO DE CONSTATAÇÃO",PrazoConst,PrazoEsc))</f>
        <v/>
      </c>
      <c r="N996" s="107" t="str">
        <f>IF(M996="","",IF(ISNUMBER(L996),M996-L996,IF(G996="DECISÃO D.P","",M996-TODAY())))</f>
        <v/>
      </c>
      <c r="O996" s="108" t="str">
        <f>IF(B996="","",IF(ISNUMBER(L996),IF(N996="","SEM DATA",IF(N996&gt;=0,"DEFESA NO PRAZO","DEFESA FORA DO PRAZO")),IF(G996="DECISÃO D.P","SEM DEFESA",IF(G996="","SEM STATUS",IF(N996="","SEM DATA",IF(N996&lt;0,"VENCIDO",IF(N996&lt;=DiasAlerta,"VENCE EM BREVE","NO PRAZO")))))))</f>
        <v/>
      </c>
      <c r="P996" s="109" t="str">
        <f>IF(D996="","",TODAY()-D996)</f>
        <v/>
      </c>
      <c r="Q996" s="102" t="n"/>
    </row>
    <row r="997" ht="18" customHeight="1">
      <c r="A997" s="101" t="n"/>
      <c r="B997" s="102" t="n"/>
      <c r="C997" s="102" t="n"/>
      <c r="D997" s="103" t="n"/>
      <c r="E997" s="102" t="n"/>
      <c r="F997" s="104" t="n"/>
      <c r="G997" s="104" t="n"/>
      <c r="H997" s="102" t="n"/>
      <c r="I997" s="105" t="n"/>
      <c r="J997" s="105" t="n"/>
      <c r="K997" s="103" t="n"/>
      <c r="L997" s="103" t="n"/>
      <c r="M997" s="106" t="str">
        <f>IF(OR(D997="",E997=""),"",D997+IF(E997="NOTIFICAÇÃO DE CONSTATAÇÃO",PrazoConst,PrazoEsc))</f>
        <v/>
      </c>
      <c r="N997" s="107" t="str">
        <f>IF(M997="","",IF(ISNUMBER(L997),M997-L997,IF(G997="DECISÃO D.P","",M997-TODAY())))</f>
        <v/>
      </c>
      <c r="O997" s="108" t="str">
        <f>IF(B997="","",IF(ISNUMBER(L997),IF(N997="","SEM DATA",IF(N997&gt;=0,"DEFESA NO PRAZO","DEFESA FORA DO PRAZO")),IF(G997="DECISÃO D.P","SEM DEFESA",IF(G997="","SEM STATUS",IF(N997="","SEM DATA",IF(N997&lt;0,"VENCIDO",IF(N997&lt;=DiasAlerta,"VENCE EM BREVE","NO PRAZO")))))))</f>
        <v/>
      </c>
      <c r="P997" s="109" t="str">
        <f>IF(D997="","",TODAY()-D997)</f>
        <v/>
      </c>
      <c r="Q997" s="102" t="n"/>
    </row>
    <row r="998" ht="18" customHeight="1">
      <c r="A998" s="101" t="n"/>
      <c r="B998" s="102" t="n"/>
      <c r="C998" s="102" t="n"/>
      <c r="D998" s="103" t="n"/>
      <c r="E998" s="102" t="n"/>
      <c r="F998" s="104" t="n"/>
      <c r="G998" s="104" t="n"/>
      <c r="H998" s="102" t="n"/>
      <c r="I998" s="105" t="n"/>
      <c r="J998" s="105" t="n"/>
      <c r="K998" s="103" t="n"/>
      <c r="L998" s="103" t="n"/>
      <c r="M998" s="106" t="str">
        <f>IF(OR(D998="",E998=""),"",D998+IF(E998="NOTIFICAÇÃO DE CONSTATAÇÃO",PrazoConst,PrazoEsc))</f>
        <v/>
      </c>
      <c r="N998" s="107" t="str">
        <f>IF(M998="","",IF(ISNUMBER(L998),M998-L998,IF(G998="DECISÃO D.P","",M998-TODAY())))</f>
        <v/>
      </c>
      <c r="O998" s="108" t="str">
        <f>IF(B998="","",IF(ISNUMBER(L998),IF(N998="","SEM DATA",IF(N998&gt;=0,"DEFESA NO PRAZO","DEFESA FORA DO PRAZO")),IF(G998="DECISÃO D.P","SEM DEFESA",IF(G998="","SEM STATUS",IF(N998="","SEM DATA",IF(N998&lt;0,"VENCIDO",IF(N998&lt;=DiasAlerta,"VENCE EM BREVE","NO PRAZO")))))))</f>
        <v/>
      </c>
      <c r="P998" s="109" t="str">
        <f>IF(D998="","",TODAY()-D998)</f>
        <v/>
      </c>
      <c r="Q998" s="102" t="n"/>
    </row>
    <row r="999" ht="18" customHeight="1">
      <c r="A999" s="101" t="n"/>
      <c r="B999" s="102" t="n"/>
      <c r="C999" s="102" t="n"/>
      <c r="D999" s="103" t="n"/>
      <c r="E999" s="102" t="n"/>
      <c r="F999" s="104" t="n"/>
      <c r="G999" s="104" t="n"/>
      <c r="H999" s="102" t="n"/>
      <c r="I999" s="105" t="n"/>
      <c r="J999" s="105" t="n"/>
      <c r="K999" s="103" t="n"/>
      <c r="L999" s="103" t="n"/>
      <c r="M999" s="106" t="str">
        <f>IF(OR(D999="",E999=""),"",D999+IF(E999="NOTIFICAÇÃO DE CONSTATAÇÃO",PrazoConst,PrazoEsc))</f>
        <v/>
      </c>
      <c r="N999" s="107" t="str">
        <f>IF(M999="","",IF(ISNUMBER(L999),M999-L999,IF(G999="DECISÃO D.P","",M999-TODAY())))</f>
        <v/>
      </c>
      <c r="O999" s="108" t="str">
        <f>IF(B999="","",IF(ISNUMBER(L999),IF(N999="","SEM DATA",IF(N999&gt;=0,"DEFESA NO PRAZO","DEFESA FORA DO PRAZO")),IF(G999="DECISÃO D.P","SEM DEFESA",IF(G999="","SEM STATUS",IF(N999="","SEM DATA",IF(N999&lt;0,"VENCIDO",IF(N999&lt;=DiasAlerta,"VENCE EM BREVE","NO PRAZO")))))))</f>
        <v/>
      </c>
      <c r="P999" s="109" t="str">
        <f>IF(D999="","",TODAY()-D999)</f>
        <v/>
      </c>
      <c r="Q999" s="102" t="n"/>
    </row>
    <row r="1000" ht="18" customHeight="1">
      <c r="A1000" s="101" t="n"/>
      <c r="B1000" s="102" t="n"/>
      <c r="C1000" s="102" t="n"/>
      <c r="D1000" s="103" t="n"/>
      <c r="E1000" s="102" t="n"/>
      <c r="F1000" s="104" t="n"/>
      <c r="G1000" s="104" t="n"/>
      <c r="H1000" s="102" t="n"/>
      <c r="I1000" s="105" t="n"/>
      <c r="J1000" s="105" t="n"/>
      <c r="K1000" s="103" t="n"/>
      <c r="L1000" s="103" t="n"/>
      <c r="M1000" s="106" t="str">
        <f>IF(OR(D1000="",E1000=""),"",D1000+IF(E1000="NOTIFICAÇÃO DE CONSTATAÇÃO",PrazoConst,PrazoEsc))</f>
        <v/>
      </c>
      <c r="N1000" s="107" t="str">
        <f>IF(M1000="","",IF(ISNUMBER(L1000),M1000-L1000,IF(G1000="DECISÃO D.P","",M1000-TODAY())))</f>
        <v/>
      </c>
      <c r="O1000" s="108" t="str">
        <f>IF(B1000="","",IF(ISNUMBER(L1000),IF(N1000="","SEM DATA",IF(N1000&gt;=0,"DEFESA NO PRAZO","DEFESA FORA DO PRAZO")),IF(G1000="DECISÃO D.P","SEM DEFESA",IF(G1000="","SEM STATUS",IF(N1000="","SEM DATA",IF(N1000&lt;0,"VENCIDO",IF(N1000&lt;=DiasAlerta,"VENCE EM BREVE","NO PRAZO")))))))</f>
        <v/>
      </c>
      <c r="P1000" s="109" t="str">
        <f>IF(D1000="","",TODAY()-D1000)</f>
        <v/>
      </c>
      <c r="Q1000" s="102" t="n"/>
    </row>
    <row r="1001" ht="18" customHeight="1">
      <c r="A1001" s="101" t="n"/>
      <c r="B1001" s="102" t="n"/>
      <c r="C1001" s="102" t="n"/>
      <c r="D1001" s="103" t="n"/>
      <c r="E1001" s="102" t="n"/>
      <c r="F1001" s="104" t="n"/>
      <c r="G1001" s="104" t="n"/>
      <c r="H1001" s="102" t="n"/>
      <c r="I1001" s="105" t="n"/>
      <c r="J1001" s="105" t="n"/>
      <c r="K1001" s="103" t="n"/>
      <c r="L1001" s="103" t="n"/>
      <c r="M1001" s="106" t="str">
        <f>IF(OR(D1001="",E1001=""),"",D1001+IF(E1001="NOTIFICAÇÃO DE CONSTATAÇÃO",PrazoConst,PrazoEsc))</f>
        <v/>
      </c>
      <c r="N1001" s="107" t="str">
        <f>IF(M1001="","",IF(ISNUMBER(L1001),M1001-L1001,IF(G1001="DECISÃO D.P","",M1001-TODAY())))</f>
        <v/>
      </c>
      <c r="O1001" s="108" t="str">
        <f>IF(B1001="","",IF(ISNUMBER(L1001),IF(N1001="","SEM DATA",IF(N1001&gt;=0,"DEFESA NO PRAZO","DEFESA FORA DO PRAZO")),IF(G1001="DECISÃO D.P","SEM DEFESA",IF(G1001="","SEM STATUS",IF(N1001="","SEM DATA",IF(N1001&lt;0,"VENCIDO",IF(N1001&lt;=DiasAlerta,"VENCE EM BREVE","NO PRAZO")))))))</f>
        <v/>
      </c>
      <c r="P1001" s="109" t="str">
        <f>IF(D1001="","",TODAY()-D1001)</f>
        <v/>
      </c>
      <c r="Q1001" s="102" t="n"/>
    </row>
    <row r="1002" ht="18" customHeight="1">
      <c r="A1002" s="101" t="n"/>
      <c r="B1002" s="102" t="n"/>
      <c r="C1002" s="102" t="n"/>
      <c r="D1002" s="103" t="n"/>
      <c r="E1002" s="102" t="n"/>
      <c r="F1002" s="104" t="n"/>
      <c r="G1002" s="104" t="n"/>
      <c r="H1002" s="102" t="n"/>
      <c r="I1002" s="105" t="n"/>
      <c r="J1002" s="105" t="n"/>
      <c r="K1002" s="103" t="n"/>
      <c r="L1002" s="103" t="n"/>
      <c r="M1002" s="106" t="str">
        <f>IF(OR(D1002="",E1002=""),"",D1002+IF(E1002="NOTIFICAÇÃO DE CONSTATAÇÃO",PrazoConst,PrazoEsc))</f>
        <v/>
      </c>
      <c r="N1002" s="107" t="str">
        <f>IF(M1002="","",IF(ISNUMBER(L1002),M1002-L1002,IF(G1002="DECISÃO D.P","",M1002-TODAY())))</f>
        <v/>
      </c>
      <c r="O1002" s="108" t="str">
        <f>IF(B1002="","",IF(ISNUMBER(L1002),IF(N1002="","SEM DATA",IF(N1002&gt;=0,"DEFESA NO PRAZO","DEFESA FORA DO PRAZO")),IF(G1002="DECISÃO D.P","SEM DEFESA",IF(G1002="","SEM STATUS",IF(N1002="","SEM DATA",IF(N1002&lt;0,"VENCIDO",IF(N1002&lt;=DiasAlerta,"VENCE EM BREVE","NO PRAZO")))))))</f>
        <v/>
      </c>
      <c r="P1002" s="109" t="str">
        <f>IF(D1002="","",TODAY()-D1002)</f>
        <v/>
      </c>
      <c r="Q1002" s="102" t="n"/>
    </row>
    <row r="1003" ht="18" customHeight="1">
      <c r="A1003" s="101" t="n"/>
      <c r="B1003" s="102" t="n"/>
      <c r="C1003" s="102" t="n"/>
      <c r="D1003" s="103" t="n"/>
      <c r="E1003" s="102" t="n"/>
      <c r="F1003" s="104" t="n"/>
      <c r="G1003" s="104" t="n"/>
      <c r="H1003" s="102" t="n"/>
      <c r="I1003" s="105" t="n"/>
      <c r="J1003" s="105" t="n"/>
      <c r="K1003" s="103" t="n"/>
      <c r="L1003" s="103" t="n"/>
      <c r="M1003" s="106" t="str">
        <f>IF(OR(D1003="",E1003=""),"",D1003+IF(E1003="NOTIFICAÇÃO DE CONSTATAÇÃO",PrazoConst,PrazoEsc))</f>
        <v/>
      </c>
      <c r="N1003" s="107" t="str">
        <f>IF(M1003="","",IF(ISNUMBER(L1003),M1003-L1003,IF(G1003="DECISÃO D.P","",M1003-TODAY())))</f>
        <v/>
      </c>
      <c r="O1003" s="108" t="str">
        <f>IF(B1003="","",IF(ISNUMBER(L1003),IF(N1003="","SEM DATA",IF(N1003&gt;=0,"DEFESA NO PRAZO","DEFESA FORA DO PRAZO")),IF(G1003="DECISÃO D.P","SEM DEFESA",IF(G1003="","SEM STATUS",IF(N1003="","SEM DATA",IF(N1003&lt;0,"VENCIDO",IF(N1003&lt;=DiasAlerta,"VENCE EM BREVE","NO PRAZO")))))))</f>
        <v/>
      </c>
      <c r="P1003" s="109" t="str">
        <f>IF(D1003="","",TODAY()-D1003)</f>
        <v/>
      </c>
      <c r="Q1003" s="102" t="n"/>
    </row>
    <row r="1004" ht="18" customHeight="1">
      <c r="A1004" s="101" t="n"/>
      <c r="B1004" s="102" t="n"/>
      <c r="C1004" s="102" t="n"/>
      <c r="D1004" s="103" t="n"/>
      <c r="E1004" s="102" t="n"/>
      <c r="F1004" s="104" t="n"/>
      <c r="G1004" s="104" t="n"/>
      <c r="H1004" s="102" t="n"/>
      <c r="I1004" s="105" t="n"/>
      <c r="J1004" s="105" t="n"/>
      <c r="K1004" s="103" t="n"/>
      <c r="L1004" s="103" t="n"/>
      <c r="M1004" s="106" t="str">
        <f>IF(OR(D1004="",E1004=""),"",D1004+IF(E1004="NOTIFICAÇÃO DE CONSTATAÇÃO",PrazoConst,PrazoEsc))</f>
        <v/>
      </c>
      <c r="N1004" s="107" t="str">
        <f>IF(M1004="","",IF(ISNUMBER(L1004),M1004-L1004,IF(G1004="DECISÃO D.P","",M1004-TODAY())))</f>
        <v/>
      </c>
      <c r="O1004" s="108" t="str">
        <f>IF(B1004="","",IF(ISNUMBER(L1004),IF(N1004="","SEM DATA",IF(N1004&gt;=0,"DEFESA NO PRAZO","DEFESA FORA DO PRAZO")),IF(G1004="DECISÃO D.P","SEM DEFESA",IF(G1004="","SEM STATUS",IF(N1004="","SEM DATA",IF(N1004&lt;0,"VENCIDO",IF(N1004&lt;=DiasAlerta,"VENCE EM BREVE","NO PRAZO")))))))</f>
        <v/>
      </c>
      <c r="P1004" s="109" t="str">
        <f>IF(D1004="","",TODAY()-D1004)</f>
        <v/>
      </c>
      <c r="Q1004" s="102" t="n"/>
    </row>
  </sheetData>
  <autoFilter ref="A4:Q1004"/>
  <mergeCells count="3">
    <mergeCell ref="A3:Q3"/>
    <mergeCell ref="A2:Q2"/>
    <mergeCell ref="A1:Q1"/>
  </mergeCells>
  <conditionalFormatting sqref="O5:O1004">
    <cfRule type="expression" priority="1" dxfId="1" stopIfTrue="1">
      <formula>$O5="VENCIDO"</formula>
    </cfRule>
    <cfRule type="expression" priority="2" dxfId="1" stopIfTrue="1">
      <formula>$O5="SEM DEFESA"</formula>
    </cfRule>
    <cfRule type="expression" priority="3" dxfId="1" stopIfTrue="1">
      <formula>$O5="DEFESA FORA DO PRAZO"</formula>
    </cfRule>
    <cfRule type="expression" priority="4" dxfId="0" stopIfTrue="1">
      <formula>$O5="VENCE EM BREVE"</formula>
    </cfRule>
    <cfRule type="expression" priority="5" dxfId="2" stopIfTrue="1">
      <formula>$O5="NO PRAZO"</formula>
    </cfRule>
    <cfRule type="expression" priority="6" dxfId="2" stopIfTrue="1">
      <formula>$O5="DEFESA NO PRAZO"</formula>
    </cfRule>
  </conditionalFormatting>
  <conditionalFormatting sqref="N5:N1004">
    <cfRule type="expression" priority="7" dxfId="3">
      <formula>AND(ISNUMBER($N5),$N5&lt;0)</formula>
    </cfRule>
  </conditionalFormatting>
  <conditionalFormatting sqref="A5:Q1004">
    <cfRule type="expression" priority="8" dxfId="4">
      <formula>AND($B5&lt;&gt;"",MOD(ROW(),2)=0)</formula>
    </cfRule>
  </conditionalFormatting>
  <dataValidations count="11">
    <dataValidation sqref="A5:A1004" showDropDown="0" showInputMessage="1" showErrorMessage="1" allowBlank="1" errorTitle="N° inválido" error="Digite apenas um NÚMERO INTEIRO positivo, sem letras, que ainda não exista na planilha." promptTitle="N°" prompt="Número inteiro sequencial do processo (ex.: 1, 2, 3...)." type="custom">
      <formula1>AND(ISNUMBER(A5),A5=INT(A5),A5&gt;0,COUNTIF($A$5:$A$1004,A5)=1)</formula1>
    </dataValidation>
    <dataValidation sqref="C5:C1004" showDropDown="0" showInputMessage="1" showErrorMessage="1" allowBlank="1" errorTitle="Ramo não cadastrado" error="Escolha um ramo da lista. Para incluir um novo ramo, cadastre-o na aba CADASTROS." promptTitle="RAMO" prompt="Selecione o ramo de atividade da empresa." type="list">
      <formula1>CADASTROS!$B$6:$B$35</formula1>
    </dataValidation>
    <dataValidation sqref="D5:D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DA FISCALIZAÇÃO" prompt="Digite a data no formato DD/MM/AAAA." type="date" operator="between">
      <formula1>36526</formula1>
      <formula2>73051</formula2>
    </dataValidation>
    <dataValidation sqref="K5:K1004" showDropDown="0" showInputMessage="1" showErrorMessage="1" allowBlank="1" errorTitle="Data inválida" error="Este campo aceita SOMENTE DATAS REAIS no formato DD/MM/AAAA (entre 01/01/2000 e 31/12/2099). Textos e datas inexistentes (ex.: 31/02) são bloqueados." promptTitle="DATA P. ORIGEM" prompt="Digite a data no formato DD/MM/AAAA." type="date" operator="between">
      <formula1>36526</formula1>
      <formula2>73051</formula2>
    </dataValidation>
    <dataValidation sqref="L5:L1004" showDropDown="0" showInputMessage="1" showErrorMessage="1" allowBlank="1" errorTitle="Data inválida" error="A DATA DA DEFESA aceita SOMENTE DATAS REAIS (DD/MM/AAAA) e não pode ser anterior à DATA DA FISCALIZAÇÃO." promptTitle="DATA DA DEFESA" prompt="Data em que a empresa apresentou a defesa prévia (DD/MM/AAAA). Deixe vazio se não apresentou." type="custom">
      <formula1>AND(ISNUMBER(L5),L5&gt;=36526,L5&lt;=73051,OR(D5="",L5&gt;=D5))</formula1>
    </dataValidation>
    <dataValidation sqref="E5:E1004" showDropDown="0" showInputMessage="1" showErrorMessage="1" allowBlank="1" errorTitle="Opção inválida" error="Selecione NOTIFICAÇÃO DE CONSTATAÇÃO ou NOTIFICAÇÃO DE ESCLARECIMENTO." promptTitle="NOTIFICAÇÃO" prompt="Selecione o tipo de notificação." type="list">
      <formula1>"NOTIFICAÇÃO DE CONSTATAÇÃO,NOTIFICAÇÃO DE ESCLARECIMENTO"</formula1>
    </dataValidation>
    <dataValidation sqref="F5:F1004" showDropDown="0" showInputMessage="1" showErrorMessage="1" allowBlank="1" errorTitle="Opção inválida" error="Selecione PRESENCIAL ou ELETRÔNICA." promptTitle="TIPO" prompt="Selecione como a notificação foi entregue." type="list">
      <formula1>"PRESENCIAL,ELETRÔNICA"</formula1>
    </dataValidation>
    <dataValidation sqref="G5:G1004" showDropDown="0" showInputMessage="1" showErrorMessage="1" allowBlank="1" errorTitle="Opção inválida" error="Selecione DECISÃO D.P ou PRAZO D.P." promptTitle="STATUS" prompt="Selecione a fase atual do processo." type="list">
      <formula1>"DECISÃO D.P,PRAZO D.P"</formula1>
    </dataValidation>
    <dataValidation sqref="H5:H1004" showDropDown="0" showInputMessage="1" showErrorMessage="1" allowBlank="1" errorTitle="Responsável não cadastrado" error="Escolha um responsável da lista (cadastre novos na aba CADASTROS)." promptTitle="RESPONSÁVEL" prompt="Selecione o servidor responsável." type="list">
      <formula1>CADASTROS!$D$6:$D$20</formula1>
    </dataValidation>
    <dataValidation sqref="I5:I1004" showDropDown="0" showInputMessage="1" showErrorMessage="1" allowBlank="1" errorTitle="Caractere não permitido" error="O N° NOTIFICAÇÃO aceita SOMENTE números e a barra &quot;/&quot;. Ex.: 0123/2026" promptTitle="N° NOTIFICAÇÃO" prompt="Somente números e &quot;/&quot;. Ex.: 0123/2026" type="custom">
      <formula1>LEN(SUBSTITUTE(SUBSTITUTE(SUBSTITUTE(SUBSTITUTE(SUBSTITUTE(SUBSTITUTE(SUBSTITUTE(SUBSTITUTE(SUBSTITUTE(SUBSTITUTE(SUBSTITUTE(I5,"0",""),"1",""),"2",""),"3",""),"4",""),"5",""),"6",""),"7",""),"8",""),"9",""),"/",""))=0</formula1>
    </dataValidation>
    <dataValidation sqref="J5:J1004" showDropDown="0" showInputMessage="1" showErrorMessage="1" allowBlank="1" errorTitle="Caractere não permitido" error="O PROCESSO ORIGEM aceita SOMENTE números, a barra &quot;/&quot;, o ponto &quot;.&quot; e o hífen &quot;-&quot;. Ex.: 2026.004512-7/01" promptTitle="PROCESSO ORIGEM" prompt="Somente números, &quot;/&quot;, &quot;.&quot; e &quot;-&quot;. Ex.: 2026.004512-7/01" type="custom">
      <formula1>SUMPRODUCT(--ISERROR(FIND(MID(J5,ROW(INDIRECT("A1:A"&amp;LEN(J5))),1),"0123456789/.-")))=0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B08D57"/>
    <outlinePr summaryBelow="1" summaryRight="1"/>
    <pageSetUpPr/>
  </sheetPr>
  <dimension ref="A1:O3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" customWidth="1" min="3" max="3"/>
    <col width="30" customWidth="1" min="4" max="4"/>
    <col width="3" customWidth="1" min="5" max="5"/>
    <col width="34" customWidth="1" min="6" max="6"/>
    <col width="3" customWidth="1" min="7" max="7"/>
    <col width="16" customWidth="1" min="8" max="8"/>
    <col width="3" customWidth="1" min="9" max="9"/>
    <col width="16" customWidth="1" min="10" max="10"/>
    <col width="3" customWidth="1" min="11" max="11"/>
    <col width="48" customWidth="1" min="12" max="12"/>
    <col width="12" customWidth="1" min="13" max="13"/>
    <col width="3" customWidth="1" min="14" max="14"/>
    <col width="50" customWidth="1" min="15" max="15"/>
  </cols>
  <sheetData>
    <row r="1" ht="30" customHeight="1">
      <c r="A1" s="2" t="n"/>
      <c r="B1" s="97" t="inlineStr">
        <is>
          <t>CADASTROS E PARÂMETROS</t>
        </is>
      </c>
    </row>
    <row r="2" ht="20" customHeight="1">
      <c r="A2" s="2" t="n"/>
      <c r="B2" s="98" t="inlineStr">
        <is>
          <t>Listas que alimentam os menus suspensos e regras de prazo usadas em todo o arquivo</t>
        </is>
      </c>
    </row>
    <row r="3" ht="4" customHeight="1">
      <c r="A3" s="8" t="n"/>
    </row>
    <row r="5">
      <c r="B5" s="110" t="inlineStr">
        <is>
          <t>RAMOS DE ATIVIDADE</t>
        </is>
      </c>
      <c r="D5" s="110" t="inlineStr">
        <is>
          <t>RESPONSÁVEIS</t>
        </is>
      </c>
      <c r="F5" s="110" t="inlineStr">
        <is>
          <t>NOTIFICAÇÃO (fixo)</t>
        </is>
      </c>
      <c r="H5" s="110" t="inlineStr">
        <is>
          <t>TIPO (fixo)</t>
        </is>
      </c>
      <c r="J5" s="110" t="inlineStr">
        <is>
          <t>STATUS (fixo)</t>
        </is>
      </c>
      <c r="L5" s="111" t="inlineStr">
        <is>
          <t>PARÂMETROS DE PRAZO E METAS</t>
        </is>
      </c>
      <c r="M5" s="111" t="inlineStr">
        <is>
          <t>VALOR</t>
        </is>
      </c>
      <c r="O5" s="111" t="inlineStr">
        <is>
          <t>OBSERVAÇÃO</t>
        </is>
      </c>
    </row>
    <row r="6">
      <c r="B6" s="112" t="inlineStr">
        <is>
          <t>LOJA</t>
        </is>
      </c>
      <c r="D6" s="112" t="inlineStr">
        <is>
          <t>ANA PAULA SOUZA</t>
        </is>
      </c>
      <c r="F6" s="113" t="inlineStr">
        <is>
          <t>NOTIFICAÇÃO DE CONSTATAÇÃO</t>
        </is>
      </c>
      <c r="H6" s="113" t="inlineStr">
        <is>
          <t>PRESENCIAL</t>
        </is>
      </c>
      <c r="J6" s="113" t="inlineStr">
        <is>
          <t>PRAZO D.P</t>
        </is>
      </c>
      <c r="L6" s="114" t="inlineStr">
        <is>
          <t>Prazo de resposta — Notificação de Constatação (dias corridos)</t>
        </is>
      </c>
      <c r="M6" s="115" t="n">
        <v>10</v>
      </c>
      <c r="O6" s="116" t="inlineStr">
        <is>
          <t>Premissa editável: prazo contado a partir da DATA DA FISCALIZAÇÃO.</t>
        </is>
      </c>
    </row>
    <row r="7">
      <c r="B7" s="112" t="inlineStr">
        <is>
          <t>POSTO DE COMBUSTÍVEL</t>
        </is>
      </c>
      <c r="D7" s="112" t="inlineStr">
        <is>
          <t>BRUNO CARVALHO</t>
        </is>
      </c>
      <c r="F7" s="113" t="inlineStr">
        <is>
          <t>NOTIFICAÇÃO DE ESCLARECIMENTO</t>
        </is>
      </c>
      <c r="H7" s="113" t="inlineStr">
        <is>
          <t>ELETRÔNICA</t>
        </is>
      </c>
      <c r="J7" s="113" t="inlineStr">
        <is>
          <t>DECISÃO D.P</t>
        </is>
      </c>
      <c r="L7" s="114" t="inlineStr">
        <is>
          <t>Prazo de resposta — Notificação de Esclarecimento (dias corridos)</t>
        </is>
      </c>
      <c r="M7" s="115" t="n">
        <v>15</v>
      </c>
      <c r="O7" s="116" t="inlineStr">
        <is>
          <t>Premissa editável: prazo contado a partir da DATA DA FISCALIZAÇÃO.</t>
        </is>
      </c>
    </row>
    <row r="8">
      <c r="B8" s="112" t="inlineStr">
        <is>
          <t>SAÚDE</t>
        </is>
      </c>
      <c r="D8" s="112" t="inlineStr">
        <is>
          <t>CARLA MENDES</t>
        </is>
      </c>
      <c r="L8" s="114" t="inlineStr">
        <is>
          <t>Antecedência para alerta 'VENCE EM BREVE' (dias)</t>
        </is>
      </c>
      <c r="M8" s="115" t="n">
        <v>5</v>
      </c>
      <c r="O8" s="116" t="inlineStr">
        <is>
          <t>Processos com prazo a vencer em até N dias recebem alerta.</t>
        </is>
      </c>
    </row>
    <row r="9">
      <c r="B9" s="112" t="inlineStr">
        <is>
          <t>ACADEMIA</t>
        </is>
      </c>
      <c r="D9" s="112" t="inlineStr">
        <is>
          <t>DIEGO RIBEIRO</t>
        </is>
      </c>
      <c r="L9" s="114" t="inlineStr">
        <is>
          <t>Meta mensal de fiscalizações</t>
        </is>
      </c>
      <c r="M9" s="115" t="n">
        <v>12</v>
      </c>
      <c r="O9" s="116" t="inlineStr">
        <is>
          <t>Usada no painel e nos gráficos de atingimento de meta.</t>
        </is>
      </c>
    </row>
    <row r="10">
      <c r="B10" s="112" t="inlineStr">
        <is>
          <t>SUPERMERCADO</t>
        </is>
      </c>
      <c r="D10" s="112" t="inlineStr">
        <is>
          <t>EDUARDA LIMA</t>
        </is>
      </c>
    </row>
    <row r="11">
      <c r="B11" s="112" t="inlineStr">
        <is>
          <t>RESTAURANTE</t>
        </is>
      </c>
      <c r="D11" s="112" t="inlineStr">
        <is>
          <t>FELIPE ARAÚJO</t>
        </is>
      </c>
      <c r="L11" s="117" t="inlineStr">
        <is>
          <t>Células em dourado claro são editáveis.</t>
        </is>
      </c>
    </row>
    <row r="12">
      <c r="B12" s="112" t="inlineStr">
        <is>
          <t>FARMÁCIA</t>
        </is>
      </c>
      <c r="D12" s="112" t="inlineStr">
        <is>
          <t>GABRIELA NUNES</t>
        </is>
      </c>
    </row>
    <row r="13">
      <c r="B13" s="112" t="inlineStr">
        <is>
          <t>BANCO</t>
        </is>
      </c>
      <c r="D13" s="112" t="inlineStr">
        <is>
          <t>HENRIQUE COSTA</t>
        </is>
      </c>
    </row>
    <row r="14">
      <c r="B14" s="112" t="inlineStr">
        <is>
          <t>ESCOLA</t>
        </is>
      </c>
      <c r="D14" s="112" t="n"/>
    </row>
    <row r="15">
      <c r="B15" s="112" t="inlineStr">
        <is>
          <t>TELEFONIA</t>
        </is>
      </c>
      <c r="D15" s="112" t="n"/>
    </row>
    <row r="16">
      <c r="B16" s="112" t="inlineStr">
        <is>
          <t>CONCESSIONÁRIA</t>
        </is>
      </c>
      <c r="D16" s="112" t="n"/>
    </row>
    <row r="17">
      <c r="B17" s="112" t="inlineStr">
        <is>
          <t>OUTROS</t>
        </is>
      </c>
      <c r="D17" s="112" t="n"/>
    </row>
    <row r="18">
      <c r="B18" s="112" t="n"/>
      <c r="D18" s="112" t="n"/>
    </row>
    <row r="19">
      <c r="B19" s="112" t="n"/>
      <c r="D19" s="112" t="n"/>
    </row>
    <row r="20">
      <c r="B20" s="112" t="n"/>
      <c r="D20" s="112" t="n"/>
    </row>
    <row r="21">
      <c r="B21" s="112" t="n"/>
    </row>
    <row r="22">
      <c r="B22" s="112" t="n"/>
      <c r="D22" s="117" t="inlineStr">
        <is>
          <t>↑ Inclua novos responsáveis nas linhas em branco (até 15).</t>
        </is>
      </c>
    </row>
    <row r="23">
      <c r="B23" s="112" t="n"/>
    </row>
    <row r="24">
      <c r="B24" s="112" t="n"/>
    </row>
    <row r="25">
      <c r="B25" s="112" t="n"/>
    </row>
    <row r="26">
      <c r="B26" s="112" t="n"/>
    </row>
    <row r="27">
      <c r="B27" s="112" t="n"/>
    </row>
    <row r="28">
      <c r="B28" s="112" t="n"/>
    </row>
    <row r="29">
      <c r="B29" s="112" t="n"/>
    </row>
    <row r="30">
      <c r="B30" s="112" t="n"/>
    </row>
    <row r="31">
      <c r="B31" s="112" t="n"/>
    </row>
    <row r="32">
      <c r="B32" s="112" t="n"/>
    </row>
    <row r="33">
      <c r="B33" s="112" t="n"/>
    </row>
    <row r="34">
      <c r="B34" s="112" t="n"/>
    </row>
    <row r="35">
      <c r="B35" s="112" t="n"/>
    </row>
    <row r="37">
      <c r="B37" s="117" t="inlineStr">
        <is>
          <t>↑ Inclua novos ramos nas linhas em branco (até 30).</t>
        </is>
      </c>
    </row>
  </sheetData>
  <mergeCells count="3">
    <mergeCell ref="B1:O1"/>
    <mergeCell ref="B2:O2"/>
    <mergeCell ref="A3:O3"/>
  </mergeCells>
  <dataValidations count="1">
    <dataValidation sqref="M6:M9" showDropDown="0" showInputMessage="0" showErrorMessage="1" allowBlank="0" errorTitle="Valor inválido" error="Informe um número inteiro de 0 a 365." type="whole" operator="between">
      <formula1>0</formula1>
      <formula2>365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C96A5"/>
    <outlinePr summaryBelow="1" summaryRight="1"/>
    <pageSetUpPr/>
  </sheetPr>
  <dimension ref="A1:D5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80" customWidth="1" min="4" max="4"/>
  </cols>
  <sheetData>
    <row r="1" ht="30" customHeight="1">
      <c r="A1" s="97" t="inlineStr">
        <is>
          <t>GUIA DE USO DA PLANILHA</t>
        </is>
      </c>
    </row>
    <row r="2">
      <c r="A2" s="98" t="inlineStr">
        <is>
          <t>Como registrar processos e interpretar os indicadores</t>
        </is>
      </c>
    </row>
    <row r="3" ht="4" customHeight="1">
      <c r="A3" s="8" t="n"/>
    </row>
    <row r="5" ht="22" customHeight="1">
      <c r="B5" s="118" t="inlineStr">
        <is>
          <t>1. ESTRUTURA DAS ABAS</t>
        </is>
      </c>
      <c r="C5" s="19" t="n"/>
      <c r="D5" s="19" t="n"/>
    </row>
    <row r="6">
      <c r="B6" s="119" t="inlineStr">
        <is>
          <t>ABA</t>
        </is>
      </c>
      <c r="C6" s="119" t="inlineStr">
        <is>
          <t>FINALIDADE</t>
        </is>
      </c>
      <c r="D6" s="119" t="inlineStr">
        <is>
          <t>DETALHES</t>
        </is>
      </c>
    </row>
    <row r="7">
      <c r="B7" s="120" t="inlineStr">
        <is>
          <t>PAINEL</t>
        </is>
      </c>
      <c r="C7" s="121" t="inlineStr">
        <is>
          <t>Visão diária do Gerente</t>
        </is>
      </c>
      <c r="D7" s="121" t="inlineStr">
        <is>
          <t>Indicadores, alertas de prazo, carga da equipe, ramos e evolução mensal. Filtros por responsável e ano.</t>
        </is>
      </c>
    </row>
    <row r="8">
      <c r="B8" s="122" t="inlineStr">
        <is>
          <t>GRÁFICOS</t>
        </is>
      </c>
      <c r="C8" s="123" t="inlineStr">
        <is>
          <t>Dashboard analítico</t>
        </is>
      </c>
      <c r="D8" s="123" t="inlineStr">
        <is>
          <t>8 gráficos dinâmicos que acompanham os filtros definidos no PAINEL.</t>
        </is>
      </c>
    </row>
    <row r="9">
      <c r="B9" s="120" t="inlineStr">
        <is>
          <t>PROCESSOS</t>
        </is>
      </c>
      <c r="C9" s="121" t="inlineStr">
        <is>
          <t>Base de registros</t>
        </is>
      </c>
      <c r="D9" s="121" t="inlineStr">
        <is>
          <t>Única aba onde os processos são cadastrados (até 1.000 linhas formatadas e validadas).</t>
        </is>
      </c>
    </row>
    <row r="10">
      <c r="B10" s="122" t="inlineStr">
        <is>
          <t>CADASTROS</t>
        </is>
      </c>
      <c r="C10" s="123" t="inlineStr">
        <is>
          <t>Listas e parâmetros</t>
        </is>
      </c>
      <c r="D10" s="123" t="inlineStr">
        <is>
          <t>Ramos, responsáveis, prazos de resposta (dias), antecedência de alerta e meta mensal.</t>
        </is>
      </c>
    </row>
    <row r="11">
      <c r="B11" s="120" t="inlineStr">
        <is>
          <t>INSTRUÇÕES</t>
        </is>
      </c>
      <c r="C11" s="121" t="inlineStr">
        <is>
          <t>Este guia</t>
        </is>
      </c>
      <c r="D11" s="121" t="inlineStr">
        <is>
          <t>Regras de preenchimento e definição de cada indicador.</t>
        </is>
      </c>
    </row>
    <row r="13" ht="22" customHeight="1">
      <c r="B13" s="118" t="inlineStr">
        <is>
          <t>2. COMO CADASTRAR UM PROCESSO (aba PROCESSOS)</t>
        </is>
      </c>
      <c r="C13" s="19" t="n"/>
      <c r="D13" s="19" t="n"/>
    </row>
    <row r="14">
      <c r="B14" s="124" t="inlineStr">
        <is>
          <t>1) Vá até a primeira linha vazia e informe o N° (inteiro, sequencial e sem repetição).</t>
        </is>
      </c>
    </row>
    <row r="15">
      <c r="B15" s="124" t="inlineStr">
        <is>
          <t>2) Preencha EMPRESA (nome fantasia — texto livre) e selecione o RAMO no menu suspenso.</t>
        </is>
      </c>
    </row>
    <row r="16">
      <c r="B16" s="124" t="inlineStr">
        <is>
          <t>3) Digite a DATA DA FISCALIZAÇÃO no formato DD/MM/AAAA.</t>
        </is>
      </c>
    </row>
    <row r="17">
      <c r="B17" s="124" t="inlineStr">
        <is>
          <t>4) Selecione NOTIFICAÇÃO, TIPO, STATUS e RESPONSÁVEL nos menus suspensos.</t>
        </is>
      </c>
    </row>
    <row r="18">
      <c r="B18" s="124" t="inlineStr">
        <is>
          <t>5) Informe N° NOTIFICAÇÃO, PROCESSO ORIGEM e DATA P. ORIGEM.</t>
        </is>
      </c>
    </row>
    <row r="19">
      <c r="B19" s="124" t="inlineStr">
        <is>
          <t>6) Quando a empresa apresentar a DEFESA PRÉVIA, informe a DATA DA DEFESA: a contagem de DIAS RESTANTES congela e a SITUAÇÃO mostra se a defesa foi entregue no prazo ou fora do prazo.</t>
        </is>
      </c>
    </row>
    <row r="20">
      <c r="B20" s="124" t="inlineStr">
        <is>
          <t>7) Ao encaminhar o processo para decisão, altere o STATUS para DECISÃO D.P. Sem DATA DA DEFESA, ele aparece como SEM DEFESA.</t>
        </is>
      </c>
    </row>
    <row r="21">
      <c r="B21" s="124" t="inlineStr">
        <is>
          <t>8) As colunas PRAZO FINAL, DIAS RESTANTES, SITUAÇÃO DO PRAZO e DIAS DESDE A FISCALIZAÇÃO são automáticas — não digite nelas.</t>
        </is>
      </c>
    </row>
    <row r="23" ht="22" customHeight="1">
      <c r="B23" s="118" t="inlineStr">
        <is>
          <t>3. REGRAS DE VALIDAÇÃO (bloqueios de digitação)</t>
        </is>
      </c>
      <c r="C23" s="19" t="n"/>
      <c r="D23" s="19" t="n"/>
    </row>
    <row r="24">
      <c r="B24" s="119" t="inlineStr">
        <is>
          <t>COLUNA</t>
        </is>
      </c>
      <c r="C24" s="119" t="inlineStr">
        <is>
          <t>TIPO DE CAMPO</t>
        </is>
      </c>
      <c r="D24" s="119" t="inlineStr">
        <is>
          <t>REGRA APLICADA</t>
        </is>
      </c>
    </row>
    <row r="25">
      <c r="B25" s="120" t="inlineStr">
        <is>
          <t>N°</t>
        </is>
      </c>
      <c r="C25" s="121" t="inlineStr">
        <is>
          <t>Número inteiro</t>
        </is>
      </c>
      <c r="D25" s="121" t="inlineStr">
        <is>
          <t>Aceita apenas inteiros positivos; letras, decimais e números repetidos são bloqueados.</t>
        </is>
      </c>
    </row>
    <row r="26">
      <c r="B26" s="122" t="inlineStr">
        <is>
          <t>EMPRESA</t>
        </is>
      </c>
      <c r="C26" s="123" t="inlineStr">
        <is>
          <t>Texto livre</t>
        </is>
      </c>
      <c r="D26" s="123" t="inlineStr">
        <is>
          <t>Sem bloqueio (aceita letras e números).</t>
        </is>
      </c>
    </row>
    <row r="27">
      <c r="B27" s="120" t="inlineStr">
        <is>
          <t>RAMO</t>
        </is>
      </c>
      <c r="C27" s="121" t="inlineStr">
        <is>
          <t>Menu suspenso</t>
        </is>
      </c>
      <c r="D27" s="121" t="inlineStr">
        <is>
          <t>Lista da aba CADASTROS (pode ser ampliada).</t>
        </is>
      </c>
    </row>
    <row r="28">
      <c r="B28" s="122" t="inlineStr">
        <is>
          <t>DATA DA FISCALIZAÇÃO</t>
        </is>
      </c>
      <c r="C28" s="123" t="inlineStr">
        <is>
          <t>Data</t>
        </is>
      </c>
      <c r="D28" s="123" t="inlineStr">
        <is>
          <t>Somente datas reais entre 01/01/2000 e 31/12/2099; textos são bloqueados.</t>
        </is>
      </c>
    </row>
    <row r="29">
      <c r="B29" s="120" t="inlineStr">
        <is>
          <t>NOTIFICAÇÃO</t>
        </is>
      </c>
      <c r="C29" s="121" t="inlineStr">
        <is>
          <t>Menu suspenso</t>
        </is>
      </c>
      <c r="D29" s="121" t="inlineStr">
        <is>
          <t>NOTIFICAÇÃO DE CONSTATAÇÃO | NOTIFICAÇÃO DE ESCLARECIMENTO.</t>
        </is>
      </c>
    </row>
    <row r="30">
      <c r="B30" s="122" t="inlineStr">
        <is>
          <t>TIPO</t>
        </is>
      </c>
      <c r="C30" s="123" t="inlineStr">
        <is>
          <t>Menu suspenso</t>
        </is>
      </c>
      <c r="D30" s="123" t="inlineStr">
        <is>
          <t>PRESENCIAL | ELETRÔNICA.</t>
        </is>
      </c>
    </row>
    <row r="31">
      <c r="B31" s="120" t="inlineStr">
        <is>
          <t>STATUS</t>
        </is>
      </c>
      <c r="C31" s="121" t="inlineStr">
        <is>
          <t>Menu suspenso</t>
        </is>
      </c>
      <c r="D31" s="121" t="inlineStr">
        <is>
          <t>DECISÃO D.P | PRAZO D.P.</t>
        </is>
      </c>
    </row>
    <row r="32">
      <c r="B32" s="122" t="inlineStr">
        <is>
          <t>RESPONSÁVEL</t>
        </is>
      </c>
      <c r="C32" s="123" t="inlineStr">
        <is>
          <t>Menu suspenso</t>
        </is>
      </c>
      <c r="D32" s="123" t="inlineStr">
        <is>
          <t>Lista da aba CADASTROS (pode ser ampliada).</t>
        </is>
      </c>
    </row>
    <row r="33">
      <c r="B33" s="120" t="inlineStr">
        <is>
          <t>N° NOTIFICAÇÃO</t>
        </is>
      </c>
      <c r="C33" s="121" t="inlineStr">
        <is>
          <t>Números e "/"</t>
        </is>
      </c>
      <c r="D33" s="121" t="inlineStr">
        <is>
          <t>Qualquer outro caractere é bloqueado. Ex.: 0123/2026.</t>
        </is>
      </c>
    </row>
    <row r="34">
      <c r="B34" s="122" t="inlineStr">
        <is>
          <t>PROCESSO ORIGEM</t>
        </is>
      </c>
      <c r="C34" s="123" t="inlineStr">
        <is>
          <t>Números, "/", "." e "-"</t>
        </is>
      </c>
      <c r="D34" s="123" t="inlineStr">
        <is>
          <t>Qualquer outro caractere é bloqueado. Ex.: 2026.004512-7/01.</t>
        </is>
      </c>
    </row>
    <row r="35">
      <c r="B35" s="120" t="inlineStr">
        <is>
          <t>DATA P. ORIGEM</t>
        </is>
      </c>
      <c r="C35" s="121" t="inlineStr">
        <is>
          <t>Data</t>
        </is>
      </c>
      <c r="D35" s="121" t="inlineStr">
        <is>
          <t>Somente datas reais entre 01/01/2000 e 31/12/2099; textos são bloqueados.</t>
        </is>
      </c>
    </row>
    <row r="36">
      <c r="B36" s="122" t="inlineStr">
        <is>
          <t>DATA DA DEFESA</t>
        </is>
      </c>
      <c r="C36" s="123" t="inlineStr">
        <is>
          <t>Data</t>
        </is>
      </c>
      <c r="D36" s="123" t="inlineStr">
        <is>
          <t>Somente datas reais, não anteriores à DATA DA FISCALIZAÇÃO; textos são bloqueados.</t>
        </is>
      </c>
    </row>
    <row r="37">
      <c r="B37" s="120" t="inlineStr">
        <is>
          <t>OBSERVAÇÕES</t>
        </is>
      </c>
      <c r="C37" s="121" t="inlineStr">
        <is>
          <t>Texto livre</t>
        </is>
      </c>
      <c r="D37" s="121" t="inlineStr">
        <is>
          <t>Campo opcional para anotações.</t>
        </is>
      </c>
    </row>
    <row r="39" ht="22" customHeight="1">
      <c r="B39" s="118" t="inlineStr">
        <is>
          <t>4. DEFINIÇÃO DOS INDICADORES</t>
        </is>
      </c>
      <c r="C39" s="19" t="n"/>
      <c r="D39" s="19" t="n"/>
    </row>
    <row r="40">
      <c r="B40" s="119" t="inlineStr">
        <is>
          <t>INDICADOR</t>
        </is>
      </c>
      <c r="C40" s="119" t="inlineStr">
        <is>
          <t>CÁLCULO</t>
        </is>
      </c>
      <c r="D40" s="119" t="inlineStr">
        <is>
          <t>LEITURA</t>
        </is>
      </c>
    </row>
    <row r="41">
      <c r="B41" s="120" t="inlineStr">
        <is>
          <t>Prazo final</t>
        </is>
      </c>
      <c r="C41" s="121" t="inlineStr">
        <is>
          <t>Data da fiscalização + prazo (CADASTROS)</t>
        </is>
      </c>
      <c r="D41" s="121" t="inlineStr">
        <is>
          <t>Constatação: 10 dias; Esclarecimento: 15 dias (premissas editáveis).</t>
        </is>
      </c>
    </row>
    <row r="42">
      <c r="B42" s="122" t="inlineStr">
        <is>
          <t>Dias restantes</t>
        </is>
      </c>
      <c r="C42" s="123" t="inlineStr">
        <is>
          <t>Prazo final − hoje (sem defesa) ou − data da defesa</t>
        </is>
      </c>
      <c r="D42" s="123" t="inlineStr">
        <is>
          <t>Congela quando a DATA DA DEFESA é informada; negativo = defesa entregue com atraso.</t>
        </is>
      </c>
    </row>
    <row r="43">
      <c r="B43" s="120" t="inlineStr">
        <is>
          <t>Vence em breve</t>
        </is>
      </c>
      <c r="C43" s="121" t="inlineStr">
        <is>
          <t>Prazo final em até N dias (CADASTROS)</t>
        </is>
      </c>
      <c r="D43" s="121" t="inlineStr">
        <is>
          <t>Alerta preventivo para a equipe.</t>
        </is>
      </c>
    </row>
    <row r="44">
      <c r="B44" s="122" t="inlineStr">
        <is>
          <t>Vencido</t>
        </is>
      </c>
      <c r="C44" s="123" t="inlineStr">
        <is>
          <t>PRAZO D.P, sem defesa e prazo final &lt; hoje</t>
        </is>
      </c>
      <c r="D44" s="123" t="inlineStr">
        <is>
          <t>A empresa não apresentou a defesa prévia no prazo estipulado.</t>
        </is>
      </c>
    </row>
    <row r="45">
      <c r="B45" s="120" t="inlineStr">
        <is>
          <t>Defesa no prazo / fora do prazo</t>
        </is>
      </c>
      <c r="C45" s="121" t="inlineStr">
        <is>
          <t>Data da defesa ≤ / &gt; prazo final</t>
        </is>
      </c>
      <c r="D45" s="121" t="inlineStr">
        <is>
          <t>Resultado congelado da entrega da defesa prévia.</t>
        </is>
      </c>
    </row>
    <row r="46">
      <c r="B46" s="122" t="inlineStr">
        <is>
          <t>Sem defesa</t>
        </is>
      </c>
      <c r="C46" s="123" t="inlineStr">
        <is>
          <t>DECISÃO D.P sem DATA DA DEFESA</t>
        </is>
      </c>
      <c r="D46" s="123" t="inlineStr">
        <is>
          <t>Processo seguiu para decisão sem defesa apresentada.</t>
        </is>
      </c>
    </row>
    <row r="47">
      <c r="B47" s="120" t="inlineStr">
        <is>
          <t>Em decisão</t>
        </is>
      </c>
      <c r="C47" s="121" t="inlineStr">
        <is>
          <t>STATUS = DECISÃO D.P</t>
        </is>
      </c>
      <c r="D47" s="121" t="inlineStr">
        <is>
          <t>Processo aguardando decisão; fora do controle de prazo.</t>
        </is>
      </c>
    </row>
    <row r="48">
      <c r="B48" s="122" t="inlineStr">
        <is>
          <t>Idade média</t>
        </is>
      </c>
      <c r="C48" s="123" t="inlineStr">
        <is>
          <t>Média de dias desde a fiscalização</t>
        </is>
      </c>
      <c r="D48" s="123" t="inlineStr">
        <is>
          <t>Mede o tempo de permanência dos processos na base.</t>
        </is>
      </c>
    </row>
    <row r="49">
      <c r="B49" s="120" t="inlineStr">
        <is>
          <t>Atingimento da meta</t>
        </is>
      </c>
      <c r="C49" s="121" t="inlineStr">
        <is>
          <t>Fiscalizações do mês ÷ meta mensal</t>
        </is>
      </c>
      <c r="D49" s="121" t="inlineStr">
        <is>
          <t>Meta definida na aba CADASTROS.</t>
        </is>
      </c>
    </row>
    <row r="50">
      <c r="B50" s="122" t="inlineStr">
        <is>
          <t>% equipe</t>
        </is>
      </c>
      <c r="C50" s="123" t="inlineStr">
        <is>
          <t>Processos do responsável ÷ total</t>
        </is>
      </c>
      <c r="D50" s="123" t="inlineStr">
        <is>
          <t>Equilíbrio da distribuição de carga.</t>
        </is>
      </c>
    </row>
    <row r="52" ht="22" customHeight="1">
      <c r="B52" s="118" t="inlineStr">
        <is>
          <t>5. OBSERVAÇÕES</t>
        </is>
      </c>
      <c r="C52" s="19" t="n"/>
      <c r="D52" s="19" t="n"/>
    </row>
    <row r="53" ht="30" customHeight="1">
      <c r="B53" s="124" t="inlineStr">
        <is>
          <t>• A planilha vem com 96 registros FICTÍCIOS de exemplo para demonstrar o painel. Para começar a usar, apague o conteúdo das colunas A–L e Q da aba PROCESSOS (não apague as colunas M–P, que contêm fórmulas).</t>
        </is>
      </c>
    </row>
    <row r="54" ht="30" customHeight="1">
      <c r="B54" s="124" t="inlineStr">
        <is>
          <t>• Os filtros (Responsável e Ano) ficam no topo do PAINEL e se aplicam também à aba GRÁFICOS.</t>
        </is>
      </c>
    </row>
    <row r="55" ht="30" customHeight="1">
      <c r="B55" s="124" t="inlineStr">
        <is>
          <t>• A tabela 'Carga por responsável' mostra sempre a equipe inteira, independentemente do filtro.</t>
        </is>
      </c>
    </row>
    <row r="56" ht="30" customHeight="1">
      <c r="B56" s="124" t="inlineStr">
        <is>
          <t>• Os indicadores usam a data de HOJE e são recalculados automaticamente ao abrir o arquivo.</t>
        </is>
      </c>
    </row>
    <row r="57" ht="30" customHeight="1">
      <c r="B57" s="124" t="inlineStr">
        <is>
          <t>• Ao colar dados de outra planilha, use 'Colar especial › Valores' para não remover as validações.</t>
        </is>
      </c>
    </row>
  </sheetData>
  <mergeCells count="21">
    <mergeCell ref="B14:D14"/>
    <mergeCell ref="B23:D23"/>
    <mergeCell ref="B57:D57"/>
    <mergeCell ref="B17:D17"/>
    <mergeCell ref="B13:D13"/>
    <mergeCell ref="B53:D53"/>
    <mergeCell ref="B19:D19"/>
    <mergeCell ref="B15:D15"/>
    <mergeCell ref="B55:D55"/>
    <mergeCell ref="B20:D20"/>
    <mergeCell ref="A1:D1"/>
    <mergeCell ref="B5:D5"/>
    <mergeCell ref="B54:D54"/>
    <mergeCell ref="B16:D16"/>
    <mergeCell ref="A3:D3"/>
    <mergeCell ref="B18:D18"/>
    <mergeCell ref="B56:D56"/>
    <mergeCell ref="B52:D52"/>
    <mergeCell ref="B21:D21"/>
    <mergeCell ref="A2:D2"/>
    <mergeCell ref="B39:D39"/>
  </mergeCells>
  <hyperlinks>
    <hyperlink xmlns:r="http://schemas.openxmlformats.org/officeDocument/2006/relationships" ref="B7" r:id="rId1"/>
    <hyperlink xmlns:r="http://schemas.openxmlformats.org/officeDocument/2006/relationships" ref="B8" r:id="rId2"/>
    <hyperlink xmlns:r="http://schemas.openxmlformats.org/officeDocument/2006/relationships" ref="B9" r:id="rId3"/>
    <hyperlink xmlns:r="http://schemas.openxmlformats.org/officeDocument/2006/relationships" ref="B10" r:id="rId4"/>
    <hyperlink xmlns:r="http://schemas.openxmlformats.org/officeDocument/2006/relationships" ref="B11" r:id="rId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1004"/>
  <sheetViews>
    <sheetView workbookViewId="0">
      <selection activeCell="A1" sqref="A1"/>
    </sheetView>
  </sheetViews>
  <sheetFormatPr baseColWidth="8" defaultRowHeight="15"/>
  <sheetData>
    <row r="1">
      <c r="A1" s="125" t="inlineStr">
        <is>
          <t>CÁLCULOS AUXILIARES — não editar (alimenta PAINEL e GRÁFICOS)</t>
        </is>
      </c>
    </row>
    <row r="3">
      <c r="B3" t="inlineStr">
        <is>
          <t>Critério responsável</t>
        </is>
      </c>
      <c r="C3" t="str">
        <f>IF(OR(FiltroResp="",FiltroResp="TODOS"),"&lt;&gt;§§",FiltroResp)</f>
        <v>&lt;&gt;§§</v>
      </c>
    </row>
    <row r="4">
      <c r="E4" t="inlineStr">
        <is>
          <t>Lista filtro resp.</t>
        </is>
      </c>
      <c r="G4" t="inlineStr">
        <is>
          <t>Anos</t>
        </is>
      </c>
      <c r="BF4" t="inlineStr">
        <is>
          <t>chave próx.</t>
        </is>
      </c>
      <c r="BG4" t="inlineStr">
        <is>
          <t>chave últ. fiscalização</t>
        </is>
      </c>
      <c r="BI4" t="inlineStr">
        <is>
          <t>k</t>
        </is>
      </c>
      <c r="BJ4" t="inlineStr">
        <is>
          <t>idx próx.</t>
        </is>
      </c>
      <c r="BK4" t="inlineStr">
        <is>
          <t>idx últ.</t>
        </is>
      </c>
    </row>
    <row r="5">
      <c r="E5" t="inlineStr">
        <is>
          <t>TODOS</t>
        </is>
      </c>
      <c r="G5" t="n">
        <v>2024</v>
      </c>
      <c r="I5" s="126" t="inlineStr">
        <is>
          <t>STATUS</t>
        </is>
      </c>
      <c r="L5" t="inlineStr">
        <is>
          <t>Nº</t>
        </is>
      </c>
      <c r="M5" t="inlineStr">
        <is>
          <t>Mês</t>
        </is>
      </c>
      <c r="N5" t="inlineStr">
        <is>
          <t>Fiscalizações</t>
        </is>
      </c>
      <c r="O5" t="inlineStr">
        <is>
          <t>Constatação</t>
        </is>
      </c>
      <c r="P5" t="inlineStr">
        <is>
          <t>Esclarecimento</t>
        </is>
      </c>
      <c r="Q5" t="inlineStr">
        <is>
          <t>Presencial</t>
        </is>
      </c>
      <c r="R5" t="inlineStr">
        <is>
          <t>Eletrônica</t>
        </is>
      </c>
      <c r="S5" t="inlineStr">
        <is>
          <t>Meta</t>
        </is>
      </c>
      <c r="T5" t="inlineStr">
        <is>
          <t>Realizado acumulado</t>
        </is>
      </c>
      <c r="U5" t="inlineStr">
        <is>
          <t>Meta acumulada</t>
        </is>
      </c>
      <c r="W5" t="inlineStr">
        <is>
          <t>Responsável</t>
        </is>
      </c>
      <c r="X5" t="inlineStr">
        <is>
          <t>Total</t>
        </is>
      </c>
      <c r="Y5" t="inlineStr">
        <is>
          <t>Prazo D.P</t>
        </is>
      </c>
      <c r="Z5" t="inlineStr">
        <is>
          <t>Decisão D.P</t>
        </is>
      </c>
      <c r="AA5" t="inlineStr">
        <is>
          <t>No prazo</t>
        </is>
      </c>
      <c r="AB5" t="inlineStr">
        <is>
          <t>Vence breve</t>
        </is>
      </c>
      <c r="AC5" t="inlineStr">
        <is>
          <t>Score</t>
        </is>
      </c>
      <c r="AE5" t="inlineStr">
        <is>
          <t>Pos.</t>
        </is>
      </c>
      <c r="AF5" t="inlineStr">
        <is>
          <t>Responsável</t>
        </is>
      </c>
      <c r="AG5" t="inlineStr">
        <is>
          <t>Total</t>
        </is>
      </c>
      <c r="AH5" t="inlineStr">
        <is>
          <t>Prazo D.P</t>
        </is>
      </c>
      <c r="AI5" t="inlineStr">
        <is>
          <t>Decisão D.P</t>
        </is>
      </c>
      <c r="AJ5" t="inlineStr">
        <is>
          <t>No prazo</t>
        </is>
      </c>
      <c r="AK5" t="inlineStr">
        <is>
          <t>Vence breve</t>
        </is>
      </c>
      <c r="AL5" t="inlineStr">
        <is>
          <t>% equipe</t>
        </is>
      </c>
      <c r="AM5" t="inlineStr">
        <is>
          <t>idx</t>
        </is>
      </c>
      <c r="AO5" t="inlineStr">
        <is>
          <t>Ramo</t>
        </is>
      </c>
      <c r="AP5" t="inlineStr">
        <is>
          <t>Total</t>
        </is>
      </c>
      <c r="AQ5" t="inlineStr">
        <is>
          <t>Constatação</t>
        </is>
      </c>
      <c r="AR5" t="inlineStr">
        <is>
          <t>Esclarecimento</t>
        </is>
      </c>
      <c r="AS5" t="inlineStr">
        <is>
          <t>Prazo D.P</t>
        </is>
      </c>
      <c r="AT5" t="inlineStr">
        <is>
          <t>Score</t>
        </is>
      </c>
      <c r="AV5" t="inlineStr">
        <is>
          <t>Pos.</t>
        </is>
      </c>
      <c r="AW5" t="inlineStr">
        <is>
          <t>Ramo</t>
        </is>
      </c>
      <c r="AX5" t="inlineStr">
        <is>
          <t>Total</t>
        </is>
      </c>
      <c r="AY5" t="inlineStr">
        <is>
          <t>Constatação</t>
        </is>
      </c>
      <c r="AZ5" t="inlineStr">
        <is>
          <t>Esclarecimento</t>
        </is>
      </c>
      <c r="BA5" t="inlineStr">
        <is>
          <t>Prazo D.P</t>
        </is>
      </c>
      <c r="BB5" t="inlineStr">
        <is>
          <t>%</t>
        </is>
      </c>
      <c r="BC5" t="inlineStr">
        <is>
          <t>idx</t>
        </is>
      </c>
      <c r="BF5" t="str">
        <f>IF(AND(OR(PROCESSOS!O5="NO PRAZO",PROCESSOS!O5="VENCE EM BREVE"),OR(FiltroResp="TODOS",FiltroResp="",PROCESSOS!H5=FiltroResp)),PROCESSOS!M5+ROW()/1000000,"")</f>
        <v/>
      </c>
      <c r="BG5">
        <f>IF(AND(PROCESSOS!B5&lt;&gt;"",ISNUMBER(PROCESSOS!D5),OR(FiltroResp="TODOS",FiltroResp="",PROCESSOS!H5=FiltroResp)),PROCESSOS!D5+ROW()/1000000,"")</f>
        <v>46088.000005</v>
      </c>
      <c r="BI5" t="n">
        <v>1</v>
      </c>
      <c r="BJ5">
        <f>IFERROR(MATCH(SMALL(hProx,BI5),hProx,0),"")</f>
        <v>85</v>
      </c>
      <c r="BK5">
        <f>IFERROR(MATCH(LARGE(hUlt,BI5),hUlt,0),"")</f>
        <v>96</v>
      </c>
    </row>
    <row r="6">
      <c r="E6" t="str">
        <f>IF(CADASTROS!$D$6="","",CADASTROS!$D$6)</f>
        <v>ANA PAULA SOUZA</v>
      </c>
      <c r="G6" t="n">
        <v>2025</v>
      </c>
      <c r="I6" t="inlineStr">
        <is>
          <t>Prazo D.P</t>
        </is>
      </c>
      <c r="J6">
        <f>COUNTIFS(rEmpresa,"&lt;&gt;",rResp,critResp,rStatus,"PRAZO D.P")</f>
        <v>24</v>
      </c>
      <c r="L6" t="n">
        <v>1</v>
      </c>
      <c r="M6" t="inlineStr">
        <is>
          <t>JAN</t>
        </is>
      </c>
      <c r="N6">
        <f>COUNTIFS(rEmpresa,"&lt;&gt;",rResp,critResp,rDataFisc,"&gt;="&amp;DATE(FiltroAno,L6,1),rDataFisc,"&lt;"&amp;DATE(FiltroAno,L6+1,1))</f>
        <v>0</v>
      </c>
      <c r="O6">
        <f>COUNTIFS(rEmpresa,"&lt;&gt;",rResp,critResp,rDataFisc,"&gt;="&amp;DATE(FiltroAno,L6,1),rDataFisc,"&lt;"&amp;DATE(FiltroAno,L6+1,1),rNotif,"NOTIFICAÇÃO DE CONSTATAÇÃO")</f>
        <v>0</v>
      </c>
      <c r="P6">
        <f>COUNTIFS(rEmpresa,"&lt;&gt;",rResp,critResp,rDataFisc,"&gt;="&amp;DATE(FiltroAno,L6,1),rDataFisc,"&lt;"&amp;DATE(FiltroAno,L6+1,1),rNotif,"NOTIFICAÇÃO DE ESCLARECIMENTO")</f>
        <v>0</v>
      </c>
      <c r="Q6">
        <f>COUNTIFS(rEmpresa,"&lt;&gt;",rResp,critResp,rDataFisc,"&gt;="&amp;DATE(FiltroAno,L6,1),rDataFisc,"&lt;"&amp;DATE(FiltroAno,L6+1,1),rTipo,"PRESENCIAL")</f>
        <v>0</v>
      </c>
      <c r="R6">
        <f>COUNTIFS(rEmpresa,"&lt;&gt;",rResp,critResp,rDataFisc,"&gt;="&amp;DATE(FiltroAno,L6,1),rDataFisc,"&lt;"&amp;DATE(FiltroAno,L6+1,1),rTipo,"ELETRÔNICA")</f>
        <v>0</v>
      </c>
      <c r="S6">
        <f>MetaMensal</f>
        <v>12</v>
      </c>
      <c r="T6">
        <f>SUM($N$6:N6)</f>
        <v>0</v>
      </c>
      <c r="U6">
        <f>SUM($S$6:S6)</f>
        <v>12</v>
      </c>
      <c r="W6" t="str">
        <f>IF(CADASTROS!$D$6="","",CADASTROS!$D$6)</f>
        <v>ANA PAULA SOUZA</v>
      </c>
      <c r="X6">
        <f>IF(W6="",0,COUNTIFS(rResp,W6,rEmpresa,"&lt;&gt;"))</f>
        <v>12</v>
      </c>
      <c r="Y6">
        <f>IF(W6="",0,COUNTIFS(rResp,W6,rEmpresa,"&lt;&gt;",rStatus,"PRAZO D.P"))</f>
        <v>2</v>
      </c>
      <c r="Z6">
        <f>IF(W6="",0,COUNTIFS(rResp,W6,rEmpresa,"&lt;&gt;",rStatus,"DECISÃO D.P"))</f>
        <v>10</v>
      </c>
      <c r="AA6">
        <f>IF(W6="",0,COUNTIFS(rResp,W6,rEmpresa,"&lt;&gt;",rSit,"NO PRAZO"))</f>
        <v>0</v>
      </c>
      <c r="AB6">
        <f>IF(W6="",0,COUNTIFS(rResp,W6,rEmpresa,"&lt;&gt;",rSit,"VENCE EM BREVE"))</f>
        <v>1</v>
      </c>
      <c r="AC6">
        <f>IF(W6="",-1,X6+(100-ROW())/1000)</f>
        <v>12.094</v>
      </c>
      <c r="AE6" t="n">
        <v>1</v>
      </c>
      <c r="AF6" t="str">
        <f>IF(AM6="","",INDEX($W$6:$W$20,AM6))</f>
        <v>DIEGO RIBEIRO</v>
      </c>
      <c r="AG6">
        <f>IF(AM6="","",INDEX($X$6:$X$20,AM6))</f>
        <v>17</v>
      </c>
      <c r="AH6">
        <f>IF(AM6="","",INDEX($Y$6:$Y$20,AM6))</f>
        <v>4</v>
      </c>
      <c r="AI6">
        <f>IF(AM6="","",INDEX($Z$6:$Z$20,AM6))</f>
        <v>13</v>
      </c>
      <c r="AJ6">
        <f>IF(AM6="","",INDEX($AA$6:$AA$20,AM6))</f>
        <v>0</v>
      </c>
      <c r="AK6">
        <f>IF(AM6="","",INDEX($AB$6:$AB$20,AM6))</f>
        <v>0</v>
      </c>
      <c r="AL6">
        <f>IF(AM6="","",IFERROR(AG6/SUM($X$6:$X$20),0))</f>
        <v>0.177083333333333</v>
      </c>
      <c r="AM6">
        <f>IF(LARGE($AC$6:$AC$20,AE6)&lt;0,"",MATCH(LARGE($AC$6:$AC$20,AE6),$AC$6:$AC$20,0))</f>
        <v>4</v>
      </c>
      <c r="AO6" t="str">
        <f>IF(CADASTROS!$B$6="","",CADASTROS!$B$6)</f>
        <v>LOJA</v>
      </c>
      <c r="AP6">
        <f>IF(AO6="",0,COUNTIFS(rEmpresa,"&lt;&gt;",rResp,critResp,rRamo,AO6))</f>
        <v>10</v>
      </c>
      <c r="AQ6">
        <f>IF(AO6="",0,COUNTIFS(rEmpresa,"&lt;&gt;",rResp,critResp,rRamo,AO6,rNotif,"NOTIFICAÇÃO DE CONSTATAÇÃO"))</f>
        <v>6</v>
      </c>
      <c r="AR6">
        <f>IF(AO6="",0,COUNTIFS(rEmpresa,"&lt;&gt;",rResp,critResp,rRamo,AO6,rNotif,"NOTIFICAÇÃO DE ESCLARECIMENTO"))</f>
        <v>4</v>
      </c>
      <c r="AS6">
        <f>IF(AO6="",0,COUNTIFS(rEmpresa,"&lt;&gt;",rResp,critResp,rRamo,AO6,rStatus,"PRAZO D.P"))</f>
        <v>4</v>
      </c>
      <c r="AT6">
        <f>IF(AO6="",-1,AP6+(100-ROW())/1000)</f>
        <v>10.094</v>
      </c>
      <c r="AV6" t="n">
        <v>1</v>
      </c>
      <c r="AW6" t="str">
        <f>IF(BC6="","",INDEX($AO$6:$AO$35,BC6))</f>
        <v>RESTAURANTE</v>
      </c>
      <c r="AX6">
        <f>IF(BC6="","",INDEX($AP$6:$AP$35,BC6))</f>
        <v>11</v>
      </c>
      <c r="AY6">
        <f>IF(BC6="","",INDEX($AQ$6:$AQ$35,BC6))</f>
        <v>8</v>
      </c>
      <c r="AZ6">
        <f>IF(BC6="","",INDEX($AR$6:$AR$35,BC6))</f>
        <v>3</v>
      </c>
      <c r="BA6">
        <f>IF(BC6="","",INDEX($AS$6:$AS$35,BC6))</f>
        <v>2</v>
      </c>
      <c r="BB6">
        <f>IF(BC6="","",IFERROR(AX6/SUM($AP$6:$AP$35),0))</f>
        <v>0.114583333333333</v>
      </c>
      <c r="BC6">
        <f>IF(LARGE($AT$6:$AT$35,AV6)&lt;0,"",MATCH(LARGE($AT$6:$AT$35,AV6),$AT$6:$AT$35,0))</f>
        <v>6</v>
      </c>
      <c r="BF6" t="str">
        <f>IF(AND(OR(PROCESSOS!O6="NO PRAZO",PROCESSOS!O6="VENCE EM BREVE"),OR(FiltroResp="TODOS",FiltroResp="",PROCESSOS!H6=FiltroResp)),PROCESSOS!M6+ROW()/1000000,"")</f>
        <v/>
      </c>
      <c r="BG6">
        <f>IF(AND(PROCESSOS!B6&lt;&gt;"",ISNUMBER(PROCESSOS!D6),OR(FiltroResp="TODOS",FiltroResp="",PROCESSOS!H6=FiltroResp)),PROCESSOS!D6+ROW()/1000000,"")</f>
        <v>46096.00000599537</v>
      </c>
      <c r="BI6" t="n">
        <v>2</v>
      </c>
      <c r="BJ6">
        <f>IFERROR(MATCH(SMALL(hProx,BI6),hProx,0),"")</f>
        <v>87</v>
      </c>
      <c r="BK6">
        <f>IFERROR(MATCH(LARGE(hUlt,BI6),hUlt,0),"")</f>
        <v>95</v>
      </c>
    </row>
    <row r="7">
      <c r="E7" t="str">
        <f>IF(CADASTROS!$D$7="","",CADASTROS!$D$7)</f>
        <v>BRUNO CARVALHO</v>
      </c>
      <c r="G7" t="n">
        <v>2026</v>
      </c>
      <c r="I7" t="inlineStr">
        <is>
          <t>Decisão D.P</t>
        </is>
      </c>
      <c r="J7">
        <f>COUNTIFS(rEmpresa,"&lt;&gt;",rResp,critResp,rStatus,"DECISÃO D.P")</f>
        <v>72</v>
      </c>
      <c r="L7" t="n">
        <v>2</v>
      </c>
      <c r="M7" t="inlineStr">
        <is>
          <t>FEV</t>
        </is>
      </c>
      <c r="N7">
        <f>COUNTIFS(rEmpresa,"&lt;&gt;",rResp,critResp,rDataFisc,"&gt;="&amp;DATE(FiltroAno,L7,1),rDataFisc,"&lt;"&amp;DATE(FiltroAno,L7+1,1))</f>
        <v>0</v>
      </c>
      <c r="O7">
        <f>COUNTIFS(rEmpresa,"&lt;&gt;",rResp,critResp,rDataFisc,"&gt;="&amp;DATE(FiltroAno,L7,1),rDataFisc,"&lt;"&amp;DATE(FiltroAno,L7+1,1),rNotif,"NOTIFICAÇÃO DE CONSTATAÇÃO")</f>
        <v>0</v>
      </c>
      <c r="P7">
        <f>COUNTIFS(rEmpresa,"&lt;&gt;",rResp,critResp,rDataFisc,"&gt;="&amp;DATE(FiltroAno,L7,1),rDataFisc,"&lt;"&amp;DATE(FiltroAno,L7+1,1),rNotif,"NOTIFICAÇÃO DE ESCLARECIMENTO")</f>
        <v>0</v>
      </c>
      <c r="Q7">
        <f>COUNTIFS(rEmpresa,"&lt;&gt;",rResp,critResp,rDataFisc,"&gt;="&amp;DATE(FiltroAno,L7,1),rDataFisc,"&lt;"&amp;DATE(FiltroAno,L7+1,1),rTipo,"PRESENCIAL")</f>
        <v>0</v>
      </c>
      <c r="R7">
        <f>COUNTIFS(rEmpresa,"&lt;&gt;",rResp,critResp,rDataFisc,"&gt;="&amp;DATE(FiltroAno,L7,1),rDataFisc,"&lt;"&amp;DATE(FiltroAno,L7+1,1),rTipo,"ELETRÔNICA")</f>
        <v>0</v>
      </c>
      <c r="S7">
        <f>MetaMensal</f>
        <v>12</v>
      </c>
      <c r="T7">
        <f>SUM($N$6:N7)</f>
        <v>0</v>
      </c>
      <c r="U7">
        <f>SUM($S$6:S7)</f>
        <v>24</v>
      </c>
      <c r="W7" t="str">
        <f>IF(CADASTROS!$D$7="","",CADASTROS!$D$7)</f>
        <v>BRUNO CARVALHO</v>
      </c>
      <c r="X7">
        <f>IF(W7="",0,COUNTIFS(rResp,W7,rEmpresa,"&lt;&gt;"))</f>
        <v>12</v>
      </c>
      <c r="Y7">
        <f>IF(W7="",0,COUNTIFS(rResp,W7,rEmpresa,"&lt;&gt;",rStatus,"PRAZO D.P"))</f>
        <v>4</v>
      </c>
      <c r="Z7">
        <f>IF(W7="",0,COUNTIFS(rResp,W7,rEmpresa,"&lt;&gt;",rStatus,"DECISÃO D.P"))</f>
        <v>8</v>
      </c>
      <c r="AA7">
        <f>IF(W7="",0,COUNTIFS(rResp,W7,rEmpresa,"&lt;&gt;",rSit,"NO PRAZO"))</f>
        <v>1</v>
      </c>
      <c r="AB7">
        <f>IF(W7="",0,COUNTIFS(rResp,W7,rEmpresa,"&lt;&gt;",rSit,"VENCE EM BREVE"))</f>
        <v>0</v>
      </c>
      <c r="AC7">
        <f>IF(W7="",-1,X7+(100-ROW())/1000)</f>
        <v>12.093</v>
      </c>
      <c r="AE7" t="n">
        <v>2</v>
      </c>
      <c r="AF7" t="str">
        <f>IF(AM7="","",INDEX($W$6:$W$20,AM7))</f>
        <v>CARLA MENDES</v>
      </c>
      <c r="AG7">
        <f>IF(AM7="","",INDEX($X$6:$X$20,AM7))</f>
        <v>14</v>
      </c>
      <c r="AH7">
        <f>IF(AM7="","",INDEX($Y$6:$Y$20,AM7))</f>
        <v>2</v>
      </c>
      <c r="AI7">
        <f>IF(AM7="","",INDEX($Z$6:$Z$20,AM7))</f>
        <v>12</v>
      </c>
      <c r="AJ7">
        <f>IF(AM7="","",INDEX($AA$6:$AA$20,AM7))</f>
        <v>1</v>
      </c>
      <c r="AK7">
        <f>IF(AM7="","",INDEX($AB$6:$AB$20,AM7))</f>
        <v>0</v>
      </c>
      <c r="AL7">
        <f>IF(AM7="","",IFERROR(AG7/SUM($X$6:$X$20),0))</f>
        <v>0.145833333333333</v>
      </c>
      <c r="AM7">
        <f>IF(LARGE($AC$6:$AC$20,AE7)&lt;0,"",MATCH(LARGE($AC$6:$AC$20,AE7),$AC$6:$AC$20,0))</f>
        <v>3</v>
      </c>
      <c r="AO7" t="str">
        <f>IF(CADASTROS!$B$7="","",CADASTROS!$B$7)</f>
        <v>POSTO DE COMBUSTÍVEL</v>
      </c>
      <c r="AP7">
        <f>IF(AO7="",0,COUNTIFS(rEmpresa,"&lt;&gt;",rResp,critResp,rRamo,AO7))</f>
        <v>10</v>
      </c>
      <c r="AQ7">
        <f>IF(AO7="",0,COUNTIFS(rEmpresa,"&lt;&gt;",rResp,critResp,rRamo,AO7,rNotif,"NOTIFICAÇÃO DE CONSTATAÇÃO"))</f>
        <v>4</v>
      </c>
      <c r="AR7">
        <f>IF(AO7="",0,COUNTIFS(rEmpresa,"&lt;&gt;",rResp,critResp,rRamo,AO7,rNotif,"NOTIFICAÇÃO DE ESCLARECIMENTO"))</f>
        <v>6</v>
      </c>
      <c r="AS7">
        <f>IF(AO7="",0,COUNTIFS(rEmpresa,"&lt;&gt;",rResp,critResp,rRamo,AO7,rStatus,"PRAZO D.P"))</f>
        <v>2</v>
      </c>
      <c r="AT7">
        <f>IF(AO7="",-1,AP7+(100-ROW())/1000)</f>
        <v>10.093</v>
      </c>
      <c r="AV7" t="n">
        <v>2</v>
      </c>
      <c r="AW7" t="str">
        <f>IF(BC7="","",INDEX($AO$6:$AO$35,BC7))</f>
        <v>LOJA</v>
      </c>
      <c r="AX7">
        <f>IF(BC7="","",INDEX($AP$6:$AP$35,BC7))</f>
        <v>10</v>
      </c>
      <c r="AY7">
        <f>IF(BC7="","",INDEX($AQ$6:$AQ$35,BC7))</f>
        <v>6</v>
      </c>
      <c r="AZ7">
        <f>IF(BC7="","",INDEX($AR$6:$AR$35,BC7))</f>
        <v>4</v>
      </c>
      <c r="BA7">
        <f>IF(BC7="","",INDEX($AS$6:$AS$35,BC7))</f>
        <v>4</v>
      </c>
      <c r="BB7">
        <f>IF(BC7="","",IFERROR(AX7/SUM($AP$6:$AP$35),0))</f>
        <v>0.104166666666667</v>
      </c>
      <c r="BC7">
        <f>IF(LARGE($AT$6:$AT$35,AV7)&lt;0,"",MATCH(LARGE($AT$6:$AT$35,AV7),$AT$6:$AT$35,0))</f>
        <v>1</v>
      </c>
      <c r="BF7" t="str">
        <f>IF(AND(OR(PROCESSOS!O7="NO PRAZO",PROCESSOS!O7="VENCE EM BREVE"),OR(FiltroResp="TODOS",FiltroResp="",PROCESSOS!H7=FiltroResp)),PROCESSOS!M7+ROW()/1000000,"")</f>
        <v/>
      </c>
      <c r="BG7">
        <f>IF(AND(PROCESSOS!B7&lt;&gt;"",ISNUMBER(PROCESSOS!D7),OR(FiltroResp="TODOS",FiltroResp="",PROCESSOS!H7=FiltroResp)),PROCESSOS!D7+ROW()/1000000,"")</f>
        <v>46099.000007002316</v>
      </c>
      <c r="BI7" t="n">
        <v>3</v>
      </c>
      <c r="BJ7">
        <f>IFERROR(MATCH(SMALL(hProx,BI7),hProx,0),"")</f>
        <v>84</v>
      </c>
      <c r="BK7">
        <f>IFERROR(MATCH(LARGE(hUlt,BI7),hUlt,0),"")</f>
        <v>94</v>
      </c>
    </row>
    <row r="8">
      <c r="E8" t="str">
        <f>IF(CADASTROS!$D$8="","",CADASTROS!$D$8)</f>
        <v>CARLA MENDES</v>
      </c>
      <c r="G8" t="n">
        <v>2027</v>
      </c>
      <c r="L8" t="n">
        <v>3</v>
      </c>
      <c r="M8" t="inlineStr">
        <is>
          <t>MAR</t>
        </is>
      </c>
      <c r="N8">
        <f>COUNTIFS(rEmpresa,"&lt;&gt;",rResp,critResp,rDataFisc,"&gt;="&amp;DATE(FiltroAno,L8,1),rDataFisc,"&lt;"&amp;DATE(FiltroAno,L8+1,1))</f>
        <v>7</v>
      </c>
      <c r="O8">
        <f>COUNTIFS(rEmpresa,"&lt;&gt;",rResp,critResp,rDataFisc,"&gt;="&amp;DATE(FiltroAno,L8,1),rDataFisc,"&lt;"&amp;DATE(FiltroAno,L8+1,1),rNotif,"NOTIFICAÇÃO DE CONSTATAÇÃO")</f>
        <v>4</v>
      </c>
      <c r="P8">
        <f>COUNTIFS(rEmpresa,"&lt;&gt;",rResp,critResp,rDataFisc,"&gt;="&amp;DATE(FiltroAno,L8,1),rDataFisc,"&lt;"&amp;DATE(FiltroAno,L8+1,1),rNotif,"NOTIFICAÇÃO DE ESCLARECIMENTO")</f>
        <v>3</v>
      </c>
      <c r="Q8">
        <f>COUNTIFS(rEmpresa,"&lt;&gt;",rResp,critResp,rDataFisc,"&gt;="&amp;DATE(FiltroAno,L8,1),rDataFisc,"&lt;"&amp;DATE(FiltroAno,L8+1,1),rTipo,"PRESENCIAL")</f>
        <v>5</v>
      </c>
      <c r="R8">
        <f>COUNTIFS(rEmpresa,"&lt;&gt;",rResp,critResp,rDataFisc,"&gt;="&amp;DATE(FiltroAno,L8,1),rDataFisc,"&lt;"&amp;DATE(FiltroAno,L8+1,1),rTipo,"ELETRÔNICA")</f>
        <v>2</v>
      </c>
      <c r="S8">
        <f>MetaMensal</f>
        <v>12</v>
      </c>
      <c r="T8">
        <f>SUM($N$6:N8)</f>
        <v>7</v>
      </c>
      <c r="U8">
        <f>SUM($S$6:S8)</f>
        <v>36</v>
      </c>
      <c r="W8" t="str">
        <f>IF(CADASTROS!$D$8="","",CADASTROS!$D$8)</f>
        <v>CARLA MENDES</v>
      </c>
      <c r="X8">
        <f>IF(W8="",0,COUNTIFS(rResp,W8,rEmpresa,"&lt;&gt;"))</f>
        <v>14</v>
      </c>
      <c r="Y8">
        <f>IF(W8="",0,COUNTIFS(rResp,W8,rEmpresa,"&lt;&gt;",rStatus,"PRAZO D.P"))</f>
        <v>2</v>
      </c>
      <c r="Z8">
        <f>IF(W8="",0,COUNTIFS(rResp,W8,rEmpresa,"&lt;&gt;",rStatus,"DECISÃO D.P"))</f>
        <v>12</v>
      </c>
      <c r="AA8">
        <f>IF(W8="",0,COUNTIFS(rResp,W8,rEmpresa,"&lt;&gt;",rSit,"NO PRAZO"))</f>
        <v>1</v>
      </c>
      <c r="AB8">
        <f>IF(W8="",0,COUNTIFS(rResp,W8,rEmpresa,"&lt;&gt;",rSit,"VENCE EM BREVE"))</f>
        <v>0</v>
      </c>
      <c r="AC8">
        <f>IF(W8="",-1,X8+(100-ROW())/1000)</f>
        <v>14.092</v>
      </c>
      <c r="AE8" t="n">
        <v>3</v>
      </c>
      <c r="AF8" t="str">
        <f>IF(AM8="","",INDEX($W$6:$W$20,AM8))</f>
        <v>ANA PAULA SOUZA</v>
      </c>
      <c r="AG8">
        <f>IF(AM8="","",INDEX($X$6:$X$20,AM8))</f>
        <v>12</v>
      </c>
      <c r="AH8">
        <f>IF(AM8="","",INDEX($Y$6:$Y$20,AM8))</f>
        <v>2</v>
      </c>
      <c r="AI8">
        <f>IF(AM8="","",INDEX($Z$6:$Z$20,AM8))</f>
        <v>10</v>
      </c>
      <c r="AJ8">
        <f>IF(AM8="","",INDEX($AA$6:$AA$20,AM8))</f>
        <v>0</v>
      </c>
      <c r="AK8">
        <f>IF(AM8="","",INDEX($AB$6:$AB$20,AM8))</f>
        <v>1</v>
      </c>
      <c r="AL8">
        <f>IF(AM8="","",IFERROR(AG8/SUM($X$6:$X$20),0))</f>
        <v>0.125</v>
      </c>
      <c r="AM8">
        <f>IF(LARGE($AC$6:$AC$20,AE8)&lt;0,"",MATCH(LARGE($AC$6:$AC$20,AE8),$AC$6:$AC$20,0))</f>
        <v>1</v>
      </c>
      <c r="AO8" t="str">
        <f>IF(CADASTROS!$B$8="","",CADASTROS!$B$8)</f>
        <v>SAÚDE</v>
      </c>
      <c r="AP8">
        <f>IF(AO8="",0,COUNTIFS(rEmpresa,"&lt;&gt;",rResp,critResp,rRamo,AO8))</f>
        <v>6</v>
      </c>
      <c r="AQ8">
        <f>IF(AO8="",0,COUNTIFS(rEmpresa,"&lt;&gt;",rResp,critResp,rRamo,AO8,rNotif,"NOTIFICAÇÃO DE CONSTATAÇÃO"))</f>
        <v>3</v>
      </c>
      <c r="AR8">
        <f>IF(AO8="",0,COUNTIFS(rEmpresa,"&lt;&gt;",rResp,critResp,rRamo,AO8,rNotif,"NOTIFICAÇÃO DE ESCLARECIMENTO"))</f>
        <v>3</v>
      </c>
      <c r="AS8">
        <f>IF(AO8="",0,COUNTIFS(rEmpresa,"&lt;&gt;",rResp,critResp,rRamo,AO8,rStatus,"PRAZO D.P"))</f>
        <v>3</v>
      </c>
      <c r="AT8">
        <f>IF(AO8="",-1,AP8+(100-ROW())/1000)</f>
        <v>6.092</v>
      </c>
      <c r="AV8" t="n">
        <v>3</v>
      </c>
      <c r="AW8" t="str">
        <f>IF(BC8="","",INDEX($AO$6:$AO$35,BC8))</f>
        <v>POSTO DE COMBUSTÍVEL</v>
      </c>
      <c r="AX8">
        <f>IF(BC8="","",INDEX($AP$6:$AP$35,BC8))</f>
        <v>10</v>
      </c>
      <c r="AY8">
        <f>IF(BC8="","",INDEX($AQ$6:$AQ$35,BC8))</f>
        <v>4</v>
      </c>
      <c r="AZ8">
        <f>IF(BC8="","",INDEX($AR$6:$AR$35,BC8))</f>
        <v>6</v>
      </c>
      <c r="BA8">
        <f>IF(BC8="","",INDEX($AS$6:$AS$35,BC8))</f>
        <v>2</v>
      </c>
      <c r="BB8">
        <f>IF(BC8="","",IFERROR(AX8/SUM($AP$6:$AP$35),0))</f>
        <v>0.104166666666667</v>
      </c>
      <c r="BC8">
        <f>IF(LARGE($AT$6:$AT$35,AV8)&lt;0,"",MATCH(LARGE($AT$6:$AT$35,AV8),$AT$6:$AT$35,0))</f>
        <v>2</v>
      </c>
      <c r="BF8" t="str">
        <f>IF(AND(OR(PROCESSOS!O8="NO PRAZO",PROCESSOS!O8="VENCE EM BREVE"),OR(FiltroResp="TODOS",FiltroResp="",PROCESSOS!H8=FiltroResp)),PROCESSOS!M8+ROW()/1000000,"")</f>
        <v/>
      </c>
      <c r="BG8">
        <f>IF(AND(PROCESSOS!B8&lt;&gt;"",ISNUMBER(PROCESSOS!D8),OR(FiltroResp="TODOS",FiltroResp="",PROCESSOS!H8=FiltroResp)),PROCESSOS!D8+ROW()/1000000,"")</f>
        <v>46100.00000799768</v>
      </c>
      <c r="BI8" t="n">
        <v>4</v>
      </c>
      <c r="BJ8">
        <f>IFERROR(MATCH(SMALL(hProx,BI8),hProx,0),"")</f>
        <v>91</v>
      </c>
      <c r="BK8">
        <f>IFERROR(MATCH(LARGE(hUlt,BI8),hUlt,0),"")</f>
        <v>93</v>
      </c>
    </row>
    <row r="9">
      <c r="E9" t="str">
        <f>IF(CADASTROS!$D$9="","",CADASTROS!$D$9)</f>
        <v>DIEGO RIBEIRO</v>
      </c>
      <c r="G9" t="n">
        <v>2028</v>
      </c>
      <c r="L9" t="n">
        <v>4</v>
      </c>
      <c r="M9" t="inlineStr">
        <is>
          <t>ABR</t>
        </is>
      </c>
      <c r="N9">
        <f>COUNTIFS(rEmpresa,"&lt;&gt;",rResp,critResp,rDataFisc,"&gt;="&amp;DATE(FiltroAno,L9,1),rDataFisc,"&lt;"&amp;DATE(FiltroAno,L9+1,1))</f>
        <v>9</v>
      </c>
      <c r="O9">
        <f>COUNTIFS(rEmpresa,"&lt;&gt;",rResp,critResp,rDataFisc,"&gt;="&amp;DATE(FiltroAno,L9,1),rDataFisc,"&lt;"&amp;DATE(FiltroAno,L9+1,1),rNotif,"NOTIFICAÇÃO DE CONSTATAÇÃO")</f>
        <v>6</v>
      </c>
      <c r="P9">
        <f>COUNTIFS(rEmpresa,"&lt;&gt;",rResp,critResp,rDataFisc,"&gt;="&amp;DATE(FiltroAno,L9,1),rDataFisc,"&lt;"&amp;DATE(FiltroAno,L9+1,1),rNotif,"NOTIFICAÇÃO DE ESCLARECIMENTO")</f>
        <v>3</v>
      </c>
      <c r="Q9">
        <f>COUNTIFS(rEmpresa,"&lt;&gt;",rResp,critResp,rDataFisc,"&gt;="&amp;DATE(FiltroAno,L9,1),rDataFisc,"&lt;"&amp;DATE(FiltroAno,L9+1,1),rTipo,"PRESENCIAL")</f>
        <v>6</v>
      </c>
      <c r="R9">
        <f>COUNTIFS(rEmpresa,"&lt;&gt;",rResp,critResp,rDataFisc,"&gt;="&amp;DATE(FiltroAno,L9,1),rDataFisc,"&lt;"&amp;DATE(FiltroAno,L9+1,1),rTipo,"ELETRÔNICA")</f>
        <v>3</v>
      </c>
      <c r="S9">
        <f>MetaMensal</f>
        <v>12</v>
      </c>
      <c r="T9">
        <f>SUM($N$6:N9)</f>
        <v>16</v>
      </c>
      <c r="U9">
        <f>SUM($S$6:S9)</f>
        <v>48</v>
      </c>
      <c r="W9" t="str">
        <f>IF(CADASTROS!$D$9="","",CADASTROS!$D$9)</f>
        <v>DIEGO RIBEIRO</v>
      </c>
      <c r="X9">
        <f>IF(W9="",0,COUNTIFS(rResp,W9,rEmpresa,"&lt;&gt;"))</f>
        <v>17</v>
      </c>
      <c r="Y9">
        <f>IF(W9="",0,COUNTIFS(rResp,W9,rEmpresa,"&lt;&gt;",rStatus,"PRAZO D.P"))</f>
        <v>4</v>
      </c>
      <c r="Z9">
        <f>IF(W9="",0,COUNTIFS(rResp,W9,rEmpresa,"&lt;&gt;",rStatus,"DECISÃO D.P"))</f>
        <v>13</v>
      </c>
      <c r="AA9">
        <f>IF(W9="",0,COUNTIFS(rResp,W9,rEmpresa,"&lt;&gt;",rSit,"NO PRAZO"))</f>
        <v>0</v>
      </c>
      <c r="AB9">
        <f>IF(W9="",0,COUNTIFS(rResp,W9,rEmpresa,"&lt;&gt;",rSit,"VENCE EM BREVE"))</f>
        <v>0</v>
      </c>
      <c r="AC9">
        <f>IF(W9="",-1,X9+(100-ROW())/1000)</f>
        <v>17.091</v>
      </c>
      <c r="AE9" t="n">
        <v>4</v>
      </c>
      <c r="AF9" t="str">
        <f>IF(AM9="","",INDEX($W$6:$W$20,AM9))</f>
        <v>BRUNO CARVALHO</v>
      </c>
      <c r="AG9">
        <f>IF(AM9="","",INDEX($X$6:$X$20,AM9))</f>
        <v>12</v>
      </c>
      <c r="AH9">
        <f>IF(AM9="","",INDEX($Y$6:$Y$20,AM9))</f>
        <v>4</v>
      </c>
      <c r="AI9">
        <f>IF(AM9="","",INDEX($Z$6:$Z$20,AM9))</f>
        <v>8</v>
      </c>
      <c r="AJ9">
        <f>IF(AM9="","",INDEX($AA$6:$AA$20,AM9))</f>
        <v>1</v>
      </c>
      <c r="AK9">
        <f>IF(AM9="","",INDEX($AB$6:$AB$20,AM9))</f>
        <v>0</v>
      </c>
      <c r="AL9">
        <f>IF(AM9="","",IFERROR(AG9/SUM($X$6:$X$20),0))</f>
        <v>0.125</v>
      </c>
      <c r="AM9">
        <f>IF(LARGE($AC$6:$AC$20,AE9)&lt;0,"",MATCH(LARGE($AC$6:$AC$20,AE9),$AC$6:$AC$20,0))</f>
        <v>2</v>
      </c>
      <c r="AO9" t="str">
        <f>IF(CADASTROS!$B$9="","",CADASTROS!$B$9)</f>
        <v>ACADEMIA</v>
      </c>
      <c r="AP9">
        <f>IF(AO9="",0,COUNTIFS(rEmpresa,"&lt;&gt;",rResp,critResp,rRamo,AO9))</f>
        <v>10</v>
      </c>
      <c r="AQ9">
        <f>IF(AO9="",0,COUNTIFS(rEmpresa,"&lt;&gt;",rResp,critResp,rRamo,AO9,rNotif,"NOTIFICAÇÃO DE CONSTATAÇÃO"))</f>
        <v>3</v>
      </c>
      <c r="AR9">
        <f>IF(AO9="",0,COUNTIFS(rEmpresa,"&lt;&gt;",rResp,critResp,rRamo,AO9,rNotif,"NOTIFICAÇÃO DE ESCLARECIMENTO"))</f>
        <v>7</v>
      </c>
      <c r="AS9">
        <f>IF(AO9="",0,COUNTIFS(rEmpresa,"&lt;&gt;",rResp,critResp,rRamo,AO9,rStatus,"PRAZO D.P"))</f>
        <v>2</v>
      </c>
      <c r="AT9">
        <f>IF(AO9="",-1,AP9+(100-ROW())/1000)</f>
        <v>10.091</v>
      </c>
      <c r="AV9" t="n">
        <v>4</v>
      </c>
      <c r="AW9" t="str">
        <f>IF(BC9="","",INDEX($AO$6:$AO$35,BC9))</f>
        <v>ACADEMIA</v>
      </c>
      <c r="AX9">
        <f>IF(BC9="","",INDEX($AP$6:$AP$35,BC9))</f>
        <v>10</v>
      </c>
      <c r="AY9">
        <f>IF(BC9="","",INDEX($AQ$6:$AQ$35,BC9))</f>
        <v>3</v>
      </c>
      <c r="AZ9">
        <f>IF(BC9="","",INDEX($AR$6:$AR$35,BC9))</f>
        <v>7</v>
      </c>
      <c r="BA9">
        <f>IF(BC9="","",INDEX($AS$6:$AS$35,BC9))</f>
        <v>2</v>
      </c>
      <c r="BB9">
        <f>IF(BC9="","",IFERROR(AX9/SUM($AP$6:$AP$35),0))</f>
        <v>0.104166666666667</v>
      </c>
      <c r="BC9">
        <f>IF(LARGE($AT$6:$AT$35,AV9)&lt;0,"",MATCH(LARGE($AT$6:$AT$35,AV9),$AT$6:$AT$35,0))</f>
        <v>4</v>
      </c>
      <c r="BF9" t="str">
        <f>IF(AND(OR(PROCESSOS!O9="NO PRAZO",PROCESSOS!O9="VENCE EM BREVE"),OR(FiltroResp="TODOS",FiltroResp="",PROCESSOS!H9=FiltroResp)),PROCESSOS!M9+ROW()/1000000,"")</f>
        <v/>
      </c>
      <c r="BG9">
        <f>IF(AND(PROCESSOS!B9&lt;&gt;"",ISNUMBER(PROCESSOS!D9),OR(FiltroResp="TODOS",FiltroResp="",PROCESSOS!H9=FiltroResp)),PROCESSOS!D9+ROW()/1000000,"")</f>
        <v>46102.00000900463</v>
      </c>
      <c r="BI9" t="n">
        <v>5</v>
      </c>
      <c r="BJ9">
        <f>IFERROR(MATCH(SMALL(hProx,BI9),hProx,0),"")</f>
        <v>93</v>
      </c>
      <c r="BK9">
        <f>IFERROR(MATCH(LARGE(hUlt,BI9),hUlt,0),"")</f>
        <v>92</v>
      </c>
    </row>
    <row r="10">
      <c r="E10" t="str">
        <f>IF(CADASTROS!$D$10="","",CADASTROS!$D$10)</f>
        <v>EDUARDA LIMA</v>
      </c>
      <c r="G10" t="n">
        <v>2029</v>
      </c>
      <c r="I10" s="126" t="inlineStr">
        <is>
          <t>SITUAÇÃO</t>
        </is>
      </c>
      <c r="L10" t="n">
        <v>5</v>
      </c>
      <c r="M10" t="inlineStr">
        <is>
          <t>MAI</t>
        </is>
      </c>
      <c r="N10">
        <f>COUNTIFS(rEmpresa,"&lt;&gt;",rResp,critResp,rDataFisc,"&gt;="&amp;DATE(FiltroAno,L10,1),rDataFisc,"&lt;"&amp;DATE(FiltroAno,L10+1,1))</f>
        <v>15</v>
      </c>
      <c r="O10">
        <f>COUNTIFS(rEmpresa,"&lt;&gt;",rResp,critResp,rDataFisc,"&gt;="&amp;DATE(FiltroAno,L10,1),rDataFisc,"&lt;"&amp;DATE(FiltroAno,L10+1,1),rNotif,"NOTIFICAÇÃO DE CONSTATAÇÃO")</f>
        <v>8</v>
      </c>
      <c r="P10">
        <f>COUNTIFS(rEmpresa,"&lt;&gt;",rResp,critResp,rDataFisc,"&gt;="&amp;DATE(FiltroAno,L10,1),rDataFisc,"&lt;"&amp;DATE(FiltroAno,L10+1,1),rNotif,"NOTIFICAÇÃO DE ESCLARECIMENTO")</f>
        <v>7</v>
      </c>
      <c r="Q10">
        <f>COUNTIFS(rEmpresa,"&lt;&gt;",rResp,critResp,rDataFisc,"&gt;="&amp;DATE(FiltroAno,L10,1),rDataFisc,"&lt;"&amp;DATE(FiltroAno,L10+1,1),rTipo,"PRESENCIAL")</f>
        <v>10</v>
      </c>
      <c r="R10">
        <f>COUNTIFS(rEmpresa,"&lt;&gt;",rResp,critResp,rDataFisc,"&gt;="&amp;DATE(FiltroAno,L10,1),rDataFisc,"&lt;"&amp;DATE(FiltroAno,L10+1,1),rTipo,"ELETRÔNICA")</f>
        <v>5</v>
      </c>
      <c r="S10">
        <f>MetaMensal</f>
        <v>12</v>
      </c>
      <c r="T10">
        <f>SUM($N$6:N10)</f>
        <v>31</v>
      </c>
      <c r="U10">
        <f>SUM($S$6:S10)</f>
        <v>60</v>
      </c>
      <c r="W10" t="str">
        <f>IF(CADASTROS!$D$10="","",CADASTROS!$D$10)</f>
        <v>EDUARDA LIMA</v>
      </c>
      <c r="X10">
        <f>IF(W10="",0,COUNTIFS(rResp,W10,rEmpresa,"&lt;&gt;"))</f>
        <v>11</v>
      </c>
      <c r="Y10">
        <f>IF(W10="",0,COUNTIFS(rResp,W10,rEmpresa,"&lt;&gt;",rStatus,"PRAZO D.P"))</f>
        <v>2</v>
      </c>
      <c r="Z10">
        <f>IF(W10="",0,COUNTIFS(rResp,W10,rEmpresa,"&lt;&gt;",rStatus,"DECISÃO D.P"))</f>
        <v>9</v>
      </c>
      <c r="AA10">
        <f>IF(W10="",0,COUNTIFS(rResp,W10,rEmpresa,"&lt;&gt;",rSit,"NO PRAZO"))</f>
        <v>0</v>
      </c>
      <c r="AB10">
        <f>IF(W10="",0,COUNTIFS(rResp,W10,rEmpresa,"&lt;&gt;",rSit,"VENCE EM BREVE"))</f>
        <v>1</v>
      </c>
      <c r="AC10">
        <f>IF(W10="",-1,X10+(100-ROW())/1000)</f>
        <v>11.09</v>
      </c>
      <c r="AE10" t="n">
        <v>5</v>
      </c>
      <c r="AF10" t="str">
        <f>IF(AM10="","",INDEX($W$6:$W$20,AM10))</f>
        <v>EDUARDA LIMA</v>
      </c>
      <c r="AG10">
        <f>IF(AM10="","",INDEX($X$6:$X$20,AM10))</f>
        <v>11</v>
      </c>
      <c r="AH10">
        <f>IF(AM10="","",INDEX($Y$6:$Y$20,AM10))</f>
        <v>2</v>
      </c>
      <c r="AI10">
        <f>IF(AM10="","",INDEX($Z$6:$Z$20,AM10))</f>
        <v>9</v>
      </c>
      <c r="AJ10">
        <f>IF(AM10="","",INDEX($AA$6:$AA$20,AM10))</f>
        <v>0</v>
      </c>
      <c r="AK10">
        <f>IF(AM10="","",INDEX($AB$6:$AB$20,AM10))</f>
        <v>1</v>
      </c>
      <c r="AL10">
        <f>IF(AM10="","",IFERROR(AG10/SUM($X$6:$X$20),0))</f>
        <v>0.114583333333333</v>
      </c>
      <c r="AM10">
        <f>IF(LARGE($AC$6:$AC$20,AE10)&lt;0,"",MATCH(LARGE($AC$6:$AC$20,AE10),$AC$6:$AC$20,0))</f>
        <v>5</v>
      </c>
      <c r="AO10" t="str">
        <f>IF(CADASTROS!$B$10="","",CADASTROS!$B$10)</f>
        <v>SUPERMERCADO</v>
      </c>
      <c r="AP10">
        <f>IF(AO10="",0,COUNTIFS(rEmpresa,"&lt;&gt;",rResp,critResp,rRamo,AO10))</f>
        <v>6</v>
      </c>
      <c r="AQ10">
        <f>IF(AO10="",0,COUNTIFS(rEmpresa,"&lt;&gt;",rResp,critResp,rRamo,AO10,rNotif,"NOTIFICAÇÃO DE CONSTATAÇÃO"))</f>
        <v>6</v>
      </c>
      <c r="AR10">
        <f>IF(AO10="",0,COUNTIFS(rEmpresa,"&lt;&gt;",rResp,critResp,rRamo,AO10,rNotif,"NOTIFICAÇÃO DE ESCLARECIMENTO"))</f>
        <v>0</v>
      </c>
      <c r="AS10">
        <f>IF(AO10="",0,COUNTIFS(rEmpresa,"&lt;&gt;",rResp,critResp,rRamo,AO10,rStatus,"PRAZO D.P"))</f>
        <v>0</v>
      </c>
      <c r="AT10">
        <f>IF(AO10="",-1,AP10+(100-ROW())/1000)</f>
        <v>6.09</v>
      </c>
      <c r="AV10" t="n">
        <v>5</v>
      </c>
      <c r="AW10" t="str">
        <f>IF(BC10="","",INDEX($AO$6:$AO$35,BC10))</f>
        <v>TELEFONIA</v>
      </c>
      <c r="AX10">
        <f>IF(BC10="","",INDEX($AP$6:$AP$35,BC10))</f>
        <v>10</v>
      </c>
      <c r="AY10">
        <f>IF(BC10="","",INDEX($AQ$6:$AQ$35,BC10))</f>
        <v>8</v>
      </c>
      <c r="AZ10">
        <f>IF(BC10="","",INDEX($AR$6:$AR$35,BC10))</f>
        <v>2</v>
      </c>
      <c r="BA10">
        <f>IF(BC10="","",INDEX($AS$6:$AS$35,BC10))</f>
        <v>2</v>
      </c>
      <c r="BB10">
        <f>IF(BC10="","",IFERROR(AX10/SUM($AP$6:$AP$35),0))</f>
        <v>0.104166666666667</v>
      </c>
      <c r="BC10">
        <f>IF(LARGE($AT$6:$AT$35,AV10)&lt;0,"",MATCH(LARGE($AT$6:$AT$35,AV10),$AT$6:$AT$35,0))</f>
        <v>10</v>
      </c>
      <c r="BF10" t="str">
        <f>IF(AND(OR(PROCESSOS!O10="NO PRAZO",PROCESSOS!O10="VENCE EM BREVE"),OR(FiltroResp="TODOS",FiltroResp="",PROCESSOS!H10=FiltroResp)),PROCESSOS!M10+ROW()/1000000,"")</f>
        <v/>
      </c>
      <c r="BG10">
        <f>IF(AND(PROCESSOS!B10&lt;&gt;"",ISNUMBER(PROCESSOS!D10),OR(FiltroResp="TODOS",FiltroResp="",PROCESSOS!H10=FiltroResp)),PROCESSOS!D10+ROW()/1000000,"")</f>
        <v>46107.00001</v>
      </c>
      <c r="BI10" t="n">
        <v>6</v>
      </c>
      <c r="BJ10">
        <f>IFERROR(MATCH(SMALL(hProx,BI10),hProx,0),"")</f>
        <v>95</v>
      </c>
      <c r="BK10">
        <f>IFERROR(MATCH(LARGE(hUlt,BI10),hUlt,0),"")</f>
        <v>91</v>
      </c>
    </row>
    <row r="11">
      <c r="E11" t="str">
        <f>IF(CADASTROS!$D$11="","",CADASTROS!$D$11)</f>
        <v>FELIPE ARAÚJO</v>
      </c>
      <c r="G11" t="n">
        <v>2030</v>
      </c>
      <c r="I11" t="inlineStr">
        <is>
          <t>No prazo</t>
        </is>
      </c>
      <c r="J11">
        <f>COUNTIFS(rEmpresa,"&lt;&gt;",rResp,critResp,rSit,"NO PRAZO")</f>
        <v>5</v>
      </c>
      <c r="L11" t="n">
        <v>6</v>
      </c>
      <c r="M11" t="inlineStr">
        <is>
          <t>JUN</t>
        </is>
      </c>
      <c r="N11">
        <f>COUNTIFS(rEmpresa,"&lt;&gt;",rResp,critResp,rDataFisc,"&gt;="&amp;DATE(FiltroAno,L11,1),rDataFisc,"&lt;"&amp;DATE(FiltroAno,L11+1,1))</f>
        <v>9</v>
      </c>
      <c r="O11">
        <f>COUNTIFS(rEmpresa,"&lt;&gt;",rResp,critResp,rDataFisc,"&gt;="&amp;DATE(FiltroAno,L11,1),rDataFisc,"&lt;"&amp;DATE(FiltroAno,L11+1,1),rNotif,"NOTIFICAÇÃO DE CONSTATAÇÃO")</f>
        <v>5</v>
      </c>
      <c r="P11">
        <f>COUNTIFS(rEmpresa,"&lt;&gt;",rResp,critResp,rDataFisc,"&gt;="&amp;DATE(FiltroAno,L11,1),rDataFisc,"&lt;"&amp;DATE(FiltroAno,L11+1,1),rNotif,"NOTIFICAÇÃO DE ESCLARECIMENTO")</f>
        <v>4</v>
      </c>
      <c r="Q11">
        <f>COUNTIFS(rEmpresa,"&lt;&gt;",rResp,critResp,rDataFisc,"&gt;="&amp;DATE(FiltroAno,L11,1),rDataFisc,"&lt;"&amp;DATE(FiltroAno,L11+1,1),rTipo,"PRESENCIAL")</f>
        <v>6</v>
      </c>
      <c r="R11">
        <f>COUNTIFS(rEmpresa,"&lt;&gt;",rResp,critResp,rDataFisc,"&gt;="&amp;DATE(FiltroAno,L11,1),rDataFisc,"&lt;"&amp;DATE(FiltroAno,L11+1,1),rTipo,"ELETRÔNICA")</f>
        <v>3</v>
      </c>
      <c r="S11">
        <f>MetaMensal</f>
        <v>12</v>
      </c>
      <c r="T11">
        <f>SUM($N$6:N11)</f>
        <v>40</v>
      </c>
      <c r="U11">
        <f>SUM($S$6:S11)</f>
        <v>72</v>
      </c>
      <c r="W11" t="str">
        <f>IF(CADASTROS!$D$11="","",CADASTROS!$D$11)</f>
        <v>FELIPE ARAÚJO</v>
      </c>
      <c r="X11">
        <f>IF(W11="",0,COUNTIFS(rResp,W11,rEmpresa,"&lt;&gt;"))</f>
        <v>11</v>
      </c>
      <c r="Y11">
        <f>IF(W11="",0,COUNTIFS(rResp,W11,rEmpresa,"&lt;&gt;",rStatus,"PRAZO D.P"))</f>
        <v>4</v>
      </c>
      <c r="Z11">
        <f>IF(W11="",0,COUNTIFS(rResp,W11,rEmpresa,"&lt;&gt;",rStatus,"DECISÃO D.P"))</f>
        <v>7</v>
      </c>
      <c r="AA11">
        <f>IF(W11="",0,COUNTIFS(rResp,W11,rEmpresa,"&lt;&gt;",rSit,"NO PRAZO"))</f>
        <v>0</v>
      </c>
      <c r="AB11">
        <f>IF(W11="",0,COUNTIFS(rResp,W11,rEmpresa,"&lt;&gt;",rSit,"VENCE EM BREVE"))</f>
        <v>1</v>
      </c>
      <c r="AC11">
        <f>IF(W11="",-1,X11+(100-ROW())/1000)</f>
        <v>11.089</v>
      </c>
      <c r="AE11" t="n">
        <v>6</v>
      </c>
      <c r="AF11" t="str">
        <f>IF(AM11="","",INDEX($W$6:$W$20,AM11))</f>
        <v>FELIPE ARAÚJO</v>
      </c>
      <c r="AG11">
        <f>IF(AM11="","",INDEX($X$6:$X$20,AM11))</f>
        <v>11</v>
      </c>
      <c r="AH11">
        <f>IF(AM11="","",INDEX($Y$6:$Y$20,AM11))</f>
        <v>4</v>
      </c>
      <c r="AI11">
        <f>IF(AM11="","",INDEX($Z$6:$Z$20,AM11))</f>
        <v>7</v>
      </c>
      <c r="AJ11">
        <f>IF(AM11="","",INDEX($AA$6:$AA$20,AM11))</f>
        <v>0</v>
      </c>
      <c r="AK11">
        <f>IF(AM11="","",INDEX($AB$6:$AB$20,AM11))</f>
        <v>1</v>
      </c>
      <c r="AL11">
        <f>IF(AM11="","",IFERROR(AG11/SUM($X$6:$X$20),0))</f>
        <v>0.114583333333333</v>
      </c>
      <c r="AM11">
        <f>IF(LARGE($AC$6:$AC$20,AE11)&lt;0,"",MATCH(LARGE($AC$6:$AC$20,AE11),$AC$6:$AC$20,0))</f>
        <v>6</v>
      </c>
      <c r="AO11" t="str">
        <f>IF(CADASTROS!$B$11="","",CADASTROS!$B$11)</f>
        <v>RESTAURANTE</v>
      </c>
      <c r="AP11">
        <f>IF(AO11="",0,COUNTIFS(rEmpresa,"&lt;&gt;",rResp,critResp,rRamo,AO11))</f>
        <v>11</v>
      </c>
      <c r="AQ11">
        <f>IF(AO11="",0,COUNTIFS(rEmpresa,"&lt;&gt;",rResp,critResp,rRamo,AO11,rNotif,"NOTIFICAÇÃO DE CONSTATAÇÃO"))</f>
        <v>8</v>
      </c>
      <c r="AR11">
        <f>IF(AO11="",0,COUNTIFS(rEmpresa,"&lt;&gt;",rResp,critResp,rRamo,AO11,rNotif,"NOTIFICAÇÃO DE ESCLARECIMENTO"))</f>
        <v>3</v>
      </c>
      <c r="AS11">
        <f>IF(AO11="",0,COUNTIFS(rEmpresa,"&lt;&gt;",rResp,critResp,rRamo,AO11,rStatus,"PRAZO D.P"))</f>
        <v>2</v>
      </c>
      <c r="AT11">
        <f>IF(AO11="",-1,AP11+(100-ROW())/1000)</f>
        <v>11.089</v>
      </c>
      <c r="AV11" t="n">
        <v>6</v>
      </c>
      <c r="AW11" t="str">
        <f>IF(BC11="","",INDEX($AO$6:$AO$35,BC11))</f>
        <v>OUTROS</v>
      </c>
      <c r="AX11">
        <f>IF(BC11="","",INDEX($AP$6:$AP$35,BC11))</f>
        <v>9</v>
      </c>
      <c r="AY11">
        <f>IF(BC11="","",INDEX($AQ$6:$AQ$35,BC11))</f>
        <v>6</v>
      </c>
      <c r="AZ11">
        <f>IF(BC11="","",INDEX($AR$6:$AR$35,BC11))</f>
        <v>3</v>
      </c>
      <c r="BA11">
        <f>IF(BC11="","",INDEX($AS$6:$AS$35,BC11))</f>
        <v>3</v>
      </c>
      <c r="BB11">
        <f>IF(BC11="","",IFERROR(AX11/SUM($AP$6:$AP$35),0))</f>
        <v>0.09375</v>
      </c>
      <c r="BC11">
        <f>IF(LARGE($AT$6:$AT$35,AV11)&lt;0,"",MATCH(LARGE($AT$6:$AT$35,AV11),$AT$6:$AT$35,0))</f>
        <v>12</v>
      </c>
      <c r="BF11" t="str">
        <f>IF(AND(OR(PROCESSOS!O11="NO PRAZO",PROCESSOS!O11="VENCE EM BREVE"),OR(FiltroResp="TODOS",FiltroResp="",PROCESSOS!H11=FiltroResp)),PROCESSOS!M11+ROW()/1000000,"")</f>
        <v/>
      </c>
      <c r="BG11">
        <f>IF(AND(PROCESSOS!B11&lt;&gt;"",ISNUMBER(PROCESSOS!D11),OR(FiltroResp="TODOS",FiltroResp="",PROCESSOS!H11=FiltroResp)),PROCESSOS!D11+ROW()/1000000,"")</f>
        <v>46107.00001099537</v>
      </c>
      <c r="BI11" t="n">
        <v>7</v>
      </c>
      <c r="BJ11">
        <f>IFERROR(MATCH(SMALL(hProx,BI11),hProx,0),"")</f>
        <v>92</v>
      </c>
      <c r="BK11">
        <f>IFERROR(MATCH(LARGE(hUlt,BI11),hUlt,0),"")</f>
        <v>90</v>
      </c>
    </row>
    <row r="12">
      <c r="E12" t="str">
        <f>IF(CADASTROS!$D$12="","",CADASTROS!$D$12)</f>
        <v>GABRIELA NUNES</v>
      </c>
      <c r="G12" t="n">
        <v>2031</v>
      </c>
      <c r="I12" t="inlineStr">
        <is>
          <t>Vence em breve</t>
        </is>
      </c>
      <c r="J12">
        <f>COUNTIFS(rEmpresa,"&lt;&gt;",rResp,critResp,rSit,"VENCE EM BREVE")</f>
        <v>3</v>
      </c>
      <c r="L12" t="n">
        <v>7</v>
      </c>
      <c r="M12" t="inlineStr">
        <is>
          <t>JUL</t>
        </is>
      </c>
      <c r="N12">
        <f>COUNTIFS(rEmpresa,"&lt;&gt;",rResp,critResp,rDataFisc,"&gt;="&amp;DATE(FiltroAno,L12,1),rDataFisc,"&lt;"&amp;DATE(FiltroAno,L12+1,1))</f>
        <v>11</v>
      </c>
      <c r="O12">
        <f>COUNTIFS(rEmpresa,"&lt;&gt;",rResp,critResp,rDataFisc,"&gt;="&amp;DATE(FiltroAno,L12,1),rDataFisc,"&lt;"&amp;DATE(FiltroAno,L12+1,1),rNotif,"NOTIFICAÇÃO DE CONSTATAÇÃO")</f>
        <v>6</v>
      </c>
      <c r="P12">
        <f>COUNTIFS(rEmpresa,"&lt;&gt;",rResp,critResp,rDataFisc,"&gt;="&amp;DATE(FiltroAno,L12,1),rDataFisc,"&lt;"&amp;DATE(FiltroAno,L12+1,1),rNotif,"NOTIFICAÇÃO DE ESCLARECIMENTO")</f>
        <v>5</v>
      </c>
      <c r="Q12">
        <f>COUNTIFS(rEmpresa,"&lt;&gt;",rResp,critResp,rDataFisc,"&gt;="&amp;DATE(FiltroAno,L12,1),rDataFisc,"&lt;"&amp;DATE(FiltroAno,L12+1,1),rTipo,"PRESENCIAL")</f>
        <v>9</v>
      </c>
      <c r="R12">
        <f>COUNTIFS(rEmpresa,"&lt;&gt;",rResp,critResp,rDataFisc,"&gt;="&amp;DATE(FiltroAno,L12,1),rDataFisc,"&lt;"&amp;DATE(FiltroAno,L12+1,1),rTipo,"ELETRÔNICA")</f>
        <v>2</v>
      </c>
      <c r="S12">
        <f>MetaMensal</f>
        <v>12</v>
      </c>
      <c r="T12">
        <f>SUM($N$6:N12)</f>
        <v>51</v>
      </c>
      <c r="U12">
        <f>SUM($S$6:S12)</f>
        <v>84</v>
      </c>
      <c r="W12" t="str">
        <f>IF(CADASTROS!$D$12="","",CADASTROS!$D$12)</f>
        <v>GABRIELA NUNES</v>
      </c>
      <c r="X12">
        <f>IF(W12="",0,COUNTIFS(rResp,W12,rEmpresa,"&lt;&gt;"))</f>
        <v>10</v>
      </c>
      <c r="Y12">
        <f>IF(W12="",0,COUNTIFS(rResp,W12,rEmpresa,"&lt;&gt;",rStatus,"PRAZO D.P"))</f>
        <v>3</v>
      </c>
      <c r="Z12">
        <f>IF(W12="",0,COUNTIFS(rResp,W12,rEmpresa,"&lt;&gt;",rStatus,"DECISÃO D.P"))</f>
        <v>7</v>
      </c>
      <c r="AA12">
        <f>IF(W12="",0,COUNTIFS(rResp,W12,rEmpresa,"&lt;&gt;",rSit,"NO PRAZO"))</f>
        <v>2</v>
      </c>
      <c r="AB12">
        <f>IF(W12="",0,COUNTIFS(rResp,W12,rEmpresa,"&lt;&gt;",rSit,"VENCE EM BREVE"))</f>
        <v>0</v>
      </c>
      <c r="AC12">
        <f>IF(W12="",-1,X12+(100-ROW())/1000)</f>
        <v>10.088</v>
      </c>
      <c r="AE12" t="n">
        <v>7</v>
      </c>
      <c r="AF12" t="str">
        <f>IF(AM12="","",INDEX($W$6:$W$20,AM12))</f>
        <v>GABRIELA NUNES</v>
      </c>
      <c r="AG12">
        <f>IF(AM12="","",INDEX($X$6:$X$20,AM12))</f>
        <v>10</v>
      </c>
      <c r="AH12">
        <f>IF(AM12="","",INDEX($Y$6:$Y$20,AM12))</f>
        <v>3</v>
      </c>
      <c r="AI12">
        <f>IF(AM12="","",INDEX($Z$6:$Z$20,AM12))</f>
        <v>7</v>
      </c>
      <c r="AJ12">
        <f>IF(AM12="","",INDEX($AA$6:$AA$20,AM12))</f>
        <v>2</v>
      </c>
      <c r="AK12">
        <f>IF(AM12="","",INDEX($AB$6:$AB$20,AM12))</f>
        <v>0</v>
      </c>
      <c r="AL12">
        <f>IF(AM12="","",IFERROR(AG12/SUM($X$6:$X$20),0))</f>
        <v>0.104166666666667</v>
      </c>
      <c r="AM12">
        <f>IF(LARGE($AC$6:$AC$20,AE12)&lt;0,"",MATCH(LARGE($AC$6:$AC$20,AE12),$AC$6:$AC$20,0))</f>
        <v>7</v>
      </c>
      <c r="AO12" t="str">
        <f>IF(CADASTROS!$B$12="","",CADASTROS!$B$12)</f>
        <v>FARMÁCIA</v>
      </c>
      <c r="AP12">
        <f>IF(AO12="",0,COUNTIFS(rEmpresa,"&lt;&gt;",rResp,critResp,rRamo,AO12))</f>
        <v>6</v>
      </c>
      <c r="AQ12">
        <f>IF(AO12="",0,COUNTIFS(rEmpresa,"&lt;&gt;",rResp,critResp,rRamo,AO12,rNotif,"NOTIFICAÇÃO DE CONSTATAÇÃO"))</f>
        <v>1</v>
      </c>
      <c r="AR12">
        <f>IF(AO12="",0,COUNTIFS(rEmpresa,"&lt;&gt;",rResp,critResp,rRamo,AO12,rNotif,"NOTIFICAÇÃO DE ESCLARECIMENTO"))</f>
        <v>5</v>
      </c>
      <c r="AS12">
        <f>IF(AO12="",0,COUNTIFS(rEmpresa,"&lt;&gt;",rResp,critResp,rRamo,AO12,rStatus,"PRAZO D.P"))</f>
        <v>2</v>
      </c>
      <c r="AT12">
        <f>IF(AO12="",-1,AP12+(100-ROW())/1000)</f>
        <v>6.088</v>
      </c>
      <c r="AV12" t="n">
        <v>7</v>
      </c>
      <c r="AW12" t="str">
        <f>IF(BC12="","",INDEX($AO$6:$AO$35,BC12))</f>
        <v>CONCESSIONÁRIA</v>
      </c>
      <c r="AX12">
        <f>IF(BC12="","",INDEX($AP$6:$AP$35,BC12))</f>
        <v>7</v>
      </c>
      <c r="AY12">
        <f>IF(BC12="","",INDEX($AQ$6:$AQ$35,BC12))</f>
        <v>5</v>
      </c>
      <c r="AZ12">
        <f>IF(BC12="","",INDEX($AR$6:$AR$35,BC12))</f>
        <v>2</v>
      </c>
      <c r="BA12">
        <f>IF(BC12="","",INDEX($AS$6:$AS$35,BC12))</f>
        <v>2</v>
      </c>
      <c r="BB12">
        <f>IF(BC12="","",IFERROR(AX12/SUM($AP$6:$AP$35),0))</f>
        <v>0.0729166666666667</v>
      </c>
      <c r="BC12">
        <f>IF(LARGE($AT$6:$AT$35,AV12)&lt;0,"",MATCH(LARGE($AT$6:$AT$35,AV12),$AT$6:$AT$35,0))</f>
        <v>11</v>
      </c>
      <c r="BF12" t="str">
        <f>IF(AND(OR(PROCESSOS!O12="NO PRAZO",PROCESSOS!O12="VENCE EM BREVE"),OR(FiltroResp="TODOS",FiltroResp="",PROCESSOS!H12=FiltroResp)),PROCESSOS!M12+ROW()/1000000,"")</f>
        <v/>
      </c>
      <c r="BG12">
        <f>IF(AND(PROCESSOS!B12&lt;&gt;"",ISNUMBER(PROCESSOS!D12),OR(FiltroResp="TODOS",FiltroResp="",PROCESSOS!H12=FiltroResp)),PROCESSOS!D12+ROW()/1000000,"")</f>
        <v>46117.00001200232</v>
      </c>
      <c r="BI12" t="n">
        <v>8</v>
      </c>
      <c r="BJ12">
        <f>IFERROR(MATCH(SMALL(hProx,BI12),hProx,0),"")</f>
        <v>94</v>
      </c>
      <c r="BK12">
        <f>IFERROR(MATCH(LARGE(hUlt,BI12),hUlt,0),"")</f>
        <v>89</v>
      </c>
    </row>
    <row r="13">
      <c r="E13" t="str">
        <f>IF(CADASTROS!$D$13="","",CADASTROS!$D$13)</f>
        <v>HENRIQUE COSTA</v>
      </c>
      <c r="G13" t="n">
        <v>2032</v>
      </c>
      <c r="I13" t="inlineStr">
        <is>
          <t>Em decisão</t>
        </is>
      </c>
      <c r="J13">
        <f>COUNTIFS(rEmpresa,"&lt;&gt;",rResp,critResp,rStatus,"DECISÃO D.P")</f>
        <v>72</v>
      </c>
      <c r="L13" t="n">
        <v>8</v>
      </c>
      <c r="M13" t="inlineStr">
        <is>
          <t>AGO</t>
        </is>
      </c>
      <c r="N13">
        <f>COUNTIFS(rEmpresa,"&lt;&gt;",rResp,critResp,rDataFisc,"&gt;="&amp;DATE(FiltroAno,L13,1),rDataFisc,"&lt;"&amp;DATE(FiltroAno,L13+1,1))</f>
        <v>13</v>
      </c>
      <c r="O13">
        <f>COUNTIFS(rEmpresa,"&lt;&gt;",rResp,critResp,rDataFisc,"&gt;="&amp;DATE(FiltroAno,L13,1),rDataFisc,"&lt;"&amp;DATE(FiltroAno,L13+1,1),rNotif,"NOTIFICAÇÃO DE CONSTATAÇÃO")</f>
        <v>8</v>
      </c>
      <c r="P13">
        <f>COUNTIFS(rEmpresa,"&lt;&gt;",rResp,critResp,rDataFisc,"&gt;="&amp;DATE(FiltroAno,L13,1),rDataFisc,"&lt;"&amp;DATE(FiltroAno,L13+1,1),rNotif,"NOTIFICAÇÃO DE ESCLARECIMENTO")</f>
        <v>5</v>
      </c>
      <c r="Q13">
        <f>COUNTIFS(rEmpresa,"&lt;&gt;",rResp,critResp,rDataFisc,"&gt;="&amp;DATE(FiltroAno,L13,1),rDataFisc,"&lt;"&amp;DATE(FiltroAno,L13+1,1),rTipo,"PRESENCIAL")</f>
        <v>7</v>
      </c>
      <c r="R13">
        <f>COUNTIFS(rEmpresa,"&lt;&gt;",rResp,critResp,rDataFisc,"&gt;="&amp;DATE(FiltroAno,L13,1),rDataFisc,"&lt;"&amp;DATE(FiltroAno,L13+1,1),rTipo,"ELETRÔNICA")</f>
        <v>6</v>
      </c>
      <c r="S13">
        <f>MetaMensal</f>
        <v>12</v>
      </c>
      <c r="T13">
        <f>SUM($N$6:N13)</f>
        <v>64</v>
      </c>
      <c r="U13">
        <f>SUM($S$6:S13)</f>
        <v>96</v>
      </c>
      <c r="W13" t="str">
        <f>IF(CADASTROS!$D$13="","",CADASTROS!$D$13)</f>
        <v>HENRIQUE COSTA</v>
      </c>
      <c r="X13">
        <f>IF(W13="",0,COUNTIFS(rResp,W13,rEmpresa,"&lt;&gt;"))</f>
        <v>9</v>
      </c>
      <c r="Y13">
        <f>IF(W13="",0,COUNTIFS(rResp,W13,rEmpresa,"&lt;&gt;",rStatus,"PRAZO D.P"))</f>
        <v>3</v>
      </c>
      <c r="Z13">
        <f>IF(W13="",0,COUNTIFS(rResp,W13,rEmpresa,"&lt;&gt;",rStatus,"DECISÃO D.P"))</f>
        <v>6</v>
      </c>
      <c r="AA13">
        <f>IF(W13="",0,COUNTIFS(rResp,W13,rEmpresa,"&lt;&gt;",rSit,"NO PRAZO"))</f>
        <v>1</v>
      </c>
      <c r="AB13">
        <f>IF(W13="",0,COUNTIFS(rResp,W13,rEmpresa,"&lt;&gt;",rSit,"VENCE EM BREVE"))</f>
        <v>0</v>
      </c>
      <c r="AC13">
        <f>IF(W13="",-1,X13+(100-ROW())/1000)</f>
        <v>9.087</v>
      </c>
      <c r="AE13" t="n">
        <v>8</v>
      </c>
      <c r="AF13" t="str">
        <f>IF(AM13="","",INDEX($W$6:$W$20,AM13))</f>
        <v>HENRIQUE COSTA</v>
      </c>
      <c r="AG13">
        <f>IF(AM13="","",INDEX($X$6:$X$20,AM13))</f>
        <v>9</v>
      </c>
      <c r="AH13">
        <f>IF(AM13="","",INDEX($Y$6:$Y$20,AM13))</f>
        <v>3</v>
      </c>
      <c r="AI13">
        <f>IF(AM13="","",INDEX($Z$6:$Z$20,AM13))</f>
        <v>6</v>
      </c>
      <c r="AJ13">
        <f>IF(AM13="","",INDEX($AA$6:$AA$20,AM13))</f>
        <v>1</v>
      </c>
      <c r="AK13">
        <f>IF(AM13="","",INDEX($AB$6:$AB$20,AM13))</f>
        <v>0</v>
      </c>
      <c r="AL13">
        <f>IF(AM13="","",IFERROR(AG13/SUM($X$6:$X$20),0))</f>
        <v>0.09375</v>
      </c>
      <c r="AM13">
        <f>IF(LARGE($AC$6:$AC$20,AE13)&lt;0,"",MATCH(LARGE($AC$6:$AC$20,AE13),$AC$6:$AC$20,0))</f>
        <v>8</v>
      </c>
      <c r="AO13" t="str">
        <f>IF(CADASTROS!$B$13="","",CADASTROS!$B$13)</f>
        <v>BANCO</v>
      </c>
      <c r="AP13">
        <f>IF(AO13="",0,COUNTIFS(rEmpresa,"&lt;&gt;",rResp,critResp,rRamo,AO13))</f>
        <v>5</v>
      </c>
      <c r="AQ13">
        <f>IF(AO13="",0,COUNTIFS(rEmpresa,"&lt;&gt;",rResp,critResp,rRamo,AO13,rNotif,"NOTIFICAÇÃO DE CONSTATAÇÃO"))</f>
        <v>2</v>
      </c>
      <c r="AR13">
        <f>IF(AO13="",0,COUNTIFS(rEmpresa,"&lt;&gt;",rResp,critResp,rRamo,AO13,rNotif,"NOTIFICAÇÃO DE ESCLARECIMENTO"))</f>
        <v>3</v>
      </c>
      <c r="AS13">
        <f>IF(AO13="",0,COUNTIFS(rEmpresa,"&lt;&gt;",rResp,critResp,rRamo,AO13,rStatus,"PRAZO D.P"))</f>
        <v>1</v>
      </c>
      <c r="AT13">
        <f>IF(AO13="",-1,AP13+(100-ROW())/1000)</f>
        <v>5.087</v>
      </c>
      <c r="AV13" t="n">
        <v>8</v>
      </c>
      <c r="AW13" t="str">
        <f>IF(BC13="","",INDEX($AO$6:$AO$35,BC13))</f>
        <v>SAÚDE</v>
      </c>
      <c r="AX13">
        <f>IF(BC13="","",INDEX($AP$6:$AP$35,BC13))</f>
        <v>6</v>
      </c>
      <c r="AY13">
        <f>IF(BC13="","",INDEX($AQ$6:$AQ$35,BC13))</f>
        <v>3</v>
      </c>
      <c r="AZ13">
        <f>IF(BC13="","",INDEX($AR$6:$AR$35,BC13))</f>
        <v>3</v>
      </c>
      <c r="BA13">
        <f>IF(BC13="","",INDEX($AS$6:$AS$35,BC13))</f>
        <v>3</v>
      </c>
      <c r="BB13">
        <f>IF(BC13="","",IFERROR(AX13/SUM($AP$6:$AP$35),0))</f>
        <v>0.0625</v>
      </c>
      <c r="BC13">
        <f>IF(LARGE($AT$6:$AT$35,AV13)&lt;0,"",MATCH(LARGE($AT$6:$AT$35,AV13),$AT$6:$AT$35,0))</f>
        <v>3</v>
      </c>
      <c r="BF13" t="str">
        <f>IF(AND(OR(PROCESSOS!O13="NO PRAZO",PROCESSOS!O13="VENCE EM BREVE"),OR(FiltroResp="TODOS",FiltroResp="",PROCESSOS!H13=FiltroResp)),PROCESSOS!M13+ROW()/1000000,"")</f>
        <v/>
      </c>
      <c r="BG13">
        <f>IF(AND(PROCESSOS!B13&lt;&gt;"",ISNUMBER(PROCESSOS!D13),OR(FiltroResp="TODOS",FiltroResp="",PROCESSOS!H13=FiltroResp)),PROCESSOS!D13+ROW()/1000000,"")</f>
        <v>46118.00001299768</v>
      </c>
      <c r="BI13" t="n">
        <v>9</v>
      </c>
      <c r="BJ13" t="str">
        <f>IFERROR(MATCH(SMALL(hProx,BI13),hProx,0),"")</f>
        <v/>
      </c>
      <c r="BK13">
        <f>IFERROR(MATCH(LARGE(hUlt,BI13),hUlt,0),"")</f>
        <v>88</v>
      </c>
    </row>
    <row r="14">
      <c r="E14" t="str">
        <f>IF(CADASTROS!$D$14="","",CADASTROS!$D$14)</f>
        <v/>
      </c>
      <c r="L14" t="n">
        <v>9</v>
      </c>
      <c r="M14" t="inlineStr">
        <is>
          <t>SET</t>
        </is>
      </c>
      <c r="N14">
        <f>COUNTIFS(rEmpresa,"&lt;&gt;",rResp,critResp,rDataFisc,"&gt;="&amp;DATE(FiltroAno,L14,1),rDataFisc,"&lt;"&amp;DATE(FiltroAno,L14+1,1))</f>
        <v>21</v>
      </c>
      <c r="O14">
        <f>COUNTIFS(rEmpresa,"&lt;&gt;",rResp,critResp,rDataFisc,"&gt;="&amp;DATE(FiltroAno,L14,1),rDataFisc,"&lt;"&amp;DATE(FiltroAno,L14+1,1),rNotif,"NOTIFICAÇÃO DE CONSTATAÇÃO")</f>
        <v>15</v>
      </c>
      <c r="P14">
        <f>COUNTIFS(rEmpresa,"&lt;&gt;",rResp,critResp,rDataFisc,"&gt;="&amp;DATE(FiltroAno,L14,1),rDataFisc,"&lt;"&amp;DATE(FiltroAno,L14+1,1),rNotif,"NOTIFICAÇÃO DE ESCLARECIMENTO")</f>
        <v>6</v>
      </c>
      <c r="Q14">
        <f>COUNTIFS(rEmpresa,"&lt;&gt;",rResp,critResp,rDataFisc,"&gt;="&amp;DATE(FiltroAno,L14,1),rDataFisc,"&lt;"&amp;DATE(FiltroAno,L14+1,1),rTipo,"PRESENCIAL")</f>
        <v>14</v>
      </c>
      <c r="R14">
        <f>COUNTIFS(rEmpresa,"&lt;&gt;",rResp,critResp,rDataFisc,"&gt;="&amp;DATE(FiltroAno,L14,1),rDataFisc,"&lt;"&amp;DATE(FiltroAno,L14+1,1),rTipo,"ELETRÔNICA")</f>
        <v>7</v>
      </c>
      <c r="S14">
        <f>MetaMensal</f>
        <v>12</v>
      </c>
      <c r="T14">
        <f>SUM($N$6:N14)</f>
        <v>85</v>
      </c>
      <c r="U14">
        <f>SUM($S$6:S14)</f>
        <v>108</v>
      </c>
      <c r="W14" t="str">
        <f>IF(CADASTROS!$D$14="","",CADASTROS!$D$14)</f>
        <v/>
      </c>
      <c r="X14">
        <f>IF(W14="",0,COUNTIFS(rResp,W14,rEmpresa,"&lt;&gt;"))</f>
        <v>0</v>
      </c>
      <c r="Y14">
        <f>IF(W14="",0,COUNTIFS(rResp,W14,rEmpresa,"&lt;&gt;",rStatus,"PRAZO D.P"))</f>
        <v>0</v>
      </c>
      <c r="Z14">
        <f>IF(W14="",0,COUNTIFS(rResp,W14,rEmpresa,"&lt;&gt;",rStatus,"DECISÃO D.P"))</f>
        <v>0</v>
      </c>
      <c r="AA14">
        <f>IF(W14="",0,COUNTIFS(rResp,W14,rEmpresa,"&lt;&gt;",rSit,"NO PRAZO"))</f>
        <v>0</v>
      </c>
      <c r="AB14">
        <f>IF(W14="",0,COUNTIFS(rResp,W14,rEmpresa,"&lt;&gt;",rSit,"VENCE EM BREVE"))</f>
        <v>0</v>
      </c>
      <c r="AC14">
        <f>IF(W14="",-1,X14+(100-ROW())/1000)</f>
        <v>-1</v>
      </c>
      <c r="AE14" t="n">
        <v>9</v>
      </c>
      <c r="AF14" t="str">
        <f>IF(AM14="","",INDEX($W$6:$W$20,AM14))</f>
        <v/>
      </c>
      <c r="AG14" t="str">
        <f>IF(AM14="","",INDEX($X$6:$X$20,AM14))</f>
        <v/>
      </c>
      <c r="AH14" t="str">
        <f>IF(AM14="","",INDEX($Y$6:$Y$20,AM14))</f>
        <v/>
      </c>
      <c r="AI14" t="str">
        <f>IF(AM14="","",INDEX($Z$6:$Z$20,AM14))</f>
        <v/>
      </c>
      <c r="AJ14" t="str">
        <f>IF(AM14="","",INDEX($AA$6:$AA$20,AM14))</f>
        <v/>
      </c>
      <c r="AK14" t="str">
        <f>IF(AM14="","",INDEX($AB$6:$AB$20,AM14))</f>
        <v/>
      </c>
      <c r="AL14" t="str">
        <f>IF(AM14="","",IFERROR(AG14/SUM($X$6:$X$20),0))</f>
        <v/>
      </c>
      <c r="AM14" t="str">
        <f>IF(LARGE($AC$6:$AC$20,AE14)&lt;0,"",MATCH(LARGE($AC$6:$AC$20,AE14),$AC$6:$AC$20,0))</f>
        <v/>
      </c>
      <c r="AO14" t="str">
        <f>IF(CADASTROS!$B$14="","",CADASTROS!$B$14)</f>
        <v>ESCOLA</v>
      </c>
      <c r="AP14">
        <f>IF(AO14="",0,COUNTIFS(rEmpresa,"&lt;&gt;",rResp,critResp,rRamo,AO14))</f>
        <v>6</v>
      </c>
      <c r="AQ14">
        <f>IF(AO14="",0,COUNTIFS(rEmpresa,"&lt;&gt;",rResp,critResp,rRamo,AO14,rNotif,"NOTIFICAÇÃO DE CONSTATAÇÃO"))</f>
        <v>4</v>
      </c>
      <c r="AR14">
        <f>IF(AO14="",0,COUNTIFS(rEmpresa,"&lt;&gt;",rResp,critResp,rRamo,AO14,rNotif,"NOTIFICAÇÃO DE ESCLARECIMENTO"))</f>
        <v>2</v>
      </c>
      <c r="AS14">
        <f>IF(AO14="",0,COUNTIFS(rEmpresa,"&lt;&gt;",rResp,critResp,rRamo,AO14,rStatus,"PRAZO D.P"))</f>
        <v>1</v>
      </c>
      <c r="AT14">
        <f>IF(AO14="",-1,AP14+(100-ROW())/1000)</f>
        <v>6.086</v>
      </c>
      <c r="AV14" t="n">
        <v>9</v>
      </c>
      <c r="AW14" t="str">
        <f>IF(BC14="","",INDEX($AO$6:$AO$35,BC14))</f>
        <v>SUPERMERCADO</v>
      </c>
      <c r="AX14">
        <f>IF(BC14="","",INDEX($AP$6:$AP$35,BC14))</f>
        <v>6</v>
      </c>
      <c r="AY14">
        <f>IF(BC14="","",INDEX($AQ$6:$AQ$35,BC14))</f>
        <v>6</v>
      </c>
      <c r="AZ14">
        <f>IF(BC14="","",INDEX($AR$6:$AR$35,BC14))</f>
        <v>0</v>
      </c>
      <c r="BA14">
        <f>IF(BC14="","",INDEX($AS$6:$AS$35,BC14))</f>
        <v>0</v>
      </c>
      <c r="BB14">
        <f>IF(BC14="","",IFERROR(AX14/SUM($AP$6:$AP$35),0))</f>
        <v>0.0625</v>
      </c>
      <c r="BC14">
        <f>IF(LARGE($AT$6:$AT$35,AV14)&lt;0,"",MATCH(LARGE($AT$6:$AT$35,AV14),$AT$6:$AT$35,0))</f>
        <v>5</v>
      </c>
      <c r="BF14" t="str">
        <f>IF(AND(OR(PROCESSOS!O14="NO PRAZO",PROCESSOS!O14="VENCE EM BREVE"),OR(FiltroResp="TODOS",FiltroResp="",PROCESSOS!H14=FiltroResp)),PROCESSOS!M14+ROW()/1000000,"")</f>
        <v/>
      </c>
      <c r="BG14">
        <f>IF(AND(PROCESSOS!B14&lt;&gt;"",ISNUMBER(PROCESSOS!D14),OR(FiltroResp="TODOS",FiltroResp="",PROCESSOS!H14=FiltroResp)),PROCESSOS!D14+ROW()/1000000,"")</f>
        <v>46121.00001400463</v>
      </c>
      <c r="BI14" t="n">
        <v>10</v>
      </c>
      <c r="BJ14" t="str">
        <f>IFERROR(MATCH(SMALL(hProx,BI14),hProx,0),"")</f>
        <v/>
      </c>
      <c r="BK14">
        <f>IFERROR(MATCH(LARGE(hUlt,BI14),hUlt,0),"")</f>
        <v>87</v>
      </c>
    </row>
    <row r="15">
      <c r="E15" t="str">
        <f>IF(CADASTROS!$D$15="","",CADASTROS!$D$15)</f>
        <v/>
      </c>
      <c r="L15" t="n">
        <v>10</v>
      </c>
      <c r="M15" t="inlineStr">
        <is>
          <t>OUT</t>
        </is>
      </c>
      <c r="N15">
        <f>COUNTIFS(rEmpresa,"&lt;&gt;",rResp,critResp,rDataFisc,"&gt;="&amp;DATE(FiltroAno,L15,1),rDataFisc,"&lt;"&amp;DATE(FiltroAno,L15+1,1))</f>
        <v>11</v>
      </c>
      <c r="O15">
        <f>COUNTIFS(rEmpresa,"&lt;&gt;",rResp,critResp,rDataFisc,"&gt;="&amp;DATE(FiltroAno,L15,1),rDataFisc,"&lt;"&amp;DATE(FiltroAno,L15+1,1),rNotif,"NOTIFICAÇÃO DE CONSTATAÇÃO")</f>
        <v>4</v>
      </c>
      <c r="P15">
        <f>COUNTIFS(rEmpresa,"&lt;&gt;",rResp,critResp,rDataFisc,"&gt;="&amp;DATE(FiltroAno,L15,1),rDataFisc,"&lt;"&amp;DATE(FiltroAno,L15+1,1),rNotif,"NOTIFICAÇÃO DE ESCLARECIMENTO")</f>
        <v>7</v>
      </c>
      <c r="Q15">
        <f>COUNTIFS(rEmpresa,"&lt;&gt;",rResp,critResp,rDataFisc,"&gt;="&amp;DATE(FiltroAno,L15,1),rDataFisc,"&lt;"&amp;DATE(FiltroAno,L15+1,1),rTipo,"PRESENCIAL")</f>
        <v>7</v>
      </c>
      <c r="R15">
        <f>COUNTIFS(rEmpresa,"&lt;&gt;",rResp,critResp,rDataFisc,"&gt;="&amp;DATE(FiltroAno,L15,1),rDataFisc,"&lt;"&amp;DATE(FiltroAno,L15+1,1),rTipo,"ELETRÔNICA")</f>
        <v>4</v>
      </c>
      <c r="S15">
        <f>MetaMensal</f>
        <v>12</v>
      </c>
      <c r="T15">
        <f>SUM($N$6:N15)</f>
        <v>96</v>
      </c>
      <c r="U15">
        <f>SUM($S$6:S15)</f>
        <v>120</v>
      </c>
      <c r="W15" t="str">
        <f>IF(CADASTROS!$D$15="","",CADASTROS!$D$15)</f>
        <v/>
      </c>
      <c r="X15">
        <f>IF(W15="",0,COUNTIFS(rResp,W15,rEmpresa,"&lt;&gt;"))</f>
        <v>0</v>
      </c>
      <c r="Y15">
        <f>IF(W15="",0,COUNTIFS(rResp,W15,rEmpresa,"&lt;&gt;",rStatus,"PRAZO D.P"))</f>
        <v>0</v>
      </c>
      <c r="Z15">
        <f>IF(W15="",0,COUNTIFS(rResp,W15,rEmpresa,"&lt;&gt;",rStatus,"DECISÃO D.P"))</f>
        <v>0</v>
      </c>
      <c r="AA15">
        <f>IF(W15="",0,COUNTIFS(rResp,W15,rEmpresa,"&lt;&gt;",rSit,"NO PRAZO"))</f>
        <v>0</v>
      </c>
      <c r="AB15">
        <f>IF(W15="",0,COUNTIFS(rResp,W15,rEmpresa,"&lt;&gt;",rSit,"VENCE EM BREVE"))</f>
        <v>0</v>
      </c>
      <c r="AC15">
        <f>IF(W15="",-1,X15+(100-ROW())/1000)</f>
        <v>-1</v>
      </c>
      <c r="AE15" t="n">
        <v>10</v>
      </c>
      <c r="AF15" t="str">
        <f>IF(AM15="","",INDEX($W$6:$W$20,AM15))</f>
        <v/>
      </c>
      <c r="AG15" t="str">
        <f>IF(AM15="","",INDEX($X$6:$X$20,AM15))</f>
        <v/>
      </c>
      <c r="AH15" t="str">
        <f>IF(AM15="","",INDEX($Y$6:$Y$20,AM15))</f>
        <v/>
      </c>
      <c r="AI15" t="str">
        <f>IF(AM15="","",INDEX($Z$6:$Z$20,AM15))</f>
        <v/>
      </c>
      <c r="AJ15" t="str">
        <f>IF(AM15="","",INDEX($AA$6:$AA$20,AM15))</f>
        <v/>
      </c>
      <c r="AK15" t="str">
        <f>IF(AM15="","",INDEX($AB$6:$AB$20,AM15))</f>
        <v/>
      </c>
      <c r="AL15" t="str">
        <f>IF(AM15="","",IFERROR(AG15/SUM($X$6:$X$20),0))</f>
        <v/>
      </c>
      <c r="AM15" t="str">
        <f>IF(LARGE($AC$6:$AC$20,AE15)&lt;0,"",MATCH(LARGE($AC$6:$AC$20,AE15),$AC$6:$AC$20,0))</f>
        <v/>
      </c>
      <c r="AO15" t="str">
        <f>IF(CADASTROS!$B$15="","",CADASTROS!$B$15)</f>
        <v>TELEFONIA</v>
      </c>
      <c r="AP15">
        <f>IF(AO15="",0,COUNTIFS(rEmpresa,"&lt;&gt;",rResp,critResp,rRamo,AO15))</f>
        <v>10</v>
      </c>
      <c r="AQ15">
        <f>IF(AO15="",0,COUNTIFS(rEmpresa,"&lt;&gt;",rResp,critResp,rRamo,AO15,rNotif,"NOTIFICAÇÃO DE CONSTATAÇÃO"))</f>
        <v>8</v>
      </c>
      <c r="AR15">
        <f>IF(AO15="",0,COUNTIFS(rEmpresa,"&lt;&gt;",rResp,critResp,rRamo,AO15,rNotif,"NOTIFICAÇÃO DE ESCLARECIMENTO"))</f>
        <v>2</v>
      </c>
      <c r="AS15">
        <f>IF(AO15="",0,COUNTIFS(rEmpresa,"&lt;&gt;",rResp,critResp,rRamo,AO15,rStatus,"PRAZO D.P"))</f>
        <v>2</v>
      </c>
      <c r="AT15">
        <f>IF(AO15="",-1,AP15+(100-ROW())/1000)</f>
        <v>10.085</v>
      </c>
      <c r="AV15" t="n">
        <v>10</v>
      </c>
      <c r="AW15" t="str">
        <f>IF(BC15="","",INDEX($AO$6:$AO$35,BC15))</f>
        <v>FARMÁCIA</v>
      </c>
      <c r="AX15">
        <f>IF(BC15="","",INDEX($AP$6:$AP$35,BC15))</f>
        <v>6</v>
      </c>
      <c r="AY15">
        <f>IF(BC15="","",INDEX($AQ$6:$AQ$35,BC15))</f>
        <v>1</v>
      </c>
      <c r="AZ15">
        <f>IF(BC15="","",INDEX($AR$6:$AR$35,BC15))</f>
        <v>5</v>
      </c>
      <c r="BA15">
        <f>IF(BC15="","",INDEX($AS$6:$AS$35,BC15))</f>
        <v>2</v>
      </c>
      <c r="BB15">
        <f>IF(BC15="","",IFERROR(AX15/SUM($AP$6:$AP$35),0))</f>
        <v>0.0625</v>
      </c>
      <c r="BC15">
        <f>IF(LARGE($AT$6:$AT$35,AV15)&lt;0,"",MATCH(LARGE($AT$6:$AT$35,AV15),$AT$6:$AT$35,0))</f>
        <v>7</v>
      </c>
      <c r="BF15" t="str">
        <f>IF(AND(OR(PROCESSOS!O15="NO PRAZO",PROCESSOS!O15="VENCE EM BREVE"),OR(FiltroResp="TODOS",FiltroResp="",PROCESSOS!H15=FiltroResp)),PROCESSOS!M15+ROW()/1000000,"")</f>
        <v/>
      </c>
      <c r="BG15">
        <f>IF(AND(PROCESSOS!B15&lt;&gt;"",ISNUMBER(PROCESSOS!D15),OR(FiltroResp="TODOS",FiltroResp="",PROCESSOS!H15=FiltroResp)),PROCESSOS!D15+ROW()/1000000,"")</f>
        <v>46121.000015</v>
      </c>
    </row>
    <row r="16">
      <c r="E16" t="str">
        <f>IF(CADASTROS!$D$16="","",CADASTROS!$D$16)</f>
        <v/>
      </c>
      <c r="L16" t="n">
        <v>11</v>
      </c>
      <c r="M16" t="inlineStr">
        <is>
          <t>NOV</t>
        </is>
      </c>
      <c r="N16">
        <f>COUNTIFS(rEmpresa,"&lt;&gt;",rResp,critResp,rDataFisc,"&gt;="&amp;DATE(FiltroAno,L16,1),rDataFisc,"&lt;"&amp;DATE(FiltroAno,L16+1,1))</f>
        <v>0</v>
      </c>
      <c r="O16">
        <f>COUNTIFS(rEmpresa,"&lt;&gt;",rResp,critResp,rDataFisc,"&gt;="&amp;DATE(FiltroAno,L16,1),rDataFisc,"&lt;"&amp;DATE(FiltroAno,L16+1,1),rNotif,"NOTIFICAÇÃO DE CONSTATAÇÃO")</f>
        <v>0</v>
      </c>
      <c r="P16">
        <f>COUNTIFS(rEmpresa,"&lt;&gt;",rResp,critResp,rDataFisc,"&gt;="&amp;DATE(FiltroAno,L16,1),rDataFisc,"&lt;"&amp;DATE(FiltroAno,L16+1,1),rNotif,"NOTIFICAÇÃO DE ESCLARECIMENTO")</f>
        <v>0</v>
      </c>
      <c r="Q16">
        <f>COUNTIFS(rEmpresa,"&lt;&gt;",rResp,critResp,rDataFisc,"&gt;="&amp;DATE(FiltroAno,L16,1),rDataFisc,"&lt;"&amp;DATE(FiltroAno,L16+1,1),rTipo,"PRESENCIAL")</f>
        <v>0</v>
      </c>
      <c r="R16">
        <f>COUNTIFS(rEmpresa,"&lt;&gt;",rResp,critResp,rDataFisc,"&gt;="&amp;DATE(FiltroAno,L16,1),rDataFisc,"&lt;"&amp;DATE(FiltroAno,L16+1,1),rTipo,"ELETRÔNICA")</f>
        <v>0</v>
      </c>
      <c r="S16">
        <f>MetaMensal</f>
        <v>12</v>
      </c>
      <c r="T16">
        <f>SUM($N$6:N16)</f>
        <v>96</v>
      </c>
      <c r="U16">
        <f>SUM($S$6:S16)</f>
        <v>132</v>
      </c>
      <c r="W16" t="str">
        <f>IF(CADASTROS!$D$16="","",CADASTROS!$D$16)</f>
        <v/>
      </c>
      <c r="X16">
        <f>IF(W16="",0,COUNTIFS(rResp,W16,rEmpresa,"&lt;&gt;"))</f>
        <v>0</v>
      </c>
      <c r="Y16">
        <f>IF(W16="",0,COUNTIFS(rResp,W16,rEmpresa,"&lt;&gt;",rStatus,"PRAZO D.P"))</f>
        <v>0</v>
      </c>
      <c r="Z16">
        <f>IF(W16="",0,COUNTIFS(rResp,W16,rEmpresa,"&lt;&gt;",rStatus,"DECISÃO D.P"))</f>
        <v>0</v>
      </c>
      <c r="AA16">
        <f>IF(W16="",0,COUNTIFS(rResp,W16,rEmpresa,"&lt;&gt;",rSit,"NO PRAZO"))</f>
        <v>0</v>
      </c>
      <c r="AB16">
        <f>IF(W16="",0,COUNTIFS(rResp,W16,rEmpresa,"&lt;&gt;",rSit,"VENCE EM BREVE"))</f>
        <v>0</v>
      </c>
      <c r="AC16">
        <f>IF(W16="",-1,X16+(100-ROW())/1000)</f>
        <v>-1</v>
      </c>
      <c r="AE16" t="n">
        <v>11</v>
      </c>
      <c r="AF16" t="str">
        <f>IF(AM16="","",INDEX($W$6:$W$20,AM16))</f>
        <v/>
      </c>
      <c r="AG16" t="str">
        <f>IF(AM16="","",INDEX($X$6:$X$20,AM16))</f>
        <v/>
      </c>
      <c r="AH16" t="str">
        <f>IF(AM16="","",INDEX($Y$6:$Y$20,AM16))</f>
        <v/>
      </c>
      <c r="AI16" t="str">
        <f>IF(AM16="","",INDEX($Z$6:$Z$20,AM16))</f>
        <v/>
      </c>
      <c r="AJ16" t="str">
        <f>IF(AM16="","",INDEX($AA$6:$AA$20,AM16))</f>
        <v/>
      </c>
      <c r="AK16" t="str">
        <f>IF(AM16="","",INDEX($AB$6:$AB$20,AM16))</f>
        <v/>
      </c>
      <c r="AL16" t="str">
        <f>IF(AM16="","",IFERROR(AG16/SUM($X$6:$X$20),0))</f>
        <v/>
      </c>
      <c r="AM16" t="str">
        <f>IF(LARGE($AC$6:$AC$20,AE16)&lt;0,"",MATCH(LARGE($AC$6:$AC$20,AE16),$AC$6:$AC$20,0))</f>
        <v/>
      </c>
      <c r="AO16" t="str">
        <f>IF(CADASTROS!$B$16="","",CADASTROS!$B$16)</f>
        <v>CONCESSIONÁRIA</v>
      </c>
      <c r="AP16">
        <f>IF(AO16="",0,COUNTIFS(rEmpresa,"&lt;&gt;",rResp,critResp,rRamo,AO16))</f>
        <v>7</v>
      </c>
      <c r="AQ16">
        <f>IF(AO16="",0,COUNTIFS(rEmpresa,"&lt;&gt;",rResp,critResp,rRamo,AO16,rNotif,"NOTIFICAÇÃO DE CONSTATAÇÃO"))</f>
        <v>5</v>
      </c>
      <c r="AR16">
        <f>IF(AO16="",0,COUNTIFS(rEmpresa,"&lt;&gt;",rResp,critResp,rRamo,AO16,rNotif,"NOTIFICAÇÃO DE ESCLARECIMENTO"))</f>
        <v>2</v>
      </c>
      <c r="AS16">
        <f>IF(AO16="",0,COUNTIFS(rEmpresa,"&lt;&gt;",rResp,critResp,rRamo,AO16,rStatus,"PRAZO D.P"))</f>
        <v>2</v>
      </c>
      <c r="AT16">
        <f>IF(AO16="",-1,AP16+(100-ROW())/1000)</f>
        <v>7.084</v>
      </c>
      <c r="AV16" t="n">
        <v>11</v>
      </c>
      <c r="AW16" t="str">
        <f>IF(BC16="","",INDEX($AO$6:$AO$35,BC16))</f>
        <v>ESCOLA</v>
      </c>
      <c r="AX16">
        <f>IF(BC16="","",INDEX($AP$6:$AP$35,BC16))</f>
        <v>6</v>
      </c>
      <c r="AY16">
        <f>IF(BC16="","",INDEX($AQ$6:$AQ$35,BC16))</f>
        <v>4</v>
      </c>
      <c r="AZ16">
        <f>IF(BC16="","",INDEX($AR$6:$AR$35,BC16))</f>
        <v>2</v>
      </c>
      <c r="BA16">
        <f>IF(BC16="","",INDEX($AS$6:$AS$35,BC16))</f>
        <v>1</v>
      </c>
      <c r="BB16">
        <f>IF(BC16="","",IFERROR(AX16/SUM($AP$6:$AP$35),0))</f>
        <v>0.0625</v>
      </c>
      <c r="BC16">
        <f>IF(LARGE($AT$6:$AT$35,AV16)&lt;0,"",MATCH(LARGE($AT$6:$AT$35,AV16),$AT$6:$AT$35,0))</f>
        <v>9</v>
      </c>
      <c r="BF16" t="str">
        <f>IF(AND(OR(PROCESSOS!O16="NO PRAZO",PROCESSOS!O16="VENCE EM BREVE"),OR(FiltroResp="TODOS",FiltroResp="",PROCESSOS!H16=FiltroResp)),PROCESSOS!M16+ROW()/1000000,"")</f>
        <v/>
      </c>
      <c r="BG16">
        <f>IF(AND(PROCESSOS!B16&lt;&gt;"",ISNUMBER(PROCESSOS!D16),OR(FiltroResp="TODOS",FiltroResp="",PROCESSOS!H16=FiltroResp)),PROCESSOS!D16+ROW()/1000000,"")</f>
        <v>46125.00001599537</v>
      </c>
    </row>
    <row r="17">
      <c r="E17" t="str">
        <f>IF(CADASTROS!$D$17="","",CADASTROS!$D$17)</f>
        <v/>
      </c>
      <c r="I17" s="126" t="inlineStr">
        <is>
          <t>NOTIFICAÇÃO</t>
        </is>
      </c>
      <c r="L17" t="n">
        <v>12</v>
      </c>
      <c r="M17" t="inlineStr">
        <is>
          <t>DEZ</t>
        </is>
      </c>
      <c r="N17">
        <f>COUNTIFS(rEmpresa,"&lt;&gt;",rResp,critResp,rDataFisc,"&gt;="&amp;DATE(FiltroAno,L17,1),rDataFisc,"&lt;"&amp;DATE(FiltroAno,L17+1,1))</f>
        <v>0</v>
      </c>
      <c r="O17">
        <f>COUNTIFS(rEmpresa,"&lt;&gt;",rResp,critResp,rDataFisc,"&gt;="&amp;DATE(FiltroAno,L17,1),rDataFisc,"&lt;"&amp;DATE(FiltroAno,L17+1,1),rNotif,"NOTIFICAÇÃO DE CONSTATAÇÃO")</f>
        <v>0</v>
      </c>
      <c r="P17">
        <f>COUNTIFS(rEmpresa,"&lt;&gt;",rResp,critResp,rDataFisc,"&gt;="&amp;DATE(FiltroAno,L17,1),rDataFisc,"&lt;"&amp;DATE(FiltroAno,L17+1,1),rNotif,"NOTIFICAÇÃO DE ESCLARECIMENTO")</f>
        <v>0</v>
      </c>
      <c r="Q17">
        <f>COUNTIFS(rEmpresa,"&lt;&gt;",rResp,critResp,rDataFisc,"&gt;="&amp;DATE(FiltroAno,L17,1),rDataFisc,"&lt;"&amp;DATE(FiltroAno,L17+1,1),rTipo,"PRESENCIAL")</f>
        <v>0</v>
      </c>
      <c r="R17">
        <f>COUNTIFS(rEmpresa,"&lt;&gt;",rResp,critResp,rDataFisc,"&gt;="&amp;DATE(FiltroAno,L17,1),rDataFisc,"&lt;"&amp;DATE(FiltroAno,L17+1,1),rTipo,"ELETRÔNICA")</f>
        <v>0</v>
      </c>
      <c r="S17">
        <f>MetaMensal</f>
        <v>12</v>
      </c>
      <c r="T17">
        <f>SUM($N$6:N17)</f>
        <v>96</v>
      </c>
      <c r="U17">
        <f>SUM($S$6:S17)</f>
        <v>144</v>
      </c>
      <c r="W17" t="str">
        <f>IF(CADASTROS!$D$17="","",CADASTROS!$D$17)</f>
        <v/>
      </c>
      <c r="X17">
        <f>IF(W17="",0,COUNTIFS(rResp,W17,rEmpresa,"&lt;&gt;"))</f>
        <v>0</v>
      </c>
      <c r="Y17">
        <f>IF(W17="",0,COUNTIFS(rResp,W17,rEmpresa,"&lt;&gt;",rStatus,"PRAZO D.P"))</f>
        <v>0</v>
      </c>
      <c r="Z17">
        <f>IF(W17="",0,COUNTIFS(rResp,W17,rEmpresa,"&lt;&gt;",rStatus,"DECISÃO D.P"))</f>
        <v>0</v>
      </c>
      <c r="AA17">
        <f>IF(W17="",0,COUNTIFS(rResp,W17,rEmpresa,"&lt;&gt;",rSit,"NO PRAZO"))</f>
        <v>0</v>
      </c>
      <c r="AB17">
        <f>IF(W17="",0,COUNTIFS(rResp,W17,rEmpresa,"&lt;&gt;",rSit,"VENCE EM BREVE"))</f>
        <v>0</v>
      </c>
      <c r="AC17">
        <f>IF(W17="",-1,X17+(100-ROW())/1000)</f>
        <v>-1</v>
      </c>
      <c r="AE17" t="n">
        <v>12</v>
      </c>
      <c r="AF17" t="str">
        <f>IF(AM17="","",INDEX($W$6:$W$20,AM17))</f>
        <v/>
      </c>
      <c r="AG17" t="str">
        <f>IF(AM17="","",INDEX($X$6:$X$20,AM17))</f>
        <v/>
      </c>
      <c r="AH17" t="str">
        <f>IF(AM17="","",INDEX($Y$6:$Y$20,AM17))</f>
        <v/>
      </c>
      <c r="AI17" t="str">
        <f>IF(AM17="","",INDEX($Z$6:$Z$20,AM17))</f>
        <v/>
      </c>
      <c r="AJ17" t="str">
        <f>IF(AM17="","",INDEX($AA$6:$AA$20,AM17))</f>
        <v/>
      </c>
      <c r="AK17" t="str">
        <f>IF(AM17="","",INDEX($AB$6:$AB$20,AM17))</f>
        <v/>
      </c>
      <c r="AL17" t="str">
        <f>IF(AM17="","",IFERROR(AG17/SUM($X$6:$X$20),0))</f>
        <v/>
      </c>
      <c r="AM17" t="str">
        <f>IF(LARGE($AC$6:$AC$20,AE17)&lt;0,"",MATCH(LARGE($AC$6:$AC$20,AE17),$AC$6:$AC$20,0))</f>
        <v/>
      </c>
      <c r="AO17" t="str">
        <f>IF(CADASTROS!$B$17="","",CADASTROS!$B$17)</f>
        <v>OUTROS</v>
      </c>
      <c r="AP17">
        <f>IF(AO17="",0,COUNTIFS(rEmpresa,"&lt;&gt;",rResp,critResp,rRamo,AO17))</f>
        <v>9</v>
      </c>
      <c r="AQ17">
        <f>IF(AO17="",0,COUNTIFS(rEmpresa,"&lt;&gt;",rResp,critResp,rRamo,AO17,rNotif,"NOTIFICAÇÃO DE CONSTATAÇÃO"))</f>
        <v>6</v>
      </c>
      <c r="AR17">
        <f>IF(AO17="",0,COUNTIFS(rEmpresa,"&lt;&gt;",rResp,critResp,rRamo,AO17,rNotif,"NOTIFICAÇÃO DE ESCLARECIMENTO"))</f>
        <v>3</v>
      </c>
      <c r="AS17">
        <f>IF(AO17="",0,COUNTIFS(rEmpresa,"&lt;&gt;",rResp,critResp,rRamo,AO17,rStatus,"PRAZO D.P"))</f>
        <v>3</v>
      </c>
      <c r="AT17">
        <f>IF(AO17="",-1,AP17+(100-ROW())/1000)</f>
        <v>9.083</v>
      </c>
      <c r="AV17" t="n">
        <v>12</v>
      </c>
      <c r="AW17" t="str">
        <f>IF(BC17="","",INDEX($AO$6:$AO$35,BC17))</f>
        <v>BANCO</v>
      </c>
      <c r="AX17">
        <f>IF(BC17="","",INDEX($AP$6:$AP$35,BC17))</f>
        <v>5</v>
      </c>
      <c r="AY17">
        <f>IF(BC17="","",INDEX($AQ$6:$AQ$35,BC17))</f>
        <v>2</v>
      </c>
      <c r="AZ17">
        <f>IF(BC17="","",INDEX($AR$6:$AR$35,BC17))</f>
        <v>3</v>
      </c>
      <c r="BA17">
        <f>IF(BC17="","",INDEX($AS$6:$AS$35,BC17))</f>
        <v>1</v>
      </c>
      <c r="BB17">
        <f>IF(BC17="","",IFERROR(AX17/SUM($AP$6:$AP$35),0))</f>
        <v>0.0520833333333333</v>
      </c>
      <c r="BC17">
        <f>IF(LARGE($AT$6:$AT$35,AV17)&lt;0,"",MATCH(LARGE($AT$6:$AT$35,AV17),$AT$6:$AT$35,0))</f>
        <v>8</v>
      </c>
      <c r="BF17" t="str">
        <f>IF(AND(OR(PROCESSOS!O17="NO PRAZO",PROCESSOS!O17="VENCE EM BREVE"),OR(FiltroResp="TODOS",FiltroResp="",PROCESSOS!H17=FiltroResp)),PROCESSOS!M17+ROW()/1000000,"")</f>
        <v/>
      </c>
      <c r="BG17">
        <f>IF(AND(PROCESSOS!B17&lt;&gt;"",ISNUMBER(PROCESSOS!D17),OR(FiltroResp="TODOS",FiltroResp="",PROCESSOS!H17=FiltroResp)),PROCESSOS!D17+ROW()/1000000,"")</f>
        <v>46125.00001700231</v>
      </c>
    </row>
    <row r="18">
      <c r="E18" t="str">
        <f>IF(CADASTROS!$D$18="","",CADASTROS!$D$18)</f>
        <v/>
      </c>
      <c r="I18" t="inlineStr">
        <is>
          <t>Constatação</t>
        </is>
      </c>
      <c r="J18">
        <f>COUNTIFS(rEmpresa,"&lt;&gt;",rResp,critResp,rNotif,"NOTIFICAÇÃO DE CONSTATAÇÃO")</f>
        <v>56</v>
      </c>
      <c r="W18" t="str">
        <f>IF(CADASTROS!$D$18="","",CADASTROS!$D$18)</f>
        <v/>
      </c>
      <c r="X18">
        <f>IF(W18="",0,COUNTIFS(rResp,W18,rEmpresa,"&lt;&gt;"))</f>
        <v>0</v>
      </c>
      <c r="Y18">
        <f>IF(W18="",0,COUNTIFS(rResp,W18,rEmpresa,"&lt;&gt;",rStatus,"PRAZO D.P"))</f>
        <v>0</v>
      </c>
      <c r="Z18">
        <f>IF(W18="",0,COUNTIFS(rResp,W18,rEmpresa,"&lt;&gt;",rStatus,"DECISÃO D.P"))</f>
        <v>0</v>
      </c>
      <c r="AA18">
        <f>IF(W18="",0,COUNTIFS(rResp,W18,rEmpresa,"&lt;&gt;",rSit,"NO PRAZO"))</f>
        <v>0</v>
      </c>
      <c r="AB18">
        <f>IF(W18="",0,COUNTIFS(rResp,W18,rEmpresa,"&lt;&gt;",rSit,"VENCE EM BREVE"))</f>
        <v>0</v>
      </c>
      <c r="AC18">
        <f>IF(W18="",-1,X18+(100-ROW())/1000)</f>
        <v>-1</v>
      </c>
      <c r="AE18" t="n">
        <v>13</v>
      </c>
      <c r="AF18" t="str">
        <f>IF(AM18="","",INDEX($W$6:$W$20,AM18))</f>
        <v/>
      </c>
      <c r="AG18" t="str">
        <f>IF(AM18="","",INDEX($X$6:$X$20,AM18))</f>
        <v/>
      </c>
      <c r="AH18" t="str">
        <f>IF(AM18="","",INDEX($Y$6:$Y$20,AM18))</f>
        <v/>
      </c>
      <c r="AI18" t="str">
        <f>IF(AM18="","",INDEX($Z$6:$Z$20,AM18))</f>
        <v/>
      </c>
      <c r="AJ18" t="str">
        <f>IF(AM18="","",INDEX($AA$6:$AA$20,AM18))</f>
        <v/>
      </c>
      <c r="AK18" t="str">
        <f>IF(AM18="","",INDEX($AB$6:$AB$20,AM18))</f>
        <v/>
      </c>
      <c r="AL18" t="str">
        <f>IF(AM18="","",IFERROR(AG18/SUM($X$6:$X$20),0))</f>
        <v/>
      </c>
      <c r="AM18" t="str">
        <f>IF(LARGE($AC$6:$AC$20,AE18)&lt;0,"",MATCH(LARGE($AC$6:$AC$20,AE18),$AC$6:$AC$20,0))</f>
        <v/>
      </c>
      <c r="AO18" t="str">
        <f>IF(CADASTROS!$B$18="","",CADASTROS!$B$18)</f>
        <v/>
      </c>
      <c r="AP18">
        <f>IF(AO18="",0,COUNTIFS(rEmpresa,"&lt;&gt;",rResp,critResp,rRamo,AO18))</f>
        <v>0</v>
      </c>
      <c r="AQ18">
        <f>IF(AO18="",0,COUNTIFS(rEmpresa,"&lt;&gt;",rResp,critResp,rRamo,AO18,rNotif,"NOTIFICAÇÃO DE CONSTATAÇÃO"))</f>
        <v>0</v>
      </c>
      <c r="AR18">
        <f>IF(AO18="",0,COUNTIFS(rEmpresa,"&lt;&gt;",rResp,critResp,rRamo,AO18,rNotif,"NOTIFICAÇÃO DE ESCLARECIMENTO"))</f>
        <v>0</v>
      </c>
      <c r="AS18">
        <f>IF(AO18="",0,COUNTIFS(rEmpresa,"&lt;&gt;",rResp,critResp,rRamo,AO18,rStatus,"PRAZO D.P"))</f>
        <v>0</v>
      </c>
      <c r="AT18">
        <f>IF(AO18="",-1,AP18+(100-ROW())/1000)</f>
        <v>-1</v>
      </c>
      <c r="AV18" t="n">
        <v>13</v>
      </c>
      <c r="AW18" t="str">
        <f>IF(BC18="","",INDEX($AO$6:$AO$35,BC18))</f>
        <v/>
      </c>
      <c r="AX18" t="str">
        <f>IF(BC18="","",INDEX($AP$6:$AP$35,BC18))</f>
        <v/>
      </c>
      <c r="AY18" t="str">
        <f>IF(BC18="","",INDEX($AQ$6:$AQ$35,BC18))</f>
        <v/>
      </c>
      <c r="AZ18" t="str">
        <f>IF(BC18="","",INDEX($AR$6:$AR$35,BC18))</f>
        <v/>
      </c>
      <c r="BA18" t="str">
        <f>IF(BC18="","",INDEX($AS$6:$AS$35,BC18))</f>
        <v/>
      </c>
      <c r="BB18" t="str">
        <f>IF(BC18="","",IFERROR(AX18/SUM($AP$6:$AP$35),0))</f>
        <v/>
      </c>
      <c r="BC18" t="str">
        <f>IF(LARGE($AT$6:$AT$35,AV18)&lt;0,"",MATCH(LARGE($AT$6:$AT$35,AV18),$AT$6:$AT$35,0))</f>
        <v/>
      </c>
      <c r="BF18" t="str">
        <f>IF(AND(OR(PROCESSOS!O18="NO PRAZO",PROCESSOS!O18="VENCE EM BREVE"),OR(FiltroResp="TODOS",FiltroResp="",PROCESSOS!H18=FiltroResp)),PROCESSOS!M18+ROW()/1000000,"")</f>
        <v/>
      </c>
      <c r="BG18">
        <f>IF(AND(PROCESSOS!B18&lt;&gt;"",ISNUMBER(PROCESSOS!D18),OR(FiltroResp="TODOS",FiltroResp="",PROCESSOS!H18=FiltroResp)),PROCESSOS!D18+ROW()/1000000,"")</f>
        <v>46128.000017997685</v>
      </c>
    </row>
    <row r="19">
      <c r="E19" t="str">
        <f>IF(CADASTROS!$D$19="","",CADASTROS!$D$19)</f>
        <v/>
      </c>
      <c r="I19" t="inlineStr">
        <is>
          <t>Esclarecimento</t>
        </is>
      </c>
      <c r="J19">
        <f>COUNTIFS(rEmpresa,"&lt;&gt;",rResp,critResp,rNotif,"NOTIFICAÇÃO DE ESCLARECIMENTO")</f>
        <v>40</v>
      </c>
      <c r="W19" t="str">
        <f>IF(CADASTROS!$D$19="","",CADASTROS!$D$19)</f>
        <v/>
      </c>
      <c r="X19">
        <f>IF(W19="",0,COUNTIFS(rResp,W19,rEmpresa,"&lt;&gt;"))</f>
        <v>0</v>
      </c>
      <c r="Y19">
        <f>IF(W19="",0,COUNTIFS(rResp,W19,rEmpresa,"&lt;&gt;",rStatus,"PRAZO D.P"))</f>
        <v>0</v>
      </c>
      <c r="Z19">
        <f>IF(W19="",0,COUNTIFS(rResp,W19,rEmpresa,"&lt;&gt;",rStatus,"DECISÃO D.P"))</f>
        <v>0</v>
      </c>
      <c r="AA19">
        <f>IF(W19="",0,COUNTIFS(rResp,W19,rEmpresa,"&lt;&gt;",rSit,"NO PRAZO"))</f>
        <v>0</v>
      </c>
      <c r="AB19">
        <f>IF(W19="",0,COUNTIFS(rResp,W19,rEmpresa,"&lt;&gt;",rSit,"VENCE EM BREVE"))</f>
        <v>0</v>
      </c>
      <c r="AC19">
        <f>IF(W19="",-1,X19+(100-ROW())/1000)</f>
        <v>-1</v>
      </c>
      <c r="AE19" t="n">
        <v>14</v>
      </c>
      <c r="AF19" t="str">
        <f>IF(AM19="","",INDEX($W$6:$W$20,AM19))</f>
        <v/>
      </c>
      <c r="AG19" t="str">
        <f>IF(AM19="","",INDEX($X$6:$X$20,AM19))</f>
        <v/>
      </c>
      <c r="AH19" t="str">
        <f>IF(AM19="","",INDEX($Y$6:$Y$20,AM19))</f>
        <v/>
      </c>
      <c r="AI19" t="str">
        <f>IF(AM19="","",INDEX($Z$6:$Z$20,AM19))</f>
        <v/>
      </c>
      <c r="AJ19" t="str">
        <f>IF(AM19="","",INDEX($AA$6:$AA$20,AM19))</f>
        <v/>
      </c>
      <c r="AK19" t="str">
        <f>IF(AM19="","",INDEX($AB$6:$AB$20,AM19))</f>
        <v/>
      </c>
      <c r="AL19" t="str">
        <f>IF(AM19="","",IFERROR(AG19/SUM($X$6:$X$20),0))</f>
        <v/>
      </c>
      <c r="AM19" t="str">
        <f>IF(LARGE($AC$6:$AC$20,AE19)&lt;0,"",MATCH(LARGE($AC$6:$AC$20,AE19),$AC$6:$AC$20,0))</f>
        <v/>
      </c>
      <c r="AO19" t="str">
        <f>IF(CADASTROS!$B$19="","",CADASTROS!$B$19)</f>
        <v/>
      </c>
      <c r="AP19">
        <f>IF(AO19="",0,COUNTIFS(rEmpresa,"&lt;&gt;",rResp,critResp,rRamo,AO19))</f>
        <v>0</v>
      </c>
      <c r="AQ19">
        <f>IF(AO19="",0,COUNTIFS(rEmpresa,"&lt;&gt;",rResp,critResp,rRamo,AO19,rNotif,"NOTIFICAÇÃO DE CONSTATAÇÃO"))</f>
        <v>0</v>
      </c>
      <c r="AR19">
        <f>IF(AO19="",0,COUNTIFS(rEmpresa,"&lt;&gt;",rResp,critResp,rRamo,AO19,rNotif,"NOTIFICAÇÃO DE ESCLARECIMENTO"))</f>
        <v>0</v>
      </c>
      <c r="AS19">
        <f>IF(AO19="",0,COUNTIFS(rEmpresa,"&lt;&gt;",rResp,critResp,rRamo,AO19,rStatus,"PRAZO D.P"))</f>
        <v>0</v>
      </c>
      <c r="AT19">
        <f>IF(AO19="",-1,AP19+(100-ROW())/1000)</f>
        <v>-1</v>
      </c>
      <c r="AV19" t="n">
        <v>14</v>
      </c>
      <c r="AW19" t="str">
        <f>IF(BC19="","",INDEX($AO$6:$AO$35,BC19))</f>
        <v/>
      </c>
      <c r="AX19" t="str">
        <f>IF(BC19="","",INDEX($AP$6:$AP$35,BC19))</f>
        <v/>
      </c>
      <c r="AY19" t="str">
        <f>IF(BC19="","",INDEX($AQ$6:$AQ$35,BC19))</f>
        <v/>
      </c>
      <c r="AZ19" t="str">
        <f>IF(BC19="","",INDEX($AR$6:$AR$35,BC19))</f>
        <v/>
      </c>
      <c r="BA19" t="str">
        <f>IF(BC19="","",INDEX($AS$6:$AS$35,BC19))</f>
        <v/>
      </c>
      <c r="BB19" t="str">
        <f>IF(BC19="","",IFERROR(AX19/SUM($AP$6:$AP$35),0))</f>
        <v/>
      </c>
      <c r="BC19" t="str">
        <f>IF(LARGE($AT$6:$AT$35,AV19)&lt;0,"",MATCH(LARGE($AT$6:$AT$35,AV19),$AT$6:$AT$35,0))</f>
        <v/>
      </c>
      <c r="BF19" t="str">
        <f>IF(AND(OR(PROCESSOS!O19="NO PRAZO",PROCESSOS!O19="VENCE EM BREVE"),OR(FiltroResp="TODOS",FiltroResp="",PROCESSOS!H19=FiltroResp)),PROCESSOS!M19+ROW()/1000000,"")</f>
        <v/>
      </c>
      <c r="BG19">
        <f>IF(AND(PROCESSOS!B19&lt;&gt;"",ISNUMBER(PROCESSOS!D19),OR(FiltroResp="TODOS",FiltroResp="",PROCESSOS!H19=FiltroResp)),PROCESSOS!D19+ROW()/1000000,"")</f>
        <v>46132.00001900463</v>
      </c>
    </row>
    <row r="20">
      <c r="E20" t="str">
        <f>IF(CADASTROS!$D$20="","",CADASTROS!$D$20)</f>
        <v/>
      </c>
      <c r="W20" t="str">
        <f>IF(CADASTROS!$D$20="","",CADASTROS!$D$20)</f>
        <v/>
      </c>
      <c r="X20">
        <f>IF(W20="",0,COUNTIFS(rResp,W20,rEmpresa,"&lt;&gt;"))</f>
        <v>0</v>
      </c>
      <c r="Y20">
        <f>IF(W20="",0,COUNTIFS(rResp,W20,rEmpresa,"&lt;&gt;",rStatus,"PRAZO D.P"))</f>
        <v>0</v>
      </c>
      <c r="Z20">
        <f>IF(W20="",0,COUNTIFS(rResp,W20,rEmpresa,"&lt;&gt;",rStatus,"DECISÃO D.P"))</f>
        <v>0</v>
      </c>
      <c r="AA20">
        <f>IF(W20="",0,COUNTIFS(rResp,W20,rEmpresa,"&lt;&gt;",rSit,"NO PRAZO"))</f>
        <v>0</v>
      </c>
      <c r="AB20">
        <f>IF(W20="",0,COUNTIFS(rResp,W20,rEmpresa,"&lt;&gt;",rSit,"VENCE EM BREVE"))</f>
        <v>0</v>
      </c>
      <c r="AC20">
        <f>IF(W20="",-1,X20+(100-ROW())/1000)</f>
        <v>-1</v>
      </c>
      <c r="AE20" t="n">
        <v>15</v>
      </c>
      <c r="AF20" t="str">
        <f>IF(AM20="","",INDEX($W$6:$W$20,AM20))</f>
        <v/>
      </c>
      <c r="AG20" t="str">
        <f>IF(AM20="","",INDEX($X$6:$X$20,AM20))</f>
        <v/>
      </c>
      <c r="AH20" t="str">
        <f>IF(AM20="","",INDEX($Y$6:$Y$20,AM20))</f>
        <v/>
      </c>
      <c r="AI20" t="str">
        <f>IF(AM20="","",INDEX($Z$6:$Z$20,AM20))</f>
        <v/>
      </c>
      <c r="AJ20" t="str">
        <f>IF(AM20="","",INDEX($AA$6:$AA$20,AM20))</f>
        <v/>
      </c>
      <c r="AK20" t="str">
        <f>IF(AM20="","",INDEX($AB$6:$AB$20,AM20))</f>
        <v/>
      </c>
      <c r="AL20" t="str">
        <f>IF(AM20="","",IFERROR(AG20/SUM($X$6:$X$20),0))</f>
        <v/>
      </c>
      <c r="AM20" t="str">
        <f>IF(LARGE($AC$6:$AC$20,AE20)&lt;0,"",MATCH(LARGE($AC$6:$AC$20,AE20),$AC$6:$AC$20,0))</f>
        <v/>
      </c>
      <c r="AO20" t="str">
        <f>IF(CADASTROS!$B$20="","",CADASTROS!$B$20)</f>
        <v/>
      </c>
      <c r="AP20">
        <f>IF(AO20="",0,COUNTIFS(rEmpresa,"&lt;&gt;",rResp,critResp,rRamo,AO20))</f>
        <v>0</v>
      </c>
      <c r="AQ20">
        <f>IF(AO20="",0,COUNTIFS(rEmpresa,"&lt;&gt;",rResp,critResp,rRamo,AO20,rNotif,"NOTIFICAÇÃO DE CONSTATAÇÃO"))</f>
        <v>0</v>
      </c>
      <c r="AR20">
        <f>IF(AO20="",0,COUNTIFS(rEmpresa,"&lt;&gt;",rResp,critResp,rRamo,AO20,rNotif,"NOTIFICAÇÃO DE ESCLARECIMENTO"))</f>
        <v>0</v>
      </c>
      <c r="AS20">
        <f>IF(AO20="",0,COUNTIFS(rEmpresa,"&lt;&gt;",rResp,critResp,rRamo,AO20,rStatus,"PRAZO D.P"))</f>
        <v>0</v>
      </c>
      <c r="AT20">
        <f>IF(AO20="",-1,AP20+(100-ROW())/1000)</f>
        <v>-1</v>
      </c>
      <c r="AV20" t="n">
        <v>15</v>
      </c>
      <c r="AW20" t="str">
        <f>IF(BC20="","",INDEX($AO$6:$AO$35,BC20))</f>
        <v/>
      </c>
      <c r="AX20" t="str">
        <f>IF(BC20="","",INDEX($AP$6:$AP$35,BC20))</f>
        <v/>
      </c>
      <c r="AY20" t="str">
        <f>IF(BC20="","",INDEX($AQ$6:$AQ$35,BC20))</f>
        <v/>
      </c>
      <c r="AZ20" t="str">
        <f>IF(BC20="","",INDEX($AR$6:$AR$35,BC20))</f>
        <v/>
      </c>
      <c r="BA20" t="str">
        <f>IF(BC20="","",INDEX($AS$6:$AS$35,BC20))</f>
        <v/>
      </c>
      <c r="BB20" t="str">
        <f>IF(BC20="","",IFERROR(AX20/SUM($AP$6:$AP$35),0))</f>
        <v/>
      </c>
      <c r="BC20" t="str">
        <f>IF(LARGE($AT$6:$AT$35,AV20)&lt;0,"",MATCH(LARGE($AT$6:$AT$35,AV20),$AT$6:$AT$35,0))</f>
        <v/>
      </c>
      <c r="BF20" t="str">
        <f>IF(AND(OR(PROCESSOS!O20="NO PRAZO",PROCESSOS!O20="VENCE EM BREVE"),OR(FiltroResp="TODOS",FiltroResp="",PROCESSOS!H20=FiltroResp)),PROCESSOS!M20+ROW()/1000000,"")</f>
        <v/>
      </c>
      <c r="BG20">
        <f>IF(AND(PROCESSOS!B20&lt;&gt;"",ISNUMBER(PROCESSOS!D20),OR(FiltroResp="TODOS",FiltroResp="",PROCESSOS!H20=FiltroResp)),PROCESSOS!D20+ROW()/1000000,"")</f>
        <v>46141.00002</v>
      </c>
    </row>
    <row r="21">
      <c r="AO21" t="str">
        <f>IF(CADASTROS!$B$21="","",CADASTROS!$B$21)</f>
        <v/>
      </c>
      <c r="AP21">
        <f>IF(AO21="",0,COUNTIFS(rEmpresa,"&lt;&gt;",rResp,critResp,rRamo,AO21))</f>
        <v>0</v>
      </c>
      <c r="AQ21">
        <f>IF(AO21="",0,COUNTIFS(rEmpresa,"&lt;&gt;",rResp,critResp,rRamo,AO21,rNotif,"NOTIFICAÇÃO DE CONSTATAÇÃO"))</f>
        <v>0</v>
      </c>
      <c r="AR21">
        <f>IF(AO21="",0,COUNTIFS(rEmpresa,"&lt;&gt;",rResp,critResp,rRamo,AO21,rNotif,"NOTIFICAÇÃO DE ESCLARECIMENTO"))</f>
        <v>0</v>
      </c>
      <c r="AS21">
        <f>IF(AO21="",0,COUNTIFS(rEmpresa,"&lt;&gt;",rResp,critResp,rRamo,AO21,rStatus,"PRAZO D.P"))</f>
        <v>0</v>
      </c>
      <c r="AT21">
        <f>IF(AO21="",-1,AP21+(100-ROW())/1000)</f>
        <v>-1</v>
      </c>
      <c r="AV21" t="n">
        <v>16</v>
      </c>
      <c r="AW21" t="str">
        <f>IF(BC21="","",INDEX($AO$6:$AO$35,BC21))</f>
        <v/>
      </c>
      <c r="AX21" t="str">
        <f>IF(BC21="","",INDEX($AP$6:$AP$35,BC21))</f>
        <v/>
      </c>
      <c r="AY21" t="str">
        <f>IF(BC21="","",INDEX($AQ$6:$AQ$35,BC21))</f>
        <v/>
      </c>
      <c r="AZ21" t="str">
        <f>IF(BC21="","",INDEX($AR$6:$AR$35,BC21))</f>
        <v/>
      </c>
      <c r="BA21" t="str">
        <f>IF(BC21="","",INDEX($AS$6:$AS$35,BC21))</f>
        <v/>
      </c>
      <c r="BB21" t="str">
        <f>IF(BC21="","",IFERROR(AX21/SUM($AP$6:$AP$35),0))</f>
        <v/>
      </c>
      <c r="BC21" t="str">
        <f>IF(LARGE($AT$6:$AT$35,AV21)&lt;0,"",MATCH(LARGE($AT$6:$AT$35,AV21),$AT$6:$AT$35,0))</f>
        <v/>
      </c>
      <c r="BF21" t="str">
        <f>IF(AND(OR(PROCESSOS!O21="NO PRAZO",PROCESSOS!O21="VENCE EM BREVE"),OR(FiltroResp="TODOS",FiltroResp="",PROCESSOS!H21=FiltroResp)),PROCESSOS!M21+ROW()/1000000,"")</f>
        <v/>
      </c>
      <c r="BG21">
        <f>IF(AND(PROCESSOS!B21&lt;&gt;"",ISNUMBER(PROCESSOS!D21),OR(FiltroResp="TODOS",FiltroResp="",PROCESSOS!H21=FiltroResp)),PROCESSOS!D21+ROW()/1000000,"")</f>
        <v>46144.00002099537</v>
      </c>
    </row>
    <row r="22">
      <c r="I22" s="126" t="inlineStr">
        <is>
          <t>TIPO</t>
        </is>
      </c>
      <c r="AO22" t="str">
        <f>IF(CADASTROS!$B$22="","",CADASTROS!$B$22)</f>
        <v/>
      </c>
      <c r="AP22">
        <f>IF(AO22="",0,COUNTIFS(rEmpresa,"&lt;&gt;",rResp,critResp,rRamo,AO22))</f>
        <v>0</v>
      </c>
      <c r="AQ22">
        <f>IF(AO22="",0,COUNTIFS(rEmpresa,"&lt;&gt;",rResp,critResp,rRamo,AO22,rNotif,"NOTIFICAÇÃO DE CONSTATAÇÃO"))</f>
        <v>0</v>
      </c>
      <c r="AR22">
        <f>IF(AO22="",0,COUNTIFS(rEmpresa,"&lt;&gt;",rResp,critResp,rRamo,AO22,rNotif,"NOTIFICAÇÃO DE ESCLARECIMENTO"))</f>
        <v>0</v>
      </c>
      <c r="AS22">
        <f>IF(AO22="",0,COUNTIFS(rEmpresa,"&lt;&gt;",rResp,critResp,rRamo,AO22,rStatus,"PRAZO D.P"))</f>
        <v>0</v>
      </c>
      <c r="AT22">
        <f>IF(AO22="",-1,AP22+(100-ROW())/1000)</f>
        <v>-1</v>
      </c>
      <c r="AV22" t="n">
        <v>17</v>
      </c>
      <c r="AW22" t="str">
        <f>IF(BC22="","",INDEX($AO$6:$AO$35,BC22))</f>
        <v/>
      </c>
      <c r="AX22" t="str">
        <f>IF(BC22="","",INDEX($AP$6:$AP$35,BC22))</f>
        <v/>
      </c>
      <c r="AY22" t="str">
        <f>IF(BC22="","",INDEX($AQ$6:$AQ$35,BC22))</f>
        <v/>
      </c>
      <c r="AZ22" t="str">
        <f>IF(BC22="","",INDEX($AR$6:$AR$35,BC22))</f>
        <v/>
      </c>
      <c r="BA22" t="str">
        <f>IF(BC22="","",INDEX($AS$6:$AS$35,BC22))</f>
        <v/>
      </c>
      <c r="BB22" t="str">
        <f>IF(BC22="","",IFERROR(AX22/SUM($AP$6:$AP$35),0))</f>
        <v/>
      </c>
      <c r="BC22" t="str">
        <f>IF(LARGE($AT$6:$AT$35,AV22)&lt;0,"",MATCH(LARGE($AT$6:$AT$35,AV22),$AT$6:$AT$35,0))</f>
        <v/>
      </c>
      <c r="BF22" t="str">
        <f>IF(AND(OR(PROCESSOS!O22="NO PRAZO",PROCESSOS!O22="VENCE EM BREVE"),OR(FiltroResp="TODOS",FiltroResp="",PROCESSOS!H22=FiltroResp)),PROCESSOS!M22+ROW()/1000000,"")</f>
        <v/>
      </c>
      <c r="BG22">
        <f>IF(AND(PROCESSOS!B22&lt;&gt;"",ISNUMBER(PROCESSOS!D22),OR(FiltroResp="TODOS",FiltroResp="",PROCESSOS!H22=FiltroResp)),PROCESSOS!D22+ROW()/1000000,"")</f>
        <v>46147.000022002314</v>
      </c>
    </row>
    <row r="23">
      <c r="I23" t="inlineStr">
        <is>
          <t>Presencial</t>
        </is>
      </c>
      <c r="J23">
        <f>COUNTIFS(rEmpresa,"&lt;&gt;",rResp,critResp,rTipo,"PRESENCIAL")</f>
        <v>64</v>
      </c>
      <c r="AO23" t="str">
        <f>IF(CADASTROS!$B$23="","",CADASTROS!$B$23)</f>
        <v/>
      </c>
      <c r="AP23">
        <f>IF(AO23="",0,COUNTIFS(rEmpresa,"&lt;&gt;",rResp,critResp,rRamo,AO23))</f>
        <v>0</v>
      </c>
      <c r="AQ23">
        <f>IF(AO23="",0,COUNTIFS(rEmpresa,"&lt;&gt;",rResp,critResp,rRamo,AO23,rNotif,"NOTIFICAÇÃO DE CONSTATAÇÃO"))</f>
        <v>0</v>
      </c>
      <c r="AR23">
        <f>IF(AO23="",0,COUNTIFS(rEmpresa,"&lt;&gt;",rResp,critResp,rRamo,AO23,rNotif,"NOTIFICAÇÃO DE ESCLARECIMENTO"))</f>
        <v>0</v>
      </c>
      <c r="AS23">
        <f>IF(AO23="",0,COUNTIFS(rEmpresa,"&lt;&gt;",rResp,critResp,rRamo,AO23,rStatus,"PRAZO D.P"))</f>
        <v>0</v>
      </c>
      <c r="AT23">
        <f>IF(AO23="",-1,AP23+(100-ROW())/1000)</f>
        <v>-1</v>
      </c>
      <c r="AV23" t="n">
        <v>18</v>
      </c>
      <c r="AW23" t="str">
        <f>IF(BC23="","",INDEX($AO$6:$AO$35,BC23))</f>
        <v/>
      </c>
      <c r="AX23" t="str">
        <f>IF(BC23="","",INDEX($AP$6:$AP$35,BC23))</f>
        <v/>
      </c>
      <c r="AY23" t="str">
        <f>IF(BC23="","",INDEX($AQ$6:$AQ$35,BC23))</f>
        <v/>
      </c>
      <c r="AZ23" t="str">
        <f>IF(BC23="","",INDEX($AR$6:$AR$35,BC23))</f>
        <v/>
      </c>
      <c r="BA23" t="str">
        <f>IF(BC23="","",INDEX($AS$6:$AS$35,BC23))</f>
        <v/>
      </c>
      <c r="BB23" t="str">
        <f>IF(BC23="","",IFERROR(AX23/SUM($AP$6:$AP$35),0))</f>
        <v/>
      </c>
      <c r="BC23" t="str">
        <f>IF(LARGE($AT$6:$AT$35,AV23)&lt;0,"",MATCH(LARGE($AT$6:$AT$35,AV23),$AT$6:$AT$35,0))</f>
        <v/>
      </c>
      <c r="BF23" t="str">
        <f>IF(AND(OR(PROCESSOS!O23="NO PRAZO",PROCESSOS!O23="VENCE EM BREVE"),OR(FiltroResp="TODOS",FiltroResp="",PROCESSOS!H23=FiltroResp)),PROCESSOS!M23+ROW()/1000000,"")</f>
        <v/>
      </c>
      <c r="BG23">
        <f>IF(AND(PROCESSOS!B23&lt;&gt;"",ISNUMBER(PROCESSOS!D23),OR(FiltroResp="TODOS",FiltroResp="",PROCESSOS!H23=FiltroResp)),PROCESSOS!D23+ROW()/1000000,"")</f>
        <v>46149.00002299769</v>
      </c>
    </row>
    <row r="24">
      <c r="I24" t="inlineStr">
        <is>
          <t>Eletrônica</t>
        </is>
      </c>
      <c r="J24">
        <f>COUNTIFS(rEmpresa,"&lt;&gt;",rResp,critResp,rTipo,"ELETRÔNICA")</f>
        <v>32</v>
      </c>
      <c r="AO24" t="str">
        <f>IF(CADASTROS!$B$24="","",CADASTROS!$B$24)</f>
        <v/>
      </c>
      <c r="AP24">
        <f>IF(AO24="",0,COUNTIFS(rEmpresa,"&lt;&gt;",rResp,critResp,rRamo,AO24))</f>
        <v>0</v>
      </c>
      <c r="AQ24">
        <f>IF(AO24="",0,COUNTIFS(rEmpresa,"&lt;&gt;",rResp,critResp,rRamo,AO24,rNotif,"NOTIFICAÇÃO DE CONSTATAÇÃO"))</f>
        <v>0</v>
      </c>
      <c r="AR24">
        <f>IF(AO24="",0,COUNTIFS(rEmpresa,"&lt;&gt;",rResp,critResp,rRamo,AO24,rNotif,"NOTIFICAÇÃO DE ESCLARECIMENTO"))</f>
        <v>0</v>
      </c>
      <c r="AS24">
        <f>IF(AO24="",0,COUNTIFS(rEmpresa,"&lt;&gt;",rResp,critResp,rRamo,AO24,rStatus,"PRAZO D.P"))</f>
        <v>0</v>
      </c>
      <c r="AT24">
        <f>IF(AO24="",-1,AP24+(100-ROW())/1000)</f>
        <v>-1</v>
      </c>
      <c r="AV24" t="n">
        <v>19</v>
      </c>
      <c r="AW24" t="str">
        <f>IF(BC24="","",INDEX($AO$6:$AO$35,BC24))</f>
        <v/>
      </c>
      <c r="AX24" t="str">
        <f>IF(BC24="","",INDEX($AP$6:$AP$35,BC24))</f>
        <v/>
      </c>
      <c r="AY24" t="str">
        <f>IF(BC24="","",INDEX($AQ$6:$AQ$35,BC24))</f>
        <v/>
      </c>
      <c r="AZ24" t="str">
        <f>IF(BC24="","",INDEX($AR$6:$AR$35,BC24))</f>
        <v/>
      </c>
      <c r="BA24" t="str">
        <f>IF(BC24="","",INDEX($AS$6:$AS$35,BC24))</f>
        <v/>
      </c>
      <c r="BB24" t="str">
        <f>IF(BC24="","",IFERROR(AX24/SUM($AP$6:$AP$35),0))</f>
        <v/>
      </c>
      <c r="BC24" t="str">
        <f>IF(LARGE($AT$6:$AT$35,AV24)&lt;0,"",MATCH(LARGE($AT$6:$AT$35,AV24),$AT$6:$AT$35,0))</f>
        <v/>
      </c>
      <c r="BF24" t="str">
        <f>IF(AND(OR(PROCESSOS!O24="NO PRAZO",PROCESSOS!O24="VENCE EM BREVE"),OR(FiltroResp="TODOS",FiltroResp="",PROCESSOS!H24=FiltroResp)),PROCESSOS!M24+ROW()/1000000,"")</f>
        <v/>
      </c>
      <c r="BG24">
        <f>IF(AND(PROCESSOS!B24&lt;&gt;"",ISNUMBER(PROCESSOS!D24),OR(FiltroResp="TODOS",FiltroResp="",PROCESSOS!H24=FiltroResp)),PROCESSOS!D24+ROW()/1000000,"")</f>
        <v>46150.00002400463</v>
      </c>
    </row>
    <row r="25">
      <c r="AO25" t="str">
        <f>IF(CADASTROS!$B$25="","",CADASTROS!$B$25)</f>
        <v/>
      </c>
      <c r="AP25">
        <f>IF(AO25="",0,COUNTIFS(rEmpresa,"&lt;&gt;",rResp,critResp,rRamo,AO25))</f>
        <v>0</v>
      </c>
      <c r="AQ25">
        <f>IF(AO25="",0,COUNTIFS(rEmpresa,"&lt;&gt;",rResp,critResp,rRamo,AO25,rNotif,"NOTIFICAÇÃO DE CONSTATAÇÃO"))</f>
        <v>0</v>
      </c>
      <c r="AR25">
        <f>IF(AO25="",0,COUNTIFS(rEmpresa,"&lt;&gt;",rResp,critResp,rRamo,AO25,rNotif,"NOTIFICAÇÃO DE ESCLARECIMENTO"))</f>
        <v>0</v>
      </c>
      <c r="AS25">
        <f>IF(AO25="",0,COUNTIFS(rEmpresa,"&lt;&gt;",rResp,critResp,rRamo,AO25,rStatus,"PRAZO D.P"))</f>
        <v>0</v>
      </c>
      <c r="AT25">
        <f>IF(AO25="",-1,AP25+(100-ROW())/1000)</f>
        <v>-1</v>
      </c>
      <c r="AV25" t="n">
        <v>20</v>
      </c>
      <c r="AW25" t="str">
        <f>IF(BC25="","",INDEX($AO$6:$AO$35,BC25))</f>
        <v/>
      </c>
      <c r="AX25" t="str">
        <f>IF(BC25="","",INDEX($AP$6:$AP$35,BC25))</f>
        <v/>
      </c>
      <c r="AY25" t="str">
        <f>IF(BC25="","",INDEX($AQ$6:$AQ$35,BC25))</f>
        <v/>
      </c>
      <c r="AZ25" t="str">
        <f>IF(BC25="","",INDEX($AR$6:$AR$35,BC25))</f>
        <v/>
      </c>
      <c r="BA25" t="str">
        <f>IF(BC25="","",INDEX($AS$6:$AS$35,BC25))</f>
        <v/>
      </c>
      <c r="BB25" t="str">
        <f>IF(BC25="","",IFERROR(AX25/SUM($AP$6:$AP$35),0))</f>
        <v/>
      </c>
      <c r="BC25" t="str">
        <f>IF(LARGE($AT$6:$AT$35,AV25)&lt;0,"",MATCH(LARGE($AT$6:$AT$35,AV25),$AT$6:$AT$35,0))</f>
        <v/>
      </c>
      <c r="BF25" t="str">
        <f>IF(AND(OR(PROCESSOS!O25="NO PRAZO",PROCESSOS!O25="VENCE EM BREVE"),OR(FiltroResp="TODOS",FiltroResp="",PROCESSOS!H25=FiltroResp)),PROCESSOS!M25+ROW()/1000000,"")</f>
        <v/>
      </c>
      <c r="BG25">
        <f>IF(AND(PROCESSOS!B25&lt;&gt;"",ISNUMBER(PROCESSOS!D25),OR(FiltroResp="TODOS",FiltroResp="",PROCESSOS!H25=FiltroResp)),PROCESSOS!D25+ROW()/1000000,"")</f>
        <v>46153.000025</v>
      </c>
    </row>
    <row r="26">
      <c r="AO26" t="str">
        <f>IF(CADASTROS!$B$26="","",CADASTROS!$B$26)</f>
        <v/>
      </c>
      <c r="AP26">
        <f>IF(AO26="",0,COUNTIFS(rEmpresa,"&lt;&gt;",rResp,critResp,rRamo,AO26))</f>
        <v>0</v>
      </c>
      <c r="AQ26">
        <f>IF(AO26="",0,COUNTIFS(rEmpresa,"&lt;&gt;",rResp,critResp,rRamo,AO26,rNotif,"NOTIFICAÇÃO DE CONSTATAÇÃO"))</f>
        <v>0</v>
      </c>
      <c r="AR26">
        <f>IF(AO26="",0,COUNTIFS(rEmpresa,"&lt;&gt;",rResp,critResp,rRamo,AO26,rNotif,"NOTIFICAÇÃO DE ESCLARECIMENTO"))</f>
        <v>0</v>
      </c>
      <c r="AS26">
        <f>IF(AO26="",0,COUNTIFS(rEmpresa,"&lt;&gt;",rResp,critResp,rRamo,AO26,rStatus,"PRAZO D.P"))</f>
        <v>0</v>
      </c>
      <c r="AT26">
        <f>IF(AO26="",-1,AP26+(100-ROW())/1000)</f>
        <v>-1</v>
      </c>
      <c r="AV26" t="n">
        <v>21</v>
      </c>
      <c r="AW26" t="str">
        <f>IF(BC26="","",INDEX($AO$6:$AO$35,BC26))</f>
        <v/>
      </c>
      <c r="AX26" t="str">
        <f>IF(BC26="","",INDEX($AP$6:$AP$35,BC26))</f>
        <v/>
      </c>
      <c r="AY26" t="str">
        <f>IF(BC26="","",INDEX($AQ$6:$AQ$35,BC26))</f>
        <v/>
      </c>
      <c r="AZ26" t="str">
        <f>IF(BC26="","",INDEX($AR$6:$AR$35,BC26))</f>
        <v/>
      </c>
      <c r="BA26" t="str">
        <f>IF(BC26="","",INDEX($AS$6:$AS$35,BC26))</f>
        <v/>
      </c>
      <c r="BB26" t="str">
        <f>IF(BC26="","",IFERROR(AX26/SUM($AP$6:$AP$35),0))</f>
        <v/>
      </c>
      <c r="BC26" t="str">
        <f>IF(LARGE($AT$6:$AT$35,AV26)&lt;0,"",MATCH(LARGE($AT$6:$AT$35,AV26),$AT$6:$AT$35,0))</f>
        <v/>
      </c>
      <c r="BF26" t="str">
        <f>IF(AND(OR(PROCESSOS!O26="NO PRAZO",PROCESSOS!O26="VENCE EM BREVE"),OR(FiltroResp="TODOS",FiltroResp="",PROCESSOS!H26=FiltroResp)),PROCESSOS!M26+ROW()/1000000,"")</f>
        <v/>
      </c>
      <c r="BG26">
        <f>IF(AND(PROCESSOS!B26&lt;&gt;"",ISNUMBER(PROCESSOS!D26),OR(FiltroResp="TODOS",FiltroResp="",PROCESSOS!H26=FiltroResp)),PROCESSOS!D26+ROW()/1000000,"")</f>
        <v>46153.00002599537</v>
      </c>
    </row>
    <row r="27">
      <c r="I27" t="inlineStr">
        <is>
          <t>MATRIZ</t>
        </is>
      </c>
      <c r="J27" t="inlineStr">
        <is>
          <t>Presencial</t>
        </is>
      </c>
      <c r="K27" t="inlineStr">
        <is>
          <t>Eletrônica</t>
        </is>
      </c>
      <c r="AO27" t="str">
        <f>IF(CADASTROS!$B$27="","",CADASTROS!$B$27)</f>
        <v/>
      </c>
      <c r="AP27">
        <f>IF(AO27="",0,COUNTIFS(rEmpresa,"&lt;&gt;",rResp,critResp,rRamo,AO27))</f>
        <v>0</v>
      </c>
      <c r="AQ27">
        <f>IF(AO27="",0,COUNTIFS(rEmpresa,"&lt;&gt;",rResp,critResp,rRamo,AO27,rNotif,"NOTIFICAÇÃO DE CONSTATAÇÃO"))</f>
        <v>0</v>
      </c>
      <c r="AR27">
        <f>IF(AO27="",0,COUNTIFS(rEmpresa,"&lt;&gt;",rResp,critResp,rRamo,AO27,rNotif,"NOTIFICAÇÃO DE ESCLARECIMENTO"))</f>
        <v>0</v>
      </c>
      <c r="AS27">
        <f>IF(AO27="",0,COUNTIFS(rEmpresa,"&lt;&gt;",rResp,critResp,rRamo,AO27,rStatus,"PRAZO D.P"))</f>
        <v>0</v>
      </c>
      <c r="AT27">
        <f>IF(AO27="",-1,AP27+(100-ROW())/1000)</f>
        <v>-1</v>
      </c>
      <c r="AV27" t="n">
        <v>22</v>
      </c>
      <c r="AW27" t="str">
        <f>IF(BC27="","",INDEX($AO$6:$AO$35,BC27))</f>
        <v/>
      </c>
      <c r="AX27" t="str">
        <f>IF(BC27="","",INDEX($AP$6:$AP$35,BC27))</f>
        <v/>
      </c>
      <c r="AY27" t="str">
        <f>IF(BC27="","",INDEX($AQ$6:$AQ$35,BC27))</f>
        <v/>
      </c>
      <c r="AZ27" t="str">
        <f>IF(BC27="","",INDEX($AR$6:$AR$35,BC27))</f>
        <v/>
      </c>
      <c r="BA27" t="str">
        <f>IF(BC27="","",INDEX($AS$6:$AS$35,BC27))</f>
        <v/>
      </c>
      <c r="BB27" t="str">
        <f>IF(BC27="","",IFERROR(AX27/SUM($AP$6:$AP$35),0))</f>
        <v/>
      </c>
      <c r="BC27" t="str">
        <f>IF(LARGE($AT$6:$AT$35,AV27)&lt;0,"",MATCH(LARGE($AT$6:$AT$35,AV27),$AT$6:$AT$35,0))</f>
        <v/>
      </c>
      <c r="BF27" t="str">
        <f>IF(AND(OR(PROCESSOS!O27="NO PRAZO",PROCESSOS!O27="VENCE EM BREVE"),OR(FiltroResp="TODOS",FiltroResp="",PROCESSOS!H27=FiltroResp)),PROCESSOS!M27+ROW()/1000000,"")</f>
        <v/>
      </c>
      <c r="BG27">
        <f>IF(AND(PROCESSOS!B27&lt;&gt;"",ISNUMBER(PROCESSOS!D27),OR(FiltroResp="TODOS",FiltroResp="",PROCESSOS!H27=FiltroResp)),PROCESSOS!D27+ROW()/1000000,"")</f>
        <v>46156.000027002316</v>
      </c>
    </row>
    <row r="28">
      <c r="I28" t="inlineStr">
        <is>
          <t>Constatação</t>
        </is>
      </c>
      <c r="J28">
        <f>COUNTIFS(rEmpresa,"&lt;&gt;",rResp,critResp,rNotif,"NOTIFICAÇÃO DE CONSTATAÇÃO",rTipo,"PRESENCIAL")</f>
        <v>34</v>
      </c>
      <c r="K28">
        <f>COUNTIFS(rEmpresa,"&lt;&gt;",rResp,critResp,rNotif,"NOTIFICAÇÃO DE CONSTATAÇÃO",rTipo,"ELETRÔNICA")</f>
        <v>22</v>
      </c>
      <c r="AO28" t="str">
        <f>IF(CADASTROS!$B$28="","",CADASTROS!$B$28)</f>
        <v/>
      </c>
      <c r="AP28">
        <f>IF(AO28="",0,COUNTIFS(rEmpresa,"&lt;&gt;",rResp,critResp,rRamo,AO28))</f>
        <v>0</v>
      </c>
      <c r="AQ28">
        <f>IF(AO28="",0,COUNTIFS(rEmpresa,"&lt;&gt;",rResp,critResp,rRamo,AO28,rNotif,"NOTIFICAÇÃO DE CONSTATAÇÃO"))</f>
        <v>0</v>
      </c>
      <c r="AR28">
        <f>IF(AO28="",0,COUNTIFS(rEmpresa,"&lt;&gt;",rResp,critResp,rRamo,AO28,rNotif,"NOTIFICAÇÃO DE ESCLARECIMENTO"))</f>
        <v>0</v>
      </c>
      <c r="AS28">
        <f>IF(AO28="",0,COUNTIFS(rEmpresa,"&lt;&gt;",rResp,critResp,rRamo,AO28,rStatus,"PRAZO D.P"))</f>
        <v>0</v>
      </c>
      <c r="AT28">
        <f>IF(AO28="",-1,AP28+(100-ROW())/1000)</f>
        <v>-1</v>
      </c>
      <c r="AV28" t="n">
        <v>23</v>
      </c>
      <c r="AW28" t="str">
        <f>IF(BC28="","",INDEX($AO$6:$AO$35,BC28))</f>
        <v/>
      </c>
      <c r="AX28" t="str">
        <f>IF(BC28="","",INDEX($AP$6:$AP$35,BC28))</f>
        <v/>
      </c>
      <c r="AY28" t="str">
        <f>IF(BC28="","",INDEX($AQ$6:$AQ$35,BC28))</f>
        <v/>
      </c>
      <c r="AZ28" t="str">
        <f>IF(BC28="","",INDEX($AR$6:$AR$35,BC28))</f>
        <v/>
      </c>
      <c r="BA28" t="str">
        <f>IF(BC28="","",INDEX($AS$6:$AS$35,BC28))</f>
        <v/>
      </c>
      <c r="BB28" t="str">
        <f>IF(BC28="","",IFERROR(AX28/SUM($AP$6:$AP$35),0))</f>
        <v/>
      </c>
      <c r="BC28" t="str">
        <f>IF(LARGE($AT$6:$AT$35,AV28)&lt;0,"",MATCH(LARGE($AT$6:$AT$35,AV28),$AT$6:$AT$35,0))</f>
        <v/>
      </c>
      <c r="BF28" t="str">
        <f>IF(AND(OR(PROCESSOS!O28="NO PRAZO",PROCESSOS!O28="VENCE EM BREVE"),OR(FiltroResp="TODOS",FiltroResp="",PROCESSOS!H28=FiltroResp)),PROCESSOS!M28+ROW()/1000000,"")</f>
        <v/>
      </c>
      <c r="BG28">
        <f>IF(AND(PROCESSOS!B28&lt;&gt;"",ISNUMBER(PROCESSOS!D28),OR(FiltroResp="TODOS",FiltroResp="",PROCESSOS!H28=FiltroResp)),PROCESSOS!D28+ROW()/1000000,"")</f>
        <v>46158.00002799769</v>
      </c>
    </row>
    <row r="29">
      <c r="I29" t="inlineStr">
        <is>
          <t>Esclarecimento</t>
        </is>
      </c>
      <c r="J29">
        <f>COUNTIFS(rEmpresa,"&lt;&gt;",rResp,critResp,rNotif,"NOTIFICAÇÃO DE ESCLARECIMENTO",rTipo,"PRESENCIAL")</f>
        <v>30</v>
      </c>
      <c r="K29">
        <f>COUNTIFS(rEmpresa,"&lt;&gt;",rResp,critResp,rNotif,"NOTIFICAÇÃO DE ESCLARECIMENTO",rTipo,"ELETRÔNICA")</f>
        <v>10</v>
      </c>
      <c r="AO29" t="str">
        <f>IF(CADASTROS!$B$29="","",CADASTROS!$B$29)</f>
        <v/>
      </c>
      <c r="AP29">
        <f>IF(AO29="",0,COUNTIFS(rEmpresa,"&lt;&gt;",rResp,critResp,rRamo,AO29))</f>
        <v>0</v>
      </c>
      <c r="AQ29">
        <f>IF(AO29="",0,COUNTIFS(rEmpresa,"&lt;&gt;",rResp,critResp,rRamo,AO29,rNotif,"NOTIFICAÇÃO DE CONSTATAÇÃO"))</f>
        <v>0</v>
      </c>
      <c r="AR29">
        <f>IF(AO29="",0,COUNTIFS(rEmpresa,"&lt;&gt;",rResp,critResp,rRamo,AO29,rNotif,"NOTIFICAÇÃO DE ESCLARECIMENTO"))</f>
        <v>0</v>
      </c>
      <c r="AS29">
        <f>IF(AO29="",0,COUNTIFS(rEmpresa,"&lt;&gt;",rResp,critResp,rRamo,AO29,rStatus,"PRAZO D.P"))</f>
        <v>0</v>
      </c>
      <c r="AT29">
        <f>IF(AO29="",-1,AP29+(100-ROW())/1000)</f>
        <v>-1</v>
      </c>
      <c r="AV29" t="n">
        <v>24</v>
      </c>
      <c r="AW29" t="str">
        <f>IF(BC29="","",INDEX($AO$6:$AO$35,BC29))</f>
        <v/>
      </c>
      <c r="AX29" t="str">
        <f>IF(BC29="","",INDEX($AP$6:$AP$35,BC29))</f>
        <v/>
      </c>
      <c r="AY29" t="str">
        <f>IF(BC29="","",INDEX($AQ$6:$AQ$35,BC29))</f>
        <v/>
      </c>
      <c r="AZ29" t="str">
        <f>IF(BC29="","",INDEX($AR$6:$AR$35,BC29))</f>
        <v/>
      </c>
      <c r="BA29" t="str">
        <f>IF(BC29="","",INDEX($AS$6:$AS$35,BC29))</f>
        <v/>
      </c>
      <c r="BB29" t="str">
        <f>IF(BC29="","",IFERROR(AX29/SUM($AP$6:$AP$35),0))</f>
        <v/>
      </c>
      <c r="BC29" t="str">
        <f>IF(LARGE($AT$6:$AT$35,AV29)&lt;0,"",MATCH(LARGE($AT$6:$AT$35,AV29),$AT$6:$AT$35,0))</f>
        <v/>
      </c>
      <c r="BF29" t="str">
        <f>IF(AND(OR(PROCESSOS!O29="NO PRAZO",PROCESSOS!O29="VENCE EM BREVE"),OR(FiltroResp="TODOS",FiltroResp="",PROCESSOS!H29=FiltroResp)),PROCESSOS!M29+ROW()/1000000,"")</f>
        <v/>
      </c>
      <c r="BG29">
        <f>IF(AND(PROCESSOS!B29&lt;&gt;"",ISNUMBER(PROCESSOS!D29),OR(FiltroResp="TODOS",FiltroResp="",PROCESSOS!H29=FiltroResp)),PROCESSOS!D29+ROW()/1000000,"")</f>
        <v>46163.00002900463</v>
      </c>
    </row>
    <row r="30">
      <c r="AO30" t="str">
        <f>IF(CADASTROS!$B$30="","",CADASTROS!$B$30)</f>
        <v/>
      </c>
      <c r="AP30">
        <f>IF(AO30="",0,COUNTIFS(rEmpresa,"&lt;&gt;",rResp,critResp,rRamo,AO30))</f>
        <v>0</v>
      </c>
      <c r="AQ30">
        <f>IF(AO30="",0,COUNTIFS(rEmpresa,"&lt;&gt;",rResp,critResp,rRamo,AO30,rNotif,"NOTIFICAÇÃO DE CONSTATAÇÃO"))</f>
        <v>0</v>
      </c>
      <c r="AR30">
        <f>IF(AO30="",0,COUNTIFS(rEmpresa,"&lt;&gt;",rResp,critResp,rRamo,AO30,rNotif,"NOTIFICAÇÃO DE ESCLARECIMENTO"))</f>
        <v>0</v>
      </c>
      <c r="AS30">
        <f>IF(AO30="",0,COUNTIFS(rEmpresa,"&lt;&gt;",rResp,critResp,rRamo,AO30,rStatus,"PRAZO D.P"))</f>
        <v>0</v>
      </c>
      <c r="AT30">
        <f>IF(AO30="",-1,AP30+(100-ROW())/1000)</f>
        <v>-1</v>
      </c>
      <c r="AV30" t="n">
        <v>25</v>
      </c>
      <c r="AW30" t="str">
        <f>IF(BC30="","",INDEX($AO$6:$AO$35,BC30))</f>
        <v/>
      </c>
      <c r="AX30" t="str">
        <f>IF(BC30="","",INDEX($AP$6:$AP$35,BC30))</f>
        <v/>
      </c>
      <c r="AY30" t="str">
        <f>IF(BC30="","",INDEX($AQ$6:$AQ$35,BC30))</f>
        <v/>
      </c>
      <c r="AZ30" t="str">
        <f>IF(BC30="","",INDEX($AR$6:$AR$35,BC30))</f>
        <v/>
      </c>
      <c r="BA30" t="str">
        <f>IF(BC30="","",INDEX($AS$6:$AS$35,BC30))</f>
        <v/>
      </c>
      <c r="BB30" t="str">
        <f>IF(BC30="","",IFERROR(AX30/SUM($AP$6:$AP$35),0))</f>
        <v/>
      </c>
      <c r="BC30" t="str">
        <f>IF(LARGE($AT$6:$AT$35,AV30)&lt;0,"",MATCH(LARGE($AT$6:$AT$35,AV30),$AT$6:$AT$35,0))</f>
        <v/>
      </c>
      <c r="BF30" t="str">
        <f>IF(AND(OR(PROCESSOS!O30="NO PRAZO",PROCESSOS!O30="VENCE EM BREVE"),OR(FiltroResp="TODOS",FiltroResp="",PROCESSOS!H30=FiltroResp)),PROCESSOS!M30+ROW()/1000000,"")</f>
        <v/>
      </c>
      <c r="BG30">
        <f>IF(AND(PROCESSOS!B30&lt;&gt;"",ISNUMBER(PROCESSOS!D30),OR(FiltroResp="TODOS",FiltroResp="",PROCESSOS!H30=FiltroResp)),PROCESSOS!D30+ROW()/1000000,"")</f>
        <v>46164.00003</v>
      </c>
    </row>
    <row r="31">
      <c r="AO31" t="str">
        <f>IF(CADASTROS!$B$31="","",CADASTROS!$B$31)</f>
        <v/>
      </c>
      <c r="AP31">
        <f>IF(AO31="",0,COUNTIFS(rEmpresa,"&lt;&gt;",rResp,critResp,rRamo,AO31))</f>
        <v>0</v>
      </c>
      <c r="AQ31">
        <f>IF(AO31="",0,COUNTIFS(rEmpresa,"&lt;&gt;",rResp,critResp,rRamo,AO31,rNotif,"NOTIFICAÇÃO DE CONSTATAÇÃO"))</f>
        <v>0</v>
      </c>
      <c r="AR31">
        <f>IF(AO31="",0,COUNTIFS(rEmpresa,"&lt;&gt;",rResp,critResp,rRamo,AO31,rNotif,"NOTIFICAÇÃO DE ESCLARECIMENTO"))</f>
        <v>0</v>
      </c>
      <c r="AS31">
        <f>IF(AO31="",0,COUNTIFS(rEmpresa,"&lt;&gt;",rResp,critResp,rRamo,AO31,rStatus,"PRAZO D.P"))</f>
        <v>0</v>
      </c>
      <c r="AT31">
        <f>IF(AO31="",-1,AP31+(100-ROW())/1000)</f>
        <v>-1</v>
      </c>
      <c r="AV31" t="n">
        <v>26</v>
      </c>
      <c r="AW31" t="str">
        <f>IF(BC31="","",INDEX($AO$6:$AO$35,BC31))</f>
        <v/>
      </c>
      <c r="AX31" t="str">
        <f>IF(BC31="","",INDEX($AP$6:$AP$35,BC31))</f>
        <v/>
      </c>
      <c r="AY31" t="str">
        <f>IF(BC31="","",INDEX($AQ$6:$AQ$35,BC31))</f>
        <v/>
      </c>
      <c r="AZ31" t="str">
        <f>IF(BC31="","",INDEX($AR$6:$AR$35,BC31))</f>
        <v/>
      </c>
      <c r="BA31" t="str">
        <f>IF(BC31="","",INDEX($AS$6:$AS$35,BC31))</f>
        <v/>
      </c>
      <c r="BB31" t="str">
        <f>IF(BC31="","",IFERROR(AX31/SUM($AP$6:$AP$35),0))</f>
        <v/>
      </c>
      <c r="BC31" t="str">
        <f>IF(LARGE($AT$6:$AT$35,AV31)&lt;0,"",MATCH(LARGE($AT$6:$AT$35,AV31),$AT$6:$AT$35,0))</f>
        <v/>
      </c>
      <c r="BF31" t="str">
        <f>IF(AND(OR(PROCESSOS!O31="NO PRAZO",PROCESSOS!O31="VENCE EM BREVE"),OR(FiltroResp="TODOS",FiltroResp="",PROCESSOS!H31=FiltroResp)),PROCESSOS!M31+ROW()/1000000,"")</f>
        <v/>
      </c>
      <c r="BG31">
        <f>IF(AND(PROCESSOS!B31&lt;&gt;"",ISNUMBER(PROCESSOS!D31),OR(FiltroResp="TODOS",FiltroResp="",PROCESSOS!H31=FiltroResp)),PROCESSOS!D31+ROW()/1000000,"")</f>
        <v>46168.00003099537</v>
      </c>
    </row>
    <row r="32">
      <c r="AO32" t="str">
        <f>IF(CADASTROS!$B$32="","",CADASTROS!$B$32)</f>
        <v/>
      </c>
      <c r="AP32">
        <f>IF(AO32="",0,COUNTIFS(rEmpresa,"&lt;&gt;",rResp,critResp,rRamo,AO32))</f>
        <v>0</v>
      </c>
      <c r="AQ32">
        <f>IF(AO32="",0,COUNTIFS(rEmpresa,"&lt;&gt;",rResp,critResp,rRamo,AO32,rNotif,"NOTIFICAÇÃO DE CONSTATAÇÃO"))</f>
        <v>0</v>
      </c>
      <c r="AR32">
        <f>IF(AO32="",0,COUNTIFS(rEmpresa,"&lt;&gt;",rResp,critResp,rRamo,AO32,rNotif,"NOTIFICAÇÃO DE ESCLARECIMENTO"))</f>
        <v>0</v>
      </c>
      <c r="AS32">
        <f>IF(AO32="",0,COUNTIFS(rEmpresa,"&lt;&gt;",rResp,critResp,rRamo,AO32,rStatus,"PRAZO D.P"))</f>
        <v>0</v>
      </c>
      <c r="AT32">
        <f>IF(AO32="",-1,AP32+(100-ROW())/1000)</f>
        <v>-1</v>
      </c>
      <c r="AV32" t="n">
        <v>27</v>
      </c>
      <c r="AW32" t="str">
        <f>IF(BC32="","",INDEX($AO$6:$AO$35,BC32))</f>
        <v/>
      </c>
      <c r="AX32" t="str">
        <f>IF(BC32="","",INDEX($AP$6:$AP$35,BC32))</f>
        <v/>
      </c>
      <c r="AY32" t="str">
        <f>IF(BC32="","",INDEX($AQ$6:$AQ$35,BC32))</f>
        <v/>
      </c>
      <c r="AZ32" t="str">
        <f>IF(BC32="","",INDEX($AR$6:$AR$35,BC32))</f>
        <v/>
      </c>
      <c r="BA32" t="str">
        <f>IF(BC32="","",INDEX($AS$6:$AS$35,BC32))</f>
        <v/>
      </c>
      <c r="BB32" t="str">
        <f>IF(BC32="","",IFERROR(AX32/SUM($AP$6:$AP$35),0))</f>
        <v/>
      </c>
      <c r="BC32" t="str">
        <f>IF(LARGE($AT$6:$AT$35,AV32)&lt;0,"",MATCH(LARGE($AT$6:$AT$35,AV32),$AT$6:$AT$35,0))</f>
        <v/>
      </c>
      <c r="BF32" t="str">
        <f>IF(AND(OR(PROCESSOS!O32="NO PRAZO",PROCESSOS!O32="VENCE EM BREVE"),OR(FiltroResp="TODOS",FiltroResp="",PROCESSOS!H32=FiltroResp)),PROCESSOS!M32+ROW()/1000000,"")</f>
        <v/>
      </c>
      <c r="BG32">
        <f>IF(AND(PROCESSOS!B32&lt;&gt;"",ISNUMBER(PROCESSOS!D32),OR(FiltroResp="TODOS",FiltroResp="",PROCESSOS!H32=FiltroResp)),PROCESSOS!D32+ROW()/1000000,"")</f>
        <v>46168.00003200232</v>
      </c>
    </row>
    <row r="33">
      <c r="AO33" t="str">
        <f>IF(CADASTROS!$B$33="","",CADASTROS!$B$33)</f>
        <v/>
      </c>
      <c r="AP33">
        <f>IF(AO33="",0,COUNTIFS(rEmpresa,"&lt;&gt;",rResp,critResp,rRamo,AO33))</f>
        <v>0</v>
      </c>
      <c r="AQ33">
        <f>IF(AO33="",0,COUNTIFS(rEmpresa,"&lt;&gt;",rResp,critResp,rRamo,AO33,rNotif,"NOTIFICAÇÃO DE CONSTATAÇÃO"))</f>
        <v>0</v>
      </c>
      <c r="AR33">
        <f>IF(AO33="",0,COUNTIFS(rEmpresa,"&lt;&gt;",rResp,critResp,rRamo,AO33,rNotif,"NOTIFICAÇÃO DE ESCLARECIMENTO"))</f>
        <v>0</v>
      </c>
      <c r="AS33">
        <f>IF(AO33="",0,COUNTIFS(rEmpresa,"&lt;&gt;",rResp,critResp,rRamo,AO33,rStatus,"PRAZO D.P"))</f>
        <v>0</v>
      </c>
      <c r="AT33">
        <f>IF(AO33="",-1,AP33+(100-ROW())/1000)</f>
        <v>-1</v>
      </c>
      <c r="AV33" t="n">
        <v>28</v>
      </c>
      <c r="AW33" t="str">
        <f>IF(BC33="","",INDEX($AO$6:$AO$35,BC33))</f>
        <v/>
      </c>
      <c r="AX33" t="str">
        <f>IF(BC33="","",INDEX($AP$6:$AP$35,BC33))</f>
        <v/>
      </c>
      <c r="AY33" t="str">
        <f>IF(BC33="","",INDEX($AQ$6:$AQ$35,BC33))</f>
        <v/>
      </c>
      <c r="AZ33" t="str">
        <f>IF(BC33="","",INDEX($AR$6:$AR$35,BC33))</f>
        <v/>
      </c>
      <c r="BA33" t="str">
        <f>IF(BC33="","",INDEX($AS$6:$AS$35,BC33))</f>
        <v/>
      </c>
      <c r="BB33" t="str">
        <f>IF(BC33="","",IFERROR(AX33/SUM($AP$6:$AP$35),0))</f>
        <v/>
      </c>
      <c r="BC33" t="str">
        <f>IF(LARGE($AT$6:$AT$35,AV33)&lt;0,"",MATCH(LARGE($AT$6:$AT$35,AV33),$AT$6:$AT$35,0))</f>
        <v/>
      </c>
      <c r="BF33" t="str">
        <f>IF(AND(OR(PROCESSOS!O33="NO PRAZO",PROCESSOS!O33="VENCE EM BREVE"),OR(FiltroResp="TODOS",FiltroResp="",PROCESSOS!H33=FiltroResp)),PROCESSOS!M33+ROW()/1000000,"")</f>
        <v/>
      </c>
      <c r="BG33">
        <f>IF(AND(PROCESSOS!B33&lt;&gt;"",ISNUMBER(PROCESSOS!D33),OR(FiltroResp="TODOS",FiltroResp="",PROCESSOS!H33=FiltroResp)),PROCESSOS!D33+ROW()/1000000,"")</f>
        <v>46169.00003299768</v>
      </c>
    </row>
    <row r="34">
      <c r="AO34" t="str">
        <f>IF(CADASTROS!$B$34="","",CADASTROS!$B$34)</f>
        <v/>
      </c>
      <c r="AP34">
        <f>IF(AO34="",0,COUNTIFS(rEmpresa,"&lt;&gt;",rResp,critResp,rRamo,AO34))</f>
        <v>0</v>
      </c>
      <c r="AQ34">
        <f>IF(AO34="",0,COUNTIFS(rEmpresa,"&lt;&gt;",rResp,critResp,rRamo,AO34,rNotif,"NOTIFICAÇÃO DE CONSTATAÇÃO"))</f>
        <v>0</v>
      </c>
      <c r="AR34">
        <f>IF(AO34="",0,COUNTIFS(rEmpresa,"&lt;&gt;",rResp,critResp,rRamo,AO34,rNotif,"NOTIFICAÇÃO DE ESCLARECIMENTO"))</f>
        <v>0</v>
      </c>
      <c r="AS34">
        <f>IF(AO34="",0,COUNTIFS(rEmpresa,"&lt;&gt;",rResp,critResp,rRamo,AO34,rStatus,"PRAZO D.P"))</f>
        <v>0</v>
      </c>
      <c r="AT34">
        <f>IF(AO34="",-1,AP34+(100-ROW())/1000)</f>
        <v>-1</v>
      </c>
      <c r="AV34" t="n">
        <v>29</v>
      </c>
      <c r="AW34" t="str">
        <f>IF(BC34="","",INDEX($AO$6:$AO$35,BC34))</f>
        <v/>
      </c>
      <c r="AX34" t="str">
        <f>IF(BC34="","",INDEX($AP$6:$AP$35,BC34))</f>
        <v/>
      </c>
      <c r="AY34" t="str">
        <f>IF(BC34="","",INDEX($AQ$6:$AQ$35,BC34))</f>
        <v/>
      </c>
      <c r="AZ34" t="str">
        <f>IF(BC34="","",INDEX($AR$6:$AR$35,BC34))</f>
        <v/>
      </c>
      <c r="BA34" t="str">
        <f>IF(BC34="","",INDEX($AS$6:$AS$35,BC34))</f>
        <v/>
      </c>
      <c r="BB34" t="str">
        <f>IF(BC34="","",IFERROR(AX34/SUM($AP$6:$AP$35),0))</f>
        <v/>
      </c>
      <c r="BC34" t="str">
        <f>IF(LARGE($AT$6:$AT$35,AV34)&lt;0,"",MATCH(LARGE($AT$6:$AT$35,AV34),$AT$6:$AT$35,0))</f>
        <v/>
      </c>
      <c r="BF34" t="str">
        <f>IF(AND(OR(PROCESSOS!O34="NO PRAZO",PROCESSOS!O34="VENCE EM BREVE"),OR(FiltroResp="TODOS",FiltroResp="",PROCESSOS!H34=FiltroResp)),PROCESSOS!M34+ROW()/1000000,"")</f>
        <v/>
      </c>
      <c r="BG34">
        <f>IF(AND(PROCESSOS!B34&lt;&gt;"",ISNUMBER(PROCESSOS!D34),OR(FiltroResp="TODOS",FiltroResp="",PROCESSOS!H34=FiltroResp)),PROCESSOS!D34+ROW()/1000000,"")</f>
        <v>46170.00003400463</v>
      </c>
    </row>
    <row r="35">
      <c r="AO35" t="str">
        <f>IF(CADASTROS!$B$35="","",CADASTROS!$B$35)</f>
        <v/>
      </c>
      <c r="AP35">
        <f>IF(AO35="",0,COUNTIFS(rEmpresa,"&lt;&gt;",rResp,critResp,rRamo,AO35))</f>
        <v>0</v>
      </c>
      <c r="AQ35">
        <f>IF(AO35="",0,COUNTIFS(rEmpresa,"&lt;&gt;",rResp,critResp,rRamo,AO35,rNotif,"NOTIFICAÇÃO DE CONSTATAÇÃO"))</f>
        <v>0</v>
      </c>
      <c r="AR35">
        <f>IF(AO35="",0,COUNTIFS(rEmpresa,"&lt;&gt;",rResp,critResp,rRamo,AO35,rNotif,"NOTIFICAÇÃO DE ESCLARECIMENTO"))</f>
        <v>0</v>
      </c>
      <c r="AS35">
        <f>IF(AO35="",0,COUNTIFS(rEmpresa,"&lt;&gt;",rResp,critResp,rRamo,AO35,rStatus,"PRAZO D.P"))</f>
        <v>0</v>
      </c>
      <c r="AT35">
        <f>IF(AO35="",-1,AP35+(100-ROW())/1000)</f>
        <v>-1</v>
      </c>
      <c r="AV35" t="n">
        <v>30</v>
      </c>
      <c r="AW35" t="str">
        <f>IF(BC35="","",INDEX($AO$6:$AO$35,BC35))</f>
        <v/>
      </c>
      <c r="AX35" t="str">
        <f>IF(BC35="","",INDEX($AP$6:$AP$35,BC35))</f>
        <v/>
      </c>
      <c r="AY35" t="str">
        <f>IF(BC35="","",INDEX($AQ$6:$AQ$35,BC35))</f>
        <v/>
      </c>
      <c r="AZ35" t="str">
        <f>IF(BC35="","",INDEX($AR$6:$AR$35,BC35))</f>
        <v/>
      </c>
      <c r="BA35" t="str">
        <f>IF(BC35="","",INDEX($AS$6:$AS$35,BC35))</f>
        <v/>
      </c>
      <c r="BB35" t="str">
        <f>IF(BC35="","",IFERROR(AX35/SUM($AP$6:$AP$35),0))</f>
        <v/>
      </c>
      <c r="BC35" t="str">
        <f>IF(LARGE($AT$6:$AT$35,AV35)&lt;0,"",MATCH(LARGE($AT$6:$AT$35,AV35),$AT$6:$AT$35,0))</f>
        <v/>
      </c>
      <c r="BF35" t="str">
        <f>IF(AND(OR(PROCESSOS!O35="NO PRAZO",PROCESSOS!O35="VENCE EM BREVE"),OR(FiltroResp="TODOS",FiltroResp="",PROCESSOS!H35=FiltroResp)),PROCESSOS!M35+ROW()/1000000,"")</f>
        <v/>
      </c>
      <c r="BG35">
        <f>IF(AND(PROCESSOS!B35&lt;&gt;"",ISNUMBER(PROCESSOS!D35),OR(FiltroResp="TODOS",FiltroResp="",PROCESSOS!H35=FiltroResp)),PROCESSOS!D35+ROW()/1000000,"")</f>
        <v>46172.000035</v>
      </c>
    </row>
    <row r="36">
      <c r="BF36" t="str">
        <f>IF(AND(OR(PROCESSOS!O36="NO PRAZO",PROCESSOS!O36="VENCE EM BREVE"),OR(FiltroResp="TODOS",FiltroResp="",PROCESSOS!H36=FiltroResp)),PROCESSOS!M36+ROW()/1000000,"")</f>
        <v/>
      </c>
      <c r="BG36">
        <f>IF(AND(PROCESSOS!B36&lt;&gt;"",ISNUMBER(PROCESSOS!D36),OR(FiltroResp="TODOS",FiltroResp="",PROCESSOS!H36=FiltroResp)),PROCESSOS!D36+ROW()/1000000,"")</f>
        <v>46175.00003599537</v>
      </c>
    </row>
    <row r="37">
      <c r="BF37" t="str">
        <f>IF(AND(OR(PROCESSOS!O37="NO PRAZO",PROCESSOS!O37="VENCE EM BREVE"),OR(FiltroResp="TODOS",FiltroResp="",PROCESSOS!H37=FiltroResp)),PROCESSOS!M37+ROW()/1000000,"")</f>
        <v/>
      </c>
      <c r="BG37">
        <f>IF(AND(PROCESSOS!B37&lt;&gt;"",ISNUMBER(PROCESSOS!D37),OR(FiltroResp="TODOS",FiltroResp="",PROCESSOS!H37=FiltroResp)),PROCESSOS!D37+ROW()/1000000,"")</f>
        <v>46177.00003700231</v>
      </c>
    </row>
    <row r="38">
      <c r="BF38" t="str">
        <f>IF(AND(OR(PROCESSOS!O38="NO PRAZO",PROCESSOS!O38="VENCE EM BREVE"),OR(FiltroResp="TODOS",FiltroResp="",PROCESSOS!H38=FiltroResp)),PROCESSOS!M38+ROW()/1000000,"")</f>
        <v/>
      </c>
      <c r="BG38">
        <f>IF(AND(PROCESSOS!B38&lt;&gt;"",ISNUMBER(PROCESSOS!D38),OR(FiltroResp="TODOS",FiltroResp="",PROCESSOS!H38=FiltroResp)),PROCESSOS!D38+ROW()/1000000,"")</f>
        <v>46179.000037997685</v>
      </c>
    </row>
    <row r="39">
      <c r="BF39" t="str">
        <f>IF(AND(OR(PROCESSOS!O39="NO PRAZO",PROCESSOS!O39="VENCE EM BREVE"),OR(FiltroResp="TODOS",FiltroResp="",PROCESSOS!H39=FiltroResp)),PROCESSOS!M39+ROW()/1000000,"")</f>
        <v/>
      </c>
      <c r="BG39">
        <f>IF(AND(PROCESSOS!B39&lt;&gt;"",ISNUMBER(PROCESSOS!D39),OR(FiltroResp="TODOS",FiltroResp="",PROCESSOS!H39=FiltroResp)),PROCESSOS!D39+ROW()/1000000,"")</f>
        <v>46182.000039004626</v>
      </c>
    </row>
    <row r="40">
      <c r="BF40" t="str">
        <f>IF(AND(OR(PROCESSOS!O40="NO PRAZO",PROCESSOS!O40="VENCE EM BREVE"),OR(FiltroResp="TODOS",FiltroResp="",PROCESSOS!H40=FiltroResp)),PROCESSOS!M40+ROW()/1000000,"")</f>
        <v/>
      </c>
      <c r="BG40">
        <f>IF(AND(PROCESSOS!B40&lt;&gt;"",ISNUMBER(PROCESSOS!D40),OR(FiltroResp="TODOS",FiltroResp="",PROCESSOS!H40=FiltroResp)),PROCESSOS!D40+ROW()/1000000,"")</f>
        <v>46196.00004</v>
      </c>
    </row>
    <row r="41">
      <c r="BF41" t="str">
        <f>IF(AND(OR(PROCESSOS!O41="NO PRAZO",PROCESSOS!O41="VENCE EM BREVE"),OR(FiltroResp="TODOS",FiltroResp="",PROCESSOS!H41=FiltroResp)),PROCESSOS!M41+ROW()/1000000,"")</f>
        <v/>
      </c>
      <c r="BG41">
        <f>IF(AND(PROCESSOS!B41&lt;&gt;"",ISNUMBER(PROCESSOS!D41),OR(FiltroResp="TODOS",FiltroResp="",PROCESSOS!H41=FiltroResp)),PROCESSOS!D41+ROW()/1000000,"")</f>
        <v>46198.00004099537</v>
      </c>
    </row>
    <row r="42">
      <c r="BF42" t="str">
        <f>IF(AND(OR(PROCESSOS!O42="NO PRAZO",PROCESSOS!O42="VENCE EM BREVE"),OR(FiltroResp="TODOS",FiltroResp="",PROCESSOS!H42=FiltroResp)),PROCESSOS!M42+ROW()/1000000,"")</f>
        <v/>
      </c>
      <c r="BG42">
        <f>IF(AND(PROCESSOS!B42&lt;&gt;"",ISNUMBER(PROCESSOS!D42),OR(FiltroResp="TODOS",FiltroResp="",PROCESSOS!H42=FiltroResp)),PROCESSOS!D42+ROW()/1000000,"")</f>
        <v>46199.00004200231</v>
      </c>
    </row>
    <row r="43">
      <c r="BF43" t="str">
        <f>IF(AND(OR(PROCESSOS!O43="NO PRAZO",PROCESSOS!O43="VENCE EM BREVE"),OR(FiltroResp="TODOS",FiltroResp="",PROCESSOS!H43=FiltroResp)),PROCESSOS!M43+ROW()/1000000,"")</f>
        <v/>
      </c>
      <c r="BG43">
        <f>IF(AND(PROCESSOS!B43&lt;&gt;"",ISNUMBER(PROCESSOS!D43),OR(FiltroResp="TODOS",FiltroResp="",PROCESSOS!H43=FiltroResp)),PROCESSOS!D43+ROW()/1000000,"")</f>
        <v>46200.000042997686</v>
      </c>
    </row>
    <row r="44">
      <c r="BF44" t="str">
        <f>IF(AND(OR(PROCESSOS!O44="NO PRAZO",PROCESSOS!O44="VENCE EM BREVE"),OR(FiltroResp="TODOS",FiltroResp="",PROCESSOS!H44=FiltroResp)),PROCESSOS!M44+ROW()/1000000,"")</f>
        <v/>
      </c>
      <c r="BG44">
        <f>IF(AND(PROCESSOS!B44&lt;&gt;"",ISNUMBER(PROCESSOS!D44),OR(FiltroResp="TODOS",FiltroResp="",PROCESSOS!H44=FiltroResp)),PROCESSOS!D44+ROW()/1000000,"")</f>
        <v>46200.00004400463</v>
      </c>
    </row>
    <row r="45">
      <c r="BF45" t="str">
        <f>IF(AND(OR(PROCESSOS!O45="NO PRAZO",PROCESSOS!O45="VENCE EM BREVE"),OR(FiltroResp="TODOS",FiltroResp="",PROCESSOS!H45=FiltroResp)),PROCESSOS!M45+ROW()/1000000,"")</f>
        <v/>
      </c>
      <c r="BG45">
        <f>IF(AND(PROCESSOS!B45&lt;&gt;"",ISNUMBER(PROCESSOS!D45),OR(FiltroResp="TODOS",FiltroResp="",PROCESSOS!H45=FiltroResp)),PROCESSOS!D45+ROW()/1000000,"")</f>
        <v>46204.000045</v>
      </c>
    </row>
    <row r="46">
      <c r="BF46" t="str">
        <f>IF(AND(OR(PROCESSOS!O46="NO PRAZO",PROCESSOS!O46="VENCE EM BREVE"),OR(FiltroResp="TODOS",FiltroResp="",PROCESSOS!H46=FiltroResp)),PROCESSOS!M46+ROW()/1000000,"")</f>
        <v/>
      </c>
      <c r="BG46">
        <f>IF(AND(PROCESSOS!B46&lt;&gt;"",ISNUMBER(PROCESSOS!D46),OR(FiltroResp="TODOS",FiltroResp="",PROCESSOS!H46=FiltroResp)),PROCESSOS!D46+ROW()/1000000,"")</f>
        <v>46205.00004599537</v>
      </c>
    </row>
    <row r="47">
      <c r="BF47" t="str">
        <f>IF(AND(OR(PROCESSOS!O47="NO PRAZO",PROCESSOS!O47="VENCE EM BREVE"),OR(FiltroResp="TODOS",FiltroResp="",PROCESSOS!H47=FiltroResp)),PROCESSOS!M47+ROW()/1000000,"")</f>
        <v/>
      </c>
      <c r="BG47">
        <f>IF(AND(PROCESSOS!B47&lt;&gt;"",ISNUMBER(PROCESSOS!D47),OR(FiltroResp="TODOS",FiltroResp="",PROCESSOS!H47=FiltroResp)),PROCESSOS!D47+ROW()/1000000,"")</f>
        <v>46210.000047002315</v>
      </c>
    </row>
    <row r="48">
      <c r="BF48" t="str">
        <f>IF(AND(OR(PROCESSOS!O48="NO PRAZO",PROCESSOS!O48="VENCE EM BREVE"),OR(FiltroResp="TODOS",FiltroResp="",PROCESSOS!H48=FiltroResp)),PROCESSOS!M48+ROW()/1000000,"")</f>
        <v/>
      </c>
      <c r="BG48">
        <f>IF(AND(PROCESSOS!B48&lt;&gt;"",ISNUMBER(PROCESSOS!D48),OR(FiltroResp="TODOS",FiltroResp="",PROCESSOS!H48=FiltroResp)),PROCESSOS!D48+ROW()/1000000,"")</f>
        <v>46213.00004799769</v>
      </c>
    </row>
    <row r="49">
      <c r="BF49" t="str">
        <f>IF(AND(OR(PROCESSOS!O49="NO PRAZO",PROCESSOS!O49="VENCE EM BREVE"),OR(FiltroResp="TODOS",FiltroResp="",PROCESSOS!H49=FiltroResp)),PROCESSOS!M49+ROW()/1000000,"")</f>
        <v/>
      </c>
      <c r="BG49">
        <f>IF(AND(PROCESSOS!B49&lt;&gt;"",ISNUMBER(PROCESSOS!D49),OR(FiltroResp="TODOS",FiltroResp="",PROCESSOS!H49=FiltroResp)),PROCESSOS!D49+ROW()/1000000,"")</f>
        <v>46216.00004900463</v>
      </c>
    </row>
    <row r="50">
      <c r="BF50" t="str">
        <f>IF(AND(OR(PROCESSOS!O50="NO PRAZO",PROCESSOS!O50="VENCE EM BREVE"),OR(FiltroResp="TODOS",FiltroResp="",PROCESSOS!H50=FiltroResp)),PROCESSOS!M50+ROW()/1000000,"")</f>
        <v/>
      </c>
      <c r="BG50">
        <f>IF(AND(PROCESSOS!B50&lt;&gt;"",ISNUMBER(PROCESSOS!D50),OR(FiltroResp="TODOS",FiltroResp="",PROCESSOS!H50=FiltroResp)),PROCESSOS!D50+ROW()/1000000,"")</f>
        <v>46216.00005</v>
      </c>
    </row>
    <row r="51">
      <c r="BF51" t="str">
        <f>IF(AND(OR(PROCESSOS!O51="NO PRAZO",PROCESSOS!O51="VENCE EM BREVE"),OR(FiltroResp="TODOS",FiltroResp="",PROCESSOS!H51=FiltroResp)),PROCESSOS!M51+ROW()/1000000,"")</f>
        <v/>
      </c>
      <c r="BG51">
        <f>IF(AND(PROCESSOS!B51&lt;&gt;"",ISNUMBER(PROCESSOS!D51),OR(FiltroResp="TODOS",FiltroResp="",PROCESSOS!H51=FiltroResp)),PROCESSOS!D51+ROW()/1000000,"")</f>
        <v>46222.00005099537</v>
      </c>
    </row>
    <row r="52">
      <c r="BF52" t="str">
        <f>IF(AND(OR(PROCESSOS!O52="NO PRAZO",PROCESSOS!O52="VENCE EM BREVE"),OR(FiltroResp="TODOS",FiltroResp="",PROCESSOS!H52=FiltroResp)),PROCESSOS!M52+ROW()/1000000,"")</f>
        <v/>
      </c>
      <c r="BG52">
        <f>IF(AND(PROCESSOS!B52&lt;&gt;"",ISNUMBER(PROCESSOS!D52),OR(FiltroResp="TODOS",FiltroResp="",PROCESSOS!H52=FiltroResp)),PROCESSOS!D52+ROW()/1000000,"")</f>
        <v>46225.00005200232</v>
      </c>
    </row>
    <row r="53">
      <c r="BF53" t="str">
        <f>IF(AND(OR(PROCESSOS!O53="NO PRAZO",PROCESSOS!O53="VENCE EM BREVE"),OR(FiltroResp="TODOS",FiltroResp="",PROCESSOS!H53=FiltroResp)),PROCESSOS!M53+ROW()/1000000,"")</f>
        <v/>
      </c>
      <c r="BG53">
        <f>IF(AND(PROCESSOS!B53&lt;&gt;"",ISNUMBER(PROCESSOS!D53),OR(FiltroResp="TODOS",FiltroResp="",PROCESSOS!H53=FiltroResp)),PROCESSOS!D53+ROW()/1000000,"")</f>
        <v>46227.00005299768</v>
      </c>
    </row>
    <row r="54">
      <c r="BF54" t="str">
        <f>IF(AND(OR(PROCESSOS!O54="NO PRAZO",PROCESSOS!O54="VENCE EM BREVE"),OR(FiltroResp="TODOS",FiltroResp="",PROCESSOS!H54=FiltroResp)),PROCESSOS!M54+ROW()/1000000,"")</f>
        <v/>
      </c>
      <c r="BG54">
        <f>IF(AND(PROCESSOS!B54&lt;&gt;"",ISNUMBER(PROCESSOS!D54),OR(FiltroResp="TODOS",FiltroResp="",PROCESSOS!H54=FiltroResp)),PROCESSOS!D54+ROW()/1000000,"")</f>
        <v>46231.00005400463</v>
      </c>
    </row>
    <row r="55">
      <c r="BF55" t="str">
        <f>IF(AND(OR(PROCESSOS!O55="NO PRAZO",PROCESSOS!O55="VENCE EM BREVE"),OR(FiltroResp="TODOS",FiltroResp="",PROCESSOS!H55=FiltroResp)),PROCESSOS!M55+ROW()/1000000,"")</f>
        <v/>
      </c>
      <c r="BG55">
        <f>IF(AND(PROCESSOS!B55&lt;&gt;"",ISNUMBER(PROCESSOS!D55),OR(FiltroResp="TODOS",FiltroResp="",PROCESSOS!H55=FiltroResp)),PROCESSOS!D55+ROW()/1000000,"")</f>
        <v>46232.000055</v>
      </c>
    </row>
    <row r="56">
      <c r="BF56" t="str">
        <f>IF(AND(OR(PROCESSOS!O56="NO PRAZO",PROCESSOS!O56="VENCE EM BREVE"),OR(FiltroResp="TODOS",FiltroResp="",PROCESSOS!H56=FiltroResp)),PROCESSOS!M56+ROW()/1000000,"")</f>
        <v/>
      </c>
      <c r="BG56">
        <f>IF(AND(PROCESSOS!B56&lt;&gt;"",ISNUMBER(PROCESSOS!D56),OR(FiltroResp="TODOS",FiltroResp="",PROCESSOS!H56=FiltroResp)),PROCESSOS!D56+ROW()/1000000,"")</f>
        <v>46236.00005599537</v>
      </c>
    </row>
    <row r="57">
      <c r="BF57" t="str">
        <f>IF(AND(OR(PROCESSOS!O57="NO PRAZO",PROCESSOS!O57="VENCE EM BREVE"),OR(FiltroResp="TODOS",FiltroResp="",PROCESSOS!H57=FiltroResp)),PROCESSOS!M57+ROW()/1000000,"")</f>
        <v/>
      </c>
      <c r="BG57">
        <f>IF(AND(PROCESSOS!B57&lt;&gt;"",ISNUMBER(PROCESSOS!D57),OR(FiltroResp="TODOS",FiltroResp="",PROCESSOS!H57=FiltroResp)),PROCESSOS!D57+ROW()/1000000,"")</f>
        <v>46237.00005700231</v>
      </c>
    </row>
    <row r="58">
      <c r="BF58" t="str">
        <f>IF(AND(OR(PROCESSOS!O58="NO PRAZO",PROCESSOS!O58="VENCE EM BREVE"),OR(FiltroResp="TODOS",FiltroResp="",PROCESSOS!H58=FiltroResp)),PROCESSOS!M58+ROW()/1000000,"")</f>
        <v/>
      </c>
      <c r="BG58">
        <f>IF(AND(PROCESSOS!B58&lt;&gt;"",ISNUMBER(PROCESSOS!D58),OR(FiltroResp="TODOS",FiltroResp="",PROCESSOS!H58=FiltroResp)),PROCESSOS!D58+ROW()/1000000,"")</f>
        <v>46249.000057997684</v>
      </c>
    </row>
    <row r="59">
      <c r="BF59" t="str">
        <f>IF(AND(OR(PROCESSOS!O59="NO PRAZO",PROCESSOS!O59="VENCE EM BREVE"),OR(FiltroResp="TODOS",FiltroResp="",PROCESSOS!H59=FiltroResp)),PROCESSOS!M59+ROW()/1000000,"")</f>
        <v/>
      </c>
      <c r="BG59">
        <f>IF(AND(PROCESSOS!B59&lt;&gt;"",ISNUMBER(PROCESSOS!D59),OR(FiltroResp="TODOS",FiltroResp="",PROCESSOS!H59=FiltroResp)),PROCESSOS!D59+ROW()/1000000,"")</f>
        <v>46253.00005900463</v>
      </c>
    </row>
    <row r="60">
      <c r="BF60" t="str">
        <f>IF(AND(OR(PROCESSOS!O60="NO PRAZO",PROCESSOS!O60="VENCE EM BREVE"),OR(FiltroResp="TODOS",FiltroResp="",PROCESSOS!H60=FiltroResp)),PROCESSOS!M60+ROW()/1000000,"")</f>
        <v/>
      </c>
      <c r="BG60">
        <f>IF(AND(PROCESSOS!B60&lt;&gt;"",ISNUMBER(PROCESSOS!D60),OR(FiltroResp="TODOS",FiltroResp="",PROCESSOS!H60=FiltroResp)),PROCESSOS!D60+ROW()/1000000,"")</f>
        <v>46254.00006</v>
      </c>
    </row>
    <row r="61">
      <c r="BF61" t="str">
        <f>IF(AND(OR(PROCESSOS!O61="NO PRAZO",PROCESSOS!O61="VENCE EM BREVE"),OR(FiltroResp="TODOS",FiltroResp="",PROCESSOS!H61=FiltroResp)),PROCESSOS!M61+ROW()/1000000,"")</f>
        <v/>
      </c>
      <c r="BG61">
        <f>IF(AND(PROCESSOS!B61&lt;&gt;"",ISNUMBER(PROCESSOS!D61),OR(FiltroResp="TODOS",FiltroResp="",PROCESSOS!H61=FiltroResp)),PROCESSOS!D61+ROW()/1000000,"")</f>
        <v>46255.00006099537</v>
      </c>
    </row>
    <row r="62">
      <c r="BF62" t="str">
        <f>IF(AND(OR(PROCESSOS!O62="NO PRAZO",PROCESSOS!O62="VENCE EM BREVE"),OR(FiltroResp="TODOS",FiltroResp="",PROCESSOS!H62=FiltroResp)),PROCESSOS!M62+ROW()/1000000,"")</f>
        <v/>
      </c>
      <c r="BG62">
        <f>IF(AND(PROCESSOS!B62&lt;&gt;"",ISNUMBER(PROCESSOS!D62),OR(FiltroResp="TODOS",FiltroResp="",PROCESSOS!H62=FiltroResp)),PROCESSOS!D62+ROW()/1000000,"")</f>
        <v>46256.00006200231</v>
      </c>
    </row>
    <row r="63">
      <c r="BF63" t="str">
        <f>IF(AND(OR(PROCESSOS!O63="NO PRAZO",PROCESSOS!O63="VENCE EM BREVE"),OR(FiltroResp="TODOS",FiltroResp="",PROCESSOS!H63=FiltroResp)),PROCESSOS!M63+ROW()/1000000,"")</f>
        <v/>
      </c>
      <c r="BG63">
        <f>IF(AND(PROCESSOS!B63&lt;&gt;"",ISNUMBER(PROCESSOS!D63),OR(FiltroResp="TODOS",FiltroResp="",PROCESSOS!H63=FiltroResp)),PROCESSOS!D63+ROW()/1000000,"")</f>
        <v>46257.000062997686</v>
      </c>
    </row>
    <row r="64">
      <c r="BF64" t="str">
        <f>IF(AND(OR(PROCESSOS!O64="NO PRAZO",PROCESSOS!O64="VENCE EM BREVE"),OR(FiltroResp="TODOS",FiltroResp="",PROCESSOS!H64=FiltroResp)),PROCESSOS!M64+ROW()/1000000,"")</f>
        <v/>
      </c>
      <c r="BG64">
        <f>IF(AND(PROCESSOS!B64&lt;&gt;"",ISNUMBER(PROCESSOS!D64),OR(FiltroResp="TODOS",FiltroResp="",PROCESSOS!H64=FiltroResp)),PROCESSOS!D64+ROW()/1000000,"")</f>
        <v>46257.00006400463</v>
      </c>
    </row>
    <row r="65">
      <c r="BF65" t="str">
        <f>IF(AND(OR(PROCESSOS!O65="NO PRAZO",PROCESSOS!O65="VENCE EM BREVE"),OR(FiltroResp="TODOS",FiltroResp="",PROCESSOS!H65=FiltroResp)),PROCESSOS!M65+ROW()/1000000,"")</f>
        <v/>
      </c>
      <c r="BG65">
        <f>IF(AND(PROCESSOS!B65&lt;&gt;"",ISNUMBER(PROCESSOS!D65),OR(FiltroResp="TODOS",FiltroResp="",PROCESSOS!H65=FiltroResp)),PROCESSOS!D65+ROW()/1000000,"")</f>
        <v>46262.000065</v>
      </c>
    </row>
    <row r="66">
      <c r="BF66" t="str">
        <f>IF(AND(OR(PROCESSOS!O66="NO PRAZO",PROCESSOS!O66="VENCE EM BREVE"),OR(FiltroResp="TODOS",FiltroResp="",PROCESSOS!H66=FiltroResp)),PROCESSOS!M66+ROW()/1000000,"")</f>
        <v/>
      </c>
      <c r="BG66">
        <f>IF(AND(PROCESSOS!B66&lt;&gt;"",ISNUMBER(PROCESSOS!D66),OR(FiltroResp="TODOS",FiltroResp="",PROCESSOS!H66=FiltroResp)),PROCESSOS!D66+ROW()/1000000,"")</f>
        <v>46263.00006599537</v>
      </c>
    </row>
    <row r="67">
      <c r="BF67" t="str">
        <f>IF(AND(OR(PROCESSOS!O67="NO PRAZO",PROCESSOS!O67="VENCE EM BREVE"),OR(FiltroResp="TODOS",FiltroResp="",PROCESSOS!H67=FiltroResp)),PROCESSOS!M67+ROW()/1000000,"")</f>
        <v/>
      </c>
      <c r="BG67">
        <f>IF(AND(PROCESSOS!B67&lt;&gt;"",ISNUMBER(PROCESSOS!D67),OR(FiltroResp="TODOS",FiltroResp="",PROCESSOS!H67=FiltroResp)),PROCESSOS!D67+ROW()/1000000,"")</f>
        <v>46265.000067002315</v>
      </c>
    </row>
    <row r="68">
      <c r="BF68" t="str">
        <f>IF(AND(OR(PROCESSOS!O68="NO PRAZO",PROCESSOS!O68="VENCE EM BREVE"),OR(FiltroResp="TODOS",FiltroResp="",PROCESSOS!H68=FiltroResp)),PROCESSOS!M68+ROW()/1000000,"")</f>
        <v/>
      </c>
      <c r="BG68">
        <f>IF(AND(PROCESSOS!B68&lt;&gt;"",ISNUMBER(PROCESSOS!D68),OR(FiltroResp="TODOS",FiltroResp="",PROCESSOS!H68=FiltroResp)),PROCESSOS!D68+ROW()/1000000,"")</f>
        <v>46265.00006799769</v>
      </c>
    </row>
    <row r="69">
      <c r="BF69" t="str">
        <f>IF(AND(OR(PROCESSOS!O69="NO PRAZO",PROCESSOS!O69="VENCE EM BREVE"),OR(FiltroResp="TODOS",FiltroResp="",PROCESSOS!H69=FiltroResp)),PROCESSOS!M69+ROW()/1000000,"")</f>
        <v/>
      </c>
      <c r="BG69">
        <f>IF(AND(PROCESSOS!B69&lt;&gt;"",ISNUMBER(PROCESSOS!D69),OR(FiltroResp="TODOS",FiltroResp="",PROCESSOS!H69=FiltroResp)),PROCESSOS!D69+ROW()/1000000,"")</f>
        <v>46267.00006900463</v>
      </c>
    </row>
    <row r="70">
      <c r="BF70" t="str">
        <f>IF(AND(OR(PROCESSOS!O70="NO PRAZO",PROCESSOS!O70="VENCE EM BREVE"),OR(FiltroResp="TODOS",FiltroResp="",PROCESSOS!H70=FiltroResp)),PROCESSOS!M70+ROW()/1000000,"")</f>
        <v/>
      </c>
      <c r="BG70">
        <f>IF(AND(PROCESSOS!B70&lt;&gt;"",ISNUMBER(PROCESSOS!D70),OR(FiltroResp="TODOS",FiltroResp="",PROCESSOS!H70=FiltroResp)),PROCESSOS!D70+ROW()/1000000,"")</f>
        <v>46269.00007</v>
      </c>
    </row>
    <row r="71">
      <c r="BF71" t="str">
        <f>IF(AND(OR(PROCESSOS!O71="NO PRAZO",PROCESSOS!O71="VENCE EM BREVE"),OR(FiltroResp="TODOS",FiltroResp="",PROCESSOS!H71=FiltroResp)),PROCESSOS!M71+ROW()/1000000,"")</f>
        <v/>
      </c>
      <c r="BG71">
        <f>IF(AND(PROCESSOS!B71&lt;&gt;"",ISNUMBER(PROCESSOS!D71),OR(FiltroResp="TODOS",FiltroResp="",PROCESSOS!H71=FiltroResp)),PROCESSOS!D71+ROW()/1000000,"")</f>
        <v>46270.00007099537</v>
      </c>
    </row>
    <row r="72">
      <c r="BF72" t="str">
        <f>IF(AND(OR(PROCESSOS!O72="NO PRAZO",PROCESSOS!O72="VENCE EM BREVE"),OR(FiltroResp="TODOS",FiltroResp="",PROCESSOS!H72=FiltroResp)),PROCESSOS!M72+ROW()/1000000,"")</f>
        <v/>
      </c>
      <c r="BG72">
        <f>IF(AND(PROCESSOS!B72&lt;&gt;"",ISNUMBER(PROCESSOS!D72),OR(FiltroResp="TODOS",FiltroResp="",PROCESSOS!H72=FiltroResp)),PROCESSOS!D72+ROW()/1000000,"")</f>
        <v>46271.000072002316</v>
      </c>
    </row>
    <row r="73">
      <c r="BF73" t="str">
        <f>IF(AND(OR(PROCESSOS!O73="NO PRAZO",PROCESSOS!O73="VENCE EM BREVE"),OR(FiltroResp="TODOS",FiltroResp="",PROCESSOS!H73=FiltroResp)),PROCESSOS!M73+ROW()/1000000,"")</f>
        <v/>
      </c>
      <c r="BG73">
        <f>IF(AND(PROCESSOS!B73&lt;&gt;"",ISNUMBER(PROCESSOS!D73),OR(FiltroResp="TODOS",FiltroResp="",PROCESSOS!H73=FiltroResp)),PROCESSOS!D73+ROW()/1000000,"")</f>
        <v>46272.00007299768</v>
      </c>
    </row>
    <row r="74">
      <c r="BF74" t="str">
        <f>IF(AND(OR(PROCESSOS!O74="NO PRAZO",PROCESSOS!O74="VENCE EM BREVE"),OR(FiltroResp="TODOS",FiltroResp="",PROCESSOS!H74=FiltroResp)),PROCESSOS!M74+ROW()/1000000,"")</f>
        <v/>
      </c>
      <c r="BG74">
        <f>IF(AND(PROCESSOS!B74&lt;&gt;"",ISNUMBER(PROCESSOS!D74),OR(FiltroResp="TODOS",FiltroResp="",PROCESSOS!H74=FiltroResp)),PROCESSOS!D74+ROW()/1000000,"")</f>
        <v>46272.00007400463</v>
      </c>
    </row>
    <row r="75">
      <c r="BF75" t="str">
        <f>IF(AND(OR(PROCESSOS!O75="NO PRAZO",PROCESSOS!O75="VENCE EM BREVE"),OR(FiltroResp="TODOS",FiltroResp="",PROCESSOS!H75=FiltroResp)),PROCESSOS!M75+ROW()/1000000,"")</f>
        <v/>
      </c>
      <c r="BG75">
        <f>IF(AND(PROCESSOS!B75&lt;&gt;"",ISNUMBER(PROCESSOS!D75),OR(FiltroResp="TODOS",FiltroResp="",PROCESSOS!H75=FiltroResp)),PROCESSOS!D75+ROW()/1000000,"")</f>
        <v>46274.000075</v>
      </c>
    </row>
    <row r="76">
      <c r="BF76" t="str">
        <f>IF(AND(OR(PROCESSOS!O76="NO PRAZO",PROCESSOS!O76="VENCE EM BREVE"),OR(FiltroResp="TODOS",FiltroResp="",PROCESSOS!H76=FiltroResp)),PROCESSOS!M76+ROW()/1000000,"")</f>
        <v/>
      </c>
      <c r="BG76">
        <f>IF(AND(PROCESSOS!B76&lt;&gt;"",ISNUMBER(PROCESSOS!D76),OR(FiltroResp="TODOS",FiltroResp="",PROCESSOS!H76=FiltroResp)),PROCESSOS!D76+ROW()/1000000,"")</f>
        <v>46276.00007599537</v>
      </c>
    </row>
    <row r="77">
      <c r="BF77" t="str">
        <f>IF(AND(OR(PROCESSOS!O77="NO PRAZO",PROCESSOS!O77="VENCE EM BREVE"),OR(FiltroResp="TODOS",FiltroResp="",PROCESSOS!H77=FiltroResp)),PROCESSOS!M77+ROW()/1000000,"")</f>
        <v/>
      </c>
      <c r="BG77">
        <f>IF(AND(PROCESSOS!B77&lt;&gt;"",ISNUMBER(PROCESSOS!D77),OR(FiltroResp="TODOS",FiltroResp="",PROCESSOS!H77=FiltroResp)),PROCESSOS!D77+ROW()/1000000,"")</f>
        <v>46277.00007700232</v>
      </c>
    </row>
    <row r="78">
      <c r="BF78" t="str">
        <f>IF(AND(OR(PROCESSOS!O78="NO PRAZO",PROCESSOS!O78="VENCE EM BREVE"),OR(FiltroResp="TODOS",FiltroResp="",PROCESSOS!H78=FiltroResp)),PROCESSOS!M78+ROW()/1000000,"")</f>
        <v/>
      </c>
      <c r="BG78">
        <f>IF(AND(PROCESSOS!B78&lt;&gt;"",ISNUMBER(PROCESSOS!D78),OR(FiltroResp="TODOS",FiltroResp="",PROCESSOS!H78=FiltroResp)),PROCESSOS!D78+ROW()/1000000,"")</f>
        <v>46278.00007799768</v>
      </c>
    </row>
    <row r="79">
      <c r="BF79" t="str">
        <f>IF(AND(OR(PROCESSOS!O79="NO PRAZO",PROCESSOS!O79="VENCE EM BREVE"),OR(FiltroResp="TODOS",FiltroResp="",PROCESSOS!H79=FiltroResp)),PROCESSOS!M79+ROW()/1000000,"")</f>
        <v/>
      </c>
      <c r="BG79">
        <f>IF(AND(PROCESSOS!B79&lt;&gt;"",ISNUMBER(PROCESSOS!D79),OR(FiltroResp="TODOS",FiltroResp="",PROCESSOS!H79=FiltroResp)),PROCESSOS!D79+ROW()/1000000,"")</f>
        <v>46278.00007900463</v>
      </c>
    </row>
    <row r="80">
      <c r="BF80" t="str">
        <f>IF(AND(OR(PROCESSOS!O80="NO PRAZO",PROCESSOS!O80="VENCE EM BREVE"),OR(FiltroResp="TODOS",FiltroResp="",PROCESSOS!H80=FiltroResp)),PROCESSOS!M80+ROW()/1000000,"")</f>
        <v/>
      </c>
      <c r="BG80">
        <f>IF(AND(PROCESSOS!B80&lt;&gt;"",ISNUMBER(PROCESSOS!D80),OR(FiltroResp="TODOS",FiltroResp="",PROCESSOS!H80=FiltroResp)),PROCESSOS!D80+ROW()/1000000,"")</f>
        <v>46279.00008</v>
      </c>
    </row>
    <row r="81">
      <c r="BF81" t="str">
        <f>IF(AND(OR(PROCESSOS!O81="NO PRAZO",PROCESSOS!O81="VENCE EM BREVE"),OR(FiltroResp="TODOS",FiltroResp="",PROCESSOS!H81=FiltroResp)),PROCESSOS!M81+ROW()/1000000,"")</f>
        <v/>
      </c>
      <c r="BG81">
        <f>IF(AND(PROCESSOS!B81&lt;&gt;"",ISNUMBER(PROCESSOS!D81),OR(FiltroResp="TODOS",FiltroResp="",PROCESSOS!H81=FiltroResp)),PROCESSOS!D81+ROW()/1000000,"")</f>
        <v>46281.00008099537</v>
      </c>
    </row>
    <row r="82">
      <c r="BF82" t="str">
        <f>IF(AND(OR(PROCESSOS!O82="NO PRAZO",PROCESSOS!O82="VENCE EM BREVE"),OR(FiltroResp="TODOS",FiltroResp="",PROCESSOS!H82=FiltroResp)),PROCESSOS!M82+ROW()/1000000,"")</f>
        <v/>
      </c>
      <c r="BG82">
        <f>IF(AND(PROCESSOS!B82&lt;&gt;"",ISNUMBER(PROCESSOS!D82),OR(FiltroResp="TODOS",FiltroResp="",PROCESSOS!H82=FiltroResp)),PROCESSOS!D82+ROW()/1000000,"")</f>
        <v>46284.00008200231</v>
      </c>
    </row>
    <row r="83">
      <c r="BF83" t="str">
        <f>IF(AND(OR(PROCESSOS!O83="NO PRAZO",PROCESSOS!O83="VENCE EM BREVE"),OR(FiltroResp="TODOS",FiltroResp="",PROCESSOS!H83=FiltroResp)),PROCESSOS!M83+ROW()/1000000,"")</f>
        <v/>
      </c>
      <c r="BG83">
        <f>IF(AND(PROCESSOS!B83&lt;&gt;"",ISNUMBER(PROCESSOS!D83),OR(FiltroResp="TODOS",FiltroResp="",PROCESSOS!H83=FiltroResp)),PROCESSOS!D83+ROW()/1000000,"")</f>
        <v>46284.000082997685</v>
      </c>
    </row>
    <row r="84">
      <c r="BF84" t="str">
        <f>IF(AND(OR(PROCESSOS!O84="NO PRAZO",PROCESSOS!O84="VENCE EM BREVE"),OR(FiltroResp="TODOS",FiltroResp="",PROCESSOS!H84=FiltroResp)),PROCESSOS!M84+ROW()/1000000,"")</f>
        <v/>
      </c>
      <c r="BG84">
        <f>IF(AND(PROCESSOS!B84&lt;&gt;"",ISNUMBER(PROCESSOS!D84),OR(FiltroResp="TODOS",FiltroResp="",PROCESSOS!H84=FiltroResp)),PROCESSOS!D84+ROW()/1000000,"")</f>
        <v>46287.00008400463</v>
      </c>
    </row>
    <row r="85">
      <c r="BF85" t="str">
        <f>IF(AND(OR(PROCESSOS!O85="NO PRAZO",PROCESSOS!O85="VENCE EM BREVE"),OR(FiltroResp="TODOS",FiltroResp="",PROCESSOS!H85=FiltroResp)),PROCESSOS!M85+ROW()/1000000,"")</f>
        <v/>
      </c>
      <c r="BG85">
        <f>IF(AND(PROCESSOS!B85&lt;&gt;"",ISNUMBER(PROCESSOS!D85),OR(FiltroResp="TODOS",FiltroResp="",PROCESSOS!H85=FiltroResp)),PROCESSOS!D85+ROW()/1000000,"")</f>
        <v>46289.000085</v>
      </c>
    </row>
    <row r="86">
      <c r="BF86" t="str">
        <f>IF(AND(OR(PROCESSOS!O86="NO PRAZO",PROCESSOS!O86="VENCE EM BREVE"),OR(FiltroResp="TODOS",FiltroResp="",PROCESSOS!H86=FiltroResp)),PROCESSOS!M86+ROW()/1000000,"")</f>
        <v/>
      </c>
      <c r="BG86">
        <f>IF(AND(PROCESSOS!B86&lt;&gt;"",ISNUMBER(PROCESSOS!D86),OR(FiltroResp="TODOS",FiltroResp="",PROCESSOS!H86=FiltroResp)),PROCESSOS!D86+ROW()/1000000,"")</f>
        <v>46291.00008599537</v>
      </c>
    </row>
    <row r="87">
      <c r="BF87" t="str">
        <f>IF(AND(OR(PROCESSOS!O87="NO PRAZO",PROCESSOS!O87="VENCE EM BREVE"),OR(FiltroResp="TODOS",FiltroResp="",PROCESSOS!H87=FiltroResp)),PROCESSOS!M87+ROW()/1000000,"")</f>
        <v/>
      </c>
      <c r="BG87">
        <f>IF(AND(PROCESSOS!B87&lt;&gt;"",ISNUMBER(PROCESSOS!D87),OR(FiltroResp="TODOS",FiltroResp="",PROCESSOS!H87=FiltroResp)),PROCESSOS!D87+ROW()/1000000,"")</f>
        <v>46292.000087002314</v>
      </c>
    </row>
    <row r="88">
      <c r="BF88">
        <f>IF(AND(OR(PROCESSOS!O88="NO PRAZO",PROCESSOS!O88="VENCE EM BREVE"),OR(FiltroResp="TODOS",FiltroResp="",PROCESSOS!H88=FiltroResp)),PROCESSOS!M88+ROW()/1000000,"")</f>
        <v>46309.00008799769</v>
      </c>
      <c r="BG88">
        <f>IF(AND(PROCESSOS!B88&lt;&gt;"",ISNUMBER(PROCESSOS!D88),OR(FiltroResp="TODOS",FiltroResp="",PROCESSOS!H88=FiltroResp)),PROCESSOS!D88+ROW()/1000000,"")</f>
        <v>46294.00008799769</v>
      </c>
    </row>
    <row r="89">
      <c r="BF89">
        <f>IF(AND(OR(PROCESSOS!O89="NO PRAZO",PROCESSOS!O89="VENCE EM BREVE"),OR(FiltroResp="TODOS",FiltroResp="",PROCESSOS!H89=FiltroResp)),PROCESSOS!M89+ROW()/1000000,"")</f>
        <v>46305.00008900463</v>
      </c>
      <c r="BG89">
        <f>IF(AND(PROCESSOS!B89&lt;&gt;"",ISNUMBER(PROCESSOS!D89),OR(FiltroResp="TODOS",FiltroResp="",PROCESSOS!H89=FiltroResp)),PROCESSOS!D89+ROW()/1000000,"")</f>
        <v>46295.00008900463</v>
      </c>
    </row>
    <row r="90">
      <c r="BF90" t="str">
        <f>IF(AND(OR(PROCESSOS!O90="NO PRAZO",PROCESSOS!O90="VENCE EM BREVE"),OR(FiltroResp="TODOS",FiltroResp="",PROCESSOS!H90=FiltroResp)),PROCESSOS!M90+ROW()/1000000,"")</f>
        <v/>
      </c>
      <c r="BG90">
        <f>IF(AND(PROCESSOS!B90&lt;&gt;"",ISNUMBER(PROCESSOS!D90),OR(FiltroResp="TODOS",FiltroResp="",PROCESSOS!H90=FiltroResp)),PROCESSOS!D90+ROW()/1000000,"")</f>
        <v>46296.00009</v>
      </c>
    </row>
    <row r="91">
      <c r="BF91">
        <f>IF(AND(OR(PROCESSOS!O91="NO PRAZO",PROCESSOS!O91="VENCE EM BREVE"),OR(FiltroResp="TODOS",FiltroResp="",PROCESSOS!H91=FiltroResp)),PROCESSOS!M91+ROW()/1000000,"")</f>
        <v>46307.00009099537</v>
      </c>
      <c r="BG91">
        <f>IF(AND(PROCESSOS!B91&lt;&gt;"",ISNUMBER(PROCESSOS!D91),OR(FiltroResp="TODOS",FiltroResp="",PROCESSOS!H91=FiltroResp)),PROCESSOS!D91+ROW()/1000000,"")</f>
        <v>46297.00009099537</v>
      </c>
    </row>
    <row r="92">
      <c r="BF92" t="str">
        <f>IF(AND(OR(PROCESSOS!O92="NO PRAZO",PROCESSOS!O92="VENCE EM BREVE"),OR(FiltroResp="TODOS",FiltroResp="",PROCESSOS!H92=FiltroResp)),PROCESSOS!M92+ROW()/1000000,"")</f>
        <v/>
      </c>
      <c r="BG92">
        <f>IF(AND(PROCESSOS!B92&lt;&gt;"",ISNUMBER(PROCESSOS!D92),OR(FiltroResp="TODOS",FiltroResp="",PROCESSOS!H92=FiltroResp)),PROCESSOS!D92+ROW()/1000000,"")</f>
        <v>46297.000092002316</v>
      </c>
    </row>
    <row r="93">
      <c r="BF93" t="str">
        <f>IF(AND(OR(PROCESSOS!O93="NO PRAZO",PROCESSOS!O93="VENCE EM BREVE"),OR(FiltroResp="TODOS",FiltroResp="",PROCESSOS!H93=FiltroResp)),PROCESSOS!M93+ROW()/1000000,"")</f>
        <v/>
      </c>
      <c r="BG93">
        <f>IF(AND(PROCESSOS!B93&lt;&gt;"",ISNUMBER(PROCESSOS!D93),OR(FiltroResp="TODOS",FiltroResp="",PROCESSOS!H93=FiltroResp)),PROCESSOS!D93+ROW()/1000000,"")</f>
        <v>46299.00009299769</v>
      </c>
    </row>
    <row r="94">
      <c r="BF94" t="str">
        <f>IF(AND(OR(PROCESSOS!O94="NO PRAZO",PROCESSOS!O94="VENCE EM BREVE"),OR(FiltroResp="TODOS",FiltroResp="",PROCESSOS!H94=FiltroResp)),PROCESSOS!M94+ROW()/1000000,"")</f>
        <v/>
      </c>
      <c r="BG94">
        <f>IF(AND(PROCESSOS!B94&lt;&gt;"",ISNUMBER(PROCESSOS!D94),OR(FiltroResp="TODOS",FiltroResp="",PROCESSOS!H94=FiltroResp)),PROCESSOS!D94+ROW()/1000000,"")</f>
        <v>46300.00009400463</v>
      </c>
    </row>
    <row r="95">
      <c r="BF95">
        <f>IF(AND(OR(PROCESSOS!O95="NO PRAZO",PROCESSOS!O95="VENCE EM BREVE"),OR(FiltroResp="TODOS",FiltroResp="",PROCESSOS!H95=FiltroResp)),PROCESSOS!M95+ROW()/1000000,"")</f>
        <v>46311.000095</v>
      </c>
      <c r="BG95">
        <f>IF(AND(PROCESSOS!B95&lt;&gt;"",ISNUMBER(PROCESSOS!D95),OR(FiltroResp="TODOS",FiltroResp="",PROCESSOS!H95=FiltroResp)),PROCESSOS!D95+ROW()/1000000,"")</f>
        <v>46301.000095</v>
      </c>
    </row>
    <row r="96">
      <c r="BF96">
        <f>IF(AND(OR(PROCESSOS!O96="NO PRAZO",PROCESSOS!O96="VENCE EM BREVE"),OR(FiltroResp="TODOS",FiltroResp="",PROCESSOS!H96=FiltroResp)),PROCESSOS!M96+ROW()/1000000,"")</f>
        <v>46318.00009599537</v>
      </c>
      <c r="BG96">
        <f>IF(AND(PROCESSOS!B96&lt;&gt;"",ISNUMBER(PROCESSOS!D96),OR(FiltroResp="TODOS",FiltroResp="",PROCESSOS!H96=FiltroResp)),PROCESSOS!D96+ROW()/1000000,"")</f>
        <v>46303.00009599537</v>
      </c>
    </row>
    <row r="97">
      <c r="BF97">
        <f>IF(AND(OR(PROCESSOS!O97="NO PRAZO",PROCESSOS!O97="VENCE EM BREVE"),OR(FiltroResp="TODOS",FiltroResp="",PROCESSOS!H97=FiltroResp)),PROCESSOS!M97+ROW()/1000000,"")</f>
        <v>46313.00009700232</v>
      </c>
      <c r="BG97">
        <f>IF(AND(PROCESSOS!B97&lt;&gt;"",ISNUMBER(PROCESSOS!D97),OR(FiltroResp="TODOS",FiltroResp="",PROCESSOS!H97=FiltroResp)),PROCESSOS!D97+ROW()/1000000,"")</f>
        <v>46303.00009700232</v>
      </c>
    </row>
    <row r="98">
      <c r="BF98">
        <f>IF(AND(OR(PROCESSOS!O98="NO PRAZO",PROCESSOS!O98="VENCE EM BREVE"),OR(FiltroResp="TODOS",FiltroResp="",PROCESSOS!H98=FiltroResp)),PROCESSOS!M98+ROW()/1000000,"")</f>
        <v>46318.00009799768</v>
      </c>
      <c r="BG98">
        <f>IF(AND(PROCESSOS!B98&lt;&gt;"",ISNUMBER(PROCESSOS!D98),OR(FiltroResp="TODOS",FiltroResp="",PROCESSOS!H98=FiltroResp)),PROCESSOS!D98+ROW()/1000000,"")</f>
        <v>46303.00009799768</v>
      </c>
    </row>
    <row r="99">
      <c r="BF99">
        <f>IF(AND(OR(PROCESSOS!O99="NO PRAZO",PROCESSOS!O99="VENCE EM BREVE"),OR(FiltroResp="TODOS",FiltroResp="",PROCESSOS!H99=FiltroResp)),PROCESSOS!M99+ROW()/1000000,"")</f>
        <v>46314.00009900463</v>
      </c>
      <c r="BG99">
        <f>IF(AND(PROCESSOS!B99&lt;&gt;"",ISNUMBER(PROCESSOS!D99),OR(FiltroResp="TODOS",FiltroResp="",PROCESSOS!H99=FiltroResp)),PROCESSOS!D99+ROW()/1000000,"")</f>
        <v>46304.00009900463</v>
      </c>
    </row>
    <row r="100">
      <c r="BF100" t="str">
        <f>IF(AND(OR(PROCESSOS!O100="NO PRAZO",PROCESSOS!O100="VENCE EM BREVE"),OR(FiltroResp="TODOS",FiltroResp="",PROCESSOS!H100=FiltroResp)),PROCESSOS!M100+ROW()/1000000,"")</f>
        <v/>
      </c>
      <c r="BG100">
        <f>IF(AND(PROCESSOS!B100&lt;&gt;"",ISNUMBER(PROCESSOS!D100),OR(FiltroResp="TODOS",FiltroResp="",PROCESSOS!H100=FiltroResp)),PROCESSOS!D100+ROW()/1000000,"")</f>
        <v>46304.0001</v>
      </c>
    </row>
    <row r="101">
      <c r="BF101" t="str">
        <f>IF(AND(OR(PROCESSOS!O101="NO PRAZO",PROCESSOS!O101="VENCE EM BREVE"),OR(FiltroResp="TODOS",FiltroResp="",PROCESSOS!H101=FiltroResp)),PROCESSOS!M101+ROW()/1000000,"")</f>
        <v/>
      </c>
      <c r="BG101" t="str">
        <f>IF(AND(PROCESSOS!B101&lt;&gt;"",ISNUMBER(PROCESSOS!D101),OR(FiltroResp="TODOS",FiltroResp="",PROCESSOS!H101=FiltroResp)),PROCESSOS!D101+ROW()/1000000,"")</f>
        <v/>
      </c>
    </row>
    <row r="102">
      <c r="BF102" t="str">
        <f>IF(AND(OR(PROCESSOS!O102="NO PRAZO",PROCESSOS!O102="VENCE EM BREVE"),OR(FiltroResp="TODOS",FiltroResp="",PROCESSOS!H102=FiltroResp)),PROCESSOS!M102+ROW()/1000000,"")</f>
        <v/>
      </c>
      <c r="BG102" t="str">
        <f>IF(AND(PROCESSOS!B102&lt;&gt;"",ISNUMBER(PROCESSOS!D102),OR(FiltroResp="TODOS",FiltroResp="",PROCESSOS!H102=FiltroResp)),PROCESSOS!D102+ROW()/1000000,"")</f>
        <v/>
      </c>
    </row>
    <row r="103">
      <c r="BF103" t="str">
        <f>IF(AND(OR(PROCESSOS!O103="NO PRAZO",PROCESSOS!O103="VENCE EM BREVE"),OR(FiltroResp="TODOS",FiltroResp="",PROCESSOS!H103=FiltroResp)),PROCESSOS!M103+ROW()/1000000,"")</f>
        <v/>
      </c>
      <c r="BG103" t="str">
        <f>IF(AND(PROCESSOS!B103&lt;&gt;"",ISNUMBER(PROCESSOS!D103),OR(FiltroResp="TODOS",FiltroResp="",PROCESSOS!H103=FiltroResp)),PROCESSOS!D103+ROW()/1000000,"")</f>
        <v/>
      </c>
    </row>
    <row r="104">
      <c r="BF104" t="str">
        <f>IF(AND(OR(PROCESSOS!O104="NO PRAZO",PROCESSOS!O104="VENCE EM BREVE"),OR(FiltroResp="TODOS",FiltroResp="",PROCESSOS!H104=FiltroResp)),PROCESSOS!M104+ROW()/1000000,"")</f>
        <v/>
      </c>
      <c r="BG104" t="str">
        <f>IF(AND(PROCESSOS!B104&lt;&gt;"",ISNUMBER(PROCESSOS!D104),OR(FiltroResp="TODOS",FiltroResp="",PROCESSOS!H104=FiltroResp)),PROCESSOS!D104+ROW()/1000000,"")</f>
        <v/>
      </c>
    </row>
    <row r="105">
      <c r="BF105" t="str">
        <f>IF(AND(OR(PROCESSOS!O105="NO PRAZO",PROCESSOS!O105="VENCE EM BREVE"),OR(FiltroResp="TODOS",FiltroResp="",PROCESSOS!H105=FiltroResp)),PROCESSOS!M105+ROW()/1000000,"")</f>
        <v/>
      </c>
      <c r="BG105" t="str">
        <f>IF(AND(PROCESSOS!B105&lt;&gt;"",ISNUMBER(PROCESSOS!D105),OR(FiltroResp="TODOS",FiltroResp="",PROCESSOS!H105=FiltroResp)),PROCESSOS!D105+ROW()/1000000,"")</f>
        <v/>
      </c>
    </row>
    <row r="106">
      <c r="BF106" t="str">
        <f>IF(AND(OR(PROCESSOS!O106="NO PRAZO",PROCESSOS!O106="VENCE EM BREVE"),OR(FiltroResp="TODOS",FiltroResp="",PROCESSOS!H106=FiltroResp)),PROCESSOS!M106+ROW()/1000000,"")</f>
        <v/>
      </c>
      <c r="BG106" t="str">
        <f>IF(AND(PROCESSOS!B106&lt;&gt;"",ISNUMBER(PROCESSOS!D106),OR(FiltroResp="TODOS",FiltroResp="",PROCESSOS!H106=FiltroResp)),PROCESSOS!D106+ROW()/1000000,"")</f>
        <v/>
      </c>
    </row>
    <row r="107">
      <c r="BF107" t="str">
        <f>IF(AND(OR(PROCESSOS!O107="NO PRAZO",PROCESSOS!O107="VENCE EM BREVE"),OR(FiltroResp="TODOS",FiltroResp="",PROCESSOS!H107=FiltroResp)),PROCESSOS!M107+ROW()/1000000,"")</f>
        <v/>
      </c>
      <c r="BG107" t="str">
        <f>IF(AND(PROCESSOS!B107&lt;&gt;"",ISNUMBER(PROCESSOS!D107),OR(FiltroResp="TODOS",FiltroResp="",PROCESSOS!H107=FiltroResp)),PROCESSOS!D107+ROW()/1000000,"")</f>
        <v/>
      </c>
    </row>
    <row r="108">
      <c r="BF108" t="str">
        <f>IF(AND(OR(PROCESSOS!O108="NO PRAZO",PROCESSOS!O108="VENCE EM BREVE"),OR(FiltroResp="TODOS",FiltroResp="",PROCESSOS!H108=FiltroResp)),PROCESSOS!M108+ROW()/1000000,"")</f>
        <v/>
      </c>
      <c r="BG108" t="str">
        <f>IF(AND(PROCESSOS!B108&lt;&gt;"",ISNUMBER(PROCESSOS!D108),OR(FiltroResp="TODOS",FiltroResp="",PROCESSOS!H108=FiltroResp)),PROCESSOS!D108+ROW()/1000000,"")</f>
        <v/>
      </c>
    </row>
    <row r="109">
      <c r="BF109" t="str">
        <f>IF(AND(OR(PROCESSOS!O109="NO PRAZO",PROCESSOS!O109="VENCE EM BREVE"),OR(FiltroResp="TODOS",FiltroResp="",PROCESSOS!H109=FiltroResp)),PROCESSOS!M109+ROW()/1000000,"")</f>
        <v/>
      </c>
      <c r="BG109" t="str">
        <f>IF(AND(PROCESSOS!B109&lt;&gt;"",ISNUMBER(PROCESSOS!D109),OR(FiltroResp="TODOS",FiltroResp="",PROCESSOS!H109=FiltroResp)),PROCESSOS!D109+ROW()/1000000,"")</f>
        <v/>
      </c>
    </row>
    <row r="110">
      <c r="BF110" t="str">
        <f>IF(AND(OR(PROCESSOS!O110="NO PRAZO",PROCESSOS!O110="VENCE EM BREVE"),OR(FiltroResp="TODOS",FiltroResp="",PROCESSOS!H110=FiltroResp)),PROCESSOS!M110+ROW()/1000000,"")</f>
        <v/>
      </c>
      <c r="BG110" t="str">
        <f>IF(AND(PROCESSOS!B110&lt;&gt;"",ISNUMBER(PROCESSOS!D110),OR(FiltroResp="TODOS",FiltroResp="",PROCESSOS!H110=FiltroResp)),PROCESSOS!D110+ROW()/1000000,"")</f>
        <v/>
      </c>
    </row>
    <row r="111">
      <c r="BF111" t="str">
        <f>IF(AND(OR(PROCESSOS!O111="NO PRAZO",PROCESSOS!O111="VENCE EM BREVE"),OR(FiltroResp="TODOS",FiltroResp="",PROCESSOS!H111=FiltroResp)),PROCESSOS!M111+ROW()/1000000,"")</f>
        <v/>
      </c>
      <c r="BG111" t="str">
        <f>IF(AND(PROCESSOS!B111&lt;&gt;"",ISNUMBER(PROCESSOS!D111),OR(FiltroResp="TODOS",FiltroResp="",PROCESSOS!H111=FiltroResp)),PROCESSOS!D111+ROW()/1000000,"")</f>
        <v/>
      </c>
    </row>
    <row r="112">
      <c r="BF112" t="str">
        <f>IF(AND(OR(PROCESSOS!O112="NO PRAZO",PROCESSOS!O112="VENCE EM BREVE"),OR(FiltroResp="TODOS",FiltroResp="",PROCESSOS!H112=FiltroResp)),PROCESSOS!M112+ROW()/1000000,"")</f>
        <v/>
      </c>
      <c r="BG112" t="str">
        <f>IF(AND(PROCESSOS!B112&lt;&gt;"",ISNUMBER(PROCESSOS!D112),OR(FiltroResp="TODOS",FiltroResp="",PROCESSOS!H112=FiltroResp)),PROCESSOS!D112+ROW()/1000000,"")</f>
        <v/>
      </c>
    </row>
    <row r="113">
      <c r="BF113" t="str">
        <f>IF(AND(OR(PROCESSOS!O113="NO PRAZO",PROCESSOS!O113="VENCE EM BREVE"),OR(FiltroResp="TODOS",FiltroResp="",PROCESSOS!H113=FiltroResp)),PROCESSOS!M113+ROW()/1000000,"")</f>
        <v/>
      </c>
      <c r="BG113" t="str">
        <f>IF(AND(PROCESSOS!B113&lt;&gt;"",ISNUMBER(PROCESSOS!D113),OR(FiltroResp="TODOS",FiltroResp="",PROCESSOS!H113=FiltroResp)),PROCESSOS!D113+ROW()/1000000,"")</f>
        <v/>
      </c>
    </row>
    <row r="114">
      <c r="BF114" t="str">
        <f>IF(AND(OR(PROCESSOS!O114="NO PRAZO",PROCESSOS!O114="VENCE EM BREVE"),OR(FiltroResp="TODOS",FiltroResp="",PROCESSOS!H114=FiltroResp)),PROCESSOS!M114+ROW()/1000000,"")</f>
        <v/>
      </c>
      <c r="BG114" t="str">
        <f>IF(AND(PROCESSOS!B114&lt;&gt;"",ISNUMBER(PROCESSOS!D114),OR(FiltroResp="TODOS",FiltroResp="",PROCESSOS!H114=FiltroResp)),PROCESSOS!D114+ROW()/1000000,"")</f>
        <v/>
      </c>
    </row>
    <row r="115">
      <c r="BF115" t="str">
        <f>IF(AND(OR(PROCESSOS!O115="NO PRAZO",PROCESSOS!O115="VENCE EM BREVE"),OR(FiltroResp="TODOS",FiltroResp="",PROCESSOS!H115=FiltroResp)),PROCESSOS!M115+ROW()/1000000,"")</f>
        <v/>
      </c>
      <c r="BG115" t="str">
        <f>IF(AND(PROCESSOS!B115&lt;&gt;"",ISNUMBER(PROCESSOS!D115),OR(FiltroResp="TODOS",FiltroResp="",PROCESSOS!H115=FiltroResp)),PROCESSOS!D115+ROW()/1000000,"")</f>
        <v/>
      </c>
    </row>
    <row r="116">
      <c r="BF116" t="str">
        <f>IF(AND(OR(PROCESSOS!O116="NO PRAZO",PROCESSOS!O116="VENCE EM BREVE"),OR(FiltroResp="TODOS",FiltroResp="",PROCESSOS!H116=FiltroResp)),PROCESSOS!M116+ROW()/1000000,"")</f>
        <v/>
      </c>
      <c r="BG116" t="str">
        <f>IF(AND(PROCESSOS!B116&lt;&gt;"",ISNUMBER(PROCESSOS!D116),OR(FiltroResp="TODOS",FiltroResp="",PROCESSOS!H116=FiltroResp)),PROCESSOS!D116+ROW()/1000000,"")</f>
        <v/>
      </c>
    </row>
    <row r="117">
      <c r="BF117" t="str">
        <f>IF(AND(OR(PROCESSOS!O117="NO PRAZO",PROCESSOS!O117="VENCE EM BREVE"),OR(FiltroResp="TODOS",FiltroResp="",PROCESSOS!H117=FiltroResp)),PROCESSOS!M117+ROW()/1000000,"")</f>
        <v/>
      </c>
      <c r="BG117" t="str">
        <f>IF(AND(PROCESSOS!B117&lt;&gt;"",ISNUMBER(PROCESSOS!D117),OR(FiltroResp="TODOS",FiltroResp="",PROCESSOS!H117=FiltroResp)),PROCESSOS!D117+ROW()/1000000,"")</f>
        <v/>
      </c>
    </row>
    <row r="118">
      <c r="BF118" t="str">
        <f>IF(AND(OR(PROCESSOS!O118="NO PRAZO",PROCESSOS!O118="VENCE EM BREVE"),OR(FiltroResp="TODOS",FiltroResp="",PROCESSOS!H118=FiltroResp)),PROCESSOS!M118+ROW()/1000000,"")</f>
        <v/>
      </c>
      <c r="BG118" t="str">
        <f>IF(AND(PROCESSOS!B118&lt;&gt;"",ISNUMBER(PROCESSOS!D118),OR(FiltroResp="TODOS",FiltroResp="",PROCESSOS!H118=FiltroResp)),PROCESSOS!D118+ROW()/1000000,"")</f>
        <v/>
      </c>
    </row>
    <row r="119">
      <c r="BF119" t="str">
        <f>IF(AND(OR(PROCESSOS!O119="NO PRAZO",PROCESSOS!O119="VENCE EM BREVE"),OR(FiltroResp="TODOS",FiltroResp="",PROCESSOS!H119=FiltroResp)),PROCESSOS!M119+ROW()/1000000,"")</f>
        <v/>
      </c>
      <c r="BG119" t="str">
        <f>IF(AND(PROCESSOS!B119&lt;&gt;"",ISNUMBER(PROCESSOS!D119),OR(FiltroResp="TODOS",FiltroResp="",PROCESSOS!H119=FiltroResp)),PROCESSOS!D119+ROW()/1000000,"")</f>
        <v/>
      </c>
    </row>
    <row r="120">
      <c r="BF120" t="str">
        <f>IF(AND(OR(PROCESSOS!O120="NO PRAZO",PROCESSOS!O120="VENCE EM BREVE"),OR(FiltroResp="TODOS",FiltroResp="",PROCESSOS!H120=FiltroResp)),PROCESSOS!M120+ROW()/1000000,"")</f>
        <v/>
      </c>
      <c r="BG120" t="str">
        <f>IF(AND(PROCESSOS!B120&lt;&gt;"",ISNUMBER(PROCESSOS!D120),OR(FiltroResp="TODOS",FiltroResp="",PROCESSOS!H120=FiltroResp)),PROCESSOS!D120+ROW()/1000000,"")</f>
        <v/>
      </c>
    </row>
    <row r="121">
      <c r="BF121" t="str">
        <f>IF(AND(OR(PROCESSOS!O121="NO PRAZO",PROCESSOS!O121="VENCE EM BREVE"),OR(FiltroResp="TODOS",FiltroResp="",PROCESSOS!H121=FiltroResp)),PROCESSOS!M121+ROW()/1000000,"")</f>
        <v/>
      </c>
      <c r="BG121" t="str">
        <f>IF(AND(PROCESSOS!B121&lt;&gt;"",ISNUMBER(PROCESSOS!D121),OR(FiltroResp="TODOS",FiltroResp="",PROCESSOS!H121=FiltroResp)),PROCESSOS!D121+ROW()/1000000,"")</f>
        <v/>
      </c>
    </row>
    <row r="122">
      <c r="BF122" t="str">
        <f>IF(AND(OR(PROCESSOS!O122="NO PRAZO",PROCESSOS!O122="VENCE EM BREVE"),OR(FiltroResp="TODOS",FiltroResp="",PROCESSOS!H122=FiltroResp)),PROCESSOS!M122+ROW()/1000000,"")</f>
        <v/>
      </c>
      <c r="BG122" t="str">
        <f>IF(AND(PROCESSOS!B122&lt;&gt;"",ISNUMBER(PROCESSOS!D122),OR(FiltroResp="TODOS",FiltroResp="",PROCESSOS!H122=FiltroResp)),PROCESSOS!D122+ROW()/1000000,"")</f>
        <v/>
      </c>
    </row>
    <row r="123">
      <c r="BF123" t="str">
        <f>IF(AND(OR(PROCESSOS!O123="NO PRAZO",PROCESSOS!O123="VENCE EM BREVE"),OR(FiltroResp="TODOS",FiltroResp="",PROCESSOS!H123=FiltroResp)),PROCESSOS!M123+ROW()/1000000,"")</f>
        <v/>
      </c>
      <c r="BG123" t="str">
        <f>IF(AND(PROCESSOS!B123&lt;&gt;"",ISNUMBER(PROCESSOS!D123),OR(FiltroResp="TODOS",FiltroResp="",PROCESSOS!H123=FiltroResp)),PROCESSOS!D123+ROW()/1000000,"")</f>
        <v/>
      </c>
    </row>
    <row r="124">
      <c r="BF124" t="str">
        <f>IF(AND(OR(PROCESSOS!O124="NO PRAZO",PROCESSOS!O124="VENCE EM BREVE"),OR(FiltroResp="TODOS",FiltroResp="",PROCESSOS!H124=FiltroResp)),PROCESSOS!M124+ROW()/1000000,"")</f>
        <v/>
      </c>
      <c r="BG124" t="str">
        <f>IF(AND(PROCESSOS!B124&lt;&gt;"",ISNUMBER(PROCESSOS!D124),OR(FiltroResp="TODOS",FiltroResp="",PROCESSOS!H124=FiltroResp)),PROCESSOS!D124+ROW()/1000000,"")</f>
        <v/>
      </c>
    </row>
    <row r="125">
      <c r="BF125" t="str">
        <f>IF(AND(OR(PROCESSOS!O125="NO PRAZO",PROCESSOS!O125="VENCE EM BREVE"),OR(FiltroResp="TODOS",FiltroResp="",PROCESSOS!H125=FiltroResp)),PROCESSOS!M125+ROW()/1000000,"")</f>
        <v/>
      </c>
      <c r="BG125" t="str">
        <f>IF(AND(PROCESSOS!B125&lt;&gt;"",ISNUMBER(PROCESSOS!D125),OR(FiltroResp="TODOS",FiltroResp="",PROCESSOS!H125=FiltroResp)),PROCESSOS!D125+ROW()/1000000,"")</f>
        <v/>
      </c>
    </row>
    <row r="126">
      <c r="BF126" t="str">
        <f>IF(AND(OR(PROCESSOS!O126="NO PRAZO",PROCESSOS!O126="VENCE EM BREVE"),OR(FiltroResp="TODOS",FiltroResp="",PROCESSOS!H126=FiltroResp)),PROCESSOS!M126+ROW()/1000000,"")</f>
        <v/>
      </c>
      <c r="BG126" t="str">
        <f>IF(AND(PROCESSOS!B126&lt;&gt;"",ISNUMBER(PROCESSOS!D126),OR(FiltroResp="TODOS",FiltroResp="",PROCESSOS!H126=FiltroResp)),PROCESSOS!D126+ROW()/1000000,"")</f>
        <v/>
      </c>
    </row>
    <row r="127">
      <c r="BF127" t="str">
        <f>IF(AND(OR(PROCESSOS!O127="NO PRAZO",PROCESSOS!O127="VENCE EM BREVE"),OR(FiltroResp="TODOS",FiltroResp="",PROCESSOS!H127=FiltroResp)),PROCESSOS!M127+ROW()/1000000,"")</f>
        <v/>
      </c>
      <c r="BG127" t="str">
        <f>IF(AND(PROCESSOS!B127&lt;&gt;"",ISNUMBER(PROCESSOS!D127),OR(FiltroResp="TODOS",FiltroResp="",PROCESSOS!H127=FiltroResp)),PROCESSOS!D127+ROW()/1000000,"")</f>
        <v/>
      </c>
    </row>
    <row r="128">
      <c r="BF128" t="str">
        <f>IF(AND(OR(PROCESSOS!O128="NO PRAZO",PROCESSOS!O128="VENCE EM BREVE"),OR(FiltroResp="TODOS",FiltroResp="",PROCESSOS!H128=FiltroResp)),PROCESSOS!M128+ROW()/1000000,"")</f>
        <v/>
      </c>
      <c r="BG128" t="str">
        <f>IF(AND(PROCESSOS!B128&lt;&gt;"",ISNUMBER(PROCESSOS!D128),OR(FiltroResp="TODOS",FiltroResp="",PROCESSOS!H128=FiltroResp)),PROCESSOS!D128+ROW()/1000000,"")</f>
        <v/>
      </c>
    </row>
    <row r="129">
      <c r="BF129" t="str">
        <f>IF(AND(OR(PROCESSOS!O129="NO PRAZO",PROCESSOS!O129="VENCE EM BREVE"),OR(FiltroResp="TODOS",FiltroResp="",PROCESSOS!H129=FiltroResp)),PROCESSOS!M129+ROW()/1000000,"")</f>
        <v/>
      </c>
      <c r="BG129" t="str">
        <f>IF(AND(PROCESSOS!B129&lt;&gt;"",ISNUMBER(PROCESSOS!D129),OR(FiltroResp="TODOS",FiltroResp="",PROCESSOS!H129=FiltroResp)),PROCESSOS!D129+ROW()/1000000,"")</f>
        <v/>
      </c>
    </row>
    <row r="130">
      <c r="BF130" t="str">
        <f>IF(AND(OR(PROCESSOS!O130="NO PRAZO",PROCESSOS!O130="VENCE EM BREVE"),OR(FiltroResp="TODOS",FiltroResp="",PROCESSOS!H130=FiltroResp)),PROCESSOS!M130+ROW()/1000000,"")</f>
        <v/>
      </c>
      <c r="BG130" t="str">
        <f>IF(AND(PROCESSOS!B130&lt;&gt;"",ISNUMBER(PROCESSOS!D130),OR(FiltroResp="TODOS",FiltroResp="",PROCESSOS!H130=FiltroResp)),PROCESSOS!D130+ROW()/1000000,"")</f>
        <v/>
      </c>
    </row>
    <row r="131">
      <c r="BF131" t="str">
        <f>IF(AND(OR(PROCESSOS!O131="NO PRAZO",PROCESSOS!O131="VENCE EM BREVE"),OR(FiltroResp="TODOS",FiltroResp="",PROCESSOS!H131=FiltroResp)),PROCESSOS!M131+ROW()/1000000,"")</f>
        <v/>
      </c>
      <c r="BG131" t="str">
        <f>IF(AND(PROCESSOS!B131&lt;&gt;"",ISNUMBER(PROCESSOS!D131),OR(FiltroResp="TODOS",FiltroResp="",PROCESSOS!H131=FiltroResp)),PROCESSOS!D131+ROW()/1000000,"")</f>
        <v/>
      </c>
    </row>
    <row r="132">
      <c r="BF132" t="str">
        <f>IF(AND(OR(PROCESSOS!O132="NO PRAZO",PROCESSOS!O132="VENCE EM BREVE"),OR(FiltroResp="TODOS",FiltroResp="",PROCESSOS!H132=FiltroResp)),PROCESSOS!M132+ROW()/1000000,"")</f>
        <v/>
      </c>
      <c r="BG132" t="str">
        <f>IF(AND(PROCESSOS!B132&lt;&gt;"",ISNUMBER(PROCESSOS!D132),OR(FiltroResp="TODOS",FiltroResp="",PROCESSOS!H132=FiltroResp)),PROCESSOS!D132+ROW()/1000000,"")</f>
        <v/>
      </c>
    </row>
    <row r="133">
      <c r="BF133" t="str">
        <f>IF(AND(OR(PROCESSOS!O133="NO PRAZO",PROCESSOS!O133="VENCE EM BREVE"),OR(FiltroResp="TODOS",FiltroResp="",PROCESSOS!H133=FiltroResp)),PROCESSOS!M133+ROW()/1000000,"")</f>
        <v/>
      </c>
      <c r="BG133" t="str">
        <f>IF(AND(PROCESSOS!B133&lt;&gt;"",ISNUMBER(PROCESSOS!D133),OR(FiltroResp="TODOS",FiltroResp="",PROCESSOS!H133=FiltroResp)),PROCESSOS!D133+ROW()/1000000,"")</f>
        <v/>
      </c>
    </row>
    <row r="134">
      <c r="BF134" t="str">
        <f>IF(AND(OR(PROCESSOS!O134="NO PRAZO",PROCESSOS!O134="VENCE EM BREVE"),OR(FiltroResp="TODOS",FiltroResp="",PROCESSOS!H134=FiltroResp)),PROCESSOS!M134+ROW()/1000000,"")</f>
        <v/>
      </c>
      <c r="BG134" t="str">
        <f>IF(AND(PROCESSOS!B134&lt;&gt;"",ISNUMBER(PROCESSOS!D134),OR(FiltroResp="TODOS",FiltroResp="",PROCESSOS!H134=FiltroResp)),PROCESSOS!D134+ROW()/1000000,"")</f>
        <v/>
      </c>
    </row>
    <row r="135">
      <c r="BF135" t="str">
        <f>IF(AND(OR(PROCESSOS!O135="NO PRAZO",PROCESSOS!O135="VENCE EM BREVE"),OR(FiltroResp="TODOS",FiltroResp="",PROCESSOS!H135=FiltroResp)),PROCESSOS!M135+ROW()/1000000,"")</f>
        <v/>
      </c>
      <c r="BG135" t="str">
        <f>IF(AND(PROCESSOS!B135&lt;&gt;"",ISNUMBER(PROCESSOS!D135),OR(FiltroResp="TODOS",FiltroResp="",PROCESSOS!H135=FiltroResp)),PROCESSOS!D135+ROW()/1000000,"")</f>
        <v/>
      </c>
    </row>
    <row r="136">
      <c r="BF136" t="str">
        <f>IF(AND(OR(PROCESSOS!O136="NO PRAZO",PROCESSOS!O136="VENCE EM BREVE"),OR(FiltroResp="TODOS",FiltroResp="",PROCESSOS!H136=FiltroResp)),PROCESSOS!M136+ROW()/1000000,"")</f>
        <v/>
      </c>
      <c r="BG136" t="str">
        <f>IF(AND(PROCESSOS!B136&lt;&gt;"",ISNUMBER(PROCESSOS!D136),OR(FiltroResp="TODOS",FiltroResp="",PROCESSOS!H136=FiltroResp)),PROCESSOS!D136+ROW()/1000000,"")</f>
        <v/>
      </c>
    </row>
    <row r="137">
      <c r="BF137" t="str">
        <f>IF(AND(OR(PROCESSOS!O137="NO PRAZO",PROCESSOS!O137="VENCE EM BREVE"),OR(FiltroResp="TODOS",FiltroResp="",PROCESSOS!H137=FiltroResp)),PROCESSOS!M137+ROW()/1000000,"")</f>
        <v/>
      </c>
      <c r="BG137" t="str">
        <f>IF(AND(PROCESSOS!B137&lt;&gt;"",ISNUMBER(PROCESSOS!D137),OR(FiltroResp="TODOS",FiltroResp="",PROCESSOS!H137=FiltroResp)),PROCESSOS!D137+ROW()/1000000,"")</f>
        <v/>
      </c>
    </row>
    <row r="138">
      <c r="BF138" t="str">
        <f>IF(AND(OR(PROCESSOS!O138="NO PRAZO",PROCESSOS!O138="VENCE EM BREVE"),OR(FiltroResp="TODOS",FiltroResp="",PROCESSOS!H138=FiltroResp)),PROCESSOS!M138+ROW()/1000000,"")</f>
        <v/>
      </c>
      <c r="BG138" t="str">
        <f>IF(AND(PROCESSOS!B138&lt;&gt;"",ISNUMBER(PROCESSOS!D138),OR(FiltroResp="TODOS",FiltroResp="",PROCESSOS!H138=FiltroResp)),PROCESSOS!D138+ROW()/1000000,"")</f>
        <v/>
      </c>
    </row>
    <row r="139">
      <c r="BF139" t="str">
        <f>IF(AND(OR(PROCESSOS!O139="NO PRAZO",PROCESSOS!O139="VENCE EM BREVE"),OR(FiltroResp="TODOS",FiltroResp="",PROCESSOS!H139=FiltroResp)),PROCESSOS!M139+ROW()/1000000,"")</f>
        <v/>
      </c>
      <c r="BG139" t="str">
        <f>IF(AND(PROCESSOS!B139&lt;&gt;"",ISNUMBER(PROCESSOS!D139),OR(FiltroResp="TODOS",FiltroResp="",PROCESSOS!H139=FiltroResp)),PROCESSOS!D139+ROW()/1000000,"")</f>
        <v/>
      </c>
    </row>
    <row r="140">
      <c r="BF140" t="str">
        <f>IF(AND(OR(PROCESSOS!O140="NO PRAZO",PROCESSOS!O140="VENCE EM BREVE"),OR(FiltroResp="TODOS",FiltroResp="",PROCESSOS!H140=FiltroResp)),PROCESSOS!M140+ROW()/1000000,"")</f>
        <v/>
      </c>
      <c r="BG140" t="str">
        <f>IF(AND(PROCESSOS!B140&lt;&gt;"",ISNUMBER(PROCESSOS!D140),OR(FiltroResp="TODOS",FiltroResp="",PROCESSOS!H140=FiltroResp)),PROCESSOS!D140+ROW()/1000000,"")</f>
        <v/>
      </c>
    </row>
    <row r="141">
      <c r="BF141" t="str">
        <f>IF(AND(OR(PROCESSOS!O141="NO PRAZO",PROCESSOS!O141="VENCE EM BREVE"),OR(FiltroResp="TODOS",FiltroResp="",PROCESSOS!H141=FiltroResp)),PROCESSOS!M141+ROW()/1000000,"")</f>
        <v/>
      </c>
      <c r="BG141" t="str">
        <f>IF(AND(PROCESSOS!B141&lt;&gt;"",ISNUMBER(PROCESSOS!D141),OR(FiltroResp="TODOS",FiltroResp="",PROCESSOS!H141=FiltroResp)),PROCESSOS!D141+ROW()/1000000,"")</f>
        <v/>
      </c>
    </row>
    <row r="142">
      <c r="BF142" t="str">
        <f>IF(AND(OR(PROCESSOS!O142="NO PRAZO",PROCESSOS!O142="VENCE EM BREVE"),OR(FiltroResp="TODOS",FiltroResp="",PROCESSOS!H142=FiltroResp)),PROCESSOS!M142+ROW()/1000000,"")</f>
        <v/>
      </c>
      <c r="BG142" t="str">
        <f>IF(AND(PROCESSOS!B142&lt;&gt;"",ISNUMBER(PROCESSOS!D142),OR(FiltroResp="TODOS",FiltroResp="",PROCESSOS!H142=FiltroResp)),PROCESSOS!D142+ROW()/1000000,"")</f>
        <v/>
      </c>
    </row>
    <row r="143">
      <c r="BF143" t="str">
        <f>IF(AND(OR(PROCESSOS!O143="NO PRAZO",PROCESSOS!O143="VENCE EM BREVE"),OR(FiltroResp="TODOS",FiltroResp="",PROCESSOS!H143=FiltroResp)),PROCESSOS!M143+ROW()/1000000,"")</f>
        <v/>
      </c>
      <c r="BG143" t="str">
        <f>IF(AND(PROCESSOS!B143&lt;&gt;"",ISNUMBER(PROCESSOS!D143),OR(FiltroResp="TODOS",FiltroResp="",PROCESSOS!H143=FiltroResp)),PROCESSOS!D143+ROW()/1000000,"")</f>
        <v/>
      </c>
    </row>
    <row r="144">
      <c r="BF144" t="str">
        <f>IF(AND(OR(PROCESSOS!O144="NO PRAZO",PROCESSOS!O144="VENCE EM BREVE"),OR(FiltroResp="TODOS",FiltroResp="",PROCESSOS!H144=FiltroResp)),PROCESSOS!M144+ROW()/1000000,"")</f>
        <v/>
      </c>
      <c r="BG144" t="str">
        <f>IF(AND(PROCESSOS!B144&lt;&gt;"",ISNUMBER(PROCESSOS!D144),OR(FiltroResp="TODOS",FiltroResp="",PROCESSOS!H144=FiltroResp)),PROCESSOS!D144+ROW()/1000000,"")</f>
        <v/>
      </c>
    </row>
    <row r="145">
      <c r="BF145" t="str">
        <f>IF(AND(OR(PROCESSOS!O145="NO PRAZO",PROCESSOS!O145="VENCE EM BREVE"),OR(FiltroResp="TODOS",FiltroResp="",PROCESSOS!H145=FiltroResp)),PROCESSOS!M145+ROW()/1000000,"")</f>
        <v/>
      </c>
      <c r="BG145" t="str">
        <f>IF(AND(PROCESSOS!B145&lt;&gt;"",ISNUMBER(PROCESSOS!D145),OR(FiltroResp="TODOS",FiltroResp="",PROCESSOS!H145=FiltroResp)),PROCESSOS!D145+ROW()/1000000,"")</f>
        <v/>
      </c>
    </row>
    <row r="146">
      <c r="BF146" t="str">
        <f>IF(AND(OR(PROCESSOS!O146="NO PRAZO",PROCESSOS!O146="VENCE EM BREVE"),OR(FiltroResp="TODOS",FiltroResp="",PROCESSOS!H146=FiltroResp)),PROCESSOS!M146+ROW()/1000000,"")</f>
        <v/>
      </c>
      <c r="BG146" t="str">
        <f>IF(AND(PROCESSOS!B146&lt;&gt;"",ISNUMBER(PROCESSOS!D146),OR(FiltroResp="TODOS",FiltroResp="",PROCESSOS!H146=FiltroResp)),PROCESSOS!D146+ROW()/1000000,"")</f>
        <v/>
      </c>
    </row>
    <row r="147">
      <c r="BF147" t="str">
        <f>IF(AND(OR(PROCESSOS!O147="NO PRAZO",PROCESSOS!O147="VENCE EM BREVE"),OR(FiltroResp="TODOS",FiltroResp="",PROCESSOS!H147=FiltroResp)),PROCESSOS!M147+ROW()/1000000,"")</f>
        <v/>
      </c>
      <c r="BG147" t="str">
        <f>IF(AND(PROCESSOS!B147&lt;&gt;"",ISNUMBER(PROCESSOS!D147),OR(FiltroResp="TODOS",FiltroResp="",PROCESSOS!H147=FiltroResp)),PROCESSOS!D147+ROW()/1000000,"")</f>
        <v/>
      </c>
    </row>
    <row r="148">
      <c r="BF148" t="str">
        <f>IF(AND(OR(PROCESSOS!O148="NO PRAZO",PROCESSOS!O148="VENCE EM BREVE"),OR(FiltroResp="TODOS",FiltroResp="",PROCESSOS!H148=FiltroResp)),PROCESSOS!M148+ROW()/1000000,"")</f>
        <v/>
      </c>
      <c r="BG148" t="str">
        <f>IF(AND(PROCESSOS!B148&lt;&gt;"",ISNUMBER(PROCESSOS!D148),OR(FiltroResp="TODOS",FiltroResp="",PROCESSOS!H148=FiltroResp)),PROCESSOS!D148+ROW()/1000000,"")</f>
        <v/>
      </c>
    </row>
    <row r="149">
      <c r="BF149" t="str">
        <f>IF(AND(OR(PROCESSOS!O149="NO PRAZO",PROCESSOS!O149="VENCE EM BREVE"),OR(FiltroResp="TODOS",FiltroResp="",PROCESSOS!H149=FiltroResp)),PROCESSOS!M149+ROW()/1000000,"")</f>
        <v/>
      </c>
      <c r="BG149" t="str">
        <f>IF(AND(PROCESSOS!B149&lt;&gt;"",ISNUMBER(PROCESSOS!D149),OR(FiltroResp="TODOS",FiltroResp="",PROCESSOS!H149=FiltroResp)),PROCESSOS!D149+ROW()/1000000,"")</f>
        <v/>
      </c>
    </row>
    <row r="150">
      <c r="BF150" t="str">
        <f>IF(AND(OR(PROCESSOS!O150="NO PRAZO",PROCESSOS!O150="VENCE EM BREVE"),OR(FiltroResp="TODOS",FiltroResp="",PROCESSOS!H150=FiltroResp)),PROCESSOS!M150+ROW()/1000000,"")</f>
        <v/>
      </c>
      <c r="BG150" t="str">
        <f>IF(AND(PROCESSOS!B150&lt;&gt;"",ISNUMBER(PROCESSOS!D150),OR(FiltroResp="TODOS",FiltroResp="",PROCESSOS!H150=FiltroResp)),PROCESSOS!D150+ROW()/1000000,"")</f>
        <v/>
      </c>
    </row>
    <row r="151">
      <c r="BF151" t="str">
        <f>IF(AND(OR(PROCESSOS!O151="NO PRAZO",PROCESSOS!O151="VENCE EM BREVE"),OR(FiltroResp="TODOS",FiltroResp="",PROCESSOS!H151=FiltroResp)),PROCESSOS!M151+ROW()/1000000,"")</f>
        <v/>
      </c>
      <c r="BG151" t="str">
        <f>IF(AND(PROCESSOS!B151&lt;&gt;"",ISNUMBER(PROCESSOS!D151),OR(FiltroResp="TODOS",FiltroResp="",PROCESSOS!H151=FiltroResp)),PROCESSOS!D151+ROW()/1000000,"")</f>
        <v/>
      </c>
    </row>
    <row r="152">
      <c r="BF152" t="str">
        <f>IF(AND(OR(PROCESSOS!O152="NO PRAZO",PROCESSOS!O152="VENCE EM BREVE"),OR(FiltroResp="TODOS",FiltroResp="",PROCESSOS!H152=FiltroResp)),PROCESSOS!M152+ROW()/1000000,"")</f>
        <v/>
      </c>
      <c r="BG152" t="str">
        <f>IF(AND(PROCESSOS!B152&lt;&gt;"",ISNUMBER(PROCESSOS!D152),OR(FiltroResp="TODOS",FiltroResp="",PROCESSOS!H152=FiltroResp)),PROCESSOS!D152+ROW()/1000000,"")</f>
        <v/>
      </c>
    </row>
    <row r="153">
      <c r="BF153" t="str">
        <f>IF(AND(OR(PROCESSOS!O153="NO PRAZO",PROCESSOS!O153="VENCE EM BREVE"),OR(FiltroResp="TODOS",FiltroResp="",PROCESSOS!H153=FiltroResp)),PROCESSOS!M153+ROW()/1000000,"")</f>
        <v/>
      </c>
      <c r="BG153" t="str">
        <f>IF(AND(PROCESSOS!B153&lt;&gt;"",ISNUMBER(PROCESSOS!D153),OR(FiltroResp="TODOS",FiltroResp="",PROCESSOS!H153=FiltroResp)),PROCESSOS!D153+ROW()/1000000,"")</f>
        <v/>
      </c>
    </row>
    <row r="154">
      <c r="BF154" t="str">
        <f>IF(AND(OR(PROCESSOS!O154="NO PRAZO",PROCESSOS!O154="VENCE EM BREVE"),OR(FiltroResp="TODOS",FiltroResp="",PROCESSOS!H154=FiltroResp)),PROCESSOS!M154+ROW()/1000000,"")</f>
        <v/>
      </c>
      <c r="BG154" t="str">
        <f>IF(AND(PROCESSOS!B154&lt;&gt;"",ISNUMBER(PROCESSOS!D154),OR(FiltroResp="TODOS",FiltroResp="",PROCESSOS!H154=FiltroResp)),PROCESSOS!D154+ROW()/1000000,"")</f>
        <v/>
      </c>
    </row>
    <row r="155">
      <c r="BF155" t="str">
        <f>IF(AND(OR(PROCESSOS!O155="NO PRAZO",PROCESSOS!O155="VENCE EM BREVE"),OR(FiltroResp="TODOS",FiltroResp="",PROCESSOS!H155=FiltroResp)),PROCESSOS!M155+ROW()/1000000,"")</f>
        <v/>
      </c>
      <c r="BG155" t="str">
        <f>IF(AND(PROCESSOS!B155&lt;&gt;"",ISNUMBER(PROCESSOS!D155),OR(FiltroResp="TODOS",FiltroResp="",PROCESSOS!H155=FiltroResp)),PROCESSOS!D155+ROW()/1000000,"")</f>
        <v/>
      </c>
    </row>
    <row r="156">
      <c r="BF156" t="str">
        <f>IF(AND(OR(PROCESSOS!O156="NO PRAZO",PROCESSOS!O156="VENCE EM BREVE"),OR(FiltroResp="TODOS",FiltroResp="",PROCESSOS!H156=FiltroResp)),PROCESSOS!M156+ROW()/1000000,"")</f>
        <v/>
      </c>
      <c r="BG156" t="str">
        <f>IF(AND(PROCESSOS!B156&lt;&gt;"",ISNUMBER(PROCESSOS!D156),OR(FiltroResp="TODOS",FiltroResp="",PROCESSOS!H156=FiltroResp)),PROCESSOS!D156+ROW()/1000000,"")</f>
        <v/>
      </c>
    </row>
    <row r="157">
      <c r="BF157" t="str">
        <f>IF(AND(OR(PROCESSOS!O157="NO PRAZO",PROCESSOS!O157="VENCE EM BREVE"),OR(FiltroResp="TODOS",FiltroResp="",PROCESSOS!H157=FiltroResp)),PROCESSOS!M157+ROW()/1000000,"")</f>
        <v/>
      </c>
      <c r="BG157" t="str">
        <f>IF(AND(PROCESSOS!B157&lt;&gt;"",ISNUMBER(PROCESSOS!D157),OR(FiltroResp="TODOS",FiltroResp="",PROCESSOS!H157=FiltroResp)),PROCESSOS!D157+ROW()/1000000,"")</f>
        <v/>
      </c>
    </row>
    <row r="158">
      <c r="BF158" t="str">
        <f>IF(AND(OR(PROCESSOS!O158="NO PRAZO",PROCESSOS!O158="VENCE EM BREVE"),OR(FiltroResp="TODOS",FiltroResp="",PROCESSOS!H158=FiltroResp)),PROCESSOS!M158+ROW()/1000000,"")</f>
        <v/>
      </c>
      <c r="BG158" t="str">
        <f>IF(AND(PROCESSOS!B158&lt;&gt;"",ISNUMBER(PROCESSOS!D158),OR(FiltroResp="TODOS",FiltroResp="",PROCESSOS!H158=FiltroResp)),PROCESSOS!D158+ROW()/1000000,"")</f>
        <v/>
      </c>
    </row>
    <row r="159">
      <c r="BF159" t="str">
        <f>IF(AND(OR(PROCESSOS!O159="NO PRAZO",PROCESSOS!O159="VENCE EM BREVE"),OR(FiltroResp="TODOS",FiltroResp="",PROCESSOS!H159=FiltroResp)),PROCESSOS!M159+ROW()/1000000,"")</f>
        <v/>
      </c>
      <c r="BG159" t="str">
        <f>IF(AND(PROCESSOS!B159&lt;&gt;"",ISNUMBER(PROCESSOS!D159),OR(FiltroResp="TODOS",FiltroResp="",PROCESSOS!H159=FiltroResp)),PROCESSOS!D159+ROW()/1000000,"")</f>
        <v/>
      </c>
    </row>
    <row r="160">
      <c r="BF160" t="str">
        <f>IF(AND(OR(PROCESSOS!O160="NO PRAZO",PROCESSOS!O160="VENCE EM BREVE"),OR(FiltroResp="TODOS",FiltroResp="",PROCESSOS!H160=FiltroResp)),PROCESSOS!M160+ROW()/1000000,"")</f>
        <v/>
      </c>
      <c r="BG160" t="str">
        <f>IF(AND(PROCESSOS!B160&lt;&gt;"",ISNUMBER(PROCESSOS!D160),OR(FiltroResp="TODOS",FiltroResp="",PROCESSOS!H160=FiltroResp)),PROCESSOS!D160+ROW()/1000000,"")</f>
        <v/>
      </c>
    </row>
    <row r="161">
      <c r="BF161" t="str">
        <f>IF(AND(OR(PROCESSOS!O161="NO PRAZO",PROCESSOS!O161="VENCE EM BREVE"),OR(FiltroResp="TODOS",FiltroResp="",PROCESSOS!H161=FiltroResp)),PROCESSOS!M161+ROW()/1000000,"")</f>
        <v/>
      </c>
      <c r="BG161" t="str">
        <f>IF(AND(PROCESSOS!B161&lt;&gt;"",ISNUMBER(PROCESSOS!D161),OR(FiltroResp="TODOS",FiltroResp="",PROCESSOS!H161=FiltroResp)),PROCESSOS!D161+ROW()/1000000,"")</f>
        <v/>
      </c>
    </row>
    <row r="162">
      <c r="BF162" t="str">
        <f>IF(AND(OR(PROCESSOS!O162="NO PRAZO",PROCESSOS!O162="VENCE EM BREVE"),OR(FiltroResp="TODOS",FiltroResp="",PROCESSOS!H162=FiltroResp)),PROCESSOS!M162+ROW()/1000000,"")</f>
        <v/>
      </c>
      <c r="BG162" t="str">
        <f>IF(AND(PROCESSOS!B162&lt;&gt;"",ISNUMBER(PROCESSOS!D162),OR(FiltroResp="TODOS",FiltroResp="",PROCESSOS!H162=FiltroResp)),PROCESSOS!D162+ROW()/1000000,"")</f>
        <v/>
      </c>
    </row>
    <row r="163">
      <c r="BF163" t="str">
        <f>IF(AND(OR(PROCESSOS!O163="NO PRAZO",PROCESSOS!O163="VENCE EM BREVE"),OR(FiltroResp="TODOS",FiltroResp="",PROCESSOS!H163=FiltroResp)),PROCESSOS!M163+ROW()/1000000,"")</f>
        <v/>
      </c>
      <c r="BG163" t="str">
        <f>IF(AND(PROCESSOS!B163&lt;&gt;"",ISNUMBER(PROCESSOS!D163),OR(FiltroResp="TODOS",FiltroResp="",PROCESSOS!H163=FiltroResp)),PROCESSOS!D163+ROW()/1000000,"")</f>
        <v/>
      </c>
    </row>
    <row r="164">
      <c r="BF164" t="str">
        <f>IF(AND(OR(PROCESSOS!O164="NO PRAZO",PROCESSOS!O164="VENCE EM BREVE"),OR(FiltroResp="TODOS",FiltroResp="",PROCESSOS!H164=FiltroResp)),PROCESSOS!M164+ROW()/1000000,"")</f>
        <v/>
      </c>
      <c r="BG164" t="str">
        <f>IF(AND(PROCESSOS!B164&lt;&gt;"",ISNUMBER(PROCESSOS!D164),OR(FiltroResp="TODOS",FiltroResp="",PROCESSOS!H164=FiltroResp)),PROCESSOS!D164+ROW()/1000000,"")</f>
        <v/>
      </c>
    </row>
    <row r="165">
      <c r="BF165" t="str">
        <f>IF(AND(OR(PROCESSOS!O165="NO PRAZO",PROCESSOS!O165="VENCE EM BREVE"),OR(FiltroResp="TODOS",FiltroResp="",PROCESSOS!H165=FiltroResp)),PROCESSOS!M165+ROW()/1000000,"")</f>
        <v/>
      </c>
      <c r="BG165" t="str">
        <f>IF(AND(PROCESSOS!B165&lt;&gt;"",ISNUMBER(PROCESSOS!D165),OR(FiltroResp="TODOS",FiltroResp="",PROCESSOS!H165=FiltroResp)),PROCESSOS!D165+ROW()/1000000,"")</f>
        <v/>
      </c>
    </row>
    <row r="166">
      <c r="BF166" t="str">
        <f>IF(AND(OR(PROCESSOS!O166="NO PRAZO",PROCESSOS!O166="VENCE EM BREVE"),OR(FiltroResp="TODOS",FiltroResp="",PROCESSOS!H166=FiltroResp)),PROCESSOS!M166+ROW()/1000000,"")</f>
        <v/>
      </c>
      <c r="BG166" t="str">
        <f>IF(AND(PROCESSOS!B166&lt;&gt;"",ISNUMBER(PROCESSOS!D166),OR(FiltroResp="TODOS",FiltroResp="",PROCESSOS!H166=FiltroResp)),PROCESSOS!D166+ROW()/1000000,"")</f>
        <v/>
      </c>
    </row>
    <row r="167">
      <c r="BF167" t="str">
        <f>IF(AND(OR(PROCESSOS!O167="NO PRAZO",PROCESSOS!O167="VENCE EM BREVE"),OR(FiltroResp="TODOS",FiltroResp="",PROCESSOS!H167=FiltroResp)),PROCESSOS!M167+ROW()/1000000,"")</f>
        <v/>
      </c>
      <c r="BG167" t="str">
        <f>IF(AND(PROCESSOS!B167&lt;&gt;"",ISNUMBER(PROCESSOS!D167),OR(FiltroResp="TODOS",FiltroResp="",PROCESSOS!H167=FiltroResp)),PROCESSOS!D167+ROW()/1000000,"")</f>
        <v/>
      </c>
    </row>
    <row r="168">
      <c r="BF168" t="str">
        <f>IF(AND(OR(PROCESSOS!O168="NO PRAZO",PROCESSOS!O168="VENCE EM BREVE"),OR(FiltroResp="TODOS",FiltroResp="",PROCESSOS!H168=FiltroResp)),PROCESSOS!M168+ROW()/1000000,"")</f>
        <v/>
      </c>
      <c r="BG168" t="str">
        <f>IF(AND(PROCESSOS!B168&lt;&gt;"",ISNUMBER(PROCESSOS!D168),OR(FiltroResp="TODOS",FiltroResp="",PROCESSOS!H168=FiltroResp)),PROCESSOS!D168+ROW()/1000000,"")</f>
        <v/>
      </c>
    </row>
    <row r="169">
      <c r="BF169" t="str">
        <f>IF(AND(OR(PROCESSOS!O169="NO PRAZO",PROCESSOS!O169="VENCE EM BREVE"),OR(FiltroResp="TODOS",FiltroResp="",PROCESSOS!H169=FiltroResp)),PROCESSOS!M169+ROW()/1000000,"")</f>
        <v/>
      </c>
      <c r="BG169" t="str">
        <f>IF(AND(PROCESSOS!B169&lt;&gt;"",ISNUMBER(PROCESSOS!D169),OR(FiltroResp="TODOS",FiltroResp="",PROCESSOS!H169=FiltroResp)),PROCESSOS!D169+ROW()/1000000,"")</f>
        <v/>
      </c>
    </row>
    <row r="170">
      <c r="BF170" t="str">
        <f>IF(AND(OR(PROCESSOS!O170="NO PRAZO",PROCESSOS!O170="VENCE EM BREVE"),OR(FiltroResp="TODOS",FiltroResp="",PROCESSOS!H170=FiltroResp)),PROCESSOS!M170+ROW()/1000000,"")</f>
        <v/>
      </c>
      <c r="BG170" t="str">
        <f>IF(AND(PROCESSOS!B170&lt;&gt;"",ISNUMBER(PROCESSOS!D170),OR(FiltroResp="TODOS",FiltroResp="",PROCESSOS!H170=FiltroResp)),PROCESSOS!D170+ROW()/1000000,"")</f>
        <v/>
      </c>
    </row>
    <row r="171">
      <c r="BF171" t="str">
        <f>IF(AND(OR(PROCESSOS!O171="NO PRAZO",PROCESSOS!O171="VENCE EM BREVE"),OR(FiltroResp="TODOS",FiltroResp="",PROCESSOS!H171=FiltroResp)),PROCESSOS!M171+ROW()/1000000,"")</f>
        <v/>
      </c>
      <c r="BG171" t="str">
        <f>IF(AND(PROCESSOS!B171&lt;&gt;"",ISNUMBER(PROCESSOS!D171),OR(FiltroResp="TODOS",FiltroResp="",PROCESSOS!H171=FiltroResp)),PROCESSOS!D171+ROW()/1000000,"")</f>
        <v/>
      </c>
    </row>
    <row r="172">
      <c r="BF172" t="str">
        <f>IF(AND(OR(PROCESSOS!O172="NO PRAZO",PROCESSOS!O172="VENCE EM BREVE"),OR(FiltroResp="TODOS",FiltroResp="",PROCESSOS!H172=FiltroResp)),PROCESSOS!M172+ROW()/1000000,"")</f>
        <v/>
      </c>
      <c r="BG172" t="str">
        <f>IF(AND(PROCESSOS!B172&lt;&gt;"",ISNUMBER(PROCESSOS!D172),OR(FiltroResp="TODOS",FiltroResp="",PROCESSOS!H172=FiltroResp)),PROCESSOS!D172+ROW()/1000000,"")</f>
        <v/>
      </c>
    </row>
    <row r="173">
      <c r="BF173" t="str">
        <f>IF(AND(OR(PROCESSOS!O173="NO PRAZO",PROCESSOS!O173="VENCE EM BREVE"),OR(FiltroResp="TODOS",FiltroResp="",PROCESSOS!H173=FiltroResp)),PROCESSOS!M173+ROW()/1000000,"")</f>
        <v/>
      </c>
      <c r="BG173" t="str">
        <f>IF(AND(PROCESSOS!B173&lt;&gt;"",ISNUMBER(PROCESSOS!D173),OR(FiltroResp="TODOS",FiltroResp="",PROCESSOS!H173=FiltroResp)),PROCESSOS!D173+ROW()/1000000,"")</f>
        <v/>
      </c>
    </row>
    <row r="174">
      <c r="BF174" t="str">
        <f>IF(AND(OR(PROCESSOS!O174="NO PRAZO",PROCESSOS!O174="VENCE EM BREVE"),OR(FiltroResp="TODOS",FiltroResp="",PROCESSOS!H174=FiltroResp)),PROCESSOS!M174+ROW()/1000000,"")</f>
        <v/>
      </c>
      <c r="BG174" t="str">
        <f>IF(AND(PROCESSOS!B174&lt;&gt;"",ISNUMBER(PROCESSOS!D174),OR(FiltroResp="TODOS",FiltroResp="",PROCESSOS!H174=FiltroResp)),PROCESSOS!D174+ROW()/1000000,"")</f>
        <v/>
      </c>
    </row>
    <row r="175">
      <c r="BF175" t="str">
        <f>IF(AND(OR(PROCESSOS!O175="NO PRAZO",PROCESSOS!O175="VENCE EM BREVE"),OR(FiltroResp="TODOS",FiltroResp="",PROCESSOS!H175=FiltroResp)),PROCESSOS!M175+ROW()/1000000,"")</f>
        <v/>
      </c>
      <c r="BG175" t="str">
        <f>IF(AND(PROCESSOS!B175&lt;&gt;"",ISNUMBER(PROCESSOS!D175),OR(FiltroResp="TODOS",FiltroResp="",PROCESSOS!H175=FiltroResp)),PROCESSOS!D175+ROW()/1000000,"")</f>
        <v/>
      </c>
    </row>
    <row r="176">
      <c r="BF176" t="str">
        <f>IF(AND(OR(PROCESSOS!O176="NO PRAZO",PROCESSOS!O176="VENCE EM BREVE"),OR(FiltroResp="TODOS",FiltroResp="",PROCESSOS!H176=FiltroResp)),PROCESSOS!M176+ROW()/1000000,"")</f>
        <v/>
      </c>
      <c r="BG176" t="str">
        <f>IF(AND(PROCESSOS!B176&lt;&gt;"",ISNUMBER(PROCESSOS!D176),OR(FiltroResp="TODOS",FiltroResp="",PROCESSOS!H176=FiltroResp)),PROCESSOS!D176+ROW()/1000000,"")</f>
        <v/>
      </c>
    </row>
    <row r="177">
      <c r="BF177" t="str">
        <f>IF(AND(OR(PROCESSOS!O177="NO PRAZO",PROCESSOS!O177="VENCE EM BREVE"),OR(FiltroResp="TODOS",FiltroResp="",PROCESSOS!H177=FiltroResp)),PROCESSOS!M177+ROW()/1000000,"")</f>
        <v/>
      </c>
      <c r="BG177" t="str">
        <f>IF(AND(PROCESSOS!B177&lt;&gt;"",ISNUMBER(PROCESSOS!D177),OR(FiltroResp="TODOS",FiltroResp="",PROCESSOS!H177=FiltroResp)),PROCESSOS!D177+ROW()/1000000,"")</f>
        <v/>
      </c>
    </row>
    <row r="178">
      <c r="BF178" t="str">
        <f>IF(AND(OR(PROCESSOS!O178="NO PRAZO",PROCESSOS!O178="VENCE EM BREVE"),OR(FiltroResp="TODOS",FiltroResp="",PROCESSOS!H178=FiltroResp)),PROCESSOS!M178+ROW()/1000000,"")</f>
        <v/>
      </c>
      <c r="BG178" t="str">
        <f>IF(AND(PROCESSOS!B178&lt;&gt;"",ISNUMBER(PROCESSOS!D178),OR(FiltroResp="TODOS",FiltroResp="",PROCESSOS!H178=FiltroResp)),PROCESSOS!D178+ROW()/1000000,"")</f>
        <v/>
      </c>
    </row>
    <row r="179">
      <c r="BF179" t="str">
        <f>IF(AND(OR(PROCESSOS!O179="NO PRAZO",PROCESSOS!O179="VENCE EM BREVE"),OR(FiltroResp="TODOS",FiltroResp="",PROCESSOS!H179=FiltroResp)),PROCESSOS!M179+ROW()/1000000,"")</f>
        <v/>
      </c>
      <c r="BG179" t="str">
        <f>IF(AND(PROCESSOS!B179&lt;&gt;"",ISNUMBER(PROCESSOS!D179),OR(FiltroResp="TODOS",FiltroResp="",PROCESSOS!H179=FiltroResp)),PROCESSOS!D179+ROW()/1000000,"")</f>
        <v/>
      </c>
    </row>
    <row r="180">
      <c r="BF180" t="str">
        <f>IF(AND(OR(PROCESSOS!O180="NO PRAZO",PROCESSOS!O180="VENCE EM BREVE"),OR(FiltroResp="TODOS",FiltroResp="",PROCESSOS!H180=FiltroResp)),PROCESSOS!M180+ROW()/1000000,"")</f>
        <v/>
      </c>
      <c r="BG180" t="str">
        <f>IF(AND(PROCESSOS!B180&lt;&gt;"",ISNUMBER(PROCESSOS!D180),OR(FiltroResp="TODOS",FiltroResp="",PROCESSOS!H180=FiltroResp)),PROCESSOS!D180+ROW()/1000000,"")</f>
        <v/>
      </c>
    </row>
    <row r="181">
      <c r="BF181" t="str">
        <f>IF(AND(OR(PROCESSOS!O181="NO PRAZO",PROCESSOS!O181="VENCE EM BREVE"),OR(FiltroResp="TODOS",FiltroResp="",PROCESSOS!H181=FiltroResp)),PROCESSOS!M181+ROW()/1000000,"")</f>
        <v/>
      </c>
      <c r="BG181" t="str">
        <f>IF(AND(PROCESSOS!B181&lt;&gt;"",ISNUMBER(PROCESSOS!D181),OR(FiltroResp="TODOS",FiltroResp="",PROCESSOS!H181=FiltroResp)),PROCESSOS!D181+ROW()/1000000,"")</f>
        <v/>
      </c>
    </row>
    <row r="182">
      <c r="BF182" t="str">
        <f>IF(AND(OR(PROCESSOS!O182="NO PRAZO",PROCESSOS!O182="VENCE EM BREVE"),OR(FiltroResp="TODOS",FiltroResp="",PROCESSOS!H182=FiltroResp)),PROCESSOS!M182+ROW()/1000000,"")</f>
        <v/>
      </c>
      <c r="BG182" t="str">
        <f>IF(AND(PROCESSOS!B182&lt;&gt;"",ISNUMBER(PROCESSOS!D182),OR(FiltroResp="TODOS",FiltroResp="",PROCESSOS!H182=FiltroResp)),PROCESSOS!D182+ROW()/1000000,"")</f>
        <v/>
      </c>
    </row>
    <row r="183">
      <c r="BF183" t="str">
        <f>IF(AND(OR(PROCESSOS!O183="NO PRAZO",PROCESSOS!O183="VENCE EM BREVE"),OR(FiltroResp="TODOS",FiltroResp="",PROCESSOS!H183=FiltroResp)),PROCESSOS!M183+ROW()/1000000,"")</f>
        <v/>
      </c>
      <c r="BG183" t="str">
        <f>IF(AND(PROCESSOS!B183&lt;&gt;"",ISNUMBER(PROCESSOS!D183),OR(FiltroResp="TODOS",FiltroResp="",PROCESSOS!H183=FiltroResp)),PROCESSOS!D183+ROW()/1000000,"")</f>
        <v/>
      </c>
    </row>
    <row r="184">
      <c r="BF184" t="str">
        <f>IF(AND(OR(PROCESSOS!O184="NO PRAZO",PROCESSOS!O184="VENCE EM BREVE"),OR(FiltroResp="TODOS",FiltroResp="",PROCESSOS!H184=FiltroResp)),PROCESSOS!M184+ROW()/1000000,"")</f>
        <v/>
      </c>
      <c r="BG184" t="str">
        <f>IF(AND(PROCESSOS!B184&lt;&gt;"",ISNUMBER(PROCESSOS!D184),OR(FiltroResp="TODOS",FiltroResp="",PROCESSOS!H184=FiltroResp)),PROCESSOS!D184+ROW()/1000000,"")</f>
        <v/>
      </c>
    </row>
    <row r="185">
      <c r="BF185" t="str">
        <f>IF(AND(OR(PROCESSOS!O185="NO PRAZO",PROCESSOS!O185="VENCE EM BREVE"),OR(FiltroResp="TODOS",FiltroResp="",PROCESSOS!H185=FiltroResp)),PROCESSOS!M185+ROW()/1000000,"")</f>
        <v/>
      </c>
      <c r="BG185" t="str">
        <f>IF(AND(PROCESSOS!B185&lt;&gt;"",ISNUMBER(PROCESSOS!D185),OR(FiltroResp="TODOS",FiltroResp="",PROCESSOS!H185=FiltroResp)),PROCESSOS!D185+ROW()/1000000,"")</f>
        <v/>
      </c>
    </row>
    <row r="186">
      <c r="BF186" t="str">
        <f>IF(AND(OR(PROCESSOS!O186="NO PRAZO",PROCESSOS!O186="VENCE EM BREVE"),OR(FiltroResp="TODOS",FiltroResp="",PROCESSOS!H186=FiltroResp)),PROCESSOS!M186+ROW()/1000000,"")</f>
        <v/>
      </c>
      <c r="BG186" t="str">
        <f>IF(AND(PROCESSOS!B186&lt;&gt;"",ISNUMBER(PROCESSOS!D186),OR(FiltroResp="TODOS",FiltroResp="",PROCESSOS!H186=FiltroResp)),PROCESSOS!D186+ROW()/1000000,"")</f>
        <v/>
      </c>
    </row>
    <row r="187">
      <c r="BF187" t="str">
        <f>IF(AND(OR(PROCESSOS!O187="NO PRAZO",PROCESSOS!O187="VENCE EM BREVE"),OR(FiltroResp="TODOS",FiltroResp="",PROCESSOS!H187=FiltroResp)),PROCESSOS!M187+ROW()/1000000,"")</f>
        <v/>
      </c>
      <c r="BG187" t="str">
        <f>IF(AND(PROCESSOS!B187&lt;&gt;"",ISNUMBER(PROCESSOS!D187),OR(FiltroResp="TODOS",FiltroResp="",PROCESSOS!H187=FiltroResp)),PROCESSOS!D187+ROW()/1000000,"")</f>
        <v/>
      </c>
    </row>
    <row r="188">
      <c r="BF188" t="str">
        <f>IF(AND(OR(PROCESSOS!O188="NO PRAZO",PROCESSOS!O188="VENCE EM BREVE"),OR(FiltroResp="TODOS",FiltroResp="",PROCESSOS!H188=FiltroResp)),PROCESSOS!M188+ROW()/1000000,"")</f>
        <v/>
      </c>
      <c r="BG188" t="str">
        <f>IF(AND(PROCESSOS!B188&lt;&gt;"",ISNUMBER(PROCESSOS!D188),OR(FiltroResp="TODOS",FiltroResp="",PROCESSOS!H188=FiltroResp)),PROCESSOS!D188+ROW()/1000000,"")</f>
        <v/>
      </c>
    </row>
    <row r="189">
      <c r="BF189" t="str">
        <f>IF(AND(OR(PROCESSOS!O189="NO PRAZO",PROCESSOS!O189="VENCE EM BREVE"),OR(FiltroResp="TODOS",FiltroResp="",PROCESSOS!H189=FiltroResp)),PROCESSOS!M189+ROW()/1000000,"")</f>
        <v/>
      </c>
      <c r="BG189" t="str">
        <f>IF(AND(PROCESSOS!B189&lt;&gt;"",ISNUMBER(PROCESSOS!D189),OR(FiltroResp="TODOS",FiltroResp="",PROCESSOS!H189=FiltroResp)),PROCESSOS!D189+ROW()/1000000,"")</f>
        <v/>
      </c>
    </row>
    <row r="190">
      <c r="BF190" t="str">
        <f>IF(AND(OR(PROCESSOS!O190="NO PRAZO",PROCESSOS!O190="VENCE EM BREVE"),OR(FiltroResp="TODOS",FiltroResp="",PROCESSOS!H190=FiltroResp)),PROCESSOS!M190+ROW()/1000000,"")</f>
        <v/>
      </c>
      <c r="BG190" t="str">
        <f>IF(AND(PROCESSOS!B190&lt;&gt;"",ISNUMBER(PROCESSOS!D190),OR(FiltroResp="TODOS",FiltroResp="",PROCESSOS!H190=FiltroResp)),PROCESSOS!D190+ROW()/1000000,"")</f>
        <v/>
      </c>
    </row>
    <row r="191">
      <c r="BF191" t="str">
        <f>IF(AND(OR(PROCESSOS!O191="NO PRAZO",PROCESSOS!O191="VENCE EM BREVE"),OR(FiltroResp="TODOS",FiltroResp="",PROCESSOS!H191=FiltroResp)),PROCESSOS!M191+ROW()/1000000,"")</f>
        <v/>
      </c>
      <c r="BG191" t="str">
        <f>IF(AND(PROCESSOS!B191&lt;&gt;"",ISNUMBER(PROCESSOS!D191),OR(FiltroResp="TODOS",FiltroResp="",PROCESSOS!H191=FiltroResp)),PROCESSOS!D191+ROW()/1000000,"")</f>
        <v/>
      </c>
    </row>
    <row r="192">
      <c r="BF192" t="str">
        <f>IF(AND(OR(PROCESSOS!O192="NO PRAZO",PROCESSOS!O192="VENCE EM BREVE"),OR(FiltroResp="TODOS",FiltroResp="",PROCESSOS!H192=FiltroResp)),PROCESSOS!M192+ROW()/1000000,"")</f>
        <v/>
      </c>
      <c r="BG192" t="str">
        <f>IF(AND(PROCESSOS!B192&lt;&gt;"",ISNUMBER(PROCESSOS!D192),OR(FiltroResp="TODOS",FiltroResp="",PROCESSOS!H192=FiltroResp)),PROCESSOS!D192+ROW()/1000000,"")</f>
        <v/>
      </c>
    </row>
    <row r="193">
      <c r="BF193" t="str">
        <f>IF(AND(OR(PROCESSOS!O193="NO PRAZO",PROCESSOS!O193="VENCE EM BREVE"),OR(FiltroResp="TODOS",FiltroResp="",PROCESSOS!H193=FiltroResp)),PROCESSOS!M193+ROW()/1000000,"")</f>
        <v/>
      </c>
      <c r="BG193" t="str">
        <f>IF(AND(PROCESSOS!B193&lt;&gt;"",ISNUMBER(PROCESSOS!D193),OR(FiltroResp="TODOS",FiltroResp="",PROCESSOS!H193=FiltroResp)),PROCESSOS!D193+ROW()/1000000,"")</f>
        <v/>
      </c>
    </row>
    <row r="194">
      <c r="BF194" t="str">
        <f>IF(AND(OR(PROCESSOS!O194="NO PRAZO",PROCESSOS!O194="VENCE EM BREVE"),OR(FiltroResp="TODOS",FiltroResp="",PROCESSOS!H194=FiltroResp)),PROCESSOS!M194+ROW()/1000000,"")</f>
        <v/>
      </c>
      <c r="BG194" t="str">
        <f>IF(AND(PROCESSOS!B194&lt;&gt;"",ISNUMBER(PROCESSOS!D194),OR(FiltroResp="TODOS",FiltroResp="",PROCESSOS!H194=FiltroResp)),PROCESSOS!D194+ROW()/1000000,"")</f>
        <v/>
      </c>
    </row>
    <row r="195">
      <c r="BF195" t="str">
        <f>IF(AND(OR(PROCESSOS!O195="NO PRAZO",PROCESSOS!O195="VENCE EM BREVE"),OR(FiltroResp="TODOS",FiltroResp="",PROCESSOS!H195=FiltroResp)),PROCESSOS!M195+ROW()/1000000,"")</f>
        <v/>
      </c>
      <c r="BG195" t="str">
        <f>IF(AND(PROCESSOS!B195&lt;&gt;"",ISNUMBER(PROCESSOS!D195),OR(FiltroResp="TODOS",FiltroResp="",PROCESSOS!H195=FiltroResp)),PROCESSOS!D195+ROW()/1000000,"")</f>
        <v/>
      </c>
    </row>
    <row r="196">
      <c r="BF196" t="str">
        <f>IF(AND(OR(PROCESSOS!O196="NO PRAZO",PROCESSOS!O196="VENCE EM BREVE"),OR(FiltroResp="TODOS",FiltroResp="",PROCESSOS!H196=FiltroResp)),PROCESSOS!M196+ROW()/1000000,"")</f>
        <v/>
      </c>
      <c r="BG196" t="str">
        <f>IF(AND(PROCESSOS!B196&lt;&gt;"",ISNUMBER(PROCESSOS!D196),OR(FiltroResp="TODOS",FiltroResp="",PROCESSOS!H196=FiltroResp)),PROCESSOS!D196+ROW()/1000000,"")</f>
        <v/>
      </c>
    </row>
    <row r="197">
      <c r="BF197" t="str">
        <f>IF(AND(OR(PROCESSOS!O197="NO PRAZO",PROCESSOS!O197="VENCE EM BREVE"),OR(FiltroResp="TODOS",FiltroResp="",PROCESSOS!H197=FiltroResp)),PROCESSOS!M197+ROW()/1000000,"")</f>
        <v/>
      </c>
      <c r="BG197" t="str">
        <f>IF(AND(PROCESSOS!B197&lt;&gt;"",ISNUMBER(PROCESSOS!D197),OR(FiltroResp="TODOS",FiltroResp="",PROCESSOS!H197=FiltroResp)),PROCESSOS!D197+ROW()/1000000,"")</f>
        <v/>
      </c>
    </row>
    <row r="198">
      <c r="BF198" t="str">
        <f>IF(AND(OR(PROCESSOS!O198="NO PRAZO",PROCESSOS!O198="VENCE EM BREVE"),OR(FiltroResp="TODOS",FiltroResp="",PROCESSOS!H198=FiltroResp)),PROCESSOS!M198+ROW()/1000000,"")</f>
        <v/>
      </c>
      <c r="BG198" t="str">
        <f>IF(AND(PROCESSOS!B198&lt;&gt;"",ISNUMBER(PROCESSOS!D198),OR(FiltroResp="TODOS",FiltroResp="",PROCESSOS!H198=FiltroResp)),PROCESSOS!D198+ROW()/1000000,"")</f>
        <v/>
      </c>
    </row>
    <row r="199">
      <c r="BF199" t="str">
        <f>IF(AND(OR(PROCESSOS!O199="NO PRAZO",PROCESSOS!O199="VENCE EM BREVE"),OR(FiltroResp="TODOS",FiltroResp="",PROCESSOS!H199=FiltroResp)),PROCESSOS!M199+ROW()/1000000,"")</f>
        <v/>
      </c>
      <c r="BG199" t="str">
        <f>IF(AND(PROCESSOS!B199&lt;&gt;"",ISNUMBER(PROCESSOS!D199),OR(FiltroResp="TODOS",FiltroResp="",PROCESSOS!H199=FiltroResp)),PROCESSOS!D199+ROW()/1000000,"")</f>
        <v/>
      </c>
    </row>
    <row r="200">
      <c r="BF200" t="str">
        <f>IF(AND(OR(PROCESSOS!O200="NO PRAZO",PROCESSOS!O200="VENCE EM BREVE"),OR(FiltroResp="TODOS",FiltroResp="",PROCESSOS!H200=FiltroResp)),PROCESSOS!M200+ROW()/1000000,"")</f>
        <v/>
      </c>
      <c r="BG200" t="str">
        <f>IF(AND(PROCESSOS!B200&lt;&gt;"",ISNUMBER(PROCESSOS!D200),OR(FiltroResp="TODOS",FiltroResp="",PROCESSOS!H200=FiltroResp)),PROCESSOS!D200+ROW()/1000000,"")</f>
        <v/>
      </c>
    </row>
    <row r="201">
      <c r="BF201" t="str">
        <f>IF(AND(OR(PROCESSOS!O201="NO PRAZO",PROCESSOS!O201="VENCE EM BREVE"),OR(FiltroResp="TODOS",FiltroResp="",PROCESSOS!H201=FiltroResp)),PROCESSOS!M201+ROW()/1000000,"")</f>
        <v/>
      </c>
      <c r="BG201" t="str">
        <f>IF(AND(PROCESSOS!B201&lt;&gt;"",ISNUMBER(PROCESSOS!D201),OR(FiltroResp="TODOS",FiltroResp="",PROCESSOS!H201=FiltroResp)),PROCESSOS!D201+ROW()/1000000,"")</f>
        <v/>
      </c>
    </row>
    <row r="202">
      <c r="BF202" t="str">
        <f>IF(AND(OR(PROCESSOS!O202="NO PRAZO",PROCESSOS!O202="VENCE EM BREVE"),OR(FiltroResp="TODOS",FiltroResp="",PROCESSOS!H202=FiltroResp)),PROCESSOS!M202+ROW()/1000000,"")</f>
        <v/>
      </c>
      <c r="BG202" t="str">
        <f>IF(AND(PROCESSOS!B202&lt;&gt;"",ISNUMBER(PROCESSOS!D202),OR(FiltroResp="TODOS",FiltroResp="",PROCESSOS!H202=FiltroResp)),PROCESSOS!D202+ROW()/1000000,"")</f>
        <v/>
      </c>
    </row>
    <row r="203">
      <c r="BF203" t="str">
        <f>IF(AND(OR(PROCESSOS!O203="NO PRAZO",PROCESSOS!O203="VENCE EM BREVE"),OR(FiltroResp="TODOS",FiltroResp="",PROCESSOS!H203=FiltroResp)),PROCESSOS!M203+ROW()/1000000,"")</f>
        <v/>
      </c>
      <c r="BG203" t="str">
        <f>IF(AND(PROCESSOS!B203&lt;&gt;"",ISNUMBER(PROCESSOS!D203),OR(FiltroResp="TODOS",FiltroResp="",PROCESSOS!H203=FiltroResp)),PROCESSOS!D203+ROW()/1000000,"")</f>
        <v/>
      </c>
    </row>
    <row r="204">
      <c r="BF204" t="str">
        <f>IF(AND(OR(PROCESSOS!O204="NO PRAZO",PROCESSOS!O204="VENCE EM BREVE"),OR(FiltroResp="TODOS",FiltroResp="",PROCESSOS!H204=FiltroResp)),PROCESSOS!M204+ROW()/1000000,"")</f>
        <v/>
      </c>
      <c r="BG204" t="str">
        <f>IF(AND(PROCESSOS!B204&lt;&gt;"",ISNUMBER(PROCESSOS!D204),OR(FiltroResp="TODOS",FiltroResp="",PROCESSOS!H204=FiltroResp)),PROCESSOS!D204+ROW()/1000000,"")</f>
        <v/>
      </c>
    </row>
    <row r="205">
      <c r="BF205" t="str">
        <f>IF(AND(OR(PROCESSOS!O205="NO PRAZO",PROCESSOS!O205="VENCE EM BREVE"),OR(FiltroResp="TODOS",FiltroResp="",PROCESSOS!H205=FiltroResp)),PROCESSOS!M205+ROW()/1000000,"")</f>
        <v/>
      </c>
      <c r="BG205" t="str">
        <f>IF(AND(PROCESSOS!B205&lt;&gt;"",ISNUMBER(PROCESSOS!D205),OR(FiltroResp="TODOS",FiltroResp="",PROCESSOS!H205=FiltroResp)),PROCESSOS!D205+ROW()/1000000,"")</f>
        <v/>
      </c>
    </row>
    <row r="206">
      <c r="BF206" t="str">
        <f>IF(AND(OR(PROCESSOS!O206="NO PRAZO",PROCESSOS!O206="VENCE EM BREVE"),OR(FiltroResp="TODOS",FiltroResp="",PROCESSOS!H206=FiltroResp)),PROCESSOS!M206+ROW()/1000000,"")</f>
        <v/>
      </c>
      <c r="BG206" t="str">
        <f>IF(AND(PROCESSOS!B206&lt;&gt;"",ISNUMBER(PROCESSOS!D206),OR(FiltroResp="TODOS",FiltroResp="",PROCESSOS!H206=FiltroResp)),PROCESSOS!D206+ROW()/1000000,"")</f>
        <v/>
      </c>
    </row>
    <row r="207">
      <c r="BF207" t="str">
        <f>IF(AND(OR(PROCESSOS!O207="NO PRAZO",PROCESSOS!O207="VENCE EM BREVE"),OR(FiltroResp="TODOS",FiltroResp="",PROCESSOS!H207=FiltroResp)),PROCESSOS!M207+ROW()/1000000,"")</f>
        <v/>
      </c>
      <c r="BG207" t="str">
        <f>IF(AND(PROCESSOS!B207&lt;&gt;"",ISNUMBER(PROCESSOS!D207),OR(FiltroResp="TODOS",FiltroResp="",PROCESSOS!H207=FiltroResp)),PROCESSOS!D207+ROW()/1000000,"")</f>
        <v/>
      </c>
    </row>
    <row r="208">
      <c r="BF208" t="str">
        <f>IF(AND(OR(PROCESSOS!O208="NO PRAZO",PROCESSOS!O208="VENCE EM BREVE"),OR(FiltroResp="TODOS",FiltroResp="",PROCESSOS!H208=FiltroResp)),PROCESSOS!M208+ROW()/1000000,"")</f>
        <v/>
      </c>
      <c r="BG208" t="str">
        <f>IF(AND(PROCESSOS!B208&lt;&gt;"",ISNUMBER(PROCESSOS!D208),OR(FiltroResp="TODOS",FiltroResp="",PROCESSOS!H208=FiltroResp)),PROCESSOS!D208+ROW()/1000000,"")</f>
        <v/>
      </c>
    </row>
    <row r="209">
      <c r="BF209" t="str">
        <f>IF(AND(OR(PROCESSOS!O209="NO PRAZO",PROCESSOS!O209="VENCE EM BREVE"),OR(FiltroResp="TODOS",FiltroResp="",PROCESSOS!H209=FiltroResp)),PROCESSOS!M209+ROW()/1000000,"")</f>
        <v/>
      </c>
      <c r="BG209" t="str">
        <f>IF(AND(PROCESSOS!B209&lt;&gt;"",ISNUMBER(PROCESSOS!D209),OR(FiltroResp="TODOS",FiltroResp="",PROCESSOS!H209=FiltroResp)),PROCESSOS!D209+ROW()/1000000,"")</f>
        <v/>
      </c>
    </row>
    <row r="210">
      <c r="BF210" t="str">
        <f>IF(AND(OR(PROCESSOS!O210="NO PRAZO",PROCESSOS!O210="VENCE EM BREVE"),OR(FiltroResp="TODOS",FiltroResp="",PROCESSOS!H210=FiltroResp)),PROCESSOS!M210+ROW()/1000000,"")</f>
        <v/>
      </c>
      <c r="BG210" t="str">
        <f>IF(AND(PROCESSOS!B210&lt;&gt;"",ISNUMBER(PROCESSOS!D210),OR(FiltroResp="TODOS",FiltroResp="",PROCESSOS!H210=FiltroResp)),PROCESSOS!D210+ROW()/1000000,"")</f>
        <v/>
      </c>
    </row>
    <row r="211">
      <c r="BF211" t="str">
        <f>IF(AND(OR(PROCESSOS!O211="NO PRAZO",PROCESSOS!O211="VENCE EM BREVE"),OR(FiltroResp="TODOS",FiltroResp="",PROCESSOS!H211=FiltroResp)),PROCESSOS!M211+ROW()/1000000,"")</f>
        <v/>
      </c>
      <c r="BG211" t="str">
        <f>IF(AND(PROCESSOS!B211&lt;&gt;"",ISNUMBER(PROCESSOS!D211),OR(FiltroResp="TODOS",FiltroResp="",PROCESSOS!H211=FiltroResp)),PROCESSOS!D211+ROW()/1000000,"")</f>
        <v/>
      </c>
    </row>
    <row r="212">
      <c r="BF212" t="str">
        <f>IF(AND(OR(PROCESSOS!O212="NO PRAZO",PROCESSOS!O212="VENCE EM BREVE"),OR(FiltroResp="TODOS",FiltroResp="",PROCESSOS!H212=FiltroResp)),PROCESSOS!M212+ROW()/1000000,"")</f>
        <v/>
      </c>
      <c r="BG212" t="str">
        <f>IF(AND(PROCESSOS!B212&lt;&gt;"",ISNUMBER(PROCESSOS!D212),OR(FiltroResp="TODOS",FiltroResp="",PROCESSOS!H212=FiltroResp)),PROCESSOS!D212+ROW()/1000000,"")</f>
        <v/>
      </c>
    </row>
    <row r="213">
      <c r="BF213" t="str">
        <f>IF(AND(OR(PROCESSOS!O213="NO PRAZO",PROCESSOS!O213="VENCE EM BREVE"),OR(FiltroResp="TODOS",FiltroResp="",PROCESSOS!H213=FiltroResp)),PROCESSOS!M213+ROW()/1000000,"")</f>
        <v/>
      </c>
      <c r="BG213" t="str">
        <f>IF(AND(PROCESSOS!B213&lt;&gt;"",ISNUMBER(PROCESSOS!D213),OR(FiltroResp="TODOS",FiltroResp="",PROCESSOS!H213=FiltroResp)),PROCESSOS!D213+ROW()/1000000,"")</f>
        <v/>
      </c>
    </row>
    <row r="214">
      <c r="BF214" t="str">
        <f>IF(AND(OR(PROCESSOS!O214="NO PRAZO",PROCESSOS!O214="VENCE EM BREVE"),OR(FiltroResp="TODOS",FiltroResp="",PROCESSOS!H214=FiltroResp)),PROCESSOS!M214+ROW()/1000000,"")</f>
        <v/>
      </c>
      <c r="BG214" t="str">
        <f>IF(AND(PROCESSOS!B214&lt;&gt;"",ISNUMBER(PROCESSOS!D214),OR(FiltroResp="TODOS",FiltroResp="",PROCESSOS!H214=FiltroResp)),PROCESSOS!D214+ROW()/1000000,"")</f>
        <v/>
      </c>
    </row>
    <row r="215">
      <c r="BF215" t="str">
        <f>IF(AND(OR(PROCESSOS!O215="NO PRAZO",PROCESSOS!O215="VENCE EM BREVE"),OR(FiltroResp="TODOS",FiltroResp="",PROCESSOS!H215=FiltroResp)),PROCESSOS!M215+ROW()/1000000,"")</f>
        <v/>
      </c>
      <c r="BG215" t="str">
        <f>IF(AND(PROCESSOS!B215&lt;&gt;"",ISNUMBER(PROCESSOS!D215),OR(FiltroResp="TODOS",FiltroResp="",PROCESSOS!H215=FiltroResp)),PROCESSOS!D215+ROW()/1000000,"")</f>
        <v/>
      </c>
    </row>
    <row r="216">
      <c r="BF216" t="str">
        <f>IF(AND(OR(PROCESSOS!O216="NO PRAZO",PROCESSOS!O216="VENCE EM BREVE"),OR(FiltroResp="TODOS",FiltroResp="",PROCESSOS!H216=FiltroResp)),PROCESSOS!M216+ROW()/1000000,"")</f>
        <v/>
      </c>
      <c r="BG216" t="str">
        <f>IF(AND(PROCESSOS!B216&lt;&gt;"",ISNUMBER(PROCESSOS!D216),OR(FiltroResp="TODOS",FiltroResp="",PROCESSOS!H216=FiltroResp)),PROCESSOS!D216+ROW()/1000000,"")</f>
        <v/>
      </c>
    </row>
    <row r="217">
      <c r="BF217" t="str">
        <f>IF(AND(OR(PROCESSOS!O217="NO PRAZO",PROCESSOS!O217="VENCE EM BREVE"),OR(FiltroResp="TODOS",FiltroResp="",PROCESSOS!H217=FiltroResp)),PROCESSOS!M217+ROW()/1000000,"")</f>
        <v/>
      </c>
      <c r="BG217" t="str">
        <f>IF(AND(PROCESSOS!B217&lt;&gt;"",ISNUMBER(PROCESSOS!D217),OR(FiltroResp="TODOS",FiltroResp="",PROCESSOS!H217=FiltroResp)),PROCESSOS!D217+ROW()/1000000,"")</f>
        <v/>
      </c>
    </row>
    <row r="218">
      <c r="BF218" t="str">
        <f>IF(AND(OR(PROCESSOS!O218="NO PRAZO",PROCESSOS!O218="VENCE EM BREVE"),OR(FiltroResp="TODOS",FiltroResp="",PROCESSOS!H218=FiltroResp)),PROCESSOS!M218+ROW()/1000000,"")</f>
        <v/>
      </c>
      <c r="BG218" t="str">
        <f>IF(AND(PROCESSOS!B218&lt;&gt;"",ISNUMBER(PROCESSOS!D218),OR(FiltroResp="TODOS",FiltroResp="",PROCESSOS!H218=FiltroResp)),PROCESSOS!D218+ROW()/1000000,"")</f>
        <v/>
      </c>
    </row>
    <row r="219">
      <c r="BF219" t="str">
        <f>IF(AND(OR(PROCESSOS!O219="NO PRAZO",PROCESSOS!O219="VENCE EM BREVE"),OR(FiltroResp="TODOS",FiltroResp="",PROCESSOS!H219=FiltroResp)),PROCESSOS!M219+ROW()/1000000,"")</f>
        <v/>
      </c>
      <c r="BG219" t="str">
        <f>IF(AND(PROCESSOS!B219&lt;&gt;"",ISNUMBER(PROCESSOS!D219),OR(FiltroResp="TODOS",FiltroResp="",PROCESSOS!H219=FiltroResp)),PROCESSOS!D219+ROW()/1000000,"")</f>
        <v/>
      </c>
    </row>
    <row r="220">
      <c r="BF220" t="str">
        <f>IF(AND(OR(PROCESSOS!O220="NO PRAZO",PROCESSOS!O220="VENCE EM BREVE"),OR(FiltroResp="TODOS",FiltroResp="",PROCESSOS!H220=FiltroResp)),PROCESSOS!M220+ROW()/1000000,"")</f>
        <v/>
      </c>
      <c r="BG220" t="str">
        <f>IF(AND(PROCESSOS!B220&lt;&gt;"",ISNUMBER(PROCESSOS!D220),OR(FiltroResp="TODOS",FiltroResp="",PROCESSOS!H220=FiltroResp)),PROCESSOS!D220+ROW()/1000000,"")</f>
        <v/>
      </c>
    </row>
    <row r="221">
      <c r="BF221" t="str">
        <f>IF(AND(OR(PROCESSOS!O221="NO PRAZO",PROCESSOS!O221="VENCE EM BREVE"),OR(FiltroResp="TODOS",FiltroResp="",PROCESSOS!H221=FiltroResp)),PROCESSOS!M221+ROW()/1000000,"")</f>
        <v/>
      </c>
      <c r="BG221" t="str">
        <f>IF(AND(PROCESSOS!B221&lt;&gt;"",ISNUMBER(PROCESSOS!D221),OR(FiltroResp="TODOS",FiltroResp="",PROCESSOS!H221=FiltroResp)),PROCESSOS!D221+ROW()/1000000,"")</f>
        <v/>
      </c>
    </row>
    <row r="222">
      <c r="BF222" t="str">
        <f>IF(AND(OR(PROCESSOS!O222="NO PRAZO",PROCESSOS!O222="VENCE EM BREVE"),OR(FiltroResp="TODOS",FiltroResp="",PROCESSOS!H222=FiltroResp)),PROCESSOS!M222+ROW()/1000000,"")</f>
        <v/>
      </c>
      <c r="BG222" t="str">
        <f>IF(AND(PROCESSOS!B222&lt;&gt;"",ISNUMBER(PROCESSOS!D222),OR(FiltroResp="TODOS",FiltroResp="",PROCESSOS!H222=FiltroResp)),PROCESSOS!D222+ROW()/1000000,"")</f>
        <v/>
      </c>
    </row>
    <row r="223">
      <c r="BF223" t="str">
        <f>IF(AND(OR(PROCESSOS!O223="NO PRAZO",PROCESSOS!O223="VENCE EM BREVE"),OR(FiltroResp="TODOS",FiltroResp="",PROCESSOS!H223=FiltroResp)),PROCESSOS!M223+ROW()/1000000,"")</f>
        <v/>
      </c>
      <c r="BG223" t="str">
        <f>IF(AND(PROCESSOS!B223&lt;&gt;"",ISNUMBER(PROCESSOS!D223),OR(FiltroResp="TODOS",FiltroResp="",PROCESSOS!H223=FiltroResp)),PROCESSOS!D223+ROW()/1000000,"")</f>
        <v/>
      </c>
    </row>
    <row r="224">
      <c r="BF224" t="str">
        <f>IF(AND(OR(PROCESSOS!O224="NO PRAZO",PROCESSOS!O224="VENCE EM BREVE"),OR(FiltroResp="TODOS",FiltroResp="",PROCESSOS!H224=FiltroResp)),PROCESSOS!M224+ROW()/1000000,"")</f>
        <v/>
      </c>
      <c r="BG224" t="str">
        <f>IF(AND(PROCESSOS!B224&lt;&gt;"",ISNUMBER(PROCESSOS!D224),OR(FiltroResp="TODOS",FiltroResp="",PROCESSOS!H224=FiltroResp)),PROCESSOS!D224+ROW()/1000000,"")</f>
        <v/>
      </c>
    </row>
    <row r="225">
      <c r="BF225" t="str">
        <f>IF(AND(OR(PROCESSOS!O225="NO PRAZO",PROCESSOS!O225="VENCE EM BREVE"),OR(FiltroResp="TODOS",FiltroResp="",PROCESSOS!H225=FiltroResp)),PROCESSOS!M225+ROW()/1000000,"")</f>
        <v/>
      </c>
      <c r="BG225" t="str">
        <f>IF(AND(PROCESSOS!B225&lt;&gt;"",ISNUMBER(PROCESSOS!D225),OR(FiltroResp="TODOS",FiltroResp="",PROCESSOS!H225=FiltroResp)),PROCESSOS!D225+ROW()/1000000,"")</f>
        <v/>
      </c>
    </row>
    <row r="226">
      <c r="BF226" t="str">
        <f>IF(AND(OR(PROCESSOS!O226="NO PRAZO",PROCESSOS!O226="VENCE EM BREVE"),OR(FiltroResp="TODOS",FiltroResp="",PROCESSOS!H226=FiltroResp)),PROCESSOS!M226+ROW()/1000000,"")</f>
        <v/>
      </c>
      <c r="BG226" t="str">
        <f>IF(AND(PROCESSOS!B226&lt;&gt;"",ISNUMBER(PROCESSOS!D226),OR(FiltroResp="TODOS",FiltroResp="",PROCESSOS!H226=FiltroResp)),PROCESSOS!D226+ROW()/1000000,"")</f>
        <v/>
      </c>
    </row>
    <row r="227">
      <c r="BF227" t="str">
        <f>IF(AND(OR(PROCESSOS!O227="NO PRAZO",PROCESSOS!O227="VENCE EM BREVE"),OR(FiltroResp="TODOS",FiltroResp="",PROCESSOS!H227=FiltroResp)),PROCESSOS!M227+ROW()/1000000,"")</f>
        <v/>
      </c>
      <c r="BG227" t="str">
        <f>IF(AND(PROCESSOS!B227&lt;&gt;"",ISNUMBER(PROCESSOS!D227),OR(FiltroResp="TODOS",FiltroResp="",PROCESSOS!H227=FiltroResp)),PROCESSOS!D227+ROW()/1000000,"")</f>
        <v/>
      </c>
    </row>
    <row r="228">
      <c r="BF228" t="str">
        <f>IF(AND(OR(PROCESSOS!O228="NO PRAZO",PROCESSOS!O228="VENCE EM BREVE"),OR(FiltroResp="TODOS",FiltroResp="",PROCESSOS!H228=FiltroResp)),PROCESSOS!M228+ROW()/1000000,"")</f>
        <v/>
      </c>
      <c r="BG228" t="str">
        <f>IF(AND(PROCESSOS!B228&lt;&gt;"",ISNUMBER(PROCESSOS!D228),OR(FiltroResp="TODOS",FiltroResp="",PROCESSOS!H228=FiltroResp)),PROCESSOS!D228+ROW()/1000000,"")</f>
        <v/>
      </c>
    </row>
    <row r="229">
      <c r="BF229" t="str">
        <f>IF(AND(OR(PROCESSOS!O229="NO PRAZO",PROCESSOS!O229="VENCE EM BREVE"),OR(FiltroResp="TODOS",FiltroResp="",PROCESSOS!H229=FiltroResp)),PROCESSOS!M229+ROW()/1000000,"")</f>
        <v/>
      </c>
      <c r="BG229" t="str">
        <f>IF(AND(PROCESSOS!B229&lt;&gt;"",ISNUMBER(PROCESSOS!D229),OR(FiltroResp="TODOS",FiltroResp="",PROCESSOS!H229=FiltroResp)),PROCESSOS!D229+ROW()/1000000,"")</f>
        <v/>
      </c>
    </row>
    <row r="230">
      <c r="BF230" t="str">
        <f>IF(AND(OR(PROCESSOS!O230="NO PRAZO",PROCESSOS!O230="VENCE EM BREVE"),OR(FiltroResp="TODOS",FiltroResp="",PROCESSOS!H230=FiltroResp)),PROCESSOS!M230+ROW()/1000000,"")</f>
        <v/>
      </c>
      <c r="BG230" t="str">
        <f>IF(AND(PROCESSOS!B230&lt;&gt;"",ISNUMBER(PROCESSOS!D230),OR(FiltroResp="TODOS",FiltroResp="",PROCESSOS!H230=FiltroResp)),PROCESSOS!D230+ROW()/1000000,"")</f>
        <v/>
      </c>
    </row>
    <row r="231">
      <c r="BF231" t="str">
        <f>IF(AND(OR(PROCESSOS!O231="NO PRAZO",PROCESSOS!O231="VENCE EM BREVE"),OR(FiltroResp="TODOS",FiltroResp="",PROCESSOS!H231=FiltroResp)),PROCESSOS!M231+ROW()/1000000,"")</f>
        <v/>
      </c>
      <c r="BG231" t="str">
        <f>IF(AND(PROCESSOS!B231&lt;&gt;"",ISNUMBER(PROCESSOS!D231),OR(FiltroResp="TODOS",FiltroResp="",PROCESSOS!H231=FiltroResp)),PROCESSOS!D231+ROW()/1000000,"")</f>
        <v/>
      </c>
    </row>
    <row r="232">
      <c r="BF232" t="str">
        <f>IF(AND(OR(PROCESSOS!O232="NO PRAZO",PROCESSOS!O232="VENCE EM BREVE"),OR(FiltroResp="TODOS",FiltroResp="",PROCESSOS!H232=FiltroResp)),PROCESSOS!M232+ROW()/1000000,"")</f>
        <v/>
      </c>
      <c r="BG232" t="str">
        <f>IF(AND(PROCESSOS!B232&lt;&gt;"",ISNUMBER(PROCESSOS!D232),OR(FiltroResp="TODOS",FiltroResp="",PROCESSOS!H232=FiltroResp)),PROCESSOS!D232+ROW()/1000000,"")</f>
        <v/>
      </c>
    </row>
    <row r="233">
      <c r="BF233" t="str">
        <f>IF(AND(OR(PROCESSOS!O233="NO PRAZO",PROCESSOS!O233="VENCE EM BREVE"),OR(FiltroResp="TODOS",FiltroResp="",PROCESSOS!H233=FiltroResp)),PROCESSOS!M233+ROW()/1000000,"")</f>
        <v/>
      </c>
      <c r="BG233" t="str">
        <f>IF(AND(PROCESSOS!B233&lt;&gt;"",ISNUMBER(PROCESSOS!D233),OR(FiltroResp="TODOS",FiltroResp="",PROCESSOS!H233=FiltroResp)),PROCESSOS!D233+ROW()/1000000,"")</f>
        <v/>
      </c>
    </row>
    <row r="234">
      <c r="BF234" t="str">
        <f>IF(AND(OR(PROCESSOS!O234="NO PRAZO",PROCESSOS!O234="VENCE EM BREVE"),OR(FiltroResp="TODOS",FiltroResp="",PROCESSOS!H234=FiltroResp)),PROCESSOS!M234+ROW()/1000000,"")</f>
        <v/>
      </c>
      <c r="BG234" t="str">
        <f>IF(AND(PROCESSOS!B234&lt;&gt;"",ISNUMBER(PROCESSOS!D234),OR(FiltroResp="TODOS",FiltroResp="",PROCESSOS!H234=FiltroResp)),PROCESSOS!D234+ROW()/1000000,"")</f>
        <v/>
      </c>
    </row>
    <row r="235">
      <c r="BF235" t="str">
        <f>IF(AND(OR(PROCESSOS!O235="NO PRAZO",PROCESSOS!O235="VENCE EM BREVE"),OR(FiltroResp="TODOS",FiltroResp="",PROCESSOS!H235=FiltroResp)),PROCESSOS!M235+ROW()/1000000,"")</f>
        <v/>
      </c>
      <c r="BG235" t="str">
        <f>IF(AND(PROCESSOS!B235&lt;&gt;"",ISNUMBER(PROCESSOS!D235),OR(FiltroResp="TODOS",FiltroResp="",PROCESSOS!H235=FiltroResp)),PROCESSOS!D235+ROW()/1000000,"")</f>
        <v/>
      </c>
    </row>
    <row r="236">
      <c r="BF236" t="str">
        <f>IF(AND(OR(PROCESSOS!O236="NO PRAZO",PROCESSOS!O236="VENCE EM BREVE"),OR(FiltroResp="TODOS",FiltroResp="",PROCESSOS!H236=FiltroResp)),PROCESSOS!M236+ROW()/1000000,"")</f>
        <v/>
      </c>
      <c r="BG236" t="str">
        <f>IF(AND(PROCESSOS!B236&lt;&gt;"",ISNUMBER(PROCESSOS!D236),OR(FiltroResp="TODOS",FiltroResp="",PROCESSOS!H236=FiltroResp)),PROCESSOS!D236+ROW()/1000000,"")</f>
        <v/>
      </c>
    </row>
    <row r="237">
      <c r="BF237" t="str">
        <f>IF(AND(OR(PROCESSOS!O237="NO PRAZO",PROCESSOS!O237="VENCE EM BREVE"),OR(FiltroResp="TODOS",FiltroResp="",PROCESSOS!H237=FiltroResp)),PROCESSOS!M237+ROW()/1000000,"")</f>
        <v/>
      </c>
      <c r="BG237" t="str">
        <f>IF(AND(PROCESSOS!B237&lt;&gt;"",ISNUMBER(PROCESSOS!D237),OR(FiltroResp="TODOS",FiltroResp="",PROCESSOS!H237=FiltroResp)),PROCESSOS!D237+ROW()/1000000,"")</f>
        <v/>
      </c>
    </row>
    <row r="238">
      <c r="BF238" t="str">
        <f>IF(AND(OR(PROCESSOS!O238="NO PRAZO",PROCESSOS!O238="VENCE EM BREVE"),OR(FiltroResp="TODOS",FiltroResp="",PROCESSOS!H238=FiltroResp)),PROCESSOS!M238+ROW()/1000000,"")</f>
        <v/>
      </c>
      <c r="BG238" t="str">
        <f>IF(AND(PROCESSOS!B238&lt;&gt;"",ISNUMBER(PROCESSOS!D238),OR(FiltroResp="TODOS",FiltroResp="",PROCESSOS!H238=FiltroResp)),PROCESSOS!D238+ROW()/1000000,"")</f>
        <v/>
      </c>
    </row>
    <row r="239">
      <c r="BF239" t="str">
        <f>IF(AND(OR(PROCESSOS!O239="NO PRAZO",PROCESSOS!O239="VENCE EM BREVE"),OR(FiltroResp="TODOS",FiltroResp="",PROCESSOS!H239=FiltroResp)),PROCESSOS!M239+ROW()/1000000,"")</f>
        <v/>
      </c>
      <c r="BG239" t="str">
        <f>IF(AND(PROCESSOS!B239&lt;&gt;"",ISNUMBER(PROCESSOS!D239),OR(FiltroResp="TODOS",FiltroResp="",PROCESSOS!H239=FiltroResp)),PROCESSOS!D239+ROW()/1000000,"")</f>
        <v/>
      </c>
    </row>
    <row r="240">
      <c r="BF240" t="str">
        <f>IF(AND(OR(PROCESSOS!O240="NO PRAZO",PROCESSOS!O240="VENCE EM BREVE"),OR(FiltroResp="TODOS",FiltroResp="",PROCESSOS!H240=FiltroResp)),PROCESSOS!M240+ROW()/1000000,"")</f>
        <v/>
      </c>
      <c r="BG240" t="str">
        <f>IF(AND(PROCESSOS!B240&lt;&gt;"",ISNUMBER(PROCESSOS!D240),OR(FiltroResp="TODOS",FiltroResp="",PROCESSOS!H240=FiltroResp)),PROCESSOS!D240+ROW()/1000000,"")</f>
        <v/>
      </c>
    </row>
    <row r="241">
      <c r="BF241" t="str">
        <f>IF(AND(OR(PROCESSOS!O241="NO PRAZO",PROCESSOS!O241="VENCE EM BREVE"),OR(FiltroResp="TODOS",FiltroResp="",PROCESSOS!H241=FiltroResp)),PROCESSOS!M241+ROW()/1000000,"")</f>
        <v/>
      </c>
      <c r="BG241" t="str">
        <f>IF(AND(PROCESSOS!B241&lt;&gt;"",ISNUMBER(PROCESSOS!D241),OR(FiltroResp="TODOS",FiltroResp="",PROCESSOS!H241=FiltroResp)),PROCESSOS!D241+ROW()/1000000,"")</f>
        <v/>
      </c>
    </row>
    <row r="242">
      <c r="BF242" t="str">
        <f>IF(AND(OR(PROCESSOS!O242="NO PRAZO",PROCESSOS!O242="VENCE EM BREVE"),OR(FiltroResp="TODOS",FiltroResp="",PROCESSOS!H242=FiltroResp)),PROCESSOS!M242+ROW()/1000000,"")</f>
        <v/>
      </c>
      <c r="BG242" t="str">
        <f>IF(AND(PROCESSOS!B242&lt;&gt;"",ISNUMBER(PROCESSOS!D242),OR(FiltroResp="TODOS",FiltroResp="",PROCESSOS!H242=FiltroResp)),PROCESSOS!D242+ROW()/1000000,"")</f>
        <v/>
      </c>
    </row>
    <row r="243">
      <c r="BF243" t="str">
        <f>IF(AND(OR(PROCESSOS!O243="NO PRAZO",PROCESSOS!O243="VENCE EM BREVE"),OR(FiltroResp="TODOS",FiltroResp="",PROCESSOS!H243=FiltroResp)),PROCESSOS!M243+ROW()/1000000,"")</f>
        <v/>
      </c>
      <c r="BG243" t="str">
        <f>IF(AND(PROCESSOS!B243&lt;&gt;"",ISNUMBER(PROCESSOS!D243),OR(FiltroResp="TODOS",FiltroResp="",PROCESSOS!H243=FiltroResp)),PROCESSOS!D243+ROW()/1000000,"")</f>
        <v/>
      </c>
    </row>
    <row r="244">
      <c r="BF244" t="str">
        <f>IF(AND(OR(PROCESSOS!O244="NO PRAZO",PROCESSOS!O244="VENCE EM BREVE"),OR(FiltroResp="TODOS",FiltroResp="",PROCESSOS!H244=FiltroResp)),PROCESSOS!M244+ROW()/1000000,"")</f>
        <v/>
      </c>
      <c r="BG244" t="str">
        <f>IF(AND(PROCESSOS!B244&lt;&gt;"",ISNUMBER(PROCESSOS!D244),OR(FiltroResp="TODOS",FiltroResp="",PROCESSOS!H244=FiltroResp)),PROCESSOS!D244+ROW()/1000000,"")</f>
        <v/>
      </c>
    </row>
    <row r="245">
      <c r="BF245" t="str">
        <f>IF(AND(OR(PROCESSOS!O245="NO PRAZO",PROCESSOS!O245="VENCE EM BREVE"),OR(FiltroResp="TODOS",FiltroResp="",PROCESSOS!H245=FiltroResp)),PROCESSOS!M245+ROW()/1000000,"")</f>
        <v/>
      </c>
      <c r="BG245" t="str">
        <f>IF(AND(PROCESSOS!B245&lt;&gt;"",ISNUMBER(PROCESSOS!D245),OR(FiltroResp="TODOS",FiltroResp="",PROCESSOS!H245=FiltroResp)),PROCESSOS!D245+ROW()/1000000,"")</f>
        <v/>
      </c>
    </row>
    <row r="246">
      <c r="BF246" t="str">
        <f>IF(AND(OR(PROCESSOS!O246="NO PRAZO",PROCESSOS!O246="VENCE EM BREVE"),OR(FiltroResp="TODOS",FiltroResp="",PROCESSOS!H246=FiltroResp)),PROCESSOS!M246+ROW()/1000000,"")</f>
        <v/>
      </c>
      <c r="BG246" t="str">
        <f>IF(AND(PROCESSOS!B246&lt;&gt;"",ISNUMBER(PROCESSOS!D246),OR(FiltroResp="TODOS",FiltroResp="",PROCESSOS!H246=FiltroResp)),PROCESSOS!D246+ROW()/1000000,"")</f>
        <v/>
      </c>
    </row>
    <row r="247">
      <c r="BF247" t="str">
        <f>IF(AND(OR(PROCESSOS!O247="NO PRAZO",PROCESSOS!O247="VENCE EM BREVE"),OR(FiltroResp="TODOS",FiltroResp="",PROCESSOS!H247=FiltroResp)),PROCESSOS!M247+ROW()/1000000,"")</f>
        <v/>
      </c>
      <c r="BG247" t="str">
        <f>IF(AND(PROCESSOS!B247&lt;&gt;"",ISNUMBER(PROCESSOS!D247),OR(FiltroResp="TODOS",FiltroResp="",PROCESSOS!H247=FiltroResp)),PROCESSOS!D247+ROW()/1000000,"")</f>
        <v/>
      </c>
    </row>
    <row r="248">
      <c r="BF248" t="str">
        <f>IF(AND(OR(PROCESSOS!O248="NO PRAZO",PROCESSOS!O248="VENCE EM BREVE"),OR(FiltroResp="TODOS",FiltroResp="",PROCESSOS!H248=FiltroResp)),PROCESSOS!M248+ROW()/1000000,"")</f>
        <v/>
      </c>
      <c r="BG248" t="str">
        <f>IF(AND(PROCESSOS!B248&lt;&gt;"",ISNUMBER(PROCESSOS!D248),OR(FiltroResp="TODOS",FiltroResp="",PROCESSOS!H248=FiltroResp)),PROCESSOS!D248+ROW()/1000000,"")</f>
        <v/>
      </c>
    </row>
    <row r="249">
      <c r="BF249" t="str">
        <f>IF(AND(OR(PROCESSOS!O249="NO PRAZO",PROCESSOS!O249="VENCE EM BREVE"),OR(FiltroResp="TODOS",FiltroResp="",PROCESSOS!H249=FiltroResp)),PROCESSOS!M249+ROW()/1000000,"")</f>
        <v/>
      </c>
      <c r="BG249" t="str">
        <f>IF(AND(PROCESSOS!B249&lt;&gt;"",ISNUMBER(PROCESSOS!D249),OR(FiltroResp="TODOS",FiltroResp="",PROCESSOS!H249=FiltroResp)),PROCESSOS!D249+ROW()/1000000,"")</f>
        <v/>
      </c>
    </row>
    <row r="250">
      <c r="BF250" t="str">
        <f>IF(AND(OR(PROCESSOS!O250="NO PRAZO",PROCESSOS!O250="VENCE EM BREVE"),OR(FiltroResp="TODOS",FiltroResp="",PROCESSOS!H250=FiltroResp)),PROCESSOS!M250+ROW()/1000000,"")</f>
        <v/>
      </c>
      <c r="BG250" t="str">
        <f>IF(AND(PROCESSOS!B250&lt;&gt;"",ISNUMBER(PROCESSOS!D250),OR(FiltroResp="TODOS",FiltroResp="",PROCESSOS!H250=FiltroResp)),PROCESSOS!D250+ROW()/1000000,"")</f>
        <v/>
      </c>
    </row>
    <row r="251">
      <c r="BF251" t="str">
        <f>IF(AND(OR(PROCESSOS!O251="NO PRAZO",PROCESSOS!O251="VENCE EM BREVE"),OR(FiltroResp="TODOS",FiltroResp="",PROCESSOS!H251=FiltroResp)),PROCESSOS!M251+ROW()/1000000,"")</f>
        <v/>
      </c>
      <c r="BG251" t="str">
        <f>IF(AND(PROCESSOS!B251&lt;&gt;"",ISNUMBER(PROCESSOS!D251),OR(FiltroResp="TODOS",FiltroResp="",PROCESSOS!H251=FiltroResp)),PROCESSOS!D251+ROW()/1000000,"")</f>
        <v/>
      </c>
    </row>
    <row r="252">
      <c r="BF252" t="str">
        <f>IF(AND(OR(PROCESSOS!O252="NO PRAZO",PROCESSOS!O252="VENCE EM BREVE"),OR(FiltroResp="TODOS",FiltroResp="",PROCESSOS!H252=FiltroResp)),PROCESSOS!M252+ROW()/1000000,"")</f>
        <v/>
      </c>
      <c r="BG252" t="str">
        <f>IF(AND(PROCESSOS!B252&lt;&gt;"",ISNUMBER(PROCESSOS!D252),OR(FiltroResp="TODOS",FiltroResp="",PROCESSOS!H252=FiltroResp)),PROCESSOS!D252+ROW()/1000000,"")</f>
        <v/>
      </c>
    </row>
    <row r="253">
      <c r="BF253" t="str">
        <f>IF(AND(OR(PROCESSOS!O253="NO PRAZO",PROCESSOS!O253="VENCE EM BREVE"),OR(FiltroResp="TODOS",FiltroResp="",PROCESSOS!H253=FiltroResp)),PROCESSOS!M253+ROW()/1000000,"")</f>
        <v/>
      </c>
      <c r="BG253" t="str">
        <f>IF(AND(PROCESSOS!B253&lt;&gt;"",ISNUMBER(PROCESSOS!D253),OR(FiltroResp="TODOS",FiltroResp="",PROCESSOS!H253=FiltroResp)),PROCESSOS!D253+ROW()/1000000,"")</f>
        <v/>
      </c>
    </row>
    <row r="254">
      <c r="BF254" t="str">
        <f>IF(AND(OR(PROCESSOS!O254="NO PRAZO",PROCESSOS!O254="VENCE EM BREVE"),OR(FiltroResp="TODOS",FiltroResp="",PROCESSOS!H254=FiltroResp)),PROCESSOS!M254+ROW()/1000000,"")</f>
        <v/>
      </c>
      <c r="BG254" t="str">
        <f>IF(AND(PROCESSOS!B254&lt;&gt;"",ISNUMBER(PROCESSOS!D254),OR(FiltroResp="TODOS",FiltroResp="",PROCESSOS!H254=FiltroResp)),PROCESSOS!D254+ROW()/1000000,"")</f>
        <v/>
      </c>
    </row>
    <row r="255">
      <c r="BF255" t="str">
        <f>IF(AND(OR(PROCESSOS!O255="NO PRAZO",PROCESSOS!O255="VENCE EM BREVE"),OR(FiltroResp="TODOS",FiltroResp="",PROCESSOS!H255=FiltroResp)),PROCESSOS!M255+ROW()/1000000,"")</f>
        <v/>
      </c>
      <c r="BG255" t="str">
        <f>IF(AND(PROCESSOS!B255&lt;&gt;"",ISNUMBER(PROCESSOS!D255),OR(FiltroResp="TODOS",FiltroResp="",PROCESSOS!H255=FiltroResp)),PROCESSOS!D255+ROW()/1000000,"")</f>
        <v/>
      </c>
    </row>
    <row r="256">
      <c r="BF256" t="str">
        <f>IF(AND(OR(PROCESSOS!O256="NO PRAZO",PROCESSOS!O256="VENCE EM BREVE"),OR(FiltroResp="TODOS",FiltroResp="",PROCESSOS!H256=FiltroResp)),PROCESSOS!M256+ROW()/1000000,"")</f>
        <v/>
      </c>
      <c r="BG256" t="str">
        <f>IF(AND(PROCESSOS!B256&lt;&gt;"",ISNUMBER(PROCESSOS!D256),OR(FiltroResp="TODOS",FiltroResp="",PROCESSOS!H256=FiltroResp)),PROCESSOS!D256+ROW()/1000000,"")</f>
        <v/>
      </c>
    </row>
    <row r="257">
      <c r="BF257" t="str">
        <f>IF(AND(OR(PROCESSOS!O257="NO PRAZO",PROCESSOS!O257="VENCE EM BREVE"),OR(FiltroResp="TODOS",FiltroResp="",PROCESSOS!H257=FiltroResp)),PROCESSOS!M257+ROW()/1000000,"")</f>
        <v/>
      </c>
      <c r="BG257" t="str">
        <f>IF(AND(PROCESSOS!B257&lt;&gt;"",ISNUMBER(PROCESSOS!D257),OR(FiltroResp="TODOS",FiltroResp="",PROCESSOS!H257=FiltroResp)),PROCESSOS!D257+ROW()/1000000,"")</f>
        <v/>
      </c>
    </row>
    <row r="258">
      <c r="BF258" t="str">
        <f>IF(AND(OR(PROCESSOS!O258="NO PRAZO",PROCESSOS!O258="VENCE EM BREVE"),OR(FiltroResp="TODOS",FiltroResp="",PROCESSOS!H258=FiltroResp)),PROCESSOS!M258+ROW()/1000000,"")</f>
        <v/>
      </c>
      <c r="BG258" t="str">
        <f>IF(AND(PROCESSOS!B258&lt;&gt;"",ISNUMBER(PROCESSOS!D258),OR(FiltroResp="TODOS",FiltroResp="",PROCESSOS!H258=FiltroResp)),PROCESSOS!D258+ROW()/1000000,"")</f>
        <v/>
      </c>
    </row>
    <row r="259">
      <c r="BF259" t="str">
        <f>IF(AND(OR(PROCESSOS!O259="NO PRAZO",PROCESSOS!O259="VENCE EM BREVE"),OR(FiltroResp="TODOS",FiltroResp="",PROCESSOS!H259=FiltroResp)),PROCESSOS!M259+ROW()/1000000,"")</f>
        <v/>
      </c>
      <c r="BG259" t="str">
        <f>IF(AND(PROCESSOS!B259&lt;&gt;"",ISNUMBER(PROCESSOS!D259),OR(FiltroResp="TODOS",FiltroResp="",PROCESSOS!H259=FiltroResp)),PROCESSOS!D259+ROW()/1000000,"")</f>
        <v/>
      </c>
    </row>
    <row r="260">
      <c r="BF260" t="str">
        <f>IF(AND(OR(PROCESSOS!O260="NO PRAZO",PROCESSOS!O260="VENCE EM BREVE"),OR(FiltroResp="TODOS",FiltroResp="",PROCESSOS!H260=FiltroResp)),PROCESSOS!M260+ROW()/1000000,"")</f>
        <v/>
      </c>
      <c r="BG260" t="str">
        <f>IF(AND(PROCESSOS!B260&lt;&gt;"",ISNUMBER(PROCESSOS!D260),OR(FiltroResp="TODOS",FiltroResp="",PROCESSOS!H260=FiltroResp)),PROCESSOS!D260+ROW()/1000000,"")</f>
        <v/>
      </c>
    </row>
    <row r="261">
      <c r="BF261" t="str">
        <f>IF(AND(OR(PROCESSOS!O261="NO PRAZO",PROCESSOS!O261="VENCE EM BREVE"),OR(FiltroResp="TODOS",FiltroResp="",PROCESSOS!H261=FiltroResp)),PROCESSOS!M261+ROW()/1000000,"")</f>
        <v/>
      </c>
      <c r="BG261" t="str">
        <f>IF(AND(PROCESSOS!B261&lt;&gt;"",ISNUMBER(PROCESSOS!D261),OR(FiltroResp="TODOS",FiltroResp="",PROCESSOS!H261=FiltroResp)),PROCESSOS!D261+ROW()/1000000,"")</f>
        <v/>
      </c>
    </row>
    <row r="262">
      <c r="BF262" t="str">
        <f>IF(AND(OR(PROCESSOS!O262="NO PRAZO",PROCESSOS!O262="VENCE EM BREVE"),OR(FiltroResp="TODOS",FiltroResp="",PROCESSOS!H262=FiltroResp)),PROCESSOS!M262+ROW()/1000000,"")</f>
        <v/>
      </c>
      <c r="BG262" t="str">
        <f>IF(AND(PROCESSOS!B262&lt;&gt;"",ISNUMBER(PROCESSOS!D262),OR(FiltroResp="TODOS",FiltroResp="",PROCESSOS!H262=FiltroResp)),PROCESSOS!D262+ROW()/1000000,"")</f>
        <v/>
      </c>
    </row>
    <row r="263">
      <c r="BF263" t="str">
        <f>IF(AND(OR(PROCESSOS!O263="NO PRAZO",PROCESSOS!O263="VENCE EM BREVE"),OR(FiltroResp="TODOS",FiltroResp="",PROCESSOS!H263=FiltroResp)),PROCESSOS!M263+ROW()/1000000,"")</f>
        <v/>
      </c>
      <c r="BG263" t="str">
        <f>IF(AND(PROCESSOS!B263&lt;&gt;"",ISNUMBER(PROCESSOS!D263),OR(FiltroResp="TODOS",FiltroResp="",PROCESSOS!H263=FiltroResp)),PROCESSOS!D263+ROW()/1000000,"")</f>
        <v/>
      </c>
    </row>
    <row r="264">
      <c r="BF264" t="str">
        <f>IF(AND(OR(PROCESSOS!O264="NO PRAZO",PROCESSOS!O264="VENCE EM BREVE"),OR(FiltroResp="TODOS",FiltroResp="",PROCESSOS!H264=FiltroResp)),PROCESSOS!M264+ROW()/1000000,"")</f>
        <v/>
      </c>
      <c r="BG264" t="str">
        <f>IF(AND(PROCESSOS!B264&lt;&gt;"",ISNUMBER(PROCESSOS!D264),OR(FiltroResp="TODOS",FiltroResp="",PROCESSOS!H264=FiltroResp)),PROCESSOS!D264+ROW()/1000000,"")</f>
        <v/>
      </c>
    </row>
    <row r="265">
      <c r="BF265" t="str">
        <f>IF(AND(OR(PROCESSOS!O265="NO PRAZO",PROCESSOS!O265="VENCE EM BREVE"),OR(FiltroResp="TODOS",FiltroResp="",PROCESSOS!H265=FiltroResp)),PROCESSOS!M265+ROW()/1000000,"")</f>
        <v/>
      </c>
      <c r="BG265" t="str">
        <f>IF(AND(PROCESSOS!B265&lt;&gt;"",ISNUMBER(PROCESSOS!D265),OR(FiltroResp="TODOS",FiltroResp="",PROCESSOS!H265=FiltroResp)),PROCESSOS!D265+ROW()/1000000,"")</f>
        <v/>
      </c>
    </row>
    <row r="266">
      <c r="BF266" t="str">
        <f>IF(AND(OR(PROCESSOS!O266="NO PRAZO",PROCESSOS!O266="VENCE EM BREVE"),OR(FiltroResp="TODOS",FiltroResp="",PROCESSOS!H266=FiltroResp)),PROCESSOS!M266+ROW()/1000000,"")</f>
        <v/>
      </c>
      <c r="BG266" t="str">
        <f>IF(AND(PROCESSOS!B266&lt;&gt;"",ISNUMBER(PROCESSOS!D266),OR(FiltroResp="TODOS",FiltroResp="",PROCESSOS!H266=FiltroResp)),PROCESSOS!D266+ROW()/1000000,"")</f>
        <v/>
      </c>
    </row>
    <row r="267">
      <c r="BF267" t="str">
        <f>IF(AND(OR(PROCESSOS!O267="NO PRAZO",PROCESSOS!O267="VENCE EM BREVE"),OR(FiltroResp="TODOS",FiltroResp="",PROCESSOS!H267=FiltroResp)),PROCESSOS!M267+ROW()/1000000,"")</f>
        <v/>
      </c>
      <c r="BG267" t="str">
        <f>IF(AND(PROCESSOS!B267&lt;&gt;"",ISNUMBER(PROCESSOS!D267),OR(FiltroResp="TODOS",FiltroResp="",PROCESSOS!H267=FiltroResp)),PROCESSOS!D267+ROW()/1000000,"")</f>
        <v/>
      </c>
    </row>
    <row r="268">
      <c r="BF268" t="str">
        <f>IF(AND(OR(PROCESSOS!O268="NO PRAZO",PROCESSOS!O268="VENCE EM BREVE"),OR(FiltroResp="TODOS",FiltroResp="",PROCESSOS!H268=FiltroResp)),PROCESSOS!M268+ROW()/1000000,"")</f>
        <v/>
      </c>
      <c r="BG268" t="str">
        <f>IF(AND(PROCESSOS!B268&lt;&gt;"",ISNUMBER(PROCESSOS!D268),OR(FiltroResp="TODOS",FiltroResp="",PROCESSOS!H268=FiltroResp)),PROCESSOS!D268+ROW()/1000000,"")</f>
        <v/>
      </c>
    </row>
    <row r="269">
      <c r="BF269" t="str">
        <f>IF(AND(OR(PROCESSOS!O269="NO PRAZO",PROCESSOS!O269="VENCE EM BREVE"),OR(FiltroResp="TODOS",FiltroResp="",PROCESSOS!H269=FiltroResp)),PROCESSOS!M269+ROW()/1000000,"")</f>
        <v/>
      </c>
      <c r="BG269" t="str">
        <f>IF(AND(PROCESSOS!B269&lt;&gt;"",ISNUMBER(PROCESSOS!D269),OR(FiltroResp="TODOS",FiltroResp="",PROCESSOS!H269=FiltroResp)),PROCESSOS!D269+ROW()/1000000,"")</f>
        <v/>
      </c>
    </row>
    <row r="270">
      <c r="BF270" t="str">
        <f>IF(AND(OR(PROCESSOS!O270="NO PRAZO",PROCESSOS!O270="VENCE EM BREVE"),OR(FiltroResp="TODOS",FiltroResp="",PROCESSOS!H270=FiltroResp)),PROCESSOS!M270+ROW()/1000000,"")</f>
        <v/>
      </c>
      <c r="BG270" t="str">
        <f>IF(AND(PROCESSOS!B270&lt;&gt;"",ISNUMBER(PROCESSOS!D270),OR(FiltroResp="TODOS",FiltroResp="",PROCESSOS!H270=FiltroResp)),PROCESSOS!D270+ROW()/1000000,"")</f>
        <v/>
      </c>
    </row>
    <row r="271">
      <c r="BF271" t="str">
        <f>IF(AND(OR(PROCESSOS!O271="NO PRAZO",PROCESSOS!O271="VENCE EM BREVE"),OR(FiltroResp="TODOS",FiltroResp="",PROCESSOS!H271=FiltroResp)),PROCESSOS!M271+ROW()/1000000,"")</f>
        <v/>
      </c>
      <c r="BG271" t="str">
        <f>IF(AND(PROCESSOS!B271&lt;&gt;"",ISNUMBER(PROCESSOS!D271),OR(FiltroResp="TODOS",FiltroResp="",PROCESSOS!H271=FiltroResp)),PROCESSOS!D271+ROW()/1000000,"")</f>
        <v/>
      </c>
    </row>
    <row r="272">
      <c r="BF272" t="str">
        <f>IF(AND(OR(PROCESSOS!O272="NO PRAZO",PROCESSOS!O272="VENCE EM BREVE"),OR(FiltroResp="TODOS",FiltroResp="",PROCESSOS!H272=FiltroResp)),PROCESSOS!M272+ROW()/1000000,"")</f>
        <v/>
      </c>
      <c r="BG272" t="str">
        <f>IF(AND(PROCESSOS!B272&lt;&gt;"",ISNUMBER(PROCESSOS!D272),OR(FiltroResp="TODOS",FiltroResp="",PROCESSOS!H272=FiltroResp)),PROCESSOS!D272+ROW()/1000000,"")</f>
        <v/>
      </c>
    </row>
    <row r="273">
      <c r="BF273" t="str">
        <f>IF(AND(OR(PROCESSOS!O273="NO PRAZO",PROCESSOS!O273="VENCE EM BREVE"),OR(FiltroResp="TODOS",FiltroResp="",PROCESSOS!H273=FiltroResp)),PROCESSOS!M273+ROW()/1000000,"")</f>
        <v/>
      </c>
      <c r="BG273" t="str">
        <f>IF(AND(PROCESSOS!B273&lt;&gt;"",ISNUMBER(PROCESSOS!D273),OR(FiltroResp="TODOS",FiltroResp="",PROCESSOS!H273=FiltroResp)),PROCESSOS!D273+ROW()/1000000,"")</f>
        <v/>
      </c>
    </row>
    <row r="274">
      <c r="BF274" t="str">
        <f>IF(AND(OR(PROCESSOS!O274="NO PRAZO",PROCESSOS!O274="VENCE EM BREVE"),OR(FiltroResp="TODOS",FiltroResp="",PROCESSOS!H274=FiltroResp)),PROCESSOS!M274+ROW()/1000000,"")</f>
        <v/>
      </c>
      <c r="BG274" t="str">
        <f>IF(AND(PROCESSOS!B274&lt;&gt;"",ISNUMBER(PROCESSOS!D274),OR(FiltroResp="TODOS",FiltroResp="",PROCESSOS!H274=FiltroResp)),PROCESSOS!D274+ROW()/1000000,"")</f>
        <v/>
      </c>
    </row>
    <row r="275">
      <c r="BF275" t="str">
        <f>IF(AND(OR(PROCESSOS!O275="NO PRAZO",PROCESSOS!O275="VENCE EM BREVE"),OR(FiltroResp="TODOS",FiltroResp="",PROCESSOS!H275=FiltroResp)),PROCESSOS!M275+ROW()/1000000,"")</f>
        <v/>
      </c>
      <c r="BG275" t="str">
        <f>IF(AND(PROCESSOS!B275&lt;&gt;"",ISNUMBER(PROCESSOS!D275),OR(FiltroResp="TODOS",FiltroResp="",PROCESSOS!H275=FiltroResp)),PROCESSOS!D275+ROW()/1000000,"")</f>
        <v/>
      </c>
    </row>
    <row r="276">
      <c r="BF276" t="str">
        <f>IF(AND(OR(PROCESSOS!O276="NO PRAZO",PROCESSOS!O276="VENCE EM BREVE"),OR(FiltroResp="TODOS",FiltroResp="",PROCESSOS!H276=FiltroResp)),PROCESSOS!M276+ROW()/1000000,"")</f>
        <v/>
      </c>
      <c r="BG276" t="str">
        <f>IF(AND(PROCESSOS!B276&lt;&gt;"",ISNUMBER(PROCESSOS!D276),OR(FiltroResp="TODOS",FiltroResp="",PROCESSOS!H276=FiltroResp)),PROCESSOS!D276+ROW()/1000000,"")</f>
        <v/>
      </c>
    </row>
    <row r="277">
      <c r="BF277" t="str">
        <f>IF(AND(OR(PROCESSOS!O277="NO PRAZO",PROCESSOS!O277="VENCE EM BREVE"),OR(FiltroResp="TODOS",FiltroResp="",PROCESSOS!H277=FiltroResp)),PROCESSOS!M277+ROW()/1000000,"")</f>
        <v/>
      </c>
      <c r="BG277" t="str">
        <f>IF(AND(PROCESSOS!B277&lt;&gt;"",ISNUMBER(PROCESSOS!D277),OR(FiltroResp="TODOS",FiltroResp="",PROCESSOS!H277=FiltroResp)),PROCESSOS!D277+ROW()/1000000,"")</f>
        <v/>
      </c>
    </row>
    <row r="278">
      <c r="BF278" t="str">
        <f>IF(AND(OR(PROCESSOS!O278="NO PRAZO",PROCESSOS!O278="VENCE EM BREVE"),OR(FiltroResp="TODOS",FiltroResp="",PROCESSOS!H278=FiltroResp)),PROCESSOS!M278+ROW()/1000000,"")</f>
        <v/>
      </c>
      <c r="BG278" t="str">
        <f>IF(AND(PROCESSOS!B278&lt;&gt;"",ISNUMBER(PROCESSOS!D278),OR(FiltroResp="TODOS",FiltroResp="",PROCESSOS!H278=FiltroResp)),PROCESSOS!D278+ROW()/1000000,"")</f>
        <v/>
      </c>
    </row>
    <row r="279">
      <c r="BF279" t="str">
        <f>IF(AND(OR(PROCESSOS!O279="NO PRAZO",PROCESSOS!O279="VENCE EM BREVE"),OR(FiltroResp="TODOS",FiltroResp="",PROCESSOS!H279=FiltroResp)),PROCESSOS!M279+ROW()/1000000,"")</f>
        <v/>
      </c>
      <c r="BG279" t="str">
        <f>IF(AND(PROCESSOS!B279&lt;&gt;"",ISNUMBER(PROCESSOS!D279),OR(FiltroResp="TODOS",FiltroResp="",PROCESSOS!H279=FiltroResp)),PROCESSOS!D279+ROW()/1000000,"")</f>
        <v/>
      </c>
    </row>
    <row r="280">
      <c r="BF280" t="str">
        <f>IF(AND(OR(PROCESSOS!O280="NO PRAZO",PROCESSOS!O280="VENCE EM BREVE"),OR(FiltroResp="TODOS",FiltroResp="",PROCESSOS!H280=FiltroResp)),PROCESSOS!M280+ROW()/1000000,"")</f>
        <v/>
      </c>
      <c r="BG280" t="str">
        <f>IF(AND(PROCESSOS!B280&lt;&gt;"",ISNUMBER(PROCESSOS!D280),OR(FiltroResp="TODOS",FiltroResp="",PROCESSOS!H280=FiltroResp)),PROCESSOS!D280+ROW()/1000000,"")</f>
        <v/>
      </c>
    </row>
    <row r="281">
      <c r="BF281" t="str">
        <f>IF(AND(OR(PROCESSOS!O281="NO PRAZO",PROCESSOS!O281="VENCE EM BREVE"),OR(FiltroResp="TODOS",FiltroResp="",PROCESSOS!H281=FiltroResp)),PROCESSOS!M281+ROW()/1000000,"")</f>
        <v/>
      </c>
      <c r="BG281" t="str">
        <f>IF(AND(PROCESSOS!B281&lt;&gt;"",ISNUMBER(PROCESSOS!D281),OR(FiltroResp="TODOS",FiltroResp="",PROCESSOS!H281=FiltroResp)),PROCESSOS!D281+ROW()/1000000,"")</f>
        <v/>
      </c>
    </row>
    <row r="282">
      <c r="BF282" t="str">
        <f>IF(AND(OR(PROCESSOS!O282="NO PRAZO",PROCESSOS!O282="VENCE EM BREVE"),OR(FiltroResp="TODOS",FiltroResp="",PROCESSOS!H282=FiltroResp)),PROCESSOS!M282+ROW()/1000000,"")</f>
        <v/>
      </c>
      <c r="BG282" t="str">
        <f>IF(AND(PROCESSOS!B282&lt;&gt;"",ISNUMBER(PROCESSOS!D282),OR(FiltroResp="TODOS",FiltroResp="",PROCESSOS!H282=FiltroResp)),PROCESSOS!D282+ROW()/1000000,"")</f>
        <v/>
      </c>
    </row>
    <row r="283">
      <c r="BF283" t="str">
        <f>IF(AND(OR(PROCESSOS!O283="NO PRAZO",PROCESSOS!O283="VENCE EM BREVE"),OR(FiltroResp="TODOS",FiltroResp="",PROCESSOS!H283=FiltroResp)),PROCESSOS!M283+ROW()/1000000,"")</f>
        <v/>
      </c>
      <c r="BG283" t="str">
        <f>IF(AND(PROCESSOS!B283&lt;&gt;"",ISNUMBER(PROCESSOS!D283),OR(FiltroResp="TODOS",FiltroResp="",PROCESSOS!H283=FiltroResp)),PROCESSOS!D283+ROW()/1000000,"")</f>
        <v/>
      </c>
    </row>
    <row r="284">
      <c r="BF284" t="str">
        <f>IF(AND(OR(PROCESSOS!O284="NO PRAZO",PROCESSOS!O284="VENCE EM BREVE"),OR(FiltroResp="TODOS",FiltroResp="",PROCESSOS!H284=FiltroResp)),PROCESSOS!M284+ROW()/1000000,"")</f>
        <v/>
      </c>
      <c r="BG284" t="str">
        <f>IF(AND(PROCESSOS!B284&lt;&gt;"",ISNUMBER(PROCESSOS!D284),OR(FiltroResp="TODOS",FiltroResp="",PROCESSOS!H284=FiltroResp)),PROCESSOS!D284+ROW()/1000000,"")</f>
        <v/>
      </c>
    </row>
    <row r="285">
      <c r="BF285" t="str">
        <f>IF(AND(OR(PROCESSOS!O285="NO PRAZO",PROCESSOS!O285="VENCE EM BREVE"),OR(FiltroResp="TODOS",FiltroResp="",PROCESSOS!H285=FiltroResp)),PROCESSOS!M285+ROW()/1000000,"")</f>
        <v/>
      </c>
      <c r="BG285" t="str">
        <f>IF(AND(PROCESSOS!B285&lt;&gt;"",ISNUMBER(PROCESSOS!D285),OR(FiltroResp="TODOS",FiltroResp="",PROCESSOS!H285=FiltroResp)),PROCESSOS!D285+ROW()/1000000,"")</f>
        <v/>
      </c>
    </row>
    <row r="286">
      <c r="BF286" t="str">
        <f>IF(AND(OR(PROCESSOS!O286="NO PRAZO",PROCESSOS!O286="VENCE EM BREVE"),OR(FiltroResp="TODOS",FiltroResp="",PROCESSOS!H286=FiltroResp)),PROCESSOS!M286+ROW()/1000000,"")</f>
        <v/>
      </c>
      <c r="BG286" t="str">
        <f>IF(AND(PROCESSOS!B286&lt;&gt;"",ISNUMBER(PROCESSOS!D286),OR(FiltroResp="TODOS",FiltroResp="",PROCESSOS!H286=FiltroResp)),PROCESSOS!D286+ROW()/1000000,"")</f>
        <v/>
      </c>
    </row>
    <row r="287">
      <c r="BF287" t="str">
        <f>IF(AND(OR(PROCESSOS!O287="NO PRAZO",PROCESSOS!O287="VENCE EM BREVE"),OR(FiltroResp="TODOS",FiltroResp="",PROCESSOS!H287=FiltroResp)),PROCESSOS!M287+ROW()/1000000,"")</f>
        <v/>
      </c>
      <c r="BG287" t="str">
        <f>IF(AND(PROCESSOS!B287&lt;&gt;"",ISNUMBER(PROCESSOS!D287),OR(FiltroResp="TODOS",FiltroResp="",PROCESSOS!H287=FiltroResp)),PROCESSOS!D287+ROW()/1000000,"")</f>
        <v/>
      </c>
    </row>
    <row r="288">
      <c r="BF288" t="str">
        <f>IF(AND(OR(PROCESSOS!O288="NO PRAZO",PROCESSOS!O288="VENCE EM BREVE"),OR(FiltroResp="TODOS",FiltroResp="",PROCESSOS!H288=FiltroResp)),PROCESSOS!M288+ROW()/1000000,"")</f>
        <v/>
      </c>
      <c r="BG288" t="str">
        <f>IF(AND(PROCESSOS!B288&lt;&gt;"",ISNUMBER(PROCESSOS!D288),OR(FiltroResp="TODOS",FiltroResp="",PROCESSOS!H288=FiltroResp)),PROCESSOS!D288+ROW()/1000000,"")</f>
        <v/>
      </c>
    </row>
    <row r="289">
      <c r="BF289" t="str">
        <f>IF(AND(OR(PROCESSOS!O289="NO PRAZO",PROCESSOS!O289="VENCE EM BREVE"),OR(FiltroResp="TODOS",FiltroResp="",PROCESSOS!H289=FiltroResp)),PROCESSOS!M289+ROW()/1000000,"")</f>
        <v/>
      </c>
      <c r="BG289" t="str">
        <f>IF(AND(PROCESSOS!B289&lt;&gt;"",ISNUMBER(PROCESSOS!D289),OR(FiltroResp="TODOS",FiltroResp="",PROCESSOS!H289=FiltroResp)),PROCESSOS!D289+ROW()/1000000,"")</f>
        <v/>
      </c>
    </row>
    <row r="290">
      <c r="BF290" t="str">
        <f>IF(AND(OR(PROCESSOS!O290="NO PRAZO",PROCESSOS!O290="VENCE EM BREVE"),OR(FiltroResp="TODOS",FiltroResp="",PROCESSOS!H290=FiltroResp)),PROCESSOS!M290+ROW()/1000000,"")</f>
        <v/>
      </c>
      <c r="BG290" t="str">
        <f>IF(AND(PROCESSOS!B290&lt;&gt;"",ISNUMBER(PROCESSOS!D290),OR(FiltroResp="TODOS",FiltroResp="",PROCESSOS!H290=FiltroResp)),PROCESSOS!D290+ROW()/1000000,"")</f>
        <v/>
      </c>
    </row>
    <row r="291">
      <c r="BF291" t="str">
        <f>IF(AND(OR(PROCESSOS!O291="NO PRAZO",PROCESSOS!O291="VENCE EM BREVE"),OR(FiltroResp="TODOS",FiltroResp="",PROCESSOS!H291=FiltroResp)),PROCESSOS!M291+ROW()/1000000,"")</f>
        <v/>
      </c>
      <c r="BG291" t="str">
        <f>IF(AND(PROCESSOS!B291&lt;&gt;"",ISNUMBER(PROCESSOS!D291),OR(FiltroResp="TODOS",FiltroResp="",PROCESSOS!H291=FiltroResp)),PROCESSOS!D291+ROW()/1000000,"")</f>
        <v/>
      </c>
    </row>
    <row r="292">
      <c r="BF292" t="str">
        <f>IF(AND(OR(PROCESSOS!O292="NO PRAZO",PROCESSOS!O292="VENCE EM BREVE"),OR(FiltroResp="TODOS",FiltroResp="",PROCESSOS!H292=FiltroResp)),PROCESSOS!M292+ROW()/1000000,"")</f>
        <v/>
      </c>
      <c r="BG292" t="str">
        <f>IF(AND(PROCESSOS!B292&lt;&gt;"",ISNUMBER(PROCESSOS!D292),OR(FiltroResp="TODOS",FiltroResp="",PROCESSOS!H292=FiltroResp)),PROCESSOS!D292+ROW()/1000000,"")</f>
        <v/>
      </c>
    </row>
    <row r="293">
      <c r="BF293" t="str">
        <f>IF(AND(OR(PROCESSOS!O293="NO PRAZO",PROCESSOS!O293="VENCE EM BREVE"),OR(FiltroResp="TODOS",FiltroResp="",PROCESSOS!H293=FiltroResp)),PROCESSOS!M293+ROW()/1000000,"")</f>
        <v/>
      </c>
      <c r="BG293" t="str">
        <f>IF(AND(PROCESSOS!B293&lt;&gt;"",ISNUMBER(PROCESSOS!D293),OR(FiltroResp="TODOS",FiltroResp="",PROCESSOS!H293=FiltroResp)),PROCESSOS!D293+ROW()/1000000,"")</f>
        <v/>
      </c>
    </row>
    <row r="294">
      <c r="BF294" t="str">
        <f>IF(AND(OR(PROCESSOS!O294="NO PRAZO",PROCESSOS!O294="VENCE EM BREVE"),OR(FiltroResp="TODOS",FiltroResp="",PROCESSOS!H294=FiltroResp)),PROCESSOS!M294+ROW()/1000000,"")</f>
        <v/>
      </c>
      <c r="BG294" t="str">
        <f>IF(AND(PROCESSOS!B294&lt;&gt;"",ISNUMBER(PROCESSOS!D294),OR(FiltroResp="TODOS",FiltroResp="",PROCESSOS!H294=FiltroResp)),PROCESSOS!D294+ROW()/1000000,"")</f>
        <v/>
      </c>
    </row>
    <row r="295">
      <c r="BF295" t="str">
        <f>IF(AND(OR(PROCESSOS!O295="NO PRAZO",PROCESSOS!O295="VENCE EM BREVE"),OR(FiltroResp="TODOS",FiltroResp="",PROCESSOS!H295=FiltroResp)),PROCESSOS!M295+ROW()/1000000,"")</f>
        <v/>
      </c>
      <c r="BG295" t="str">
        <f>IF(AND(PROCESSOS!B295&lt;&gt;"",ISNUMBER(PROCESSOS!D295),OR(FiltroResp="TODOS",FiltroResp="",PROCESSOS!H295=FiltroResp)),PROCESSOS!D295+ROW()/1000000,"")</f>
        <v/>
      </c>
    </row>
    <row r="296">
      <c r="BF296" t="str">
        <f>IF(AND(OR(PROCESSOS!O296="NO PRAZO",PROCESSOS!O296="VENCE EM BREVE"),OR(FiltroResp="TODOS",FiltroResp="",PROCESSOS!H296=FiltroResp)),PROCESSOS!M296+ROW()/1000000,"")</f>
        <v/>
      </c>
      <c r="BG296" t="str">
        <f>IF(AND(PROCESSOS!B296&lt;&gt;"",ISNUMBER(PROCESSOS!D296),OR(FiltroResp="TODOS",FiltroResp="",PROCESSOS!H296=FiltroResp)),PROCESSOS!D296+ROW()/1000000,"")</f>
        <v/>
      </c>
    </row>
    <row r="297">
      <c r="BF297" t="str">
        <f>IF(AND(OR(PROCESSOS!O297="NO PRAZO",PROCESSOS!O297="VENCE EM BREVE"),OR(FiltroResp="TODOS",FiltroResp="",PROCESSOS!H297=FiltroResp)),PROCESSOS!M297+ROW()/1000000,"")</f>
        <v/>
      </c>
      <c r="BG297" t="str">
        <f>IF(AND(PROCESSOS!B297&lt;&gt;"",ISNUMBER(PROCESSOS!D297),OR(FiltroResp="TODOS",FiltroResp="",PROCESSOS!H297=FiltroResp)),PROCESSOS!D297+ROW()/1000000,"")</f>
        <v/>
      </c>
    </row>
    <row r="298">
      <c r="BF298" t="str">
        <f>IF(AND(OR(PROCESSOS!O298="NO PRAZO",PROCESSOS!O298="VENCE EM BREVE"),OR(FiltroResp="TODOS",FiltroResp="",PROCESSOS!H298=FiltroResp)),PROCESSOS!M298+ROW()/1000000,"")</f>
        <v/>
      </c>
      <c r="BG298" t="str">
        <f>IF(AND(PROCESSOS!B298&lt;&gt;"",ISNUMBER(PROCESSOS!D298),OR(FiltroResp="TODOS",FiltroResp="",PROCESSOS!H298=FiltroResp)),PROCESSOS!D298+ROW()/1000000,"")</f>
        <v/>
      </c>
    </row>
    <row r="299">
      <c r="BF299" t="str">
        <f>IF(AND(OR(PROCESSOS!O299="NO PRAZO",PROCESSOS!O299="VENCE EM BREVE"),OR(FiltroResp="TODOS",FiltroResp="",PROCESSOS!H299=FiltroResp)),PROCESSOS!M299+ROW()/1000000,"")</f>
        <v/>
      </c>
      <c r="BG299" t="str">
        <f>IF(AND(PROCESSOS!B299&lt;&gt;"",ISNUMBER(PROCESSOS!D299),OR(FiltroResp="TODOS",FiltroResp="",PROCESSOS!H299=FiltroResp)),PROCESSOS!D299+ROW()/1000000,"")</f>
        <v/>
      </c>
    </row>
    <row r="300">
      <c r="BF300" t="str">
        <f>IF(AND(OR(PROCESSOS!O300="NO PRAZO",PROCESSOS!O300="VENCE EM BREVE"),OR(FiltroResp="TODOS",FiltroResp="",PROCESSOS!H300=FiltroResp)),PROCESSOS!M300+ROW()/1000000,"")</f>
        <v/>
      </c>
      <c r="BG300" t="str">
        <f>IF(AND(PROCESSOS!B300&lt;&gt;"",ISNUMBER(PROCESSOS!D300),OR(FiltroResp="TODOS",FiltroResp="",PROCESSOS!H300=FiltroResp)),PROCESSOS!D300+ROW()/1000000,"")</f>
        <v/>
      </c>
    </row>
    <row r="301">
      <c r="BF301" t="str">
        <f>IF(AND(OR(PROCESSOS!O301="NO PRAZO",PROCESSOS!O301="VENCE EM BREVE"),OR(FiltroResp="TODOS",FiltroResp="",PROCESSOS!H301=FiltroResp)),PROCESSOS!M301+ROW()/1000000,"")</f>
        <v/>
      </c>
      <c r="BG301" t="str">
        <f>IF(AND(PROCESSOS!B301&lt;&gt;"",ISNUMBER(PROCESSOS!D301),OR(FiltroResp="TODOS",FiltroResp="",PROCESSOS!H301=FiltroResp)),PROCESSOS!D301+ROW()/1000000,"")</f>
        <v/>
      </c>
    </row>
    <row r="302">
      <c r="BF302" t="str">
        <f>IF(AND(OR(PROCESSOS!O302="NO PRAZO",PROCESSOS!O302="VENCE EM BREVE"),OR(FiltroResp="TODOS",FiltroResp="",PROCESSOS!H302=FiltroResp)),PROCESSOS!M302+ROW()/1000000,"")</f>
        <v/>
      </c>
      <c r="BG302" t="str">
        <f>IF(AND(PROCESSOS!B302&lt;&gt;"",ISNUMBER(PROCESSOS!D302),OR(FiltroResp="TODOS",FiltroResp="",PROCESSOS!H302=FiltroResp)),PROCESSOS!D302+ROW()/1000000,"")</f>
        <v/>
      </c>
    </row>
    <row r="303">
      <c r="BF303" t="str">
        <f>IF(AND(OR(PROCESSOS!O303="NO PRAZO",PROCESSOS!O303="VENCE EM BREVE"),OR(FiltroResp="TODOS",FiltroResp="",PROCESSOS!H303=FiltroResp)),PROCESSOS!M303+ROW()/1000000,"")</f>
        <v/>
      </c>
      <c r="BG303" t="str">
        <f>IF(AND(PROCESSOS!B303&lt;&gt;"",ISNUMBER(PROCESSOS!D303),OR(FiltroResp="TODOS",FiltroResp="",PROCESSOS!H303=FiltroResp)),PROCESSOS!D303+ROW()/1000000,"")</f>
        <v/>
      </c>
    </row>
    <row r="304">
      <c r="BF304" t="str">
        <f>IF(AND(OR(PROCESSOS!O304="NO PRAZO",PROCESSOS!O304="VENCE EM BREVE"),OR(FiltroResp="TODOS",FiltroResp="",PROCESSOS!H304=FiltroResp)),PROCESSOS!M304+ROW()/1000000,"")</f>
        <v/>
      </c>
      <c r="BG304" t="str">
        <f>IF(AND(PROCESSOS!B304&lt;&gt;"",ISNUMBER(PROCESSOS!D304),OR(FiltroResp="TODOS",FiltroResp="",PROCESSOS!H304=FiltroResp)),PROCESSOS!D304+ROW()/1000000,"")</f>
        <v/>
      </c>
    </row>
    <row r="305">
      <c r="BF305" t="str">
        <f>IF(AND(OR(PROCESSOS!O305="NO PRAZO",PROCESSOS!O305="VENCE EM BREVE"),OR(FiltroResp="TODOS",FiltroResp="",PROCESSOS!H305=FiltroResp)),PROCESSOS!M305+ROW()/1000000,"")</f>
        <v/>
      </c>
      <c r="BG305" t="str">
        <f>IF(AND(PROCESSOS!B305&lt;&gt;"",ISNUMBER(PROCESSOS!D305),OR(FiltroResp="TODOS",FiltroResp="",PROCESSOS!H305=FiltroResp)),PROCESSOS!D305+ROW()/1000000,"")</f>
        <v/>
      </c>
    </row>
    <row r="306">
      <c r="BF306" t="str">
        <f>IF(AND(OR(PROCESSOS!O306="NO PRAZO",PROCESSOS!O306="VENCE EM BREVE"),OR(FiltroResp="TODOS",FiltroResp="",PROCESSOS!H306=FiltroResp)),PROCESSOS!M306+ROW()/1000000,"")</f>
        <v/>
      </c>
      <c r="BG306" t="str">
        <f>IF(AND(PROCESSOS!B306&lt;&gt;"",ISNUMBER(PROCESSOS!D306),OR(FiltroResp="TODOS",FiltroResp="",PROCESSOS!H306=FiltroResp)),PROCESSOS!D306+ROW()/1000000,"")</f>
        <v/>
      </c>
    </row>
    <row r="307">
      <c r="BF307" t="str">
        <f>IF(AND(OR(PROCESSOS!O307="NO PRAZO",PROCESSOS!O307="VENCE EM BREVE"),OR(FiltroResp="TODOS",FiltroResp="",PROCESSOS!H307=FiltroResp)),PROCESSOS!M307+ROW()/1000000,"")</f>
        <v/>
      </c>
      <c r="BG307" t="str">
        <f>IF(AND(PROCESSOS!B307&lt;&gt;"",ISNUMBER(PROCESSOS!D307),OR(FiltroResp="TODOS",FiltroResp="",PROCESSOS!H307=FiltroResp)),PROCESSOS!D307+ROW()/1000000,"")</f>
        <v/>
      </c>
    </row>
    <row r="308">
      <c r="BF308" t="str">
        <f>IF(AND(OR(PROCESSOS!O308="NO PRAZO",PROCESSOS!O308="VENCE EM BREVE"),OR(FiltroResp="TODOS",FiltroResp="",PROCESSOS!H308=FiltroResp)),PROCESSOS!M308+ROW()/1000000,"")</f>
        <v/>
      </c>
      <c r="BG308" t="str">
        <f>IF(AND(PROCESSOS!B308&lt;&gt;"",ISNUMBER(PROCESSOS!D308),OR(FiltroResp="TODOS",FiltroResp="",PROCESSOS!H308=FiltroResp)),PROCESSOS!D308+ROW()/1000000,"")</f>
        <v/>
      </c>
    </row>
    <row r="309">
      <c r="BF309" t="str">
        <f>IF(AND(OR(PROCESSOS!O309="NO PRAZO",PROCESSOS!O309="VENCE EM BREVE"),OR(FiltroResp="TODOS",FiltroResp="",PROCESSOS!H309=FiltroResp)),PROCESSOS!M309+ROW()/1000000,"")</f>
        <v/>
      </c>
      <c r="BG309" t="str">
        <f>IF(AND(PROCESSOS!B309&lt;&gt;"",ISNUMBER(PROCESSOS!D309),OR(FiltroResp="TODOS",FiltroResp="",PROCESSOS!H309=FiltroResp)),PROCESSOS!D309+ROW()/1000000,"")</f>
        <v/>
      </c>
    </row>
    <row r="310">
      <c r="BF310" t="str">
        <f>IF(AND(OR(PROCESSOS!O310="NO PRAZO",PROCESSOS!O310="VENCE EM BREVE"),OR(FiltroResp="TODOS",FiltroResp="",PROCESSOS!H310=FiltroResp)),PROCESSOS!M310+ROW()/1000000,"")</f>
        <v/>
      </c>
      <c r="BG310" t="str">
        <f>IF(AND(PROCESSOS!B310&lt;&gt;"",ISNUMBER(PROCESSOS!D310),OR(FiltroResp="TODOS",FiltroResp="",PROCESSOS!H310=FiltroResp)),PROCESSOS!D310+ROW()/1000000,"")</f>
        <v/>
      </c>
    </row>
    <row r="311">
      <c r="BF311" t="str">
        <f>IF(AND(OR(PROCESSOS!O311="NO PRAZO",PROCESSOS!O311="VENCE EM BREVE"),OR(FiltroResp="TODOS",FiltroResp="",PROCESSOS!H311=FiltroResp)),PROCESSOS!M311+ROW()/1000000,"")</f>
        <v/>
      </c>
      <c r="BG311" t="str">
        <f>IF(AND(PROCESSOS!B311&lt;&gt;"",ISNUMBER(PROCESSOS!D311),OR(FiltroResp="TODOS",FiltroResp="",PROCESSOS!H311=FiltroResp)),PROCESSOS!D311+ROW()/1000000,"")</f>
        <v/>
      </c>
    </row>
    <row r="312">
      <c r="BF312" t="str">
        <f>IF(AND(OR(PROCESSOS!O312="NO PRAZO",PROCESSOS!O312="VENCE EM BREVE"),OR(FiltroResp="TODOS",FiltroResp="",PROCESSOS!H312=FiltroResp)),PROCESSOS!M312+ROW()/1000000,"")</f>
        <v/>
      </c>
      <c r="BG312" t="str">
        <f>IF(AND(PROCESSOS!B312&lt;&gt;"",ISNUMBER(PROCESSOS!D312),OR(FiltroResp="TODOS",FiltroResp="",PROCESSOS!H312=FiltroResp)),PROCESSOS!D312+ROW()/1000000,"")</f>
        <v/>
      </c>
    </row>
    <row r="313">
      <c r="BF313" t="str">
        <f>IF(AND(OR(PROCESSOS!O313="NO PRAZO",PROCESSOS!O313="VENCE EM BREVE"),OR(FiltroResp="TODOS",FiltroResp="",PROCESSOS!H313=FiltroResp)),PROCESSOS!M313+ROW()/1000000,"")</f>
        <v/>
      </c>
      <c r="BG313" t="str">
        <f>IF(AND(PROCESSOS!B313&lt;&gt;"",ISNUMBER(PROCESSOS!D313),OR(FiltroResp="TODOS",FiltroResp="",PROCESSOS!H313=FiltroResp)),PROCESSOS!D313+ROW()/1000000,"")</f>
        <v/>
      </c>
    </row>
    <row r="314">
      <c r="BF314" t="str">
        <f>IF(AND(OR(PROCESSOS!O314="NO PRAZO",PROCESSOS!O314="VENCE EM BREVE"),OR(FiltroResp="TODOS",FiltroResp="",PROCESSOS!H314=FiltroResp)),PROCESSOS!M314+ROW()/1000000,"")</f>
        <v/>
      </c>
      <c r="BG314" t="str">
        <f>IF(AND(PROCESSOS!B314&lt;&gt;"",ISNUMBER(PROCESSOS!D314),OR(FiltroResp="TODOS",FiltroResp="",PROCESSOS!H314=FiltroResp)),PROCESSOS!D314+ROW()/1000000,"")</f>
        <v/>
      </c>
    </row>
    <row r="315">
      <c r="BF315" t="str">
        <f>IF(AND(OR(PROCESSOS!O315="NO PRAZO",PROCESSOS!O315="VENCE EM BREVE"),OR(FiltroResp="TODOS",FiltroResp="",PROCESSOS!H315=FiltroResp)),PROCESSOS!M315+ROW()/1000000,"")</f>
        <v/>
      </c>
      <c r="BG315" t="str">
        <f>IF(AND(PROCESSOS!B315&lt;&gt;"",ISNUMBER(PROCESSOS!D315),OR(FiltroResp="TODOS",FiltroResp="",PROCESSOS!H315=FiltroResp)),PROCESSOS!D315+ROW()/1000000,"")</f>
        <v/>
      </c>
    </row>
    <row r="316">
      <c r="BF316" t="str">
        <f>IF(AND(OR(PROCESSOS!O316="NO PRAZO",PROCESSOS!O316="VENCE EM BREVE"),OR(FiltroResp="TODOS",FiltroResp="",PROCESSOS!H316=FiltroResp)),PROCESSOS!M316+ROW()/1000000,"")</f>
        <v/>
      </c>
      <c r="BG316" t="str">
        <f>IF(AND(PROCESSOS!B316&lt;&gt;"",ISNUMBER(PROCESSOS!D316),OR(FiltroResp="TODOS",FiltroResp="",PROCESSOS!H316=FiltroResp)),PROCESSOS!D316+ROW()/1000000,"")</f>
        <v/>
      </c>
    </row>
    <row r="317">
      <c r="BF317" t="str">
        <f>IF(AND(OR(PROCESSOS!O317="NO PRAZO",PROCESSOS!O317="VENCE EM BREVE"),OR(FiltroResp="TODOS",FiltroResp="",PROCESSOS!H317=FiltroResp)),PROCESSOS!M317+ROW()/1000000,"")</f>
        <v/>
      </c>
      <c r="BG317" t="str">
        <f>IF(AND(PROCESSOS!B317&lt;&gt;"",ISNUMBER(PROCESSOS!D317),OR(FiltroResp="TODOS",FiltroResp="",PROCESSOS!H317=FiltroResp)),PROCESSOS!D317+ROW()/1000000,"")</f>
        <v/>
      </c>
    </row>
    <row r="318">
      <c r="BF318" t="str">
        <f>IF(AND(OR(PROCESSOS!O318="NO PRAZO",PROCESSOS!O318="VENCE EM BREVE"),OR(FiltroResp="TODOS",FiltroResp="",PROCESSOS!H318=FiltroResp)),PROCESSOS!M318+ROW()/1000000,"")</f>
        <v/>
      </c>
      <c r="BG318" t="str">
        <f>IF(AND(PROCESSOS!B318&lt;&gt;"",ISNUMBER(PROCESSOS!D318),OR(FiltroResp="TODOS",FiltroResp="",PROCESSOS!H318=FiltroResp)),PROCESSOS!D318+ROW()/1000000,"")</f>
        <v/>
      </c>
    </row>
    <row r="319">
      <c r="BF319" t="str">
        <f>IF(AND(OR(PROCESSOS!O319="NO PRAZO",PROCESSOS!O319="VENCE EM BREVE"),OR(FiltroResp="TODOS",FiltroResp="",PROCESSOS!H319=FiltroResp)),PROCESSOS!M319+ROW()/1000000,"")</f>
        <v/>
      </c>
      <c r="BG319" t="str">
        <f>IF(AND(PROCESSOS!B319&lt;&gt;"",ISNUMBER(PROCESSOS!D319),OR(FiltroResp="TODOS",FiltroResp="",PROCESSOS!H319=FiltroResp)),PROCESSOS!D319+ROW()/1000000,"")</f>
        <v/>
      </c>
    </row>
    <row r="320">
      <c r="BF320" t="str">
        <f>IF(AND(OR(PROCESSOS!O320="NO PRAZO",PROCESSOS!O320="VENCE EM BREVE"),OR(FiltroResp="TODOS",FiltroResp="",PROCESSOS!H320=FiltroResp)),PROCESSOS!M320+ROW()/1000000,"")</f>
        <v/>
      </c>
      <c r="BG320" t="str">
        <f>IF(AND(PROCESSOS!B320&lt;&gt;"",ISNUMBER(PROCESSOS!D320),OR(FiltroResp="TODOS",FiltroResp="",PROCESSOS!H320=FiltroResp)),PROCESSOS!D320+ROW()/1000000,"")</f>
        <v/>
      </c>
    </row>
    <row r="321">
      <c r="BF321" t="str">
        <f>IF(AND(OR(PROCESSOS!O321="NO PRAZO",PROCESSOS!O321="VENCE EM BREVE"),OR(FiltroResp="TODOS",FiltroResp="",PROCESSOS!H321=FiltroResp)),PROCESSOS!M321+ROW()/1000000,"")</f>
        <v/>
      </c>
      <c r="BG321" t="str">
        <f>IF(AND(PROCESSOS!B321&lt;&gt;"",ISNUMBER(PROCESSOS!D321),OR(FiltroResp="TODOS",FiltroResp="",PROCESSOS!H321=FiltroResp)),PROCESSOS!D321+ROW()/1000000,"")</f>
        <v/>
      </c>
    </row>
    <row r="322">
      <c r="BF322" t="str">
        <f>IF(AND(OR(PROCESSOS!O322="NO PRAZO",PROCESSOS!O322="VENCE EM BREVE"),OR(FiltroResp="TODOS",FiltroResp="",PROCESSOS!H322=FiltroResp)),PROCESSOS!M322+ROW()/1000000,"")</f>
        <v/>
      </c>
      <c r="BG322" t="str">
        <f>IF(AND(PROCESSOS!B322&lt;&gt;"",ISNUMBER(PROCESSOS!D322),OR(FiltroResp="TODOS",FiltroResp="",PROCESSOS!H322=FiltroResp)),PROCESSOS!D322+ROW()/1000000,"")</f>
        <v/>
      </c>
    </row>
    <row r="323">
      <c r="BF323" t="str">
        <f>IF(AND(OR(PROCESSOS!O323="NO PRAZO",PROCESSOS!O323="VENCE EM BREVE"),OR(FiltroResp="TODOS",FiltroResp="",PROCESSOS!H323=FiltroResp)),PROCESSOS!M323+ROW()/1000000,"")</f>
        <v/>
      </c>
      <c r="BG323" t="str">
        <f>IF(AND(PROCESSOS!B323&lt;&gt;"",ISNUMBER(PROCESSOS!D323),OR(FiltroResp="TODOS",FiltroResp="",PROCESSOS!H323=FiltroResp)),PROCESSOS!D323+ROW()/1000000,"")</f>
        <v/>
      </c>
    </row>
    <row r="324">
      <c r="BF324" t="str">
        <f>IF(AND(OR(PROCESSOS!O324="NO PRAZO",PROCESSOS!O324="VENCE EM BREVE"),OR(FiltroResp="TODOS",FiltroResp="",PROCESSOS!H324=FiltroResp)),PROCESSOS!M324+ROW()/1000000,"")</f>
        <v/>
      </c>
      <c r="BG324" t="str">
        <f>IF(AND(PROCESSOS!B324&lt;&gt;"",ISNUMBER(PROCESSOS!D324),OR(FiltroResp="TODOS",FiltroResp="",PROCESSOS!H324=FiltroResp)),PROCESSOS!D324+ROW()/1000000,"")</f>
        <v/>
      </c>
    </row>
    <row r="325">
      <c r="BF325" t="str">
        <f>IF(AND(OR(PROCESSOS!O325="NO PRAZO",PROCESSOS!O325="VENCE EM BREVE"),OR(FiltroResp="TODOS",FiltroResp="",PROCESSOS!H325=FiltroResp)),PROCESSOS!M325+ROW()/1000000,"")</f>
        <v/>
      </c>
      <c r="BG325" t="str">
        <f>IF(AND(PROCESSOS!B325&lt;&gt;"",ISNUMBER(PROCESSOS!D325),OR(FiltroResp="TODOS",FiltroResp="",PROCESSOS!H325=FiltroResp)),PROCESSOS!D325+ROW()/1000000,"")</f>
        <v/>
      </c>
    </row>
    <row r="326">
      <c r="BF326" t="str">
        <f>IF(AND(OR(PROCESSOS!O326="NO PRAZO",PROCESSOS!O326="VENCE EM BREVE"),OR(FiltroResp="TODOS",FiltroResp="",PROCESSOS!H326=FiltroResp)),PROCESSOS!M326+ROW()/1000000,"")</f>
        <v/>
      </c>
      <c r="BG326" t="str">
        <f>IF(AND(PROCESSOS!B326&lt;&gt;"",ISNUMBER(PROCESSOS!D326),OR(FiltroResp="TODOS",FiltroResp="",PROCESSOS!H326=FiltroResp)),PROCESSOS!D326+ROW()/1000000,"")</f>
        <v/>
      </c>
    </row>
    <row r="327">
      <c r="BF327" t="str">
        <f>IF(AND(OR(PROCESSOS!O327="NO PRAZO",PROCESSOS!O327="VENCE EM BREVE"),OR(FiltroResp="TODOS",FiltroResp="",PROCESSOS!H327=FiltroResp)),PROCESSOS!M327+ROW()/1000000,"")</f>
        <v/>
      </c>
      <c r="BG327" t="str">
        <f>IF(AND(PROCESSOS!B327&lt;&gt;"",ISNUMBER(PROCESSOS!D327),OR(FiltroResp="TODOS",FiltroResp="",PROCESSOS!H327=FiltroResp)),PROCESSOS!D327+ROW()/1000000,"")</f>
        <v/>
      </c>
    </row>
    <row r="328">
      <c r="BF328" t="str">
        <f>IF(AND(OR(PROCESSOS!O328="NO PRAZO",PROCESSOS!O328="VENCE EM BREVE"),OR(FiltroResp="TODOS",FiltroResp="",PROCESSOS!H328=FiltroResp)),PROCESSOS!M328+ROW()/1000000,"")</f>
        <v/>
      </c>
      <c r="BG328" t="str">
        <f>IF(AND(PROCESSOS!B328&lt;&gt;"",ISNUMBER(PROCESSOS!D328),OR(FiltroResp="TODOS",FiltroResp="",PROCESSOS!H328=FiltroResp)),PROCESSOS!D328+ROW()/1000000,"")</f>
        <v/>
      </c>
    </row>
    <row r="329">
      <c r="BF329" t="str">
        <f>IF(AND(OR(PROCESSOS!O329="NO PRAZO",PROCESSOS!O329="VENCE EM BREVE"),OR(FiltroResp="TODOS",FiltroResp="",PROCESSOS!H329=FiltroResp)),PROCESSOS!M329+ROW()/1000000,"")</f>
        <v/>
      </c>
      <c r="BG329" t="str">
        <f>IF(AND(PROCESSOS!B329&lt;&gt;"",ISNUMBER(PROCESSOS!D329),OR(FiltroResp="TODOS",FiltroResp="",PROCESSOS!H329=FiltroResp)),PROCESSOS!D329+ROW()/1000000,"")</f>
        <v/>
      </c>
    </row>
    <row r="330">
      <c r="BF330" t="str">
        <f>IF(AND(OR(PROCESSOS!O330="NO PRAZO",PROCESSOS!O330="VENCE EM BREVE"),OR(FiltroResp="TODOS",FiltroResp="",PROCESSOS!H330=FiltroResp)),PROCESSOS!M330+ROW()/1000000,"")</f>
        <v/>
      </c>
      <c r="BG330" t="str">
        <f>IF(AND(PROCESSOS!B330&lt;&gt;"",ISNUMBER(PROCESSOS!D330),OR(FiltroResp="TODOS",FiltroResp="",PROCESSOS!H330=FiltroResp)),PROCESSOS!D330+ROW()/1000000,"")</f>
        <v/>
      </c>
    </row>
    <row r="331">
      <c r="BF331" t="str">
        <f>IF(AND(OR(PROCESSOS!O331="NO PRAZO",PROCESSOS!O331="VENCE EM BREVE"),OR(FiltroResp="TODOS",FiltroResp="",PROCESSOS!H331=FiltroResp)),PROCESSOS!M331+ROW()/1000000,"")</f>
        <v/>
      </c>
      <c r="BG331" t="str">
        <f>IF(AND(PROCESSOS!B331&lt;&gt;"",ISNUMBER(PROCESSOS!D331),OR(FiltroResp="TODOS",FiltroResp="",PROCESSOS!H331=FiltroResp)),PROCESSOS!D331+ROW()/1000000,"")</f>
        <v/>
      </c>
    </row>
    <row r="332">
      <c r="BF332" t="str">
        <f>IF(AND(OR(PROCESSOS!O332="NO PRAZO",PROCESSOS!O332="VENCE EM BREVE"),OR(FiltroResp="TODOS",FiltroResp="",PROCESSOS!H332=FiltroResp)),PROCESSOS!M332+ROW()/1000000,"")</f>
        <v/>
      </c>
      <c r="BG332" t="str">
        <f>IF(AND(PROCESSOS!B332&lt;&gt;"",ISNUMBER(PROCESSOS!D332),OR(FiltroResp="TODOS",FiltroResp="",PROCESSOS!H332=FiltroResp)),PROCESSOS!D332+ROW()/1000000,"")</f>
        <v/>
      </c>
    </row>
    <row r="333">
      <c r="BF333" t="str">
        <f>IF(AND(OR(PROCESSOS!O333="NO PRAZO",PROCESSOS!O333="VENCE EM BREVE"),OR(FiltroResp="TODOS",FiltroResp="",PROCESSOS!H333=FiltroResp)),PROCESSOS!M333+ROW()/1000000,"")</f>
        <v/>
      </c>
      <c r="BG333" t="str">
        <f>IF(AND(PROCESSOS!B333&lt;&gt;"",ISNUMBER(PROCESSOS!D333),OR(FiltroResp="TODOS",FiltroResp="",PROCESSOS!H333=FiltroResp)),PROCESSOS!D333+ROW()/1000000,"")</f>
        <v/>
      </c>
    </row>
    <row r="334">
      <c r="BF334" t="str">
        <f>IF(AND(OR(PROCESSOS!O334="NO PRAZO",PROCESSOS!O334="VENCE EM BREVE"),OR(FiltroResp="TODOS",FiltroResp="",PROCESSOS!H334=FiltroResp)),PROCESSOS!M334+ROW()/1000000,"")</f>
        <v/>
      </c>
      <c r="BG334" t="str">
        <f>IF(AND(PROCESSOS!B334&lt;&gt;"",ISNUMBER(PROCESSOS!D334),OR(FiltroResp="TODOS",FiltroResp="",PROCESSOS!H334=FiltroResp)),PROCESSOS!D334+ROW()/1000000,"")</f>
        <v/>
      </c>
    </row>
    <row r="335">
      <c r="BF335" t="str">
        <f>IF(AND(OR(PROCESSOS!O335="NO PRAZO",PROCESSOS!O335="VENCE EM BREVE"),OR(FiltroResp="TODOS",FiltroResp="",PROCESSOS!H335=FiltroResp)),PROCESSOS!M335+ROW()/1000000,"")</f>
        <v/>
      </c>
      <c r="BG335" t="str">
        <f>IF(AND(PROCESSOS!B335&lt;&gt;"",ISNUMBER(PROCESSOS!D335),OR(FiltroResp="TODOS",FiltroResp="",PROCESSOS!H335=FiltroResp)),PROCESSOS!D335+ROW()/1000000,"")</f>
        <v/>
      </c>
    </row>
    <row r="336">
      <c r="BF336" t="str">
        <f>IF(AND(OR(PROCESSOS!O336="NO PRAZO",PROCESSOS!O336="VENCE EM BREVE"),OR(FiltroResp="TODOS",FiltroResp="",PROCESSOS!H336=FiltroResp)),PROCESSOS!M336+ROW()/1000000,"")</f>
        <v/>
      </c>
      <c r="BG336" t="str">
        <f>IF(AND(PROCESSOS!B336&lt;&gt;"",ISNUMBER(PROCESSOS!D336),OR(FiltroResp="TODOS",FiltroResp="",PROCESSOS!H336=FiltroResp)),PROCESSOS!D336+ROW()/1000000,"")</f>
        <v/>
      </c>
    </row>
    <row r="337">
      <c r="BF337" t="str">
        <f>IF(AND(OR(PROCESSOS!O337="NO PRAZO",PROCESSOS!O337="VENCE EM BREVE"),OR(FiltroResp="TODOS",FiltroResp="",PROCESSOS!H337=FiltroResp)),PROCESSOS!M337+ROW()/1000000,"")</f>
        <v/>
      </c>
      <c r="BG337" t="str">
        <f>IF(AND(PROCESSOS!B337&lt;&gt;"",ISNUMBER(PROCESSOS!D337),OR(FiltroResp="TODOS",FiltroResp="",PROCESSOS!H337=FiltroResp)),PROCESSOS!D337+ROW()/1000000,"")</f>
        <v/>
      </c>
    </row>
    <row r="338">
      <c r="BF338" t="str">
        <f>IF(AND(OR(PROCESSOS!O338="NO PRAZO",PROCESSOS!O338="VENCE EM BREVE"),OR(FiltroResp="TODOS",FiltroResp="",PROCESSOS!H338=FiltroResp)),PROCESSOS!M338+ROW()/1000000,"")</f>
        <v/>
      </c>
      <c r="BG338" t="str">
        <f>IF(AND(PROCESSOS!B338&lt;&gt;"",ISNUMBER(PROCESSOS!D338),OR(FiltroResp="TODOS",FiltroResp="",PROCESSOS!H338=FiltroResp)),PROCESSOS!D338+ROW()/1000000,"")</f>
        <v/>
      </c>
    </row>
    <row r="339">
      <c r="BF339" t="str">
        <f>IF(AND(OR(PROCESSOS!O339="NO PRAZO",PROCESSOS!O339="VENCE EM BREVE"),OR(FiltroResp="TODOS",FiltroResp="",PROCESSOS!H339=FiltroResp)),PROCESSOS!M339+ROW()/1000000,"")</f>
        <v/>
      </c>
      <c r="BG339" t="str">
        <f>IF(AND(PROCESSOS!B339&lt;&gt;"",ISNUMBER(PROCESSOS!D339),OR(FiltroResp="TODOS",FiltroResp="",PROCESSOS!H339=FiltroResp)),PROCESSOS!D339+ROW()/1000000,"")</f>
        <v/>
      </c>
    </row>
    <row r="340">
      <c r="BF340" t="str">
        <f>IF(AND(OR(PROCESSOS!O340="NO PRAZO",PROCESSOS!O340="VENCE EM BREVE"),OR(FiltroResp="TODOS",FiltroResp="",PROCESSOS!H340=FiltroResp)),PROCESSOS!M340+ROW()/1000000,"")</f>
        <v/>
      </c>
      <c r="BG340" t="str">
        <f>IF(AND(PROCESSOS!B340&lt;&gt;"",ISNUMBER(PROCESSOS!D340),OR(FiltroResp="TODOS",FiltroResp="",PROCESSOS!H340=FiltroResp)),PROCESSOS!D340+ROW()/1000000,"")</f>
        <v/>
      </c>
    </row>
    <row r="341">
      <c r="BF341" t="str">
        <f>IF(AND(OR(PROCESSOS!O341="NO PRAZO",PROCESSOS!O341="VENCE EM BREVE"),OR(FiltroResp="TODOS",FiltroResp="",PROCESSOS!H341=FiltroResp)),PROCESSOS!M341+ROW()/1000000,"")</f>
        <v/>
      </c>
      <c r="BG341" t="str">
        <f>IF(AND(PROCESSOS!B341&lt;&gt;"",ISNUMBER(PROCESSOS!D341),OR(FiltroResp="TODOS",FiltroResp="",PROCESSOS!H341=FiltroResp)),PROCESSOS!D341+ROW()/1000000,"")</f>
        <v/>
      </c>
    </row>
    <row r="342">
      <c r="BF342" t="str">
        <f>IF(AND(OR(PROCESSOS!O342="NO PRAZO",PROCESSOS!O342="VENCE EM BREVE"),OR(FiltroResp="TODOS",FiltroResp="",PROCESSOS!H342=FiltroResp)),PROCESSOS!M342+ROW()/1000000,"")</f>
        <v/>
      </c>
      <c r="BG342" t="str">
        <f>IF(AND(PROCESSOS!B342&lt;&gt;"",ISNUMBER(PROCESSOS!D342),OR(FiltroResp="TODOS",FiltroResp="",PROCESSOS!H342=FiltroResp)),PROCESSOS!D342+ROW()/1000000,"")</f>
        <v/>
      </c>
    </row>
    <row r="343">
      <c r="BF343" t="str">
        <f>IF(AND(OR(PROCESSOS!O343="NO PRAZO",PROCESSOS!O343="VENCE EM BREVE"),OR(FiltroResp="TODOS",FiltroResp="",PROCESSOS!H343=FiltroResp)),PROCESSOS!M343+ROW()/1000000,"")</f>
        <v/>
      </c>
      <c r="BG343" t="str">
        <f>IF(AND(PROCESSOS!B343&lt;&gt;"",ISNUMBER(PROCESSOS!D343),OR(FiltroResp="TODOS",FiltroResp="",PROCESSOS!H343=FiltroResp)),PROCESSOS!D343+ROW()/1000000,"")</f>
        <v/>
      </c>
    </row>
    <row r="344">
      <c r="BF344" t="str">
        <f>IF(AND(OR(PROCESSOS!O344="NO PRAZO",PROCESSOS!O344="VENCE EM BREVE"),OR(FiltroResp="TODOS",FiltroResp="",PROCESSOS!H344=FiltroResp)),PROCESSOS!M344+ROW()/1000000,"")</f>
        <v/>
      </c>
      <c r="BG344" t="str">
        <f>IF(AND(PROCESSOS!B344&lt;&gt;"",ISNUMBER(PROCESSOS!D344),OR(FiltroResp="TODOS",FiltroResp="",PROCESSOS!H344=FiltroResp)),PROCESSOS!D344+ROW()/1000000,"")</f>
        <v/>
      </c>
    </row>
    <row r="345">
      <c r="BF345" t="str">
        <f>IF(AND(OR(PROCESSOS!O345="NO PRAZO",PROCESSOS!O345="VENCE EM BREVE"),OR(FiltroResp="TODOS",FiltroResp="",PROCESSOS!H345=FiltroResp)),PROCESSOS!M345+ROW()/1000000,"")</f>
        <v/>
      </c>
      <c r="BG345" t="str">
        <f>IF(AND(PROCESSOS!B345&lt;&gt;"",ISNUMBER(PROCESSOS!D345),OR(FiltroResp="TODOS",FiltroResp="",PROCESSOS!H345=FiltroResp)),PROCESSOS!D345+ROW()/1000000,"")</f>
        <v/>
      </c>
    </row>
    <row r="346">
      <c r="BF346" t="str">
        <f>IF(AND(OR(PROCESSOS!O346="NO PRAZO",PROCESSOS!O346="VENCE EM BREVE"),OR(FiltroResp="TODOS",FiltroResp="",PROCESSOS!H346=FiltroResp)),PROCESSOS!M346+ROW()/1000000,"")</f>
        <v/>
      </c>
      <c r="BG346" t="str">
        <f>IF(AND(PROCESSOS!B346&lt;&gt;"",ISNUMBER(PROCESSOS!D346),OR(FiltroResp="TODOS",FiltroResp="",PROCESSOS!H346=FiltroResp)),PROCESSOS!D346+ROW()/1000000,"")</f>
        <v/>
      </c>
    </row>
    <row r="347">
      <c r="BF347" t="str">
        <f>IF(AND(OR(PROCESSOS!O347="NO PRAZO",PROCESSOS!O347="VENCE EM BREVE"),OR(FiltroResp="TODOS",FiltroResp="",PROCESSOS!H347=FiltroResp)),PROCESSOS!M347+ROW()/1000000,"")</f>
        <v/>
      </c>
      <c r="BG347" t="str">
        <f>IF(AND(PROCESSOS!B347&lt;&gt;"",ISNUMBER(PROCESSOS!D347),OR(FiltroResp="TODOS",FiltroResp="",PROCESSOS!H347=FiltroResp)),PROCESSOS!D347+ROW()/1000000,"")</f>
        <v/>
      </c>
    </row>
    <row r="348">
      <c r="BF348" t="str">
        <f>IF(AND(OR(PROCESSOS!O348="NO PRAZO",PROCESSOS!O348="VENCE EM BREVE"),OR(FiltroResp="TODOS",FiltroResp="",PROCESSOS!H348=FiltroResp)),PROCESSOS!M348+ROW()/1000000,"")</f>
        <v/>
      </c>
      <c r="BG348" t="str">
        <f>IF(AND(PROCESSOS!B348&lt;&gt;"",ISNUMBER(PROCESSOS!D348),OR(FiltroResp="TODOS",FiltroResp="",PROCESSOS!H348=FiltroResp)),PROCESSOS!D348+ROW()/1000000,"")</f>
        <v/>
      </c>
    </row>
    <row r="349">
      <c r="BF349" t="str">
        <f>IF(AND(OR(PROCESSOS!O349="NO PRAZO",PROCESSOS!O349="VENCE EM BREVE"),OR(FiltroResp="TODOS",FiltroResp="",PROCESSOS!H349=FiltroResp)),PROCESSOS!M349+ROW()/1000000,"")</f>
        <v/>
      </c>
      <c r="BG349" t="str">
        <f>IF(AND(PROCESSOS!B349&lt;&gt;"",ISNUMBER(PROCESSOS!D349),OR(FiltroResp="TODOS",FiltroResp="",PROCESSOS!H349=FiltroResp)),PROCESSOS!D349+ROW()/1000000,"")</f>
        <v/>
      </c>
    </row>
    <row r="350">
      <c r="BF350" t="str">
        <f>IF(AND(OR(PROCESSOS!O350="NO PRAZO",PROCESSOS!O350="VENCE EM BREVE"),OR(FiltroResp="TODOS",FiltroResp="",PROCESSOS!H350=FiltroResp)),PROCESSOS!M350+ROW()/1000000,"")</f>
        <v/>
      </c>
      <c r="BG350" t="str">
        <f>IF(AND(PROCESSOS!B350&lt;&gt;"",ISNUMBER(PROCESSOS!D350),OR(FiltroResp="TODOS",FiltroResp="",PROCESSOS!H350=FiltroResp)),PROCESSOS!D350+ROW()/1000000,"")</f>
        <v/>
      </c>
    </row>
    <row r="351">
      <c r="BF351" t="str">
        <f>IF(AND(OR(PROCESSOS!O351="NO PRAZO",PROCESSOS!O351="VENCE EM BREVE"),OR(FiltroResp="TODOS",FiltroResp="",PROCESSOS!H351=FiltroResp)),PROCESSOS!M351+ROW()/1000000,"")</f>
        <v/>
      </c>
      <c r="BG351" t="str">
        <f>IF(AND(PROCESSOS!B351&lt;&gt;"",ISNUMBER(PROCESSOS!D351),OR(FiltroResp="TODOS",FiltroResp="",PROCESSOS!H351=FiltroResp)),PROCESSOS!D351+ROW()/1000000,"")</f>
        <v/>
      </c>
    </row>
    <row r="352">
      <c r="BF352" t="str">
        <f>IF(AND(OR(PROCESSOS!O352="NO PRAZO",PROCESSOS!O352="VENCE EM BREVE"),OR(FiltroResp="TODOS",FiltroResp="",PROCESSOS!H352=FiltroResp)),PROCESSOS!M352+ROW()/1000000,"")</f>
        <v/>
      </c>
      <c r="BG352" t="str">
        <f>IF(AND(PROCESSOS!B352&lt;&gt;"",ISNUMBER(PROCESSOS!D352),OR(FiltroResp="TODOS",FiltroResp="",PROCESSOS!H352=FiltroResp)),PROCESSOS!D352+ROW()/1000000,"")</f>
        <v/>
      </c>
    </row>
    <row r="353">
      <c r="BF353" t="str">
        <f>IF(AND(OR(PROCESSOS!O353="NO PRAZO",PROCESSOS!O353="VENCE EM BREVE"),OR(FiltroResp="TODOS",FiltroResp="",PROCESSOS!H353=FiltroResp)),PROCESSOS!M353+ROW()/1000000,"")</f>
        <v/>
      </c>
      <c r="BG353" t="str">
        <f>IF(AND(PROCESSOS!B353&lt;&gt;"",ISNUMBER(PROCESSOS!D353),OR(FiltroResp="TODOS",FiltroResp="",PROCESSOS!H353=FiltroResp)),PROCESSOS!D353+ROW()/1000000,"")</f>
        <v/>
      </c>
    </row>
    <row r="354">
      <c r="BF354" t="str">
        <f>IF(AND(OR(PROCESSOS!O354="NO PRAZO",PROCESSOS!O354="VENCE EM BREVE"),OR(FiltroResp="TODOS",FiltroResp="",PROCESSOS!H354=FiltroResp)),PROCESSOS!M354+ROW()/1000000,"")</f>
        <v/>
      </c>
      <c r="BG354" t="str">
        <f>IF(AND(PROCESSOS!B354&lt;&gt;"",ISNUMBER(PROCESSOS!D354),OR(FiltroResp="TODOS",FiltroResp="",PROCESSOS!H354=FiltroResp)),PROCESSOS!D354+ROW()/1000000,"")</f>
        <v/>
      </c>
    </row>
    <row r="355">
      <c r="BF355" t="str">
        <f>IF(AND(OR(PROCESSOS!O355="NO PRAZO",PROCESSOS!O355="VENCE EM BREVE"),OR(FiltroResp="TODOS",FiltroResp="",PROCESSOS!H355=FiltroResp)),PROCESSOS!M355+ROW()/1000000,"")</f>
        <v/>
      </c>
      <c r="BG355" t="str">
        <f>IF(AND(PROCESSOS!B355&lt;&gt;"",ISNUMBER(PROCESSOS!D355),OR(FiltroResp="TODOS",FiltroResp="",PROCESSOS!H355=FiltroResp)),PROCESSOS!D355+ROW()/1000000,"")</f>
        <v/>
      </c>
    </row>
    <row r="356">
      <c r="BF356" t="str">
        <f>IF(AND(OR(PROCESSOS!O356="NO PRAZO",PROCESSOS!O356="VENCE EM BREVE"),OR(FiltroResp="TODOS",FiltroResp="",PROCESSOS!H356=FiltroResp)),PROCESSOS!M356+ROW()/1000000,"")</f>
        <v/>
      </c>
      <c r="BG356" t="str">
        <f>IF(AND(PROCESSOS!B356&lt;&gt;"",ISNUMBER(PROCESSOS!D356),OR(FiltroResp="TODOS",FiltroResp="",PROCESSOS!H356=FiltroResp)),PROCESSOS!D356+ROW()/1000000,"")</f>
        <v/>
      </c>
    </row>
    <row r="357">
      <c r="BF357" t="str">
        <f>IF(AND(OR(PROCESSOS!O357="NO PRAZO",PROCESSOS!O357="VENCE EM BREVE"),OR(FiltroResp="TODOS",FiltroResp="",PROCESSOS!H357=FiltroResp)),PROCESSOS!M357+ROW()/1000000,"")</f>
        <v/>
      </c>
      <c r="BG357" t="str">
        <f>IF(AND(PROCESSOS!B357&lt;&gt;"",ISNUMBER(PROCESSOS!D357),OR(FiltroResp="TODOS",FiltroResp="",PROCESSOS!H357=FiltroResp)),PROCESSOS!D357+ROW()/1000000,"")</f>
        <v/>
      </c>
    </row>
    <row r="358">
      <c r="BF358" t="str">
        <f>IF(AND(OR(PROCESSOS!O358="NO PRAZO",PROCESSOS!O358="VENCE EM BREVE"),OR(FiltroResp="TODOS",FiltroResp="",PROCESSOS!H358=FiltroResp)),PROCESSOS!M358+ROW()/1000000,"")</f>
        <v/>
      </c>
      <c r="BG358" t="str">
        <f>IF(AND(PROCESSOS!B358&lt;&gt;"",ISNUMBER(PROCESSOS!D358),OR(FiltroResp="TODOS",FiltroResp="",PROCESSOS!H358=FiltroResp)),PROCESSOS!D358+ROW()/1000000,"")</f>
        <v/>
      </c>
    </row>
    <row r="359">
      <c r="BF359" t="str">
        <f>IF(AND(OR(PROCESSOS!O359="NO PRAZO",PROCESSOS!O359="VENCE EM BREVE"),OR(FiltroResp="TODOS",FiltroResp="",PROCESSOS!H359=FiltroResp)),PROCESSOS!M359+ROW()/1000000,"")</f>
        <v/>
      </c>
      <c r="BG359" t="str">
        <f>IF(AND(PROCESSOS!B359&lt;&gt;"",ISNUMBER(PROCESSOS!D359),OR(FiltroResp="TODOS",FiltroResp="",PROCESSOS!H359=FiltroResp)),PROCESSOS!D359+ROW()/1000000,"")</f>
        <v/>
      </c>
    </row>
    <row r="360">
      <c r="BF360" t="str">
        <f>IF(AND(OR(PROCESSOS!O360="NO PRAZO",PROCESSOS!O360="VENCE EM BREVE"),OR(FiltroResp="TODOS",FiltroResp="",PROCESSOS!H360=FiltroResp)),PROCESSOS!M360+ROW()/1000000,"")</f>
        <v/>
      </c>
      <c r="BG360" t="str">
        <f>IF(AND(PROCESSOS!B360&lt;&gt;"",ISNUMBER(PROCESSOS!D360),OR(FiltroResp="TODOS",FiltroResp="",PROCESSOS!H360=FiltroResp)),PROCESSOS!D360+ROW()/1000000,"")</f>
        <v/>
      </c>
    </row>
    <row r="361">
      <c r="BF361" t="str">
        <f>IF(AND(OR(PROCESSOS!O361="NO PRAZO",PROCESSOS!O361="VENCE EM BREVE"),OR(FiltroResp="TODOS",FiltroResp="",PROCESSOS!H361=FiltroResp)),PROCESSOS!M361+ROW()/1000000,"")</f>
        <v/>
      </c>
      <c r="BG361" t="str">
        <f>IF(AND(PROCESSOS!B361&lt;&gt;"",ISNUMBER(PROCESSOS!D361),OR(FiltroResp="TODOS",FiltroResp="",PROCESSOS!H361=FiltroResp)),PROCESSOS!D361+ROW()/1000000,"")</f>
        <v/>
      </c>
    </row>
    <row r="362">
      <c r="BF362" t="str">
        <f>IF(AND(OR(PROCESSOS!O362="NO PRAZO",PROCESSOS!O362="VENCE EM BREVE"),OR(FiltroResp="TODOS",FiltroResp="",PROCESSOS!H362=FiltroResp)),PROCESSOS!M362+ROW()/1000000,"")</f>
        <v/>
      </c>
      <c r="BG362" t="str">
        <f>IF(AND(PROCESSOS!B362&lt;&gt;"",ISNUMBER(PROCESSOS!D362),OR(FiltroResp="TODOS",FiltroResp="",PROCESSOS!H362=FiltroResp)),PROCESSOS!D362+ROW()/1000000,"")</f>
        <v/>
      </c>
    </row>
    <row r="363">
      <c r="BF363" t="str">
        <f>IF(AND(OR(PROCESSOS!O363="NO PRAZO",PROCESSOS!O363="VENCE EM BREVE"),OR(FiltroResp="TODOS",FiltroResp="",PROCESSOS!H363=FiltroResp)),PROCESSOS!M363+ROW()/1000000,"")</f>
        <v/>
      </c>
      <c r="BG363" t="str">
        <f>IF(AND(PROCESSOS!B363&lt;&gt;"",ISNUMBER(PROCESSOS!D363),OR(FiltroResp="TODOS",FiltroResp="",PROCESSOS!H363=FiltroResp)),PROCESSOS!D363+ROW()/1000000,"")</f>
        <v/>
      </c>
    </row>
    <row r="364">
      <c r="BF364" t="str">
        <f>IF(AND(OR(PROCESSOS!O364="NO PRAZO",PROCESSOS!O364="VENCE EM BREVE"),OR(FiltroResp="TODOS",FiltroResp="",PROCESSOS!H364=FiltroResp)),PROCESSOS!M364+ROW()/1000000,"")</f>
        <v/>
      </c>
      <c r="BG364" t="str">
        <f>IF(AND(PROCESSOS!B364&lt;&gt;"",ISNUMBER(PROCESSOS!D364),OR(FiltroResp="TODOS",FiltroResp="",PROCESSOS!H364=FiltroResp)),PROCESSOS!D364+ROW()/1000000,"")</f>
        <v/>
      </c>
    </row>
    <row r="365">
      <c r="BF365" t="str">
        <f>IF(AND(OR(PROCESSOS!O365="NO PRAZO",PROCESSOS!O365="VENCE EM BREVE"),OR(FiltroResp="TODOS",FiltroResp="",PROCESSOS!H365=FiltroResp)),PROCESSOS!M365+ROW()/1000000,"")</f>
        <v/>
      </c>
      <c r="BG365" t="str">
        <f>IF(AND(PROCESSOS!B365&lt;&gt;"",ISNUMBER(PROCESSOS!D365),OR(FiltroResp="TODOS",FiltroResp="",PROCESSOS!H365=FiltroResp)),PROCESSOS!D365+ROW()/1000000,"")</f>
        <v/>
      </c>
    </row>
    <row r="366">
      <c r="BF366" t="str">
        <f>IF(AND(OR(PROCESSOS!O366="NO PRAZO",PROCESSOS!O366="VENCE EM BREVE"),OR(FiltroResp="TODOS",FiltroResp="",PROCESSOS!H366=FiltroResp)),PROCESSOS!M366+ROW()/1000000,"")</f>
        <v/>
      </c>
      <c r="BG366" t="str">
        <f>IF(AND(PROCESSOS!B366&lt;&gt;"",ISNUMBER(PROCESSOS!D366),OR(FiltroResp="TODOS",FiltroResp="",PROCESSOS!H366=FiltroResp)),PROCESSOS!D366+ROW()/1000000,"")</f>
        <v/>
      </c>
    </row>
    <row r="367">
      <c r="BF367" t="str">
        <f>IF(AND(OR(PROCESSOS!O367="NO PRAZO",PROCESSOS!O367="VENCE EM BREVE"),OR(FiltroResp="TODOS",FiltroResp="",PROCESSOS!H367=FiltroResp)),PROCESSOS!M367+ROW()/1000000,"")</f>
        <v/>
      </c>
      <c r="BG367" t="str">
        <f>IF(AND(PROCESSOS!B367&lt;&gt;"",ISNUMBER(PROCESSOS!D367),OR(FiltroResp="TODOS",FiltroResp="",PROCESSOS!H367=FiltroResp)),PROCESSOS!D367+ROW()/1000000,"")</f>
        <v/>
      </c>
    </row>
    <row r="368">
      <c r="BF368" t="str">
        <f>IF(AND(OR(PROCESSOS!O368="NO PRAZO",PROCESSOS!O368="VENCE EM BREVE"),OR(FiltroResp="TODOS",FiltroResp="",PROCESSOS!H368=FiltroResp)),PROCESSOS!M368+ROW()/1000000,"")</f>
        <v/>
      </c>
      <c r="BG368" t="str">
        <f>IF(AND(PROCESSOS!B368&lt;&gt;"",ISNUMBER(PROCESSOS!D368),OR(FiltroResp="TODOS",FiltroResp="",PROCESSOS!H368=FiltroResp)),PROCESSOS!D368+ROW()/1000000,"")</f>
        <v/>
      </c>
    </row>
    <row r="369">
      <c r="BF369" t="str">
        <f>IF(AND(OR(PROCESSOS!O369="NO PRAZO",PROCESSOS!O369="VENCE EM BREVE"),OR(FiltroResp="TODOS",FiltroResp="",PROCESSOS!H369=FiltroResp)),PROCESSOS!M369+ROW()/1000000,"")</f>
        <v/>
      </c>
      <c r="BG369" t="str">
        <f>IF(AND(PROCESSOS!B369&lt;&gt;"",ISNUMBER(PROCESSOS!D369),OR(FiltroResp="TODOS",FiltroResp="",PROCESSOS!H369=FiltroResp)),PROCESSOS!D369+ROW()/1000000,"")</f>
        <v/>
      </c>
    </row>
    <row r="370">
      <c r="BF370" t="str">
        <f>IF(AND(OR(PROCESSOS!O370="NO PRAZO",PROCESSOS!O370="VENCE EM BREVE"),OR(FiltroResp="TODOS",FiltroResp="",PROCESSOS!H370=FiltroResp)),PROCESSOS!M370+ROW()/1000000,"")</f>
        <v/>
      </c>
      <c r="BG370" t="str">
        <f>IF(AND(PROCESSOS!B370&lt;&gt;"",ISNUMBER(PROCESSOS!D370),OR(FiltroResp="TODOS",FiltroResp="",PROCESSOS!H370=FiltroResp)),PROCESSOS!D370+ROW()/1000000,"")</f>
        <v/>
      </c>
    </row>
    <row r="371">
      <c r="BF371" t="str">
        <f>IF(AND(OR(PROCESSOS!O371="NO PRAZO",PROCESSOS!O371="VENCE EM BREVE"),OR(FiltroResp="TODOS",FiltroResp="",PROCESSOS!H371=FiltroResp)),PROCESSOS!M371+ROW()/1000000,"")</f>
        <v/>
      </c>
      <c r="BG371" t="str">
        <f>IF(AND(PROCESSOS!B371&lt;&gt;"",ISNUMBER(PROCESSOS!D371),OR(FiltroResp="TODOS",FiltroResp="",PROCESSOS!H371=FiltroResp)),PROCESSOS!D371+ROW()/1000000,"")</f>
        <v/>
      </c>
    </row>
    <row r="372">
      <c r="BF372" t="str">
        <f>IF(AND(OR(PROCESSOS!O372="NO PRAZO",PROCESSOS!O372="VENCE EM BREVE"),OR(FiltroResp="TODOS",FiltroResp="",PROCESSOS!H372=FiltroResp)),PROCESSOS!M372+ROW()/1000000,"")</f>
        <v/>
      </c>
      <c r="BG372" t="str">
        <f>IF(AND(PROCESSOS!B372&lt;&gt;"",ISNUMBER(PROCESSOS!D372),OR(FiltroResp="TODOS",FiltroResp="",PROCESSOS!H372=FiltroResp)),PROCESSOS!D372+ROW()/1000000,"")</f>
        <v/>
      </c>
    </row>
    <row r="373">
      <c r="BF373" t="str">
        <f>IF(AND(OR(PROCESSOS!O373="NO PRAZO",PROCESSOS!O373="VENCE EM BREVE"),OR(FiltroResp="TODOS",FiltroResp="",PROCESSOS!H373=FiltroResp)),PROCESSOS!M373+ROW()/1000000,"")</f>
        <v/>
      </c>
      <c r="BG373" t="str">
        <f>IF(AND(PROCESSOS!B373&lt;&gt;"",ISNUMBER(PROCESSOS!D373),OR(FiltroResp="TODOS",FiltroResp="",PROCESSOS!H373=FiltroResp)),PROCESSOS!D373+ROW()/1000000,"")</f>
        <v/>
      </c>
    </row>
    <row r="374">
      <c r="BF374" t="str">
        <f>IF(AND(OR(PROCESSOS!O374="NO PRAZO",PROCESSOS!O374="VENCE EM BREVE"),OR(FiltroResp="TODOS",FiltroResp="",PROCESSOS!H374=FiltroResp)),PROCESSOS!M374+ROW()/1000000,"")</f>
        <v/>
      </c>
      <c r="BG374" t="str">
        <f>IF(AND(PROCESSOS!B374&lt;&gt;"",ISNUMBER(PROCESSOS!D374),OR(FiltroResp="TODOS",FiltroResp="",PROCESSOS!H374=FiltroResp)),PROCESSOS!D374+ROW()/1000000,"")</f>
        <v/>
      </c>
    </row>
    <row r="375">
      <c r="BF375" t="str">
        <f>IF(AND(OR(PROCESSOS!O375="NO PRAZO",PROCESSOS!O375="VENCE EM BREVE"),OR(FiltroResp="TODOS",FiltroResp="",PROCESSOS!H375=FiltroResp)),PROCESSOS!M375+ROW()/1000000,"")</f>
        <v/>
      </c>
      <c r="BG375" t="str">
        <f>IF(AND(PROCESSOS!B375&lt;&gt;"",ISNUMBER(PROCESSOS!D375),OR(FiltroResp="TODOS",FiltroResp="",PROCESSOS!H375=FiltroResp)),PROCESSOS!D375+ROW()/1000000,"")</f>
        <v/>
      </c>
    </row>
    <row r="376">
      <c r="BF376" t="str">
        <f>IF(AND(OR(PROCESSOS!O376="NO PRAZO",PROCESSOS!O376="VENCE EM BREVE"),OR(FiltroResp="TODOS",FiltroResp="",PROCESSOS!H376=FiltroResp)),PROCESSOS!M376+ROW()/1000000,"")</f>
        <v/>
      </c>
      <c r="BG376" t="str">
        <f>IF(AND(PROCESSOS!B376&lt;&gt;"",ISNUMBER(PROCESSOS!D376),OR(FiltroResp="TODOS",FiltroResp="",PROCESSOS!H376=FiltroResp)),PROCESSOS!D376+ROW()/1000000,"")</f>
        <v/>
      </c>
    </row>
    <row r="377">
      <c r="BF377" t="str">
        <f>IF(AND(OR(PROCESSOS!O377="NO PRAZO",PROCESSOS!O377="VENCE EM BREVE"),OR(FiltroResp="TODOS",FiltroResp="",PROCESSOS!H377=FiltroResp)),PROCESSOS!M377+ROW()/1000000,"")</f>
        <v/>
      </c>
      <c r="BG377" t="str">
        <f>IF(AND(PROCESSOS!B377&lt;&gt;"",ISNUMBER(PROCESSOS!D377),OR(FiltroResp="TODOS",FiltroResp="",PROCESSOS!H377=FiltroResp)),PROCESSOS!D377+ROW()/1000000,"")</f>
        <v/>
      </c>
    </row>
    <row r="378">
      <c r="BF378" t="str">
        <f>IF(AND(OR(PROCESSOS!O378="NO PRAZO",PROCESSOS!O378="VENCE EM BREVE"),OR(FiltroResp="TODOS",FiltroResp="",PROCESSOS!H378=FiltroResp)),PROCESSOS!M378+ROW()/1000000,"")</f>
        <v/>
      </c>
      <c r="BG378" t="str">
        <f>IF(AND(PROCESSOS!B378&lt;&gt;"",ISNUMBER(PROCESSOS!D378),OR(FiltroResp="TODOS",FiltroResp="",PROCESSOS!H378=FiltroResp)),PROCESSOS!D378+ROW()/1000000,"")</f>
        <v/>
      </c>
    </row>
    <row r="379">
      <c r="BF379" t="str">
        <f>IF(AND(OR(PROCESSOS!O379="NO PRAZO",PROCESSOS!O379="VENCE EM BREVE"),OR(FiltroResp="TODOS",FiltroResp="",PROCESSOS!H379=FiltroResp)),PROCESSOS!M379+ROW()/1000000,"")</f>
        <v/>
      </c>
      <c r="BG379" t="str">
        <f>IF(AND(PROCESSOS!B379&lt;&gt;"",ISNUMBER(PROCESSOS!D379),OR(FiltroResp="TODOS",FiltroResp="",PROCESSOS!H379=FiltroResp)),PROCESSOS!D379+ROW()/1000000,"")</f>
        <v/>
      </c>
    </row>
    <row r="380">
      <c r="BF380" t="str">
        <f>IF(AND(OR(PROCESSOS!O380="NO PRAZO",PROCESSOS!O380="VENCE EM BREVE"),OR(FiltroResp="TODOS",FiltroResp="",PROCESSOS!H380=FiltroResp)),PROCESSOS!M380+ROW()/1000000,"")</f>
        <v/>
      </c>
      <c r="BG380" t="str">
        <f>IF(AND(PROCESSOS!B380&lt;&gt;"",ISNUMBER(PROCESSOS!D380),OR(FiltroResp="TODOS",FiltroResp="",PROCESSOS!H380=FiltroResp)),PROCESSOS!D380+ROW()/1000000,"")</f>
        <v/>
      </c>
    </row>
    <row r="381">
      <c r="BF381" t="str">
        <f>IF(AND(OR(PROCESSOS!O381="NO PRAZO",PROCESSOS!O381="VENCE EM BREVE"),OR(FiltroResp="TODOS",FiltroResp="",PROCESSOS!H381=FiltroResp)),PROCESSOS!M381+ROW()/1000000,"")</f>
        <v/>
      </c>
      <c r="BG381" t="str">
        <f>IF(AND(PROCESSOS!B381&lt;&gt;"",ISNUMBER(PROCESSOS!D381),OR(FiltroResp="TODOS",FiltroResp="",PROCESSOS!H381=FiltroResp)),PROCESSOS!D381+ROW()/1000000,"")</f>
        <v/>
      </c>
    </row>
    <row r="382">
      <c r="BF382" t="str">
        <f>IF(AND(OR(PROCESSOS!O382="NO PRAZO",PROCESSOS!O382="VENCE EM BREVE"),OR(FiltroResp="TODOS",FiltroResp="",PROCESSOS!H382=FiltroResp)),PROCESSOS!M382+ROW()/1000000,"")</f>
        <v/>
      </c>
      <c r="BG382" t="str">
        <f>IF(AND(PROCESSOS!B382&lt;&gt;"",ISNUMBER(PROCESSOS!D382),OR(FiltroResp="TODOS",FiltroResp="",PROCESSOS!H382=FiltroResp)),PROCESSOS!D382+ROW()/1000000,"")</f>
        <v/>
      </c>
    </row>
    <row r="383">
      <c r="BF383" t="str">
        <f>IF(AND(OR(PROCESSOS!O383="NO PRAZO",PROCESSOS!O383="VENCE EM BREVE"),OR(FiltroResp="TODOS",FiltroResp="",PROCESSOS!H383=FiltroResp)),PROCESSOS!M383+ROW()/1000000,"")</f>
        <v/>
      </c>
      <c r="BG383" t="str">
        <f>IF(AND(PROCESSOS!B383&lt;&gt;"",ISNUMBER(PROCESSOS!D383),OR(FiltroResp="TODOS",FiltroResp="",PROCESSOS!H383=FiltroResp)),PROCESSOS!D383+ROW()/1000000,"")</f>
        <v/>
      </c>
    </row>
    <row r="384">
      <c r="BF384" t="str">
        <f>IF(AND(OR(PROCESSOS!O384="NO PRAZO",PROCESSOS!O384="VENCE EM BREVE"),OR(FiltroResp="TODOS",FiltroResp="",PROCESSOS!H384=FiltroResp)),PROCESSOS!M384+ROW()/1000000,"")</f>
        <v/>
      </c>
      <c r="BG384" t="str">
        <f>IF(AND(PROCESSOS!B384&lt;&gt;"",ISNUMBER(PROCESSOS!D384),OR(FiltroResp="TODOS",FiltroResp="",PROCESSOS!H384=FiltroResp)),PROCESSOS!D384+ROW()/1000000,"")</f>
        <v/>
      </c>
    </row>
    <row r="385">
      <c r="BF385" t="str">
        <f>IF(AND(OR(PROCESSOS!O385="NO PRAZO",PROCESSOS!O385="VENCE EM BREVE"),OR(FiltroResp="TODOS",FiltroResp="",PROCESSOS!H385=FiltroResp)),PROCESSOS!M385+ROW()/1000000,"")</f>
        <v/>
      </c>
      <c r="BG385" t="str">
        <f>IF(AND(PROCESSOS!B385&lt;&gt;"",ISNUMBER(PROCESSOS!D385),OR(FiltroResp="TODOS",FiltroResp="",PROCESSOS!H385=FiltroResp)),PROCESSOS!D385+ROW()/1000000,"")</f>
        <v/>
      </c>
    </row>
    <row r="386">
      <c r="BF386" t="str">
        <f>IF(AND(OR(PROCESSOS!O386="NO PRAZO",PROCESSOS!O386="VENCE EM BREVE"),OR(FiltroResp="TODOS",FiltroResp="",PROCESSOS!H386=FiltroResp)),PROCESSOS!M386+ROW()/1000000,"")</f>
        <v/>
      </c>
      <c r="BG386" t="str">
        <f>IF(AND(PROCESSOS!B386&lt;&gt;"",ISNUMBER(PROCESSOS!D386),OR(FiltroResp="TODOS",FiltroResp="",PROCESSOS!H386=FiltroResp)),PROCESSOS!D386+ROW()/1000000,"")</f>
        <v/>
      </c>
    </row>
    <row r="387">
      <c r="BF387" t="str">
        <f>IF(AND(OR(PROCESSOS!O387="NO PRAZO",PROCESSOS!O387="VENCE EM BREVE"),OR(FiltroResp="TODOS",FiltroResp="",PROCESSOS!H387=FiltroResp)),PROCESSOS!M387+ROW()/1000000,"")</f>
        <v/>
      </c>
      <c r="BG387" t="str">
        <f>IF(AND(PROCESSOS!B387&lt;&gt;"",ISNUMBER(PROCESSOS!D387),OR(FiltroResp="TODOS",FiltroResp="",PROCESSOS!H387=FiltroResp)),PROCESSOS!D387+ROW()/1000000,"")</f>
        <v/>
      </c>
    </row>
    <row r="388">
      <c r="BF388" t="str">
        <f>IF(AND(OR(PROCESSOS!O388="NO PRAZO",PROCESSOS!O388="VENCE EM BREVE"),OR(FiltroResp="TODOS",FiltroResp="",PROCESSOS!H388=FiltroResp)),PROCESSOS!M388+ROW()/1000000,"")</f>
        <v/>
      </c>
      <c r="BG388" t="str">
        <f>IF(AND(PROCESSOS!B388&lt;&gt;"",ISNUMBER(PROCESSOS!D388),OR(FiltroResp="TODOS",FiltroResp="",PROCESSOS!H388=FiltroResp)),PROCESSOS!D388+ROW()/1000000,"")</f>
        <v/>
      </c>
    </row>
    <row r="389">
      <c r="BF389" t="str">
        <f>IF(AND(OR(PROCESSOS!O389="NO PRAZO",PROCESSOS!O389="VENCE EM BREVE"),OR(FiltroResp="TODOS",FiltroResp="",PROCESSOS!H389=FiltroResp)),PROCESSOS!M389+ROW()/1000000,"")</f>
        <v/>
      </c>
      <c r="BG389" t="str">
        <f>IF(AND(PROCESSOS!B389&lt;&gt;"",ISNUMBER(PROCESSOS!D389),OR(FiltroResp="TODOS",FiltroResp="",PROCESSOS!H389=FiltroResp)),PROCESSOS!D389+ROW()/1000000,"")</f>
        <v/>
      </c>
    </row>
    <row r="390">
      <c r="BF390" t="str">
        <f>IF(AND(OR(PROCESSOS!O390="NO PRAZO",PROCESSOS!O390="VENCE EM BREVE"),OR(FiltroResp="TODOS",FiltroResp="",PROCESSOS!H390=FiltroResp)),PROCESSOS!M390+ROW()/1000000,"")</f>
        <v/>
      </c>
      <c r="BG390" t="str">
        <f>IF(AND(PROCESSOS!B390&lt;&gt;"",ISNUMBER(PROCESSOS!D390),OR(FiltroResp="TODOS",FiltroResp="",PROCESSOS!H390=FiltroResp)),PROCESSOS!D390+ROW()/1000000,"")</f>
        <v/>
      </c>
    </row>
    <row r="391">
      <c r="BF391" t="str">
        <f>IF(AND(OR(PROCESSOS!O391="NO PRAZO",PROCESSOS!O391="VENCE EM BREVE"),OR(FiltroResp="TODOS",FiltroResp="",PROCESSOS!H391=FiltroResp)),PROCESSOS!M391+ROW()/1000000,"")</f>
        <v/>
      </c>
      <c r="BG391" t="str">
        <f>IF(AND(PROCESSOS!B391&lt;&gt;"",ISNUMBER(PROCESSOS!D391),OR(FiltroResp="TODOS",FiltroResp="",PROCESSOS!H391=FiltroResp)),PROCESSOS!D391+ROW()/1000000,"")</f>
        <v/>
      </c>
    </row>
    <row r="392">
      <c r="BF392" t="str">
        <f>IF(AND(OR(PROCESSOS!O392="NO PRAZO",PROCESSOS!O392="VENCE EM BREVE"),OR(FiltroResp="TODOS",FiltroResp="",PROCESSOS!H392=FiltroResp)),PROCESSOS!M392+ROW()/1000000,"")</f>
        <v/>
      </c>
      <c r="BG392" t="str">
        <f>IF(AND(PROCESSOS!B392&lt;&gt;"",ISNUMBER(PROCESSOS!D392),OR(FiltroResp="TODOS",FiltroResp="",PROCESSOS!H392=FiltroResp)),PROCESSOS!D392+ROW()/1000000,"")</f>
        <v/>
      </c>
    </row>
    <row r="393">
      <c r="BF393" t="str">
        <f>IF(AND(OR(PROCESSOS!O393="NO PRAZO",PROCESSOS!O393="VENCE EM BREVE"),OR(FiltroResp="TODOS",FiltroResp="",PROCESSOS!H393=FiltroResp)),PROCESSOS!M393+ROW()/1000000,"")</f>
        <v/>
      </c>
      <c r="BG393" t="str">
        <f>IF(AND(PROCESSOS!B393&lt;&gt;"",ISNUMBER(PROCESSOS!D393),OR(FiltroResp="TODOS",FiltroResp="",PROCESSOS!H393=FiltroResp)),PROCESSOS!D393+ROW()/1000000,"")</f>
        <v/>
      </c>
    </row>
    <row r="394">
      <c r="BF394" t="str">
        <f>IF(AND(OR(PROCESSOS!O394="NO PRAZO",PROCESSOS!O394="VENCE EM BREVE"),OR(FiltroResp="TODOS",FiltroResp="",PROCESSOS!H394=FiltroResp)),PROCESSOS!M394+ROW()/1000000,"")</f>
        <v/>
      </c>
      <c r="BG394" t="str">
        <f>IF(AND(PROCESSOS!B394&lt;&gt;"",ISNUMBER(PROCESSOS!D394),OR(FiltroResp="TODOS",FiltroResp="",PROCESSOS!H394=FiltroResp)),PROCESSOS!D394+ROW()/1000000,"")</f>
        <v/>
      </c>
    </row>
    <row r="395">
      <c r="BF395" t="str">
        <f>IF(AND(OR(PROCESSOS!O395="NO PRAZO",PROCESSOS!O395="VENCE EM BREVE"),OR(FiltroResp="TODOS",FiltroResp="",PROCESSOS!H395=FiltroResp)),PROCESSOS!M395+ROW()/1000000,"")</f>
        <v/>
      </c>
      <c r="BG395" t="str">
        <f>IF(AND(PROCESSOS!B395&lt;&gt;"",ISNUMBER(PROCESSOS!D395),OR(FiltroResp="TODOS",FiltroResp="",PROCESSOS!H395=FiltroResp)),PROCESSOS!D395+ROW()/1000000,"")</f>
        <v/>
      </c>
    </row>
    <row r="396">
      <c r="BF396" t="str">
        <f>IF(AND(OR(PROCESSOS!O396="NO PRAZO",PROCESSOS!O396="VENCE EM BREVE"),OR(FiltroResp="TODOS",FiltroResp="",PROCESSOS!H396=FiltroResp)),PROCESSOS!M396+ROW()/1000000,"")</f>
        <v/>
      </c>
      <c r="BG396" t="str">
        <f>IF(AND(PROCESSOS!B396&lt;&gt;"",ISNUMBER(PROCESSOS!D396),OR(FiltroResp="TODOS",FiltroResp="",PROCESSOS!H396=FiltroResp)),PROCESSOS!D396+ROW()/1000000,"")</f>
        <v/>
      </c>
    </row>
    <row r="397">
      <c r="BF397" t="str">
        <f>IF(AND(OR(PROCESSOS!O397="NO PRAZO",PROCESSOS!O397="VENCE EM BREVE"),OR(FiltroResp="TODOS",FiltroResp="",PROCESSOS!H397=FiltroResp)),PROCESSOS!M397+ROW()/1000000,"")</f>
        <v/>
      </c>
      <c r="BG397" t="str">
        <f>IF(AND(PROCESSOS!B397&lt;&gt;"",ISNUMBER(PROCESSOS!D397),OR(FiltroResp="TODOS",FiltroResp="",PROCESSOS!H397=FiltroResp)),PROCESSOS!D397+ROW()/1000000,"")</f>
        <v/>
      </c>
    </row>
    <row r="398">
      <c r="BF398" t="str">
        <f>IF(AND(OR(PROCESSOS!O398="NO PRAZO",PROCESSOS!O398="VENCE EM BREVE"),OR(FiltroResp="TODOS",FiltroResp="",PROCESSOS!H398=FiltroResp)),PROCESSOS!M398+ROW()/1000000,"")</f>
        <v/>
      </c>
      <c r="BG398" t="str">
        <f>IF(AND(PROCESSOS!B398&lt;&gt;"",ISNUMBER(PROCESSOS!D398),OR(FiltroResp="TODOS",FiltroResp="",PROCESSOS!H398=FiltroResp)),PROCESSOS!D398+ROW()/1000000,"")</f>
        <v/>
      </c>
    </row>
    <row r="399">
      <c r="BF399" t="str">
        <f>IF(AND(OR(PROCESSOS!O399="NO PRAZO",PROCESSOS!O399="VENCE EM BREVE"),OR(FiltroResp="TODOS",FiltroResp="",PROCESSOS!H399=FiltroResp)),PROCESSOS!M399+ROW()/1000000,"")</f>
        <v/>
      </c>
      <c r="BG399" t="str">
        <f>IF(AND(PROCESSOS!B399&lt;&gt;"",ISNUMBER(PROCESSOS!D399),OR(FiltroResp="TODOS",FiltroResp="",PROCESSOS!H399=FiltroResp)),PROCESSOS!D399+ROW()/1000000,"")</f>
        <v/>
      </c>
    </row>
    <row r="400">
      <c r="BF400" t="str">
        <f>IF(AND(OR(PROCESSOS!O400="NO PRAZO",PROCESSOS!O400="VENCE EM BREVE"),OR(FiltroResp="TODOS",FiltroResp="",PROCESSOS!H400=FiltroResp)),PROCESSOS!M400+ROW()/1000000,"")</f>
        <v/>
      </c>
      <c r="BG400" t="str">
        <f>IF(AND(PROCESSOS!B400&lt;&gt;"",ISNUMBER(PROCESSOS!D400),OR(FiltroResp="TODOS",FiltroResp="",PROCESSOS!H400=FiltroResp)),PROCESSOS!D400+ROW()/1000000,"")</f>
        <v/>
      </c>
    </row>
    <row r="401">
      <c r="BF401" t="str">
        <f>IF(AND(OR(PROCESSOS!O401="NO PRAZO",PROCESSOS!O401="VENCE EM BREVE"),OR(FiltroResp="TODOS",FiltroResp="",PROCESSOS!H401=FiltroResp)),PROCESSOS!M401+ROW()/1000000,"")</f>
        <v/>
      </c>
      <c r="BG401" t="str">
        <f>IF(AND(PROCESSOS!B401&lt;&gt;"",ISNUMBER(PROCESSOS!D401),OR(FiltroResp="TODOS",FiltroResp="",PROCESSOS!H401=FiltroResp)),PROCESSOS!D401+ROW()/1000000,"")</f>
        <v/>
      </c>
    </row>
    <row r="402">
      <c r="BF402" t="str">
        <f>IF(AND(OR(PROCESSOS!O402="NO PRAZO",PROCESSOS!O402="VENCE EM BREVE"),OR(FiltroResp="TODOS",FiltroResp="",PROCESSOS!H402=FiltroResp)),PROCESSOS!M402+ROW()/1000000,"")</f>
        <v/>
      </c>
      <c r="BG402" t="str">
        <f>IF(AND(PROCESSOS!B402&lt;&gt;"",ISNUMBER(PROCESSOS!D402),OR(FiltroResp="TODOS",FiltroResp="",PROCESSOS!H402=FiltroResp)),PROCESSOS!D402+ROW()/1000000,"")</f>
        <v/>
      </c>
    </row>
    <row r="403">
      <c r="BF403" t="str">
        <f>IF(AND(OR(PROCESSOS!O403="NO PRAZO",PROCESSOS!O403="VENCE EM BREVE"),OR(FiltroResp="TODOS",FiltroResp="",PROCESSOS!H403=FiltroResp)),PROCESSOS!M403+ROW()/1000000,"")</f>
        <v/>
      </c>
      <c r="BG403" t="str">
        <f>IF(AND(PROCESSOS!B403&lt;&gt;"",ISNUMBER(PROCESSOS!D403),OR(FiltroResp="TODOS",FiltroResp="",PROCESSOS!H403=FiltroResp)),PROCESSOS!D403+ROW()/1000000,"")</f>
        <v/>
      </c>
    </row>
    <row r="404">
      <c r="BF404" t="str">
        <f>IF(AND(OR(PROCESSOS!O404="NO PRAZO",PROCESSOS!O404="VENCE EM BREVE"),OR(FiltroResp="TODOS",FiltroResp="",PROCESSOS!H404=FiltroResp)),PROCESSOS!M404+ROW()/1000000,"")</f>
        <v/>
      </c>
      <c r="BG404" t="str">
        <f>IF(AND(PROCESSOS!B404&lt;&gt;"",ISNUMBER(PROCESSOS!D404),OR(FiltroResp="TODOS",FiltroResp="",PROCESSOS!H404=FiltroResp)),PROCESSOS!D404+ROW()/1000000,"")</f>
        <v/>
      </c>
    </row>
    <row r="405">
      <c r="BF405" t="str">
        <f>IF(AND(OR(PROCESSOS!O405="NO PRAZO",PROCESSOS!O405="VENCE EM BREVE"),OR(FiltroResp="TODOS",FiltroResp="",PROCESSOS!H405=FiltroResp)),PROCESSOS!M405+ROW()/1000000,"")</f>
        <v/>
      </c>
      <c r="BG405" t="str">
        <f>IF(AND(PROCESSOS!B405&lt;&gt;"",ISNUMBER(PROCESSOS!D405),OR(FiltroResp="TODOS",FiltroResp="",PROCESSOS!H405=FiltroResp)),PROCESSOS!D405+ROW()/1000000,"")</f>
        <v/>
      </c>
    </row>
    <row r="406">
      <c r="BF406" t="str">
        <f>IF(AND(OR(PROCESSOS!O406="NO PRAZO",PROCESSOS!O406="VENCE EM BREVE"),OR(FiltroResp="TODOS",FiltroResp="",PROCESSOS!H406=FiltroResp)),PROCESSOS!M406+ROW()/1000000,"")</f>
        <v/>
      </c>
      <c r="BG406" t="str">
        <f>IF(AND(PROCESSOS!B406&lt;&gt;"",ISNUMBER(PROCESSOS!D406),OR(FiltroResp="TODOS",FiltroResp="",PROCESSOS!H406=FiltroResp)),PROCESSOS!D406+ROW()/1000000,"")</f>
        <v/>
      </c>
    </row>
    <row r="407">
      <c r="BF407" t="str">
        <f>IF(AND(OR(PROCESSOS!O407="NO PRAZO",PROCESSOS!O407="VENCE EM BREVE"),OR(FiltroResp="TODOS",FiltroResp="",PROCESSOS!H407=FiltroResp)),PROCESSOS!M407+ROW()/1000000,"")</f>
        <v/>
      </c>
      <c r="BG407" t="str">
        <f>IF(AND(PROCESSOS!B407&lt;&gt;"",ISNUMBER(PROCESSOS!D407),OR(FiltroResp="TODOS",FiltroResp="",PROCESSOS!H407=FiltroResp)),PROCESSOS!D407+ROW()/1000000,"")</f>
        <v/>
      </c>
    </row>
    <row r="408">
      <c r="BF408" t="str">
        <f>IF(AND(OR(PROCESSOS!O408="NO PRAZO",PROCESSOS!O408="VENCE EM BREVE"),OR(FiltroResp="TODOS",FiltroResp="",PROCESSOS!H408=FiltroResp)),PROCESSOS!M408+ROW()/1000000,"")</f>
        <v/>
      </c>
      <c r="BG408" t="str">
        <f>IF(AND(PROCESSOS!B408&lt;&gt;"",ISNUMBER(PROCESSOS!D408),OR(FiltroResp="TODOS",FiltroResp="",PROCESSOS!H408=FiltroResp)),PROCESSOS!D408+ROW()/1000000,"")</f>
        <v/>
      </c>
    </row>
    <row r="409">
      <c r="BF409" t="str">
        <f>IF(AND(OR(PROCESSOS!O409="NO PRAZO",PROCESSOS!O409="VENCE EM BREVE"),OR(FiltroResp="TODOS",FiltroResp="",PROCESSOS!H409=FiltroResp)),PROCESSOS!M409+ROW()/1000000,"")</f>
        <v/>
      </c>
      <c r="BG409" t="str">
        <f>IF(AND(PROCESSOS!B409&lt;&gt;"",ISNUMBER(PROCESSOS!D409),OR(FiltroResp="TODOS",FiltroResp="",PROCESSOS!H409=FiltroResp)),PROCESSOS!D409+ROW()/1000000,"")</f>
        <v/>
      </c>
    </row>
    <row r="410">
      <c r="BF410" t="str">
        <f>IF(AND(OR(PROCESSOS!O410="NO PRAZO",PROCESSOS!O410="VENCE EM BREVE"),OR(FiltroResp="TODOS",FiltroResp="",PROCESSOS!H410=FiltroResp)),PROCESSOS!M410+ROW()/1000000,"")</f>
        <v/>
      </c>
      <c r="BG410" t="str">
        <f>IF(AND(PROCESSOS!B410&lt;&gt;"",ISNUMBER(PROCESSOS!D410),OR(FiltroResp="TODOS",FiltroResp="",PROCESSOS!H410=FiltroResp)),PROCESSOS!D410+ROW()/1000000,"")</f>
        <v/>
      </c>
    </row>
    <row r="411">
      <c r="BF411" t="str">
        <f>IF(AND(OR(PROCESSOS!O411="NO PRAZO",PROCESSOS!O411="VENCE EM BREVE"),OR(FiltroResp="TODOS",FiltroResp="",PROCESSOS!H411=FiltroResp)),PROCESSOS!M411+ROW()/1000000,"")</f>
        <v/>
      </c>
      <c r="BG411" t="str">
        <f>IF(AND(PROCESSOS!B411&lt;&gt;"",ISNUMBER(PROCESSOS!D411),OR(FiltroResp="TODOS",FiltroResp="",PROCESSOS!H411=FiltroResp)),PROCESSOS!D411+ROW()/1000000,"")</f>
        <v/>
      </c>
    </row>
    <row r="412">
      <c r="BF412" t="str">
        <f>IF(AND(OR(PROCESSOS!O412="NO PRAZO",PROCESSOS!O412="VENCE EM BREVE"),OR(FiltroResp="TODOS",FiltroResp="",PROCESSOS!H412=FiltroResp)),PROCESSOS!M412+ROW()/1000000,"")</f>
        <v/>
      </c>
      <c r="BG412" t="str">
        <f>IF(AND(PROCESSOS!B412&lt;&gt;"",ISNUMBER(PROCESSOS!D412),OR(FiltroResp="TODOS",FiltroResp="",PROCESSOS!H412=FiltroResp)),PROCESSOS!D412+ROW()/1000000,"")</f>
        <v/>
      </c>
    </row>
    <row r="413">
      <c r="BF413" t="str">
        <f>IF(AND(OR(PROCESSOS!O413="NO PRAZO",PROCESSOS!O413="VENCE EM BREVE"),OR(FiltroResp="TODOS",FiltroResp="",PROCESSOS!H413=FiltroResp)),PROCESSOS!M413+ROW()/1000000,"")</f>
        <v/>
      </c>
      <c r="BG413" t="str">
        <f>IF(AND(PROCESSOS!B413&lt;&gt;"",ISNUMBER(PROCESSOS!D413),OR(FiltroResp="TODOS",FiltroResp="",PROCESSOS!H413=FiltroResp)),PROCESSOS!D413+ROW()/1000000,"")</f>
        <v/>
      </c>
    </row>
    <row r="414">
      <c r="BF414" t="str">
        <f>IF(AND(OR(PROCESSOS!O414="NO PRAZO",PROCESSOS!O414="VENCE EM BREVE"),OR(FiltroResp="TODOS",FiltroResp="",PROCESSOS!H414=FiltroResp)),PROCESSOS!M414+ROW()/1000000,"")</f>
        <v/>
      </c>
      <c r="BG414" t="str">
        <f>IF(AND(PROCESSOS!B414&lt;&gt;"",ISNUMBER(PROCESSOS!D414),OR(FiltroResp="TODOS",FiltroResp="",PROCESSOS!H414=FiltroResp)),PROCESSOS!D414+ROW()/1000000,"")</f>
        <v/>
      </c>
    </row>
    <row r="415">
      <c r="BF415" t="str">
        <f>IF(AND(OR(PROCESSOS!O415="NO PRAZO",PROCESSOS!O415="VENCE EM BREVE"),OR(FiltroResp="TODOS",FiltroResp="",PROCESSOS!H415=FiltroResp)),PROCESSOS!M415+ROW()/1000000,"")</f>
        <v/>
      </c>
      <c r="BG415" t="str">
        <f>IF(AND(PROCESSOS!B415&lt;&gt;"",ISNUMBER(PROCESSOS!D415),OR(FiltroResp="TODOS",FiltroResp="",PROCESSOS!H415=FiltroResp)),PROCESSOS!D415+ROW()/1000000,"")</f>
        <v/>
      </c>
    </row>
    <row r="416">
      <c r="BF416" t="str">
        <f>IF(AND(OR(PROCESSOS!O416="NO PRAZO",PROCESSOS!O416="VENCE EM BREVE"),OR(FiltroResp="TODOS",FiltroResp="",PROCESSOS!H416=FiltroResp)),PROCESSOS!M416+ROW()/1000000,"")</f>
        <v/>
      </c>
      <c r="BG416" t="str">
        <f>IF(AND(PROCESSOS!B416&lt;&gt;"",ISNUMBER(PROCESSOS!D416),OR(FiltroResp="TODOS",FiltroResp="",PROCESSOS!H416=FiltroResp)),PROCESSOS!D416+ROW()/1000000,"")</f>
        <v/>
      </c>
    </row>
    <row r="417">
      <c r="BF417" t="str">
        <f>IF(AND(OR(PROCESSOS!O417="NO PRAZO",PROCESSOS!O417="VENCE EM BREVE"),OR(FiltroResp="TODOS",FiltroResp="",PROCESSOS!H417=FiltroResp)),PROCESSOS!M417+ROW()/1000000,"")</f>
        <v/>
      </c>
      <c r="BG417" t="str">
        <f>IF(AND(PROCESSOS!B417&lt;&gt;"",ISNUMBER(PROCESSOS!D417),OR(FiltroResp="TODOS",FiltroResp="",PROCESSOS!H417=FiltroResp)),PROCESSOS!D417+ROW()/1000000,"")</f>
        <v/>
      </c>
    </row>
    <row r="418">
      <c r="BF418" t="str">
        <f>IF(AND(OR(PROCESSOS!O418="NO PRAZO",PROCESSOS!O418="VENCE EM BREVE"),OR(FiltroResp="TODOS",FiltroResp="",PROCESSOS!H418=FiltroResp)),PROCESSOS!M418+ROW()/1000000,"")</f>
        <v/>
      </c>
      <c r="BG418" t="str">
        <f>IF(AND(PROCESSOS!B418&lt;&gt;"",ISNUMBER(PROCESSOS!D418),OR(FiltroResp="TODOS",FiltroResp="",PROCESSOS!H418=FiltroResp)),PROCESSOS!D418+ROW()/1000000,"")</f>
        <v/>
      </c>
    </row>
    <row r="419">
      <c r="BF419" t="str">
        <f>IF(AND(OR(PROCESSOS!O419="NO PRAZO",PROCESSOS!O419="VENCE EM BREVE"),OR(FiltroResp="TODOS",FiltroResp="",PROCESSOS!H419=FiltroResp)),PROCESSOS!M419+ROW()/1000000,"")</f>
        <v/>
      </c>
      <c r="BG419" t="str">
        <f>IF(AND(PROCESSOS!B419&lt;&gt;"",ISNUMBER(PROCESSOS!D419),OR(FiltroResp="TODOS",FiltroResp="",PROCESSOS!H419=FiltroResp)),PROCESSOS!D419+ROW()/1000000,"")</f>
        <v/>
      </c>
    </row>
    <row r="420">
      <c r="BF420" t="str">
        <f>IF(AND(OR(PROCESSOS!O420="NO PRAZO",PROCESSOS!O420="VENCE EM BREVE"),OR(FiltroResp="TODOS",FiltroResp="",PROCESSOS!H420=FiltroResp)),PROCESSOS!M420+ROW()/1000000,"")</f>
        <v/>
      </c>
      <c r="BG420" t="str">
        <f>IF(AND(PROCESSOS!B420&lt;&gt;"",ISNUMBER(PROCESSOS!D420),OR(FiltroResp="TODOS",FiltroResp="",PROCESSOS!H420=FiltroResp)),PROCESSOS!D420+ROW()/1000000,"")</f>
        <v/>
      </c>
    </row>
    <row r="421">
      <c r="BF421" t="str">
        <f>IF(AND(OR(PROCESSOS!O421="NO PRAZO",PROCESSOS!O421="VENCE EM BREVE"),OR(FiltroResp="TODOS",FiltroResp="",PROCESSOS!H421=FiltroResp)),PROCESSOS!M421+ROW()/1000000,"")</f>
        <v/>
      </c>
      <c r="BG421" t="str">
        <f>IF(AND(PROCESSOS!B421&lt;&gt;"",ISNUMBER(PROCESSOS!D421),OR(FiltroResp="TODOS",FiltroResp="",PROCESSOS!H421=FiltroResp)),PROCESSOS!D421+ROW()/1000000,"")</f>
        <v/>
      </c>
    </row>
    <row r="422">
      <c r="BF422" t="str">
        <f>IF(AND(OR(PROCESSOS!O422="NO PRAZO",PROCESSOS!O422="VENCE EM BREVE"),OR(FiltroResp="TODOS",FiltroResp="",PROCESSOS!H422=FiltroResp)),PROCESSOS!M422+ROW()/1000000,"")</f>
        <v/>
      </c>
      <c r="BG422" t="str">
        <f>IF(AND(PROCESSOS!B422&lt;&gt;"",ISNUMBER(PROCESSOS!D422),OR(FiltroResp="TODOS",FiltroResp="",PROCESSOS!H422=FiltroResp)),PROCESSOS!D422+ROW()/1000000,"")</f>
        <v/>
      </c>
    </row>
    <row r="423">
      <c r="BF423" t="str">
        <f>IF(AND(OR(PROCESSOS!O423="NO PRAZO",PROCESSOS!O423="VENCE EM BREVE"),OR(FiltroResp="TODOS",FiltroResp="",PROCESSOS!H423=FiltroResp)),PROCESSOS!M423+ROW()/1000000,"")</f>
        <v/>
      </c>
      <c r="BG423" t="str">
        <f>IF(AND(PROCESSOS!B423&lt;&gt;"",ISNUMBER(PROCESSOS!D423),OR(FiltroResp="TODOS",FiltroResp="",PROCESSOS!H423=FiltroResp)),PROCESSOS!D423+ROW()/1000000,"")</f>
        <v/>
      </c>
    </row>
    <row r="424">
      <c r="BF424" t="str">
        <f>IF(AND(OR(PROCESSOS!O424="NO PRAZO",PROCESSOS!O424="VENCE EM BREVE"),OR(FiltroResp="TODOS",FiltroResp="",PROCESSOS!H424=FiltroResp)),PROCESSOS!M424+ROW()/1000000,"")</f>
        <v/>
      </c>
      <c r="BG424" t="str">
        <f>IF(AND(PROCESSOS!B424&lt;&gt;"",ISNUMBER(PROCESSOS!D424),OR(FiltroResp="TODOS",FiltroResp="",PROCESSOS!H424=FiltroResp)),PROCESSOS!D424+ROW()/1000000,"")</f>
        <v/>
      </c>
    </row>
    <row r="425">
      <c r="BF425" t="str">
        <f>IF(AND(OR(PROCESSOS!O425="NO PRAZO",PROCESSOS!O425="VENCE EM BREVE"),OR(FiltroResp="TODOS",FiltroResp="",PROCESSOS!H425=FiltroResp)),PROCESSOS!M425+ROW()/1000000,"")</f>
        <v/>
      </c>
      <c r="BG425" t="str">
        <f>IF(AND(PROCESSOS!B425&lt;&gt;"",ISNUMBER(PROCESSOS!D425),OR(FiltroResp="TODOS",FiltroResp="",PROCESSOS!H425=FiltroResp)),PROCESSOS!D425+ROW()/1000000,"")</f>
        <v/>
      </c>
    </row>
    <row r="426">
      <c r="BF426" t="str">
        <f>IF(AND(OR(PROCESSOS!O426="NO PRAZO",PROCESSOS!O426="VENCE EM BREVE"),OR(FiltroResp="TODOS",FiltroResp="",PROCESSOS!H426=FiltroResp)),PROCESSOS!M426+ROW()/1000000,"")</f>
        <v/>
      </c>
      <c r="BG426" t="str">
        <f>IF(AND(PROCESSOS!B426&lt;&gt;"",ISNUMBER(PROCESSOS!D426),OR(FiltroResp="TODOS",FiltroResp="",PROCESSOS!H426=FiltroResp)),PROCESSOS!D426+ROW()/1000000,"")</f>
        <v/>
      </c>
    </row>
    <row r="427">
      <c r="BF427" t="str">
        <f>IF(AND(OR(PROCESSOS!O427="NO PRAZO",PROCESSOS!O427="VENCE EM BREVE"),OR(FiltroResp="TODOS",FiltroResp="",PROCESSOS!H427=FiltroResp)),PROCESSOS!M427+ROW()/1000000,"")</f>
        <v/>
      </c>
      <c r="BG427" t="str">
        <f>IF(AND(PROCESSOS!B427&lt;&gt;"",ISNUMBER(PROCESSOS!D427),OR(FiltroResp="TODOS",FiltroResp="",PROCESSOS!H427=FiltroResp)),PROCESSOS!D427+ROW()/1000000,"")</f>
        <v/>
      </c>
    </row>
    <row r="428">
      <c r="BF428" t="str">
        <f>IF(AND(OR(PROCESSOS!O428="NO PRAZO",PROCESSOS!O428="VENCE EM BREVE"),OR(FiltroResp="TODOS",FiltroResp="",PROCESSOS!H428=FiltroResp)),PROCESSOS!M428+ROW()/1000000,"")</f>
        <v/>
      </c>
      <c r="BG428" t="str">
        <f>IF(AND(PROCESSOS!B428&lt;&gt;"",ISNUMBER(PROCESSOS!D428),OR(FiltroResp="TODOS",FiltroResp="",PROCESSOS!H428=FiltroResp)),PROCESSOS!D428+ROW()/1000000,"")</f>
        <v/>
      </c>
    </row>
    <row r="429">
      <c r="BF429" t="str">
        <f>IF(AND(OR(PROCESSOS!O429="NO PRAZO",PROCESSOS!O429="VENCE EM BREVE"),OR(FiltroResp="TODOS",FiltroResp="",PROCESSOS!H429=FiltroResp)),PROCESSOS!M429+ROW()/1000000,"")</f>
        <v/>
      </c>
      <c r="BG429" t="str">
        <f>IF(AND(PROCESSOS!B429&lt;&gt;"",ISNUMBER(PROCESSOS!D429),OR(FiltroResp="TODOS",FiltroResp="",PROCESSOS!H429=FiltroResp)),PROCESSOS!D429+ROW()/1000000,"")</f>
        <v/>
      </c>
    </row>
    <row r="430">
      <c r="BF430" t="str">
        <f>IF(AND(OR(PROCESSOS!O430="NO PRAZO",PROCESSOS!O430="VENCE EM BREVE"),OR(FiltroResp="TODOS",FiltroResp="",PROCESSOS!H430=FiltroResp)),PROCESSOS!M430+ROW()/1000000,"")</f>
        <v/>
      </c>
      <c r="BG430" t="str">
        <f>IF(AND(PROCESSOS!B430&lt;&gt;"",ISNUMBER(PROCESSOS!D430),OR(FiltroResp="TODOS",FiltroResp="",PROCESSOS!H430=FiltroResp)),PROCESSOS!D430+ROW()/1000000,"")</f>
        <v/>
      </c>
    </row>
    <row r="431">
      <c r="BF431" t="str">
        <f>IF(AND(OR(PROCESSOS!O431="NO PRAZO",PROCESSOS!O431="VENCE EM BREVE"),OR(FiltroResp="TODOS",FiltroResp="",PROCESSOS!H431=FiltroResp)),PROCESSOS!M431+ROW()/1000000,"")</f>
        <v/>
      </c>
      <c r="BG431" t="str">
        <f>IF(AND(PROCESSOS!B431&lt;&gt;"",ISNUMBER(PROCESSOS!D431),OR(FiltroResp="TODOS",FiltroResp="",PROCESSOS!H431=FiltroResp)),PROCESSOS!D431+ROW()/1000000,"")</f>
        <v/>
      </c>
    </row>
    <row r="432">
      <c r="BF432" t="str">
        <f>IF(AND(OR(PROCESSOS!O432="NO PRAZO",PROCESSOS!O432="VENCE EM BREVE"),OR(FiltroResp="TODOS",FiltroResp="",PROCESSOS!H432=FiltroResp)),PROCESSOS!M432+ROW()/1000000,"")</f>
        <v/>
      </c>
      <c r="BG432" t="str">
        <f>IF(AND(PROCESSOS!B432&lt;&gt;"",ISNUMBER(PROCESSOS!D432),OR(FiltroResp="TODOS",FiltroResp="",PROCESSOS!H432=FiltroResp)),PROCESSOS!D432+ROW()/1000000,"")</f>
        <v/>
      </c>
    </row>
    <row r="433">
      <c r="BF433" t="str">
        <f>IF(AND(OR(PROCESSOS!O433="NO PRAZO",PROCESSOS!O433="VENCE EM BREVE"),OR(FiltroResp="TODOS",FiltroResp="",PROCESSOS!H433=FiltroResp)),PROCESSOS!M433+ROW()/1000000,"")</f>
        <v/>
      </c>
      <c r="BG433" t="str">
        <f>IF(AND(PROCESSOS!B433&lt;&gt;"",ISNUMBER(PROCESSOS!D433),OR(FiltroResp="TODOS",FiltroResp="",PROCESSOS!H433=FiltroResp)),PROCESSOS!D433+ROW()/1000000,"")</f>
        <v/>
      </c>
    </row>
    <row r="434">
      <c r="BF434" t="str">
        <f>IF(AND(OR(PROCESSOS!O434="NO PRAZO",PROCESSOS!O434="VENCE EM BREVE"),OR(FiltroResp="TODOS",FiltroResp="",PROCESSOS!H434=FiltroResp)),PROCESSOS!M434+ROW()/1000000,"")</f>
        <v/>
      </c>
      <c r="BG434" t="str">
        <f>IF(AND(PROCESSOS!B434&lt;&gt;"",ISNUMBER(PROCESSOS!D434),OR(FiltroResp="TODOS",FiltroResp="",PROCESSOS!H434=FiltroResp)),PROCESSOS!D434+ROW()/1000000,"")</f>
        <v/>
      </c>
    </row>
    <row r="435">
      <c r="BF435" t="str">
        <f>IF(AND(OR(PROCESSOS!O435="NO PRAZO",PROCESSOS!O435="VENCE EM BREVE"),OR(FiltroResp="TODOS",FiltroResp="",PROCESSOS!H435=FiltroResp)),PROCESSOS!M435+ROW()/1000000,"")</f>
        <v/>
      </c>
      <c r="BG435" t="str">
        <f>IF(AND(PROCESSOS!B435&lt;&gt;"",ISNUMBER(PROCESSOS!D435),OR(FiltroResp="TODOS",FiltroResp="",PROCESSOS!H435=FiltroResp)),PROCESSOS!D435+ROW()/1000000,"")</f>
        <v/>
      </c>
    </row>
    <row r="436">
      <c r="BF436" t="str">
        <f>IF(AND(OR(PROCESSOS!O436="NO PRAZO",PROCESSOS!O436="VENCE EM BREVE"),OR(FiltroResp="TODOS",FiltroResp="",PROCESSOS!H436=FiltroResp)),PROCESSOS!M436+ROW()/1000000,"")</f>
        <v/>
      </c>
      <c r="BG436" t="str">
        <f>IF(AND(PROCESSOS!B436&lt;&gt;"",ISNUMBER(PROCESSOS!D436),OR(FiltroResp="TODOS",FiltroResp="",PROCESSOS!H436=FiltroResp)),PROCESSOS!D436+ROW()/1000000,"")</f>
        <v/>
      </c>
    </row>
    <row r="437">
      <c r="BF437" t="str">
        <f>IF(AND(OR(PROCESSOS!O437="NO PRAZO",PROCESSOS!O437="VENCE EM BREVE"),OR(FiltroResp="TODOS",FiltroResp="",PROCESSOS!H437=FiltroResp)),PROCESSOS!M437+ROW()/1000000,"")</f>
        <v/>
      </c>
      <c r="BG437" t="str">
        <f>IF(AND(PROCESSOS!B437&lt;&gt;"",ISNUMBER(PROCESSOS!D437),OR(FiltroResp="TODOS",FiltroResp="",PROCESSOS!H437=FiltroResp)),PROCESSOS!D437+ROW()/1000000,"")</f>
        <v/>
      </c>
    </row>
    <row r="438">
      <c r="BF438" t="str">
        <f>IF(AND(OR(PROCESSOS!O438="NO PRAZO",PROCESSOS!O438="VENCE EM BREVE"),OR(FiltroResp="TODOS",FiltroResp="",PROCESSOS!H438=FiltroResp)),PROCESSOS!M438+ROW()/1000000,"")</f>
        <v/>
      </c>
      <c r="BG438" t="str">
        <f>IF(AND(PROCESSOS!B438&lt;&gt;"",ISNUMBER(PROCESSOS!D438),OR(FiltroResp="TODOS",FiltroResp="",PROCESSOS!H438=FiltroResp)),PROCESSOS!D438+ROW()/1000000,"")</f>
        <v/>
      </c>
    </row>
    <row r="439">
      <c r="BF439" t="str">
        <f>IF(AND(OR(PROCESSOS!O439="NO PRAZO",PROCESSOS!O439="VENCE EM BREVE"),OR(FiltroResp="TODOS",FiltroResp="",PROCESSOS!H439=FiltroResp)),PROCESSOS!M439+ROW()/1000000,"")</f>
        <v/>
      </c>
      <c r="BG439" t="str">
        <f>IF(AND(PROCESSOS!B439&lt;&gt;"",ISNUMBER(PROCESSOS!D439),OR(FiltroResp="TODOS",FiltroResp="",PROCESSOS!H439=FiltroResp)),PROCESSOS!D439+ROW()/1000000,"")</f>
        <v/>
      </c>
    </row>
    <row r="440">
      <c r="BF440" t="str">
        <f>IF(AND(OR(PROCESSOS!O440="NO PRAZO",PROCESSOS!O440="VENCE EM BREVE"),OR(FiltroResp="TODOS",FiltroResp="",PROCESSOS!H440=FiltroResp)),PROCESSOS!M440+ROW()/1000000,"")</f>
        <v/>
      </c>
      <c r="BG440" t="str">
        <f>IF(AND(PROCESSOS!B440&lt;&gt;"",ISNUMBER(PROCESSOS!D440),OR(FiltroResp="TODOS",FiltroResp="",PROCESSOS!H440=FiltroResp)),PROCESSOS!D440+ROW()/1000000,"")</f>
        <v/>
      </c>
    </row>
    <row r="441">
      <c r="BF441" t="str">
        <f>IF(AND(OR(PROCESSOS!O441="NO PRAZO",PROCESSOS!O441="VENCE EM BREVE"),OR(FiltroResp="TODOS",FiltroResp="",PROCESSOS!H441=FiltroResp)),PROCESSOS!M441+ROW()/1000000,"")</f>
        <v/>
      </c>
      <c r="BG441" t="str">
        <f>IF(AND(PROCESSOS!B441&lt;&gt;"",ISNUMBER(PROCESSOS!D441),OR(FiltroResp="TODOS",FiltroResp="",PROCESSOS!H441=FiltroResp)),PROCESSOS!D441+ROW()/1000000,"")</f>
        <v/>
      </c>
    </row>
    <row r="442">
      <c r="BF442" t="str">
        <f>IF(AND(OR(PROCESSOS!O442="NO PRAZO",PROCESSOS!O442="VENCE EM BREVE"),OR(FiltroResp="TODOS",FiltroResp="",PROCESSOS!H442=FiltroResp)),PROCESSOS!M442+ROW()/1000000,"")</f>
        <v/>
      </c>
      <c r="BG442" t="str">
        <f>IF(AND(PROCESSOS!B442&lt;&gt;"",ISNUMBER(PROCESSOS!D442),OR(FiltroResp="TODOS",FiltroResp="",PROCESSOS!H442=FiltroResp)),PROCESSOS!D442+ROW()/1000000,"")</f>
        <v/>
      </c>
    </row>
    <row r="443">
      <c r="BF443" t="str">
        <f>IF(AND(OR(PROCESSOS!O443="NO PRAZO",PROCESSOS!O443="VENCE EM BREVE"),OR(FiltroResp="TODOS",FiltroResp="",PROCESSOS!H443=FiltroResp)),PROCESSOS!M443+ROW()/1000000,"")</f>
        <v/>
      </c>
      <c r="BG443" t="str">
        <f>IF(AND(PROCESSOS!B443&lt;&gt;"",ISNUMBER(PROCESSOS!D443),OR(FiltroResp="TODOS",FiltroResp="",PROCESSOS!H443=FiltroResp)),PROCESSOS!D443+ROW()/1000000,"")</f>
        <v/>
      </c>
    </row>
    <row r="444">
      <c r="BF444" t="str">
        <f>IF(AND(OR(PROCESSOS!O444="NO PRAZO",PROCESSOS!O444="VENCE EM BREVE"),OR(FiltroResp="TODOS",FiltroResp="",PROCESSOS!H444=FiltroResp)),PROCESSOS!M444+ROW()/1000000,"")</f>
        <v/>
      </c>
      <c r="BG444" t="str">
        <f>IF(AND(PROCESSOS!B444&lt;&gt;"",ISNUMBER(PROCESSOS!D444),OR(FiltroResp="TODOS",FiltroResp="",PROCESSOS!H444=FiltroResp)),PROCESSOS!D444+ROW()/1000000,"")</f>
        <v/>
      </c>
    </row>
    <row r="445">
      <c r="BF445" t="str">
        <f>IF(AND(OR(PROCESSOS!O445="NO PRAZO",PROCESSOS!O445="VENCE EM BREVE"),OR(FiltroResp="TODOS",FiltroResp="",PROCESSOS!H445=FiltroResp)),PROCESSOS!M445+ROW()/1000000,"")</f>
        <v/>
      </c>
      <c r="BG445" t="str">
        <f>IF(AND(PROCESSOS!B445&lt;&gt;"",ISNUMBER(PROCESSOS!D445),OR(FiltroResp="TODOS",FiltroResp="",PROCESSOS!H445=FiltroResp)),PROCESSOS!D445+ROW()/1000000,"")</f>
        <v/>
      </c>
    </row>
    <row r="446">
      <c r="BF446" t="str">
        <f>IF(AND(OR(PROCESSOS!O446="NO PRAZO",PROCESSOS!O446="VENCE EM BREVE"),OR(FiltroResp="TODOS",FiltroResp="",PROCESSOS!H446=FiltroResp)),PROCESSOS!M446+ROW()/1000000,"")</f>
        <v/>
      </c>
      <c r="BG446" t="str">
        <f>IF(AND(PROCESSOS!B446&lt;&gt;"",ISNUMBER(PROCESSOS!D446),OR(FiltroResp="TODOS",FiltroResp="",PROCESSOS!H446=FiltroResp)),PROCESSOS!D446+ROW()/1000000,"")</f>
        <v/>
      </c>
    </row>
    <row r="447">
      <c r="BF447" t="str">
        <f>IF(AND(OR(PROCESSOS!O447="NO PRAZO",PROCESSOS!O447="VENCE EM BREVE"),OR(FiltroResp="TODOS",FiltroResp="",PROCESSOS!H447=FiltroResp)),PROCESSOS!M447+ROW()/1000000,"")</f>
        <v/>
      </c>
      <c r="BG447" t="str">
        <f>IF(AND(PROCESSOS!B447&lt;&gt;"",ISNUMBER(PROCESSOS!D447),OR(FiltroResp="TODOS",FiltroResp="",PROCESSOS!H447=FiltroResp)),PROCESSOS!D447+ROW()/1000000,"")</f>
        <v/>
      </c>
    </row>
    <row r="448">
      <c r="BF448" t="str">
        <f>IF(AND(OR(PROCESSOS!O448="NO PRAZO",PROCESSOS!O448="VENCE EM BREVE"),OR(FiltroResp="TODOS",FiltroResp="",PROCESSOS!H448=FiltroResp)),PROCESSOS!M448+ROW()/1000000,"")</f>
        <v/>
      </c>
      <c r="BG448" t="str">
        <f>IF(AND(PROCESSOS!B448&lt;&gt;"",ISNUMBER(PROCESSOS!D448),OR(FiltroResp="TODOS",FiltroResp="",PROCESSOS!H448=FiltroResp)),PROCESSOS!D448+ROW()/1000000,"")</f>
        <v/>
      </c>
    </row>
    <row r="449">
      <c r="BF449" t="str">
        <f>IF(AND(OR(PROCESSOS!O449="NO PRAZO",PROCESSOS!O449="VENCE EM BREVE"),OR(FiltroResp="TODOS",FiltroResp="",PROCESSOS!H449=FiltroResp)),PROCESSOS!M449+ROW()/1000000,"")</f>
        <v/>
      </c>
      <c r="BG449" t="str">
        <f>IF(AND(PROCESSOS!B449&lt;&gt;"",ISNUMBER(PROCESSOS!D449),OR(FiltroResp="TODOS",FiltroResp="",PROCESSOS!H449=FiltroResp)),PROCESSOS!D449+ROW()/1000000,"")</f>
        <v/>
      </c>
    </row>
    <row r="450">
      <c r="BF450" t="str">
        <f>IF(AND(OR(PROCESSOS!O450="NO PRAZO",PROCESSOS!O450="VENCE EM BREVE"),OR(FiltroResp="TODOS",FiltroResp="",PROCESSOS!H450=FiltroResp)),PROCESSOS!M450+ROW()/1000000,"")</f>
        <v/>
      </c>
      <c r="BG450" t="str">
        <f>IF(AND(PROCESSOS!B450&lt;&gt;"",ISNUMBER(PROCESSOS!D450),OR(FiltroResp="TODOS",FiltroResp="",PROCESSOS!H450=FiltroResp)),PROCESSOS!D450+ROW()/1000000,"")</f>
        <v/>
      </c>
    </row>
    <row r="451">
      <c r="BF451" t="str">
        <f>IF(AND(OR(PROCESSOS!O451="NO PRAZO",PROCESSOS!O451="VENCE EM BREVE"),OR(FiltroResp="TODOS",FiltroResp="",PROCESSOS!H451=FiltroResp)),PROCESSOS!M451+ROW()/1000000,"")</f>
        <v/>
      </c>
      <c r="BG451" t="str">
        <f>IF(AND(PROCESSOS!B451&lt;&gt;"",ISNUMBER(PROCESSOS!D451),OR(FiltroResp="TODOS",FiltroResp="",PROCESSOS!H451=FiltroResp)),PROCESSOS!D451+ROW()/1000000,"")</f>
        <v/>
      </c>
    </row>
    <row r="452">
      <c r="BF452" t="str">
        <f>IF(AND(OR(PROCESSOS!O452="NO PRAZO",PROCESSOS!O452="VENCE EM BREVE"),OR(FiltroResp="TODOS",FiltroResp="",PROCESSOS!H452=FiltroResp)),PROCESSOS!M452+ROW()/1000000,"")</f>
        <v/>
      </c>
      <c r="BG452" t="str">
        <f>IF(AND(PROCESSOS!B452&lt;&gt;"",ISNUMBER(PROCESSOS!D452),OR(FiltroResp="TODOS",FiltroResp="",PROCESSOS!H452=FiltroResp)),PROCESSOS!D452+ROW()/1000000,"")</f>
        <v/>
      </c>
    </row>
    <row r="453">
      <c r="BF453" t="str">
        <f>IF(AND(OR(PROCESSOS!O453="NO PRAZO",PROCESSOS!O453="VENCE EM BREVE"),OR(FiltroResp="TODOS",FiltroResp="",PROCESSOS!H453=FiltroResp)),PROCESSOS!M453+ROW()/1000000,"")</f>
        <v/>
      </c>
      <c r="BG453" t="str">
        <f>IF(AND(PROCESSOS!B453&lt;&gt;"",ISNUMBER(PROCESSOS!D453),OR(FiltroResp="TODOS",FiltroResp="",PROCESSOS!H453=FiltroResp)),PROCESSOS!D453+ROW()/1000000,"")</f>
        <v/>
      </c>
    </row>
    <row r="454">
      <c r="BF454" t="str">
        <f>IF(AND(OR(PROCESSOS!O454="NO PRAZO",PROCESSOS!O454="VENCE EM BREVE"),OR(FiltroResp="TODOS",FiltroResp="",PROCESSOS!H454=FiltroResp)),PROCESSOS!M454+ROW()/1000000,"")</f>
        <v/>
      </c>
      <c r="BG454" t="str">
        <f>IF(AND(PROCESSOS!B454&lt;&gt;"",ISNUMBER(PROCESSOS!D454),OR(FiltroResp="TODOS",FiltroResp="",PROCESSOS!H454=FiltroResp)),PROCESSOS!D454+ROW()/1000000,"")</f>
        <v/>
      </c>
    </row>
    <row r="455">
      <c r="BF455" t="str">
        <f>IF(AND(OR(PROCESSOS!O455="NO PRAZO",PROCESSOS!O455="VENCE EM BREVE"),OR(FiltroResp="TODOS",FiltroResp="",PROCESSOS!H455=FiltroResp)),PROCESSOS!M455+ROW()/1000000,"")</f>
        <v/>
      </c>
      <c r="BG455" t="str">
        <f>IF(AND(PROCESSOS!B455&lt;&gt;"",ISNUMBER(PROCESSOS!D455),OR(FiltroResp="TODOS",FiltroResp="",PROCESSOS!H455=FiltroResp)),PROCESSOS!D455+ROW()/1000000,"")</f>
        <v/>
      </c>
    </row>
    <row r="456">
      <c r="BF456" t="str">
        <f>IF(AND(OR(PROCESSOS!O456="NO PRAZO",PROCESSOS!O456="VENCE EM BREVE"),OR(FiltroResp="TODOS",FiltroResp="",PROCESSOS!H456=FiltroResp)),PROCESSOS!M456+ROW()/1000000,"")</f>
        <v/>
      </c>
      <c r="BG456" t="str">
        <f>IF(AND(PROCESSOS!B456&lt;&gt;"",ISNUMBER(PROCESSOS!D456),OR(FiltroResp="TODOS",FiltroResp="",PROCESSOS!H456=FiltroResp)),PROCESSOS!D456+ROW()/1000000,"")</f>
        <v/>
      </c>
    </row>
    <row r="457">
      <c r="BF457" t="str">
        <f>IF(AND(OR(PROCESSOS!O457="NO PRAZO",PROCESSOS!O457="VENCE EM BREVE"),OR(FiltroResp="TODOS",FiltroResp="",PROCESSOS!H457=FiltroResp)),PROCESSOS!M457+ROW()/1000000,"")</f>
        <v/>
      </c>
      <c r="BG457" t="str">
        <f>IF(AND(PROCESSOS!B457&lt;&gt;"",ISNUMBER(PROCESSOS!D457),OR(FiltroResp="TODOS",FiltroResp="",PROCESSOS!H457=FiltroResp)),PROCESSOS!D457+ROW()/1000000,"")</f>
        <v/>
      </c>
    </row>
    <row r="458">
      <c r="BF458" t="str">
        <f>IF(AND(OR(PROCESSOS!O458="NO PRAZO",PROCESSOS!O458="VENCE EM BREVE"),OR(FiltroResp="TODOS",FiltroResp="",PROCESSOS!H458=FiltroResp)),PROCESSOS!M458+ROW()/1000000,"")</f>
        <v/>
      </c>
      <c r="BG458" t="str">
        <f>IF(AND(PROCESSOS!B458&lt;&gt;"",ISNUMBER(PROCESSOS!D458),OR(FiltroResp="TODOS",FiltroResp="",PROCESSOS!H458=FiltroResp)),PROCESSOS!D458+ROW()/1000000,"")</f>
        <v/>
      </c>
    </row>
    <row r="459">
      <c r="BF459" t="str">
        <f>IF(AND(OR(PROCESSOS!O459="NO PRAZO",PROCESSOS!O459="VENCE EM BREVE"),OR(FiltroResp="TODOS",FiltroResp="",PROCESSOS!H459=FiltroResp)),PROCESSOS!M459+ROW()/1000000,"")</f>
        <v/>
      </c>
      <c r="BG459" t="str">
        <f>IF(AND(PROCESSOS!B459&lt;&gt;"",ISNUMBER(PROCESSOS!D459),OR(FiltroResp="TODOS",FiltroResp="",PROCESSOS!H459=FiltroResp)),PROCESSOS!D459+ROW()/1000000,"")</f>
        <v/>
      </c>
    </row>
    <row r="460">
      <c r="BF460" t="str">
        <f>IF(AND(OR(PROCESSOS!O460="NO PRAZO",PROCESSOS!O460="VENCE EM BREVE"),OR(FiltroResp="TODOS",FiltroResp="",PROCESSOS!H460=FiltroResp)),PROCESSOS!M460+ROW()/1000000,"")</f>
        <v/>
      </c>
      <c r="BG460" t="str">
        <f>IF(AND(PROCESSOS!B460&lt;&gt;"",ISNUMBER(PROCESSOS!D460),OR(FiltroResp="TODOS",FiltroResp="",PROCESSOS!H460=FiltroResp)),PROCESSOS!D460+ROW()/1000000,"")</f>
        <v/>
      </c>
    </row>
    <row r="461">
      <c r="BF461" t="str">
        <f>IF(AND(OR(PROCESSOS!O461="NO PRAZO",PROCESSOS!O461="VENCE EM BREVE"),OR(FiltroResp="TODOS",FiltroResp="",PROCESSOS!H461=FiltroResp)),PROCESSOS!M461+ROW()/1000000,"")</f>
        <v/>
      </c>
      <c r="BG461" t="str">
        <f>IF(AND(PROCESSOS!B461&lt;&gt;"",ISNUMBER(PROCESSOS!D461),OR(FiltroResp="TODOS",FiltroResp="",PROCESSOS!H461=FiltroResp)),PROCESSOS!D461+ROW()/1000000,"")</f>
        <v/>
      </c>
    </row>
    <row r="462">
      <c r="BF462" t="str">
        <f>IF(AND(OR(PROCESSOS!O462="NO PRAZO",PROCESSOS!O462="VENCE EM BREVE"),OR(FiltroResp="TODOS",FiltroResp="",PROCESSOS!H462=FiltroResp)),PROCESSOS!M462+ROW()/1000000,"")</f>
        <v/>
      </c>
      <c r="BG462" t="str">
        <f>IF(AND(PROCESSOS!B462&lt;&gt;"",ISNUMBER(PROCESSOS!D462),OR(FiltroResp="TODOS",FiltroResp="",PROCESSOS!H462=FiltroResp)),PROCESSOS!D462+ROW()/1000000,"")</f>
        <v/>
      </c>
    </row>
    <row r="463">
      <c r="BF463" t="str">
        <f>IF(AND(OR(PROCESSOS!O463="NO PRAZO",PROCESSOS!O463="VENCE EM BREVE"),OR(FiltroResp="TODOS",FiltroResp="",PROCESSOS!H463=FiltroResp)),PROCESSOS!M463+ROW()/1000000,"")</f>
        <v/>
      </c>
      <c r="BG463" t="str">
        <f>IF(AND(PROCESSOS!B463&lt;&gt;"",ISNUMBER(PROCESSOS!D463),OR(FiltroResp="TODOS",FiltroResp="",PROCESSOS!H463=FiltroResp)),PROCESSOS!D463+ROW()/1000000,"")</f>
        <v/>
      </c>
    </row>
    <row r="464">
      <c r="BF464" t="str">
        <f>IF(AND(OR(PROCESSOS!O464="NO PRAZO",PROCESSOS!O464="VENCE EM BREVE"),OR(FiltroResp="TODOS",FiltroResp="",PROCESSOS!H464=FiltroResp)),PROCESSOS!M464+ROW()/1000000,"")</f>
        <v/>
      </c>
      <c r="BG464" t="str">
        <f>IF(AND(PROCESSOS!B464&lt;&gt;"",ISNUMBER(PROCESSOS!D464),OR(FiltroResp="TODOS",FiltroResp="",PROCESSOS!H464=FiltroResp)),PROCESSOS!D464+ROW()/1000000,"")</f>
        <v/>
      </c>
    </row>
    <row r="465">
      <c r="BF465" t="str">
        <f>IF(AND(OR(PROCESSOS!O465="NO PRAZO",PROCESSOS!O465="VENCE EM BREVE"),OR(FiltroResp="TODOS",FiltroResp="",PROCESSOS!H465=FiltroResp)),PROCESSOS!M465+ROW()/1000000,"")</f>
        <v/>
      </c>
      <c r="BG465" t="str">
        <f>IF(AND(PROCESSOS!B465&lt;&gt;"",ISNUMBER(PROCESSOS!D465),OR(FiltroResp="TODOS",FiltroResp="",PROCESSOS!H465=FiltroResp)),PROCESSOS!D465+ROW()/1000000,"")</f>
        <v/>
      </c>
    </row>
    <row r="466">
      <c r="BF466" t="str">
        <f>IF(AND(OR(PROCESSOS!O466="NO PRAZO",PROCESSOS!O466="VENCE EM BREVE"),OR(FiltroResp="TODOS",FiltroResp="",PROCESSOS!H466=FiltroResp)),PROCESSOS!M466+ROW()/1000000,"")</f>
        <v/>
      </c>
      <c r="BG466" t="str">
        <f>IF(AND(PROCESSOS!B466&lt;&gt;"",ISNUMBER(PROCESSOS!D466),OR(FiltroResp="TODOS",FiltroResp="",PROCESSOS!H466=FiltroResp)),PROCESSOS!D466+ROW()/1000000,"")</f>
        <v/>
      </c>
    </row>
    <row r="467">
      <c r="BF467" t="str">
        <f>IF(AND(OR(PROCESSOS!O467="NO PRAZO",PROCESSOS!O467="VENCE EM BREVE"),OR(FiltroResp="TODOS",FiltroResp="",PROCESSOS!H467=FiltroResp)),PROCESSOS!M467+ROW()/1000000,"")</f>
        <v/>
      </c>
      <c r="BG467" t="str">
        <f>IF(AND(PROCESSOS!B467&lt;&gt;"",ISNUMBER(PROCESSOS!D467),OR(FiltroResp="TODOS",FiltroResp="",PROCESSOS!H467=FiltroResp)),PROCESSOS!D467+ROW()/1000000,"")</f>
        <v/>
      </c>
    </row>
    <row r="468">
      <c r="BF468" t="str">
        <f>IF(AND(OR(PROCESSOS!O468="NO PRAZO",PROCESSOS!O468="VENCE EM BREVE"),OR(FiltroResp="TODOS",FiltroResp="",PROCESSOS!H468=FiltroResp)),PROCESSOS!M468+ROW()/1000000,"")</f>
        <v/>
      </c>
      <c r="BG468" t="str">
        <f>IF(AND(PROCESSOS!B468&lt;&gt;"",ISNUMBER(PROCESSOS!D468),OR(FiltroResp="TODOS",FiltroResp="",PROCESSOS!H468=FiltroResp)),PROCESSOS!D468+ROW()/1000000,"")</f>
        <v/>
      </c>
    </row>
    <row r="469">
      <c r="BF469" t="str">
        <f>IF(AND(OR(PROCESSOS!O469="NO PRAZO",PROCESSOS!O469="VENCE EM BREVE"),OR(FiltroResp="TODOS",FiltroResp="",PROCESSOS!H469=FiltroResp)),PROCESSOS!M469+ROW()/1000000,"")</f>
        <v/>
      </c>
      <c r="BG469" t="str">
        <f>IF(AND(PROCESSOS!B469&lt;&gt;"",ISNUMBER(PROCESSOS!D469),OR(FiltroResp="TODOS",FiltroResp="",PROCESSOS!H469=FiltroResp)),PROCESSOS!D469+ROW()/1000000,"")</f>
        <v/>
      </c>
    </row>
    <row r="470">
      <c r="BF470" t="str">
        <f>IF(AND(OR(PROCESSOS!O470="NO PRAZO",PROCESSOS!O470="VENCE EM BREVE"),OR(FiltroResp="TODOS",FiltroResp="",PROCESSOS!H470=FiltroResp)),PROCESSOS!M470+ROW()/1000000,"")</f>
        <v/>
      </c>
      <c r="BG470" t="str">
        <f>IF(AND(PROCESSOS!B470&lt;&gt;"",ISNUMBER(PROCESSOS!D470),OR(FiltroResp="TODOS",FiltroResp="",PROCESSOS!H470=FiltroResp)),PROCESSOS!D470+ROW()/1000000,"")</f>
        <v/>
      </c>
    </row>
    <row r="471">
      <c r="BF471" t="str">
        <f>IF(AND(OR(PROCESSOS!O471="NO PRAZO",PROCESSOS!O471="VENCE EM BREVE"),OR(FiltroResp="TODOS",FiltroResp="",PROCESSOS!H471=FiltroResp)),PROCESSOS!M471+ROW()/1000000,"")</f>
        <v/>
      </c>
      <c r="BG471" t="str">
        <f>IF(AND(PROCESSOS!B471&lt;&gt;"",ISNUMBER(PROCESSOS!D471),OR(FiltroResp="TODOS",FiltroResp="",PROCESSOS!H471=FiltroResp)),PROCESSOS!D471+ROW()/1000000,"")</f>
        <v/>
      </c>
    </row>
    <row r="472">
      <c r="BF472" t="str">
        <f>IF(AND(OR(PROCESSOS!O472="NO PRAZO",PROCESSOS!O472="VENCE EM BREVE"),OR(FiltroResp="TODOS",FiltroResp="",PROCESSOS!H472=FiltroResp)),PROCESSOS!M472+ROW()/1000000,"")</f>
        <v/>
      </c>
      <c r="BG472" t="str">
        <f>IF(AND(PROCESSOS!B472&lt;&gt;"",ISNUMBER(PROCESSOS!D472),OR(FiltroResp="TODOS",FiltroResp="",PROCESSOS!H472=FiltroResp)),PROCESSOS!D472+ROW()/1000000,"")</f>
        <v/>
      </c>
    </row>
    <row r="473">
      <c r="BF473" t="str">
        <f>IF(AND(OR(PROCESSOS!O473="NO PRAZO",PROCESSOS!O473="VENCE EM BREVE"),OR(FiltroResp="TODOS",FiltroResp="",PROCESSOS!H473=FiltroResp)),PROCESSOS!M473+ROW()/1000000,"")</f>
        <v/>
      </c>
      <c r="BG473" t="str">
        <f>IF(AND(PROCESSOS!B473&lt;&gt;"",ISNUMBER(PROCESSOS!D473),OR(FiltroResp="TODOS",FiltroResp="",PROCESSOS!H473=FiltroResp)),PROCESSOS!D473+ROW()/1000000,"")</f>
        <v/>
      </c>
    </row>
    <row r="474">
      <c r="BF474" t="str">
        <f>IF(AND(OR(PROCESSOS!O474="NO PRAZO",PROCESSOS!O474="VENCE EM BREVE"),OR(FiltroResp="TODOS",FiltroResp="",PROCESSOS!H474=FiltroResp)),PROCESSOS!M474+ROW()/1000000,"")</f>
        <v/>
      </c>
      <c r="BG474" t="str">
        <f>IF(AND(PROCESSOS!B474&lt;&gt;"",ISNUMBER(PROCESSOS!D474),OR(FiltroResp="TODOS",FiltroResp="",PROCESSOS!H474=FiltroResp)),PROCESSOS!D474+ROW()/1000000,"")</f>
        <v/>
      </c>
    </row>
    <row r="475">
      <c r="BF475" t="str">
        <f>IF(AND(OR(PROCESSOS!O475="NO PRAZO",PROCESSOS!O475="VENCE EM BREVE"),OR(FiltroResp="TODOS",FiltroResp="",PROCESSOS!H475=FiltroResp)),PROCESSOS!M475+ROW()/1000000,"")</f>
        <v/>
      </c>
      <c r="BG475" t="str">
        <f>IF(AND(PROCESSOS!B475&lt;&gt;"",ISNUMBER(PROCESSOS!D475),OR(FiltroResp="TODOS",FiltroResp="",PROCESSOS!H475=FiltroResp)),PROCESSOS!D475+ROW()/1000000,"")</f>
        <v/>
      </c>
    </row>
    <row r="476">
      <c r="BF476" t="str">
        <f>IF(AND(OR(PROCESSOS!O476="NO PRAZO",PROCESSOS!O476="VENCE EM BREVE"),OR(FiltroResp="TODOS",FiltroResp="",PROCESSOS!H476=FiltroResp)),PROCESSOS!M476+ROW()/1000000,"")</f>
        <v/>
      </c>
      <c r="BG476" t="str">
        <f>IF(AND(PROCESSOS!B476&lt;&gt;"",ISNUMBER(PROCESSOS!D476),OR(FiltroResp="TODOS",FiltroResp="",PROCESSOS!H476=FiltroResp)),PROCESSOS!D476+ROW()/1000000,"")</f>
        <v/>
      </c>
    </row>
    <row r="477">
      <c r="BF477" t="str">
        <f>IF(AND(OR(PROCESSOS!O477="NO PRAZO",PROCESSOS!O477="VENCE EM BREVE"),OR(FiltroResp="TODOS",FiltroResp="",PROCESSOS!H477=FiltroResp)),PROCESSOS!M477+ROW()/1000000,"")</f>
        <v/>
      </c>
      <c r="BG477" t="str">
        <f>IF(AND(PROCESSOS!B477&lt;&gt;"",ISNUMBER(PROCESSOS!D477),OR(FiltroResp="TODOS",FiltroResp="",PROCESSOS!H477=FiltroResp)),PROCESSOS!D477+ROW()/1000000,"")</f>
        <v/>
      </c>
    </row>
    <row r="478">
      <c r="BF478" t="str">
        <f>IF(AND(OR(PROCESSOS!O478="NO PRAZO",PROCESSOS!O478="VENCE EM BREVE"),OR(FiltroResp="TODOS",FiltroResp="",PROCESSOS!H478=FiltroResp)),PROCESSOS!M478+ROW()/1000000,"")</f>
        <v/>
      </c>
      <c r="BG478" t="str">
        <f>IF(AND(PROCESSOS!B478&lt;&gt;"",ISNUMBER(PROCESSOS!D478),OR(FiltroResp="TODOS",FiltroResp="",PROCESSOS!H478=FiltroResp)),PROCESSOS!D478+ROW()/1000000,"")</f>
        <v/>
      </c>
    </row>
    <row r="479">
      <c r="BF479" t="str">
        <f>IF(AND(OR(PROCESSOS!O479="NO PRAZO",PROCESSOS!O479="VENCE EM BREVE"),OR(FiltroResp="TODOS",FiltroResp="",PROCESSOS!H479=FiltroResp)),PROCESSOS!M479+ROW()/1000000,"")</f>
        <v/>
      </c>
      <c r="BG479" t="str">
        <f>IF(AND(PROCESSOS!B479&lt;&gt;"",ISNUMBER(PROCESSOS!D479),OR(FiltroResp="TODOS",FiltroResp="",PROCESSOS!H479=FiltroResp)),PROCESSOS!D479+ROW()/1000000,"")</f>
        <v/>
      </c>
    </row>
    <row r="480">
      <c r="BF480" t="str">
        <f>IF(AND(OR(PROCESSOS!O480="NO PRAZO",PROCESSOS!O480="VENCE EM BREVE"),OR(FiltroResp="TODOS",FiltroResp="",PROCESSOS!H480=FiltroResp)),PROCESSOS!M480+ROW()/1000000,"")</f>
        <v/>
      </c>
      <c r="BG480" t="str">
        <f>IF(AND(PROCESSOS!B480&lt;&gt;"",ISNUMBER(PROCESSOS!D480),OR(FiltroResp="TODOS",FiltroResp="",PROCESSOS!H480=FiltroResp)),PROCESSOS!D480+ROW()/1000000,"")</f>
        <v/>
      </c>
    </row>
    <row r="481">
      <c r="BF481" t="str">
        <f>IF(AND(OR(PROCESSOS!O481="NO PRAZO",PROCESSOS!O481="VENCE EM BREVE"),OR(FiltroResp="TODOS",FiltroResp="",PROCESSOS!H481=FiltroResp)),PROCESSOS!M481+ROW()/1000000,"")</f>
        <v/>
      </c>
      <c r="BG481" t="str">
        <f>IF(AND(PROCESSOS!B481&lt;&gt;"",ISNUMBER(PROCESSOS!D481),OR(FiltroResp="TODOS",FiltroResp="",PROCESSOS!H481=FiltroResp)),PROCESSOS!D481+ROW()/1000000,"")</f>
        <v/>
      </c>
    </row>
    <row r="482">
      <c r="BF482" t="str">
        <f>IF(AND(OR(PROCESSOS!O482="NO PRAZO",PROCESSOS!O482="VENCE EM BREVE"),OR(FiltroResp="TODOS",FiltroResp="",PROCESSOS!H482=FiltroResp)),PROCESSOS!M482+ROW()/1000000,"")</f>
        <v/>
      </c>
      <c r="BG482" t="str">
        <f>IF(AND(PROCESSOS!B482&lt;&gt;"",ISNUMBER(PROCESSOS!D482),OR(FiltroResp="TODOS",FiltroResp="",PROCESSOS!H482=FiltroResp)),PROCESSOS!D482+ROW()/1000000,"")</f>
        <v/>
      </c>
    </row>
    <row r="483">
      <c r="BF483" t="str">
        <f>IF(AND(OR(PROCESSOS!O483="NO PRAZO",PROCESSOS!O483="VENCE EM BREVE"),OR(FiltroResp="TODOS",FiltroResp="",PROCESSOS!H483=FiltroResp)),PROCESSOS!M483+ROW()/1000000,"")</f>
        <v/>
      </c>
      <c r="BG483" t="str">
        <f>IF(AND(PROCESSOS!B483&lt;&gt;"",ISNUMBER(PROCESSOS!D483),OR(FiltroResp="TODOS",FiltroResp="",PROCESSOS!H483=FiltroResp)),PROCESSOS!D483+ROW()/1000000,"")</f>
        <v/>
      </c>
    </row>
    <row r="484">
      <c r="BF484" t="str">
        <f>IF(AND(OR(PROCESSOS!O484="NO PRAZO",PROCESSOS!O484="VENCE EM BREVE"),OR(FiltroResp="TODOS",FiltroResp="",PROCESSOS!H484=FiltroResp)),PROCESSOS!M484+ROW()/1000000,"")</f>
        <v/>
      </c>
      <c r="BG484" t="str">
        <f>IF(AND(PROCESSOS!B484&lt;&gt;"",ISNUMBER(PROCESSOS!D484),OR(FiltroResp="TODOS",FiltroResp="",PROCESSOS!H484=FiltroResp)),PROCESSOS!D484+ROW()/1000000,"")</f>
        <v/>
      </c>
    </row>
    <row r="485">
      <c r="BF485" t="str">
        <f>IF(AND(OR(PROCESSOS!O485="NO PRAZO",PROCESSOS!O485="VENCE EM BREVE"),OR(FiltroResp="TODOS",FiltroResp="",PROCESSOS!H485=FiltroResp)),PROCESSOS!M485+ROW()/1000000,"")</f>
        <v/>
      </c>
      <c r="BG485" t="str">
        <f>IF(AND(PROCESSOS!B485&lt;&gt;"",ISNUMBER(PROCESSOS!D485),OR(FiltroResp="TODOS",FiltroResp="",PROCESSOS!H485=FiltroResp)),PROCESSOS!D485+ROW()/1000000,"")</f>
        <v/>
      </c>
    </row>
    <row r="486">
      <c r="BF486" t="str">
        <f>IF(AND(OR(PROCESSOS!O486="NO PRAZO",PROCESSOS!O486="VENCE EM BREVE"),OR(FiltroResp="TODOS",FiltroResp="",PROCESSOS!H486=FiltroResp)),PROCESSOS!M486+ROW()/1000000,"")</f>
        <v/>
      </c>
      <c r="BG486" t="str">
        <f>IF(AND(PROCESSOS!B486&lt;&gt;"",ISNUMBER(PROCESSOS!D486),OR(FiltroResp="TODOS",FiltroResp="",PROCESSOS!H486=FiltroResp)),PROCESSOS!D486+ROW()/1000000,"")</f>
        <v/>
      </c>
    </row>
    <row r="487">
      <c r="BF487" t="str">
        <f>IF(AND(OR(PROCESSOS!O487="NO PRAZO",PROCESSOS!O487="VENCE EM BREVE"),OR(FiltroResp="TODOS",FiltroResp="",PROCESSOS!H487=FiltroResp)),PROCESSOS!M487+ROW()/1000000,"")</f>
        <v/>
      </c>
      <c r="BG487" t="str">
        <f>IF(AND(PROCESSOS!B487&lt;&gt;"",ISNUMBER(PROCESSOS!D487),OR(FiltroResp="TODOS",FiltroResp="",PROCESSOS!H487=FiltroResp)),PROCESSOS!D487+ROW()/1000000,"")</f>
        <v/>
      </c>
    </row>
    <row r="488">
      <c r="BF488" t="str">
        <f>IF(AND(OR(PROCESSOS!O488="NO PRAZO",PROCESSOS!O488="VENCE EM BREVE"),OR(FiltroResp="TODOS",FiltroResp="",PROCESSOS!H488=FiltroResp)),PROCESSOS!M488+ROW()/1000000,"")</f>
        <v/>
      </c>
      <c r="BG488" t="str">
        <f>IF(AND(PROCESSOS!B488&lt;&gt;"",ISNUMBER(PROCESSOS!D488),OR(FiltroResp="TODOS",FiltroResp="",PROCESSOS!H488=FiltroResp)),PROCESSOS!D488+ROW()/1000000,"")</f>
        <v/>
      </c>
    </row>
    <row r="489">
      <c r="BF489" t="str">
        <f>IF(AND(OR(PROCESSOS!O489="NO PRAZO",PROCESSOS!O489="VENCE EM BREVE"),OR(FiltroResp="TODOS",FiltroResp="",PROCESSOS!H489=FiltroResp)),PROCESSOS!M489+ROW()/1000000,"")</f>
        <v/>
      </c>
      <c r="BG489" t="str">
        <f>IF(AND(PROCESSOS!B489&lt;&gt;"",ISNUMBER(PROCESSOS!D489),OR(FiltroResp="TODOS",FiltroResp="",PROCESSOS!H489=FiltroResp)),PROCESSOS!D489+ROW()/1000000,"")</f>
        <v/>
      </c>
    </row>
    <row r="490">
      <c r="BF490" t="str">
        <f>IF(AND(OR(PROCESSOS!O490="NO PRAZO",PROCESSOS!O490="VENCE EM BREVE"),OR(FiltroResp="TODOS",FiltroResp="",PROCESSOS!H490=FiltroResp)),PROCESSOS!M490+ROW()/1000000,"")</f>
        <v/>
      </c>
      <c r="BG490" t="str">
        <f>IF(AND(PROCESSOS!B490&lt;&gt;"",ISNUMBER(PROCESSOS!D490),OR(FiltroResp="TODOS",FiltroResp="",PROCESSOS!H490=FiltroResp)),PROCESSOS!D490+ROW()/1000000,"")</f>
        <v/>
      </c>
    </row>
    <row r="491">
      <c r="BF491" t="str">
        <f>IF(AND(OR(PROCESSOS!O491="NO PRAZO",PROCESSOS!O491="VENCE EM BREVE"),OR(FiltroResp="TODOS",FiltroResp="",PROCESSOS!H491=FiltroResp)),PROCESSOS!M491+ROW()/1000000,"")</f>
        <v/>
      </c>
      <c r="BG491" t="str">
        <f>IF(AND(PROCESSOS!B491&lt;&gt;"",ISNUMBER(PROCESSOS!D491),OR(FiltroResp="TODOS",FiltroResp="",PROCESSOS!H491=FiltroResp)),PROCESSOS!D491+ROW()/1000000,"")</f>
        <v/>
      </c>
    </row>
    <row r="492">
      <c r="BF492" t="str">
        <f>IF(AND(OR(PROCESSOS!O492="NO PRAZO",PROCESSOS!O492="VENCE EM BREVE"),OR(FiltroResp="TODOS",FiltroResp="",PROCESSOS!H492=FiltroResp)),PROCESSOS!M492+ROW()/1000000,"")</f>
        <v/>
      </c>
      <c r="BG492" t="str">
        <f>IF(AND(PROCESSOS!B492&lt;&gt;"",ISNUMBER(PROCESSOS!D492),OR(FiltroResp="TODOS",FiltroResp="",PROCESSOS!H492=FiltroResp)),PROCESSOS!D492+ROW()/1000000,"")</f>
        <v/>
      </c>
    </row>
    <row r="493">
      <c r="BF493" t="str">
        <f>IF(AND(OR(PROCESSOS!O493="NO PRAZO",PROCESSOS!O493="VENCE EM BREVE"),OR(FiltroResp="TODOS",FiltroResp="",PROCESSOS!H493=FiltroResp)),PROCESSOS!M493+ROW()/1000000,"")</f>
        <v/>
      </c>
      <c r="BG493" t="str">
        <f>IF(AND(PROCESSOS!B493&lt;&gt;"",ISNUMBER(PROCESSOS!D493),OR(FiltroResp="TODOS",FiltroResp="",PROCESSOS!H493=FiltroResp)),PROCESSOS!D493+ROW()/1000000,"")</f>
        <v/>
      </c>
    </row>
    <row r="494">
      <c r="BF494" t="str">
        <f>IF(AND(OR(PROCESSOS!O494="NO PRAZO",PROCESSOS!O494="VENCE EM BREVE"),OR(FiltroResp="TODOS",FiltroResp="",PROCESSOS!H494=FiltroResp)),PROCESSOS!M494+ROW()/1000000,"")</f>
        <v/>
      </c>
      <c r="BG494" t="str">
        <f>IF(AND(PROCESSOS!B494&lt;&gt;"",ISNUMBER(PROCESSOS!D494),OR(FiltroResp="TODOS",FiltroResp="",PROCESSOS!H494=FiltroResp)),PROCESSOS!D494+ROW()/1000000,"")</f>
        <v/>
      </c>
    </row>
    <row r="495">
      <c r="BF495" t="str">
        <f>IF(AND(OR(PROCESSOS!O495="NO PRAZO",PROCESSOS!O495="VENCE EM BREVE"),OR(FiltroResp="TODOS",FiltroResp="",PROCESSOS!H495=FiltroResp)),PROCESSOS!M495+ROW()/1000000,"")</f>
        <v/>
      </c>
      <c r="BG495" t="str">
        <f>IF(AND(PROCESSOS!B495&lt;&gt;"",ISNUMBER(PROCESSOS!D495),OR(FiltroResp="TODOS",FiltroResp="",PROCESSOS!H495=FiltroResp)),PROCESSOS!D495+ROW()/1000000,"")</f>
        <v/>
      </c>
    </row>
    <row r="496">
      <c r="BF496" t="str">
        <f>IF(AND(OR(PROCESSOS!O496="NO PRAZO",PROCESSOS!O496="VENCE EM BREVE"),OR(FiltroResp="TODOS",FiltroResp="",PROCESSOS!H496=FiltroResp)),PROCESSOS!M496+ROW()/1000000,"")</f>
        <v/>
      </c>
      <c r="BG496" t="str">
        <f>IF(AND(PROCESSOS!B496&lt;&gt;"",ISNUMBER(PROCESSOS!D496),OR(FiltroResp="TODOS",FiltroResp="",PROCESSOS!H496=FiltroResp)),PROCESSOS!D496+ROW()/1000000,"")</f>
        <v/>
      </c>
    </row>
    <row r="497">
      <c r="BF497" t="str">
        <f>IF(AND(OR(PROCESSOS!O497="NO PRAZO",PROCESSOS!O497="VENCE EM BREVE"),OR(FiltroResp="TODOS",FiltroResp="",PROCESSOS!H497=FiltroResp)),PROCESSOS!M497+ROW()/1000000,"")</f>
        <v/>
      </c>
      <c r="BG497" t="str">
        <f>IF(AND(PROCESSOS!B497&lt;&gt;"",ISNUMBER(PROCESSOS!D497),OR(FiltroResp="TODOS",FiltroResp="",PROCESSOS!H497=FiltroResp)),PROCESSOS!D497+ROW()/1000000,"")</f>
        <v/>
      </c>
    </row>
    <row r="498">
      <c r="BF498" t="str">
        <f>IF(AND(OR(PROCESSOS!O498="NO PRAZO",PROCESSOS!O498="VENCE EM BREVE"),OR(FiltroResp="TODOS",FiltroResp="",PROCESSOS!H498=FiltroResp)),PROCESSOS!M498+ROW()/1000000,"")</f>
        <v/>
      </c>
      <c r="BG498" t="str">
        <f>IF(AND(PROCESSOS!B498&lt;&gt;"",ISNUMBER(PROCESSOS!D498),OR(FiltroResp="TODOS",FiltroResp="",PROCESSOS!H498=FiltroResp)),PROCESSOS!D498+ROW()/1000000,"")</f>
        <v/>
      </c>
    </row>
    <row r="499">
      <c r="BF499" t="str">
        <f>IF(AND(OR(PROCESSOS!O499="NO PRAZO",PROCESSOS!O499="VENCE EM BREVE"),OR(FiltroResp="TODOS",FiltroResp="",PROCESSOS!H499=FiltroResp)),PROCESSOS!M499+ROW()/1000000,"")</f>
        <v/>
      </c>
      <c r="BG499" t="str">
        <f>IF(AND(PROCESSOS!B499&lt;&gt;"",ISNUMBER(PROCESSOS!D499),OR(FiltroResp="TODOS",FiltroResp="",PROCESSOS!H499=FiltroResp)),PROCESSOS!D499+ROW()/1000000,"")</f>
        <v/>
      </c>
    </row>
    <row r="500">
      <c r="BF500" t="str">
        <f>IF(AND(OR(PROCESSOS!O500="NO PRAZO",PROCESSOS!O500="VENCE EM BREVE"),OR(FiltroResp="TODOS",FiltroResp="",PROCESSOS!H500=FiltroResp)),PROCESSOS!M500+ROW()/1000000,"")</f>
        <v/>
      </c>
      <c r="BG500" t="str">
        <f>IF(AND(PROCESSOS!B500&lt;&gt;"",ISNUMBER(PROCESSOS!D500),OR(FiltroResp="TODOS",FiltroResp="",PROCESSOS!H500=FiltroResp)),PROCESSOS!D500+ROW()/1000000,"")</f>
        <v/>
      </c>
    </row>
    <row r="501">
      <c r="BF501" t="str">
        <f>IF(AND(OR(PROCESSOS!O501="NO PRAZO",PROCESSOS!O501="VENCE EM BREVE"),OR(FiltroResp="TODOS",FiltroResp="",PROCESSOS!H501=FiltroResp)),PROCESSOS!M501+ROW()/1000000,"")</f>
        <v/>
      </c>
      <c r="BG501" t="str">
        <f>IF(AND(PROCESSOS!B501&lt;&gt;"",ISNUMBER(PROCESSOS!D501),OR(FiltroResp="TODOS",FiltroResp="",PROCESSOS!H501=FiltroResp)),PROCESSOS!D501+ROW()/1000000,"")</f>
        <v/>
      </c>
    </row>
    <row r="502">
      <c r="BF502" t="str">
        <f>IF(AND(OR(PROCESSOS!O502="NO PRAZO",PROCESSOS!O502="VENCE EM BREVE"),OR(FiltroResp="TODOS",FiltroResp="",PROCESSOS!H502=FiltroResp)),PROCESSOS!M502+ROW()/1000000,"")</f>
        <v/>
      </c>
      <c r="BG502" t="str">
        <f>IF(AND(PROCESSOS!B502&lt;&gt;"",ISNUMBER(PROCESSOS!D502),OR(FiltroResp="TODOS",FiltroResp="",PROCESSOS!H502=FiltroResp)),PROCESSOS!D502+ROW()/1000000,"")</f>
        <v/>
      </c>
    </row>
    <row r="503">
      <c r="BF503" t="str">
        <f>IF(AND(OR(PROCESSOS!O503="NO PRAZO",PROCESSOS!O503="VENCE EM BREVE"),OR(FiltroResp="TODOS",FiltroResp="",PROCESSOS!H503=FiltroResp)),PROCESSOS!M503+ROW()/1000000,"")</f>
        <v/>
      </c>
      <c r="BG503" t="str">
        <f>IF(AND(PROCESSOS!B503&lt;&gt;"",ISNUMBER(PROCESSOS!D503),OR(FiltroResp="TODOS",FiltroResp="",PROCESSOS!H503=FiltroResp)),PROCESSOS!D503+ROW()/1000000,"")</f>
        <v/>
      </c>
    </row>
    <row r="504">
      <c r="BF504" t="str">
        <f>IF(AND(OR(PROCESSOS!O504="NO PRAZO",PROCESSOS!O504="VENCE EM BREVE"),OR(FiltroResp="TODOS",FiltroResp="",PROCESSOS!H504=FiltroResp)),PROCESSOS!M504+ROW()/1000000,"")</f>
        <v/>
      </c>
      <c r="BG504" t="str">
        <f>IF(AND(PROCESSOS!B504&lt;&gt;"",ISNUMBER(PROCESSOS!D504),OR(FiltroResp="TODOS",FiltroResp="",PROCESSOS!H504=FiltroResp)),PROCESSOS!D504+ROW()/1000000,"")</f>
        <v/>
      </c>
    </row>
    <row r="505">
      <c r="BF505" t="str">
        <f>IF(AND(OR(PROCESSOS!O505="NO PRAZO",PROCESSOS!O505="VENCE EM BREVE"),OR(FiltroResp="TODOS",FiltroResp="",PROCESSOS!H505=FiltroResp)),PROCESSOS!M505+ROW()/1000000,"")</f>
        <v/>
      </c>
      <c r="BG505" t="str">
        <f>IF(AND(PROCESSOS!B505&lt;&gt;"",ISNUMBER(PROCESSOS!D505),OR(FiltroResp="TODOS",FiltroResp="",PROCESSOS!H505=FiltroResp)),PROCESSOS!D505+ROW()/1000000,"")</f>
        <v/>
      </c>
    </row>
    <row r="506">
      <c r="BF506" t="str">
        <f>IF(AND(OR(PROCESSOS!O506="NO PRAZO",PROCESSOS!O506="VENCE EM BREVE"),OR(FiltroResp="TODOS",FiltroResp="",PROCESSOS!H506=FiltroResp)),PROCESSOS!M506+ROW()/1000000,"")</f>
        <v/>
      </c>
      <c r="BG506" t="str">
        <f>IF(AND(PROCESSOS!B506&lt;&gt;"",ISNUMBER(PROCESSOS!D506),OR(FiltroResp="TODOS",FiltroResp="",PROCESSOS!H506=FiltroResp)),PROCESSOS!D506+ROW()/1000000,"")</f>
        <v/>
      </c>
    </row>
    <row r="507">
      <c r="BF507" t="str">
        <f>IF(AND(OR(PROCESSOS!O507="NO PRAZO",PROCESSOS!O507="VENCE EM BREVE"),OR(FiltroResp="TODOS",FiltroResp="",PROCESSOS!H507=FiltroResp)),PROCESSOS!M507+ROW()/1000000,"")</f>
        <v/>
      </c>
      <c r="BG507" t="str">
        <f>IF(AND(PROCESSOS!B507&lt;&gt;"",ISNUMBER(PROCESSOS!D507),OR(FiltroResp="TODOS",FiltroResp="",PROCESSOS!H507=FiltroResp)),PROCESSOS!D507+ROW()/1000000,"")</f>
        <v/>
      </c>
    </row>
    <row r="508">
      <c r="BF508" t="str">
        <f>IF(AND(OR(PROCESSOS!O508="NO PRAZO",PROCESSOS!O508="VENCE EM BREVE"),OR(FiltroResp="TODOS",FiltroResp="",PROCESSOS!H508=FiltroResp)),PROCESSOS!M508+ROW()/1000000,"")</f>
        <v/>
      </c>
      <c r="BG508" t="str">
        <f>IF(AND(PROCESSOS!B508&lt;&gt;"",ISNUMBER(PROCESSOS!D508),OR(FiltroResp="TODOS",FiltroResp="",PROCESSOS!H508=FiltroResp)),PROCESSOS!D508+ROW()/1000000,"")</f>
        <v/>
      </c>
    </row>
    <row r="509">
      <c r="BF509" t="str">
        <f>IF(AND(OR(PROCESSOS!O509="NO PRAZO",PROCESSOS!O509="VENCE EM BREVE"),OR(FiltroResp="TODOS",FiltroResp="",PROCESSOS!H509=FiltroResp)),PROCESSOS!M509+ROW()/1000000,"")</f>
        <v/>
      </c>
      <c r="BG509" t="str">
        <f>IF(AND(PROCESSOS!B509&lt;&gt;"",ISNUMBER(PROCESSOS!D509),OR(FiltroResp="TODOS",FiltroResp="",PROCESSOS!H509=FiltroResp)),PROCESSOS!D509+ROW()/1000000,"")</f>
        <v/>
      </c>
    </row>
    <row r="510">
      <c r="BF510" t="str">
        <f>IF(AND(OR(PROCESSOS!O510="NO PRAZO",PROCESSOS!O510="VENCE EM BREVE"),OR(FiltroResp="TODOS",FiltroResp="",PROCESSOS!H510=FiltroResp)),PROCESSOS!M510+ROW()/1000000,"")</f>
        <v/>
      </c>
      <c r="BG510" t="str">
        <f>IF(AND(PROCESSOS!B510&lt;&gt;"",ISNUMBER(PROCESSOS!D510),OR(FiltroResp="TODOS",FiltroResp="",PROCESSOS!H510=FiltroResp)),PROCESSOS!D510+ROW()/1000000,"")</f>
        <v/>
      </c>
    </row>
    <row r="511">
      <c r="BF511" t="str">
        <f>IF(AND(OR(PROCESSOS!O511="NO PRAZO",PROCESSOS!O511="VENCE EM BREVE"),OR(FiltroResp="TODOS",FiltroResp="",PROCESSOS!H511=FiltroResp)),PROCESSOS!M511+ROW()/1000000,"")</f>
        <v/>
      </c>
      <c r="BG511" t="str">
        <f>IF(AND(PROCESSOS!B511&lt;&gt;"",ISNUMBER(PROCESSOS!D511),OR(FiltroResp="TODOS",FiltroResp="",PROCESSOS!H511=FiltroResp)),PROCESSOS!D511+ROW()/1000000,"")</f>
        <v/>
      </c>
    </row>
    <row r="512">
      <c r="BF512" t="str">
        <f>IF(AND(OR(PROCESSOS!O512="NO PRAZO",PROCESSOS!O512="VENCE EM BREVE"),OR(FiltroResp="TODOS",FiltroResp="",PROCESSOS!H512=FiltroResp)),PROCESSOS!M512+ROW()/1000000,"")</f>
        <v/>
      </c>
      <c r="BG512" t="str">
        <f>IF(AND(PROCESSOS!B512&lt;&gt;"",ISNUMBER(PROCESSOS!D512),OR(FiltroResp="TODOS",FiltroResp="",PROCESSOS!H512=FiltroResp)),PROCESSOS!D512+ROW()/1000000,"")</f>
        <v/>
      </c>
    </row>
    <row r="513">
      <c r="BF513" t="str">
        <f>IF(AND(OR(PROCESSOS!O513="NO PRAZO",PROCESSOS!O513="VENCE EM BREVE"),OR(FiltroResp="TODOS",FiltroResp="",PROCESSOS!H513=FiltroResp)),PROCESSOS!M513+ROW()/1000000,"")</f>
        <v/>
      </c>
      <c r="BG513" t="str">
        <f>IF(AND(PROCESSOS!B513&lt;&gt;"",ISNUMBER(PROCESSOS!D513),OR(FiltroResp="TODOS",FiltroResp="",PROCESSOS!H513=FiltroResp)),PROCESSOS!D513+ROW()/1000000,"")</f>
        <v/>
      </c>
    </row>
    <row r="514">
      <c r="BF514" t="str">
        <f>IF(AND(OR(PROCESSOS!O514="NO PRAZO",PROCESSOS!O514="VENCE EM BREVE"),OR(FiltroResp="TODOS",FiltroResp="",PROCESSOS!H514=FiltroResp)),PROCESSOS!M514+ROW()/1000000,"")</f>
        <v/>
      </c>
      <c r="BG514" t="str">
        <f>IF(AND(PROCESSOS!B514&lt;&gt;"",ISNUMBER(PROCESSOS!D514),OR(FiltroResp="TODOS",FiltroResp="",PROCESSOS!H514=FiltroResp)),PROCESSOS!D514+ROW()/1000000,"")</f>
        <v/>
      </c>
    </row>
    <row r="515">
      <c r="BF515" t="str">
        <f>IF(AND(OR(PROCESSOS!O515="NO PRAZO",PROCESSOS!O515="VENCE EM BREVE"),OR(FiltroResp="TODOS",FiltroResp="",PROCESSOS!H515=FiltroResp)),PROCESSOS!M515+ROW()/1000000,"")</f>
        <v/>
      </c>
      <c r="BG515" t="str">
        <f>IF(AND(PROCESSOS!B515&lt;&gt;"",ISNUMBER(PROCESSOS!D515),OR(FiltroResp="TODOS",FiltroResp="",PROCESSOS!H515=FiltroResp)),PROCESSOS!D515+ROW()/1000000,"")</f>
        <v/>
      </c>
    </row>
    <row r="516">
      <c r="BF516" t="str">
        <f>IF(AND(OR(PROCESSOS!O516="NO PRAZO",PROCESSOS!O516="VENCE EM BREVE"),OR(FiltroResp="TODOS",FiltroResp="",PROCESSOS!H516=FiltroResp)),PROCESSOS!M516+ROW()/1000000,"")</f>
        <v/>
      </c>
      <c r="BG516" t="str">
        <f>IF(AND(PROCESSOS!B516&lt;&gt;"",ISNUMBER(PROCESSOS!D516),OR(FiltroResp="TODOS",FiltroResp="",PROCESSOS!H516=FiltroResp)),PROCESSOS!D516+ROW()/1000000,"")</f>
        <v/>
      </c>
    </row>
    <row r="517">
      <c r="BF517" t="str">
        <f>IF(AND(OR(PROCESSOS!O517="NO PRAZO",PROCESSOS!O517="VENCE EM BREVE"),OR(FiltroResp="TODOS",FiltroResp="",PROCESSOS!H517=FiltroResp)),PROCESSOS!M517+ROW()/1000000,"")</f>
        <v/>
      </c>
      <c r="BG517" t="str">
        <f>IF(AND(PROCESSOS!B517&lt;&gt;"",ISNUMBER(PROCESSOS!D517),OR(FiltroResp="TODOS",FiltroResp="",PROCESSOS!H517=FiltroResp)),PROCESSOS!D517+ROW()/1000000,"")</f>
        <v/>
      </c>
    </row>
    <row r="518">
      <c r="BF518" t="str">
        <f>IF(AND(OR(PROCESSOS!O518="NO PRAZO",PROCESSOS!O518="VENCE EM BREVE"),OR(FiltroResp="TODOS",FiltroResp="",PROCESSOS!H518=FiltroResp)),PROCESSOS!M518+ROW()/1000000,"")</f>
        <v/>
      </c>
      <c r="BG518" t="str">
        <f>IF(AND(PROCESSOS!B518&lt;&gt;"",ISNUMBER(PROCESSOS!D518),OR(FiltroResp="TODOS",FiltroResp="",PROCESSOS!H518=FiltroResp)),PROCESSOS!D518+ROW()/1000000,"")</f>
        <v/>
      </c>
    </row>
    <row r="519">
      <c r="BF519" t="str">
        <f>IF(AND(OR(PROCESSOS!O519="NO PRAZO",PROCESSOS!O519="VENCE EM BREVE"),OR(FiltroResp="TODOS",FiltroResp="",PROCESSOS!H519=FiltroResp)),PROCESSOS!M519+ROW()/1000000,"")</f>
        <v/>
      </c>
      <c r="BG519" t="str">
        <f>IF(AND(PROCESSOS!B519&lt;&gt;"",ISNUMBER(PROCESSOS!D519),OR(FiltroResp="TODOS",FiltroResp="",PROCESSOS!H519=FiltroResp)),PROCESSOS!D519+ROW()/1000000,"")</f>
        <v/>
      </c>
    </row>
    <row r="520">
      <c r="BF520" t="str">
        <f>IF(AND(OR(PROCESSOS!O520="NO PRAZO",PROCESSOS!O520="VENCE EM BREVE"),OR(FiltroResp="TODOS",FiltroResp="",PROCESSOS!H520=FiltroResp)),PROCESSOS!M520+ROW()/1000000,"")</f>
        <v/>
      </c>
      <c r="BG520" t="str">
        <f>IF(AND(PROCESSOS!B520&lt;&gt;"",ISNUMBER(PROCESSOS!D520),OR(FiltroResp="TODOS",FiltroResp="",PROCESSOS!H520=FiltroResp)),PROCESSOS!D520+ROW()/1000000,"")</f>
        <v/>
      </c>
    </row>
    <row r="521">
      <c r="BF521" t="str">
        <f>IF(AND(OR(PROCESSOS!O521="NO PRAZO",PROCESSOS!O521="VENCE EM BREVE"),OR(FiltroResp="TODOS",FiltroResp="",PROCESSOS!H521=FiltroResp)),PROCESSOS!M521+ROW()/1000000,"")</f>
        <v/>
      </c>
      <c r="BG521" t="str">
        <f>IF(AND(PROCESSOS!B521&lt;&gt;"",ISNUMBER(PROCESSOS!D521),OR(FiltroResp="TODOS",FiltroResp="",PROCESSOS!H521=FiltroResp)),PROCESSOS!D521+ROW()/1000000,"")</f>
        <v/>
      </c>
    </row>
    <row r="522">
      <c r="BF522" t="str">
        <f>IF(AND(OR(PROCESSOS!O522="NO PRAZO",PROCESSOS!O522="VENCE EM BREVE"),OR(FiltroResp="TODOS",FiltroResp="",PROCESSOS!H522=FiltroResp)),PROCESSOS!M522+ROW()/1000000,"")</f>
        <v/>
      </c>
      <c r="BG522" t="str">
        <f>IF(AND(PROCESSOS!B522&lt;&gt;"",ISNUMBER(PROCESSOS!D522),OR(FiltroResp="TODOS",FiltroResp="",PROCESSOS!H522=FiltroResp)),PROCESSOS!D522+ROW()/1000000,"")</f>
        <v/>
      </c>
    </row>
    <row r="523">
      <c r="BF523" t="str">
        <f>IF(AND(OR(PROCESSOS!O523="NO PRAZO",PROCESSOS!O523="VENCE EM BREVE"),OR(FiltroResp="TODOS",FiltroResp="",PROCESSOS!H523=FiltroResp)),PROCESSOS!M523+ROW()/1000000,"")</f>
        <v/>
      </c>
      <c r="BG523" t="str">
        <f>IF(AND(PROCESSOS!B523&lt;&gt;"",ISNUMBER(PROCESSOS!D523),OR(FiltroResp="TODOS",FiltroResp="",PROCESSOS!H523=FiltroResp)),PROCESSOS!D523+ROW()/1000000,"")</f>
        <v/>
      </c>
    </row>
    <row r="524">
      <c r="BF524" t="str">
        <f>IF(AND(OR(PROCESSOS!O524="NO PRAZO",PROCESSOS!O524="VENCE EM BREVE"),OR(FiltroResp="TODOS",FiltroResp="",PROCESSOS!H524=FiltroResp)),PROCESSOS!M524+ROW()/1000000,"")</f>
        <v/>
      </c>
      <c r="BG524" t="str">
        <f>IF(AND(PROCESSOS!B524&lt;&gt;"",ISNUMBER(PROCESSOS!D524),OR(FiltroResp="TODOS",FiltroResp="",PROCESSOS!H524=FiltroResp)),PROCESSOS!D524+ROW()/1000000,"")</f>
        <v/>
      </c>
    </row>
    <row r="525">
      <c r="BF525" t="str">
        <f>IF(AND(OR(PROCESSOS!O525="NO PRAZO",PROCESSOS!O525="VENCE EM BREVE"),OR(FiltroResp="TODOS",FiltroResp="",PROCESSOS!H525=FiltroResp)),PROCESSOS!M525+ROW()/1000000,"")</f>
        <v/>
      </c>
      <c r="BG525" t="str">
        <f>IF(AND(PROCESSOS!B525&lt;&gt;"",ISNUMBER(PROCESSOS!D525),OR(FiltroResp="TODOS",FiltroResp="",PROCESSOS!H525=FiltroResp)),PROCESSOS!D525+ROW()/1000000,"")</f>
        <v/>
      </c>
    </row>
    <row r="526">
      <c r="BF526" t="str">
        <f>IF(AND(OR(PROCESSOS!O526="NO PRAZO",PROCESSOS!O526="VENCE EM BREVE"),OR(FiltroResp="TODOS",FiltroResp="",PROCESSOS!H526=FiltroResp)),PROCESSOS!M526+ROW()/1000000,"")</f>
        <v/>
      </c>
      <c r="BG526" t="str">
        <f>IF(AND(PROCESSOS!B526&lt;&gt;"",ISNUMBER(PROCESSOS!D526),OR(FiltroResp="TODOS",FiltroResp="",PROCESSOS!H526=FiltroResp)),PROCESSOS!D526+ROW()/1000000,"")</f>
        <v/>
      </c>
    </row>
    <row r="527">
      <c r="BF527" t="str">
        <f>IF(AND(OR(PROCESSOS!O527="NO PRAZO",PROCESSOS!O527="VENCE EM BREVE"),OR(FiltroResp="TODOS",FiltroResp="",PROCESSOS!H527=FiltroResp)),PROCESSOS!M527+ROW()/1000000,"")</f>
        <v/>
      </c>
      <c r="BG527" t="str">
        <f>IF(AND(PROCESSOS!B527&lt;&gt;"",ISNUMBER(PROCESSOS!D527),OR(FiltroResp="TODOS",FiltroResp="",PROCESSOS!H527=FiltroResp)),PROCESSOS!D527+ROW()/1000000,"")</f>
        <v/>
      </c>
    </row>
    <row r="528">
      <c r="BF528" t="str">
        <f>IF(AND(OR(PROCESSOS!O528="NO PRAZO",PROCESSOS!O528="VENCE EM BREVE"),OR(FiltroResp="TODOS",FiltroResp="",PROCESSOS!H528=FiltroResp)),PROCESSOS!M528+ROW()/1000000,"")</f>
        <v/>
      </c>
      <c r="BG528" t="str">
        <f>IF(AND(PROCESSOS!B528&lt;&gt;"",ISNUMBER(PROCESSOS!D528),OR(FiltroResp="TODOS",FiltroResp="",PROCESSOS!H528=FiltroResp)),PROCESSOS!D528+ROW()/1000000,"")</f>
        <v/>
      </c>
    </row>
    <row r="529">
      <c r="BF529" t="str">
        <f>IF(AND(OR(PROCESSOS!O529="NO PRAZO",PROCESSOS!O529="VENCE EM BREVE"),OR(FiltroResp="TODOS",FiltroResp="",PROCESSOS!H529=FiltroResp)),PROCESSOS!M529+ROW()/1000000,"")</f>
        <v/>
      </c>
      <c r="BG529" t="str">
        <f>IF(AND(PROCESSOS!B529&lt;&gt;"",ISNUMBER(PROCESSOS!D529),OR(FiltroResp="TODOS",FiltroResp="",PROCESSOS!H529=FiltroResp)),PROCESSOS!D529+ROW()/1000000,"")</f>
        <v/>
      </c>
    </row>
    <row r="530">
      <c r="BF530" t="str">
        <f>IF(AND(OR(PROCESSOS!O530="NO PRAZO",PROCESSOS!O530="VENCE EM BREVE"),OR(FiltroResp="TODOS",FiltroResp="",PROCESSOS!H530=FiltroResp)),PROCESSOS!M530+ROW()/1000000,"")</f>
        <v/>
      </c>
      <c r="BG530" t="str">
        <f>IF(AND(PROCESSOS!B530&lt;&gt;"",ISNUMBER(PROCESSOS!D530),OR(FiltroResp="TODOS",FiltroResp="",PROCESSOS!H530=FiltroResp)),PROCESSOS!D530+ROW()/1000000,"")</f>
        <v/>
      </c>
    </row>
    <row r="531">
      <c r="BF531" t="str">
        <f>IF(AND(OR(PROCESSOS!O531="NO PRAZO",PROCESSOS!O531="VENCE EM BREVE"),OR(FiltroResp="TODOS",FiltroResp="",PROCESSOS!H531=FiltroResp)),PROCESSOS!M531+ROW()/1000000,"")</f>
        <v/>
      </c>
      <c r="BG531" t="str">
        <f>IF(AND(PROCESSOS!B531&lt;&gt;"",ISNUMBER(PROCESSOS!D531),OR(FiltroResp="TODOS",FiltroResp="",PROCESSOS!H531=FiltroResp)),PROCESSOS!D531+ROW()/1000000,"")</f>
        <v/>
      </c>
    </row>
    <row r="532">
      <c r="BF532" t="str">
        <f>IF(AND(OR(PROCESSOS!O532="NO PRAZO",PROCESSOS!O532="VENCE EM BREVE"),OR(FiltroResp="TODOS",FiltroResp="",PROCESSOS!H532=FiltroResp)),PROCESSOS!M532+ROW()/1000000,"")</f>
        <v/>
      </c>
      <c r="BG532" t="str">
        <f>IF(AND(PROCESSOS!B532&lt;&gt;"",ISNUMBER(PROCESSOS!D532),OR(FiltroResp="TODOS",FiltroResp="",PROCESSOS!H532=FiltroResp)),PROCESSOS!D532+ROW()/1000000,"")</f>
        <v/>
      </c>
    </row>
    <row r="533">
      <c r="BF533" t="str">
        <f>IF(AND(OR(PROCESSOS!O533="NO PRAZO",PROCESSOS!O533="VENCE EM BREVE"),OR(FiltroResp="TODOS",FiltroResp="",PROCESSOS!H533=FiltroResp)),PROCESSOS!M533+ROW()/1000000,"")</f>
        <v/>
      </c>
      <c r="BG533" t="str">
        <f>IF(AND(PROCESSOS!B533&lt;&gt;"",ISNUMBER(PROCESSOS!D533),OR(FiltroResp="TODOS",FiltroResp="",PROCESSOS!H533=FiltroResp)),PROCESSOS!D533+ROW()/1000000,"")</f>
        <v/>
      </c>
    </row>
    <row r="534">
      <c r="BF534" t="str">
        <f>IF(AND(OR(PROCESSOS!O534="NO PRAZO",PROCESSOS!O534="VENCE EM BREVE"),OR(FiltroResp="TODOS",FiltroResp="",PROCESSOS!H534=FiltroResp)),PROCESSOS!M534+ROW()/1000000,"")</f>
        <v/>
      </c>
      <c r="BG534" t="str">
        <f>IF(AND(PROCESSOS!B534&lt;&gt;"",ISNUMBER(PROCESSOS!D534),OR(FiltroResp="TODOS",FiltroResp="",PROCESSOS!H534=FiltroResp)),PROCESSOS!D534+ROW()/1000000,"")</f>
        <v/>
      </c>
    </row>
    <row r="535">
      <c r="BF535" t="str">
        <f>IF(AND(OR(PROCESSOS!O535="NO PRAZO",PROCESSOS!O535="VENCE EM BREVE"),OR(FiltroResp="TODOS",FiltroResp="",PROCESSOS!H535=FiltroResp)),PROCESSOS!M535+ROW()/1000000,"")</f>
        <v/>
      </c>
      <c r="BG535" t="str">
        <f>IF(AND(PROCESSOS!B535&lt;&gt;"",ISNUMBER(PROCESSOS!D535),OR(FiltroResp="TODOS",FiltroResp="",PROCESSOS!H535=FiltroResp)),PROCESSOS!D535+ROW()/1000000,"")</f>
        <v/>
      </c>
    </row>
    <row r="536">
      <c r="BF536" t="str">
        <f>IF(AND(OR(PROCESSOS!O536="NO PRAZO",PROCESSOS!O536="VENCE EM BREVE"),OR(FiltroResp="TODOS",FiltroResp="",PROCESSOS!H536=FiltroResp)),PROCESSOS!M536+ROW()/1000000,"")</f>
        <v/>
      </c>
      <c r="BG536" t="str">
        <f>IF(AND(PROCESSOS!B536&lt;&gt;"",ISNUMBER(PROCESSOS!D536),OR(FiltroResp="TODOS",FiltroResp="",PROCESSOS!H536=FiltroResp)),PROCESSOS!D536+ROW()/1000000,"")</f>
        <v/>
      </c>
    </row>
    <row r="537">
      <c r="BF537" t="str">
        <f>IF(AND(OR(PROCESSOS!O537="NO PRAZO",PROCESSOS!O537="VENCE EM BREVE"),OR(FiltroResp="TODOS",FiltroResp="",PROCESSOS!H537=FiltroResp)),PROCESSOS!M537+ROW()/1000000,"")</f>
        <v/>
      </c>
      <c r="BG537" t="str">
        <f>IF(AND(PROCESSOS!B537&lt;&gt;"",ISNUMBER(PROCESSOS!D537),OR(FiltroResp="TODOS",FiltroResp="",PROCESSOS!H537=FiltroResp)),PROCESSOS!D537+ROW()/1000000,"")</f>
        <v/>
      </c>
    </row>
    <row r="538">
      <c r="BF538" t="str">
        <f>IF(AND(OR(PROCESSOS!O538="NO PRAZO",PROCESSOS!O538="VENCE EM BREVE"),OR(FiltroResp="TODOS",FiltroResp="",PROCESSOS!H538=FiltroResp)),PROCESSOS!M538+ROW()/1000000,"")</f>
        <v/>
      </c>
      <c r="BG538" t="str">
        <f>IF(AND(PROCESSOS!B538&lt;&gt;"",ISNUMBER(PROCESSOS!D538),OR(FiltroResp="TODOS",FiltroResp="",PROCESSOS!H538=FiltroResp)),PROCESSOS!D538+ROW()/1000000,"")</f>
        <v/>
      </c>
    </row>
    <row r="539">
      <c r="BF539" t="str">
        <f>IF(AND(OR(PROCESSOS!O539="NO PRAZO",PROCESSOS!O539="VENCE EM BREVE"),OR(FiltroResp="TODOS",FiltroResp="",PROCESSOS!H539=FiltroResp)),PROCESSOS!M539+ROW()/1000000,"")</f>
        <v/>
      </c>
      <c r="BG539" t="str">
        <f>IF(AND(PROCESSOS!B539&lt;&gt;"",ISNUMBER(PROCESSOS!D539),OR(FiltroResp="TODOS",FiltroResp="",PROCESSOS!H539=FiltroResp)),PROCESSOS!D539+ROW()/1000000,"")</f>
        <v/>
      </c>
    </row>
    <row r="540">
      <c r="BF540" t="str">
        <f>IF(AND(OR(PROCESSOS!O540="NO PRAZO",PROCESSOS!O540="VENCE EM BREVE"),OR(FiltroResp="TODOS",FiltroResp="",PROCESSOS!H540=FiltroResp)),PROCESSOS!M540+ROW()/1000000,"")</f>
        <v/>
      </c>
      <c r="BG540" t="str">
        <f>IF(AND(PROCESSOS!B540&lt;&gt;"",ISNUMBER(PROCESSOS!D540),OR(FiltroResp="TODOS",FiltroResp="",PROCESSOS!H540=FiltroResp)),PROCESSOS!D540+ROW()/1000000,"")</f>
        <v/>
      </c>
    </row>
    <row r="541">
      <c r="BF541" t="str">
        <f>IF(AND(OR(PROCESSOS!O541="NO PRAZO",PROCESSOS!O541="VENCE EM BREVE"),OR(FiltroResp="TODOS",FiltroResp="",PROCESSOS!H541=FiltroResp)),PROCESSOS!M541+ROW()/1000000,"")</f>
        <v/>
      </c>
      <c r="BG541" t="str">
        <f>IF(AND(PROCESSOS!B541&lt;&gt;"",ISNUMBER(PROCESSOS!D541),OR(FiltroResp="TODOS",FiltroResp="",PROCESSOS!H541=FiltroResp)),PROCESSOS!D541+ROW()/1000000,"")</f>
        <v/>
      </c>
    </row>
    <row r="542">
      <c r="BF542" t="str">
        <f>IF(AND(OR(PROCESSOS!O542="NO PRAZO",PROCESSOS!O542="VENCE EM BREVE"),OR(FiltroResp="TODOS",FiltroResp="",PROCESSOS!H542=FiltroResp)),PROCESSOS!M542+ROW()/1000000,"")</f>
        <v/>
      </c>
      <c r="BG542" t="str">
        <f>IF(AND(PROCESSOS!B542&lt;&gt;"",ISNUMBER(PROCESSOS!D542),OR(FiltroResp="TODOS",FiltroResp="",PROCESSOS!H542=FiltroResp)),PROCESSOS!D542+ROW()/1000000,"")</f>
        <v/>
      </c>
    </row>
    <row r="543">
      <c r="BF543" t="str">
        <f>IF(AND(OR(PROCESSOS!O543="NO PRAZO",PROCESSOS!O543="VENCE EM BREVE"),OR(FiltroResp="TODOS",FiltroResp="",PROCESSOS!H543=FiltroResp)),PROCESSOS!M543+ROW()/1000000,"")</f>
        <v/>
      </c>
      <c r="BG543" t="str">
        <f>IF(AND(PROCESSOS!B543&lt;&gt;"",ISNUMBER(PROCESSOS!D543),OR(FiltroResp="TODOS",FiltroResp="",PROCESSOS!H543=FiltroResp)),PROCESSOS!D543+ROW()/1000000,"")</f>
        <v/>
      </c>
    </row>
    <row r="544">
      <c r="BF544" t="str">
        <f>IF(AND(OR(PROCESSOS!O544="NO PRAZO",PROCESSOS!O544="VENCE EM BREVE"),OR(FiltroResp="TODOS",FiltroResp="",PROCESSOS!H544=FiltroResp)),PROCESSOS!M544+ROW()/1000000,"")</f>
        <v/>
      </c>
      <c r="BG544" t="str">
        <f>IF(AND(PROCESSOS!B544&lt;&gt;"",ISNUMBER(PROCESSOS!D544),OR(FiltroResp="TODOS",FiltroResp="",PROCESSOS!H544=FiltroResp)),PROCESSOS!D544+ROW()/1000000,"")</f>
        <v/>
      </c>
    </row>
    <row r="545">
      <c r="BF545" t="str">
        <f>IF(AND(OR(PROCESSOS!O545="NO PRAZO",PROCESSOS!O545="VENCE EM BREVE"),OR(FiltroResp="TODOS",FiltroResp="",PROCESSOS!H545=FiltroResp)),PROCESSOS!M545+ROW()/1000000,"")</f>
        <v/>
      </c>
      <c r="BG545" t="str">
        <f>IF(AND(PROCESSOS!B545&lt;&gt;"",ISNUMBER(PROCESSOS!D545),OR(FiltroResp="TODOS",FiltroResp="",PROCESSOS!H545=FiltroResp)),PROCESSOS!D545+ROW()/1000000,"")</f>
        <v/>
      </c>
    </row>
    <row r="546">
      <c r="BF546" t="str">
        <f>IF(AND(OR(PROCESSOS!O546="NO PRAZO",PROCESSOS!O546="VENCE EM BREVE"),OR(FiltroResp="TODOS",FiltroResp="",PROCESSOS!H546=FiltroResp)),PROCESSOS!M546+ROW()/1000000,"")</f>
        <v/>
      </c>
      <c r="BG546" t="str">
        <f>IF(AND(PROCESSOS!B546&lt;&gt;"",ISNUMBER(PROCESSOS!D546),OR(FiltroResp="TODOS",FiltroResp="",PROCESSOS!H546=FiltroResp)),PROCESSOS!D546+ROW()/1000000,"")</f>
        <v/>
      </c>
    </row>
    <row r="547">
      <c r="BF547" t="str">
        <f>IF(AND(OR(PROCESSOS!O547="NO PRAZO",PROCESSOS!O547="VENCE EM BREVE"),OR(FiltroResp="TODOS",FiltroResp="",PROCESSOS!H547=FiltroResp)),PROCESSOS!M547+ROW()/1000000,"")</f>
        <v/>
      </c>
      <c r="BG547" t="str">
        <f>IF(AND(PROCESSOS!B547&lt;&gt;"",ISNUMBER(PROCESSOS!D547),OR(FiltroResp="TODOS",FiltroResp="",PROCESSOS!H547=FiltroResp)),PROCESSOS!D547+ROW()/1000000,"")</f>
        <v/>
      </c>
    </row>
    <row r="548">
      <c r="BF548" t="str">
        <f>IF(AND(OR(PROCESSOS!O548="NO PRAZO",PROCESSOS!O548="VENCE EM BREVE"),OR(FiltroResp="TODOS",FiltroResp="",PROCESSOS!H548=FiltroResp)),PROCESSOS!M548+ROW()/1000000,"")</f>
        <v/>
      </c>
      <c r="BG548" t="str">
        <f>IF(AND(PROCESSOS!B548&lt;&gt;"",ISNUMBER(PROCESSOS!D548),OR(FiltroResp="TODOS",FiltroResp="",PROCESSOS!H548=FiltroResp)),PROCESSOS!D548+ROW()/1000000,"")</f>
        <v/>
      </c>
    </row>
    <row r="549">
      <c r="BF549" t="str">
        <f>IF(AND(OR(PROCESSOS!O549="NO PRAZO",PROCESSOS!O549="VENCE EM BREVE"),OR(FiltroResp="TODOS",FiltroResp="",PROCESSOS!H549=FiltroResp)),PROCESSOS!M549+ROW()/1000000,"")</f>
        <v/>
      </c>
      <c r="BG549" t="str">
        <f>IF(AND(PROCESSOS!B549&lt;&gt;"",ISNUMBER(PROCESSOS!D549),OR(FiltroResp="TODOS",FiltroResp="",PROCESSOS!H549=FiltroResp)),PROCESSOS!D549+ROW()/1000000,"")</f>
        <v/>
      </c>
    </row>
    <row r="550">
      <c r="BF550" t="str">
        <f>IF(AND(OR(PROCESSOS!O550="NO PRAZO",PROCESSOS!O550="VENCE EM BREVE"),OR(FiltroResp="TODOS",FiltroResp="",PROCESSOS!H550=FiltroResp)),PROCESSOS!M550+ROW()/1000000,"")</f>
        <v/>
      </c>
      <c r="BG550" t="str">
        <f>IF(AND(PROCESSOS!B550&lt;&gt;"",ISNUMBER(PROCESSOS!D550),OR(FiltroResp="TODOS",FiltroResp="",PROCESSOS!H550=FiltroResp)),PROCESSOS!D550+ROW()/1000000,"")</f>
        <v/>
      </c>
    </row>
    <row r="551">
      <c r="BF551" t="str">
        <f>IF(AND(OR(PROCESSOS!O551="NO PRAZO",PROCESSOS!O551="VENCE EM BREVE"),OR(FiltroResp="TODOS",FiltroResp="",PROCESSOS!H551=FiltroResp)),PROCESSOS!M551+ROW()/1000000,"")</f>
        <v/>
      </c>
      <c r="BG551" t="str">
        <f>IF(AND(PROCESSOS!B551&lt;&gt;"",ISNUMBER(PROCESSOS!D551),OR(FiltroResp="TODOS",FiltroResp="",PROCESSOS!H551=FiltroResp)),PROCESSOS!D551+ROW()/1000000,"")</f>
        <v/>
      </c>
    </row>
    <row r="552">
      <c r="BF552" t="str">
        <f>IF(AND(OR(PROCESSOS!O552="NO PRAZO",PROCESSOS!O552="VENCE EM BREVE"),OR(FiltroResp="TODOS",FiltroResp="",PROCESSOS!H552=FiltroResp)),PROCESSOS!M552+ROW()/1000000,"")</f>
        <v/>
      </c>
      <c r="BG552" t="str">
        <f>IF(AND(PROCESSOS!B552&lt;&gt;"",ISNUMBER(PROCESSOS!D552),OR(FiltroResp="TODOS",FiltroResp="",PROCESSOS!H552=FiltroResp)),PROCESSOS!D552+ROW()/1000000,"")</f>
        <v/>
      </c>
    </row>
    <row r="553">
      <c r="BF553" t="str">
        <f>IF(AND(OR(PROCESSOS!O553="NO PRAZO",PROCESSOS!O553="VENCE EM BREVE"),OR(FiltroResp="TODOS",FiltroResp="",PROCESSOS!H553=FiltroResp)),PROCESSOS!M553+ROW()/1000000,"")</f>
        <v/>
      </c>
      <c r="BG553" t="str">
        <f>IF(AND(PROCESSOS!B553&lt;&gt;"",ISNUMBER(PROCESSOS!D553),OR(FiltroResp="TODOS",FiltroResp="",PROCESSOS!H553=FiltroResp)),PROCESSOS!D553+ROW()/1000000,"")</f>
        <v/>
      </c>
    </row>
    <row r="554">
      <c r="BF554" t="str">
        <f>IF(AND(OR(PROCESSOS!O554="NO PRAZO",PROCESSOS!O554="VENCE EM BREVE"),OR(FiltroResp="TODOS",FiltroResp="",PROCESSOS!H554=FiltroResp)),PROCESSOS!M554+ROW()/1000000,"")</f>
        <v/>
      </c>
      <c r="BG554" t="str">
        <f>IF(AND(PROCESSOS!B554&lt;&gt;"",ISNUMBER(PROCESSOS!D554),OR(FiltroResp="TODOS",FiltroResp="",PROCESSOS!H554=FiltroResp)),PROCESSOS!D554+ROW()/1000000,"")</f>
        <v/>
      </c>
    </row>
    <row r="555">
      <c r="BF555" t="str">
        <f>IF(AND(OR(PROCESSOS!O555="NO PRAZO",PROCESSOS!O555="VENCE EM BREVE"),OR(FiltroResp="TODOS",FiltroResp="",PROCESSOS!H555=FiltroResp)),PROCESSOS!M555+ROW()/1000000,"")</f>
        <v/>
      </c>
      <c r="BG555" t="str">
        <f>IF(AND(PROCESSOS!B555&lt;&gt;"",ISNUMBER(PROCESSOS!D555),OR(FiltroResp="TODOS",FiltroResp="",PROCESSOS!H555=FiltroResp)),PROCESSOS!D555+ROW()/1000000,"")</f>
        <v/>
      </c>
    </row>
    <row r="556">
      <c r="BF556" t="str">
        <f>IF(AND(OR(PROCESSOS!O556="NO PRAZO",PROCESSOS!O556="VENCE EM BREVE"),OR(FiltroResp="TODOS",FiltroResp="",PROCESSOS!H556=FiltroResp)),PROCESSOS!M556+ROW()/1000000,"")</f>
        <v/>
      </c>
      <c r="BG556" t="str">
        <f>IF(AND(PROCESSOS!B556&lt;&gt;"",ISNUMBER(PROCESSOS!D556),OR(FiltroResp="TODOS",FiltroResp="",PROCESSOS!H556=FiltroResp)),PROCESSOS!D556+ROW()/1000000,"")</f>
        <v/>
      </c>
    </row>
    <row r="557">
      <c r="BF557" t="str">
        <f>IF(AND(OR(PROCESSOS!O557="NO PRAZO",PROCESSOS!O557="VENCE EM BREVE"),OR(FiltroResp="TODOS",FiltroResp="",PROCESSOS!H557=FiltroResp)),PROCESSOS!M557+ROW()/1000000,"")</f>
        <v/>
      </c>
      <c r="BG557" t="str">
        <f>IF(AND(PROCESSOS!B557&lt;&gt;"",ISNUMBER(PROCESSOS!D557),OR(FiltroResp="TODOS",FiltroResp="",PROCESSOS!H557=FiltroResp)),PROCESSOS!D557+ROW()/1000000,"")</f>
        <v/>
      </c>
    </row>
    <row r="558">
      <c r="BF558" t="str">
        <f>IF(AND(OR(PROCESSOS!O558="NO PRAZO",PROCESSOS!O558="VENCE EM BREVE"),OR(FiltroResp="TODOS",FiltroResp="",PROCESSOS!H558=FiltroResp)),PROCESSOS!M558+ROW()/1000000,"")</f>
        <v/>
      </c>
      <c r="BG558" t="str">
        <f>IF(AND(PROCESSOS!B558&lt;&gt;"",ISNUMBER(PROCESSOS!D558),OR(FiltroResp="TODOS",FiltroResp="",PROCESSOS!H558=FiltroResp)),PROCESSOS!D558+ROW()/1000000,"")</f>
        <v/>
      </c>
    </row>
    <row r="559">
      <c r="BF559" t="str">
        <f>IF(AND(OR(PROCESSOS!O559="NO PRAZO",PROCESSOS!O559="VENCE EM BREVE"),OR(FiltroResp="TODOS",FiltroResp="",PROCESSOS!H559=FiltroResp)),PROCESSOS!M559+ROW()/1000000,"")</f>
        <v/>
      </c>
      <c r="BG559" t="str">
        <f>IF(AND(PROCESSOS!B559&lt;&gt;"",ISNUMBER(PROCESSOS!D559),OR(FiltroResp="TODOS",FiltroResp="",PROCESSOS!H559=FiltroResp)),PROCESSOS!D559+ROW()/1000000,"")</f>
        <v/>
      </c>
    </row>
    <row r="560">
      <c r="BF560" t="str">
        <f>IF(AND(OR(PROCESSOS!O560="NO PRAZO",PROCESSOS!O560="VENCE EM BREVE"),OR(FiltroResp="TODOS",FiltroResp="",PROCESSOS!H560=FiltroResp)),PROCESSOS!M560+ROW()/1000000,"")</f>
        <v/>
      </c>
      <c r="BG560" t="str">
        <f>IF(AND(PROCESSOS!B560&lt;&gt;"",ISNUMBER(PROCESSOS!D560),OR(FiltroResp="TODOS",FiltroResp="",PROCESSOS!H560=FiltroResp)),PROCESSOS!D560+ROW()/1000000,"")</f>
        <v/>
      </c>
    </row>
    <row r="561">
      <c r="BF561" t="str">
        <f>IF(AND(OR(PROCESSOS!O561="NO PRAZO",PROCESSOS!O561="VENCE EM BREVE"),OR(FiltroResp="TODOS",FiltroResp="",PROCESSOS!H561=FiltroResp)),PROCESSOS!M561+ROW()/1000000,"")</f>
        <v/>
      </c>
      <c r="BG561" t="str">
        <f>IF(AND(PROCESSOS!B561&lt;&gt;"",ISNUMBER(PROCESSOS!D561),OR(FiltroResp="TODOS",FiltroResp="",PROCESSOS!H561=FiltroResp)),PROCESSOS!D561+ROW()/1000000,"")</f>
        <v/>
      </c>
    </row>
    <row r="562">
      <c r="BF562" t="str">
        <f>IF(AND(OR(PROCESSOS!O562="NO PRAZO",PROCESSOS!O562="VENCE EM BREVE"),OR(FiltroResp="TODOS",FiltroResp="",PROCESSOS!H562=FiltroResp)),PROCESSOS!M562+ROW()/1000000,"")</f>
        <v/>
      </c>
      <c r="BG562" t="str">
        <f>IF(AND(PROCESSOS!B562&lt;&gt;"",ISNUMBER(PROCESSOS!D562),OR(FiltroResp="TODOS",FiltroResp="",PROCESSOS!H562=FiltroResp)),PROCESSOS!D562+ROW()/1000000,"")</f>
        <v/>
      </c>
    </row>
    <row r="563">
      <c r="BF563" t="str">
        <f>IF(AND(OR(PROCESSOS!O563="NO PRAZO",PROCESSOS!O563="VENCE EM BREVE"),OR(FiltroResp="TODOS",FiltroResp="",PROCESSOS!H563=FiltroResp)),PROCESSOS!M563+ROW()/1000000,"")</f>
        <v/>
      </c>
      <c r="BG563" t="str">
        <f>IF(AND(PROCESSOS!B563&lt;&gt;"",ISNUMBER(PROCESSOS!D563),OR(FiltroResp="TODOS",FiltroResp="",PROCESSOS!H563=FiltroResp)),PROCESSOS!D563+ROW()/1000000,"")</f>
        <v/>
      </c>
    </row>
    <row r="564">
      <c r="BF564" t="str">
        <f>IF(AND(OR(PROCESSOS!O564="NO PRAZO",PROCESSOS!O564="VENCE EM BREVE"),OR(FiltroResp="TODOS",FiltroResp="",PROCESSOS!H564=FiltroResp)),PROCESSOS!M564+ROW()/1000000,"")</f>
        <v/>
      </c>
      <c r="BG564" t="str">
        <f>IF(AND(PROCESSOS!B564&lt;&gt;"",ISNUMBER(PROCESSOS!D564),OR(FiltroResp="TODOS",FiltroResp="",PROCESSOS!H564=FiltroResp)),PROCESSOS!D564+ROW()/1000000,"")</f>
        <v/>
      </c>
    </row>
    <row r="565">
      <c r="BF565" t="str">
        <f>IF(AND(OR(PROCESSOS!O565="NO PRAZO",PROCESSOS!O565="VENCE EM BREVE"),OR(FiltroResp="TODOS",FiltroResp="",PROCESSOS!H565=FiltroResp)),PROCESSOS!M565+ROW()/1000000,"")</f>
        <v/>
      </c>
      <c r="BG565" t="str">
        <f>IF(AND(PROCESSOS!B565&lt;&gt;"",ISNUMBER(PROCESSOS!D565),OR(FiltroResp="TODOS",FiltroResp="",PROCESSOS!H565=FiltroResp)),PROCESSOS!D565+ROW()/1000000,"")</f>
        <v/>
      </c>
    </row>
    <row r="566">
      <c r="BF566" t="str">
        <f>IF(AND(OR(PROCESSOS!O566="NO PRAZO",PROCESSOS!O566="VENCE EM BREVE"),OR(FiltroResp="TODOS",FiltroResp="",PROCESSOS!H566=FiltroResp)),PROCESSOS!M566+ROW()/1000000,"")</f>
        <v/>
      </c>
      <c r="BG566" t="str">
        <f>IF(AND(PROCESSOS!B566&lt;&gt;"",ISNUMBER(PROCESSOS!D566),OR(FiltroResp="TODOS",FiltroResp="",PROCESSOS!H566=FiltroResp)),PROCESSOS!D566+ROW()/1000000,"")</f>
        <v/>
      </c>
    </row>
    <row r="567">
      <c r="BF567" t="str">
        <f>IF(AND(OR(PROCESSOS!O567="NO PRAZO",PROCESSOS!O567="VENCE EM BREVE"),OR(FiltroResp="TODOS",FiltroResp="",PROCESSOS!H567=FiltroResp)),PROCESSOS!M567+ROW()/1000000,"")</f>
        <v/>
      </c>
      <c r="BG567" t="str">
        <f>IF(AND(PROCESSOS!B567&lt;&gt;"",ISNUMBER(PROCESSOS!D567),OR(FiltroResp="TODOS",FiltroResp="",PROCESSOS!H567=FiltroResp)),PROCESSOS!D567+ROW()/1000000,"")</f>
        <v/>
      </c>
    </row>
    <row r="568">
      <c r="BF568" t="str">
        <f>IF(AND(OR(PROCESSOS!O568="NO PRAZO",PROCESSOS!O568="VENCE EM BREVE"),OR(FiltroResp="TODOS",FiltroResp="",PROCESSOS!H568=FiltroResp)),PROCESSOS!M568+ROW()/1000000,"")</f>
        <v/>
      </c>
      <c r="BG568" t="str">
        <f>IF(AND(PROCESSOS!B568&lt;&gt;"",ISNUMBER(PROCESSOS!D568),OR(FiltroResp="TODOS",FiltroResp="",PROCESSOS!H568=FiltroResp)),PROCESSOS!D568+ROW()/1000000,"")</f>
        <v/>
      </c>
    </row>
    <row r="569">
      <c r="BF569" t="str">
        <f>IF(AND(OR(PROCESSOS!O569="NO PRAZO",PROCESSOS!O569="VENCE EM BREVE"),OR(FiltroResp="TODOS",FiltroResp="",PROCESSOS!H569=FiltroResp)),PROCESSOS!M569+ROW()/1000000,"")</f>
        <v/>
      </c>
      <c r="BG569" t="str">
        <f>IF(AND(PROCESSOS!B569&lt;&gt;"",ISNUMBER(PROCESSOS!D569),OR(FiltroResp="TODOS",FiltroResp="",PROCESSOS!H569=FiltroResp)),PROCESSOS!D569+ROW()/1000000,"")</f>
        <v/>
      </c>
    </row>
    <row r="570">
      <c r="BF570" t="str">
        <f>IF(AND(OR(PROCESSOS!O570="NO PRAZO",PROCESSOS!O570="VENCE EM BREVE"),OR(FiltroResp="TODOS",FiltroResp="",PROCESSOS!H570=FiltroResp)),PROCESSOS!M570+ROW()/1000000,"")</f>
        <v/>
      </c>
      <c r="BG570" t="str">
        <f>IF(AND(PROCESSOS!B570&lt;&gt;"",ISNUMBER(PROCESSOS!D570),OR(FiltroResp="TODOS",FiltroResp="",PROCESSOS!H570=FiltroResp)),PROCESSOS!D570+ROW()/1000000,"")</f>
        <v/>
      </c>
    </row>
    <row r="571">
      <c r="BF571" t="str">
        <f>IF(AND(OR(PROCESSOS!O571="NO PRAZO",PROCESSOS!O571="VENCE EM BREVE"),OR(FiltroResp="TODOS",FiltroResp="",PROCESSOS!H571=FiltroResp)),PROCESSOS!M571+ROW()/1000000,"")</f>
        <v/>
      </c>
      <c r="BG571" t="str">
        <f>IF(AND(PROCESSOS!B571&lt;&gt;"",ISNUMBER(PROCESSOS!D571),OR(FiltroResp="TODOS",FiltroResp="",PROCESSOS!H571=FiltroResp)),PROCESSOS!D571+ROW()/1000000,"")</f>
        <v/>
      </c>
    </row>
    <row r="572">
      <c r="BF572" t="str">
        <f>IF(AND(OR(PROCESSOS!O572="NO PRAZO",PROCESSOS!O572="VENCE EM BREVE"),OR(FiltroResp="TODOS",FiltroResp="",PROCESSOS!H572=FiltroResp)),PROCESSOS!M572+ROW()/1000000,"")</f>
        <v/>
      </c>
      <c r="BG572" t="str">
        <f>IF(AND(PROCESSOS!B572&lt;&gt;"",ISNUMBER(PROCESSOS!D572),OR(FiltroResp="TODOS",FiltroResp="",PROCESSOS!H572=FiltroResp)),PROCESSOS!D572+ROW()/1000000,"")</f>
        <v/>
      </c>
    </row>
    <row r="573">
      <c r="BF573" t="str">
        <f>IF(AND(OR(PROCESSOS!O573="NO PRAZO",PROCESSOS!O573="VENCE EM BREVE"),OR(FiltroResp="TODOS",FiltroResp="",PROCESSOS!H573=FiltroResp)),PROCESSOS!M573+ROW()/1000000,"")</f>
        <v/>
      </c>
      <c r="BG573" t="str">
        <f>IF(AND(PROCESSOS!B573&lt;&gt;"",ISNUMBER(PROCESSOS!D573),OR(FiltroResp="TODOS",FiltroResp="",PROCESSOS!H573=FiltroResp)),PROCESSOS!D573+ROW()/1000000,"")</f>
        <v/>
      </c>
    </row>
    <row r="574">
      <c r="BF574" t="str">
        <f>IF(AND(OR(PROCESSOS!O574="NO PRAZO",PROCESSOS!O574="VENCE EM BREVE"),OR(FiltroResp="TODOS",FiltroResp="",PROCESSOS!H574=FiltroResp)),PROCESSOS!M574+ROW()/1000000,"")</f>
        <v/>
      </c>
      <c r="BG574" t="str">
        <f>IF(AND(PROCESSOS!B574&lt;&gt;"",ISNUMBER(PROCESSOS!D574),OR(FiltroResp="TODOS",FiltroResp="",PROCESSOS!H574=FiltroResp)),PROCESSOS!D574+ROW()/1000000,"")</f>
        <v/>
      </c>
    </row>
    <row r="575">
      <c r="BF575" t="str">
        <f>IF(AND(OR(PROCESSOS!O575="NO PRAZO",PROCESSOS!O575="VENCE EM BREVE"),OR(FiltroResp="TODOS",FiltroResp="",PROCESSOS!H575=FiltroResp)),PROCESSOS!M575+ROW()/1000000,"")</f>
        <v/>
      </c>
      <c r="BG575" t="str">
        <f>IF(AND(PROCESSOS!B575&lt;&gt;"",ISNUMBER(PROCESSOS!D575),OR(FiltroResp="TODOS",FiltroResp="",PROCESSOS!H575=FiltroResp)),PROCESSOS!D575+ROW()/1000000,"")</f>
        <v/>
      </c>
    </row>
    <row r="576">
      <c r="BF576" t="str">
        <f>IF(AND(OR(PROCESSOS!O576="NO PRAZO",PROCESSOS!O576="VENCE EM BREVE"),OR(FiltroResp="TODOS",FiltroResp="",PROCESSOS!H576=FiltroResp)),PROCESSOS!M576+ROW()/1000000,"")</f>
        <v/>
      </c>
      <c r="BG576" t="str">
        <f>IF(AND(PROCESSOS!B576&lt;&gt;"",ISNUMBER(PROCESSOS!D576),OR(FiltroResp="TODOS",FiltroResp="",PROCESSOS!H576=FiltroResp)),PROCESSOS!D576+ROW()/1000000,"")</f>
        <v/>
      </c>
    </row>
    <row r="577">
      <c r="BF577" t="str">
        <f>IF(AND(OR(PROCESSOS!O577="NO PRAZO",PROCESSOS!O577="VENCE EM BREVE"),OR(FiltroResp="TODOS",FiltroResp="",PROCESSOS!H577=FiltroResp)),PROCESSOS!M577+ROW()/1000000,"")</f>
        <v/>
      </c>
      <c r="BG577" t="str">
        <f>IF(AND(PROCESSOS!B577&lt;&gt;"",ISNUMBER(PROCESSOS!D577),OR(FiltroResp="TODOS",FiltroResp="",PROCESSOS!H577=FiltroResp)),PROCESSOS!D577+ROW()/1000000,"")</f>
        <v/>
      </c>
    </row>
    <row r="578">
      <c r="BF578" t="str">
        <f>IF(AND(OR(PROCESSOS!O578="NO PRAZO",PROCESSOS!O578="VENCE EM BREVE"),OR(FiltroResp="TODOS",FiltroResp="",PROCESSOS!H578=FiltroResp)),PROCESSOS!M578+ROW()/1000000,"")</f>
        <v/>
      </c>
      <c r="BG578" t="str">
        <f>IF(AND(PROCESSOS!B578&lt;&gt;"",ISNUMBER(PROCESSOS!D578),OR(FiltroResp="TODOS",FiltroResp="",PROCESSOS!H578=FiltroResp)),PROCESSOS!D578+ROW()/1000000,"")</f>
        <v/>
      </c>
    </row>
    <row r="579">
      <c r="BF579" t="str">
        <f>IF(AND(OR(PROCESSOS!O579="NO PRAZO",PROCESSOS!O579="VENCE EM BREVE"),OR(FiltroResp="TODOS",FiltroResp="",PROCESSOS!H579=FiltroResp)),PROCESSOS!M579+ROW()/1000000,"")</f>
        <v/>
      </c>
      <c r="BG579" t="str">
        <f>IF(AND(PROCESSOS!B579&lt;&gt;"",ISNUMBER(PROCESSOS!D579),OR(FiltroResp="TODOS",FiltroResp="",PROCESSOS!H579=FiltroResp)),PROCESSOS!D579+ROW()/1000000,"")</f>
        <v/>
      </c>
    </row>
    <row r="580">
      <c r="BF580" t="str">
        <f>IF(AND(OR(PROCESSOS!O580="NO PRAZO",PROCESSOS!O580="VENCE EM BREVE"),OR(FiltroResp="TODOS",FiltroResp="",PROCESSOS!H580=FiltroResp)),PROCESSOS!M580+ROW()/1000000,"")</f>
        <v/>
      </c>
      <c r="BG580" t="str">
        <f>IF(AND(PROCESSOS!B580&lt;&gt;"",ISNUMBER(PROCESSOS!D580),OR(FiltroResp="TODOS",FiltroResp="",PROCESSOS!H580=FiltroResp)),PROCESSOS!D580+ROW()/1000000,"")</f>
        <v/>
      </c>
    </row>
    <row r="581">
      <c r="BF581" t="str">
        <f>IF(AND(OR(PROCESSOS!O581="NO PRAZO",PROCESSOS!O581="VENCE EM BREVE"),OR(FiltroResp="TODOS",FiltroResp="",PROCESSOS!H581=FiltroResp)),PROCESSOS!M581+ROW()/1000000,"")</f>
        <v/>
      </c>
      <c r="BG581" t="str">
        <f>IF(AND(PROCESSOS!B581&lt;&gt;"",ISNUMBER(PROCESSOS!D581),OR(FiltroResp="TODOS",FiltroResp="",PROCESSOS!H581=FiltroResp)),PROCESSOS!D581+ROW()/1000000,"")</f>
        <v/>
      </c>
    </row>
    <row r="582">
      <c r="BF582" t="str">
        <f>IF(AND(OR(PROCESSOS!O582="NO PRAZO",PROCESSOS!O582="VENCE EM BREVE"),OR(FiltroResp="TODOS",FiltroResp="",PROCESSOS!H582=FiltroResp)),PROCESSOS!M582+ROW()/1000000,"")</f>
        <v/>
      </c>
      <c r="BG582" t="str">
        <f>IF(AND(PROCESSOS!B582&lt;&gt;"",ISNUMBER(PROCESSOS!D582),OR(FiltroResp="TODOS",FiltroResp="",PROCESSOS!H582=FiltroResp)),PROCESSOS!D582+ROW()/1000000,"")</f>
        <v/>
      </c>
    </row>
    <row r="583">
      <c r="BF583" t="str">
        <f>IF(AND(OR(PROCESSOS!O583="NO PRAZO",PROCESSOS!O583="VENCE EM BREVE"),OR(FiltroResp="TODOS",FiltroResp="",PROCESSOS!H583=FiltroResp)),PROCESSOS!M583+ROW()/1000000,"")</f>
        <v/>
      </c>
      <c r="BG583" t="str">
        <f>IF(AND(PROCESSOS!B583&lt;&gt;"",ISNUMBER(PROCESSOS!D583),OR(FiltroResp="TODOS",FiltroResp="",PROCESSOS!H583=FiltroResp)),PROCESSOS!D583+ROW()/1000000,"")</f>
        <v/>
      </c>
    </row>
    <row r="584">
      <c r="BF584" t="str">
        <f>IF(AND(OR(PROCESSOS!O584="NO PRAZO",PROCESSOS!O584="VENCE EM BREVE"),OR(FiltroResp="TODOS",FiltroResp="",PROCESSOS!H584=FiltroResp)),PROCESSOS!M584+ROW()/1000000,"")</f>
        <v/>
      </c>
      <c r="BG584" t="str">
        <f>IF(AND(PROCESSOS!B584&lt;&gt;"",ISNUMBER(PROCESSOS!D584),OR(FiltroResp="TODOS",FiltroResp="",PROCESSOS!H584=FiltroResp)),PROCESSOS!D584+ROW()/1000000,"")</f>
        <v/>
      </c>
    </row>
    <row r="585">
      <c r="BF585" t="str">
        <f>IF(AND(OR(PROCESSOS!O585="NO PRAZO",PROCESSOS!O585="VENCE EM BREVE"),OR(FiltroResp="TODOS",FiltroResp="",PROCESSOS!H585=FiltroResp)),PROCESSOS!M585+ROW()/1000000,"")</f>
        <v/>
      </c>
      <c r="BG585" t="str">
        <f>IF(AND(PROCESSOS!B585&lt;&gt;"",ISNUMBER(PROCESSOS!D585),OR(FiltroResp="TODOS",FiltroResp="",PROCESSOS!H585=FiltroResp)),PROCESSOS!D585+ROW()/1000000,"")</f>
        <v/>
      </c>
    </row>
    <row r="586">
      <c r="BF586" t="str">
        <f>IF(AND(OR(PROCESSOS!O586="NO PRAZO",PROCESSOS!O586="VENCE EM BREVE"),OR(FiltroResp="TODOS",FiltroResp="",PROCESSOS!H586=FiltroResp)),PROCESSOS!M586+ROW()/1000000,"")</f>
        <v/>
      </c>
      <c r="BG586" t="str">
        <f>IF(AND(PROCESSOS!B586&lt;&gt;"",ISNUMBER(PROCESSOS!D586),OR(FiltroResp="TODOS",FiltroResp="",PROCESSOS!H586=FiltroResp)),PROCESSOS!D586+ROW()/1000000,"")</f>
        <v/>
      </c>
    </row>
    <row r="587">
      <c r="BF587" t="str">
        <f>IF(AND(OR(PROCESSOS!O587="NO PRAZO",PROCESSOS!O587="VENCE EM BREVE"),OR(FiltroResp="TODOS",FiltroResp="",PROCESSOS!H587=FiltroResp)),PROCESSOS!M587+ROW()/1000000,"")</f>
        <v/>
      </c>
      <c r="BG587" t="str">
        <f>IF(AND(PROCESSOS!B587&lt;&gt;"",ISNUMBER(PROCESSOS!D587),OR(FiltroResp="TODOS",FiltroResp="",PROCESSOS!H587=FiltroResp)),PROCESSOS!D587+ROW()/1000000,"")</f>
        <v/>
      </c>
    </row>
    <row r="588">
      <c r="BF588" t="str">
        <f>IF(AND(OR(PROCESSOS!O588="NO PRAZO",PROCESSOS!O588="VENCE EM BREVE"),OR(FiltroResp="TODOS",FiltroResp="",PROCESSOS!H588=FiltroResp)),PROCESSOS!M588+ROW()/1000000,"")</f>
        <v/>
      </c>
      <c r="BG588" t="str">
        <f>IF(AND(PROCESSOS!B588&lt;&gt;"",ISNUMBER(PROCESSOS!D588),OR(FiltroResp="TODOS",FiltroResp="",PROCESSOS!H588=FiltroResp)),PROCESSOS!D588+ROW()/1000000,"")</f>
        <v/>
      </c>
    </row>
    <row r="589">
      <c r="BF589" t="str">
        <f>IF(AND(OR(PROCESSOS!O589="NO PRAZO",PROCESSOS!O589="VENCE EM BREVE"),OR(FiltroResp="TODOS",FiltroResp="",PROCESSOS!H589=FiltroResp)),PROCESSOS!M589+ROW()/1000000,"")</f>
        <v/>
      </c>
      <c r="BG589" t="str">
        <f>IF(AND(PROCESSOS!B589&lt;&gt;"",ISNUMBER(PROCESSOS!D589),OR(FiltroResp="TODOS",FiltroResp="",PROCESSOS!H589=FiltroResp)),PROCESSOS!D589+ROW()/1000000,"")</f>
        <v/>
      </c>
    </row>
    <row r="590">
      <c r="BF590" t="str">
        <f>IF(AND(OR(PROCESSOS!O590="NO PRAZO",PROCESSOS!O590="VENCE EM BREVE"),OR(FiltroResp="TODOS",FiltroResp="",PROCESSOS!H590=FiltroResp)),PROCESSOS!M590+ROW()/1000000,"")</f>
        <v/>
      </c>
      <c r="BG590" t="str">
        <f>IF(AND(PROCESSOS!B590&lt;&gt;"",ISNUMBER(PROCESSOS!D590),OR(FiltroResp="TODOS",FiltroResp="",PROCESSOS!H590=FiltroResp)),PROCESSOS!D590+ROW()/1000000,"")</f>
        <v/>
      </c>
    </row>
    <row r="591">
      <c r="BF591" t="str">
        <f>IF(AND(OR(PROCESSOS!O591="NO PRAZO",PROCESSOS!O591="VENCE EM BREVE"),OR(FiltroResp="TODOS",FiltroResp="",PROCESSOS!H591=FiltroResp)),PROCESSOS!M591+ROW()/1000000,"")</f>
        <v/>
      </c>
      <c r="BG591" t="str">
        <f>IF(AND(PROCESSOS!B591&lt;&gt;"",ISNUMBER(PROCESSOS!D591),OR(FiltroResp="TODOS",FiltroResp="",PROCESSOS!H591=FiltroResp)),PROCESSOS!D591+ROW()/1000000,"")</f>
        <v/>
      </c>
    </row>
    <row r="592">
      <c r="BF592" t="str">
        <f>IF(AND(OR(PROCESSOS!O592="NO PRAZO",PROCESSOS!O592="VENCE EM BREVE"),OR(FiltroResp="TODOS",FiltroResp="",PROCESSOS!H592=FiltroResp)),PROCESSOS!M592+ROW()/1000000,"")</f>
        <v/>
      </c>
      <c r="BG592" t="str">
        <f>IF(AND(PROCESSOS!B592&lt;&gt;"",ISNUMBER(PROCESSOS!D592),OR(FiltroResp="TODOS",FiltroResp="",PROCESSOS!H592=FiltroResp)),PROCESSOS!D592+ROW()/1000000,"")</f>
        <v/>
      </c>
    </row>
    <row r="593">
      <c r="BF593" t="str">
        <f>IF(AND(OR(PROCESSOS!O593="NO PRAZO",PROCESSOS!O593="VENCE EM BREVE"),OR(FiltroResp="TODOS",FiltroResp="",PROCESSOS!H593=FiltroResp)),PROCESSOS!M593+ROW()/1000000,"")</f>
        <v/>
      </c>
      <c r="BG593" t="str">
        <f>IF(AND(PROCESSOS!B593&lt;&gt;"",ISNUMBER(PROCESSOS!D593),OR(FiltroResp="TODOS",FiltroResp="",PROCESSOS!H593=FiltroResp)),PROCESSOS!D593+ROW()/1000000,"")</f>
        <v/>
      </c>
    </row>
    <row r="594">
      <c r="BF594" t="str">
        <f>IF(AND(OR(PROCESSOS!O594="NO PRAZO",PROCESSOS!O594="VENCE EM BREVE"),OR(FiltroResp="TODOS",FiltroResp="",PROCESSOS!H594=FiltroResp)),PROCESSOS!M594+ROW()/1000000,"")</f>
        <v/>
      </c>
      <c r="BG594" t="str">
        <f>IF(AND(PROCESSOS!B594&lt;&gt;"",ISNUMBER(PROCESSOS!D594),OR(FiltroResp="TODOS",FiltroResp="",PROCESSOS!H594=FiltroResp)),PROCESSOS!D594+ROW()/1000000,"")</f>
        <v/>
      </c>
    </row>
    <row r="595">
      <c r="BF595" t="str">
        <f>IF(AND(OR(PROCESSOS!O595="NO PRAZO",PROCESSOS!O595="VENCE EM BREVE"),OR(FiltroResp="TODOS",FiltroResp="",PROCESSOS!H595=FiltroResp)),PROCESSOS!M595+ROW()/1000000,"")</f>
        <v/>
      </c>
      <c r="BG595" t="str">
        <f>IF(AND(PROCESSOS!B595&lt;&gt;"",ISNUMBER(PROCESSOS!D595),OR(FiltroResp="TODOS",FiltroResp="",PROCESSOS!H595=FiltroResp)),PROCESSOS!D595+ROW()/1000000,"")</f>
        <v/>
      </c>
    </row>
    <row r="596">
      <c r="BF596" t="str">
        <f>IF(AND(OR(PROCESSOS!O596="NO PRAZO",PROCESSOS!O596="VENCE EM BREVE"),OR(FiltroResp="TODOS",FiltroResp="",PROCESSOS!H596=FiltroResp)),PROCESSOS!M596+ROW()/1000000,"")</f>
        <v/>
      </c>
      <c r="BG596" t="str">
        <f>IF(AND(PROCESSOS!B596&lt;&gt;"",ISNUMBER(PROCESSOS!D596),OR(FiltroResp="TODOS",FiltroResp="",PROCESSOS!H596=FiltroResp)),PROCESSOS!D596+ROW()/1000000,"")</f>
        <v/>
      </c>
    </row>
    <row r="597">
      <c r="BF597" t="str">
        <f>IF(AND(OR(PROCESSOS!O597="NO PRAZO",PROCESSOS!O597="VENCE EM BREVE"),OR(FiltroResp="TODOS",FiltroResp="",PROCESSOS!H597=FiltroResp)),PROCESSOS!M597+ROW()/1000000,"")</f>
        <v/>
      </c>
      <c r="BG597" t="str">
        <f>IF(AND(PROCESSOS!B597&lt;&gt;"",ISNUMBER(PROCESSOS!D597),OR(FiltroResp="TODOS",FiltroResp="",PROCESSOS!H597=FiltroResp)),PROCESSOS!D597+ROW()/1000000,"")</f>
        <v/>
      </c>
    </row>
    <row r="598">
      <c r="BF598" t="str">
        <f>IF(AND(OR(PROCESSOS!O598="NO PRAZO",PROCESSOS!O598="VENCE EM BREVE"),OR(FiltroResp="TODOS",FiltroResp="",PROCESSOS!H598=FiltroResp)),PROCESSOS!M598+ROW()/1000000,"")</f>
        <v/>
      </c>
      <c r="BG598" t="str">
        <f>IF(AND(PROCESSOS!B598&lt;&gt;"",ISNUMBER(PROCESSOS!D598),OR(FiltroResp="TODOS",FiltroResp="",PROCESSOS!H598=FiltroResp)),PROCESSOS!D598+ROW()/1000000,"")</f>
        <v/>
      </c>
    </row>
    <row r="599">
      <c r="BF599" t="str">
        <f>IF(AND(OR(PROCESSOS!O599="NO PRAZO",PROCESSOS!O599="VENCE EM BREVE"),OR(FiltroResp="TODOS",FiltroResp="",PROCESSOS!H599=FiltroResp)),PROCESSOS!M599+ROW()/1000000,"")</f>
        <v/>
      </c>
      <c r="BG599" t="str">
        <f>IF(AND(PROCESSOS!B599&lt;&gt;"",ISNUMBER(PROCESSOS!D599),OR(FiltroResp="TODOS",FiltroResp="",PROCESSOS!H599=FiltroResp)),PROCESSOS!D599+ROW()/1000000,"")</f>
        <v/>
      </c>
    </row>
    <row r="600">
      <c r="BF600" t="str">
        <f>IF(AND(OR(PROCESSOS!O600="NO PRAZO",PROCESSOS!O600="VENCE EM BREVE"),OR(FiltroResp="TODOS",FiltroResp="",PROCESSOS!H600=FiltroResp)),PROCESSOS!M600+ROW()/1000000,"")</f>
        <v/>
      </c>
      <c r="BG600" t="str">
        <f>IF(AND(PROCESSOS!B600&lt;&gt;"",ISNUMBER(PROCESSOS!D600),OR(FiltroResp="TODOS",FiltroResp="",PROCESSOS!H600=FiltroResp)),PROCESSOS!D600+ROW()/1000000,"")</f>
        <v/>
      </c>
    </row>
    <row r="601">
      <c r="BF601" t="str">
        <f>IF(AND(OR(PROCESSOS!O601="NO PRAZO",PROCESSOS!O601="VENCE EM BREVE"),OR(FiltroResp="TODOS",FiltroResp="",PROCESSOS!H601=FiltroResp)),PROCESSOS!M601+ROW()/1000000,"")</f>
        <v/>
      </c>
      <c r="BG601" t="str">
        <f>IF(AND(PROCESSOS!B601&lt;&gt;"",ISNUMBER(PROCESSOS!D601),OR(FiltroResp="TODOS",FiltroResp="",PROCESSOS!H601=FiltroResp)),PROCESSOS!D601+ROW()/1000000,"")</f>
        <v/>
      </c>
    </row>
    <row r="602">
      <c r="BF602" t="str">
        <f>IF(AND(OR(PROCESSOS!O602="NO PRAZO",PROCESSOS!O602="VENCE EM BREVE"),OR(FiltroResp="TODOS",FiltroResp="",PROCESSOS!H602=FiltroResp)),PROCESSOS!M602+ROW()/1000000,"")</f>
        <v/>
      </c>
      <c r="BG602" t="str">
        <f>IF(AND(PROCESSOS!B602&lt;&gt;"",ISNUMBER(PROCESSOS!D602),OR(FiltroResp="TODOS",FiltroResp="",PROCESSOS!H602=FiltroResp)),PROCESSOS!D602+ROW()/1000000,"")</f>
        <v/>
      </c>
    </row>
    <row r="603">
      <c r="BF603" t="str">
        <f>IF(AND(OR(PROCESSOS!O603="NO PRAZO",PROCESSOS!O603="VENCE EM BREVE"),OR(FiltroResp="TODOS",FiltroResp="",PROCESSOS!H603=FiltroResp)),PROCESSOS!M603+ROW()/1000000,"")</f>
        <v/>
      </c>
      <c r="BG603" t="str">
        <f>IF(AND(PROCESSOS!B603&lt;&gt;"",ISNUMBER(PROCESSOS!D603),OR(FiltroResp="TODOS",FiltroResp="",PROCESSOS!H603=FiltroResp)),PROCESSOS!D603+ROW()/1000000,"")</f>
        <v/>
      </c>
    </row>
    <row r="604">
      <c r="BF604" t="str">
        <f>IF(AND(OR(PROCESSOS!O604="NO PRAZO",PROCESSOS!O604="VENCE EM BREVE"),OR(FiltroResp="TODOS",FiltroResp="",PROCESSOS!H604=FiltroResp)),PROCESSOS!M604+ROW()/1000000,"")</f>
        <v/>
      </c>
      <c r="BG604" t="str">
        <f>IF(AND(PROCESSOS!B604&lt;&gt;"",ISNUMBER(PROCESSOS!D604),OR(FiltroResp="TODOS",FiltroResp="",PROCESSOS!H604=FiltroResp)),PROCESSOS!D604+ROW()/1000000,"")</f>
        <v/>
      </c>
    </row>
    <row r="605">
      <c r="BF605" t="str">
        <f>IF(AND(OR(PROCESSOS!O605="NO PRAZO",PROCESSOS!O605="VENCE EM BREVE"),OR(FiltroResp="TODOS",FiltroResp="",PROCESSOS!H605=FiltroResp)),PROCESSOS!M605+ROW()/1000000,"")</f>
        <v/>
      </c>
      <c r="BG605" t="str">
        <f>IF(AND(PROCESSOS!B605&lt;&gt;"",ISNUMBER(PROCESSOS!D605),OR(FiltroResp="TODOS",FiltroResp="",PROCESSOS!H605=FiltroResp)),PROCESSOS!D605+ROW()/1000000,"")</f>
        <v/>
      </c>
    </row>
    <row r="606">
      <c r="BF606" t="str">
        <f>IF(AND(OR(PROCESSOS!O606="NO PRAZO",PROCESSOS!O606="VENCE EM BREVE"),OR(FiltroResp="TODOS",FiltroResp="",PROCESSOS!H606=FiltroResp)),PROCESSOS!M606+ROW()/1000000,"")</f>
        <v/>
      </c>
      <c r="BG606" t="str">
        <f>IF(AND(PROCESSOS!B606&lt;&gt;"",ISNUMBER(PROCESSOS!D606),OR(FiltroResp="TODOS",FiltroResp="",PROCESSOS!H606=FiltroResp)),PROCESSOS!D606+ROW()/1000000,"")</f>
        <v/>
      </c>
    </row>
    <row r="607">
      <c r="BF607" t="str">
        <f>IF(AND(OR(PROCESSOS!O607="NO PRAZO",PROCESSOS!O607="VENCE EM BREVE"),OR(FiltroResp="TODOS",FiltroResp="",PROCESSOS!H607=FiltroResp)),PROCESSOS!M607+ROW()/1000000,"")</f>
        <v/>
      </c>
      <c r="BG607" t="str">
        <f>IF(AND(PROCESSOS!B607&lt;&gt;"",ISNUMBER(PROCESSOS!D607),OR(FiltroResp="TODOS",FiltroResp="",PROCESSOS!H607=FiltroResp)),PROCESSOS!D607+ROW()/1000000,"")</f>
        <v/>
      </c>
    </row>
    <row r="608">
      <c r="BF608" t="str">
        <f>IF(AND(OR(PROCESSOS!O608="NO PRAZO",PROCESSOS!O608="VENCE EM BREVE"),OR(FiltroResp="TODOS",FiltroResp="",PROCESSOS!H608=FiltroResp)),PROCESSOS!M608+ROW()/1000000,"")</f>
        <v/>
      </c>
      <c r="BG608" t="str">
        <f>IF(AND(PROCESSOS!B608&lt;&gt;"",ISNUMBER(PROCESSOS!D608),OR(FiltroResp="TODOS",FiltroResp="",PROCESSOS!H608=FiltroResp)),PROCESSOS!D608+ROW()/1000000,"")</f>
        <v/>
      </c>
    </row>
    <row r="609">
      <c r="BF609" t="str">
        <f>IF(AND(OR(PROCESSOS!O609="NO PRAZO",PROCESSOS!O609="VENCE EM BREVE"),OR(FiltroResp="TODOS",FiltroResp="",PROCESSOS!H609=FiltroResp)),PROCESSOS!M609+ROW()/1000000,"")</f>
        <v/>
      </c>
      <c r="BG609" t="str">
        <f>IF(AND(PROCESSOS!B609&lt;&gt;"",ISNUMBER(PROCESSOS!D609),OR(FiltroResp="TODOS",FiltroResp="",PROCESSOS!H609=FiltroResp)),PROCESSOS!D609+ROW()/1000000,"")</f>
        <v/>
      </c>
    </row>
    <row r="610">
      <c r="BF610" t="str">
        <f>IF(AND(OR(PROCESSOS!O610="NO PRAZO",PROCESSOS!O610="VENCE EM BREVE"),OR(FiltroResp="TODOS",FiltroResp="",PROCESSOS!H610=FiltroResp)),PROCESSOS!M610+ROW()/1000000,"")</f>
        <v/>
      </c>
      <c r="BG610" t="str">
        <f>IF(AND(PROCESSOS!B610&lt;&gt;"",ISNUMBER(PROCESSOS!D610),OR(FiltroResp="TODOS",FiltroResp="",PROCESSOS!H610=FiltroResp)),PROCESSOS!D610+ROW()/1000000,"")</f>
        <v/>
      </c>
    </row>
    <row r="611">
      <c r="BF611" t="str">
        <f>IF(AND(OR(PROCESSOS!O611="NO PRAZO",PROCESSOS!O611="VENCE EM BREVE"),OR(FiltroResp="TODOS",FiltroResp="",PROCESSOS!H611=FiltroResp)),PROCESSOS!M611+ROW()/1000000,"")</f>
        <v/>
      </c>
      <c r="BG611" t="str">
        <f>IF(AND(PROCESSOS!B611&lt;&gt;"",ISNUMBER(PROCESSOS!D611),OR(FiltroResp="TODOS",FiltroResp="",PROCESSOS!H611=FiltroResp)),PROCESSOS!D611+ROW()/1000000,"")</f>
        <v/>
      </c>
    </row>
    <row r="612">
      <c r="BF612" t="str">
        <f>IF(AND(OR(PROCESSOS!O612="NO PRAZO",PROCESSOS!O612="VENCE EM BREVE"),OR(FiltroResp="TODOS",FiltroResp="",PROCESSOS!H612=FiltroResp)),PROCESSOS!M612+ROW()/1000000,"")</f>
        <v/>
      </c>
      <c r="BG612" t="str">
        <f>IF(AND(PROCESSOS!B612&lt;&gt;"",ISNUMBER(PROCESSOS!D612),OR(FiltroResp="TODOS",FiltroResp="",PROCESSOS!H612=FiltroResp)),PROCESSOS!D612+ROW()/1000000,"")</f>
        <v/>
      </c>
    </row>
    <row r="613">
      <c r="BF613" t="str">
        <f>IF(AND(OR(PROCESSOS!O613="NO PRAZO",PROCESSOS!O613="VENCE EM BREVE"),OR(FiltroResp="TODOS",FiltroResp="",PROCESSOS!H613=FiltroResp)),PROCESSOS!M613+ROW()/1000000,"")</f>
        <v/>
      </c>
      <c r="BG613" t="str">
        <f>IF(AND(PROCESSOS!B613&lt;&gt;"",ISNUMBER(PROCESSOS!D613),OR(FiltroResp="TODOS",FiltroResp="",PROCESSOS!H613=FiltroResp)),PROCESSOS!D613+ROW()/1000000,"")</f>
        <v/>
      </c>
    </row>
    <row r="614">
      <c r="BF614" t="str">
        <f>IF(AND(OR(PROCESSOS!O614="NO PRAZO",PROCESSOS!O614="VENCE EM BREVE"),OR(FiltroResp="TODOS",FiltroResp="",PROCESSOS!H614=FiltroResp)),PROCESSOS!M614+ROW()/1000000,"")</f>
        <v/>
      </c>
      <c r="BG614" t="str">
        <f>IF(AND(PROCESSOS!B614&lt;&gt;"",ISNUMBER(PROCESSOS!D614),OR(FiltroResp="TODOS",FiltroResp="",PROCESSOS!H614=FiltroResp)),PROCESSOS!D614+ROW()/1000000,"")</f>
        <v/>
      </c>
    </row>
    <row r="615">
      <c r="BF615" t="str">
        <f>IF(AND(OR(PROCESSOS!O615="NO PRAZO",PROCESSOS!O615="VENCE EM BREVE"),OR(FiltroResp="TODOS",FiltroResp="",PROCESSOS!H615=FiltroResp)),PROCESSOS!M615+ROW()/1000000,"")</f>
        <v/>
      </c>
      <c r="BG615" t="str">
        <f>IF(AND(PROCESSOS!B615&lt;&gt;"",ISNUMBER(PROCESSOS!D615),OR(FiltroResp="TODOS",FiltroResp="",PROCESSOS!H615=FiltroResp)),PROCESSOS!D615+ROW()/1000000,"")</f>
        <v/>
      </c>
    </row>
    <row r="616">
      <c r="BF616" t="str">
        <f>IF(AND(OR(PROCESSOS!O616="NO PRAZO",PROCESSOS!O616="VENCE EM BREVE"),OR(FiltroResp="TODOS",FiltroResp="",PROCESSOS!H616=FiltroResp)),PROCESSOS!M616+ROW()/1000000,"")</f>
        <v/>
      </c>
      <c r="BG616" t="str">
        <f>IF(AND(PROCESSOS!B616&lt;&gt;"",ISNUMBER(PROCESSOS!D616),OR(FiltroResp="TODOS",FiltroResp="",PROCESSOS!H616=FiltroResp)),PROCESSOS!D616+ROW()/1000000,"")</f>
        <v/>
      </c>
    </row>
    <row r="617">
      <c r="BF617" t="str">
        <f>IF(AND(OR(PROCESSOS!O617="NO PRAZO",PROCESSOS!O617="VENCE EM BREVE"),OR(FiltroResp="TODOS",FiltroResp="",PROCESSOS!H617=FiltroResp)),PROCESSOS!M617+ROW()/1000000,"")</f>
        <v/>
      </c>
      <c r="BG617" t="str">
        <f>IF(AND(PROCESSOS!B617&lt;&gt;"",ISNUMBER(PROCESSOS!D617),OR(FiltroResp="TODOS",FiltroResp="",PROCESSOS!H617=FiltroResp)),PROCESSOS!D617+ROW()/1000000,"")</f>
        <v/>
      </c>
    </row>
    <row r="618">
      <c r="BF618" t="str">
        <f>IF(AND(OR(PROCESSOS!O618="NO PRAZO",PROCESSOS!O618="VENCE EM BREVE"),OR(FiltroResp="TODOS",FiltroResp="",PROCESSOS!H618=FiltroResp)),PROCESSOS!M618+ROW()/1000000,"")</f>
        <v/>
      </c>
      <c r="BG618" t="str">
        <f>IF(AND(PROCESSOS!B618&lt;&gt;"",ISNUMBER(PROCESSOS!D618),OR(FiltroResp="TODOS",FiltroResp="",PROCESSOS!H618=FiltroResp)),PROCESSOS!D618+ROW()/1000000,"")</f>
        <v/>
      </c>
    </row>
    <row r="619">
      <c r="BF619" t="str">
        <f>IF(AND(OR(PROCESSOS!O619="NO PRAZO",PROCESSOS!O619="VENCE EM BREVE"),OR(FiltroResp="TODOS",FiltroResp="",PROCESSOS!H619=FiltroResp)),PROCESSOS!M619+ROW()/1000000,"")</f>
        <v/>
      </c>
      <c r="BG619" t="str">
        <f>IF(AND(PROCESSOS!B619&lt;&gt;"",ISNUMBER(PROCESSOS!D619),OR(FiltroResp="TODOS",FiltroResp="",PROCESSOS!H619=FiltroResp)),PROCESSOS!D619+ROW()/1000000,"")</f>
        <v/>
      </c>
    </row>
    <row r="620">
      <c r="BF620" t="str">
        <f>IF(AND(OR(PROCESSOS!O620="NO PRAZO",PROCESSOS!O620="VENCE EM BREVE"),OR(FiltroResp="TODOS",FiltroResp="",PROCESSOS!H620=FiltroResp)),PROCESSOS!M620+ROW()/1000000,"")</f>
        <v/>
      </c>
      <c r="BG620" t="str">
        <f>IF(AND(PROCESSOS!B620&lt;&gt;"",ISNUMBER(PROCESSOS!D620),OR(FiltroResp="TODOS",FiltroResp="",PROCESSOS!H620=FiltroResp)),PROCESSOS!D620+ROW()/1000000,"")</f>
        <v/>
      </c>
    </row>
    <row r="621">
      <c r="BF621" t="str">
        <f>IF(AND(OR(PROCESSOS!O621="NO PRAZO",PROCESSOS!O621="VENCE EM BREVE"),OR(FiltroResp="TODOS",FiltroResp="",PROCESSOS!H621=FiltroResp)),PROCESSOS!M621+ROW()/1000000,"")</f>
        <v/>
      </c>
      <c r="BG621" t="str">
        <f>IF(AND(PROCESSOS!B621&lt;&gt;"",ISNUMBER(PROCESSOS!D621),OR(FiltroResp="TODOS",FiltroResp="",PROCESSOS!H621=FiltroResp)),PROCESSOS!D621+ROW()/1000000,"")</f>
        <v/>
      </c>
    </row>
    <row r="622">
      <c r="BF622" t="str">
        <f>IF(AND(OR(PROCESSOS!O622="NO PRAZO",PROCESSOS!O622="VENCE EM BREVE"),OR(FiltroResp="TODOS",FiltroResp="",PROCESSOS!H622=FiltroResp)),PROCESSOS!M622+ROW()/1000000,"")</f>
        <v/>
      </c>
      <c r="BG622" t="str">
        <f>IF(AND(PROCESSOS!B622&lt;&gt;"",ISNUMBER(PROCESSOS!D622),OR(FiltroResp="TODOS",FiltroResp="",PROCESSOS!H622=FiltroResp)),PROCESSOS!D622+ROW()/1000000,"")</f>
        <v/>
      </c>
    </row>
    <row r="623">
      <c r="BF623" t="str">
        <f>IF(AND(OR(PROCESSOS!O623="NO PRAZO",PROCESSOS!O623="VENCE EM BREVE"),OR(FiltroResp="TODOS",FiltroResp="",PROCESSOS!H623=FiltroResp)),PROCESSOS!M623+ROW()/1000000,"")</f>
        <v/>
      </c>
      <c r="BG623" t="str">
        <f>IF(AND(PROCESSOS!B623&lt;&gt;"",ISNUMBER(PROCESSOS!D623),OR(FiltroResp="TODOS",FiltroResp="",PROCESSOS!H623=FiltroResp)),PROCESSOS!D623+ROW()/1000000,"")</f>
        <v/>
      </c>
    </row>
    <row r="624">
      <c r="BF624" t="str">
        <f>IF(AND(OR(PROCESSOS!O624="NO PRAZO",PROCESSOS!O624="VENCE EM BREVE"),OR(FiltroResp="TODOS",FiltroResp="",PROCESSOS!H624=FiltroResp)),PROCESSOS!M624+ROW()/1000000,"")</f>
        <v/>
      </c>
      <c r="BG624" t="str">
        <f>IF(AND(PROCESSOS!B624&lt;&gt;"",ISNUMBER(PROCESSOS!D624),OR(FiltroResp="TODOS",FiltroResp="",PROCESSOS!H624=FiltroResp)),PROCESSOS!D624+ROW()/1000000,"")</f>
        <v/>
      </c>
    </row>
    <row r="625">
      <c r="BF625" t="str">
        <f>IF(AND(OR(PROCESSOS!O625="NO PRAZO",PROCESSOS!O625="VENCE EM BREVE"),OR(FiltroResp="TODOS",FiltroResp="",PROCESSOS!H625=FiltroResp)),PROCESSOS!M625+ROW()/1000000,"")</f>
        <v/>
      </c>
      <c r="BG625" t="str">
        <f>IF(AND(PROCESSOS!B625&lt;&gt;"",ISNUMBER(PROCESSOS!D625),OR(FiltroResp="TODOS",FiltroResp="",PROCESSOS!H625=FiltroResp)),PROCESSOS!D625+ROW()/1000000,"")</f>
        <v/>
      </c>
    </row>
    <row r="626">
      <c r="BF626" t="str">
        <f>IF(AND(OR(PROCESSOS!O626="NO PRAZO",PROCESSOS!O626="VENCE EM BREVE"),OR(FiltroResp="TODOS",FiltroResp="",PROCESSOS!H626=FiltroResp)),PROCESSOS!M626+ROW()/1000000,"")</f>
        <v/>
      </c>
      <c r="BG626" t="str">
        <f>IF(AND(PROCESSOS!B626&lt;&gt;"",ISNUMBER(PROCESSOS!D626),OR(FiltroResp="TODOS",FiltroResp="",PROCESSOS!H626=FiltroResp)),PROCESSOS!D626+ROW()/1000000,"")</f>
        <v/>
      </c>
    </row>
    <row r="627">
      <c r="BF627" t="str">
        <f>IF(AND(OR(PROCESSOS!O627="NO PRAZO",PROCESSOS!O627="VENCE EM BREVE"),OR(FiltroResp="TODOS",FiltroResp="",PROCESSOS!H627=FiltroResp)),PROCESSOS!M627+ROW()/1000000,"")</f>
        <v/>
      </c>
      <c r="BG627" t="str">
        <f>IF(AND(PROCESSOS!B627&lt;&gt;"",ISNUMBER(PROCESSOS!D627),OR(FiltroResp="TODOS",FiltroResp="",PROCESSOS!H627=FiltroResp)),PROCESSOS!D627+ROW()/1000000,"")</f>
        <v/>
      </c>
    </row>
    <row r="628">
      <c r="BF628" t="str">
        <f>IF(AND(OR(PROCESSOS!O628="NO PRAZO",PROCESSOS!O628="VENCE EM BREVE"),OR(FiltroResp="TODOS",FiltroResp="",PROCESSOS!H628=FiltroResp)),PROCESSOS!M628+ROW()/1000000,"")</f>
        <v/>
      </c>
      <c r="BG628" t="str">
        <f>IF(AND(PROCESSOS!B628&lt;&gt;"",ISNUMBER(PROCESSOS!D628),OR(FiltroResp="TODOS",FiltroResp="",PROCESSOS!H628=FiltroResp)),PROCESSOS!D628+ROW()/1000000,"")</f>
        <v/>
      </c>
    </row>
    <row r="629">
      <c r="BF629" t="str">
        <f>IF(AND(OR(PROCESSOS!O629="NO PRAZO",PROCESSOS!O629="VENCE EM BREVE"),OR(FiltroResp="TODOS",FiltroResp="",PROCESSOS!H629=FiltroResp)),PROCESSOS!M629+ROW()/1000000,"")</f>
        <v/>
      </c>
      <c r="BG629" t="str">
        <f>IF(AND(PROCESSOS!B629&lt;&gt;"",ISNUMBER(PROCESSOS!D629),OR(FiltroResp="TODOS",FiltroResp="",PROCESSOS!H629=FiltroResp)),PROCESSOS!D629+ROW()/1000000,"")</f>
        <v/>
      </c>
    </row>
    <row r="630">
      <c r="BF630" t="str">
        <f>IF(AND(OR(PROCESSOS!O630="NO PRAZO",PROCESSOS!O630="VENCE EM BREVE"),OR(FiltroResp="TODOS",FiltroResp="",PROCESSOS!H630=FiltroResp)),PROCESSOS!M630+ROW()/1000000,"")</f>
        <v/>
      </c>
      <c r="BG630" t="str">
        <f>IF(AND(PROCESSOS!B630&lt;&gt;"",ISNUMBER(PROCESSOS!D630),OR(FiltroResp="TODOS",FiltroResp="",PROCESSOS!H630=FiltroResp)),PROCESSOS!D630+ROW()/1000000,"")</f>
        <v/>
      </c>
    </row>
    <row r="631">
      <c r="BF631" t="str">
        <f>IF(AND(OR(PROCESSOS!O631="NO PRAZO",PROCESSOS!O631="VENCE EM BREVE"),OR(FiltroResp="TODOS",FiltroResp="",PROCESSOS!H631=FiltroResp)),PROCESSOS!M631+ROW()/1000000,"")</f>
        <v/>
      </c>
      <c r="BG631" t="str">
        <f>IF(AND(PROCESSOS!B631&lt;&gt;"",ISNUMBER(PROCESSOS!D631),OR(FiltroResp="TODOS",FiltroResp="",PROCESSOS!H631=FiltroResp)),PROCESSOS!D631+ROW()/1000000,"")</f>
        <v/>
      </c>
    </row>
    <row r="632">
      <c r="BF632" t="str">
        <f>IF(AND(OR(PROCESSOS!O632="NO PRAZO",PROCESSOS!O632="VENCE EM BREVE"),OR(FiltroResp="TODOS",FiltroResp="",PROCESSOS!H632=FiltroResp)),PROCESSOS!M632+ROW()/1000000,"")</f>
        <v/>
      </c>
      <c r="BG632" t="str">
        <f>IF(AND(PROCESSOS!B632&lt;&gt;"",ISNUMBER(PROCESSOS!D632),OR(FiltroResp="TODOS",FiltroResp="",PROCESSOS!H632=FiltroResp)),PROCESSOS!D632+ROW()/1000000,"")</f>
        <v/>
      </c>
    </row>
    <row r="633">
      <c r="BF633" t="str">
        <f>IF(AND(OR(PROCESSOS!O633="NO PRAZO",PROCESSOS!O633="VENCE EM BREVE"),OR(FiltroResp="TODOS",FiltroResp="",PROCESSOS!H633=FiltroResp)),PROCESSOS!M633+ROW()/1000000,"")</f>
        <v/>
      </c>
      <c r="BG633" t="str">
        <f>IF(AND(PROCESSOS!B633&lt;&gt;"",ISNUMBER(PROCESSOS!D633),OR(FiltroResp="TODOS",FiltroResp="",PROCESSOS!H633=FiltroResp)),PROCESSOS!D633+ROW()/1000000,"")</f>
        <v/>
      </c>
    </row>
    <row r="634">
      <c r="BF634" t="str">
        <f>IF(AND(OR(PROCESSOS!O634="NO PRAZO",PROCESSOS!O634="VENCE EM BREVE"),OR(FiltroResp="TODOS",FiltroResp="",PROCESSOS!H634=FiltroResp)),PROCESSOS!M634+ROW()/1000000,"")</f>
        <v/>
      </c>
      <c r="BG634" t="str">
        <f>IF(AND(PROCESSOS!B634&lt;&gt;"",ISNUMBER(PROCESSOS!D634),OR(FiltroResp="TODOS",FiltroResp="",PROCESSOS!H634=FiltroResp)),PROCESSOS!D634+ROW()/1000000,"")</f>
        <v/>
      </c>
    </row>
    <row r="635">
      <c r="BF635" t="str">
        <f>IF(AND(OR(PROCESSOS!O635="NO PRAZO",PROCESSOS!O635="VENCE EM BREVE"),OR(FiltroResp="TODOS",FiltroResp="",PROCESSOS!H635=FiltroResp)),PROCESSOS!M635+ROW()/1000000,"")</f>
        <v/>
      </c>
      <c r="BG635" t="str">
        <f>IF(AND(PROCESSOS!B635&lt;&gt;"",ISNUMBER(PROCESSOS!D635),OR(FiltroResp="TODOS",FiltroResp="",PROCESSOS!H635=FiltroResp)),PROCESSOS!D635+ROW()/1000000,"")</f>
        <v/>
      </c>
    </row>
    <row r="636">
      <c r="BF636" t="str">
        <f>IF(AND(OR(PROCESSOS!O636="NO PRAZO",PROCESSOS!O636="VENCE EM BREVE"),OR(FiltroResp="TODOS",FiltroResp="",PROCESSOS!H636=FiltroResp)),PROCESSOS!M636+ROW()/1000000,"")</f>
        <v/>
      </c>
      <c r="BG636" t="str">
        <f>IF(AND(PROCESSOS!B636&lt;&gt;"",ISNUMBER(PROCESSOS!D636),OR(FiltroResp="TODOS",FiltroResp="",PROCESSOS!H636=FiltroResp)),PROCESSOS!D636+ROW()/1000000,"")</f>
        <v/>
      </c>
    </row>
    <row r="637">
      <c r="BF637" t="str">
        <f>IF(AND(OR(PROCESSOS!O637="NO PRAZO",PROCESSOS!O637="VENCE EM BREVE"),OR(FiltroResp="TODOS",FiltroResp="",PROCESSOS!H637=FiltroResp)),PROCESSOS!M637+ROW()/1000000,"")</f>
        <v/>
      </c>
      <c r="BG637" t="str">
        <f>IF(AND(PROCESSOS!B637&lt;&gt;"",ISNUMBER(PROCESSOS!D637),OR(FiltroResp="TODOS",FiltroResp="",PROCESSOS!H637=FiltroResp)),PROCESSOS!D637+ROW()/1000000,"")</f>
        <v/>
      </c>
    </row>
    <row r="638">
      <c r="BF638" t="str">
        <f>IF(AND(OR(PROCESSOS!O638="NO PRAZO",PROCESSOS!O638="VENCE EM BREVE"),OR(FiltroResp="TODOS",FiltroResp="",PROCESSOS!H638=FiltroResp)),PROCESSOS!M638+ROW()/1000000,"")</f>
        <v/>
      </c>
      <c r="BG638" t="str">
        <f>IF(AND(PROCESSOS!B638&lt;&gt;"",ISNUMBER(PROCESSOS!D638),OR(FiltroResp="TODOS",FiltroResp="",PROCESSOS!H638=FiltroResp)),PROCESSOS!D638+ROW()/1000000,"")</f>
        <v/>
      </c>
    </row>
    <row r="639">
      <c r="BF639" t="str">
        <f>IF(AND(OR(PROCESSOS!O639="NO PRAZO",PROCESSOS!O639="VENCE EM BREVE"),OR(FiltroResp="TODOS",FiltroResp="",PROCESSOS!H639=FiltroResp)),PROCESSOS!M639+ROW()/1000000,"")</f>
        <v/>
      </c>
      <c r="BG639" t="str">
        <f>IF(AND(PROCESSOS!B639&lt;&gt;"",ISNUMBER(PROCESSOS!D639),OR(FiltroResp="TODOS",FiltroResp="",PROCESSOS!H639=FiltroResp)),PROCESSOS!D639+ROW()/1000000,"")</f>
        <v/>
      </c>
    </row>
    <row r="640">
      <c r="BF640" t="str">
        <f>IF(AND(OR(PROCESSOS!O640="NO PRAZO",PROCESSOS!O640="VENCE EM BREVE"),OR(FiltroResp="TODOS",FiltroResp="",PROCESSOS!H640=FiltroResp)),PROCESSOS!M640+ROW()/1000000,"")</f>
        <v/>
      </c>
      <c r="BG640" t="str">
        <f>IF(AND(PROCESSOS!B640&lt;&gt;"",ISNUMBER(PROCESSOS!D640),OR(FiltroResp="TODOS",FiltroResp="",PROCESSOS!H640=FiltroResp)),PROCESSOS!D640+ROW()/1000000,"")</f>
        <v/>
      </c>
    </row>
    <row r="641">
      <c r="BF641" t="str">
        <f>IF(AND(OR(PROCESSOS!O641="NO PRAZO",PROCESSOS!O641="VENCE EM BREVE"),OR(FiltroResp="TODOS",FiltroResp="",PROCESSOS!H641=FiltroResp)),PROCESSOS!M641+ROW()/1000000,"")</f>
        <v/>
      </c>
      <c r="BG641" t="str">
        <f>IF(AND(PROCESSOS!B641&lt;&gt;"",ISNUMBER(PROCESSOS!D641),OR(FiltroResp="TODOS",FiltroResp="",PROCESSOS!H641=FiltroResp)),PROCESSOS!D641+ROW()/1000000,"")</f>
        <v/>
      </c>
    </row>
    <row r="642">
      <c r="BF642" t="str">
        <f>IF(AND(OR(PROCESSOS!O642="NO PRAZO",PROCESSOS!O642="VENCE EM BREVE"),OR(FiltroResp="TODOS",FiltroResp="",PROCESSOS!H642=FiltroResp)),PROCESSOS!M642+ROW()/1000000,"")</f>
        <v/>
      </c>
      <c r="BG642" t="str">
        <f>IF(AND(PROCESSOS!B642&lt;&gt;"",ISNUMBER(PROCESSOS!D642),OR(FiltroResp="TODOS",FiltroResp="",PROCESSOS!H642=FiltroResp)),PROCESSOS!D642+ROW()/1000000,"")</f>
        <v/>
      </c>
    </row>
    <row r="643">
      <c r="BF643" t="str">
        <f>IF(AND(OR(PROCESSOS!O643="NO PRAZO",PROCESSOS!O643="VENCE EM BREVE"),OR(FiltroResp="TODOS",FiltroResp="",PROCESSOS!H643=FiltroResp)),PROCESSOS!M643+ROW()/1000000,"")</f>
        <v/>
      </c>
      <c r="BG643" t="str">
        <f>IF(AND(PROCESSOS!B643&lt;&gt;"",ISNUMBER(PROCESSOS!D643),OR(FiltroResp="TODOS",FiltroResp="",PROCESSOS!H643=FiltroResp)),PROCESSOS!D643+ROW()/1000000,"")</f>
        <v/>
      </c>
    </row>
    <row r="644">
      <c r="BF644" t="str">
        <f>IF(AND(OR(PROCESSOS!O644="NO PRAZO",PROCESSOS!O644="VENCE EM BREVE"),OR(FiltroResp="TODOS",FiltroResp="",PROCESSOS!H644=FiltroResp)),PROCESSOS!M644+ROW()/1000000,"")</f>
        <v/>
      </c>
      <c r="BG644" t="str">
        <f>IF(AND(PROCESSOS!B644&lt;&gt;"",ISNUMBER(PROCESSOS!D644),OR(FiltroResp="TODOS",FiltroResp="",PROCESSOS!H644=FiltroResp)),PROCESSOS!D644+ROW()/1000000,"")</f>
        <v/>
      </c>
    </row>
    <row r="645">
      <c r="BF645" t="str">
        <f>IF(AND(OR(PROCESSOS!O645="NO PRAZO",PROCESSOS!O645="VENCE EM BREVE"),OR(FiltroResp="TODOS",FiltroResp="",PROCESSOS!H645=FiltroResp)),PROCESSOS!M645+ROW()/1000000,"")</f>
        <v/>
      </c>
      <c r="BG645" t="str">
        <f>IF(AND(PROCESSOS!B645&lt;&gt;"",ISNUMBER(PROCESSOS!D645),OR(FiltroResp="TODOS",FiltroResp="",PROCESSOS!H645=FiltroResp)),PROCESSOS!D645+ROW()/1000000,"")</f>
        <v/>
      </c>
    </row>
    <row r="646">
      <c r="BF646" t="str">
        <f>IF(AND(OR(PROCESSOS!O646="NO PRAZO",PROCESSOS!O646="VENCE EM BREVE"),OR(FiltroResp="TODOS",FiltroResp="",PROCESSOS!H646=FiltroResp)),PROCESSOS!M646+ROW()/1000000,"")</f>
        <v/>
      </c>
      <c r="BG646" t="str">
        <f>IF(AND(PROCESSOS!B646&lt;&gt;"",ISNUMBER(PROCESSOS!D646),OR(FiltroResp="TODOS",FiltroResp="",PROCESSOS!H646=FiltroResp)),PROCESSOS!D646+ROW()/1000000,"")</f>
        <v/>
      </c>
    </row>
    <row r="647">
      <c r="BF647" t="str">
        <f>IF(AND(OR(PROCESSOS!O647="NO PRAZO",PROCESSOS!O647="VENCE EM BREVE"),OR(FiltroResp="TODOS",FiltroResp="",PROCESSOS!H647=FiltroResp)),PROCESSOS!M647+ROW()/1000000,"")</f>
        <v/>
      </c>
      <c r="BG647" t="str">
        <f>IF(AND(PROCESSOS!B647&lt;&gt;"",ISNUMBER(PROCESSOS!D647),OR(FiltroResp="TODOS",FiltroResp="",PROCESSOS!H647=FiltroResp)),PROCESSOS!D647+ROW()/1000000,"")</f>
        <v/>
      </c>
    </row>
    <row r="648">
      <c r="BF648" t="str">
        <f>IF(AND(OR(PROCESSOS!O648="NO PRAZO",PROCESSOS!O648="VENCE EM BREVE"),OR(FiltroResp="TODOS",FiltroResp="",PROCESSOS!H648=FiltroResp)),PROCESSOS!M648+ROW()/1000000,"")</f>
        <v/>
      </c>
      <c r="BG648" t="str">
        <f>IF(AND(PROCESSOS!B648&lt;&gt;"",ISNUMBER(PROCESSOS!D648),OR(FiltroResp="TODOS",FiltroResp="",PROCESSOS!H648=FiltroResp)),PROCESSOS!D648+ROW()/1000000,"")</f>
        <v/>
      </c>
    </row>
    <row r="649">
      <c r="BF649" t="str">
        <f>IF(AND(OR(PROCESSOS!O649="NO PRAZO",PROCESSOS!O649="VENCE EM BREVE"),OR(FiltroResp="TODOS",FiltroResp="",PROCESSOS!H649=FiltroResp)),PROCESSOS!M649+ROW()/1000000,"")</f>
        <v/>
      </c>
      <c r="BG649" t="str">
        <f>IF(AND(PROCESSOS!B649&lt;&gt;"",ISNUMBER(PROCESSOS!D649),OR(FiltroResp="TODOS",FiltroResp="",PROCESSOS!H649=FiltroResp)),PROCESSOS!D649+ROW()/1000000,"")</f>
        <v/>
      </c>
    </row>
    <row r="650">
      <c r="BF650" t="str">
        <f>IF(AND(OR(PROCESSOS!O650="NO PRAZO",PROCESSOS!O650="VENCE EM BREVE"),OR(FiltroResp="TODOS",FiltroResp="",PROCESSOS!H650=FiltroResp)),PROCESSOS!M650+ROW()/1000000,"")</f>
        <v/>
      </c>
      <c r="BG650" t="str">
        <f>IF(AND(PROCESSOS!B650&lt;&gt;"",ISNUMBER(PROCESSOS!D650),OR(FiltroResp="TODOS",FiltroResp="",PROCESSOS!H650=FiltroResp)),PROCESSOS!D650+ROW()/1000000,"")</f>
        <v/>
      </c>
    </row>
    <row r="651">
      <c r="BF651" t="str">
        <f>IF(AND(OR(PROCESSOS!O651="NO PRAZO",PROCESSOS!O651="VENCE EM BREVE"),OR(FiltroResp="TODOS",FiltroResp="",PROCESSOS!H651=FiltroResp)),PROCESSOS!M651+ROW()/1000000,"")</f>
        <v/>
      </c>
      <c r="BG651" t="str">
        <f>IF(AND(PROCESSOS!B651&lt;&gt;"",ISNUMBER(PROCESSOS!D651),OR(FiltroResp="TODOS",FiltroResp="",PROCESSOS!H651=FiltroResp)),PROCESSOS!D651+ROW()/1000000,"")</f>
        <v/>
      </c>
    </row>
    <row r="652">
      <c r="BF652" t="str">
        <f>IF(AND(OR(PROCESSOS!O652="NO PRAZO",PROCESSOS!O652="VENCE EM BREVE"),OR(FiltroResp="TODOS",FiltroResp="",PROCESSOS!H652=FiltroResp)),PROCESSOS!M652+ROW()/1000000,"")</f>
        <v/>
      </c>
      <c r="BG652" t="str">
        <f>IF(AND(PROCESSOS!B652&lt;&gt;"",ISNUMBER(PROCESSOS!D652),OR(FiltroResp="TODOS",FiltroResp="",PROCESSOS!H652=FiltroResp)),PROCESSOS!D652+ROW()/1000000,"")</f>
        <v/>
      </c>
    </row>
    <row r="653">
      <c r="BF653" t="str">
        <f>IF(AND(OR(PROCESSOS!O653="NO PRAZO",PROCESSOS!O653="VENCE EM BREVE"),OR(FiltroResp="TODOS",FiltroResp="",PROCESSOS!H653=FiltroResp)),PROCESSOS!M653+ROW()/1000000,"")</f>
        <v/>
      </c>
      <c r="BG653" t="str">
        <f>IF(AND(PROCESSOS!B653&lt;&gt;"",ISNUMBER(PROCESSOS!D653),OR(FiltroResp="TODOS",FiltroResp="",PROCESSOS!H653=FiltroResp)),PROCESSOS!D653+ROW()/1000000,"")</f>
        <v/>
      </c>
    </row>
    <row r="654">
      <c r="BF654" t="str">
        <f>IF(AND(OR(PROCESSOS!O654="NO PRAZO",PROCESSOS!O654="VENCE EM BREVE"),OR(FiltroResp="TODOS",FiltroResp="",PROCESSOS!H654=FiltroResp)),PROCESSOS!M654+ROW()/1000000,"")</f>
        <v/>
      </c>
      <c r="BG654" t="str">
        <f>IF(AND(PROCESSOS!B654&lt;&gt;"",ISNUMBER(PROCESSOS!D654),OR(FiltroResp="TODOS",FiltroResp="",PROCESSOS!H654=FiltroResp)),PROCESSOS!D654+ROW()/1000000,"")</f>
        <v/>
      </c>
    </row>
    <row r="655">
      <c r="BF655" t="str">
        <f>IF(AND(OR(PROCESSOS!O655="NO PRAZO",PROCESSOS!O655="VENCE EM BREVE"),OR(FiltroResp="TODOS",FiltroResp="",PROCESSOS!H655=FiltroResp)),PROCESSOS!M655+ROW()/1000000,"")</f>
        <v/>
      </c>
      <c r="BG655" t="str">
        <f>IF(AND(PROCESSOS!B655&lt;&gt;"",ISNUMBER(PROCESSOS!D655),OR(FiltroResp="TODOS",FiltroResp="",PROCESSOS!H655=FiltroResp)),PROCESSOS!D655+ROW()/1000000,"")</f>
        <v/>
      </c>
    </row>
    <row r="656">
      <c r="BF656" t="str">
        <f>IF(AND(OR(PROCESSOS!O656="NO PRAZO",PROCESSOS!O656="VENCE EM BREVE"),OR(FiltroResp="TODOS",FiltroResp="",PROCESSOS!H656=FiltroResp)),PROCESSOS!M656+ROW()/1000000,"")</f>
        <v/>
      </c>
      <c r="BG656" t="str">
        <f>IF(AND(PROCESSOS!B656&lt;&gt;"",ISNUMBER(PROCESSOS!D656),OR(FiltroResp="TODOS",FiltroResp="",PROCESSOS!H656=FiltroResp)),PROCESSOS!D656+ROW()/1000000,"")</f>
        <v/>
      </c>
    </row>
    <row r="657">
      <c r="BF657" t="str">
        <f>IF(AND(OR(PROCESSOS!O657="NO PRAZO",PROCESSOS!O657="VENCE EM BREVE"),OR(FiltroResp="TODOS",FiltroResp="",PROCESSOS!H657=FiltroResp)),PROCESSOS!M657+ROW()/1000000,"")</f>
        <v/>
      </c>
      <c r="BG657" t="str">
        <f>IF(AND(PROCESSOS!B657&lt;&gt;"",ISNUMBER(PROCESSOS!D657),OR(FiltroResp="TODOS",FiltroResp="",PROCESSOS!H657=FiltroResp)),PROCESSOS!D657+ROW()/1000000,"")</f>
        <v/>
      </c>
    </row>
    <row r="658">
      <c r="BF658" t="str">
        <f>IF(AND(OR(PROCESSOS!O658="NO PRAZO",PROCESSOS!O658="VENCE EM BREVE"),OR(FiltroResp="TODOS",FiltroResp="",PROCESSOS!H658=FiltroResp)),PROCESSOS!M658+ROW()/1000000,"")</f>
        <v/>
      </c>
      <c r="BG658" t="str">
        <f>IF(AND(PROCESSOS!B658&lt;&gt;"",ISNUMBER(PROCESSOS!D658),OR(FiltroResp="TODOS",FiltroResp="",PROCESSOS!H658=FiltroResp)),PROCESSOS!D658+ROW()/1000000,"")</f>
        <v/>
      </c>
    </row>
    <row r="659">
      <c r="BF659" t="str">
        <f>IF(AND(OR(PROCESSOS!O659="NO PRAZO",PROCESSOS!O659="VENCE EM BREVE"),OR(FiltroResp="TODOS",FiltroResp="",PROCESSOS!H659=FiltroResp)),PROCESSOS!M659+ROW()/1000000,"")</f>
        <v/>
      </c>
      <c r="BG659" t="str">
        <f>IF(AND(PROCESSOS!B659&lt;&gt;"",ISNUMBER(PROCESSOS!D659),OR(FiltroResp="TODOS",FiltroResp="",PROCESSOS!H659=FiltroResp)),PROCESSOS!D659+ROW()/1000000,"")</f>
        <v/>
      </c>
    </row>
    <row r="660">
      <c r="BF660" t="str">
        <f>IF(AND(OR(PROCESSOS!O660="NO PRAZO",PROCESSOS!O660="VENCE EM BREVE"),OR(FiltroResp="TODOS",FiltroResp="",PROCESSOS!H660=FiltroResp)),PROCESSOS!M660+ROW()/1000000,"")</f>
        <v/>
      </c>
      <c r="BG660" t="str">
        <f>IF(AND(PROCESSOS!B660&lt;&gt;"",ISNUMBER(PROCESSOS!D660),OR(FiltroResp="TODOS",FiltroResp="",PROCESSOS!H660=FiltroResp)),PROCESSOS!D660+ROW()/1000000,"")</f>
        <v/>
      </c>
    </row>
    <row r="661">
      <c r="BF661" t="str">
        <f>IF(AND(OR(PROCESSOS!O661="NO PRAZO",PROCESSOS!O661="VENCE EM BREVE"),OR(FiltroResp="TODOS",FiltroResp="",PROCESSOS!H661=FiltroResp)),PROCESSOS!M661+ROW()/1000000,"")</f>
        <v/>
      </c>
      <c r="BG661" t="str">
        <f>IF(AND(PROCESSOS!B661&lt;&gt;"",ISNUMBER(PROCESSOS!D661),OR(FiltroResp="TODOS",FiltroResp="",PROCESSOS!H661=FiltroResp)),PROCESSOS!D661+ROW()/1000000,"")</f>
        <v/>
      </c>
    </row>
    <row r="662">
      <c r="BF662" t="str">
        <f>IF(AND(OR(PROCESSOS!O662="NO PRAZO",PROCESSOS!O662="VENCE EM BREVE"),OR(FiltroResp="TODOS",FiltroResp="",PROCESSOS!H662=FiltroResp)),PROCESSOS!M662+ROW()/1000000,"")</f>
        <v/>
      </c>
      <c r="BG662" t="str">
        <f>IF(AND(PROCESSOS!B662&lt;&gt;"",ISNUMBER(PROCESSOS!D662),OR(FiltroResp="TODOS",FiltroResp="",PROCESSOS!H662=FiltroResp)),PROCESSOS!D662+ROW()/1000000,"")</f>
        <v/>
      </c>
    </row>
    <row r="663">
      <c r="BF663" t="str">
        <f>IF(AND(OR(PROCESSOS!O663="NO PRAZO",PROCESSOS!O663="VENCE EM BREVE"),OR(FiltroResp="TODOS",FiltroResp="",PROCESSOS!H663=FiltroResp)),PROCESSOS!M663+ROW()/1000000,"")</f>
        <v/>
      </c>
      <c r="BG663" t="str">
        <f>IF(AND(PROCESSOS!B663&lt;&gt;"",ISNUMBER(PROCESSOS!D663),OR(FiltroResp="TODOS",FiltroResp="",PROCESSOS!H663=FiltroResp)),PROCESSOS!D663+ROW()/1000000,"")</f>
        <v/>
      </c>
    </row>
    <row r="664">
      <c r="BF664" t="str">
        <f>IF(AND(OR(PROCESSOS!O664="NO PRAZO",PROCESSOS!O664="VENCE EM BREVE"),OR(FiltroResp="TODOS",FiltroResp="",PROCESSOS!H664=FiltroResp)),PROCESSOS!M664+ROW()/1000000,"")</f>
        <v/>
      </c>
      <c r="BG664" t="str">
        <f>IF(AND(PROCESSOS!B664&lt;&gt;"",ISNUMBER(PROCESSOS!D664),OR(FiltroResp="TODOS",FiltroResp="",PROCESSOS!H664=FiltroResp)),PROCESSOS!D664+ROW()/1000000,"")</f>
        <v/>
      </c>
    </row>
    <row r="665">
      <c r="BF665" t="str">
        <f>IF(AND(OR(PROCESSOS!O665="NO PRAZO",PROCESSOS!O665="VENCE EM BREVE"),OR(FiltroResp="TODOS",FiltroResp="",PROCESSOS!H665=FiltroResp)),PROCESSOS!M665+ROW()/1000000,"")</f>
        <v/>
      </c>
      <c r="BG665" t="str">
        <f>IF(AND(PROCESSOS!B665&lt;&gt;"",ISNUMBER(PROCESSOS!D665),OR(FiltroResp="TODOS",FiltroResp="",PROCESSOS!H665=FiltroResp)),PROCESSOS!D665+ROW()/1000000,"")</f>
        <v/>
      </c>
    </row>
    <row r="666">
      <c r="BF666" t="str">
        <f>IF(AND(OR(PROCESSOS!O666="NO PRAZO",PROCESSOS!O666="VENCE EM BREVE"),OR(FiltroResp="TODOS",FiltroResp="",PROCESSOS!H666=FiltroResp)),PROCESSOS!M666+ROW()/1000000,"")</f>
        <v/>
      </c>
      <c r="BG666" t="str">
        <f>IF(AND(PROCESSOS!B666&lt;&gt;"",ISNUMBER(PROCESSOS!D666),OR(FiltroResp="TODOS",FiltroResp="",PROCESSOS!H666=FiltroResp)),PROCESSOS!D666+ROW()/1000000,"")</f>
        <v/>
      </c>
    </row>
    <row r="667">
      <c r="BF667" t="str">
        <f>IF(AND(OR(PROCESSOS!O667="NO PRAZO",PROCESSOS!O667="VENCE EM BREVE"),OR(FiltroResp="TODOS",FiltroResp="",PROCESSOS!H667=FiltroResp)),PROCESSOS!M667+ROW()/1000000,"")</f>
        <v/>
      </c>
      <c r="BG667" t="str">
        <f>IF(AND(PROCESSOS!B667&lt;&gt;"",ISNUMBER(PROCESSOS!D667),OR(FiltroResp="TODOS",FiltroResp="",PROCESSOS!H667=FiltroResp)),PROCESSOS!D667+ROW()/1000000,"")</f>
        <v/>
      </c>
    </row>
    <row r="668">
      <c r="BF668" t="str">
        <f>IF(AND(OR(PROCESSOS!O668="NO PRAZO",PROCESSOS!O668="VENCE EM BREVE"),OR(FiltroResp="TODOS",FiltroResp="",PROCESSOS!H668=FiltroResp)),PROCESSOS!M668+ROW()/1000000,"")</f>
        <v/>
      </c>
      <c r="BG668" t="str">
        <f>IF(AND(PROCESSOS!B668&lt;&gt;"",ISNUMBER(PROCESSOS!D668),OR(FiltroResp="TODOS",FiltroResp="",PROCESSOS!H668=FiltroResp)),PROCESSOS!D668+ROW()/1000000,"")</f>
        <v/>
      </c>
    </row>
    <row r="669">
      <c r="BF669" t="str">
        <f>IF(AND(OR(PROCESSOS!O669="NO PRAZO",PROCESSOS!O669="VENCE EM BREVE"),OR(FiltroResp="TODOS",FiltroResp="",PROCESSOS!H669=FiltroResp)),PROCESSOS!M669+ROW()/1000000,"")</f>
        <v/>
      </c>
      <c r="BG669" t="str">
        <f>IF(AND(PROCESSOS!B669&lt;&gt;"",ISNUMBER(PROCESSOS!D669),OR(FiltroResp="TODOS",FiltroResp="",PROCESSOS!H669=FiltroResp)),PROCESSOS!D669+ROW()/1000000,"")</f>
        <v/>
      </c>
    </row>
    <row r="670">
      <c r="BF670" t="str">
        <f>IF(AND(OR(PROCESSOS!O670="NO PRAZO",PROCESSOS!O670="VENCE EM BREVE"),OR(FiltroResp="TODOS",FiltroResp="",PROCESSOS!H670=FiltroResp)),PROCESSOS!M670+ROW()/1000000,"")</f>
        <v/>
      </c>
      <c r="BG670" t="str">
        <f>IF(AND(PROCESSOS!B670&lt;&gt;"",ISNUMBER(PROCESSOS!D670),OR(FiltroResp="TODOS",FiltroResp="",PROCESSOS!H670=FiltroResp)),PROCESSOS!D670+ROW()/1000000,"")</f>
        <v/>
      </c>
    </row>
    <row r="671">
      <c r="BF671" t="str">
        <f>IF(AND(OR(PROCESSOS!O671="NO PRAZO",PROCESSOS!O671="VENCE EM BREVE"),OR(FiltroResp="TODOS",FiltroResp="",PROCESSOS!H671=FiltroResp)),PROCESSOS!M671+ROW()/1000000,"")</f>
        <v/>
      </c>
      <c r="BG671" t="str">
        <f>IF(AND(PROCESSOS!B671&lt;&gt;"",ISNUMBER(PROCESSOS!D671),OR(FiltroResp="TODOS",FiltroResp="",PROCESSOS!H671=FiltroResp)),PROCESSOS!D671+ROW()/1000000,"")</f>
        <v/>
      </c>
    </row>
    <row r="672">
      <c r="BF672" t="str">
        <f>IF(AND(OR(PROCESSOS!O672="NO PRAZO",PROCESSOS!O672="VENCE EM BREVE"),OR(FiltroResp="TODOS",FiltroResp="",PROCESSOS!H672=FiltroResp)),PROCESSOS!M672+ROW()/1000000,"")</f>
        <v/>
      </c>
      <c r="BG672" t="str">
        <f>IF(AND(PROCESSOS!B672&lt;&gt;"",ISNUMBER(PROCESSOS!D672),OR(FiltroResp="TODOS",FiltroResp="",PROCESSOS!H672=FiltroResp)),PROCESSOS!D672+ROW()/1000000,"")</f>
        <v/>
      </c>
    </row>
    <row r="673">
      <c r="BF673" t="str">
        <f>IF(AND(OR(PROCESSOS!O673="NO PRAZO",PROCESSOS!O673="VENCE EM BREVE"),OR(FiltroResp="TODOS",FiltroResp="",PROCESSOS!H673=FiltroResp)),PROCESSOS!M673+ROW()/1000000,"")</f>
        <v/>
      </c>
      <c r="BG673" t="str">
        <f>IF(AND(PROCESSOS!B673&lt;&gt;"",ISNUMBER(PROCESSOS!D673),OR(FiltroResp="TODOS",FiltroResp="",PROCESSOS!H673=FiltroResp)),PROCESSOS!D673+ROW()/1000000,"")</f>
        <v/>
      </c>
    </row>
    <row r="674">
      <c r="BF674" t="str">
        <f>IF(AND(OR(PROCESSOS!O674="NO PRAZO",PROCESSOS!O674="VENCE EM BREVE"),OR(FiltroResp="TODOS",FiltroResp="",PROCESSOS!H674=FiltroResp)),PROCESSOS!M674+ROW()/1000000,"")</f>
        <v/>
      </c>
      <c r="BG674" t="str">
        <f>IF(AND(PROCESSOS!B674&lt;&gt;"",ISNUMBER(PROCESSOS!D674),OR(FiltroResp="TODOS",FiltroResp="",PROCESSOS!H674=FiltroResp)),PROCESSOS!D674+ROW()/1000000,"")</f>
        <v/>
      </c>
    </row>
    <row r="675">
      <c r="BF675" t="str">
        <f>IF(AND(OR(PROCESSOS!O675="NO PRAZO",PROCESSOS!O675="VENCE EM BREVE"),OR(FiltroResp="TODOS",FiltroResp="",PROCESSOS!H675=FiltroResp)),PROCESSOS!M675+ROW()/1000000,"")</f>
        <v/>
      </c>
      <c r="BG675" t="str">
        <f>IF(AND(PROCESSOS!B675&lt;&gt;"",ISNUMBER(PROCESSOS!D675),OR(FiltroResp="TODOS",FiltroResp="",PROCESSOS!H675=FiltroResp)),PROCESSOS!D675+ROW()/1000000,"")</f>
        <v/>
      </c>
    </row>
    <row r="676">
      <c r="BF676" t="str">
        <f>IF(AND(OR(PROCESSOS!O676="NO PRAZO",PROCESSOS!O676="VENCE EM BREVE"),OR(FiltroResp="TODOS",FiltroResp="",PROCESSOS!H676=FiltroResp)),PROCESSOS!M676+ROW()/1000000,"")</f>
        <v/>
      </c>
      <c r="BG676" t="str">
        <f>IF(AND(PROCESSOS!B676&lt;&gt;"",ISNUMBER(PROCESSOS!D676),OR(FiltroResp="TODOS",FiltroResp="",PROCESSOS!H676=FiltroResp)),PROCESSOS!D676+ROW()/1000000,"")</f>
        <v/>
      </c>
    </row>
    <row r="677">
      <c r="BF677" t="str">
        <f>IF(AND(OR(PROCESSOS!O677="NO PRAZO",PROCESSOS!O677="VENCE EM BREVE"),OR(FiltroResp="TODOS",FiltroResp="",PROCESSOS!H677=FiltroResp)),PROCESSOS!M677+ROW()/1000000,"")</f>
        <v/>
      </c>
      <c r="BG677" t="str">
        <f>IF(AND(PROCESSOS!B677&lt;&gt;"",ISNUMBER(PROCESSOS!D677),OR(FiltroResp="TODOS",FiltroResp="",PROCESSOS!H677=FiltroResp)),PROCESSOS!D677+ROW()/1000000,"")</f>
        <v/>
      </c>
    </row>
    <row r="678">
      <c r="BF678" t="str">
        <f>IF(AND(OR(PROCESSOS!O678="NO PRAZO",PROCESSOS!O678="VENCE EM BREVE"),OR(FiltroResp="TODOS",FiltroResp="",PROCESSOS!H678=FiltroResp)),PROCESSOS!M678+ROW()/1000000,"")</f>
        <v/>
      </c>
      <c r="BG678" t="str">
        <f>IF(AND(PROCESSOS!B678&lt;&gt;"",ISNUMBER(PROCESSOS!D678),OR(FiltroResp="TODOS",FiltroResp="",PROCESSOS!H678=FiltroResp)),PROCESSOS!D678+ROW()/1000000,"")</f>
        <v/>
      </c>
    </row>
    <row r="679">
      <c r="BF679" t="str">
        <f>IF(AND(OR(PROCESSOS!O679="NO PRAZO",PROCESSOS!O679="VENCE EM BREVE"),OR(FiltroResp="TODOS",FiltroResp="",PROCESSOS!H679=FiltroResp)),PROCESSOS!M679+ROW()/1000000,"")</f>
        <v/>
      </c>
      <c r="BG679" t="str">
        <f>IF(AND(PROCESSOS!B679&lt;&gt;"",ISNUMBER(PROCESSOS!D679),OR(FiltroResp="TODOS",FiltroResp="",PROCESSOS!H679=FiltroResp)),PROCESSOS!D679+ROW()/1000000,"")</f>
        <v/>
      </c>
    </row>
    <row r="680">
      <c r="BF680" t="str">
        <f>IF(AND(OR(PROCESSOS!O680="NO PRAZO",PROCESSOS!O680="VENCE EM BREVE"),OR(FiltroResp="TODOS",FiltroResp="",PROCESSOS!H680=FiltroResp)),PROCESSOS!M680+ROW()/1000000,"")</f>
        <v/>
      </c>
      <c r="BG680" t="str">
        <f>IF(AND(PROCESSOS!B680&lt;&gt;"",ISNUMBER(PROCESSOS!D680),OR(FiltroResp="TODOS",FiltroResp="",PROCESSOS!H680=FiltroResp)),PROCESSOS!D680+ROW()/1000000,"")</f>
        <v/>
      </c>
    </row>
    <row r="681">
      <c r="BF681" t="str">
        <f>IF(AND(OR(PROCESSOS!O681="NO PRAZO",PROCESSOS!O681="VENCE EM BREVE"),OR(FiltroResp="TODOS",FiltroResp="",PROCESSOS!H681=FiltroResp)),PROCESSOS!M681+ROW()/1000000,"")</f>
        <v/>
      </c>
      <c r="BG681" t="str">
        <f>IF(AND(PROCESSOS!B681&lt;&gt;"",ISNUMBER(PROCESSOS!D681),OR(FiltroResp="TODOS",FiltroResp="",PROCESSOS!H681=FiltroResp)),PROCESSOS!D681+ROW()/1000000,"")</f>
        <v/>
      </c>
    </row>
    <row r="682">
      <c r="BF682" t="str">
        <f>IF(AND(OR(PROCESSOS!O682="NO PRAZO",PROCESSOS!O682="VENCE EM BREVE"),OR(FiltroResp="TODOS",FiltroResp="",PROCESSOS!H682=FiltroResp)),PROCESSOS!M682+ROW()/1000000,"")</f>
        <v/>
      </c>
      <c r="BG682" t="str">
        <f>IF(AND(PROCESSOS!B682&lt;&gt;"",ISNUMBER(PROCESSOS!D682),OR(FiltroResp="TODOS",FiltroResp="",PROCESSOS!H682=FiltroResp)),PROCESSOS!D682+ROW()/1000000,"")</f>
        <v/>
      </c>
    </row>
    <row r="683">
      <c r="BF683" t="str">
        <f>IF(AND(OR(PROCESSOS!O683="NO PRAZO",PROCESSOS!O683="VENCE EM BREVE"),OR(FiltroResp="TODOS",FiltroResp="",PROCESSOS!H683=FiltroResp)),PROCESSOS!M683+ROW()/1000000,"")</f>
        <v/>
      </c>
      <c r="BG683" t="str">
        <f>IF(AND(PROCESSOS!B683&lt;&gt;"",ISNUMBER(PROCESSOS!D683),OR(FiltroResp="TODOS",FiltroResp="",PROCESSOS!H683=FiltroResp)),PROCESSOS!D683+ROW()/1000000,"")</f>
        <v/>
      </c>
    </row>
    <row r="684">
      <c r="BF684" t="str">
        <f>IF(AND(OR(PROCESSOS!O684="NO PRAZO",PROCESSOS!O684="VENCE EM BREVE"),OR(FiltroResp="TODOS",FiltroResp="",PROCESSOS!H684=FiltroResp)),PROCESSOS!M684+ROW()/1000000,"")</f>
        <v/>
      </c>
      <c r="BG684" t="str">
        <f>IF(AND(PROCESSOS!B684&lt;&gt;"",ISNUMBER(PROCESSOS!D684),OR(FiltroResp="TODOS",FiltroResp="",PROCESSOS!H684=FiltroResp)),PROCESSOS!D684+ROW()/1000000,"")</f>
        <v/>
      </c>
    </row>
    <row r="685">
      <c r="BF685" t="str">
        <f>IF(AND(OR(PROCESSOS!O685="NO PRAZO",PROCESSOS!O685="VENCE EM BREVE"),OR(FiltroResp="TODOS",FiltroResp="",PROCESSOS!H685=FiltroResp)),PROCESSOS!M685+ROW()/1000000,"")</f>
        <v/>
      </c>
      <c r="BG685" t="str">
        <f>IF(AND(PROCESSOS!B685&lt;&gt;"",ISNUMBER(PROCESSOS!D685),OR(FiltroResp="TODOS",FiltroResp="",PROCESSOS!H685=FiltroResp)),PROCESSOS!D685+ROW()/1000000,"")</f>
        <v/>
      </c>
    </row>
    <row r="686">
      <c r="BF686" t="str">
        <f>IF(AND(OR(PROCESSOS!O686="NO PRAZO",PROCESSOS!O686="VENCE EM BREVE"),OR(FiltroResp="TODOS",FiltroResp="",PROCESSOS!H686=FiltroResp)),PROCESSOS!M686+ROW()/1000000,"")</f>
        <v/>
      </c>
      <c r="BG686" t="str">
        <f>IF(AND(PROCESSOS!B686&lt;&gt;"",ISNUMBER(PROCESSOS!D686),OR(FiltroResp="TODOS",FiltroResp="",PROCESSOS!H686=FiltroResp)),PROCESSOS!D686+ROW()/1000000,"")</f>
        <v/>
      </c>
    </row>
    <row r="687">
      <c r="BF687" t="str">
        <f>IF(AND(OR(PROCESSOS!O687="NO PRAZO",PROCESSOS!O687="VENCE EM BREVE"),OR(FiltroResp="TODOS",FiltroResp="",PROCESSOS!H687=FiltroResp)),PROCESSOS!M687+ROW()/1000000,"")</f>
        <v/>
      </c>
      <c r="BG687" t="str">
        <f>IF(AND(PROCESSOS!B687&lt;&gt;"",ISNUMBER(PROCESSOS!D687),OR(FiltroResp="TODOS",FiltroResp="",PROCESSOS!H687=FiltroResp)),PROCESSOS!D687+ROW()/1000000,"")</f>
        <v/>
      </c>
    </row>
    <row r="688">
      <c r="BF688" t="str">
        <f>IF(AND(OR(PROCESSOS!O688="NO PRAZO",PROCESSOS!O688="VENCE EM BREVE"),OR(FiltroResp="TODOS",FiltroResp="",PROCESSOS!H688=FiltroResp)),PROCESSOS!M688+ROW()/1000000,"")</f>
        <v/>
      </c>
      <c r="BG688" t="str">
        <f>IF(AND(PROCESSOS!B688&lt;&gt;"",ISNUMBER(PROCESSOS!D688),OR(FiltroResp="TODOS",FiltroResp="",PROCESSOS!H688=FiltroResp)),PROCESSOS!D688+ROW()/1000000,"")</f>
        <v/>
      </c>
    </row>
    <row r="689">
      <c r="BF689" t="str">
        <f>IF(AND(OR(PROCESSOS!O689="NO PRAZO",PROCESSOS!O689="VENCE EM BREVE"),OR(FiltroResp="TODOS",FiltroResp="",PROCESSOS!H689=FiltroResp)),PROCESSOS!M689+ROW()/1000000,"")</f>
        <v/>
      </c>
      <c r="BG689" t="str">
        <f>IF(AND(PROCESSOS!B689&lt;&gt;"",ISNUMBER(PROCESSOS!D689),OR(FiltroResp="TODOS",FiltroResp="",PROCESSOS!H689=FiltroResp)),PROCESSOS!D689+ROW()/1000000,"")</f>
        <v/>
      </c>
    </row>
    <row r="690">
      <c r="BF690" t="str">
        <f>IF(AND(OR(PROCESSOS!O690="NO PRAZO",PROCESSOS!O690="VENCE EM BREVE"),OR(FiltroResp="TODOS",FiltroResp="",PROCESSOS!H690=FiltroResp)),PROCESSOS!M690+ROW()/1000000,"")</f>
        <v/>
      </c>
      <c r="BG690" t="str">
        <f>IF(AND(PROCESSOS!B690&lt;&gt;"",ISNUMBER(PROCESSOS!D690),OR(FiltroResp="TODOS",FiltroResp="",PROCESSOS!H690=FiltroResp)),PROCESSOS!D690+ROW()/1000000,"")</f>
        <v/>
      </c>
    </row>
    <row r="691">
      <c r="BF691" t="str">
        <f>IF(AND(OR(PROCESSOS!O691="NO PRAZO",PROCESSOS!O691="VENCE EM BREVE"),OR(FiltroResp="TODOS",FiltroResp="",PROCESSOS!H691=FiltroResp)),PROCESSOS!M691+ROW()/1000000,"")</f>
        <v/>
      </c>
      <c r="BG691" t="str">
        <f>IF(AND(PROCESSOS!B691&lt;&gt;"",ISNUMBER(PROCESSOS!D691),OR(FiltroResp="TODOS",FiltroResp="",PROCESSOS!H691=FiltroResp)),PROCESSOS!D691+ROW()/1000000,"")</f>
        <v/>
      </c>
    </row>
    <row r="692">
      <c r="BF692" t="str">
        <f>IF(AND(OR(PROCESSOS!O692="NO PRAZO",PROCESSOS!O692="VENCE EM BREVE"),OR(FiltroResp="TODOS",FiltroResp="",PROCESSOS!H692=FiltroResp)),PROCESSOS!M692+ROW()/1000000,"")</f>
        <v/>
      </c>
      <c r="BG692" t="str">
        <f>IF(AND(PROCESSOS!B692&lt;&gt;"",ISNUMBER(PROCESSOS!D692),OR(FiltroResp="TODOS",FiltroResp="",PROCESSOS!H692=FiltroResp)),PROCESSOS!D692+ROW()/1000000,"")</f>
        <v/>
      </c>
    </row>
    <row r="693">
      <c r="BF693" t="str">
        <f>IF(AND(OR(PROCESSOS!O693="NO PRAZO",PROCESSOS!O693="VENCE EM BREVE"),OR(FiltroResp="TODOS",FiltroResp="",PROCESSOS!H693=FiltroResp)),PROCESSOS!M693+ROW()/1000000,"")</f>
        <v/>
      </c>
      <c r="BG693" t="str">
        <f>IF(AND(PROCESSOS!B693&lt;&gt;"",ISNUMBER(PROCESSOS!D693),OR(FiltroResp="TODOS",FiltroResp="",PROCESSOS!H693=FiltroResp)),PROCESSOS!D693+ROW()/1000000,"")</f>
        <v/>
      </c>
    </row>
    <row r="694">
      <c r="BF694" t="str">
        <f>IF(AND(OR(PROCESSOS!O694="NO PRAZO",PROCESSOS!O694="VENCE EM BREVE"),OR(FiltroResp="TODOS",FiltroResp="",PROCESSOS!H694=FiltroResp)),PROCESSOS!M694+ROW()/1000000,"")</f>
        <v/>
      </c>
      <c r="BG694" t="str">
        <f>IF(AND(PROCESSOS!B694&lt;&gt;"",ISNUMBER(PROCESSOS!D694),OR(FiltroResp="TODOS",FiltroResp="",PROCESSOS!H694=FiltroResp)),PROCESSOS!D694+ROW()/1000000,"")</f>
        <v/>
      </c>
    </row>
    <row r="695">
      <c r="BF695" t="str">
        <f>IF(AND(OR(PROCESSOS!O695="NO PRAZO",PROCESSOS!O695="VENCE EM BREVE"),OR(FiltroResp="TODOS",FiltroResp="",PROCESSOS!H695=FiltroResp)),PROCESSOS!M695+ROW()/1000000,"")</f>
        <v/>
      </c>
      <c r="BG695" t="str">
        <f>IF(AND(PROCESSOS!B695&lt;&gt;"",ISNUMBER(PROCESSOS!D695),OR(FiltroResp="TODOS",FiltroResp="",PROCESSOS!H695=FiltroResp)),PROCESSOS!D695+ROW()/1000000,"")</f>
        <v/>
      </c>
    </row>
    <row r="696">
      <c r="BF696" t="str">
        <f>IF(AND(OR(PROCESSOS!O696="NO PRAZO",PROCESSOS!O696="VENCE EM BREVE"),OR(FiltroResp="TODOS",FiltroResp="",PROCESSOS!H696=FiltroResp)),PROCESSOS!M696+ROW()/1000000,"")</f>
        <v/>
      </c>
      <c r="BG696" t="str">
        <f>IF(AND(PROCESSOS!B696&lt;&gt;"",ISNUMBER(PROCESSOS!D696),OR(FiltroResp="TODOS",FiltroResp="",PROCESSOS!H696=FiltroResp)),PROCESSOS!D696+ROW()/1000000,"")</f>
        <v/>
      </c>
    </row>
    <row r="697">
      <c r="BF697" t="str">
        <f>IF(AND(OR(PROCESSOS!O697="NO PRAZO",PROCESSOS!O697="VENCE EM BREVE"),OR(FiltroResp="TODOS",FiltroResp="",PROCESSOS!H697=FiltroResp)),PROCESSOS!M697+ROW()/1000000,"")</f>
        <v/>
      </c>
      <c r="BG697" t="str">
        <f>IF(AND(PROCESSOS!B697&lt;&gt;"",ISNUMBER(PROCESSOS!D697),OR(FiltroResp="TODOS",FiltroResp="",PROCESSOS!H697=FiltroResp)),PROCESSOS!D697+ROW()/1000000,"")</f>
        <v/>
      </c>
    </row>
    <row r="698">
      <c r="BF698" t="str">
        <f>IF(AND(OR(PROCESSOS!O698="NO PRAZO",PROCESSOS!O698="VENCE EM BREVE"),OR(FiltroResp="TODOS",FiltroResp="",PROCESSOS!H698=FiltroResp)),PROCESSOS!M698+ROW()/1000000,"")</f>
        <v/>
      </c>
      <c r="BG698" t="str">
        <f>IF(AND(PROCESSOS!B698&lt;&gt;"",ISNUMBER(PROCESSOS!D698),OR(FiltroResp="TODOS",FiltroResp="",PROCESSOS!H698=FiltroResp)),PROCESSOS!D698+ROW()/1000000,"")</f>
        <v/>
      </c>
    </row>
    <row r="699">
      <c r="BF699" t="str">
        <f>IF(AND(OR(PROCESSOS!O699="NO PRAZO",PROCESSOS!O699="VENCE EM BREVE"),OR(FiltroResp="TODOS",FiltroResp="",PROCESSOS!H699=FiltroResp)),PROCESSOS!M699+ROW()/1000000,"")</f>
        <v/>
      </c>
      <c r="BG699" t="str">
        <f>IF(AND(PROCESSOS!B699&lt;&gt;"",ISNUMBER(PROCESSOS!D699),OR(FiltroResp="TODOS",FiltroResp="",PROCESSOS!H699=FiltroResp)),PROCESSOS!D699+ROW()/1000000,"")</f>
        <v/>
      </c>
    </row>
    <row r="700">
      <c r="BF700" t="str">
        <f>IF(AND(OR(PROCESSOS!O700="NO PRAZO",PROCESSOS!O700="VENCE EM BREVE"),OR(FiltroResp="TODOS",FiltroResp="",PROCESSOS!H700=FiltroResp)),PROCESSOS!M700+ROW()/1000000,"")</f>
        <v/>
      </c>
      <c r="BG700" t="str">
        <f>IF(AND(PROCESSOS!B700&lt;&gt;"",ISNUMBER(PROCESSOS!D700),OR(FiltroResp="TODOS",FiltroResp="",PROCESSOS!H700=FiltroResp)),PROCESSOS!D700+ROW()/1000000,"")</f>
        <v/>
      </c>
    </row>
    <row r="701">
      <c r="BF701" t="str">
        <f>IF(AND(OR(PROCESSOS!O701="NO PRAZO",PROCESSOS!O701="VENCE EM BREVE"),OR(FiltroResp="TODOS",FiltroResp="",PROCESSOS!H701=FiltroResp)),PROCESSOS!M701+ROW()/1000000,"")</f>
        <v/>
      </c>
      <c r="BG701" t="str">
        <f>IF(AND(PROCESSOS!B701&lt;&gt;"",ISNUMBER(PROCESSOS!D701),OR(FiltroResp="TODOS",FiltroResp="",PROCESSOS!H701=FiltroResp)),PROCESSOS!D701+ROW()/1000000,"")</f>
        <v/>
      </c>
    </row>
    <row r="702">
      <c r="BF702" t="str">
        <f>IF(AND(OR(PROCESSOS!O702="NO PRAZO",PROCESSOS!O702="VENCE EM BREVE"),OR(FiltroResp="TODOS",FiltroResp="",PROCESSOS!H702=FiltroResp)),PROCESSOS!M702+ROW()/1000000,"")</f>
        <v/>
      </c>
      <c r="BG702" t="str">
        <f>IF(AND(PROCESSOS!B702&lt;&gt;"",ISNUMBER(PROCESSOS!D702),OR(FiltroResp="TODOS",FiltroResp="",PROCESSOS!H702=FiltroResp)),PROCESSOS!D702+ROW()/1000000,"")</f>
        <v/>
      </c>
    </row>
    <row r="703">
      <c r="BF703" t="str">
        <f>IF(AND(OR(PROCESSOS!O703="NO PRAZO",PROCESSOS!O703="VENCE EM BREVE"),OR(FiltroResp="TODOS",FiltroResp="",PROCESSOS!H703=FiltroResp)),PROCESSOS!M703+ROW()/1000000,"")</f>
        <v/>
      </c>
      <c r="BG703" t="str">
        <f>IF(AND(PROCESSOS!B703&lt;&gt;"",ISNUMBER(PROCESSOS!D703),OR(FiltroResp="TODOS",FiltroResp="",PROCESSOS!H703=FiltroResp)),PROCESSOS!D703+ROW()/1000000,"")</f>
        <v/>
      </c>
    </row>
    <row r="704">
      <c r="BF704" t="str">
        <f>IF(AND(OR(PROCESSOS!O704="NO PRAZO",PROCESSOS!O704="VENCE EM BREVE"),OR(FiltroResp="TODOS",FiltroResp="",PROCESSOS!H704=FiltroResp)),PROCESSOS!M704+ROW()/1000000,"")</f>
        <v/>
      </c>
      <c r="BG704" t="str">
        <f>IF(AND(PROCESSOS!B704&lt;&gt;"",ISNUMBER(PROCESSOS!D704),OR(FiltroResp="TODOS",FiltroResp="",PROCESSOS!H704=FiltroResp)),PROCESSOS!D704+ROW()/1000000,"")</f>
        <v/>
      </c>
    </row>
    <row r="705">
      <c r="BF705" t="str">
        <f>IF(AND(OR(PROCESSOS!O705="NO PRAZO",PROCESSOS!O705="VENCE EM BREVE"),OR(FiltroResp="TODOS",FiltroResp="",PROCESSOS!H705=FiltroResp)),PROCESSOS!M705+ROW()/1000000,"")</f>
        <v/>
      </c>
      <c r="BG705" t="str">
        <f>IF(AND(PROCESSOS!B705&lt;&gt;"",ISNUMBER(PROCESSOS!D705),OR(FiltroResp="TODOS",FiltroResp="",PROCESSOS!H705=FiltroResp)),PROCESSOS!D705+ROW()/1000000,"")</f>
        <v/>
      </c>
    </row>
    <row r="706">
      <c r="BF706" t="str">
        <f>IF(AND(OR(PROCESSOS!O706="NO PRAZO",PROCESSOS!O706="VENCE EM BREVE"),OR(FiltroResp="TODOS",FiltroResp="",PROCESSOS!H706=FiltroResp)),PROCESSOS!M706+ROW()/1000000,"")</f>
        <v/>
      </c>
      <c r="BG706" t="str">
        <f>IF(AND(PROCESSOS!B706&lt;&gt;"",ISNUMBER(PROCESSOS!D706),OR(FiltroResp="TODOS",FiltroResp="",PROCESSOS!H706=FiltroResp)),PROCESSOS!D706+ROW()/1000000,"")</f>
        <v/>
      </c>
    </row>
    <row r="707">
      <c r="BF707" t="str">
        <f>IF(AND(OR(PROCESSOS!O707="NO PRAZO",PROCESSOS!O707="VENCE EM BREVE"),OR(FiltroResp="TODOS",FiltroResp="",PROCESSOS!H707=FiltroResp)),PROCESSOS!M707+ROW()/1000000,"")</f>
        <v/>
      </c>
      <c r="BG707" t="str">
        <f>IF(AND(PROCESSOS!B707&lt;&gt;"",ISNUMBER(PROCESSOS!D707),OR(FiltroResp="TODOS",FiltroResp="",PROCESSOS!H707=FiltroResp)),PROCESSOS!D707+ROW()/1000000,"")</f>
        <v/>
      </c>
    </row>
    <row r="708">
      <c r="BF708" t="str">
        <f>IF(AND(OR(PROCESSOS!O708="NO PRAZO",PROCESSOS!O708="VENCE EM BREVE"),OR(FiltroResp="TODOS",FiltroResp="",PROCESSOS!H708=FiltroResp)),PROCESSOS!M708+ROW()/1000000,"")</f>
        <v/>
      </c>
      <c r="BG708" t="str">
        <f>IF(AND(PROCESSOS!B708&lt;&gt;"",ISNUMBER(PROCESSOS!D708),OR(FiltroResp="TODOS",FiltroResp="",PROCESSOS!H708=FiltroResp)),PROCESSOS!D708+ROW()/1000000,"")</f>
        <v/>
      </c>
    </row>
    <row r="709">
      <c r="BF709" t="str">
        <f>IF(AND(OR(PROCESSOS!O709="NO PRAZO",PROCESSOS!O709="VENCE EM BREVE"),OR(FiltroResp="TODOS",FiltroResp="",PROCESSOS!H709=FiltroResp)),PROCESSOS!M709+ROW()/1000000,"")</f>
        <v/>
      </c>
      <c r="BG709" t="str">
        <f>IF(AND(PROCESSOS!B709&lt;&gt;"",ISNUMBER(PROCESSOS!D709),OR(FiltroResp="TODOS",FiltroResp="",PROCESSOS!H709=FiltroResp)),PROCESSOS!D709+ROW()/1000000,"")</f>
        <v/>
      </c>
    </row>
    <row r="710">
      <c r="BF710" t="str">
        <f>IF(AND(OR(PROCESSOS!O710="NO PRAZO",PROCESSOS!O710="VENCE EM BREVE"),OR(FiltroResp="TODOS",FiltroResp="",PROCESSOS!H710=FiltroResp)),PROCESSOS!M710+ROW()/1000000,"")</f>
        <v/>
      </c>
      <c r="BG710" t="str">
        <f>IF(AND(PROCESSOS!B710&lt;&gt;"",ISNUMBER(PROCESSOS!D710),OR(FiltroResp="TODOS",FiltroResp="",PROCESSOS!H710=FiltroResp)),PROCESSOS!D710+ROW()/1000000,"")</f>
        <v/>
      </c>
    </row>
    <row r="711">
      <c r="BF711" t="str">
        <f>IF(AND(OR(PROCESSOS!O711="NO PRAZO",PROCESSOS!O711="VENCE EM BREVE"),OR(FiltroResp="TODOS",FiltroResp="",PROCESSOS!H711=FiltroResp)),PROCESSOS!M711+ROW()/1000000,"")</f>
        <v/>
      </c>
      <c r="BG711" t="str">
        <f>IF(AND(PROCESSOS!B711&lt;&gt;"",ISNUMBER(PROCESSOS!D711),OR(FiltroResp="TODOS",FiltroResp="",PROCESSOS!H711=FiltroResp)),PROCESSOS!D711+ROW()/1000000,"")</f>
        <v/>
      </c>
    </row>
    <row r="712">
      <c r="BF712" t="str">
        <f>IF(AND(OR(PROCESSOS!O712="NO PRAZO",PROCESSOS!O712="VENCE EM BREVE"),OR(FiltroResp="TODOS",FiltroResp="",PROCESSOS!H712=FiltroResp)),PROCESSOS!M712+ROW()/1000000,"")</f>
        <v/>
      </c>
      <c r="BG712" t="str">
        <f>IF(AND(PROCESSOS!B712&lt;&gt;"",ISNUMBER(PROCESSOS!D712),OR(FiltroResp="TODOS",FiltroResp="",PROCESSOS!H712=FiltroResp)),PROCESSOS!D712+ROW()/1000000,"")</f>
        <v/>
      </c>
    </row>
    <row r="713">
      <c r="BF713" t="str">
        <f>IF(AND(OR(PROCESSOS!O713="NO PRAZO",PROCESSOS!O713="VENCE EM BREVE"),OR(FiltroResp="TODOS",FiltroResp="",PROCESSOS!H713=FiltroResp)),PROCESSOS!M713+ROW()/1000000,"")</f>
        <v/>
      </c>
      <c r="BG713" t="str">
        <f>IF(AND(PROCESSOS!B713&lt;&gt;"",ISNUMBER(PROCESSOS!D713),OR(FiltroResp="TODOS",FiltroResp="",PROCESSOS!H713=FiltroResp)),PROCESSOS!D713+ROW()/1000000,"")</f>
        <v/>
      </c>
    </row>
    <row r="714">
      <c r="BF714" t="str">
        <f>IF(AND(OR(PROCESSOS!O714="NO PRAZO",PROCESSOS!O714="VENCE EM BREVE"),OR(FiltroResp="TODOS",FiltroResp="",PROCESSOS!H714=FiltroResp)),PROCESSOS!M714+ROW()/1000000,"")</f>
        <v/>
      </c>
      <c r="BG714" t="str">
        <f>IF(AND(PROCESSOS!B714&lt;&gt;"",ISNUMBER(PROCESSOS!D714),OR(FiltroResp="TODOS",FiltroResp="",PROCESSOS!H714=FiltroResp)),PROCESSOS!D714+ROW()/1000000,"")</f>
        <v/>
      </c>
    </row>
    <row r="715">
      <c r="BF715" t="str">
        <f>IF(AND(OR(PROCESSOS!O715="NO PRAZO",PROCESSOS!O715="VENCE EM BREVE"),OR(FiltroResp="TODOS",FiltroResp="",PROCESSOS!H715=FiltroResp)),PROCESSOS!M715+ROW()/1000000,"")</f>
        <v/>
      </c>
      <c r="BG715" t="str">
        <f>IF(AND(PROCESSOS!B715&lt;&gt;"",ISNUMBER(PROCESSOS!D715),OR(FiltroResp="TODOS",FiltroResp="",PROCESSOS!H715=FiltroResp)),PROCESSOS!D715+ROW()/1000000,"")</f>
        <v/>
      </c>
    </row>
    <row r="716">
      <c r="BF716" t="str">
        <f>IF(AND(OR(PROCESSOS!O716="NO PRAZO",PROCESSOS!O716="VENCE EM BREVE"),OR(FiltroResp="TODOS",FiltroResp="",PROCESSOS!H716=FiltroResp)),PROCESSOS!M716+ROW()/1000000,"")</f>
        <v/>
      </c>
      <c r="BG716" t="str">
        <f>IF(AND(PROCESSOS!B716&lt;&gt;"",ISNUMBER(PROCESSOS!D716),OR(FiltroResp="TODOS",FiltroResp="",PROCESSOS!H716=FiltroResp)),PROCESSOS!D716+ROW()/1000000,"")</f>
        <v/>
      </c>
    </row>
    <row r="717">
      <c r="BF717" t="str">
        <f>IF(AND(OR(PROCESSOS!O717="NO PRAZO",PROCESSOS!O717="VENCE EM BREVE"),OR(FiltroResp="TODOS",FiltroResp="",PROCESSOS!H717=FiltroResp)),PROCESSOS!M717+ROW()/1000000,"")</f>
        <v/>
      </c>
      <c r="BG717" t="str">
        <f>IF(AND(PROCESSOS!B717&lt;&gt;"",ISNUMBER(PROCESSOS!D717),OR(FiltroResp="TODOS",FiltroResp="",PROCESSOS!H717=FiltroResp)),PROCESSOS!D717+ROW()/1000000,"")</f>
        <v/>
      </c>
    </row>
    <row r="718">
      <c r="BF718" t="str">
        <f>IF(AND(OR(PROCESSOS!O718="NO PRAZO",PROCESSOS!O718="VENCE EM BREVE"),OR(FiltroResp="TODOS",FiltroResp="",PROCESSOS!H718=FiltroResp)),PROCESSOS!M718+ROW()/1000000,"")</f>
        <v/>
      </c>
      <c r="BG718" t="str">
        <f>IF(AND(PROCESSOS!B718&lt;&gt;"",ISNUMBER(PROCESSOS!D718),OR(FiltroResp="TODOS",FiltroResp="",PROCESSOS!H718=FiltroResp)),PROCESSOS!D718+ROW()/1000000,"")</f>
        <v/>
      </c>
    </row>
    <row r="719">
      <c r="BF719" t="str">
        <f>IF(AND(OR(PROCESSOS!O719="NO PRAZO",PROCESSOS!O719="VENCE EM BREVE"),OR(FiltroResp="TODOS",FiltroResp="",PROCESSOS!H719=FiltroResp)),PROCESSOS!M719+ROW()/1000000,"")</f>
        <v/>
      </c>
      <c r="BG719" t="str">
        <f>IF(AND(PROCESSOS!B719&lt;&gt;"",ISNUMBER(PROCESSOS!D719),OR(FiltroResp="TODOS",FiltroResp="",PROCESSOS!H719=FiltroResp)),PROCESSOS!D719+ROW()/1000000,"")</f>
        <v/>
      </c>
    </row>
    <row r="720">
      <c r="BF720" t="str">
        <f>IF(AND(OR(PROCESSOS!O720="NO PRAZO",PROCESSOS!O720="VENCE EM BREVE"),OR(FiltroResp="TODOS",FiltroResp="",PROCESSOS!H720=FiltroResp)),PROCESSOS!M720+ROW()/1000000,"")</f>
        <v/>
      </c>
      <c r="BG720" t="str">
        <f>IF(AND(PROCESSOS!B720&lt;&gt;"",ISNUMBER(PROCESSOS!D720),OR(FiltroResp="TODOS",FiltroResp="",PROCESSOS!H720=FiltroResp)),PROCESSOS!D720+ROW()/1000000,"")</f>
        <v/>
      </c>
    </row>
    <row r="721">
      <c r="BF721" t="str">
        <f>IF(AND(OR(PROCESSOS!O721="NO PRAZO",PROCESSOS!O721="VENCE EM BREVE"),OR(FiltroResp="TODOS",FiltroResp="",PROCESSOS!H721=FiltroResp)),PROCESSOS!M721+ROW()/1000000,"")</f>
        <v/>
      </c>
      <c r="BG721" t="str">
        <f>IF(AND(PROCESSOS!B721&lt;&gt;"",ISNUMBER(PROCESSOS!D721),OR(FiltroResp="TODOS",FiltroResp="",PROCESSOS!H721=FiltroResp)),PROCESSOS!D721+ROW()/1000000,"")</f>
        <v/>
      </c>
    </row>
    <row r="722">
      <c r="BF722" t="str">
        <f>IF(AND(OR(PROCESSOS!O722="NO PRAZO",PROCESSOS!O722="VENCE EM BREVE"),OR(FiltroResp="TODOS",FiltroResp="",PROCESSOS!H722=FiltroResp)),PROCESSOS!M722+ROW()/1000000,"")</f>
        <v/>
      </c>
      <c r="BG722" t="str">
        <f>IF(AND(PROCESSOS!B722&lt;&gt;"",ISNUMBER(PROCESSOS!D722),OR(FiltroResp="TODOS",FiltroResp="",PROCESSOS!H722=FiltroResp)),PROCESSOS!D722+ROW()/1000000,"")</f>
        <v/>
      </c>
    </row>
    <row r="723">
      <c r="BF723" t="str">
        <f>IF(AND(OR(PROCESSOS!O723="NO PRAZO",PROCESSOS!O723="VENCE EM BREVE"),OR(FiltroResp="TODOS",FiltroResp="",PROCESSOS!H723=FiltroResp)),PROCESSOS!M723+ROW()/1000000,"")</f>
        <v/>
      </c>
      <c r="BG723" t="str">
        <f>IF(AND(PROCESSOS!B723&lt;&gt;"",ISNUMBER(PROCESSOS!D723),OR(FiltroResp="TODOS",FiltroResp="",PROCESSOS!H723=FiltroResp)),PROCESSOS!D723+ROW()/1000000,"")</f>
        <v/>
      </c>
    </row>
    <row r="724">
      <c r="BF724" t="str">
        <f>IF(AND(OR(PROCESSOS!O724="NO PRAZO",PROCESSOS!O724="VENCE EM BREVE"),OR(FiltroResp="TODOS",FiltroResp="",PROCESSOS!H724=FiltroResp)),PROCESSOS!M724+ROW()/1000000,"")</f>
        <v/>
      </c>
      <c r="BG724" t="str">
        <f>IF(AND(PROCESSOS!B724&lt;&gt;"",ISNUMBER(PROCESSOS!D724),OR(FiltroResp="TODOS",FiltroResp="",PROCESSOS!H724=FiltroResp)),PROCESSOS!D724+ROW()/1000000,"")</f>
        <v/>
      </c>
    </row>
    <row r="725">
      <c r="BF725" t="str">
        <f>IF(AND(OR(PROCESSOS!O725="NO PRAZO",PROCESSOS!O725="VENCE EM BREVE"),OR(FiltroResp="TODOS",FiltroResp="",PROCESSOS!H725=FiltroResp)),PROCESSOS!M725+ROW()/1000000,"")</f>
        <v/>
      </c>
      <c r="BG725" t="str">
        <f>IF(AND(PROCESSOS!B725&lt;&gt;"",ISNUMBER(PROCESSOS!D725),OR(FiltroResp="TODOS",FiltroResp="",PROCESSOS!H725=FiltroResp)),PROCESSOS!D725+ROW()/1000000,"")</f>
        <v/>
      </c>
    </row>
    <row r="726">
      <c r="BF726" t="str">
        <f>IF(AND(OR(PROCESSOS!O726="NO PRAZO",PROCESSOS!O726="VENCE EM BREVE"),OR(FiltroResp="TODOS",FiltroResp="",PROCESSOS!H726=FiltroResp)),PROCESSOS!M726+ROW()/1000000,"")</f>
        <v/>
      </c>
      <c r="BG726" t="str">
        <f>IF(AND(PROCESSOS!B726&lt;&gt;"",ISNUMBER(PROCESSOS!D726),OR(FiltroResp="TODOS",FiltroResp="",PROCESSOS!H726=FiltroResp)),PROCESSOS!D726+ROW()/1000000,"")</f>
        <v/>
      </c>
    </row>
    <row r="727">
      <c r="BF727" t="str">
        <f>IF(AND(OR(PROCESSOS!O727="NO PRAZO",PROCESSOS!O727="VENCE EM BREVE"),OR(FiltroResp="TODOS",FiltroResp="",PROCESSOS!H727=FiltroResp)),PROCESSOS!M727+ROW()/1000000,"")</f>
        <v/>
      </c>
      <c r="BG727" t="str">
        <f>IF(AND(PROCESSOS!B727&lt;&gt;"",ISNUMBER(PROCESSOS!D727),OR(FiltroResp="TODOS",FiltroResp="",PROCESSOS!H727=FiltroResp)),PROCESSOS!D727+ROW()/1000000,"")</f>
        <v/>
      </c>
    </row>
    <row r="728">
      <c r="BF728" t="str">
        <f>IF(AND(OR(PROCESSOS!O728="NO PRAZO",PROCESSOS!O728="VENCE EM BREVE"),OR(FiltroResp="TODOS",FiltroResp="",PROCESSOS!H728=FiltroResp)),PROCESSOS!M728+ROW()/1000000,"")</f>
        <v/>
      </c>
      <c r="BG728" t="str">
        <f>IF(AND(PROCESSOS!B728&lt;&gt;"",ISNUMBER(PROCESSOS!D728),OR(FiltroResp="TODOS",FiltroResp="",PROCESSOS!H728=FiltroResp)),PROCESSOS!D728+ROW()/1000000,"")</f>
        <v/>
      </c>
    </row>
    <row r="729">
      <c r="BF729" t="str">
        <f>IF(AND(OR(PROCESSOS!O729="NO PRAZO",PROCESSOS!O729="VENCE EM BREVE"),OR(FiltroResp="TODOS",FiltroResp="",PROCESSOS!H729=FiltroResp)),PROCESSOS!M729+ROW()/1000000,"")</f>
        <v/>
      </c>
      <c r="BG729" t="str">
        <f>IF(AND(PROCESSOS!B729&lt;&gt;"",ISNUMBER(PROCESSOS!D729),OR(FiltroResp="TODOS",FiltroResp="",PROCESSOS!H729=FiltroResp)),PROCESSOS!D729+ROW()/1000000,"")</f>
        <v/>
      </c>
    </row>
    <row r="730">
      <c r="BF730" t="str">
        <f>IF(AND(OR(PROCESSOS!O730="NO PRAZO",PROCESSOS!O730="VENCE EM BREVE"),OR(FiltroResp="TODOS",FiltroResp="",PROCESSOS!H730=FiltroResp)),PROCESSOS!M730+ROW()/1000000,"")</f>
        <v/>
      </c>
      <c r="BG730" t="str">
        <f>IF(AND(PROCESSOS!B730&lt;&gt;"",ISNUMBER(PROCESSOS!D730),OR(FiltroResp="TODOS",FiltroResp="",PROCESSOS!H730=FiltroResp)),PROCESSOS!D730+ROW()/1000000,"")</f>
        <v/>
      </c>
    </row>
    <row r="731">
      <c r="BF731" t="str">
        <f>IF(AND(OR(PROCESSOS!O731="NO PRAZO",PROCESSOS!O731="VENCE EM BREVE"),OR(FiltroResp="TODOS",FiltroResp="",PROCESSOS!H731=FiltroResp)),PROCESSOS!M731+ROW()/1000000,"")</f>
        <v/>
      </c>
      <c r="BG731" t="str">
        <f>IF(AND(PROCESSOS!B731&lt;&gt;"",ISNUMBER(PROCESSOS!D731),OR(FiltroResp="TODOS",FiltroResp="",PROCESSOS!H731=FiltroResp)),PROCESSOS!D731+ROW()/1000000,"")</f>
        <v/>
      </c>
    </row>
    <row r="732">
      <c r="BF732" t="str">
        <f>IF(AND(OR(PROCESSOS!O732="NO PRAZO",PROCESSOS!O732="VENCE EM BREVE"),OR(FiltroResp="TODOS",FiltroResp="",PROCESSOS!H732=FiltroResp)),PROCESSOS!M732+ROW()/1000000,"")</f>
        <v/>
      </c>
      <c r="BG732" t="str">
        <f>IF(AND(PROCESSOS!B732&lt;&gt;"",ISNUMBER(PROCESSOS!D732),OR(FiltroResp="TODOS",FiltroResp="",PROCESSOS!H732=FiltroResp)),PROCESSOS!D732+ROW()/1000000,"")</f>
        <v/>
      </c>
    </row>
    <row r="733">
      <c r="BF733" t="str">
        <f>IF(AND(OR(PROCESSOS!O733="NO PRAZO",PROCESSOS!O733="VENCE EM BREVE"),OR(FiltroResp="TODOS",FiltroResp="",PROCESSOS!H733=FiltroResp)),PROCESSOS!M733+ROW()/1000000,"")</f>
        <v/>
      </c>
      <c r="BG733" t="str">
        <f>IF(AND(PROCESSOS!B733&lt;&gt;"",ISNUMBER(PROCESSOS!D733),OR(FiltroResp="TODOS",FiltroResp="",PROCESSOS!H733=FiltroResp)),PROCESSOS!D733+ROW()/1000000,"")</f>
        <v/>
      </c>
    </row>
    <row r="734">
      <c r="BF734" t="str">
        <f>IF(AND(OR(PROCESSOS!O734="NO PRAZO",PROCESSOS!O734="VENCE EM BREVE"),OR(FiltroResp="TODOS",FiltroResp="",PROCESSOS!H734=FiltroResp)),PROCESSOS!M734+ROW()/1000000,"")</f>
        <v/>
      </c>
      <c r="BG734" t="str">
        <f>IF(AND(PROCESSOS!B734&lt;&gt;"",ISNUMBER(PROCESSOS!D734),OR(FiltroResp="TODOS",FiltroResp="",PROCESSOS!H734=FiltroResp)),PROCESSOS!D734+ROW()/1000000,"")</f>
        <v/>
      </c>
    </row>
    <row r="735">
      <c r="BF735" t="str">
        <f>IF(AND(OR(PROCESSOS!O735="NO PRAZO",PROCESSOS!O735="VENCE EM BREVE"),OR(FiltroResp="TODOS",FiltroResp="",PROCESSOS!H735=FiltroResp)),PROCESSOS!M735+ROW()/1000000,"")</f>
        <v/>
      </c>
      <c r="BG735" t="str">
        <f>IF(AND(PROCESSOS!B735&lt;&gt;"",ISNUMBER(PROCESSOS!D735),OR(FiltroResp="TODOS",FiltroResp="",PROCESSOS!H735=FiltroResp)),PROCESSOS!D735+ROW()/1000000,"")</f>
        <v/>
      </c>
    </row>
    <row r="736">
      <c r="BF736" t="str">
        <f>IF(AND(OR(PROCESSOS!O736="NO PRAZO",PROCESSOS!O736="VENCE EM BREVE"),OR(FiltroResp="TODOS",FiltroResp="",PROCESSOS!H736=FiltroResp)),PROCESSOS!M736+ROW()/1000000,"")</f>
        <v/>
      </c>
      <c r="BG736" t="str">
        <f>IF(AND(PROCESSOS!B736&lt;&gt;"",ISNUMBER(PROCESSOS!D736),OR(FiltroResp="TODOS",FiltroResp="",PROCESSOS!H736=FiltroResp)),PROCESSOS!D736+ROW()/1000000,"")</f>
        <v/>
      </c>
    </row>
    <row r="737">
      <c r="BF737" t="str">
        <f>IF(AND(OR(PROCESSOS!O737="NO PRAZO",PROCESSOS!O737="VENCE EM BREVE"),OR(FiltroResp="TODOS",FiltroResp="",PROCESSOS!H737=FiltroResp)),PROCESSOS!M737+ROW()/1000000,"")</f>
        <v/>
      </c>
      <c r="BG737" t="str">
        <f>IF(AND(PROCESSOS!B737&lt;&gt;"",ISNUMBER(PROCESSOS!D737),OR(FiltroResp="TODOS",FiltroResp="",PROCESSOS!H737=FiltroResp)),PROCESSOS!D737+ROW()/1000000,"")</f>
        <v/>
      </c>
    </row>
    <row r="738">
      <c r="BF738" t="str">
        <f>IF(AND(OR(PROCESSOS!O738="NO PRAZO",PROCESSOS!O738="VENCE EM BREVE"),OR(FiltroResp="TODOS",FiltroResp="",PROCESSOS!H738=FiltroResp)),PROCESSOS!M738+ROW()/1000000,"")</f>
        <v/>
      </c>
      <c r="BG738" t="str">
        <f>IF(AND(PROCESSOS!B738&lt;&gt;"",ISNUMBER(PROCESSOS!D738),OR(FiltroResp="TODOS",FiltroResp="",PROCESSOS!H738=FiltroResp)),PROCESSOS!D738+ROW()/1000000,"")</f>
        <v/>
      </c>
    </row>
    <row r="739">
      <c r="BF739" t="str">
        <f>IF(AND(OR(PROCESSOS!O739="NO PRAZO",PROCESSOS!O739="VENCE EM BREVE"),OR(FiltroResp="TODOS",FiltroResp="",PROCESSOS!H739=FiltroResp)),PROCESSOS!M739+ROW()/1000000,"")</f>
        <v/>
      </c>
      <c r="BG739" t="str">
        <f>IF(AND(PROCESSOS!B739&lt;&gt;"",ISNUMBER(PROCESSOS!D739),OR(FiltroResp="TODOS",FiltroResp="",PROCESSOS!H739=FiltroResp)),PROCESSOS!D739+ROW()/1000000,"")</f>
        <v/>
      </c>
    </row>
    <row r="740">
      <c r="BF740" t="str">
        <f>IF(AND(OR(PROCESSOS!O740="NO PRAZO",PROCESSOS!O740="VENCE EM BREVE"),OR(FiltroResp="TODOS",FiltroResp="",PROCESSOS!H740=FiltroResp)),PROCESSOS!M740+ROW()/1000000,"")</f>
        <v/>
      </c>
      <c r="BG740" t="str">
        <f>IF(AND(PROCESSOS!B740&lt;&gt;"",ISNUMBER(PROCESSOS!D740),OR(FiltroResp="TODOS",FiltroResp="",PROCESSOS!H740=FiltroResp)),PROCESSOS!D740+ROW()/1000000,"")</f>
        <v/>
      </c>
    </row>
    <row r="741">
      <c r="BF741" t="str">
        <f>IF(AND(OR(PROCESSOS!O741="NO PRAZO",PROCESSOS!O741="VENCE EM BREVE"),OR(FiltroResp="TODOS",FiltroResp="",PROCESSOS!H741=FiltroResp)),PROCESSOS!M741+ROW()/1000000,"")</f>
        <v/>
      </c>
      <c r="BG741" t="str">
        <f>IF(AND(PROCESSOS!B741&lt;&gt;"",ISNUMBER(PROCESSOS!D741),OR(FiltroResp="TODOS",FiltroResp="",PROCESSOS!H741=FiltroResp)),PROCESSOS!D741+ROW()/1000000,"")</f>
        <v/>
      </c>
    </row>
    <row r="742">
      <c r="BF742" t="str">
        <f>IF(AND(OR(PROCESSOS!O742="NO PRAZO",PROCESSOS!O742="VENCE EM BREVE"),OR(FiltroResp="TODOS",FiltroResp="",PROCESSOS!H742=FiltroResp)),PROCESSOS!M742+ROW()/1000000,"")</f>
        <v/>
      </c>
      <c r="BG742" t="str">
        <f>IF(AND(PROCESSOS!B742&lt;&gt;"",ISNUMBER(PROCESSOS!D742),OR(FiltroResp="TODOS",FiltroResp="",PROCESSOS!H742=FiltroResp)),PROCESSOS!D742+ROW()/1000000,"")</f>
        <v/>
      </c>
    </row>
    <row r="743">
      <c r="BF743" t="str">
        <f>IF(AND(OR(PROCESSOS!O743="NO PRAZO",PROCESSOS!O743="VENCE EM BREVE"),OR(FiltroResp="TODOS",FiltroResp="",PROCESSOS!H743=FiltroResp)),PROCESSOS!M743+ROW()/1000000,"")</f>
        <v/>
      </c>
      <c r="BG743" t="str">
        <f>IF(AND(PROCESSOS!B743&lt;&gt;"",ISNUMBER(PROCESSOS!D743),OR(FiltroResp="TODOS",FiltroResp="",PROCESSOS!H743=FiltroResp)),PROCESSOS!D743+ROW()/1000000,"")</f>
        <v/>
      </c>
    </row>
    <row r="744">
      <c r="BF744" t="str">
        <f>IF(AND(OR(PROCESSOS!O744="NO PRAZO",PROCESSOS!O744="VENCE EM BREVE"),OR(FiltroResp="TODOS",FiltroResp="",PROCESSOS!H744=FiltroResp)),PROCESSOS!M744+ROW()/1000000,"")</f>
        <v/>
      </c>
      <c r="BG744" t="str">
        <f>IF(AND(PROCESSOS!B744&lt;&gt;"",ISNUMBER(PROCESSOS!D744),OR(FiltroResp="TODOS",FiltroResp="",PROCESSOS!H744=FiltroResp)),PROCESSOS!D744+ROW()/1000000,"")</f>
        <v/>
      </c>
    </row>
    <row r="745">
      <c r="BF745" t="str">
        <f>IF(AND(OR(PROCESSOS!O745="NO PRAZO",PROCESSOS!O745="VENCE EM BREVE"),OR(FiltroResp="TODOS",FiltroResp="",PROCESSOS!H745=FiltroResp)),PROCESSOS!M745+ROW()/1000000,"")</f>
        <v/>
      </c>
      <c r="BG745" t="str">
        <f>IF(AND(PROCESSOS!B745&lt;&gt;"",ISNUMBER(PROCESSOS!D745),OR(FiltroResp="TODOS",FiltroResp="",PROCESSOS!H745=FiltroResp)),PROCESSOS!D745+ROW()/1000000,"")</f>
        <v/>
      </c>
    </row>
    <row r="746">
      <c r="BF746" t="str">
        <f>IF(AND(OR(PROCESSOS!O746="NO PRAZO",PROCESSOS!O746="VENCE EM BREVE"),OR(FiltroResp="TODOS",FiltroResp="",PROCESSOS!H746=FiltroResp)),PROCESSOS!M746+ROW()/1000000,"")</f>
        <v/>
      </c>
      <c r="BG746" t="str">
        <f>IF(AND(PROCESSOS!B746&lt;&gt;"",ISNUMBER(PROCESSOS!D746),OR(FiltroResp="TODOS",FiltroResp="",PROCESSOS!H746=FiltroResp)),PROCESSOS!D746+ROW()/1000000,"")</f>
        <v/>
      </c>
    </row>
    <row r="747">
      <c r="BF747" t="str">
        <f>IF(AND(OR(PROCESSOS!O747="NO PRAZO",PROCESSOS!O747="VENCE EM BREVE"),OR(FiltroResp="TODOS",FiltroResp="",PROCESSOS!H747=FiltroResp)),PROCESSOS!M747+ROW()/1000000,"")</f>
        <v/>
      </c>
      <c r="BG747" t="str">
        <f>IF(AND(PROCESSOS!B747&lt;&gt;"",ISNUMBER(PROCESSOS!D747),OR(FiltroResp="TODOS",FiltroResp="",PROCESSOS!H747=FiltroResp)),PROCESSOS!D747+ROW()/1000000,"")</f>
        <v/>
      </c>
    </row>
    <row r="748">
      <c r="BF748" t="str">
        <f>IF(AND(OR(PROCESSOS!O748="NO PRAZO",PROCESSOS!O748="VENCE EM BREVE"),OR(FiltroResp="TODOS",FiltroResp="",PROCESSOS!H748=FiltroResp)),PROCESSOS!M748+ROW()/1000000,"")</f>
        <v/>
      </c>
      <c r="BG748" t="str">
        <f>IF(AND(PROCESSOS!B748&lt;&gt;"",ISNUMBER(PROCESSOS!D748),OR(FiltroResp="TODOS",FiltroResp="",PROCESSOS!H748=FiltroResp)),PROCESSOS!D748+ROW()/1000000,"")</f>
        <v/>
      </c>
    </row>
    <row r="749">
      <c r="BF749" t="str">
        <f>IF(AND(OR(PROCESSOS!O749="NO PRAZO",PROCESSOS!O749="VENCE EM BREVE"),OR(FiltroResp="TODOS",FiltroResp="",PROCESSOS!H749=FiltroResp)),PROCESSOS!M749+ROW()/1000000,"")</f>
        <v/>
      </c>
      <c r="BG749" t="str">
        <f>IF(AND(PROCESSOS!B749&lt;&gt;"",ISNUMBER(PROCESSOS!D749),OR(FiltroResp="TODOS",FiltroResp="",PROCESSOS!H749=FiltroResp)),PROCESSOS!D749+ROW()/1000000,"")</f>
        <v/>
      </c>
    </row>
    <row r="750">
      <c r="BF750" t="str">
        <f>IF(AND(OR(PROCESSOS!O750="NO PRAZO",PROCESSOS!O750="VENCE EM BREVE"),OR(FiltroResp="TODOS",FiltroResp="",PROCESSOS!H750=FiltroResp)),PROCESSOS!M750+ROW()/1000000,"")</f>
        <v/>
      </c>
      <c r="BG750" t="str">
        <f>IF(AND(PROCESSOS!B750&lt;&gt;"",ISNUMBER(PROCESSOS!D750),OR(FiltroResp="TODOS",FiltroResp="",PROCESSOS!H750=FiltroResp)),PROCESSOS!D750+ROW()/1000000,"")</f>
        <v/>
      </c>
    </row>
    <row r="751">
      <c r="BF751" t="str">
        <f>IF(AND(OR(PROCESSOS!O751="NO PRAZO",PROCESSOS!O751="VENCE EM BREVE"),OR(FiltroResp="TODOS",FiltroResp="",PROCESSOS!H751=FiltroResp)),PROCESSOS!M751+ROW()/1000000,"")</f>
        <v/>
      </c>
      <c r="BG751" t="str">
        <f>IF(AND(PROCESSOS!B751&lt;&gt;"",ISNUMBER(PROCESSOS!D751),OR(FiltroResp="TODOS",FiltroResp="",PROCESSOS!H751=FiltroResp)),PROCESSOS!D751+ROW()/1000000,"")</f>
        <v/>
      </c>
    </row>
    <row r="752">
      <c r="BF752" t="str">
        <f>IF(AND(OR(PROCESSOS!O752="NO PRAZO",PROCESSOS!O752="VENCE EM BREVE"),OR(FiltroResp="TODOS",FiltroResp="",PROCESSOS!H752=FiltroResp)),PROCESSOS!M752+ROW()/1000000,"")</f>
        <v/>
      </c>
      <c r="BG752" t="str">
        <f>IF(AND(PROCESSOS!B752&lt;&gt;"",ISNUMBER(PROCESSOS!D752),OR(FiltroResp="TODOS",FiltroResp="",PROCESSOS!H752=FiltroResp)),PROCESSOS!D752+ROW()/1000000,"")</f>
        <v/>
      </c>
    </row>
    <row r="753">
      <c r="BF753" t="str">
        <f>IF(AND(OR(PROCESSOS!O753="NO PRAZO",PROCESSOS!O753="VENCE EM BREVE"),OR(FiltroResp="TODOS",FiltroResp="",PROCESSOS!H753=FiltroResp)),PROCESSOS!M753+ROW()/1000000,"")</f>
        <v/>
      </c>
      <c r="BG753" t="str">
        <f>IF(AND(PROCESSOS!B753&lt;&gt;"",ISNUMBER(PROCESSOS!D753),OR(FiltroResp="TODOS",FiltroResp="",PROCESSOS!H753=FiltroResp)),PROCESSOS!D753+ROW()/1000000,"")</f>
        <v/>
      </c>
    </row>
    <row r="754">
      <c r="BF754" t="str">
        <f>IF(AND(OR(PROCESSOS!O754="NO PRAZO",PROCESSOS!O754="VENCE EM BREVE"),OR(FiltroResp="TODOS",FiltroResp="",PROCESSOS!H754=FiltroResp)),PROCESSOS!M754+ROW()/1000000,"")</f>
        <v/>
      </c>
      <c r="BG754" t="str">
        <f>IF(AND(PROCESSOS!B754&lt;&gt;"",ISNUMBER(PROCESSOS!D754),OR(FiltroResp="TODOS",FiltroResp="",PROCESSOS!H754=FiltroResp)),PROCESSOS!D754+ROW()/1000000,"")</f>
        <v/>
      </c>
    </row>
    <row r="755">
      <c r="BF755" t="str">
        <f>IF(AND(OR(PROCESSOS!O755="NO PRAZO",PROCESSOS!O755="VENCE EM BREVE"),OR(FiltroResp="TODOS",FiltroResp="",PROCESSOS!H755=FiltroResp)),PROCESSOS!M755+ROW()/1000000,"")</f>
        <v/>
      </c>
      <c r="BG755" t="str">
        <f>IF(AND(PROCESSOS!B755&lt;&gt;"",ISNUMBER(PROCESSOS!D755),OR(FiltroResp="TODOS",FiltroResp="",PROCESSOS!H755=FiltroResp)),PROCESSOS!D755+ROW()/1000000,"")</f>
        <v/>
      </c>
    </row>
    <row r="756">
      <c r="BF756" t="str">
        <f>IF(AND(OR(PROCESSOS!O756="NO PRAZO",PROCESSOS!O756="VENCE EM BREVE"),OR(FiltroResp="TODOS",FiltroResp="",PROCESSOS!H756=FiltroResp)),PROCESSOS!M756+ROW()/1000000,"")</f>
        <v/>
      </c>
      <c r="BG756" t="str">
        <f>IF(AND(PROCESSOS!B756&lt;&gt;"",ISNUMBER(PROCESSOS!D756),OR(FiltroResp="TODOS",FiltroResp="",PROCESSOS!H756=FiltroResp)),PROCESSOS!D756+ROW()/1000000,"")</f>
        <v/>
      </c>
    </row>
    <row r="757">
      <c r="BF757" t="str">
        <f>IF(AND(OR(PROCESSOS!O757="NO PRAZO",PROCESSOS!O757="VENCE EM BREVE"),OR(FiltroResp="TODOS",FiltroResp="",PROCESSOS!H757=FiltroResp)),PROCESSOS!M757+ROW()/1000000,"")</f>
        <v/>
      </c>
      <c r="BG757" t="str">
        <f>IF(AND(PROCESSOS!B757&lt;&gt;"",ISNUMBER(PROCESSOS!D757),OR(FiltroResp="TODOS",FiltroResp="",PROCESSOS!H757=FiltroResp)),PROCESSOS!D757+ROW()/1000000,"")</f>
        <v/>
      </c>
    </row>
    <row r="758">
      <c r="BF758" t="str">
        <f>IF(AND(OR(PROCESSOS!O758="NO PRAZO",PROCESSOS!O758="VENCE EM BREVE"),OR(FiltroResp="TODOS",FiltroResp="",PROCESSOS!H758=FiltroResp)),PROCESSOS!M758+ROW()/1000000,"")</f>
        <v/>
      </c>
      <c r="BG758" t="str">
        <f>IF(AND(PROCESSOS!B758&lt;&gt;"",ISNUMBER(PROCESSOS!D758),OR(FiltroResp="TODOS",FiltroResp="",PROCESSOS!H758=FiltroResp)),PROCESSOS!D758+ROW()/1000000,"")</f>
        <v/>
      </c>
    </row>
    <row r="759">
      <c r="BF759" t="str">
        <f>IF(AND(OR(PROCESSOS!O759="NO PRAZO",PROCESSOS!O759="VENCE EM BREVE"),OR(FiltroResp="TODOS",FiltroResp="",PROCESSOS!H759=FiltroResp)),PROCESSOS!M759+ROW()/1000000,"")</f>
        <v/>
      </c>
      <c r="BG759" t="str">
        <f>IF(AND(PROCESSOS!B759&lt;&gt;"",ISNUMBER(PROCESSOS!D759),OR(FiltroResp="TODOS",FiltroResp="",PROCESSOS!H759=FiltroResp)),PROCESSOS!D759+ROW()/1000000,"")</f>
        <v/>
      </c>
    </row>
    <row r="760">
      <c r="BF760" t="str">
        <f>IF(AND(OR(PROCESSOS!O760="NO PRAZO",PROCESSOS!O760="VENCE EM BREVE"),OR(FiltroResp="TODOS",FiltroResp="",PROCESSOS!H760=FiltroResp)),PROCESSOS!M760+ROW()/1000000,"")</f>
        <v/>
      </c>
      <c r="BG760" t="str">
        <f>IF(AND(PROCESSOS!B760&lt;&gt;"",ISNUMBER(PROCESSOS!D760),OR(FiltroResp="TODOS",FiltroResp="",PROCESSOS!H760=FiltroResp)),PROCESSOS!D760+ROW()/1000000,"")</f>
        <v/>
      </c>
    </row>
    <row r="761">
      <c r="BF761" t="str">
        <f>IF(AND(OR(PROCESSOS!O761="NO PRAZO",PROCESSOS!O761="VENCE EM BREVE"),OR(FiltroResp="TODOS",FiltroResp="",PROCESSOS!H761=FiltroResp)),PROCESSOS!M761+ROW()/1000000,"")</f>
        <v/>
      </c>
      <c r="BG761" t="str">
        <f>IF(AND(PROCESSOS!B761&lt;&gt;"",ISNUMBER(PROCESSOS!D761),OR(FiltroResp="TODOS",FiltroResp="",PROCESSOS!H761=FiltroResp)),PROCESSOS!D761+ROW()/1000000,"")</f>
        <v/>
      </c>
    </row>
    <row r="762">
      <c r="BF762" t="str">
        <f>IF(AND(OR(PROCESSOS!O762="NO PRAZO",PROCESSOS!O762="VENCE EM BREVE"),OR(FiltroResp="TODOS",FiltroResp="",PROCESSOS!H762=FiltroResp)),PROCESSOS!M762+ROW()/1000000,"")</f>
        <v/>
      </c>
      <c r="BG762" t="str">
        <f>IF(AND(PROCESSOS!B762&lt;&gt;"",ISNUMBER(PROCESSOS!D762),OR(FiltroResp="TODOS",FiltroResp="",PROCESSOS!H762=FiltroResp)),PROCESSOS!D762+ROW()/1000000,"")</f>
        <v/>
      </c>
    </row>
    <row r="763">
      <c r="BF763" t="str">
        <f>IF(AND(OR(PROCESSOS!O763="NO PRAZO",PROCESSOS!O763="VENCE EM BREVE"),OR(FiltroResp="TODOS",FiltroResp="",PROCESSOS!H763=FiltroResp)),PROCESSOS!M763+ROW()/1000000,"")</f>
        <v/>
      </c>
      <c r="BG763" t="str">
        <f>IF(AND(PROCESSOS!B763&lt;&gt;"",ISNUMBER(PROCESSOS!D763),OR(FiltroResp="TODOS",FiltroResp="",PROCESSOS!H763=FiltroResp)),PROCESSOS!D763+ROW()/1000000,"")</f>
        <v/>
      </c>
    </row>
    <row r="764">
      <c r="BF764" t="str">
        <f>IF(AND(OR(PROCESSOS!O764="NO PRAZO",PROCESSOS!O764="VENCE EM BREVE"),OR(FiltroResp="TODOS",FiltroResp="",PROCESSOS!H764=FiltroResp)),PROCESSOS!M764+ROW()/1000000,"")</f>
        <v/>
      </c>
      <c r="BG764" t="str">
        <f>IF(AND(PROCESSOS!B764&lt;&gt;"",ISNUMBER(PROCESSOS!D764),OR(FiltroResp="TODOS",FiltroResp="",PROCESSOS!H764=FiltroResp)),PROCESSOS!D764+ROW()/1000000,"")</f>
        <v/>
      </c>
    </row>
    <row r="765">
      <c r="BF765" t="str">
        <f>IF(AND(OR(PROCESSOS!O765="NO PRAZO",PROCESSOS!O765="VENCE EM BREVE"),OR(FiltroResp="TODOS",FiltroResp="",PROCESSOS!H765=FiltroResp)),PROCESSOS!M765+ROW()/1000000,"")</f>
        <v/>
      </c>
      <c r="BG765" t="str">
        <f>IF(AND(PROCESSOS!B765&lt;&gt;"",ISNUMBER(PROCESSOS!D765),OR(FiltroResp="TODOS",FiltroResp="",PROCESSOS!H765=FiltroResp)),PROCESSOS!D765+ROW()/1000000,"")</f>
        <v/>
      </c>
    </row>
    <row r="766">
      <c r="BF766" t="str">
        <f>IF(AND(OR(PROCESSOS!O766="NO PRAZO",PROCESSOS!O766="VENCE EM BREVE"),OR(FiltroResp="TODOS",FiltroResp="",PROCESSOS!H766=FiltroResp)),PROCESSOS!M766+ROW()/1000000,"")</f>
        <v/>
      </c>
      <c r="BG766" t="str">
        <f>IF(AND(PROCESSOS!B766&lt;&gt;"",ISNUMBER(PROCESSOS!D766),OR(FiltroResp="TODOS",FiltroResp="",PROCESSOS!H766=FiltroResp)),PROCESSOS!D766+ROW()/1000000,"")</f>
        <v/>
      </c>
    </row>
    <row r="767">
      <c r="BF767" t="str">
        <f>IF(AND(OR(PROCESSOS!O767="NO PRAZO",PROCESSOS!O767="VENCE EM BREVE"),OR(FiltroResp="TODOS",FiltroResp="",PROCESSOS!H767=FiltroResp)),PROCESSOS!M767+ROW()/1000000,"")</f>
        <v/>
      </c>
      <c r="BG767" t="str">
        <f>IF(AND(PROCESSOS!B767&lt;&gt;"",ISNUMBER(PROCESSOS!D767),OR(FiltroResp="TODOS",FiltroResp="",PROCESSOS!H767=FiltroResp)),PROCESSOS!D767+ROW()/1000000,"")</f>
        <v/>
      </c>
    </row>
    <row r="768">
      <c r="BF768" t="str">
        <f>IF(AND(OR(PROCESSOS!O768="NO PRAZO",PROCESSOS!O768="VENCE EM BREVE"),OR(FiltroResp="TODOS",FiltroResp="",PROCESSOS!H768=FiltroResp)),PROCESSOS!M768+ROW()/1000000,"")</f>
        <v/>
      </c>
      <c r="BG768" t="str">
        <f>IF(AND(PROCESSOS!B768&lt;&gt;"",ISNUMBER(PROCESSOS!D768),OR(FiltroResp="TODOS",FiltroResp="",PROCESSOS!H768=FiltroResp)),PROCESSOS!D768+ROW()/1000000,"")</f>
        <v/>
      </c>
    </row>
    <row r="769">
      <c r="BF769" t="str">
        <f>IF(AND(OR(PROCESSOS!O769="NO PRAZO",PROCESSOS!O769="VENCE EM BREVE"),OR(FiltroResp="TODOS",FiltroResp="",PROCESSOS!H769=FiltroResp)),PROCESSOS!M769+ROW()/1000000,"")</f>
        <v/>
      </c>
      <c r="BG769" t="str">
        <f>IF(AND(PROCESSOS!B769&lt;&gt;"",ISNUMBER(PROCESSOS!D769),OR(FiltroResp="TODOS",FiltroResp="",PROCESSOS!H769=FiltroResp)),PROCESSOS!D769+ROW()/1000000,"")</f>
        <v/>
      </c>
    </row>
    <row r="770">
      <c r="BF770" t="str">
        <f>IF(AND(OR(PROCESSOS!O770="NO PRAZO",PROCESSOS!O770="VENCE EM BREVE"),OR(FiltroResp="TODOS",FiltroResp="",PROCESSOS!H770=FiltroResp)),PROCESSOS!M770+ROW()/1000000,"")</f>
        <v/>
      </c>
      <c r="BG770" t="str">
        <f>IF(AND(PROCESSOS!B770&lt;&gt;"",ISNUMBER(PROCESSOS!D770),OR(FiltroResp="TODOS",FiltroResp="",PROCESSOS!H770=FiltroResp)),PROCESSOS!D770+ROW()/1000000,"")</f>
        <v/>
      </c>
    </row>
    <row r="771">
      <c r="BF771" t="str">
        <f>IF(AND(OR(PROCESSOS!O771="NO PRAZO",PROCESSOS!O771="VENCE EM BREVE"),OR(FiltroResp="TODOS",FiltroResp="",PROCESSOS!H771=FiltroResp)),PROCESSOS!M771+ROW()/1000000,"")</f>
        <v/>
      </c>
      <c r="BG771" t="str">
        <f>IF(AND(PROCESSOS!B771&lt;&gt;"",ISNUMBER(PROCESSOS!D771),OR(FiltroResp="TODOS",FiltroResp="",PROCESSOS!H771=FiltroResp)),PROCESSOS!D771+ROW()/1000000,"")</f>
        <v/>
      </c>
    </row>
    <row r="772">
      <c r="BF772" t="str">
        <f>IF(AND(OR(PROCESSOS!O772="NO PRAZO",PROCESSOS!O772="VENCE EM BREVE"),OR(FiltroResp="TODOS",FiltroResp="",PROCESSOS!H772=FiltroResp)),PROCESSOS!M772+ROW()/1000000,"")</f>
        <v/>
      </c>
      <c r="BG772" t="str">
        <f>IF(AND(PROCESSOS!B772&lt;&gt;"",ISNUMBER(PROCESSOS!D772),OR(FiltroResp="TODOS",FiltroResp="",PROCESSOS!H772=FiltroResp)),PROCESSOS!D772+ROW()/1000000,"")</f>
        <v/>
      </c>
    </row>
    <row r="773">
      <c r="BF773" t="str">
        <f>IF(AND(OR(PROCESSOS!O773="NO PRAZO",PROCESSOS!O773="VENCE EM BREVE"),OR(FiltroResp="TODOS",FiltroResp="",PROCESSOS!H773=FiltroResp)),PROCESSOS!M773+ROW()/1000000,"")</f>
        <v/>
      </c>
      <c r="BG773" t="str">
        <f>IF(AND(PROCESSOS!B773&lt;&gt;"",ISNUMBER(PROCESSOS!D773),OR(FiltroResp="TODOS",FiltroResp="",PROCESSOS!H773=FiltroResp)),PROCESSOS!D773+ROW()/1000000,"")</f>
        <v/>
      </c>
    </row>
    <row r="774">
      <c r="BF774" t="str">
        <f>IF(AND(OR(PROCESSOS!O774="NO PRAZO",PROCESSOS!O774="VENCE EM BREVE"),OR(FiltroResp="TODOS",FiltroResp="",PROCESSOS!H774=FiltroResp)),PROCESSOS!M774+ROW()/1000000,"")</f>
        <v/>
      </c>
      <c r="BG774" t="str">
        <f>IF(AND(PROCESSOS!B774&lt;&gt;"",ISNUMBER(PROCESSOS!D774),OR(FiltroResp="TODOS",FiltroResp="",PROCESSOS!H774=FiltroResp)),PROCESSOS!D774+ROW()/1000000,"")</f>
        <v/>
      </c>
    </row>
    <row r="775">
      <c r="BF775" t="str">
        <f>IF(AND(OR(PROCESSOS!O775="NO PRAZO",PROCESSOS!O775="VENCE EM BREVE"),OR(FiltroResp="TODOS",FiltroResp="",PROCESSOS!H775=FiltroResp)),PROCESSOS!M775+ROW()/1000000,"")</f>
        <v/>
      </c>
      <c r="BG775" t="str">
        <f>IF(AND(PROCESSOS!B775&lt;&gt;"",ISNUMBER(PROCESSOS!D775),OR(FiltroResp="TODOS",FiltroResp="",PROCESSOS!H775=FiltroResp)),PROCESSOS!D775+ROW()/1000000,"")</f>
        <v/>
      </c>
    </row>
    <row r="776">
      <c r="BF776" t="str">
        <f>IF(AND(OR(PROCESSOS!O776="NO PRAZO",PROCESSOS!O776="VENCE EM BREVE"),OR(FiltroResp="TODOS",FiltroResp="",PROCESSOS!H776=FiltroResp)),PROCESSOS!M776+ROW()/1000000,"")</f>
        <v/>
      </c>
      <c r="BG776" t="str">
        <f>IF(AND(PROCESSOS!B776&lt;&gt;"",ISNUMBER(PROCESSOS!D776),OR(FiltroResp="TODOS",FiltroResp="",PROCESSOS!H776=FiltroResp)),PROCESSOS!D776+ROW()/1000000,"")</f>
        <v/>
      </c>
    </row>
    <row r="777">
      <c r="BF777" t="str">
        <f>IF(AND(OR(PROCESSOS!O777="NO PRAZO",PROCESSOS!O777="VENCE EM BREVE"),OR(FiltroResp="TODOS",FiltroResp="",PROCESSOS!H777=FiltroResp)),PROCESSOS!M777+ROW()/1000000,"")</f>
        <v/>
      </c>
      <c r="BG777" t="str">
        <f>IF(AND(PROCESSOS!B777&lt;&gt;"",ISNUMBER(PROCESSOS!D777),OR(FiltroResp="TODOS",FiltroResp="",PROCESSOS!H777=FiltroResp)),PROCESSOS!D777+ROW()/1000000,"")</f>
        <v/>
      </c>
    </row>
    <row r="778">
      <c r="BF778" t="str">
        <f>IF(AND(OR(PROCESSOS!O778="NO PRAZO",PROCESSOS!O778="VENCE EM BREVE"),OR(FiltroResp="TODOS",FiltroResp="",PROCESSOS!H778=FiltroResp)),PROCESSOS!M778+ROW()/1000000,"")</f>
        <v/>
      </c>
      <c r="BG778" t="str">
        <f>IF(AND(PROCESSOS!B778&lt;&gt;"",ISNUMBER(PROCESSOS!D778),OR(FiltroResp="TODOS",FiltroResp="",PROCESSOS!H778=FiltroResp)),PROCESSOS!D778+ROW()/1000000,"")</f>
        <v/>
      </c>
    </row>
    <row r="779">
      <c r="BF779" t="str">
        <f>IF(AND(OR(PROCESSOS!O779="NO PRAZO",PROCESSOS!O779="VENCE EM BREVE"),OR(FiltroResp="TODOS",FiltroResp="",PROCESSOS!H779=FiltroResp)),PROCESSOS!M779+ROW()/1000000,"")</f>
        <v/>
      </c>
      <c r="BG779" t="str">
        <f>IF(AND(PROCESSOS!B779&lt;&gt;"",ISNUMBER(PROCESSOS!D779),OR(FiltroResp="TODOS",FiltroResp="",PROCESSOS!H779=FiltroResp)),PROCESSOS!D779+ROW()/1000000,"")</f>
        <v/>
      </c>
    </row>
    <row r="780">
      <c r="BF780" t="str">
        <f>IF(AND(OR(PROCESSOS!O780="NO PRAZO",PROCESSOS!O780="VENCE EM BREVE"),OR(FiltroResp="TODOS",FiltroResp="",PROCESSOS!H780=FiltroResp)),PROCESSOS!M780+ROW()/1000000,"")</f>
        <v/>
      </c>
      <c r="BG780" t="str">
        <f>IF(AND(PROCESSOS!B780&lt;&gt;"",ISNUMBER(PROCESSOS!D780),OR(FiltroResp="TODOS",FiltroResp="",PROCESSOS!H780=FiltroResp)),PROCESSOS!D780+ROW()/1000000,"")</f>
        <v/>
      </c>
    </row>
    <row r="781">
      <c r="BF781" t="str">
        <f>IF(AND(OR(PROCESSOS!O781="NO PRAZO",PROCESSOS!O781="VENCE EM BREVE"),OR(FiltroResp="TODOS",FiltroResp="",PROCESSOS!H781=FiltroResp)),PROCESSOS!M781+ROW()/1000000,"")</f>
        <v/>
      </c>
      <c r="BG781" t="str">
        <f>IF(AND(PROCESSOS!B781&lt;&gt;"",ISNUMBER(PROCESSOS!D781),OR(FiltroResp="TODOS",FiltroResp="",PROCESSOS!H781=FiltroResp)),PROCESSOS!D781+ROW()/1000000,"")</f>
        <v/>
      </c>
    </row>
    <row r="782">
      <c r="BF782" t="str">
        <f>IF(AND(OR(PROCESSOS!O782="NO PRAZO",PROCESSOS!O782="VENCE EM BREVE"),OR(FiltroResp="TODOS",FiltroResp="",PROCESSOS!H782=FiltroResp)),PROCESSOS!M782+ROW()/1000000,"")</f>
        <v/>
      </c>
      <c r="BG782" t="str">
        <f>IF(AND(PROCESSOS!B782&lt;&gt;"",ISNUMBER(PROCESSOS!D782),OR(FiltroResp="TODOS",FiltroResp="",PROCESSOS!H782=FiltroResp)),PROCESSOS!D782+ROW()/1000000,"")</f>
        <v/>
      </c>
    </row>
    <row r="783">
      <c r="BF783" t="str">
        <f>IF(AND(OR(PROCESSOS!O783="NO PRAZO",PROCESSOS!O783="VENCE EM BREVE"),OR(FiltroResp="TODOS",FiltroResp="",PROCESSOS!H783=FiltroResp)),PROCESSOS!M783+ROW()/1000000,"")</f>
        <v/>
      </c>
      <c r="BG783" t="str">
        <f>IF(AND(PROCESSOS!B783&lt;&gt;"",ISNUMBER(PROCESSOS!D783),OR(FiltroResp="TODOS",FiltroResp="",PROCESSOS!H783=FiltroResp)),PROCESSOS!D783+ROW()/1000000,"")</f>
        <v/>
      </c>
    </row>
    <row r="784">
      <c r="BF784" t="str">
        <f>IF(AND(OR(PROCESSOS!O784="NO PRAZO",PROCESSOS!O784="VENCE EM BREVE"),OR(FiltroResp="TODOS",FiltroResp="",PROCESSOS!H784=FiltroResp)),PROCESSOS!M784+ROW()/1000000,"")</f>
        <v/>
      </c>
      <c r="BG784" t="str">
        <f>IF(AND(PROCESSOS!B784&lt;&gt;"",ISNUMBER(PROCESSOS!D784),OR(FiltroResp="TODOS",FiltroResp="",PROCESSOS!H784=FiltroResp)),PROCESSOS!D784+ROW()/1000000,"")</f>
        <v/>
      </c>
    </row>
    <row r="785">
      <c r="BF785" t="str">
        <f>IF(AND(OR(PROCESSOS!O785="NO PRAZO",PROCESSOS!O785="VENCE EM BREVE"),OR(FiltroResp="TODOS",FiltroResp="",PROCESSOS!H785=FiltroResp)),PROCESSOS!M785+ROW()/1000000,"")</f>
        <v/>
      </c>
      <c r="BG785" t="str">
        <f>IF(AND(PROCESSOS!B785&lt;&gt;"",ISNUMBER(PROCESSOS!D785),OR(FiltroResp="TODOS",FiltroResp="",PROCESSOS!H785=FiltroResp)),PROCESSOS!D785+ROW()/1000000,"")</f>
        <v/>
      </c>
    </row>
    <row r="786">
      <c r="BF786" t="str">
        <f>IF(AND(OR(PROCESSOS!O786="NO PRAZO",PROCESSOS!O786="VENCE EM BREVE"),OR(FiltroResp="TODOS",FiltroResp="",PROCESSOS!H786=FiltroResp)),PROCESSOS!M786+ROW()/1000000,"")</f>
        <v/>
      </c>
      <c r="BG786" t="str">
        <f>IF(AND(PROCESSOS!B786&lt;&gt;"",ISNUMBER(PROCESSOS!D786),OR(FiltroResp="TODOS",FiltroResp="",PROCESSOS!H786=FiltroResp)),PROCESSOS!D786+ROW()/1000000,"")</f>
        <v/>
      </c>
    </row>
    <row r="787">
      <c r="BF787" t="str">
        <f>IF(AND(OR(PROCESSOS!O787="NO PRAZO",PROCESSOS!O787="VENCE EM BREVE"),OR(FiltroResp="TODOS",FiltroResp="",PROCESSOS!H787=FiltroResp)),PROCESSOS!M787+ROW()/1000000,"")</f>
        <v/>
      </c>
      <c r="BG787" t="str">
        <f>IF(AND(PROCESSOS!B787&lt;&gt;"",ISNUMBER(PROCESSOS!D787),OR(FiltroResp="TODOS",FiltroResp="",PROCESSOS!H787=FiltroResp)),PROCESSOS!D787+ROW()/1000000,"")</f>
        <v/>
      </c>
    </row>
    <row r="788">
      <c r="BF788" t="str">
        <f>IF(AND(OR(PROCESSOS!O788="NO PRAZO",PROCESSOS!O788="VENCE EM BREVE"),OR(FiltroResp="TODOS",FiltroResp="",PROCESSOS!H788=FiltroResp)),PROCESSOS!M788+ROW()/1000000,"")</f>
        <v/>
      </c>
      <c r="BG788" t="str">
        <f>IF(AND(PROCESSOS!B788&lt;&gt;"",ISNUMBER(PROCESSOS!D788),OR(FiltroResp="TODOS",FiltroResp="",PROCESSOS!H788=FiltroResp)),PROCESSOS!D788+ROW()/1000000,"")</f>
        <v/>
      </c>
    </row>
    <row r="789">
      <c r="BF789" t="str">
        <f>IF(AND(OR(PROCESSOS!O789="NO PRAZO",PROCESSOS!O789="VENCE EM BREVE"),OR(FiltroResp="TODOS",FiltroResp="",PROCESSOS!H789=FiltroResp)),PROCESSOS!M789+ROW()/1000000,"")</f>
        <v/>
      </c>
      <c r="BG789" t="str">
        <f>IF(AND(PROCESSOS!B789&lt;&gt;"",ISNUMBER(PROCESSOS!D789),OR(FiltroResp="TODOS",FiltroResp="",PROCESSOS!H789=FiltroResp)),PROCESSOS!D789+ROW()/1000000,"")</f>
        <v/>
      </c>
    </row>
    <row r="790">
      <c r="BF790" t="str">
        <f>IF(AND(OR(PROCESSOS!O790="NO PRAZO",PROCESSOS!O790="VENCE EM BREVE"),OR(FiltroResp="TODOS",FiltroResp="",PROCESSOS!H790=FiltroResp)),PROCESSOS!M790+ROW()/1000000,"")</f>
        <v/>
      </c>
      <c r="BG790" t="str">
        <f>IF(AND(PROCESSOS!B790&lt;&gt;"",ISNUMBER(PROCESSOS!D790),OR(FiltroResp="TODOS",FiltroResp="",PROCESSOS!H790=FiltroResp)),PROCESSOS!D790+ROW()/1000000,"")</f>
        <v/>
      </c>
    </row>
    <row r="791">
      <c r="BF791" t="str">
        <f>IF(AND(OR(PROCESSOS!O791="NO PRAZO",PROCESSOS!O791="VENCE EM BREVE"),OR(FiltroResp="TODOS",FiltroResp="",PROCESSOS!H791=FiltroResp)),PROCESSOS!M791+ROW()/1000000,"")</f>
        <v/>
      </c>
      <c r="BG791" t="str">
        <f>IF(AND(PROCESSOS!B791&lt;&gt;"",ISNUMBER(PROCESSOS!D791),OR(FiltroResp="TODOS",FiltroResp="",PROCESSOS!H791=FiltroResp)),PROCESSOS!D791+ROW()/1000000,"")</f>
        <v/>
      </c>
    </row>
    <row r="792">
      <c r="BF792" t="str">
        <f>IF(AND(OR(PROCESSOS!O792="NO PRAZO",PROCESSOS!O792="VENCE EM BREVE"),OR(FiltroResp="TODOS",FiltroResp="",PROCESSOS!H792=FiltroResp)),PROCESSOS!M792+ROW()/1000000,"")</f>
        <v/>
      </c>
      <c r="BG792" t="str">
        <f>IF(AND(PROCESSOS!B792&lt;&gt;"",ISNUMBER(PROCESSOS!D792),OR(FiltroResp="TODOS",FiltroResp="",PROCESSOS!H792=FiltroResp)),PROCESSOS!D792+ROW()/1000000,"")</f>
        <v/>
      </c>
    </row>
    <row r="793">
      <c r="BF793" t="str">
        <f>IF(AND(OR(PROCESSOS!O793="NO PRAZO",PROCESSOS!O793="VENCE EM BREVE"),OR(FiltroResp="TODOS",FiltroResp="",PROCESSOS!H793=FiltroResp)),PROCESSOS!M793+ROW()/1000000,"")</f>
        <v/>
      </c>
      <c r="BG793" t="str">
        <f>IF(AND(PROCESSOS!B793&lt;&gt;"",ISNUMBER(PROCESSOS!D793),OR(FiltroResp="TODOS",FiltroResp="",PROCESSOS!H793=FiltroResp)),PROCESSOS!D793+ROW()/1000000,"")</f>
        <v/>
      </c>
    </row>
    <row r="794">
      <c r="BF794" t="str">
        <f>IF(AND(OR(PROCESSOS!O794="NO PRAZO",PROCESSOS!O794="VENCE EM BREVE"),OR(FiltroResp="TODOS",FiltroResp="",PROCESSOS!H794=FiltroResp)),PROCESSOS!M794+ROW()/1000000,"")</f>
        <v/>
      </c>
      <c r="BG794" t="str">
        <f>IF(AND(PROCESSOS!B794&lt;&gt;"",ISNUMBER(PROCESSOS!D794),OR(FiltroResp="TODOS",FiltroResp="",PROCESSOS!H794=FiltroResp)),PROCESSOS!D794+ROW()/1000000,"")</f>
        <v/>
      </c>
    </row>
    <row r="795">
      <c r="BF795" t="str">
        <f>IF(AND(OR(PROCESSOS!O795="NO PRAZO",PROCESSOS!O795="VENCE EM BREVE"),OR(FiltroResp="TODOS",FiltroResp="",PROCESSOS!H795=FiltroResp)),PROCESSOS!M795+ROW()/1000000,"")</f>
        <v/>
      </c>
      <c r="BG795" t="str">
        <f>IF(AND(PROCESSOS!B795&lt;&gt;"",ISNUMBER(PROCESSOS!D795),OR(FiltroResp="TODOS",FiltroResp="",PROCESSOS!H795=FiltroResp)),PROCESSOS!D795+ROW()/1000000,"")</f>
        <v/>
      </c>
    </row>
    <row r="796">
      <c r="BF796" t="str">
        <f>IF(AND(OR(PROCESSOS!O796="NO PRAZO",PROCESSOS!O796="VENCE EM BREVE"),OR(FiltroResp="TODOS",FiltroResp="",PROCESSOS!H796=FiltroResp)),PROCESSOS!M796+ROW()/1000000,"")</f>
        <v/>
      </c>
      <c r="BG796" t="str">
        <f>IF(AND(PROCESSOS!B796&lt;&gt;"",ISNUMBER(PROCESSOS!D796),OR(FiltroResp="TODOS",FiltroResp="",PROCESSOS!H796=FiltroResp)),PROCESSOS!D796+ROW()/1000000,"")</f>
        <v/>
      </c>
    </row>
    <row r="797">
      <c r="BF797" t="str">
        <f>IF(AND(OR(PROCESSOS!O797="NO PRAZO",PROCESSOS!O797="VENCE EM BREVE"),OR(FiltroResp="TODOS",FiltroResp="",PROCESSOS!H797=FiltroResp)),PROCESSOS!M797+ROW()/1000000,"")</f>
        <v/>
      </c>
      <c r="BG797" t="str">
        <f>IF(AND(PROCESSOS!B797&lt;&gt;"",ISNUMBER(PROCESSOS!D797),OR(FiltroResp="TODOS",FiltroResp="",PROCESSOS!H797=FiltroResp)),PROCESSOS!D797+ROW()/1000000,"")</f>
        <v/>
      </c>
    </row>
    <row r="798">
      <c r="BF798" t="str">
        <f>IF(AND(OR(PROCESSOS!O798="NO PRAZO",PROCESSOS!O798="VENCE EM BREVE"),OR(FiltroResp="TODOS",FiltroResp="",PROCESSOS!H798=FiltroResp)),PROCESSOS!M798+ROW()/1000000,"")</f>
        <v/>
      </c>
      <c r="BG798" t="str">
        <f>IF(AND(PROCESSOS!B798&lt;&gt;"",ISNUMBER(PROCESSOS!D798),OR(FiltroResp="TODOS",FiltroResp="",PROCESSOS!H798=FiltroResp)),PROCESSOS!D798+ROW()/1000000,"")</f>
        <v/>
      </c>
    </row>
    <row r="799">
      <c r="BF799" t="str">
        <f>IF(AND(OR(PROCESSOS!O799="NO PRAZO",PROCESSOS!O799="VENCE EM BREVE"),OR(FiltroResp="TODOS",FiltroResp="",PROCESSOS!H799=FiltroResp)),PROCESSOS!M799+ROW()/1000000,"")</f>
        <v/>
      </c>
      <c r="BG799" t="str">
        <f>IF(AND(PROCESSOS!B799&lt;&gt;"",ISNUMBER(PROCESSOS!D799),OR(FiltroResp="TODOS",FiltroResp="",PROCESSOS!H799=FiltroResp)),PROCESSOS!D799+ROW()/1000000,"")</f>
        <v/>
      </c>
    </row>
    <row r="800">
      <c r="BF800" t="str">
        <f>IF(AND(OR(PROCESSOS!O800="NO PRAZO",PROCESSOS!O800="VENCE EM BREVE"),OR(FiltroResp="TODOS",FiltroResp="",PROCESSOS!H800=FiltroResp)),PROCESSOS!M800+ROW()/1000000,"")</f>
        <v/>
      </c>
      <c r="BG800" t="str">
        <f>IF(AND(PROCESSOS!B800&lt;&gt;"",ISNUMBER(PROCESSOS!D800),OR(FiltroResp="TODOS",FiltroResp="",PROCESSOS!H800=FiltroResp)),PROCESSOS!D800+ROW()/1000000,"")</f>
        <v/>
      </c>
    </row>
    <row r="801">
      <c r="BF801" t="str">
        <f>IF(AND(OR(PROCESSOS!O801="NO PRAZO",PROCESSOS!O801="VENCE EM BREVE"),OR(FiltroResp="TODOS",FiltroResp="",PROCESSOS!H801=FiltroResp)),PROCESSOS!M801+ROW()/1000000,"")</f>
        <v/>
      </c>
      <c r="BG801" t="str">
        <f>IF(AND(PROCESSOS!B801&lt;&gt;"",ISNUMBER(PROCESSOS!D801),OR(FiltroResp="TODOS",FiltroResp="",PROCESSOS!H801=FiltroResp)),PROCESSOS!D801+ROW()/1000000,"")</f>
        <v/>
      </c>
    </row>
    <row r="802">
      <c r="BF802" t="str">
        <f>IF(AND(OR(PROCESSOS!O802="NO PRAZO",PROCESSOS!O802="VENCE EM BREVE"),OR(FiltroResp="TODOS",FiltroResp="",PROCESSOS!H802=FiltroResp)),PROCESSOS!M802+ROW()/1000000,"")</f>
        <v/>
      </c>
      <c r="BG802" t="str">
        <f>IF(AND(PROCESSOS!B802&lt;&gt;"",ISNUMBER(PROCESSOS!D802),OR(FiltroResp="TODOS",FiltroResp="",PROCESSOS!H802=FiltroResp)),PROCESSOS!D802+ROW()/1000000,"")</f>
        <v/>
      </c>
    </row>
    <row r="803">
      <c r="BF803" t="str">
        <f>IF(AND(OR(PROCESSOS!O803="NO PRAZO",PROCESSOS!O803="VENCE EM BREVE"),OR(FiltroResp="TODOS",FiltroResp="",PROCESSOS!H803=FiltroResp)),PROCESSOS!M803+ROW()/1000000,"")</f>
        <v/>
      </c>
      <c r="BG803" t="str">
        <f>IF(AND(PROCESSOS!B803&lt;&gt;"",ISNUMBER(PROCESSOS!D803),OR(FiltroResp="TODOS",FiltroResp="",PROCESSOS!H803=FiltroResp)),PROCESSOS!D803+ROW()/1000000,"")</f>
        <v/>
      </c>
    </row>
    <row r="804">
      <c r="BF804" t="str">
        <f>IF(AND(OR(PROCESSOS!O804="NO PRAZO",PROCESSOS!O804="VENCE EM BREVE"),OR(FiltroResp="TODOS",FiltroResp="",PROCESSOS!H804=FiltroResp)),PROCESSOS!M804+ROW()/1000000,"")</f>
        <v/>
      </c>
      <c r="BG804" t="str">
        <f>IF(AND(PROCESSOS!B804&lt;&gt;"",ISNUMBER(PROCESSOS!D804),OR(FiltroResp="TODOS",FiltroResp="",PROCESSOS!H804=FiltroResp)),PROCESSOS!D804+ROW()/1000000,"")</f>
        <v/>
      </c>
    </row>
    <row r="805">
      <c r="BF805" t="str">
        <f>IF(AND(OR(PROCESSOS!O805="NO PRAZO",PROCESSOS!O805="VENCE EM BREVE"),OR(FiltroResp="TODOS",FiltroResp="",PROCESSOS!H805=FiltroResp)),PROCESSOS!M805+ROW()/1000000,"")</f>
        <v/>
      </c>
      <c r="BG805" t="str">
        <f>IF(AND(PROCESSOS!B805&lt;&gt;"",ISNUMBER(PROCESSOS!D805),OR(FiltroResp="TODOS",FiltroResp="",PROCESSOS!H805=FiltroResp)),PROCESSOS!D805+ROW()/1000000,"")</f>
        <v/>
      </c>
    </row>
    <row r="806">
      <c r="BF806" t="str">
        <f>IF(AND(OR(PROCESSOS!O806="NO PRAZO",PROCESSOS!O806="VENCE EM BREVE"),OR(FiltroResp="TODOS",FiltroResp="",PROCESSOS!H806=FiltroResp)),PROCESSOS!M806+ROW()/1000000,"")</f>
        <v/>
      </c>
      <c r="BG806" t="str">
        <f>IF(AND(PROCESSOS!B806&lt;&gt;"",ISNUMBER(PROCESSOS!D806),OR(FiltroResp="TODOS",FiltroResp="",PROCESSOS!H806=FiltroResp)),PROCESSOS!D806+ROW()/1000000,"")</f>
        <v/>
      </c>
    </row>
    <row r="807">
      <c r="BF807" t="str">
        <f>IF(AND(OR(PROCESSOS!O807="NO PRAZO",PROCESSOS!O807="VENCE EM BREVE"),OR(FiltroResp="TODOS",FiltroResp="",PROCESSOS!H807=FiltroResp)),PROCESSOS!M807+ROW()/1000000,"")</f>
        <v/>
      </c>
      <c r="BG807" t="str">
        <f>IF(AND(PROCESSOS!B807&lt;&gt;"",ISNUMBER(PROCESSOS!D807),OR(FiltroResp="TODOS",FiltroResp="",PROCESSOS!H807=FiltroResp)),PROCESSOS!D807+ROW()/1000000,"")</f>
        <v/>
      </c>
    </row>
    <row r="808">
      <c r="BF808" t="str">
        <f>IF(AND(OR(PROCESSOS!O808="NO PRAZO",PROCESSOS!O808="VENCE EM BREVE"),OR(FiltroResp="TODOS",FiltroResp="",PROCESSOS!H808=FiltroResp)),PROCESSOS!M808+ROW()/1000000,"")</f>
        <v/>
      </c>
      <c r="BG808" t="str">
        <f>IF(AND(PROCESSOS!B808&lt;&gt;"",ISNUMBER(PROCESSOS!D808),OR(FiltroResp="TODOS",FiltroResp="",PROCESSOS!H808=FiltroResp)),PROCESSOS!D808+ROW()/1000000,"")</f>
        <v/>
      </c>
    </row>
    <row r="809">
      <c r="BF809" t="str">
        <f>IF(AND(OR(PROCESSOS!O809="NO PRAZO",PROCESSOS!O809="VENCE EM BREVE"),OR(FiltroResp="TODOS",FiltroResp="",PROCESSOS!H809=FiltroResp)),PROCESSOS!M809+ROW()/1000000,"")</f>
        <v/>
      </c>
      <c r="BG809" t="str">
        <f>IF(AND(PROCESSOS!B809&lt;&gt;"",ISNUMBER(PROCESSOS!D809),OR(FiltroResp="TODOS",FiltroResp="",PROCESSOS!H809=FiltroResp)),PROCESSOS!D809+ROW()/1000000,"")</f>
        <v/>
      </c>
    </row>
    <row r="810">
      <c r="BF810" t="str">
        <f>IF(AND(OR(PROCESSOS!O810="NO PRAZO",PROCESSOS!O810="VENCE EM BREVE"),OR(FiltroResp="TODOS",FiltroResp="",PROCESSOS!H810=FiltroResp)),PROCESSOS!M810+ROW()/1000000,"")</f>
        <v/>
      </c>
      <c r="BG810" t="str">
        <f>IF(AND(PROCESSOS!B810&lt;&gt;"",ISNUMBER(PROCESSOS!D810),OR(FiltroResp="TODOS",FiltroResp="",PROCESSOS!H810=FiltroResp)),PROCESSOS!D810+ROW()/1000000,"")</f>
        <v/>
      </c>
    </row>
    <row r="811">
      <c r="BF811" t="str">
        <f>IF(AND(OR(PROCESSOS!O811="NO PRAZO",PROCESSOS!O811="VENCE EM BREVE"),OR(FiltroResp="TODOS",FiltroResp="",PROCESSOS!H811=FiltroResp)),PROCESSOS!M811+ROW()/1000000,"")</f>
        <v/>
      </c>
      <c r="BG811" t="str">
        <f>IF(AND(PROCESSOS!B811&lt;&gt;"",ISNUMBER(PROCESSOS!D811),OR(FiltroResp="TODOS",FiltroResp="",PROCESSOS!H811=FiltroResp)),PROCESSOS!D811+ROW()/1000000,"")</f>
        <v/>
      </c>
    </row>
    <row r="812">
      <c r="BF812" t="str">
        <f>IF(AND(OR(PROCESSOS!O812="NO PRAZO",PROCESSOS!O812="VENCE EM BREVE"),OR(FiltroResp="TODOS",FiltroResp="",PROCESSOS!H812=FiltroResp)),PROCESSOS!M812+ROW()/1000000,"")</f>
        <v/>
      </c>
      <c r="BG812" t="str">
        <f>IF(AND(PROCESSOS!B812&lt;&gt;"",ISNUMBER(PROCESSOS!D812),OR(FiltroResp="TODOS",FiltroResp="",PROCESSOS!H812=FiltroResp)),PROCESSOS!D812+ROW()/1000000,"")</f>
        <v/>
      </c>
    </row>
    <row r="813">
      <c r="BF813" t="str">
        <f>IF(AND(OR(PROCESSOS!O813="NO PRAZO",PROCESSOS!O813="VENCE EM BREVE"),OR(FiltroResp="TODOS",FiltroResp="",PROCESSOS!H813=FiltroResp)),PROCESSOS!M813+ROW()/1000000,"")</f>
        <v/>
      </c>
      <c r="BG813" t="str">
        <f>IF(AND(PROCESSOS!B813&lt;&gt;"",ISNUMBER(PROCESSOS!D813),OR(FiltroResp="TODOS",FiltroResp="",PROCESSOS!H813=FiltroResp)),PROCESSOS!D813+ROW()/1000000,"")</f>
        <v/>
      </c>
    </row>
    <row r="814">
      <c r="BF814" t="str">
        <f>IF(AND(OR(PROCESSOS!O814="NO PRAZO",PROCESSOS!O814="VENCE EM BREVE"),OR(FiltroResp="TODOS",FiltroResp="",PROCESSOS!H814=FiltroResp)),PROCESSOS!M814+ROW()/1000000,"")</f>
        <v/>
      </c>
      <c r="BG814" t="str">
        <f>IF(AND(PROCESSOS!B814&lt;&gt;"",ISNUMBER(PROCESSOS!D814),OR(FiltroResp="TODOS",FiltroResp="",PROCESSOS!H814=FiltroResp)),PROCESSOS!D814+ROW()/1000000,"")</f>
        <v/>
      </c>
    </row>
    <row r="815">
      <c r="BF815" t="str">
        <f>IF(AND(OR(PROCESSOS!O815="NO PRAZO",PROCESSOS!O815="VENCE EM BREVE"),OR(FiltroResp="TODOS",FiltroResp="",PROCESSOS!H815=FiltroResp)),PROCESSOS!M815+ROW()/1000000,"")</f>
        <v/>
      </c>
      <c r="BG815" t="str">
        <f>IF(AND(PROCESSOS!B815&lt;&gt;"",ISNUMBER(PROCESSOS!D815),OR(FiltroResp="TODOS",FiltroResp="",PROCESSOS!H815=FiltroResp)),PROCESSOS!D815+ROW()/1000000,"")</f>
        <v/>
      </c>
    </row>
    <row r="816">
      <c r="BF816" t="str">
        <f>IF(AND(OR(PROCESSOS!O816="NO PRAZO",PROCESSOS!O816="VENCE EM BREVE"),OR(FiltroResp="TODOS",FiltroResp="",PROCESSOS!H816=FiltroResp)),PROCESSOS!M816+ROW()/1000000,"")</f>
        <v/>
      </c>
      <c r="BG816" t="str">
        <f>IF(AND(PROCESSOS!B816&lt;&gt;"",ISNUMBER(PROCESSOS!D816),OR(FiltroResp="TODOS",FiltroResp="",PROCESSOS!H816=FiltroResp)),PROCESSOS!D816+ROW()/1000000,"")</f>
        <v/>
      </c>
    </row>
    <row r="817">
      <c r="BF817" t="str">
        <f>IF(AND(OR(PROCESSOS!O817="NO PRAZO",PROCESSOS!O817="VENCE EM BREVE"),OR(FiltroResp="TODOS",FiltroResp="",PROCESSOS!H817=FiltroResp)),PROCESSOS!M817+ROW()/1000000,"")</f>
        <v/>
      </c>
      <c r="BG817" t="str">
        <f>IF(AND(PROCESSOS!B817&lt;&gt;"",ISNUMBER(PROCESSOS!D817),OR(FiltroResp="TODOS",FiltroResp="",PROCESSOS!H817=FiltroResp)),PROCESSOS!D817+ROW()/1000000,"")</f>
        <v/>
      </c>
    </row>
    <row r="818">
      <c r="BF818" t="str">
        <f>IF(AND(OR(PROCESSOS!O818="NO PRAZO",PROCESSOS!O818="VENCE EM BREVE"),OR(FiltroResp="TODOS",FiltroResp="",PROCESSOS!H818=FiltroResp)),PROCESSOS!M818+ROW()/1000000,"")</f>
        <v/>
      </c>
      <c r="BG818" t="str">
        <f>IF(AND(PROCESSOS!B818&lt;&gt;"",ISNUMBER(PROCESSOS!D818),OR(FiltroResp="TODOS",FiltroResp="",PROCESSOS!H818=FiltroResp)),PROCESSOS!D818+ROW()/1000000,"")</f>
        <v/>
      </c>
    </row>
    <row r="819">
      <c r="BF819" t="str">
        <f>IF(AND(OR(PROCESSOS!O819="NO PRAZO",PROCESSOS!O819="VENCE EM BREVE"),OR(FiltroResp="TODOS",FiltroResp="",PROCESSOS!H819=FiltroResp)),PROCESSOS!M819+ROW()/1000000,"")</f>
        <v/>
      </c>
      <c r="BG819" t="str">
        <f>IF(AND(PROCESSOS!B819&lt;&gt;"",ISNUMBER(PROCESSOS!D819),OR(FiltroResp="TODOS",FiltroResp="",PROCESSOS!H819=FiltroResp)),PROCESSOS!D819+ROW()/1000000,"")</f>
        <v/>
      </c>
    </row>
    <row r="820">
      <c r="BF820" t="str">
        <f>IF(AND(OR(PROCESSOS!O820="NO PRAZO",PROCESSOS!O820="VENCE EM BREVE"),OR(FiltroResp="TODOS",FiltroResp="",PROCESSOS!H820=FiltroResp)),PROCESSOS!M820+ROW()/1000000,"")</f>
        <v/>
      </c>
      <c r="BG820" t="str">
        <f>IF(AND(PROCESSOS!B820&lt;&gt;"",ISNUMBER(PROCESSOS!D820),OR(FiltroResp="TODOS",FiltroResp="",PROCESSOS!H820=FiltroResp)),PROCESSOS!D820+ROW()/1000000,"")</f>
        <v/>
      </c>
    </row>
    <row r="821">
      <c r="BF821" t="str">
        <f>IF(AND(OR(PROCESSOS!O821="NO PRAZO",PROCESSOS!O821="VENCE EM BREVE"),OR(FiltroResp="TODOS",FiltroResp="",PROCESSOS!H821=FiltroResp)),PROCESSOS!M821+ROW()/1000000,"")</f>
        <v/>
      </c>
      <c r="BG821" t="str">
        <f>IF(AND(PROCESSOS!B821&lt;&gt;"",ISNUMBER(PROCESSOS!D821),OR(FiltroResp="TODOS",FiltroResp="",PROCESSOS!H821=FiltroResp)),PROCESSOS!D821+ROW()/1000000,"")</f>
        <v/>
      </c>
    </row>
    <row r="822">
      <c r="BF822" t="str">
        <f>IF(AND(OR(PROCESSOS!O822="NO PRAZO",PROCESSOS!O822="VENCE EM BREVE"),OR(FiltroResp="TODOS",FiltroResp="",PROCESSOS!H822=FiltroResp)),PROCESSOS!M822+ROW()/1000000,"")</f>
        <v/>
      </c>
      <c r="BG822" t="str">
        <f>IF(AND(PROCESSOS!B822&lt;&gt;"",ISNUMBER(PROCESSOS!D822),OR(FiltroResp="TODOS",FiltroResp="",PROCESSOS!H822=FiltroResp)),PROCESSOS!D822+ROW()/1000000,"")</f>
        <v/>
      </c>
    </row>
    <row r="823">
      <c r="BF823" t="str">
        <f>IF(AND(OR(PROCESSOS!O823="NO PRAZO",PROCESSOS!O823="VENCE EM BREVE"),OR(FiltroResp="TODOS",FiltroResp="",PROCESSOS!H823=FiltroResp)),PROCESSOS!M823+ROW()/1000000,"")</f>
        <v/>
      </c>
      <c r="BG823" t="str">
        <f>IF(AND(PROCESSOS!B823&lt;&gt;"",ISNUMBER(PROCESSOS!D823),OR(FiltroResp="TODOS",FiltroResp="",PROCESSOS!H823=FiltroResp)),PROCESSOS!D823+ROW()/1000000,"")</f>
        <v/>
      </c>
    </row>
    <row r="824">
      <c r="BF824" t="str">
        <f>IF(AND(OR(PROCESSOS!O824="NO PRAZO",PROCESSOS!O824="VENCE EM BREVE"),OR(FiltroResp="TODOS",FiltroResp="",PROCESSOS!H824=FiltroResp)),PROCESSOS!M824+ROW()/1000000,"")</f>
        <v/>
      </c>
      <c r="BG824" t="str">
        <f>IF(AND(PROCESSOS!B824&lt;&gt;"",ISNUMBER(PROCESSOS!D824),OR(FiltroResp="TODOS",FiltroResp="",PROCESSOS!H824=FiltroResp)),PROCESSOS!D824+ROW()/1000000,"")</f>
        <v/>
      </c>
    </row>
    <row r="825">
      <c r="BF825" t="str">
        <f>IF(AND(OR(PROCESSOS!O825="NO PRAZO",PROCESSOS!O825="VENCE EM BREVE"),OR(FiltroResp="TODOS",FiltroResp="",PROCESSOS!H825=FiltroResp)),PROCESSOS!M825+ROW()/1000000,"")</f>
        <v/>
      </c>
      <c r="BG825" t="str">
        <f>IF(AND(PROCESSOS!B825&lt;&gt;"",ISNUMBER(PROCESSOS!D825),OR(FiltroResp="TODOS",FiltroResp="",PROCESSOS!H825=FiltroResp)),PROCESSOS!D825+ROW()/1000000,"")</f>
        <v/>
      </c>
    </row>
    <row r="826">
      <c r="BF826" t="str">
        <f>IF(AND(OR(PROCESSOS!O826="NO PRAZO",PROCESSOS!O826="VENCE EM BREVE"),OR(FiltroResp="TODOS",FiltroResp="",PROCESSOS!H826=FiltroResp)),PROCESSOS!M826+ROW()/1000000,"")</f>
        <v/>
      </c>
      <c r="BG826" t="str">
        <f>IF(AND(PROCESSOS!B826&lt;&gt;"",ISNUMBER(PROCESSOS!D826),OR(FiltroResp="TODOS",FiltroResp="",PROCESSOS!H826=FiltroResp)),PROCESSOS!D826+ROW()/1000000,"")</f>
        <v/>
      </c>
    </row>
    <row r="827">
      <c r="BF827" t="str">
        <f>IF(AND(OR(PROCESSOS!O827="NO PRAZO",PROCESSOS!O827="VENCE EM BREVE"),OR(FiltroResp="TODOS",FiltroResp="",PROCESSOS!H827=FiltroResp)),PROCESSOS!M827+ROW()/1000000,"")</f>
        <v/>
      </c>
      <c r="BG827" t="str">
        <f>IF(AND(PROCESSOS!B827&lt;&gt;"",ISNUMBER(PROCESSOS!D827),OR(FiltroResp="TODOS",FiltroResp="",PROCESSOS!H827=FiltroResp)),PROCESSOS!D827+ROW()/1000000,"")</f>
        <v/>
      </c>
    </row>
    <row r="828">
      <c r="BF828" t="str">
        <f>IF(AND(OR(PROCESSOS!O828="NO PRAZO",PROCESSOS!O828="VENCE EM BREVE"),OR(FiltroResp="TODOS",FiltroResp="",PROCESSOS!H828=FiltroResp)),PROCESSOS!M828+ROW()/1000000,"")</f>
        <v/>
      </c>
      <c r="BG828" t="str">
        <f>IF(AND(PROCESSOS!B828&lt;&gt;"",ISNUMBER(PROCESSOS!D828),OR(FiltroResp="TODOS",FiltroResp="",PROCESSOS!H828=FiltroResp)),PROCESSOS!D828+ROW()/1000000,"")</f>
        <v/>
      </c>
    </row>
    <row r="829">
      <c r="BF829" t="str">
        <f>IF(AND(OR(PROCESSOS!O829="NO PRAZO",PROCESSOS!O829="VENCE EM BREVE"),OR(FiltroResp="TODOS",FiltroResp="",PROCESSOS!H829=FiltroResp)),PROCESSOS!M829+ROW()/1000000,"")</f>
        <v/>
      </c>
      <c r="BG829" t="str">
        <f>IF(AND(PROCESSOS!B829&lt;&gt;"",ISNUMBER(PROCESSOS!D829),OR(FiltroResp="TODOS",FiltroResp="",PROCESSOS!H829=FiltroResp)),PROCESSOS!D829+ROW()/1000000,"")</f>
        <v/>
      </c>
    </row>
    <row r="830">
      <c r="BF830" t="str">
        <f>IF(AND(OR(PROCESSOS!O830="NO PRAZO",PROCESSOS!O830="VENCE EM BREVE"),OR(FiltroResp="TODOS",FiltroResp="",PROCESSOS!H830=FiltroResp)),PROCESSOS!M830+ROW()/1000000,"")</f>
        <v/>
      </c>
      <c r="BG830" t="str">
        <f>IF(AND(PROCESSOS!B830&lt;&gt;"",ISNUMBER(PROCESSOS!D830),OR(FiltroResp="TODOS",FiltroResp="",PROCESSOS!H830=FiltroResp)),PROCESSOS!D830+ROW()/1000000,"")</f>
        <v/>
      </c>
    </row>
    <row r="831">
      <c r="BF831" t="str">
        <f>IF(AND(OR(PROCESSOS!O831="NO PRAZO",PROCESSOS!O831="VENCE EM BREVE"),OR(FiltroResp="TODOS",FiltroResp="",PROCESSOS!H831=FiltroResp)),PROCESSOS!M831+ROW()/1000000,"")</f>
        <v/>
      </c>
      <c r="BG831" t="str">
        <f>IF(AND(PROCESSOS!B831&lt;&gt;"",ISNUMBER(PROCESSOS!D831),OR(FiltroResp="TODOS",FiltroResp="",PROCESSOS!H831=FiltroResp)),PROCESSOS!D831+ROW()/1000000,"")</f>
        <v/>
      </c>
    </row>
    <row r="832">
      <c r="BF832" t="str">
        <f>IF(AND(OR(PROCESSOS!O832="NO PRAZO",PROCESSOS!O832="VENCE EM BREVE"),OR(FiltroResp="TODOS",FiltroResp="",PROCESSOS!H832=FiltroResp)),PROCESSOS!M832+ROW()/1000000,"")</f>
        <v/>
      </c>
      <c r="BG832" t="str">
        <f>IF(AND(PROCESSOS!B832&lt;&gt;"",ISNUMBER(PROCESSOS!D832),OR(FiltroResp="TODOS",FiltroResp="",PROCESSOS!H832=FiltroResp)),PROCESSOS!D832+ROW()/1000000,"")</f>
        <v/>
      </c>
    </row>
    <row r="833">
      <c r="BF833" t="str">
        <f>IF(AND(OR(PROCESSOS!O833="NO PRAZO",PROCESSOS!O833="VENCE EM BREVE"),OR(FiltroResp="TODOS",FiltroResp="",PROCESSOS!H833=FiltroResp)),PROCESSOS!M833+ROW()/1000000,"")</f>
        <v/>
      </c>
      <c r="BG833" t="str">
        <f>IF(AND(PROCESSOS!B833&lt;&gt;"",ISNUMBER(PROCESSOS!D833),OR(FiltroResp="TODOS",FiltroResp="",PROCESSOS!H833=FiltroResp)),PROCESSOS!D833+ROW()/1000000,"")</f>
        <v/>
      </c>
    </row>
    <row r="834">
      <c r="BF834" t="str">
        <f>IF(AND(OR(PROCESSOS!O834="NO PRAZO",PROCESSOS!O834="VENCE EM BREVE"),OR(FiltroResp="TODOS",FiltroResp="",PROCESSOS!H834=FiltroResp)),PROCESSOS!M834+ROW()/1000000,"")</f>
        <v/>
      </c>
      <c r="BG834" t="str">
        <f>IF(AND(PROCESSOS!B834&lt;&gt;"",ISNUMBER(PROCESSOS!D834),OR(FiltroResp="TODOS",FiltroResp="",PROCESSOS!H834=FiltroResp)),PROCESSOS!D834+ROW()/1000000,"")</f>
        <v/>
      </c>
    </row>
    <row r="835">
      <c r="BF835" t="str">
        <f>IF(AND(OR(PROCESSOS!O835="NO PRAZO",PROCESSOS!O835="VENCE EM BREVE"),OR(FiltroResp="TODOS",FiltroResp="",PROCESSOS!H835=FiltroResp)),PROCESSOS!M835+ROW()/1000000,"")</f>
        <v/>
      </c>
      <c r="BG835" t="str">
        <f>IF(AND(PROCESSOS!B835&lt;&gt;"",ISNUMBER(PROCESSOS!D835),OR(FiltroResp="TODOS",FiltroResp="",PROCESSOS!H835=FiltroResp)),PROCESSOS!D835+ROW()/1000000,"")</f>
        <v/>
      </c>
    </row>
    <row r="836">
      <c r="BF836" t="str">
        <f>IF(AND(OR(PROCESSOS!O836="NO PRAZO",PROCESSOS!O836="VENCE EM BREVE"),OR(FiltroResp="TODOS",FiltroResp="",PROCESSOS!H836=FiltroResp)),PROCESSOS!M836+ROW()/1000000,"")</f>
        <v/>
      </c>
      <c r="BG836" t="str">
        <f>IF(AND(PROCESSOS!B836&lt;&gt;"",ISNUMBER(PROCESSOS!D836),OR(FiltroResp="TODOS",FiltroResp="",PROCESSOS!H836=FiltroResp)),PROCESSOS!D836+ROW()/1000000,"")</f>
        <v/>
      </c>
    </row>
    <row r="837">
      <c r="BF837" t="str">
        <f>IF(AND(OR(PROCESSOS!O837="NO PRAZO",PROCESSOS!O837="VENCE EM BREVE"),OR(FiltroResp="TODOS",FiltroResp="",PROCESSOS!H837=FiltroResp)),PROCESSOS!M837+ROW()/1000000,"")</f>
        <v/>
      </c>
      <c r="BG837" t="str">
        <f>IF(AND(PROCESSOS!B837&lt;&gt;"",ISNUMBER(PROCESSOS!D837),OR(FiltroResp="TODOS",FiltroResp="",PROCESSOS!H837=FiltroResp)),PROCESSOS!D837+ROW()/1000000,"")</f>
        <v/>
      </c>
    </row>
    <row r="838">
      <c r="BF838" t="str">
        <f>IF(AND(OR(PROCESSOS!O838="NO PRAZO",PROCESSOS!O838="VENCE EM BREVE"),OR(FiltroResp="TODOS",FiltroResp="",PROCESSOS!H838=FiltroResp)),PROCESSOS!M838+ROW()/1000000,"")</f>
        <v/>
      </c>
      <c r="BG838" t="str">
        <f>IF(AND(PROCESSOS!B838&lt;&gt;"",ISNUMBER(PROCESSOS!D838),OR(FiltroResp="TODOS",FiltroResp="",PROCESSOS!H838=FiltroResp)),PROCESSOS!D838+ROW()/1000000,"")</f>
        <v/>
      </c>
    </row>
    <row r="839">
      <c r="BF839" t="str">
        <f>IF(AND(OR(PROCESSOS!O839="NO PRAZO",PROCESSOS!O839="VENCE EM BREVE"),OR(FiltroResp="TODOS",FiltroResp="",PROCESSOS!H839=FiltroResp)),PROCESSOS!M839+ROW()/1000000,"")</f>
        <v/>
      </c>
      <c r="BG839" t="str">
        <f>IF(AND(PROCESSOS!B839&lt;&gt;"",ISNUMBER(PROCESSOS!D839),OR(FiltroResp="TODOS",FiltroResp="",PROCESSOS!H839=FiltroResp)),PROCESSOS!D839+ROW()/1000000,"")</f>
        <v/>
      </c>
    </row>
    <row r="840">
      <c r="BF840" t="str">
        <f>IF(AND(OR(PROCESSOS!O840="NO PRAZO",PROCESSOS!O840="VENCE EM BREVE"),OR(FiltroResp="TODOS",FiltroResp="",PROCESSOS!H840=FiltroResp)),PROCESSOS!M840+ROW()/1000000,"")</f>
        <v/>
      </c>
      <c r="BG840" t="str">
        <f>IF(AND(PROCESSOS!B840&lt;&gt;"",ISNUMBER(PROCESSOS!D840),OR(FiltroResp="TODOS",FiltroResp="",PROCESSOS!H840=FiltroResp)),PROCESSOS!D840+ROW()/1000000,"")</f>
        <v/>
      </c>
    </row>
    <row r="841">
      <c r="BF841" t="str">
        <f>IF(AND(OR(PROCESSOS!O841="NO PRAZO",PROCESSOS!O841="VENCE EM BREVE"),OR(FiltroResp="TODOS",FiltroResp="",PROCESSOS!H841=FiltroResp)),PROCESSOS!M841+ROW()/1000000,"")</f>
        <v/>
      </c>
      <c r="BG841" t="str">
        <f>IF(AND(PROCESSOS!B841&lt;&gt;"",ISNUMBER(PROCESSOS!D841),OR(FiltroResp="TODOS",FiltroResp="",PROCESSOS!H841=FiltroResp)),PROCESSOS!D841+ROW()/1000000,"")</f>
        <v/>
      </c>
    </row>
    <row r="842">
      <c r="BF842" t="str">
        <f>IF(AND(OR(PROCESSOS!O842="NO PRAZO",PROCESSOS!O842="VENCE EM BREVE"),OR(FiltroResp="TODOS",FiltroResp="",PROCESSOS!H842=FiltroResp)),PROCESSOS!M842+ROW()/1000000,"")</f>
        <v/>
      </c>
      <c r="BG842" t="str">
        <f>IF(AND(PROCESSOS!B842&lt;&gt;"",ISNUMBER(PROCESSOS!D842),OR(FiltroResp="TODOS",FiltroResp="",PROCESSOS!H842=FiltroResp)),PROCESSOS!D842+ROW()/1000000,"")</f>
        <v/>
      </c>
    </row>
    <row r="843">
      <c r="BF843" t="str">
        <f>IF(AND(OR(PROCESSOS!O843="NO PRAZO",PROCESSOS!O843="VENCE EM BREVE"),OR(FiltroResp="TODOS",FiltroResp="",PROCESSOS!H843=FiltroResp)),PROCESSOS!M843+ROW()/1000000,"")</f>
        <v/>
      </c>
      <c r="BG843" t="str">
        <f>IF(AND(PROCESSOS!B843&lt;&gt;"",ISNUMBER(PROCESSOS!D843),OR(FiltroResp="TODOS",FiltroResp="",PROCESSOS!H843=FiltroResp)),PROCESSOS!D843+ROW()/1000000,"")</f>
        <v/>
      </c>
    </row>
    <row r="844">
      <c r="BF844" t="str">
        <f>IF(AND(OR(PROCESSOS!O844="NO PRAZO",PROCESSOS!O844="VENCE EM BREVE"),OR(FiltroResp="TODOS",FiltroResp="",PROCESSOS!H844=FiltroResp)),PROCESSOS!M844+ROW()/1000000,"")</f>
        <v/>
      </c>
      <c r="BG844" t="str">
        <f>IF(AND(PROCESSOS!B844&lt;&gt;"",ISNUMBER(PROCESSOS!D844),OR(FiltroResp="TODOS",FiltroResp="",PROCESSOS!H844=FiltroResp)),PROCESSOS!D844+ROW()/1000000,"")</f>
        <v/>
      </c>
    </row>
    <row r="845">
      <c r="BF845" t="str">
        <f>IF(AND(OR(PROCESSOS!O845="NO PRAZO",PROCESSOS!O845="VENCE EM BREVE"),OR(FiltroResp="TODOS",FiltroResp="",PROCESSOS!H845=FiltroResp)),PROCESSOS!M845+ROW()/1000000,"")</f>
        <v/>
      </c>
      <c r="BG845" t="str">
        <f>IF(AND(PROCESSOS!B845&lt;&gt;"",ISNUMBER(PROCESSOS!D845),OR(FiltroResp="TODOS",FiltroResp="",PROCESSOS!H845=FiltroResp)),PROCESSOS!D845+ROW()/1000000,"")</f>
        <v/>
      </c>
    </row>
    <row r="846">
      <c r="BF846" t="str">
        <f>IF(AND(OR(PROCESSOS!O846="NO PRAZO",PROCESSOS!O846="VENCE EM BREVE"),OR(FiltroResp="TODOS",FiltroResp="",PROCESSOS!H846=FiltroResp)),PROCESSOS!M846+ROW()/1000000,"")</f>
        <v/>
      </c>
      <c r="BG846" t="str">
        <f>IF(AND(PROCESSOS!B846&lt;&gt;"",ISNUMBER(PROCESSOS!D846),OR(FiltroResp="TODOS",FiltroResp="",PROCESSOS!H846=FiltroResp)),PROCESSOS!D846+ROW()/1000000,"")</f>
        <v/>
      </c>
    </row>
    <row r="847">
      <c r="BF847" t="str">
        <f>IF(AND(OR(PROCESSOS!O847="NO PRAZO",PROCESSOS!O847="VENCE EM BREVE"),OR(FiltroResp="TODOS",FiltroResp="",PROCESSOS!H847=FiltroResp)),PROCESSOS!M847+ROW()/1000000,"")</f>
        <v/>
      </c>
      <c r="BG847" t="str">
        <f>IF(AND(PROCESSOS!B847&lt;&gt;"",ISNUMBER(PROCESSOS!D847),OR(FiltroResp="TODOS",FiltroResp="",PROCESSOS!H847=FiltroResp)),PROCESSOS!D847+ROW()/1000000,"")</f>
        <v/>
      </c>
    </row>
    <row r="848">
      <c r="BF848" t="str">
        <f>IF(AND(OR(PROCESSOS!O848="NO PRAZO",PROCESSOS!O848="VENCE EM BREVE"),OR(FiltroResp="TODOS",FiltroResp="",PROCESSOS!H848=FiltroResp)),PROCESSOS!M848+ROW()/1000000,"")</f>
        <v/>
      </c>
      <c r="BG848" t="str">
        <f>IF(AND(PROCESSOS!B848&lt;&gt;"",ISNUMBER(PROCESSOS!D848),OR(FiltroResp="TODOS",FiltroResp="",PROCESSOS!H848=FiltroResp)),PROCESSOS!D848+ROW()/1000000,"")</f>
        <v/>
      </c>
    </row>
    <row r="849">
      <c r="BF849" t="str">
        <f>IF(AND(OR(PROCESSOS!O849="NO PRAZO",PROCESSOS!O849="VENCE EM BREVE"),OR(FiltroResp="TODOS",FiltroResp="",PROCESSOS!H849=FiltroResp)),PROCESSOS!M849+ROW()/1000000,"")</f>
        <v/>
      </c>
      <c r="BG849" t="str">
        <f>IF(AND(PROCESSOS!B849&lt;&gt;"",ISNUMBER(PROCESSOS!D849),OR(FiltroResp="TODOS",FiltroResp="",PROCESSOS!H849=FiltroResp)),PROCESSOS!D849+ROW()/1000000,"")</f>
        <v/>
      </c>
    </row>
    <row r="850">
      <c r="BF850" t="str">
        <f>IF(AND(OR(PROCESSOS!O850="NO PRAZO",PROCESSOS!O850="VENCE EM BREVE"),OR(FiltroResp="TODOS",FiltroResp="",PROCESSOS!H850=FiltroResp)),PROCESSOS!M850+ROW()/1000000,"")</f>
        <v/>
      </c>
      <c r="BG850" t="str">
        <f>IF(AND(PROCESSOS!B850&lt;&gt;"",ISNUMBER(PROCESSOS!D850),OR(FiltroResp="TODOS",FiltroResp="",PROCESSOS!H850=FiltroResp)),PROCESSOS!D850+ROW()/1000000,"")</f>
        <v/>
      </c>
    </row>
    <row r="851">
      <c r="BF851" t="str">
        <f>IF(AND(OR(PROCESSOS!O851="NO PRAZO",PROCESSOS!O851="VENCE EM BREVE"),OR(FiltroResp="TODOS",FiltroResp="",PROCESSOS!H851=FiltroResp)),PROCESSOS!M851+ROW()/1000000,"")</f>
        <v/>
      </c>
      <c r="BG851" t="str">
        <f>IF(AND(PROCESSOS!B851&lt;&gt;"",ISNUMBER(PROCESSOS!D851),OR(FiltroResp="TODOS",FiltroResp="",PROCESSOS!H851=FiltroResp)),PROCESSOS!D851+ROW()/1000000,"")</f>
        <v/>
      </c>
    </row>
    <row r="852">
      <c r="BF852" t="str">
        <f>IF(AND(OR(PROCESSOS!O852="NO PRAZO",PROCESSOS!O852="VENCE EM BREVE"),OR(FiltroResp="TODOS",FiltroResp="",PROCESSOS!H852=FiltroResp)),PROCESSOS!M852+ROW()/1000000,"")</f>
        <v/>
      </c>
      <c r="BG852" t="str">
        <f>IF(AND(PROCESSOS!B852&lt;&gt;"",ISNUMBER(PROCESSOS!D852),OR(FiltroResp="TODOS",FiltroResp="",PROCESSOS!H852=FiltroResp)),PROCESSOS!D852+ROW()/1000000,"")</f>
        <v/>
      </c>
    </row>
    <row r="853">
      <c r="BF853" t="str">
        <f>IF(AND(OR(PROCESSOS!O853="NO PRAZO",PROCESSOS!O853="VENCE EM BREVE"),OR(FiltroResp="TODOS",FiltroResp="",PROCESSOS!H853=FiltroResp)),PROCESSOS!M853+ROW()/1000000,"")</f>
        <v/>
      </c>
      <c r="BG853" t="str">
        <f>IF(AND(PROCESSOS!B853&lt;&gt;"",ISNUMBER(PROCESSOS!D853),OR(FiltroResp="TODOS",FiltroResp="",PROCESSOS!H853=FiltroResp)),PROCESSOS!D853+ROW()/1000000,"")</f>
        <v/>
      </c>
    </row>
    <row r="854">
      <c r="BF854" t="str">
        <f>IF(AND(OR(PROCESSOS!O854="NO PRAZO",PROCESSOS!O854="VENCE EM BREVE"),OR(FiltroResp="TODOS",FiltroResp="",PROCESSOS!H854=FiltroResp)),PROCESSOS!M854+ROW()/1000000,"")</f>
        <v/>
      </c>
      <c r="BG854" t="str">
        <f>IF(AND(PROCESSOS!B854&lt;&gt;"",ISNUMBER(PROCESSOS!D854),OR(FiltroResp="TODOS",FiltroResp="",PROCESSOS!H854=FiltroResp)),PROCESSOS!D854+ROW()/1000000,"")</f>
        <v/>
      </c>
    </row>
    <row r="855">
      <c r="BF855" t="str">
        <f>IF(AND(OR(PROCESSOS!O855="NO PRAZO",PROCESSOS!O855="VENCE EM BREVE"),OR(FiltroResp="TODOS",FiltroResp="",PROCESSOS!H855=FiltroResp)),PROCESSOS!M855+ROW()/1000000,"")</f>
        <v/>
      </c>
      <c r="BG855" t="str">
        <f>IF(AND(PROCESSOS!B855&lt;&gt;"",ISNUMBER(PROCESSOS!D855),OR(FiltroResp="TODOS",FiltroResp="",PROCESSOS!H855=FiltroResp)),PROCESSOS!D855+ROW()/1000000,"")</f>
        <v/>
      </c>
    </row>
    <row r="856">
      <c r="BF856" t="str">
        <f>IF(AND(OR(PROCESSOS!O856="NO PRAZO",PROCESSOS!O856="VENCE EM BREVE"),OR(FiltroResp="TODOS",FiltroResp="",PROCESSOS!H856=FiltroResp)),PROCESSOS!M856+ROW()/1000000,"")</f>
        <v/>
      </c>
      <c r="BG856" t="str">
        <f>IF(AND(PROCESSOS!B856&lt;&gt;"",ISNUMBER(PROCESSOS!D856),OR(FiltroResp="TODOS",FiltroResp="",PROCESSOS!H856=FiltroResp)),PROCESSOS!D856+ROW()/1000000,"")</f>
        <v/>
      </c>
    </row>
    <row r="857">
      <c r="BF857" t="str">
        <f>IF(AND(OR(PROCESSOS!O857="NO PRAZO",PROCESSOS!O857="VENCE EM BREVE"),OR(FiltroResp="TODOS",FiltroResp="",PROCESSOS!H857=FiltroResp)),PROCESSOS!M857+ROW()/1000000,"")</f>
        <v/>
      </c>
      <c r="BG857" t="str">
        <f>IF(AND(PROCESSOS!B857&lt;&gt;"",ISNUMBER(PROCESSOS!D857),OR(FiltroResp="TODOS",FiltroResp="",PROCESSOS!H857=FiltroResp)),PROCESSOS!D857+ROW()/1000000,"")</f>
        <v/>
      </c>
    </row>
    <row r="858">
      <c r="BF858" t="str">
        <f>IF(AND(OR(PROCESSOS!O858="NO PRAZO",PROCESSOS!O858="VENCE EM BREVE"),OR(FiltroResp="TODOS",FiltroResp="",PROCESSOS!H858=FiltroResp)),PROCESSOS!M858+ROW()/1000000,"")</f>
        <v/>
      </c>
      <c r="BG858" t="str">
        <f>IF(AND(PROCESSOS!B858&lt;&gt;"",ISNUMBER(PROCESSOS!D858),OR(FiltroResp="TODOS",FiltroResp="",PROCESSOS!H858=FiltroResp)),PROCESSOS!D858+ROW()/1000000,"")</f>
        <v/>
      </c>
    </row>
    <row r="859">
      <c r="BF859" t="str">
        <f>IF(AND(OR(PROCESSOS!O859="NO PRAZO",PROCESSOS!O859="VENCE EM BREVE"),OR(FiltroResp="TODOS",FiltroResp="",PROCESSOS!H859=FiltroResp)),PROCESSOS!M859+ROW()/1000000,"")</f>
        <v/>
      </c>
      <c r="BG859" t="str">
        <f>IF(AND(PROCESSOS!B859&lt;&gt;"",ISNUMBER(PROCESSOS!D859),OR(FiltroResp="TODOS",FiltroResp="",PROCESSOS!H859=FiltroResp)),PROCESSOS!D859+ROW()/1000000,"")</f>
        <v/>
      </c>
    </row>
    <row r="860">
      <c r="BF860" t="str">
        <f>IF(AND(OR(PROCESSOS!O860="NO PRAZO",PROCESSOS!O860="VENCE EM BREVE"),OR(FiltroResp="TODOS",FiltroResp="",PROCESSOS!H860=FiltroResp)),PROCESSOS!M860+ROW()/1000000,"")</f>
        <v/>
      </c>
      <c r="BG860" t="str">
        <f>IF(AND(PROCESSOS!B860&lt;&gt;"",ISNUMBER(PROCESSOS!D860),OR(FiltroResp="TODOS",FiltroResp="",PROCESSOS!H860=FiltroResp)),PROCESSOS!D860+ROW()/1000000,"")</f>
        <v/>
      </c>
    </row>
    <row r="861">
      <c r="BF861" t="str">
        <f>IF(AND(OR(PROCESSOS!O861="NO PRAZO",PROCESSOS!O861="VENCE EM BREVE"),OR(FiltroResp="TODOS",FiltroResp="",PROCESSOS!H861=FiltroResp)),PROCESSOS!M861+ROW()/1000000,"")</f>
        <v/>
      </c>
      <c r="BG861" t="str">
        <f>IF(AND(PROCESSOS!B861&lt;&gt;"",ISNUMBER(PROCESSOS!D861),OR(FiltroResp="TODOS",FiltroResp="",PROCESSOS!H861=FiltroResp)),PROCESSOS!D861+ROW()/1000000,"")</f>
        <v/>
      </c>
    </row>
    <row r="862">
      <c r="BF862" t="str">
        <f>IF(AND(OR(PROCESSOS!O862="NO PRAZO",PROCESSOS!O862="VENCE EM BREVE"),OR(FiltroResp="TODOS",FiltroResp="",PROCESSOS!H862=FiltroResp)),PROCESSOS!M862+ROW()/1000000,"")</f>
        <v/>
      </c>
      <c r="BG862" t="str">
        <f>IF(AND(PROCESSOS!B862&lt;&gt;"",ISNUMBER(PROCESSOS!D862),OR(FiltroResp="TODOS",FiltroResp="",PROCESSOS!H862=FiltroResp)),PROCESSOS!D862+ROW()/1000000,"")</f>
        <v/>
      </c>
    </row>
    <row r="863">
      <c r="BF863" t="str">
        <f>IF(AND(OR(PROCESSOS!O863="NO PRAZO",PROCESSOS!O863="VENCE EM BREVE"),OR(FiltroResp="TODOS",FiltroResp="",PROCESSOS!H863=FiltroResp)),PROCESSOS!M863+ROW()/1000000,"")</f>
        <v/>
      </c>
      <c r="BG863" t="str">
        <f>IF(AND(PROCESSOS!B863&lt;&gt;"",ISNUMBER(PROCESSOS!D863),OR(FiltroResp="TODOS",FiltroResp="",PROCESSOS!H863=FiltroResp)),PROCESSOS!D863+ROW()/1000000,"")</f>
        <v/>
      </c>
    </row>
    <row r="864">
      <c r="BF864" t="str">
        <f>IF(AND(OR(PROCESSOS!O864="NO PRAZO",PROCESSOS!O864="VENCE EM BREVE"),OR(FiltroResp="TODOS",FiltroResp="",PROCESSOS!H864=FiltroResp)),PROCESSOS!M864+ROW()/1000000,"")</f>
        <v/>
      </c>
      <c r="BG864" t="str">
        <f>IF(AND(PROCESSOS!B864&lt;&gt;"",ISNUMBER(PROCESSOS!D864),OR(FiltroResp="TODOS",FiltroResp="",PROCESSOS!H864=FiltroResp)),PROCESSOS!D864+ROW()/1000000,"")</f>
        <v/>
      </c>
    </row>
    <row r="865">
      <c r="BF865" t="str">
        <f>IF(AND(OR(PROCESSOS!O865="NO PRAZO",PROCESSOS!O865="VENCE EM BREVE"),OR(FiltroResp="TODOS",FiltroResp="",PROCESSOS!H865=FiltroResp)),PROCESSOS!M865+ROW()/1000000,"")</f>
        <v/>
      </c>
      <c r="BG865" t="str">
        <f>IF(AND(PROCESSOS!B865&lt;&gt;"",ISNUMBER(PROCESSOS!D865),OR(FiltroResp="TODOS",FiltroResp="",PROCESSOS!H865=FiltroResp)),PROCESSOS!D865+ROW()/1000000,"")</f>
        <v/>
      </c>
    </row>
    <row r="866">
      <c r="BF866" t="str">
        <f>IF(AND(OR(PROCESSOS!O866="NO PRAZO",PROCESSOS!O866="VENCE EM BREVE"),OR(FiltroResp="TODOS",FiltroResp="",PROCESSOS!H866=FiltroResp)),PROCESSOS!M866+ROW()/1000000,"")</f>
        <v/>
      </c>
      <c r="BG866" t="str">
        <f>IF(AND(PROCESSOS!B866&lt;&gt;"",ISNUMBER(PROCESSOS!D866),OR(FiltroResp="TODOS",FiltroResp="",PROCESSOS!H866=FiltroResp)),PROCESSOS!D866+ROW()/1000000,"")</f>
        <v/>
      </c>
    </row>
    <row r="867">
      <c r="BF867" t="str">
        <f>IF(AND(OR(PROCESSOS!O867="NO PRAZO",PROCESSOS!O867="VENCE EM BREVE"),OR(FiltroResp="TODOS",FiltroResp="",PROCESSOS!H867=FiltroResp)),PROCESSOS!M867+ROW()/1000000,"")</f>
        <v/>
      </c>
      <c r="BG867" t="str">
        <f>IF(AND(PROCESSOS!B867&lt;&gt;"",ISNUMBER(PROCESSOS!D867),OR(FiltroResp="TODOS",FiltroResp="",PROCESSOS!H867=FiltroResp)),PROCESSOS!D867+ROW()/1000000,"")</f>
        <v/>
      </c>
    </row>
    <row r="868">
      <c r="BF868" t="str">
        <f>IF(AND(OR(PROCESSOS!O868="NO PRAZO",PROCESSOS!O868="VENCE EM BREVE"),OR(FiltroResp="TODOS",FiltroResp="",PROCESSOS!H868=FiltroResp)),PROCESSOS!M868+ROW()/1000000,"")</f>
        <v/>
      </c>
      <c r="BG868" t="str">
        <f>IF(AND(PROCESSOS!B868&lt;&gt;"",ISNUMBER(PROCESSOS!D868),OR(FiltroResp="TODOS",FiltroResp="",PROCESSOS!H868=FiltroResp)),PROCESSOS!D868+ROW()/1000000,"")</f>
        <v/>
      </c>
    </row>
    <row r="869">
      <c r="BF869" t="str">
        <f>IF(AND(OR(PROCESSOS!O869="NO PRAZO",PROCESSOS!O869="VENCE EM BREVE"),OR(FiltroResp="TODOS",FiltroResp="",PROCESSOS!H869=FiltroResp)),PROCESSOS!M869+ROW()/1000000,"")</f>
        <v/>
      </c>
      <c r="BG869" t="str">
        <f>IF(AND(PROCESSOS!B869&lt;&gt;"",ISNUMBER(PROCESSOS!D869),OR(FiltroResp="TODOS",FiltroResp="",PROCESSOS!H869=FiltroResp)),PROCESSOS!D869+ROW()/1000000,"")</f>
        <v/>
      </c>
    </row>
    <row r="870">
      <c r="BF870" t="str">
        <f>IF(AND(OR(PROCESSOS!O870="NO PRAZO",PROCESSOS!O870="VENCE EM BREVE"),OR(FiltroResp="TODOS",FiltroResp="",PROCESSOS!H870=FiltroResp)),PROCESSOS!M870+ROW()/1000000,"")</f>
        <v/>
      </c>
      <c r="BG870" t="str">
        <f>IF(AND(PROCESSOS!B870&lt;&gt;"",ISNUMBER(PROCESSOS!D870),OR(FiltroResp="TODOS",FiltroResp="",PROCESSOS!H870=FiltroResp)),PROCESSOS!D870+ROW()/1000000,"")</f>
        <v/>
      </c>
    </row>
    <row r="871">
      <c r="BF871" t="str">
        <f>IF(AND(OR(PROCESSOS!O871="NO PRAZO",PROCESSOS!O871="VENCE EM BREVE"),OR(FiltroResp="TODOS",FiltroResp="",PROCESSOS!H871=FiltroResp)),PROCESSOS!M871+ROW()/1000000,"")</f>
        <v/>
      </c>
      <c r="BG871" t="str">
        <f>IF(AND(PROCESSOS!B871&lt;&gt;"",ISNUMBER(PROCESSOS!D871),OR(FiltroResp="TODOS",FiltroResp="",PROCESSOS!H871=FiltroResp)),PROCESSOS!D871+ROW()/1000000,"")</f>
        <v/>
      </c>
    </row>
    <row r="872">
      <c r="BF872" t="str">
        <f>IF(AND(OR(PROCESSOS!O872="NO PRAZO",PROCESSOS!O872="VENCE EM BREVE"),OR(FiltroResp="TODOS",FiltroResp="",PROCESSOS!H872=FiltroResp)),PROCESSOS!M872+ROW()/1000000,"")</f>
        <v/>
      </c>
      <c r="BG872" t="str">
        <f>IF(AND(PROCESSOS!B872&lt;&gt;"",ISNUMBER(PROCESSOS!D872),OR(FiltroResp="TODOS",FiltroResp="",PROCESSOS!H872=FiltroResp)),PROCESSOS!D872+ROW()/1000000,"")</f>
        <v/>
      </c>
    </row>
    <row r="873">
      <c r="BF873" t="str">
        <f>IF(AND(OR(PROCESSOS!O873="NO PRAZO",PROCESSOS!O873="VENCE EM BREVE"),OR(FiltroResp="TODOS",FiltroResp="",PROCESSOS!H873=FiltroResp)),PROCESSOS!M873+ROW()/1000000,"")</f>
        <v/>
      </c>
      <c r="BG873" t="str">
        <f>IF(AND(PROCESSOS!B873&lt;&gt;"",ISNUMBER(PROCESSOS!D873),OR(FiltroResp="TODOS",FiltroResp="",PROCESSOS!H873=FiltroResp)),PROCESSOS!D873+ROW()/1000000,"")</f>
        <v/>
      </c>
    </row>
    <row r="874">
      <c r="BF874" t="str">
        <f>IF(AND(OR(PROCESSOS!O874="NO PRAZO",PROCESSOS!O874="VENCE EM BREVE"),OR(FiltroResp="TODOS",FiltroResp="",PROCESSOS!H874=FiltroResp)),PROCESSOS!M874+ROW()/1000000,"")</f>
        <v/>
      </c>
      <c r="BG874" t="str">
        <f>IF(AND(PROCESSOS!B874&lt;&gt;"",ISNUMBER(PROCESSOS!D874),OR(FiltroResp="TODOS",FiltroResp="",PROCESSOS!H874=FiltroResp)),PROCESSOS!D874+ROW()/1000000,"")</f>
        <v/>
      </c>
    </row>
    <row r="875">
      <c r="BF875" t="str">
        <f>IF(AND(OR(PROCESSOS!O875="NO PRAZO",PROCESSOS!O875="VENCE EM BREVE"),OR(FiltroResp="TODOS",FiltroResp="",PROCESSOS!H875=FiltroResp)),PROCESSOS!M875+ROW()/1000000,"")</f>
        <v/>
      </c>
      <c r="BG875" t="str">
        <f>IF(AND(PROCESSOS!B875&lt;&gt;"",ISNUMBER(PROCESSOS!D875),OR(FiltroResp="TODOS",FiltroResp="",PROCESSOS!H875=FiltroResp)),PROCESSOS!D875+ROW()/1000000,"")</f>
        <v/>
      </c>
    </row>
    <row r="876">
      <c r="BF876" t="str">
        <f>IF(AND(OR(PROCESSOS!O876="NO PRAZO",PROCESSOS!O876="VENCE EM BREVE"),OR(FiltroResp="TODOS",FiltroResp="",PROCESSOS!H876=FiltroResp)),PROCESSOS!M876+ROW()/1000000,"")</f>
        <v/>
      </c>
      <c r="BG876" t="str">
        <f>IF(AND(PROCESSOS!B876&lt;&gt;"",ISNUMBER(PROCESSOS!D876),OR(FiltroResp="TODOS",FiltroResp="",PROCESSOS!H876=FiltroResp)),PROCESSOS!D876+ROW()/1000000,"")</f>
        <v/>
      </c>
    </row>
    <row r="877">
      <c r="BF877" t="str">
        <f>IF(AND(OR(PROCESSOS!O877="NO PRAZO",PROCESSOS!O877="VENCE EM BREVE"),OR(FiltroResp="TODOS",FiltroResp="",PROCESSOS!H877=FiltroResp)),PROCESSOS!M877+ROW()/1000000,"")</f>
        <v/>
      </c>
      <c r="BG877" t="str">
        <f>IF(AND(PROCESSOS!B877&lt;&gt;"",ISNUMBER(PROCESSOS!D877),OR(FiltroResp="TODOS",FiltroResp="",PROCESSOS!H877=FiltroResp)),PROCESSOS!D877+ROW()/1000000,"")</f>
        <v/>
      </c>
    </row>
    <row r="878">
      <c r="BF878" t="str">
        <f>IF(AND(OR(PROCESSOS!O878="NO PRAZO",PROCESSOS!O878="VENCE EM BREVE"),OR(FiltroResp="TODOS",FiltroResp="",PROCESSOS!H878=FiltroResp)),PROCESSOS!M878+ROW()/1000000,"")</f>
        <v/>
      </c>
      <c r="BG878" t="str">
        <f>IF(AND(PROCESSOS!B878&lt;&gt;"",ISNUMBER(PROCESSOS!D878),OR(FiltroResp="TODOS",FiltroResp="",PROCESSOS!H878=FiltroResp)),PROCESSOS!D878+ROW()/1000000,"")</f>
        <v/>
      </c>
    </row>
    <row r="879">
      <c r="BF879" t="str">
        <f>IF(AND(OR(PROCESSOS!O879="NO PRAZO",PROCESSOS!O879="VENCE EM BREVE"),OR(FiltroResp="TODOS",FiltroResp="",PROCESSOS!H879=FiltroResp)),PROCESSOS!M879+ROW()/1000000,"")</f>
        <v/>
      </c>
      <c r="BG879" t="str">
        <f>IF(AND(PROCESSOS!B879&lt;&gt;"",ISNUMBER(PROCESSOS!D879),OR(FiltroResp="TODOS",FiltroResp="",PROCESSOS!H879=FiltroResp)),PROCESSOS!D879+ROW()/1000000,"")</f>
        <v/>
      </c>
    </row>
    <row r="880">
      <c r="BF880" t="str">
        <f>IF(AND(OR(PROCESSOS!O880="NO PRAZO",PROCESSOS!O880="VENCE EM BREVE"),OR(FiltroResp="TODOS",FiltroResp="",PROCESSOS!H880=FiltroResp)),PROCESSOS!M880+ROW()/1000000,"")</f>
        <v/>
      </c>
      <c r="BG880" t="str">
        <f>IF(AND(PROCESSOS!B880&lt;&gt;"",ISNUMBER(PROCESSOS!D880),OR(FiltroResp="TODOS",FiltroResp="",PROCESSOS!H880=FiltroResp)),PROCESSOS!D880+ROW()/1000000,"")</f>
        <v/>
      </c>
    </row>
    <row r="881">
      <c r="BF881" t="str">
        <f>IF(AND(OR(PROCESSOS!O881="NO PRAZO",PROCESSOS!O881="VENCE EM BREVE"),OR(FiltroResp="TODOS",FiltroResp="",PROCESSOS!H881=FiltroResp)),PROCESSOS!M881+ROW()/1000000,"")</f>
        <v/>
      </c>
      <c r="BG881" t="str">
        <f>IF(AND(PROCESSOS!B881&lt;&gt;"",ISNUMBER(PROCESSOS!D881),OR(FiltroResp="TODOS",FiltroResp="",PROCESSOS!H881=FiltroResp)),PROCESSOS!D881+ROW()/1000000,"")</f>
        <v/>
      </c>
    </row>
    <row r="882">
      <c r="BF882" t="str">
        <f>IF(AND(OR(PROCESSOS!O882="NO PRAZO",PROCESSOS!O882="VENCE EM BREVE"),OR(FiltroResp="TODOS",FiltroResp="",PROCESSOS!H882=FiltroResp)),PROCESSOS!M882+ROW()/1000000,"")</f>
        <v/>
      </c>
      <c r="BG882" t="str">
        <f>IF(AND(PROCESSOS!B882&lt;&gt;"",ISNUMBER(PROCESSOS!D882),OR(FiltroResp="TODOS",FiltroResp="",PROCESSOS!H882=FiltroResp)),PROCESSOS!D882+ROW()/1000000,"")</f>
        <v/>
      </c>
    </row>
    <row r="883">
      <c r="BF883" t="str">
        <f>IF(AND(OR(PROCESSOS!O883="NO PRAZO",PROCESSOS!O883="VENCE EM BREVE"),OR(FiltroResp="TODOS",FiltroResp="",PROCESSOS!H883=FiltroResp)),PROCESSOS!M883+ROW()/1000000,"")</f>
        <v/>
      </c>
      <c r="BG883" t="str">
        <f>IF(AND(PROCESSOS!B883&lt;&gt;"",ISNUMBER(PROCESSOS!D883),OR(FiltroResp="TODOS",FiltroResp="",PROCESSOS!H883=FiltroResp)),PROCESSOS!D883+ROW()/1000000,"")</f>
        <v/>
      </c>
    </row>
    <row r="884">
      <c r="BF884" t="str">
        <f>IF(AND(OR(PROCESSOS!O884="NO PRAZO",PROCESSOS!O884="VENCE EM BREVE"),OR(FiltroResp="TODOS",FiltroResp="",PROCESSOS!H884=FiltroResp)),PROCESSOS!M884+ROW()/1000000,"")</f>
        <v/>
      </c>
      <c r="BG884" t="str">
        <f>IF(AND(PROCESSOS!B884&lt;&gt;"",ISNUMBER(PROCESSOS!D884),OR(FiltroResp="TODOS",FiltroResp="",PROCESSOS!H884=FiltroResp)),PROCESSOS!D884+ROW()/1000000,"")</f>
        <v/>
      </c>
    </row>
    <row r="885">
      <c r="BF885" t="str">
        <f>IF(AND(OR(PROCESSOS!O885="NO PRAZO",PROCESSOS!O885="VENCE EM BREVE"),OR(FiltroResp="TODOS",FiltroResp="",PROCESSOS!H885=FiltroResp)),PROCESSOS!M885+ROW()/1000000,"")</f>
        <v/>
      </c>
      <c r="BG885" t="str">
        <f>IF(AND(PROCESSOS!B885&lt;&gt;"",ISNUMBER(PROCESSOS!D885),OR(FiltroResp="TODOS",FiltroResp="",PROCESSOS!H885=FiltroResp)),PROCESSOS!D885+ROW()/1000000,"")</f>
        <v/>
      </c>
    </row>
    <row r="886">
      <c r="BF886" t="str">
        <f>IF(AND(OR(PROCESSOS!O886="NO PRAZO",PROCESSOS!O886="VENCE EM BREVE"),OR(FiltroResp="TODOS",FiltroResp="",PROCESSOS!H886=FiltroResp)),PROCESSOS!M886+ROW()/1000000,"")</f>
        <v/>
      </c>
      <c r="BG886" t="str">
        <f>IF(AND(PROCESSOS!B886&lt;&gt;"",ISNUMBER(PROCESSOS!D886),OR(FiltroResp="TODOS",FiltroResp="",PROCESSOS!H886=FiltroResp)),PROCESSOS!D886+ROW()/1000000,"")</f>
        <v/>
      </c>
    </row>
    <row r="887">
      <c r="BF887" t="str">
        <f>IF(AND(OR(PROCESSOS!O887="NO PRAZO",PROCESSOS!O887="VENCE EM BREVE"),OR(FiltroResp="TODOS",FiltroResp="",PROCESSOS!H887=FiltroResp)),PROCESSOS!M887+ROW()/1000000,"")</f>
        <v/>
      </c>
      <c r="BG887" t="str">
        <f>IF(AND(PROCESSOS!B887&lt;&gt;"",ISNUMBER(PROCESSOS!D887),OR(FiltroResp="TODOS",FiltroResp="",PROCESSOS!H887=FiltroResp)),PROCESSOS!D887+ROW()/1000000,"")</f>
        <v/>
      </c>
    </row>
    <row r="888">
      <c r="BF888" t="str">
        <f>IF(AND(OR(PROCESSOS!O888="NO PRAZO",PROCESSOS!O888="VENCE EM BREVE"),OR(FiltroResp="TODOS",FiltroResp="",PROCESSOS!H888=FiltroResp)),PROCESSOS!M888+ROW()/1000000,"")</f>
        <v/>
      </c>
      <c r="BG888" t="str">
        <f>IF(AND(PROCESSOS!B888&lt;&gt;"",ISNUMBER(PROCESSOS!D888),OR(FiltroResp="TODOS",FiltroResp="",PROCESSOS!H888=FiltroResp)),PROCESSOS!D888+ROW()/1000000,"")</f>
        <v/>
      </c>
    </row>
    <row r="889">
      <c r="BF889" t="str">
        <f>IF(AND(OR(PROCESSOS!O889="NO PRAZO",PROCESSOS!O889="VENCE EM BREVE"),OR(FiltroResp="TODOS",FiltroResp="",PROCESSOS!H889=FiltroResp)),PROCESSOS!M889+ROW()/1000000,"")</f>
        <v/>
      </c>
      <c r="BG889" t="str">
        <f>IF(AND(PROCESSOS!B889&lt;&gt;"",ISNUMBER(PROCESSOS!D889),OR(FiltroResp="TODOS",FiltroResp="",PROCESSOS!H889=FiltroResp)),PROCESSOS!D889+ROW()/1000000,"")</f>
        <v/>
      </c>
    </row>
    <row r="890">
      <c r="BF890" t="str">
        <f>IF(AND(OR(PROCESSOS!O890="NO PRAZO",PROCESSOS!O890="VENCE EM BREVE"),OR(FiltroResp="TODOS",FiltroResp="",PROCESSOS!H890=FiltroResp)),PROCESSOS!M890+ROW()/1000000,"")</f>
        <v/>
      </c>
      <c r="BG890" t="str">
        <f>IF(AND(PROCESSOS!B890&lt;&gt;"",ISNUMBER(PROCESSOS!D890),OR(FiltroResp="TODOS",FiltroResp="",PROCESSOS!H890=FiltroResp)),PROCESSOS!D890+ROW()/1000000,"")</f>
        <v/>
      </c>
    </row>
    <row r="891">
      <c r="BF891" t="str">
        <f>IF(AND(OR(PROCESSOS!O891="NO PRAZO",PROCESSOS!O891="VENCE EM BREVE"),OR(FiltroResp="TODOS",FiltroResp="",PROCESSOS!H891=FiltroResp)),PROCESSOS!M891+ROW()/1000000,"")</f>
        <v/>
      </c>
      <c r="BG891" t="str">
        <f>IF(AND(PROCESSOS!B891&lt;&gt;"",ISNUMBER(PROCESSOS!D891),OR(FiltroResp="TODOS",FiltroResp="",PROCESSOS!H891=FiltroResp)),PROCESSOS!D891+ROW()/1000000,"")</f>
        <v/>
      </c>
    </row>
    <row r="892">
      <c r="BF892" t="str">
        <f>IF(AND(OR(PROCESSOS!O892="NO PRAZO",PROCESSOS!O892="VENCE EM BREVE"),OR(FiltroResp="TODOS",FiltroResp="",PROCESSOS!H892=FiltroResp)),PROCESSOS!M892+ROW()/1000000,"")</f>
        <v/>
      </c>
      <c r="BG892" t="str">
        <f>IF(AND(PROCESSOS!B892&lt;&gt;"",ISNUMBER(PROCESSOS!D892),OR(FiltroResp="TODOS",FiltroResp="",PROCESSOS!H892=FiltroResp)),PROCESSOS!D892+ROW()/1000000,"")</f>
        <v/>
      </c>
    </row>
    <row r="893">
      <c r="BF893" t="str">
        <f>IF(AND(OR(PROCESSOS!O893="NO PRAZO",PROCESSOS!O893="VENCE EM BREVE"),OR(FiltroResp="TODOS",FiltroResp="",PROCESSOS!H893=FiltroResp)),PROCESSOS!M893+ROW()/1000000,"")</f>
        <v/>
      </c>
      <c r="BG893" t="str">
        <f>IF(AND(PROCESSOS!B893&lt;&gt;"",ISNUMBER(PROCESSOS!D893),OR(FiltroResp="TODOS",FiltroResp="",PROCESSOS!H893=FiltroResp)),PROCESSOS!D893+ROW()/1000000,"")</f>
        <v/>
      </c>
    </row>
    <row r="894">
      <c r="BF894" t="str">
        <f>IF(AND(OR(PROCESSOS!O894="NO PRAZO",PROCESSOS!O894="VENCE EM BREVE"),OR(FiltroResp="TODOS",FiltroResp="",PROCESSOS!H894=FiltroResp)),PROCESSOS!M894+ROW()/1000000,"")</f>
        <v/>
      </c>
      <c r="BG894" t="str">
        <f>IF(AND(PROCESSOS!B894&lt;&gt;"",ISNUMBER(PROCESSOS!D894),OR(FiltroResp="TODOS",FiltroResp="",PROCESSOS!H894=FiltroResp)),PROCESSOS!D894+ROW()/1000000,"")</f>
        <v/>
      </c>
    </row>
    <row r="895">
      <c r="BF895" t="str">
        <f>IF(AND(OR(PROCESSOS!O895="NO PRAZO",PROCESSOS!O895="VENCE EM BREVE"),OR(FiltroResp="TODOS",FiltroResp="",PROCESSOS!H895=FiltroResp)),PROCESSOS!M895+ROW()/1000000,"")</f>
        <v/>
      </c>
      <c r="BG895" t="str">
        <f>IF(AND(PROCESSOS!B895&lt;&gt;"",ISNUMBER(PROCESSOS!D895),OR(FiltroResp="TODOS",FiltroResp="",PROCESSOS!H895=FiltroResp)),PROCESSOS!D895+ROW()/1000000,"")</f>
        <v/>
      </c>
    </row>
    <row r="896">
      <c r="BF896" t="str">
        <f>IF(AND(OR(PROCESSOS!O896="NO PRAZO",PROCESSOS!O896="VENCE EM BREVE"),OR(FiltroResp="TODOS",FiltroResp="",PROCESSOS!H896=FiltroResp)),PROCESSOS!M896+ROW()/1000000,"")</f>
        <v/>
      </c>
      <c r="BG896" t="str">
        <f>IF(AND(PROCESSOS!B896&lt;&gt;"",ISNUMBER(PROCESSOS!D896),OR(FiltroResp="TODOS",FiltroResp="",PROCESSOS!H896=FiltroResp)),PROCESSOS!D896+ROW()/1000000,"")</f>
        <v/>
      </c>
    </row>
    <row r="897">
      <c r="BF897" t="str">
        <f>IF(AND(OR(PROCESSOS!O897="NO PRAZO",PROCESSOS!O897="VENCE EM BREVE"),OR(FiltroResp="TODOS",FiltroResp="",PROCESSOS!H897=FiltroResp)),PROCESSOS!M897+ROW()/1000000,"")</f>
        <v/>
      </c>
      <c r="BG897" t="str">
        <f>IF(AND(PROCESSOS!B897&lt;&gt;"",ISNUMBER(PROCESSOS!D897),OR(FiltroResp="TODOS",FiltroResp="",PROCESSOS!H897=FiltroResp)),PROCESSOS!D897+ROW()/1000000,"")</f>
        <v/>
      </c>
    </row>
    <row r="898">
      <c r="BF898" t="str">
        <f>IF(AND(OR(PROCESSOS!O898="NO PRAZO",PROCESSOS!O898="VENCE EM BREVE"),OR(FiltroResp="TODOS",FiltroResp="",PROCESSOS!H898=FiltroResp)),PROCESSOS!M898+ROW()/1000000,"")</f>
        <v/>
      </c>
      <c r="BG898" t="str">
        <f>IF(AND(PROCESSOS!B898&lt;&gt;"",ISNUMBER(PROCESSOS!D898),OR(FiltroResp="TODOS",FiltroResp="",PROCESSOS!H898=FiltroResp)),PROCESSOS!D898+ROW()/1000000,"")</f>
        <v/>
      </c>
    </row>
    <row r="899">
      <c r="BF899" t="str">
        <f>IF(AND(OR(PROCESSOS!O899="NO PRAZO",PROCESSOS!O899="VENCE EM BREVE"),OR(FiltroResp="TODOS",FiltroResp="",PROCESSOS!H899=FiltroResp)),PROCESSOS!M899+ROW()/1000000,"")</f>
        <v/>
      </c>
      <c r="BG899" t="str">
        <f>IF(AND(PROCESSOS!B899&lt;&gt;"",ISNUMBER(PROCESSOS!D899),OR(FiltroResp="TODOS",FiltroResp="",PROCESSOS!H899=FiltroResp)),PROCESSOS!D899+ROW()/1000000,"")</f>
        <v/>
      </c>
    </row>
    <row r="900">
      <c r="BF900" t="str">
        <f>IF(AND(OR(PROCESSOS!O900="NO PRAZO",PROCESSOS!O900="VENCE EM BREVE"),OR(FiltroResp="TODOS",FiltroResp="",PROCESSOS!H900=FiltroResp)),PROCESSOS!M900+ROW()/1000000,"")</f>
        <v/>
      </c>
      <c r="BG900" t="str">
        <f>IF(AND(PROCESSOS!B900&lt;&gt;"",ISNUMBER(PROCESSOS!D900),OR(FiltroResp="TODOS",FiltroResp="",PROCESSOS!H900=FiltroResp)),PROCESSOS!D900+ROW()/1000000,"")</f>
        <v/>
      </c>
    </row>
    <row r="901">
      <c r="BF901" t="str">
        <f>IF(AND(OR(PROCESSOS!O901="NO PRAZO",PROCESSOS!O901="VENCE EM BREVE"),OR(FiltroResp="TODOS",FiltroResp="",PROCESSOS!H901=FiltroResp)),PROCESSOS!M901+ROW()/1000000,"")</f>
        <v/>
      </c>
      <c r="BG901" t="str">
        <f>IF(AND(PROCESSOS!B901&lt;&gt;"",ISNUMBER(PROCESSOS!D901),OR(FiltroResp="TODOS",FiltroResp="",PROCESSOS!H901=FiltroResp)),PROCESSOS!D901+ROW()/1000000,"")</f>
        <v/>
      </c>
    </row>
    <row r="902">
      <c r="BF902" t="str">
        <f>IF(AND(OR(PROCESSOS!O902="NO PRAZO",PROCESSOS!O902="VENCE EM BREVE"),OR(FiltroResp="TODOS",FiltroResp="",PROCESSOS!H902=FiltroResp)),PROCESSOS!M902+ROW()/1000000,"")</f>
        <v/>
      </c>
      <c r="BG902" t="str">
        <f>IF(AND(PROCESSOS!B902&lt;&gt;"",ISNUMBER(PROCESSOS!D902),OR(FiltroResp="TODOS",FiltroResp="",PROCESSOS!H902=FiltroResp)),PROCESSOS!D902+ROW()/1000000,"")</f>
        <v/>
      </c>
    </row>
    <row r="903">
      <c r="BF903" t="str">
        <f>IF(AND(OR(PROCESSOS!O903="NO PRAZO",PROCESSOS!O903="VENCE EM BREVE"),OR(FiltroResp="TODOS",FiltroResp="",PROCESSOS!H903=FiltroResp)),PROCESSOS!M903+ROW()/1000000,"")</f>
        <v/>
      </c>
      <c r="BG903" t="str">
        <f>IF(AND(PROCESSOS!B903&lt;&gt;"",ISNUMBER(PROCESSOS!D903),OR(FiltroResp="TODOS",FiltroResp="",PROCESSOS!H903=FiltroResp)),PROCESSOS!D903+ROW()/1000000,"")</f>
        <v/>
      </c>
    </row>
    <row r="904">
      <c r="BF904" t="str">
        <f>IF(AND(OR(PROCESSOS!O904="NO PRAZO",PROCESSOS!O904="VENCE EM BREVE"),OR(FiltroResp="TODOS",FiltroResp="",PROCESSOS!H904=FiltroResp)),PROCESSOS!M904+ROW()/1000000,"")</f>
        <v/>
      </c>
      <c r="BG904" t="str">
        <f>IF(AND(PROCESSOS!B904&lt;&gt;"",ISNUMBER(PROCESSOS!D904),OR(FiltroResp="TODOS",FiltroResp="",PROCESSOS!H904=FiltroResp)),PROCESSOS!D904+ROW()/1000000,"")</f>
        <v/>
      </c>
    </row>
    <row r="905">
      <c r="BF905" t="str">
        <f>IF(AND(OR(PROCESSOS!O905="NO PRAZO",PROCESSOS!O905="VENCE EM BREVE"),OR(FiltroResp="TODOS",FiltroResp="",PROCESSOS!H905=FiltroResp)),PROCESSOS!M905+ROW()/1000000,"")</f>
        <v/>
      </c>
      <c r="BG905" t="str">
        <f>IF(AND(PROCESSOS!B905&lt;&gt;"",ISNUMBER(PROCESSOS!D905),OR(FiltroResp="TODOS",FiltroResp="",PROCESSOS!H905=FiltroResp)),PROCESSOS!D905+ROW()/1000000,"")</f>
        <v/>
      </c>
    </row>
    <row r="906">
      <c r="BF906" t="str">
        <f>IF(AND(OR(PROCESSOS!O906="NO PRAZO",PROCESSOS!O906="VENCE EM BREVE"),OR(FiltroResp="TODOS",FiltroResp="",PROCESSOS!H906=FiltroResp)),PROCESSOS!M906+ROW()/1000000,"")</f>
        <v/>
      </c>
      <c r="BG906" t="str">
        <f>IF(AND(PROCESSOS!B906&lt;&gt;"",ISNUMBER(PROCESSOS!D906),OR(FiltroResp="TODOS",FiltroResp="",PROCESSOS!H906=FiltroResp)),PROCESSOS!D906+ROW()/1000000,"")</f>
        <v/>
      </c>
    </row>
    <row r="907">
      <c r="BF907" t="str">
        <f>IF(AND(OR(PROCESSOS!O907="NO PRAZO",PROCESSOS!O907="VENCE EM BREVE"),OR(FiltroResp="TODOS",FiltroResp="",PROCESSOS!H907=FiltroResp)),PROCESSOS!M907+ROW()/1000000,"")</f>
        <v/>
      </c>
      <c r="BG907" t="str">
        <f>IF(AND(PROCESSOS!B907&lt;&gt;"",ISNUMBER(PROCESSOS!D907),OR(FiltroResp="TODOS",FiltroResp="",PROCESSOS!H907=FiltroResp)),PROCESSOS!D907+ROW()/1000000,"")</f>
        <v/>
      </c>
    </row>
    <row r="908">
      <c r="BF908" t="str">
        <f>IF(AND(OR(PROCESSOS!O908="NO PRAZO",PROCESSOS!O908="VENCE EM BREVE"),OR(FiltroResp="TODOS",FiltroResp="",PROCESSOS!H908=FiltroResp)),PROCESSOS!M908+ROW()/1000000,"")</f>
        <v/>
      </c>
      <c r="BG908" t="str">
        <f>IF(AND(PROCESSOS!B908&lt;&gt;"",ISNUMBER(PROCESSOS!D908),OR(FiltroResp="TODOS",FiltroResp="",PROCESSOS!H908=FiltroResp)),PROCESSOS!D908+ROW()/1000000,"")</f>
        <v/>
      </c>
    </row>
    <row r="909">
      <c r="BF909" t="str">
        <f>IF(AND(OR(PROCESSOS!O909="NO PRAZO",PROCESSOS!O909="VENCE EM BREVE"),OR(FiltroResp="TODOS",FiltroResp="",PROCESSOS!H909=FiltroResp)),PROCESSOS!M909+ROW()/1000000,"")</f>
        <v/>
      </c>
      <c r="BG909" t="str">
        <f>IF(AND(PROCESSOS!B909&lt;&gt;"",ISNUMBER(PROCESSOS!D909),OR(FiltroResp="TODOS",FiltroResp="",PROCESSOS!H909=FiltroResp)),PROCESSOS!D909+ROW()/1000000,"")</f>
        <v/>
      </c>
    </row>
    <row r="910">
      <c r="BF910" t="str">
        <f>IF(AND(OR(PROCESSOS!O910="NO PRAZO",PROCESSOS!O910="VENCE EM BREVE"),OR(FiltroResp="TODOS",FiltroResp="",PROCESSOS!H910=FiltroResp)),PROCESSOS!M910+ROW()/1000000,"")</f>
        <v/>
      </c>
      <c r="BG910" t="str">
        <f>IF(AND(PROCESSOS!B910&lt;&gt;"",ISNUMBER(PROCESSOS!D910),OR(FiltroResp="TODOS",FiltroResp="",PROCESSOS!H910=FiltroResp)),PROCESSOS!D910+ROW()/1000000,"")</f>
        <v/>
      </c>
    </row>
    <row r="911">
      <c r="BF911" t="str">
        <f>IF(AND(OR(PROCESSOS!O911="NO PRAZO",PROCESSOS!O911="VENCE EM BREVE"),OR(FiltroResp="TODOS",FiltroResp="",PROCESSOS!H911=FiltroResp)),PROCESSOS!M911+ROW()/1000000,"")</f>
        <v/>
      </c>
      <c r="BG911" t="str">
        <f>IF(AND(PROCESSOS!B911&lt;&gt;"",ISNUMBER(PROCESSOS!D911),OR(FiltroResp="TODOS",FiltroResp="",PROCESSOS!H911=FiltroResp)),PROCESSOS!D911+ROW()/1000000,"")</f>
        <v/>
      </c>
    </row>
    <row r="912">
      <c r="BF912" t="str">
        <f>IF(AND(OR(PROCESSOS!O912="NO PRAZO",PROCESSOS!O912="VENCE EM BREVE"),OR(FiltroResp="TODOS",FiltroResp="",PROCESSOS!H912=FiltroResp)),PROCESSOS!M912+ROW()/1000000,"")</f>
        <v/>
      </c>
      <c r="BG912" t="str">
        <f>IF(AND(PROCESSOS!B912&lt;&gt;"",ISNUMBER(PROCESSOS!D912),OR(FiltroResp="TODOS",FiltroResp="",PROCESSOS!H912=FiltroResp)),PROCESSOS!D912+ROW()/1000000,"")</f>
        <v/>
      </c>
    </row>
    <row r="913">
      <c r="BF913" t="str">
        <f>IF(AND(OR(PROCESSOS!O913="NO PRAZO",PROCESSOS!O913="VENCE EM BREVE"),OR(FiltroResp="TODOS",FiltroResp="",PROCESSOS!H913=FiltroResp)),PROCESSOS!M913+ROW()/1000000,"")</f>
        <v/>
      </c>
      <c r="BG913" t="str">
        <f>IF(AND(PROCESSOS!B913&lt;&gt;"",ISNUMBER(PROCESSOS!D913),OR(FiltroResp="TODOS",FiltroResp="",PROCESSOS!H913=FiltroResp)),PROCESSOS!D913+ROW()/1000000,"")</f>
        <v/>
      </c>
    </row>
    <row r="914">
      <c r="BF914" t="str">
        <f>IF(AND(OR(PROCESSOS!O914="NO PRAZO",PROCESSOS!O914="VENCE EM BREVE"),OR(FiltroResp="TODOS",FiltroResp="",PROCESSOS!H914=FiltroResp)),PROCESSOS!M914+ROW()/1000000,"")</f>
        <v/>
      </c>
      <c r="BG914" t="str">
        <f>IF(AND(PROCESSOS!B914&lt;&gt;"",ISNUMBER(PROCESSOS!D914),OR(FiltroResp="TODOS",FiltroResp="",PROCESSOS!H914=FiltroResp)),PROCESSOS!D914+ROW()/1000000,"")</f>
        <v/>
      </c>
    </row>
    <row r="915">
      <c r="BF915" t="str">
        <f>IF(AND(OR(PROCESSOS!O915="NO PRAZO",PROCESSOS!O915="VENCE EM BREVE"),OR(FiltroResp="TODOS",FiltroResp="",PROCESSOS!H915=FiltroResp)),PROCESSOS!M915+ROW()/1000000,"")</f>
        <v/>
      </c>
      <c r="BG915" t="str">
        <f>IF(AND(PROCESSOS!B915&lt;&gt;"",ISNUMBER(PROCESSOS!D915),OR(FiltroResp="TODOS",FiltroResp="",PROCESSOS!H915=FiltroResp)),PROCESSOS!D915+ROW()/1000000,"")</f>
        <v/>
      </c>
    </row>
    <row r="916">
      <c r="BF916" t="str">
        <f>IF(AND(OR(PROCESSOS!O916="NO PRAZO",PROCESSOS!O916="VENCE EM BREVE"),OR(FiltroResp="TODOS",FiltroResp="",PROCESSOS!H916=FiltroResp)),PROCESSOS!M916+ROW()/1000000,"")</f>
        <v/>
      </c>
      <c r="BG916" t="str">
        <f>IF(AND(PROCESSOS!B916&lt;&gt;"",ISNUMBER(PROCESSOS!D916),OR(FiltroResp="TODOS",FiltroResp="",PROCESSOS!H916=FiltroResp)),PROCESSOS!D916+ROW()/1000000,"")</f>
        <v/>
      </c>
    </row>
    <row r="917">
      <c r="BF917" t="str">
        <f>IF(AND(OR(PROCESSOS!O917="NO PRAZO",PROCESSOS!O917="VENCE EM BREVE"),OR(FiltroResp="TODOS",FiltroResp="",PROCESSOS!H917=FiltroResp)),PROCESSOS!M917+ROW()/1000000,"")</f>
        <v/>
      </c>
      <c r="BG917" t="str">
        <f>IF(AND(PROCESSOS!B917&lt;&gt;"",ISNUMBER(PROCESSOS!D917),OR(FiltroResp="TODOS",FiltroResp="",PROCESSOS!H917=FiltroResp)),PROCESSOS!D917+ROW()/1000000,"")</f>
        <v/>
      </c>
    </row>
    <row r="918">
      <c r="BF918" t="str">
        <f>IF(AND(OR(PROCESSOS!O918="NO PRAZO",PROCESSOS!O918="VENCE EM BREVE"),OR(FiltroResp="TODOS",FiltroResp="",PROCESSOS!H918=FiltroResp)),PROCESSOS!M918+ROW()/1000000,"")</f>
        <v/>
      </c>
      <c r="BG918" t="str">
        <f>IF(AND(PROCESSOS!B918&lt;&gt;"",ISNUMBER(PROCESSOS!D918),OR(FiltroResp="TODOS",FiltroResp="",PROCESSOS!H918=FiltroResp)),PROCESSOS!D918+ROW()/1000000,"")</f>
        <v/>
      </c>
    </row>
    <row r="919">
      <c r="BF919" t="str">
        <f>IF(AND(OR(PROCESSOS!O919="NO PRAZO",PROCESSOS!O919="VENCE EM BREVE"),OR(FiltroResp="TODOS",FiltroResp="",PROCESSOS!H919=FiltroResp)),PROCESSOS!M919+ROW()/1000000,"")</f>
        <v/>
      </c>
      <c r="BG919" t="str">
        <f>IF(AND(PROCESSOS!B919&lt;&gt;"",ISNUMBER(PROCESSOS!D919),OR(FiltroResp="TODOS",FiltroResp="",PROCESSOS!H919=FiltroResp)),PROCESSOS!D919+ROW()/1000000,"")</f>
        <v/>
      </c>
    </row>
    <row r="920">
      <c r="BF920" t="str">
        <f>IF(AND(OR(PROCESSOS!O920="NO PRAZO",PROCESSOS!O920="VENCE EM BREVE"),OR(FiltroResp="TODOS",FiltroResp="",PROCESSOS!H920=FiltroResp)),PROCESSOS!M920+ROW()/1000000,"")</f>
        <v/>
      </c>
      <c r="BG920" t="str">
        <f>IF(AND(PROCESSOS!B920&lt;&gt;"",ISNUMBER(PROCESSOS!D920),OR(FiltroResp="TODOS",FiltroResp="",PROCESSOS!H920=FiltroResp)),PROCESSOS!D920+ROW()/1000000,"")</f>
        <v/>
      </c>
    </row>
    <row r="921">
      <c r="BF921" t="str">
        <f>IF(AND(OR(PROCESSOS!O921="NO PRAZO",PROCESSOS!O921="VENCE EM BREVE"),OR(FiltroResp="TODOS",FiltroResp="",PROCESSOS!H921=FiltroResp)),PROCESSOS!M921+ROW()/1000000,"")</f>
        <v/>
      </c>
      <c r="BG921" t="str">
        <f>IF(AND(PROCESSOS!B921&lt;&gt;"",ISNUMBER(PROCESSOS!D921),OR(FiltroResp="TODOS",FiltroResp="",PROCESSOS!H921=FiltroResp)),PROCESSOS!D921+ROW()/1000000,"")</f>
        <v/>
      </c>
    </row>
    <row r="922">
      <c r="BF922" t="str">
        <f>IF(AND(OR(PROCESSOS!O922="NO PRAZO",PROCESSOS!O922="VENCE EM BREVE"),OR(FiltroResp="TODOS",FiltroResp="",PROCESSOS!H922=FiltroResp)),PROCESSOS!M922+ROW()/1000000,"")</f>
        <v/>
      </c>
      <c r="BG922" t="str">
        <f>IF(AND(PROCESSOS!B922&lt;&gt;"",ISNUMBER(PROCESSOS!D922),OR(FiltroResp="TODOS",FiltroResp="",PROCESSOS!H922=FiltroResp)),PROCESSOS!D922+ROW()/1000000,"")</f>
        <v/>
      </c>
    </row>
    <row r="923">
      <c r="BF923" t="str">
        <f>IF(AND(OR(PROCESSOS!O923="NO PRAZO",PROCESSOS!O923="VENCE EM BREVE"),OR(FiltroResp="TODOS",FiltroResp="",PROCESSOS!H923=FiltroResp)),PROCESSOS!M923+ROW()/1000000,"")</f>
        <v/>
      </c>
      <c r="BG923" t="str">
        <f>IF(AND(PROCESSOS!B923&lt;&gt;"",ISNUMBER(PROCESSOS!D923),OR(FiltroResp="TODOS",FiltroResp="",PROCESSOS!H923=FiltroResp)),PROCESSOS!D923+ROW()/1000000,"")</f>
        <v/>
      </c>
    </row>
    <row r="924">
      <c r="BF924" t="str">
        <f>IF(AND(OR(PROCESSOS!O924="NO PRAZO",PROCESSOS!O924="VENCE EM BREVE"),OR(FiltroResp="TODOS",FiltroResp="",PROCESSOS!H924=FiltroResp)),PROCESSOS!M924+ROW()/1000000,"")</f>
        <v/>
      </c>
      <c r="BG924" t="str">
        <f>IF(AND(PROCESSOS!B924&lt;&gt;"",ISNUMBER(PROCESSOS!D924),OR(FiltroResp="TODOS",FiltroResp="",PROCESSOS!H924=FiltroResp)),PROCESSOS!D924+ROW()/1000000,"")</f>
        <v/>
      </c>
    </row>
    <row r="925">
      <c r="BF925" t="str">
        <f>IF(AND(OR(PROCESSOS!O925="NO PRAZO",PROCESSOS!O925="VENCE EM BREVE"),OR(FiltroResp="TODOS",FiltroResp="",PROCESSOS!H925=FiltroResp)),PROCESSOS!M925+ROW()/1000000,"")</f>
        <v/>
      </c>
      <c r="BG925" t="str">
        <f>IF(AND(PROCESSOS!B925&lt;&gt;"",ISNUMBER(PROCESSOS!D925),OR(FiltroResp="TODOS",FiltroResp="",PROCESSOS!H925=FiltroResp)),PROCESSOS!D925+ROW()/1000000,"")</f>
        <v/>
      </c>
    </row>
    <row r="926">
      <c r="BF926" t="str">
        <f>IF(AND(OR(PROCESSOS!O926="NO PRAZO",PROCESSOS!O926="VENCE EM BREVE"),OR(FiltroResp="TODOS",FiltroResp="",PROCESSOS!H926=FiltroResp)),PROCESSOS!M926+ROW()/1000000,"")</f>
        <v/>
      </c>
      <c r="BG926" t="str">
        <f>IF(AND(PROCESSOS!B926&lt;&gt;"",ISNUMBER(PROCESSOS!D926),OR(FiltroResp="TODOS",FiltroResp="",PROCESSOS!H926=FiltroResp)),PROCESSOS!D926+ROW()/1000000,"")</f>
        <v/>
      </c>
    </row>
    <row r="927">
      <c r="BF927" t="str">
        <f>IF(AND(OR(PROCESSOS!O927="NO PRAZO",PROCESSOS!O927="VENCE EM BREVE"),OR(FiltroResp="TODOS",FiltroResp="",PROCESSOS!H927=FiltroResp)),PROCESSOS!M927+ROW()/1000000,"")</f>
        <v/>
      </c>
      <c r="BG927" t="str">
        <f>IF(AND(PROCESSOS!B927&lt;&gt;"",ISNUMBER(PROCESSOS!D927),OR(FiltroResp="TODOS",FiltroResp="",PROCESSOS!H927=FiltroResp)),PROCESSOS!D927+ROW()/1000000,"")</f>
        <v/>
      </c>
    </row>
    <row r="928">
      <c r="BF928" t="str">
        <f>IF(AND(OR(PROCESSOS!O928="NO PRAZO",PROCESSOS!O928="VENCE EM BREVE"),OR(FiltroResp="TODOS",FiltroResp="",PROCESSOS!H928=FiltroResp)),PROCESSOS!M928+ROW()/1000000,"")</f>
        <v/>
      </c>
      <c r="BG928" t="str">
        <f>IF(AND(PROCESSOS!B928&lt;&gt;"",ISNUMBER(PROCESSOS!D928),OR(FiltroResp="TODOS",FiltroResp="",PROCESSOS!H928=FiltroResp)),PROCESSOS!D928+ROW()/1000000,"")</f>
        <v/>
      </c>
    </row>
    <row r="929">
      <c r="BF929" t="str">
        <f>IF(AND(OR(PROCESSOS!O929="NO PRAZO",PROCESSOS!O929="VENCE EM BREVE"),OR(FiltroResp="TODOS",FiltroResp="",PROCESSOS!H929=FiltroResp)),PROCESSOS!M929+ROW()/1000000,"")</f>
        <v/>
      </c>
      <c r="BG929" t="str">
        <f>IF(AND(PROCESSOS!B929&lt;&gt;"",ISNUMBER(PROCESSOS!D929),OR(FiltroResp="TODOS",FiltroResp="",PROCESSOS!H929=FiltroResp)),PROCESSOS!D929+ROW()/1000000,"")</f>
        <v/>
      </c>
    </row>
    <row r="930">
      <c r="BF930" t="str">
        <f>IF(AND(OR(PROCESSOS!O930="NO PRAZO",PROCESSOS!O930="VENCE EM BREVE"),OR(FiltroResp="TODOS",FiltroResp="",PROCESSOS!H930=FiltroResp)),PROCESSOS!M930+ROW()/1000000,"")</f>
        <v/>
      </c>
      <c r="BG930" t="str">
        <f>IF(AND(PROCESSOS!B930&lt;&gt;"",ISNUMBER(PROCESSOS!D930),OR(FiltroResp="TODOS",FiltroResp="",PROCESSOS!H930=FiltroResp)),PROCESSOS!D930+ROW()/1000000,"")</f>
        <v/>
      </c>
    </row>
    <row r="931">
      <c r="BF931" t="str">
        <f>IF(AND(OR(PROCESSOS!O931="NO PRAZO",PROCESSOS!O931="VENCE EM BREVE"),OR(FiltroResp="TODOS",FiltroResp="",PROCESSOS!H931=FiltroResp)),PROCESSOS!M931+ROW()/1000000,"")</f>
        <v/>
      </c>
      <c r="BG931" t="str">
        <f>IF(AND(PROCESSOS!B931&lt;&gt;"",ISNUMBER(PROCESSOS!D931),OR(FiltroResp="TODOS",FiltroResp="",PROCESSOS!H931=FiltroResp)),PROCESSOS!D931+ROW()/1000000,"")</f>
        <v/>
      </c>
    </row>
    <row r="932">
      <c r="BF932" t="str">
        <f>IF(AND(OR(PROCESSOS!O932="NO PRAZO",PROCESSOS!O932="VENCE EM BREVE"),OR(FiltroResp="TODOS",FiltroResp="",PROCESSOS!H932=FiltroResp)),PROCESSOS!M932+ROW()/1000000,"")</f>
        <v/>
      </c>
      <c r="BG932" t="str">
        <f>IF(AND(PROCESSOS!B932&lt;&gt;"",ISNUMBER(PROCESSOS!D932),OR(FiltroResp="TODOS",FiltroResp="",PROCESSOS!H932=FiltroResp)),PROCESSOS!D932+ROW()/1000000,"")</f>
        <v/>
      </c>
    </row>
    <row r="933">
      <c r="BF933" t="str">
        <f>IF(AND(OR(PROCESSOS!O933="NO PRAZO",PROCESSOS!O933="VENCE EM BREVE"),OR(FiltroResp="TODOS",FiltroResp="",PROCESSOS!H933=FiltroResp)),PROCESSOS!M933+ROW()/1000000,"")</f>
        <v/>
      </c>
      <c r="BG933" t="str">
        <f>IF(AND(PROCESSOS!B933&lt;&gt;"",ISNUMBER(PROCESSOS!D933),OR(FiltroResp="TODOS",FiltroResp="",PROCESSOS!H933=FiltroResp)),PROCESSOS!D933+ROW()/1000000,"")</f>
        <v/>
      </c>
    </row>
    <row r="934">
      <c r="BF934" t="str">
        <f>IF(AND(OR(PROCESSOS!O934="NO PRAZO",PROCESSOS!O934="VENCE EM BREVE"),OR(FiltroResp="TODOS",FiltroResp="",PROCESSOS!H934=FiltroResp)),PROCESSOS!M934+ROW()/1000000,"")</f>
        <v/>
      </c>
      <c r="BG934" t="str">
        <f>IF(AND(PROCESSOS!B934&lt;&gt;"",ISNUMBER(PROCESSOS!D934),OR(FiltroResp="TODOS",FiltroResp="",PROCESSOS!H934=FiltroResp)),PROCESSOS!D934+ROW()/1000000,"")</f>
        <v/>
      </c>
    </row>
    <row r="935">
      <c r="BF935" t="str">
        <f>IF(AND(OR(PROCESSOS!O935="NO PRAZO",PROCESSOS!O935="VENCE EM BREVE"),OR(FiltroResp="TODOS",FiltroResp="",PROCESSOS!H935=FiltroResp)),PROCESSOS!M935+ROW()/1000000,"")</f>
        <v/>
      </c>
      <c r="BG935" t="str">
        <f>IF(AND(PROCESSOS!B935&lt;&gt;"",ISNUMBER(PROCESSOS!D935),OR(FiltroResp="TODOS",FiltroResp="",PROCESSOS!H935=FiltroResp)),PROCESSOS!D935+ROW()/1000000,"")</f>
        <v/>
      </c>
    </row>
    <row r="936">
      <c r="BF936" t="str">
        <f>IF(AND(OR(PROCESSOS!O936="NO PRAZO",PROCESSOS!O936="VENCE EM BREVE"),OR(FiltroResp="TODOS",FiltroResp="",PROCESSOS!H936=FiltroResp)),PROCESSOS!M936+ROW()/1000000,"")</f>
        <v/>
      </c>
      <c r="BG936" t="str">
        <f>IF(AND(PROCESSOS!B936&lt;&gt;"",ISNUMBER(PROCESSOS!D936),OR(FiltroResp="TODOS",FiltroResp="",PROCESSOS!H936=FiltroResp)),PROCESSOS!D936+ROW()/1000000,"")</f>
        <v/>
      </c>
    </row>
    <row r="937">
      <c r="BF937" t="str">
        <f>IF(AND(OR(PROCESSOS!O937="NO PRAZO",PROCESSOS!O937="VENCE EM BREVE"),OR(FiltroResp="TODOS",FiltroResp="",PROCESSOS!H937=FiltroResp)),PROCESSOS!M937+ROW()/1000000,"")</f>
        <v/>
      </c>
      <c r="BG937" t="str">
        <f>IF(AND(PROCESSOS!B937&lt;&gt;"",ISNUMBER(PROCESSOS!D937),OR(FiltroResp="TODOS",FiltroResp="",PROCESSOS!H937=FiltroResp)),PROCESSOS!D937+ROW()/1000000,"")</f>
        <v/>
      </c>
    </row>
    <row r="938">
      <c r="BF938" t="str">
        <f>IF(AND(OR(PROCESSOS!O938="NO PRAZO",PROCESSOS!O938="VENCE EM BREVE"),OR(FiltroResp="TODOS",FiltroResp="",PROCESSOS!H938=FiltroResp)),PROCESSOS!M938+ROW()/1000000,"")</f>
        <v/>
      </c>
      <c r="BG938" t="str">
        <f>IF(AND(PROCESSOS!B938&lt;&gt;"",ISNUMBER(PROCESSOS!D938),OR(FiltroResp="TODOS",FiltroResp="",PROCESSOS!H938=FiltroResp)),PROCESSOS!D938+ROW()/1000000,"")</f>
        <v/>
      </c>
    </row>
    <row r="939">
      <c r="BF939" t="str">
        <f>IF(AND(OR(PROCESSOS!O939="NO PRAZO",PROCESSOS!O939="VENCE EM BREVE"),OR(FiltroResp="TODOS",FiltroResp="",PROCESSOS!H939=FiltroResp)),PROCESSOS!M939+ROW()/1000000,"")</f>
        <v/>
      </c>
      <c r="BG939" t="str">
        <f>IF(AND(PROCESSOS!B939&lt;&gt;"",ISNUMBER(PROCESSOS!D939),OR(FiltroResp="TODOS",FiltroResp="",PROCESSOS!H939=FiltroResp)),PROCESSOS!D939+ROW()/1000000,"")</f>
        <v/>
      </c>
    </row>
    <row r="940">
      <c r="BF940" t="str">
        <f>IF(AND(OR(PROCESSOS!O940="NO PRAZO",PROCESSOS!O940="VENCE EM BREVE"),OR(FiltroResp="TODOS",FiltroResp="",PROCESSOS!H940=FiltroResp)),PROCESSOS!M940+ROW()/1000000,"")</f>
        <v/>
      </c>
      <c r="BG940" t="str">
        <f>IF(AND(PROCESSOS!B940&lt;&gt;"",ISNUMBER(PROCESSOS!D940),OR(FiltroResp="TODOS",FiltroResp="",PROCESSOS!H940=FiltroResp)),PROCESSOS!D940+ROW()/1000000,"")</f>
        <v/>
      </c>
    </row>
    <row r="941">
      <c r="BF941" t="str">
        <f>IF(AND(OR(PROCESSOS!O941="NO PRAZO",PROCESSOS!O941="VENCE EM BREVE"),OR(FiltroResp="TODOS",FiltroResp="",PROCESSOS!H941=FiltroResp)),PROCESSOS!M941+ROW()/1000000,"")</f>
        <v/>
      </c>
      <c r="BG941" t="str">
        <f>IF(AND(PROCESSOS!B941&lt;&gt;"",ISNUMBER(PROCESSOS!D941),OR(FiltroResp="TODOS",FiltroResp="",PROCESSOS!H941=FiltroResp)),PROCESSOS!D941+ROW()/1000000,"")</f>
        <v/>
      </c>
    </row>
    <row r="942">
      <c r="BF942" t="str">
        <f>IF(AND(OR(PROCESSOS!O942="NO PRAZO",PROCESSOS!O942="VENCE EM BREVE"),OR(FiltroResp="TODOS",FiltroResp="",PROCESSOS!H942=FiltroResp)),PROCESSOS!M942+ROW()/1000000,"")</f>
        <v/>
      </c>
      <c r="BG942" t="str">
        <f>IF(AND(PROCESSOS!B942&lt;&gt;"",ISNUMBER(PROCESSOS!D942),OR(FiltroResp="TODOS",FiltroResp="",PROCESSOS!H942=FiltroResp)),PROCESSOS!D942+ROW()/1000000,"")</f>
        <v/>
      </c>
    </row>
    <row r="943">
      <c r="BF943" t="str">
        <f>IF(AND(OR(PROCESSOS!O943="NO PRAZO",PROCESSOS!O943="VENCE EM BREVE"),OR(FiltroResp="TODOS",FiltroResp="",PROCESSOS!H943=FiltroResp)),PROCESSOS!M943+ROW()/1000000,"")</f>
        <v/>
      </c>
      <c r="BG943" t="str">
        <f>IF(AND(PROCESSOS!B943&lt;&gt;"",ISNUMBER(PROCESSOS!D943),OR(FiltroResp="TODOS",FiltroResp="",PROCESSOS!H943=FiltroResp)),PROCESSOS!D943+ROW()/1000000,"")</f>
        <v/>
      </c>
    </row>
    <row r="944">
      <c r="BF944" t="str">
        <f>IF(AND(OR(PROCESSOS!O944="NO PRAZO",PROCESSOS!O944="VENCE EM BREVE"),OR(FiltroResp="TODOS",FiltroResp="",PROCESSOS!H944=FiltroResp)),PROCESSOS!M944+ROW()/1000000,"")</f>
        <v/>
      </c>
      <c r="BG944" t="str">
        <f>IF(AND(PROCESSOS!B944&lt;&gt;"",ISNUMBER(PROCESSOS!D944),OR(FiltroResp="TODOS",FiltroResp="",PROCESSOS!H944=FiltroResp)),PROCESSOS!D944+ROW()/1000000,"")</f>
        <v/>
      </c>
    </row>
    <row r="945">
      <c r="BF945" t="str">
        <f>IF(AND(OR(PROCESSOS!O945="NO PRAZO",PROCESSOS!O945="VENCE EM BREVE"),OR(FiltroResp="TODOS",FiltroResp="",PROCESSOS!H945=FiltroResp)),PROCESSOS!M945+ROW()/1000000,"")</f>
        <v/>
      </c>
      <c r="BG945" t="str">
        <f>IF(AND(PROCESSOS!B945&lt;&gt;"",ISNUMBER(PROCESSOS!D945),OR(FiltroResp="TODOS",FiltroResp="",PROCESSOS!H945=FiltroResp)),PROCESSOS!D945+ROW()/1000000,"")</f>
        <v/>
      </c>
    </row>
    <row r="946">
      <c r="BF946" t="str">
        <f>IF(AND(OR(PROCESSOS!O946="NO PRAZO",PROCESSOS!O946="VENCE EM BREVE"),OR(FiltroResp="TODOS",FiltroResp="",PROCESSOS!H946=FiltroResp)),PROCESSOS!M946+ROW()/1000000,"")</f>
        <v/>
      </c>
      <c r="BG946" t="str">
        <f>IF(AND(PROCESSOS!B946&lt;&gt;"",ISNUMBER(PROCESSOS!D946),OR(FiltroResp="TODOS",FiltroResp="",PROCESSOS!H946=FiltroResp)),PROCESSOS!D946+ROW()/1000000,"")</f>
        <v/>
      </c>
    </row>
    <row r="947">
      <c r="BF947" t="str">
        <f>IF(AND(OR(PROCESSOS!O947="NO PRAZO",PROCESSOS!O947="VENCE EM BREVE"),OR(FiltroResp="TODOS",FiltroResp="",PROCESSOS!H947=FiltroResp)),PROCESSOS!M947+ROW()/1000000,"")</f>
        <v/>
      </c>
      <c r="BG947" t="str">
        <f>IF(AND(PROCESSOS!B947&lt;&gt;"",ISNUMBER(PROCESSOS!D947),OR(FiltroResp="TODOS",FiltroResp="",PROCESSOS!H947=FiltroResp)),PROCESSOS!D947+ROW()/1000000,"")</f>
        <v/>
      </c>
    </row>
    <row r="948">
      <c r="BF948" t="str">
        <f>IF(AND(OR(PROCESSOS!O948="NO PRAZO",PROCESSOS!O948="VENCE EM BREVE"),OR(FiltroResp="TODOS",FiltroResp="",PROCESSOS!H948=FiltroResp)),PROCESSOS!M948+ROW()/1000000,"")</f>
        <v/>
      </c>
      <c r="BG948" t="str">
        <f>IF(AND(PROCESSOS!B948&lt;&gt;"",ISNUMBER(PROCESSOS!D948),OR(FiltroResp="TODOS",FiltroResp="",PROCESSOS!H948=FiltroResp)),PROCESSOS!D948+ROW()/1000000,"")</f>
        <v/>
      </c>
    </row>
    <row r="949">
      <c r="BF949" t="str">
        <f>IF(AND(OR(PROCESSOS!O949="NO PRAZO",PROCESSOS!O949="VENCE EM BREVE"),OR(FiltroResp="TODOS",FiltroResp="",PROCESSOS!H949=FiltroResp)),PROCESSOS!M949+ROW()/1000000,"")</f>
        <v/>
      </c>
      <c r="BG949" t="str">
        <f>IF(AND(PROCESSOS!B949&lt;&gt;"",ISNUMBER(PROCESSOS!D949),OR(FiltroResp="TODOS",FiltroResp="",PROCESSOS!H949=FiltroResp)),PROCESSOS!D949+ROW()/1000000,"")</f>
        <v/>
      </c>
    </row>
    <row r="950">
      <c r="BF950" t="str">
        <f>IF(AND(OR(PROCESSOS!O950="NO PRAZO",PROCESSOS!O950="VENCE EM BREVE"),OR(FiltroResp="TODOS",FiltroResp="",PROCESSOS!H950=FiltroResp)),PROCESSOS!M950+ROW()/1000000,"")</f>
        <v/>
      </c>
      <c r="BG950" t="str">
        <f>IF(AND(PROCESSOS!B950&lt;&gt;"",ISNUMBER(PROCESSOS!D950),OR(FiltroResp="TODOS",FiltroResp="",PROCESSOS!H950=FiltroResp)),PROCESSOS!D950+ROW()/1000000,"")</f>
        <v/>
      </c>
    </row>
    <row r="951">
      <c r="BF951" t="str">
        <f>IF(AND(OR(PROCESSOS!O951="NO PRAZO",PROCESSOS!O951="VENCE EM BREVE"),OR(FiltroResp="TODOS",FiltroResp="",PROCESSOS!H951=FiltroResp)),PROCESSOS!M951+ROW()/1000000,"")</f>
        <v/>
      </c>
      <c r="BG951" t="str">
        <f>IF(AND(PROCESSOS!B951&lt;&gt;"",ISNUMBER(PROCESSOS!D951),OR(FiltroResp="TODOS",FiltroResp="",PROCESSOS!H951=FiltroResp)),PROCESSOS!D951+ROW()/1000000,"")</f>
        <v/>
      </c>
    </row>
    <row r="952">
      <c r="BF952" t="str">
        <f>IF(AND(OR(PROCESSOS!O952="NO PRAZO",PROCESSOS!O952="VENCE EM BREVE"),OR(FiltroResp="TODOS",FiltroResp="",PROCESSOS!H952=FiltroResp)),PROCESSOS!M952+ROW()/1000000,"")</f>
        <v/>
      </c>
      <c r="BG952" t="str">
        <f>IF(AND(PROCESSOS!B952&lt;&gt;"",ISNUMBER(PROCESSOS!D952),OR(FiltroResp="TODOS",FiltroResp="",PROCESSOS!H952=FiltroResp)),PROCESSOS!D952+ROW()/1000000,"")</f>
        <v/>
      </c>
    </row>
    <row r="953">
      <c r="BF953" t="str">
        <f>IF(AND(OR(PROCESSOS!O953="NO PRAZO",PROCESSOS!O953="VENCE EM BREVE"),OR(FiltroResp="TODOS",FiltroResp="",PROCESSOS!H953=FiltroResp)),PROCESSOS!M953+ROW()/1000000,"")</f>
        <v/>
      </c>
      <c r="BG953" t="str">
        <f>IF(AND(PROCESSOS!B953&lt;&gt;"",ISNUMBER(PROCESSOS!D953),OR(FiltroResp="TODOS",FiltroResp="",PROCESSOS!H953=FiltroResp)),PROCESSOS!D953+ROW()/1000000,"")</f>
        <v/>
      </c>
    </row>
    <row r="954">
      <c r="BF954" t="str">
        <f>IF(AND(OR(PROCESSOS!O954="NO PRAZO",PROCESSOS!O954="VENCE EM BREVE"),OR(FiltroResp="TODOS",FiltroResp="",PROCESSOS!H954=FiltroResp)),PROCESSOS!M954+ROW()/1000000,"")</f>
        <v/>
      </c>
      <c r="BG954" t="str">
        <f>IF(AND(PROCESSOS!B954&lt;&gt;"",ISNUMBER(PROCESSOS!D954),OR(FiltroResp="TODOS",FiltroResp="",PROCESSOS!H954=FiltroResp)),PROCESSOS!D954+ROW()/1000000,"")</f>
        <v/>
      </c>
    </row>
    <row r="955">
      <c r="BF955" t="str">
        <f>IF(AND(OR(PROCESSOS!O955="NO PRAZO",PROCESSOS!O955="VENCE EM BREVE"),OR(FiltroResp="TODOS",FiltroResp="",PROCESSOS!H955=FiltroResp)),PROCESSOS!M955+ROW()/1000000,"")</f>
        <v/>
      </c>
      <c r="BG955" t="str">
        <f>IF(AND(PROCESSOS!B955&lt;&gt;"",ISNUMBER(PROCESSOS!D955),OR(FiltroResp="TODOS",FiltroResp="",PROCESSOS!H955=FiltroResp)),PROCESSOS!D955+ROW()/1000000,"")</f>
        <v/>
      </c>
    </row>
    <row r="956">
      <c r="BF956" t="str">
        <f>IF(AND(OR(PROCESSOS!O956="NO PRAZO",PROCESSOS!O956="VENCE EM BREVE"),OR(FiltroResp="TODOS",FiltroResp="",PROCESSOS!H956=FiltroResp)),PROCESSOS!M956+ROW()/1000000,"")</f>
        <v/>
      </c>
      <c r="BG956" t="str">
        <f>IF(AND(PROCESSOS!B956&lt;&gt;"",ISNUMBER(PROCESSOS!D956),OR(FiltroResp="TODOS",FiltroResp="",PROCESSOS!H956=FiltroResp)),PROCESSOS!D956+ROW()/1000000,"")</f>
        <v/>
      </c>
    </row>
    <row r="957">
      <c r="BF957" t="str">
        <f>IF(AND(OR(PROCESSOS!O957="NO PRAZO",PROCESSOS!O957="VENCE EM BREVE"),OR(FiltroResp="TODOS",FiltroResp="",PROCESSOS!H957=FiltroResp)),PROCESSOS!M957+ROW()/1000000,"")</f>
        <v/>
      </c>
      <c r="BG957" t="str">
        <f>IF(AND(PROCESSOS!B957&lt;&gt;"",ISNUMBER(PROCESSOS!D957),OR(FiltroResp="TODOS",FiltroResp="",PROCESSOS!H957=FiltroResp)),PROCESSOS!D957+ROW()/1000000,"")</f>
        <v/>
      </c>
    </row>
    <row r="958">
      <c r="BF958" t="str">
        <f>IF(AND(OR(PROCESSOS!O958="NO PRAZO",PROCESSOS!O958="VENCE EM BREVE"),OR(FiltroResp="TODOS",FiltroResp="",PROCESSOS!H958=FiltroResp)),PROCESSOS!M958+ROW()/1000000,"")</f>
        <v/>
      </c>
      <c r="BG958" t="str">
        <f>IF(AND(PROCESSOS!B958&lt;&gt;"",ISNUMBER(PROCESSOS!D958),OR(FiltroResp="TODOS",FiltroResp="",PROCESSOS!H958=FiltroResp)),PROCESSOS!D958+ROW()/1000000,"")</f>
        <v/>
      </c>
    </row>
    <row r="959">
      <c r="BF959" t="str">
        <f>IF(AND(OR(PROCESSOS!O959="NO PRAZO",PROCESSOS!O959="VENCE EM BREVE"),OR(FiltroResp="TODOS",FiltroResp="",PROCESSOS!H959=FiltroResp)),PROCESSOS!M959+ROW()/1000000,"")</f>
        <v/>
      </c>
      <c r="BG959" t="str">
        <f>IF(AND(PROCESSOS!B959&lt;&gt;"",ISNUMBER(PROCESSOS!D959),OR(FiltroResp="TODOS",FiltroResp="",PROCESSOS!H959=FiltroResp)),PROCESSOS!D959+ROW()/1000000,"")</f>
        <v/>
      </c>
    </row>
    <row r="960">
      <c r="BF960" t="str">
        <f>IF(AND(OR(PROCESSOS!O960="NO PRAZO",PROCESSOS!O960="VENCE EM BREVE"),OR(FiltroResp="TODOS",FiltroResp="",PROCESSOS!H960=FiltroResp)),PROCESSOS!M960+ROW()/1000000,"")</f>
        <v/>
      </c>
      <c r="BG960" t="str">
        <f>IF(AND(PROCESSOS!B960&lt;&gt;"",ISNUMBER(PROCESSOS!D960),OR(FiltroResp="TODOS",FiltroResp="",PROCESSOS!H960=FiltroResp)),PROCESSOS!D960+ROW()/1000000,"")</f>
        <v/>
      </c>
    </row>
    <row r="961">
      <c r="BF961" t="str">
        <f>IF(AND(OR(PROCESSOS!O961="NO PRAZO",PROCESSOS!O961="VENCE EM BREVE"),OR(FiltroResp="TODOS",FiltroResp="",PROCESSOS!H961=FiltroResp)),PROCESSOS!M961+ROW()/1000000,"")</f>
        <v/>
      </c>
      <c r="BG961" t="str">
        <f>IF(AND(PROCESSOS!B961&lt;&gt;"",ISNUMBER(PROCESSOS!D961),OR(FiltroResp="TODOS",FiltroResp="",PROCESSOS!H961=FiltroResp)),PROCESSOS!D961+ROW()/1000000,"")</f>
        <v/>
      </c>
    </row>
    <row r="962">
      <c r="BF962" t="str">
        <f>IF(AND(OR(PROCESSOS!O962="NO PRAZO",PROCESSOS!O962="VENCE EM BREVE"),OR(FiltroResp="TODOS",FiltroResp="",PROCESSOS!H962=FiltroResp)),PROCESSOS!M962+ROW()/1000000,"")</f>
        <v/>
      </c>
      <c r="BG962" t="str">
        <f>IF(AND(PROCESSOS!B962&lt;&gt;"",ISNUMBER(PROCESSOS!D962),OR(FiltroResp="TODOS",FiltroResp="",PROCESSOS!H962=FiltroResp)),PROCESSOS!D962+ROW()/1000000,"")</f>
        <v/>
      </c>
    </row>
    <row r="963">
      <c r="BF963" t="str">
        <f>IF(AND(OR(PROCESSOS!O963="NO PRAZO",PROCESSOS!O963="VENCE EM BREVE"),OR(FiltroResp="TODOS",FiltroResp="",PROCESSOS!H963=FiltroResp)),PROCESSOS!M963+ROW()/1000000,"")</f>
        <v/>
      </c>
      <c r="BG963" t="str">
        <f>IF(AND(PROCESSOS!B963&lt;&gt;"",ISNUMBER(PROCESSOS!D963),OR(FiltroResp="TODOS",FiltroResp="",PROCESSOS!H963=FiltroResp)),PROCESSOS!D963+ROW()/1000000,"")</f>
        <v/>
      </c>
    </row>
    <row r="964">
      <c r="BF964" t="str">
        <f>IF(AND(OR(PROCESSOS!O964="NO PRAZO",PROCESSOS!O964="VENCE EM BREVE"),OR(FiltroResp="TODOS",FiltroResp="",PROCESSOS!H964=FiltroResp)),PROCESSOS!M964+ROW()/1000000,"")</f>
        <v/>
      </c>
      <c r="BG964" t="str">
        <f>IF(AND(PROCESSOS!B964&lt;&gt;"",ISNUMBER(PROCESSOS!D964),OR(FiltroResp="TODOS",FiltroResp="",PROCESSOS!H964=FiltroResp)),PROCESSOS!D964+ROW()/1000000,"")</f>
        <v/>
      </c>
    </row>
    <row r="965">
      <c r="BF965" t="str">
        <f>IF(AND(OR(PROCESSOS!O965="NO PRAZO",PROCESSOS!O965="VENCE EM BREVE"),OR(FiltroResp="TODOS",FiltroResp="",PROCESSOS!H965=FiltroResp)),PROCESSOS!M965+ROW()/1000000,"")</f>
        <v/>
      </c>
      <c r="BG965" t="str">
        <f>IF(AND(PROCESSOS!B965&lt;&gt;"",ISNUMBER(PROCESSOS!D965),OR(FiltroResp="TODOS",FiltroResp="",PROCESSOS!H965=FiltroResp)),PROCESSOS!D965+ROW()/1000000,"")</f>
        <v/>
      </c>
    </row>
    <row r="966">
      <c r="BF966" t="str">
        <f>IF(AND(OR(PROCESSOS!O966="NO PRAZO",PROCESSOS!O966="VENCE EM BREVE"),OR(FiltroResp="TODOS",FiltroResp="",PROCESSOS!H966=FiltroResp)),PROCESSOS!M966+ROW()/1000000,"")</f>
        <v/>
      </c>
      <c r="BG966" t="str">
        <f>IF(AND(PROCESSOS!B966&lt;&gt;"",ISNUMBER(PROCESSOS!D966),OR(FiltroResp="TODOS",FiltroResp="",PROCESSOS!H966=FiltroResp)),PROCESSOS!D966+ROW()/1000000,"")</f>
        <v/>
      </c>
    </row>
    <row r="967">
      <c r="BF967" t="str">
        <f>IF(AND(OR(PROCESSOS!O967="NO PRAZO",PROCESSOS!O967="VENCE EM BREVE"),OR(FiltroResp="TODOS",FiltroResp="",PROCESSOS!H967=FiltroResp)),PROCESSOS!M967+ROW()/1000000,"")</f>
        <v/>
      </c>
      <c r="BG967" t="str">
        <f>IF(AND(PROCESSOS!B967&lt;&gt;"",ISNUMBER(PROCESSOS!D967),OR(FiltroResp="TODOS",FiltroResp="",PROCESSOS!H967=FiltroResp)),PROCESSOS!D967+ROW()/1000000,"")</f>
        <v/>
      </c>
    </row>
    <row r="968">
      <c r="BF968" t="str">
        <f>IF(AND(OR(PROCESSOS!O968="NO PRAZO",PROCESSOS!O968="VENCE EM BREVE"),OR(FiltroResp="TODOS",FiltroResp="",PROCESSOS!H968=FiltroResp)),PROCESSOS!M968+ROW()/1000000,"")</f>
        <v/>
      </c>
      <c r="BG968" t="str">
        <f>IF(AND(PROCESSOS!B968&lt;&gt;"",ISNUMBER(PROCESSOS!D968),OR(FiltroResp="TODOS",FiltroResp="",PROCESSOS!H968=FiltroResp)),PROCESSOS!D968+ROW()/1000000,"")</f>
        <v/>
      </c>
    </row>
    <row r="969">
      <c r="BF969" t="str">
        <f>IF(AND(OR(PROCESSOS!O969="NO PRAZO",PROCESSOS!O969="VENCE EM BREVE"),OR(FiltroResp="TODOS",FiltroResp="",PROCESSOS!H969=FiltroResp)),PROCESSOS!M969+ROW()/1000000,"")</f>
        <v/>
      </c>
      <c r="BG969" t="str">
        <f>IF(AND(PROCESSOS!B969&lt;&gt;"",ISNUMBER(PROCESSOS!D969),OR(FiltroResp="TODOS",FiltroResp="",PROCESSOS!H969=FiltroResp)),PROCESSOS!D969+ROW()/1000000,"")</f>
        <v/>
      </c>
    </row>
    <row r="970">
      <c r="BF970" t="str">
        <f>IF(AND(OR(PROCESSOS!O970="NO PRAZO",PROCESSOS!O970="VENCE EM BREVE"),OR(FiltroResp="TODOS",FiltroResp="",PROCESSOS!H970=FiltroResp)),PROCESSOS!M970+ROW()/1000000,"")</f>
        <v/>
      </c>
      <c r="BG970" t="str">
        <f>IF(AND(PROCESSOS!B970&lt;&gt;"",ISNUMBER(PROCESSOS!D970),OR(FiltroResp="TODOS",FiltroResp="",PROCESSOS!H970=FiltroResp)),PROCESSOS!D970+ROW()/1000000,"")</f>
        <v/>
      </c>
    </row>
    <row r="971">
      <c r="BF971" t="str">
        <f>IF(AND(OR(PROCESSOS!O971="NO PRAZO",PROCESSOS!O971="VENCE EM BREVE"),OR(FiltroResp="TODOS",FiltroResp="",PROCESSOS!H971=FiltroResp)),PROCESSOS!M971+ROW()/1000000,"")</f>
        <v/>
      </c>
      <c r="BG971" t="str">
        <f>IF(AND(PROCESSOS!B971&lt;&gt;"",ISNUMBER(PROCESSOS!D971),OR(FiltroResp="TODOS",FiltroResp="",PROCESSOS!H971=FiltroResp)),PROCESSOS!D971+ROW()/1000000,"")</f>
        <v/>
      </c>
    </row>
    <row r="972">
      <c r="BF972" t="str">
        <f>IF(AND(OR(PROCESSOS!O972="NO PRAZO",PROCESSOS!O972="VENCE EM BREVE"),OR(FiltroResp="TODOS",FiltroResp="",PROCESSOS!H972=FiltroResp)),PROCESSOS!M972+ROW()/1000000,"")</f>
        <v/>
      </c>
      <c r="BG972" t="str">
        <f>IF(AND(PROCESSOS!B972&lt;&gt;"",ISNUMBER(PROCESSOS!D972),OR(FiltroResp="TODOS",FiltroResp="",PROCESSOS!H972=FiltroResp)),PROCESSOS!D972+ROW()/1000000,"")</f>
        <v/>
      </c>
    </row>
    <row r="973">
      <c r="BF973" t="str">
        <f>IF(AND(OR(PROCESSOS!O973="NO PRAZO",PROCESSOS!O973="VENCE EM BREVE"),OR(FiltroResp="TODOS",FiltroResp="",PROCESSOS!H973=FiltroResp)),PROCESSOS!M973+ROW()/1000000,"")</f>
        <v/>
      </c>
      <c r="BG973" t="str">
        <f>IF(AND(PROCESSOS!B973&lt;&gt;"",ISNUMBER(PROCESSOS!D973),OR(FiltroResp="TODOS",FiltroResp="",PROCESSOS!H973=FiltroResp)),PROCESSOS!D973+ROW()/1000000,"")</f>
        <v/>
      </c>
    </row>
    <row r="974">
      <c r="BF974" t="str">
        <f>IF(AND(OR(PROCESSOS!O974="NO PRAZO",PROCESSOS!O974="VENCE EM BREVE"),OR(FiltroResp="TODOS",FiltroResp="",PROCESSOS!H974=FiltroResp)),PROCESSOS!M974+ROW()/1000000,"")</f>
        <v/>
      </c>
      <c r="BG974" t="str">
        <f>IF(AND(PROCESSOS!B974&lt;&gt;"",ISNUMBER(PROCESSOS!D974),OR(FiltroResp="TODOS",FiltroResp="",PROCESSOS!H974=FiltroResp)),PROCESSOS!D974+ROW()/1000000,"")</f>
        <v/>
      </c>
    </row>
    <row r="975">
      <c r="BF975" t="str">
        <f>IF(AND(OR(PROCESSOS!O975="NO PRAZO",PROCESSOS!O975="VENCE EM BREVE"),OR(FiltroResp="TODOS",FiltroResp="",PROCESSOS!H975=FiltroResp)),PROCESSOS!M975+ROW()/1000000,"")</f>
        <v/>
      </c>
      <c r="BG975" t="str">
        <f>IF(AND(PROCESSOS!B975&lt;&gt;"",ISNUMBER(PROCESSOS!D975),OR(FiltroResp="TODOS",FiltroResp="",PROCESSOS!H975=FiltroResp)),PROCESSOS!D975+ROW()/1000000,"")</f>
        <v/>
      </c>
    </row>
    <row r="976">
      <c r="BF976" t="str">
        <f>IF(AND(OR(PROCESSOS!O976="NO PRAZO",PROCESSOS!O976="VENCE EM BREVE"),OR(FiltroResp="TODOS",FiltroResp="",PROCESSOS!H976=FiltroResp)),PROCESSOS!M976+ROW()/1000000,"")</f>
        <v/>
      </c>
      <c r="BG976" t="str">
        <f>IF(AND(PROCESSOS!B976&lt;&gt;"",ISNUMBER(PROCESSOS!D976),OR(FiltroResp="TODOS",FiltroResp="",PROCESSOS!H976=FiltroResp)),PROCESSOS!D976+ROW()/1000000,"")</f>
        <v/>
      </c>
    </row>
    <row r="977">
      <c r="BF977" t="str">
        <f>IF(AND(OR(PROCESSOS!O977="NO PRAZO",PROCESSOS!O977="VENCE EM BREVE"),OR(FiltroResp="TODOS",FiltroResp="",PROCESSOS!H977=FiltroResp)),PROCESSOS!M977+ROW()/1000000,"")</f>
        <v/>
      </c>
      <c r="BG977" t="str">
        <f>IF(AND(PROCESSOS!B977&lt;&gt;"",ISNUMBER(PROCESSOS!D977),OR(FiltroResp="TODOS",FiltroResp="",PROCESSOS!H977=FiltroResp)),PROCESSOS!D977+ROW()/1000000,"")</f>
        <v/>
      </c>
    </row>
    <row r="978">
      <c r="BF978" t="str">
        <f>IF(AND(OR(PROCESSOS!O978="NO PRAZO",PROCESSOS!O978="VENCE EM BREVE"),OR(FiltroResp="TODOS",FiltroResp="",PROCESSOS!H978=FiltroResp)),PROCESSOS!M978+ROW()/1000000,"")</f>
        <v/>
      </c>
      <c r="BG978" t="str">
        <f>IF(AND(PROCESSOS!B978&lt;&gt;"",ISNUMBER(PROCESSOS!D978),OR(FiltroResp="TODOS",FiltroResp="",PROCESSOS!H978=FiltroResp)),PROCESSOS!D978+ROW()/1000000,"")</f>
        <v/>
      </c>
    </row>
    <row r="979">
      <c r="BF979" t="str">
        <f>IF(AND(OR(PROCESSOS!O979="NO PRAZO",PROCESSOS!O979="VENCE EM BREVE"),OR(FiltroResp="TODOS",FiltroResp="",PROCESSOS!H979=FiltroResp)),PROCESSOS!M979+ROW()/1000000,"")</f>
        <v/>
      </c>
      <c r="BG979" t="str">
        <f>IF(AND(PROCESSOS!B979&lt;&gt;"",ISNUMBER(PROCESSOS!D979),OR(FiltroResp="TODOS",FiltroResp="",PROCESSOS!H979=FiltroResp)),PROCESSOS!D979+ROW()/1000000,"")</f>
        <v/>
      </c>
    </row>
    <row r="980">
      <c r="BF980" t="str">
        <f>IF(AND(OR(PROCESSOS!O980="NO PRAZO",PROCESSOS!O980="VENCE EM BREVE"),OR(FiltroResp="TODOS",FiltroResp="",PROCESSOS!H980=FiltroResp)),PROCESSOS!M980+ROW()/1000000,"")</f>
        <v/>
      </c>
      <c r="BG980" t="str">
        <f>IF(AND(PROCESSOS!B980&lt;&gt;"",ISNUMBER(PROCESSOS!D980),OR(FiltroResp="TODOS",FiltroResp="",PROCESSOS!H980=FiltroResp)),PROCESSOS!D980+ROW()/1000000,"")</f>
        <v/>
      </c>
    </row>
    <row r="981">
      <c r="BF981" t="str">
        <f>IF(AND(OR(PROCESSOS!O981="NO PRAZO",PROCESSOS!O981="VENCE EM BREVE"),OR(FiltroResp="TODOS",FiltroResp="",PROCESSOS!H981=FiltroResp)),PROCESSOS!M981+ROW()/1000000,"")</f>
        <v/>
      </c>
      <c r="BG981" t="str">
        <f>IF(AND(PROCESSOS!B981&lt;&gt;"",ISNUMBER(PROCESSOS!D981),OR(FiltroResp="TODOS",FiltroResp="",PROCESSOS!H981=FiltroResp)),PROCESSOS!D981+ROW()/1000000,"")</f>
        <v/>
      </c>
    </row>
    <row r="982">
      <c r="BF982" t="str">
        <f>IF(AND(OR(PROCESSOS!O982="NO PRAZO",PROCESSOS!O982="VENCE EM BREVE"),OR(FiltroResp="TODOS",FiltroResp="",PROCESSOS!H982=FiltroResp)),PROCESSOS!M982+ROW()/1000000,"")</f>
        <v/>
      </c>
      <c r="BG982" t="str">
        <f>IF(AND(PROCESSOS!B982&lt;&gt;"",ISNUMBER(PROCESSOS!D982),OR(FiltroResp="TODOS",FiltroResp="",PROCESSOS!H982=FiltroResp)),PROCESSOS!D982+ROW()/1000000,"")</f>
        <v/>
      </c>
    </row>
    <row r="983">
      <c r="BF983" t="str">
        <f>IF(AND(OR(PROCESSOS!O983="NO PRAZO",PROCESSOS!O983="VENCE EM BREVE"),OR(FiltroResp="TODOS",FiltroResp="",PROCESSOS!H983=FiltroResp)),PROCESSOS!M983+ROW()/1000000,"")</f>
        <v/>
      </c>
      <c r="BG983" t="str">
        <f>IF(AND(PROCESSOS!B983&lt;&gt;"",ISNUMBER(PROCESSOS!D983),OR(FiltroResp="TODOS",FiltroResp="",PROCESSOS!H983=FiltroResp)),PROCESSOS!D983+ROW()/1000000,"")</f>
        <v/>
      </c>
    </row>
    <row r="984">
      <c r="BF984" t="str">
        <f>IF(AND(OR(PROCESSOS!O984="NO PRAZO",PROCESSOS!O984="VENCE EM BREVE"),OR(FiltroResp="TODOS",FiltroResp="",PROCESSOS!H984=FiltroResp)),PROCESSOS!M984+ROW()/1000000,"")</f>
        <v/>
      </c>
      <c r="BG984" t="str">
        <f>IF(AND(PROCESSOS!B984&lt;&gt;"",ISNUMBER(PROCESSOS!D984),OR(FiltroResp="TODOS",FiltroResp="",PROCESSOS!H984=FiltroResp)),PROCESSOS!D984+ROW()/1000000,"")</f>
        <v/>
      </c>
    </row>
    <row r="985">
      <c r="BF985" t="str">
        <f>IF(AND(OR(PROCESSOS!O985="NO PRAZO",PROCESSOS!O985="VENCE EM BREVE"),OR(FiltroResp="TODOS",FiltroResp="",PROCESSOS!H985=FiltroResp)),PROCESSOS!M985+ROW()/1000000,"")</f>
        <v/>
      </c>
      <c r="BG985" t="str">
        <f>IF(AND(PROCESSOS!B985&lt;&gt;"",ISNUMBER(PROCESSOS!D985),OR(FiltroResp="TODOS",FiltroResp="",PROCESSOS!H985=FiltroResp)),PROCESSOS!D985+ROW()/1000000,"")</f>
        <v/>
      </c>
    </row>
    <row r="986">
      <c r="BF986" t="str">
        <f>IF(AND(OR(PROCESSOS!O986="NO PRAZO",PROCESSOS!O986="VENCE EM BREVE"),OR(FiltroResp="TODOS",FiltroResp="",PROCESSOS!H986=FiltroResp)),PROCESSOS!M986+ROW()/1000000,"")</f>
        <v/>
      </c>
      <c r="BG986" t="str">
        <f>IF(AND(PROCESSOS!B986&lt;&gt;"",ISNUMBER(PROCESSOS!D986),OR(FiltroResp="TODOS",FiltroResp="",PROCESSOS!H986=FiltroResp)),PROCESSOS!D986+ROW()/1000000,"")</f>
        <v/>
      </c>
    </row>
    <row r="987">
      <c r="BF987" t="str">
        <f>IF(AND(OR(PROCESSOS!O987="NO PRAZO",PROCESSOS!O987="VENCE EM BREVE"),OR(FiltroResp="TODOS",FiltroResp="",PROCESSOS!H987=FiltroResp)),PROCESSOS!M987+ROW()/1000000,"")</f>
        <v/>
      </c>
      <c r="BG987" t="str">
        <f>IF(AND(PROCESSOS!B987&lt;&gt;"",ISNUMBER(PROCESSOS!D987),OR(FiltroResp="TODOS",FiltroResp="",PROCESSOS!H987=FiltroResp)),PROCESSOS!D987+ROW()/1000000,"")</f>
        <v/>
      </c>
    </row>
    <row r="988">
      <c r="BF988" t="str">
        <f>IF(AND(OR(PROCESSOS!O988="NO PRAZO",PROCESSOS!O988="VENCE EM BREVE"),OR(FiltroResp="TODOS",FiltroResp="",PROCESSOS!H988=FiltroResp)),PROCESSOS!M988+ROW()/1000000,"")</f>
        <v/>
      </c>
      <c r="BG988" t="str">
        <f>IF(AND(PROCESSOS!B988&lt;&gt;"",ISNUMBER(PROCESSOS!D988),OR(FiltroResp="TODOS",FiltroResp="",PROCESSOS!H988=FiltroResp)),PROCESSOS!D988+ROW()/1000000,"")</f>
        <v/>
      </c>
    </row>
    <row r="989">
      <c r="BF989" t="str">
        <f>IF(AND(OR(PROCESSOS!O989="NO PRAZO",PROCESSOS!O989="VENCE EM BREVE"),OR(FiltroResp="TODOS",FiltroResp="",PROCESSOS!H989=FiltroResp)),PROCESSOS!M989+ROW()/1000000,"")</f>
        <v/>
      </c>
      <c r="BG989" t="str">
        <f>IF(AND(PROCESSOS!B989&lt;&gt;"",ISNUMBER(PROCESSOS!D989),OR(FiltroResp="TODOS",FiltroResp="",PROCESSOS!H989=FiltroResp)),PROCESSOS!D989+ROW()/1000000,"")</f>
        <v/>
      </c>
    </row>
    <row r="990">
      <c r="BF990" t="str">
        <f>IF(AND(OR(PROCESSOS!O990="NO PRAZO",PROCESSOS!O990="VENCE EM BREVE"),OR(FiltroResp="TODOS",FiltroResp="",PROCESSOS!H990=FiltroResp)),PROCESSOS!M990+ROW()/1000000,"")</f>
        <v/>
      </c>
      <c r="BG990" t="str">
        <f>IF(AND(PROCESSOS!B990&lt;&gt;"",ISNUMBER(PROCESSOS!D990),OR(FiltroResp="TODOS",FiltroResp="",PROCESSOS!H990=FiltroResp)),PROCESSOS!D990+ROW()/1000000,"")</f>
        <v/>
      </c>
    </row>
    <row r="991">
      <c r="BF991" t="str">
        <f>IF(AND(OR(PROCESSOS!O991="NO PRAZO",PROCESSOS!O991="VENCE EM BREVE"),OR(FiltroResp="TODOS",FiltroResp="",PROCESSOS!H991=FiltroResp)),PROCESSOS!M991+ROW()/1000000,"")</f>
        <v/>
      </c>
      <c r="BG991" t="str">
        <f>IF(AND(PROCESSOS!B991&lt;&gt;"",ISNUMBER(PROCESSOS!D991),OR(FiltroResp="TODOS",FiltroResp="",PROCESSOS!H991=FiltroResp)),PROCESSOS!D991+ROW()/1000000,"")</f>
        <v/>
      </c>
    </row>
    <row r="992">
      <c r="BF992" t="str">
        <f>IF(AND(OR(PROCESSOS!O992="NO PRAZO",PROCESSOS!O992="VENCE EM BREVE"),OR(FiltroResp="TODOS",FiltroResp="",PROCESSOS!H992=FiltroResp)),PROCESSOS!M992+ROW()/1000000,"")</f>
        <v/>
      </c>
      <c r="BG992" t="str">
        <f>IF(AND(PROCESSOS!B992&lt;&gt;"",ISNUMBER(PROCESSOS!D992),OR(FiltroResp="TODOS",FiltroResp="",PROCESSOS!H992=FiltroResp)),PROCESSOS!D992+ROW()/1000000,"")</f>
        <v/>
      </c>
    </row>
    <row r="993">
      <c r="BF993" t="str">
        <f>IF(AND(OR(PROCESSOS!O993="NO PRAZO",PROCESSOS!O993="VENCE EM BREVE"),OR(FiltroResp="TODOS",FiltroResp="",PROCESSOS!H993=FiltroResp)),PROCESSOS!M993+ROW()/1000000,"")</f>
        <v/>
      </c>
      <c r="BG993" t="str">
        <f>IF(AND(PROCESSOS!B993&lt;&gt;"",ISNUMBER(PROCESSOS!D993),OR(FiltroResp="TODOS",FiltroResp="",PROCESSOS!H993=FiltroResp)),PROCESSOS!D993+ROW()/1000000,"")</f>
        <v/>
      </c>
    </row>
    <row r="994">
      <c r="BF994" t="str">
        <f>IF(AND(OR(PROCESSOS!O994="NO PRAZO",PROCESSOS!O994="VENCE EM BREVE"),OR(FiltroResp="TODOS",FiltroResp="",PROCESSOS!H994=FiltroResp)),PROCESSOS!M994+ROW()/1000000,"")</f>
        <v/>
      </c>
      <c r="BG994" t="str">
        <f>IF(AND(PROCESSOS!B994&lt;&gt;"",ISNUMBER(PROCESSOS!D994),OR(FiltroResp="TODOS",FiltroResp="",PROCESSOS!H994=FiltroResp)),PROCESSOS!D994+ROW()/1000000,"")</f>
        <v/>
      </c>
    </row>
    <row r="995">
      <c r="BF995" t="str">
        <f>IF(AND(OR(PROCESSOS!O995="NO PRAZO",PROCESSOS!O995="VENCE EM BREVE"),OR(FiltroResp="TODOS",FiltroResp="",PROCESSOS!H995=FiltroResp)),PROCESSOS!M995+ROW()/1000000,"")</f>
        <v/>
      </c>
      <c r="BG995" t="str">
        <f>IF(AND(PROCESSOS!B995&lt;&gt;"",ISNUMBER(PROCESSOS!D995),OR(FiltroResp="TODOS",FiltroResp="",PROCESSOS!H995=FiltroResp)),PROCESSOS!D995+ROW()/1000000,"")</f>
        <v/>
      </c>
    </row>
    <row r="996">
      <c r="BF996" t="str">
        <f>IF(AND(OR(PROCESSOS!O996="NO PRAZO",PROCESSOS!O996="VENCE EM BREVE"),OR(FiltroResp="TODOS",FiltroResp="",PROCESSOS!H996=FiltroResp)),PROCESSOS!M996+ROW()/1000000,"")</f>
        <v/>
      </c>
      <c r="BG996" t="str">
        <f>IF(AND(PROCESSOS!B996&lt;&gt;"",ISNUMBER(PROCESSOS!D996),OR(FiltroResp="TODOS",FiltroResp="",PROCESSOS!H996=FiltroResp)),PROCESSOS!D996+ROW()/1000000,"")</f>
        <v/>
      </c>
    </row>
    <row r="997">
      <c r="BF997" t="str">
        <f>IF(AND(OR(PROCESSOS!O997="NO PRAZO",PROCESSOS!O997="VENCE EM BREVE"),OR(FiltroResp="TODOS",FiltroResp="",PROCESSOS!H997=FiltroResp)),PROCESSOS!M997+ROW()/1000000,"")</f>
        <v/>
      </c>
      <c r="BG997" t="str">
        <f>IF(AND(PROCESSOS!B997&lt;&gt;"",ISNUMBER(PROCESSOS!D997),OR(FiltroResp="TODOS",FiltroResp="",PROCESSOS!H997=FiltroResp)),PROCESSOS!D997+ROW()/1000000,"")</f>
        <v/>
      </c>
    </row>
    <row r="998">
      <c r="BF998" t="str">
        <f>IF(AND(OR(PROCESSOS!O998="NO PRAZO",PROCESSOS!O998="VENCE EM BREVE"),OR(FiltroResp="TODOS",FiltroResp="",PROCESSOS!H998=FiltroResp)),PROCESSOS!M998+ROW()/1000000,"")</f>
        <v/>
      </c>
      <c r="BG998" t="str">
        <f>IF(AND(PROCESSOS!B998&lt;&gt;"",ISNUMBER(PROCESSOS!D998),OR(FiltroResp="TODOS",FiltroResp="",PROCESSOS!H998=FiltroResp)),PROCESSOS!D998+ROW()/1000000,"")</f>
        <v/>
      </c>
    </row>
    <row r="999">
      <c r="BF999" t="str">
        <f>IF(AND(OR(PROCESSOS!O999="NO PRAZO",PROCESSOS!O999="VENCE EM BREVE"),OR(FiltroResp="TODOS",FiltroResp="",PROCESSOS!H999=FiltroResp)),PROCESSOS!M999+ROW()/1000000,"")</f>
        <v/>
      </c>
      <c r="BG999" t="str">
        <f>IF(AND(PROCESSOS!B999&lt;&gt;"",ISNUMBER(PROCESSOS!D999),OR(FiltroResp="TODOS",FiltroResp="",PROCESSOS!H999=FiltroResp)),PROCESSOS!D999+ROW()/1000000,"")</f>
        <v/>
      </c>
    </row>
    <row r="1000">
      <c r="BF1000" t="str">
        <f>IF(AND(OR(PROCESSOS!O1000="NO PRAZO",PROCESSOS!O1000="VENCE EM BREVE"),OR(FiltroResp="TODOS",FiltroResp="",PROCESSOS!H1000=FiltroResp)),PROCESSOS!M1000+ROW()/1000000,"")</f>
        <v/>
      </c>
      <c r="BG1000" t="str">
        <f>IF(AND(PROCESSOS!B1000&lt;&gt;"",ISNUMBER(PROCESSOS!D1000),OR(FiltroResp="TODOS",FiltroResp="",PROCESSOS!H1000=FiltroResp)),PROCESSOS!D1000+ROW()/1000000,"")</f>
        <v/>
      </c>
    </row>
    <row r="1001">
      <c r="BF1001" t="str">
        <f>IF(AND(OR(PROCESSOS!O1001="NO PRAZO",PROCESSOS!O1001="VENCE EM BREVE"),OR(FiltroResp="TODOS",FiltroResp="",PROCESSOS!H1001=FiltroResp)),PROCESSOS!M1001+ROW()/1000000,"")</f>
        <v/>
      </c>
      <c r="BG1001" t="str">
        <f>IF(AND(PROCESSOS!B1001&lt;&gt;"",ISNUMBER(PROCESSOS!D1001),OR(FiltroResp="TODOS",FiltroResp="",PROCESSOS!H1001=FiltroResp)),PROCESSOS!D1001+ROW()/1000000,"")</f>
        <v/>
      </c>
    </row>
    <row r="1002">
      <c r="BF1002" t="str">
        <f>IF(AND(OR(PROCESSOS!O1002="NO PRAZO",PROCESSOS!O1002="VENCE EM BREVE"),OR(FiltroResp="TODOS",FiltroResp="",PROCESSOS!H1002=FiltroResp)),PROCESSOS!M1002+ROW()/1000000,"")</f>
        <v/>
      </c>
      <c r="BG1002" t="str">
        <f>IF(AND(PROCESSOS!B1002&lt;&gt;"",ISNUMBER(PROCESSOS!D1002),OR(FiltroResp="TODOS",FiltroResp="",PROCESSOS!H1002=FiltroResp)),PROCESSOS!D1002+ROW()/1000000,"")</f>
        <v/>
      </c>
    </row>
    <row r="1003">
      <c r="BF1003" t="str">
        <f>IF(AND(OR(PROCESSOS!O1003="NO PRAZO",PROCESSOS!O1003="VENCE EM BREVE"),OR(FiltroResp="TODOS",FiltroResp="",PROCESSOS!H1003=FiltroResp)),PROCESSOS!M1003+ROW()/1000000,"")</f>
        <v/>
      </c>
      <c r="BG1003" t="str">
        <f>IF(AND(PROCESSOS!B1003&lt;&gt;"",ISNUMBER(PROCESSOS!D1003),OR(FiltroResp="TODOS",FiltroResp="",PROCESSOS!H1003=FiltroResp)),PROCESSOS!D1003+ROW()/1000000,"")</f>
        <v/>
      </c>
    </row>
    <row r="1004">
      <c r="BF1004" t="str">
        <f>IF(AND(OR(PROCESSOS!O1004="NO PRAZO",PROCESSOS!O1004="VENCE EM BREVE"),OR(FiltroResp="TODOS",FiltroResp="",PROCESSOS!H1004=FiltroResp)),PROCESSOS!M1004+ROW()/1000000,"")</f>
        <v/>
      </c>
      <c r="BG1004" t="str">
        <f>IF(AND(PROCESSOS!B1004&lt;&gt;"",ISNUMBER(PROCESSOS!D1004),OR(FiltroResp="TODOS",FiltroResp="",PROCESSOS!H1004=FiltroResp)),PROCESSOS!D1004+ROW()/1000000,"")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2026-10-09T13:05:41Z</dcterms:created>
  <dcterms:modified xmlns:dcterms="http://purl.org/dc/terms/" xmlns:xsi="http://www.w3.org/2001/XMLSchema-instance" xsi:type="dcterms:W3CDTF">2026-10-09T13:05:45Z</dcterms:modified>
</cp:coreProperties>
</file>