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GRÁFICOS" sheetId="2" state="visible" r:id="rId2"/>
    <sheet xmlns:r="http://schemas.openxmlformats.org/officeDocument/2006/relationships" name="PROCESSOS" sheetId="3" state="visible" r:id="rId3"/>
    <sheet xmlns:r="http://schemas.openxmlformats.org/officeDocument/2006/relationships" name="CADASTRO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CALC" sheetId="6" state="hidden" r:id="rId6"/>
  </sheets>
  <definedNames>
    <definedName name="rNum">PROCESSOS!$A$5:$A$1004</definedName>
    <definedName name="rEmpresa">PROCESSOS!$B$5:$B$1004</definedName>
    <definedName name="rRamo">PROCESSOS!$C$5:$C$1004</definedName>
    <definedName name="rDataFisc">PROCESSOS!$D$5:$D$1004</definedName>
    <definedName name="rNotif">PROCESSOS!$E$5:$E$1004</definedName>
    <definedName name="rPrazoDias">PROCESSOS!$F$5:$F$1004</definedName>
    <definedName name="rTipo">PROCESSOS!$G$5:$G$1004</definedName>
    <definedName name="rStatus">PROCESSOS!$H$5:$H$1004</definedName>
    <definedName name="rResp">PROCESSOS!$I$5:$I$1004</definedName>
    <definedName name="rNumNotif">PROCESSOS!$J$5:$J$1004</definedName>
    <definedName name="rProcOrig">PROCESSOS!$K$5:$K$1004</definedName>
    <definedName name="rDataOrig">PROCESSOS!$L$5:$L$1004</definedName>
    <definedName name="rDefesa">PROCESSOS!$M$5:$M$1004</definedName>
    <definedName name="rDecisao">PROCESSOS!$N$5:$N$1004</definedName>
    <definedName name="rPrazo">PROCESSOS!$O$5:$O$1004</definedName>
    <definedName name="rDias">PROCESSOS!$P$5:$P$1004</definedName>
    <definedName name="rSit">PROCESSOS!$Q$5:$Q$1004</definedName>
    <definedName name="rIdade">PROCESSOS!$R$5:$R$1004</definedName>
    <definedName name="DiasAlerta">CADASTROS!$M$6</definedName>
    <definedName name="MetaMensal">CADASTROS!$M$7</definedName>
    <definedName name="critResp">CALC!$C$3</definedName>
    <definedName name="hProx">CALC!$BF$5:$BF$1004</definedName>
    <definedName name="hUlt">CALC!$BG$5:$BG$1004</definedName>
    <definedName name="FiltroResp">PAINEL!$K$7</definedName>
    <definedName name="FiltroAno">PAINEL!$Y$7</definedName>
    <definedName name="_xlnm.Print_Area" localSheetId="0">'PAINEL'!$A$1:$AW$80</definedName>
    <definedName name="_xlnm.Print_Area" localSheetId="1">'GRÁFICOS'!$A$1:$AW$90</definedName>
    <definedName name="_xlnm._FilterDatabase" localSheetId="2" hidden="1">'PROCESSOS'!$A$4:$S$1004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+0;-0;0"/>
    <numFmt numFmtId="166" formatCode="0.0%"/>
    <numFmt numFmtId="167" formatCode="▲ +0;▼ -0;● 0"/>
    <numFmt numFmtId="168" formatCode="0.0 &quot;dias&quot;"/>
    <numFmt numFmtId="169" formatCode="0&quot; d&quot;"/>
    <numFmt numFmtId="170" formatCode="0;-0;&quot;–&quot;"/>
  </numFmts>
  <fonts count="4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EADFC8"/>
      <sz val="9"/>
    </font>
    <font>
      <name val="Arial"/>
      <b val="1"/>
      <color rgb="00FFFFFF"/>
      <sz val="10"/>
    </font>
    <font>
      <name val="Arial"/>
      <color rgb="00262626"/>
      <sz val="10"/>
    </font>
    <font>
      <name val="Arial"/>
      <i val="1"/>
      <color rgb="008C96A5"/>
      <sz val="8"/>
    </font>
    <font>
      <name val="Arial"/>
      <b val="1"/>
      <color rgb="001F497D"/>
      <sz val="11"/>
    </font>
    <font>
      <name val="Arial"/>
      <i val="1"/>
      <color rgb="00595959"/>
      <sz val="9"/>
    </font>
    <font>
      <name val="Arial"/>
      <color rgb="00595959"/>
      <sz val="9"/>
    </font>
    <font>
      <name val="Arial"/>
      <b val="1"/>
      <color rgb="00FFFFFF"/>
      <sz val="9"/>
    </font>
    <font>
      <name val="Arial"/>
      <color rgb="00262626"/>
      <sz val="9"/>
    </font>
    <font>
      <name val="Arial"/>
      <color rgb="00404040"/>
      <sz val="9"/>
    </font>
    <font>
      <name val="Arial"/>
      <b val="1"/>
      <color rgb="00262626"/>
      <sz val="9"/>
    </font>
    <font>
      <name val="Arial"/>
      <b val="1"/>
      <color rgb="00FFFFFF"/>
      <sz val="22"/>
    </font>
    <font>
      <name val="Arial"/>
      <color rgb="00EADFC8"/>
      <sz val="10"/>
    </font>
    <font>
      <name val="Arial"/>
      <b val="1"/>
      <color rgb="00EADFC8"/>
      <sz val="8"/>
    </font>
    <font>
      <name val="Arial"/>
      <b val="1"/>
      <color rgb="00FFFFFF"/>
      <sz val="14"/>
    </font>
    <font>
      <name val="Arial"/>
      <color rgb="00EADFC8"/>
      <sz val="8"/>
    </font>
    <font>
      <name val="Arial"/>
      <b val="1"/>
      <color rgb="001F497D"/>
      <sz val="9"/>
    </font>
    <font>
      <name val="Arial"/>
      <b val="1"/>
      <color rgb="001F497D"/>
      <sz val="10"/>
    </font>
    <font>
      <name val="Arial"/>
      <b val="1"/>
      <color rgb="001F497D"/>
      <sz val="8"/>
    </font>
    <font>
      <name val="Arial"/>
      <b val="1"/>
      <color rgb="00595959"/>
      <sz val="8"/>
    </font>
    <font>
      <name val="Arial"/>
      <b val="1"/>
      <color rgb="001F497D"/>
      <sz val="26"/>
    </font>
    <font>
      <name val="Arial"/>
      <b val="1"/>
      <color rgb="008C6D3F"/>
      <sz val="9"/>
    </font>
    <font>
      <name val="Arial"/>
      <b val="1"/>
      <color rgb="004E7D5B"/>
      <sz val="26"/>
    </font>
    <font>
      <name val="Arial"/>
      <b val="1"/>
      <color rgb="004E7D5B"/>
      <sz val="9"/>
    </font>
    <font>
      <name val="Arial"/>
      <b val="1"/>
      <color rgb="008C6D3F"/>
      <sz val="26"/>
    </font>
    <font>
      <name val="Arial"/>
      <b val="1"/>
      <color rgb="00B08D57"/>
      <sz val="9"/>
    </font>
    <font>
      <name val="Arial"/>
      <b val="1"/>
      <color rgb="008C6D3F"/>
      <sz val="24"/>
    </font>
    <font>
      <name val="Arial"/>
      <b val="1"/>
      <color rgb="001F497D"/>
      <sz val="14"/>
    </font>
    <font>
      <name val="Arial"/>
      <color rgb="00595959"/>
      <sz val="8"/>
    </font>
    <font>
      <name val="Arial"/>
      <b val="1"/>
      <color rgb="001F497D"/>
      <sz val="24"/>
    </font>
    <font>
      <name val="Arial"/>
      <b val="1"/>
      <color rgb="004E7D5B"/>
      <sz val="24"/>
    </font>
    <font>
      <name val="Arial"/>
      <b val="1"/>
      <color rgb="00FFFFFF"/>
      <sz val="8"/>
    </font>
    <font>
      <name val="Arial"/>
      <b val="1"/>
      <color rgb="008C6D3F"/>
      <sz val="8"/>
    </font>
    <font>
      <name val="Arial"/>
      <b val="1"/>
      <color rgb="00595959"/>
      <sz val="9"/>
    </font>
    <font>
      <name val="Arial"/>
      <b val="1"/>
      <color rgb="00262626"/>
      <sz val="10"/>
    </font>
    <font>
      <name val="Arial"/>
      <color rgb="004E7D5B"/>
      <sz val="9"/>
    </font>
    <font>
      <name val="Arial"/>
      <color rgb="008C6D3F"/>
      <sz val="9"/>
    </font>
    <font>
      <name val="Arial"/>
      <color rgb="001F497D"/>
      <sz val="9"/>
    </font>
    <font>
      <name val="Arial"/>
      <b val="1"/>
      <color rgb="00FFFFFF"/>
      <sz val="11"/>
    </font>
    <font>
      <name val="Arial"/>
      <b val="1"/>
      <color rgb="004E7D5B"/>
      <sz val="14"/>
    </font>
    <font>
      <name val="Arial"/>
      <b val="1"/>
      <color rgb="008C6D3F"/>
      <sz val="14"/>
    </font>
  </fonts>
  <fills count="11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B08D57"/>
        <bgColor rgb="00B08D57"/>
      </patternFill>
    </fill>
    <fill>
      <patternFill patternType="solid">
        <fgColor rgb="00FFFFFF"/>
        <bgColor rgb="00FFFFFF"/>
      </patternFill>
    </fill>
    <fill>
      <patternFill patternType="solid">
        <fgColor rgb="00F3F6FB"/>
        <bgColor rgb="00F3F6FB"/>
      </patternFill>
    </fill>
    <fill>
      <patternFill patternType="solid">
        <fgColor rgb="008C6D3F"/>
        <bgColor rgb="008C6D3F"/>
      </patternFill>
    </fill>
    <fill>
      <patternFill patternType="solid">
        <fgColor rgb="00FAF6EE"/>
        <bgColor rgb="00FAF6EE"/>
      </patternFill>
    </fill>
    <fill>
      <patternFill patternType="solid">
        <fgColor rgb="00F4F6F9"/>
        <bgColor rgb="00F4F6F9"/>
      </patternFill>
    </fill>
    <fill>
      <patternFill patternType="solid">
        <fgColor rgb="00EADFC8"/>
        <bgColor rgb="00EADFC8"/>
      </patternFill>
    </fill>
    <fill>
      <patternFill patternType="solid">
        <fgColor rgb="004E7D5B"/>
        <bgColor rgb="004E7D5B"/>
      </patternFill>
    </fill>
  </fills>
  <borders count="36">
    <border>
      <left/>
      <right/>
      <top/>
      <bottom/>
      <diagonal/>
    </border>
    <border>
      <bottom style="medium">
        <color rgb="00B08D57"/>
      </bottom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bottom style="thin">
        <color rgb="00D9DEE7"/>
      </bottom>
    </border>
    <border>
      <right style="thin">
        <color rgb="00FFFFFF"/>
      </right>
      <bottom style="medium">
        <color rgb="00B08D57"/>
      </bottom>
    </border>
    <border>
      <right style="thin">
        <color rgb="00FFFFFF"/>
      </right>
      <bottom style="medium">
        <color rgb="001F497D"/>
      </bottom>
    </border>
    <border>
      <right style="thin">
        <color rgb="00E4E8EE"/>
      </right>
      <bottom style="thin">
        <color rgb="00E4E8EE"/>
      </bottom>
    </border>
    <border>
      <left style="thin">
        <color rgb="00D9DEE7"/>
      </left>
      <top style="thin">
        <color rgb="00D9DEE7"/>
      </top>
      <bottom style="thin">
        <color rgb="00D9DEE7"/>
      </bottom>
    </border>
    <border>
      <top style="thin">
        <color rgb="00D9DEE7"/>
      </top>
      <bottom style="thin">
        <color rgb="00D9DEE7"/>
      </bottom>
    </border>
    <border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  <border>
      <left style="thin">
        <color rgb="00B08D57"/>
      </left>
      <top style="thin">
        <color rgb="00B08D57"/>
      </top>
      <bottom style="thin">
        <color rgb="00B08D57"/>
      </bottom>
    </border>
    <border>
      <top style="thin">
        <color rgb="00B08D57"/>
      </top>
      <bottom style="thin">
        <color rgb="00B08D57"/>
      </bottom>
    </border>
    <border>
      <right style="thin">
        <color rgb="00B08D57"/>
      </right>
      <top style="thin">
        <color rgb="00B08D57"/>
      </top>
      <bottom style="thin">
        <color rgb="00B08D57"/>
      </bottom>
    </border>
    <border>
      <left style="thin">
        <color rgb="00B08D57"/>
      </left>
      <right style="thin">
        <color rgb="00B08D57"/>
      </right>
      <top style="thin">
        <color rgb="00B08D57"/>
      </top>
      <bottom style="thin">
        <color rgb="00B08D57"/>
      </bottom>
    </border>
    <border>
      <left/>
      <right/>
      <top style="thin">
        <color rgb="00B08D57"/>
      </top>
      <bottom/>
      <diagonal/>
    </border>
    <border>
      <left/>
      <right style="thin">
        <color rgb="00B08D57"/>
      </right>
      <top style="thin">
        <color rgb="00B08D57"/>
      </top>
      <bottom/>
      <diagonal/>
    </border>
    <border>
      <left/>
      <right/>
      <top style="thin">
        <color rgb="00B08D57"/>
      </top>
      <bottom style="thin">
        <color rgb="00B08D57"/>
      </bottom>
      <diagonal/>
    </border>
    <border>
      <left/>
      <right style="thin">
        <color rgb="00B08D57"/>
      </right>
      <top style="thin">
        <color rgb="00B08D57"/>
      </top>
      <bottom style="thin">
        <color rgb="00B08D57"/>
      </bottom>
      <diagonal/>
    </border>
    <border>
      <left/>
      <right/>
      <top/>
      <bottom style="medium">
        <color rgb="00B08D57"/>
      </bottom>
      <diagonal/>
    </border>
    <border>
      <left style="thin">
        <color rgb="00D9DEE7"/>
      </left>
      <top style="thin">
        <color rgb="00D9DEE7"/>
      </top>
    </border>
    <border>
      <top style="thin">
        <color rgb="00D9DEE7"/>
      </top>
    </border>
    <border>
      <right style="thin">
        <color rgb="00D9DEE7"/>
      </right>
      <top style="thin">
        <color rgb="00D9DEE7"/>
      </top>
    </border>
    <border>
      <left style="thin">
        <color rgb="00D9DEE7"/>
      </left>
    </border>
    <border/>
    <border>
      <right style="thin">
        <color rgb="00D9DEE7"/>
      </right>
    </border>
    <border>
      <left style="thin">
        <color rgb="00D9DEE7"/>
      </left>
      <bottom style="medium">
        <color rgb="00B08D57"/>
      </bottom>
    </border>
    <border>
      <right style="thin">
        <color rgb="00D9DEE7"/>
      </right>
      <bottom style="medium">
        <color rgb="00B08D57"/>
      </bottom>
    </border>
    <border>
      <left/>
      <right/>
      <top/>
      <bottom style="thin">
        <color rgb="00D9DEE7"/>
      </bottom>
      <diagonal/>
    </border>
    <border>
      <left style="thin">
        <color rgb="00D9DEE7"/>
      </left>
      <top style="thin">
        <color rgb="00D9DEE7"/>
      </top>
      <bottom style="medium">
        <color rgb="00B08D57"/>
      </bottom>
    </border>
    <border>
      <top style="thin">
        <color rgb="00D9DEE7"/>
      </top>
      <bottom style="medium">
        <color rgb="00B08D57"/>
      </bottom>
    </border>
    <border>
      <right style="thin">
        <color rgb="00D9DEE7"/>
      </right>
      <top style="thin">
        <color rgb="00D9DEE7"/>
      </top>
      <bottom style="medium">
        <color rgb="00B08D57"/>
      </bottom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0" fillId="8" borderId="0" pivotButton="0" quotePrefix="0" xfId="0"/>
    <xf numFmtId="0" fontId="0" fillId="2" borderId="0" pivotButton="0" quotePrefix="0" xfId="0"/>
    <xf numFmtId="0" fontId="13" fillId="2" borderId="0" applyAlignment="1" pivotButton="0" quotePrefix="0" xfId="0">
      <alignment horizontal="left" vertical="bottom" indent="1"/>
    </xf>
    <xf numFmtId="0" fontId="15" fillId="2" borderId="0" applyAlignment="1" pivotButton="0" quotePrefix="0" xfId="0">
      <alignment horizontal="right" vertical="bottom"/>
    </xf>
    <xf numFmtId="164" fontId="16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left" vertical="top" indent="1"/>
    </xf>
    <xf numFmtId="0" fontId="17" fillId="2" borderId="0" applyAlignment="1" pivotButton="0" quotePrefix="0" xfId="0">
      <alignment horizontal="right" vertical="top"/>
    </xf>
    <xf numFmtId="0" fontId="0" fillId="3" borderId="0" pivotButton="0" quotePrefix="0" xfId="0"/>
    <xf numFmtId="0" fontId="9" fillId="6" borderId="0" applyAlignment="1" pivotButton="0" quotePrefix="0" xfId="0">
      <alignment horizontal="center" vertical="center" wrapText="1"/>
    </xf>
    <xf numFmtId="0" fontId="18" fillId="4" borderId="10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19" fillId="7" borderId="1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" fontId="19" fillId="7" borderId="18" applyAlignment="1" pivotButton="0" quotePrefix="0" xfId="0">
      <alignment horizontal="center" vertical="center" wrapText="1"/>
    </xf>
    <xf numFmtId="0" fontId="20" fillId="9" borderId="18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bottom"/>
    </xf>
    <xf numFmtId="0" fontId="0" fillId="0" borderId="23" pivotButton="0" quotePrefix="0" xfId="0"/>
    <xf numFmtId="0" fontId="0" fillId="2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10" borderId="24" pivotButton="0" quotePrefix="0" xfId="0"/>
    <xf numFmtId="0" fontId="0" fillId="3" borderId="24" pivotButton="0" quotePrefix="0" xfId="0"/>
    <xf numFmtId="0" fontId="21" fillId="4" borderId="27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29" pivotButton="0" quotePrefix="0" xfId="0"/>
    <xf numFmtId="3" fontId="22" fillId="4" borderId="27" applyAlignment="1" pivotButton="0" quotePrefix="0" xfId="0">
      <alignment horizontal="center" vertical="center" wrapText="1"/>
    </xf>
    <xf numFmtId="3" fontId="24" fillId="4" borderId="27" applyAlignment="1" pivotButton="0" quotePrefix="0" xfId="0">
      <alignment horizontal="center" vertical="center" wrapText="1"/>
    </xf>
    <xf numFmtId="3" fontId="26" fillId="4" borderId="27" applyAlignment="1" pivotButton="0" quotePrefix="0" xfId="0">
      <alignment horizontal="center" vertical="center" wrapText="1"/>
    </xf>
    <xf numFmtId="0" fontId="0" fillId="0" borderId="27" pivotButton="0" quotePrefix="0" xfId="0"/>
    <xf numFmtId="0" fontId="5" fillId="4" borderId="3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31" pivotButton="0" quotePrefix="0" xfId="0"/>
    <xf numFmtId="166" fontId="23" fillId="4" borderId="30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indent="1"/>
    </xf>
    <xf numFmtId="166" fontId="25" fillId="4" borderId="30" applyAlignment="1" pivotButton="0" quotePrefix="0" xfId="0">
      <alignment horizontal="right" vertical="center"/>
    </xf>
    <xf numFmtId="166" fontId="27" fillId="4" borderId="30" applyAlignment="1" pivotButton="0" quotePrefix="0" xfId="0">
      <alignment horizontal="right" vertical="center"/>
    </xf>
    <xf numFmtId="167" fontId="23" fillId="4" borderId="30" applyAlignment="1" pivotButton="0" quotePrefix="0" xfId="0">
      <alignment horizontal="right" vertical="center"/>
    </xf>
    <xf numFmtId="1" fontId="22" fillId="4" borderId="27" applyAlignment="1" pivotButton="0" quotePrefix="0" xfId="0">
      <alignment horizontal="center" vertical="center" wrapText="1"/>
    </xf>
    <xf numFmtId="0" fontId="21" fillId="4" borderId="27" applyAlignment="1" pivotButton="0" quotePrefix="0" xfId="0">
      <alignment horizontal="left" vertical="center" indent="2"/>
    </xf>
    <xf numFmtId="168" fontId="28" fillId="4" borderId="27" applyAlignment="1" pivotButton="0" quotePrefix="0" xfId="0">
      <alignment horizontal="center" vertical="center" wrapText="1"/>
    </xf>
    <xf numFmtId="0" fontId="0" fillId="4" borderId="28" pivotButton="0" quotePrefix="0" xfId="0"/>
    <xf numFmtId="1" fontId="29" fillId="4" borderId="27" applyAlignment="1" pivotButton="0" quotePrefix="0" xfId="0">
      <alignment horizontal="left" vertical="bottom" indent="1"/>
    </xf>
    <xf numFmtId="168" fontId="31" fillId="4" borderId="27" applyAlignment="1" pivotButton="0" quotePrefix="0" xfId="0">
      <alignment horizontal="center" vertical="center" wrapText="1"/>
    </xf>
    <xf numFmtId="3" fontId="32" fillId="4" borderId="27" applyAlignment="1" pivotButton="0" quotePrefix="0" xfId="0">
      <alignment horizontal="center" vertical="center" wrapText="1"/>
    </xf>
    <xf numFmtId="166" fontId="29" fillId="4" borderId="27" applyAlignment="1" pivotButton="0" quotePrefix="0" xfId="0">
      <alignment horizontal="left" vertical="bottom" indent="1"/>
    </xf>
    <xf numFmtId="0" fontId="30" fillId="4" borderId="27" applyAlignment="1" pivotButton="0" quotePrefix="0" xfId="0">
      <alignment horizontal="left" vertical="top" wrapText="1" indent="1"/>
    </xf>
    <xf numFmtId="0" fontId="5" fillId="4" borderId="30" applyAlignment="1" pivotButton="0" quotePrefix="0" xfId="0">
      <alignment horizontal="left" vertical="center" indent="2"/>
    </xf>
    <xf numFmtId="0" fontId="33" fillId="2" borderId="0" applyAlignment="1" pivotButton="0" quotePrefix="0" xfId="0">
      <alignment horizontal="center" vertical="center" wrapText="1"/>
    </xf>
    <xf numFmtId="0" fontId="23" fillId="4" borderId="3" applyAlignment="1" pivotButton="0" quotePrefix="0" xfId="0">
      <alignment horizontal="center" vertical="center" wrapText="1"/>
    </xf>
    <xf numFmtId="0" fontId="0" fillId="0" borderId="32" pivotButton="0" quotePrefix="0" xfId="0"/>
    <xf numFmtId="0" fontId="10" fillId="4" borderId="3" applyAlignment="1" pivotButton="0" quotePrefix="0" xfId="0">
      <alignment horizontal="left" vertical="center" indent="1"/>
    </xf>
    <xf numFmtId="0" fontId="30" fillId="4" borderId="3" applyAlignment="1" pivotButton="0" quotePrefix="0" xfId="0">
      <alignment horizontal="left" vertical="center" indent="1"/>
    </xf>
    <xf numFmtId="164" fontId="10" fillId="4" borderId="3" applyAlignment="1" pivotButton="0" quotePrefix="0" xfId="0">
      <alignment horizontal="center" vertical="center" wrapText="1"/>
    </xf>
    <xf numFmtId="169" fontId="18" fillId="4" borderId="3" applyAlignment="1" pivotButton="0" quotePrefix="0" xfId="0">
      <alignment horizontal="center" vertical="center" wrapText="1"/>
    </xf>
    <xf numFmtId="0" fontId="34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10" fillId="5" borderId="3" applyAlignment="1" pivotButton="0" quotePrefix="0" xfId="0">
      <alignment horizontal="left" vertical="center" indent="1"/>
    </xf>
    <xf numFmtId="0" fontId="30" fillId="5" borderId="3" applyAlignment="1" pivotButton="0" quotePrefix="0" xfId="0">
      <alignment horizontal="left" vertical="center" indent="1"/>
    </xf>
    <xf numFmtId="164" fontId="10" fillId="5" borderId="3" applyAlignment="1" pivotButton="0" quotePrefix="0" xfId="0">
      <alignment horizontal="center" vertical="center" wrapText="1"/>
    </xf>
    <xf numFmtId="169" fontId="18" fillId="5" borderId="3" applyAlignment="1" pivotButton="0" quotePrefix="0" xfId="0">
      <alignment horizontal="center" vertical="center" wrapText="1"/>
    </xf>
    <xf numFmtId="0" fontId="34" fillId="5" borderId="3" applyAlignment="1" pivotButton="0" quotePrefix="0" xfId="0">
      <alignment horizontal="center" vertical="center" wrapText="1"/>
    </xf>
    <xf numFmtId="0" fontId="18" fillId="4" borderId="3" applyAlignment="1" pivotButton="0" quotePrefix="0" xfId="0">
      <alignment horizontal="left" vertical="center" indent="1"/>
    </xf>
    <xf numFmtId="1" fontId="12" fillId="4" borderId="3" applyAlignment="1" pivotButton="0" quotePrefix="0" xfId="0">
      <alignment horizontal="center" vertical="center" wrapText="1"/>
    </xf>
    <xf numFmtId="1" fontId="10" fillId="4" borderId="3" applyAlignment="1" pivotButton="0" quotePrefix="0" xfId="0">
      <alignment horizontal="center" vertical="center" wrapText="1"/>
    </xf>
    <xf numFmtId="170" fontId="23" fillId="4" borderId="3" applyAlignment="1" pivotButton="0" quotePrefix="0" xfId="0">
      <alignment horizontal="center" vertical="center" wrapText="1"/>
    </xf>
    <xf numFmtId="166" fontId="21" fillId="4" borderId="3" applyAlignment="1" pivotButton="0" quotePrefix="0" xfId="0">
      <alignment horizontal="center" vertical="center" wrapText="1"/>
    </xf>
    <xf numFmtId="0" fontId="18" fillId="5" borderId="3" applyAlignment="1" pivotButton="0" quotePrefix="0" xfId="0">
      <alignment horizontal="left" vertical="center" indent="1"/>
    </xf>
    <xf numFmtId="1" fontId="12" fillId="5" borderId="3" applyAlignment="1" pivotButton="0" quotePrefix="0" xfId="0">
      <alignment horizontal="center" vertical="center" wrapText="1"/>
    </xf>
    <xf numFmtId="1" fontId="10" fillId="5" borderId="3" applyAlignment="1" pivotButton="0" quotePrefix="0" xfId="0">
      <alignment horizontal="center" vertical="center" wrapText="1"/>
    </xf>
    <xf numFmtId="170" fontId="23" fillId="5" borderId="3" applyAlignment="1" pivotButton="0" quotePrefix="0" xfId="0">
      <alignment horizontal="center" vertical="center" wrapText="1"/>
    </xf>
    <xf numFmtId="166" fontId="21" fillId="5" borderId="3" applyAlignment="1" pivotButton="0" quotePrefix="0" xfId="0">
      <alignment horizontal="center" vertical="center" wrapText="1"/>
    </xf>
    <xf numFmtId="0" fontId="33" fillId="6" borderId="0" applyAlignment="1" pivotButton="0" quotePrefix="0" xfId="0">
      <alignment horizontal="center" vertical="center" wrapText="1"/>
    </xf>
    <xf numFmtId="1" fontId="18" fillId="7" borderId="3" applyAlignment="1" pivotButton="0" quotePrefix="0" xfId="0">
      <alignment horizontal="center" vertical="center" wrapText="1"/>
    </xf>
    <xf numFmtId="0" fontId="35" fillId="5" borderId="3" applyAlignment="1" pivotButton="0" quotePrefix="0" xfId="0">
      <alignment horizontal="left" vertical="center" indent="1"/>
    </xf>
    <xf numFmtId="0" fontId="35" fillId="4" borderId="3" applyAlignment="1" pivotButton="0" quotePrefix="0" xfId="0">
      <alignment horizontal="left" vertical="center" indent="1"/>
    </xf>
    <xf numFmtId="0" fontId="23" fillId="7" borderId="1" applyAlignment="1" pivotButton="0" quotePrefix="0" xfId="0">
      <alignment horizontal="left" vertical="center" indent="1"/>
    </xf>
    <xf numFmtId="9" fontId="23" fillId="7" borderId="1" applyAlignment="1" pivotButton="0" quotePrefix="0" xfId="0">
      <alignment horizontal="center" vertical="center" wrapText="1"/>
    </xf>
    <xf numFmtId="9" fontId="18" fillId="9" borderId="1" applyAlignment="1" pivotButton="0" quotePrefix="0" xfId="0">
      <alignment horizontal="center" vertical="center" wrapText="1"/>
    </xf>
    <xf numFmtId="0" fontId="25" fillId="4" borderId="3" applyAlignment="1" pivotButton="0" quotePrefix="0" xfId="0">
      <alignment horizontal="left" vertical="center" indent="1"/>
    </xf>
    <xf numFmtId="1" fontId="36" fillId="4" borderId="3" applyAlignment="1" pivotButton="0" quotePrefix="0" xfId="0">
      <alignment horizontal="center" vertical="center" wrapText="1"/>
    </xf>
    <xf numFmtId="166" fontId="8" fillId="4" borderId="3" applyAlignment="1" pivotButton="0" quotePrefix="0" xfId="0">
      <alignment horizontal="center" vertical="center" wrapText="1"/>
    </xf>
    <xf numFmtId="0" fontId="37" fillId="4" borderId="3" applyAlignment="1" pivotButton="0" quotePrefix="0" xfId="0">
      <alignment horizontal="left" vertical="center" indent="1"/>
    </xf>
    <xf numFmtId="1" fontId="4" fillId="4" borderId="3" applyAlignment="1" pivotButton="0" quotePrefix="0" xfId="0">
      <alignment horizontal="center" vertical="center" wrapText="1"/>
    </xf>
    <xf numFmtId="1" fontId="19" fillId="7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left" vertical="center" indent="1"/>
    </xf>
    <xf numFmtId="1" fontId="36" fillId="5" borderId="3" applyAlignment="1" pivotButton="0" quotePrefix="0" xfId="0">
      <alignment horizontal="center" vertical="center" wrapText="1"/>
    </xf>
    <xf numFmtId="166" fontId="8" fillId="5" borderId="3" applyAlignment="1" pivotButton="0" quotePrefix="0" xfId="0">
      <alignment horizontal="center" vertical="center" wrapText="1"/>
    </xf>
    <xf numFmtId="0" fontId="38" fillId="5" borderId="3" applyAlignment="1" pivotButton="0" quotePrefix="0" xfId="0">
      <alignment horizontal="left" vertical="center" indent="1"/>
    </xf>
    <xf numFmtId="1" fontId="4" fillId="5" borderId="3" applyAlignment="1" pivotButton="0" quotePrefix="0" xfId="0">
      <alignment horizontal="center" vertical="center" wrapText="1"/>
    </xf>
    <xf numFmtId="0" fontId="39" fillId="4" borderId="3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left" vertical="center" indent="1"/>
    </xf>
    <xf numFmtId="1" fontId="3" fillId="2" borderId="0" applyAlignment="1" pivotButton="0" quotePrefix="0" xfId="0">
      <alignment horizontal="center" vertical="center" wrapText="1"/>
    </xf>
    <xf numFmtId="1" fontId="19" fillId="9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left" vertical="center"/>
    </xf>
    <xf numFmtId="0" fontId="40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21" fillId="4" borderId="33" applyAlignment="1" pivotButton="0" quotePrefix="0" xfId="0">
      <alignment horizontal="left" vertical="center" indent="1"/>
    </xf>
    <xf numFmtId="0" fontId="0" fillId="0" borderId="34" pivotButton="0" quotePrefix="0" xfId="0"/>
    <xf numFmtId="1" fontId="29" fillId="4" borderId="34" applyAlignment="1" pivotButton="0" quotePrefix="0" xfId="0">
      <alignment horizontal="right" vertical="center" indent="1"/>
    </xf>
    <xf numFmtId="0" fontId="0" fillId="0" borderId="35" pivotButton="0" quotePrefix="0" xfId="0"/>
    <xf numFmtId="1" fontId="41" fillId="4" borderId="34" applyAlignment="1" pivotButton="0" quotePrefix="0" xfId="0">
      <alignment horizontal="right" vertical="center" indent="1"/>
    </xf>
    <xf numFmtId="1" fontId="42" fillId="4" borderId="34" applyAlignment="1" pivotButton="0" quotePrefix="0" xfId="0">
      <alignment horizontal="right" vertical="center" indent="1"/>
    </xf>
    <xf numFmtId="0" fontId="20" fillId="8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9" fillId="2" borderId="4" applyAlignment="1" pivotButton="0" quotePrefix="0" xfId="0">
      <alignment horizontal="center" vertical="center" wrapText="1"/>
    </xf>
    <xf numFmtId="0" fontId="9" fillId="6" borderId="5" applyAlignment="1" pivotButton="0" quotePrefix="0" xfId="0">
      <alignment horizontal="center" vertical="center" wrapText="1"/>
    </xf>
    <xf numFmtId="1" fontId="10" fillId="4" borderId="6" applyAlignment="1" pivotButton="0" quotePrefix="0" xfId="0">
      <alignment horizontal="center" vertical="center"/>
    </xf>
    <xf numFmtId="0" fontId="10" fillId="4" borderId="6" applyAlignment="1" pivotButton="0" quotePrefix="0" xfId="0">
      <alignment horizontal="left" vertical="center" indent="1"/>
    </xf>
    <xf numFmtId="164" fontId="10" fillId="4" borderId="6" applyAlignment="1" pivotButton="0" quotePrefix="0" xfId="0">
      <alignment horizontal="center" vertical="center"/>
    </xf>
    <xf numFmtId="0" fontId="10" fillId="4" borderId="6" applyAlignment="1" pivotButton="0" quotePrefix="0" xfId="0">
      <alignment horizontal="center" vertical="center"/>
    </xf>
    <xf numFmtId="49" fontId="10" fillId="4" borderId="6" applyAlignment="1" pivotButton="0" quotePrefix="0" xfId="0">
      <alignment horizontal="center" vertical="center"/>
    </xf>
    <xf numFmtId="164" fontId="11" fillId="7" borderId="6" applyAlignment="1" pivotButton="0" quotePrefix="0" xfId="0">
      <alignment horizontal="center" vertical="center"/>
    </xf>
    <xf numFmtId="165" fontId="11" fillId="7" borderId="6" applyAlignment="1" pivotButton="0" quotePrefix="0" xfId="0">
      <alignment horizontal="center" vertical="center"/>
    </xf>
    <xf numFmtId="0" fontId="11" fillId="7" borderId="6" applyAlignment="1" pivotButton="0" quotePrefix="0" xfId="0">
      <alignment horizontal="center" vertical="center"/>
    </xf>
    <xf numFmtId="1" fontId="11" fillId="7" borderId="6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6" fillId="7" borderId="3" applyAlignment="1" pivotButton="0" quotePrefix="0" xfId="0">
      <alignment horizontal="center" vertical="center" wrapText="1"/>
    </xf>
    <xf numFmtId="0" fontId="7" fillId="0" borderId="3" pivotButton="0" quotePrefix="0" xfId="0"/>
    <xf numFmtId="0" fontId="5" fillId="0" borderId="0" pivotButton="0" quotePrefix="0" xfId="0"/>
    <xf numFmtId="0" fontId="8" fillId="0" borderId="3" applyAlignment="1" pivotButton="0" quotePrefix="0" xfId="0">
      <alignment horizontal="left" vertical="center" indent="1"/>
    </xf>
    <xf numFmtId="0" fontId="7" fillId="0" borderId="0" pivotButton="0" quotePrefix="0" xfId="0"/>
    <xf numFmtId="0" fontId="6" fillId="0" borderId="1" applyAlignment="1" pivotButton="0" quotePrefix="0" xfId="0">
      <alignment vertical="bottom"/>
    </xf>
    <xf numFmtId="0" fontId="9" fillId="2" borderId="3" applyAlignment="1" pivotButton="0" quotePrefix="0" xfId="0">
      <alignment vertical="center" wrapText="1" indent="1"/>
    </xf>
    <xf numFmtId="0" fontId="18" fillId="4" borderId="3" applyAlignment="1" pivotButton="0" quotePrefix="0" xfId="0">
      <alignment vertical="center" wrapText="1" indent="1"/>
    </xf>
    <xf numFmtId="0" fontId="10" fillId="4" borderId="3" applyAlignment="1" pivotButton="0" quotePrefix="0" xfId="0">
      <alignment vertical="center" wrapText="1" indent="1"/>
    </xf>
    <xf numFmtId="0" fontId="18" fillId="5" borderId="3" applyAlignment="1" pivotButton="0" quotePrefix="0" xfId="0">
      <alignment vertical="center" wrapText="1" indent="1"/>
    </xf>
    <xf numFmtId="0" fontId="10" fillId="5" borderId="3" applyAlignment="1" pivotButton="0" quotePrefix="0" xfId="0">
      <alignment vertical="center" wrapText="1" indent="1"/>
    </xf>
    <xf numFmtId="0" fontId="10" fillId="0" borderId="0" applyAlignment="1" pivotButton="0" quotePrefix="0" xfId="0">
      <alignment vertical="center" wrapText="1" indent="1"/>
    </xf>
    <xf numFmtId="0" fontId="6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dxfs count="7">
    <dxf>
      <font>
        <name val="Arial"/>
        <b val="1"/>
        <color rgb="008C6D3F"/>
      </font>
      <fill>
        <patternFill patternType="solid">
          <fgColor rgb="00EADFC8"/>
          <bgColor rgb="00EADFC8"/>
        </patternFill>
      </fill>
    </dxf>
    <dxf>
      <font>
        <name val="Arial"/>
        <b val="1"/>
        <color rgb="004E7D5B"/>
      </font>
      <fill>
        <patternFill patternType="solid">
          <fgColor rgb="00E3EFE6"/>
          <bgColor rgb="00E3EFE6"/>
        </patternFill>
      </fill>
    </dxf>
    <dxf>
      <font>
        <name val="Arial"/>
        <b val="1"/>
        <color rgb="001F497D"/>
      </font>
      <fill>
        <patternFill patternType="solid">
          <fgColor rgb="00DCE6F1"/>
          <bgColor rgb="00DCE6F1"/>
        </patternFill>
      </fill>
    </dxf>
    <dxf>
      <font>
        <name val="Arial"/>
        <b val="1"/>
        <color rgb="00A94442"/>
      </font>
      <fill>
        <patternFill patternType="solid">
          <fgColor rgb="00F6E3E3"/>
          <bgColor rgb="00F6E3E3"/>
        </patternFill>
      </fill>
    </dxf>
    <dxf>
      <fill>
        <patternFill patternType="solid">
          <fgColor rgb="00EADFC8"/>
          <bgColor rgb="00EADFC8"/>
        </patternFill>
      </fill>
    </dxf>
    <dxf>
      <font>
        <name val="Arial"/>
        <b val="1"/>
        <color rgb="00A94442"/>
      </font>
    </dxf>
    <dxf>
      <fill>
        <patternFill patternType="solid">
          <fgColor rgb="00F3F6FB"/>
          <bgColor rgb="00F3F6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Fiscalizações por mês × Meta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'CALC'!N5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'CALC'!$M$6:$M$17</f>
            </numRef>
          </cat>
          <val>
            <numRef>
              <f>'CALC'!$N$6:$N$17</f>
            </numRef>
          </val>
        </ser>
        <gapWidth val="55"/>
        <axId val="10"/>
        <axId val="100"/>
      </barChart>
      <lineChart>
        <grouping val="standard"/>
        <ser>
          <idx val="1"/>
          <order val="1"/>
          <tx>
            <strRef>
              <f>'CALC'!S5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'CALC'!$S$6:$S$17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Situação dos prazos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E7D5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0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0"/>
            <showCatName val="0"/>
            <showSerName val="0"/>
            <showPercent val="1"/>
            <showLeaderLines val="0"/>
          </dLbls>
          <cat>
            <numRef>
              <f>'CALC'!$I$11:$I$13</f>
            </numRef>
          </cat>
          <val>
            <numRef>
              <f>'CALC'!$J$11:$J$13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Top 10 ramos com mais processos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'CALC'!AX5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'CALC'!$AW$6:$AW$15</f>
            </numRef>
          </cat>
          <val>
            <numRef>
              <f>'CALC'!$AX$6:$AX$15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Carga por responsável — Prazo D.P × Decisão D.P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'CALC'!AH5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'CALC'!$AH$6:$AH$13</f>
            </numRef>
          </val>
        </ser>
        <ser>
          <idx val="1"/>
          <order val="1"/>
          <tx>
            <strRef>
              <f>'CALC'!AI5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'CALC'!$AI$6:$AI$13</f>
            </numRef>
          </val>
        </ser>
        <gapWidth val="4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Processos por status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1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'CALC'!$I$6:$I$7</f>
            </numRef>
          </cat>
          <val>
            <numRef>
              <f>'CALC'!$J$6:$J$7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Notificação × Tipo de entrega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'CALC'!J27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'CALC'!$J$28:$J$29</f>
            </numRef>
          </val>
        </ser>
        <ser>
          <idx val="1"/>
          <order val="1"/>
          <tx>
            <strRef>
              <f>'CALC'!K27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8C6D3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8C6D3F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'CALC'!$K$28:$K$29</f>
            </numRef>
          </val>
        </ser>
        <gapWidth val="8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Composição mensal — Constatação × Esclarecimento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'CALC'!O5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'CALC'!$O$6:$O$17</f>
            </numRef>
          </val>
        </ser>
        <ser>
          <idx val="1"/>
          <order val="1"/>
          <tx>
            <strRef>
              <f>'CALC'!P5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'CALC'!$P$6:$P$17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Realizado acumulado × Meta acumulada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'CALC'!T5</f>
            </strRef>
          </tx>
          <spPr>
            <a:ln xmlns:a="http://schemas.openxmlformats.org/drawingml/2006/main" w="34925">
              <a:solidFill>
                <a:srgbClr val="1F497D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1F497D"/>
                </a:solidFill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'CALC'!$T$6:$T$17</f>
            </numRef>
          </val>
          <smooth val="0"/>
        </ser>
        <ser>
          <idx val="1"/>
          <order val="1"/>
          <tx>
            <strRef>
              <f>'CALC'!U5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'CALC'!$U$6:$U$17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F4" authorId="0" shapeId="0">
      <text>
        <t>Prazo, em dias corridos, que a empresa tem para apresentar a defesa prévia. Escolha no menu (lista editável na aba CADASTROS).</t>
      </text>
    </comment>
    <comment ref="M4" authorId="0" shapeId="0">
      <text>
        <t>Data em que a empresa apresentou a DEFESA PRÉVIA. Ao preencher, a contagem de DIAS RESTANTES congela. Deixe em branco se a defesa não foi apresentada.</t>
      </text>
    </comment>
    <comment ref="N4" authorId="0" shapeId="0">
      <text>
        <t>Data em que a DECISÃO foi proferida. Preencha ao passar o STATUS para DECISÃO D.P (a célula fica destacada enquanto estiver vazia).</t>
      </text>
    </comment>
    <comment ref="O4" authorId="0" shapeId="0">
      <text>
        <t>Calculado: DATA DA FISCALIZAÇÃO + PRAZO (DIAS).</t>
      </text>
    </comment>
    <comment ref="P4" authorId="0" shapeId="0">
      <text>
        <t>Sem DATA DA DEFESA: prazo final − hoje (conta todo dia). Com DATA DA DEFESA: prazo final − data da defesa (valor congelado; negativo = entregue com atraso).</t>
      </text>
    </comment>
    <comment ref="Q4" authorId="0" shapeId="0">
      <text>
        <t>Com defesa: DEFESA NO PRAZO ou DEFESA FORA DO PRAZO. Sem defesa: NO PRAZO, VENCE EM BREVE, VENCIDO ou SEM DEFESA. Com DATA DA DECISÃO preenchida, recebe o prefixo 'DECIDIDO –' (ex.: DECIDIDO – SEM DEFESA). Sem PRAZO (DIAS): INFORMAR PRAZO.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5688000" cy="331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9</row>
      <rowOff>0</rowOff>
    </from>
    <ext cx="5688000" cy="331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688000" cy="37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28</row>
      <rowOff>0</rowOff>
    </from>
    <ext cx="5688000" cy="37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688000" cy="3311999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25</col>
      <colOff>0</colOff>
      <row>50</row>
      <rowOff>0</rowOff>
    </from>
    <ext cx="5688000" cy="3311999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688000" cy="3311999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25</col>
      <colOff>0</colOff>
      <row>70</row>
      <rowOff>0</rowOff>
    </from>
    <ext cx="5688000" cy="3311999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GR&#193;FICOS'!A1" TargetMode="External" Id="rId1"/><Relationship Type="http://schemas.openxmlformats.org/officeDocument/2006/relationships/hyperlink" Target="#'PROCESSOS'!A1" TargetMode="External" Id="rId2"/><Relationship Type="http://schemas.openxmlformats.org/officeDocument/2006/relationships/hyperlink" Target="#'CADASTROS'!A1" TargetMode="External" Id="rId3"/><Relationship Type="http://schemas.openxmlformats.org/officeDocument/2006/relationships/hyperlink" Target="#'INSTRU&#199;&#213;ES'!A1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GR&#193;FICOS'!A1" TargetMode="External" Id="rId2"/><Relationship Type="http://schemas.openxmlformats.org/officeDocument/2006/relationships/hyperlink" Target="#'PROCESSOS'!A1" TargetMode="External" Id="rId3"/><Relationship Type="http://schemas.openxmlformats.org/officeDocument/2006/relationships/hyperlink" Target="#'CADASTROS'!A1" TargetMode="External" Id="rId4"/><Relationship Type="http://schemas.openxmlformats.org/officeDocument/2006/relationships/hyperlink" Target="#'INSTRU&#199;&#213;ES'!A1" TargetMode="External" Id="rId5"/></Relationships>
</file>

<file path=xl/worksheets/sheet1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94"/>
  <sheetViews>
    <sheetView showGridLines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2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PAINEL DE GESTÃO DE PROCESSOS</t>
        </is>
      </c>
      <c r="AE2" s="2" t="n"/>
      <c r="AF2" s="2" t="n"/>
      <c r="AG2" s="2" t="n"/>
      <c r="AH2" s="2" t="n"/>
      <c r="AI2" s="2" t="n"/>
      <c r="AJ2" s="4" t="inlineStr">
        <is>
          <t>ATUALIZADO EM</t>
        </is>
      </c>
      <c r="AW2" s="2" t="n"/>
    </row>
    <row r="3" ht="22" customHeight="1">
      <c r="A3" s="2" t="n"/>
      <c r="AE3" s="2" t="n"/>
      <c r="AF3" s="2" t="n"/>
      <c r="AG3" s="2" t="n"/>
      <c r="AH3" s="2" t="n"/>
      <c r="AI3" s="2" t="n"/>
      <c r="AJ3" s="5">
        <f>TODAY()</f>
        <v>46304.0</v>
      </c>
      <c r="AW3" s="2" t="n"/>
    </row>
    <row r="4" ht="20" customHeight="1">
      <c r="A4" s="2" t="n"/>
      <c r="B4" s="6" t="inlineStr">
        <is>
          <t>Fluxo de Notificações e Fiscalizações  •  Visão do Gerente de Processos</t>
        </is>
      </c>
      <c r="AE4" s="2" t="n"/>
      <c r="AF4" s="2" t="n"/>
      <c r="AG4" s="2" t="n"/>
      <c r="AH4" s="2" t="n"/>
      <c r="AI4" s="2" t="n"/>
      <c r="AJ4" s="7" t="str">
        <f>"Base: "&amp;COUNTA(rEmpresa)&amp;" processos cadastrados"</f>
        <v>Base: 96 processos cadastrados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4" customHeight="1">
      <c r="A7" s="1" t="n"/>
      <c r="B7" s="9" t="inlineStr">
        <is>
          <t>FILTROS</t>
        </is>
      </c>
      <c r="F7" s="10" t="inlineStr">
        <is>
          <t>Responsável:</t>
        </is>
      </c>
      <c r="G7" s="11" t="n"/>
      <c r="H7" s="11" t="n"/>
      <c r="I7" s="11" t="n"/>
      <c r="J7" s="12" t="n"/>
      <c r="K7" s="13" t="inlineStr">
        <is>
          <t>TODOS</t>
        </is>
      </c>
      <c r="L7" s="14" t="n"/>
      <c r="M7" s="14" t="n"/>
      <c r="N7" s="14" t="n"/>
      <c r="O7" s="14" t="n"/>
      <c r="P7" s="14" t="n"/>
      <c r="Q7" s="14" t="n"/>
      <c r="R7" s="14" t="n"/>
      <c r="S7" s="15" t="n"/>
      <c r="T7" s="10" t="inlineStr">
        <is>
          <t>Ano ref.:</t>
        </is>
      </c>
      <c r="U7" s="11" t="n"/>
      <c r="V7" s="11" t="n"/>
      <c r="W7" s="11" t="n"/>
      <c r="X7" s="12" t="n"/>
      <c r="Y7" s="16" t="n">
        <v>2026</v>
      </c>
      <c r="Z7" s="14" t="n"/>
      <c r="AA7" s="14" t="n"/>
      <c r="AB7" s="15" t="n"/>
      <c r="AC7" s="1" t="n"/>
      <c r="AD7" s="17" t="inlineStr">
        <is>
          <t>▸ GRÁFICOS</t>
        </is>
      </c>
      <c r="AE7" s="14" t="n"/>
      <c r="AF7" s="14" t="n"/>
      <c r="AG7" s="15" t="n"/>
      <c r="AH7" s="1" t="n"/>
      <c r="AI7" s="17" t="inlineStr">
        <is>
          <t>▸ PROCESSOS</t>
        </is>
      </c>
      <c r="AJ7" s="14" t="n"/>
      <c r="AK7" s="14" t="n"/>
      <c r="AL7" s="15" t="n"/>
      <c r="AM7" s="1" t="n"/>
      <c r="AN7" s="17" t="inlineStr">
        <is>
          <t>▸ CADASTROS</t>
        </is>
      </c>
      <c r="AO7" s="14" t="n"/>
      <c r="AP7" s="14" t="n"/>
      <c r="AQ7" s="15" t="n"/>
      <c r="AR7" s="1" t="n"/>
      <c r="AS7" s="17" t="inlineStr">
        <is>
          <t>▸ INSTRUÇÕES</t>
        </is>
      </c>
      <c r="AT7" s="14" t="n"/>
      <c r="AU7" s="14" t="n"/>
      <c r="AV7" s="15" t="n"/>
      <c r="AW7" s="1" t="n"/>
    </row>
    <row r="8" ht="10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</row>
    <row r="9" ht="20" customHeight="1">
      <c r="A9" s="1" t="n"/>
      <c r="B9" s="18" t="inlineStr">
        <is>
          <t>INDICADORES PRINCIPAIS</t>
        </is>
      </c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19" t="n"/>
      <c r="AS9" s="19" t="n"/>
      <c r="AT9" s="19" t="n"/>
      <c r="AU9" s="19" t="n"/>
      <c r="AV9" s="19" t="n"/>
      <c r="AW9" s="1" t="n"/>
    </row>
    <row r="10" ht="8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 ht="5" customHeight="1">
      <c r="A11" s="1" t="n"/>
      <c r="B11" s="20" t="n"/>
      <c r="C11" s="21" t="n"/>
      <c r="D11" s="21" t="n"/>
      <c r="E11" s="21" t="n"/>
      <c r="F11" s="21" t="n"/>
      <c r="G11" s="21" t="n"/>
      <c r="H11" s="22" t="n"/>
      <c r="I11" s="1" t="n"/>
      <c r="J11" s="20" t="n"/>
      <c r="K11" s="21" t="n"/>
      <c r="L11" s="21" t="n"/>
      <c r="M11" s="21" t="n"/>
      <c r="N11" s="21" t="n"/>
      <c r="O11" s="21" t="n"/>
      <c r="P11" s="22" t="n"/>
      <c r="Q11" s="1" t="n"/>
      <c r="R11" s="20" t="n"/>
      <c r="S11" s="21" t="n"/>
      <c r="T11" s="21" t="n"/>
      <c r="U11" s="21" t="n"/>
      <c r="V11" s="21" t="n"/>
      <c r="W11" s="21" t="n"/>
      <c r="X11" s="22" t="n"/>
      <c r="Y11" s="1" t="n"/>
      <c r="Z11" s="23" t="n"/>
      <c r="AA11" s="21" t="n"/>
      <c r="AB11" s="21" t="n"/>
      <c r="AC11" s="21" t="n"/>
      <c r="AD11" s="21" t="n"/>
      <c r="AE11" s="21" t="n"/>
      <c r="AF11" s="22" t="n"/>
      <c r="AG11" s="1" t="n"/>
      <c r="AH11" s="24" t="n"/>
      <c r="AI11" s="21" t="n"/>
      <c r="AJ11" s="21" t="n"/>
      <c r="AK11" s="21" t="n"/>
      <c r="AL11" s="21" t="n"/>
      <c r="AM11" s="21" t="n"/>
      <c r="AN11" s="22" t="n"/>
      <c r="AO11" s="1" t="n"/>
      <c r="AP11" s="20" t="n"/>
      <c r="AQ11" s="21" t="n"/>
      <c r="AR11" s="21" t="n"/>
      <c r="AS11" s="21" t="n"/>
      <c r="AT11" s="21" t="n"/>
      <c r="AU11" s="21" t="n"/>
      <c r="AV11" s="22" t="n"/>
      <c r="AW11" s="1" t="n"/>
    </row>
    <row r="12" ht="20" customHeight="1">
      <c r="A12" s="1" t="n"/>
      <c r="B12" s="25" t="inlineStr">
        <is>
          <t>TOTAL DE PROCESSOS</t>
        </is>
      </c>
      <c r="C12" s="26" t="n"/>
      <c r="D12" s="26" t="n"/>
      <c r="E12" s="26" t="n"/>
      <c r="F12" s="26" t="n"/>
      <c r="G12" s="26" t="n"/>
      <c r="H12" s="27" t="n"/>
      <c r="I12" s="1" t="n"/>
      <c r="J12" s="25" t="inlineStr">
        <is>
          <t>EM PRAZO D.P</t>
        </is>
      </c>
      <c r="K12" s="26" t="n"/>
      <c r="L12" s="26" t="n"/>
      <c r="M12" s="26" t="n"/>
      <c r="N12" s="26" t="n"/>
      <c r="O12" s="26" t="n"/>
      <c r="P12" s="27" t="n"/>
      <c r="Q12" s="1" t="n"/>
      <c r="R12" s="25" t="inlineStr">
        <is>
          <t>EM DECISÃO D.P</t>
        </is>
      </c>
      <c r="S12" s="26" t="n"/>
      <c r="T12" s="26" t="n"/>
      <c r="U12" s="26" t="n"/>
      <c r="V12" s="26" t="n"/>
      <c r="W12" s="26" t="n"/>
      <c r="X12" s="27" t="n"/>
      <c r="Y12" s="1" t="n"/>
      <c r="Z12" s="25" t="inlineStr">
        <is>
          <t>DENTRO DO PRAZO</t>
        </is>
      </c>
      <c r="AA12" s="26" t="n"/>
      <c r="AB12" s="26" t="n"/>
      <c r="AC12" s="26" t="n"/>
      <c r="AD12" s="26" t="n"/>
      <c r="AE12" s="26" t="n"/>
      <c r="AF12" s="27" t="n"/>
      <c r="AG12" s="1" t="n"/>
      <c r="AH12" s="25" t="str">
        <f>"VENCEM EM ATÉ "&amp;DiasAlerta&amp;" DIAS"</f>
        <v>VENCEM EM ATÉ 5 DIAS</v>
      </c>
      <c r="AI12" s="26" t="n"/>
      <c r="AJ12" s="26" t="n"/>
      <c r="AK12" s="26" t="n"/>
      <c r="AL12" s="26" t="n"/>
      <c r="AM12" s="26" t="n"/>
      <c r="AN12" s="27" t="n"/>
      <c r="AO12" s="1" t="n"/>
      <c r="AP12" s="25" t="inlineStr">
        <is>
          <t>FISCALIZAÇÕES NO MÊS</t>
        </is>
      </c>
      <c r="AQ12" s="26" t="n"/>
      <c r="AR12" s="26" t="n"/>
      <c r="AS12" s="26" t="n"/>
      <c r="AT12" s="26" t="n"/>
      <c r="AU12" s="26" t="n"/>
      <c r="AV12" s="27" t="n"/>
      <c r="AW12" s="1" t="n"/>
    </row>
    <row r="13" ht="22" customHeight="1">
      <c r="A13" s="1" t="n"/>
      <c r="B13" s="28">
        <f>COUNTIFS(rEmpresa,"&lt;&gt;",rResp,critResp)</f>
        <v>96</v>
      </c>
      <c r="C13" s="26" t="n"/>
      <c r="D13" s="26" t="n"/>
      <c r="E13" s="26" t="n"/>
      <c r="F13" s="26" t="n"/>
      <c r="G13" s="26" t="n"/>
      <c r="H13" s="27" t="n"/>
      <c r="I13" s="1" t="n"/>
      <c r="J13" s="28">
        <f>COUNTIFS(rEmpresa,"&lt;&gt;",rResp,critResp,rStatus,"PRAZO D.P")</f>
        <v>33</v>
      </c>
      <c r="K13" s="26" t="n"/>
      <c r="L13" s="26" t="n"/>
      <c r="M13" s="26" t="n"/>
      <c r="N13" s="26" t="n"/>
      <c r="O13" s="26" t="n"/>
      <c r="P13" s="27" t="n"/>
      <c r="Q13" s="1" t="n"/>
      <c r="R13" s="28">
        <f>COUNTIFS(rEmpresa,"&lt;&gt;",rResp,critResp,rStatus,"DECISÃO D.P")</f>
        <v>63</v>
      </c>
      <c r="S13" s="26" t="n"/>
      <c r="T13" s="26" t="n"/>
      <c r="U13" s="26" t="n"/>
      <c r="V13" s="26" t="n"/>
      <c r="W13" s="26" t="n"/>
      <c r="X13" s="27" t="n"/>
      <c r="Y13" s="1" t="n"/>
      <c r="Z13" s="29">
        <f>COUNTIFS(rEmpresa,"&lt;&gt;",rResp,critResp,rSit,"NO PRAZO")</f>
        <v>13</v>
      </c>
      <c r="AA13" s="26" t="n"/>
      <c r="AB13" s="26" t="n"/>
      <c r="AC13" s="26" t="n"/>
      <c r="AD13" s="26" t="n"/>
      <c r="AE13" s="26" t="n"/>
      <c r="AF13" s="27" t="n"/>
      <c r="AG13" s="1" t="n"/>
      <c r="AH13" s="30">
        <f>COUNTIFS(rEmpresa,"&lt;&gt;",rResp,critResp,rSit,"VENCE EM BREVE")</f>
        <v>3</v>
      </c>
      <c r="AI13" s="26" t="n"/>
      <c r="AJ13" s="26" t="n"/>
      <c r="AK13" s="26" t="n"/>
      <c r="AL13" s="26" t="n"/>
      <c r="AM13" s="26" t="n"/>
      <c r="AN13" s="27" t="n"/>
      <c r="AO13" s="1" t="n"/>
      <c r="AP13" s="28">
        <f>COUNTIFS(rEmpresa,"&lt;&gt;",rResp,critResp,rDataFisc,"&gt;="&amp;DATE(YEAR(TODAY()),MONTH(TODAY()),1),rDataFisc,"&lt;"&amp;DATE(YEAR(TODAY()),MONTH(TODAY())+1,1))</f>
        <v>14</v>
      </c>
      <c r="AQ13" s="26" t="n"/>
      <c r="AR13" s="26" t="n"/>
      <c r="AS13" s="26" t="n"/>
      <c r="AT13" s="26" t="n"/>
      <c r="AU13" s="26" t="n"/>
      <c r="AV13" s="27" t="n"/>
      <c r="AW13" s="1" t="n"/>
    </row>
    <row r="14" ht="22" customHeight="1">
      <c r="A14" s="1" t="n"/>
      <c r="B14" s="31" t="n"/>
      <c r="C14" s="26" t="n"/>
      <c r="D14" s="26" t="n"/>
      <c r="E14" s="26" t="n"/>
      <c r="F14" s="26" t="n"/>
      <c r="G14" s="26" t="n"/>
      <c r="H14" s="27" t="n"/>
      <c r="I14" s="1" t="n"/>
      <c r="J14" s="31" t="n"/>
      <c r="K14" s="26" t="n"/>
      <c r="L14" s="26" t="n"/>
      <c r="M14" s="26" t="n"/>
      <c r="N14" s="26" t="n"/>
      <c r="O14" s="26" t="n"/>
      <c r="P14" s="27" t="n"/>
      <c r="Q14" s="1" t="n"/>
      <c r="R14" s="31" t="n"/>
      <c r="S14" s="26" t="n"/>
      <c r="T14" s="26" t="n"/>
      <c r="U14" s="26" t="n"/>
      <c r="V14" s="26" t="n"/>
      <c r="W14" s="26" t="n"/>
      <c r="X14" s="27" t="n"/>
      <c r="Y14" s="1" t="n"/>
      <c r="Z14" s="31" t="n"/>
      <c r="AA14" s="26" t="n"/>
      <c r="AB14" s="26" t="n"/>
      <c r="AC14" s="26" t="n"/>
      <c r="AD14" s="26" t="n"/>
      <c r="AE14" s="26" t="n"/>
      <c r="AF14" s="27" t="n"/>
      <c r="AG14" s="1" t="n"/>
      <c r="AH14" s="31" t="n"/>
      <c r="AI14" s="26" t="n"/>
      <c r="AJ14" s="26" t="n"/>
      <c r="AK14" s="26" t="n"/>
      <c r="AL14" s="26" t="n"/>
      <c r="AM14" s="26" t="n"/>
      <c r="AN14" s="27" t="n"/>
      <c r="AO14" s="1" t="n"/>
      <c r="AP14" s="31" t="n"/>
      <c r="AQ14" s="26" t="n"/>
      <c r="AR14" s="26" t="n"/>
      <c r="AS14" s="26" t="n"/>
      <c r="AT14" s="26" t="n"/>
      <c r="AU14" s="26" t="n"/>
      <c r="AV14" s="27" t="n"/>
      <c r="AW14" s="1" t="n"/>
    </row>
    <row r="15" ht="18" customHeight="1">
      <c r="A15" s="1" t="n"/>
      <c r="B15" s="32" t="inlineStr">
        <is>
          <t>registros na base (filtro aplicado)</t>
        </is>
      </c>
      <c r="C15" s="33" t="n"/>
      <c r="D15" s="33" t="n"/>
      <c r="E15" s="33" t="n"/>
      <c r="F15" s="33" t="n"/>
      <c r="G15" s="33" t="n"/>
      <c r="H15" s="34" t="n"/>
      <c r="I15" s="1" t="n"/>
      <c r="J15" s="35">
        <f>IFERROR(J13/B13,0)</f>
        <v>0.34375</v>
      </c>
      <c r="K15" s="33" t="n"/>
      <c r="L15" s="33" t="n"/>
      <c r="M15" s="36" t="inlineStr">
        <is>
          <t>do total</t>
        </is>
      </c>
      <c r="N15" s="33" t="n"/>
      <c r="O15" s="33" t="n"/>
      <c r="P15" s="34" t="n"/>
      <c r="Q15" s="1" t="n"/>
      <c r="R15" s="35">
        <f>IFERROR(R13/B13,0)</f>
        <v>0.65625</v>
      </c>
      <c r="S15" s="33" t="n"/>
      <c r="T15" s="33" t="n"/>
      <c r="U15" s="36" t="inlineStr">
        <is>
          <t>do total</t>
        </is>
      </c>
      <c r="V15" s="33" t="n"/>
      <c r="W15" s="33" t="n"/>
      <c r="X15" s="34" t="n"/>
      <c r="Y15" s="1" t="n"/>
      <c r="Z15" s="37">
        <f>IFERROR(Z13/J13,0)</f>
        <v>0.393939393939394</v>
      </c>
      <c r="AA15" s="33" t="n"/>
      <c r="AB15" s="33" t="n"/>
      <c r="AC15" s="36" t="inlineStr">
        <is>
          <t>dos em prazo D.P</t>
        </is>
      </c>
      <c r="AD15" s="33" t="n"/>
      <c r="AE15" s="33" t="n"/>
      <c r="AF15" s="34" t="n"/>
      <c r="AG15" s="1" t="n"/>
      <c r="AH15" s="38">
        <f>IFERROR(AH13/J13,0)</f>
        <v>0.0909090909090909</v>
      </c>
      <c r="AI15" s="33" t="n"/>
      <c r="AJ15" s="33" t="n"/>
      <c r="AK15" s="36" t="inlineStr">
        <is>
          <t>dos em prazo D.P</t>
        </is>
      </c>
      <c r="AL15" s="33" t="n"/>
      <c r="AM15" s="33" t="n"/>
      <c r="AN15" s="34" t="n"/>
      <c r="AO15" s="1" t="n"/>
      <c r="AP15" s="39">
        <f>AP13-COUNTIFS(rEmpresa,"&lt;&gt;",rResp,critResp,rDataFisc,"&gt;="&amp;DATE(YEAR(TODAY()),MONTH(TODAY())-1,1),rDataFisc,"&lt;"&amp;DATE(YEAR(TODAY()),MONTH(TODAY()),1))</f>
        <v>-2</v>
      </c>
      <c r="AQ15" s="33" t="n"/>
      <c r="AR15" s="33" t="n"/>
      <c r="AS15" s="36" t="inlineStr">
        <is>
          <t>vs mês anterior</t>
        </is>
      </c>
      <c r="AT15" s="33" t="n"/>
      <c r="AU15" s="33" t="n"/>
      <c r="AV15" s="34" t="n"/>
      <c r="AW15" s="1" t="n"/>
    </row>
    <row r="16" ht="10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 ht="5" customHeight="1">
      <c r="A17" s="1" t="n"/>
      <c r="B17" s="20" t="n"/>
      <c r="C17" s="21" t="n"/>
      <c r="D17" s="21" t="n"/>
      <c r="E17" s="21" t="n"/>
      <c r="F17" s="21" t="n"/>
      <c r="G17" s="21" t="n"/>
      <c r="H17" s="22" t="n"/>
      <c r="I17" s="1" t="n"/>
      <c r="J17" s="20" t="n"/>
      <c r="K17" s="21" t="n"/>
      <c r="L17" s="21" t="n"/>
      <c r="M17" s="21" t="n"/>
      <c r="N17" s="21" t="n"/>
      <c r="O17" s="21" t="n"/>
      <c r="P17" s="22" t="n"/>
      <c r="Q17" s="1" t="n"/>
      <c r="R17" s="20" t="n"/>
      <c r="S17" s="21" t="n"/>
      <c r="T17" s="21" t="n"/>
      <c r="U17" s="21" t="n"/>
      <c r="V17" s="21" t="n"/>
      <c r="W17" s="21" t="n"/>
      <c r="X17" s="22" t="n"/>
      <c r="Y17" s="1" t="n"/>
      <c r="Z17" s="20" t="n"/>
      <c r="AA17" s="21" t="n"/>
      <c r="AB17" s="21" t="n"/>
      <c r="AC17" s="21" t="n"/>
      <c r="AD17" s="21" t="n"/>
      <c r="AE17" s="21" t="n"/>
      <c r="AF17" s="22" t="n"/>
      <c r="AG17" s="1" t="n"/>
      <c r="AH17" s="20" t="n"/>
      <c r="AI17" s="21" t="n"/>
      <c r="AJ17" s="21" t="n"/>
      <c r="AK17" s="21" t="n"/>
      <c r="AL17" s="21" t="n"/>
      <c r="AM17" s="21" t="n"/>
      <c r="AN17" s="22" t="n"/>
      <c r="AO17" s="1" t="n"/>
      <c r="AP17" s="20" t="n"/>
      <c r="AQ17" s="21" t="n"/>
      <c r="AR17" s="21" t="n"/>
      <c r="AS17" s="21" t="n"/>
      <c r="AT17" s="21" t="n"/>
      <c r="AU17" s="21" t="n"/>
      <c r="AV17" s="22" t="n"/>
      <c r="AW17" s="1" t="n"/>
    </row>
    <row r="18" ht="20" customHeight="1">
      <c r="A18" s="1" t="n"/>
      <c r="B18" s="25" t="inlineStr">
        <is>
          <t>NOTIF. DE CONSTATAÇÃO</t>
        </is>
      </c>
      <c r="C18" s="26" t="n"/>
      <c r="D18" s="26" t="n"/>
      <c r="E18" s="26" t="n"/>
      <c r="F18" s="26" t="n"/>
      <c r="G18" s="26" t="n"/>
      <c r="H18" s="27" t="n"/>
      <c r="I18" s="1" t="n"/>
      <c r="J18" s="25" t="inlineStr">
        <is>
          <t>NOTIF. DE ESCLARECIMENTO</t>
        </is>
      </c>
      <c r="K18" s="26" t="n"/>
      <c r="L18" s="26" t="n"/>
      <c r="M18" s="26" t="n"/>
      <c r="N18" s="26" t="n"/>
      <c r="O18" s="26" t="n"/>
      <c r="P18" s="27" t="n"/>
      <c r="Q18" s="1" t="n"/>
      <c r="R18" s="25" t="inlineStr">
        <is>
          <t>NOTIFICAÇÕES PRESENCIAIS</t>
        </is>
      </c>
      <c r="S18" s="26" t="n"/>
      <c r="T18" s="26" t="n"/>
      <c r="U18" s="26" t="n"/>
      <c r="V18" s="26" t="n"/>
      <c r="W18" s="26" t="n"/>
      <c r="X18" s="27" t="n"/>
      <c r="Y18" s="1" t="n"/>
      <c r="Z18" s="25" t="inlineStr">
        <is>
          <t>NOTIFICAÇÕES ELETRÔNICAS</t>
        </is>
      </c>
      <c r="AA18" s="26" t="n"/>
      <c r="AB18" s="26" t="n"/>
      <c r="AC18" s="26" t="n"/>
      <c r="AD18" s="26" t="n"/>
      <c r="AE18" s="26" t="n"/>
      <c r="AF18" s="27" t="n"/>
      <c r="AG18" s="1" t="n"/>
      <c r="AH18" s="25" t="inlineStr">
        <is>
          <t>IDADE MÉDIA DOS PROCESSOS</t>
        </is>
      </c>
      <c r="AI18" s="26" t="n"/>
      <c r="AJ18" s="26" t="n"/>
      <c r="AK18" s="26" t="n"/>
      <c r="AL18" s="26" t="n"/>
      <c r="AM18" s="26" t="n"/>
      <c r="AN18" s="27" t="n"/>
      <c r="AO18" s="1" t="n"/>
      <c r="AP18" s="25" t="inlineStr">
        <is>
          <t>FISCALIZAÇÕES NO ANO REF.</t>
        </is>
      </c>
      <c r="AQ18" s="26" t="n"/>
      <c r="AR18" s="26" t="n"/>
      <c r="AS18" s="26" t="n"/>
      <c r="AT18" s="26" t="n"/>
      <c r="AU18" s="26" t="n"/>
      <c r="AV18" s="27" t="n"/>
      <c r="AW18" s="1" t="n"/>
    </row>
    <row r="19" ht="22" customHeight="1">
      <c r="A19" s="1" t="n"/>
      <c r="B19" s="28">
        <f>COUNTIFS(rEmpresa,"&lt;&gt;",rResp,critResp,rNotif,"NOTIFICAÇÃO DE CONSTATAÇÃO")</f>
        <v>61</v>
      </c>
      <c r="C19" s="26" t="n"/>
      <c r="D19" s="26" t="n"/>
      <c r="E19" s="26" t="n"/>
      <c r="F19" s="26" t="n"/>
      <c r="G19" s="26" t="n"/>
      <c r="H19" s="27" t="n"/>
      <c r="I19" s="1" t="n"/>
      <c r="J19" s="28">
        <f>COUNTIFS(rEmpresa,"&lt;&gt;",rResp,critResp,rNotif,"NOTIFICAÇÃO DE ESCLARECIMENTO")</f>
        <v>35</v>
      </c>
      <c r="K19" s="26" t="n"/>
      <c r="L19" s="26" t="n"/>
      <c r="M19" s="26" t="n"/>
      <c r="N19" s="26" t="n"/>
      <c r="O19" s="26" t="n"/>
      <c r="P19" s="27" t="n"/>
      <c r="Q19" s="1" t="n"/>
      <c r="R19" s="28">
        <f>COUNTIFS(rEmpresa,"&lt;&gt;",rResp,critResp,rTipo,"PRESENCIAL")</f>
        <v>60</v>
      </c>
      <c r="S19" s="26" t="n"/>
      <c r="T19" s="26" t="n"/>
      <c r="U19" s="26" t="n"/>
      <c r="V19" s="26" t="n"/>
      <c r="W19" s="26" t="n"/>
      <c r="X19" s="27" t="n"/>
      <c r="Y19" s="1" t="n"/>
      <c r="Z19" s="28">
        <f>COUNTIFS(rEmpresa,"&lt;&gt;",rResp,critResp,rTipo,"ELETRÔNICA")</f>
        <v>36</v>
      </c>
      <c r="AA19" s="26" t="n"/>
      <c r="AB19" s="26" t="n"/>
      <c r="AC19" s="26" t="n"/>
      <c r="AD19" s="26" t="n"/>
      <c r="AE19" s="26" t="n"/>
      <c r="AF19" s="27" t="n"/>
      <c r="AG19" s="1" t="n"/>
      <c r="AH19" s="40">
        <f>IFERROR(AVERAGEIFS(rIdade,rEmpresa,"&lt;&gt;",rResp,critResp),0)</f>
        <v>84.375</v>
      </c>
      <c r="AI19" s="26" t="n"/>
      <c r="AJ19" s="26" t="n"/>
      <c r="AK19" s="26" t="n"/>
      <c r="AL19" s="26" t="n"/>
      <c r="AM19" s="26" t="n"/>
      <c r="AN19" s="27" t="n"/>
      <c r="AO19" s="1" t="n"/>
      <c r="AP19" s="28">
        <f>COUNTIFS(rEmpresa,"&lt;&gt;",rResp,critResp,rDataFisc,"&gt;="&amp;DATE(FiltroAno,1,1),rDataFisc,"&lt;"&amp;DATE(FiltroAno+1,1,1))</f>
        <v>96</v>
      </c>
      <c r="AQ19" s="26" t="n"/>
      <c r="AR19" s="26" t="n"/>
      <c r="AS19" s="26" t="n"/>
      <c r="AT19" s="26" t="n"/>
      <c r="AU19" s="26" t="n"/>
      <c r="AV19" s="27" t="n"/>
      <c r="AW19" s="1" t="n"/>
    </row>
    <row r="20" ht="22" customHeight="1">
      <c r="A20" s="1" t="n"/>
      <c r="B20" s="31" t="n"/>
      <c r="C20" s="26" t="n"/>
      <c r="D20" s="26" t="n"/>
      <c r="E20" s="26" t="n"/>
      <c r="F20" s="26" t="n"/>
      <c r="G20" s="26" t="n"/>
      <c r="H20" s="27" t="n"/>
      <c r="I20" s="1" t="n"/>
      <c r="J20" s="31" t="n"/>
      <c r="K20" s="26" t="n"/>
      <c r="L20" s="26" t="n"/>
      <c r="M20" s="26" t="n"/>
      <c r="N20" s="26" t="n"/>
      <c r="O20" s="26" t="n"/>
      <c r="P20" s="27" t="n"/>
      <c r="Q20" s="1" t="n"/>
      <c r="R20" s="31" t="n"/>
      <c r="S20" s="26" t="n"/>
      <c r="T20" s="26" t="n"/>
      <c r="U20" s="26" t="n"/>
      <c r="V20" s="26" t="n"/>
      <c r="W20" s="26" t="n"/>
      <c r="X20" s="27" t="n"/>
      <c r="Y20" s="1" t="n"/>
      <c r="Z20" s="31" t="n"/>
      <c r="AA20" s="26" t="n"/>
      <c r="AB20" s="26" t="n"/>
      <c r="AC20" s="26" t="n"/>
      <c r="AD20" s="26" t="n"/>
      <c r="AE20" s="26" t="n"/>
      <c r="AF20" s="27" t="n"/>
      <c r="AG20" s="1" t="n"/>
      <c r="AH20" s="31" t="n"/>
      <c r="AI20" s="26" t="n"/>
      <c r="AJ20" s="26" t="n"/>
      <c r="AK20" s="26" t="n"/>
      <c r="AL20" s="26" t="n"/>
      <c r="AM20" s="26" t="n"/>
      <c r="AN20" s="27" t="n"/>
      <c r="AO20" s="1" t="n"/>
      <c r="AP20" s="31" t="n"/>
      <c r="AQ20" s="26" t="n"/>
      <c r="AR20" s="26" t="n"/>
      <c r="AS20" s="26" t="n"/>
      <c r="AT20" s="26" t="n"/>
      <c r="AU20" s="26" t="n"/>
      <c r="AV20" s="27" t="n"/>
      <c r="AW20" s="1" t="n"/>
    </row>
    <row r="21" ht="18" customHeight="1">
      <c r="A21" s="1" t="n"/>
      <c r="B21" s="35">
        <f>IFERROR(B19/$B$13,0)</f>
        <v>0.635416666666667</v>
      </c>
      <c r="C21" s="33" t="n"/>
      <c r="D21" s="33" t="n"/>
      <c r="E21" s="36" t="inlineStr">
        <is>
          <t>do total</t>
        </is>
      </c>
      <c r="F21" s="33" t="n"/>
      <c r="G21" s="33" t="n"/>
      <c r="H21" s="34" t="n"/>
      <c r="I21" s="1" t="n"/>
      <c r="J21" s="35">
        <f>IFERROR(J19/$B$13,0)</f>
        <v>0.364583333333333</v>
      </c>
      <c r="K21" s="33" t="n"/>
      <c r="L21" s="33" t="n"/>
      <c r="M21" s="36" t="inlineStr">
        <is>
          <t>do total</t>
        </is>
      </c>
      <c r="N21" s="33" t="n"/>
      <c r="O21" s="33" t="n"/>
      <c r="P21" s="34" t="n"/>
      <c r="Q21" s="1" t="n"/>
      <c r="R21" s="35">
        <f>IFERROR(R19/$B$13,0)</f>
        <v>0.625</v>
      </c>
      <c r="S21" s="33" t="n"/>
      <c r="T21" s="33" t="n"/>
      <c r="U21" s="36" t="inlineStr">
        <is>
          <t>do total</t>
        </is>
      </c>
      <c r="V21" s="33" t="n"/>
      <c r="W21" s="33" t="n"/>
      <c r="X21" s="34" t="n"/>
      <c r="Y21" s="1" t="n"/>
      <c r="Z21" s="35">
        <f>IFERROR(Z19/$B$13,0)</f>
        <v>0.375</v>
      </c>
      <c r="AA21" s="33" t="n"/>
      <c r="AB21" s="33" t="n"/>
      <c r="AC21" s="36" t="inlineStr">
        <is>
          <t>do total</t>
        </is>
      </c>
      <c r="AD21" s="33" t="n"/>
      <c r="AE21" s="33" t="n"/>
      <c r="AF21" s="34" t="n"/>
      <c r="AG21" s="1" t="n"/>
      <c r="AH21" s="32" t="inlineStr">
        <is>
          <t>dias desde a fiscalização</t>
        </is>
      </c>
      <c r="AI21" s="33" t="n"/>
      <c r="AJ21" s="33" t="n"/>
      <c r="AK21" s="33" t="n"/>
      <c r="AL21" s="33" t="n"/>
      <c r="AM21" s="33" t="n"/>
      <c r="AN21" s="34" t="n"/>
      <c r="AO21" s="1" t="n"/>
      <c r="AP21" s="35">
        <f>IFERROR(AP19/(MetaMensal*12),0)</f>
        <v>0.666666666666667</v>
      </c>
      <c r="AQ21" s="33" t="n"/>
      <c r="AR21" s="33" t="n"/>
      <c r="AS21" s="36" t="inlineStr">
        <is>
          <t>da meta anual</t>
        </is>
      </c>
      <c r="AT21" s="33" t="n"/>
      <c r="AU21" s="33" t="n"/>
      <c r="AV21" s="34" t="n"/>
      <c r="AW21" s="1" t="n"/>
    </row>
    <row r="22" ht="12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 ht="20" customHeight="1">
      <c r="A23" s="1" t="n"/>
      <c r="B23" s="18" t="inlineStr">
        <is>
          <t>FLUXO PROCESSUAL — DEFESAS E DECISÕES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19" t="n"/>
      <c r="AO23" s="19" t="n"/>
      <c r="AP23" s="19" t="n"/>
      <c r="AQ23" s="19" t="n"/>
      <c r="AR23" s="19" t="n"/>
      <c r="AS23" s="19" t="n"/>
      <c r="AT23" s="19" t="n"/>
      <c r="AU23" s="19" t="n"/>
      <c r="AV23" s="19" t="n"/>
      <c r="AW23" s="1" t="n"/>
    </row>
    <row r="24" ht="8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 ht="5" customHeight="1">
      <c r="A25" s="1" t="n"/>
      <c r="B25" s="24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2" t="n"/>
      <c r="Q25" s="1" t="n"/>
      <c r="R25" s="20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2" t="n"/>
      <c r="AG25" s="1" t="n"/>
      <c r="AH25" s="23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2" t="n"/>
      <c r="AW25" s="1" t="n"/>
    </row>
    <row r="26" ht="20" customHeight="1">
      <c r="A26" s="1" t="n"/>
      <c r="B26" s="41" t="inlineStr">
        <is>
          <t>TEMPO MÉDIO PARA ENTREGA DA DEFESA</t>
        </is>
      </c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7" t="n"/>
      <c r="Q26" s="1" t="n"/>
      <c r="R26" s="41" t="inlineStr">
        <is>
          <t>TEMPO MÉDIO ATÉ A DECISÃO</t>
        </is>
      </c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7" t="n"/>
      <c r="AG26" s="1" t="n"/>
      <c r="AH26" s="41" t="inlineStr">
        <is>
          <t>PROCESSOS COM DECISÃO REALIZADA</t>
        </is>
      </c>
      <c r="AI26" s="26" t="n"/>
      <c r="AJ26" s="26" t="n"/>
      <c r="AK26" s="26" t="n"/>
      <c r="AL26" s="26" t="n"/>
      <c r="AM26" s="26" t="n"/>
      <c r="AN26" s="26" t="n"/>
      <c r="AO26" s="26" t="n"/>
      <c r="AP26" s="26" t="n"/>
      <c r="AQ26" s="26" t="n"/>
      <c r="AR26" s="26" t="n"/>
      <c r="AS26" s="26" t="n"/>
      <c r="AT26" s="26" t="n"/>
      <c r="AU26" s="26" t="n"/>
      <c r="AV26" s="27" t="n"/>
      <c r="AW26" s="1" t="n"/>
    </row>
    <row r="27" ht="22" customHeight="1">
      <c r="A27" s="1" t="n"/>
      <c r="B27" s="42">
        <f>IF(K27=0,"–",SUMPRODUCT(ISNUMBER(rDefesa)*(rEmpresa&lt;&gt;"")*ISNUMBER(rDataFisc)*(((FiltroResp="TODOS")+(FiltroResp="")+(rResp=FiltroResp))&gt;0)*(rDefesa-rDataFisc))/K27)</f>
        <v>9.92307692307692</v>
      </c>
      <c r="C27" s="26" t="n"/>
      <c r="D27" s="26" t="n"/>
      <c r="E27" s="26" t="n"/>
      <c r="F27" s="26" t="n"/>
      <c r="G27" s="26" t="n"/>
      <c r="H27" s="26" t="n"/>
      <c r="I27" s="26" t="n"/>
      <c r="J27" s="43" t="n"/>
      <c r="K27" s="44">
        <f>SUMPRODUCT(ISNUMBER(rDefesa)*(rEmpresa&lt;&gt;"")*ISNUMBER(rDataFisc)*(((FiltroResp="TODOS")+(FiltroResp="")+(rResp=FiltroResp))&gt;0))</f>
        <v>52</v>
      </c>
      <c r="L27" s="26" t="n"/>
      <c r="M27" s="26" t="n"/>
      <c r="N27" s="26" t="n"/>
      <c r="O27" s="26" t="n"/>
      <c r="P27" s="27" t="n"/>
      <c r="Q27" s="1" t="n"/>
      <c r="R27" s="45">
        <f>IF(AA27=0,"–",SUMPRODUCT(ISNUMBER(rDecisao)*(rEmpresa&lt;&gt;"")*ISNUMBER(rDataFisc)*(((FiltroResp="TODOS")+(FiltroResp="")+(rResp=FiltroResp))&gt;0)*(rDecisao-rDataFisc))/AA27)</f>
        <v>28.1929824561404</v>
      </c>
      <c r="S27" s="26" t="n"/>
      <c r="T27" s="26" t="n"/>
      <c r="U27" s="26" t="n"/>
      <c r="V27" s="26" t="n"/>
      <c r="W27" s="26" t="n"/>
      <c r="X27" s="26" t="n"/>
      <c r="Y27" s="26" t="n"/>
      <c r="Z27" s="43" t="n"/>
      <c r="AA27" s="44">
        <f>SUMPRODUCT(ISNUMBER(rDecisao)*(rEmpresa&lt;&gt;"")*ISNUMBER(rDataFisc)*(((FiltroResp="TODOS")+(FiltroResp="")+(rResp=FiltroResp))&gt;0))</f>
        <v>57</v>
      </c>
      <c r="AB27" s="26" t="n"/>
      <c r="AC27" s="26" t="n"/>
      <c r="AD27" s="26" t="n"/>
      <c r="AE27" s="26" t="n"/>
      <c r="AF27" s="27" t="n"/>
      <c r="AG27" s="1" t="n"/>
      <c r="AH27" s="46">
        <f>COUNTIFS(rEmpresa,"&lt;&gt;",rResp,critResp,rDecisao,"&gt;0")</f>
        <v>57</v>
      </c>
      <c r="AI27" s="26" t="n"/>
      <c r="AJ27" s="26" t="n"/>
      <c r="AK27" s="26" t="n"/>
      <c r="AL27" s="26" t="n"/>
      <c r="AM27" s="26" t="n"/>
      <c r="AN27" s="26" t="n"/>
      <c r="AO27" s="26" t="n"/>
      <c r="AP27" s="43" t="n"/>
      <c r="AQ27" s="47">
        <f>IFERROR(AH27/$B$13,0)</f>
        <v>0.59375</v>
      </c>
      <c r="AR27" s="26" t="n"/>
      <c r="AS27" s="26" t="n"/>
      <c r="AT27" s="26" t="n"/>
      <c r="AU27" s="26" t="n"/>
      <c r="AV27" s="27" t="n"/>
      <c r="AW27" s="1" t="n"/>
    </row>
    <row r="28" ht="22" customHeight="1">
      <c r="A28" s="1" t="n"/>
      <c r="B28" s="31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48" t="inlineStr">
        <is>
          <t>defesas registradas</t>
        </is>
      </c>
      <c r="L28" s="26" t="n"/>
      <c r="M28" s="26" t="n"/>
      <c r="N28" s="26" t="n"/>
      <c r="O28" s="26" t="n"/>
      <c r="P28" s="27" t="n"/>
      <c r="Q28" s="1" t="n"/>
      <c r="R28" s="31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48" t="inlineStr">
        <is>
          <t>decisões registradas</t>
        </is>
      </c>
      <c r="AB28" s="26" t="n"/>
      <c r="AC28" s="26" t="n"/>
      <c r="AD28" s="26" t="n"/>
      <c r="AE28" s="26" t="n"/>
      <c r="AF28" s="27" t="n"/>
      <c r="AG28" s="1" t="n"/>
      <c r="AH28" s="31" t="n"/>
      <c r="AI28" s="26" t="n"/>
      <c r="AJ28" s="26" t="n"/>
      <c r="AK28" s="26" t="n"/>
      <c r="AL28" s="26" t="n"/>
      <c r="AM28" s="26" t="n"/>
      <c r="AN28" s="26" t="n"/>
      <c r="AO28" s="26" t="n"/>
      <c r="AP28" s="26" t="n"/>
      <c r="AQ28" s="48" t="inlineStr">
        <is>
          <t>do total de processos</t>
        </is>
      </c>
      <c r="AR28" s="26" t="n"/>
      <c r="AS28" s="26" t="n"/>
      <c r="AT28" s="26" t="n"/>
      <c r="AU28" s="26" t="n"/>
      <c r="AV28" s="27" t="n"/>
      <c r="AW28" s="1" t="n"/>
    </row>
    <row r="29" ht="18" customHeight="1">
      <c r="A29" s="1" t="n"/>
      <c r="B29" s="49" t="inlineStr">
        <is>
          <t>Da fiscalização até a entrega da defesa • dias corridos</t>
        </is>
      </c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4" t="n"/>
      <c r="Q29" s="1" t="n"/>
      <c r="R29" s="49" t="inlineStr">
        <is>
          <t>Da fiscalização até a data da decisão • dias corridos</t>
        </is>
      </c>
      <c r="S29" s="33" t="n"/>
      <c r="T29" s="33" t="n"/>
      <c r="U29" s="33" t="n"/>
      <c r="V29" s="33" t="n"/>
      <c r="W29" s="33" t="n"/>
      <c r="X29" s="33" t="n"/>
      <c r="Y29" s="33" t="n"/>
      <c r="Z29" s="33" t="n"/>
      <c r="AA29" s="33" t="n"/>
      <c r="AB29" s="33" t="n"/>
      <c r="AC29" s="33" t="n"/>
      <c r="AD29" s="33" t="n"/>
      <c r="AE29" s="33" t="n"/>
      <c r="AF29" s="34" t="n"/>
      <c r="AG29" s="1" t="n"/>
      <c r="AH29" s="49" t="str">
        <f>"Aguardando decisão (DECISÃO D.P sem data): "&amp;COUNTIFS(rEmpresa,"&lt;&gt;",rResp,critResp,rStatus,"DECISÃO D.P",rDecisao,"")</f>
        <v>Aguardando decisão (DECISÃO D.P sem data): 6</v>
      </c>
      <c r="AI29" s="33" t="n"/>
      <c r="AJ29" s="33" t="n"/>
      <c r="AK29" s="33" t="n"/>
      <c r="AL29" s="33" t="n"/>
      <c r="AM29" s="33" t="n"/>
      <c r="AN29" s="33" t="n"/>
      <c r="AO29" s="33" t="n"/>
      <c r="AP29" s="33" t="n"/>
      <c r="AQ29" s="33" t="n"/>
      <c r="AR29" s="33" t="n"/>
      <c r="AS29" s="33" t="n"/>
      <c r="AT29" s="33" t="n"/>
      <c r="AU29" s="33" t="n"/>
      <c r="AV29" s="34" t="n"/>
      <c r="AW29" s="1" t="n"/>
    </row>
    <row r="30" ht="12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</row>
    <row r="31" ht="20" customHeight="1">
      <c r="A31" s="1" t="n"/>
      <c r="B31" s="18" t="inlineStr">
        <is>
          <t>AGENDA — PRÓXIMOS VENCIMENTOS (TOP 10)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" t="n"/>
      <c r="Z31" s="18" t="inlineStr">
        <is>
          <t>ÚLTIMAS FISCALIZAÇÕES REGISTRADAS (TOP 10)</t>
        </is>
      </c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19" t="n"/>
      <c r="AS31" s="19" t="n"/>
      <c r="AT31" s="19" t="n"/>
      <c r="AU31" s="19" t="n"/>
      <c r="AV31" s="19" t="n"/>
      <c r="AW31" s="1" t="n"/>
    </row>
    <row r="32" ht="6" customHeight="1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</row>
    <row r="33" ht="20" customHeight="1">
      <c r="A33" s="1" t="n"/>
      <c r="B33" s="50" t="inlineStr">
        <is>
          <t>#</t>
        </is>
      </c>
      <c r="D33" s="50" t="inlineStr">
        <is>
          <t>EMPRESA</t>
        </is>
      </c>
      <c r="L33" s="50" t="inlineStr">
        <is>
          <t>RESPONSÁVEL</t>
        </is>
      </c>
      <c r="R33" s="50" t="inlineStr">
        <is>
          <t>PRAZO FINAL</t>
        </is>
      </c>
      <c r="V33" s="50" t="inlineStr">
        <is>
          <t>DIAS</t>
        </is>
      </c>
      <c r="Y33" s="1" t="n"/>
      <c r="Z33" s="50" t="inlineStr">
        <is>
          <t>#</t>
        </is>
      </c>
      <c r="AB33" s="50" t="inlineStr">
        <is>
          <t>EMPRESA</t>
        </is>
      </c>
      <c r="AJ33" s="50" t="inlineStr">
        <is>
          <t>RESPONSÁVEL</t>
        </is>
      </c>
      <c r="AP33" s="50" t="inlineStr">
        <is>
          <t>FISCALIZAÇÃO</t>
        </is>
      </c>
      <c r="AT33" s="50" t="inlineStr">
        <is>
          <t>NOTIF.</t>
        </is>
      </c>
      <c r="AW33" s="1" t="n"/>
    </row>
    <row r="34" ht="18" customHeight="1">
      <c r="A34" s="1" t="n"/>
      <c r="B34" s="51">
        <f>IF(CALC!$BJ$5="","",1)</f>
        <v>1</v>
      </c>
      <c r="C34" s="52" t="n"/>
      <c r="D34" s="53" t="str">
        <f>IF(CALC!$BJ$5="",IF(1=1,"✓ Nenhum prazo pendente",""),INDEX(rEmpresa,CALC!$BJ$5))</f>
        <v>Clínica Vitória ME</v>
      </c>
      <c r="E34" s="52" t="n"/>
      <c r="F34" s="52" t="n"/>
      <c r="G34" s="52" t="n"/>
      <c r="H34" s="52" t="n"/>
      <c r="I34" s="52" t="n"/>
      <c r="J34" s="52" t="n"/>
      <c r="K34" s="52" t="n"/>
      <c r="L34" s="54" t="str">
        <f>IF(CALC!$BJ$5="","",INDEX(rResp,CALC!$BJ$5))</f>
        <v>CARLA MENDES</v>
      </c>
      <c r="M34" s="52" t="n"/>
      <c r="N34" s="52" t="n"/>
      <c r="O34" s="52" t="n"/>
      <c r="P34" s="52" t="n"/>
      <c r="Q34" s="52" t="n"/>
      <c r="R34" s="55">
        <f>IF(CALC!$BJ$5="","",INDEX(rPrazo,CALC!$BJ$5))</f>
        <v>46307.0</v>
      </c>
      <c r="S34" s="52" t="n"/>
      <c r="T34" s="52" t="n"/>
      <c r="U34" s="52" t="n"/>
      <c r="V34" s="56">
        <f>IF(CALC!$BJ$5="","",INDEX(rDias,CALC!$BJ$5))</f>
        <v>3</v>
      </c>
      <c r="W34" s="52" t="n"/>
      <c r="X34" s="52" t="n"/>
      <c r="Y34" s="1" t="n"/>
      <c r="Z34" s="51">
        <f>IF(CALC!$BK$5="","",1)</f>
        <v>1</v>
      </c>
      <c r="AA34" s="52" t="n"/>
      <c r="AB34" s="53" t="str">
        <f>IF(CALC!$BK$5="",IF(1=1,"Nenhuma fiscalização registrada",""),INDEX(rEmpresa,CALC!$BK$5))</f>
        <v>Banco Aliança</v>
      </c>
      <c r="AC34" s="52" t="n"/>
      <c r="AD34" s="52" t="n"/>
      <c r="AE34" s="52" t="n"/>
      <c r="AF34" s="52" t="n"/>
      <c r="AG34" s="52" t="n"/>
      <c r="AH34" s="52" t="n"/>
      <c r="AI34" s="52" t="n"/>
      <c r="AJ34" s="54" t="str">
        <f>IF(CALC!$BK$5="","",INDEX(rResp,CALC!$BK$5))</f>
        <v>GABRIELA NUNES</v>
      </c>
      <c r="AK34" s="52" t="n"/>
      <c r="AL34" s="52" t="n"/>
      <c r="AM34" s="52" t="n"/>
      <c r="AN34" s="52" t="n"/>
      <c r="AO34" s="52" t="n"/>
      <c r="AP34" s="55">
        <f>IF(CALC!$BK$5="","",INDEX(rDataFisc,CALC!$BK$5))</f>
        <v>46303.0</v>
      </c>
      <c r="AQ34" s="52" t="n"/>
      <c r="AR34" s="52" t="n"/>
      <c r="AS34" s="52" t="n"/>
      <c r="AT34" s="57" t="str">
        <f>IF(CALC!$BK$5="","",IF(INDEX(rNotif,CALC!$BK$5)="NOTIFICAÇÃO DE CONSTATAÇÃO","CONST.","ESCLAR."))</f>
        <v>ESCLAR.</v>
      </c>
      <c r="AU34" s="52" t="n"/>
      <c r="AV34" s="52" t="n"/>
      <c r="AW34" s="1" t="n"/>
    </row>
    <row r="35" ht="18" customHeight="1">
      <c r="A35" s="1" t="n"/>
      <c r="B35" s="58">
        <f>IF(CALC!$BJ$6="","",2)</f>
        <v>2</v>
      </c>
      <c r="C35" s="52" t="n"/>
      <c r="D35" s="59" t="str">
        <f>IF(CALC!$BJ$6="",IF(2=1,"✓ Nenhum prazo pendente",""),INDEX(rEmpresa,CALC!$BJ$6))</f>
        <v>Hospital Bom Preço</v>
      </c>
      <c r="E35" s="52" t="n"/>
      <c r="F35" s="52" t="n"/>
      <c r="G35" s="52" t="n"/>
      <c r="H35" s="52" t="n"/>
      <c r="I35" s="52" t="n"/>
      <c r="J35" s="52" t="n"/>
      <c r="K35" s="52" t="n"/>
      <c r="L35" s="60" t="str">
        <f>IF(CALC!$BJ$6="","",INDEX(rResp,CALC!$BJ$6))</f>
        <v>CARLA MENDES</v>
      </c>
      <c r="M35" s="52" t="n"/>
      <c r="N35" s="52" t="n"/>
      <c r="O35" s="52" t="n"/>
      <c r="P35" s="52" t="n"/>
      <c r="Q35" s="52" t="n"/>
      <c r="R35" s="61">
        <f>IF(CALC!$BJ$6="","",INDEX(rPrazo,CALC!$BJ$6))</f>
        <v>46307.0</v>
      </c>
      <c r="S35" s="52" t="n"/>
      <c r="T35" s="52" t="n"/>
      <c r="U35" s="52" t="n"/>
      <c r="V35" s="62">
        <f>IF(CALC!$BJ$6="","",INDEX(rDias,CALC!$BJ$6))</f>
        <v>3</v>
      </c>
      <c r="W35" s="52" t="n"/>
      <c r="X35" s="52" t="n"/>
      <c r="Y35" s="1" t="n"/>
      <c r="Z35" s="58">
        <f>IF(CALC!$BK$6="","",2)</f>
        <v>2</v>
      </c>
      <c r="AA35" s="52" t="n"/>
      <c r="AB35" s="59" t="str">
        <f>IF(CALC!$BK$6="",IF(2=1,"Nenhuma fiscalização registrada",""),INDEX(rEmpresa,CALC!$BK$6))</f>
        <v>Auto Posto Bom Preço</v>
      </c>
      <c r="AC35" s="52" t="n"/>
      <c r="AD35" s="52" t="n"/>
      <c r="AE35" s="52" t="n"/>
      <c r="AF35" s="52" t="n"/>
      <c r="AG35" s="52" t="n"/>
      <c r="AH35" s="52" t="n"/>
      <c r="AI35" s="52" t="n"/>
      <c r="AJ35" s="60" t="str">
        <f>IF(CALC!$BK$6="","",INDEX(rResp,CALC!$BK$6))</f>
        <v>BRUNO CARVALHO</v>
      </c>
      <c r="AK35" s="52" t="n"/>
      <c r="AL35" s="52" t="n"/>
      <c r="AM35" s="52" t="n"/>
      <c r="AN35" s="52" t="n"/>
      <c r="AO35" s="52" t="n"/>
      <c r="AP35" s="61">
        <f>IF(CALC!$BK$6="","",INDEX(rDataFisc,CALC!$BK$6))</f>
        <v>46303.0</v>
      </c>
      <c r="AQ35" s="52" t="n"/>
      <c r="AR35" s="52" t="n"/>
      <c r="AS35" s="52" t="n"/>
      <c r="AT35" s="63" t="str">
        <f>IF(CALC!$BK$6="","",IF(INDEX(rNotif,CALC!$BK$6)="NOTIFICAÇÃO DE CONSTATAÇÃO","CONST.","ESCLAR."))</f>
        <v>CONST.</v>
      </c>
      <c r="AU35" s="52" t="n"/>
      <c r="AV35" s="52" t="n"/>
      <c r="AW35" s="1" t="n"/>
    </row>
    <row r="36" ht="18" customHeight="1">
      <c r="A36" s="1" t="n"/>
      <c r="B36" s="51">
        <f>IF(CALC!$BJ$7="","",3)</f>
        <v>3</v>
      </c>
      <c r="C36" s="52" t="n"/>
      <c r="D36" s="53" t="str">
        <f>IF(CALC!$BJ$7="",IF(3=1,"✓ Nenhum prazo pendente",""),INDEX(rEmpresa,CALC!$BJ$7))</f>
        <v>Restaurante Horizonte</v>
      </c>
      <c r="E36" s="52" t="n"/>
      <c r="F36" s="52" t="n"/>
      <c r="G36" s="52" t="n"/>
      <c r="H36" s="52" t="n"/>
      <c r="I36" s="52" t="n"/>
      <c r="J36" s="52" t="n"/>
      <c r="K36" s="52" t="n"/>
      <c r="L36" s="54" t="str">
        <f>IF(CALC!$BJ$7="","",INDEX(rResp,CALC!$BJ$7))</f>
        <v>ANA PAULA SOUZA</v>
      </c>
      <c r="M36" s="52" t="n"/>
      <c r="N36" s="52" t="n"/>
      <c r="O36" s="52" t="n"/>
      <c r="P36" s="52" t="n"/>
      <c r="Q36" s="52" t="n"/>
      <c r="R36" s="55">
        <f>IF(CALC!$BJ$7="","",INDEX(rPrazo,CALC!$BJ$7))</f>
        <v>46307.0</v>
      </c>
      <c r="S36" s="52" t="n"/>
      <c r="T36" s="52" t="n"/>
      <c r="U36" s="52" t="n"/>
      <c r="V36" s="56">
        <f>IF(CALC!$BJ$7="","",INDEX(rDias,CALC!$BJ$7))</f>
        <v>3</v>
      </c>
      <c r="W36" s="52" t="n"/>
      <c r="X36" s="52" t="n"/>
      <c r="Y36" s="1" t="n"/>
      <c r="Z36" s="51">
        <f>IF(CALC!$BK$7="","",3)</f>
        <v>3</v>
      </c>
      <c r="AA36" s="52" t="n"/>
      <c r="AB36" s="53" t="str">
        <f>IF(CALC!$BK$7="",IF(3=1,"Nenhuma fiscalização registrada",""),INDEX(rEmpresa,CALC!$BK$7))</f>
        <v>Boutique Aliança</v>
      </c>
      <c r="AC36" s="52" t="n"/>
      <c r="AD36" s="52" t="n"/>
      <c r="AE36" s="52" t="n"/>
      <c r="AF36" s="52" t="n"/>
      <c r="AG36" s="52" t="n"/>
      <c r="AH36" s="52" t="n"/>
      <c r="AI36" s="52" t="n"/>
      <c r="AJ36" s="54" t="str">
        <f>IF(CALC!$BK$7="","",INDEX(rResp,CALC!$BK$7))</f>
        <v>DIEGO RIBEIRO</v>
      </c>
      <c r="AK36" s="52" t="n"/>
      <c r="AL36" s="52" t="n"/>
      <c r="AM36" s="52" t="n"/>
      <c r="AN36" s="52" t="n"/>
      <c r="AO36" s="52" t="n"/>
      <c r="AP36" s="55">
        <f>IF(CALC!$BK$7="","",INDEX(rDataFisc,CALC!$BK$7))</f>
        <v>46303.0</v>
      </c>
      <c r="AQ36" s="52" t="n"/>
      <c r="AR36" s="52" t="n"/>
      <c r="AS36" s="52" t="n"/>
      <c r="AT36" s="57" t="str">
        <f>IF(CALC!$BK$7="","",IF(INDEX(rNotif,CALC!$BK$7)="NOTIFICAÇÃO DE CONSTATAÇÃO","CONST.","ESCLAR."))</f>
        <v>ESCLAR.</v>
      </c>
      <c r="AU36" s="52" t="n"/>
      <c r="AV36" s="52" t="n"/>
      <c r="AW36" s="1" t="n"/>
    </row>
    <row r="37" ht="18" customHeight="1">
      <c r="A37" s="1" t="n"/>
      <c r="B37" s="58">
        <f>IF(CALC!$BJ$8="","",4)</f>
        <v>4</v>
      </c>
      <c r="C37" s="52" t="n"/>
      <c r="D37" s="59" t="str">
        <f>IF(CALC!$BJ$8="",IF(4=1,"✓ Nenhum prazo pendente",""),INDEX(rEmpresa,CALC!$BJ$8))</f>
        <v>Auto Posto Estrela Ltda</v>
      </c>
      <c r="E37" s="52" t="n"/>
      <c r="F37" s="52" t="n"/>
      <c r="G37" s="52" t="n"/>
      <c r="H37" s="52" t="n"/>
      <c r="I37" s="52" t="n"/>
      <c r="J37" s="52" t="n"/>
      <c r="K37" s="52" t="n"/>
      <c r="L37" s="60" t="str">
        <f>IF(CALC!$BJ$8="","",INDEX(rResp,CALC!$BJ$8))</f>
        <v>BRUNO CARVALHO</v>
      </c>
      <c r="M37" s="52" t="n"/>
      <c r="N37" s="52" t="n"/>
      <c r="O37" s="52" t="n"/>
      <c r="P37" s="52" t="n"/>
      <c r="Q37" s="52" t="n"/>
      <c r="R37" s="61">
        <f>IF(CALC!$BJ$8="","",INDEX(rPrazo,CALC!$BJ$8))</f>
        <v>46310.0</v>
      </c>
      <c r="S37" s="52" t="n"/>
      <c r="T37" s="52" t="n"/>
      <c r="U37" s="52" t="n"/>
      <c r="V37" s="62">
        <f>IF(CALC!$BJ$8="","",INDEX(rDias,CALC!$BJ$8))</f>
        <v>6</v>
      </c>
      <c r="W37" s="52" t="n"/>
      <c r="X37" s="52" t="n"/>
      <c r="Y37" s="1" t="n"/>
      <c r="Z37" s="58">
        <f>IF(CALC!$BK$8="","",4)</f>
        <v>4</v>
      </c>
      <c r="AA37" s="52" t="n"/>
      <c r="AB37" s="59" t="str">
        <f>IF(CALC!$BK$8="",IF(4=1,"Nenhuma fiscalização registrada",""),INDEX(rEmpresa,CALC!$BK$8))</f>
        <v>Auto Posto Nova Era</v>
      </c>
      <c r="AC37" s="52" t="n"/>
      <c r="AD37" s="52" t="n"/>
      <c r="AE37" s="52" t="n"/>
      <c r="AF37" s="52" t="n"/>
      <c r="AG37" s="52" t="n"/>
      <c r="AH37" s="52" t="n"/>
      <c r="AI37" s="52" t="n"/>
      <c r="AJ37" s="60" t="str">
        <f>IF(CALC!$BK$8="","",INDEX(rResp,CALC!$BK$8))</f>
        <v>BRUNO CARVALHO</v>
      </c>
      <c r="AK37" s="52" t="n"/>
      <c r="AL37" s="52" t="n"/>
      <c r="AM37" s="52" t="n"/>
      <c r="AN37" s="52" t="n"/>
      <c r="AO37" s="52" t="n"/>
      <c r="AP37" s="61">
        <f>IF(CALC!$BK$8="","",INDEX(rDataFisc,CALC!$BK$8))</f>
        <v>46302.0</v>
      </c>
      <c r="AQ37" s="52" t="n"/>
      <c r="AR37" s="52" t="n"/>
      <c r="AS37" s="52" t="n"/>
      <c r="AT37" s="63" t="str">
        <f>IF(CALC!$BK$8="","",IF(INDEX(rNotif,CALC!$BK$8)="NOTIFICAÇÃO DE CONSTATAÇÃO","CONST.","ESCLAR."))</f>
        <v>CONST.</v>
      </c>
      <c r="AU37" s="52" t="n"/>
      <c r="AV37" s="52" t="n"/>
      <c r="AW37" s="1" t="n"/>
    </row>
    <row r="38" ht="18" customHeight="1">
      <c r="A38" s="1" t="n"/>
      <c r="B38" s="51">
        <f>IF(CALC!$BJ$9="","",5)</f>
        <v>5</v>
      </c>
      <c r="C38" s="52" t="n"/>
      <c r="D38" s="53" t="str">
        <f>IF(CALC!$BJ$9="",IF(5=1,"✓ Nenhum prazo pendente",""),INDEX(rEmpresa,CALC!$BJ$9))</f>
        <v>Loja Vida Plena Ltda</v>
      </c>
      <c r="E38" s="52" t="n"/>
      <c r="F38" s="52" t="n"/>
      <c r="G38" s="52" t="n"/>
      <c r="H38" s="52" t="n"/>
      <c r="I38" s="52" t="n"/>
      <c r="J38" s="52" t="n"/>
      <c r="K38" s="52" t="n"/>
      <c r="L38" s="54" t="str">
        <f>IF(CALC!$BJ$9="","",INDEX(rResp,CALC!$BJ$9))</f>
        <v>HENRIQUE COSTA</v>
      </c>
      <c r="M38" s="52" t="n"/>
      <c r="N38" s="52" t="n"/>
      <c r="O38" s="52" t="n"/>
      <c r="P38" s="52" t="n"/>
      <c r="Q38" s="52" t="n"/>
      <c r="R38" s="55">
        <f>IF(CALC!$BJ$9="","",INDEX(rPrazo,CALC!$BJ$9))</f>
        <v>46310.0</v>
      </c>
      <c r="S38" s="52" t="n"/>
      <c r="T38" s="52" t="n"/>
      <c r="U38" s="52" t="n"/>
      <c r="V38" s="56">
        <f>IF(CALC!$BJ$9="","",INDEX(rDias,CALC!$BJ$9))</f>
        <v>6</v>
      </c>
      <c r="W38" s="52" t="n"/>
      <c r="X38" s="52" t="n"/>
      <c r="Y38" s="1" t="n"/>
      <c r="Z38" s="51">
        <f>IF(CALC!$BK$9="","",5)</f>
        <v>5</v>
      </c>
      <c r="AA38" s="52" t="n"/>
      <c r="AB38" s="53" t="str">
        <f>IF(CALC!$BK$9="",IF(5=1,"Nenhuma fiscalização registrada",""),INDEX(rEmpresa,CALC!$BK$9))</f>
        <v>Supermercado Primavera</v>
      </c>
      <c r="AC38" s="52" t="n"/>
      <c r="AD38" s="52" t="n"/>
      <c r="AE38" s="52" t="n"/>
      <c r="AF38" s="52" t="n"/>
      <c r="AG38" s="52" t="n"/>
      <c r="AH38" s="52" t="n"/>
      <c r="AI38" s="52" t="n"/>
      <c r="AJ38" s="54" t="str">
        <f>IF(CALC!$BK$9="","",INDEX(rResp,CALC!$BK$9))</f>
        <v>FELIPE ARAÚJO</v>
      </c>
      <c r="AK38" s="52" t="n"/>
      <c r="AL38" s="52" t="n"/>
      <c r="AM38" s="52" t="n"/>
      <c r="AN38" s="52" t="n"/>
      <c r="AO38" s="52" t="n"/>
      <c r="AP38" s="55">
        <f>IF(CALC!$BK$9="","",INDEX(rDataFisc,CALC!$BK$9))</f>
        <v>46302.0</v>
      </c>
      <c r="AQ38" s="52" t="n"/>
      <c r="AR38" s="52" t="n"/>
      <c r="AS38" s="52" t="n"/>
      <c r="AT38" s="57" t="str">
        <f>IF(CALC!$BK$9="","",IF(INDEX(rNotif,CALC!$BK$9)="NOTIFICAÇÃO DE CONSTATAÇÃO","CONST.","ESCLAR."))</f>
        <v>CONST.</v>
      </c>
      <c r="AU38" s="52" t="n"/>
      <c r="AV38" s="52" t="n"/>
      <c r="AW38" s="1" t="n"/>
    </row>
    <row r="39" ht="18" customHeight="1">
      <c r="A39" s="1" t="n"/>
      <c r="B39" s="58">
        <f>IF(CALC!$BJ$10="","",6)</f>
        <v>6</v>
      </c>
      <c r="C39" s="52" t="n"/>
      <c r="D39" s="59" t="str">
        <f>IF(CALC!$BJ$10="",IF(6=1,"✓ Nenhum prazo pendente",""),INDEX(rEmpresa,CALC!$BJ$10))</f>
        <v>Banco Aliança</v>
      </c>
      <c r="E39" s="52" t="n"/>
      <c r="F39" s="52" t="n"/>
      <c r="G39" s="52" t="n"/>
      <c r="H39" s="52" t="n"/>
      <c r="I39" s="52" t="n"/>
      <c r="J39" s="52" t="n"/>
      <c r="K39" s="52" t="n"/>
      <c r="L39" s="60" t="str">
        <f>IF(CALC!$BJ$10="","",INDEX(rResp,CALC!$BJ$10))</f>
        <v>GABRIELA NUNES</v>
      </c>
      <c r="M39" s="52" t="n"/>
      <c r="N39" s="52" t="n"/>
      <c r="O39" s="52" t="n"/>
      <c r="P39" s="52" t="n"/>
      <c r="Q39" s="52" t="n"/>
      <c r="R39" s="61">
        <f>IF(CALC!$BJ$10="","",INDEX(rPrazo,CALC!$BJ$10))</f>
        <v>46313.0</v>
      </c>
      <c r="S39" s="52" t="n"/>
      <c r="T39" s="52" t="n"/>
      <c r="U39" s="52" t="n"/>
      <c r="V39" s="62">
        <f>IF(CALC!$BJ$10="","",INDEX(rDias,CALC!$BJ$10))</f>
        <v>9</v>
      </c>
      <c r="W39" s="52" t="n"/>
      <c r="X39" s="52" t="n"/>
      <c r="Y39" s="1" t="n"/>
      <c r="Z39" s="58">
        <f>IF(CALC!$BK$10="","",6)</f>
        <v>6</v>
      </c>
      <c r="AA39" s="52" t="n"/>
      <c r="AB39" s="59" t="str">
        <f>IF(CALC!$BK$10="",IF(6=1,"Nenhuma fiscalização registrada",""),INDEX(rEmpresa,CALC!$BK$10))</f>
        <v>Boutique Aliança</v>
      </c>
      <c r="AC39" s="52" t="n"/>
      <c r="AD39" s="52" t="n"/>
      <c r="AE39" s="52" t="n"/>
      <c r="AF39" s="52" t="n"/>
      <c r="AG39" s="52" t="n"/>
      <c r="AH39" s="52" t="n"/>
      <c r="AI39" s="52" t="n"/>
      <c r="AJ39" s="60" t="str">
        <f>IF(CALC!$BK$10="","",INDEX(rResp,CALC!$BK$10))</f>
        <v>BRUNO CARVALHO</v>
      </c>
      <c r="AK39" s="52" t="n"/>
      <c r="AL39" s="52" t="n"/>
      <c r="AM39" s="52" t="n"/>
      <c r="AN39" s="52" t="n"/>
      <c r="AO39" s="52" t="n"/>
      <c r="AP39" s="61">
        <f>IF(CALC!$BK$10="","",INDEX(rDataFisc,CALC!$BK$10))</f>
        <v>46302.0</v>
      </c>
      <c r="AQ39" s="52" t="n"/>
      <c r="AR39" s="52" t="n"/>
      <c r="AS39" s="52" t="n"/>
      <c r="AT39" s="63" t="str">
        <f>IF(CALC!$BK$10="","",IF(INDEX(rNotif,CALC!$BK$10)="NOTIFICAÇÃO DE CONSTATAÇÃO","CONST.","ESCLAR."))</f>
        <v>ESCLAR.</v>
      </c>
      <c r="AU39" s="52" t="n"/>
      <c r="AV39" s="52" t="n"/>
      <c r="AW39" s="1" t="n"/>
    </row>
    <row r="40" ht="18" customHeight="1">
      <c r="A40" s="1" t="n"/>
      <c r="B40" s="51">
        <f>IF(CALC!$BJ$11="","",7)</f>
        <v>7</v>
      </c>
      <c r="C40" s="52" t="n"/>
      <c r="D40" s="53" t="str">
        <f>IF(CALC!$BJ$11="",IF(7=1,"✓ Nenhum prazo pendente",""),INDEX(rEmpresa,CALC!$BJ$11))</f>
        <v>Boutique Aliança</v>
      </c>
      <c r="E40" s="52" t="n"/>
      <c r="F40" s="52" t="n"/>
      <c r="G40" s="52" t="n"/>
      <c r="H40" s="52" t="n"/>
      <c r="I40" s="52" t="n"/>
      <c r="J40" s="52" t="n"/>
      <c r="K40" s="52" t="n"/>
      <c r="L40" s="54" t="str">
        <f>IF(CALC!$BJ$11="","",INDEX(rResp,CALC!$BJ$11))</f>
        <v>BRUNO CARVALHO</v>
      </c>
      <c r="M40" s="52" t="n"/>
      <c r="N40" s="52" t="n"/>
      <c r="O40" s="52" t="n"/>
      <c r="P40" s="52" t="n"/>
      <c r="Q40" s="52" t="n"/>
      <c r="R40" s="55">
        <f>IF(CALC!$BJ$11="","",INDEX(rPrazo,CALC!$BJ$11))</f>
        <v>46317.0</v>
      </c>
      <c r="S40" s="52" t="n"/>
      <c r="T40" s="52" t="n"/>
      <c r="U40" s="52" t="n"/>
      <c r="V40" s="56">
        <f>IF(CALC!$BJ$11="","",INDEX(rDias,CALC!$BJ$11))</f>
        <v>13</v>
      </c>
      <c r="W40" s="52" t="n"/>
      <c r="X40" s="52" t="n"/>
      <c r="Y40" s="1" t="n"/>
      <c r="Z40" s="51">
        <f>IF(CALC!$BK$11="","",7)</f>
        <v>7</v>
      </c>
      <c r="AA40" s="52" t="n"/>
      <c r="AB40" s="53" t="str">
        <f>IF(CALC!$BK$11="",IF(7=1,"Nenhuma fiscalização registrada",""),INDEX(rEmpresa,CALC!$BK$11))</f>
        <v>Hospital Horizonte ME</v>
      </c>
      <c r="AC40" s="52" t="n"/>
      <c r="AD40" s="52" t="n"/>
      <c r="AE40" s="52" t="n"/>
      <c r="AF40" s="52" t="n"/>
      <c r="AG40" s="52" t="n"/>
      <c r="AH40" s="52" t="n"/>
      <c r="AI40" s="52" t="n"/>
      <c r="AJ40" s="54" t="str">
        <f>IF(CALC!$BK$11="","",INDEX(rResp,CALC!$BK$11))</f>
        <v>HENRIQUE COSTA</v>
      </c>
      <c r="AK40" s="52" t="n"/>
      <c r="AL40" s="52" t="n"/>
      <c r="AM40" s="52" t="n"/>
      <c r="AN40" s="52" t="n"/>
      <c r="AO40" s="52" t="n"/>
      <c r="AP40" s="55">
        <f>IF(CALC!$BK$11="","",INDEX(rDataFisc,CALC!$BK$11))</f>
        <v>46301.0</v>
      </c>
      <c r="AQ40" s="52" t="n"/>
      <c r="AR40" s="52" t="n"/>
      <c r="AS40" s="52" t="n"/>
      <c r="AT40" s="57" t="str">
        <f>IF(CALC!$BK$11="","",IF(INDEX(rNotif,CALC!$BK$11)="NOTIFICAÇÃO DE CONSTATAÇÃO","CONST.","ESCLAR."))</f>
        <v>CONST.</v>
      </c>
      <c r="AU40" s="52" t="n"/>
      <c r="AV40" s="52" t="n"/>
      <c r="AW40" s="1" t="n"/>
    </row>
    <row r="41" ht="18" customHeight="1">
      <c r="A41" s="1" t="n"/>
      <c r="B41" s="58">
        <f>IF(CALC!$BJ$12="","",8)</f>
        <v>8</v>
      </c>
      <c r="C41" s="52" t="n"/>
      <c r="D41" s="59" t="str">
        <f>IF(CALC!$BJ$12="",IF(8=1,"✓ Nenhum prazo pendente",""),INDEX(rEmpresa,CALC!$BJ$12))</f>
        <v>Auto Posto Nova Era</v>
      </c>
      <c r="E41" s="52" t="n"/>
      <c r="F41" s="52" t="n"/>
      <c r="G41" s="52" t="n"/>
      <c r="H41" s="52" t="n"/>
      <c r="I41" s="52" t="n"/>
      <c r="J41" s="52" t="n"/>
      <c r="K41" s="52" t="n"/>
      <c r="L41" s="60" t="str">
        <f>IF(CALC!$BJ$12="","",INDEX(rResp,CALC!$BJ$12))</f>
        <v>BRUNO CARVALHO</v>
      </c>
      <c r="M41" s="52" t="n"/>
      <c r="N41" s="52" t="n"/>
      <c r="O41" s="52" t="n"/>
      <c r="P41" s="52" t="n"/>
      <c r="Q41" s="52" t="n"/>
      <c r="R41" s="61">
        <f>IF(CALC!$BJ$12="","",INDEX(rPrazo,CALC!$BJ$12))</f>
        <v>46317.0</v>
      </c>
      <c r="S41" s="52" t="n"/>
      <c r="T41" s="52" t="n"/>
      <c r="U41" s="52" t="n"/>
      <c r="V41" s="62">
        <f>IF(CALC!$BJ$12="","",INDEX(rDias,CALC!$BJ$12))</f>
        <v>13</v>
      </c>
      <c r="W41" s="52" t="n"/>
      <c r="X41" s="52" t="n"/>
      <c r="Y41" s="1" t="n"/>
      <c r="Z41" s="58">
        <f>IF(CALC!$BK$12="","",8)</f>
        <v>8</v>
      </c>
      <c r="AA41" s="52" t="n"/>
      <c r="AB41" s="59" t="str">
        <f>IF(CALC!$BK$12="",IF(8=1,"Nenhuma fiscalização registrada",""),INDEX(rEmpresa,CALC!$BK$12))</f>
        <v>Escola Boa Esperança</v>
      </c>
      <c r="AC41" s="52" t="n"/>
      <c r="AD41" s="52" t="n"/>
      <c r="AE41" s="52" t="n"/>
      <c r="AF41" s="52" t="n"/>
      <c r="AG41" s="52" t="n"/>
      <c r="AH41" s="52" t="n"/>
      <c r="AI41" s="52" t="n"/>
      <c r="AJ41" s="60" t="str">
        <f>IF(CALC!$BK$12="","",INDEX(rResp,CALC!$BK$12))</f>
        <v>CARLA MENDES</v>
      </c>
      <c r="AK41" s="52" t="n"/>
      <c r="AL41" s="52" t="n"/>
      <c r="AM41" s="52" t="n"/>
      <c r="AN41" s="52" t="n"/>
      <c r="AO41" s="52" t="n"/>
      <c r="AP41" s="61">
        <f>IF(CALC!$BK$12="","",INDEX(rDataFisc,CALC!$BK$12))</f>
        <v>46300.0</v>
      </c>
      <c r="AQ41" s="52" t="n"/>
      <c r="AR41" s="52" t="n"/>
      <c r="AS41" s="52" t="n"/>
      <c r="AT41" s="63" t="str">
        <f>IF(CALC!$BK$12="","",IF(INDEX(rNotif,CALC!$BK$12)="NOTIFICAÇÃO DE CONSTATAÇÃO","CONST.","ESCLAR."))</f>
        <v>ESCLAR.</v>
      </c>
      <c r="AU41" s="52" t="n"/>
      <c r="AV41" s="52" t="n"/>
      <c r="AW41" s="1" t="n"/>
    </row>
    <row r="42" ht="18" customHeight="1">
      <c r="A42" s="1" t="n"/>
      <c r="B42" s="51">
        <f>IF(CALC!$BJ$13="","",9)</f>
        <v>9</v>
      </c>
      <c r="C42" s="52" t="n"/>
      <c r="D42" s="53" t="str">
        <f>IF(CALC!$BJ$13="",IF(9=1,"✓ Nenhum prazo pendente",""),INDEX(rEmpresa,CALC!$BJ$13))</f>
        <v>Boutique Aliança</v>
      </c>
      <c r="E42" s="52" t="n"/>
      <c r="F42" s="52" t="n"/>
      <c r="G42" s="52" t="n"/>
      <c r="H42" s="52" t="n"/>
      <c r="I42" s="52" t="n"/>
      <c r="J42" s="52" t="n"/>
      <c r="K42" s="52" t="n"/>
      <c r="L42" s="54" t="str">
        <f>IF(CALC!$BJ$13="","",INDEX(rResp,CALC!$BJ$13))</f>
        <v>DIEGO RIBEIRO</v>
      </c>
      <c r="M42" s="52" t="n"/>
      <c r="N42" s="52" t="n"/>
      <c r="O42" s="52" t="n"/>
      <c r="P42" s="52" t="n"/>
      <c r="Q42" s="52" t="n"/>
      <c r="R42" s="55">
        <f>IF(CALC!$BJ$13="","",INDEX(rPrazo,CALC!$BJ$13))</f>
        <v>46318.0</v>
      </c>
      <c r="S42" s="52" t="n"/>
      <c r="T42" s="52" t="n"/>
      <c r="U42" s="52" t="n"/>
      <c r="V42" s="56">
        <f>IF(CALC!$BJ$13="","",INDEX(rDias,CALC!$BJ$13))</f>
        <v>14</v>
      </c>
      <c r="W42" s="52" t="n"/>
      <c r="X42" s="52" t="n"/>
      <c r="Y42" s="1" t="n"/>
      <c r="Z42" s="51">
        <f>IF(CALC!$BK$13="","",9)</f>
        <v>9</v>
      </c>
      <c r="AA42" s="52" t="n"/>
      <c r="AB42" s="53" t="str">
        <f>IF(CALC!$BK$13="",IF(9=1,"Nenhuma fiscalização registrada",""),INDEX(rEmpresa,CALC!$BK$13))</f>
        <v>Studio Fitness Vitória</v>
      </c>
      <c r="AC42" s="52" t="n"/>
      <c r="AD42" s="52" t="n"/>
      <c r="AE42" s="52" t="n"/>
      <c r="AF42" s="52" t="n"/>
      <c r="AG42" s="52" t="n"/>
      <c r="AH42" s="52" t="n"/>
      <c r="AI42" s="52" t="n"/>
      <c r="AJ42" s="54" t="str">
        <f>IF(CALC!$BK$13="","",INDEX(rResp,CALC!$BK$13))</f>
        <v>CARLA MENDES</v>
      </c>
      <c r="AK42" s="52" t="n"/>
      <c r="AL42" s="52" t="n"/>
      <c r="AM42" s="52" t="n"/>
      <c r="AN42" s="52" t="n"/>
      <c r="AO42" s="52" t="n"/>
      <c r="AP42" s="55">
        <f>IF(CALC!$BK$13="","",INDEX(rDataFisc,CALC!$BK$13))</f>
        <v>46300.0</v>
      </c>
      <c r="AQ42" s="52" t="n"/>
      <c r="AR42" s="52" t="n"/>
      <c r="AS42" s="52" t="n"/>
      <c r="AT42" s="57" t="str">
        <f>IF(CALC!$BK$13="","",IF(INDEX(rNotif,CALC!$BK$13)="NOTIFICAÇÃO DE CONSTATAÇÃO","CONST.","ESCLAR."))</f>
        <v>CONST.</v>
      </c>
      <c r="AU42" s="52" t="n"/>
      <c r="AV42" s="52" t="n"/>
      <c r="AW42" s="1" t="n"/>
    </row>
    <row r="43" ht="18" customHeight="1">
      <c r="A43" s="1" t="n"/>
      <c r="B43" s="58">
        <f>IF(CALC!$BJ$14="","",10)</f>
        <v>10</v>
      </c>
      <c r="C43" s="52" t="n"/>
      <c r="D43" s="59" t="str">
        <f>IF(CALC!$BJ$14="",IF(10=1,"✓ Nenhum prazo pendente",""),INDEX(rEmpresa,CALC!$BJ$14))</f>
        <v>Escola Boa Esperança</v>
      </c>
      <c r="E43" s="52" t="n"/>
      <c r="F43" s="52" t="n"/>
      <c r="G43" s="52" t="n"/>
      <c r="H43" s="52" t="n"/>
      <c r="I43" s="52" t="n"/>
      <c r="J43" s="52" t="n"/>
      <c r="K43" s="52" t="n"/>
      <c r="L43" s="60" t="str">
        <f>IF(CALC!$BJ$14="","",INDEX(rResp,CALC!$BJ$14))</f>
        <v>CARLA MENDES</v>
      </c>
      <c r="M43" s="52" t="n"/>
      <c r="N43" s="52" t="n"/>
      <c r="O43" s="52" t="n"/>
      <c r="P43" s="52" t="n"/>
      <c r="Q43" s="52" t="n"/>
      <c r="R43" s="61">
        <f>IF(CALC!$BJ$14="","",INDEX(rPrazo,CALC!$BJ$14))</f>
        <v>46320.0</v>
      </c>
      <c r="S43" s="52" t="n"/>
      <c r="T43" s="52" t="n"/>
      <c r="U43" s="52" t="n"/>
      <c r="V43" s="62">
        <f>IF(CALC!$BJ$14="","",INDEX(rDias,CALC!$BJ$14))</f>
        <v>16</v>
      </c>
      <c r="W43" s="52" t="n"/>
      <c r="X43" s="52" t="n"/>
      <c r="Y43" s="1" t="n"/>
      <c r="Z43" s="58">
        <f>IF(CALC!$BK$14="","",10)</f>
        <v>10</v>
      </c>
      <c r="AA43" s="52" t="n"/>
      <c r="AB43" s="59" t="str">
        <f>IF(CALC!$BK$14="",IF(10=1,"Nenhuma fiscalização registrada",""),INDEX(rEmpresa,CALC!$BK$14))</f>
        <v>Supermercado Ipê Amarelo Filial 2</v>
      </c>
      <c r="AC43" s="52" t="n"/>
      <c r="AD43" s="52" t="n"/>
      <c r="AE43" s="52" t="n"/>
      <c r="AF43" s="52" t="n"/>
      <c r="AG43" s="52" t="n"/>
      <c r="AH43" s="52" t="n"/>
      <c r="AI43" s="52" t="n"/>
      <c r="AJ43" s="60" t="str">
        <f>IF(CALC!$BK$14="","",INDEX(rResp,CALC!$BK$14))</f>
        <v>ANA PAULA SOUZA</v>
      </c>
      <c r="AK43" s="52" t="n"/>
      <c r="AL43" s="52" t="n"/>
      <c r="AM43" s="52" t="n"/>
      <c r="AN43" s="52" t="n"/>
      <c r="AO43" s="52" t="n"/>
      <c r="AP43" s="61">
        <f>IF(CALC!$BK$14="","",INDEX(rDataFisc,CALC!$BK$14))</f>
        <v>46300.0</v>
      </c>
      <c r="AQ43" s="52" t="n"/>
      <c r="AR43" s="52" t="n"/>
      <c r="AS43" s="52" t="n"/>
      <c r="AT43" s="63" t="str">
        <f>IF(CALC!$BK$14="","",IF(INDEX(rNotif,CALC!$BK$14)="NOTIFICAÇÃO DE CONSTATAÇÃO","CONST.","ESCLAR."))</f>
        <v>CONST.</v>
      </c>
      <c r="AU43" s="52" t="n"/>
      <c r="AV43" s="52" t="n"/>
      <c r="AW43" s="1" t="n"/>
    </row>
    <row r="44" ht="12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</row>
    <row r="45" ht="20" customHeight="1">
      <c r="A45" s="1" t="n"/>
      <c r="B45" s="18" t="inlineStr">
        <is>
          <t>CARGA DE TRABALHO POR RESPONSÁVEL (EQUIPE)</t>
        </is>
      </c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" t="n"/>
      <c r="Z45" s="18" t="inlineStr">
        <is>
          <t>DISTRIBUIÇÃO POR RAMO DE ATIVIDADE</t>
        </is>
      </c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19" t="n"/>
      <c r="AS45" s="19" t="n"/>
      <c r="AT45" s="19" t="n"/>
      <c r="AU45" s="19" t="n"/>
      <c r="AV45" s="19" t="n"/>
      <c r="AW45" s="1" t="n"/>
    </row>
    <row r="46" ht="6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</row>
    <row r="47" ht="20" customHeight="1">
      <c r="A47" s="1" t="n"/>
      <c r="B47" s="50" t="inlineStr">
        <is>
          <t>RESPONSÁVEL</t>
        </is>
      </c>
      <c r="I47" s="50" t="inlineStr">
        <is>
          <t>TOTAL</t>
        </is>
      </c>
      <c r="L47" s="50" t="inlineStr">
        <is>
          <t>PRAZO</t>
        </is>
      </c>
      <c r="O47" s="50" t="inlineStr">
        <is>
          <t>DECISÃO</t>
        </is>
      </c>
      <c r="R47" s="50" t="inlineStr">
        <is>
          <t>EM BREVE</t>
        </is>
      </c>
      <c r="U47" s="50" t="inlineStr">
        <is>
          <t>% EQUIPE</t>
        </is>
      </c>
      <c r="Y47" s="1" t="n"/>
      <c r="Z47" s="50" t="inlineStr">
        <is>
          <t>RAMO</t>
        </is>
      </c>
      <c r="AG47" s="50" t="inlineStr">
        <is>
          <t>TOTAL</t>
        </is>
      </c>
      <c r="AJ47" s="50" t="inlineStr">
        <is>
          <t>CONST.</t>
        </is>
      </c>
      <c r="AM47" s="50" t="inlineStr">
        <is>
          <t>ESCLAR.</t>
        </is>
      </c>
      <c r="AP47" s="50" t="inlineStr">
        <is>
          <t>PRAZO</t>
        </is>
      </c>
      <c r="AS47" s="50" t="inlineStr">
        <is>
          <t>% TOTAL</t>
        </is>
      </c>
      <c r="AW47" s="1" t="n"/>
    </row>
    <row r="48" ht="18" customHeight="1">
      <c r="A48" s="1" t="n"/>
      <c r="B48" s="64" t="str">
        <f>CALC!AF6</f>
        <v>CARLA MENDES</v>
      </c>
      <c r="C48" s="52" t="n"/>
      <c r="D48" s="52" t="n"/>
      <c r="E48" s="52" t="n"/>
      <c r="F48" s="52" t="n"/>
      <c r="G48" s="52" t="n"/>
      <c r="H48" s="52" t="n"/>
      <c r="I48" s="65">
        <f>CALC!AG6</f>
        <v>16</v>
      </c>
      <c r="J48" s="52" t="n"/>
      <c r="K48" s="52" t="n"/>
      <c r="L48" s="66">
        <f>CALC!AH6</f>
        <v>6</v>
      </c>
      <c r="M48" s="52" t="n"/>
      <c r="N48" s="52" t="n"/>
      <c r="O48" s="66">
        <f>CALC!AI6</f>
        <v>10</v>
      </c>
      <c r="P48" s="52" t="n"/>
      <c r="Q48" s="52" t="n"/>
      <c r="R48" s="67">
        <f>CALC!AK6</f>
        <v>2</v>
      </c>
      <c r="S48" s="52" t="n"/>
      <c r="T48" s="52" t="n"/>
      <c r="U48" s="68">
        <f>CALC!AL6</f>
        <v>0.166666666666667</v>
      </c>
      <c r="V48" s="52" t="n"/>
      <c r="W48" s="52" t="n"/>
      <c r="X48" s="52" t="n"/>
      <c r="Y48" s="1" t="n"/>
      <c r="Z48" s="64" t="str">
        <f>CALC!AW6</f>
        <v>SAÚDE</v>
      </c>
      <c r="AA48" s="52" t="n"/>
      <c r="AB48" s="52" t="n"/>
      <c r="AC48" s="52" t="n"/>
      <c r="AD48" s="52" t="n"/>
      <c r="AE48" s="52" t="n"/>
      <c r="AF48" s="52" t="n"/>
      <c r="AG48" s="65">
        <f>CALC!AX6</f>
        <v>17</v>
      </c>
      <c r="AH48" s="52" t="n"/>
      <c r="AI48" s="52" t="n"/>
      <c r="AJ48" s="66">
        <f>CALC!AY6</f>
        <v>11</v>
      </c>
      <c r="AK48" s="52" t="n"/>
      <c r="AL48" s="52" t="n"/>
      <c r="AM48" s="66">
        <f>CALC!AZ6</f>
        <v>6</v>
      </c>
      <c r="AN48" s="52" t="n"/>
      <c r="AO48" s="52" t="n"/>
      <c r="AP48" s="66">
        <f>CALC!BA6</f>
        <v>6</v>
      </c>
      <c r="AQ48" s="52" t="n"/>
      <c r="AR48" s="52" t="n"/>
      <c r="AS48" s="68">
        <f>CALC!BB6</f>
        <v>0.177083333333333</v>
      </c>
      <c r="AT48" s="52" t="n"/>
      <c r="AU48" s="52" t="n"/>
      <c r="AV48" s="52" t="n"/>
      <c r="AW48" s="1" t="n"/>
    </row>
    <row r="49" ht="18" customHeight="1">
      <c r="A49" s="1" t="n"/>
      <c r="B49" s="69" t="str">
        <f>CALC!AF7</f>
        <v>ANA PAULA SOUZA</v>
      </c>
      <c r="C49" s="52" t="n"/>
      <c r="D49" s="52" t="n"/>
      <c r="E49" s="52" t="n"/>
      <c r="F49" s="52" t="n"/>
      <c r="G49" s="52" t="n"/>
      <c r="H49" s="52" t="n"/>
      <c r="I49" s="70">
        <f>CALC!AG7</f>
        <v>15</v>
      </c>
      <c r="J49" s="52" t="n"/>
      <c r="K49" s="52" t="n"/>
      <c r="L49" s="71">
        <f>CALC!AH7</f>
        <v>5</v>
      </c>
      <c r="M49" s="52" t="n"/>
      <c r="N49" s="52" t="n"/>
      <c r="O49" s="71">
        <f>CALC!AI7</f>
        <v>10</v>
      </c>
      <c r="P49" s="52" t="n"/>
      <c r="Q49" s="52" t="n"/>
      <c r="R49" s="72">
        <f>CALC!AK7</f>
        <v>1</v>
      </c>
      <c r="S49" s="52" t="n"/>
      <c r="T49" s="52" t="n"/>
      <c r="U49" s="73">
        <f>CALC!AL7</f>
        <v>0.15625</v>
      </c>
      <c r="V49" s="52" t="n"/>
      <c r="W49" s="52" t="n"/>
      <c r="X49" s="52" t="n"/>
      <c r="Y49" s="1" t="n"/>
      <c r="Z49" s="69" t="str">
        <f>CALC!AW7</f>
        <v>LOJA</v>
      </c>
      <c r="AA49" s="52" t="n"/>
      <c r="AB49" s="52" t="n"/>
      <c r="AC49" s="52" t="n"/>
      <c r="AD49" s="52" t="n"/>
      <c r="AE49" s="52" t="n"/>
      <c r="AF49" s="52" t="n"/>
      <c r="AG49" s="70">
        <f>CALC!AX7</f>
        <v>15</v>
      </c>
      <c r="AH49" s="52" t="n"/>
      <c r="AI49" s="52" t="n"/>
      <c r="AJ49" s="71">
        <f>CALC!AY7</f>
        <v>7</v>
      </c>
      <c r="AK49" s="52" t="n"/>
      <c r="AL49" s="52" t="n"/>
      <c r="AM49" s="71">
        <f>CALC!AZ7</f>
        <v>8</v>
      </c>
      <c r="AN49" s="52" t="n"/>
      <c r="AO49" s="52" t="n"/>
      <c r="AP49" s="71">
        <f>CALC!BA7</f>
        <v>5</v>
      </c>
      <c r="AQ49" s="52" t="n"/>
      <c r="AR49" s="52" t="n"/>
      <c r="AS49" s="73">
        <f>CALC!BB7</f>
        <v>0.15625</v>
      </c>
      <c r="AT49" s="52" t="n"/>
      <c r="AU49" s="52" t="n"/>
      <c r="AV49" s="52" t="n"/>
      <c r="AW49" s="1" t="n"/>
    </row>
    <row r="50" ht="18" customHeight="1">
      <c r="A50" s="1" t="n"/>
      <c r="B50" s="64" t="str">
        <f>CALC!AF8</f>
        <v>BRUNO CARVALHO</v>
      </c>
      <c r="C50" s="52" t="n"/>
      <c r="D50" s="52" t="n"/>
      <c r="E50" s="52" t="n"/>
      <c r="F50" s="52" t="n"/>
      <c r="G50" s="52" t="n"/>
      <c r="H50" s="52" t="n"/>
      <c r="I50" s="65">
        <f>CALC!AG8</f>
        <v>14</v>
      </c>
      <c r="J50" s="52" t="n"/>
      <c r="K50" s="52" t="n"/>
      <c r="L50" s="66">
        <f>CALC!AH8</f>
        <v>6</v>
      </c>
      <c r="M50" s="52" t="n"/>
      <c r="N50" s="52" t="n"/>
      <c r="O50" s="66">
        <f>CALC!AI8</f>
        <v>8</v>
      </c>
      <c r="P50" s="52" t="n"/>
      <c r="Q50" s="52" t="n"/>
      <c r="R50" s="67">
        <f>CALC!AK8</f>
        <v>0</v>
      </c>
      <c r="S50" s="52" t="n"/>
      <c r="T50" s="52" t="n"/>
      <c r="U50" s="68">
        <f>CALC!AL8</f>
        <v>0.145833333333333</v>
      </c>
      <c r="V50" s="52" t="n"/>
      <c r="W50" s="52" t="n"/>
      <c r="X50" s="52" t="n"/>
      <c r="Y50" s="1" t="n"/>
      <c r="Z50" s="64" t="str">
        <f>CALC!AW8</f>
        <v>FARMÁCIA</v>
      </c>
      <c r="AA50" s="52" t="n"/>
      <c r="AB50" s="52" t="n"/>
      <c r="AC50" s="52" t="n"/>
      <c r="AD50" s="52" t="n"/>
      <c r="AE50" s="52" t="n"/>
      <c r="AF50" s="52" t="n"/>
      <c r="AG50" s="65">
        <f>CALC!AX8</f>
        <v>13</v>
      </c>
      <c r="AH50" s="52" t="n"/>
      <c r="AI50" s="52" t="n"/>
      <c r="AJ50" s="66">
        <f>CALC!AY8</f>
        <v>6</v>
      </c>
      <c r="AK50" s="52" t="n"/>
      <c r="AL50" s="52" t="n"/>
      <c r="AM50" s="66">
        <f>CALC!AZ8</f>
        <v>7</v>
      </c>
      <c r="AN50" s="52" t="n"/>
      <c r="AO50" s="52" t="n"/>
      <c r="AP50" s="66">
        <f>CALC!BA8</f>
        <v>3</v>
      </c>
      <c r="AQ50" s="52" t="n"/>
      <c r="AR50" s="52" t="n"/>
      <c r="AS50" s="68">
        <f>CALC!BB8</f>
        <v>0.135416666666667</v>
      </c>
      <c r="AT50" s="52" t="n"/>
      <c r="AU50" s="52" t="n"/>
      <c r="AV50" s="52" t="n"/>
      <c r="AW50" s="1" t="n"/>
    </row>
    <row r="51" ht="18" customHeight="1">
      <c r="A51" s="1" t="n"/>
      <c r="B51" s="69" t="str">
        <f>CALC!AF9</f>
        <v>DIEGO RIBEIRO</v>
      </c>
      <c r="C51" s="52" t="n"/>
      <c r="D51" s="52" t="n"/>
      <c r="E51" s="52" t="n"/>
      <c r="F51" s="52" t="n"/>
      <c r="G51" s="52" t="n"/>
      <c r="H51" s="52" t="n"/>
      <c r="I51" s="70">
        <f>CALC!AG9</f>
        <v>14</v>
      </c>
      <c r="J51" s="52" t="n"/>
      <c r="K51" s="52" t="n"/>
      <c r="L51" s="71">
        <f>CALC!AH9</f>
        <v>6</v>
      </c>
      <c r="M51" s="52" t="n"/>
      <c r="N51" s="52" t="n"/>
      <c r="O51" s="71">
        <f>CALC!AI9</f>
        <v>8</v>
      </c>
      <c r="P51" s="52" t="n"/>
      <c r="Q51" s="52" t="n"/>
      <c r="R51" s="72">
        <f>CALC!AK9</f>
        <v>0</v>
      </c>
      <c r="S51" s="52" t="n"/>
      <c r="T51" s="52" t="n"/>
      <c r="U51" s="73">
        <f>CALC!AL9</f>
        <v>0.145833333333333</v>
      </c>
      <c r="V51" s="52" t="n"/>
      <c r="W51" s="52" t="n"/>
      <c r="X51" s="52" t="n"/>
      <c r="Y51" s="1" t="n"/>
      <c r="Z51" s="69" t="str">
        <f>CALC!AW9</f>
        <v>ACADEMIA</v>
      </c>
      <c r="AA51" s="52" t="n"/>
      <c r="AB51" s="52" t="n"/>
      <c r="AC51" s="52" t="n"/>
      <c r="AD51" s="52" t="n"/>
      <c r="AE51" s="52" t="n"/>
      <c r="AF51" s="52" t="n"/>
      <c r="AG51" s="70">
        <f>CALC!AX9</f>
        <v>11</v>
      </c>
      <c r="AH51" s="52" t="n"/>
      <c r="AI51" s="52" t="n"/>
      <c r="AJ51" s="71">
        <f>CALC!AY9</f>
        <v>7</v>
      </c>
      <c r="AK51" s="52" t="n"/>
      <c r="AL51" s="52" t="n"/>
      <c r="AM51" s="71">
        <f>CALC!AZ9</f>
        <v>4</v>
      </c>
      <c r="AN51" s="52" t="n"/>
      <c r="AO51" s="52" t="n"/>
      <c r="AP51" s="71">
        <f>CALC!BA9</f>
        <v>4</v>
      </c>
      <c r="AQ51" s="52" t="n"/>
      <c r="AR51" s="52" t="n"/>
      <c r="AS51" s="73">
        <f>CALC!BB9</f>
        <v>0.114583333333333</v>
      </c>
      <c r="AT51" s="52" t="n"/>
      <c r="AU51" s="52" t="n"/>
      <c r="AV51" s="52" t="n"/>
      <c r="AW51" s="1" t="n"/>
    </row>
    <row r="52" ht="18" customHeight="1">
      <c r="A52" s="1" t="n"/>
      <c r="B52" s="64" t="str">
        <f>CALC!AF10</f>
        <v>HENRIQUE COSTA</v>
      </c>
      <c r="C52" s="52" t="n"/>
      <c r="D52" s="52" t="n"/>
      <c r="E52" s="52" t="n"/>
      <c r="F52" s="52" t="n"/>
      <c r="G52" s="52" t="n"/>
      <c r="H52" s="52" t="n"/>
      <c r="I52" s="65">
        <f>CALC!AG10</f>
        <v>10</v>
      </c>
      <c r="J52" s="52" t="n"/>
      <c r="K52" s="52" t="n"/>
      <c r="L52" s="66">
        <f>CALC!AH10</f>
        <v>4</v>
      </c>
      <c r="M52" s="52" t="n"/>
      <c r="N52" s="52" t="n"/>
      <c r="O52" s="66">
        <f>CALC!AI10</f>
        <v>6</v>
      </c>
      <c r="P52" s="52" t="n"/>
      <c r="Q52" s="52" t="n"/>
      <c r="R52" s="67">
        <f>CALC!AK10</f>
        <v>0</v>
      </c>
      <c r="S52" s="52" t="n"/>
      <c r="T52" s="52" t="n"/>
      <c r="U52" s="68">
        <f>CALC!AL10</f>
        <v>0.104166666666667</v>
      </c>
      <c r="V52" s="52" t="n"/>
      <c r="W52" s="52" t="n"/>
      <c r="X52" s="52" t="n"/>
      <c r="Y52" s="1" t="n"/>
      <c r="Z52" s="64" t="str">
        <f>CALC!AW10</f>
        <v>POSTO DE COMBUSTÍVEL</v>
      </c>
      <c r="AA52" s="52" t="n"/>
      <c r="AB52" s="52" t="n"/>
      <c r="AC52" s="52" t="n"/>
      <c r="AD52" s="52" t="n"/>
      <c r="AE52" s="52" t="n"/>
      <c r="AF52" s="52" t="n"/>
      <c r="AG52" s="65">
        <f>CALC!AX10</f>
        <v>8</v>
      </c>
      <c r="AH52" s="52" t="n"/>
      <c r="AI52" s="52" t="n"/>
      <c r="AJ52" s="66">
        <f>CALC!AY10</f>
        <v>8</v>
      </c>
      <c r="AK52" s="52" t="n"/>
      <c r="AL52" s="52" t="n"/>
      <c r="AM52" s="66">
        <f>CALC!AZ10</f>
        <v>0</v>
      </c>
      <c r="AN52" s="52" t="n"/>
      <c r="AO52" s="52" t="n"/>
      <c r="AP52" s="66">
        <f>CALC!BA10</f>
        <v>5</v>
      </c>
      <c r="AQ52" s="52" t="n"/>
      <c r="AR52" s="52" t="n"/>
      <c r="AS52" s="68">
        <f>CALC!BB10</f>
        <v>0.0833333333333333</v>
      </c>
      <c r="AT52" s="52" t="n"/>
      <c r="AU52" s="52" t="n"/>
      <c r="AV52" s="52" t="n"/>
      <c r="AW52" s="1" t="n"/>
    </row>
    <row r="53" ht="18" customHeight="1">
      <c r="A53" s="1" t="n"/>
      <c r="B53" s="69" t="str">
        <f>CALC!AF11</f>
        <v>EDUARDA LIMA</v>
      </c>
      <c r="C53" s="52" t="n"/>
      <c r="D53" s="52" t="n"/>
      <c r="E53" s="52" t="n"/>
      <c r="F53" s="52" t="n"/>
      <c r="G53" s="52" t="n"/>
      <c r="H53" s="52" t="n"/>
      <c r="I53" s="70">
        <f>CALC!AG11</f>
        <v>9</v>
      </c>
      <c r="J53" s="52" t="n"/>
      <c r="K53" s="52" t="n"/>
      <c r="L53" s="71">
        <f>CALC!AH11</f>
        <v>1</v>
      </c>
      <c r="M53" s="52" t="n"/>
      <c r="N53" s="52" t="n"/>
      <c r="O53" s="71">
        <f>CALC!AI11</f>
        <v>8</v>
      </c>
      <c r="P53" s="52" t="n"/>
      <c r="Q53" s="52" t="n"/>
      <c r="R53" s="72">
        <f>CALC!AK11</f>
        <v>0</v>
      </c>
      <c r="S53" s="52" t="n"/>
      <c r="T53" s="52" t="n"/>
      <c r="U53" s="73">
        <f>CALC!AL11</f>
        <v>0.09375</v>
      </c>
      <c r="V53" s="52" t="n"/>
      <c r="W53" s="52" t="n"/>
      <c r="X53" s="52" t="n"/>
      <c r="Y53" s="1" t="n"/>
      <c r="Z53" s="69" t="str">
        <f>CALC!AW11</f>
        <v>SUPERMERCADO</v>
      </c>
      <c r="AA53" s="52" t="n"/>
      <c r="AB53" s="52" t="n"/>
      <c r="AC53" s="52" t="n"/>
      <c r="AD53" s="52" t="n"/>
      <c r="AE53" s="52" t="n"/>
      <c r="AF53" s="52" t="n"/>
      <c r="AG53" s="70">
        <f>CALC!AX11</f>
        <v>8</v>
      </c>
      <c r="AH53" s="52" t="n"/>
      <c r="AI53" s="52" t="n"/>
      <c r="AJ53" s="71">
        <f>CALC!AY11</f>
        <v>6</v>
      </c>
      <c r="AK53" s="52" t="n"/>
      <c r="AL53" s="52" t="n"/>
      <c r="AM53" s="71">
        <f>CALC!AZ11</f>
        <v>2</v>
      </c>
      <c r="AN53" s="52" t="n"/>
      <c r="AO53" s="52" t="n"/>
      <c r="AP53" s="71">
        <f>CALC!BA11</f>
        <v>3</v>
      </c>
      <c r="AQ53" s="52" t="n"/>
      <c r="AR53" s="52" t="n"/>
      <c r="AS53" s="73">
        <f>CALC!BB11</f>
        <v>0.0833333333333333</v>
      </c>
      <c r="AT53" s="52" t="n"/>
      <c r="AU53" s="52" t="n"/>
      <c r="AV53" s="52" t="n"/>
      <c r="AW53" s="1" t="n"/>
    </row>
    <row r="54" ht="18" customHeight="1">
      <c r="A54" s="1" t="n"/>
      <c r="B54" s="64" t="str">
        <f>CALC!AF12</f>
        <v>FELIPE ARAÚJO</v>
      </c>
      <c r="C54" s="52" t="n"/>
      <c r="D54" s="52" t="n"/>
      <c r="E54" s="52" t="n"/>
      <c r="F54" s="52" t="n"/>
      <c r="G54" s="52" t="n"/>
      <c r="H54" s="52" t="n"/>
      <c r="I54" s="65">
        <f>CALC!AG12</f>
        <v>9</v>
      </c>
      <c r="J54" s="52" t="n"/>
      <c r="K54" s="52" t="n"/>
      <c r="L54" s="66">
        <f>CALC!AH12</f>
        <v>3</v>
      </c>
      <c r="M54" s="52" t="n"/>
      <c r="N54" s="52" t="n"/>
      <c r="O54" s="66">
        <f>CALC!AI12</f>
        <v>6</v>
      </c>
      <c r="P54" s="52" t="n"/>
      <c r="Q54" s="52" t="n"/>
      <c r="R54" s="67">
        <f>CALC!AK12</f>
        <v>0</v>
      </c>
      <c r="S54" s="52" t="n"/>
      <c r="T54" s="52" t="n"/>
      <c r="U54" s="68">
        <f>CALC!AL12</f>
        <v>0.09375</v>
      </c>
      <c r="V54" s="52" t="n"/>
      <c r="W54" s="52" t="n"/>
      <c r="X54" s="52" t="n"/>
      <c r="Y54" s="1" t="n"/>
      <c r="Z54" s="64" t="str">
        <f>CALC!AW12</f>
        <v>RESTAURANTE</v>
      </c>
      <c r="AA54" s="52" t="n"/>
      <c r="AB54" s="52" t="n"/>
      <c r="AC54" s="52" t="n"/>
      <c r="AD54" s="52" t="n"/>
      <c r="AE54" s="52" t="n"/>
      <c r="AF54" s="52" t="n"/>
      <c r="AG54" s="65">
        <f>CALC!AX12</f>
        <v>6</v>
      </c>
      <c r="AH54" s="52" t="n"/>
      <c r="AI54" s="52" t="n"/>
      <c r="AJ54" s="66">
        <f>CALC!AY12</f>
        <v>3</v>
      </c>
      <c r="AK54" s="52" t="n"/>
      <c r="AL54" s="52" t="n"/>
      <c r="AM54" s="66">
        <f>CALC!AZ12</f>
        <v>3</v>
      </c>
      <c r="AN54" s="52" t="n"/>
      <c r="AO54" s="52" t="n"/>
      <c r="AP54" s="66">
        <f>CALC!BA12</f>
        <v>4</v>
      </c>
      <c r="AQ54" s="52" t="n"/>
      <c r="AR54" s="52" t="n"/>
      <c r="AS54" s="68">
        <f>CALC!BB12</f>
        <v>0.0625</v>
      </c>
      <c r="AT54" s="52" t="n"/>
      <c r="AU54" s="52" t="n"/>
      <c r="AV54" s="52" t="n"/>
      <c r="AW54" s="1" t="n"/>
    </row>
    <row r="55" ht="18" customHeight="1">
      <c r="A55" s="1" t="n"/>
      <c r="B55" s="69" t="str">
        <f>CALC!AF13</f>
        <v>GABRIELA NUNES</v>
      </c>
      <c r="C55" s="52" t="n"/>
      <c r="D55" s="52" t="n"/>
      <c r="E55" s="52" t="n"/>
      <c r="F55" s="52" t="n"/>
      <c r="G55" s="52" t="n"/>
      <c r="H55" s="52" t="n"/>
      <c r="I55" s="70">
        <f>CALC!AG13</f>
        <v>9</v>
      </c>
      <c r="J55" s="52" t="n"/>
      <c r="K55" s="52" t="n"/>
      <c r="L55" s="71">
        <f>CALC!AH13</f>
        <v>2</v>
      </c>
      <c r="M55" s="52" t="n"/>
      <c r="N55" s="52" t="n"/>
      <c r="O55" s="71">
        <f>CALC!AI13</f>
        <v>7</v>
      </c>
      <c r="P55" s="52" t="n"/>
      <c r="Q55" s="52" t="n"/>
      <c r="R55" s="72">
        <f>CALC!AK13</f>
        <v>0</v>
      </c>
      <c r="S55" s="52" t="n"/>
      <c r="T55" s="52" t="n"/>
      <c r="U55" s="73">
        <f>CALC!AL13</f>
        <v>0.09375</v>
      </c>
      <c r="V55" s="52" t="n"/>
      <c r="W55" s="52" t="n"/>
      <c r="X55" s="52" t="n"/>
      <c r="Y55" s="1" t="n"/>
      <c r="Z55" s="69" t="str">
        <f>CALC!AW13</f>
        <v>ESCOLA</v>
      </c>
      <c r="AA55" s="52" t="n"/>
      <c r="AB55" s="52" t="n"/>
      <c r="AC55" s="52" t="n"/>
      <c r="AD55" s="52" t="n"/>
      <c r="AE55" s="52" t="n"/>
      <c r="AF55" s="52" t="n"/>
      <c r="AG55" s="70">
        <f>CALC!AX13</f>
        <v>4</v>
      </c>
      <c r="AH55" s="52" t="n"/>
      <c r="AI55" s="52" t="n"/>
      <c r="AJ55" s="71">
        <f>CALC!AY13</f>
        <v>2</v>
      </c>
      <c r="AK55" s="52" t="n"/>
      <c r="AL55" s="52" t="n"/>
      <c r="AM55" s="71">
        <f>CALC!AZ13</f>
        <v>2</v>
      </c>
      <c r="AN55" s="52" t="n"/>
      <c r="AO55" s="52" t="n"/>
      <c r="AP55" s="71">
        <f>CALC!BA13</f>
        <v>1</v>
      </c>
      <c r="AQ55" s="52" t="n"/>
      <c r="AR55" s="52" t="n"/>
      <c r="AS55" s="73">
        <f>CALC!BB13</f>
        <v>0.0416666666666667</v>
      </c>
      <c r="AT55" s="52" t="n"/>
      <c r="AU55" s="52" t="n"/>
      <c r="AV55" s="52" t="n"/>
      <c r="AW55" s="1" t="n"/>
    </row>
    <row r="56" ht="18" customHeight="1">
      <c r="A56" s="1" t="n"/>
      <c r="B56" s="64" t="str">
        <f>CALC!AF14</f>
        <v/>
      </c>
      <c r="C56" s="52" t="n"/>
      <c r="D56" s="52" t="n"/>
      <c r="E56" s="52" t="n"/>
      <c r="F56" s="52" t="n"/>
      <c r="G56" s="52" t="n"/>
      <c r="H56" s="52" t="n"/>
      <c r="I56" s="65" t="str">
        <f>CALC!AG14</f>
        <v/>
      </c>
      <c r="J56" s="52" t="n"/>
      <c r="K56" s="52" t="n"/>
      <c r="L56" s="66" t="str">
        <f>CALC!AH14</f>
        <v/>
      </c>
      <c r="M56" s="52" t="n"/>
      <c r="N56" s="52" t="n"/>
      <c r="O56" s="66" t="str">
        <f>CALC!AI14</f>
        <v/>
      </c>
      <c r="P56" s="52" t="n"/>
      <c r="Q56" s="52" t="n"/>
      <c r="R56" s="67" t="str">
        <f>CALC!AK14</f>
        <v/>
      </c>
      <c r="S56" s="52" t="n"/>
      <c r="T56" s="52" t="n"/>
      <c r="U56" s="68" t="str">
        <f>CALC!AL14</f>
        <v/>
      </c>
      <c r="V56" s="52" t="n"/>
      <c r="W56" s="52" t="n"/>
      <c r="X56" s="52" t="n"/>
      <c r="Y56" s="1" t="n"/>
      <c r="Z56" s="64" t="str">
        <f>CALC!AW14</f>
        <v>TELEFONIA</v>
      </c>
      <c r="AA56" s="52" t="n"/>
      <c r="AB56" s="52" t="n"/>
      <c r="AC56" s="52" t="n"/>
      <c r="AD56" s="52" t="n"/>
      <c r="AE56" s="52" t="n"/>
      <c r="AF56" s="52" t="n"/>
      <c r="AG56" s="65">
        <f>CALC!AX14</f>
        <v>4</v>
      </c>
      <c r="AH56" s="52" t="n"/>
      <c r="AI56" s="52" t="n"/>
      <c r="AJ56" s="66">
        <f>CALC!AY14</f>
        <v>2</v>
      </c>
      <c r="AK56" s="52" t="n"/>
      <c r="AL56" s="52" t="n"/>
      <c r="AM56" s="66">
        <f>CALC!AZ14</f>
        <v>2</v>
      </c>
      <c r="AN56" s="52" t="n"/>
      <c r="AO56" s="52" t="n"/>
      <c r="AP56" s="66">
        <f>CALC!BA14</f>
        <v>1</v>
      </c>
      <c r="AQ56" s="52" t="n"/>
      <c r="AR56" s="52" t="n"/>
      <c r="AS56" s="68">
        <f>CALC!BB14</f>
        <v>0.0416666666666667</v>
      </c>
      <c r="AT56" s="52" t="n"/>
      <c r="AU56" s="52" t="n"/>
      <c r="AV56" s="52" t="n"/>
      <c r="AW56" s="1" t="n"/>
    </row>
    <row r="57" ht="18" customHeight="1">
      <c r="A57" s="1" t="n"/>
      <c r="B57" s="69" t="str">
        <f>CALC!AF15</f>
        <v/>
      </c>
      <c r="C57" s="52" t="n"/>
      <c r="D57" s="52" t="n"/>
      <c r="E57" s="52" t="n"/>
      <c r="F57" s="52" t="n"/>
      <c r="G57" s="52" t="n"/>
      <c r="H57" s="52" t="n"/>
      <c r="I57" s="70" t="str">
        <f>CALC!AG15</f>
        <v/>
      </c>
      <c r="J57" s="52" t="n"/>
      <c r="K57" s="52" t="n"/>
      <c r="L57" s="71" t="str">
        <f>CALC!AH15</f>
        <v/>
      </c>
      <c r="M57" s="52" t="n"/>
      <c r="N57" s="52" t="n"/>
      <c r="O57" s="71" t="str">
        <f>CALC!AI15</f>
        <v/>
      </c>
      <c r="P57" s="52" t="n"/>
      <c r="Q57" s="52" t="n"/>
      <c r="R57" s="72" t="str">
        <f>CALC!AK15</f>
        <v/>
      </c>
      <c r="S57" s="52" t="n"/>
      <c r="T57" s="52" t="n"/>
      <c r="U57" s="73" t="str">
        <f>CALC!AL15</f>
        <v/>
      </c>
      <c r="V57" s="52" t="n"/>
      <c r="W57" s="52" t="n"/>
      <c r="X57" s="52" t="n"/>
      <c r="Y57" s="1" t="n"/>
      <c r="Z57" s="69" t="str">
        <f>CALC!AW15</f>
        <v>OUTROS</v>
      </c>
      <c r="AA57" s="52" t="n"/>
      <c r="AB57" s="52" t="n"/>
      <c r="AC57" s="52" t="n"/>
      <c r="AD57" s="52" t="n"/>
      <c r="AE57" s="52" t="n"/>
      <c r="AF57" s="52" t="n"/>
      <c r="AG57" s="70">
        <f>CALC!AX15</f>
        <v>4</v>
      </c>
      <c r="AH57" s="52" t="n"/>
      <c r="AI57" s="52" t="n"/>
      <c r="AJ57" s="71">
        <f>CALC!AY15</f>
        <v>4</v>
      </c>
      <c r="AK57" s="52" t="n"/>
      <c r="AL57" s="52" t="n"/>
      <c r="AM57" s="71">
        <f>CALC!AZ15</f>
        <v>0</v>
      </c>
      <c r="AN57" s="52" t="n"/>
      <c r="AO57" s="52" t="n"/>
      <c r="AP57" s="71">
        <f>CALC!BA15</f>
        <v>0</v>
      </c>
      <c r="AQ57" s="52" t="n"/>
      <c r="AR57" s="52" t="n"/>
      <c r="AS57" s="73">
        <f>CALC!BB15</f>
        <v>0.0416666666666667</v>
      </c>
      <c r="AT57" s="52" t="n"/>
      <c r="AU57" s="52" t="n"/>
      <c r="AV57" s="52" t="n"/>
      <c r="AW57" s="1" t="n"/>
    </row>
    <row r="58" ht="12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</row>
    <row r="59" ht="20" customHeight="1">
      <c r="A59" s="1" t="n"/>
      <c r="B59" s="18" t="str">
        <f>"EVOLUÇÃO MENSAL — ANO "&amp;FiltroAno</f>
        <v>EVOLUÇÃO MENSAL — ANO 2026</v>
      </c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19" t="n"/>
      <c r="AM59" s="19" t="n"/>
      <c r="AN59" s="19" t="n"/>
      <c r="AO59" s="19" t="n"/>
      <c r="AP59" s="19" t="n"/>
      <c r="AQ59" s="19" t="n"/>
      <c r="AR59" s="19" t="n"/>
      <c r="AS59" s="19" t="n"/>
      <c r="AT59" s="19" t="n"/>
      <c r="AU59" s="19" t="n"/>
      <c r="AV59" s="19" t="n"/>
      <c r="AW59" s="1" t="n"/>
    </row>
    <row r="60" ht="6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</row>
    <row r="61" ht="20" customHeight="1">
      <c r="A61" s="1" t="n"/>
      <c r="B61" s="50" t="inlineStr">
        <is>
          <t>INDICADOR</t>
        </is>
      </c>
      <c r="J61" s="50" t="inlineStr">
        <is>
          <t>JAN</t>
        </is>
      </c>
      <c r="M61" s="50" t="inlineStr">
        <is>
          <t>FEV</t>
        </is>
      </c>
      <c r="P61" s="50" t="inlineStr">
        <is>
          <t>MAR</t>
        </is>
      </c>
      <c r="S61" s="50" t="inlineStr">
        <is>
          <t>ABR</t>
        </is>
      </c>
      <c r="V61" s="50" t="inlineStr">
        <is>
          <t>MAI</t>
        </is>
      </c>
      <c r="Y61" s="50" t="inlineStr">
        <is>
          <t>JUN</t>
        </is>
      </c>
      <c r="AB61" s="50" t="inlineStr">
        <is>
          <t>JUL</t>
        </is>
      </c>
      <c r="AE61" s="50" t="inlineStr">
        <is>
          <t>AGO</t>
        </is>
      </c>
      <c r="AH61" s="50" t="inlineStr">
        <is>
          <t>SET</t>
        </is>
      </c>
      <c r="AK61" s="50" t="inlineStr">
        <is>
          <t>OUT</t>
        </is>
      </c>
      <c r="AN61" s="50" t="inlineStr">
        <is>
          <t>NOV</t>
        </is>
      </c>
      <c r="AQ61" s="50" t="inlineStr">
        <is>
          <t>DEZ</t>
        </is>
      </c>
      <c r="AT61" s="74" t="inlineStr">
        <is>
          <t>ANO</t>
        </is>
      </c>
      <c r="AW61" s="1" t="n"/>
    </row>
    <row r="62" ht="18" customHeight="1">
      <c r="A62" s="1" t="n"/>
      <c r="B62" s="64" t="inlineStr">
        <is>
          <t>Fiscalizações</t>
        </is>
      </c>
      <c r="C62" s="52" t="n"/>
      <c r="D62" s="52" t="n"/>
      <c r="E62" s="52" t="n"/>
      <c r="F62" s="52" t="n"/>
      <c r="G62" s="52" t="n"/>
      <c r="H62" s="52" t="n"/>
      <c r="I62" s="52" t="n"/>
      <c r="J62" s="65">
        <f>CALC!N6</f>
        <v>1</v>
      </c>
      <c r="K62" s="52" t="n"/>
      <c r="L62" s="52" t="n"/>
      <c r="M62" s="65">
        <f>CALC!N7</f>
        <v>3</v>
      </c>
      <c r="N62" s="52" t="n"/>
      <c r="O62" s="52" t="n"/>
      <c r="P62" s="65">
        <f>CALC!N8</f>
        <v>4</v>
      </c>
      <c r="Q62" s="52" t="n"/>
      <c r="R62" s="52" t="n"/>
      <c r="S62" s="65">
        <f>CALC!N9</f>
        <v>9</v>
      </c>
      <c r="T62" s="52" t="n"/>
      <c r="U62" s="52" t="n"/>
      <c r="V62" s="65">
        <f>CALC!N10</f>
        <v>6</v>
      </c>
      <c r="W62" s="52" t="n"/>
      <c r="X62" s="52" t="n"/>
      <c r="Y62" s="65">
        <f>CALC!N11</f>
        <v>9</v>
      </c>
      <c r="Z62" s="52" t="n"/>
      <c r="AA62" s="52" t="n"/>
      <c r="AB62" s="65">
        <f>CALC!N12</f>
        <v>20</v>
      </c>
      <c r="AC62" s="52" t="n"/>
      <c r="AD62" s="52" t="n"/>
      <c r="AE62" s="65">
        <f>CALC!N13</f>
        <v>14</v>
      </c>
      <c r="AF62" s="52" t="n"/>
      <c r="AG62" s="52" t="n"/>
      <c r="AH62" s="65">
        <f>CALC!N14</f>
        <v>16</v>
      </c>
      <c r="AI62" s="52" t="n"/>
      <c r="AJ62" s="52" t="n"/>
      <c r="AK62" s="65">
        <f>CALC!N15</f>
        <v>14</v>
      </c>
      <c r="AL62" s="52" t="n"/>
      <c r="AM62" s="52" t="n"/>
      <c r="AN62" s="65">
        <f>CALC!N16</f>
        <v>0</v>
      </c>
      <c r="AO62" s="52" t="n"/>
      <c r="AP62" s="52" t="n"/>
      <c r="AQ62" s="65">
        <f>CALC!N17</f>
        <v>0</v>
      </c>
      <c r="AR62" s="52" t="n"/>
      <c r="AS62" s="52" t="n"/>
      <c r="AT62" s="75">
        <f>SUM(CALC!N6:N17)</f>
        <v>96</v>
      </c>
      <c r="AU62" s="52" t="n"/>
      <c r="AV62" s="52" t="n"/>
      <c r="AW62" s="1" t="n"/>
    </row>
    <row r="63" ht="18" customHeight="1">
      <c r="A63" s="1" t="n"/>
      <c r="B63" s="76" t="inlineStr">
        <is>
          <t>Notif. Constatação</t>
        </is>
      </c>
      <c r="C63" s="52" t="n"/>
      <c r="D63" s="52" t="n"/>
      <c r="E63" s="52" t="n"/>
      <c r="F63" s="52" t="n"/>
      <c r="G63" s="52" t="n"/>
      <c r="H63" s="52" t="n"/>
      <c r="I63" s="52" t="n"/>
      <c r="J63" s="71">
        <f>CALC!O6</f>
        <v>1</v>
      </c>
      <c r="K63" s="52" t="n"/>
      <c r="L63" s="52" t="n"/>
      <c r="M63" s="71">
        <f>CALC!O7</f>
        <v>2</v>
      </c>
      <c r="N63" s="52" t="n"/>
      <c r="O63" s="52" t="n"/>
      <c r="P63" s="71">
        <f>CALC!O8</f>
        <v>3</v>
      </c>
      <c r="Q63" s="52" t="n"/>
      <c r="R63" s="52" t="n"/>
      <c r="S63" s="71">
        <f>CALC!O9</f>
        <v>4</v>
      </c>
      <c r="T63" s="52" t="n"/>
      <c r="U63" s="52" t="n"/>
      <c r="V63" s="71">
        <f>CALC!O10</f>
        <v>3</v>
      </c>
      <c r="W63" s="52" t="n"/>
      <c r="X63" s="52" t="n"/>
      <c r="Y63" s="71">
        <f>CALC!O11</f>
        <v>8</v>
      </c>
      <c r="Z63" s="52" t="n"/>
      <c r="AA63" s="52" t="n"/>
      <c r="AB63" s="71">
        <f>CALC!O12</f>
        <v>13</v>
      </c>
      <c r="AC63" s="52" t="n"/>
      <c r="AD63" s="52" t="n"/>
      <c r="AE63" s="71">
        <f>CALC!O13</f>
        <v>10</v>
      </c>
      <c r="AF63" s="52" t="n"/>
      <c r="AG63" s="52" t="n"/>
      <c r="AH63" s="71">
        <f>CALC!O14</f>
        <v>8</v>
      </c>
      <c r="AI63" s="52" t="n"/>
      <c r="AJ63" s="52" t="n"/>
      <c r="AK63" s="71">
        <f>CALC!O15</f>
        <v>9</v>
      </c>
      <c r="AL63" s="52" t="n"/>
      <c r="AM63" s="52" t="n"/>
      <c r="AN63" s="71">
        <f>CALC!O16</f>
        <v>0</v>
      </c>
      <c r="AO63" s="52" t="n"/>
      <c r="AP63" s="52" t="n"/>
      <c r="AQ63" s="71">
        <f>CALC!O17</f>
        <v>0</v>
      </c>
      <c r="AR63" s="52" t="n"/>
      <c r="AS63" s="52" t="n"/>
      <c r="AT63" s="75">
        <f>SUM(CALC!O6:O17)</f>
        <v>61</v>
      </c>
      <c r="AU63" s="52" t="n"/>
      <c r="AV63" s="52" t="n"/>
      <c r="AW63" s="1" t="n"/>
    </row>
    <row r="64" ht="18" customHeight="1">
      <c r="A64" s="1" t="n"/>
      <c r="B64" s="77" t="inlineStr">
        <is>
          <t>Notif. Esclarecimento</t>
        </is>
      </c>
      <c r="C64" s="52" t="n"/>
      <c r="D64" s="52" t="n"/>
      <c r="E64" s="52" t="n"/>
      <c r="F64" s="52" t="n"/>
      <c r="G64" s="52" t="n"/>
      <c r="H64" s="52" t="n"/>
      <c r="I64" s="52" t="n"/>
      <c r="J64" s="66">
        <f>CALC!P6</f>
        <v>0</v>
      </c>
      <c r="K64" s="52" t="n"/>
      <c r="L64" s="52" t="n"/>
      <c r="M64" s="66">
        <f>CALC!P7</f>
        <v>1</v>
      </c>
      <c r="N64" s="52" t="n"/>
      <c r="O64" s="52" t="n"/>
      <c r="P64" s="66">
        <f>CALC!P8</f>
        <v>1</v>
      </c>
      <c r="Q64" s="52" t="n"/>
      <c r="R64" s="52" t="n"/>
      <c r="S64" s="66">
        <f>CALC!P9</f>
        <v>5</v>
      </c>
      <c r="T64" s="52" t="n"/>
      <c r="U64" s="52" t="n"/>
      <c r="V64" s="66">
        <f>CALC!P10</f>
        <v>3</v>
      </c>
      <c r="W64" s="52" t="n"/>
      <c r="X64" s="52" t="n"/>
      <c r="Y64" s="66">
        <f>CALC!P11</f>
        <v>1</v>
      </c>
      <c r="Z64" s="52" t="n"/>
      <c r="AA64" s="52" t="n"/>
      <c r="AB64" s="66">
        <f>CALC!P12</f>
        <v>7</v>
      </c>
      <c r="AC64" s="52" t="n"/>
      <c r="AD64" s="52" t="n"/>
      <c r="AE64" s="66">
        <f>CALC!P13</f>
        <v>4</v>
      </c>
      <c r="AF64" s="52" t="n"/>
      <c r="AG64" s="52" t="n"/>
      <c r="AH64" s="66">
        <f>CALC!P14</f>
        <v>8</v>
      </c>
      <c r="AI64" s="52" t="n"/>
      <c r="AJ64" s="52" t="n"/>
      <c r="AK64" s="66">
        <f>CALC!P15</f>
        <v>5</v>
      </c>
      <c r="AL64" s="52" t="n"/>
      <c r="AM64" s="52" t="n"/>
      <c r="AN64" s="66">
        <f>CALC!P16</f>
        <v>0</v>
      </c>
      <c r="AO64" s="52" t="n"/>
      <c r="AP64" s="52" t="n"/>
      <c r="AQ64" s="66">
        <f>CALC!P17</f>
        <v>0</v>
      </c>
      <c r="AR64" s="52" t="n"/>
      <c r="AS64" s="52" t="n"/>
      <c r="AT64" s="75">
        <f>SUM(CALC!P6:P17)</f>
        <v>35</v>
      </c>
      <c r="AU64" s="52" t="n"/>
      <c r="AV64" s="52" t="n"/>
      <c r="AW64" s="1" t="n"/>
    </row>
    <row r="65" ht="18" customHeight="1">
      <c r="A65" s="1" t="n"/>
      <c r="B65" s="76" t="inlineStr">
        <is>
          <t>Presenciais</t>
        </is>
      </c>
      <c r="C65" s="52" t="n"/>
      <c r="D65" s="52" t="n"/>
      <c r="E65" s="52" t="n"/>
      <c r="F65" s="52" t="n"/>
      <c r="G65" s="52" t="n"/>
      <c r="H65" s="52" t="n"/>
      <c r="I65" s="52" t="n"/>
      <c r="J65" s="71">
        <f>CALC!Q6</f>
        <v>1</v>
      </c>
      <c r="K65" s="52" t="n"/>
      <c r="L65" s="52" t="n"/>
      <c r="M65" s="71">
        <f>CALC!Q7</f>
        <v>1</v>
      </c>
      <c r="N65" s="52" t="n"/>
      <c r="O65" s="52" t="n"/>
      <c r="P65" s="71">
        <f>CALC!Q8</f>
        <v>2</v>
      </c>
      <c r="Q65" s="52" t="n"/>
      <c r="R65" s="52" t="n"/>
      <c r="S65" s="71">
        <f>CALC!Q9</f>
        <v>5</v>
      </c>
      <c r="T65" s="52" t="n"/>
      <c r="U65" s="52" t="n"/>
      <c r="V65" s="71">
        <f>CALC!Q10</f>
        <v>4</v>
      </c>
      <c r="W65" s="52" t="n"/>
      <c r="X65" s="52" t="n"/>
      <c r="Y65" s="71">
        <f>CALC!Q11</f>
        <v>6</v>
      </c>
      <c r="Z65" s="52" t="n"/>
      <c r="AA65" s="52" t="n"/>
      <c r="AB65" s="71">
        <f>CALC!Q12</f>
        <v>14</v>
      </c>
      <c r="AC65" s="52" t="n"/>
      <c r="AD65" s="52" t="n"/>
      <c r="AE65" s="71">
        <f>CALC!Q13</f>
        <v>9</v>
      </c>
      <c r="AF65" s="52" t="n"/>
      <c r="AG65" s="52" t="n"/>
      <c r="AH65" s="71">
        <f>CALC!Q14</f>
        <v>12</v>
      </c>
      <c r="AI65" s="52" t="n"/>
      <c r="AJ65" s="52" t="n"/>
      <c r="AK65" s="71">
        <f>CALC!Q15</f>
        <v>6</v>
      </c>
      <c r="AL65" s="52" t="n"/>
      <c r="AM65" s="52" t="n"/>
      <c r="AN65" s="71">
        <f>CALC!Q16</f>
        <v>0</v>
      </c>
      <c r="AO65" s="52" t="n"/>
      <c r="AP65" s="52" t="n"/>
      <c r="AQ65" s="71">
        <f>CALC!Q17</f>
        <v>0</v>
      </c>
      <c r="AR65" s="52" t="n"/>
      <c r="AS65" s="52" t="n"/>
      <c r="AT65" s="75">
        <f>SUM(CALC!Q6:Q17)</f>
        <v>60</v>
      </c>
      <c r="AU65" s="52" t="n"/>
      <c r="AV65" s="52" t="n"/>
      <c r="AW65" s="1" t="n"/>
    </row>
    <row r="66" ht="18" customHeight="1">
      <c r="A66" s="1" t="n"/>
      <c r="B66" s="77" t="inlineStr">
        <is>
          <t>Eletrônicas</t>
        </is>
      </c>
      <c r="C66" s="52" t="n"/>
      <c r="D66" s="52" t="n"/>
      <c r="E66" s="52" t="n"/>
      <c r="F66" s="52" t="n"/>
      <c r="G66" s="52" t="n"/>
      <c r="H66" s="52" t="n"/>
      <c r="I66" s="52" t="n"/>
      <c r="J66" s="66">
        <f>CALC!R6</f>
        <v>0</v>
      </c>
      <c r="K66" s="52" t="n"/>
      <c r="L66" s="52" t="n"/>
      <c r="M66" s="66">
        <f>CALC!R7</f>
        <v>2</v>
      </c>
      <c r="N66" s="52" t="n"/>
      <c r="O66" s="52" t="n"/>
      <c r="P66" s="66">
        <f>CALC!R8</f>
        <v>2</v>
      </c>
      <c r="Q66" s="52" t="n"/>
      <c r="R66" s="52" t="n"/>
      <c r="S66" s="66">
        <f>CALC!R9</f>
        <v>4</v>
      </c>
      <c r="T66" s="52" t="n"/>
      <c r="U66" s="52" t="n"/>
      <c r="V66" s="66">
        <f>CALC!R10</f>
        <v>2</v>
      </c>
      <c r="W66" s="52" t="n"/>
      <c r="X66" s="52" t="n"/>
      <c r="Y66" s="66">
        <f>CALC!R11</f>
        <v>3</v>
      </c>
      <c r="Z66" s="52" t="n"/>
      <c r="AA66" s="52" t="n"/>
      <c r="AB66" s="66">
        <f>CALC!R12</f>
        <v>6</v>
      </c>
      <c r="AC66" s="52" t="n"/>
      <c r="AD66" s="52" t="n"/>
      <c r="AE66" s="66">
        <f>CALC!R13</f>
        <v>5</v>
      </c>
      <c r="AF66" s="52" t="n"/>
      <c r="AG66" s="52" t="n"/>
      <c r="AH66" s="66">
        <f>CALC!R14</f>
        <v>4</v>
      </c>
      <c r="AI66" s="52" t="n"/>
      <c r="AJ66" s="52" t="n"/>
      <c r="AK66" s="66">
        <f>CALC!R15</f>
        <v>8</v>
      </c>
      <c r="AL66" s="52" t="n"/>
      <c r="AM66" s="52" t="n"/>
      <c r="AN66" s="66">
        <f>CALC!R16</f>
        <v>0</v>
      </c>
      <c r="AO66" s="52" t="n"/>
      <c r="AP66" s="52" t="n"/>
      <c r="AQ66" s="66">
        <f>CALC!R17</f>
        <v>0</v>
      </c>
      <c r="AR66" s="52" t="n"/>
      <c r="AS66" s="52" t="n"/>
      <c r="AT66" s="75">
        <f>SUM(CALC!R6:R17)</f>
        <v>36</v>
      </c>
      <c r="AU66" s="52" t="n"/>
      <c r="AV66" s="52" t="n"/>
      <c r="AW66" s="1" t="n"/>
    </row>
    <row r="67" ht="18" customHeight="1">
      <c r="A67" s="1" t="n"/>
      <c r="B67" s="76" t="inlineStr">
        <is>
          <t>Meta</t>
        </is>
      </c>
      <c r="C67" s="52" t="n"/>
      <c r="D67" s="52" t="n"/>
      <c r="E67" s="52" t="n"/>
      <c r="F67" s="52" t="n"/>
      <c r="G67" s="52" t="n"/>
      <c r="H67" s="52" t="n"/>
      <c r="I67" s="52" t="n"/>
      <c r="J67" s="71">
        <f>CALC!S6</f>
        <v>12</v>
      </c>
      <c r="K67" s="52" t="n"/>
      <c r="L67" s="52" t="n"/>
      <c r="M67" s="71">
        <f>CALC!S7</f>
        <v>12</v>
      </c>
      <c r="N67" s="52" t="n"/>
      <c r="O67" s="52" t="n"/>
      <c r="P67" s="71">
        <f>CALC!S8</f>
        <v>12</v>
      </c>
      <c r="Q67" s="52" t="n"/>
      <c r="R67" s="52" t="n"/>
      <c r="S67" s="71">
        <f>CALC!S9</f>
        <v>12</v>
      </c>
      <c r="T67" s="52" t="n"/>
      <c r="U67" s="52" t="n"/>
      <c r="V67" s="71">
        <f>CALC!S10</f>
        <v>12</v>
      </c>
      <c r="W67" s="52" t="n"/>
      <c r="X67" s="52" t="n"/>
      <c r="Y67" s="71">
        <f>CALC!S11</f>
        <v>12</v>
      </c>
      <c r="Z67" s="52" t="n"/>
      <c r="AA67" s="52" t="n"/>
      <c r="AB67" s="71">
        <f>CALC!S12</f>
        <v>12</v>
      </c>
      <c r="AC67" s="52" t="n"/>
      <c r="AD67" s="52" t="n"/>
      <c r="AE67" s="71">
        <f>CALC!S13</f>
        <v>12</v>
      </c>
      <c r="AF67" s="52" t="n"/>
      <c r="AG67" s="52" t="n"/>
      <c r="AH67" s="71">
        <f>CALC!S14</f>
        <v>12</v>
      </c>
      <c r="AI67" s="52" t="n"/>
      <c r="AJ67" s="52" t="n"/>
      <c r="AK67" s="71">
        <f>CALC!S15</f>
        <v>12</v>
      </c>
      <c r="AL67" s="52" t="n"/>
      <c r="AM67" s="52" t="n"/>
      <c r="AN67" s="71">
        <f>CALC!S16</f>
        <v>12</v>
      </c>
      <c r="AO67" s="52" t="n"/>
      <c r="AP67" s="52" t="n"/>
      <c r="AQ67" s="71">
        <f>CALC!S17</f>
        <v>12</v>
      </c>
      <c r="AR67" s="52" t="n"/>
      <c r="AS67" s="52" t="n"/>
      <c r="AT67" s="75">
        <f>SUM(CALC!S6:S17)</f>
        <v>144</v>
      </c>
      <c r="AU67" s="52" t="n"/>
      <c r="AV67" s="52" t="n"/>
      <c r="AW67" s="1" t="n"/>
    </row>
    <row r="68" ht="18" customHeight="1">
      <c r="A68" s="1" t="n"/>
      <c r="B68" s="78" t="inlineStr">
        <is>
          <t>Atingimento da meta</t>
        </is>
      </c>
      <c r="C68" s="19" t="n"/>
      <c r="D68" s="19" t="n"/>
      <c r="E68" s="19" t="n"/>
      <c r="F68" s="19" t="n"/>
      <c r="G68" s="19" t="n"/>
      <c r="H68" s="19" t="n"/>
      <c r="I68" s="19" t="n"/>
      <c r="J68" s="79">
        <f>IFERROR(J62/J67,0)</f>
        <v>0.0833333333333333</v>
      </c>
      <c r="K68" s="19" t="n"/>
      <c r="L68" s="19" t="n"/>
      <c r="M68" s="79">
        <f>IFERROR(M62/M67,0)</f>
        <v>0.25</v>
      </c>
      <c r="N68" s="19" t="n"/>
      <c r="O68" s="19" t="n"/>
      <c r="P68" s="79">
        <f>IFERROR(P62/P67,0)</f>
        <v>0.333333333333333</v>
      </c>
      <c r="Q68" s="19" t="n"/>
      <c r="R68" s="19" t="n"/>
      <c r="S68" s="79">
        <f>IFERROR(S62/S67,0)</f>
        <v>0.75</v>
      </c>
      <c r="T68" s="19" t="n"/>
      <c r="U68" s="19" t="n"/>
      <c r="V68" s="79">
        <f>IFERROR(V62/V67,0)</f>
        <v>0.5</v>
      </c>
      <c r="W68" s="19" t="n"/>
      <c r="X68" s="19" t="n"/>
      <c r="Y68" s="79">
        <f>IFERROR(Y62/Y67,0)</f>
        <v>0.75</v>
      </c>
      <c r="Z68" s="19" t="n"/>
      <c r="AA68" s="19" t="n"/>
      <c r="AB68" s="79">
        <f>IFERROR(AB62/AB67,0)</f>
        <v>1.66666666666667</v>
      </c>
      <c r="AC68" s="19" t="n"/>
      <c r="AD68" s="19" t="n"/>
      <c r="AE68" s="79">
        <f>IFERROR(AE62/AE67,0)</f>
        <v>1.16666666666667</v>
      </c>
      <c r="AF68" s="19" t="n"/>
      <c r="AG68" s="19" t="n"/>
      <c r="AH68" s="79">
        <f>IFERROR(AH62/AH67,0)</f>
        <v>1.33333333333333</v>
      </c>
      <c r="AI68" s="19" t="n"/>
      <c r="AJ68" s="19" t="n"/>
      <c r="AK68" s="79">
        <f>IFERROR(AK62/AK67,0)</f>
        <v>1.16666666666667</v>
      </c>
      <c r="AL68" s="19" t="n"/>
      <c r="AM68" s="19" t="n"/>
      <c r="AN68" s="79">
        <f>IFERROR(AN62/AN67,0)</f>
        <v>0</v>
      </c>
      <c r="AO68" s="19" t="n"/>
      <c r="AP68" s="19" t="n"/>
      <c r="AQ68" s="79">
        <f>IFERROR(AQ62/AQ67,0)</f>
        <v>0</v>
      </c>
      <c r="AR68" s="19" t="n"/>
      <c r="AS68" s="19" t="n"/>
      <c r="AT68" s="80">
        <f>IFERROR(AT62/AT67,0)</f>
        <v>0.666666666666667</v>
      </c>
      <c r="AU68" s="19" t="n"/>
      <c r="AV68" s="19" t="n"/>
      <c r="AW68" s="1" t="n"/>
    </row>
    <row r="69" ht="12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 ht="20" customHeight="1">
      <c r="A70" s="1" t="n"/>
      <c r="B70" s="18" t="inlineStr">
        <is>
          <t>SITUAÇÃO DOS PRAZOS</t>
        </is>
      </c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" t="n"/>
      <c r="Z70" s="18" t="inlineStr">
        <is>
          <t>MATRIZ NOTIFICAÇÃO × TIPO DE ENTREGA</t>
        </is>
      </c>
      <c r="AA70" s="19" t="n"/>
      <c r="AB70" s="19" t="n"/>
      <c r="AC70" s="19" t="n"/>
      <c r="AD70" s="19" t="n"/>
      <c r="AE70" s="19" t="n"/>
      <c r="AF70" s="19" t="n"/>
      <c r="AG70" s="19" t="n"/>
      <c r="AH70" s="19" t="n"/>
      <c r="AI70" s="19" t="n"/>
      <c r="AJ70" s="19" t="n"/>
      <c r="AK70" s="19" t="n"/>
      <c r="AL70" s="19" t="n"/>
      <c r="AM70" s="19" t="n"/>
      <c r="AN70" s="19" t="n"/>
      <c r="AO70" s="19" t="n"/>
      <c r="AP70" s="19" t="n"/>
      <c r="AQ70" s="19" t="n"/>
      <c r="AR70" s="19" t="n"/>
      <c r="AS70" s="19" t="n"/>
      <c r="AT70" s="19" t="n"/>
      <c r="AU70" s="19" t="n"/>
      <c r="AV70" s="19" t="n"/>
      <c r="AW70" s="1" t="n"/>
    </row>
    <row r="71" ht="6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</row>
    <row r="72" ht="20" customHeight="1">
      <c r="A72" s="1" t="n"/>
      <c r="B72" s="50" t="inlineStr">
        <is>
          <t>SITUAÇÃO</t>
        </is>
      </c>
      <c r="I72" s="50" t="inlineStr">
        <is>
          <t>QTD.</t>
        </is>
      </c>
      <c r="L72" s="50" t="inlineStr">
        <is>
          <t>%</t>
        </is>
      </c>
      <c r="O72" s="50" t="inlineStr">
        <is>
          <t>PARTICIPAÇÃO</t>
        </is>
      </c>
      <c r="Y72" s="1" t="n"/>
      <c r="Z72" s="50" t="inlineStr">
        <is>
          <t>NOTIFICAÇÃO</t>
        </is>
      </c>
      <c r="AI72" s="50" t="inlineStr">
        <is>
          <t>PRESENCIAL</t>
        </is>
      </c>
      <c r="AN72" s="50" t="inlineStr">
        <is>
          <t>ELETRÔNICA</t>
        </is>
      </c>
      <c r="AS72" s="50" t="inlineStr">
        <is>
          <t>TOTAL</t>
        </is>
      </c>
      <c r="AW72" s="1" t="n"/>
    </row>
    <row r="73" ht="20" customHeight="1">
      <c r="A73" s="1" t="n"/>
      <c r="B73" s="81" t="inlineStr">
        <is>
          <t>●  No prazo</t>
        </is>
      </c>
      <c r="C73" s="52" t="n"/>
      <c r="D73" s="52" t="n"/>
      <c r="E73" s="52" t="n"/>
      <c r="F73" s="52" t="n"/>
      <c r="G73" s="52" t="n"/>
      <c r="H73" s="52" t="n"/>
      <c r="I73" s="82">
        <f>CALC!J11</f>
        <v>13</v>
      </c>
      <c r="J73" s="52" t="n"/>
      <c r="K73" s="52" t="n"/>
      <c r="L73" s="83">
        <f>IFERROR(I73/SUM(CALC!$J$11:$J$13),0)</f>
        <v>0.164556962025316</v>
      </c>
      <c r="M73" s="52" t="n"/>
      <c r="N73" s="52" t="n"/>
      <c r="O73" s="84" t="str">
        <f>REPT("█",ROUND(L73*28,0))</f>
        <v>█████</v>
      </c>
      <c r="P73" s="52" t="n"/>
      <c r="Q73" s="52" t="n"/>
      <c r="R73" s="52" t="n"/>
      <c r="S73" s="52" t="n"/>
      <c r="T73" s="52" t="n"/>
      <c r="U73" s="52" t="n"/>
      <c r="V73" s="52" t="n"/>
      <c r="W73" s="52" t="n"/>
      <c r="X73" s="52" t="n"/>
      <c r="Y73" s="1" t="n"/>
      <c r="Z73" s="64" t="inlineStr">
        <is>
          <t>Constatação</t>
        </is>
      </c>
      <c r="AA73" s="52" t="n"/>
      <c r="AB73" s="52" t="n"/>
      <c r="AC73" s="52" t="n"/>
      <c r="AD73" s="52" t="n"/>
      <c r="AE73" s="52" t="n"/>
      <c r="AF73" s="52" t="n"/>
      <c r="AG73" s="52" t="n"/>
      <c r="AH73" s="52" t="n"/>
      <c r="AI73" s="85">
        <f>CALC!J28</f>
        <v>40</v>
      </c>
      <c r="AJ73" s="52" t="n"/>
      <c r="AK73" s="52" t="n"/>
      <c r="AL73" s="52" t="n"/>
      <c r="AM73" s="52" t="n"/>
      <c r="AN73" s="85">
        <f>CALC!K28</f>
        <v>21</v>
      </c>
      <c r="AO73" s="52" t="n"/>
      <c r="AP73" s="52" t="n"/>
      <c r="AQ73" s="52" t="n"/>
      <c r="AR73" s="52" t="n"/>
      <c r="AS73" s="86">
        <f>AI73+AN73</f>
        <v>61</v>
      </c>
      <c r="AT73" s="52" t="n"/>
      <c r="AU73" s="52" t="n"/>
      <c r="AV73" s="52" t="n"/>
      <c r="AW73" s="1" t="n"/>
    </row>
    <row r="74" ht="20" customHeight="1">
      <c r="A74" s="1" t="n"/>
      <c r="B74" s="87" t="inlineStr">
        <is>
          <t>●  Vence em breve</t>
        </is>
      </c>
      <c r="C74" s="52" t="n"/>
      <c r="D74" s="52" t="n"/>
      <c r="E74" s="52" t="n"/>
      <c r="F74" s="52" t="n"/>
      <c r="G74" s="52" t="n"/>
      <c r="H74" s="52" t="n"/>
      <c r="I74" s="88">
        <f>CALC!J12</f>
        <v>3</v>
      </c>
      <c r="J74" s="52" t="n"/>
      <c r="K74" s="52" t="n"/>
      <c r="L74" s="89">
        <f>IFERROR(I74/SUM(CALC!$J$11:$J$13),0)</f>
        <v>0.0379746835443038</v>
      </c>
      <c r="M74" s="52" t="n"/>
      <c r="N74" s="52" t="n"/>
      <c r="O74" s="90" t="str">
        <f>REPT("█",ROUND(L74*28,0))</f>
        <v>█</v>
      </c>
      <c r="P74" s="52" t="n"/>
      <c r="Q74" s="52" t="n"/>
      <c r="R74" s="52" t="n"/>
      <c r="S74" s="52" t="n"/>
      <c r="T74" s="52" t="n"/>
      <c r="U74" s="52" t="n"/>
      <c r="V74" s="52" t="n"/>
      <c r="W74" s="52" t="n"/>
      <c r="X74" s="52" t="n"/>
      <c r="Y74" s="1" t="n"/>
      <c r="Z74" s="69" t="inlineStr">
        <is>
          <t>Esclarecimento</t>
        </is>
      </c>
      <c r="AA74" s="52" t="n"/>
      <c r="AB74" s="52" t="n"/>
      <c r="AC74" s="52" t="n"/>
      <c r="AD74" s="52" t="n"/>
      <c r="AE74" s="52" t="n"/>
      <c r="AF74" s="52" t="n"/>
      <c r="AG74" s="52" t="n"/>
      <c r="AH74" s="52" t="n"/>
      <c r="AI74" s="91">
        <f>CALC!J29</f>
        <v>20</v>
      </c>
      <c r="AJ74" s="52" t="n"/>
      <c r="AK74" s="52" t="n"/>
      <c r="AL74" s="52" t="n"/>
      <c r="AM74" s="52" t="n"/>
      <c r="AN74" s="91">
        <f>CALC!K29</f>
        <v>15</v>
      </c>
      <c r="AO74" s="52" t="n"/>
      <c r="AP74" s="52" t="n"/>
      <c r="AQ74" s="52" t="n"/>
      <c r="AR74" s="52" t="n"/>
      <c r="AS74" s="86">
        <f>AI74+AN74</f>
        <v>35</v>
      </c>
      <c r="AT74" s="52" t="n"/>
      <c r="AU74" s="52" t="n"/>
      <c r="AV74" s="52" t="n"/>
      <c r="AW74" s="1" t="n"/>
    </row>
    <row r="75" ht="20" customHeight="1">
      <c r="A75" s="1" t="n"/>
      <c r="B75" s="64" t="inlineStr">
        <is>
          <t>●  Em decisão</t>
        </is>
      </c>
      <c r="C75" s="52" t="n"/>
      <c r="D75" s="52" t="n"/>
      <c r="E75" s="52" t="n"/>
      <c r="F75" s="52" t="n"/>
      <c r="G75" s="52" t="n"/>
      <c r="H75" s="52" t="n"/>
      <c r="I75" s="82">
        <f>CALC!J13</f>
        <v>63</v>
      </c>
      <c r="J75" s="52" t="n"/>
      <c r="K75" s="52" t="n"/>
      <c r="L75" s="83">
        <f>IFERROR(I75/SUM(CALC!$J$11:$J$13),0)</f>
        <v>0.79746835443038</v>
      </c>
      <c r="M75" s="52" t="n"/>
      <c r="N75" s="52" t="n"/>
      <c r="O75" s="92" t="str">
        <f>REPT("█",ROUND(L75*28,0))</f>
        <v>██████████████████████</v>
      </c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1" t="n"/>
      <c r="Z75" s="93" t="inlineStr">
        <is>
          <t>TOTAL</t>
        </is>
      </c>
      <c r="AI75" s="94">
        <f>AI73+AI74</f>
        <v>60</v>
      </c>
      <c r="AN75" s="94">
        <f>AN73+AN74</f>
        <v>36</v>
      </c>
      <c r="AS75" s="95">
        <f>AS73+AS74</f>
        <v>96</v>
      </c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96" t="inlineStr">
        <is>
          <t>Cores mais intensas indicam maior concentração de notificações.</t>
        </is>
      </c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 ht="3" customHeight="1">
      <c r="A79" s="1" t="n"/>
      <c r="B79" s="8" t="n"/>
      <c r="AW79" s="1" t="n"/>
    </row>
    <row r="80">
      <c r="A80" s="1" t="n"/>
      <c r="B80" s="96" t="inlineStr">
        <is>
          <t>Fonte: aba PROCESSOS  •  Prazos calculados conforme parâmetros da aba CADASTROS  •  Indicadores recalculados automaticamente a cada abertura do arquivo (data de referência: HOJE).</t>
        </is>
      </c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</sheetData>
  <mergeCells count="492">
    <mergeCell ref="I54:K54"/>
    <mergeCell ref="AQ68:AS68"/>
    <mergeCell ref="AH63:AJ63"/>
    <mergeCell ref="AP50:AR50"/>
    <mergeCell ref="B55:H55"/>
    <mergeCell ref="AQ61:AS61"/>
    <mergeCell ref="I56:K56"/>
    <mergeCell ref="AK64:AM64"/>
    <mergeCell ref="V39:X39"/>
    <mergeCell ref="AN74:AR74"/>
    <mergeCell ref="AJ37:AO37"/>
    <mergeCell ref="R18:X18"/>
    <mergeCell ref="O51:Q51"/>
    <mergeCell ref="L41:Q41"/>
    <mergeCell ref="O47:Q47"/>
    <mergeCell ref="AB67:AD67"/>
    <mergeCell ref="D41:K41"/>
    <mergeCell ref="AK65:AM65"/>
    <mergeCell ref="L34:Q34"/>
    <mergeCell ref="B19:H20"/>
    <mergeCell ref="AH26:AV26"/>
    <mergeCell ref="Z54:AF54"/>
    <mergeCell ref="AB43:AI43"/>
    <mergeCell ref="B52:H52"/>
    <mergeCell ref="D43:K43"/>
    <mergeCell ref="L36:Q36"/>
    <mergeCell ref="Y66:AA66"/>
    <mergeCell ref="I49:K49"/>
    <mergeCell ref="B68:I68"/>
    <mergeCell ref="AJ51:AL51"/>
    <mergeCell ref="Y68:AA68"/>
    <mergeCell ref="B53:H53"/>
    <mergeCell ref="R29:AF29"/>
    <mergeCell ref="AJ42:AO42"/>
    <mergeCell ref="O75:X75"/>
    <mergeCell ref="AA27:AF27"/>
    <mergeCell ref="L47:N47"/>
    <mergeCell ref="J11:P11"/>
    <mergeCell ref="AB42:AI42"/>
    <mergeCell ref="AT37:AV37"/>
    <mergeCell ref="AS57:AV57"/>
    <mergeCell ref="P65:R65"/>
    <mergeCell ref="AS75:AV75"/>
    <mergeCell ref="AM49:AO49"/>
    <mergeCell ref="J65:L65"/>
    <mergeCell ref="AG52:AI52"/>
    <mergeCell ref="B15:H15"/>
    <mergeCell ref="J12:P12"/>
    <mergeCell ref="Z41:AA41"/>
    <mergeCell ref="AP41:AS41"/>
    <mergeCell ref="R33:U33"/>
    <mergeCell ref="J63:L63"/>
    <mergeCell ref="AQ67:AS67"/>
    <mergeCell ref="Z43:AA43"/>
    <mergeCell ref="L50:N50"/>
    <mergeCell ref="B13:H14"/>
    <mergeCell ref="AP43:AS43"/>
    <mergeCell ref="AG47:AI47"/>
    <mergeCell ref="Y61:AA61"/>
    <mergeCell ref="O48:Q48"/>
    <mergeCell ref="I51:K51"/>
    <mergeCell ref="L52:N52"/>
    <mergeCell ref="AM55:AO55"/>
    <mergeCell ref="AB39:AI39"/>
    <mergeCell ref="AH66:AJ66"/>
    <mergeCell ref="AP53:AR53"/>
    <mergeCell ref="AK15:AN15"/>
    <mergeCell ref="AS72:AV72"/>
    <mergeCell ref="AC15:AF15"/>
    <mergeCell ref="AN68:AP68"/>
    <mergeCell ref="B25:P25"/>
    <mergeCell ref="AE63:AG63"/>
    <mergeCell ref="B64:I64"/>
    <mergeCell ref="AJ40:AO40"/>
    <mergeCell ref="Z18:AF18"/>
    <mergeCell ref="AG50:AI50"/>
    <mergeCell ref="B21:D21"/>
    <mergeCell ref="Z51:AF51"/>
    <mergeCell ref="AS7:AV7"/>
    <mergeCell ref="R27:Y28"/>
    <mergeCell ref="R15:T15"/>
    <mergeCell ref="J19:P20"/>
    <mergeCell ref="Y67:AA67"/>
    <mergeCell ref="B74:H74"/>
    <mergeCell ref="I75:K75"/>
    <mergeCell ref="L39:Q39"/>
    <mergeCell ref="L55:N55"/>
    <mergeCell ref="AJ4:AV4"/>
    <mergeCell ref="AT43:AV43"/>
    <mergeCell ref="Z73:AH73"/>
    <mergeCell ref="I52:K52"/>
    <mergeCell ref="R11:X11"/>
    <mergeCell ref="AM50:AO50"/>
    <mergeCell ref="AJ54:AL54"/>
    <mergeCell ref="AN72:AR72"/>
    <mergeCell ref="B34:C34"/>
    <mergeCell ref="R34:U34"/>
    <mergeCell ref="AB65:AD65"/>
    <mergeCell ref="AG55:AI55"/>
    <mergeCell ref="AJ56:AL56"/>
    <mergeCell ref="V42:X42"/>
    <mergeCell ref="R36:U36"/>
    <mergeCell ref="Y62:AA62"/>
    <mergeCell ref="AH13:AN14"/>
    <mergeCell ref="S62:U62"/>
    <mergeCell ref="L53:N53"/>
    <mergeCell ref="I57:K57"/>
    <mergeCell ref="Y64:AA64"/>
    <mergeCell ref="J68:L68"/>
    <mergeCell ref="AH67:AJ67"/>
    <mergeCell ref="B45:X45"/>
    <mergeCell ref="AC21:AF21"/>
    <mergeCell ref="P61:R61"/>
    <mergeCell ref="O73:X73"/>
    <mergeCell ref="AS15:AV15"/>
    <mergeCell ref="Z76:AV76"/>
    <mergeCell ref="AP37:AS37"/>
    <mergeCell ref="AT62:AV62"/>
    <mergeCell ref="AP18:AV18"/>
    <mergeCell ref="AQ63:AS63"/>
    <mergeCell ref="AS73:AV73"/>
    <mergeCell ref="J21:L21"/>
    <mergeCell ref="AT64:AV64"/>
    <mergeCell ref="AE68:AG68"/>
    <mergeCell ref="AP27:AP28"/>
    <mergeCell ref="Z19:AF20"/>
    <mergeCell ref="O57:Q57"/>
    <mergeCell ref="Z15:AB15"/>
    <mergeCell ref="D37:K37"/>
    <mergeCell ref="Z74:AH74"/>
    <mergeCell ref="AT65:AV65"/>
    <mergeCell ref="AH62:AJ62"/>
    <mergeCell ref="V38:X38"/>
    <mergeCell ref="Z12:AF12"/>
    <mergeCell ref="R12:X12"/>
    <mergeCell ref="B36:C36"/>
    <mergeCell ref="B9:AV9"/>
    <mergeCell ref="AH11:AN11"/>
    <mergeCell ref="V63:X63"/>
    <mergeCell ref="AT33:AV33"/>
    <mergeCell ref="J13:P14"/>
    <mergeCell ref="AE67:AG67"/>
    <mergeCell ref="B49:H49"/>
    <mergeCell ref="AJ57:AL57"/>
    <mergeCell ref="L74:N74"/>
    <mergeCell ref="AG48:AI48"/>
    <mergeCell ref="AT35:AV35"/>
    <mergeCell ref="AT34:AV34"/>
    <mergeCell ref="Y65:AA65"/>
    <mergeCell ref="Z37:AA37"/>
    <mergeCell ref="AT39:AV39"/>
    <mergeCell ref="V66:X66"/>
    <mergeCell ref="U15:X15"/>
    <mergeCell ref="AT36:AV36"/>
    <mergeCell ref="I73:K73"/>
    <mergeCell ref="AJ2:AV2"/>
    <mergeCell ref="AH18:AN18"/>
    <mergeCell ref="AS54:AV54"/>
    <mergeCell ref="P62:R62"/>
    <mergeCell ref="S63:U63"/>
    <mergeCell ref="M66:O66"/>
    <mergeCell ref="AH17:AN17"/>
    <mergeCell ref="Z38:AA38"/>
    <mergeCell ref="I74:K74"/>
    <mergeCell ref="AS56:AV56"/>
    <mergeCell ref="V61:X61"/>
    <mergeCell ref="B27:I28"/>
    <mergeCell ref="AP38:AS38"/>
    <mergeCell ref="M68:O68"/>
    <mergeCell ref="M67:O67"/>
    <mergeCell ref="AP40:AS40"/>
    <mergeCell ref="AB34:AI34"/>
    <mergeCell ref="AQ66:AS66"/>
    <mergeCell ref="R49:T49"/>
    <mergeCell ref="Z31:AV31"/>
    <mergeCell ref="AN63:AP63"/>
    <mergeCell ref="AH29:AV29"/>
    <mergeCell ref="P67:R67"/>
    <mergeCell ref="L51:N51"/>
    <mergeCell ref="D40:K40"/>
    <mergeCell ref="J27:J28"/>
    <mergeCell ref="AH68:AJ68"/>
    <mergeCell ref="F7:J7"/>
    <mergeCell ref="AS49:AV49"/>
    <mergeCell ref="V41:X41"/>
    <mergeCell ref="AH27:AO28"/>
    <mergeCell ref="AH12:AN12"/>
    <mergeCell ref="AP33:AS33"/>
    <mergeCell ref="B37:C37"/>
    <mergeCell ref="R52:T52"/>
    <mergeCell ref="AP35:AS35"/>
    <mergeCell ref="U48:X48"/>
    <mergeCell ref="AG51:AI51"/>
    <mergeCell ref="V68:X68"/>
    <mergeCell ref="V67:X67"/>
    <mergeCell ref="D33:K33"/>
    <mergeCell ref="M21:P21"/>
    <mergeCell ref="U56:X56"/>
    <mergeCell ref="AJ3:AV3"/>
    <mergeCell ref="Y7:AB7"/>
    <mergeCell ref="AI7:AL7"/>
    <mergeCell ref="Z40:AA40"/>
    <mergeCell ref="D35:K35"/>
    <mergeCell ref="AP55:AR55"/>
    <mergeCell ref="R25:AF25"/>
    <mergeCell ref="AI73:AM73"/>
    <mergeCell ref="D34:K34"/>
    <mergeCell ref="Z45:AV45"/>
    <mergeCell ref="S66:U66"/>
    <mergeCell ref="AM52:AO52"/>
    <mergeCell ref="B66:I66"/>
    <mergeCell ref="R21:T21"/>
    <mergeCell ref="D36:K36"/>
    <mergeCell ref="AH15:AJ15"/>
    <mergeCell ref="AH64:AJ64"/>
    <mergeCell ref="S68:U68"/>
    <mergeCell ref="AI74:AM74"/>
    <mergeCell ref="Z70:AV70"/>
    <mergeCell ref="R50:T50"/>
    <mergeCell ref="B70:X70"/>
    <mergeCell ref="B47:H47"/>
    <mergeCell ref="B67:I67"/>
    <mergeCell ref="B61:I61"/>
    <mergeCell ref="M62:O62"/>
    <mergeCell ref="K7:S7"/>
    <mergeCell ref="V62:X62"/>
    <mergeCell ref="K28:P28"/>
    <mergeCell ref="AN66:AP66"/>
    <mergeCell ref="V43:X43"/>
    <mergeCell ref="B48:H48"/>
    <mergeCell ref="T7:X7"/>
    <mergeCell ref="Z34:AA34"/>
    <mergeCell ref="Z56:AF56"/>
    <mergeCell ref="AS52:AV52"/>
    <mergeCell ref="B73:H73"/>
    <mergeCell ref="AP34:AS34"/>
    <mergeCell ref="O74:X74"/>
    <mergeCell ref="R42:U42"/>
    <mergeCell ref="Z36:AA36"/>
    <mergeCell ref="AP36:AS36"/>
    <mergeCell ref="R19:X20"/>
    <mergeCell ref="O54:Q54"/>
    <mergeCell ref="L42:Q42"/>
    <mergeCell ref="AQ62:AS62"/>
    <mergeCell ref="B80:AV80"/>
    <mergeCell ref="AS47:AV47"/>
    <mergeCell ref="M65:O65"/>
    <mergeCell ref="R55:T55"/>
    <mergeCell ref="B79:AV79"/>
    <mergeCell ref="U51:X51"/>
    <mergeCell ref="AQ64:AS64"/>
    <mergeCell ref="AN61:AP61"/>
    <mergeCell ref="AH61:AJ61"/>
    <mergeCell ref="AP48:AR48"/>
    <mergeCell ref="AN75:AR75"/>
    <mergeCell ref="Z11:AF11"/>
    <mergeCell ref="AS50:AV50"/>
    <mergeCell ref="Z57:AF57"/>
    <mergeCell ref="AH65:AJ65"/>
    <mergeCell ref="AK66:AM66"/>
    <mergeCell ref="Z50:AF50"/>
    <mergeCell ref="AP56:AR56"/>
    <mergeCell ref="R37:U37"/>
    <mergeCell ref="AM53:AO53"/>
    <mergeCell ref="AM47:AO47"/>
    <mergeCell ref="D39:K39"/>
    <mergeCell ref="L37:Q37"/>
    <mergeCell ref="Z52:AF52"/>
    <mergeCell ref="AB63:AD63"/>
    <mergeCell ref="AP13:AV14"/>
    <mergeCell ref="AB37:AI37"/>
    <mergeCell ref="M15:P15"/>
    <mergeCell ref="AM48:AO48"/>
    <mergeCell ref="U52:X52"/>
    <mergeCell ref="B62:I62"/>
    <mergeCell ref="AJ38:AO38"/>
    <mergeCell ref="B51:H51"/>
    <mergeCell ref="AS53:AV53"/>
    <mergeCell ref="AB40:AI40"/>
    <mergeCell ref="AJ33:AO33"/>
    <mergeCell ref="AJ49:AL49"/>
    <mergeCell ref="J66:L66"/>
    <mergeCell ref="O56:Q56"/>
    <mergeCell ref="AS55:AV55"/>
    <mergeCell ref="S64:U64"/>
    <mergeCell ref="AJ35:AO35"/>
    <mergeCell ref="AN67:AP67"/>
    <mergeCell ref="Z39:AA39"/>
    <mergeCell ref="B18:H18"/>
    <mergeCell ref="I50:K50"/>
    <mergeCell ref="V37:X37"/>
    <mergeCell ref="AP39:AS39"/>
    <mergeCell ref="B23:AV23"/>
    <mergeCell ref="J61:L61"/>
    <mergeCell ref="AQ65:AS65"/>
    <mergeCell ref="R48:T48"/>
    <mergeCell ref="AT66:AV66"/>
    <mergeCell ref="AI72:AM72"/>
    <mergeCell ref="B11:H11"/>
    <mergeCell ref="L48:N48"/>
    <mergeCell ref="AM51:AO51"/>
    <mergeCell ref="B65:I65"/>
    <mergeCell ref="AE66:AG66"/>
    <mergeCell ref="AN64:AP64"/>
    <mergeCell ref="I47:K47"/>
    <mergeCell ref="AP51:AR51"/>
    <mergeCell ref="AP11:AV11"/>
    <mergeCell ref="R13:X14"/>
    <mergeCell ref="AE61:AG61"/>
    <mergeCell ref="AN7:AQ7"/>
    <mergeCell ref="O50:Q50"/>
    <mergeCell ref="O72:X72"/>
    <mergeCell ref="L38:Q38"/>
    <mergeCell ref="A5:AW5"/>
    <mergeCell ref="E21:H21"/>
    <mergeCell ref="O52:Q52"/>
    <mergeCell ref="L40:Q40"/>
    <mergeCell ref="Z55:AF55"/>
    <mergeCell ref="AB66:AD66"/>
    <mergeCell ref="B72:H72"/>
    <mergeCell ref="L49:N49"/>
    <mergeCell ref="AB68:AD68"/>
    <mergeCell ref="AJ41:AO41"/>
    <mergeCell ref="AS21:AV21"/>
    <mergeCell ref="AJ50:AL50"/>
    <mergeCell ref="J67:L67"/>
    <mergeCell ref="AJ43:AO43"/>
    <mergeCell ref="AG54:AI54"/>
    <mergeCell ref="B17:H17"/>
    <mergeCell ref="AJ52:AL52"/>
    <mergeCell ref="AG56:AI56"/>
    <mergeCell ref="AT42:AV42"/>
    <mergeCell ref="AG49:AI49"/>
    <mergeCell ref="I53:K53"/>
    <mergeCell ref="AP17:AV17"/>
    <mergeCell ref="V40:X40"/>
    <mergeCell ref="AB61:AD61"/>
    <mergeCell ref="R51:T51"/>
    <mergeCell ref="B29:P29"/>
    <mergeCell ref="I55:K55"/>
    <mergeCell ref="K27:P27"/>
    <mergeCell ref="AS74:AV74"/>
    <mergeCell ref="B42:C42"/>
    <mergeCell ref="I48:K48"/>
    <mergeCell ref="M61:O61"/>
    <mergeCell ref="AP12:AV12"/>
    <mergeCell ref="AP19:AV20"/>
    <mergeCell ref="AH19:AN20"/>
    <mergeCell ref="Z13:AF14"/>
    <mergeCell ref="AQ27:AV27"/>
    <mergeCell ref="B26:P26"/>
    <mergeCell ref="V33:X33"/>
    <mergeCell ref="O53:Q53"/>
    <mergeCell ref="L57:N57"/>
    <mergeCell ref="AA28:AF28"/>
    <mergeCell ref="L75:N75"/>
    <mergeCell ref="V35:X35"/>
    <mergeCell ref="U21:X21"/>
    <mergeCell ref="L43:Q43"/>
    <mergeCell ref="V34:X34"/>
    <mergeCell ref="AE62:AG62"/>
    <mergeCell ref="Z72:AH72"/>
    <mergeCell ref="AE64:AG64"/>
    <mergeCell ref="Z21:AB21"/>
    <mergeCell ref="J18:P18"/>
    <mergeCell ref="B31:X31"/>
    <mergeCell ref="AJ53:AL53"/>
    <mergeCell ref="AP15:AR15"/>
    <mergeCell ref="AM54:AO54"/>
    <mergeCell ref="AG57:AI57"/>
    <mergeCell ref="J17:P17"/>
    <mergeCell ref="AE65:AG65"/>
    <mergeCell ref="R38:U38"/>
    <mergeCell ref="AJ55:AL55"/>
    <mergeCell ref="L72:N72"/>
    <mergeCell ref="U49:X49"/>
    <mergeCell ref="AB62:AD62"/>
    <mergeCell ref="R40:U40"/>
    <mergeCell ref="V65:X65"/>
    <mergeCell ref="Z33:AA33"/>
    <mergeCell ref="AB64:AD64"/>
    <mergeCell ref="Z35:AA35"/>
    <mergeCell ref="P63:R63"/>
    <mergeCell ref="Z27:Z28"/>
    <mergeCell ref="R35:U35"/>
    <mergeCell ref="AJ39:AO39"/>
    <mergeCell ref="S61:U61"/>
    <mergeCell ref="M64:O64"/>
    <mergeCell ref="I72:K72"/>
    <mergeCell ref="AJ48:AL48"/>
    <mergeCell ref="U54:X54"/>
    <mergeCell ref="AT63:AV63"/>
    <mergeCell ref="R26:AF26"/>
    <mergeCell ref="AT68:AV68"/>
    <mergeCell ref="V36:X36"/>
    <mergeCell ref="R47:T47"/>
    <mergeCell ref="AK63:AM63"/>
    <mergeCell ref="B59:AV59"/>
    <mergeCell ref="AQ28:AV28"/>
    <mergeCell ref="AT67:AV67"/>
    <mergeCell ref="Z49:AF49"/>
    <mergeCell ref="B38:C38"/>
    <mergeCell ref="AH25:AV25"/>
    <mergeCell ref="B40:C40"/>
    <mergeCell ref="AP21:AR21"/>
    <mergeCell ref="Y63:AA63"/>
    <mergeCell ref="B33:C33"/>
    <mergeCell ref="U57:X57"/>
    <mergeCell ref="Z17:AF17"/>
    <mergeCell ref="V64:X64"/>
    <mergeCell ref="B41:C41"/>
    <mergeCell ref="B35:C35"/>
    <mergeCell ref="B2:AD3"/>
    <mergeCell ref="J15:L15"/>
    <mergeCell ref="R41:U41"/>
    <mergeCell ref="S67:U67"/>
    <mergeCell ref="AT38:AV38"/>
    <mergeCell ref="AD7:AG7"/>
    <mergeCell ref="R43:U43"/>
    <mergeCell ref="L73:N73"/>
    <mergeCell ref="AG53:AI53"/>
    <mergeCell ref="AP49:AR49"/>
    <mergeCell ref="P66:R66"/>
    <mergeCell ref="B54:H54"/>
    <mergeCell ref="AH21:AN21"/>
    <mergeCell ref="R53:T53"/>
    <mergeCell ref="AT40:AV40"/>
    <mergeCell ref="P68:R68"/>
    <mergeCell ref="AP42:AS42"/>
    <mergeCell ref="B56:H56"/>
    <mergeCell ref="AB38:AI38"/>
    <mergeCell ref="AT41:AV41"/>
    <mergeCell ref="B57:H57"/>
    <mergeCell ref="U47:X47"/>
    <mergeCell ref="D42:K42"/>
    <mergeCell ref="B63:I63"/>
    <mergeCell ref="AP54:AR54"/>
    <mergeCell ref="AB33:AI33"/>
    <mergeCell ref="O49:Q49"/>
    <mergeCell ref="AK68:AM68"/>
    <mergeCell ref="R17:X17"/>
    <mergeCell ref="B43:C43"/>
    <mergeCell ref="R54:T54"/>
    <mergeCell ref="U50:X50"/>
    <mergeCell ref="L54:N54"/>
    <mergeCell ref="AN62:AP62"/>
    <mergeCell ref="B75:H75"/>
    <mergeCell ref="B7:E7"/>
    <mergeCell ref="R56:T56"/>
    <mergeCell ref="L56:N56"/>
    <mergeCell ref="Z42:AA42"/>
    <mergeCell ref="AK67:AM67"/>
    <mergeCell ref="AP57:AR57"/>
    <mergeCell ref="AK61:AM61"/>
    <mergeCell ref="AI75:AM75"/>
    <mergeCell ref="Z47:AF47"/>
    <mergeCell ref="AN73:AR73"/>
    <mergeCell ref="D38:K38"/>
    <mergeCell ref="AK62:AM62"/>
    <mergeCell ref="AP52:AR52"/>
    <mergeCell ref="AS48:AV48"/>
    <mergeCell ref="AM56:AO56"/>
    <mergeCell ref="L33:Q33"/>
    <mergeCell ref="Z48:AF48"/>
    <mergeCell ref="B4:AD4"/>
    <mergeCell ref="U55:X55"/>
    <mergeCell ref="AM57:AO57"/>
    <mergeCell ref="L35:Q35"/>
    <mergeCell ref="B39:C39"/>
    <mergeCell ref="AB41:AI41"/>
    <mergeCell ref="AJ34:AO34"/>
    <mergeCell ref="AB35:AI35"/>
    <mergeCell ref="B50:H50"/>
    <mergeCell ref="O55:Q55"/>
    <mergeCell ref="R39:U39"/>
    <mergeCell ref="S65:U65"/>
    <mergeCell ref="AJ36:AO36"/>
    <mergeCell ref="AB36:AI36"/>
    <mergeCell ref="J62:L62"/>
    <mergeCell ref="M63:O63"/>
    <mergeCell ref="AT61:AV61"/>
    <mergeCell ref="B12:H12"/>
    <mergeCell ref="AS51:AV51"/>
    <mergeCell ref="Z53:AF53"/>
    <mergeCell ref="AP47:AR47"/>
    <mergeCell ref="P64:R64"/>
    <mergeCell ref="AJ47:AL47"/>
    <mergeCell ref="J64:L64"/>
    <mergeCell ref="R57:T57"/>
    <mergeCell ref="U53:X53"/>
    <mergeCell ref="AN65:AP65"/>
    <mergeCell ref="Z75:AH75"/>
  </mergeCells>
  <conditionalFormatting sqref="V34:V43">
    <cfRule type="expression" priority="1" dxfId="0">
      <formula>AND(ISNUMBER(V34),V34&lt;=DiasAlerta)</formula>
    </cfRule>
  </conditionalFormatting>
  <conditionalFormatting sqref="U48:U57">
    <cfRule type="dataBar" priority="2">
      <dataBar showValue="1">
        <cfvo type="num" val="0"/>
        <cfvo type="num" val="0.4"/>
        <color rgb="00B08D57"/>
      </dataBar>
    </cfRule>
  </conditionalFormatting>
  <conditionalFormatting sqref="AS48:AS57">
    <cfRule type="dataBar" priority="3">
      <dataBar showValue="1">
        <cfvo type="num" val="0"/>
        <cfvo type="num" val="0.4"/>
        <color rgb="00B08D57"/>
      </dataBar>
    </cfRule>
  </conditionalFormatting>
  <conditionalFormatting sqref="J62 M62 P62 S62 V62 Y62 AB62 AE62 AH62 AK62 AN62 AQ62">
    <cfRule type="colorScale" priority="4">
      <colorScale>
        <cfvo type="min"/>
        <cfvo type="max"/>
        <color rgb="00FFFFFF"/>
        <color rgb="009DB4D6"/>
      </colorScale>
    </cfRule>
  </conditionalFormatting>
  <conditionalFormatting sqref="AI73:AN74">
    <cfRule type="colorScale" priority="5">
      <colorScale>
        <cfvo type="min"/>
        <cfvo type="max"/>
        <color rgb="00FFFFFF"/>
        <color rgb="009DB4D6"/>
      </colorScale>
    </cfRule>
  </conditionalFormatting>
  <dataValidations count="2">
    <dataValidation sqref="K7" showDropDown="0" showInputMessage="1" showErrorMessage="1" allowBlank="0" errorTitle="Filtro inválido" error="Escolha um item da lista." promptTitle="Filtro" prompt="Escolha TODOS ou um responsável." type="list">
      <formula1>CALC!$E$5:$E$20</formula1>
    </dataValidation>
    <dataValidation sqref="Y7" showDropDown="0" showInputMessage="1" showErrorMessage="1" allowBlank="0" errorTitle="Ano inválido" error="Escolha um ano da lista." promptTitle="Ano" prompt="Ano usado na evolução mensal." type="list">
      <formula1>CALC!$G$5:$G$13</formula1>
    </dataValidation>
  </dataValidations>
  <hyperlinks>
    <hyperlink xmlns:r="http://schemas.openxmlformats.org/officeDocument/2006/relationships" ref="AD7" r:id="rId1"/>
    <hyperlink xmlns:r="http://schemas.openxmlformats.org/officeDocument/2006/relationships" ref="AI7" r:id="rId2"/>
    <hyperlink xmlns:r="http://schemas.openxmlformats.org/officeDocument/2006/relationships" ref="AN7" r:id="rId3"/>
    <hyperlink xmlns:r="http://schemas.openxmlformats.org/officeDocument/2006/relationships" ref="AS7" r:id="rId4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10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DASHBOARD ANALÍTICO</t>
        </is>
      </c>
      <c r="AE2" s="2" t="n"/>
      <c r="AF2" s="4" t="inlineStr">
        <is>
          <t>FILTROS ATIVOS (definidos no PAINEL)</t>
        </is>
      </c>
      <c r="AW2" s="2" t="n"/>
    </row>
    <row r="3" ht="22" customHeight="1">
      <c r="A3" s="2" t="n"/>
      <c r="AE3" s="2" t="n"/>
      <c r="AF3" s="97" t="str">
        <f>"Responsável: "&amp;IF(FiltroResp="","TODOS",FiltroResp)</f>
        <v>Responsável: TODOS</v>
      </c>
      <c r="AW3" s="2" t="n"/>
    </row>
    <row r="4" ht="20" customHeight="1">
      <c r="A4" s="2" t="n"/>
      <c r="B4" s="6" t="inlineStr">
        <is>
          <t>Gráficos de acompanhamento do fluxo de notificações</t>
        </is>
      </c>
      <c r="AE4" s="2" t="n"/>
      <c r="AF4" s="98" t="str">
        <f>"Ano de referência: "&amp;FiltroAno</f>
        <v>Ano de referência: 2026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8" customHeight="1">
      <c r="A7" s="1" t="n"/>
      <c r="B7" s="99" t="inlineStr">
        <is>
          <t>TOTAL</t>
        </is>
      </c>
      <c r="C7" s="100" t="n"/>
      <c r="D7" s="100" t="n"/>
      <c r="E7" s="100" t="n"/>
      <c r="F7" s="101">
        <f>PAINEL!B13</f>
        <v>96</v>
      </c>
      <c r="G7" s="100" t="n"/>
      <c r="H7" s="102" t="n"/>
      <c r="I7" s="1" t="n"/>
      <c r="J7" s="99" t="inlineStr">
        <is>
          <t>PRAZO D.P</t>
        </is>
      </c>
      <c r="K7" s="100" t="n"/>
      <c r="L7" s="100" t="n"/>
      <c r="M7" s="100" t="n"/>
      <c r="N7" s="101">
        <f>PAINEL!J13</f>
        <v>33</v>
      </c>
      <c r="O7" s="100" t="n"/>
      <c r="P7" s="102" t="n"/>
      <c r="Q7" s="1" t="n"/>
      <c r="R7" s="99" t="inlineStr">
        <is>
          <t>DECISÃO D.P</t>
        </is>
      </c>
      <c r="S7" s="100" t="n"/>
      <c r="T7" s="100" t="n"/>
      <c r="U7" s="100" t="n"/>
      <c r="V7" s="101">
        <f>PAINEL!R13</f>
        <v>63</v>
      </c>
      <c r="W7" s="100" t="n"/>
      <c r="X7" s="102" t="n"/>
      <c r="Y7" s="1" t="n"/>
      <c r="Z7" s="99" t="inlineStr">
        <is>
          <t>NO PRAZO</t>
        </is>
      </c>
      <c r="AA7" s="100" t="n"/>
      <c r="AB7" s="100" t="n"/>
      <c r="AC7" s="100" t="n"/>
      <c r="AD7" s="103">
        <f>PAINEL!Z13</f>
        <v>13</v>
      </c>
      <c r="AE7" s="100" t="n"/>
      <c r="AF7" s="102" t="n"/>
      <c r="AG7" s="1" t="n"/>
      <c r="AH7" s="99" t="inlineStr">
        <is>
          <t>EM BREVE</t>
        </is>
      </c>
      <c r="AI7" s="100" t="n"/>
      <c r="AJ7" s="100" t="n"/>
      <c r="AK7" s="100" t="n"/>
      <c r="AL7" s="104">
        <f>PAINEL!AH13</f>
        <v>3</v>
      </c>
      <c r="AM7" s="100" t="n"/>
      <c r="AN7" s="102" t="n"/>
      <c r="AO7" s="1" t="n"/>
      <c r="AP7" s="99" t="inlineStr">
        <is>
          <t>NO MÊS</t>
        </is>
      </c>
      <c r="AQ7" s="100" t="n"/>
      <c r="AR7" s="100" t="n"/>
      <c r="AS7" s="100" t="n"/>
      <c r="AT7" s="101">
        <f>PAINEL!AP13</f>
        <v>14</v>
      </c>
      <c r="AU7" s="100" t="n"/>
      <c r="AV7" s="102" t="n"/>
      <c r="AW7" s="1" t="n"/>
    </row>
    <row r="8" ht="16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05" t="inlineStr">
        <is>
          <t>◂ VOLTAR AO PAINEL</t>
        </is>
      </c>
      <c r="AW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</row>
  </sheetData>
  <mergeCells count="19">
    <mergeCell ref="AL7:AN7"/>
    <mergeCell ref="B4:AD4"/>
    <mergeCell ref="AF3:AV3"/>
    <mergeCell ref="AH7:AK7"/>
    <mergeCell ref="AP7:AS7"/>
    <mergeCell ref="A5:AW5"/>
    <mergeCell ref="AF4:AV4"/>
    <mergeCell ref="B7:E7"/>
    <mergeCell ref="V7:X7"/>
    <mergeCell ref="AN8:AV8"/>
    <mergeCell ref="AD7:AF7"/>
    <mergeCell ref="R7:U7"/>
    <mergeCell ref="Z7:AC7"/>
    <mergeCell ref="AF2:AV2"/>
    <mergeCell ref="AT7:AV7"/>
    <mergeCell ref="N7:P7"/>
    <mergeCell ref="F7:H7"/>
    <mergeCell ref="J7:M7"/>
    <mergeCell ref="B2:AD3"/>
  </mergeCells>
  <hyperlinks>
    <hyperlink xmlns:r="http://schemas.openxmlformats.org/officeDocument/2006/relationships" ref="AN8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tabColor rgb="00B08D57"/>
    <outlinePr summaryBelow="1" summaryRight="1"/>
    <pageSetUpPr/>
  </sheetPr>
  <dimension ref="A1:S10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22" customWidth="1" min="3" max="3"/>
    <col width="14" customWidth="1" min="4" max="4"/>
    <col width="33" customWidth="1" min="5" max="5"/>
    <col width="10" customWidth="1" min="6" max="6"/>
    <col width="14" customWidth="1" min="7" max="7"/>
    <col width="14" customWidth="1" min="8" max="8"/>
    <col width="22" customWidth="1" min="9" max="9"/>
    <col width="16" customWidth="1" min="10" max="10"/>
    <col width="20" customWidth="1" min="11" max="11"/>
    <col width="13" customWidth="1" min="12" max="12"/>
    <col width="13" customWidth="1" min="13" max="13"/>
    <col width="13" customWidth="1" min="14" max="14"/>
    <col width="13" customWidth="1" min="15" max="15"/>
    <col width="11" customWidth="1" min="16" max="16"/>
    <col width="33" customWidth="1" min="17" max="17"/>
    <col width="14" customWidth="1" min="18" max="18"/>
    <col width="42" customWidth="1" min="19" max="19"/>
  </cols>
  <sheetData>
    <row r="1" ht="30" customHeight="1">
      <c r="A1" s="106" t="inlineStr">
        <is>
          <t>CONTROLE DE PROCESSOS — FLUXO DE NOTIFICAÇÕES</t>
        </is>
      </c>
    </row>
    <row r="2" ht="18" customHeight="1">
      <c r="A2" s="107" t="str">
        <f>"Base oficial de registros  •  "&amp;COUNTA(rEmpresa)&amp;" processo(s) cadastrado(s)  •  Colunas A–N e S: preenchimento manual   |   Colunas O–R (dourado): cálculo automático"</f>
        <v>Base oficial de registros  •  96 processo(s) cadastrado(s)  •  Colunas A–N e S: preenchimento manual   |   Colunas O–R (dourado): cálculo automático</v>
      </c>
    </row>
    <row r="3" ht="4" customHeight="1">
      <c r="A3" s="8" t="n"/>
    </row>
    <row r="4" ht="34" customHeight="1">
      <c r="A4" s="108" t="inlineStr">
        <is>
          <t>N°</t>
        </is>
      </c>
      <c r="B4" s="108" t="inlineStr">
        <is>
          <t>EMPRESA</t>
        </is>
      </c>
      <c r="C4" s="108" t="inlineStr">
        <is>
          <t>RAMO</t>
        </is>
      </c>
      <c r="D4" s="108" t="inlineStr">
        <is>
          <t>DATA DA
FISCALIZAÇÃO</t>
        </is>
      </c>
      <c r="E4" s="108" t="inlineStr">
        <is>
          <t>NOTIFICAÇÃO</t>
        </is>
      </c>
      <c r="F4" s="108" t="inlineStr">
        <is>
          <t>PRAZO
(DIAS)</t>
        </is>
      </c>
      <c r="G4" s="108" t="inlineStr">
        <is>
          <t>TIPO</t>
        </is>
      </c>
      <c r="H4" s="108" t="inlineStr">
        <is>
          <t>STATUS</t>
        </is>
      </c>
      <c r="I4" s="108" t="inlineStr">
        <is>
          <t>RESPONSÁVEL</t>
        </is>
      </c>
      <c r="J4" s="108" t="inlineStr">
        <is>
          <t>N° NOTIFICAÇÃO</t>
        </is>
      </c>
      <c r="K4" s="108" t="inlineStr">
        <is>
          <t>PROCESSO ORIGEM</t>
        </is>
      </c>
      <c r="L4" s="108" t="inlineStr">
        <is>
          <t>DATA P.
ORIGEM</t>
        </is>
      </c>
      <c r="M4" s="108" t="inlineStr">
        <is>
          <t>DATA DA
DEFESA</t>
        </is>
      </c>
      <c r="N4" s="108" t="inlineStr">
        <is>
          <t>DATA DA
DECISÃO</t>
        </is>
      </c>
      <c r="O4" s="109" t="inlineStr">
        <is>
          <t>PRAZO
FINAL</t>
        </is>
      </c>
      <c r="P4" s="109" t="inlineStr">
        <is>
          <t>DIAS
RESTANTES</t>
        </is>
      </c>
      <c r="Q4" s="109" t="inlineStr">
        <is>
          <t>SITUAÇÃO
DO PRAZO</t>
        </is>
      </c>
      <c r="R4" s="109" t="inlineStr">
        <is>
          <t>DIAS DESDE A
FISCALIZAÇÃO</t>
        </is>
      </c>
      <c r="S4" s="108" t="inlineStr">
        <is>
          <t>OBSERVAÇÕES</t>
        </is>
      </c>
    </row>
    <row r="5" ht="18" customHeight="1">
      <c r="A5" s="110" t="n">
        <v>1</v>
      </c>
      <c r="B5" s="111" t="inlineStr">
        <is>
          <t>Laboratório Atlântico Ltda</t>
        </is>
      </c>
      <c r="C5" s="111" t="inlineStr">
        <is>
          <t>SAÚDE</t>
        </is>
      </c>
      <c r="D5" s="112" t="n">
        <v>46043</v>
      </c>
      <c r="E5" s="111" t="inlineStr">
        <is>
          <t>NOTIFICAÇÃO DE CONSTATAÇÃO</t>
        </is>
      </c>
      <c r="F5" s="110" t="n">
        <v>30</v>
      </c>
      <c r="G5" s="113" t="inlineStr">
        <is>
          <t>PRESENCIAL</t>
        </is>
      </c>
      <c r="H5" s="113" t="inlineStr">
        <is>
          <t>DECISÃO D.P</t>
        </is>
      </c>
      <c r="I5" s="111" t="inlineStr">
        <is>
          <t>DIEGO RIBEIRO</t>
        </is>
      </c>
      <c r="J5" s="114" t="inlineStr">
        <is>
          <t>0979/2026</t>
        </is>
      </c>
      <c r="K5" s="114" t="inlineStr">
        <is>
          <t>2025.050883-8/09</t>
        </is>
      </c>
      <c r="L5" s="112" t="n">
        <v>45988</v>
      </c>
      <c r="M5" s="112" t="n"/>
      <c r="N5" s="112" t="n">
        <v>46091</v>
      </c>
      <c r="O5" s="115">
        <f>IF(OR(D5="",F5=""),"",D5+F5)</f>
        <v>46073.0</v>
      </c>
      <c r="P5" s="116" t="str">
        <f>IF(O5="","",IF(ISNUMBER(M5),O5-M5,IF(OR(H5="DECISÃO D.P",ISNUMBER(N5)),"",O5-TODAY())))</f>
        <v/>
      </c>
      <c r="Q5" s="117" t="str">
        <f>IF(B5="","",IF(ISNUMBER(N5),"DECIDIDO – ","")&amp;IF(ISNUMBER(M5),IF(P5="",IF(F5="","INFORMAR PRAZO","SEM DATA"),IF(P5&gt;=0,"DEFESA NO PRAZO","DEFESA FORA DO PRAZO")),IF(OR(H5="DECISÃO D.P",ISNUMBER(N5)),"SEM DEFESA",IF(H5="","SEM STATUS",IF(F5="","INFORMAR PRAZO",IF(P5="","SEM DATA",IF(P5&lt;0,"VENCIDO",IF(P5&lt;=DiasAlerta,"VENCE EM BREVE","NO PRAZO"))))))))</f>
        <v>DECIDIDO – SEM DEFESA</v>
      </c>
      <c r="R5" s="118">
        <f>IF(D5="","",TODAY()-D5)</f>
        <v>261</v>
      </c>
      <c r="S5" s="111" t="inlineStr">
        <is>
          <t>Registro de exemplo — os dados de exemplo podem ser apagados (colunas A–N e S).</t>
        </is>
      </c>
    </row>
    <row r="6" ht="18" customHeight="1">
      <c r="A6" s="110" t="n">
        <v>2</v>
      </c>
      <c r="B6" s="111" t="inlineStr">
        <is>
          <t>Clínica Litoral</t>
        </is>
      </c>
      <c r="C6" s="111" t="inlineStr">
        <is>
          <t>SAÚDE</t>
        </is>
      </c>
      <c r="D6" s="112" t="n">
        <v>46072</v>
      </c>
      <c r="E6" s="111" t="inlineStr">
        <is>
          <t>NOTIFICAÇÃO DE ESCLARECIMENTO</t>
        </is>
      </c>
      <c r="F6" s="110" t="n">
        <v>30</v>
      </c>
      <c r="G6" s="113" t="inlineStr">
        <is>
          <t>ELETRÔNICA</t>
        </is>
      </c>
      <c r="H6" s="113" t="inlineStr">
        <is>
          <t>DECISÃO D.P</t>
        </is>
      </c>
      <c r="I6" s="111" t="inlineStr">
        <is>
          <t>GABRIELA NUNES</t>
        </is>
      </c>
      <c r="J6" s="114" t="inlineStr">
        <is>
          <t>0399/2026</t>
        </is>
      </c>
      <c r="K6" s="114" t="inlineStr">
        <is>
          <t>2026.047703-0/12</t>
        </is>
      </c>
      <c r="L6" s="112" t="n">
        <v>46030</v>
      </c>
      <c r="M6" s="112" t="n">
        <v>46074</v>
      </c>
      <c r="N6" s="112" t="n">
        <v>46086</v>
      </c>
      <c r="O6" s="115">
        <f>IF(OR(D6="",F6=""),"",D6+F6)</f>
        <v>46102.0</v>
      </c>
      <c r="P6" s="116">
        <f>IF(O6="","",IF(ISNUMBER(M6),O6-M6,IF(OR(H6="DECISÃO D.P",ISNUMBER(N6)),"",O6-TODAY())))</f>
        <v>28</v>
      </c>
      <c r="Q6" s="117" t="str">
        <f>IF(B6="","",IF(ISNUMBER(N6),"DECIDIDO – ","")&amp;IF(ISNUMBER(M6),IF(P6="",IF(F6="","INFORMAR PRAZO","SEM DATA"),IF(P6&gt;=0,"DEFESA NO PRAZO","DEFESA FORA DO PRAZO")),IF(OR(H6="DECISÃO D.P",ISNUMBER(N6)),"SEM DEFESA",IF(H6="","SEM STATUS",IF(F6="","INFORMAR PRAZO",IF(P6="","SEM DATA",IF(P6&lt;0,"VENCIDO",IF(P6&lt;=DiasAlerta,"VENCE EM BREVE","NO PRAZO"))))))))</f>
        <v>DECIDIDO – DEFESA NO PRAZO</v>
      </c>
      <c r="R6" s="118">
        <f>IF(D6="","",TODAY()-D6)</f>
        <v>232</v>
      </c>
      <c r="S6" s="111" t="n"/>
    </row>
    <row r="7" ht="18" customHeight="1">
      <c r="A7" s="110" t="n">
        <v>3</v>
      </c>
      <c r="B7" s="111" t="inlineStr">
        <is>
          <t>Mercado Atlântico</t>
        </is>
      </c>
      <c r="C7" s="111" t="inlineStr">
        <is>
          <t>SUPERMERCADO</t>
        </is>
      </c>
      <c r="D7" s="112" t="n">
        <v>46073</v>
      </c>
      <c r="E7" s="111" t="inlineStr">
        <is>
          <t>NOTIFICAÇÃO DE CONSTATAÇÃO</t>
        </is>
      </c>
      <c r="F7" s="110" t="n">
        <v>20</v>
      </c>
      <c r="G7" s="113" t="inlineStr">
        <is>
          <t>ELETRÔNICA</t>
        </is>
      </c>
      <c r="H7" s="113" t="inlineStr">
        <is>
          <t>DECISÃO D.P</t>
        </is>
      </c>
      <c r="I7" s="111" t="inlineStr">
        <is>
          <t>DIEGO RIBEIRO</t>
        </is>
      </c>
      <c r="J7" s="114" t="inlineStr">
        <is>
          <t>0877/2026</t>
        </is>
      </c>
      <c r="K7" s="114" t="inlineStr">
        <is>
          <t>2026.097951-4/03</t>
        </is>
      </c>
      <c r="L7" s="112" t="n">
        <v>46044</v>
      </c>
      <c r="M7" s="112" t="n">
        <v>46079</v>
      </c>
      <c r="N7" s="112" t="n">
        <v>46105</v>
      </c>
      <c r="O7" s="115">
        <f>IF(OR(D7="",F7=""),"",D7+F7)</f>
        <v>46093.0</v>
      </c>
      <c r="P7" s="116">
        <f>IF(O7="","",IF(ISNUMBER(M7),O7-M7,IF(OR(H7="DECISÃO D.P",ISNUMBER(N7)),"",O7-TODAY())))</f>
        <v>14</v>
      </c>
      <c r="Q7" s="117" t="str">
        <f>IF(B7="","",IF(ISNUMBER(N7),"DECIDIDO – ","")&amp;IF(ISNUMBER(M7),IF(P7="",IF(F7="","INFORMAR PRAZO","SEM DATA"),IF(P7&gt;=0,"DEFESA NO PRAZO","DEFESA FORA DO PRAZO")),IF(OR(H7="DECISÃO D.P",ISNUMBER(N7)),"SEM DEFESA",IF(H7="","SEM STATUS",IF(F7="","INFORMAR PRAZO",IF(P7="","SEM DATA",IF(P7&lt;0,"VENCIDO",IF(P7&lt;=DiasAlerta,"VENCE EM BREVE","NO PRAZO"))))))))</f>
        <v>DECIDIDO – DEFESA NO PRAZO</v>
      </c>
      <c r="R7" s="118">
        <f>IF(D7="","",TODAY()-D7)</f>
        <v>231</v>
      </c>
      <c r="S7" s="111" t="n"/>
    </row>
    <row r="8" ht="18" customHeight="1">
      <c r="A8" s="110" t="n">
        <v>4</v>
      </c>
      <c r="B8" s="111" t="inlineStr">
        <is>
          <t>Farmácia Primavera</t>
        </is>
      </c>
      <c r="C8" s="111" t="inlineStr">
        <is>
          <t>FARMÁCIA</t>
        </is>
      </c>
      <c r="D8" s="112" t="n">
        <v>46079</v>
      </c>
      <c r="E8" s="111" t="inlineStr">
        <is>
          <t>NOTIFICAÇÃO DE CONSTATAÇÃO</t>
        </is>
      </c>
      <c r="F8" s="110" t="n">
        <v>15</v>
      </c>
      <c r="G8" s="113" t="inlineStr">
        <is>
          <t>PRESENCIAL</t>
        </is>
      </c>
      <c r="H8" s="113" t="inlineStr">
        <is>
          <t>DECISÃO D.P</t>
        </is>
      </c>
      <c r="I8" s="111" t="inlineStr">
        <is>
          <t>ANA PAULA SOUZA</t>
        </is>
      </c>
      <c r="J8" s="114" t="inlineStr">
        <is>
          <t>0633/2026</t>
        </is>
      </c>
      <c r="K8" s="114" t="inlineStr">
        <is>
          <t>2025.006715-7/15</t>
        </is>
      </c>
      <c r="L8" s="112" t="n">
        <v>45992</v>
      </c>
      <c r="M8" s="112" t="n">
        <v>46097</v>
      </c>
      <c r="N8" s="112" t="n">
        <v>46119</v>
      </c>
      <c r="O8" s="115">
        <f>IF(OR(D8="",F8=""),"",D8+F8)</f>
        <v>46094.0</v>
      </c>
      <c r="P8" s="116">
        <f>IF(O8="","",IF(ISNUMBER(M8),O8-M8,IF(OR(H8="DECISÃO D.P",ISNUMBER(N8)),"",O8-TODAY())))</f>
        <v>-3</v>
      </c>
      <c r="Q8" s="117" t="str">
        <f>IF(B8="","",IF(ISNUMBER(N8),"DECIDIDO – ","")&amp;IF(ISNUMBER(M8),IF(P8="",IF(F8="","INFORMAR PRAZO","SEM DATA"),IF(P8&gt;=0,"DEFESA NO PRAZO","DEFESA FORA DO PRAZO")),IF(OR(H8="DECISÃO D.P",ISNUMBER(N8)),"SEM DEFESA",IF(H8="","SEM STATUS",IF(F8="","INFORMAR PRAZO",IF(P8="","SEM DATA",IF(P8&lt;0,"VENCIDO",IF(P8&lt;=DiasAlerta,"VENCE EM BREVE","NO PRAZO"))))))))</f>
        <v>DECIDIDO – DEFESA FORA DO PRAZO</v>
      </c>
      <c r="R8" s="118">
        <f>IF(D8="","",TODAY()-D8)</f>
        <v>225</v>
      </c>
      <c r="S8" s="111" t="n"/>
    </row>
    <row r="9" ht="18" customHeight="1">
      <c r="A9" s="110" t="n">
        <v>5</v>
      </c>
      <c r="B9" s="111" t="inlineStr">
        <is>
          <t>Farmácia Real ME</t>
        </is>
      </c>
      <c r="C9" s="111" t="inlineStr">
        <is>
          <t>FARMÁCIA</t>
        </is>
      </c>
      <c r="D9" s="112" t="n">
        <v>46096</v>
      </c>
      <c r="E9" s="111" t="inlineStr">
        <is>
          <t>NOTIFICAÇÃO DE ESCLARECIMENTO</t>
        </is>
      </c>
      <c r="F9" s="110" t="n">
        <v>30</v>
      </c>
      <c r="G9" s="113" t="inlineStr">
        <is>
          <t>PRESENCIAL</t>
        </is>
      </c>
      <c r="H9" s="113" t="inlineStr">
        <is>
          <t>DECISÃO D.P</t>
        </is>
      </c>
      <c r="I9" s="111" t="inlineStr">
        <is>
          <t>EDUARDA LIMA</t>
        </is>
      </c>
      <c r="J9" s="114" t="inlineStr">
        <is>
          <t>0374/2026</t>
        </is>
      </c>
      <c r="K9" s="114" t="inlineStr">
        <is>
          <t>2026.051083-0/15</t>
        </is>
      </c>
      <c r="L9" s="112" t="n">
        <v>46086</v>
      </c>
      <c r="M9" s="112" t="n"/>
      <c r="N9" s="112" t="n">
        <v>46144</v>
      </c>
      <c r="O9" s="115">
        <f>IF(OR(D9="",F9=""),"",D9+F9)</f>
        <v>46126.0</v>
      </c>
      <c r="P9" s="116" t="str">
        <f>IF(O9="","",IF(ISNUMBER(M9),O9-M9,IF(OR(H9="DECISÃO D.P",ISNUMBER(N9)),"",O9-TODAY())))</f>
        <v/>
      </c>
      <c r="Q9" s="117" t="str">
        <f>IF(B9="","",IF(ISNUMBER(N9),"DECIDIDO – ","")&amp;IF(ISNUMBER(M9),IF(P9="",IF(F9="","INFORMAR PRAZO","SEM DATA"),IF(P9&gt;=0,"DEFESA NO PRAZO","DEFESA FORA DO PRAZO")),IF(OR(H9="DECISÃO D.P",ISNUMBER(N9)),"SEM DEFESA",IF(H9="","SEM STATUS",IF(F9="","INFORMAR PRAZO",IF(P9="","SEM DATA",IF(P9&lt;0,"VENCIDO",IF(P9&lt;=DiasAlerta,"VENCE EM BREVE","NO PRAZO"))))))))</f>
        <v>DECIDIDO – SEM DEFESA</v>
      </c>
      <c r="R9" s="118">
        <f>IF(D9="","",TODAY()-D9)</f>
        <v>208</v>
      </c>
      <c r="S9" s="111" t="n"/>
    </row>
    <row r="10" ht="18" customHeight="1">
      <c r="A10" s="110" t="n">
        <v>6</v>
      </c>
      <c r="B10" s="111" t="inlineStr">
        <is>
          <t>Academia Primavera</t>
        </is>
      </c>
      <c r="C10" s="111" t="inlineStr">
        <is>
          <t>ACADEMIA</t>
        </is>
      </c>
      <c r="D10" s="112" t="n">
        <v>46099</v>
      </c>
      <c r="E10" s="111" t="inlineStr">
        <is>
          <t>NOTIFICAÇÃO DE CONSTATAÇÃO</t>
        </is>
      </c>
      <c r="F10" s="110" t="n">
        <v>15</v>
      </c>
      <c r="G10" s="113" t="inlineStr">
        <is>
          <t>ELETRÔNICA</t>
        </is>
      </c>
      <c r="H10" s="113" t="inlineStr">
        <is>
          <t>DECISÃO D.P</t>
        </is>
      </c>
      <c r="I10" s="111" t="inlineStr">
        <is>
          <t>BRUNO CARVALHO</t>
        </is>
      </c>
      <c r="J10" s="114" t="inlineStr">
        <is>
          <t>0818/2026</t>
        </is>
      </c>
      <c r="K10" s="114" t="inlineStr">
        <is>
          <t>2026.007450-8/06</t>
        </is>
      </c>
      <c r="L10" s="112" t="n">
        <v>46026</v>
      </c>
      <c r="M10" s="112" t="n"/>
      <c r="N10" s="112" t="n">
        <v>46124</v>
      </c>
      <c r="O10" s="115">
        <f>IF(OR(D10="",F10=""),"",D10+F10)</f>
        <v>46114.0</v>
      </c>
      <c r="P10" s="116" t="str">
        <f>IF(O10="","",IF(ISNUMBER(M10),O10-M10,IF(OR(H10="DECISÃO D.P",ISNUMBER(N10)),"",O10-TODAY())))</f>
        <v/>
      </c>
      <c r="Q10" s="117" t="str">
        <f>IF(B10="","",IF(ISNUMBER(N10),"DECIDIDO – ","")&amp;IF(ISNUMBER(M10),IF(P10="",IF(F10="","INFORMAR PRAZO","SEM DATA"),IF(P10&gt;=0,"DEFESA NO PRAZO","DEFESA FORA DO PRAZO")),IF(OR(H10="DECISÃO D.P",ISNUMBER(N10)),"SEM DEFESA",IF(H10="","SEM STATUS",IF(F10="","INFORMAR PRAZO",IF(P10="","SEM DATA",IF(P10&lt;0,"VENCIDO",IF(P10&lt;=DiasAlerta,"VENCE EM BREVE","NO PRAZO"))))))))</f>
        <v>DECIDIDO – SEM DEFESA</v>
      </c>
      <c r="R10" s="118">
        <f>IF(D10="","",TODAY()-D10)</f>
        <v>205</v>
      </c>
      <c r="S10" s="111" t="n"/>
    </row>
    <row r="11" ht="18" customHeight="1">
      <c r="A11" s="110" t="n">
        <v>7</v>
      </c>
      <c r="B11" s="111" t="inlineStr">
        <is>
          <t>Posto Boa Esperança ME</t>
        </is>
      </c>
      <c r="C11" s="111" t="inlineStr">
        <is>
          <t>POSTO DE COMBUSTÍVEL</t>
        </is>
      </c>
      <c r="D11" s="112" t="n">
        <v>46100</v>
      </c>
      <c r="E11" s="111" t="inlineStr">
        <is>
          <t>NOTIFICAÇÃO DE CONSTATAÇÃO</t>
        </is>
      </c>
      <c r="F11" s="110" t="n">
        <v>15</v>
      </c>
      <c r="G11" s="113" t="inlineStr">
        <is>
          <t>ELETRÔNICA</t>
        </is>
      </c>
      <c r="H11" s="113" t="inlineStr">
        <is>
          <t>DECISÃO D.P</t>
        </is>
      </c>
      <c r="I11" s="111" t="inlineStr">
        <is>
          <t>ANA PAULA SOUZA</t>
        </is>
      </c>
      <c r="J11" s="114" t="inlineStr">
        <is>
          <t>0459/2026</t>
        </is>
      </c>
      <c r="K11" s="114" t="inlineStr">
        <is>
          <t>2026.088426-0/06</t>
        </is>
      </c>
      <c r="L11" s="112" t="n">
        <v>46025</v>
      </c>
      <c r="M11" s="112" t="n"/>
      <c r="N11" s="112" t="n"/>
      <c r="O11" s="115">
        <f>IF(OR(D11="",F11=""),"",D11+F11)</f>
        <v>46115.0</v>
      </c>
      <c r="P11" s="116" t="str">
        <f>IF(O11="","",IF(ISNUMBER(M11),O11-M11,IF(OR(H11="DECISÃO D.P",ISNUMBER(N11)),"",O11-TODAY())))</f>
        <v/>
      </c>
      <c r="Q11" s="117" t="str">
        <f>IF(B11="","",IF(ISNUMBER(N11),"DECIDIDO – ","")&amp;IF(ISNUMBER(M11),IF(P11="",IF(F11="","INFORMAR PRAZO","SEM DATA"),IF(P11&gt;=0,"DEFESA NO PRAZO","DEFESA FORA DO PRAZO")),IF(OR(H11="DECISÃO D.P",ISNUMBER(N11)),"SEM DEFESA",IF(H11="","SEM STATUS",IF(F11="","INFORMAR PRAZO",IF(P11="","SEM DATA",IF(P11&lt;0,"VENCIDO",IF(P11&lt;=DiasAlerta,"VENCE EM BREVE","NO PRAZO"))))))))</f>
        <v>SEM DEFESA</v>
      </c>
      <c r="R11" s="118">
        <f>IF(D11="","",TODAY()-D11)</f>
        <v>204</v>
      </c>
      <c r="S11" s="111" t="n"/>
    </row>
    <row r="12" ht="18" customHeight="1">
      <c r="A12" s="110" t="n">
        <v>8</v>
      </c>
      <c r="B12" s="111" t="inlineStr">
        <is>
          <t>Posto Bela Vista</t>
        </is>
      </c>
      <c r="C12" s="111" t="inlineStr">
        <is>
          <t>POSTO DE COMBUSTÍVEL</t>
        </is>
      </c>
      <c r="D12" s="112" t="n">
        <v>46112</v>
      </c>
      <c r="E12" s="111" t="inlineStr">
        <is>
          <t>NOTIFICAÇÃO DE CONSTATAÇÃO</t>
        </is>
      </c>
      <c r="F12" s="110" t="n">
        <v>15</v>
      </c>
      <c r="G12" s="113" t="inlineStr">
        <is>
          <t>PRESENCIAL</t>
        </is>
      </c>
      <c r="H12" s="113" t="inlineStr">
        <is>
          <t>DECISÃO D.P</t>
        </is>
      </c>
      <c r="I12" s="111" t="inlineStr">
        <is>
          <t>DIEGO RIBEIRO</t>
        </is>
      </c>
      <c r="J12" s="114" t="inlineStr">
        <is>
          <t>0736/2026</t>
        </is>
      </c>
      <c r="K12" s="114" t="inlineStr">
        <is>
          <t>2026.073026-2/05</t>
        </is>
      </c>
      <c r="L12" s="112" t="n">
        <v>46098</v>
      </c>
      <c r="M12" s="112" t="n"/>
      <c r="N12" s="112" t="n">
        <v>46134</v>
      </c>
      <c r="O12" s="115">
        <f>IF(OR(D12="",F12=""),"",D12+F12)</f>
        <v>46127.0</v>
      </c>
      <c r="P12" s="116" t="str">
        <f>IF(O12="","",IF(ISNUMBER(M12),O12-M12,IF(OR(H12="DECISÃO D.P",ISNUMBER(N12)),"",O12-TODAY())))</f>
        <v/>
      </c>
      <c r="Q12" s="117" t="str">
        <f>IF(B12="","",IF(ISNUMBER(N12),"DECIDIDO – ","")&amp;IF(ISNUMBER(M12),IF(P12="",IF(F12="","INFORMAR PRAZO","SEM DATA"),IF(P12&gt;=0,"DEFESA NO PRAZO","DEFESA FORA DO PRAZO")),IF(OR(H12="DECISÃO D.P",ISNUMBER(N12)),"SEM DEFESA",IF(H12="","SEM STATUS",IF(F12="","INFORMAR PRAZO",IF(P12="","SEM DATA",IF(P12&lt;0,"VENCIDO",IF(P12&lt;=DiasAlerta,"VENCE EM BREVE","NO PRAZO"))))))))</f>
        <v>DECIDIDO – SEM DEFESA</v>
      </c>
      <c r="R12" s="118">
        <f>IF(D12="","",TODAY()-D12)</f>
        <v>192</v>
      </c>
      <c r="S12" s="111" t="n"/>
    </row>
    <row r="13" ht="18" customHeight="1">
      <c r="A13" s="110" t="n">
        <v>9</v>
      </c>
      <c r="B13" s="111" t="inlineStr">
        <is>
          <t>Drogaria Ipê Amarelo 24h</t>
        </is>
      </c>
      <c r="C13" s="111" t="inlineStr">
        <is>
          <t>FARMÁCIA</t>
        </is>
      </c>
      <c r="D13" s="112" t="n">
        <v>46113</v>
      </c>
      <c r="E13" s="111" t="inlineStr">
        <is>
          <t>NOTIFICAÇÃO DE ESCLARECIMENTO</t>
        </is>
      </c>
      <c r="F13" s="110" t="n">
        <v>15</v>
      </c>
      <c r="G13" s="113" t="inlineStr">
        <is>
          <t>ELETRÔNICA</t>
        </is>
      </c>
      <c r="H13" s="113" t="inlineStr">
        <is>
          <t>DECISÃO D.P</t>
        </is>
      </c>
      <c r="I13" s="111" t="inlineStr">
        <is>
          <t>BRUNO CARVALHO</t>
        </is>
      </c>
      <c r="J13" s="114" t="inlineStr">
        <is>
          <t>0361/2026</t>
        </is>
      </c>
      <c r="K13" s="114" t="inlineStr">
        <is>
          <t>2026.044312-0/15</t>
        </is>
      </c>
      <c r="L13" s="112" t="n">
        <v>46026</v>
      </c>
      <c r="M13" s="112" t="n">
        <v>46119</v>
      </c>
      <c r="N13" s="112" t="n">
        <v>46138</v>
      </c>
      <c r="O13" s="115">
        <f>IF(OR(D13="",F13=""),"",D13+F13)</f>
        <v>46128.0</v>
      </c>
      <c r="P13" s="116">
        <f>IF(O13="","",IF(ISNUMBER(M13),O13-M13,IF(OR(H13="DECISÃO D.P",ISNUMBER(N13)),"",O13-TODAY())))</f>
        <v>9</v>
      </c>
      <c r="Q13" s="117" t="str">
        <f>IF(B13="","",IF(ISNUMBER(N13),"DECIDIDO – ","")&amp;IF(ISNUMBER(M13),IF(P13="",IF(F13="","INFORMAR PRAZO","SEM DATA"),IF(P13&gt;=0,"DEFESA NO PRAZO","DEFESA FORA DO PRAZO")),IF(OR(H13="DECISÃO D.P",ISNUMBER(N13)),"SEM DEFESA",IF(H13="","SEM STATUS",IF(F13="","INFORMAR PRAZO",IF(P13="","SEM DATA",IF(P13&lt;0,"VENCIDO",IF(P13&lt;=DiasAlerta,"VENCE EM BREVE","NO PRAZO"))))))))</f>
        <v>DECIDIDO – DEFESA NO PRAZO</v>
      </c>
      <c r="R13" s="118">
        <f>IF(D13="","",TODAY()-D13)</f>
        <v>191</v>
      </c>
      <c r="S13" s="111" t="n"/>
    </row>
    <row r="14" ht="18" customHeight="1">
      <c r="A14" s="110" t="n">
        <v>10</v>
      </c>
      <c r="B14" s="111" t="inlineStr">
        <is>
          <t>Churrascaria Boa Esperança</t>
        </is>
      </c>
      <c r="C14" s="111" t="inlineStr">
        <is>
          <t>RESTAURANTE</t>
        </is>
      </c>
      <c r="D14" s="112" t="n">
        <v>46116</v>
      </c>
      <c r="E14" s="111" t="inlineStr">
        <is>
          <t>NOTIFICAÇÃO DE ESCLARECIMENTO</t>
        </is>
      </c>
      <c r="F14" s="110" t="n">
        <v>10</v>
      </c>
      <c r="G14" s="113" t="inlineStr">
        <is>
          <t>ELETRÔNICA</t>
        </is>
      </c>
      <c r="H14" s="113" t="inlineStr">
        <is>
          <t>DECISÃO D.P</t>
        </is>
      </c>
      <c r="I14" s="111" t="inlineStr">
        <is>
          <t>BRUNO CARVALHO</t>
        </is>
      </c>
      <c r="J14" s="114" t="inlineStr">
        <is>
          <t>0553/2026</t>
        </is>
      </c>
      <c r="K14" s="114" t="inlineStr">
        <is>
          <t>2026.022487-0/15</t>
        </is>
      </c>
      <c r="L14" s="112" t="n">
        <v>46093</v>
      </c>
      <c r="M14" s="112" t="n">
        <v>46117</v>
      </c>
      <c r="N14" s="112" t="n">
        <v>46121</v>
      </c>
      <c r="O14" s="115">
        <f>IF(OR(D14="",F14=""),"",D14+F14)</f>
        <v>46126.0</v>
      </c>
      <c r="P14" s="116">
        <f>IF(O14="","",IF(ISNUMBER(M14),O14-M14,IF(OR(H14="DECISÃO D.P",ISNUMBER(N14)),"",O14-TODAY())))</f>
        <v>9</v>
      </c>
      <c r="Q14" s="117" t="str">
        <f>IF(B14="","",IF(ISNUMBER(N14),"DECIDIDO – ","")&amp;IF(ISNUMBER(M14),IF(P14="",IF(F14="","INFORMAR PRAZO","SEM DATA"),IF(P14&gt;=0,"DEFESA NO PRAZO","DEFESA FORA DO PRAZO")),IF(OR(H14="DECISÃO D.P",ISNUMBER(N14)),"SEM DEFESA",IF(H14="","SEM STATUS",IF(F14="","INFORMAR PRAZO",IF(P14="","SEM DATA",IF(P14&lt;0,"VENCIDO",IF(P14&lt;=DiasAlerta,"VENCE EM BREVE","NO PRAZO"))))))))</f>
        <v>DECIDIDO – DEFESA NO PRAZO</v>
      </c>
      <c r="R14" s="118">
        <f>IF(D14="","",TODAY()-D14)</f>
        <v>188</v>
      </c>
      <c r="S14" s="111" t="n"/>
    </row>
    <row r="15" ht="18" customHeight="1">
      <c r="A15" s="110" t="n">
        <v>11</v>
      </c>
      <c r="B15" s="111" t="inlineStr">
        <is>
          <t>Serviços Avenida Filial 2</t>
        </is>
      </c>
      <c r="C15" s="111" t="inlineStr">
        <is>
          <t>OUTROS</t>
        </is>
      </c>
      <c r="D15" s="112" t="n">
        <v>46118</v>
      </c>
      <c r="E15" s="111" t="inlineStr">
        <is>
          <t>NOTIFICAÇÃO DE CONSTATAÇÃO</t>
        </is>
      </c>
      <c r="F15" s="110" t="n">
        <v>10</v>
      </c>
      <c r="G15" s="113" t="inlineStr">
        <is>
          <t>PRESENCIAL</t>
        </is>
      </c>
      <c r="H15" s="113" t="inlineStr">
        <is>
          <t>DECISÃO D.P</t>
        </is>
      </c>
      <c r="I15" s="111" t="inlineStr">
        <is>
          <t>EDUARDA LIMA</t>
        </is>
      </c>
      <c r="J15" s="114" t="inlineStr">
        <is>
          <t>0102/2026</t>
        </is>
      </c>
      <c r="K15" s="114" t="inlineStr">
        <is>
          <t>2026.014825-3/14</t>
        </is>
      </c>
      <c r="L15" s="112" t="n">
        <v>46031</v>
      </c>
      <c r="M15" s="112" t="n"/>
      <c r="N15" s="112" t="n">
        <v>46140</v>
      </c>
      <c r="O15" s="115">
        <f>IF(OR(D15="",F15=""),"",D15+F15)</f>
        <v>46128.0</v>
      </c>
      <c r="P15" s="116" t="str">
        <f>IF(O15="","",IF(ISNUMBER(M15),O15-M15,IF(OR(H15="DECISÃO D.P",ISNUMBER(N15)),"",O15-TODAY())))</f>
        <v/>
      </c>
      <c r="Q15" s="117" t="str">
        <f>IF(B15="","",IF(ISNUMBER(N15),"DECIDIDO – ","")&amp;IF(ISNUMBER(M15),IF(P15="",IF(F15="","INFORMAR PRAZO","SEM DATA"),IF(P15&gt;=0,"DEFESA NO PRAZO","DEFESA FORA DO PRAZO")),IF(OR(H15="DECISÃO D.P",ISNUMBER(N15)),"SEM DEFESA",IF(H15="","SEM STATUS",IF(F15="","INFORMAR PRAZO",IF(P15="","SEM DATA",IF(P15&lt;0,"VENCIDO",IF(P15&lt;=DiasAlerta,"VENCE EM BREVE","NO PRAZO"))))))))</f>
        <v>DECIDIDO – SEM DEFESA</v>
      </c>
      <c r="R15" s="118">
        <f>IF(D15="","",TODAY()-D15)</f>
        <v>186</v>
      </c>
      <c r="S15" s="111" t="n"/>
    </row>
    <row r="16" ht="18" customHeight="1">
      <c r="A16" s="110" t="n">
        <v>12</v>
      </c>
      <c r="B16" s="111" t="inlineStr">
        <is>
          <t>Studio Fitness Bom Preço</t>
        </is>
      </c>
      <c r="C16" s="111" t="inlineStr">
        <is>
          <t>ACADEMIA</t>
        </is>
      </c>
      <c r="D16" s="112" t="n">
        <v>46128</v>
      </c>
      <c r="E16" s="111" t="inlineStr">
        <is>
          <t>NOTIFICAÇÃO DE ESCLARECIMENTO</t>
        </is>
      </c>
      <c r="F16" s="110" t="n">
        <v>15</v>
      </c>
      <c r="G16" s="113" t="inlineStr">
        <is>
          <t>ELETRÔNICA</t>
        </is>
      </c>
      <c r="H16" s="113" t="inlineStr">
        <is>
          <t>DECISÃO D.P</t>
        </is>
      </c>
      <c r="I16" s="111" t="inlineStr">
        <is>
          <t>CARLA MENDES</t>
        </is>
      </c>
      <c r="J16" s="114" t="inlineStr">
        <is>
          <t>0015/2026</t>
        </is>
      </c>
      <c r="K16" s="114" t="inlineStr">
        <is>
          <t>2026.051639-5/13</t>
        </is>
      </c>
      <c r="L16" s="112" t="n">
        <v>46078</v>
      </c>
      <c r="M16" s="112" t="n">
        <v>46144</v>
      </c>
      <c r="N16" s="112" t="n">
        <v>46159</v>
      </c>
      <c r="O16" s="115">
        <f>IF(OR(D16="",F16=""),"",D16+F16)</f>
        <v>46143.0</v>
      </c>
      <c r="P16" s="116">
        <f>IF(O16="","",IF(ISNUMBER(M16),O16-M16,IF(OR(H16="DECISÃO D.P",ISNUMBER(N16)),"",O16-TODAY())))</f>
        <v>-1</v>
      </c>
      <c r="Q16" s="117" t="str">
        <f>IF(B16="","",IF(ISNUMBER(N16),"DECIDIDO – ","")&amp;IF(ISNUMBER(M16),IF(P16="",IF(F16="","INFORMAR PRAZO","SEM DATA"),IF(P16&gt;=0,"DEFESA NO PRAZO","DEFESA FORA DO PRAZO")),IF(OR(H16="DECISÃO D.P",ISNUMBER(N16)),"SEM DEFESA",IF(H16="","SEM STATUS",IF(F16="","INFORMAR PRAZO",IF(P16="","SEM DATA",IF(P16&lt;0,"VENCIDO",IF(P16&lt;=DiasAlerta,"VENCE EM BREVE","NO PRAZO"))))))))</f>
        <v>DECIDIDO – DEFESA FORA DO PRAZO</v>
      </c>
      <c r="R16" s="118">
        <f>IF(D16="","",TODAY()-D16)</f>
        <v>176</v>
      </c>
      <c r="S16" s="111" t="n"/>
    </row>
    <row r="17" ht="18" customHeight="1">
      <c r="A17" s="110" t="n">
        <v>13</v>
      </c>
      <c r="B17" s="111" t="inlineStr">
        <is>
          <t>Drogaria Jardim</t>
        </is>
      </c>
      <c r="C17" s="111" t="inlineStr">
        <is>
          <t>FARMÁCIA</t>
        </is>
      </c>
      <c r="D17" s="112" t="n">
        <v>46134</v>
      </c>
      <c r="E17" s="111" t="inlineStr">
        <is>
          <t>NOTIFICAÇÃO DE ESCLARECIMENTO</t>
        </is>
      </c>
      <c r="F17" s="110" t="n">
        <v>15</v>
      </c>
      <c r="G17" s="113" t="inlineStr">
        <is>
          <t>PRESENCIAL</t>
        </is>
      </c>
      <c r="H17" s="113" t="inlineStr">
        <is>
          <t>DECISÃO D.P</t>
        </is>
      </c>
      <c r="I17" s="111" t="inlineStr">
        <is>
          <t>CARLA MENDES</t>
        </is>
      </c>
      <c r="J17" s="114" t="inlineStr">
        <is>
          <t>0080/2026</t>
        </is>
      </c>
      <c r="K17" s="114" t="inlineStr">
        <is>
          <t>2026.023852-4/14</t>
        </is>
      </c>
      <c r="L17" s="112" t="n">
        <v>46058</v>
      </c>
      <c r="M17" s="112" t="n">
        <v>46147</v>
      </c>
      <c r="N17" s="112" t="n">
        <v>46168</v>
      </c>
      <c r="O17" s="115">
        <f>IF(OR(D17="",F17=""),"",D17+F17)</f>
        <v>46149.0</v>
      </c>
      <c r="P17" s="116">
        <f>IF(O17="","",IF(ISNUMBER(M17),O17-M17,IF(OR(H17="DECISÃO D.P",ISNUMBER(N17)),"",O17-TODAY())))</f>
        <v>2</v>
      </c>
      <c r="Q17" s="117" t="str">
        <f>IF(B17="","",IF(ISNUMBER(N17),"DECIDIDO – ","")&amp;IF(ISNUMBER(M17),IF(P17="",IF(F17="","INFORMAR PRAZO","SEM DATA"),IF(P17&gt;=0,"DEFESA NO PRAZO","DEFESA FORA DO PRAZO")),IF(OR(H17="DECISÃO D.P",ISNUMBER(N17)),"SEM DEFESA",IF(H17="","SEM STATUS",IF(F17="","INFORMAR PRAZO",IF(P17="","SEM DATA",IF(P17&lt;0,"VENCIDO",IF(P17&lt;=DiasAlerta,"VENCE EM BREVE","NO PRAZO"))))))))</f>
        <v>DECIDIDO – DEFESA NO PRAZO</v>
      </c>
      <c r="R17" s="118">
        <f>IF(D17="","",TODAY()-D17)</f>
        <v>170</v>
      </c>
      <c r="S17" s="111" t="n"/>
    </row>
    <row r="18" ht="18" customHeight="1">
      <c r="A18" s="110" t="n">
        <v>14</v>
      </c>
      <c r="B18" s="111" t="inlineStr">
        <is>
          <t>Studio Fitness Bom Preço</t>
        </is>
      </c>
      <c r="C18" s="111" t="inlineStr">
        <is>
          <t>ACADEMIA</t>
        </is>
      </c>
      <c r="D18" s="112" t="n">
        <v>46138</v>
      </c>
      <c r="E18" s="111" t="inlineStr">
        <is>
          <t>NOTIFICAÇÃO DE CONSTATAÇÃO</t>
        </is>
      </c>
      <c r="F18" s="110" t="n">
        <v>15</v>
      </c>
      <c r="G18" s="113" t="inlineStr">
        <is>
          <t>PRESENCIAL</t>
        </is>
      </c>
      <c r="H18" s="113" t="inlineStr">
        <is>
          <t>DECISÃO D.P</t>
        </is>
      </c>
      <c r="I18" s="111" t="inlineStr">
        <is>
          <t>HENRIQUE COSTA</t>
        </is>
      </c>
      <c r="J18" s="114" t="inlineStr">
        <is>
          <t>0575/2026</t>
        </is>
      </c>
      <c r="K18" s="114" t="inlineStr">
        <is>
          <t>2026.036115-4/10</t>
        </is>
      </c>
      <c r="L18" s="112" t="n">
        <v>46118</v>
      </c>
      <c r="M18" s="112" t="n">
        <v>46151</v>
      </c>
      <c r="N18" s="112" t="n">
        <v>46170</v>
      </c>
      <c r="O18" s="115">
        <f>IF(OR(D18="",F18=""),"",D18+F18)</f>
        <v>46153.0</v>
      </c>
      <c r="P18" s="116">
        <f>IF(O18="","",IF(ISNUMBER(M18),O18-M18,IF(OR(H18="DECISÃO D.P",ISNUMBER(N18)),"",O18-TODAY())))</f>
        <v>2</v>
      </c>
      <c r="Q18" s="117" t="str">
        <f>IF(B18="","",IF(ISNUMBER(N18),"DECIDIDO – ","")&amp;IF(ISNUMBER(M18),IF(P18="",IF(F18="","INFORMAR PRAZO","SEM DATA"),IF(P18&gt;=0,"DEFESA NO PRAZO","DEFESA FORA DO PRAZO")),IF(OR(H18="DECISÃO D.P",ISNUMBER(N18)),"SEM DEFESA",IF(H18="","SEM STATUS",IF(F18="","INFORMAR PRAZO",IF(P18="","SEM DATA",IF(P18&lt;0,"VENCIDO",IF(P18&lt;=DiasAlerta,"VENCE EM BREVE","NO PRAZO"))))))))</f>
        <v>DECIDIDO – DEFESA NO PRAZO</v>
      </c>
      <c r="R18" s="118">
        <f>IF(D18="","",TODAY()-D18)</f>
        <v>166</v>
      </c>
      <c r="S18" s="111" t="n"/>
    </row>
    <row r="19" ht="18" customHeight="1">
      <c r="A19" s="110" t="n">
        <v>15</v>
      </c>
      <c r="B19" s="111" t="inlineStr">
        <is>
          <t>Laboratório Litoral Filial 2</t>
        </is>
      </c>
      <c r="C19" s="111" t="inlineStr">
        <is>
          <t>SAÚDE</t>
        </is>
      </c>
      <c r="D19" s="112" t="n">
        <v>46138</v>
      </c>
      <c r="E19" s="111" t="inlineStr">
        <is>
          <t>NOTIFICAÇÃO DE CONSTATAÇÃO</t>
        </is>
      </c>
      <c r="F19" s="110" t="n">
        <v>20</v>
      </c>
      <c r="G19" s="113" t="inlineStr">
        <is>
          <t>PRESENCIAL</t>
        </is>
      </c>
      <c r="H19" s="113" t="inlineStr">
        <is>
          <t>DECISÃO D.P</t>
        </is>
      </c>
      <c r="I19" s="111" t="inlineStr">
        <is>
          <t>ANA PAULA SOUZA</t>
        </is>
      </c>
      <c r="J19" s="114" t="inlineStr">
        <is>
          <t>0667/2026</t>
        </is>
      </c>
      <c r="K19" s="114" t="inlineStr">
        <is>
          <t>2026.048589-3/09</t>
        </is>
      </c>
      <c r="L19" s="112" t="n">
        <v>46090</v>
      </c>
      <c r="M19" s="112" t="n"/>
      <c r="N19" s="112" t="n">
        <v>46176</v>
      </c>
      <c r="O19" s="115">
        <f>IF(OR(D19="",F19=""),"",D19+F19)</f>
        <v>46158.0</v>
      </c>
      <c r="P19" s="116" t="str">
        <f>IF(O19="","",IF(ISNUMBER(M19),O19-M19,IF(OR(H19="DECISÃO D.P",ISNUMBER(N19)),"",O19-TODAY())))</f>
        <v/>
      </c>
      <c r="Q19" s="117" t="str">
        <f>IF(B19="","",IF(ISNUMBER(N19),"DECIDIDO – ","")&amp;IF(ISNUMBER(M19),IF(P19="",IF(F19="","INFORMAR PRAZO","SEM DATA"),IF(P19&gt;=0,"DEFESA NO PRAZO","DEFESA FORA DO PRAZO")),IF(OR(H19="DECISÃO D.P",ISNUMBER(N19)),"SEM DEFESA",IF(H19="","SEM STATUS",IF(F19="","INFORMAR PRAZO",IF(P19="","SEM DATA",IF(P19&lt;0,"VENCIDO",IF(P19&lt;=DiasAlerta,"VENCE EM BREVE","NO PRAZO"))))))))</f>
        <v>DECIDIDO – SEM DEFESA</v>
      </c>
      <c r="R19" s="118">
        <f>IF(D19="","",TODAY()-D19)</f>
        <v>166</v>
      </c>
      <c r="S19" s="111" t="n"/>
    </row>
    <row r="20" ht="18" customHeight="1">
      <c r="A20" s="110" t="n">
        <v>16</v>
      </c>
      <c r="B20" s="111" t="inlineStr">
        <is>
          <t>Posto Litoral</t>
        </is>
      </c>
      <c r="C20" s="111" t="inlineStr">
        <is>
          <t>POSTO DE COMBUSTÍVEL</t>
        </is>
      </c>
      <c r="D20" s="112" t="n">
        <v>46138</v>
      </c>
      <c r="E20" s="111" t="inlineStr">
        <is>
          <t>NOTIFICAÇÃO DE CONSTATAÇÃO</t>
        </is>
      </c>
      <c r="F20" s="110" t="n">
        <v>45</v>
      </c>
      <c r="G20" s="113" t="inlineStr">
        <is>
          <t>PRESENCIAL</t>
        </is>
      </c>
      <c r="H20" s="113" t="inlineStr">
        <is>
          <t>PRAZO D.P</t>
        </is>
      </c>
      <c r="I20" s="111" t="inlineStr">
        <is>
          <t>BRUNO CARVALHO</t>
        </is>
      </c>
      <c r="J20" s="114" t="inlineStr">
        <is>
          <t>0094/2026</t>
        </is>
      </c>
      <c r="K20" s="114" t="inlineStr">
        <is>
          <t>2026.007063-4/14</t>
        </is>
      </c>
      <c r="L20" s="112" t="n">
        <v>46053</v>
      </c>
      <c r="M20" s="112" t="n"/>
      <c r="N20" s="112" t="n"/>
      <c r="O20" s="115">
        <f>IF(OR(D20="",F20=""),"",D20+F20)</f>
        <v>46183.0</v>
      </c>
      <c r="P20" s="116">
        <f>IF(O20="","",IF(ISNUMBER(M20),O20-M20,IF(OR(H20="DECISÃO D.P",ISNUMBER(N20)),"",O20-TODAY())))</f>
        <v>-121</v>
      </c>
      <c r="Q20" s="117" t="str">
        <f>IF(B20="","",IF(ISNUMBER(N20),"DECIDIDO – ","")&amp;IF(ISNUMBER(M20),IF(P20="",IF(F20="","INFORMAR PRAZO","SEM DATA"),IF(P20&gt;=0,"DEFESA NO PRAZO","DEFESA FORA DO PRAZO")),IF(OR(H20="DECISÃO D.P",ISNUMBER(N20)),"SEM DEFESA",IF(H20="","SEM STATUS",IF(F20="","INFORMAR PRAZO",IF(P20="","SEM DATA",IF(P20&lt;0,"VENCIDO",IF(P20&lt;=DiasAlerta,"VENCE EM BREVE","NO PRAZO"))))))))</f>
        <v>VENCIDO</v>
      </c>
      <c r="R20" s="118">
        <f>IF(D20="","",TODAY()-D20)</f>
        <v>166</v>
      </c>
      <c r="S20" s="111" t="n"/>
    </row>
    <row r="21" ht="18" customHeight="1">
      <c r="A21" s="110" t="n">
        <v>17</v>
      </c>
      <c r="B21" s="111" t="inlineStr">
        <is>
          <t>Colégio Primavera Ltda</t>
        </is>
      </c>
      <c r="C21" s="111" t="inlineStr">
        <is>
          <t>ESCOLA</t>
        </is>
      </c>
      <c r="D21" s="112" t="n">
        <v>46139</v>
      </c>
      <c r="E21" s="111" t="inlineStr">
        <is>
          <t>NOTIFICAÇÃO DE ESCLARECIMENTO</t>
        </is>
      </c>
      <c r="F21" s="110" t="n">
        <v>10</v>
      </c>
      <c r="G21" s="113" t="inlineStr">
        <is>
          <t>ELETRÔNICA</t>
        </is>
      </c>
      <c r="H21" s="113" t="inlineStr">
        <is>
          <t>DECISÃO D.P</t>
        </is>
      </c>
      <c r="I21" s="111" t="inlineStr">
        <is>
          <t>CARLA MENDES</t>
        </is>
      </c>
      <c r="J21" s="114" t="inlineStr">
        <is>
          <t>0896/2026</t>
        </is>
      </c>
      <c r="K21" s="114" t="inlineStr">
        <is>
          <t>2026.018739-9/14</t>
        </is>
      </c>
      <c r="L21" s="112" t="n">
        <v>46119</v>
      </c>
      <c r="M21" s="112" t="n"/>
      <c r="N21" s="112" t="n">
        <v>46160</v>
      </c>
      <c r="O21" s="115">
        <f>IF(OR(D21="",F21=""),"",D21+F21)</f>
        <v>46149.0</v>
      </c>
      <c r="P21" s="116" t="str">
        <f>IF(O21="","",IF(ISNUMBER(M21),O21-M21,IF(OR(H21="DECISÃO D.P",ISNUMBER(N21)),"",O21-TODAY())))</f>
        <v/>
      </c>
      <c r="Q21" s="117" t="str">
        <f>IF(B21="","",IF(ISNUMBER(N21),"DECIDIDO – ","")&amp;IF(ISNUMBER(M21),IF(P21="",IF(F21="","INFORMAR PRAZO","SEM DATA"),IF(P21&gt;=0,"DEFESA NO PRAZO","DEFESA FORA DO PRAZO")),IF(OR(H21="DECISÃO D.P",ISNUMBER(N21)),"SEM DEFESA",IF(H21="","SEM STATUS",IF(F21="","INFORMAR PRAZO",IF(P21="","SEM DATA",IF(P21&lt;0,"VENCIDO",IF(P21&lt;=DiasAlerta,"VENCE EM BREVE","NO PRAZO"))))))))</f>
        <v>DECIDIDO – SEM DEFESA</v>
      </c>
      <c r="R21" s="118">
        <f>IF(D21="","",TODAY()-D21)</f>
        <v>165</v>
      </c>
      <c r="S21" s="111" t="n"/>
    </row>
    <row r="22" ht="18" customHeight="1">
      <c r="A22" s="110" t="n">
        <v>18</v>
      </c>
      <c r="B22" s="111" t="inlineStr">
        <is>
          <t>Posto Vitória</t>
        </is>
      </c>
      <c r="C22" s="111" t="inlineStr">
        <is>
          <t>POSTO DE COMBUSTÍVEL</t>
        </is>
      </c>
      <c r="D22" s="112" t="n">
        <v>46143</v>
      </c>
      <c r="E22" s="111" t="inlineStr">
        <is>
          <t>NOTIFICAÇÃO DE CONSTATAÇÃO</t>
        </is>
      </c>
      <c r="F22" s="110" t="n">
        <v>15</v>
      </c>
      <c r="G22" s="113" t="inlineStr">
        <is>
          <t>PRESENCIAL</t>
        </is>
      </c>
      <c r="H22" s="113" t="inlineStr">
        <is>
          <t>DECISÃO D.P</t>
        </is>
      </c>
      <c r="I22" s="111" t="inlineStr">
        <is>
          <t>GABRIELA NUNES</t>
        </is>
      </c>
      <c r="J22" s="114" t="inlineStr">
        <is>
          <t>0175/2026</t>
        </is>
      </c>
      <c r="K22" s="114" t="inlineStr">
        <is>
          <t>2026.026452-8/05</t>
        </is>
      </c>
      <c r="L22" s="112" t="n">
        <v>46119</v>
      </c>
      <c r="M22" s="112" t="n">
        <v>46156</v>
      </c>
      <c r="N22" s="112" t="n">
        <v>46178</v>
      </c>
      <c r="O22" s="115">
        <f>IF(OR(D22="",F22=""),"",D22+F22)</f>
        <v>46158.0</v>
      </c>
      <c r="P22" s="116">
        <f>IF(O22="","",IF(ISNUMBER(M22),O22-M22,IF(OR(H22="DECISÃO D.P",ISNUMBER(N22)),"",O22-TODAY())))</f>
        <v>2</v>
      </c>
      <c r="Q22" s="117" t="str">
        <f>IF(B22="","",IF(ISNUMBER(N22),"DECIDIDO – ","")&amp;IF(ISNUMBER(M22),IF(P22="",IF(F22="","INFORMAR PRAZO","SEM DATA"),IF(P22&gt;=0,"DEFESA NO PRAZO","DEFESA FORA DO PRAZO")),IF(OR(H22="DECISÃO D.P",ISNUMBER(N22)),"SEM DEFESA",IF(H22="","SEM STATUS",IF(F22="","INFORMAR PRAZO",IF(P22="","SEM DATA",IF(P22&lt;0,"VENCIDO",IF(P22&lt;=DiasAlerta,"VENCE EM BREVE","NO PRAZO"))))))))</f>
        <v>DECIDIDO – DEFESA NO PRAZO</v>
      </c>
      <c r="R22" s="118">
        <f>IF(D22="","",TODAY()-D22)</f>
        <v>161</v>
      </c>
      <c r="S22" s="111" t="n"/>
    </row>
    <row r="23" ht="18" customHeight="1">
      <c r="A23" s="110" t="n">
        <v>19</v>
      </c>
      <c r="B23" s="111" t="inlineStr">
        <is>
          <t>Colégio Jardim 24h</t>
        </is>
      </c>
      <c r="C23" s="111" t="inlineStr">
        <is>
          <t>ESCOLA</t>
        </is>
      </c>
      <c r="D23" s="112" t="n">
        <v>46148</v>
      </c>
      <c r="E23" s="111" t="inlineStr">
        <is>
          <t>NOTIFICAÇÃO DE CONSTATAÇÃO</t>
        </is>
      </c>
      <c r="F23" s="110" t="n">
        <v>10</v>
      </c>
      <c r="G23" s="113" t="inlineStr">
        <is>
          <t>ELETRÔNICA</t>
        </is>
      </c>
      <c r="H23" s="113" t="inlineStr">
        <is>
          <t>DECISÃO D.P</t>
        </is>
      </c>
      <c r="I23" s="111" t="inlineStr">
        <is>
          <t>FELIPE ARAÚJO</t>
        </is>
      </c>
      <c r="J23" s="114" t="inlineStr">
        <is>
          <t>0410/2026</t>
        </is>
      </c>
      <c r="K23" s="114" t="inlineStr">
        <is>
          <t>2026.029612-9/01</t>
        </is>
      </c>
      <c r="L23" s="112" t="n">
        <v>46105</v>
      </c>
      <c r="M23" s="112" t="n"/>
      <c r="N23" s="112" t="n">
        <v>46183</v>
      </c>
      <c r="O23" s="115">
        <f>IF(OR(D23="",F23=""),"",D23+F23)</f>
        <v>46158.0</v>
      </c>
      <c r="P23" s="116" t="str">
        <f>IF(O23="","",IF(ISNUMBER(M23),O23-M23,IF(OR(H23="DECISÃO D.P",ISNUMBER(N23)),"",O23-TODAY())))</f>
        <v/>
      </c>
      <c r="Q23" s="117" t="str">
        <f>IF(B23="","",IF(ISNUMBER(N23),"DECIDIDO – ","")&amp;IF(ISNUMBER(M23),IF(P23="",IF(F23="","INFORMAR PRAZO","SEM DATA"),IF(P23&gt;=0,"DEFESA NO PRAZO","DEFESA FORA DO PRAZO")),IF(OR(H23="DECISÃO D.P",ISNUMBER(N23)),"SEM DEFESA",IF(H23="","SEM STATUS",IF(F23="","INFORMAR PRAZO",IF(P23="","SEM DATA",IF(P23&lt;0,"VENCIDO",IF(P23&lt;=DiasAlerta,"VENCE EM BREVE","NO PRAZO"))))))))</f>
        <v>DECIDIDO – SEM DEFESA</v>
      </c>
      <c r="R23" s="118">
        <f>IF(D23="","",TODAY()-D23)</f>
        <v>156</v>
      </c>
      <c r="S23" s="111" t="n"/>
    </row>
    <row r="24" ht="18" customHeight="1">
      <c r="A24" s="110" t="n">
        <v>20</v>
      </c>
      <c r="B24" s="111" t="inlineStr">
        <is>
          <t>Magazine Nova Era Ltda</t>
        </is>
      </c>
      <c r="C24" s="111" t="inlineStr">
        <is>
          <t>LOJA</t>
        </is>
      </c>
      <c r="D24" s="112" t="n">
        <v>46162</v>
      </c>
      <c r="E24" s="111" t="inlineStr">
        <is>
          <t>NOTIFICAÇÃO DE ESCLARECIMENTO</t>
        </is>
      </c>
      <c r="F24" s="110" t="n">
        <v>15</v>
      </c>
      <c r="G24" s="113" t="inlineStr">
        <is>
          <t>PRESENCIAL</t>
        </is>
      </c>
      <c r="H24" s="113" t="inlineStr">
        <is>
          <t>DECISÃO D.P</t>
        </is>
      </c>
      <c r="I24" s="111" t="inlineStr">
        <is>
          <t>BRUNO CARVALHO</t>
        </is>
      </c>
      <c r="J24" s="114" t="inlineStr">
        <is>
          <t>0858/2026</t>
        </is>
      </c>
      <c r="K24" s="114" t="inlineStr">
        <is>
          <t>2026.039146-5/03</t>
        </is>
      </c>
      <c r="L24" s="112" t="n">
        <v>46149</v>
      </c>
      <c r="M24" s="112" t="n">
        <v>46165</v>
      </c>
      <c r="N24" s="112" t="n">
        <v>46191</v>
      </c>
      <c r="O24" s="115">
        <f>IF(OR(D24="",F24=""),"",D24+F24)</f>
        <v>46177.0</v>
      </c>
      <c r="P24" s="116">
        <f>IF(O24="","",IF(ISNUMBER(M24),O24-M24,IF(OR(H24="DECISÃO D.P",ISNUMBER(N24)),"",O24-TODAY())))</f>
        <v>12</v>
      </c>
      <c r="Q24" s="117" t="str">
        <f>IF(B24="","",IF(ISNUMBER(N24),"DECIDIDO – ","")&amp;IF(ISNUMBER(M24),IF(P24="",IF(F24="","INFORMAR PRAZO","SEM DATA"),IF(P24&gt;=0,"DEFESA NO PRAZO","DEFESA FORA DO PRAZO")),IF(OR(H24="DECISÃO D.P",ISNUMBER(N24)),"SEM DEFESA",IF(H24="","SEM STATUS",IF(F24="","INFORMAR PRAZO",IF(P24="","SEM DATA",IF(P24&lt;0,"VENCIDO",IF(P24&lt;=DiasAlerta,"VENCE EM BREVE","NO PRAZO"))))))))</f>
        <v>DECIDIDO – DEFESA NO PRAZO</v>
      </c>
      <c r="R24" s="118">
        <f>IF(D24="","",TODAY()-D24)</f>
        <v>142</v>
      </c>
      <c r="S24" s="111" t="n"/>
    </row>
    <row r="25" ht="18" customHeight="1">
      <c r="A25" s="110" t="n">
        <v>21</v>
      </c>
      <c r="B25" s="111" t="inlineStr">
        <is>
          <t>Conecta Estrela Ltda</t>
        </is>
      </c>
      <c r="C25" s="111" t="inlineStr">
        <is>
          <t>TELEFONIA</t>
        </is>
      </c>
      <c r="D25" s="112" t="n">
        <v>46163</v>
      </c>
      <c r="E25" s="111" t="inlineStr">
        <is>
          <t>NOTIFICAÇÃO DE ESCLARECIMENTO</t>
        </is>
      </c>
      <c r="F25" s="110" t="n">
        <v>10</v>
      </c>
      <c r="G25" s="113" t="inlineStr">
        <is>
          <t>PRESENCIAL</t>
        </is>
      </c>
      <c r="H25" s="113" t="inlineStr">
        <is>
          <t>DECISÃO D.P</t>
        </is>
      </c>
      <c r="I25" s="111" t="inlineStr">
        <is>
          <t>FELIPE ARAÚJO</t>
        </is>
      </c>
      <c r="J25" s="114" t="inlineStr">
        <is>
          <t>0195/2026</t>
        </is>
      </c>
      <c r="K25" s="114" t="inlineStr">
        <is>
          <t>2026.055349-4/03</t>
        </is>
      </c>
      <c r="L25" s="112" t="n">
        <v>46152</v>
      </c>
      <c r="M25" s="112" t="n">
        <v>46169</v>
      </c>
      <c r="N25" s="112" t="n">
        <v>46193</v>
      </c>
      <c r="O25" s="115">
        <f>IF(OR(D25="",F25=""),"",D25+F25)</f>
        <v>46173.0</v>
      </c>
      <c r="P25" s="116">
        <f>IF(O25="","",IF(ISNUMBER(M25),O25-M25,IF(OR(H25="DECISÃO D.P",ISNUMBER(N25)),"",O25-TODAY())))</f>
        <v>4</v>
      </c>
      <c r="Q25" s="117" t="str">
        <f>IF(B25="","",IF(ISNUMBER(N25),"DECIDIDO – ","")&amp;IF(ISNUMBER(M25),IF(P25="",IF(F25="","INFORMAR PRAZO","SEM DATA"),IF(P25&gt;=0,"DEFESA NO PRAZO","DEFESA FORA DO PRAZO")),IF(OR(H25="DECISÃO D.P",ISNUMBER(N25)),"SEM DEFESA",IF(H25="","SEM STATUS",IF(F25="","INFORMAR PRAZO",IF(P25="","SEM DATA",IF(P25&lt;0,"VENCIDO",IF(P25&lt;=DiasAlerta,"VENCE EM BREVE","NO PRAZO"))))))))</f>
        <v>DECIDIDO – DEFESA NO PRAZO</v>
      </c>
      <c r="R25" s="118">
        <f>IF(D25="","",TODAY()-D25)</f>
        <v>141</v>
      </c>
      <c r="S25" s="111" t="n"/>
    </row>
    <row r="26" ht="18" customHeight="1">
      <c r="A26" s="110" t="n">
        <v>22</v>
      </c>
      <c r="B26" s="111" t="inlineStr">
        <is>
          <t>Clínica Litoral</t>
        </is>
      </c>
      <c r="C26" s="111" t="inlineStr">
        <is>
          <t>SAÚDE</t>
        </is>
      </c>
      <c r="D26" s="112" t="n">
        <v>46163</v>
      </c>
      <c r="E26" s="111" t="inlineStr">
        <is>
          <t>NOTIFICAÇÃO DE ESCLARECIMENTO</t>
        </is>
      </c>
      <c r="F26" s="110" t="n">
        <v>5</v>
      </c>
      <c r="G26" s="113" t="inlineStr">
        <is>
          <t>ELETRÔNICA</t>
        </is>
      </c>
      <c r="H26" s="113" t="inlineStr">
        <is>
          <t>DECISÃO D.P</t>
        </is>
      </c>
      <c r="I26" s="111" t="inlineStr">
        <is>
          <t>ANA PAULA SOUZA</t>
        </is>
      </c>
      <c r="J26" s="114" t="inlineStr">
        <is>
          <t>0734/2026</t>
        </is>
      </c>
      <c r="K26" s="114" t="inlineStr">
        <is>
          <t>2026.083089-5/11</t>
        </is>
      </c>
      <c r="L26" s="112" t="n">
        <v>46153</v>
      </c>
      <c r="M26" s="112" t="n">
        <v>46164</v>
      </c>
      <c r="N26" s="112" t="n">
        <v>46190</v>
      </c>
      <c r="O26" s="115">
        <f>IF(OR(D26="",F26=""),"",D26+F26)</f>
        <v>46168.0</v>
      </c>
      <c r="P26" s="116">
        <f>IF(O26="","",IF(ISNUMBER(M26),O26-M26,IF(OR(H26="DECISÃO D.P",ISNUMBER(N26)),"",O26-TODAY())))</f>
        <v>4</v>
      </c>
      <c r="Q26" s="117" t="str">
        <f>IF(B26="","",IF(ISNUMBER(N26),"DECIDIDO – ","")&amp;IF(ISNUMBER(M26),IF(P26="",IF(F26="","INFORMAR PRAZO","SEM DATA"),IF(P26&gt;=0,"DEFESA NO PRAZO","DEFESA FORA DO PRAZO")),IF(OR(H26="DECISÃO D.P",ISNUMBER(N26)),"SEM DEFESA",IF(H26="","SEM STATUS",IF(F26="","INFORMAR PRAZO",IF(P26="","SEM DATA",IF(P26&lt;0,"VENCIDO",IF(P26&lt;=DiasAlerta,"VENCE EM BREVE","NO PRAZO"))))))))</f>
        <v>DECIDIDO – DEFESA NO PRAZO</v>
      </c>
      <c r="R26" s="118">
        <f>IF(D26="","",TODAY()-D26)</f>
        <v>141</v>
      </c>
      <c r="S26" s="111" t="n"/>
    </row>
    <row r="27" ht="18" customHeight="1">
      <c r="A27" s="110" t="n">
        <v>23</v>
      </c>
      <c r="B27" s="111" t="inlineStr">
        <is>
          <t>Hospital Primavera</t>
        </is>
      </c>
      <c r="C27" s="111" t="inlineStr">
        <is>
          <t>SAÚDE</t>
        </is>
      </c>
      <c r="D27" s="112" t="n">
        <v>46171</v>
      </c>
      <c r="E27" s="111" t="inlineStr">
        <is>
          <t>NOTIFICAÇÃO DE CONSTATAÇÃO</t>
        </is>
      </c>
      <c r="F27" s="110" t="n">
        <v>30</v>
      </c>
      <c r="G27" s="113" t="inlineStr">
        <is>
          <t>PRESENCIAL</t>
        </is>
      </c>
      <c r="H27" s="113" t="inlineStr">
        <is>
          <t>PRAZO D.P</t>
        </is>
      </c>
      <c r="I27" s="111" t="inlineStr">
        <is>
          <t>HENRIQUE COSTA</t>
        </is>
      </c>
      <c r="J27" s="114" t="inlineStr">
        <is>
          <t>0724/2026</t>
        </is>
      </c>
      <c r="K27" s="114" t="inlineStr">
        <is>
          <t>2026.050290-4/04</t>
        </is>
      </c>
      <c r="L27" s="112" t="n">
        <v>46146</v>
      </c>
      <c r="M27" s="112" t="n"/>
      <c r="N27" s="112" t="n"/>
      <c r="O27" s="115">
        <f>IF(OR(D27="",F27=""),"",D27+F27)</f>
        <v>46201.0</v>
      </c>
      <c r="P27" s="116">
        <f>IF(O27="","",IF(ISNUMBER(M27),O27-M27,IF(OR(H27="DECISÃO D.P",ISNUMBER(N27)),"",O27-TODAY())))</f>
        <v>-103</v>
      </c>
      <c r="Q27" s="117" t="str">
        <f>IF(B27="","",IF(ISNUMBER(N27),"DECIDIDO – ","")&amp;IF(ISNUMBER(M27),IF(P27="",IF(F27="","INFORMAR PRAZO","SEM DATA"),IF(P27&gt;=0,"DEFESA NO PRAZO","DEFESA FORA DO PRAZO")),IF(OR(H27="DECISÃO D.P",ISNUMBER(N27)),"SEM DEFESA",IF(H27="","SEM STATUS",IF(F27="","INFORMAR PRAZO",IF(P27="","SEM DATA",IF(P27&lt;0,"VENCIDO",IF(P27&lt;=DiasAlerta,"VENCE EM BREVE","NO PRAZO"))))))))</f>
        <v>VENCIDO</v>
      </c>
      <c r="R27" s="118">
        <f>IF(D27="","",TODAY()-D27)</f>
        <v>133</v>
      </c>
      <c r="S27" s="111" t="n"/>
    </row>
    <row r="28" ht="18" customHeight="1">
      <c r="A28" s="110" t="n">
        <v>24</v>
      </c>
      <c r="B28" s="111" t="inlineStr">
        <is>
          <t>Farmácia Central</t>
        </is>
      </c>
      <c r="C28" s="111" t="inlineStr">
        <is>
          <t>FARMÁCIA</t>
        </is>
      </c>
      <c r="D28" s="112" t="n">
        <v>46176</v>
      </c>
      <c r="E28" s="111" t="inlineStr">
        <is>
          <t>NOTIFICAÇÃO DE CONSTATAÇÃO</t>
        </is>
      </c>
      <c r="F28" s="110" t="n">
        <v>20</v>
      </c>
      <c r="G28" s="113" t="inlineStr">
        <is>
          <t>PRESENCIAL</t>
        </is>
      </c>
      <c r="H28" s="113" t="inlineStr">
        <is>
          <t>DECISÃO D.P</t>
        </is>
      </c>
      <c r="I28" s="111" t="inlineStr">
        <is>
          <t>DIEGO RIBEIRO</t>
        </is>
      </c>
      <c r="J28" s="114" t="inlineStr">
        <is>
          <t>0822/2026</t>
        </is>
      </c>
      <c r="K28" s="114" t="inlineStr">
        <is>
          <t>2026.005525-4/13</t>
        </is>
      </c>
      <c r="L28" s="112" t="n">
        <v>46086</v>
      </c>
      <c r="M28" s="112" t="n">
        <v>46203</v>
      </c>
      <c r="N28" s="112" t="n">
        <v>46213</v>
      </c>
      <c r="O28" s="115">
        <f>IF(OR(D28="",F28=""),"",D28+F28)</f>
        <v>46196.0</v>
      </c>
      <c r="P28" s="116">
        <f>IF(O28="","",IF(ISNUMBER(M28),O28-M28,IF(OR(H28="DECISÃO D.P",ISNUMBER(N28)),"",O28-TODAY())))</f>
        <v>-7</v>
      </c>
      <c r="Q28" s="117" t="str">
        <f>IF(B28="","",IF(ISNUMBER(N28),"DECIDIDO – ","")&amp;IF(ISNUMBER(M28),IF(P28="",IF(F28="","INFORMAR PRAZO","SEM DATA"),IF(P28&gt;=0,"DEFESA NO PRAZO","DEFESA FORA DO PRAZO")),IF(OR(H28="DECISÃO D.P",ISNUMBER(N28)),"SEM DEFESA",IF(H28="","SEM STATUS",IF(F28="","INFORMAR PRAZO",IF(P28="","SEM DATA",IF(P28&lt;0,"VENCIDO",IF(P28&lt;=DiasAlerta,"VENCE EM BREVE","NO PRAZO"))))))))</f>
        <v>DECIDIDO – DEFESA FORA DO PRAZO</v>
      </c>
      <c r="R28" s="118">
        <f>IF(D28="","",TODAY()-D28)</f>
        <v>128</v>
      </c>
      <c r="S28" s="111" t="n"/>
    </row>
    <row r="29" ht="18" customHeight="1">
      <c r="A29" s="110" t="n">
        <v>25</v>
      </c>
      <c r="B29" s="111" t="inlineStr">
        <is>
          <t>Laboratório Central</t>
        </is>
      </c>
      <c r="C29" s="111" t="inlineStr">
        <is>
          <t>SAÚDE</t>
        </is>
      </c>
      <c r="D29" s="112" t="n">
        <v>46177</v>
      </c>
      <c r="E29" s="111" t="inlineStr">
        <is>
          <t>NOTIFICAÇÃO DE CONSTATAÇÃO</t>
        </is>
      </c>
      <c r="F29" s="110" t="n">
        <v>15</v>
      </c>
      <c r="G29" s="113" t="inlineStr">
        <is>
          <t>PRESENCIAL</t>
        </is>
      </c>
      <c r="H29" s="113" t="inlineStr">
        <is>
          <t>DECISÃO D.P</t>
        </is>
      </c>
      <c r="I29" s="111" t="inlineStr">
        <is>
          <t>CARLA MENDES</t>
        </is>
      </c>
      <c r="J29" s="114" t="inlineStr">
        <is>
          <t>0443/2026</t>
        </is>
      </c>
      <c r="K29" s="114" t="inlineStr">
        <is>
          <t>2026.012720-6/07</t>
        </is>
      </c>
      <c r="L29" s="112" t="n">
        <v>46147</v>
      </c>
      <c r="M29" s="112" t="n"/>
      <c r="N29" s="112" t="n">
        <v>46213</v>
      </c>
      <c r="O29" s="115">
        <f>IF(OR(D29="",F29=""),"",D29+F29)</f>
        <v>46192.0</v>
      </c>
      <c r="P29" s="116" t="str">
        <f>IF(O29="","",IF(ISNUMBER(M29),O29-M29,IF(OR(H29="DECISÃO D.P",ISNUMBER(N29)),"",O29-TODAY())))</f>
        <v/>
      </c>
      <c r="Q29" s="117" t="str">
        <f>IF(B29="","",IF(ISNUMBER(N29),"DECIDIDO – ","")&amp;IF(ISNUMBER(M29),IF(P29="",IF(F29="","INFORMAR PRAZO","SEM DATA"),IF(P29&gt;=0,"DEFESA NO PRAZO","DEFESA FORA DO PRAZO")),IF(OR(H29="DECISÃO D.P",ISNUMBER(N29)),"SEM DEFESA",IF(H29="","SEM STATUS",IF(F29="","INFORMAR PRAZO",IF(P29="","SEM DATA",IF(P29&lt;0,"VENCIDO",IF(P29&lt;=DiasAlerta,"VENCE EM BREVE","NO PRAZO"))))))))</f>
        <v>DECIDIDO – SEM DEFESA</v>
      </c>
      <c r="R29" s="118">
        <f>IF(D29="","",TODAY()-D29)</f>
        <v>127</v>
      </c>
      <c r="S29" s="111" t="n"/>
    </row>
    <row r="30" ht="18" customHeight="1">
      <c r="A30" s="110" t="n">
        <v>26</v>
      </c>
      <c r="B30" s="111" t="inlineStr">
        <is>
          <t>Laboratório Vitória</t>
        </is>
      </c>
      <c r="C30" s="111" t="inlineStr">
        <is>
          <t>SAÚDE</t>
        </is>
      </c>
      <c r="D30" s="112" t="n">
        <v>46182</v>
      </c>
      <c r="E30" s="111" t="inlineStr">
        <is>
          <t>NOTIFICAÇÃO DE CONSTATAÇÃO</t>
        </is>
      </c>
      <c r="F30" s="110" t="n">
        <v>5</v>
      </c>
      <c r="G30" s="113" t="inlineStr">
        <is>
          <t>ELETRÔNICA</t>
        </is>
      </c>
      <c r="H30" s="113" t="inlineStr">
        <is>
          <t>DECISÃO D.P</t>
        </is>
      </c>
      <c r="I30" s="111" t="inlineStr">
        <is>
          <t>GABRIELA NUNES</t>
        </is>
      </c>
      <c r="J30" s="114" t="inlineStr">
        <is>
          <t>0235/2026</t>
        </is>
      </c>
      <c r="K30" s="114" t="inlineStr">
        <is>
          <t>2026.092062-1/15</t>
        </is>
      </c>
      <c r="L30" s="112" t="n">
        <v>46163</v>
      </c>
      <c r="M30" s="112" t="n">
        <v>46184</v>
      </c>
      <c r="N30" s="112" t="n"/>
      <c r="O30" s="115">
        <f>IF(OR(D30="",F30=""),"",D30+F30)</f>
        <v>46187.0</v>
      </c>
      <c r="P30" s="116">
        <f>IF(O30="","",IF(ISNUMBER(M30),O30-M30,IF(OR(H30="DECISÃO D.P",ISNUMBER(N30)),"",O30-TODAY())))</f>
        <v>3</v>
      </c>
      <c r="Q30" s="117" t="str">
        <f>IF(B30="","",IF(ISNUMBER(N30),"DECIDIDO – ","")&amp;IF(ISNUMBER(M30),IF(P30="",IF(F30="","INFORMAR PRAZO","SEM DATA"),IF(P30&gt;=0,"DEFESA NO PRAZO","DEFESA FORA DO PRAZO")),IF(OR(H30="DECISÃO D.P",ISNUMBER(N30)),"SEM DEFESA",IF(H30="","SEM STATUS",IF(F30="","INFORMAR PRAZO",IF(P30="","SEM DATA",IF(P30&lt;0,"VENCIDO",IF(P30&lt;=DiasAlerta,"VENCE EM BREVE","NO PRAZO"))))))))</f>
        <v>DEFESA NO PRAZO</v>
      </c>
      <c r="R30" s="118">
        <f>IF(D30="","",TODAY()-D30)</f>
        <v>122</v>
      </c>
      <c r="S30" s="111" t="n"/>
    </row>
    <row r="31" ht="18" customHeight="1">
      <c r="A31" s="110" t="n">
        <v>27</v>
      </c>
      <c r="B31" s="111" t="inlineStr">
        <is>
          <t>Hospital São Jorge</t>
        </is>
      </c>
      <c r="C31" s="111" t="inlineStr">
        <is>
          <t>SAÚDE</t>
        </is>
      </c>
      <c r="D31" s="112" t="n">
        <v>46185</v>
      </c>
      <c r="E31" s="111" t="inlineStr">
        <is>
          <t>NOTIFICAÇÃO DE CONSTATAÇÃO</t>
        </is>
      </c>
      <c r="F31" s="110" t="n">
        <v>10</v>
      </c>
      <c r="G31" s="113" t="inlineStr">
        <is>
          <t>PRESENCIAL</t>
        </is>
      </c>
      <c r="H31" s="113" t="inlineStr">
        <is>
          <t>DECISÃO D.P</t>
        </is>
      </c>
      <c r="I31" s="111" t="inlineStr">
        <is>
          <t>EDUARDA LIMA</t>
        </is>
      </c>
      <c r="J31" s="114" t="inlineStr">
        <is>
          <t>0405/2026</t>
        </is>
      </c>
      <c r="K31" s="114" t="inlineStr">
        <is>
          <t>2026.081795-8/05</t>
        </is>
      </c>
      <c r="L31" s="112" t="n">
        <v>46154</v>
      </c>
      <c r="M31" s="112" t="n"/>
      <c r="N31" s="112" t="n">
        <v>46209</v>
      </c>
      <c r="O31" s="115">
        <f>IF(OR(D31="",F31=""),"",D31+F31)</f>
        <v>46195.0</v>
      </c>
      <c r="P31" s="116" t="str">
        <f>IF(O31="","",IF(ISNUMBER(M31),O31-M31,IF(OR(H31="DECISÃO D.P",ISNUMBER(N31)),"",O31-TODAY())))</f>
        <v/>
      </c>
      <c r="Q31" s="117" t="str">
        <f>IF(B31="","",IF(ISNUMBER(N31),"DECIDIDO – ","")&amp;IF(ISNUMBER(M31),IF(P31="",IF(F31="","INFORMAR PRAZO","SEM DATA"),IF(P31&gt;=0,"DEFESA NO PRAZO","DEFESA FORA DO PRAZO")),IF(OR(H31="DECISÃO D.P",ISNUMBER(N31)),"SEM DEFESA",IF(H31="","SEM STATUS",IF(F31="","INFORMAR PRAZO",IF(P31="","SEM DATA",IF(P31&lt;0,"VENCIDO",IF(P31&lt;=DiasAlerta,"VENCE EM BREVE","NO PRAZO"))))))))</f>
        <v>DECIDIDO – SEM DEFESA</v>
      </c>
      <c r="R31" s="118">
        <f>IF(D31="","",TODAY()-D31)</f>
        <v>119</v>
      </c>
      <c r="S31" s="111" t="n"/>
    </row>
    <row r="32" ht="18" customHeight="1">
      <c r="A32" s="110" t="n">
        <v>28</v>
      </c>
      <c r="B32" s="111" t="inlineStr">
        <is>
          <t>Financeira Atlântico</t>
        </is>
      </c>
      <c r="C32" s="111" t="inlineStr">
        <is>
          <t>BANCO</t>
        </is>
      </c>
      <c r="D32" s="112" t="n">
        <v>46187</v>
      </c>
      <c r="E32" s="111" t="inlineStr">
        <is>
          <t>NOTIFICAÇÃO DE CONSTATAÇÃO</t>
        </is>
      </c>
      <c r="F32" s="110" t="n">
        <v>5</v>
      </c>
      <c r="G32" s="113" t="inlineStr">
        <is>
          <t>PRESENCIAL</t>
        </is>
      </c>
      <c r="H32" s="113" t="inlineStr">
        <is>
          <t>DECISÃO D.P</t>
        </is>
      </c>
      <c r="I32" s="111" t="inlineStr">
        <is>
          <t>HENRIQUE COSTA</t>
        </is>
      </c>
      <c r="J32" s="114" t="inlineStr">
        <is>
          <t>0581/2026</t>
        </is>
      </c>
      <c r="K32" s="114" t="inlineStr">
        <is>
          <t>2026.032877-7/14</t>
        </is>
      </c>
      <c r="L32" s="112" t="n">
        <v>46116</v>
      </c>
      <c r="M32" s="112" t="n">
        <v>46198</v>
      </c>
      <c r="N32" s="112" t="n">
        <v>46205</v>
      </c>
      <c r="O32" s="115">
        <f>IF(OR(D32="",F32=""),"",D32+F32)</f>
        <v>46192.0</v>
      </c>
      <c r="P32" s="116">
        <f>IF(O32="","",IF(ISNUMBER(M32),O32-M32,IF(OR(H32="DECISÃO D.P",ISNUMBER(N32)),"",O32-TODAY())))</f>
        <v>-6</v>
      </c>
      <c r="Q32" s="117" t="str">
        <f>IF(B32="","",IF(ISNUMBER(N32),"DECIDIDO – ","")&amp;IF(ISNUMBER(M32),IF(P32="",IF(F32="","INFORMAR PRAZO","SEM DATA"),IF(P32&gt;=0,"DEFESA NO PRAZO","DEFESA FORA DO PRAZO")),IF(OR(H32="DECISÃO D.P",ISNUMBER(N32)),"SEM DEFESA",IF(H32="","SEM STATUS",IF(F32="","INFORMAR PRAZO",IF(P32="","SEM DATA",IF(P32&lt;0,"VENCIDO",IF(P32&lt;=DiasAlerta,"VENCE EM BREVE","NO PRAZO"))))))))</f>
        <v>DECIDIDO – DEFESA FORA DO PRAZO</v>
      </c>
      <c r="R32" s="118">
        <f>IF(D32="","",TODAY()-D32)</f>
        <v>117</v>
      </c>
      <c r="S32" s="111" t="n"/>
    </row>
    <row r="33" ht="18" customHeight="1">
      <c r="A33" s="110" t="n">
        <v>29</v>
      </c>
      <c r="B33" s="111" t="inlineStr">
        <is>
          <t>Financeira Aliança</t>
        </is>
      </c>
      <c r="C33" s="111" t="inlineStr">
        <is>
          <t>BANCO</t>
        </is>
      </c>
      <c r="D33" s="112" t="n">
        <v>46192</v>
      </c>
      <c r="E33" s="111" t="inlineStr">
        <is>
          <t>NOTIFICAÇÃO DE CONSTATAÇÃO</t>
        </is>
      </c>
      <c r="F33" s="110" t="n">
        <v>15</v>
      </c>
      <c r="G33" s="113" t="inlineStr">
        <is>
          <t>ELETRÔNICA</t>
        </is>
      </c>
      <c r="H33" s="113" t="inlineStr">
        <is>
          <t>DECISÃO D.P</t>
        </is>
      </c>
      <c r="I33" s="111" t="inlineStr">
        <is>
          <t>ANA PAULA SOUZA</t>
        </is>
      </c>
      <c r="J33" s="114" t="inlineStr">
        <is>
          <t>0338/2026</t>
        </is>
      </c>
      <c r="K33" s="114" t="inlineStr">
        <is>
          <t>2026.061747-3/10</t>
        </is>
      </c>
      <c r="L33" s="112" t="n">
        <v>46159</v>
      </c>
      <c r="M33" s="112" t="n">
        <v>46202</v>
      </c>
      <c r="N33" s="112" t="n">
        <v>46217</v>
      </c>
      <c r="O33" s="115">
        <f>IF(OR(D33="",F33=""),"",D33+F33)</f>
        <v>46207.0</v>
      </c>
      <c r="P33" s="116">
        <f>IF(O33="","",IF(ISNUMBER(M33),O33-M33,IF(OR(H33="DECISÃO D.P",ISNUMBER(N33)),"",O33-TODAY())))</f>
        <v>5</v>
      </c>
      <c r="Q33" s="117" t="str">
        <f>IF(B33="","",IF(ISNUMBER(N33),"DECIDIDO – ","")&amp;IF(ISNUMBER(M33),IF(P33="",IF(F33="","INFORMAR PRAZO","SEM DATA"),IF(P33&gt;=0,"DEFESA NO PRAZO","DEFESA FORA DO PRAZO")),IF(OR(H33="DECISÃO D.P",ISNUMBER(N33)),"SEM DEFESA",IF(H33="","SEM STATUS",IF(F33="","INFORMAR PRAZO",IF(P33="","SEM DATA",IF(P33&lt;0,"VENCIDO",IF(P33&lt;=DiasAlerta,"VENCE EM BREVE","NO PRAZO"))))))))</f>
        <v>DECIDIDO – DEFESA NO PRAZO</v>
      </c>
      <c r="R33" s="118">
        <f>IF(D33="","",TODAY()-D33)</f>
        <v>112</v>
      </c>
      <c r="S33" s="111" t="n"/>
    </row>
    <row r="34" ht="18" customHeight="1">
      <c r="A34" s="110" t="n">
        <v>30</v>
      </c>
      <c r="B34" s="111" t="inlineStr">
        <is>
          <t>Farmácia Ipê Amarelo</t>
        </is>
      </c>
      <c r="C34" s="111" t="inlineStr">
        <is>
          <t>FARMÁCIA</t>
        </is>
      </c>
      <c r="D34" s="112" t="n">
        <v>46196</v>
      </c>
      <c r="E34" s="111" t="inlineStr">
        <is>
          <t>NOTIFICAÇÃO DE ESCLARECIMENTO</t>
        </is>
      </c>
      <c r="F34" s="110" t="n">
        <v>30</v>
      </c>
      <c r="G34" s="113" t="inlineStr">
        <is>
          <t>ELETRÔNICA</t>
        </is>
      </c>
      <c r="H34" s="113" t="inlineStr">
        <is>
          <t>DECISÃO D.P</t>
        </is>
      </c>
      <c r="I34" s="111" t="inlineStr">
        <is>
          <t>ANA PAULA SOUZA</t>
        </is>
      </c>
      <c r="J34" s="114" t="inlineStr">
        <is>
          <t>0776/2026</t>
        </is>
      </c>
      <c r="K34" s="114" t="inlineStr">
        <is>
          <t>2026.084397-1/11</t>
        </is>
      </c>
      <c r="L34" s="112" t="n">
        <v>46163</v>
      </c>
      <c r="M34" s="112" t="n"/>
      <c r="N34" s="112" t="n">
        <v>46228</v>
      </c>
      <c r="O34" s="115">
        <f>IF(OR(D34="",F34=""),"",D34+F34)</f>
        <v>46226.0</v>
      </c>
      <c r="P34" s="116" t="str">
        <f>IF(O34="","",IF(ISNUMBER(M34),O34-M34,IF(OR(H34="DECISÃO D.P",ISNUMBER(N34)),"",O34-TODAY())))</f>
        <v/>
      </c>
      <c r="Q34" s="117" t="str">
        <f>IF(B34="","",IF(ISNUMBER(N34),"DECIDIDO – ","")&amp;IF(ISNUMBER(M34),IF(P34="",IF(F34="","INFORMAR PRAZO","SEM DATA"),IF(P34&gt;=0,"DEFESA NO PRAZO","DEFESA FORA DO PRAZO")),IF(OR(H34="DECISÃO D.P",ISNUMBER(N34)),"SEM DEFESA",IF(H34="","SEM STATUS",IF(F34="","INFORMAR PRAZO",IF(P34="","SEM DATA",IF(P34&lt;0,"VENCIDO",IF(P34&lt;=DiasAlerta,"VENCE EM BREVE","NO PRAZO"))))))))</f>
        <v>DECIDIDO – SEM DEFESA</v>
      </c>
      <c r="R34" s="118">
        <f>IF(D34="","",TODAY()-D34)</f>
        <v>108</v>
      </c>
      <c r="S34" s="111" t="n"/>
    </row>
    <row r="35" ht="18" customHeight="1">
      <c r="A35" s="110" t="n">
        <v>31</v>
      </c>
      <c r="B35" s="111" t="inlineStr">
        <is>
          <t>Magazine Monte Sião 24h</t>
        </is>
      </c>
      <c r="C35" s="111" t="inlineStr">
        <is>
          <t>LOJA</t>
        </is>
      </c>
      <c r="D35" s="112" t="n">
        <v>46196</v>
      </c>
      <c r="E35" s="111" t="inlineStr">
        <is>
          <t>NOTIFICAÇÃO DE CONSTATAÇÃO</t>
        </is>
      </c>
      <c r="F35" s="110" t="n">
        <v>10</v>
      </c>
      <c r="G35" s="113" t="inlineStr">
        <is>
          <t>PRESENCIAL</t>
        </is>
      </c>
      <c r="H35" s="113" t="inlineStr">
        <is>
          <t>DECISÃO D.P</t>
        </is>
      </c>
      <c r="I35" s="111" t="inlineStr">
        <is>
          <t>CARLA MENDES</t>
        </is>
      </c>
      <c r="J35" s="114" t="inlineStr">
        <is>
          <t>0173/2026</t>
        </is>
      </c>
      <c r="K35" s="114" t="inlineStr">
        <is>
          <t>2026.034416-0/01</t>
        </is>
      </c>
      <c r="L35" s="112" t="n">
        <v>46123</v>
      </c>
      <c r="M35" s="112" t="n">
        <v>46199</v>
      </c>
      <c r="N35" s="112" t="n">
        <v>46217</v>
      </c>
      <c r="O35" s="115">
        <f>IF(OR(D35="",F35=""),"",D35+F35)</f>
        <v>46206.0</v>
      </c>
      <c r="P35" s="116">
        <f>IF(O35="","",IF(ISNUMBER(M35),O35-M35,IF(OR(H35="DECISÃO D.P",ISNUMBER(N35)),"",O35-TODAY())))</f>
        <v>7</v>
      </c>
      <c r="Q35" s="117" t="str">
        <f>IF(B35="","",IF(ISNUMBER(N35),"DECIDIDO – ","")&amp;IF(ISNUMBER(M35),IF(P35="",IF(F35="","INFORMAR PRAZO","SEM DATA"),IF(P35&gt;=0,"DEFESA NO PRAZO","DEFESA FORA DO PRAZO")),IF(OR(H35="DECISÃO D.P",ISNUMBER(N35)),"SEM DEFESA",IF(H35="","SEM STATUS",IF(F35="","INFORMAR PRAZO",IF(P35="","SEM DATA",IF(P35&lt;0,"VENCIDO",IF(P35&lt;=DiasAlerta,"VENCE EM BREVE","NO PRAZO"))))))))</f>
        <v>DECIDIDO – DEFESA NO PRAZO</v>
      </c>
      <c r="R35" s="118">
        <f>IF(D35="","",TODAY()-D35)</f>
        <v>108</v>
      </c>
      <c r="S35" s="111" t="n"/>
    </row>
    <row r="36" ht="18" customHeight="1">
      <c r="A36" s="110" t="n">
        <v>32</v>
      </c>
      <c r="B36" s="111" t="inlineStr">
        <is>
          <t>Auto Center Bom Preço Ltda</t>
        </is>
      </c>
      <c r="C36" s="111" t="inlineStr">
        <is>
          <t>CONCESSIONÁRIA</t>
        </is>
      </c>
      <c r="D36" s="112" t="n">
        <v>46196</v>
      </c>
      <c r="E36" s="111" t="inlineStr">
        <is>
          <t>NOTIFICAÇÃO DE CONSTATAÇÃO</t>
        </is>
      </c>
      <c r="F36" s="110" t="n">
        <v>10</v>
      </c>
      <c r="G36" s="113" t="inlineStr">
        <is>
          <t>PRESENCIAL</t>
        </is>
      </c>
      <c r="H36" s="113" t="inlineStr">
        <is>
          <t>DECISÃO D.P</t>
        </is>
      </c>
      <c r="I36" s="111" t="inlineStr">
        <is>
          <t>BRUNO CARVALHO</t>
        </is>
      </c>
      <c r="J36" s="114" t="inlineStr">
        <is>
          <t>0155/2026</t>
        </is>
      </c>
      <c r="K36" s="114" t="inlineStr">
        <is>
          <t>2026.084037-0/08</t>
        </is>
      </c>
      <c r="L36" s="112" t="n">
        <v>46143</v>
      </c>
      <c r="M36" s="112" t="n">
        <v>46200</v>
      </c>
      <c r="N36" s="112" t="n">
        <v>46212</v>
      </c>
      <c r="O36" s="115">
        <f>IF(OR(D36="",F36=""),"",D36+F36)</f>
        <v>46206.0</v>
      </c>
      <c r="P36" s="116">
        <f>IF(O36="","",IF(ISNUMBER(M36),O36-M36,IF(OR(H36="DECISÃO D.P",ISNUMBER(N36)),"",O36-TODAY())))</f>
        <v>6</v>
      </c>
      <c r="Q36" s="117" t="str">
        <f>IF(B36="","",IF(ISNUMBER(N36),"DECIDIDO – ","")&amp;IF(ISNUMBER(M36),IF(P36="",IF(F36="","INFORMAR PRAZO","SEM DATA"),IF(P36&gt;=0,"DEFESA NO PRAZO","DEFESA FORA DO PRAZO")),IF(OR(H36="DECISÃO D.P",ISNUMBER(N36)),"SEM DEFESA",IF(H36="","SEM STATUS",IF(F36="","INFORMAR PRAZO",IF(P36="","SEM DATA",IF(P36&lt;0,"VENCIDO",IF(P36&lt;=DiasAlerta,"VENCE EM BREVE","NO PRAZO"))))))))</f>
        <v>DECIDIDO – DEFESA NO PRAZO</v>
      </c>
      <c r="R36" s="118">
        <f>IF(D36="","",TODAY()-D36)</f>
        <v>108</v>
      </c>
      <c r="S36" s="111" t="n"/>
    </row>
    <row r="37" ht="18" customHeight="1">
      <c r="A37" s="110" t="n">
        <v>33</v>
      </c>
      <c r="B37" s="111" t="inlineStr">
        <is>
          <t>Clínica Boa Esperança</t>
        </is>
      </c>
      <c r="C37" s="111" t="inlineStr">
        <is>
          <t>SAÚDE</t>
        </is>
      </c>
      <c r="D37" s="112" t="n">
        <v>46204</v>
      </c>
      <c r="E37" s="111" t="inlineStr">
        <is>
          <t>NOTIFICAÇÃO DE CONSTATAÇÃO</t>
        </is>
      </c>
      <c r="F37" s="110" t="n">
        <v>20</v>
      </c>
      <c r="G37" s="113" t="inlineStr">
        <is>
          <t>PRESENCIAL</t>
        </is>
      </c>
      <c r="H37" s="113" t="inlineStr">
        <is>
          <t>DECISÃO D.P</t>
        </is>
      </c>
      <c r="I37" s="111" t="inlineStr">
        <is>
          <t>DIEGO RIBEIRO</t>
        </is>
      </c>
      <c r="J37" s="114" t="inlineStr">
        <is>
          <t>0220/2026</t>
        </is>
      </c>
      <c r="K37" s="114" t="inlineStr">
        <is>
          <t>2026.039626-9/05</t>
        </is>
      </c>
      <c r="L37" s="112" t="n">
        <v>46127</v>
      </c>
      <c r="M37" s="112" t="n">
        <v>46209</v>
      </c>
      <c r="N37" s="112" t="n">
        <v>46219</v>
      </c>
      <c r="O37" s="115">
        <f>IF(OR(D37="",F37=""),"",D37+F37)</f>
        <v>46224.0</v>
      </c>
      <c r="P37" s="116">
        <f>IF(O37="","",IF(ISNUMBER(M37),O37-M37,IF(OR(H37="DECISÃO D.P",ISNUMBER(N37)),"",O37-TODAY())))</f>
        <v>15</v>
      </c>
      <c r="Q37" s="117" t="str">
        <f>IF(B37="","",IF(ISNUMBER(N37),"DECIDIDO – ","")&amp;IF(ISNUMBER(M37),IF(P37="",IF(F37="","INFORMAR PRAZO","SEM DATA"),IF(P37&gt;=0,"DEFESA NO PRAZO","DEFESA FORA DO PRAZO")),IF(OR(H37="DECISÃO D.P",ISNUMBER(N37)),"SEM DEFESA",IF(H37="","SEM STATUS",IF(F37="","INFORMAR PRAZO",IF(P37="","SEM DATA",IF(P37&lt;0,"VENCIDO",IF(P37&lt;=DiasAlerta,"VENCE EM BREVE","NO PRAZO"))))))))</f>
        <v>DECIDIDO – DEFESA NO PRAZO</v>
      </c>
      <c r="R37" s="118">
        <f>IF(D37="","",TODAY()-D37)</f>
        <v>100</v>
      </c>
      <c r="S37" s="111" t="n"/>
    </row>
    <row r="38" ht="18" customHeight="1">
      <c r="A38" s="110" t="n">
        <v>34</v>
      </c>
      <c r="B38" s="111" t="inlineStr">
        <is>
          <t>Boutique Aliança Ltda</t>
        </is>
      </c>
      <c r="C38" s="111" t="inlineStr">
        <is>
          <t>LOJA</t>
        </is>
      </c>
      <c r="D38" s="112" t="n">
        <v>46206</v>
      </c>
      <c r="E38" s="111" t="inlineStr">
        <is>
          <t>NOTIFICAÇÃO DE ESCLARECIMENTO</t>
        </is>
      </c>
      <c r="F38" s="110" t="n">
        <v>15</v>
      </c>
      <c r="G38" s="113" t="inlineStr">
        <is>
          <t>PRESENCIAL</t>
        </is>
      </c>
      <c r="H38" s="113" t="inlineStr">
        <is>
          <t>DECISÃO D.P</t>
        </is>
      </c>
      <c r="I38" s="111" t="inlineStr">
        <is>
          <t>FELIPE ARAÚJO</t>
        </is>
      </c>
      <c r="J38" s="114" t="inlineStr">
        <is>
          <t>0821/2026</t>
        </is>
      </c>
      <c r="K38" s="114" t="inlineStr">
        <is>
          <t>2026.055514-6/01</t>
        </is>
      </c>
      <c r="L38" s="112" t="n">
        <v>46188</v>
      </c>
      <c r="M38" s="112" t="n">
        <v>46208</v>
      </c>
      <c r="N38" s="112" t="n">
        <v>46235</v>
      </c>
      <c r="O38" s="115">
        <f>IF(OR(D38="",F38=""),"",D38+F38)</f>
        <v>46221.0</v>
      </c>
      <c r="P38" s="116">
        <f>IF(O38="","",IF(ISNUMBER(M38),O38-M38,IF(OR(H38="DECISÃO D.P",ISNUMBER(N38)),"",O38-TODAY())))</f>
        <v>13</v>
      </c>
      <c r="Q38" s="117" t="str">
        <f>IF(B38="","",IF(ISNUMBER(N38),"DECIDIDO – ","")&amp;IF(ISNUMBER(M38),IF(P38="",IF(F38="","INFORMAR PRAZO","SEM DATA"),IF(P38&gt;=0,"DEFESA NO PRAZO","DEFESA FORA DO PRAZO")),IF(OR(H38="DECISÃO D.P",ISNUMBER(N38)),"SEM DEFESA",IF(H38="","SEM STATUS",IF(F38="","INFORMAR PRAZO",IF(P38="","SEM DATA",IF(P38&lt;0,"VENCIDO",IF(P38&lt;=DiasAlerta,"VENCE EM BREVE","NO PRAZO"))))))))</f>
        <v>DECIDIDO – DEFESA NO PRAZO</v>
      </c>
      <c r="R38" s="118">
        <f>IF(D38="","",TODAY()-D38)</f>
        <v>98</v>
      </c>
      <c r="S38" s="111" t="n"/>
    </row>
    <row r="39" ht="18" customHeight="1">
      <c r="A39" s="110" t="n">
        <v>35</v>
      </c>
      <c r="B39" s="111" t="inlineStr">
        <is>
          <t>Supermercado Jardim</t>
        </is>
      </c>
      <c r="C39" s="111" t="inlineStr">
        <is>
          <t>SUPERMERCADO</t>
        </is>
      </c>
      <c r="D39" s="112" t="n">
        <v>46210</v>
      </c>
      <c r="E39" s="111" t="inlineStr">
        <is>
          <t>NOTIFICAÇÃO DE CONSTATAÇÃO</t>
        </is>
      </c>
      <c r="F39" s="110" t="n">
        <v>5</v>
      </c>
      <c r="G39" s="113" t="inlineStr">
        <is>
          <t>PRESENCIAL</t>
        </is>
      </c>
      <c r="H39" s="113" t="inlineStr">
        <is>
          <t>DECISÃO D.P</t>
        </is>
      </c>
      <c r="I39" s="111" t="inlineStr">
        <is>
          <t>CARLA MENDES</t>
        </is>
      </c>
      <c r="J39" s="114" t="inlineStr">
        <is>
          <t>0570/2026</t>
        </is>
      </c>
      <c r="K39" s="114" t="inlineStr">
        <is>
          <t>2026.058820-9/03</t>
        </is>
      </c>
      <c r="L39" s="112" t="n">
        <v>46194</v>
      </c>
      <c r="M39" s="112" t="n">
        <v>46213</v>
      </c>
      <c r="N39" s="112" t="n">
        <v>46231</v>
      </c>
      <c r="O39" s="115">
        <f>IF(OR(D39="",F39=""),"",D39+F39)</f>
        <v>46215.0</v>
      </c>
      <c r="P39" s="116">
        <f>IF(O39="","",IF(ISNUMBER(M39),O39-M39,IF(OR(H39="DECISÃO D.P",ISNUMBER(N39)),"",O39-TODAY())))</f>
        <v>2</v>
      </c>
      <c r="Q39" s="117" t="str">
        <f>IF(B39="","",IF(ISNUMBER(N39),"DECIDIDO – ","")&amp;IF(ISNUMBER(M39),IF(P39="",IF(F39="","INFORMAR PRAZO","SEM DATA"),IF(P39&gt;=0,"DEFESA NO PRAZO","DEFESA FORA DO PRAZO")),IF(OR(H39="DECISÃO D.P",ISNUMBER(N39)),"SEM DEFESA",IF(H39="","SEM STATUS",IF(F39="","INFORMAR PRAZO",IF(P39="","SEM DATA",IF(P39&lt;0,"VENCIDO",IF(P39&lt;=DiasAlerta,"VENCE EM BREVE","NO PRAZO"))))))))</f>
        <v>DECIDIDO – DEFESA NO PRAZO</v>
      </c>
      <c r="R39" s="118">
        <f>IF(D39="","",TODAY()-D39)</f>
        <v>94</v>
      </c>
      <c r="S39" s="111" t="n"/>
    </row>
    <row r="40" ht="18" customHeight="1">
      <c r="A40" s="110" t="n">
        <v>36</v>
      </c>
      <c r="B40" s="111" t="inlineStr">
        <is>
          <t>Academia Horizonte</t>
        </is>
      </c>
      <c r="C40" s="111" t="inlineStr">
        <is>
          <t>ACADEMIA</t>
        </is>
      </c>
      <c r="D40" s="112" t="n">
        <v>46210</v>
      </c>
      <c r="E40" s="111" t="inlineStr">
        <is>
          <t>NOTIFICAÇÃO DE CONSTATAÇÃO</t>
        </is>
      </c>
      <c r="F40" s="110" t="n">
        <v>15</v>
      </c>
      <c r="G40" s="113" t="inlineStr">
        <is>
          <t>ELETRÔNICA</t>
        </is>
      </c>
      <c r="H40" s="113" t="inlineStr">
        <is>
          <t>DECISÃO D.P</t>
        </is>
      </c>
      <c r="I40" s="111" t="inlineStr">
        <is>
          <t>GABRIELA NUNES</t>
        </is>
      </c>
      <c r="J40" s="114" t="inlineStr">
        <is>
          <t>0976/2026</t>
        </is>
      </c>
      <c r="K40" s="114" t="inlineStr">
        <is>
          <t>2026.001292-3/04</t>
        </is>
      </c>
      <c r="L40" s="112" t="n">
        <v>46173</v>
      </c>
      <c r="M40" s="112" t="n">
        <v>46218</v>
      </c>
      <c r="N40" s="112" t="n">
        <v>46242</v>
      </c>
      <c r="O40" s="115">
        <f>IF(OR(D40="",F40=""),"",D40+F40)</f>
        <v>46225.0</v>
      </c>
      <c r="P40" s="116">
        <f>IF(O40="","",IF(ISNUMBER(M40),O40-M40,IF(OR(H40="DECISÃO D.P",ISNUMBER(N40)),"",O40-TODAY())))</f>
        <v>7</v>
      </c>
      <c r="Q40" s="117" t="str">
        <f>IF(B40="","",IF(ISNUMBER(N40),"DECIDIDO – ","")&amp;IF(ISNUMBER(M40),IF(P40="",IF(F40="","INFORMAR PRAZO","SEM DATA"),IF(P40&gt;=0,"DEFESA NO PRAZO","DEFESA FORA DO PRAZO")),IF(OR(H40="DECISÃO D.P",ISNUMBER(N40)),"SEM DEFESA",IF(H40="","SEM STATUS",IF(F40="","INFORMAR PRAZO",IF(P40="","SEM DATA",IF(P40&lt;0,"VENCIDO",IF(P40&lt;=DiasAlerta,"VENCE EM BREVE","NO PRAZO"))))))))</f>
        <v>DECIDIDO – DEFESA NO PRAZO</v>
      </c>
      <c r="R40" s="118">
        <f>IF(D40="","",TODAY()-D40)</f>
        <v>94</v>
      </c>
      <c r="S40" s="111" t="n"/>
    </row>
    <row r="41" ht="18" customHeight="1">
      <c r="A41" s="110" t="n">
        <v>37</v>
      </c>
      <c r="B41" s="111" t="inlineStr">
        <is>
          <t>Magazine Monte Sião</t>
        </is>
      </c>
      <c r="C41" s="111" t="inlineStr">
        <is>
          <t>LOJA</t>
        </is>
      </c>
      <c r="D41" s="112" t="n">
        <v>46213</v>
      </c>
      <c r="E41" s="111" t="inlineStr">
        <is>
          <t>NOTIFICAÇÃO DE CONSTATAÇÃO</t>
        </is>
      </c>
      <c r="F41" s="110" t="n">
        <v>20</v>
      </c>
      <c r="G41" s="113" t="inlineStr">
        <is>
          <t>PRESENCIAL</t>
        </is>
      </c>
      <c r="H41" s="113" t="inlineStr">
        <is>
          <t>DECISÃO D.P</t>
        </is>
      </c>
      <c r="I41" s="111" t="inlineStr">
        <is>
          <t>FELIPE ARAÚJO</t>
        </is>
      </c>
      <c r="J41" s="114" t="inlineStr">
        <is>
          <t>0302/2026</t>
        </is>
      </c>
      <c r="K41" s="114" t="inlineStr">
        <is>
          <t>2026.069334-5/05</t>
        </is>
      </c>
      <c r="L41" s="112" t="n">
        <v>46178</v>
      </c>
      <c r="M41" s="112" t="n"/>
      <c r="N41" s="112" t="n">
        <v>46253</v>
      </c>
      <c r="O41" s="115">
        <f>IF(OR(D41="",F41=""),"",D41+F41)</f>
        <v>46233.0</v>
      </c>
      <c r="P41" s="116" t="str">
        <f>IF(O41="","",IF(ISNUMBER(M41),O41-M41,IF(OR(H41="DECISÃO D.P",ISNUMBER(N41)),"",O41-TODAY())))</f>
        <v/>
      </c>
      <c r="Q41" s="117" t="str">
        <f>IF(B41="","",IF(ISNUMBER(N41),"DECIDIDO – ","")&amp;IF(ISNUMBER(M41),IF(P41="",IF(F41="","INFORMAR PRAZO","SEM DATA"),IF(P41&gt;=0,"DEFESA NO PRAZO","DEFESA FORA DO PRAZO")),IF(OR(H41="DECISÃO D.P",ISNUMBER(N41)),"SEM DEFESA",IF(H41="","SEM STATUS",IF(F41="","INFORMAR PRAZO",IF(P41="","SEM DATA",IF(P41&lt;0,"VENCIDO",IF(P41&lt;=DiasAlerta,"VENCE EM BREVE","NO PRAZO"))))))))</f>
        <v>DECIDIDO – SEM DEFESA</v>
      </c>
      <c r="R41" s="118">
        <f>IF(D41="","",TODAY()-D41)</f>
        <v>91</v>
      </c>
      <c r="S41" s="111" t="n"/>
    </row>
    <row r="42" ht="18" customHeight="1">
      <c r="A42" s="110" t="n">
        <v>38</v>
      </c>
      <c r="B42" s="111" t="inlineStr">
        <is>
          <t>Hospital Aliança 24h</t>
        </is>
      </c>
      <c r="C42" s="111" t="inlineStr">
        <is>
          <t>SAÚDE</t>
        </is>
      </c>
      <c r="D42" s="112" t="n">
        <v>46213</v>
      </c>
      <c r="E42" s="111" t="inlineStr">
        <is>
          <t>NOTIFICAÇÃO DE CONSTATAÇÃO</t>
        </is>
      </c>
      <c r="F42" s="110" t="n">
        <v>10</v>
      </c>
      <c r="G42" s="113" t="inlineStr">
        <is>
          <t>ELETRÔNICA</t>
        </is>
      </c>
      <c r="H42" s="113" t="inlineStr">
        <is>
          <t>PRAZO D.P</t>
        </is>
      </c>
      <c r="I42" s="111" t="inlineStr">
        <is>
          <t>BRUNO CARVALHO</t>
        </is>
      </c>
      <c r="J42" s="114" t="inlineStr">
        <is>
          <t>0599/2026</t>
        </is>
      </c>
      <c r="K42" s="114" t="inlineStr">
        <is>
          <t>2026.047691-0/02</t>
        </is>
      </c>
      <c r="L42" s="112" t="n">
        <v>46160</v>
      </c>
      <c r="M42" s="112" t="n">
        <v>46236</v>
      </c>
      <c r="N42" s="112" t="n"/>
      <c r="O42" s="115">
        <f>IF(OR(D42="",F42=""),"",D42+F42)</f>
        <v>46223.0</v>
      </c>
      <c r="P42" s="116">
        <f>IF(O42="","",IF(ISNUMBER(M42),O42-M42,IF(OR(H42="DECISÃO D.P",ISNUMBER(N42)),"",O42-TODAY())))</f>
        <v>-13</v>
      </c>
      <c r="Q42" s="117" t="str">
        <f>IF(B42="","",IF(ISNUMBER(N42),"DECIDIDO – ","")&amp;IF(ISNUMBER(M42),IF(P42="",IF(F42="","INFORMAR PRAZO","SEM DATA"),IF(P42&gt;=0,"DEFESA NO PRAZO","DEFESA FORA DO PRAZO")),IF(OR(H42="DECISÃO D.P",ISNUMBER(N42)),"SEM DEFESA",IF(H42="","SEM STATUS",IF(F42="","INFORMAR PRAZO",IF(P42="","SEM DATA",IF(P42&lt;0,"VENCIDO",IF(P42&lt;=DiasAlerta,"VENCE EM BREVE","NO PRAZO"))))))))</f>
        <v>DEFESA FORA DO PRAZO</v>
      </c>
      <c r="R42" s="118">
        <f>IF(D42="","",TODAY()-D42)</f>
        <v>91</v>
      </c>
      <c r="S42" s="111" t="n"/>
    </row>
    <row r="43" ht="18" customHeight="1">
      <c r="A43" s="110" t="n">
        <v>39</v>
      </c>
      <c r="B43" s="111" t="inlineStr">
        <is>
          <t>Drogaria Real</t>
        </is>
      </c>
      <c r="C43" s="111" t="inlineStr">
        <is>
          <t>FARMÁCIA</t>
        </is>
      </c>
      <c r="D43" s="112" t="n">
        <v>46215</v>
      </c>
      <c r="E43" s="111" t="inlineStr">
        <is>
          <t>NOTIFICAÇÃO DE CONSTATAÇÃO</t>
        </is>
      </c>
      <c r="F43" s="110" t="n">
        <v>15</v>
      </c>
      <c r="G43" s="113" t="inlineStr">
        <is>
          <t>PRESENCIAL</t>
        </is>
      </c>
      <c r="H43" s="113" t="inlineStr">
        <is>
          <t>DECISÃO D.P</t>
        </is>
      </c>
      <c r="I43" s="111" t="inlineStr">
        <is>
          <t>HENRIQUE COSTA</t>
        </is>
      </c>
      <c r="J43" s="114" t="inlineStr">
        <is>
          <t>0016/2026</t>
        </is>
      </c>
      <c r="K43" s="114" t="inlineStr">
        <is>
          <t>2026.096779-2/12</t>
        </is>
      </c>
      <c r="L43" s="112" t="n">
        <v>46143</v>
      </c>
      <c r="M43" s="112" t="n">
        <v>46220</v>
      </c>
      <c r="N43" s="112" t="n">
        <v>46222</v>
      </c>
      <c r="O43" s="115">
        <f>IF(OR(D43="",F43=""),"",D43+F43)</f>
        <v>46230.0</v>
      </c>
      <c r="P43" s="116">
        <f>IF(O43="","",IF(ISNUMBER(M43),O43-M43,IF(OR(H43="DECISÃO D.P",ISNUMBER(N43)),"",O43-TODAY())))</f>
        <v>10</v>
      </c>
      <c r="Q43" s="117" t="str">
        <f>IF(B43="","",IF(ISNUMBER(N43),"DECIDIDO – ","")&amp;IF(ISNUMBER(M43),IF(P43="",IF(F43="","INFORMAR PRAZO","SEM DATA"),IF(P43&gt;=0,"DEFESA NO PRAZO","DEFESA FORA DO PRAZO")),IF(OR(H43="DECISÃO D.P",ISNUMBER(N43)),"SEM DEFESA",IF(H43="","SEM STATUS",IF(F43="","INFORMAR PRAZO",IF(P43="","SEM DATA",IF(P43&lt;0,"VENCIDO",IF(P43&lt;=DiasAlerta,"VENCE EM BREVE","NO PRAZO"))))))))</f>
        <v>DECIDIDO – DEFESA NO PRAZO</v>
      </c>
      <c r="R43" s="118">
        <f>IF(D43="","",TODAY()-D43)</f>
        <v>89</v>
      </c>
      <c r="S43" s="111" t="n"/>
    </row>
    <row r="44" ht="18" customHeight="1">
      <c r="A44" s="110" t="n">
        <v>40</v>
      </c>
      <c r="B44" s="111" t="inlineStr">
        <is>
          <t>Academia Real</t>
        </is>
      </c>
      <c r="C44" s="111" t="inlineStr">
        <is>
          <t>ACADEMIA</t>
        </is>
      </c>
      <c r="D44" s="112" t="n">
        <v>46216</v>
      </c>
      <c r="E44" s="111" t="inlineStr">
        <is>
          <t>NOTIFICAÇÃO DE ESCLARECIMENTO</t>
        </is>
      </c>
      <c r="F44" s="110" t="n">
        <v>10</v>
      </c>
      <c r="G44" s="113" t="inlineStr">
        <is>
          <t>PRESENCIAL</t>
        </is>
      </c>
      <c r="H44" s="113" t="inlineStr">
        <is>
          <t>DECISÃO D.P</t>
        </is>
      </c>
      <c r="I44" s="111" t="inlineStr">
        <is>
          <t>ANA PAULA SOUZA</t>
        </is>
      </c>
      <c r="J44" s="114" t="inlineStr">
        <is>
          <t>0057/2026</t>
        </is>
      </c>
      <c r="K44" s="114" t="inlineStr">
        <is>
          <t>2026.017974-3/06</t>
        </is>
      </c>
      <c r="L44" s="112" t="n">
        <v>46145</v>
      </c>
      <c r="M44" s="112" t="n"/>
      <c r="N44" s="112" t="n">
        <v>46235</v>
      </c>
      <c r="O44" s="115">
        <f>IF(OR(D44="",F44=""),"",D44+F44)</f>
        <v>46226.0</v>
      </c>
      <c r="P44" s="116" t="str">
        <f>IF(O44="","",IF(ISNUMBER(M44),O44-M44,IF(OR(H44="DECISÃO D.P",ISNUMBER(N44)),"",O44-TODAY())))</f>
        <v/>
      </c>
      <c r="Q44" s="117" t="str">
        <f>IF(B44="","",IF(ISNUMBER(N44),"DECIDIDO – ","")&amp;IF(ISNUMBER(M44),IF(P44="",IF(F44="","INFORMAR PRAZO","SEM DATA"),IF(P44&gt;=0,"DEFESA NO PRAZO","DEFESA FORA DO PRAZO")),IF(OR(H44="DECISÃO D.P",ISNUMBER(N44)),"SEM DEFESA",IF(H44="","SEM STATUS",IF(F44="","INFORMAR PRAZO",IF(P44="","SEM DATA",IF(P44&lt;0,"VENCIDO",IF(P44&lt;=DiasAlerta,"VENCE EM BREVE","NO PRAZO"))))))))</f>
        <v>DECIDIDO – SEM DEFESA</v>
      </c>
      <c r="R44" s="118">
        <f>IF(D44="","",TODAY()-D44)</f>
        <v>88</v>
      </c>
      <c r="S44" s="111" t="n"/>
    </row>
    <row r="45" ht="18" customHeight="1">
      <c r="A45" s="110" t="n">
        <v>41</v>
      </c>
      <c r="B45" s="111" t="inlineStr">
        <is>
          <t>Loja Avenida</t>
        </is>
      </c>
      <c r="C45" s="111" t="inlineStr">
        <is>
          <t>LOJA</t>
        </is>
      </c>
      <c r="D45" s="112" t="n">
        <v>46216</v>
      </c>
      <c r="E45" s="111" t="inlineStr">
        <is>
          <t>NOTIFICAÇÃO DE CONSTATAÇÃO</t>
        </is>
      </c>
      <c r="F45" s="110" t="n">
        <v>15</v>
      </c>
      <c r="G45" s="113" t="inlineStr">
        <is>
          <t>PRESENCIAL</t>
        </is>
      </c>
      <c r="H45" s="113" t="inlineStr">
        <is>
          <t>DECISÃO D.P</t>
        </is>
      </c>
      <c r="I45" s="111" t="inlineStr">
        <is>
          <t>CARLA MENDES</t>
        </is>
      </c>
      <c r="J45" s="114" t="inlineStr">
        <is>
          <t>0887/2026</t>
        </is>
      </c>
      <c r="K45" s="114" t="inlineStr">
        <is>
          <t>2026.066389-9/12</t>
        </is>
      </c>
      <c r="L45" s="112" t="n">
        <v>46168</v>
      </c>
      <c r="M45" s="112" t="n">
        <v>46236</v>
      </c>
      <c r="N45" s="112" t="n">
        <v>46257</v>
      </c>
      <c r="O45" s="115">
        <f>IF(OR(D45="",F45=""),"",D45+F45)</f>
        <v>46231.0</v>
      </c>
      <c r="P45" s="116">
        <f>IF(O45="","",IF(ISNUMBER(M45),O45-M45,IF(OR(H45="DECISÃO D.P",ISNUMBER(N45)),"",O45-TODAY())))</f>
        <v>-5</v>
      </c>
      <c r="Q45" s="117" t="str">
        <f>IF(B45="","",IF(ISNUMBER(N45),"DECIDIDO – ","")&amp;IF(ISNUMBER(M45),IF(P45="",IF(F45="","INFORMAR PRAZO","SEM DATA"),IF(P45&gt;=0,"DEFESA NO PRAZO","DEFESA FORA DO PRAZO")),IF(OR(H45="DECISÃO D.P",ISNUMBER(N45)),"SEM DEFESA",IF(H45="","SEM STATUS",IF(F45="","INFORMAR PRAZO",IF(P45="","SEM DATA",IF(P45&lt;0,"VENCIDO",IF(P45&lt;=DiasAlerta,"VENCE EM BREVE","NO PRAZO"))))))))</f>
        <v>DECIDIDO – DEFESA FORA DO PRAZO</v>
      </c>
      <c r="R45" s="118">
        <f>IF(D45="","",TODAY()-D45)</f>
        <v>88</v>
      </c>
      <c r="S45" s="111" t="n"/>
    </row>
    <row r="46" ht="18" customHeight="1">
      <c r="A46" s="110" t="n">
        <v>42</v>
      </c>
      <c r="B46" s="111" t="inlineStr">
        <is>
          <t>Serviços Planalto 24h</t>
        </is>
      </c>
      <c r="C46" s="111" t="inlineStr">
        <is>
          <t>OUTROS</t>
        </is>
      </c>
      <c r="D46" s="112" t="n">
        <v>46217</v>
      </c>
      <c r="E46" s="111" t="inlineStr">
        <is>
          <t>NOTIFICAÇÃO DE CONSTATAÇÃO</t>
        </is>
      </c>
      <c r="F46" s="110" t="n">
        <v>20</v>
      </c>
      <c r="G46" s="113" t="inlineStr">
        <is>
          <t>PRESENCIAL</t>
        </is>
      </c>
      <c r="H46" s="113" t="inlineStr">
        <is>
          <t>DECISÃO D.P</t>
        </is>
      </c>
      <c r="I46" s="111" t="inlineStr">
        <is>
          <t>GABRIELA NUNES</t>
        </is>
      </c>
      <c r="J46" s="114" t="inlineStr">
        <is>
          <t>0501/2026</t>
        </is>
      </c>
      <c r="K46" s="114" t="inlineStr">
        <is>
          <t>2026.074254-5/06</t>
        </is>
      </c>
      <c r="L46" s="112" t="n">
        <v>46195</v>
      </c>
      <c r="M46" s="112" t="n"/>
      <c r="N46" s="112" t="n">
        <v>46258</v>
      </c>
      <c r="O46" s="115">
        <f>IF(OR(D46="",F46=""),"",D46+F46)</f>
        <v>46237.0</v>
      </c>
      <c r="P46" s="116" t="str">
        <f>IF(O46="","",IF(ISNUMBER(M46),O46-M46,IF(OR(H46="DECISÃO D.P",ISNUMBER(N46)),"",O46-TODAY())))</f>
        <v/>
      </c>
      <c r="Q46" s="117" t="str">
        <f>IF(B46="","",IF(ISNUMBER(N46),"DECIDIDO – ","")&amp;IF(ISNUMBER(M46),IF(P46="",IF(F46="","INFORMAR PRAZO","SEM DATA"),IF(P46&gt;=0,"DEFESA NO PRAZO","DEFESA FORA DO PRAZO")),IF(OR(H46="DECISÃO D.P",ISNUMBER(N46)),"SEM DEFESA",IF(H46="","SEM STATUS",IF(F46="","INFORMAR PRAZO",IF(P46="","SEM DATA",IF(P46&lt;0,"VENCIDO",IF(P46&lt;=DiasAlerta,"VENCE EM BREVE","NO PRAZO"))))))))</f>
        <v>DECIDIDO – SEM DEFESA</v>
      </c>
      <c r="R46" s="118">
        <f>IF(D46="","",TODAY()-D46)</f>
        <v>87</v>
      </c>
      <c r="S46" s="111" t="n"/>
    </row>
    <row r="47" ht="18" customHeight="1">
      <c r="A47" s="110" t="n">
        <v>43</v>
      </c>
      <c r="B47" s="111" t="inlineStr">
        <is>
          <t>Magazine Monte Sião</t>
        </is>
      </c>
      <c r="C47" s="111" t="inlineStr">
        <is>
          <t>LOJA</t>
        </is>
      </c>
      <c r="D47" s="112" t="n">
        <v>46222</v>
      </c>
      <c r="E47" s="111" t="inlineStr">
        <is>
          <t>NOTIFICAÇÃO DE ESCLARECIMENTO</t>
        </is>
      </c>
      <c r="F47" s="110" t="n">
        <v>5</v>
      </c>
      <c r="G47" s="113" t="inlineStr">
        <is>
          <t>PRESENCIAL</t>
        </is>
      </c>
      <c r="H47" s="113" t="inlineStr">
        <is>
          <t>DECISÃO D.P</t>
        </is>
      </c>
      <c r="I47" s="111" t="inlineStr">
        <is>
          <t>ANA PAULA SOUZA</t>
        </is>
      </c>
      <c r="J47" s="114" t="inlineStr">
        <is>
          <t>0132/2026</t>
        </is>
      </c>
      <c r="K47" s="114" t="inlineStr">
        <is>
          <t>2026.026125-4/12</t>
        </is>
      </c>
      <c r="L47" s="112" t="n">
        <v>46162</v>
      </c>
      <c r="M47" s="112" t="n">
        <v>46232</v>
      </c>
      <c r="N47" s="112" t="n">
        <v>46244</v>
      </c>
      <c r="O47" s="115">
        <f>IF(OR(D47="",F47=""),"",D47+F47)</f>
        <v>46227.0</v>
      </c>
      <c r="P47" s="116">
        <f>IF(O47="","",IF(ISNUMBER(M47),O47-M47,IF(OR(H47="DECISÃO D.P",ISNUMBER(N47)),"",O47-TODAY())))</f>
        <v>-5</v>
      </c>
      <c r="Q47" s="117" t="str">
        <f>IF(B47="","",IF(ISNUMBER(N47),"DECIDIDO – ","")&amp;IF(ISNUMBER(M47),IF(P47="",IF(F47="","INFORMAR PRAZO","SEM DATA"),IF(P47&gt;=0,"DEFESA NO PRAZO","DEFESA FORA DO PRAZO")),IF(OR(H47="DECISÃO D.P",ISNUMBER(N47)),"SEM DEFESA",IF(H47="","SEM STATUS",IF(F47="","INFORMAR PRAZO",IF(P47="","SEM DATA",IF(P47&lt;0,"VENCIDO",IF(P47&lt;=DiasAlerta,"VENCE EM BREVE","NO PRAZO"))))))))</f>
        <v>DECIDIDO – DEFESA FORA DO PRAZO</v>
      </c>
      <c r="R47" s="118">
        <f>IF(D47="","",TODAY()-D47)</f>
        <v>82</v>
      </c>
      <c r="S47" s="111" t="n"/>
    </row>
    <row r="48" ht="18" customHeight="1">
      <c r="A48" s="110" t="n">
        <v>44</v>
      </c>
      <c r="B48" s="111" t="inlineStr">
        <is>
          <t>Hospital Planalto</t>
        </is>
      </c>
      <c r="C48" s="111" t="inlineStr">
        <is>
          <t>SAÚDE</t>
        </is>
      </c>
      <c r="D48" s="112" t="n">
        <v>46223</v>
      </c>
      <c r="E48" s="111" t="inlineStr">
        <is>
          <t>NOTIFICAÇÃO DE ESCLARECIMENTO</t>
        </is>
      </c>
      <c r="F48" s="110" t="n">
        <v>10</v>
      </c>
      <c r="G48" s="113" t="inlineStr">
        <is>
          <t>PRESENCIAL</t>
        </is>
      </c>
      <c r="H48" s="113" t="inlineStr">
        <is>
          <t>DECISÃO D.P</t>
        </is>
      </c>
      <c r="I48" s="111" t="inlineStr">
        <is>
          <t>ANA PAULA SOUZA</t>
        </is>
      </c>
      <c r="J48" s="114" t="inlineStr">
        <is>
          <t>0916/2026</t>
        </is>
      </c>
      <c r="K48" s="114" t="inlineStr">
        <is>
          <t>2026.047456-8/12</t>
        </is>
      </c>
      <c r="L48" s="112" t="n">
        <v>46218</v>
      </c>
      <c r="M48" s="112" t="n">
        <v>46225</v>
      </c>
      <c r="N48" s="112" t="n">
        <v>46229</v>
      </c>
      <c r="O48" s="115">
        <f>IF(OR(D48="",F48=""),"",D48+F48)</f>
        <v>46233.0</v>
      </c>
      <c r="P48" s="116">
        <f>IF(O48="","",IF(ISNUMBER(M48),O48-M48,IF(OR(H48="DECISÃO D.P",ISNUMBER(N48)),"",O48-TODAY())))</f>
        <v>8</v>
      </c>
      <c r="Q48" s="117" t="str">
        <f>IF(B48="","",IF(ISNUMBER(N48),"DECIDIDO – ","")&amp;IF(ISNUMBER(M48),IF(P48="",IF(F48="","INFORMAR PRAZO","SEM DATA"),IF(P48&gt;=0,"DEFESA NO PRAZO","DEFESA FORA DO PRAZO")),IF(OR(H48="DECISÃO D.P",ISNUMBER(N48)),"SEM DEFESA",IF(H48="","SEM STATUS",IF(F48="","INFORMAR PRAZO",IF(P48="","SEM DATA",IF(P48&lt;0,"VENCIDO",IF(P48&lt;=DiasAlerta,"VENCE EM BREVE","NO PRAZO"))))))))</f>
        <v>DECIDIDO – DEFESA NO PRAZO</v>
      </c>
      <c r="R48" s="118">
        <f>IF(D48="","",TODAY()-D48)</f>
        <v>81</v>
      </c>
      <c r="S48" s="111" t="n"/>
    </row>
    <row r="49" ht="18" customHeight="1">
      <c r="A49" s="110" t="n">
        <v>45</v>
      </c>
      <c r="B49" s="111" t="inlineStr">
        <is>
          <t>Magazine Central</t>
        </is>
      </c>
      <c r="C49" s="111" t="inlineStr">
        <is>
          <t>LOJA</t>
        </is>
      </c>
      <c r="D49" s="112" t="n">
        <v>46224</v>
      </c>
      <c r="E49" s="111" t="inlineStr">
        <is>
          <t>NOTIFICAÇÃO DE CONSTATAÇÃO</t>
        </is>
      </c>
      <c r="F49" s="110" t="n">
        <v>20</v>
      </c>
      <c r="G49" s="113" t="inlineStr">
        <is>
          <t>ELETRÔNICA</t>
        </is>
      </c>
      <c r="H49" s="113" t="inlineStr">
        <is>
          <t>DECISÃO D.P</t>
        </is>
      </c>
      <c r="I49" s="111" t="inlineStr">
        <is>
          <t>DIEGO RIBEIRO</t>
        </is>
      </c>
      <c r="J49" s="114" t="inlineStr">
        <is>
          <t>0869/2026</t>
        </is>
      </c>
      <c r="K49" s="114" t="inlineStr">
        <is>
          <t>2026.055901-0/08</t>
        </is>
      </c>
      <c r="L49" s="112" t="n">
        <v>46179</v>
      </c>
      <c r="M49" s="112" t="n">
        <v>46230</v>
      </c>
      <c r="N49" s="112" t="n">
        <v>46256</v>
      </c>
      <c r="O49" s="115">
        <f>IF(OR(D49="",F49=""),"",D49+F49)</f>
        <v>46244.0</v>
      </c>
      <c r="P49" s="116">
        <f>IF(O49="","",IF(ISNUMBER(M49),O49-M49,IF(OR(H49="DECISÃO D.P",ISNUMBER(N49)),"",O49-TODAY())))</f>
        <v>14</v>
      </c>
      <c r="Q49" s="117" t="str">
        <f>IF(B49="","",IF(ISNUMBER(N49),"DECIDIDO – ","")&amp;IF(ISNUMBER(M49),IF(P49="",IF(F49="","INFORMAR PRAZO","SEM DATA"),IF(P49&gt;=0,"DEFESA NO PRAZO","DEFESA FORA DO PRAZO")),IF(OR(H49="DECISÃO D.P",ISNUMBER(N49)),"SEM DEFESA",IF(H49="","SEM STATUS",IF(F49="","INFORMAR PRAZO",IF(P49="","SEM DATA",IF(P49&lt;0,"VENCIDO",IF(P49&lt;=DiasAlerta,"VENCE EM BREVE","NO PRAZO"))))))))</f>
        <v>DECIDIDO – DEFESA NO PRAZO</v>
      </c>
      <c r="R49" s="118">
        <f>IF(D49="","",TODAY()-D49)</f>
        <v>80</v>
      </c>
      <c r="S49" s="111" t="n"/>
    </row>
    <row r="50" ht="18" customHeight="1">
      <c r="A50" s="110" t="n">
        <v>46</v>
      </c>
      <c r="B50" s="111" t="inlineStr">
        <is>
          <t>Supermercado Boa Esperança</t>
        </is>
      </c>
      <c r="C50" s="111" t="inlineStr">
        <is>
          <t>SUPERMERCADO</t>
        </is>
      </c>
      <c r="D50" s="112" t="n">
        <v>46226</v>
      </c>
      <c r="E50" s="111" t="inlineStr">
        <is>
          <t>NOTIFICAÇÃO DE ESCLARECIMENTO</t>
        </is>
      </c>
      <c r="F50" s="110" t="n">
        <v>20</v>
      </c>
      <c r="G50" s="113" t="inlineStr">
        <is>
          <t>PRESENCIAL</t>
        </is>
      </c>
      <c r="H50" s="113" t="inlineStr">
        <is>
          <t>DECISÃO D.P</t>
        </is>
      </c>
      <c r="I50" s="111" t="inlineStr">
        <is>
          <t>DIEGO RIBEIRO</t>
        </is>
      </c>
      <c r="J50" s="114" t="inlineStr">
        <is>
          <t>0320/2026</t>
        </is>
      </c>
      <c r="K50" s="114" t="inlineStr">
        <is>
          <t>2026.099735-3/03</t>
        </is>
      </c>
      <c r="L50" s="112" t="n">
        <v>46188</v>
      </c>
      <c r="M50" s="112" t="n">
        <v>46243</v>
      </c>
      <c r="N50" s="112" t="n">
        <v>46255</v>
      </c>
      <c r="O50" s="115">
        <f>IF(OR(D50="",F50=""),"",D50+F50)</f>
        <v>46246.0</v>
      </c>
      <c r="P50" s="116">
        <f>IF(O50="","",IF(ISNUMBER(M50),O50-M50,IF(OR(H50="DECISÃO D.P",ISNUMBER(N50)),"",O50-TODAY())))</f>
        <v>3</v>
      </c>
      <c r="Q50" s="117" t="str">
        <f>IF(B50="","",IF(ISNUMBER(N50),"DECIDIDO – ","")&amp;IF(ISNUMBER(M50),IF(P50="",IF(F50="","INFORMAR PRAZO","SEM DATA"),IF(P50&gt;=0,"DEFESA NO PRAZO","DEFESA FORA DO PRAZO")),IF(OR(H50="DECISÃO D.P",ISNUMBER(N50)),"SEM DEFESA",IF(H50="","SEM STATUS",IF(F50="","INFORMAR PRAZO",IF(P50="","SEM DATA",IF(P50&lt;0,"VENCIDO",IF(P50&lt;=DiasAlerta,"VENCE EM BREVE","NO PRAZO"))))))))</f>
        <v>DECIDIDO – DEFESA NO PRAZO</v>
      </c>
      <c r="R50" s="118">
        <f>IF(D50="","",TODAY()-D50)</f>
        <v>78</v>
      </c>
      <c r="S50" s="111" t="n"/>
    </row>
    <row r="51" ht="18" customHeight="1">
      <c r="A51" s="110" t="n">
        <v>47</v>
      </c>
      <c r="B51" s="111" t="inlineStr">
        <is>
          <t>Telecom Planalto</t>
        </is>
      </c>
      <c r="C51" s="111" t="inlineStr">
        <is>
          <t>TELEFONIA</t>
        </is>
      </c>
      <c r="D51" s="112" t="n">
        <v>46227</v>
      </c>
      <c r="E51" s="111" t="inlineStr">
        <is>
          <t>NOTIFICAÇÃO DE CONSTATAÇÃO</t>
        </is>
      </c>
      <c r="F51" s="110" t="n">
        <v>5</v>
      </c>
      <c r="G51" s="113" t="inlineStr">
        <is>
          <t>PRESENCIAL</t>
        </is>
      </c>
      <c r="H51" s="113" t="inlineStr">
        <is>
          <t>DECISÃO D.P</t>
        </is>
      </c>
      <c r="I51" s="111" t="inlineStr">
        <is>
          <t>EDUARDA LIMA</t>
        </is>
      </c>
      <c r="J51" s="114" t="inlineStr">
        <is>
          <t>0262/2026</t>
        </is>
      </c>
      <c r="K51" s="114" t="inlineStr">
        <is>
          <t>2026.069678-3/07</t>
        </is>
      </c>
      <c r="L51" s="112" t="n">
        <v>46153</v>
      </c>
      <c r="M51" s="112" t="n">
        <v>46230</v>
      </c>
      <c r="N51" s="112" t="n">
        <v>46236</v>
      </c>
      <c r="O51" s="115">
        <f>IF(OR(D51="",F51=""),"",D51+F51)</f>
        <v>46232.0</v>
      </c>
      <c r="P51" s="116">
        <f>IF(O51="","",IF(ISNUMBER(M51),O51-M51,IF(OR(H51="DECISÃO D.P",ISNUMBER(N51)),"",O51-TODAY())))</f>
        <v>2</v>
      </c>
      <c r="Q51" s="117" t="str">
        <f>IF(B51="","",IF(ISNUMBER(N51),"DECIDIDO – ","")&amp;IF(ISNUMBER(M51),IF(P51="",IF(F51="","INFORMAR PRAZO","SEM DATA"),IF(P51&gt;=0,"DEFESA NO PRAZO","DEFESA FORA DO PRAZO")),IF(OR(H51="DECISÃO D.P",ISNUMBER(N51)),"SEM DEFESA",IF(H51="","SEM STATUS",IF(F51="","INFORMAR PRAZO",IF(P51="","SEM DATA",IF(P51&lt;0,"VENCIDO",IF(P51&lt;=DiasAlerta,"VENCE EM BREVE","NO PRAZO"))))))))</f>
        <v>DECIDIDO – DEFESA NO PRAZO</v>
      </c>
      <c r="R51" s="118">
        <f>IF(D51="","",TODAY()-D51)</f>
        <v>77</v>
      </c>
      <c r="S51" s="111" t="n"/>
    </row>
    <row r="52" ht="18" customHeight="1">
      <c r="A52" s="110" t="n">
        <v>48</v>
      </c>
      <c r="B52" s="111" t="inlineStr">
        <is>
          <t>Escola Planalto 24h</t>
        </is>
      </c>
      <c r="C52" s="111" t="inlineStr">
        <is>
          <t>ESCOLA</t>
        </is>
      </c>
      <c r="D52" s="112" t="n">
        <v>46228</v>
      </c>
      <c r="E52" s="111" t="inlineStr">
        <is>
          <t>NOTIFICAÇÃO DE CONSTATAÇÃO</t>
        </is>
      </c>
      <c r="F52" s="110" t="n">
        <v>10</v>
      </c>
      <c r="G52" s="113" t="inlineStr">
        <is>
          <t>PRESENCIAL</t>
        </is>
      </c>
      <c r="H52" s="113" t="inlineStr">
        <is>
          <t>DECISÃO D.P</t>
        </is>
      </c>
      <c r="I52" s="111" t="inlineStr">
        <is>
          <t>BRUNO CARVALHO</t>
        </is>
      </c>
      <c r="J52" s="114" t="inlineStr">
        <is>
          <t>0006/2026</t>
        </is>
      </c>
      <c r="K52" s="114" t="inlineStr">
        <is>
          <t>2026.060521-5/07</t>
        </is>
      </c>
      <c r="L52" s="112" t="n">
        <v>46212</v>
      </c>
      <c r="M52" s="112" t="n">
        <v>46234</v>
      </c>
      <c r="N52" s="112" t="n"/>
      <c r="O52" s="115">
        <f>IF(OR(D52="",F52=""),"",D52+F52)</f>
        <v>46238.0</v>
      </c>
      <c r="P52" s="116">
        <f>IF(O52="","",IF(ISNUMBER(M52),O52-M52,IF(OR(H52="DECISÃO D.P",ISNUMBER(N52)),"",O52-TODAY())))</f>
        <v>4</v>
      </c>
      <c r="Q52" s="117" t="str">
        <f>IF(B52="","",IF(ISNUMBER(N52),"DECIDIDO – ","")&amp;IF(ISNUMBER(M52),IF(P52="",IF(F52="","INFORMAR PRAZO","SEM DATA"),IF(P52&gt;=0,"DEFESA NO PRAZO","DEFESA FORA DO PRAZO")),IF(OR(H52="DECISÃO D.P",ISNUMBER(N52)),"SEM DEFESA",IF(H52="","SEM STATUS",IF(F52="","INFORMAR PRAZO",IF(P52="","SEM DATA",IF(P52&lt;0,"VENCIDO",IF(P52&lt;=DiasAlerta,"VENCE EM BREVE","NO PRAZO"))))))))</f>
        <v>DEFESA NO PRAZO</v>
      </c>
      <c r="R52" s="118">
        <f>IF(D52="","",TODAY()-D52)</f>
        <v>76</v>
      </c>
      <c r="S52" s="111" t="n"/>
    </row>
    <row r="53" ht="18" customHeight="1">
      <c r="A53" s="110" t="n">
        <v>49</v>
      </c>
      <c r="B53" s="111" t="inlineStr">
        <is>
          <t>Academia Real</t>
        </is>
      </c>
      <c r="C53" s="111" t="inlineStr">
        <is>
          <t>ACADEMIA</t>
        </is>
      </c>
      <c r="D53" s="112" t="n">
        <v>46229</v>
      </c>
      <c r="E53" s="111" t="inlineStr">
        <is>
          <t>NOTIFICAÇÃO DE CONSTATAÇÃO</t>
        </is>
      </c>
      <c r="F53" s="110" t="n">
        <v>10</v>
      </c>
      <c r="G53" s="113" t="inlineStr">
        <is>
          <t>ELETRÔNICA</t>
        </is>
      </c>
      <c r="H53" s="113" t="inlineStr">
        <is>
          <t>DECISÃO D.P</t>
        </is>
      </c>
      <c r="I53" s="111" t="inlineStr">
        <is>
          <t>EDUARDA LIMA</t>
        </is>
      </c>
      <c r="J53" s="114" t="inlineStr">
        <is>
          <t>0481/2026</t>
        </is>
      </c>
      <c r="K53" s="114" t="inlineStr">
        <is>
          <t>2026.042045-2/02</t>
        </is>
      </c>
      <c r="L53" s="112" t="n">
        <v>46187</v>
      </c>
      <c r="M53" s="112" t="n">
        <v>46230</v>
      </c>
      <c r="N53" s="112" t="n">
        <v>46254</v>
      </c>
      <c r="O53" s="115">
        <f>IF(OR(D53="",F53=""),"",D53+F53)</f>
        <v>46239.0</v>
      </c>
      <c r="P53" s="116">
        <f>IF(O53="","",IF(ISNUMBER(M53),O53-M53,IF(OR(H53="DECISÃO D.P",ISNUMBER(N53)),"",O53-TODAY())))</f>
        <v>9</v>
      </c>
      <c r="Q53" s="117" t="str">
        <f>IF(B53="","",IF(ISNUMBER(N53),"DECIDIDO – ","")&amp;IF(ISNUMBER(M53),IF(P53="",IF(F53="","INFORMAR PRAZO","SEM DATA"),IF(P53&gt;=0,"DEFESA NO PRAZO","DEFESA FORA DO PRAZO")),IF(OR(H53="DECISÃO D.P",ISNUMBER(N53)),"SEM DEFESA",IF(H53="","SEM STATUS",IF(F53="","INFORMAR PRAZO",IF(P53="","SEM DATA",IF(P53&lt;0,"VENCIDO",IF(P53&lt;=DiasAlerta,"VENCE EM BREVE","NO PRAZO"))))))))</f>
        <v>DECIDIDO – DEFESA NO PRAZO</v>
      </c>
      <c r="R53" s="118">
        <f>IF(D53="","",TODAY()-D53)</f>
        <v>75</v>
      </c>
      <c r="S53" s="111" t="n"/>
    </row>
    <row r="54" ht="18" customHeight="1">
      <c r="A54" s="110" t="n">
        <v>50</v>
      </c>
      <c r="B54" s="111" t="inlineStr">
        <is>
          <t>Churrascaria Atlântico</t>
        </is>
      </c>
      <c r="C54" s="111" t="inlineStr">
        <is>
          <t>RESTAURANTE</t>
        </is>
      </c>
      <c r="D54" s="112" t="n">
        <v>46230</v>
      </c>
      <c r="E54" s="111" t="inlineStr">
        <is>
          <t>NOTIFICAÇÃO DE CONSTATAÇÃO</t>
        </is>
      </c>
      <c r="F54" s="110" t="n">
        <v>30</v>
      </c>
      <c r="G54" s="113" t="inlineStr">
        <is>
          <t>PRESENCIAL</t>
        </is>
      </c>
      <c r="H54" s="113" t="inlineStr">
        <is>
          <t>DECISÃO D.P</t>
        </is>
      </c>
      <c r="I54" s="111" t="inlineStr">
        <is>
          <t>GABRIELA NUNES</t>
        </is>
      </c>
      <c r="J54" s="114" t="inlineStr">
        <is>
          <t>0085/2026</t>
        </is>
      </c>
      <c r="K54" s="114" t="inlineStr">
        <is>
          <t>2026.081978-4/06</t>
        </is>
      </c>
      <c r="L54" s="112" t="n">
        <v>46152</v>
      </c>
      <c r="M54" s="112" t="n">
        <v>46250</v>
      </c>
      <c r="N54" s="112" t="n">
        <v>46278</v>
      </c>
      <c r="O54" s="115">
        <f>IF(OR(D54="",F54=""),"",D54+F54)</f>
        <v>46260.0</v>
      </c>
      <c r="P54" s="116">
        <f>IF(O54="","",IF(ISNUMBER(M54),O54-M54,IF(OR(H54="DECISÃO D.P",ISNUMBER(N54)),"",O54-TODAY())))</f>
        <v>10</v>
      </c>
      <c r="Q54" s="117" t="str">
        <f>IF(B54="","",IF(ISNUMBER(N54),"DECIDIDO – ","")&amp;IF(ISNUMBER(M54),IF(P54="",IF(F54="","INFORMAR PRAZO","SEM DATA"),IF(P54&gt;=0,"DEFESA NO PRAZO","DEFESA FORA DO PRAZO")),IF(OR(H54="DECISÃO D.P",ISNUMBER(N54)),"SEM DEFESA",IF(H54="","SEM STATUS",IF(F54="","INFORMAR PRAZO",IF(P54="","SEM DATA",IF(P54&lt;0,"VENCIDO",IF(P54&lt;=DiasAlerta,"VENCE EM BREVE","NO PRAZO"))))))))</f>
        <v>DECIDIDO – DEFESA NO PRAZO</v>
      </c>
      <c r="R54" s="118">
        <f>IF(D54="","",TODAY()-D54)</f>
        <v>74</v>
      </c>
      <c r="S54" s="111" t="n"/>
    </row>
    <row r="55" ht="18" customHeight="1">
      <c r="A55" s="110" t="n">
        <v>51</v>
      </c>
      <c r="B55" s="111" t="inlineStr">
        <is>
          <t>Farmácia Vida Plena</t>
        </is>
      </c>
      <c r="C55" s="111" t="inlineStr">
        <is>
          <t>FARMÁCIA</t>
        </is>
      </c>
      <c r="D55" s="112" t="n">
        <v>46230</v>
      </c>
      <c r="E55" s="111" t="inlineStr">
        <is>
          <t>NOTIFICAÇÃO DE ESCLARECIMENTO</t>
        </is>
      </c>
      <c r="F55" s="110" t="n">
        <v>30</v>
      </c>
      <c r="G55" s="113" t="inlineStr">
        <is>
          <t>ELETRÔNICA</t>
        </is>
      </c>
      <c r="H55" s="113" t="inlineStr">
        <is>
          <t>DECISÃO D.P</t>
        </is>
      </c>
      <c r="I55" s="111" t="inlineStr">
        <is>
          <t>HENRIQUE COSTA</t>
        </is>
      </c>
      <c r="J55" s="114" t="inlineStr">
        <is>
          <t>0207/2026</t>
        </is>
      </c>
      <c r="K55" s="114" t="inlineStr">
        <is>
          <t>2026.083064-5/02</t>
        </is>
      </c>
      <c r="L55" s="112" t="n">
        <v>46222</v>
      </c>
      <c r="M55" s="112" t="n">
        <v>46264</v>
      </c>
      <c r="N55" s="112" t="n">
        <v>46287</v>
      </c>
      <c r="O55" s="115">
        <f>IF(OR(D55="",F55=""),"",D55+F55)</f>
        <v>46260.0</v>
      </c>
      <c r="P55" s="116">
        <f>IF(O55="","",IF(ISNUMBER(M55),O55-M55,IF(OR(H55="DECISÃO D.P",ISNUMBER(N55)),"",O55-TODAY())))</f>
        <v>-4</v>
      </c>
      <c r="Q55" s="117" t="str">
        <f>IF(B55="","",IF(ISNUMBER(N55),"DECIDIDO – ","")&amp;IF(ISNUMBER(M55),IF(P55="",IF(F55="","INFORMAR PRAZO","SEM DATA"),IF(P55&gt;=0,"DEFESA NO PRAZO","DEFESA FORA DO PRAZO")),IF(OR(H55="DECISÃO D.P",ISNUMBER(N55)),"SEM DEFESA",IF(H55="","SEM STATUS",IF(F55="","INFORMAR PRAZO",IF(P55="","SEM DATA",IF(P55&lt;0,"VENCIDO",IF(P55&lt;=DiasAlerta,"VENCE EM BREVE","NO PRAZO"))))))))</f>
        <v>DECIDIDO – DEFESA FORA DO PRAZO</v>
      </c>
      <c r="R55" s="118">
        <f>IF(D55="","",TODAY()-D55)</f>
        <v>74</v>
      </c>
      <c r="S55" s="111" t="n"/>
    </row>
    <row r="56" ht="18" customHeight="1">
      <c r="A56" s="110" t="n">
        <v>52</v>
      </c>
      <c r="B56" s="111" t="inlineStr">
        <is>
          <t>Drogaria Vitória</t>
        </is>
      </c>
      <c r="C56" s="111" t="inlineStr">
        <is>
          <t>FARMÁCIA</t>
        </is>
      </c>
      <c r="D56" s="112" t="n">
        <v>46233</v>
      </c>
      <c r="E56" s="111" t="inlineStr">
        <is>
          <t>NOTIFICAÇÃO DE ESCLARECIMENTO</t>
        </is>
      </c>
      <c r="F56" s="110" t="n">
        <v>15</v>
      </c>
      <c r="G56" s="113" t="inlineStr">
        <is>
          <t>ELETRÔNICA</t>
        </is>
      </c>
      <c r="H56" s="113" t="inlineStr">
        <is>
          <t>PRAZO D.P</t>
        </is>
      </c>
      <c r="I56" s="111" t="inlineStr">
        <is>
          <t>HENRIQUE COSTA</t>
        </is>
      </c>
      <c r="J56" s="114" t="inlineStr">
        <is>
          <t>0293/2026</t>
        </is>
      </c>
      <c r="K56" s="114" t="inlineStr">
        <is>
          <t>2026.081513-8/06</t>
        </is>
      </c>
      <c r="L56" s="112" t="n">
        <v>46143</v>
      </c>
      <c r="M56" s="112" t="n"/>
      <c r="N56" s="112" t="n"/>
      <c r="O56" s="115">
        <f>IF(OR(D56="",F56=""),"",D56+F56)</f>
        <v>46248.0</v>
      </c>
      <c r="P56" s="116">
        <f>IF(O56="","",IF(ISNUMBER(M56),O56-M56,IF(OR(H56="DECISÃO D.P",ISNUMBER(N56)),"",O56-TODAY())))</f>
        <v>-56</v>
      </c>
      <c r="Q56" s="117" t="str">
        <f>IF(B56="","",IF(ISNUMBER(N56),"DECIDIDO – ","")&amp;IF(ISNUMBER(M56),IF(P56="",IF(F56="","INFORMAR PRAZO","SEM DATA"),IF(P56&gt;=0,"DEFESA NO PRAZO","DEFESA FORA DO PRAZO")),IF(OR(H56="DECISÃO D.P",ISNUMBER(N56)),"SEM DEFESA",IF(H56="","SEM STATUS",IF(F56="","INFORMAR PRAZO",IF(P56="","SEM DATA",IF(P56&lt;0,"VENCIDO",IF(P56&lt;=DiasAlerta,"VENCE EM BREVE","NO PRAZO"))))))))</f>
        <v>VENCIDO</v>
      </c>
      <c r="R56" s="118">
        <f>IF(D56="","",TODAY()-D56)</f>
        <v>71</v>
      </c>
      <c r="S56" s="111" t="n"/>
    </row>
    <row r="57" ht="18" customHeight="1">
      <c r="A57" s="110" t="n">
        <v>53</v>
      </c>
      <c r="B57" s="111" t="inlineStr">
        <is>
          <t>Supermercado Avenida</t>
        </is>
      </c>
      <c r="C57" s="111" t="inlineStr">
        <is>
          <t>SUPERMERCADO</t>
        </is>
      </c>
      <c r="D57" s="112" t="n">
        <v>46236</v>
      </c>
      <c r="E57" s="111" t="inlineStr">
        <is>
          <t>NOTIFICAÇÃO DE CONSTATAÇÃO</t>
        </is>
      </c>
      <c r="F57" s="110" t="n">
        <v>15</v>
      </c>
      <c r="G57" s="113" t="inlineStr">
        <is>
          <t>PRESENCIAL</t>
        </is>
      </c>
      <c r="H57" s="113" t="inlineStr">
        <is>
          <t>DECISÃO D.P</t>
        </is>
      </c>
      <c r="I57" s="111" t="inlineStr">
        <is>
          <t>ANA PAULA SOUZA</t>
        </is>
      </c>
      <c r="J57" s="114" t="inlineStr">
        <is>
          <t>0191/2026</t>
        </is>
      </c>
      <c r="K57" s="114" t="inlineStr">
        <is>
          <t>2026.033155-8/04</t>
        </is>
      </c>
      <c r="L57" s="112" t="n">
        <v>46228</v>
      </c>
      <c r="M57" s="112" t="n"/>
      <c r="N57" s="112" t="n">
        <v>46262</v>
      </c>
      <c r="O57" s="115">
        <f>IF(OR(D57="",F57=""),"",D57+F57)</f>
        <v>46251.0</v>
      </c>
      <c r="P57" s="116" t="str">
        <f>IF(O57="","",IF(ISNUMBER(M57),O57-M57,IF(OR(H57="DECISÃO D.P",ISNUMBER(N57)),"",O57-TODAY())))</f>
        <v/>
      </c>
      <c r="Q57" s="117" t="str">
        <f>IF(B57="","",IF(ISNUMBER(N57),"DECIDIDO – ","")&amp;IF(ISNUMBER(M57),IF(P57="",IF(F57="","INFORMAR PRAZO","SEM DATA"),IF(P57&gt;=0,"DEFESA NO PRAZO","DEFESA FORA DO PRAZO")),IF(OR(H57="DECISÃO D.P",ISNUMBER(N57)),"SEM DEFESA",IF(H57="","SEM STATUS",IF(F57="","INFORMAR PRAZO",IF(P57="","SEM DATA",IF(P57&lt;0,"VENCIDO",IF(P57&lt;=DiasAlerta,"VENCE EM BREVE","NO PRAZO"))))))))</f>
        <v>DECIDIDO – SEM DEFESA</v>
      </c>
      <c r="R57" s="118">
        <f>IF(D57="","",TODAY()-D57)</f>
        <v>68</v>
      </c>
      <c r="S57" s="111" t="n"/>
    </row>
    <row r="58" ht="18" customHeight="1">
      <c r="A58" s="110" t="n">
        <v>54</v>
      </c>
      <c r="B58" s="111" t="inlineStr">
        <is>
          <t>Academia Horizonte 24h</t>
        </is>
      </c>
      <c r="C58" s="111" t="inlineStr">
        <is>
          <t>ACADEMIA</t>
        </is>
      </c>
      <c r="D58" s="112" t="n">
        <v>46237</v>
      </c>
      <c r="E58" s="111" t="inlineStr">
        <is>
          <t>NOTIFICAÇÃO DE ESCLARECIMENTO</t>
        </is>
      </c>
      <c r="F58" s="110" t="n">
        <v>10</v>
      </c>
      <c r="G58" s="113" t="inlineStr">
        <is>
          <t>ELETRÔNICA</t>
        </is>
      </c>
      <c r="H58" s="113" t="inlineStr">
        <is>
          <t>DECISÃO D.P</t>
        </is>
      </c>
      <c r="I58" s="111" t="inlineStr">
        <is>
          <t>BRUNO CARVALHO</t>
        </is>
      </c>
      <c r="J58" s="114" t="inlineStr">
        <is>
          <t>0695/2026</t>
        </is>
      </c>
      <c r="K58" s="114" t="inlineStr">
        <is>
          <t>2026.010416-7/06</t>
        </is>
      </c>
      <c r="L58" s="112" t="n">
        <v>46179</v>
      </c>
      <c r="M58" s="112" t="n">
        <v>46242</v>
      </c>
      <c r="N58" s="112" t="n"/>
      <c r="O58" s="115">
        <f>IF(OR(D58="",F58=""),"",D58+F58)</f>
        <v>46247.0</v>
      </c>
      <c r="P58" s="116">
        <f>IF(O58="","",IF(ISNUMBER(M58),O58-M58,IF(OR(H58="DECISÃO D.P",ISNUMBER(N58)),"",O58-TODAY())))</f>
        <v>5</v>
      </c>
      <c r="Q58" s="117" t="str">
        <f>IF(B58="","",IF(ISNUMBER(N58),"DECIDIDO – ","")&amp;IF(ISNUMBER(M58),IF(P58="",IF(F58="","INFORMAR PRAZO","SEM DATA"),IF(P58&gt;=0,"DEFESA NO PRAZO","DEFESA FORA DO PRAZO")),IF(OR(H58="DECISÃO D.P",ISNUMBER(N58)),"SEM DEFESA",IF(H58="","SEM STATUS",IF(F58="","INFORMAR PRAZO",IF(P58="","SEM DATA",IF(P58&lt;0,"VENCIDO",IF(P58&lt;=DiasAlerta,"VENCE EM BREVE","NO PRAZO"))))))))</f>
        <v>DEFESA NO PRAZO</v>
      </c>
      <c r="R58" s="118">
        <f>IF(D58="","",TODAY()-D58)</f>
        <v>67</v>
      </c>
      <c r="S58" s="111" t="n"/>
    </row>
    <row r="59" ht="18" customHeight="1">
      <c r="A59" s="110" t="n">
        <v>55</v>
      </c>
      <c r="B59" s="111" t="inlineStr">
        <is>
          <t>Academia Atlântico</t>
        </is>
      </c>
      <c r="C59" s="111" t="inlineStr">
        <is>
          <t>ACADEMIA</t>
        </is>
      </c>
      <c r="D59" s="112" t="n">
        <v>46241</v>
      </c>
      <c r="E59" s="111" t="inlineStr">
        <is>
          <t>NOTIFICAÇÃO DE CONSTATAÇÃO</t>
        </is>
      </c>
      <c r="F59" s="110" t="n">
        <v>30</v>
      </c>
      <c r="G59" s="113" t="inlineStr">
        <is>
          <t>PRESENCIAL</t>
        </is>
      </c>
      <c r="H59" s="113" t="inlineStr">
        <is>
          <t>PRAZO D.P</t>
        </is>
      </c>
      <c r="I59" s="111" t="inlineStr">
        <is>
          <t>DIEGO RIBEIRO</t>
        </is>
      </c>
      <c r="J59" s="114" t="inlineStr">
        <is>
          <t>0142/2026</t>
        </is>
      </c>
      <c r="K59" s="114" t="inlineStr">
        <is>
          <t>2026.019873-8/04</t>
        </is>
      </c>
      <c r="L59" s="112" t="n">
        <v>46223</v>
      </c>
      <c r="M59" s="112" t="n"/>
      <c r="N59" s="112" t="n"/>
      <c r="O59" s="115">
        <f>IF(OR(D59="",F59=""),"",D59+F59)</f>
        <v>46271.0</v>
      </c>
      <c r="P59" s="116">
        <f>IF(O59="","",IF(ISNUMBER(M59),O59-M59,IF(OR(H59="DECISÃO D.P",ISNUMBER(N59)),"",O59-TODAY())))</f>
        <v>-33</v>
      </c>
      <c r="Q59" s="117" t="str">
        <f>IF(B59="","",IF(ISNUMBER(N59),"DECIDIDO – ","")&amp;IF(ISNUMBER(M59),IF(P59="",IF(F59="","INFORMAR PRAZO","SEM DATA"),IF(P59&gt;=0,"DEFESA NO PRAZO","DEFESA FORA DO PRAZO")),IF(OR(H59="DECISÃO D.P",ISNUMBER(N59)),"SEM DEFESA",IF(H59="","SEM STATUS",IF(F59="","INFORMAR PRAZO",IF(P59="","SEM DATA",IF(P59&lt;0,"VENCIDO",IF(P59&lt;=DiasAlerta,"VENCE EM BREVE","NO PRAZO"))))))))</f>
        <v>VENCIDO</v>
      </c>
      <c r="R59" s="118">
        <f>IF(D59="","",TODAY()-D59)</f>
        <v>63</v>
      </c>
      <c r="S59" s="111" t="n"/>
    </row>
    <row r="60" ht="18" customHeight="1">
      <c r="A60" s="110" t="n">
        <v>56</v>
      </c>
      <c r="B60" s="111" t="inlineStr">
        <is>
          <t>Serviços Real</t>
        </is>
      </c>
      <c r="C60" s="111" t="inlineStr">
        <is>
          <t>OUTROS</t>
        </is>
      </c>
      <c r="D60" s="112" t="n">
        <v>46245</v>
      </c>
      <c r="E60" s="111" t="inlineStr">
        <is>
          <t>NOTIFICAÇÃO DE CONSTATAÇÃO</t>
        </is>
      </c>
      <c r="F60" s="110" t="n">
        <v>5</v>
      </c>
      <c r="G60" s="113" t="inlineStr">
        <is>
          <t>ELETRÔNICA</t>
        </is>
      </c>
      <c r="H60" s="113" t="inlineStr">
        <is>
          <t>DECISÃO D.P</t>
        </is>
      </c>
      <c r="I60" s="111" t="inlineStr">
        <is>
          <t>HENRIQUE COSTA</t>
        </is>
      </c>
      <c r="J60" s="114" t="inlineStr">
        <is>
          <t>0836/2026</t>
        </is>
      </c>
      <c r="K60" s="114" t="inlineStr">
        <is>
          <t>2026.013635-6/08</t>
        </is>
      </c>
      <c r="L60" s="112" t="n">
        <v>46198</v>
      </c>
      <c r="M60" s="112" t="n">
        <v>46254</v>
      </c>
      <c r="N60" s="112" t="n">
        <v>46282</v>
      </c>
      <c r="O60" s="115">
        <f>IF(OR(D60="",F60=""),"",D60+F60)</f>
        <v>46250.0</v>
      </c>
      <c r="P60" s="116">
        <f>IF(O60="","",IF(ISNUMBER(M60),O60-M60,IF(OR(H60="DECISÃO D.P",ISNUMBER(N60)),"",O60-TODAY())))</f>
        <v>-4</v>
      </c>
      <c r="Q60" s="117" t="str">
        <f>IF(B60="","",IF(ISNUMBER(N60),"DECIDIDO – ","")&amp;IF(ISNUMBER(M60),IF(P60="",IF(F60="","INFORMAR PRAZO","SEM DATA"),IF(P60&gt;=0,"DEFESA NO PRAZO","DEFESA FORA DO PRAZO")),IF(OR(H60="DECISÃO D.P",ISNUMBER(N60)),"SEM DEFESA",IF(H60="","SEM STATUS",IF(F60="","INFORMAR PRAZO",IF(P60="","SEM DATA",IF(P60&lt;0,"VENCIDO",IF(P60&lt;=DiasAlerta,"VENCE EM BREVE","NO PRAZO"))))))))</f>
        <v>DECIDIDO – DEFESA FORA DO PRAZO</v>
      </c>
      <c r="R60" s="118">
        <f>IF(D60="","",TODAY()-D60)</f>
        <v>59</v>
      </c>
      <c r="S60" s="111" t="n"/>
    </row>
    <row r="61" ht="18" customHeight="1">
      <c r="A61" s="110" t="n">
        <v>57</v>
      </c>
      <c r="B61" s="111" t="inlineStr">
        <is>
          <t>Clínica Horizonte</t>
        </is>
      </c>
      <c r="C61" s="111" t="inlineStr">
        <is>
          <t>SAÚDE</t>
        </is>
      </c>
      <c r="D61" s="112" t="n">
        <v>46249</v>
      </c>
      <c r="E61" s="111" t="inlineStr">
        <is>
          <t>NOTIFICAÇÃO DE ESCLARECIMENTO</t>
        </is>
      </c>
      <c r="F61" s="110" t="n">
        <v>10</v>
      </c>
      <c r="G61" s="113" t="inlineStr">
        <is>
          <t>PRESENCIAL</t>
        </is>
      </c>
      <c r="H61" s="113" t="inlineStr">
        <is>
          <t>DECISÃO D.P</t>
        </is>
      </c>
      <c r="I61" s="111" t="inlineStr">
        <is>
          <t>EDUARDA LIMA</t>
        </is>
      </c>
      <c r="J61" s="114" t="inlineStr">
        <is>
          <t>0116/2026</t>
        </is>
      </c>
      <c r="K61" s="114" t="inlineStr">
        <is>
          <t>2026.082129-1/02</t>
        </is>
      </c>
      <c r="L61" s="112" t="n">
        <v>46224</v>
      </c>
      <c r="M61" s="112" t="n">
        <v>46266</v>
      </c>
      <c r="N61" s="112" t="n">
        <v>46288</v>
      </c>
      <c r="O61" s="115">
        <f>IF(OR(D61="",F61=""),"",D61+F61)</f>
        <v>46259.0</v>
      </c>
      <c r="P61" s="116">
        <f>IF(O61="","",IF(ISNUMBER(M61),O61-M61,IF(OR(H61="DECISÃO D.P",ISNUMBER(N61)),"",O61-TODAY())))</f>
        <v>-7</v>
      </c>
      <c r="Q61" s="117" t="str">
        <f>IF(B61="","",IF(ISNUMBER(N61),"DECIDIDO – ","")&amp;IF(ISNUMBER(M61),IF(P61="",IF(F61="","INFORMAR PRAZO","SEM DATA"),IF(P61&gt;=0,"DEFESA NO PRAZO","DEFESA FORA DO PRAZO")),IF(OR(H61="DECISÃO D.P",ISNUMBER(N61)),"SEM DEFESA",IF(H61="","SEM STATUS",IF(F61="","INFORMAR PRAZO",IF(P61="","SEM DATA",IF(P61&lt;0,"VENCIDO",IF(P61&lt;=DiasAlerta,"VENCE EM BREVE","NO PRAZO"))))))))</f>
        <v>DECIDIDO – DEFESA FORA DO PRAZO</v>
      </c>
      <c r="R61" s="118">
        <f>IF(D61="","",TODAY()-D61)</f>
        <v>55</v>
      </c>
      <c r="S61" s="111" t="n"/>
    </row>
    <row r="62" ht="18" customHeight="1">
      <c r="A62" s="110" t="n">
        <v>58</v>
      </c>
      <c r="B62" s="111" t="inlineStr">
        <is>
          <t>Auto Posto Estrela Ltda</t>
        </is>
      </c>
      <c r="C62" s="111" t="inlineStr">
        <is>
          <t>POSTO DE COMBUSTÍVEL</t>
        </is>
      </c>
      <c r="D62" s="112" t="n">
        <v>46250</v>
      </c>
      <c r="E62" s="111" t="inlineStr">
        <is>
          <t>NOTIFICAÇÃO DE CONSTATAÇÃO</t>
        </is>
      </c>
      <c r="F62" s="110" t="n">
        <v>60</v>
      </c>
      <c r="G62" s="113" t="inlineStr">
        <is>
          <t>PRESENCIAL</t>
        </is>
      </c>
      <c r="H62" s="113" t="inlineStr">
        <is>
          <t>PRAZO D.P</t>
        </is>
      </c>
      <c r="I62" s="111" t="inlineStr">
        <is>
          <t>BRUNO CARVALHO</t>
        </is>
      </c>
      <c r="J62" s="114" t="inlineStr">
        <is>
          <t>0467/2026</t>
        </is>
      </c>
      <c r="K62" s="114" t="inlineStr">
        <is>
          <t>2026.083015-9/01</t>
        </is>
      </c>
      <c r="L62" s="112" t="n">
        <v>46168</v>
      </c>
      <c r="M62" s="112" t="n"/>
      <c r="N62" s="112" t="n"/>
      <c r="O62" s="115">
        <f>IF(OR(D62="",F62=""),"",D62+F62)</f>
        <v>46310.0</v>
      </c>
      <c r="P62" s="116">
        <f>IF(O62="","",IF(ISNUMBER(M62),O62-M62,IF(OR(H62="DECISÃO D.P",ISNUMBER(N62)),"",O62-TODAY())))</f>
        <v>6</v>
      </c>
      <c r="Q62" s="117" t="str">
        <f>IF(B62="","",IF(ISNUMBER(N62),"DECIDIDO – ","")&amp;IF(ISNUMBER(M62),IF(P62="",IF(F62="","INFORMAR PRAZO","SEM DATA"),IF(P62&gt;=0,"DEFESA NO PRAZO","DEFESA FORA DO PRAZO")),IF(OR(H62="DECISÃO D.P",ISNUMBER(N62)),"SEM DEFESA",IF(H62="","SEM STATUS",IF(F62="","INFORMAR PRAZO",IF(P62="","SEM DATA",IF(P62&lt;0,"VENCIDO",IF(P62&lt;=DiasAlerta,"VENCE EM BREVE","NO PRAZO"))))))))</f>
        <v>NO PRAZO</v>
      </c>
      <c r="R62" s="118">
        <f>IF(D62="","",TODAY()-D62)</f>
        <v>54</v>
      </c>
      <c r="S62" s="111" t="n"/>
    </row>
    <row r="63" ht="18" customHeight="1">
      <c r="A63" s="110" t="n">
        <v>59</v>
      </c>
      <c r="B63" s="111" t="inlineStr">
        <is>
          <t>Loja Bela Vista</t>
        </is>
      </c>
      <c r="C63" s="111" t="inlineStr">
        <is>
          <t>LOJA</t>
        </is>
      </c>
      <c r="D63" s="112" t="n">
        <v>46250</v>
      </c>
      <c r="E63" s="111" t="inlineStr">
        <is>
          <t>NOTIFICAÇÃO DE CONSTATAÇÃO</t>
        </is>
      </c>
      <c r="F63" s="110" t="n">
        <v>45</v>
      </c>
      <c r="G63" s="113" t="inlineStr">
        <is>
          <t>ELETRÔNICA</t>
        </is>
      </c>
      <c r="H63" s="113" t="inlineStr">
        <is>
          <t>PRAZO D.P</t>
        </is>
      </c>
      <c r="I63" s="111" t="inlineStr">
        <is>
          <t>DIEGO RIBEIRO</t>
        </is>
      </c>
      <c r="J63" s="114" t="inlineStr">
        <is>
          <t>0346/2026</t>
        </is>
      </c>
      <c r="K63" s="114" t="inlineStr">
        <is>
          <t>2026.024368-9/04</t>
        </is>
      </c>
      <c r="L63" s="112" t="n">
        <v>46201</v>
      </c>
      <c r="M63" s="112" t="n"/>
      <c r="N63" s="112" t="n"/>
      <c r="O63" s="115">
        <f>IF(OR(D63="",F63=""),"",D63+F63)</f>
        <v>46295.0</v>
      </c>
      <c r="P63" s="116">
        <f>IF(O63="","",IF(ISNUMBER(M63),O63-M63,IF(OR(H63="DECISÃO D.P",ISNUMBER(N63)),"",O63-TODAY())))</f>
        <v>-9</v>
      </c>
      <c r="Q63" s="117" t="str">
        <f>IF(B63="","",IF(ISNUMBER(N63),"DECIDIDO – ","")&amp;IF(ISNUMBER(M63),IF(P63="",IF(F63="","INFORMAR PRAZO","SEM DATA"),IF(P63&gt;=0,"DEFESA NO PRAZO","DEFESA FORA DO PRAZO")),IF(OR(H63="DECISÃO D.P",ISNUMBER(N63)),"SEM DEFESA",IF(H63="","SEM STATUS",IF(F63="","INFORMAR PRAZO",IF(P63="","SEM DATA",IF(P63&lt;0,"VENCIDO",IF(P63&lt;=DiasAlerta,"VENCE EM BREVE","NO PRAZO"))))))))</f>
        <v>VENCIDO</v>
      </c>
      <c r="R63" s="118">
        <f>IF(D63="","",TODAY()-D63)</f>
        <v>54</v>
      </c>
      <c r="S63" s="111" t="n"/>
    </row>
    <row r="64" ht="18" customHeight="1">
      <c r="A64" s="110" t="n">
        <v>60</v>
      </c>
      <c r="B64" s="111" t="inlineStr">
        <is>
          <t>Magazine Vitória</t>
        </is>
      </c>
      <c r="C64" s="111" t="inlineStr">
        <is>
          <t>LOJA</t>
        </is>
      </c>
      <c r="D64" s="112" t="n">
        <v>46257</v>
      </c>
      <c r="E64" s="111" t="inlineStr">
        <is>
          <t>NOTIFICAÇÃO DE CONSTATAÇÃO</t>
        </is>
      </c>
      <c r="F64" s="110" t="n">
        <v>15</v>
      </c>
      <c r="G64" s="113" t="inlineStr">
        <is>
          <t>ELETRÔNICA</t>
        </is>
      </c>
      <c r="H64" s="113" t="inlineStr">
        <is>
          <t>PRAZO D.P</t>
        </is>
      </c>
      <c r="I64" s="111" t="inlineStr">
        <is>
          <t>DIEGO RIBEIRO</t>
        </is>
      </c>
      <c r="J64" s="114" t="inlineStr">
        <is>
          <t>0666/2026</t>
        </is>
      </c>
      <c r="K64" s="114" t="inlineStr">
        <is>
          <t>2026.035763-5/11</t>
        </is>
      </c>
      <c r="L64" s="112" t="n">
        <v>46187</v>
      </c>
      <c r="M64" s="112" t="n"/>
      <c r="N64" s="112" t="n"/>
      <c r="O64" s="115">
        <f>IF(OR(D64="",F64=""),"",D64+F64)</f>
        <v>46272.0</v>
      </c>
      <c r="P64" s="116">
        <f>IF(O64="","",IF(ISNUMBER(M64),O64-M64,IF(OR(H64="DECISÃO D.P",ISNUMBER(N64)),"",O64-TODAY())))</f>
        <v>-32</v>
      </c>
      <c r="Q64" s="117" t="str">
        <f>IF(B64="","",IF(ISNUMBER(N64),"DECIDIDO – ","")&amp;IF(ISNUMBER(M64),IF(P64="",IF(F64="","INFORMAR PRAZO","SEM DATA"),IF(P64&gt;=0,"DEFESA NO PRAZO","DEFESA FORA DO PRAZO")),IF(OR(H64="DECISÃO D.P",ISNUMBER(N64)),"SEM DEFESA",IF(H64="","SEM STATUS",IF(F64="","INFORMAR PRAZO",IF(P64="","SEM DATA",IF(P64&lt;0,"VENCIDO",IF(P64&lt;=DiasAlerta,"VENCE EM BREVE","NO PRAZO"))))))))</f>
        <v>VENCIDO</v>
      </c>
      <c r="R64" s="118">
        <f>IF(D64="","",TODAY()-D64)</f>
        <v>47</v>
      </c>
      <c r="S64" s="111" t="n"/>
    </row>
    <row r="65" ht="18" customHeight="1">
      <c r="A65" s="110" t="n">
        <v>61</v>
      </c>
      <c r="B65" s="111" t="inlineStr">
        <is>
          <t>Loja Real</t>
        </is>
      </c>
      <c r="C65" s="111" t="inlineStr">
        <is>
          <t>LOJA</t>
        </is>
      </c>
      <c r="D65" s="112" t="n">
        <v>46258</v>
      </c>
      <c r="E65" s="111" t="inlineStr">
        <is>
          <t>NOTIFICAÇÃO DE CONSTATAÇÃO</t>
        </is>
      </c>
      <c r="F65" s="110" t="n">
        <v>20</v>
      </c>
      <c r="G65" s="113" t="inlineStr">
        <is>
          <t>PRESENCIAL</t>
        </is>
      </c>
      <c r="H65" s="113" t="inlineStr">
        <is>
          <t>DECISÃO D.P</t>
        </is>
      </c>
      <c r="I65" s="111" t="inlineStr">
        <is>
          <t>BRUNO CARVALHO</t>
        </is>
      </c>
      <c r="J65" s="114" t="inlineStr">
        <is>
          <t>0555/2026</t>
        </is>
      </c>
      <c r="K65" s="114" t="inlineStr">
        <is>
          <t>2026.047821-2/07</t>
        </is>
      </c>
      <c r="L65" s="112" t="n">
        <v>46217</v>
      </c>
      <c r="M65" s="112" t="n">
        <v>46282</v>
      </c>
      <c r="N65" s="112" t="n">
        <v>46303</v>
      </c>
      <c r="O65" s="115">
        <f>IF(OR(D65="",F65=""),"",D65+F65)</f>
        <v>46278.0</v>
      </c>
      <c r="P65" s="116">
        <f>IF(O65="","",IF(ISNUMBER(M65),O65-M65,IF(OR(H65="DECISÃO D.P",ISNUMBER(N65)),"",O65-TODAY())))</f>
        <v>-4</v>
      </c>
      <c r="Q65" s="117" t="str">
        <f>IF(B65="","",IF(ISNUMBER(N65),"DECIDIDO – ","")&amp;IF(ISNUMBER(M65),IF(P65="",IF(F65="","INFORMAR PRAZO","SEM DATA"),IF(P65&gt;=0,"DEFESA NO PRAZO","DEFESA FORA DO PRAZO")),IF(OR(H65="DECISÃO D.P",ISNUMBER(N65)),"SEM DEFESA",IF(H65="","SEM STATUS",IF(F65="","INFORMAR PRAZO",IF(P65="","SEM DATA",IF(P65&lt;0,"VENCIDO",IF(P65&lt;=DiasAlerta,"VENCE EM BREVE","NO PRAZO"))))))))</f>
        <v>DECIDIDO – DEFESA FORA DO PRAZO</v>
      </c>
      <c r="R65" s="118">
        <f>IF(D65="","",TODAY()-D65)</f>
        <v>46</v>
      </c>
      <c r="S65" s="111" t="n"/>
    </row>
    <row r="66" ht="18" customHeight="1">
      <c r="A66" s="110" t="n">
        <v>62</v>
      </c>
      <c r="B66" s="111" t="inlineStr">
        <is>
          <t>Academia Vitória</t>
        </is>
      </c>
      <c r="C66" s="111" t="inlineStr">
        <is>
          <t>ACADEMIA</t>
        </is>
      </c>
      <c r="D66" s="112" t="n">
        <v>46259</v>
      </c>
      <c r="E66" s="111" t="inlineStr">
        <is>
          <t>NOTIFICAÇÃO DE ESCLARECIMENTO</t>
        </is>
      </c>
      <c r="F66" s="110" t="n">
        <v>10</v>
      </c>
      <c r="G66" s="113" t="inlineStr">
        <is>
          <t>PRESENCIAL</t>
        </is>
      </c>
      <c r="H66" s="113" t="inlineStr">
        <is>
          <t>PRAZO D.P</t>
        </is>
      </c>
      <c r="I66" s="111" t="inlineStr">
        <is>
          <t>DIEGO RIBEIRO</t>
        </is>
      </c>
      <c r="J66" s="114" t="inlineStr">
        <is>
          <t>0544/2026</t>
        </is>
      </c>
      <c r="K66" s="114" t="inlineStr">
        <is>
          <t>2026.037191-4/01</t>
        </is>
      </c>
      <c r="L66" s="112" t="n">
        <v>46242</v>
      </c>
      <c r="M66" s="112" t="n">
        <v>46262</v>
      </c>
      <c r="N66" s="112" t="n"/>
      <c r="O66" s="115">
        <f>IF(OR(D66="",F66=""),"",D66+F66)</f>
        <v>46269.0</v>
      </c>
      <c r="P66" s="116">
        <f>IF(O66="","",IF(ISNUMBER(M66),O66-M66,IF(OR(H66="DECISÃO D.P",ISNUMBER(N66)),"",O66-TODAY())))</f>
        <v>7</v>
      </c>
      <c r="Q66" s="117" t="str">
        <f>IF(B66="","",IF(ISNUMBER(N66),"DECIDIDO – ","")&amp;IF(ISNUMBER(M66),IF(P66="",IF(F66="","INFORMAR PRAZO","SEM DATA"),IF(P66&gt;=0,"DEFESA NO PRAZO","DEFESA FORA DO PRAZO")),IF(OR(H66="DECISÃO D.P",ISNUMBER(N66)),"SEM DEFESA",IF(H66="","SEM STATUS",IF(F66="","INFORMAR PRAZO",IF(P66="","SEM DATA",IF(P66&lt;0,"VENCIDO",IF(P66&lt;=DiasAlerta,"VENCE EM BREVE","NO PRAZO"))))))))</f>
        <v>DEFESA NO PRAZO</v>
      </c>
      <c r="R66" s="118">
        <f>IF(D66="","",TODAY()-D66)</f>
        <v>45</v>
      </c>
      <c r="S66" s="111" t="n"/>
    </row>
    <row r="67" ht="18" customHeight="1">
      <c r="A67" s="110" t="n">
        <v>63</v>
      </c>
      <c r="B67" s="111" t="inlineStr">
        <is>
          <t>Farmácia Bela Vista</t>
        </is>
      </c>
      <c r="C67" s="111" t="inlineStr">
        <is>
          <t>FARMÁCIA</t>
        </is>
      </c>
      <c r="D67" s="112" t="n">
        <v>46261</v>
      </c>
      <c r="E67" s="111" t="inlineStr">
        <is>
          <t>NOTIFICAÇÃO DE CONSTATAÇÃO</t>
        </is>
      </c>
      <c r="F67" s="110" t="n">
        <v>15</v>
      </c>
      <c r="G67" s="113" t="inlineStr">
        <is>
          <t>PRESENCIAL</t>
        </is>
      </c>
      <c r="H67" s="113" t="inlineStr">
        <is>
          <t>DECISÃO D.P</t>
        </is>
      </c>
      <c r="I67" s="111" t="inlineStr">
        <is>
          <t>FELIPE ARAÚJO</t>
        </is>
      </c>
      <c r="J67" s="114" t="inlineStr">
        <is>
          <t>0893/2026</t>
        </is>
      </c>
      <c r="K67" s="114" t="inlineStr">
        <is>
          <t>2026.093703-5/13</t>
        </is>
      </c>
      <c r="L67" s="112" t="n">
        <v>46205</v>
      </c>
      <c r="M67" s="112" t="n">
        <v>46270</v>
      </c>
      <c r="N67" s="112" t="n">
        <v>46278</v>
      </c>
      <c r="O67" s="115">
        <f>IF(OR(D67="",F67=""),"",D67+F67)</f>
        <v>46276.0</v>
      </c>
      <c r="P67" s="116">
        <f>IF(O67="","",IF(ISNUMBER(M67),O67-M67,IF(OR(H67="DECISÃO D.P",ISNUMBER(N67)),"",O67-TODAY())))</f>
        <v>6</v>
      </c>
      <c r="Q67" s="117" t="str">
        <f>IF(B67="","",IF(ISNUMBER(N67),"DECIDIDO – ","")&amp;IF(ISNUMBER(M67),IF(P67="",IF(F67="","INFORMAR PRAZO","SEM DATA"),IF(P67&gt;=0,"DEFESA NO PRAZO","DEFESA FORA DO PRAZO")),IF(OR(H67="DECISÃO D.P",ISNUMBER(N67)),"SEM DEFESA",IF(H67="","SEM STATUS",IF(F67="","INFORMAR PRAZO",IF(P67="","SEM DATA",IF(P67&lt;0,"VENCIDO",IF(P67&lt;=DiasAlerta,"VENCE EM BREVE","NO PRAZO"))))))))</f>
        <v>DECIDIDO – DEFESA NO PRAZO</v>
      </c>
      <c r="R67" s="118">
        <f>IF(D67="","",TODAY()-D67)</f>
        <v>43</v>
      </c>
      <c r="S67" s="111" t="n"/>
    </row>
    <row r="68" ht="18" customHeight="1">
      <c r="A68" s="110" t="n">
        <v>64</v>
      </c>
      <c r="B68" s="111" t="inlineStr">
        <is>
          <t>Boutique Avenida ME</t>
        </is>
      </c>
      <c r="C68" s="111" t="inlineStr">
        <is>
          <t>LOJA</t>
        </is>
      </c>
      <c r="D68" s="112" t="n">
        <v>46261</v>
      </c>
      <c r="E68" s="111" t="inlineStr">
        <is>
          <t>NOTIFICAÇÃO DE ESCLARECIMENTO</t>
        </is>
      </c>
      <c r="F68" s="110" t="n">
        <v>10</v>
      </c>
      <c r="G68" s="113" t="inlineStr">
        <is>
          <t>PRESENCIAL</t>
        </is>
      </c>
      <c r="H68" s="113" t="inlineStr">
        <is>
          <t>DECISÃO D.P</t>
        </is>
      </c>
      <c r="I68" s="111" t="inlineStr">
        <is>
          <t>GABRIELA NUNES</t>
        </is>
      </c>
      <c r="J68" s="114" t="inlineStr">
        <is>
          <t>0739/2026</t>
        </is>
      </c>
      <c r="K68" s="114" t="inlineStr">
        <is>
          <t>2026.061212-5/12</t>
        </is>
      </c>
      <c r="L68" s="112" t="n">
        <v>46202</v>
      </c>
      <c r="M68" s="112" t="n">
        <v>46271</v>
      </c>
      <c r="N68" s="112" t="n">
        <v>46287</v>
      </c>
      <c r="O68" s="115">
        <f>IF(OR(D68="",F68=""),"",D68+F68)</f>
        <v>46271.0</v>
      </c>
      <c r="P68" s="116">
        <f>IF(O68="","",IF(ISNUMBER(M68),O68-M68,IF(OR(H68="DECISÃO D.P",ISNUMBER(N68)),"",O68-TODAY())))</f>
        <v>0</v>
      </c>
      <c r="Q68" s="117" t="str">
        <f>IF(B68="","",IF(ISNUMBER(N68),"DECIDIDO – ","")&amp;IF(ISNUMBER(M68),IF(P68="",IF(F68="","INFORMAR PRAZO","SEM DATA"),IF(P68&gt;=0,"DEFESA NO PRAZO","DEFESA FORA DO PRAZO")),IF(OR(H68="DECISÃO D.P",ISNUMBER(N68)),"SEM DEFESA",IF(H68="","SEM STATUS",IF(F68="","INFORMAR PRAZO",IF(P68="","SEM DATA",IF(P68&lt;0,"VENCIDO",IF(P68&lt;=DiasAlerta,"VENCE EM BREVE","NO PRAZO"))))))))</f>
        <v>DECIDIDO – DEFESA NO PRAZO</v>
      </c>
      <c r="R68" s="118">
        <f>IF(D68="","",TODAY()-D68)</f>
        <v>43</v>
      </c>
      <c r="S68" s="111" t="n"/>
    </row>
    <row r="69" ht="18" customHeight="1">
      <c r="A69" s="110" t="n">
        <v>65</v>
      </c>
      <c r="B69" s="111" t="inlineStr">
        <is>
          <t>Drogaria Bom Preço</t>
        </is>
      </c>
      <c r="C69" s="111" t="inlineStr">
        <is>
          <t>FARMÁCIA</t>
        </is>
      </c>
      <c r="D69" s="112" t="n">
        <v>46261</v>
      </c>
      <c r="E69" s="111" t="inlineStr">
        <is>
          <t>NOTIFICAÇÃO DE CONSTATAÇÃO</t>
        </is>
      </c>
      <c r="F69" s="110" t="n">
        <v>60</v>
      </c>
      <c r="G69" s="113" t="inlineStr">
        <is>
          <t>PRESENCIAL</t>
        </is>
      </c>
      <c r="H69" s="113" t="inlineStr">
        <is>
          <t>PRAZO D.P</t>
        </is>
      </c>
      <c r="I69" s="111" t="inlineStr">
        <is>
          <t>EDUARDA LIMA</t>
        </is>
      </c>
      <c r="J69" s="114" t="inlineStr">
        <is>
          <t>0125/2026</t>
        </is>
      </c>
      <c r="K69" s="114" t="inlineStr">
        <is>
          <t>2026.097993-8/08</t>
        </is>
      </c>
      <c r="L69" s="112" t="n">
        <v>46252</v>
      </c>
      <c r="M69" s="112" t="n"/>
      <c r="N69" s="112" t="n"/>
      <c r="O69" s="115">
        <f>IF(OR(D69="",F69=""),"",D69+F69)</f>
        <v>46321.0</v>
      </c>
      <c r="P69" s="116">
        <f>IF(O69="","",IF(ISNUMBER(M69),O69-M69,IF(OR(H69="DECISÃO D.P",ISNUMBER(N69)),"",O69-TODAY())))</f>
        <v>17</v>
      </c>
      <c r="Q69" s="117" t="str">
        <f>IF(B69="","",IF(ISNUMBER(N69),"DECIDIDO – ","")&amp;IF(ISNUMBER(M69),IF(P69="",IF(F69="","INFORMAR PRAZO","SEM DATA"),IF(P69&gt;=0,"DEFESA NO PRAZO","DEFESA FORA DO PRAZO")),IF(OR(H69="DECISÃO D.P",ISNUMBER(N69)),"SEM DEFESA",IF(H69="","SEM STATUS",IF(F69="","INFORMAR PRAZO",IF(P69="","SEM DATA",IF(P69&lt;0,"VENCIDO",IF(P69&lt;=DiasAlerta,"VENCE EM BREVE","NO PRAZO"))))))))</f>
        <v>NO PRAZO</v>
      </c>
      <c r="R69" s="118">
        <f>IF(D69="","",TODAY()-D69)</f>
        <v>43</v>
      </c>
      <c r="S69" s="111" t="n"/>
    </row>
    <row r="70" ht="18" customHeight="1">
      <c r="A70" s="110" t="n">
        <v>66</v>
      </c>
      <c r="B70" s="111" t="inlineStr">
        <is>
          <t>Auto Center Vida Plena</t>
        </is>
      </c>
      <c r="C70" s="111" t="inlineStr">
        <is>
          <t>CONCESSIONÁRIA</t>
        </is>
      </c>
      <c r="D70" s="112" t="n">
        <v>46265</v>
      </c>
      <c r="E70" s="111" t="inlineStr">
        <is>
          <t>NOTIFICAÇÃO DE CONSTATAÇÃO</t>
        </is>
      </c>
      <c r="F70" s="110" t="n">
        <v>10</v>
      </c>
      <c r="G70" s="113" t="inlineStr">
        <is>
          <t>ELETRÔNICA</t>
        </is>
      </c>
      <c r="H70" s="113" t="inlineStr">
        <is>
          <t>DECISÃO D.P</t>
        </is>
      </c>
      <c r="I70" s="111" t="inlineStr">
        <is>
          <t>EDUARDA LIMA</t>
        </is>
      </c>
      <c r="J70" s="114" t="inlineStr">
        <is>
          <t>0118/2026</t>
        </is>
      </c>
      <c r="K70" s="114" t="inlineStr">
        <is>
          <t>2026.027682-6/04</t>
        </is>
      </c>
      <c r="L70" s="112" t="n">
        <v>46238</v>
      </c>
      <c r="M70" s="112" t="n"/>
      <c r="N70" s="112" t="n"/>
      <c r="O70" s="115">
        <f>IF(OR(D70="",F70=""),"",D70+F70)</f>
        <v>46275.0</v>
      </c>
      <c r="P70" s="116" t="str">
        <f>IF(O70="","",IF(ISNUMBER(M70),O70-M70,IF(OR(H70="DECISÃO D.P",ISNUMBER(N70)),"",O70-TODAY())))</f>
        <v/>
      </c>
      <c r="Q70" s="117" t="str">
        <f>IF(B70="","",IF(ISNUMBER(N70),"DECIDIDO – ","")&amp;IF(ISNUMBER(M70),IF(P70="",IF(F70="","INFORMAR PRAZO","SEM DATA"),IF(P70&gt;=0,"DEFESA NO PRAZO","DEFESA FORA DO PRAZO")),IF(OR(H70="DECISÃO D.P",ISNUMBER(N70)),"SEM DEFESA",IF(H70="","SEM STATUS",IF(F70="","INFORMAR PRAZO",IF(P70="","SEM DATA",IF(P70&lt;0,"VENCIDO",IF(P70&lt;=DiasAlerta,"VENCE EM BREVE","NO PRAZO"))))))))</f>
        <v>SEM DEFESA</v>
      </c>
      <c r="R70" s="118">
        <f>IF(D70="","",TODAY()-D70)</f>
        <v>39</v>
      </c>
      <c r="S70" s="111" t="n"/>
    </row>
    <row r="71" ht="18" customHeight="1">
      <c r="A71" s="110" t="n">
        <v>67</v>
      </c>
      <c r="B71" s="111" t="inlineStr">
        <is>
          <t>Conecta Real</t>
        </is>
      </c>
      <c r="C71" s="111" t="inlineStr">
        <is>
          <t>TELEFONIA</t>
        </is>
      </c>
      <c r="D71" s="112" t="n">
        <v>46267</v>
      </c>
      <c r="E71" s="111" t="inlineStr">
        <is>
          <t>NOTIFICAÇÃO DE CONSTATAÇÃO</t>
        </is>
      </c>
      <c r="F71" s="110" t="n">
        <v>30</v>
      </c>
      <c r="G71" s="113" t="inlineStr">
        <is>
          <t>ELETRÔNICA</t>
        </is>
      </c>
      <c r="H71" s="113" t="inlineStr">
        <is>
          <t>DECISÃO D.P</t>
        </is>
      </c>
      <c r="I71" s="111" t="inlineStr">
        <is>
          <t>CARLA MENDES</t>
        </is>
      </c>
      <c r="J71" s="114" t="inlineStr">
        <is>
          <t>0852/2026</t>
        </is>
      </c>
      <c r="K71" s="114" t="inlineStr">
        <is>
          <t>2026.051020-3/03</t>
        </is>
      </c>
      <c r="L71" s="112" t="n">
        <v>46187</v>
      </c>
      <c r="M71" s="112" t="n">
        <v>46304</v>
      </c>
      <c r="N71" s="112" t="n">
        <v>46304</v>
      </c>
      <c r="O71" s="115">
        <f>IF(OR(D71="",F71=""),"",D71+F71)</f>
        <v>46297.0</v>
      </c>
      <c r="P71" s="116">
        <f>IF(O71="","",IF(ISNUMBER(M71),O71-M71,IF(OR(H71="DECISÃO D.P",ISNUMBER(N71)),"",O71-TODAY())))</f>
        <v>-7</v>
      </c>
      <c r="Q71" s="117" t="str">
        <f>IF(B71="","",IF(ISNUMBER(N71),"DECIDIDO – ","")&amp;IF(ISNUMBER(M71),IF(P71="",IF(F71="","INFORMAR PRAZO","SEM DATA"),IF(P71&gt;=0,"DEFESA NO PRAZO","DEFESA FORA DO PRAZO")),IF(OR(H71="DECISÃO D.P",ISNUMBER(N71)),"SEM DEFESA",IF(H71="","SEM STATUS",IF(F71="","INFORMAR PRAZO",IF(P71="","SEM DATA",IF(P71&lt;0,"VENCIDO",IF(P71&lt;=DiasAlerta,"VENCE EM BREVE","NO PRAZO"))))))))</f>
        <v>DECIDIDO – DEFESA FORA DO PRAZO</v>
      </c>
      <c r="R71" s="118">
        <f>IF(D71="","",TODAY()-D71)</f>
        <v>37</v>
      </c>
      <c r="S71" s="111" t="n"/>
    </row>
    <row r="72" ht="18" customHeight="1">
      <c r="A72" s="110" t="n">
        <v>68</v>
      </c>
      <c r="B72" s="111" t="inlineStr">
        <is>
          <t>Loja Planalto</t>
        </is>
      </c>
      <c r="C72" s="111" t="inlineStr">
        <is>
          <t>LOJA</t>
        </is>
      </c>
      <c r="D72" s="112" t="n">
        <v>46267</v>
      </c>
      <c r="E72" s="111" t="inlineStr">
        <is>
          <t>NOTIFICAÇÃO DE ESCLARECIMENTO</t>
        </is>
      </c>
      <c r="F72" s="110" t="n">
        <v>10</v>
      </c>
      <c r="G72" s="113" t="inlineStr">
        <is>
          <t>PRESENCIAL</t>
        </is>
      </c>
      <c r="H72" s="113" t="inlineStr">
        <is>
          <t>DECISÃO D.P</t>
        </is>
      </c>
      <c r="I72" s="111" t="inlineStr">
        <is>
          <t>CARLA MENDES</t>
        </is>
      </c>
      <c r="J72" s="114" t="inlineStr">
        <is>
          <t>0034/2026</t>
        </is>
      </c>
      <c r="K72" s="114" t="inlineStr">
        <is>
          <t>2026.005743-4/09</t>
        </is>
      </c>
      <c r="L72" s="112" t="n">
        <v>46237</v>
      </c>
      <c r="M72" s="112" t="n"/>
      <c r="N72" s="112" t="n">
        <v>46301</v>
      </c>
      <c r="O72" s="115">
        <f>IF(OR(D72="",F72=""),"",D72+F72)</f>
        <v>46277.0</v>
      </c>
      <c r="P72" s="116" t="str">
        <f>IF(O72="","",IF(ISNUMBER(M72),O72-M72,IF(OR(H72="DECISÃO D.P",ISNUMBER(N72)),"",O72-TODAY())))</f>
        <v/>
      </c>
      <c r="Q72" s="117" t="str">
        <f>IF(B72="","",IF(ISNUMBER(N72),"DECIDIDO – ","")&amp;IF(ISNUMBER(M72),IF(P72="",IF(F72="","INFORMAR PRAZO","SEM DATA"),IF(P72&gt;=0,"DEFESA NO PRAZO","DEFESA FORA DO PRAZO")),IF(OR(H72="DECISÃO D.P",ISNUMBER(N72)),"SEM DEFESA",IF(H72="","SEM STATUS",IF(F72="","INFORMAR PRAZO",IF(P72="","SEM DATA",IF(P72&lt;0,"VENCIDO",IF(P72&lt;=DiasAlerta,"VENCE EM BREVE","NO PRAZO"))))))))</f>
        <v>DECIDIDO – SEM DEFESA</v>
      </c>
      <c r="R72" s="118">
        <f>IF(D72="","",TODAY()-D72)</f>
        <v>37</v>
      </c>
      <c r="S72" s="111" t="n"/>
    </row>
    <row r="73" ht="18" customHeight="1">
      <c r="A73" s="110" t="n">
        <v>69</v>
      </c>
      <c r="B73" s="111" t="inlineStr">
        <is>
          <t>Posto Bela Vista</t>
        </is>
      </c>
      <c r="C73" s="111" t="inlineStr">
        <is>
          <t>POSTO DE COMBUSTÍVEL</t>
        </is>
      </c>
      <c r="D73" s="112" t="n">
        <v>46268</v>
      </c>
      <c r="E73" s="111" t="inlineStr">
        <is>
          <t>NOTIFICAÇÃO DE CONSTATAÇÃO</t>
        </is>
      </c>
      <c r="F73" s="110" t="n">
        <v>45</v>
      </c>
      <c r="G73" s="113" t="inlineStr">
        <is>
          <t>PRESENCIAL</t>
        </is>
      </c>
      <c r="H73" s="113" t="inlineStr">
        <is>
          <t>PRAZO D.P</t>
        </is>
      </c>
      <c r="I73" s="111" t="inlineStr">
        <is>
          <t>ANA PAULA SOUZA</t>
        </is>
      </c>
      <c r="J73" s="114" t="inlineStr">
        <is>
          <t>0591/2026</t>
        </is>
      </c>
      <c r="K73" s="114" t="inlineStr">
        <is>
          <t>2026.013152-4/09</t>
        </is>
      </c>
      <c r="L73" s="112" t="n">
        <v>46178</v>
      </c>
      <c r="M73" s="112" t="n">
        <v>46290</v>
      </c>
      <c r="N73" s="112" t="n"/>
      <c r="O73" s="115">
        <f>IF(OR(D73="",F73=""),"",D73+F73)</f>
        <v>46313.0</v>
      </c>
      <c r="P73" s="116">
        <f>IF(O73="","",IF(ISNUMBER(M73),O73-M73,IF(OR(H73="DECISÃO D.P",ISNUMBER(N73)),"",O73-TODAY())))</f>
        <v>23</v>
      </c>
      <c r="Q73" s="117" t="str">
        <f>IF(B73="","",IF(ISNUMBER(N73),"DECIDIDO – ","")&amp;IF(ISNUMBER(M73),IF(P73="",IF(F73="","INFORMAR PRAZO","SEM DATA"),IF(P73&gt;=0,"DEFESA NO PRAZO","DEFESA FORA DO PRAZO")),IF(OR(H73="DECISÃO D.P",ISNUMBER(N73)),"SEM DEFESA",IF(H73="","SEM STATUS",IF(F73="","INFORMAR PRAZO",IF(P73="","SEM DATA",IF(P73&lt;0,"VENCIDO",IF(P73&lt;=DiasAlerta,"VENCE EM BREVE","NO PRAZO"))))))))</f>
        <v>DEFESA NO PRAZO</v>
      </c>
      <c r="R73" s="118">
        <f>IF(D73="","",TODAY()-D73)</f>
        <v>36</v>
      </c>
      <c r="S73" s="111" t="n"/>
    </row>
    <row r="74" ht="18" customHeight="1">
      <c r="A74" s="110" t="n">
        <v>70</v>
      </c>
      <c r="B74" s="111" t="inlineStr">
        <is>
          <t>Auto Center Central</t>
        </is>
      </c>
      <c r="C74" s="111" t="inlineStr">
        <is>
          <t>CONCESSIONÁRIA</t>
        </is>
      </c>
      <c r="D74" s="112" t="n">
        <v>46269</v>
      </c>
      <c r="E74" s="111" t="inlineStr">
        <is>
          <t>NOTIFICAÇÃO DE CONSTATAÇÃO</t>
        </is>
      </c>
      <c r="F74" s="110" t="n">
        <v>10</v>
      </c>
      <c r="G74" s="113" t="inlineStr">
        <is>
          <t>PRESENCIAL</t>
        </is>
      </c>
      <c r="H74" s="113" t="inlineStr">
        <is>
          <t>DECISÃO D.P</t>
        </is>
      </c>
      <c r="I74" s="111" t="inlineStr">
        <is>
          <t>DIEGO RIBEIRO</t>
        </is>
      </c>
      <c r="J74" s="114" t="inlineStr">
        <is>
          <t>0560/2026</t>
        </is>
      </c>
      <c r="K74" s="114" t="inlineStr">
        <is>
          <t>2026.040406-3/09</t>
        </is>
      </c>
      <c r="L74" s="112" t="n">
        <v>46261</v>
      </c>
      <c r="M74" s="112" t="n">
        <v>46272</v>
      </c>
      <c r="N74" s="112" t="n">
        <v>46297</v>
      </c>
      <c r="O74" s="115">
        <f>IF(OR(D74="",F74=""),"",D74+F74)</f>
        <v>46279.0</v>
      </c>
      <c r="P74" s="116">
        <f>IF(O74="","",IF(ISNUMBER(M74),O74-M74,IF(OR(H74="DECISÃO D.P",ISNUMBER(N74)),"",O74-TODAY())))</f>
        <v>7</v>
      </c>
      <c r="Q74" s="117" t="str">
        <f>IF(B74="","",IF(ISNUMBER(N74),"DECIDIDO – ","")&amp;IF(ISNUMBER(M74),IF(P74="",IF(F74="","INFORMAR PRAZO","SEM DATA"),IF(P74&gt;=0,"DEFESA NO PRAZO","DEFESA FORA DO PRAZO")),IF(OR(H74="DECISÃO D.P",ISNUMBER(N74)),"SEM DEFESA",IF(H74="","SEM STATUS",IF(F74="","INFORMAR PRAZO",IF(P74="","SEM DATA",IF(P74&lt;0,"VENCIDO",IF(P74&lt;=DiasAlerta,"VENCE EM BREVE","NO PRAZO"))))))))</f>
        <v>DECIDIDO – DEFESA NO PRAZO</v>
      </c>
      <c r="R74" s="118">
        <f>IF(D74="","",TODAY()-D74)</f>
        <v>35</v>
      </c>
      <c r="S74" s="111" t="n"/>
    </row>
    <row r="75" ht="18" customHeight="1">
      <c r="A75" s="110" t="n">
        <v>71</v>
      </c>
      <c r="B75" s="111" t="inlineStr">
        <is>
          <t>Mercado Jardim</t>
        </is>
      </c>
      <c r="C75" s="111" t="inlineStr">
        <is>
          <t>SUPERMERCADO</t>
        </is>
      </c>
      <c r="D75" s="112" t="n">
        <v>46273</v>
      </c>
      <c r="E75" s="111" t="inlineStr">
        <is>
          <t>NOTIFICAÇÃO DE CONSTATAÇÃO</t>
        </is>
      </c>
      <c r="F75" s="110" t="n">
        <v>15</v>
      </c>
      <c r="G75" s="113" t="inlineStr">
        <is>
          <t>PRESENCIAL</t>
        </is>
      </c>
      <c r="H75" s="113" t="inlineStr">
        <is>
          <t>PRAZO D.P</t>
        </is>
      </c>
      <c r="I75" s="111" t="inlineStr">
        <is>
          <t>ANA PAULA SOUZA</t>
        </is>
      </c>
      <c r="J75" s="114" t="inlineStr">
        <is>
          <t>0408/2026</t>
        </is>
      </c>
      <c r="K75" s="114" t="inlineStr">
        <is>
          <t>2026.060947-9/06</t>
        </is>
      </c>
      <c r="L75" s="112" t="n">
        <v>46253</v>
      </c>
      <c r="M75" s="112" t="n"/>
      <c r="N75" s="112" t="n"/>
      <c r="O75" s="115">
        <f>IF(OR(D75="",F75=""),"",D75+F75)</f>
        <v>46288.0</v>
      </c>
      <c r="P75" s="116">
        <f>IF(O75="","",IF(ISNUMBER(M75),O75-M75,IF(OR(H75="DECISÃO D.P",ISNUMBER(N75)),"",O75-TODAY())))</f>
        <v>-16</v>
      </c>
      <c r="Q75" s="117" t="str">
        <f>IF(B75="","",IF(ISNUMBER(N75),"DECIDIDO – ","")&amp;IF(ISNUMBER(M75),IF(P75="",IF(F75="","INFORMAR PRAZO","SEM DATA"),IF(P75&gt;=0,"DEFESA NO PRAZO","DEFESA FORA DO PRAZO")),IF(OR(H75="DECISÃO D.P",ISNUMBER(N75)),"SEM DEFESA",IF(H75="","SEM STATUS",IF(F75="","INFORMAR PRAZO",IF(P75="","SEM DATA",IF(P75&lt;0,"VENCIDO",IF(P75&lt;=DiasAlerta,"VENCE EM BREVE","NO PRAZO"))))))))</f>
        <v>VENCIDO</v>
      </c>
      <c r="R75" s="118">
        <f>IF(D75="","",TODAY()-D75)</f>
        <v>31</v>
      </c>
      <c r="S75" s="111" t="n"/>
    </row>
    <row r="76" ht="18" customHeight="1">
      <c r="A76" s="110" t="n">
        <v>72</v>
      </c>
      <c r="B76" s="111" t="inlineStr">
        <is>
          <t>Restaurante Vida Plena</t>
        </is>
      </c>
      <c r="C76" s="111" t="inlineStr">
        <is>
          <t>RESTAURANTE</t>
        </is>
      </c>
      <c r="D76" s="112" t="n">
        <v>46274</v>
      </c>
      <c r="E76" s="111" t="inlineStr">
        <is>
          <t>NOTIFICAÇÃO DE CONSTATAÇÃO</t>
        </is>
      </c>
      <c r="F76" s="110" t="n">
        <v>5</v>
      </c>
      <c r="G76" s="113" t="inlineStr">
        <is>
          <t>ELETRÔNICA</t>
        </is>
      </c>
      <c r="H76" s="113" t="inlineStr">
        <is>
          <t>PRAZO D.P</t>
        </is>
      </c>
      <c r="I76" s="111" t="inlineStr">
        <is>
          <t>FELIPE ARAÚJO</t>
        </is>
      </c>
      <c r="J76" s="114" t="inlineStr">
        <is>
          <t>0434/2026</t>
        </is>
      </c>
      <c r="K76" s="114" t="inlineStr">
        <is>
          <t>2026.012949-0/11</t>
        </is>
      </c>
      <c r="L76" s="112" t="n">
        <v>46253</v>
      </c>
      <c r="M76" s="112" t="n"/>
      <c r="N76" s="112" t="n"/>
      <c r="O76" s="115">
        <f>IF(OR(D76="",F76=""),"",D76+F76)</f>
        <v>46279.0</v>
      </c>
      <c r="P76" s="116">
        <f>IF(O76="","",IF(ISNUMBER(M76),O76-M76,IF(OR(H76="DECISÃO D.P",ISNUMBER(N76)),"",O76-TODAY())))</f>
        <v>-25</v>
      </c>
      <c r="Q76" s="117" t="str">
        <f>IF(B76="","",IF(ISNUMBER(N76),"DECIDIDO – ","")&amp;IF(ISNUMBER(M76),IF(P76="",IF(F76="","INFORMAR PRAZO","SEM DATA"),IF(P76&gt;=0,"DEFESA NO PRAZO","DEFESA FORA DO PRAZO")),IF(OR(H76="DECISÃO D.P",ISNUMBER(N76)),"SEM DEFESA",IF(H76="","SEM STATUS",IF(F76="","INFORMAR PRAZO",IF(P76="","SEM DATA",IF(P76&lt;0,"VENCIDO",IF(P76&lt;=DiasAlerta,"VENCE EM BREVE","NO PRAZO"))))))))</f>
        <v>VENCIDO</v>
      </c>
      <c r="R76" s="118">
        <f>IF(D76="","",TODAY()-D76)</f>
        <v>30</v>
      </c>
      <c r="S76" s="111" t="n"/>
    </row>
    <row r="77" ht="18" customHeight="1">
      <c r="A77" s="110" t="n">
        <v>73</v>
      </c>
      <c r="B77" s="111" t="inlineStr">
        <is>
          <t>Comércio Bela Vista</t>
        </is>
      </c>
      <c r="C77" s="111" t="inlineStr">
        <is>
          <t>OUTROS</t>
        </is>
      </c>
      <c r="D77" s="112" t="n">
        <v>46277</v>
      </c>
      <c r="E77" s="111" t="inlineStr">
        <is>
          <t>NOTIFICAÇÃO DE CONSTATAÇÃO</t>
        </is>
      </c>
      <c r="F77" s="110" t="n">
        <v>20</v>
      </c>
      <c r="G77" s="113" t="inlineStr">
        <is>
          <t>PRESENCIAL</t>
        </is>
      </c>
      <c r="H77" s="113" t="inlineStr">
        <is>
          <t>DECISÃO D.P</t>
        </is>
      </c>
      <c r="I77" s="111" t="inlineStr">
        <is>
          <t>FELIPE ARAÚJO</t>
        </is>
      </c>
      <c r="J77" s="114" t="inlineStr">
        <is>
          <t>0188/2026</t>
        </is>
      </c>
      <c r="K77" s="114" t="inlineStr">
        <is>
          <t>2026.004724-8/11</t>
        </is>
      </c>
      <c r="L77" s="112" t="n">
        <v>46203</v>
      </c>
      <c r="M77" s="112" t="n">
        <v>46286</v>
      </c>
      <c r="N77" s="112" t="n">
        <v>46295</v>
      </c>
      <c r="O77" s="115">
        <f>IF(OR(D77="",F77=""),"",D77+F77)</f>
        <v>46297.0</v>
      </c>
      <c r="P77" s="116">
        <f>IF(O77="","",IF(ISNUMBER(M77),O77-M77,IF(OR(H77="DECISÃO D.P",ISNUMBER(N77)),"",O77-TODAY())))</f>
        <v>11</v>
      </c>
      <c r="Q77" s="117" t="str">
        <f>IF(B77="","",IF(ISNUMBER(N77),"DECIDIDO – ","")&amp;IF(ISNUMBER(M77),IF(P77="",IF(F77="","INFORMAR PRAZO","SEM DATA"),IF(P77&gt;=0,"DEFESA NO PRAZO","DEFESA FORA DO PRAZO")),IF(OR(H77="DECISÃO D.P",ISNUMBER(N77)),"SEM DEFESA",IF(H77="","SEM STATUS",IF(F77="","INFORMAR PRAZO",IF(P77="","SEM DATA",IF(P77&lt;0,"VENCIDO",IF(P77&lt;=DiasAlerta,"VENCE EM BREVE","NO PRAZO"))))))))</f>
        <v>DECIDIDO – DEFESA NO PRAZO</v>
      </c>
      <c r="R77" s="118">
        <f>IF(D77="","",TODAY()-D77)</f>
        <v>27</v>
      </c>
      <c r="S77" s="111" t="n"/>
    </row>
    <row r="78" ht="18" customHeight="1">
      <c r="A78" s="110" t="n">
        <v>74</v>
      </c>
      <c r="B78" s="111" t="inlineStr">
        <is>
          <t>Clínica Vitória ME</t>
        </is>
      </c>
      <c r="C78" s="111" t="inlineStr">
        <is>
          <t>SAÚDE</t>
        </is>
      </c>
      <c r="D78" s="112" t="n">
        <v>46277</v>
      </c>
      <c r="E78" s="111" t="inlineStr">
        <is>
          <t>NOTIFICAÇÃO DE ESCLARECIMENTO</t>
        </is>
      </c>
      <c r="F78" s="110" t="n">
        <v>30</v>
      </c>
      <c r="G78" s="113" t="inlineStr">
        <is>
          <t>PRESENCIAL</t>
        </is>
      </c>
      <c r="H78" s="113" t="inlineStr">
        <is>
          <t>PRAZO D.P</t>
        </is>
      </c>
      <c r="I78" s="111" t="inlineStr">
        <is>
          <t>CARLA MENDES</t>
        </is>
      </c>
      <c r="J78" s="114" t="inlineStr">
        <is>
          <t>0632/2026</t>
        </is>
      </c>
      <c r="K78" s="114" t="inlineStr">
        <is>
          <t>2026.085875-1/06</t>
        </is>
      </c>
      <c r="L78" s="112" t="n">
        <v>46234</v>
      </c>
      <c r="M78" s="112" t="n"/>
      <c r="N78" s="112" t="n"/>
      <c r="O78" s="115">
        <f>IF(OR(D78="",F78=""),"",D78+F78)</f>
        <v>46307.0</v>
      </c>
      <c r="P78" s="116">
        <f>IF(O78="","",IF(ISNUMBER(M78),O78-M78,IF(OR(H78="DECISÃO D.P",ISNUMBER(N78)),"",O78-TODAY())))</f>
        <v>3</v>
      </c>
      <c r="Q78" s="117" t="str">
        <f>IF(B78="","",IF(ISNUMBER(N78),"DECIDIDO – ","")&amp;IF(ISNUMBER(M78),IF(P78="",IF(F78="","INFORMAR PRAZO","SEM DATA"),IF(P78&gt;=0,"DEFESA NO PRAZO","DEFESA FORA DO PRAZO")),IF(OR(H78="DECISÃO D.P",ISNUMBER(N78)),"SEM DEFESA",IF(H78="","SEM STATUS",IF(F78="","INFORMAR PRAZO",IF(P78="","SEM DATA",IF(P78&lt;0,"VENCIDO",IF(P78&lt;=DiasAlerta,"VENCE EM BREVE","NO PRAZO"))))))))</f>
        <v>VENCE EM BREVE</v>
      </c>
      <c r="R78" s="118">
        <f>IF(D78="","",TODAY()-D78)</f>
        <v>27</v>
      </c>
      <c r="S78" s="111" t="n"/>
    </row>
    <row r="79" ht="18" customHeight="1">
      <c r="A79" s="110" t="n">
        <v>75</v>
      </c>
      <c r="B79" s="111" t="inlineStr">
        <is>
          <t>Supermercado Central 24h</t>
        </is>
      </c>
      <c r="C79" s="111" t="inlineStr">
        <is>
          <t>SUPERMERCADO</t>
        </is>
      </c>
      <c r="D79" s="112" t="n">
        <v>46282</v>
      </c>
      <c r="E79" s="111" t="inlineStr">
        <is>
          <t>NOTIFICAÇÃO DE ESCLARECIMENTO</t>
        </is>
      </c>
      <c r="F79" s="110" t="n">
        <v>15</v>
      </c>
      <c r="G79" s="113" t="inlineStr">
        <is>
          <t>ELETRÔNICA</t>
        </is>
      </c>
      <c r="H79" s="113" t="inlineStr">
        <is>
          <t>DECISÃO D.P</t>
        </is>
      </c>
      <c r="I79" s="111" t="inlineStr">
        <is>
          <t>HENRIQUE COSTA</t>
        </is>
      </c>
      <c r="J79" s="114" t="inlineStr">
        <is>
          <t>0086/2026</t>
        </is>
      </c>
      <c r="K79" s="114" t="inlineStr">
        <is>
          <t>2026.003754-4/04</t>
        </is>
      </c>
      <c r="L79" s="112" t="n">
        <v>46202</v>
      </c>
      <c r="M79" s="112" t="n">
        <v>46290</v>
      </c>
      <c r="N79" s="112" t="n"/>
      <c r="O79" s="115">
        <f>IF(OR(D79="",F79=""),"",D79+F79)</f>
        <v>46297.0</v>
      </c>
      <c r="P79" s="116">
        <f>IF(O79="","",IF(ISNUMBER(M79),O79-M79,IF(OR(H79="DECISÃO D.P",ISNUMBER(N79)),"",O79-TODAY())))</f>
        <v>7</v>
      </c>
      <c r="Q79" s="117" t="str">
        <f>IF(B79="","",IF(ISNUMBER(N79),"DECIDIDO – ","")&amp;IF(ISNUMBER(M79),IF(P79="",IF(F79="","INFORMAR PRAZO","SEM DATA"),IF(P79&gt;=0,"DEFESA NO PRAZO","DEFESA FORA DO PRAZO")),IF(OR(H79="DECISÃO D.P",ISNUMBER(N79)),"SEM DEFESA",IF(H79="","SEM STATUS",IF(F79="","INFORMAR PRAZO",IF(P79="","SEM DATA",IF(P79&lt;0,"VENCIDO",IF(P79&lt;=DiasAlerta,"VENCE EM BREVE","NO PRAZO"))))))))</f>
        <v>DEFESA NO PRAZO</v>
      </c>
      <c r="R79" s="118">
        <f>IF(D79="","",TODAY()-D79)</f>
        <v>22</v>
      </c>
      <c r="S79" s="111" t="n"/>
    </row>
    <row r="80" ht="18" customHeight="1">
      <c r="A80" s="110" t="n">
        <v>76</v>
      </c>
      <c r="B80" s="111" t="inlineStr">
        <is>
          <t>Hospital Vitória</t>
        </is>
      </c>
      <c r="C80" s="111" t="inlineStr">
        <is>
          <t>SAÚDE</t>
        </is>
      </c>
      <c r="D80" s="112" t="n">
        <v>46284</v>
      </c>
      <c r="E80" s="111" t="inlineStr">
        <is>
          <t>NOTIFICAÇÃO DE ESCLARECIMENTO</t>
        </is>
      </c>
      <c r="F80" s="110" t="n">
        <v>5</v>
      </c>
      <c r="G80" s="113" t="inlineStr">
        <is>
          <t>ELETRÔNICA</t>
        </is>
      </c>
      <c r="H80" s="113" t="inlineStr">
        <is>
          <t>DECISÃO D.P</t>
        </is>
      </c>
      <c r="I80" s="111" t="inlineStr">
        <is>
          <t>EDUARDA LIMA</t>
        </is>
      </c>
      <c r="J80" s="114" t="inlineStr">
        <is>
          <t>0659/2026</t>
        </is>
      </c>
      <c r="K80" s="114" t="inlineStr">
        <is>
          <t>2026.006179-7/03</t>
        </is>
      </c>
      <c r="L80" s="112" t="n">
        <v>46203</v>
      </c>
      <c r="M80" s="112" t="n"/>
      <c r="N80" s="112" t="n">
        <v>46294</v>
      </c>
      <c r="O80" s="115">
        <f>IF(OR(D80="",F80=""),"",D80+F80)</f>
        <v>46289.0</v>
      </c>
      <c r="P80" s="116" t="str">
        <f>IF(O80="","",IF(ISNUMBER(M80),O80-M80,IF(OR(H80="DECISÃO D.P",ISNUMBER(N80)),"",O80-TODAY())))</f>
        <v/>
      </c>
      <c r="Q80" s="117" t="str">
        <f>IF(B80="","",IF(ISNUMBER(N80),"DECIDIDO – ","")&amp;IF(ISNUMBER(M80),IF(P80="",IF(F80="","INFORMAR PRAZO","SEM DATA"),IF(P80&gt;=0,"DEFESA NO PRAZO","DEFESA FORA DO PRAZO")),IF(OR(H80="DECISÃO D.P",ISNUMBER(N80)),"SEM DEFESA",IF(H80="","SEM STATUS",IF(F80="","INFORMAR PRAZO",IF(P80="","SEM DATA",IF(P80&lt;0,"VENCIDO",IF(P80&lt;=DiasAlerta,"VENCE EM BREVE","NO PRAZO"))))))))</f>
        <v>DECIDIDO – SEM DEFESA</v>
      </c>
      <c r="R80" s="118">
        <f>IF(D80="","",TODAY()-D80)</f>
        <v>20</v>
      </c>
      <c r="S80" s="111" t="n"/>
    </row>
    <row r="81" ht="18" customHeight="1">
      <c r="A81" s="110" t="n">
        <v>77</v>
      </c>
      <c r="B81" s="111" t="inlineStr">
        <is>
          <t>Farmácia Bom Preço 24h</t>
        </is>
      </c>
      <c r="C81" s="111" t="inlineStr">
        <is>
          <t>FARMÁCIA</t>
        </is>
      </c>
      <c r="D81" s="112" t="n">
        <v>46289</v>
      </c>
      <c r="E81" s="111" t="inlineStr">
        <is>
          <t>NOTIFICAÇÃO DE CONSTATAÇÃO</t>
        </is>
      </c>
      <c r="F81" s="110" t="n">
        <v>10</v>
      </c>
      <c r="G81" s="113" t="inlineStr">
        <is>
          <t>PRESENCIAL</t>
        </is>
      </c>
      <c r="H81" s="113" t="inlineStr">
        <is>
          <t>DECISÃO D.P</t>
        </is>
      </c>
      <c r="I81" s="111" t="inlineStr">
        <is>
          <t>CARLA MENDES</t>
        </is>
      </c>
      <c r="J81" s="114" t="inlineStr">
        <is>
          <t>0679/2026</t>
        </is>
      </c>
      <c r="K81" s="114" t="inlineStr">
        <is>
          <t>2026.046030-5/06</t>
        </is>
      </c>
      <c r="L81" s="112" t="n">
        <v>46241</v>
      </c>
      <c r="M81" s="112" t="n">
        <v>46298</v>
      </c>
      <c r="N81" s="112" t="n">
        <v>46304</v>
      </c>
      <c r="O81" s="115">
        <f>IF(OR(D81="",F81=""),"",D81+F81)</f>
        <v>46299.0</v>
      </c>
      <c r="P81" s="116">
        <f>IF(O81="","",IF(ISNUMBER(M81),O81-M81,IF(OR(H81="DECISÃO D.P",ISNUMBER(N81)),"",O81-TODAY())))</f>
        <v>1</v>
      </c>
      <c r="Q81" s="117" t="str">
        <f>IF(B81="","",IF(ISNUMBER(N81),"DECIDIDO – ","")&amp;IF(ISNUMBER(M81),IF(P81="",IF(F81="","INFORMAR PRAZO","SEM DATA"),IF(P81&gt;=0,"DEFESA NO PRAZO","DEFESA FORA DO PRAZO")),IF(OR(H81="DECISÃO D.P",ISNUMBER(N81)),"SEM DEFESA",IF(H81="","SEM STATUS",IF(F81="","INFORMAR PRAZO",IF(P81="","SEM DATA",IF(P81&lt;0,"VENCIDO",IF(P81&lt;=DiasAlerta,"VENCE EM BREVE","NO PRAZO"))))))))</f>
        <v>DECIDIDO – DEFESA NO PRAZO</v>
      </c>
      <c r="R81" s="118">
        <f>IF(D81="","",TODAY()-D81)</f>
        <v>15</v>
      </c>
      <c r="S81" s="111" t="n"/>
    </row>
    <row r="82" ht="18" customHeight="1">
      <c r="A82" s="110" t="n">
        <v>78</v>
      </c>
      <c r="B82" s="111" t="inlineStr">
        <is>
          <t>Studio Fitness Central</t>
        </is>
      </c>
      <c r="C82" s="111" t="inlineStr">
        <is>
          <t>ACADEMIA</t>
        </is>
      </c>
      <c r="D82" s="112" t="n">
        <v>46290</v>
      </c>
      <c r="E82" s="111" t="inlineStr">
        <is>
          <t>NOTIFICAÇÃO DE CONSTATAÇÃO</t>
        </is>
      </c>
      <c r="F82" s="110" t="n">
        <v>15</v>
      </c>
      <c r="G82" s="113" t="inlineStr">
        <is>
          <t>PRESENCIAL</t>
        </is>
      </c>
      <c r="H82" s="113" t="inlineStr">
        <is>
          <t>PRAZO D.P</t>
        </is>
      </c>
      <c r="I82" s="111" t="inlineStr">
        <is>
          <t>FELIPE ARAÚJO</t>
        </is>
      </c>
      <c r="J82" s="114" t="inlineStr">
        <is>
          <t>0264/2026</t>
        </is>
      </c>
      <c r="K82" s="114" t="inlineStr">
        <is>
          <t>2026.004681-2/09</t>
        </is>
      </c>
      <c r="L82" s="112" t="n">
        <v>46243</v>
      </c>
      <c r="M82" s="112" t="n">
        <v>46304</v>
      </c>
      <c r="N82" s="112" t="n"/>
      <c r="O82" s="115">
        <f>IF(OR(D82="",F82=""),"",D82+F82)</f>
        <v>46305.0</v>
      </c>
      <c r="P82" s="116">
        <f>IF(O82="","",IF(ISNUMBER(M82),O82-M82,IF(OR(H82="DECISÃO D.P",ISNUMBER(N82)),"",O82-TODAY())))</f>
        <v>1</v>
      </c>
      <c r="Q82" s="117" t="str">
        <f>IF(B82="","",IF(ISNUMBER(N82),"DECIDIDO – ","")&amp;IF(ISNUMBER(M82),IF(P82="",IF(F82="","INFORMAR PRAZO","SEM DATA"),IF(P82&gt;=0,"DEFESA NO PRAZO","DEFESA FORA DO PRAZO")),IF(OR(H82="DECISÃO D.P",ISNUMBER(N82)),"SEM DEFESA",IF(H82="","SEM STATUS",IF(F82="","INFORMAR PRAZO",IF(P82="","SEM DATA",IF(P82&lt;0,"VENCIDO",IF(P82&lt;=DiasAlerta,"VENCE EM BREVE","NO PRAZO"))))))))</f>
        <v>DEFESA NO PRAZO</v>
      </c>
      <c r="R82" s="118">
        <f>IF(D82="","",TODAY()-D82)</f>
        <v>14</v>
      </c>
      <c r="S82" s="111" t="n"/>
    </row>
    <row r="83" ht="18" customHeight="1">
      <c r="A83" s="110" t="n">
        <v>79</v>
      </c>
      <c r="B83" s="111" t="inlineStr">
        <is>
          <t>Drogaria Planalto Filial 2</t>
        </is>
      </c>
      <c r="C83" s="111" t="inlineStr">
        <is>
          <t>FARMÁCIA</t>
        </is>
      </c>
      <c r="D83" s="112" t="n">
        <v>46290</v>
      </c>
      <c r="E83" s="111" t="inlineStr">
        <is>
          <t>NOTIFICAÇÃO DE ESCLARECIMENTO</t>
        </is>
      </c>
      <c r="F83" s="110" t="n">
        <v>10</v>
      </c>
      <c r="G83" s="113" t="inlineStr">
        <is>
          <t>PRESENCIAL</t>
        </is>
      </c>
      <c r="H83" s="113" t="inlineStr">
        <is>
          <t>PRAZO D.P</t>
        </is>
      </c>
      <c r="I83" s="111" t="inlineStr">
        <is>
          <t>DIEGO RIBEIRO</t>
        </is>
      </c>
      <c r="J83" s="114" t="inlineStr">
        <is>
          <t>0456/2026</t>
        </is>
      </c>
      <c r="K83" s="114" t="inlineStr">
        <is>
          <t>2026.084409-7/11</t>
        </is>
      </c>
      <c r="L83" s="112" t="n">
        <v>46237</v>
      </c>
      <c r="M83" s="112" t="n">
        <v>46295</v>
      </c>
      <c r="N83" s="112" t="n"/>
      <c r="O83" s="115">
        <f>IF(OR(D83="",F83=""),"",D83+F83)</f>
        <v>46300.0</v>
      </c>
      <c r="P83" s="116">
        <f>IF(O83="","",IF(ISNUMBER(M83),O83-M83,IF(OR(H83="DECISÃO D.P",ISNUMBER(N83)),"",O83-TODAY())))</f>
        <v>5</v>
      </c>
      <c r="Q83" s="117" t="str">
        <f>IF(B83="","",IF(ISNUMBER(N83),"DECIDIDO – ","")&amp;IF(ISNUMBER(M83),IF(P83="",IF(F83="","INFORMAR PRAZO","SEM DATA"),IF(P83&gt;=0,"DEFESA NO PRAZO","DEFESA FORA DO PRAZO")),IF(OR(H83="DECISÃO D.P",ISNUMBER(N83)),"SEM DEFESA",IF(H83="","SEM STATUS",IF(F83="","INFORMAR PRAZO",IF(P83="","SEM DATA",IF(P83&lt;0,"VENCIDO",IF(P83&lt;=DiasAlerta,"VENCE EM BREVE","NO PRAZO"))))))))</f>
        <v>DEFESA NO PRAZO</v>
      </c>
      <c r="R83" s="118">
        <f>IF(D83="","",TODAY()-D83)</f>
        <v>14</v>
      </c>
      <c r="S83" s="111" t="n"/>
    </row>
    <row r="84" ht="18" customHeight="1">
      <c r="A84" s="110" t="n">
        <v>80</v>
      </c>
      <c r="B84" s="111" t="inlineStr">
        <is>
          <t>Conecta Aliança</t>
        </is>
      </c>
      <c r="C84" s="111" t="inlineStr">
        <is>
          <t>TELEFONIA</t>
        </is>
      </c>
      <c r="D84" s="112" t="n">
        <v>46291</v>
      </c>
      <c r="E84" s="111" t="inlineStr">
        <is>
          <t>NOTIFICAÇÃO DE ESCLARECIMENTO</t>
        </is>
      </c>
      <c r="F84" s="110" t="n">
        <v>30</v>
      </c>
      <c r="G84" s="113" t="inlineStr">
        <is>
          <t>PRESENCIAL</t>
        </is>
      </c>
      <c r="H84" s="113" t="inlineStr">
        <is>
          <t>PRAZO D.P</t>
        </is>
      </c>
      <c r="I84" s="111" t="inlineStr">
        <is>
          <t>CARLA MENDES</t>
        </is>
      </c>
      <c r="J84" s="114" t="inlineStr">
        <is>
          <t>0949/2026</t>
        </is>
      </c>
      <c r="K84" s="114" t="inlineStr">
        <is>
          <t>2026.068233-8/13</t>
        </is>
      </c>
      <c r="L84" s="112" t="n">
        <v>46225</v>
      </c>
      <c r="M84" s="112" t="n">
        <v>46295</v>
      </c>
      <c r="N84" s="112" t="n"/>
      <c r="O84" s="115">
        <f>IF(OR(D84="",F84=""),"",D84+F84)</f>
        <v>46321.0</v>
      </c>
      <c r="P84" s="116">
        <f>IF(O84="","",IF(ISNUMBER(M84),O84-M84,IF(OR(H84="DECISÃO D.P",ISNUMBER(N84)),"",O84-TODAY())))</f>
        <v>26</v>
      </c>
      <c r="Q84" s="117" t="str">
        <f>IF(B84="","",IF(ISNUMBER(N84),"DECIDIDO – ","")&amp;IF(ISNUMBER(M84),IF(P84="",IF(F84="","INFORMAR PRAZO","SEM DATA"),IF(P84&gt;=0,"DEFESA NO PRAZO","DEFESA FORA DO PRAZO")),IF(OR(H84="DECISÃO D.P",ISNUMBER(N84)),"SEM DEFESA",IF(H84="","SEM STATUS",IF(F84="","INFORMAR PRAZO",IF(P84="","SEM DATA",IF(P84&lt;0,"VENCIDO",IF(P84&lt;=DiasAlerta,"VENCE EM BREVE","NO PRAZO"))))))))</f>
        <v>DEFESA NO PRAZO</v>
      </c>
      <c r="R84" s="118">
        <f>IF(D84="","",TODAY()-D84)</f>
        <v>13</v>
      </c>
      <c r="S84" s="111" t="n"/>
    </row>
    <row r="85" ht="18" customHeight="1">
      <c r="A85" s="110" t="n">
        <v>81</v>
      </c>
      <c r="B85" s="111" t="inlineStr">
        <is>
          <t>Restaurante Aliança</t>
        </is>
      </c>
      <c r="C85" s="111" t="inlineStr">
        <is>
          <t>RESTAURANTE</t>
        </is>
      </c>
      <c r="D85" s="112" t="n">
        <v>46291</v>
      </c>
      <c r="E85" s="111" t="inlineStr">
        <is>
          <t>NOTIFICAÇÃO DE ESCLARECIMENTO</t>
        </is>
      </c>
      <c r="F85" s="110" t="n">
        <v>10</v>
      </c>
      <c r="G85" s="113" t="inlineStr">
        <is>
          <t>PRESENCIAL</t>
        </is>
      </c>
      <c r="H85" s="113" t="inlineStr">
        <is>
          <t>PRAZO D.P</t>
        </is>
      </c>
      <c r="I85" s="111" t="inlineStr">
        <is>
          <t>GABRIELA NUNES</t>
        </is>
      </c>
      <c r="J85" s="114" t="inlineStr">
        <is>
          <t>0213/2026</t>
        </is>
      </c>
      <c r="K85" s="114" t="inlineStr">
        <is>
          <t>2026.058903-2/06</t>
        </is>
      </c>
      <c r="L85" s="112" t="n">
        <v>46211</v>
      </c>
      <c r="M85" s="112" t="n"/>
      <c r="N85" s="112" t="n"/>
      <c r="O85" s="115">
        <f>IF(OR(D85="",F85=""),"",D85+F85)</f>
        <v>46301.0</v>
      </c>
      <c r="P85" s="116">
        <f>IF(O85="","",IF(ISNUMBER(M85),O85-M85,IF(OR(H85="DECISÃO D.P",ISNUMBER(N85)),"",O85-TODAY())))</f>
        <v>-3</v>
      </c>
      <c r="Q85" s="117" t="str">
        <f>IF(B85="","",IF(ISNUMBER(N85),"DECIDIDO – ","")&amp;IF(ISNUMBER(M85),IF(P85="",IF(F85="","INFORMAR PRAZO","SEM DATA"),IF(P85&gt;=0,"DEFESA NO PRAZO","DEFESA FORA DO PRAZO")),IF(OR(H85="DECISÃO D.P",ISNUMBER(N85)),"SEM DEFESA",IF(H85="","SEM STATUS",IF(F85="","INFORMAR PRAZO",IF(P85="","SEM DATA",IF(P85&lt;0,"VENCIDO",IF(P85&lt;=DiasAlerta,"VENCE EM BREVE","NO PRAZO"))))))))</f>
        <v>VENCIDO</v>
      </c>
      <c r="R85" s="118">
        <f>IF(D85="","",TODAY()-D85)</f>
        <v>13</v>
      </c>
      <c r="S85" s="111" t="n"/>
    </row>
    <row r="86" ht="18" customHeight="1">
      <c r="A86" s="110" t="n">
        <v>82</v>
      </c>
      <c r="B86" s="111" t="inlineStr">
        <is>
          <t>Loja Vida Plena Ltda</t>
        </is>
      </c>
      <c r="C86" s="111" t="inlineStr">
        <is>
          <t>LOJA</t>
        </is>
      </c>
      <c r="D86" s="112" t="n">
        <v>46295</v>
      </c>
      <c r="E86" s="111" t="inlineStr">
        <is>
          <t>NOTIFICAÇÃO DE ESCLARECIMENTO</t>
        </is>
      </c>
      <c r="F86" s="110" t="n">
        <v>15</v>
      </c>
      <c r="G86" s="113" t="inlineStr">
        <is>
          <t>PRESENCIAL</t>
        </is>
      </c>
      <c r="H86" s="113" t="inlineStr">
        <is>
          <t>PRAZO D.P</t>
        </is>
      </c>
      <c r="I86" s="111" t="inlineStr">
        <is>
          <t>HENRIQUE COSTA</t>
        </is>
      </c>
      <c r="J86" s="114" t="inlineStr">
        <is>
          <t>0685/2026</t>
        </is>
      </c>
      <c r="K86" s="114" t="inlineStr">
        <is>
          <t>2026.047825-2/01</t>
        </is>
      </c>
      <c r="L86" s="112" t="n">
        <v>46209</v>
      </c>
      <c r="M86" s="112" t="n"/>
      <c r="N86" s="112" t="n"/>
      <c r="O86" s="115">
        <f>IF(OR(D86="",F86=""),"",D86+F86)</f>
        <v>46310.0</v>
      </c>
      <c r="P86" s="116">
        <f>IF(O86="","",IF(ISNUMBER(M86),O86-M86,IF(OR(H86="DECISÃO D.P",ISNUMBER(N86)),"",O86-TODAY())))</f>
        <v>6</v>
      </c>
      <c r="Q86" s="117" t="str">
        <f>IF(B86="","",IF(ISNUMBER(N86),"DECIDIDO – ","")&amp;IF(ISNUMBER(M86),IF(P86="",IF(F86="","INFORMAR PRAZO","SEM DATA"),IF(P86&gt;=0,"DEFESA NO PRAZO","DEFESA FORA DO PRAZO")),IF(OR(H86="DECISÃO D.P",ISNUMBER(N86)),"SEM DEFESA",IF(H86="","SEM STATUS",IF(F86="","INFORMAR PRAZO",IF(P86="","SEM DATA",IF(P86&lt;0,"VENCIDO",IF(P86&lt;=DiasAlerta,"VENCE EM BREVE","NO PRAZO"))))))))</f>
        <v>NO PRAZO</v>
      </c>
      <c r="R86" s="118">
        <f>IF(D86="","",TODAY()-D86)</f>
        <v>9</v>
      </c>
      <c r="S86" s="111" t="n"/>
    </row>
    <row r="87" ht="18" customHeight="1">
      <c r="A87" s="110" t="n">
        <v>83</v>
      </c>
      <c r="B87" s="111" t="inlineStr">
        <is>
          <t>Churrascaria Central</t>
        </is>
      </c>
      <c r="C87" s="111" t="inlineStr">
        <is>
          <t>RESTAURANTE</t>
        </is>
      </c>
      <c r="D87" s="112" t="n">
        <v>46297</v>
      </c>
      <c r="E87" s="111" t="inlineStr">
        <is>
          <t>NOTIFICAÇÃO DE ESCLARECIMENTO</t>
        </is>
      </c>
      <c r="F87" s="110" t="n">
        <v>30</v>
      </c>
      <c r="G87" s="113" t="inlineStr">
        <is>
          <t>ELETRÔNICA</t>
        </is>
      </c>
      <c r="H87" s="113" t="inlineStr">
        <is>
          <t>PRAZO D.P</t>
        </is>
      </c>
      <c r="I87" s="111" t="inlineStr">
        <is>
          <t>ANA PAULA SOUZA</t>
        </is>
      </c>
      <c r="J87" s="114" t="inlineStr">
        <is>
          <t>0685/2026</t>
        </is>
      </c>
      <c r="K87" s="114" t="inlineStr">
        <is>
          <t>2026.018740-9/05</t>
        </is>
      </c>
      <c r="L87" s="112" t="n">
        <v>46272</v>
      </c>
      <c r="M87" s="112" t="n"/>
      <c r="N87" s="112" t="n"/>
      <c r="O87" s="115">
        <f>IF(OR(D87="",F87=""),"",D87+F87)</f>
        <v>46327.0</v>
      </c>
      <c r="P87" s="116">
        <f>IF(O87="","",IF(ISNUMBER(M87),O87-M87,IF(OR(H87="DECISÃO D.P",ISNUMBER(N87)),"",O87-TODAY())))</f>
        <v>23</v>
      </c>
      <c r="Q87" s="117" t="str">
        <f>IF(B87="","",IF(ISNUMBER(N87),"DECIDIDO – ","")&amp;IF(ISNUMBER(M87),IF(P87="",IF(F87="","INFORMAR PRAZO","SEM DATA"),IF(P87&gt;=0,"DEFESA NO PRAZO","DEFESA FORA DO PRAZO")),IF(OR(H87="DECISÃO D.P",ISNUMBER(N87)),"SEM DEFESA",IF(H87="","SEM STATUS",IF(F87="","INFORMAR PRAZO",IF(P87="","SEM DATA",IF(P87&lt;0,"VENCIDO",IF(P87&lt;=DiasAlerta,"VENCE EM BREVE","NO PRAZO"))))))))</f>
        <v>NO PRAZO</v>
      </c>
      <c r="R87" s="118">
        <f>IF(D87="","",TODAY()-D87)</f>
        <v>7</v>
      </c>
      <c r="S87" s="111" t="n"/>
    </row>
    <row r="88" ht="18" customHeight="1">
      <c r="A88" s="110" t="n">
        <v>84</v>
      </c>
      <c r="B88" s="111" t="inlineStr">
        <is>
          <t>Hospital Bom Preço</t>
        </is>
      </c>
      <c r="C88" s="111" t="inlineStr">
        <is>
          <t>SAÚDE</t>
        </is>
      </c>
      <c r="D88" s="112" t="n">
        <v>46297</v>
      </c>
      <c r="E88" s="111" t="inlineStr">
        <is>
          <t>NOTIFICAÇÃO DE CONSTATAÇÃO</t>
        </is>
      </c>
      <c r="F88" s="110" t="n">
        <v>10</v>
      </c>
      <c r="G88" s="113" t="inlineStr">
        <is>
          <t>ELETRÔNICA</t>
        </is>
      </c>
      <c r="H88" s="113" t="inlineStr">
        <is>
          <t>PRAZO D.P</t>
        </is>
      </c>
      <c r="I88" s="111" t="inlineStr">
        <is>
          <t>CARLA MENDES</t>
        </is>
      </c>
      <c r="J88" s="114" t="inlineStr">
        <is>
          <t>0345/2026</t>
        </is>
      </c>
      <c r="K88" s="114" t="inlineStr">
        <is>
          <t>2026.079409-3/11</t>
        </is>
      </c>
      <c r="L88" s="112" t="n">
        <v>46234</v>
      </c>
      <c r="M88" s="112" t="n"/>
      <c r="N88" s="112" t="n"/>
      <c r="O88" s="115">
        <f>IF(OR(D88="",F88=""),"",D88+F88)</f>
        <v>46307.0</v>
      </c>
      <c r="P88" s="116">
        <f>IF(O88="","",IF(ISNUMBER(M88),O88-M88,IF(OR(H88="DECISÃO D.P",ISNUMBER(N88)),"",O88-TODAY())))</f>
        <v>3</v>
      </c>
      <c r="Q88" s="117" t="str">
        <f>IF(B88="","",IF(ISNUMBER(N88),"DECIDIDO – ","")&amp;IF(ISNUMBER(M88),IF(P88="",IF(F88="","INFORMAR PRAZO","SEM DATA"),IF(P88&gt;=0,"DEFESA NO PRAZO","DEFESA FORA DO PRAZO")),IF(OR(H88="DECISÃO D.P",ISNUMBER(N88)),"SEM DEFESA",IF(H88="","SEM STATUS",IF(F88="","INFORMAR PRAZO",IF(P88="","SEM DATA",IF(P88&lt;0,"VENCIDO",IF(P88&lt;=DiasAlerta,"VENCE EM BREVE","NO PRAZO"))))))))</f>
        <v>VENCE EM BREVE</v>
      </c>
      <c r="R88" s="118">
        <f>IF(D88="","",TODAY()-D88)</f>
        <v>7</v>
      </c>
      <c r="S88" s="111" t="n"/>
    </row>
    <row r="89" ht="18" customHeight="1">
      <c r="A89" s="110" t="n">
        <v>85</v>
      </c>
      <c r="B89" s="111" t="inlineStr">
        <is>
          <t>Restaurante Horizonte</t>
        </is>
      </c>
      <c r="C89" s="111" t="inlineStr">
        <is>
          <t>RESTAURANTE</t>
        </is>
      </c>
      <c r="D89" s="112" t="n">
        <v>46297</v>
      </c>
      <c r="E89" s="111" t="inlineStr">
        <is>
          <t>NOTIFICAÇÃO DE CONSTATAÇÃO</t>
        </is>
      </c>
      <c r="F89" s="110" t="n">
        <v>10</v>
      </c>
      <c r="G89" s="113" t="inlineStr">
        <is>
          <t>ELETRÔNICA</t>
        </is>
      </c>
      <c r="H89" s="113" t="inlineStr">
        <is>
          <t>PRAZO D.P</t>
        </is>
      </c>
      <c r="I89" s="111" t="inlineStr">
        <is>
          <t>ANA PAULA SOUZA</t>
        </is>
      </c>
      <c r="J89" s="114" t="inlineStr">
        <is>
          <t>0681/2026</t>
        </is>
      </c>
      <c r="K89" s="114" t="inlineStr">
        <is>
          <t>2026.099368-2/10</t>
        </is>
      </c>
      <c r="L89" s="112" t="n">
        <v>46232</v>
      </c>
      <c r="M89" s="112" t="n"/>
      <c r="N89" s="112" t="n"/>
      <c r="O89" s="115">
        <f>IF(OR(D89="",F89=""),"",D89+F89)</f>
        <v>46307.0</v>
      </c>
      <c r="P89" s="116">
        <f>IF(O89="","",IF(ISNUMBER(M89),O89-M89,IF(OR(H89="DECISÃO D.P",ISNUMBER(N89)),"",O89-TODAY())))</f>
        <v>3</v>
      </c>
      <c r="Q89" s="117" t="str">
        <f>IF(B89="","",IF(ISNUMBER(N89),"DECIDIDO – ","")&amp;IF(ISNUMBER(M89),IF(P89="",IF(F89="","INFORMAR PRAZO","SEM DATA"),IF(P89&gt;=0,"DEFESA NO PRAZO","DEFESA FORA DO PRAZO")),IF(OR(H89="DECISÃO D.P",ISNUMBER(N89)),"SEM DEFESA",IF(H89="","SEM STATUS",IF(F89="","INFORMAR PRAZO",IF(P89="","SEM DATA",IF(P89&lt;0,"VENCIDO",IF(P89&lt;=DiasAlerta,"VENCE EM BREVE","NO PRAZO"))))))))</f>
        <v>VENCE EM BREVE</v>
      </c>
      <c r="R89" s="118">
        <f>IF(D89="","",TODAY()-D89)</f>
        <v>7</v>
      </c>
      <c r="S89" s="111" t="n"/>
    </row>
    <row r="90" ht="18" customHeight="1">
      <c r="A90" s="110" t="n">
        <v>86</v>
      </c>
      <c r="B90" s="111" t="inlineStr">
        <is>
          <t>Clínica Aliança</t>
        </is>
      </c>
      <c r="C90" s="111" t="inlineStr">
        <is>
          <t>SAÚDE</t>
        </is>
      </c>
      <c r="D90" s="112" t="n">
        <v>46298</v>
      </c>
      <c r="E90" s="111" t="inlineStr">
        <is>
          <t>NOTIFICAÇÃO DE CONSTATAÇÃO</t>
        </is>
      </c>
      <c r="F90" s="110" t="n">
        <v>30</v>
      </c>
      <c r="G90" s="113" t="inlineStr">
        <is>
          <t>PRESENCIAL</t>
        </is>
      </c>
      <c r="H90" s="113" t="inlineStr">
        <is>
          <t>PRAZO D.P</t>
        </is>
      </c>
      <c r="I90" s="111" t="inlineStr">
        <is>
          <t>CARLA MENDES</t>
        </is>
      </c>
      <c r="J90" s="114" t="inlineStr">
        <is>
          <t>0362/2026</t>
        </is>
      </c>
      <c r="K90" s="114" t="inlineStr">
        <is>
          <t>2026.004353-8/08</t>
        </is>
      </c>
      <c r="L90" s="112" t="n">
        <v>46290</v>
      </c>
      <c r="M90" s="112" t="n"/>
      <c r="N90" s="112" t="n"/>
      <c r="O90" s="115">
        <f>IF(OR(D90="",F90=""),"",D90+F90)</f>
        <v>46328.0</v>
      </c>
      <c r="P90" s="116">
        <f>IF(O90="","",IF(ISNUMBER(M90),O90-M90,IF(OR(H90="DECISÃO D.P",ISNUMBER(N90)),"",O90-TODAY())))</f>
        <v>24</v>
      </c>
      <c r="Q90" s="117" t="str">
        <f>IF(B90="","",IF(ISNUMBER(N90),"DECIDIDO – ","")&amp;IF(ISNUMBER(M90),IF(P90="",IF(F90="","INFORMAR PRAZO","SEM DATA"),IF(P90&gt;=0,"DEFESA NO PRAZO","DEFESA FORA DO PRAZO")),IF(OR(H90="DECISÃO D.P",ISNUMBER(N90)),"SEM DEFESA",IF(H90="","SEM STATUS",IF(F90="","INFORMAR PRAZO",IF(P90="","SEM DATA",IF(P90&lt;0,"VENCIDO",IF(P90&lt;=DiasAlerta,"VENCE EM BREVE","NO PRAZO"))))))))</f>
        <v>NO PRAZO</v>
      </c>
      <c r="R90" s="118">
        <f>IF(D90="","",TODAY()-D90)</f>
        <v>6</v>
      </c>
      <c r="S90" s="111" t="n"/>
    </row>
    <row r="91" ht="18" customHeight="1">
      <c r="A91" s="110" t="n">
        <v>87</v>
      </c>
      <c r="B91" s="111" t="inlineStr">
        <is>
          <t>Supermercado Ipê Amarelo Filial 2</t>
        </is>
      </c>
      <c r="C91" s="111" t="inlineStr">
        <is>
          <t>SUPERMERCADO</t>
        </is>
      </c>
      <c r="D91" s="112" t="n">
        <v>46300</v>
      </c>
      <c r="E91" s="111" t="inlineStr">
        <is>
          <t>NOTIFICAÇÃO DE CONSTATAÇÃO</t>
        </is>
      </c>
      <c r="F91" s="110" t="n">
        <v>20</v>
      </c>
      <c r="G91" s="113" t="inlineStr">
        <is>
          <t>ELETRÔNICA</t>
        </is>
      </c>
      <c r="H91" s="113" t="inlineStr">
        <is>
          <t>PRAZO D.P</t>
        </is>
      </c>
      <c r="I91" s="111" t="inlineStr">
        <is>
          <t>ANA PAULA SOUZA</t>
        </is>
      </c>
      <c r="J91" s="114" t="inlineStr">
        <is>
          <t>0728/2026</t>
        </is>
      </c>
      <c r="K91" s="114" t="inlineStr">
        <is>
          <t>2026.048650-7/07</t>
        </is>
      </c>
      <c r="L91" s="112" t="n">
        <v>46248</v>
      </c>
      <c r="M91" s="112" t="n">
        <v>46304</v>
      </c>
      <c r="N91" s="112" t="n"/>
      <c r="O91" s="115">
        <f>IF(OR(D91="",F91=""),"",D91+F91)</f>
        <v>46320.0</v>
      </c>
      <c r="P91" s="116">
        <f>IF(O91="","",IF(ISNUMBER(M91),O91-M91,IF(OR(H91="DECISÃO D.P",ISNUMBER(N91)),"",O91-TODAY())))</f>
        <v>16</v>
      </c>
      <c r="Q91" s="117" t="str">
        <f>IF(B91="","",IF(ISNUMBER(N91),"DECIDIDO – ","")&amp;IF(ISNUMBER(M91),IF(P91="",IF(F91="","INFORMAR PRAZO","SEM DATA"),IF(P91&gt;=0,"DEFESA NO PRAZO","DEFESA FORA DO PRAZO")),IF(OR(H91="DECISÃO D.P",ISNUMBER(N91)),"SEM DEFESA",IF(H91="","SEM STATUS",IF(F91="","INFORMAR PRAZO",IF(P91="","SEM DATA",IF(P91&lt;0,"VENCIDO",IF(P91&lt;=DiasAlerta,"VENCE EM BREVE","NO PRAZO"))))))))</f>
        <v>DEFESA NO PRAZO</v>
      </c>
      <c r="R91" s="118">
        <f>IF(D91="","",TODAY()-D91)</f>
        <v>4</v>
      </c>
      <c r="S91" s="111" t="n"/>
    </row>
    <row r="92" ht="18" customHeight="1">
      <c r="A92" s="110" t="n">
        <v>88</v>
      </c>
      <c r="B92" s="111" t="inlineStr">
        <is>
          <t>Studio Fitness Vitória</t>
        </is>
      </c>
      <c r="C92" s="111" t="inlineStr">
        <is>
          <t>ACADEMIA</t>
        </is>
      </c>
      <c r="D92" s="112" t="n">
        <v>46300</v>
      </c>
      <c r="E92" s="111" t="inlineStr">
        <is>
          <t>NOTIFICAÇÃO DE CONSTATAÇÃO</t>
        </is>
      </c>
      <c r="F92" s="110" t="n">
        <v>20</v>
      </c>
      <c r="G92" s="113" t="inlineStr">
        <is>
          <t>ELETRÔNICA</t>
        </is>
      </c>
      <c r="H92" s="113" t="inlineStr">
        <is>
          <t>PRAZO D.P</t>
        </is>
      </c>
      <c r="I92" s="111" t="inlineStr">
        <is>
          <t>CARLA MENDES</t>
        </is>
      </c>
      <c r="J92" s="114" t="inlineStr">
        <is>
          <t>0208/2026</t>
        </is>
      </c>
      <c r="K92" s="114" t="inlineStr">
        <is>
          <t>2026.036263-0/01</t>
        </is>
      </c>
      <c r="L92" s="112" t="n">
        <v>46258</v>
      </c>
      <c r="M92" s="112" t="n">
        <v>46304</v>
      </c>
      <c r="N92" s="112" t="n"/>
      <c r="O92" s="115">
        <f>IF(OR(D92="",F92=""),"",D92+F92)</f>
        <v>46320.0</v>
      </c>
      <c r="P92" s="116">
        <f>IF(O92="","",IF(ISNUMBER(M92),O92-M92,IF(OR(H92="DECISÃO D.P",ISNUMBER(N92)),"",O92-TODAY())))</f>
        <v>16</v>
      </c>
      <c r="Q92" s="117" t="str">
        <f>IF(B92="","",IF(ISNUMBER(N92),"DECIDIDO – ","")&amp;IF(ISNUMBER(M92),IF(P92="",IF(F92="","INFORMAR PRAZO","SEM DATA"),IF(P92&gt;=0,"DEFESA NO PRAZO","DEFESA FORA DO PRAZO")),IF(OR(H92="DECISÃO D.P",ISNUMBER(N92)),"SEM DEFESA",IF(H92="","SEM STATUS",IF(F92="","INFORMAR PRAZO",IF(P92="","SEM DATA",IF(P92&lt;0,"VENCIDO",IF(P92&lt;=DiasAlerta,"VENCE EM BREVE","NO PRAZO"))))))))</f>
        <v>DEFESA NO PRAZO</v>
      </c>
      <c r="R92" s="118">
        <f>IF(D92="","",TODAY()-D92)</f>
        <v>4</v>
      </c>
      <c r="S92" s="111" t="n"/>
    </row>
    <row r="93" ht="18" customHeight="1">
      <c r="A93" s="110" t="n">
        <v>89</v>
      </c>
      <c r="B93" s="111" t="inlineStr">
        <is>
          <t>Escola Boa Esperança</t>
        </is>
      </c>
      <c r="C93" s="111" t="inlineStr">
        <is>
          <t>ESCOLA</t>
        </is>
      </c>
      <c r="D93" s="112" t="n">
        <v>46300</v>
      </c>
      <c r="E93" s="111" t="inlineStr">
        <is>
          <t>NOTIFICAÇÃO DE ESCLARECIMENTO</t>
        </is>
      </c>
      <c r="F93" s="110" t="n">
        <v>20</v>
      </c>
      <c r="G93" s="113" t="inlineStr">
        <is>
          <t>PRESENCIAL</t>
        </is>
      </c>
      <c r="H93" s="113" t="inlineStr">
        <is>
          <t>PRAZO D.P</t>
        </is>
      </c>
      <c r="I93" s="111" t="inlineStr">
        <is>
          <t>CARLA MENDES</t>
        </is>
      </c>
      <c r="J93" s="114" t="inlineStr">
        <is>
          <t>0680/2026</t>
        </is>
      </c>
      <c r="K93" s="114" t="inlineStr">
        <is>
          <t>2026.039019-5/08</t>
        </is>
      </c>
      <c r="L93" s="112" t="n">
        <v>46291</v>
      </c>
      <c r="M93" s="112" t="n"/>
      <c r="N93" s="112" t="n"/>
      <c r="O93" s="115">
        <f>IF(OR(D93="",F93=""),"",D93+F93)</f>
        <v>46320.0</v>
      </c>
      <c r="P93" s="116">
        <f>IF(O93="","",IF(ISNUMBER(M93),O93-M93,IF(OR(H93="DECISÃO D.P",ISNUMBER(N93)),"",O93-TODAY())))</f>
        <v>16</v>
      </c>
      <c r="Q93" s="117" t="str">
        <f>IF(B93="","",IF(ISNUMBER(N93),"DECIDIDO – ","")&amp;IF(ISNUMBER(M93),IF(P93="",IF(F93="","INFORMAR PRAZO","SEM DATA"),IF(P93&gt;=0,"DEFESA NO PRAZO","DEFESA FORA DO PRAZO")),IF(OR(H93="DECISÃO D.P",ISNUMBER(N93)),"SEM DEFESA",IF(H93="","SEM STATUS",IF(F93="","INFORMAR PRAZO",IF(P93="","SEM DATA",IF(P93&lt;0,"VENCIDO",IF(P93&lt;=DiasAlerta,"VENCE EM BREVE","NO PRAZO"))))))))</f>
        <v>NO PRAZO</v>
      </c>
      <c r="R93" s="118">
        <f>IF(D93="","",TODAY()-D93)</f>
        <v>4</v>
      </c>
      <c r="S93" s="111" t="n"/>
    </row>
    <row r="94" ht="18" customHeight="1">
      <c r="A94" s="110" t="n">
        <v>90</v>
      </c>
      <c r="B94" s="111" t="inlineStr">
        <is>
          <t>Hospital Horizonte ME</t>
        </is>
      </c>
      <c r="C94" s="111" t="inlineStr">
        <is>
          <t>SAÚDE</t>
        </is>
      </c>
      <c r="D94" s="112" t="n">
        <v>46301</v>
      </c>
      <c r="E94" s="111" t="inlineStr">
        <is>
          <t>NOTIFICAÇÃO DE CONSTATAÇÃO</t>
        </is>
      </c>
      <c r="F94" s="110" t="n">
        <v>20</v>
      </c>
      <c r="G94" s="113" t="inlineStr">
        <is>
          <t>PRESENCIAL</t>
        </is>
      </c>
      <c r="H94" s="113" t="inlineStr">
        <is>
          <t>PRAZO D.P</t>
        </is>
      </c>
      <c r="I94" s="111" t="inlineStr">
        <is>
          <t>HENRIQUE COSTA</t>
        </is>
      </c>
      <c r="J94" s="114" t="inlineStr">
        <is>
          <t>0126/2026</t>
        </is>
      </c>
      <c r="K94" s="114" t="inlineStr">
        <is>
          <t>2026.045097-6/11</t>
        </is>
      </c>
      <c r="L94" s="112" t="n">
        <v>46212</v>
      </c>
      <c r="M94" s="112" t="n"/>
      <c r="N94" s="112" t="n"/>
      <c r="O94" s="115">
        <f>IF(OR(D94="",F94=""),"",D94+F94)</f>
        <v>46321.0</v>
      </c>
      <c r="P94" s="116">
        <f>IF(O94="","",IF(ISNUMBER(M94),O94-M94,IF(OR(H94="DECISÃO D.P",ISNUMBER(N94)),"",O94-TODAY())))</f>
        <v>17</v>
      </c>
      <c r="Q94" s="117" t="str">
        <f>IF(B94="","",IF(ISNUMBER(N94),"DECIDIDO – ","")&amp;IF(ISNUMBER(M94),IF(P94="",IF(F94="","INFORMAR PRAZO","SEM DATA"),IF(P94&gt;=0,"DEFESA NO PRAZO","DEFESA FORA DO PRAZO")),IF(OR(H94="DECISÃO D.P",ISNUMBER(N94)),"SEM DEFESA",IF(H94="","SEM STATUS",IF(F94="","INFORMAR PRAZO",IF(P94="","SEM DATA",IF(P94&lt;0,"VENCIDO",IF(P94&lt;=DiasAlerta,"VENCE EM BREVE","NO PRAZO"))))))))</f>
        <v>NO PRAZO</v>
      </c>
      <c r="R94" s="118">
        <f>IF(D94="","",TODAY()-D94)</f>
        <v>3</v>
      </c>
      <c r="S94" s="111" t="n"/>
    </row>
    <row r="95" ht="18" customHeight="1">
      <c r="A95" s="110" t="n">
        <v>91</v>
      </c>
      <c r="B95" s="111" t="inlineStr">
        <is>
          <t>Boutique Aliança</t>
        </is>
      </c>
      <c r="C95" s="111" t="inlineStr">
        <is>
          <t>LOJA</t>
        </is>
      </c>
      <c r="D95" s="112" t="n">
        <v>46302</v>
      </c>
      <c r="E95" s="111" t="inlineStr">
        <is>
          <t>NOTIFICAÇÃO DE ESCLARECIMENTO</t>
        </is>
      </c>
      <c r="F95" s="110" t="n">
        <v>15</v>
      </c>
      <c r="G95" s="113" t="inlineStr">
        <is>
          <t>ELETRÔNICA</t>
        </is>
      </c>
      <c r="H95" s="113" t="inlineStr">
        <is>
          <t>PRAZO D.P</t>
        </is>
      </c>
      <c r="I95" s="111" t="inlineStr">
        <is>
          <t>BRUNO CARVALHO</t>
        </is>
      </c>
      <c r="J95" s="114" t="inlineStr">
        <is>
          <t>0511/2026</t>
        </is>
      </c>
      <c r="K95" s="114" t="inlineStr">
        <is>
          <t>2026.013669-3/12</t>
        </is>
      </c>
      <c r="L95" s="112" t="n">
        <v>46250</v>
      </c>
      <c r="M95" s="112" t="n"/>
      <c r="N95" s="112" t="n"/>
      <c r="O95" s="115">
        <f>IF(OR(D95="",F95=""),"",D95+F95)</f>
        <v>46317.0</v>
      </c>
      <c r="P95" s="116">
        <f>IF(O95="","",IF(ISNUMBER(M95),O95-M95,IF(OR(H95="DECISÃO D.P",ISNUMBER(N95)),"",O95-TODAY())))</f>
        <v>13</v>
      </c>
      <c r="Q95" s="117" t="str">
        <f>IF(B95="","",IF(ISNUMBER(N95),"DECIDIDO – ","")&amp;IF(ISNUMBER(M95),IF(P95="",IF(F95="","INFORMAR PRAZO","SEM DATA"),IF(P95&gt;=0,"DEFESA NO PRAZO","DEFESA FORA DO PRAZO")),IF(OR(H95="DECISÃO D.P",ISNUMBER(N95)),"SEM DEFESA",IF(H95="","SEM STATUS",IF(F95="","INFORMAR PRAZO",IF(P95="","SEM DATA",IF(P95&lt;0,"VENCIDO",IF(P95&lt;=DiasAlerta,"VENCE EM BREVE","NO PRAZO"))))))))</f>
        <v>NO PRAZO</v>
      </c>
      <c r="R95" s="118">
        <f>IF(D95="","",TODAY()-D95)</f>
        <v>2</v>
      </c>
      <c r="S95" s="111" t="n"/>
    </row>
    <row r="96" ht="18" customHeight="1">
      <c r="A96" s="110" t="n">
        <v>92</v>
      </c>
      <c r="B96" s="111" t="inlineStr">
        <is>
          <t>Supermercado Primavera</t>
        </is>
      </c>
      <c r="C96" s="111" t="inlineStr">
        <is>
          <t>SUPERMERCADO</t>
        </is>
      </c>
      <c r="D96" s="112" t="n">
        <v>46302</v>
      </c>
      <c r="E96" s="111" t="inlineStr">
        <is>
          <t>NOTIFICAÇÃO DE CONSTATAÇÃO</t>
        </is>
      </c>
      <c r="F96" s="110" t="n">
        <v>30</v>
      </c>
      <c r="G96" s="113" t="inlineStr">
        <is>
          <t>PRESENCIAL</t>
        </is>
      </c>
      <c r="H96" s="113" t="inlineStr">
        <is>
          <t>PRAZO D.P</t>
        </is>
      </c>
      <c r="I96" s="111" t="inlineStr">
        <is>
          <t>FELIPE ARAÚJO</t>
        </is>
      </c>
      <c r="J96" s="114" t="inlineStr">
        <is>
          <t>0194/2026</t>
        </is>
      </c>
      <c r="K96" s="114" t="inlineStr">
        <is>
          <t>2026.094185-0/03</t>
        </is>
      </c>
      <c r="L96" s="112" t="n">
        <v>46236</v>
      </c>
      <c r="M96" s="112" t="n"/>
      <c r="N96" s="112" t="n"/>
      <c r="O96" s="115">
        <f>IF(OR(D96="",F96=""),"",D96+F96)</f>
        <v>46332.0</v>
      </c>
      <c r="P96" s="116">
        <f>IF(O96="","",IF(ISNUMBER(M96),O96-M96,IF(OR(H96="DECISÃO D.P",ISNUMBER(N96)),"",O96-TODAY())))</f>
        <v>28</v>
      </c>
      <c r="Q96" s="117" t="str">
        <f>IF(B96="","",IF(ISNUMBER(N96),"DECIDIDO – ","")&amp;IF(ISNUMBER(M96),IF(P96="",IF(F96="","INFORMAR PRAZO","SEM DATA"),IF(P96&gt;=0,"DEFESA NO PRAZO","DEFESA FORA DO PRAZO")),IF(OR(H96="DECISÃO D.P",ISNUMBER(N96)),"SEM DEFESA",IF(H96="","SEM STATUS",IF(F96="","INFORMAR PRAZO",IF(P96="","SEM DATA",IF(P96&lt;0,"VENCIDO",IF(P96&lt;=DiasAlerta,"VENCE EM BREVE","NO PRAZO"))))))))</f>
        <v>NO PRAZO</v>
      </c>
      <c r="R96" s="118">
        <f>IF(D96="","",TODAY()-D96)</f>
        <v>2</v>
      </c>
      <c r="S96" s="111" t="n"/>
    </row>
    <row r="97" ht="18" customHeight="1">
      <c r="A97" s="110" t="n">
        <v>93</v>
      </c>
      <c r="B97" s="111" t="inlineStr">
        <is>
          <t>Auto Posto Nova Era</t>
        </is>
      </c>
      <c r="C97" s="111" t="inlineStr">
        <is>
          <t>POSTO DE COMBUSTÍVEL</t>
        </is>
      </c>
      <c r="D97" s="112" t="n">
        <v>46302</v>
      </c>
      <c r="E97" s="111" t="inlineStr">
        <is>
          <t>NOTIFICAÇÃO DE CONSTATAÇÃO</t>
        </is>
      </c>
      <c r="F97" s="110" t="n">
        <v>15</v>
      </c>
      <c r="G97" s="113" t="inlineStr">
        <is>
          <t>PRESENCIAL</t>
        </is>
      </c>
      <c r="H97" s="113" t="inlineStr">
        <is>
          <t>PRAZO D.P</t>
        </is>
      </c>
      <c r="I97" s="111" t="inlineStr">
        <is>
          <t>BRUNO CARVALHO</t>
        </is>
      </c>
      <c r="J97" s="114" t="inlineStr">
        <is>
          <t>0353/2026</t>
        </is>
      </c>
      <c r="K97" s="114" t="inlineStr">
        <is>
          <t>2026.035530-7/08</t>
        </is>
      </c>
      <c r="L97" s="112" t="n">
        <v>46275</v>
      </c>
      <c r="M97" s="112" t="n"/>
      <c r="N97" s="112" t="n"/>
      <c r="O97" s="115">
        <f>IF(OR(D97="",F97=""),"",D97+F97)</f>
        <v>46317.0</v>
      </c>
      <c r="P97" s="116">
        <f>IF(O97="","",IF(ISNUMBER(M97),O97-M97,IF(OR(H97="DECISÃO D.P",ISNUMBER(N97)),"",O97-TODAY())))</f>
        <v>13</v>
      </c>
      <c r="Q97" s="117" t="str">
        <f>IF(B97="","",IF(ISNUMBER(N97),"DECIDIDO – ","")&amp;IF(ISNUMBER(M97),IF(P97="",IF(F97="","INFORMAR PRAZO","SEM DATA"),IF(P97&gt;=0,"DEFESA NO PRAZO","DEFESA FORA DO PRAZO")),IF(OR(H97="DECISÃO D.P",ISNUMBER(N97)),"SEM DEFESA",IF(H97="","SEM STATUS",IF(F97="","INFORMAR PRAZO",IF(P97="","SEM DATA",IF(P97&lt;0,"VENCIDO",IF(P97&lt;=DiasAlerta,"VENCE EM BREVE","NO PRAZO"))))))))</f>
        <v>NO PRAZO</v>
      </c>
      <c r="R97" s="118">
        <f>IF(D97="","",TODAY()-D97)</f>
        <v>2</v>
      </c>
      <c r="S97" s="111" t="n"/>
    </row>
    <row r="98" ht="18" customHeight="1">
      <c r="A98" s="110" t="n">
        <v>94</v>
      </c>
      <c r="B98" s="111" t="inlineStr">
        <is>
          <t>Boutique Aliança</t>
        </is>
      </c>
      <c r="C98" s="111" t="inlineStr">
        <is>
          <t>LOJA</t>
        </is>
      </c>
      <c r="D98" s="112" t="n">
        <v>46303</v>
      </c>
      <c r="E98" s="111" t="inlineStr">
        <is>
          <t>NOTIFICAÇÃO DE ESCLARECIMENTO</t>
        </is>
      </c>
      <c r="F98" s="110" t="n">
        <v>15</v>
      </c>
      <c r="G98" s="113" t="inlineStr">
        <is>
          <t>ELETRÔNICA</t>
        </is>
      </c>
      <c r="H98" s="113" t="inlineStr">
        <is>
          <t>PRAZO D.P</t>
        </is>
      </c>
      <c r="I98" s="111" t="inlineStr">
        <is>
          <t>DIEGO RIBEIRO</t>
        </is>
      </c>
      <c r="J98" s="114" t="inlineStr">
        <is>
          <t>0863/2026</t>
        </is>
      </c>
      <c r="K98" s="114" t="inlineStr">
        <is>
          <t>2026.099438-9/08</t>
        </is>
      </c>
      <c r="L98" s="112" t="n">
        <v>46236</v>
      </c>
      <c r="M98" s="112" t="n"/>
      <c r="N98" s="112" t="n"/>
      <c r="O98" s="115">
        <f>IF(OR(D98="",F98=""),"",D98+F98)</f>
        <v>46318.0</v>
      </c>
      <c r="P98" s="116">
        <f>IF(O98="","",IF(ISNUMBER(M98),O98-M98,IF(OR(H98="DECISÃO D.P",ISNUMBER(N98)),"",O98-TODAY())))</f>
        <v>14</v>
      </c>
      <c r="Q98" s="117" t="str">
        <f>IF(B98="","",IF(ISNUMBER(N98),"DECIDIDO – ","")&amp;IF(ISNUMBER(M98),IF(P98="",IF(F98="","INFORMAR PRAZO","SEM DATA"),IF(P98&gt;=0,"DEFESA NO PRAZO","DEFESA FORA DO PRAZO")),IF(OR(H98="DECISÃO D.P",ISNUMBER(N98)),"SEM DEFESA",IF(H98="","SEM STATUS",IF(F98="","INFORMAR PRAZO",IF(P98="","SEM DATA",IF(P98&lt;0,"VENCIDO",IF(P98&lt;=DiasAlerta,"VENCE EM BREVE","NO PRAZO"))))))))</f>
        <v>NO PRAZO</v>
      </c>
      <c r="R98" s="118">
        <f>IF(D98="","",TODAY()-D98)</f>
        <v>1</v>
      </c>
      <c r="S98" s="111" t="n"/>
    </row>
    <row r="99" ht="18" customHeight="1">
      <c r="A99" s="110" t="n">
        <v>95</v>
      </c>
      <c r="B99" s="111" t="inlineStr">
        <is>
          <t>Auto Posto Bom Preço</t>
        </is>
      </c>
      <c r="C99" s="111" t="inlineStr">
        <is>
          <t>POSTO DE COMBUSTÍVEL</t>
        </is>
      </c>
      <c r="D99" s="112" t="n">
        <v>46303</v>
      </c>
      <c r="E99" s="111" t="inlineStr">
        <is>
          <t>NOTIFICAÇÃO DE CONSTATAÇÃO</t>
        </is>
      </c>
      <c r="F99" s="110" t="n">
        <v>20</v>
      </c>
      <c r="G99" s="113" t="inlineStr">
        <is>
          <t>ELETRÔNICA</t>
        </is>
      </c>
      <c r="H99" s="113" t="inlineStr">
        <is>
          <t>PRAZO D.P</t>
        </is>
      </c>
      <c r="I99" s="111" t="inlineStr">
        <is>
          <t>BRUNO CARVALHO</t>
        </is>
      </c>
      <c r="J99" s="114" t="inlineStr">
        <is>
          <t>0258/2026</t>
        </is>
      </c>
      <c r="K99" s="114" t="inlineStr">
        <is>
          <t>2026.047745-6/12</t>
        </is>
      </c>
      <c r="L99" s="112" t="n">
        <v>46254</v>
      </c>
      <c r="M99" s="112" t="n"/>
      <c r="N99" s="112" t="n"/>
      <c r="O99" s="115">
        <f>IF(OR(D99="",F99=""),"",D99+F99)</f>
        <v>46323.0</v>
      </c>
      <c r="P99" s="116">
        <f>IF(O99="","",IF(ISNUMBER(M99),O99-M99,IF(OR(H99="DECISÃO D.P",ISNUMBER(N99)),"",O99-TODAY())))</f>
        <v>19</v>
      </c>
      <c r="Q99" s="117" t="str">
        <f>IF(B99="","",IF(ISNUMBER(N99),"DECIDIDO – ","")&amp;IF(ISNUMBER(M99),IF(P99="",IF(F99="","INFORMAR PRAZO","SEM DATA"),IF(P99&gt;=0,"DEFESA NO PRAZO","DEFESA FORA DO PRAZO")),IF(OR(H99="DECISÃO D.P",ISNUMBER(N99)),"SEM DEFESA",IF(H99="","SEM STATUS",IF(F99="","INFORMAR PRAZO",IF(P99="","SEM DATA",IF(P99&lt;0,"VENCIDO",IF(P99&lt;=DiasAlerta,"VENCE EM BREVE","NO PRAZO"))))))))</f>
        <v>NO PRAZO</v>
      </c>
      <c r="R99" s="118">
        <f>IF(D99="","",TODAY()-D99)</f>
        <v>1</v>
      </c>
      <c r="S99" s="111" t="n"/>
    </row>
    <row r="100" ht="18" customHeight="1">
      <c r="A100" s="110" t="n">
        <v>96</v>
      </c>
      <c r="B100" s="111" t="inlineStr">
        <is>
          <t>Banco Aliança</t>
        </is>
      </c>
      <c r="C100" s="111" t="inlineStr">
        <is>
          <t>BANCO</t>
        </is>
      </c>
      <c r="D100" s="112" t="n">
        <v>46303</v>
      </c>
      <c r="E100" s="111" t="inlineStr">
        <is>
          <t>NOTIFICAÇÃO DE ESCLARECIMENTO</t>
        </is>
      </c>
      <c r="F100" s="110" t="n">
        <v>10</v>
      </c>
      <c r="G100" s="113" t="inlineStr">
        <is>
          <t>PRESENCIAL</t>
        </is>
      </c>
      <c r="H100" s="113" t="inlineStr">
        <is>
          <t>PRAZO D.P</t>
        </is>
      </c>
      <c r="I100" s="111" t="inlineStr">
        <is>
          <t>GABRIELA NUNES</t>
        </is>
      </c>
      <c r="J100" s="114" t="inlineStr">
        <is>
          <t>0125/2026</t>
        </is>
      </c>
      <c r="K100" s="114" t="inlineStr">
        <is>
          <t>2026.092843-7/11</t>
        </is>
      </c>
      <c r="L100" s="112" t="n">
        <v>46218</v>
      </c>
      <c r="M100" s="112" t="n"/>
      <c r="N100" s="112" t="n"/>
      <c r="O100" s="115">
        <f>IF(OR(D100="",F100=""),"",D100+F100)</f>
        <v>46313.0</v>
      </c>
      <c r="P100" s="116">
        <f>IF(O100="","",IF(ISNUMBER(M100),O100-M100,IF(OR(H100="DECISÃO D.P",ISNUMBER(N100)),"",O100-TODAY())))</f>
        <v>9</v>
      </c>
      <c r="Q100" s="117" t="str">
        <f>IF(B100="","",IF(ISNUMBER(N100),"DECIDIDO – ","")&amp;IF(ISNUMBER(M100),IF(P100="",IF(F100="","INFORMAR PRAZO","SEM DATA"),IF(P100&gt;=0,"DEFESA NO PRAZO","DEFESA FORA DO PRAZO")),IF(OR(H100="DECISÃO D.P",ISNUMBER(N100)),"SEM DEFESA",IF(H100="","SEM STATUS",IF(F100="","INFORMAR PRAZO",IF(P100="","SEM DATA",IF(P100&lt;0,"VENCIDO",IF(P100&lt;=DiasAlerta,"VENCE EM BREVE","NO PRAZO"))))))))</f>
        <v>NO PRAZO</v>
      </c>
      <c r="R100" s="118">
        <f>IF(D100="","",TODAY()-D100)</f>
        <v>1</v>
      </c>
      <c r="S100" s="111" t="n"/>
    </row>
    <row r="101" ht="18" customHeight="1">
      <c r="A101" s="110" t="n"/>
      <c r="B101" s="111" t="n"/>
      <c r="C101" s="111" t="n"/>
      <c r="D101" s="112" t="n"/>
      <c r="E101" s="111" t="n"/>
      <c r="F101" s="110" t="n"/>
      <c r="G101" s="113" t="n"/>
      <c r="H101" s="113" t="n"/>
      <c r="I101" s="111" t="n"/>
      <c r="J101" s="114" t="n"/>
      <c r="K101" s="114" t="n"/>
      <c r="L101" s="112" t="n"/>
      <c r="M101" s="112" t="n"/>
      <c r="N101" s="112" t="n"/>
      <c r="O101" s="115" t="str">
        <f>IF(OR(D101="",F101=""),"",D101+F101)</f>
        <v/>
      </c>
      <c r="P101" s="116" t="str">
        <f>IF(O101="","",IF(ISNUMBER(M101),O101-M101,IF(OR(H101="DECISÃO D.P",ISNUMBER(N101)),"",O101-TODAY())))</f>
        <v/>
      </c>
      <c r="Q101" s="117" t="str">
        <f>IF(B101="","",IF(ISNUMBER(N101),"DECIDIDO – ","")&amp;IF(ISNUMBER(M101),IF(P101="",IF(F101="","INFORMAR PRAZO","SEM DATA"),IF(P101&gt;=0,"DEFESA NO PRAZO","DEFESA FORA DO PRAZO")),IF(OR(H101="DECISÃO D.P",ISNUMBER(N101)),"SEM DEFESA",IF(H101="","SEM STATUS",IF(F101="","INFORMAR PRAZO",IF(P101="","SEM DATA",IF(P101&lt;0,"VENCIDO",IF(P101&lt;=DiasAlerta,"VENCE EM BREVE","NO PRAZO"))))))))</f>
        <v/>
      </c>
      <c r="R101" s="118" t="str">
        <f>IF(D101="","",TODAY()-D101)</f>
        <v/>
      </c>
      <c r="S101" s="111" t="n"/>
    </row>
    <row r="102" ht="18" customHeight="1">
      <c r="A102" s="110" t="n"/>
      <c r="B102" s="111" t="n"/>
      <c r="C102" s="111" t="n"/>
      <c r="D102" s="112" t="n"/>
      <c r="E102" s="111" t="n"/>
      <c r="F102" s="110" t="n"/>
      <c r="G102" s="113" t="n"/>
      <c r="H102" s="113" t="n"/>
      <c r="I102" s="111" t="n"/>
      <c r="J102" s="114" t="n"/>
      <c r="K102" s="114" t="n"/>
      <c r="L102" s="112" t="n"/>
      <c r="M102" s="112" t="n"/>
      <c r="N102" s="112" t="n"/>
      <c r="O102" s="115" t="str">
        <f>IF(OR(D102="",F102=""),"",D102+F102)</f>
        <v/>
      </c>
      <c r="P102" s="116" t="str">
        <f>IF(O102="","",IF(ISNUMBER(M102),O102-M102,IF(OR(H102="DECISÃO D.P",ISNUMBER(N102)),"",O102-TODAY())))</f>
        <v/>
      </c>
      <c r="Q102" s="117" t="str">
        <f>IF(B102="","",IF(ISNUMBER(N102),"DECIDIDO – ","")&amp;IF(ISNUMBER(M102),IF(P102="",IF(F102="","INFORMAR PRAZO","SEM DATA"),IF(P102&gt;=0,"DEFESA NO PRAZO","DEFESA FORA DO PRAZO")),IF(OR(H102="DECISÃO D.P",ISNUMBER(N102)),"SEM DEFESA",IF(H102="","SEM STATUS",IF(F102="","INFORMAR PRAZO",IF(P102="","SEM DATA",IF(P102&lt;0,"VENCIDO",IF(P102&lt;=DiasAlerta,"VENCE EM BREVE","NO PRAZO"))))))))</f>
        <v/>
      </c>
      <c r="R102" s="118" t="str">
        <f>IF(D102="","",TODAY()-D102)</f>
        <v/>
      </c>
      <c r="S102" s="111" t="n"/>
    </row>
    <row r="103" ht="18" customHeight="1">
      <c r="A103" s="110" t="n"/>
      <c r="B103" s="111" t="n"/>
      <c r="C103" s="111" t="n"/>
      <c r="D103" s="112" t="n"/>
      <c r="E103" s="111" t="n"/>
      <c r="F103" s="110" t="n"/>
      <c r="G103" s="113" t="n"/>
      <c r="H103" s="113" t="n"/>
      <c r="I103" s="111" t="n"/>
      <c r="J103" s="114" t="n"/>
      <c r="K103" s="114" t="n"/>
      <c r="L103" s="112" t="n"/>
      <c r="M103" s="112" t="n"/>
      <c r="N103" s="112" t="n"/>
      <c r="O103" s="115" t="str">
        <f>IF(OR(D103="",F103=""),"",D103+F103)</f>
        <v/>
      </c>
      <c r="P103" s="116" t="str">
        <f>IF(O103="","",IF(ISNUMBER(M103),O103-M103,IF(OR(H103="DECISÃO D.P",ISNUMBER(N103)),"",O103-TODAY())))</f>
        <v/>
      </c>
      <c r="Q103" s="117" t="str">
        <f>IF(B103="","",IF(ISNUMBER(N103),"DECIDIDO – ","")&amp;IF(ISNUMBER(M103),IF(P103="",IF(F103="","INFORMAR PRAZO","SEM DATA"),IF(P103&gt;=0,"DEFESA NO PRAZO","DEFESA FORA DO PRAZO")),IF(OR(H103="DECISÃO D.P",ISNUMBER(N103)),"SEM DEFESA",IF(H103="","SEM STATUS",IF(F103="","INFORMAR PRAZO",IF(P103="","SEM DATA",IF(P103&lt;0,"VENCIDO",IF(P103&lt;=DiasAlerta,"VENCE EM BREVE","NO PRAZO"))))))))</f>
        <v/>
      </c>
      <c r="R103" s="118" t="str">
        <f>IF(D103="","",TODAY()-D103)</f>
        <v/>
      </c>
      <c r="S103" s="111" t="n"/>
    </row>
    <row r="104" ht="18" customHeight="1">
      <c r="A104" s="110" t="n"/>
      <c r="B104" s="111" t="n"/>
      <c r="C104" s="111" t="n"/>
      <c r="D104" s="112" t="n"/>
      <c r="E104" s="111" t="n"/>
      <c r="F104" s="110" t="n"/>
      <c r="G104" s="113" t="n"/>
      <c r="H104" s="113" t="n"/>
      <c r="I104" s="111" t="n"/>
      <c r="J104" s="114" t="n"/>
      <c r="K104" s="114" t="n"/>
      <c r="L104" s="112" t="n"/>
      <c r="M104" s="112" t="n"/>
      <c r="N104" s="112" t="n"/>
      <c r="O104" s="115" t="str">
        <f>IF(OR(D104="",F104=""),"",D104+F104)</f>
        <v/>
      </c>
      <c r="P104" s="116" t="str">
        <f>IF(O104="","",IF(ISNUMBER(M104),O104-M104,IF(OR(H104="DECISÃO D.P",ISNUMBER(N104)),"",O104-TODAY())))</f>
        <v/>
      </c>
      <c r="Q104" s="117" t="str">
        <f>IF(B104="","",IF(ISNUMBER(N104),"DECIDIDO – ","")&amp;IF(ISNUMBER(M104),IF(P104="",IF(F104="","INFORMAR PRAZO","SEM DATA"),IF(P104&gt;=0,"DEFESA NO PRAZO","DEFESA FORA DO PRAZO")),IF(OR(H104="DECISÃO D.P",ISNUMBER(N104)),"SEM DEFESA",IF(H104="","SEM STATUS",IF(F104="","INFORMAR PRAZO",IF(P104="","SEM DATA",IF(P104&lt;0,"VENCIDO",IF(P104&lt;=DiasAlerta,"VENCE EM BREVE","NO PRAZO"))))))))</f>
        <v/>
      </c>
      <c r="R104" s="118" t="str">
        <f>IF(D104="","",TODAY()-D104)</f>
        <v/>
      </c>
      <c r="S104" s="111" t="n"/>
    </row>
    <row r="105" ht="18" customHeight="1">
      <c r="A105" s="110" t="n"/>
      <c r="B105" s="111" t="n"/>
      <c r="C105" s="111" t="n"/>
      <c r="D105" s="112" t="n"/>
      <c r="E105" s="111" t="n"/>
      <c r="F105" s="110" t="n"/>
      <c r="G105" s="113" t="n"/>
      <c r="H105" s="113" t="n"/>
      <c r="I105" s="111" t="n"/>
      <c r="J105" s="114" t="n"/>
      <c r="K105" s="114" t="n"/>
      <c r="L105" s="112" t="n"/>
      <c r="M105" s="112" t="n"/>
      <c r="N105" s="112" t="n"/>
      <c r="O105" s="115" t="str">
        <f>IF(OR(D105="",F105=""),"",D105+F105)</f>
        <v/>
      </c>
      <c r="P105" s="116" t="str">
        <f>IF(O105="","",IF(ISNUMBER(M105),O105-M105,IF(OR(H105="DECISÃO D.P",ISNUMBER(N105)),"",O105-TODAY())))</f>
        <v/>
      </c>
      <c r="Q105" s="117" t="str">
        <f>IF(B105="","",IF(ISNUMBER(N105),"DECIDIDO – ","")&amp;IF(ISNUMBER(M105),IF(P105="",IF(F105="","INFORMAR PRAZO","SEM DATA"),IF(P105&gt;=0,"DEFESA NO PRAZO","DEFESA FORA DO PRAZO")),IF(OR(H105="DECISÃO D.P",ISNUMBER(N105)),"SEM DEFESA",IF(H105="","SEM STATUS",IF(F105="","INFORMAR PRAZO",IF(P105="","SEM DATA",IF(P105&lt;0,"VENCIDO",IF(P105&lt;=DiasAlerta,"VENCE EM BREVE","NO PRAZO"))))))))</f>
        <v/>
      </c>
      <c r="R105" s="118" t="str">
        <f>IF(D105="","",TODAY()-D105)</f>
        <v/>
      </c>
      <c r="S105" s="111" t="n"/>
    </row>
    <row r="106" ht="18" customHeight="1">
      <c r="A106" s="110" t="n"/>
      <c r="B106" s="111" t="n"/>
      <c r="C106" s="111" t="n"/>
      <c r="D106" s="112" t="n"/>
      <c r="E106" s="111" t="n"/>
      <c r="F106" s="110" t="n"/>
      <c r="G106" s="113" t="n"/>
      <c r="H106" s="113" t="n"/>
      <c r="I106" s="111" t="n"/>
      <c r="J106" s="114" t="n"/>
      <c r="K106" s="114" t="n"/>
      <c r="L106" s="112" t="n"/>
      <c r="M106" s="112" t="n"/>
      <c r="N106" s="112" t="n"/>
      <c r="O106" s="115" t="str">
        <f>IF(OR(D106="",F106=""),"",D106+F106)</f>
        <v/>
      </c>
      <c r="P106" s="116" t="str">
        <f>IF(O106="","",IF(ISNUMBER(M106),O106-M106,IF(OR(H106="DECISÃO D.P",ISNUMBER(N106)),"",O106-TODAY())))</f>
        <v/>
      </c>
      <c r="Q106" s="117" t="str">
        <f>IF(B106="","",IF(ISNUMBER(N106),"DECIDIDO – ","")&amp;IF(ISNUMBER(M106),IF(P106="",IF(F106="","INFORMAR PRAZO","SEM DATA"),IF(P106&gt;=0,"DEFESA NO PRAZO","DEFESA FORA DO PRAZO")),IF(OR(H106="DECISÃO D.P",ISNUMBER(N106)),"SEM DEFESA",IF(H106="","SEM STATUS",IF(F106="","INFORMAR PRAZO",IF(P106="","SEM DATA",IF(P106&lt;0,"VENCIDO",IF(P106&lt;=DiasAlerta,"VENCE EM BREVE","NO PRAZO"))))))))</f>
        <v/>
      </c>
      <c r="R106" s="118" t="str">
        <f>IF(D106="","",TODAY()-D106)</f>
        <v/>
      </c>
      <c r="S106" s="111" t="n"/>
    </row>
    <row r="107" ht="18" customHeight="1">
      <c r="A107" s="110" t="n"/>
      <c r="B107" s="111" t="n"/>
      <c r="C107" s="111" t="n"/>
      <c r="D107" s="112" t="n"/>
      <c r="E107" s="111" t="n"/>
      <c r="F107" s="110" t="n"/>
      <c r="G107" s="113" t="n"/>
      <c r="H107" s="113" t="n"/>
      <c r="I107" s="111" t="n"/>
      <c r="J107" s="114" t="n"/>
      <c r="K107" s="114" t="n"/>
      <c r="L107" s="112" t="n"/>
      <c r="M107" s="112" t="n"/>
      <c r="N107" s="112" t="n"/>
      <c r="O107" s="115" t="str">
        <f>IF(OR(D107="",F107=""),"",D107+F107)</f>
        <v/>
      </c>
      <c r="P107" s="116" t="str">
        <f>IF(O107="","",IF(ISNUMBER(M107),O107-M107,IF(OR(H107="DECISÃO D.P",ISNUMBER(N107)),"",O107-TODAY())))</f>
        <v/>
      </c>
      <c r="Q107" s="117" t="str">
        <f>IF(B107="","",IF(ISNUMBER(N107),"DECIDIDO – ","")&amp;IF(ISNUMBER(M107),IF(P107="",IF(F107="","INFORMAR PRAZO","SEM DATA"),IF(P107&gt;=0,"DEFESA NO PRAZO","DEFESA FORA DO PRAZO")),IF(OR(H107="DECISÃO D.P",ISNUMBER(N107)),"SEM DEFESA",IF(H107="","SEM STATUS",IF(F107="","INFORMAR PRAZO",IF(P107="","SEM DATA",IF(P107&lt;0,"VENCIDO",IF(P107&lt;=DiasAlerta,"VENCE EM BREVE","NO PRAZO"))))))))</f>
        <v/>
      </c>
      <c r="R107" s="118" t="str">
        <f>IF(D107="","",TODAY()-D107)</f>
        <v/>
      </c>
      <c r="S107" s="111" t="n"/>
    </row>
    <row r="108" ht="18" customHeight="1">
      <c r="A108" s="110" t="n"/>
      <c r="B108" s="111" t="n"/>
      <c r="C108" s="111" t="n"/>
      <c r="D108" s="112" t="n"/>
      <c r="E108" s="111" t="n"/>
      <c r="F108" s="110" t="n"/>
      <c r="G108" s="113" t="n"/>
      <c r="H108" s="113" t="n"/>
      <c r="I108" s="111" t="n"/>
      <c r="J108" s="114" t="n"/>
      <c r="K108" s="114" t="n"/>
      <c r="L108" s="112" t="n"/>
      <c r="M108" s="112" t="n"/>
      <c r="N108" s="112" t="n"/>
      <c r="O108" s="115" t="str">
        <f>IF(OR(D108="",F108=""),"",D108+F108)</f>
        <v/>
      </c>
      <c r="P108" s="116" t="str">
        <f>IF(O108="","",IF(ISNUMBER(M108),O108-M108,IF(OR(H108="DECISÃO D.P",ISNUMBER(N108)),"",O108-TODAY())))</f>
        <v/>
      </c>
      <c r="Q108" s="117" t="str">
        <f>IF(B108="","",IF(ISNUMBER(N108),"DECIDIDO – ","")&amp;IF(ISNUMBER(M108),IF(P108="",IF(F108="","INFORMAR PRAZO","SEM DATA"),IF(P108&gt;=0,"DEFESA NO PRAZO","DEFESA FORA DO PRAZO")),IF(OR(H108="DECISÃO D.P",ISNUMBER(N108)),"SEM DEFESA",IF(H108="","SEM STATUS",IF(F108="","INFORMAR PRAZO",IF(P108="","SEM DATA",IF(P108&lt;0,"VENCIDO",IF(P108&lt;=DiasAlerta,"VENCE EM BREVE","NO PRAZO"))))))))</f>
        <v/>
      </c>
      <c r="R108" s="118" t="str">
        <f>IF(D108="","",TODAY()-D108)</f>
        <v/>
      </c>
      <c r="S108" s="111" t="n"/>
    </row>
    <row r="109" ht="18" customHeight="1">
      <c r="A109" s="110" t="n"/>
      <c r="B109" s="111" t="n"/>
      <c r="C109" s="111" t="n"/>
      <c r="D109" s="112" t="n"/>
      <c r="E109" s="111" t="n"/>
      <c r="F109" s="110" t="n"/>
      <c r="G109" s="113" t="n"/>
      <c r="H109" s="113" t="n"/>
      <c r="I109" s="111" t="n"/>
      <c r="J109" s="114" t="n"/>
      <c r="K109" s="114" t="n"/>
      <c r="L109" s="112" t="n"/>
      <c r="M109" s="112" t="n"/>
      <c r="N109" s="112" t="n"/>
      <c r="O109" s="115" t="str">
        <f>IF(OR(D109="",F109=""),"",D109+F109)</f>
        <v/>
      </c>
      <c r="P109" s="116" t="str">
        <f>IF(O109="","",IF(ISNUMBER(M109),O109-M109,IF(OR(H109="DECISÃO D.P",ISNUMBER(N109)),"",O109-TODAY())))</f>
        <v/>
      </c>
      <c r="Q109" s="117" t="str">
        <f>IF(B109="","",IF(ISNUMBER(N109),"DECIDIDO – ","")&amp;IF(ISNUMBER(M109),IF(P109="",IF(F109="","INFORMAR PRAZO","SEM DATA"),IF(P109&gt;=0,"DEFESA NO PRAZO","DEFESA FORA DO PRAZO")),IF(OR(H109="DECISÃO D.P",ISNUMBER(N109)),"SEM DEFESA",IF(H109="","SEM STATUS",IF(F109="","INFORMAR PRAZO",IF(P109="","SEM DATA",IF(P109&lt;0,"VENCIDO",IF(P109&lt;=DiasAlerta,"VENCE EM BREVE","NO PRAZO"))))))))</f>
        <v/>
      </c>
      <c r="R109" s="118" t="str">
        <f>IF(D109="","",TODAY()-D109)</f>
        <v/>
      </c>
      <c r="S109" s="111" t="n"/>
    </row>
    <row r="110" ht="18" customHeight="1">
      <c r="A110" s="110" t="n"/>
      <c r="B110" s="111" t="n"/>
      <c r="C110" s="111" t="n"/>
      <c r="D110" s="112" t="n"/>
      <c r="E110" s="111" t="n"/>
      <c r="F110" s="110" t="n"/>
      <c r="G110" s="113" t="n"/>
      <c r="H110" s="113" t="n"/>
      <c r="I110" s="111" t="n"/>
      <c r="J110" s="114" t="n"/>
      <c r="K110" s="114" t="n"/>
      <c r="L110" s="112" t="n"/>
      <c r="M110" s="112" t="n"/>
      <c r="N110" s="112" t="n"/>
      <c r="O110" s="115" t="str">
        <f>IF(OR(D110="",F110=""),"",D110+F110)</f>
        <v/>
      </c>
      <c r="P110" s="116" t="str">
        <f>IF(O110="","",IF(ISNUMBER(M110),O110-M110,IF(OR(H110="DECISÃO D.P",ISNUMBER(N110)),"",O110-TODAY())))</f>
        <v/>
      </c>
      <c r="Q110" s="117" t="str">
        <f>IF(B110="","",IF(ISNUMBER(N110),"DECIDIDO – ","")&amp;IF(ISNUMBER(M110),IF(P110="",IF(F110="","INFORMAR PRAZO","SEM DATA"),IF(P110&gt;=0,"DEFESA NO PRAZO","DEFESA FORA DO PRAZO")),IF(OR(H110="DECISÃO D.P",ISNUMBER(N110)),"SEM DEFESA",IF(H110="","SEM STATUS",IF(F110="","INFORMAR PRAZO",IF(P110="","SEM DATA",IF(P110&lt;0,"VENCIDO",IF(P110&lt;=DiasAlerta,"VENCE EM BREVE","NO PRAZO"))))))))</f>
        <v/>
      </c>
      <c r="R110" s="118" t="str">
        <f>IF(D110="","",TODAY()-D110)</f>
        <v/>
      </c>
      <c r="S110" s="111" t="n"/>
    </row>
    <row r="111" ht="18" customHeight="1">
      <c r="A111" s="110" t="n"/>
      <c r="B111" s="111" t="n"/>
      <c r="C111" s="111" t="n"/>
      <c r="D111" s="112" t="n"/>
      <c r="E111" s="111" t="n"/>
      <c r="F111" s="110" t="n"/>
      <c r="G111" s="113" t="n"/>
      <c r="H111" s="113" t="n"/>
      <c r="I111" s="111" t="n"/>
      <c r="J111" s="114" t="n"/>
      <c r="K111" s="114" t="n"/>
      <c r="L111" s="112" t="n"/>
      <c r="M111" s="112" t="n"/>
      <c r="N111" s="112" t="n"/>
      <c r="O111" s="115" t="str">
        <f>IF(OR(D111="",F111=""),"",D111+F111)</f>
        <v/>
      </c>
      <c r="P111" s="116" t="str">
        <f>IF(O111="","",IF(ISNUMBER(M111),O111-M111,IF(OR(H111="DECISÃO D.P",ISNUMBER(N111)),"",O111-TODAY())))</f>
        <v/>
      </c>
      <c r="Q111" s="117" t="str">
        <f>IF(B111="","",IF(ISNUMBER(N111),"DECIDIDO – ","")&amp;IF(ISNUMBER(M111),IF(P111="",IF(F111="","INFORMAR PRAZO","SEM DATA"),IF(P111&gt;=0,"DEFESA NO PRAZO","DEFESA FORA DO PRAZO")),IF(OR(H111="DECISÃO D.P",ISNUMBER(N111)),"SEM DEFESA",IF(H111="","SEM STATUS",IF(F111="","INFORMAR PRAZO",IF(P111="","SEM DATA",IF(P111&lt;0,"VENCIDO",IF(P111&lt;=DiasAlerta,"VENCE EM BREVE","NO PRAZO"))))))))</f>
        <v/>
      </c>
      <c r="R111" s="118" t="str">
        <f>IF(D111="","",TODAY()-D111)</f>
        <v/>
      </c>
      <c r="S111" s="111" t="n"/>
    </row>
    <row r="112" ht="18" customHeight="1">
      <c r="A112" s="110" t="n"/>
      <c r="B112" s="111" t="n"/>
      <c r="C112" s="111" t="n"/>
      <c r="D112" s="112" t="n"/>
      <c r="E112" s="111" t="n"/>
      <c r="F112" s="110" t="n"/>
      <c r="G112" s="113" t="n"/>
      <c r="H112" s="113" t="n"/>
      <c r="I112" s="111" t="n"/>
      <c r="J112" s="114" t="n"/>
      <c r="K112" s="114" t="n"/>
      <c r="L112" s="112" t="n"/>
      <c r="M112" s="112" t="n"/>
      <c r="N112" s="112" t="n"/>
      <c r="O112" s="115" t="str">
        <f>IF(OR(D112="",F112=""),"",D112+F112)</f>
        <v/>
      </c>
      <c r="P112" s="116" t="str">
        <f>IF(O112="","",IF(ISNUMBER(M112),O112-M112,IF(OR(H112="DECISÃO D.P",ISNUMBER(N112)),"",O112-TODAY())))</f>
        <v/>
      </c>
      <c r="Q112" s="117" t="str">
        <f>IF(B112="","",IF(ISNUMBER(N112),"DECIDIDO – ","")&amp;IF(ISNUMBER(M112),IF(P112="",IF(F112="","INFORMAR PRAZO","SEM DATA"),IF(P112&gt;=0,"DEFESA NO PRAZO","DEFESA FORA DO PRAZO")),IF(OR(H112="DECISÃO D.P",ISNUMBER(N112)),"SEM DEFESA",IF(H112="","SEM STATUS",IF(F112="","INFORMAR PRAZO",IF(P112="","SEM DATA",IF(P112&lt;0,"VENCIDO",IF(P112&lt;=DiasAlerta,"VENCE EM BREVE","NO PRAZO"))))))))</f>
        <v/>
      </c>
      <c r="R112" s="118" t="str">
        <f>IF(D112="","",TODAY()-D112)</f>
        <v/>
      </c>
      <c r="S112" s="111" t="n"/>
    </row>
    <row r="113" ht="18" customHeight="1">
      <c r="A113" s="110" t="n"/>
      <c r="B113" s="111" t="n"/>
      <c r="C113" s="111" t="n"/>
      <c r="D113" s="112" t="n"/>
      <c r="E113" s="111" t="n"/>
      <c r="F113" s="110" t="n"/>
      <c r="G113" s="113" t="n"/>
      <c r="H113" s="113" t="n"/>
      <c r="I113" s="111" t="n"/>
      <c r="J113" s="114" t="n"/>
      <c r="K113" s="114" t="n"/>
      <c r="L113" s="112" t="n"/>
      <c r="M113" s="112" t="n"/>
      <c r="N113" s="112" t="n"/>
      <c r="O113" s="115" t="str">
        <f>IF(OR(D113="",F113=""),"",D113+F113)</f>
        <v/>
      </c>
      <c r="P113" s="116" t="str">
        <f>IF(O113="","",IF(ISNUMBER(M113),O113-M113,IF(OR(H113="DECISÃO D.P",ISNUMBER(N113)),"",O113-TODAY())))</f>
        <v/>
      </c>
      <c r="Q113" s="117" t="str">
        <f>IF(B113="","",IF(ISNUMBER(N113),"DECIDIDO – ","")&amp;IF(ISNUMBER(M113),IF(P113="",IF(F113="","INFORMAR PRAZO","SEM DATA"),IF(P113&gt;=0,"DEFESA NO PRAZO","DEFESA FORA DO PRAZO")),IF(OR(H113="DECISÃO D.P",ISNUMBER(N113)),"SEM DEFESA",IF(H113="","SEM STATUS",IF(F113="","INFORMAR PRAZO",IF(P113="","SEM DATA",IF(P113&lt;0,"VENCIDO",IF(P113&lt;=DiasAlerta,"VENCE EM BREVE","NO PRAZO"))))))))</f>
        <v/>
      </c>
      <c r="R113" s="118" t="str">
        <f>IF(D113="","",TODAY()-D113)</f>
        <v/>
      </c>
      <c r="S113" s="111" t="n"/>
    </row>
    <row r="114" ht="18" customHeight="1">
      <c r="A114" s="110" t="n"/>
      <c r="B114" s="111" t="n"/>
      <c r="C114" s="111" t="n"/>
      <c r="D114" s="112" t="n"/>
      <c r="E114" s="111" t="n"/>
      <c r="F114" s="110" t="n"/>
      <c r="G114" s="113" t="n"/>
      <c r="H114" s="113" t="n"/>
      <c r="I114" s="111" t="n"/>
      <c r="J114" s="114" t="n"/>
      <c r="K114" s="114" t="n"/>
      <c r="L114" s="112" t="n"/>
      <c r="M114" s="112" t="n"/>
      <c r="N114" s="112" t="n"/>
      <c r="O114" s="115" t="str">
        <f>IF(OR(D114="",F114=""),"",D114+F114)</f>
        <v/>
      </c>
      <c r="P114" s="116" t="str">
        <f>IF(O114="","",IF(ISNUMBER(M114),O114-M114,IF(OR(H114="DECISÃO D.P",ISNUMBER(N114)),"",O114-TODAY())))</f>
        <v/>
      </c>
      <c r="Q114" s="117" t="str">
        <f>IF(B114="","",IF(ISNUMBER(N114),"DECIDIDO – ","")&amp;IF(ISNUMBER(M114),IF(P114="",IF(F114="","INFORMAR PRAZO","SEM DATA"),IF(P114&gt;=0,"DEFESA NO PRAZO","DEFESA FORA DO PRAZO")),IF(OR(H114="DECISÃO D.P",ISNUMBER(N114)),"SEM DEFESA",IF(H114="","SEM STATUS",IF(F114="","INFORMAR PRAZO",IF(P114="","SEM DATA",IF(P114&lt;0,"VENCIDO",IF(P114&lt;=DiasAlerta,"VENCE EM BREVE","NO PRAZO"))))))))</f>
        <v/>
      </c>
      <c r="R114" s="118" t="str">
        <f>IF(D114="","",TODAY()-D114)</f>
        <v/>
      </c>
      <c r="S114" s="111" t="n"/>
    </row>
    <row r="115" ht="18" customHeight="1">
      <c r="A115" s="110" t="n"/>
      <c r="B115" s="111" t="n"/>
      <c r="C115" s="111" t="n"/>
      <c r="D115" s="112" t="n"/>
      <c r="E115" s="111" t="n"/>
      <c r="F115" s="110" t="n"/>
      <c r="G115" s="113" t="n"/>
      <c r="H115" s="113" t="n"/>
      <c r="I115" s="111" t="n"/>
      <c r="J115" s="114" t="n"/>
      <c r="K115" s="114" t="n"/>
      <c r="L115" s="112" t="n"/>
      <c r="M115" s="112" t="n"/>
      <c r="N115" s="112" t="n"/>
      <c r="O115" s="115" t="str">
        <f>IF(OR(D115="",F115=""),"",D115+F115)</f>
        <v/>
      </c>
      <c r="P115" s="116" t="str">
        <f>IF(O115="","",IF(ISNUMBER(M115),O115-M115,IF(OR(H115="DECISÃO D.P",ISNUMBER(N115)),"",O115-TODAY())))</f>
        <v/>
      </c>
      <c r="Q115" s="117" t="str">
        <f>IF(B115="","",IF(ISNUMBER(N115),"DECIDIDO – ","")&amp;IF(ISNUMBER(M115),IF(P115="",IF(F115="","INFORMAR PRAZO","SEM DATA"),IF(P115&gt;=0,"DEFESA NO PRAZO","DEFESA FORA DO PRAZO")),IF(OR(H115="DECISÃO D.P",ISNUMBER(N115)),"SEM DEFESA",IF(H115="","SEM STATUS",IF(F115="","INFORMAR PRAZO",IF(P115="","SEM DATA",IF(P115&lt;0,"VENCIDO",IF(P115&lt;=DiasAlerta,"VENCE EM BREVE","NO PRAZO"))))))))</f>
        <v/>
      </c>
      <c r="R115" s="118" t="str">
        <f>IF(D115="","",TODAY()-D115)</f>
        <v/>
      </c>
      <c r="S115" s="111" t="n"/>
    </row>
    <row r="116" ht="18" customHeight="1">
      <c r="A116" s="110" t="n"/>
      <c r="B116" s="111" t="n"/>
      <c r="C116" s="111" t="n"/>
      <c r="D116" s="112" t="n"/>
      <c r="E116" s="111" t="n"/>
      <c r="F116" s="110" t="n"/>
      <c r="G116" s="113" t="n"/>
      <c r="H116" s="113" t="n"/>
      <c r="I116" s="111" t="n"/>
      <c r="J116" s="114" t="n"/>
      <c r="K116" s="114" t="n"/>
      <c r="L116" s="112" t="n"/>
      <c r="M116" s="112" t="n"/>
      <c r="N116" s="112" t="n"/>
      <c r="O116" s="115" t="str">
        <f>IF(OR(D116="",F116=""),"",D116+F116)</f>
        <v/>
      </c>
      <c r="P116" s="116" t="str">
        <f>IF(O116="","",IF(ISNUMBER(M116),O116-M116,IF(OR(H116="DECISÃO D.P",ISNUMBER(N116)),"",O116-TODAY())))</f>
        <v/>
      </c>
      <c r="Q116" s="117" t="str">
        <f>IF(B116="","",IF(ISNUMBER(N116),"DECIDIDO – ","")&amp;IF(ISNUMBER(M116),IF(P116="",IF(F116="","INFORMAR PRAZO","SEM DATA"),IF(P116&gt;=0,"DEFESA NO PRAZO","DEFESA FORA DO PRAZO")),IF(OR(H116="DECISÃO D.P",ISNUMBER(N116)),"SEM DEFESA",IF(H116="","SEM STATUS",IF(F116="","INFORMAR PRAZO",IF(P116="","SEM DATA",IF(P116&lt;0,"VENCIDO",IF(P116&lt;=DiasAlerta,"VENCE EM BREVE","NO PRAZO"))))))))</f>
        <v/>
      </c>
      <c r="R116" s="118" t="str">
        <f>IF(D116="","",TODAY()-D116)</f>
        <v/>
      </c>
      <c r="S116" s="111" t="n"/>
    </row>
    <row r="117" ht="18" customHeight="1">
      <c r="A117" s="110" t="n"/>
      <c r="B117" s="111" t="n"/>
      <c r="C117" s="111" t="n"/>
      <c r="D117" s="112" t="n"/>
      <c r="E117" s="111" t="n"/>
      <c r="F117" s="110" t="n"/>
      <c r="G117" s="113" t="n"/>
      <c r="H117" s="113" t="n"/>
      <c r="I117" s="111" t="n"/>
      <c r="J117" s="114" t="n"/>
      <c r="K117" s="114" t="n"/>
      <c r="L117" s="112" t="n"/>
      <c r="M117" s="112" t="n"/>
      <c r="N117" s="112" t="n"/>
      <c r="O117" s="115" t="str">
        <f>IF(OR(D117="",F117=""),"",D117+F117)</f>
        <v/>
      </c>
      <c r="P117" s="116" t="str">
        <f>IF(O117="","",IF(ISNUMBER(M117),O117-M117,IF(OR(H117="DECISÃO D.P",ISNUMBER(N117)),"",O117-TODAY())))</f>
        <v/>
      </c>
      <c r="Q117" s="117" t="str">
        <f>IF(B117="","",IF(ISNUMBER(N117),"DECIDIDO – ","")&amp;IF(ISNUMBER(M117),IF(P117="",IF(F117="","INFORMAR PRAZO","SEM DATA"),IF(P117&gt;=0,"DEFESA NO PRAZO","DEFESA FORA DO PRAZO")),IF(OR(H117="DECISÃO D.P",ISNUMBER(N117)),"SEM DEFESA",IF(H117="","SEM STATUS",IF(F117="","INFORMAR PRAZO",IF(P117="","SEM DATA",IF(P117&lt;0,"VENCIDO",IF(P117&lt;=DiasAlerta,"VENCE EM BREVE","NO PRAZO"))))))))</f>
        <v/>
      </c>
      <c r="R117" s="118" t="str">
        <f>IF(D117="","",TODAY()-D117)</f>
        <v/>
      </c>
      <c r="S117" s="111" t="n"/>
    </row>
    <row r="118" ht="18" customHeight="1">
      <c r="A118" s="110" t="n"/>
      <c r="B118" s="111" t="n"/>
      <c r="C118" s="111" t="n"/>
      <c r="D118" s="112" t="n"/>
      <c r="E118" s="111" t="n"/>
      <c r="F118" s="110" t="n"/>
      <c r="G118" s="113" t="n"/>
      <c r="H118" s="113" t="n"/>
      <c r="I118" s="111" t="n"/>
      <c r="J118" s="114" t="n"/>
      <c r="K118" s="114" t="n"/>
      <c r="L118" s="112" t="n"/>
      <c r="M118" s="112" t="n"/>
      <c r="N118" s="112" t="n"/>
      <c r="O118" s="115" t="str">
        <f>IF(OR(D118="",F118=""),"",D118+F118)</f>
        <v/>
      </c>
      <c r="P118" s="116" t="str">
        <f>IF(O118="","",IF(ISNUMBER(M118),O118-M118,IF(OR(H118="DECISÃO D.P",ISNUMBER(N118)),"",O118-TODAY())))</f>
        <v/>
      </c>
      <c r="Q118" s="117" t="str">
        <f>IF(B118="","",IF(ISNUMBER(N118),"DECIDIDO – ","")&amp;IF(ISNUMBER(M118),IF(P118="",IF(F118="","INFORMAR PRAZO","SEM DATA"),IF(P118&gt;=0,"DEFESA NO PRAZO","DEFESA FORA DO PRAZO")),IF(OR(H118="DECISÃO D.P",ISNUMBER(N118)),"SEM DEFESA",IF(H118="","SEM STATUS",IF(F118="","INFORMAR PRAZO",IF(P118="","SEM DATA",IF(P118&lt;0,"VENCIDO",IF(P118&lt;=DiasAlerta,"VENCE EM BREVE","NO PRAZO"))))))))</f>
        <v/>
      </c>
      <c r="R118" s="118" t="str">
        <f>IF(D118="","",TODAY()-D118)</f>
        <v/>
      </c>
      <c r="S118" s="111" t="n"/>
    </row>
    <row r="119" ht="18" customHeight="1">
      <c r="A119" s="110" t="n"/>
      <c r="B119" s="111" t="n"/>
      <c r="C119" s="111" t="n"/>
      <c r="D119" s="112" t="n"/>
      <c r="E119" s="111" t="n"/>
      <c r="F119" s="110" t="n"/>
      <c r="G119" s="113" t="n"/>
      <c r="H119" s="113" t="n"/>
      <c r="I119" s="111" t="n"/>
      <c r="J119" s="114" t="n"/>
      <c r="K119" s="114" t="n"/>
      <c r="L119" s="112" t="n"/>
      <c r="M119" s="112" t="n"/>
      <c r="N119" s="112" t="n"/>
      <c r="O119" s="115" t="str">
        <f>IF(OR(D119="",F119=""),"",D119+F119)</f>
        <v/>
      </c>
      <c r="P119" s="116" t="str">
        <f>IF(O119="","",IF(ISNUMBER(M119),O119-M119,IF(OR(H119="DECISÃO D.P",ISNUMBER(N119)),"",O119-TODAY())))</f>
        <v/>
      </c>
      <c r="Q119" s="117" t="str">
        <f>IF(B119="","",IF(ISNUMBER(N119),"DECIDIDO – ","")&amp;IF(ISNUMBER(M119),IF(P119="",IF(F119="","INFORMAR PRAZO","SEM DATA"),IF(P119&gt;=0,"DEFESA NO PRAZO","DEFESA FORA DO PRAZO")),IF(OR(H119="DECISÃO D.P",ISNUMBER(N119)),"SEM DEFESA",IF(H119="","SEM STATUS",IF(F119="","INFORMAR PRAZO",IF(P119="","SEM DATA",IF(P119&lt;0,"VENCIDO",IF(P119&lt;=DiasAlerta,"VENCE EM BREVE","NO PRAZO"))))))))</f>
        <v/>
      </c>
      <c r="R119" s="118" t="str">
        <f>IF(D119="","",TODAY()-D119)</f>
        <v/>
      </c>
      <c r="S119" s="111" t="n"/>
    </row>
    <row r="120" ht="18" customHeight="1">
      <c r="A120" s="110" t="n"/>
      <c r="B120" s="111" t="n"/>
      <c r="C120" s="111" t="n"/>
      <c r="D120" s="112" t="n"/>
      <c r="E120" s="111" t="n"/>
      <c r="F120" s="110" t="n"/>
      <c r="G120" s="113" t="n"/>
      <c r="H120" s="113" t="n"/>
      <c r="I120" s="111" t="n"/>
      <c r="J120" s="114" t="n"/>
      <c r="K120" s="114" t="n"/>
      <c r="L120" s="112" t="n"/>
      <c r="M120" s="112" t="n"/>
      <c r="N120" s="112" t="n"/>
      <c r="O120" s="115" t="str">
        <f>IF(OR(D120="",F120=""),"",D120+F120)</f>
        <v/>
      </c>
      <c r="P120" s="116" t="str">
        <f>IF(O120="","",IF(ISNUMBER(M120),O120-M120,IF(OR(H120="DECISÃO D.P",ISNUMBER(N120)),"",O120-TODAY())))</f>
        <v/>
      </c>
      <c r="Q120" s="117" t="str">
        <f>IF(B120="","",IF(ISNUMBER(N120),"DECIDIDO – ","")&amp;IF(ISNUMBER(M120),IF(P120="",IF(F120="","INFORMAR PRAZO","SEM DATA"),IF(P120&gt;=0,"DEFESA NO PRAZO","DEFESA FORA DO PRAZO")),IF(OR(H120="DECISÃO D.P",ISNUMBER(N120)),"SEM DEFESA",IF(H120="","SEM STATUS",IF(F120="","INFORMAR PRAZO",IF(P120="","SEM DATA",IF(P120&lt;0,"VENCIDO",IF(P120&lt;=DiasAlerta,"VENCE EM BREVE","NO PRAZO"))))))))</f>
        <v/>
      </c>
      <c r="R120" s="118" t="str">
        <f>IF(D120="","",TODAY()-D120)</f>
        <v/>
      </c>
      <c r="S120" s="111" t="n"/>
    </row>
    <row r="121" ht="18" customHeight="1">
      <c r="A121" s="110" t="n"/>
      <c r="B121" s="111" t="n"/>
      <c r="C121" s="111" t="n"/>
      <c r="D121" s="112" t="n"/>
      <c r="E121" s="111" t="n"/>
      <c r="F121" s="110" t="n"/>
      <c r="G121" s="113" t="n"/>
      <c r="H121" s="113" t="n"/>
      <c r="I121" s="111" t="n"/>
      <c r="J121" s="114" t="n"/>
      <c r="K121" s="114" t="n"/>
      <c r="L121" s="112" t="n"/>
      <c r="M121" s="112" t="n"/>
      <c r="N121" s="112" t="n"/>
      <c r="O121" s="115" t="str">
        <f>IF(OR(D121="",F121=""),"",D121+F121)</f>
        <v/>
      </c>
      <c r="P121" s="116" t="str">
        <f>IF(O121="","",IF(ISNUMBER(M121),O121-M121,IF(OR(H121="DECISÃO D.P",ISNUMBER(N121)),"",O121-TODAY())))</f>
        <v/>
      </c>
      <c r="Q121" s="117" t="str">
        <f>IF(B121="","",IF(ISNUMBER(N121),"DECIDIDO – ","")&amp;IF(ISNUMBER(M121),IF(P121="",IF(F121="","INFORMAR PRAZO","SEM DATA"),IF(P121&gt;=0,"DEFESA NO PRAZO","DEFESA FORA DO PRAZO")),IF(OR(H121="DECISÃO D.P",ISNUMBER(N121)),"SEM DEFESA",IF(H121="","SEM STATUS",IF(F121="","INFORMAR PRAZO",IF(P121="","SEM DATA",IF(P121&lt;0,"VENCIDO",IF(P121&lt;=DiasAlerta,"VENCE EM BREVE","NO PRAZO"))))))))</f>
        <v/>
      </c>
      <c r="R121" s="118" t="str">
        <f>IF(D121="","",TODAY()-D121)</f>
        <v/>
      </c>
      <c r="S121" s="111" t="n"/>
    </row>
    <row r="122" ht="18" customHeight="1">
      <c r="A122" s="110" t="n"/>
      <c r="B122" s="111" t="n"/>
      <c r="C122" s="111" t="n"/>
      <c r="D122" s="112" t="n"/>
      <c r="E122" s="111" t="n"/>
      <c r="F122" s="110" t="n"/>
      <c r="G122" s="113" t="n"/>
      <c r="H122" s="113" t="n"/>
      <c r="I122" s="111" t="n"/>
      <c r="J122" s="114" t="n"/>
      <c r="K122" s="114" t="n"/>
      <c r="L122" s="112" t="n"/>
      <c r="M122" s="112" t="n"/>
      <c r="N122" s="112" t="n"/>
      <c r="O122" s="115" t="str">
        <f>IF(OR(D122="",F122=""),"",D122+F122)</f>
        <v/>
      </c>
      <c r="P122" s="116" t="str">
        <f>IF(O122="","",IF(ISNUMBER(M122),O122-M122,IF(OR(H122="DECISÃO D.P",ISNUMBER(N122)),"",O122-TODAY())))</f>
        <v/>
      </c>
      <c r="Q122" s="117" t="str">
        <f>IF(B122="","",IF(ISNUMBER(N122),"DECIDIDO – ","")&amp;IF(ISNUMBER(M122),IF(P122="",IF(F122="","INFORMAR PRAZO","SEM DATA"),IF(P122&gt;=0,"DEFESA NO PRAZO","DEFESA FORA DO PRAZO")),IF(OR(H122="DECISÃO D.P",ISNUMBER(N122)),"SEM DEFESA",IF(H122="","SEM STATUS",IF(F122="","INFORMAR PRAZO",IF(P122="","SEM DATA",IF(P122&lt;0,"VENCIDO",IF(P122&lt;=DiasAlerta,"VENCE EM BREVE","NO PRAZO"))))))))</f>
        <v/>
      </c>
      <c r="R122" s="118" t="str">
        <f>IF(D122="","",TODAY()-D122)</f>
        <v/>
      </c>
      <c r="S122" s="111" t="n"/>
    </row>
    <row r="123" ht="18" customHeight="1">
      <c r="A123" s="110" t="n"/>
      <c r="B123" s="111" t="n"/>
      <c r="C123" s="111" t="n"/>
      <c r="D123" s="112" t="n"/>
      <c r="E123" s="111" t="n"/>
      <c r="F123" s="110" t="n"/>
      <c r="G123" s="113" t="n"/>
      <c r="H123" s="113" t="n"/>
      <c r="I123" s="111" t="n"/>
      <c r="J123" s="114" t="n"/>
      <c r="K123" s="114" t="n"/>
      <c r="L123" s="112" t="n"/>
      <c r="M123" s="112" t="n"/>
      <c r="N123" s="112" t="n"/>
      <c r="O123" s="115" t="str">
        <f>IF(OR(D123="",F123=""),"",D123+F123)</f>
        <v/>
      </c>
      <c r="P123" s="116" t="str">
        <f>IF(O123="","",IF(ISNUMBER(M123),O123-M123,IF(OR(H123="DECISÃO D.P",ISNUMBER(N123)),"",O123-TODAY())))</f>
        <v/>
      </c>
      <c r="Q123" s="117" t="str">
        <f>IF(B123="","",IF(ISNUMBER(N123),"DECIDIDO – ","")&amp;IF(ISNUMBER(M123),IF(P123="",IF(F123="","INFORMAR PRAZO","SEM DATA"),IF(P123&gt;=0,"DEFESA NO PRAZO","DEFESA FORA DO PRAZO")),IF(OR(H123="DECISÃO D.P",ISNUMBER(N123)),"SEM DEFESA",IF(H123="","SEM STATUS",IF(F123="","INFORMAR PRAZO",IF(P123="","SEM DATA",IF(P123&lt;0,"VENCIDO",IF(P123&lt;=DiasAlerta,"VENCE EM BREVE","NO PRAZO"))))))))</f>
        <v/>
      </c>
      <c r="R123" s="118" t="str">
        <f>IF(D123="","",TODAY()-D123)</f>
        <v/>
      </c>
      <c r="S123" s="111" t="n"/>
    </row>
    <row r="124" ht="18" customHeight="1">
      <c r="A124" s="110" t="n"/>
      <c r="B124" s="111" t="n"/>
      <c r="C124" s="111" t="n"/>
      <c r="D124" s="112" t="n"/>
      <c r="E124" s="111" t="n"/>
      <c r="F124" s="110" t="n"/>
      <c r="G124" s="113" t="n"/>
      <c r="H124" s="113" t="n"/>
      <c r="I124" s="111" t="n"/>
      <c r="J124" s="114" t="n"/>
      <c r="K124" s="114" t="n"/>
      <c r="L124" s="112" t="n"/>
      <c r="M124" s="112" t="n"/>
      <c r="N124" s="112" t="n"/>
      <c r="O124" s="115" t="str">
        <f>IF(OR(D124="",F124=""),"",D124+F124)</f>
        <v/>
      </c>
      <c r="P124" s="116" t="str">
        <f>IF(O124="","",IF(ISNUMBER(M124),O124-M124,IF(OR(H124="DECISÃO D.P",ISNUMBER(N124)),"",O124-TODAY())))</f>
        <v/>
      </c>
      <c r="Q124" s="117" t="str">
        <f>IF(B124="","",IF(ISNUMBER(N124),"DECIDIDO – ","")&amp;IF(ISNUMBER(M124),IF(P124="",IF(F124="","INFORMAR PRAZO","SEM DATA"),IF(P124&gt;=0,"DEFESA NO PRAZO","DEFESA FORA DO PRAZO")),IF(OR(H124="DECISÃO D.P",ISNUMBER(N124)),"SEM DEFESA",IF(H124="","SEM STATUS",IF(F124="","INFORMAR PRAZO",IF(P124="","SEM DATA",IF(P124&lt;0,"VENCIDO",IF(P124&lt;=DiasAlerta,"VENCE EM BREVE","NO PRAZO"))))))))</f>
        <v/>
      </c>
      <c r="R124" s="118" t="str">
        <f>IF(D124="","",TODAY()-D124)</f>
        <v/>
      </c>
      <c r="S124" s="111" t="n"/>
    </row>
    <row r="125" ht="18" customHeight="1">
      <c r="A125" s="110" t="n"/>
      <c r="B125" s="111" t="n"/>
      <c r="C125" s="111" t="n"/>
      <c r="D125" s="112" t="n"/>
      <c r="E125" s="111" t="n"/>
      <c r="F125" s="110" t="n"/>
      <c r="G125" s="113" t="n"/>
      <c r="H125" s="113" t="n"/>
      <c r="I125" s="111" t="n"/>
      <c r="J125" s="114" t="n"/>
      <c r="K125" s="114" t="n"/>
      <c r="L125" s="112" t="n"/>
      <c r="M125" s="112" t="n"/>
      <c r="N125" s="112" t="n"/>
      <c r="O125" s="115" t="str">
        <f>IF(OR(D125="",F125=""),"",D125+F125)</f>
        <v/>
      </c>
      <c r="P125" s="116" t="str">
        <f>IF(O125="","",IF(ISNUMBER(M125),O125-M125,IF(OR(H125="DECISÃO D.P",ISNUMBER(N125)),"",O125-TODAY())))</f>
        <v/>
      </c>
      <c r="Q125" s="117" t="str">
        <f>IF(B125="","",IF(ISNUMBER(N125),"DECIDIDO – ","")&amp;IF(ISNUMBER(M125),IF(P125="",IF(F125="","INFORMAR PRAZO","SEM DATA"),IF(P125&gt;=0,"DEFESA NO PRAZO","DEFESA FORA DO PRAZO")),IF(OR(H125="DECISÃO D.P",ISNUMBER(N125)),"SEM DEFESA",IF(H125="","SEM STATUS",IF(F125="","INFORMAR PRAZO",IF(P125="","SEM DATA",IF(P125&lt;0,"VENCIDO",IF(P125&lt;=DiasAlerta,"VENCE EM BREVE","NO PRAZO"))))))))</f>
        <v/>
      </c>
      <c r="R125" s="118" t="str">
        <f>IF(D125="","",TODAY()-D125)</f>
        <v/>
      </c>
      <c r="S125" s="111" t="n"/>
    </row>
    <row r="126" ht="18" customHeight="1">
      <c r="A126" s="110" t="n"/>
      <c r="B126" s="111" t="n"/>
      <c r="C126" s="111" t="n"/>
      <c r="D126" s="112" t="n"/>
      <c r="E126" s="111" t="n"/>
      <c r="F126" s="110" t="n"/>
      <c r="G126" s="113" t="n"/>
      <c r="H126" s="113" t="n"/>
      <c r="I126" s="111" t="n"/>
      <c r="J126" s="114" t="n"/>
      <c r="K126" s="114" t="n"/>
      <c r="L126" s="112" t="n"/>
      <c r="M126" s="112" t="n"/>
      <c r="N126" s="112" t="n"/>
      <c r="O126" s="115" t="str">
        <f>IF(OR(D126="",F126=""),"",D126+F126)</f>
        <v/>
      </c>
      <c r="P126" s="116" t="str">
        <f>IF(O126="","",IF(ISNUMBER(M126),O126-M126,IF(OR(H126="DECISÃO D.P",ISNUMBER(N126)),"",O126-TODAY())))</f>
        <v/>
      </c>
      <c r="Q126" s="117" t="str">
        <f>IF(B126="","",IF(ISNUMBER(N126),"DECIDIDO – ","")&amp;IF(ISNUMBER(M126),IF(P126="",IF(F126="","INFORMAR PRAZO","SEM DATA"),IF(P126&gt;=0,"DEFESA NO PRAZO","DEFESA FORA DO PRAZO")),IF(OR(H126="DECISÃO D.P",ISNUMBER(N126)),"SEM DEFESA",IF(H126="","SEM STATUS",IF(F126="","INFORMAR PRAZO",IF(P126="","SEM DATA",IF(P126&lt;0,"VENCIDO",IF(P126&lt;=DiasAlerta,"VENCE EM BREVE","NO PRAZO"))))))))</f>
        <v/>
      </c>
      <c r="R126" s="118" t="str">
        <f>IF(D126="","",TODAY()-D126)</f>
        <v/>
      </c>
      <c r="S126" s="111" t="n"/>
    </row>
    <row r="127" ht="18" customHeight="1">
      <c r="A127" s="110" t="n"/>
      <c r="B127" s="111" t="n"/>
      <c r="C127" s="111" t="n"/>
      <c r="D127" s="112" t="n"/>
      <c r="E127" s="111" t="n"/>
      <c r="F127" s="110" t="n"/>
      <c r="G127" s="113" t="n"/>
      <c r="H127" s="113" t="n"/>
      <c r="I127" s="111" t="n"/>
      <c r="J127" s="114" t="n"/>
      <c r="K127" s="114" t="n"/>
      <c r="L127" s="112" t="n"/>
      <c r="M127" s="112" t="n"/>
      <c r="N127" s="112" t="n"/>
      <c r="O127" s="115" t="str">
        <f>IF(OR(D127="",F127=""),"",D127+F127)</f>
        <v/>
      </c>
      <c r="P127" s="116" t="str">
        <f>IF(O127="","",IF(ISNUMBER(M127),O127-M127,IF(OR(H127="DECISÃO D.P",ISNUMBER(N127)),"",O127-TODAY())))</f>
        <v/>
      </c>
      <c r="Q127" s="117" t="str">
        <f>IF(B127="","",IF(ISNUMBER(N127),"DECIDIDO – ","")&amp;IF(ISNUMBER(M127),IF(P127="",IF(F127="","INFORMAR PRAZO","SEM DATA"),IF(P127&gt;=0,"DEFESA NO PRAZO","DEFESA FORA DO PRAZO")),IF(OR(H127="DECISÃO D.P",ISNUMBER(N127)),"SEM DEFESA",IF(H127="","SEM STATUS",IF(F127="","INFORMAR PRAZO",IF(P127="","SEM DATA",IF(P127&lt;0,"VENCIDO",IF(P127&lt;=DiasAlerta,"VENCE EM BREVE","NO PRAZO"))))))))</f>
        <v/>
      </c>
      <c r="R127" s="118" t="str">
        <f>IF(D127="","",TODAY()-D127)</f>
        <v/>
      </c>
      <c r="S127" s="111" t="n"/>
    </row>
    <row r="128" ht="18" customHeight="1">
      <c r="A128" s="110" t="n"/>
      <c r="B128" s="111" t="n"/>
      <c r="C128" s="111" t="n"/>
      <c r="D128" s="112" t="n"/>
      <c r="E128" s="111" t="n"/>
      <c r="F128" s="110" t="n"/>
      <c r="G128" s="113" t="n"/>
      <c r="H128" s="113" t="n"/>
      <c r="I128" s="111" t="n"/>
      <c r="J128" s="114" t="n"/>
      <c r="K128" s="114" t="n"/>
      <c r="L128" s="112" t="n"/>
      <c r="M128" s="112" t="n"/>
      <c r="N128" s="112" t="n"/>
      <c r="O128" s="115" t="str">
        <f>IF(OR(D128="",F128=""),"",D128+F128)</f>
        <v/>
      </c>
      <c r="P128" s="116" t="str">
        <f>IF(O128="","",IF(ISNUMBER(M128),O128-M128,IF(OR(H128="DECISÃO D.P",ISNUMBER(N128)),"",O128-TODAY())))</f>
        <v/>
      </c>
      <c r="Q128" s="117" t="str">
        <f>IF(B128="","",IF(ISNUMBER(N128),"DECIDIDO – ","")&amp;IF(ISNUMBER(M128),IF(P128="",IF(F128="","INFORMAR PRAZO","SEM DATA"),IF(P128&gt;=0,"DEFESA NO PRAZO","DEFESA FORA DO PRAZO")),IF(OR(H128="DECISÃO D.P",ISNUMBER(N128)),"SEM DEFESA",IF(H128="","SEM STATUS",IF(F128="","INFORMAR PRAZO",IF(P128="","SEM DATA",IF(P128&lt;0,"VENCIDO",IF(P128&lt;=DiasAlerta,"VENCE EM BREVE","NO PRAZO"))))))))</f>
        <v/>
      </c>
      <c r="R128" s="118" t="str">
        <f>IF(D128="","",TODAY()-D128)</f>
        <v/>
      </c>
      <c r="S128" s="111" t="n"/>
    </row>
    <row r="129" ht="18" customHeight="1">
      <c r="A129" s="110" t="n"/>
      <c r="B129" s="111" t="n"/>
      <c r="C129" s="111" t="n"/>
      <c r="D129" s="112" t="n"/>
      <c r="E129" s="111" t="n"/>
      <c r="F129" s="110" t="n"/>
      <c r="G129" s="113" t="n"/>
      <c r="H129" s="113" t="n"/>
      <c r="I129" s="111" t="n"/>
      <c r="J129" s="114" t="n"/>
      <c r="K129" s="114" t="n"/>
      <c r="L129" s="112" t="n"/>
      <c r="M129" s="112" t="n"/>
      <c r="N129" s="112" t="n"/>
      <c r="O129" s="115" t="str">
        <f>IF(OR(D129="",F129=""),"",D129+F129)</f>
        <v/>
      </c>
      <c r="P129" s="116" t="str">
        <f>IF(O129="","",IF(ISNUMBER(M129),O129-M129,IF(OR(H129="DECISÃO D.P",ISNUMBER(N129)),"",O129-TODAY())))</f>
        <v/>
      </c>
      <c r="Q129" s="117" t="str">
        <f>IF(B129="","",IF(ISNUMBER(N129),"DECIDIDO – ","")&amp;IF(ISNUMBER(M129),IF(P129="",IF(F129="","INFORMAR PRAZO","SEM DATA"),IF(P129&gt;=0,"DEFESA NO PRAZO","DEFESA FORA DO PRAZO")),IF(OR(H129="DECISÃO D.P",ISNUMBER(N129)),"SEM DEFESA",IF(H129="","SEM STATUS",IF(F129="","INFORMAR PRAZO",IF(P129="","SEM DATA",IF(P129&lt;0,"VENCIDO",IF(P129&lt;=DiasAlerta,"VENCE EM BREVE","NO PRAZO"))))))))</f>
        <v/>
      </c>
      <c r="R129" s="118" t="str">
        <f>IF(D129="","",TODAY()-D129)</f>
        <v/>
      </c>
      <c r="S129" s="111" t="n"/>
    </row>
    <row r="130" ht="18" customHeight="1">
      <c r="A130" s="110" t="n"/>
      <c r="B130" s="111" t="n"/>
      <c r="C130" s="111" t="n"/>
      <c r="D130" s="112" t="n"/>
      <c r="E130" s="111" t="n"/>
      <c r="F130" s="110" t="n"/>
      <c r="G130" s="113" t="n"/>
      <c r="H130" s="113" t="n"/>
      <c r="I130" s="111" t="n"/>
      <c r="J130" s="114" t="n"/>
      <c r="K130" s="114" t="n"/>
      <c r="L130" s="112" t="n"/>
      <c r="M130" s="112" t="n"/>
      <c r="N130" s="112" t="n"/>
      <c r="O130" s="115" t="str">
        <f>IF(OR(D130="",F130=""),"",D130+F130)</f>
        <v/>
      </c>
      <c r="P130" s="116" t="str">
        <f>IF(O130="","",IF(ISNUMBER(M130),O130-M130,IF(OR(H130="DECISÃO D.P",ISNUMBER(N130)),"",O130-TODAY())))</f>
        <v/>
      </c>
      <c r="Q130" s="117" t="str">
        <f>IF(B130="","",IF(ISNUMBER(N130),"DECIDIDO – ","")&amp;IF(ISNUMBER(M130),IF(P130="",IF(F130="","INFORMAR PRAZO","SEM DATA"),IF(P130&gt;=0,"DEFESA NO PRAZO","DEFESA FORA DO PRAZO")),IF(OR(H130="DECISÃO D.P",ISNUMBER(N130)),"SEM DEFESA",IF(H130="","SEM STATUS",IF(F130="","INFORMAR PRAZO",IF(P130="","SEM DATA",IF(P130&lt;0,"VENCIDO",IF(P130&lt;=DiasAlerta,"VENCE EM BREVE","NO PRAZO"))))))))</f>
        <v/>
      </c>
      <c r="R130" s="118" t="str">
        <f>IF(D130="","",TODAY()-D130)</f>
        <v/>
      </c>
      <c r="S130" s="111" t="n"/>
    </row>
    <row r="131" ht="18" customHeight="1">
      <c r="A131" s="110" t="n"/>
      <c r="B131" s="111" t="n"/>
      <c r="C131" s="111" t="n"/>
      <c r="D131" s="112" t="n"/>
      <c r="E131" s="111" t="n"/>
      <c r="F131" s="110" t="n"/>
      <c r="G131" s="113" t="n"/>
      <c r="H131" s="113" t="n"/>
      <c r="I131" s="111" t="n"/>
      <c r="J131" s="114" t="n"/>
      <c r="K131" s="114" t="n"/>
      <c r="L131" s="112" t="n"/>
      <c r="M131" s="112" t="n"/>
      <c r="N131" s="112" t="n"/>
      <c r="O131" s="115" t="str">
        <f>IF(OR(D131="",F131=""),"",D131+F131)</f>
        <v/>
      </c>
      <c r="P131" s="116" t="str">
        <f>IF(O131="","",IF(ISNUMBER(M131),O131-M131,IF(OR(H131="DECISÃO D.P",ISNUMBER(N131)),"",O131-TODAY())))</f>
        <v/>
      </c>
      <c r="Q131" s="117" t="str">
        <f>IF(B131="","",IF(ISNUMBER(N131),"DECIDIDO – ","")&amp;IF(ISNUMBER(M131),IF(P131="",IF(F131="","INFORMAR PRAZO","SEM DATA"),IF(P131&gt;=0,"DEFESA NO PRAZO","DEFESA FORA DO PRAZO")),IF(OR(H131="DECISÃO D.P",ISNUMBER(N131)),"SEM DEFESA",IF(H131="","SEM STATUS",IF(F131="","INFORMAR PRAZO",IF(P131="","SEM DATA",IF(P131&lt;0,"VENCIDO",IF(P131&lt;=DiasAlerta,"VENCE EM BREVE","NO PRAZO"))))))))</f>
        <v/>
      </c>
      <c r="R131" s="118" t="str">
        <f>IF(D131="","",TODAY()-D131)</f>
        <v/>
      </c>
      <c r="S131" s="111" t="n"/>
    </row>
    <row r="132" ht="18" customHeight="1">
      <c r="A132" s="110" t="n"/>
      <c r="B132" s="111" t="n"/>
      <c r="C132" s="111" t="n"/>
      <c r="D132" s="112" t="n"/>
      <c r="E132" s="111" t="n"/>
      <c r="F132" s="110" t="n"/>
      <c r="G132" s="113" t="n"/>
      <c r="H132" s="113" t="n"/>
      <c r="I132" s="111" t="n"/>
      <c r="J132" s="114" t="n"/>
      <c r="K132" s="114" t="n"/>
      <c r="L132" s="112" t="n"/>
      <c r="M132" s="112" t="n"/>
      <c r="N132" s="112" t="n"/>
      <c r="O132" s="115" t="str">
        <f>IF(OR(D132="",F132=""),"",D132+F132)</f>
        <v/>
      </c>
      <c r="P132" s="116" t="str">
        <f>IF(O132="","",IF(ISNUMBER(M132),O132-M132,IF(OR(H132="DECISÃO D.P",ISNUMBER(N132)),"",O132-TODAY())))</f>
        <v/>
      </c>
      <c r="Q132" s="117" t="str">
        <f>IF(B132="","",IF(ISNUMBER(N132),"DECIDIDO – ","")&amp;IF(ISNUMBER(M132),IF(P132="",IF(F132="","INFORMAR PRAZO","SEM DATA"),IF(P132&gt;=0,"DEFESA NO PRAZO","DEFESA FORA DO PRAZO")),IF(OR(H132="DECISÃO D.P",ISNUMBER(N132)),"SEM DEFESA",IF(H132="","SEM STATUS",IF(F132="","INFORMAR PRAZO",IF(P132="","SEM DATA",IF(P132&lt;0,"VENCIDO",IF(P132&lt;=DiasAlerta,"VENCE EM BREVE","NO PRAZO"))))))))</f>
        <v/>
      </c>
      <c r="R132" s="118" t="str">
        <f>IF(D132="","",TODAY()-D132)</f>
        <v/>
      </c>
      <c r="S132" s="111" t="n"/>
    </row>
    <row r="133" ht="18" customHeight="1">
      <c r="A133" s="110" t="n"/>
      <c r="B133" s="111" t="n"/>
      <c r="C133" s="111" t="n"/>
      <c r="D133" s="112" t="n"/>
      <c r="E133" s="111" t="n"/>
      <c r="F133" s="110" t="n"/>
      <c r="G133" s="113" t="n"/>
      <c r="H133" s="113" t="n"/>
      <c r="I133" s="111" t="n"/>
      <c r="J133" s="114" t="n"/>
      <c r="K133" s="114" t="n"/>
      <c r="L133" s="112" t="n"/>
      <c r="M133" s="112" t="n"/>
      <c r="N133" s="112" t="n"/>
      <c r="O133" s="115" t="str">
        <f>IF(OR(D133="",F133=""),"",D133+F133)</f>
        <v/>
      </c>
      <c r="P133" s="116" t="str">
        <f>IF(O133="","",IF(ISNUMBER(M133),O133-M133,IF(OR(H133="DECISÃO D.P",ISNUMBER(N133)),"",O133-TODAY())))</f>
        <v/>
      </c>
      <c r="Q133" s="117" t="str">
        <f>IF(B133="","",IF(ISNUMBER(N133),"DECIDIDO – ","")&amp;IF(ISNUMBER(M133),IF(P133="",IF(F133="","INFORMAR PRAZO","SEM DATA"),IF(P133&gt;=0,"DEFESA NO PRAZO","DEFESA FORA DO PRAZO")),IF(OR(H133="DECISÃO D.P",ISNUMBER(N133)),"SEM DEFESA",IF(H133="","SEM STATUS",IF(F133="","INFORMAR PRAZO",IF(P133="","SEM DATA",IF(P133&lt;0,"VENCIDO",IF(P133&lt;=DiasAlerta,"VENCE EM BREVE","NO PRAZO"))))))))</f>
        <v/>
      </c>
      <c r="R133" s="118" t="str">
        <f>IF(D133="","",TODAY()-D133)</f>
        <v/>
      </c>
      <c r="S133" s="111" t="n"/>
    </row>
    <row r="134" ht="18" customHeight="1">
      <c r="A134" s="110" t="n"/>
      <c r="B134" s="111" t="n"/>
      <c r="C134" s="111" t="n"/>
      <c r="D134" s="112" t="n"/>
      <c r="E134" s="111" t="n"/>
      <c r="F134" s="110" t="n"/>
      <c r="G134" s="113" t="n"/>
      <c r="H134" s="113" t="n"/>
      <c r="I134" s="111" t="n"/>
      <c r="J134" s="114" t="n"/>
      <c r="K134" s="114" t="n"/>
      <c r="L134" s="112" t="n"/>
      <c r="M134" s="112" t="n"/>
      <c r="N134" s="112" t="n"/>
      <c r="O134" s="115" t="str">
        <f>IF(OR(D134="",F134=""),"",D134+F134)</f>
        <v/>
      </c>
      <c r="P134" s="116" t="str">
        <f>IF(O134="","",IF(ISNUMBER(M134),O134-M134,IF(OR(H134="DECISÃO D.P",ISNUMBER(N134)),"",O134-TODAY())))</f>
        <v/>
      </c>
      <c r="Q134" s="117" t="str">
        <f>IF(B134="","",IF(ISNUMBER(N134),"DECIDIDO – ","")&amp;IF(ISNUMBER(M134),IF(P134="",IF(F134="","INFORMAR PRAZO","SEM DATA"),IF(P134&gt;=0,"DEFESA NO PRAZO","DEFESA FORA DO PRAZO")),IF(OR(H134="DECISÃO D.P",ISNUMBER(N134)),"SEM DEFESA",IF(H134="","SEM STATUS",IF(F134="","INFORMAR PRAZO",IF(P134="","SEM DATA",IF(P134&lt;0,"VENCIDO",IF(P134&lt;=DiasAlerta,"VENCE EM BREVE","NO PRAZO"))))))))</f>
        <v/>
      </c>
      <c r="R134" s="118" t="str">
        <f>IF(D134="","",TODAY()-D134)</f>
        <v/>
      </c>
      <c r="S134" s="111" t="n"/>
    </row>
    <row r="135" ht="18" customHeight="1">
      <c r="A135" s="110" t="n"/>
      <c r="B135" s="111" t="n"/>
      <c r="C135" s="111" t="n"/>
      <c r="D135" s="112" t="n"/>
      <c r="E135" s="111" t="n"/>
      <c r="F135" s="110" t="n"/>
      <c r="G135" s="113" t="n"/>
      <c r="H135" s="113" t="n"/>
      <c r="I135" s="111" t="n"/>
      <c r="J135" s="114" t="n"/>
      <c r="K135" s="114" t="n"/>
      <c r="L135" s="112" t="n"/>
      <c r="M135" s="112" t="n"/>
      <c r="N135" s="112" t="n"/>
      <c r="O135" s="115" t="str">
        <f>IF(OR(D135="",F135=""),"",D135+F135)</f>
        <v/>
      </c>
      <c r="P135" s="116" t="str">
        <f>IF(O135="","",IF(ISNUMBER(M135),O135-M135,IF(OR(H135="DECISÃO D.P",ISNUMBER(N135)),"",O135-TODAY())))</f>
        <v/>
      </c>
      <c r="Q135" s="117" t="str">
        <f>IF(B135="","",IF(ISNUMBER(N135),"DECIDIDO – ","")&amp;IF(ISNUMBER(M135),IF(P135="",IF(F135="","INFORMAR PRAZO","SEM DATA"),IF(P135&gt;=0,"DEFESA NO PRAZO","DEFESA FORA DO PRAZO")),IF(OR(H135="DECISÃO D.P",ISNUMBER(N135)),"SEM DEFESA",IF(H135="","SEM STATUS",IF(F135="","INFORMAR PRAZO",IF(P135="","SEM DATA",IF(P135&lt;0,"VENCIDO",IF(P135&lt;=DiasAlerta,"VENCE EM BREVE","NO PRAZO"))))))))</f>
        <v/>
      </c>
      <c r="R135" s="118" t="str">
        <f>IF(D135="","",TODAY()-D135)</f>
        <v/>
      </c>
      <c r="S135" s="111" t="n"/>
    </row>
    <row r="136" ht="18" customHeight="1">
      <c r="A136" s="110" t="n"/>
      <c r="B136" s="111" t="n"/>
      <c r="C136" s="111" t="n"/>
      <c r="D136" s="112" t="n"/>
      <c r="E136" s="111" t="n"/>
      <c r="F136" s="110" t="n"/>
      <c r="G136" s="113" t="n"/>
      <c r="H136" s="113" t="n"/>
      <c r="I136" s="111" t="n"/>
      <c r="J136" s="114" t="n"/>
      <c r="K136" s="114" t="n"/>
      <c r="L136" s="112" t="n"/>
      <c r="M136" s="112" t="n"/>
      <c r="N136" s="112" t="n"/>
      <c r="O136" s="115" t="str">
        <f>IF(OR(D136="",F136=""),"",D136+F136)</f>
        <v/>
      </c>
      <c r="P136" s="116" t="str">
        <f>IF(O136="","",IF(ISNUMBER(M136),O136-M136,IF(OR(H136="DECISÃO D.P",ISNUMBER(N136)),"",O136-TODAY())))</f>
        <v/>
      </c>
      <c r="Q136" s="117" t="str">
        <f>IF(B136="","",IF(ISNUMBER(N136),"DECIDIDO – ","")&amp;IF(ISNUMBER(M136),IF(P136="",IF(F136="","INFORMAR PRAZO","SEM DATA"),IF(P136&gt;=0,"DEFESA NO PRAZO","DEFESA FORA DO PRAZO")),IF(OR(H136="DECISÃO D.P",ISNUMBER(N136)),"SEM DEFESA",IF(H136="","SEM STATUS",IF(F136="","INFORMAR PRAZO",IF(P136="","SEM DATA",IF(P136&lt;0,"VENCIDO",IF(P136&lt;=DiasAlerta,"VENCE EM BREVE","NO PRAZO"))))))))</f>
        <v/>
      </c>
      <c r="R136" s="118" t="str">
        <f>IF(D136="","",TODAY()-D136)</f>
        <v/>
      </c>
      <c r="S136" s="111" t="n"/>
    </row>
    <row r="137" ht="18" customHeight="1">
      <c r="A137" s="110" t="n"/>
      <c r="B137" s="111" t="n"/>
      <c r="C137" s="111" t="n"/>
      <c r="D137" s="112" t="n"/>
      <c r="E137" s="111" t="n"/>
      <c r="F137" s="110" t="n"/>
      <c r="G137" s="113" t="n"/>
      <c r="H137" s="113" t="n"/>
      <c r="I137" s="111" t="n"/>
      <c r="J137" s="114" t="n"/>
      <c r="K137" s="114" t="n"/>
      <c r="L137" s="112" t="n"/>
      <c r="M137" s="112" t="n"/>
      <c r="N137" s="112" t="n"/>
      <c r="O137" s="115" t="str">
        <f>IF(OR(D137="",F137=""),"",D137+F137)</f>
        <v/>
      </c>
      <c r="P137" s="116" t="str">
        <f>IF(O137="","",IF(ISNUMBER(M137),O137-M137,IF(OR(H137="DECISÃO D.P",ISNUMBER(N137)),"",O137-TODAY())))</f>
        <v/>
      </c>
      <c r="Q137" s="117" t="str">
        <f>IF(B137="","",IF(ISNUMBER(N137),"DECIDIDO – ","")&amp;IF(ISNUMBER(M137),IF(P137="",IF(F137="","INFORMAR PRAZO","SEM DATA"),IF(P137&gt;=0,"DEFESA NO PRAZO","DEFESA FORA DO PRAZO")),IF(OR(H137="DECISÃO D.P",ISNUMBER(N137)),"SEM DEFESA",IF(H137="","SEM STATUS",IF(F137="","INFORMAR PRAZO",IF(P137="","SEM DATA",IF(P137&lt;0,"VENCIDO",IF(P137&lt;=DiasAlerta,"VENCE EM BREVE","NO PRAZO"))))))))</f>
        <v/>
      </c>
      <c r="R137" s="118" t="str">
        <f>IF(D137="","",TODAY()-D137)</f>
        <v/>
      </c>
      <c r="S137" s="111" t="n"/>
    </row>
    <row r="138" ht="18" customHeight="1">
      <c r="A138" s="110" t="n"/>
      <c r="B138" s="111" t="n"/>
      <c r="C138" s="111" t="n"/>
      <c r="D138" s="112" t="n"/>
      <c r="E138" s="111" t="n"/>
      <c r="F138" s="110" t="n"/>
      <c r="G138" s="113" t="n"/>
      <c r="H138" s="113" t="n"/>
      <c r="I138" s="111" t="n"/>
      <c r="J138" s="114" t="n"/>
      <c r="K138" s="114" t="n"/>
      <c r="L138" s="112" t="n"/>
      <c r="M138" s="112" t="n"/>
      <c r="N138" s="112" t="n"/>
      <c r="O138" s="115" t="str">
        <f>IF(OR(D138="",F138=""),"",D138+F138)</f>
        <v/>
      </c>
      <c r="P138" s="116" t="str">
        <f>IF(O138="","",IF(ISNUMBER(M138),O138-M138,IF(OR(H138="DECISÃO D.P",ISNUMBER(N138)),"",O138-TODAY())))</f>
        <v/>
      </c>
      <c r="Q138" s="117" t="str">
        <f>IF(B138="","",IF(ISNUMBER(N138),"DECIDIDO – ","")&amp;IF(ISNUMBER(M138),IF(P138="",IF(F138="","INFORMAR PRAZO","SEM DATA"),IF(P138&gt;=0,"DEFESA NO PRAZO","DEFESA FORA DO PRAZO")),IF(OR(H138="DECISÃO D.P",ISNUMBER(N138)),"SEM DEFESA",IF(H138="","SEM STATUS",IF(F138="","INFORMAR PRAZO",IF(P138="","SEM DATA",IF(P138&lt;0,"VENCIDO",IF(P138&lt;=DiasAlerta,"VENCE EM BREVE","NO PRAZO"))))))))</f>
        <v/>
      </c>
      <c r="R138" s="118" t="str">
        <f>IF(D138="","",TODAY()-D138)</f>
        <v/>
      </c>
      <c r="S138" s="111" t="n"/>
    </row>
    <row r="139" ht="18" customHeight="1">
      <c r="A139" s="110" t="n"/>
      <c r="B139" s="111" t="n"/>
      <c r="C139" s="111" t="n"/>
      <c r="D139" s="112" t="n"/>
      <c r="E139" s="111" t="n"/>
      <c r="F139" s="110" t="n"/>
      <c r="G139" s="113" t="n"/>
      <c r="H139" s="113" t="n"/>
      <c r="I139" s="111" t="n"/>
      <c r="J139" s="114" t="n"/>
      <c r="K139" s="114" t="n"/>
      <c r="L139" s="112" t="n"/>
      <c r="M139" s="112" t="n"/>
      <c r="N139" s="112" t="n"/>
      <c r="O139" s="115" t="str">
        <f>IF(OR(D139="",F139=""),"",D139+F139)</f>
        <v/>
      </c>
      <c r="P139" s="116" t="str">
        <f>IF(O139="","",IF(ISNUMBER(M139),O139-M139,IF(OR(H139="DECISÃO D.P",ISNUMBER(N139)),"",O139-TODAY())))</f>
        <v/>
      </c>
      <c r="Q139" s="117" t="str">
        <f>IF(B139="","",IF(ISNUMBER(N139),"DECIDIDO – ","")&amp;IF(ISNUMBER(M139),IF(P139="",IF(F139="","INFORMAR PRAZO","SEM DATA"),IF(P139&gt;=0,"DEFESA NO PRAZO","DEFESA FORA DO PRAZO")),IF(OR(H139="DECISÃO D.P",ISNUMBER(N139)),"SEM DEFESA",IF(H139="","SEM STATUS",IF(F139="","INFORMAR PRAZO",IF(P139="","SEM DATA",IF(P139&lt;0,"VENCIDO",IF(P139&lt;=DiasAlerta,"VENCE EM BREVE","NO PRAZO"))))))))</f>
        <v/>
      </c>
      <c r="R139" s="118" t="str">
        <f>IF(D139="","",TODAY()-D139)</f>
        <v/>
      </c>
      <c r="S139" s="111" t="n"/>
    </row>
    <row r="140" ht="18" customHeight="1">
      <c r="A140" s="110" t="n"/>
      <c r="B140" s="111" t="n"/>
      <c r="C140" s="111" t="n"/>
      <c r="D140" s="112" t="n"/>
      <c r="E140" s="111" t="n"/>
      <c r="F140" s="110" t="n"/>
      <c r="G140" s="113" t="n"/>
      <c r="H140" s="113" t="n"/>
      <c r="I140" s="111" t="n"/>
      <c r="J140" s="114" t="n"/>
      <c r="K140" s="114" t="n"/>
      <c r="L140" s="112" t="n"/>
      <c r="M140" s="112" t="n"/>
      <c r="N140" s="112" t="n"/>
      <c r="O140" s="115" t="str">
        <f>IF(OR(D140="",F140=""),"",D140+F140)</f>
        <v/>
      </c>
      <c r="P140" s="116" t="str">
        <f>IF(O140="","",IF(ISNUMBER(M140),O140-M140,IF(OR(H140="DECISÃO D.P",ISNUMBER(N140)),"",O140-TODAY())))</f>
        <v/>
      </c>
      <c r="Q140" s="117" t="str">
        <f>IF(B140="","",IF(ISNUMBER(N140),"DECIDIDO – ","")&amp;IF(ISNUMBER(M140),IF(P140="",IF(F140="","INFORMAR PRAZO","SEM DATA"),IF(P140&gt;=0,"DEFESA NO PRAZO","DEFESA FORA DO PRAZO")),IF(OR(H140="DECISÃO D.P",ISNUMBER(N140)),"SEM DEFESA",IF(H140="","SEM STATUS",IF(F140="","INFORMAR PRAZO",IF(P140="","SEM DATA",IF(P140&lt;0,"VENCIDO",IF(P140&lt;=DiasAlerta,"VENCE EM BREVE","NO PRAZO"))))))))</f>
        <v/>
      </c>
      <c r="R140" s="118" t="str">
        <f>IF(D140="","",TODAY()-D140)</f>
        <v/>
      </c>
      <c r="S140" s="111" t="n"/>
    </row>
    <row r="141" ht="18" customHeight="1">
      <c r="A141" s="110" t="n"/>
      <c r="B141" s="111" t="n"/>
      <c r="C141" s="111" t="n"/>
      <c r="D141" s="112" t="n"/>
      <c r="E141" s="111" t="n"/>
      <c r="F141" s="110" t="n"/>
      <c r="G141" s="113" t="n"/>
      <c r="H141" s="113" t="n"/>
      <c r="I141" s="111" t="n"/>
      <c r="J141" s="114" t="n"/>
      <c r="K141" s="114" t="n"/>
      <c r="L141" s="112" t="n"/>
      <c r="M141" s="112" t="n"/>
      <c r="N141" s="112" t="n"/>
      <c r="O141" s="115" t="str">
        <f>IF(OR(D141="",F141=""),"",D141+F141)</f>
        <v/>
      </c>
      <c r="P141" s="116" t="str">
        <f>IF(O141="","",IF(ISNUMBER(M141),O141-M141,IF(OR(H141="DECISÃO D.P",ISNUMBER(N141)),"",O141-TODAY())))</f>
        <v/>
      </c>
      <c r="Q141" s="117" t="str">
        <f>IF(B141="","",IF(ISNUMBER(N141),"DECIDIDO – ","")&amp;IF(ISNUMBER(M141),IF(P141="",IF(F141="","INFORMAR PRAZO","SEM DATA"),IF(P141&gt;=0,"DEFESA NO PRAZO","DEFESA FORA DO PRAZO")),IF(OR(H141="DECISÃO D.P",ISNUMBER(N141)),"SEM DEFESA",IF(H141="","SEM STATUS",IF(F141="","INFORMAR PRAZO",IF(P141="","SEM DATA",IF(P141&lt;0,"VENCIDO",IF(P141&lt;=DiasAlerta,"VENCE EM BREVE","NO PRAZO"))))))))</f>
        <v/>
      </c>
      <c r="R141" s="118" t="str">
        <f>IF(D141="","",TODAY()-D141)</f>
        <v/>
      </c>
      <c r="S141" s="111" t="n"/>
    </row>
    <row r="142" ht="18" customHeight="1">
      <c r="A142" s="110" t="n"/>
      <c r="B142" s="111" t="n"/>
      <c r="C142" s="111" t="n"/>
      <c r="D142" s="112" t="n"/>
      <c r="E142" s="111" t="n"/>
      <c r="F142" s="110" t="n"/>
      <c r="G142" s="113" t="n"/>
      <c r="H142" s="113" t="n"/>
      <c r="I142" s="111" t="n"/>
      <c r="J142" s="114" t="n"/>
      <c r="K142" s="114" t="n"/>
      <c r="L142" s="112" t="n"/>
      <c r="M142" s="112" t="n"/>
      <c r="N142" s="112" t="n"/>
      <c r="O142" s="115" t="str">
        <f>IF(OR(D142="",F142=""),"",D142+F142)</f>
        <v/>
      </c>
      <c r="P142" s="116" t="str">
        <f>IF(O142="","",IF(ISNUMBER(M142),O142-M142,IF(OR(H142="DECISÃO D.P",ISNUMBER(N142)),"",O142-TODAY())))</f>
        <v/>
      </c>
      <c r="Q142" s="117" t="str">
        <f>IF(B142="","",IF(ISNUMBER(N142),"DECIDIDO – ","")&amp;IF(ISNUMBER(M142),IF(P142="",IF(F142="","INFORMAR PRAZO","SEM DATA"),IF(P142&gt;=0,"DEFESA NO PRAZO","DEFESA FORA DO PRAZO")),IF(OR(H142="DECISÃO D.P",ISNUMBER(N142)),"SEM DEFESA",IF(H142="","SEM STATUS",IF(F142="","INFORMAR PRAZO",IF(P142="","SEM DATA",IF(P142&lt;0,"VENCIDO",IF(P142&lt;=DiasAlerta,"VENCE EM BREVE","NO PRAZO"))))))))</f>
        <v/>
      </c>
      <c r="R142" s="118" t="str">
        <f>IF(D142="","",TODAY()-D142)</f>
        <v/>
      </c>
      <c r="S142" s="111" t="n"/>
    </row>
    <row r="143" ht="18" customHeight="1">
      <c r="A143" s="110" t="n"/>
      <c r="B143" s="111" t="n"/>
      <c r="C143" s="111" t="n"/>
      <c r="D143" s="112" t="n"/>
      <c r="E143" s="111" t="n"/>
      <c r="F143" s="110" t="n"/>
      <c r="G143" s="113" t="n"/>
      <c r="H143" s="113" t="n"/>
      <c r="I143" s="111" t="n"/>
      <c r="J143" s="114" t="n"/>
      <c r="K143" s="114" t="n"/>
      <c r="L143" s="112" t="n"/>
      <c r="M143" s="112" t="n"/>
      <c r="N143" s="112" t="n"/>
      <c r="O143" s="115" t="str">
        <f>IF(OR(D143="",F143=""),"",D143+F143)</f>
        <v/>
      </c>
      <c r="P143" s="116" t="str">
        <f>IF(O143="","",IF(ISNUMBER(M143),O143-M143,IF(OR(H143="DECISÃO D.P",ISNUMBER(N143)),"",O143-TODAY())))</f>
        <v/>
      </c>
      <c r="Q143" s="117" t="str">
        <f>IF(B143="","",IF(ISNUMBER(N143),"DECIDIDO – ","")&amp;IF(ISNUMBER(M143),IF(P143="",IF(F143="","INFORMAR PRAZO","SEM DATA"),IF(P143&gt;=0,"DEFESA NO PRAZO","DEFESA FORA DO PRAZO")),IF(OR(H143="DECISÃO D.P",ISNUMBER(N143)),"SEM DEFESA",IF(H143="","SEM STATUS",IF(F143="","INFORMAR PRAZO",IF(P143="","SEM DATA",IF(P143&lt;0,"VENCIDO",IF(P143&lt;=DiasAlerta,"VENCE EM BREVE","NO PRAZO"))))))))</f>
        <v/>
      </c>
      <c r="R143" s="118" t="str">
        <f>IF(D143="","",TODAY()-D143)</f>
        <v/>
      </c>
      <c r="S143" s="111" t="n"/>
    </row>
    <row r="144" ht="18" customHeight="1">
      <c r="A144" s="110" t="n"/>
      <c r="B144" s="111" t="n"/>
      <c r="C144" s="111" t="n"/>
      <c r="D144" s="112" t="n"/>
      <c r="E144" s="111" t="n"/>
      <c r="F144" s="110" t="n"/>
      <c r="G144" s="113" t="n"/>
      <c r="H144" s="113" t="n"/>
      <c r="I144" s="111" t="n"/>
      <c r="J144" s="114" t="n"/>
      <c r="K144" s="114" t="n"/>
      <c r="L144" s="112" t="n"/>
      <c r="M144" s="112" t="n"/>
      <c r="N144" s="112" t="n"/>
      <c r="O144" s="115" t="str">
        <f>IF(OR(D144="",F144=""),"",D144+F144)</f>
        <v/>
      </c>
      <c r="P144" s="116" t="str">
        <f>IF(O144="","",IF(ISNUMBER(M144),O144-M144,IF(OR(H144="DECISÃO D.P",ISNUMBER(N144)),"",O144-TODAY())))</f>
        <v/>
      </c>
      <c r="Q144" s="117" t="str">
        <f>IF(B144="","",IF(ISNUMBER(N144),"DECIDIDO – ","")&amp;IF(ISNUMBER(M144),IF(P144="",IF(F144="","INFORMAR PRAZO","SEM DATA"),IF(P144&gt;=0,"DEFESA NO PRAZO","DEFESA FORA DO PRAZO")),IF(OR(H144="DECISÃO D.P",ISNUMBER(N144)),"SEM DEFESA",IF(H144="","SEM STATUS",IF(F144="","INFORMAR PRAZO",IF(P144="","SEM DATA",IF(P144&lt;0,"VENCIDO",IF(P144&lt;=DiasAlerta,"VENCE EM BREVE","NO PRAZO"))))))))</f>
        <v/>
      </c>
      <c r="R144" s="118" t="str">
        <f>IF(D144="","",TODAY()-D144)</f>
        <v/>
      </c>
      <c r="S144" s="111" t="n"/>
    </row>
    <row r="145" ht="18" customHeight="1">
      <c r="A145" s="110" t="n"/>
      <c r="B145" s="111" t="n"/>
      <c r="C145" s="111" t="n"/>
      <c r="D145" s="112" t="n"/>
      <c r="E145" s="111" t="n"/>
      <c r="F145" s="110" t="n"/>
      <c r="G145" s="113" t="n"/>
      <c r="H145" s="113" t="n"/>
      <c r="I145" s="111" t="n"/>
      <c r="J145" s="114" t="n"/>
      <c r="K145" s="114" t="n"/>
      <c r="L145" s="112" t="n"/>
      <c r="M145" s="112" t="n"/>
      <c r="N145" s="112" t="n"/>
      <c r="O145" s="115" t="str">
        <f>IF(OR(D145="",F145=""),"",D145+F145)</f>
        <v/>
      </c>
      <c r="P145" s="116" t="str">
        <f>IF(O145="","",IF(ISNUMBER(M145),O145-M145,IF(OR(H145="DECISÃO D.P",ISNUMBER(N145)),"",O145-TODAY())))</f>
        <v/>
      </c>
      <c r="Q145" s="117" t="str">
        <f>IF(B145="","",IF(ISNUMBER(N145),"DECIDIDO – ","")&amp;IF(ISNUMBER(M145),IF(P145="",IF(F145="","INFORMAR PRAZO","SEM DATA"),IF(P145&gt;=0,"DEFESA NO PRAZO","DEFESA FORA DO PRAZO")),IF(OR(H145="DECISÃO D.P",ISNUMBER(N145)),"SEM DEFESA",IF(H145="","SEM STATUS",IF(F145="","INFORMAR PRAZO",IF(P145="","SEM DATA",IF(P145&lt;0,"VENCIDO",IF(P145&lt;=DiasAlerta,"VENCE EM BREVE","NO PRAZO"))))))))</f>
        <v/>
      </c>
      <c r="R145" s="118" t="str">
        <f>IF(D145="","",TODAY()-D145)</f>
        <v/>
      </c>
      <c r="S145" s="111" t="n"/>
    </row>
    <row r="146" ht="18" customHeight="1">
      <c r="A146" s="110" t="n"/>
      <c r="B146" s="111" t="n"/>
      <c r="C146" s="111" t="n"/>
      <c r="D146" s="112" t="n"/>
      <c r="E146" s="111" t="n"/>
      <c r="F146" s="110" t="n"/>
      <c r="G146" s="113" t="n"/>
      <c r="H146" s="113" t="n"/>
      <c r="I146" s="111" t="n"/>
      <c r="J146" s="114" t="n"/>
      <c r="K146" s="114" t="n"/>
      <c r="L146" s="112" t="n"/>
      <c r="M146" s="112" t="n"/>
      <c r="N146" s="112" t="n"/>
      <c r="O146" s="115" t="str">
        <f>IF(OR(D146="",F146=""),"",D146+F146)</f>
        <v/>
      </c>
      <c r="P146" s="116" t="str">
        <f>IF(O146="","",IF(ISNUMBER(M146),O146-M146,IF(OR(H146="DECISÃO D.P",ISNUMBER(N146)),"",O146-TODAY())))</f>
        <v/>
      </c>
      <c r="Q146" s="117" t="str">
        <f>IF(B146="","",IF(ISNUMBER(N146),"DECIDIDO – ","")&amp;IF(ISNUMBER(M146),IF(P146="",IF(F146="","INFORMAR PRAZO","SEM DATA"),IF(P146&gt;=0,"DEFESA NO PRAZO","DEFESA FORA DO PRAZO")),IF(OR(H146="DECISÃO D.P",ISNUMBER(N146)),"SEM DEFESA",IF(H146="","SEM STATUS",IF(F146="","INFORMAR PRAZO",IF(P146="","SEM DATA",IF(P146&lt;0,"VENCIDO",IF(P146&lt;=DiasAlerta,"VENCE EM BREVE","NO PRAZO"))))))))</f>
        <v/>
      </c>
      <c r="R146" s="118" t="str">
        <f>IF(D146="","",TODAY()-D146)</f>
        <v/>
      </c>
      <c r="S146" s="111" t="n"/>
    </row>
    <row r="147" ht="18" customHeight="1">
      <c r="A147" s="110" t="n"/>
      <c r="B147" s="111" t="n"/>
      <c r="C147" s="111" t="n"/>
      <c r="D147" s="112" t="n"/>
      <c r="E147" s="111" t="n"/>
      <c r="F147" s="110" t="n"/>
      <c r="G147" s="113" t="n"/>
      <c r="H147" s="113" t="n"/>
      <c r="I147" s="111" t="n"/>
      <c r="J147" s="114" t="n"/>
      <c r="K147" s="114" t="n"/>
      <c r="L147" s="112" t="n"/>
      <c r="M147" s="112" t="n"/>
      <c r="N147" s="112" t="n"/>
      <c r="O147" s="115" t="str">
        <f>IF(OR(D147="",F147=""),"",D147+F147)</f>
        <v/>
      </c>
      <c r="P147" s="116" t="str">
        <f>IF(O147="","",IF(ISNUMBER(M147),O147-M147,IF(OR(H147="DECISÃO D.P",ISNUMBER(N147)),"",O147-TODAY())))</f>
        <v/>
      </c>
      <c r="Q147" s="117" t="str">
        <f>IF(B147="","",IF(ISNUMBER(N147),"DECIDIDO – ","")&amp;IF(ISNUMBER(M147),IF(P147="",IF(F147="","INFORMAR PRAZO","SEM DATA"),IF(P147&gt;=0,"DEFESA NO PRAZO","DEFESA FORA DO PRAZO")),IF(OR(H147="DECISÃO D.P",ISNUMBER(N147)),"SEM DEFESA",IF(H147="","SEM STATUS",IF(F147="","INFORMAR PRAZO",IF(P147="","SEM DATA",IF(P147&lt;0,"VENCIDO",IF(P147&lt;=DiasAlerta,"VENCE EM BREVE","NO PRAZO"))))))))</f>
        <v/>
      </c>
      <c r="R147" s="118" t="str">
        <f>IF(D147="","",TODAY()-D147)</f>
        <v/>
      </c>
      <c r="S147" s="111" t="n"/>
    </row>
    <row r="148" ht="18" customHeight="1">
      <c r="A148" s="110" t="n"/>
      <c r="B148" s="111" t="n"/>
      <c r="C148" s="111" t="n"/>
      <c r="D148" s="112" t="n"/>
      <c r="E148" s="111" t="n"/>
      <c r="F148" s="110" t="n"/>
      <c r="G148" s="113" t="n"/>
      <c r="H148" s="113" t="n"/>
      <c r="I148" s="111" t="n"/>
      <c r="J148" s="114" t="n"/>
      <c r="K148" s="114" t="n"/>
      <c r="L148" s="112" t="n"/>
      <c r="M148" s="112" t="n"/>
      <c r="N148" s="112" t="n"/>
      <c r="O148" s="115" t="str">
        <f>IF(OR(D148="",F148=""),"",D148+F148)</f>
        <v/>
      </c>
      <c r="P148" s="116" t="str">
        <f>IF(O148="","",IF(ISNUMBER(M148),O148-M148,IF(OR(H148="DECISÃO D.P",ISNUMBER(N148)),"",O148-TODAY())))</f>
        <v/>
      </c>
      <c r="Q148" s="117" t="str">
        <f>IF(B148="","",IF(ISNUMBER(N148),"DECIDIDO – ","")&amp;IF(ISNUMBER(M148),IF(P148="",IF(F148="","INFORMAR PRAZO","SEM DATA"),IF(P148&gt;=0,"DEFESA NO PRAZO","DEFESA FORA DO PRAZO")),IF(OR(H148="DECISÃO D.P",ISNUMBER(N148)),"SEM DEFESA",IF(H148="","SEM STATUS",IF(F148="","INFORMAR PRAZO",IF(P148="","SEM DATA",IF(P148&lt;0,"VENCIDO",IF(P148&lt;=DiasAlerta,"VENCE EM BREVE","NO PRAZO"))))))))</f>
        <v/>
      </c>
      <c r="R148" s="118" t="str">
        <f>IF(D148="","",TODAY()-D148)</f>
        <v/>
      </c>
      <c r="S148" s="111" t="n"/>
    </row>
    <row r="149" ht="18" customHeight="1">
      <c r="A149" s="110" t="n"/>
      <c r="B149" s="111" t="n"/>
      <c r="C149" s="111" t="n"/>
      <c r="D149" s="112" t="n"/>
      <c r="E149" s="111" t="n"/>
      <c r="F149" s="110" t="n"/>
      <c r="G149" s="113" t="n"/>
      <c r="H149" s="113" t="n"/>
      <c r="I149" s="111" t="n"/>
      <c r="J149" s="114" t="n"/>
      <c r="K149" s="114" t="n"/>
      <c r="L149" s="112" t="n"/>
      <c r="M149" s="112" t="n"/>
      <c r="N149" s="112" t="n"/>
      <c r="O149" s="115" t="str">
        <f>IF(OR(D149="",F149=""),"",D149+F149)</f>
        <v/>
      </c>
      <c r="P149" s="116" t="str">
        <f>IF(O149="","",IF(ISNUMBER(M149),O149-M149,IF(OR(H149="DECISÃO D.P",ISNUMBER(N149)),"",O149-TODAY())))</f>
        <v/>
      </c>
      <c r="Q149" s="117" t="str">
        <f>IF(B149="","",IF(ISNUMBER(N149),"DECIDIDO – ","")&amp;IF(ISNUMBER(M149),IF(P149="",IF(F149="","INFORMAR PRAZO","SEM DATA"),IF(P149&gt;=0,"DEFESA NO PRAZO","DEFESA FORA DO PRAZO")),IF(OR(H149="DECISÃO D.P",ISNUMBER(N149)),"SEM DEFESA",IF(H149="","SEM STATUS",IF(F149="","INFORMAR PRAZO",IF(P149="","SEM DATA",IF(P149&lt;0,"VENCIDO",IF(P149&lt;=DiasAlerta,"VENCE EM BREVE","NO PRAZO"))))))))</f>
        <v/>
      </c>
      <c r="R149" s="118" t="str">
        <f>IF(D149="","",TODAY()-D149)</f>
        <v/>
      </c>
      <c r="S149" s="111" t="n"/>
    </row>
    <row r="150" ht="18" customHeight="1">
      <c r="A150" s="110" t="n"/>
      <c r="B150" s="111" t="n"/>
      <c r="C150" s="111" t="n"/>
      <c r="D150" s="112" t="n"/>
      <c r="E150" s="111" t="n"/>
      <c r="F150" s="110" t="n"/>
      <c r="G150" s="113" t="n"/>
      <c r="H150" s="113" t="n"/>
      <c r="I150" s="111" t="n"/>
      <c r="J150" s="114" t="n"/>
      <c r="K150" s="114" t="n"/>
      <c r="L150" s="112" t="n"/>
      <c r="M150" s="112" t="n"/>
      <c r="N150" s="112" t="n"/>
      <c r="O150" s="115" t="str">
        <f>IF(OR(D150="",F150=""),"",D150+F150)</f>
        <v/>
      </c>
      <c r="P150" s="116" t="str">
        <f>IF(O150="","",IF(ISNUMBER(M150),O150-M150,IF(OR(H150="DECISÃO D.P",ISNUMBER(N150)),"",O150-TODAY())))</f>
        <v/>
      </c>
      <c r="Q150" s="117" t="str">
        <f>IF(B150="","",IF(ISNUMBER(N150),"DECIDIDO – ","")&amp;IF(ISNUMBER(M150),IF(P150="",IF(F150="","INFORMAR PRAZO","SEM DATA"),IF(P150&gt;=0,"DEFESA NO PRAZO","DEFESA FORA DO PRAZO")),IF(OR(H150="DECISÃO D.P",ISNUMBER(N150)),"SEM DEFESA",IF(H150="","SEM STATUS",IF(F150="","INFORMAR PRAZO",IF(P150="","SEM DATA",IF(P150&lt;0,"VENCIDO",IF(P150&lt;=DiasAlerta,"VENCE EM BREVE","NO PRAZO"))))))))</f>
        <v/>
      </c>
      <c r="R150" s="118" t="str">
        <f>IF(D150="","",TODAY()-D150)</f>
        <v/>
      </c>
      <c r="S150" s="111" t="n"/>
    </row>
    <row r="151" ht="18" customHeight="1">
      <c r="A151" s="110" t="n"/>
      <c r="B151" s="111" t="n"/>
      <c r="C151" s="111" t="n"/>
      <c r="D151" s="112" t="n"/>
      <c r="E151" s="111" t="n"/>
      <c r="F151" s="110" t="n"/>
      <c r="G151" s="113" t="n"/>
      <c r="H151" s="113" t="n"/>
      <c r="I151" s="111" t="n"/>
      <c r="J151" s="114" t="n"/>
      <c r="K151" s="114" t="n"/>
      <c r="L151" s="112" t="n"/>
      <c r="M151" s="112" t="n"/>
      <c r="N151" s="112" t="n"/>
      <c r="O151" s="115" t="str">
        <f>IF(OR(D151="",F151=""),"",D151+F151)</f>
        <v/>
      </c>
      <c r="P151" s="116" t="str">
        <f>IF(O151="","",IF(ISNUMBER(M151),O151-M151,IF(OR(H151="DECISÃO D.P",ISNUMBER(N151)),"",O151-TODAY())))</f>
        <v/>
      </c>
      <c r="Q151" s="117" t="str">
        <f>IF(B151="","",IF(ISNUMBER(N151),"DECIDIDO – ","")&amp;IF(ISNUMBER(M151),IF(P151="",IF(F151="","INFORMAR PRAZO","SEM DATA"),IF(P151&gt;=0,"DEFESA NO PRAZO","DEFESA FORA DO PRAZO")),IF(OR(H151="DECISÃO D.P",ISNUMBER(N151)),"SEM DEFESA",IF(H151="","SEM STATUS",IF(F151="","INFORMAR PRAZO",IF(P151="","SEM DATA",IF(P151&lt;0,"VENCIDO",IF(P151&lt;=DiasAlerta,"VENCE EM BREVE","NO PRAZO"))))))))</f>
        <v/>
      </c>
      <c r="R151" s="118" t="str">
        <f>IF(D151="","",TODAY()-D151)</f>
        <v/>
      </c>
      <c r="S151" s="111" t="n"/>
    </row>
    <row r="152" ht="18" customHeight="1">
      <c r="A152" s="110" t="n"/>
      <c r="B152" s="111" t="n"/>
      <c r="C152" s="111" t="n"/>
      <c r="D152" s="112" t="n"/>
      <c r="E152" s="111" t="n"/>
      <c r="F152" s="110" t="n"/>
      <c r="G152" s="113" t="n"/>
      <c r="H152" s="113" t="n"/>
      <c r="I152" s="111" t="n"/>
      <c r="J152" s="114" t="n"/>
      <c r="K152" s="114" t="n"/>
      <c r="L152" s="112" t="n"/>
      <c r="M152" s="112" t="n"/>
      <c r="N152" s="112" t="n"/>
      <c r="O152" s="115" t="str">
        <f>IF(OR(D152="",F152=""),"",D152+F152)</f>
        <v/>
      </c>
      <c r="P152" s="116" t="str">
        <f>IF(O152="","",IF(ISNUMBER(M152),O152-M152,IF(OR(H152="DECISÃO D.P",ISNUMBER(N152)),"",O152-TODAY())))</f>
        <v/>
      </c>
      <c r="Q152" s="117" t="str">
        <f>IF(B152="","",IF(ISNUMBER(N152),"DECIDIDO – ","")&amp;IF(ISNUMBER(M152),IF(P152="",IF(F152="","INFORMAR PRAZO","SEM DATA"),IF(P152&gt;=0,"DEFESA NO PRAZO","DEFESA FORA DO PRAZO")),IF(OR(H152="DECISÃO D.P",ISNUMBER(N152)),"SEM DEFESA",IF(H152="","SEM STATUS",IF(F152="","INFORMAR PRAZO",IF(P152="","SEM DATA",IF(P152&lt;0,"VENCIDO",IF(P152&lt;=DiasAlerta,"VENCE EM BREVE","NO PRAZO"))))))))</f>
        <v/>
      </c>
      <c r="R152" s="118" t="str">
        <f>IF(D152="","",TODAY()-D152)</f>
        <v/>
      </c>
      <c r="S152" s="111" t="n"/>
    </row>
    <row r="153" ht="18" customHeight="1">
      <c r="A153" s="110" t="n"/>
      <c r="B153" s="111" t="n"/>
      <c r="C153" s="111" t="n"/>
      <c r="D153" s="112" t="n"/>
      <c r="E153" s="111" t="n"/>
      <c r="F153" s="110" t="n"/>
      <c r="G153" s="113" t="n"/>
      <c r="H153" s="113" t="n"/>
      <c r="I153" s="111" t="n"/>
      <c r="J153" s="114" t="n"/>
      <c r="K153" s="114" t="n"/>
      <c r="L153" s="112" t="n"/>
      <c r="M153" s="112" t="n"/>
      <c r="N153" s="112" t="n"/>
      <c r="O153" s="115" t="str">
        <f>IF(OR(D153="",F153=""),"",D153+F153)</f>
        <v/>
      </c>
      <c r="P153" s="116" t="str">
        <f>IF(O153="","",IF(ISNUMBER(M153),O153-M153,IF(OR(H153="DECISÃO D.P",ISNUMBER(N153)),"",O153-TODAY())))</f>
        <v/>
      </c>
      <c r="Q153" s="117" t="str">
        <f>IF(B153="","",IF(ISNUMBER(N153),"DECIDIDO – ","")&amp;IF(ISNUMBER(M153),IF(P153="",IF(F153="","INFORMAR PRAZO","SEM DATA"),IF(P153&gt;=0,"DEFESA NO PRAZO","DEFESA FORA DO PRAZO")),IF(OR(H153="DECISÃO D.P",ISNUMBER(N153)),"SEM DEFESA",IF(H153="","SEM STATUS",IF(F153="","INFORMAR PRAZO",IF(P153="","SEM DATA",IF(P153&lt;0,"VENCIDO",IF(P153&lt;=DiasAlerta,"VENCE EM BREVE","NO PRAZO"))))))))</f>
        <v/>
      </c>
      <c r="R153" s="118" t="str">
        <f>IF(D153="","",TODAY()-D153)</f>
        <v/>
      </c>
      <c r="S153" s="111" t="n"/>
    </row>
    <row r="154" ht="18" customHeight="1">
      <c r="A154" s="110" t="n"/>
      <c r="B154" s="111" t="n"/>
      <c r="C154" s="111" t="n"/>
      <c r="D154" s="112" t="n"/>
      <c r="E154" s="111" t="n"/>
      <c r="F154" s="110" t="n"/>
      <c r="G154" s="113" t="n"/>
      <c r="H154" s="113" t="n"/>
      <c r="I154" s="111" t="n"/>
      <c r="J154" s="114" t="n"/>
      <c r="K154" s="114" t="n"/>
      <c r="L154" s="112" t="n"/>
      <c r="M154" s="112" t="n"/>
      <c r="N154" s="112" t="n"/>
      <c r="O154" s="115" t="str">
        <f>IF(OR(D154="",F154=""),"",D154+F154)</f>
        <v/>
      </c>
      <c r="P154" s="116" t="str">
        <f>IF(O154="","",IF(ISNUMBER(M154),O154-M154,IF(OR(H154="DECISÃO D.P",ISNUMBER(N154)),"",O154-TODAY())))</f>
        <v/>
      </c>
      <c r="Q154" s="117" t="str">
        <f>IF(B154="","",IF(ISNUMBER(N154),"DECIDIDO – ","")&amp;IF(ISNUMBER(M154),IF(P154="",IF(F154="","INFORMAR PRAZO","SEM DATA"),IF(P154&gt;=0,"DEFESA NO PRAZO","DEFESA FORA DO PRAZO")),IF(OR(H154="DECISÃO D.P",ISNUMBER(N154)),"SEM DEFESA",IF(H154="","SEM STATUS",IF(F154="","INFORMAR PRAZO",IF(P154="","SEM DATA",IF(P154&lt;0,"VENCIDO",IF(P154&lt;=DiasAlerta,"VENCE EM BREVE","NO PRAZO"))))))))</f>
        <v/>
      </c>
      <c r="R154" s="118" t="str">
        <f>IF(D154="","",TODAY()-D154)</f>
        <v/>
      </c>
      <c r="S154" s="111" t="n"/>
    </row>
    <row r="155" ht="18" customHeight="1">
      <c r="A155" s="110" t="n"/>
      <c r="B155" s="111" t="n"/>
      <c r="C155" s="111" t="n"/>
      <c r="D155" s="112" t="n"/>
      <c r="E155" s="111" t="n"/>
      <c r="F155" s="110" t="n"/>
      <c r="G155" s="113" t="n"/>
      <c r="H155" s="113" t="n"/>
      <c r="I155" s="111" t="n"/>
      <c r="J155" s="114" t="n"/>
      <c r="K155" s="114" t="n"/>
      <c r="L155" s="112" t="n"/>
      <c r="M155" s="112" t="n"/>
      <c r="N155" s="112" t="n"/>
      <c r="O155" s="115" t="str">
        <f>IF(OR(D155="",F155=""),"",D155+F155)</f>
        <v/>
      </c>
      <c r="P155" s="116" t="str">
        <f>IF(O155="","",IF(ISNUMBER(M155),O155-M155,IF(OR(H155="DECISÃO D.P",ISNUMBER(N155)),"",O155-TODAY())))</f>
        <v/>
      </c>
      <c r="Q155" s="117" t="str">
        <f>IF(B155="","",IF(ISNUMBER(N155),"DECIDIDO – ","")&amp;IF(ISNUMBER(M155),IF(P155="",IF(F155="","INFORMAR PRAZO","SEM DATA"),IF(P155&gt;=0,"DEFESA NO PRAZO","DEFESA FORA DO PRAZO")),IF(OR(H155="DECISÃO D.P",ISNUMBER(N155)),"SEM DEFESA",IF(H155="","SEM STATUS",IF(F155="","INFORMAR PRAZO",IF(P155="","SEM DATA",IF(P155&lt;0,"VENCIDO",IF(P155&lt;=DiasAlerta,"VENCE EM BREVE","NO PRAZO"))))))))</f>
        <v/>
      </c>
      <c r="R155" s="118" t="str">
        <f>IF(D155="","",TODAY()-D155)</f>
        <v/>
      </c>
      <c r="S155" s="111" t="n"/>
    </row>
    <row r="156" ht="18" customHeight="1">
      <c r="A156" s="110" t="n"/>
      <c r="B156" s="111" t="n"/>
      <c r="C156" s="111" t="n"/>
      <c r="D156" s="112" t="n"/>
      <c r="E156" s="111" t="n"/>
      <c r="F156" s="110" t="n"/>
      <c r="G156" s="113" t="n"/>
      <c r="H156" s="113" t="n"/>
      <c r="I156" s="111" t="n"/>
      <c r="J156" s="114" t="n"/>
      <c r="K156" s="114" t="n"/>
      <c r="L156" s="112" t="n"/>
      <c r="M156" s="112" t="n"/>
      <c r="N156" s="112" t="n"/>
      <c r="O156" s="115" t="str">
        <f>IF(OR(D156="",F156=""),"",D156+F156)</f>
        <v/>
      </c>
      <c r="P156" s="116" t="str">
        <f>IF(O156="","",IF(ISNUMBER(M156),O156-M156,IF(OR(H156="DECISÃO D.P",ISNUMBER(N156)),"",O156-TODAY())))</f>
        <v/>
      </c>
      <c r="Q156" s="117" t="str">
        <f>IF(B156="","",IF(ISNUMBER(N156),"DECIDIDO – ","")&amp;IF(ISNUMBER(M156),IF(P156="",IF(F156="","INFORMAR PRAZO","SEM DATA"),IF(P156&gt;=0,"DEFESA NO PRAZO","DEFESA FORA DO PRAZO")),IF(OR(H156="DECISÃO D.P",ISNUMBER(N156)),"SEM DEFESA",IF(H156="","SEM STATUS",IF(F156="","INFORMAR PRAZO",IF(P156="","SEM DATA",IF(P156&lt;0,"VENCIDO",IF(P156&lt;=DiasAlerta,"VENCE EM BREVE","NO PRAZO"))))))))</f>
        <v/>
      </c>
      <c r="R156" s="118" t="str">
        <f>IF(D156="","",TODAY()-D156)</f>
        <v/>
      </c>
      <c r="S156" s="111" t="n"/>
    </row>
    <row r="157" ht="18" customHeight="1">
      <c r="A157" s="110" t="n"/>
      <c r="B157" s="111" t="n"/>
      <c r="C157" s="111" t="n"/>
      <c r="D157" s="112" t="n"/>
      <c r="E157" s="111" t="n"/>
      <c r="F157" s="110" t="n"/>
      <c r="G157" s="113" t="n"/>
      <c r="H157" s="113" t="n"/>
      <c r="I157" s="111" t="n"/>
      <c r="J157" s="114" t="n"/>
      <c r="K157" s="114" t="n"/>
      <c r="L157" s="112" t="n"/>
      <c r="M157" s="112" t="n"/>
      <c r="N157" s="112" t="n"/>
      <c r="O157" s="115" t="str">
        <f>IF(OR(D157="",F157=""),"",D157+F157)</f>
        <v/>
      </c>
      <c r="P157" s="116" t="str">
        <f>IF(O157="","",IF(ISNUMBER(M157),O157-M157,IF(OR(H157="DECISÃO D.P",ISNUMBER(N157)),"",O157-TODAY())))</f>
        <v/>
      </c>
      <c r="Q157" s="117" t="str">
        <f>IF(B157="","",IF(ISNUMBER(N157),"DECIDIDO – ","")&amp;IF(ISNUMBER(M157),IF(P157="",IF(F157="","INFORMAR PRAZO","SEM DATA"),IF(P157&gt;=0,"DEFESA NO PRAZO","DEFESA FORA DO PRAZO")),IF(OR(H157="DECISÃO D.P",ISNUMBER(N157)),"SEM DEFESA",IF(H157="","SEM STATUS",IF(F157="","INFORMAR PRAZO",IF(P157="","SEM DATA",IF(P157&lt;0,"VENCIDO",IF(P157&lt;=DiasAlerta,"VENCE EM BREVE","NO PRAZO"))))))))</f>
        <v/>
      </c>
      <c r="R157" s="118" t="str">
        <f>IF(D157="","",TODAY()-D157)</f>
        <v/>
      </c>
      <c r="S157" s="111" t="n"/>
    </row>
    <row r="158" ht="18" customHeight="1">
      <c r="A158" s="110" t="n"/>
      <c r="B158" s="111" t="n"/>
      <c r="C158" s="111" t="n"/>
      <c r="D158" s="112" t="n"/>
      <c r="E158" s="111" t="n"/>
      <c r="F158" s="110" t="n"/>
      <c r="G158" s="113" t="n"/>
      <c r="H158" s="113" t="n"/>
      <c r="I158" s="111" t="n"/>
      <c r="J158" s="114" t="n"/>
      <c r="K158" s="114" t="n"/>
      <c r="L158" s="112" t="n"/>
      <c r="M158" s="112" t="n"/>
      <c r="N158" s="112" t="n"/>
      <c r="O158" s="115" t="str">
        <f>IF(OR(D158="",F158=""),"",D158+F158)</f>
        <v/>
      </c>
      <c r="P158" s="116" t="str">
        <f>IF(O158="","",IF(ISNUMBER(M158),O158-M158,IF(OR(H158="DECISÃO D.P",ISNUMBER(N158)),"",O158-TODAY())))</f>
        <v/>
      </c>
      <c r="Q158" s="117" t="str">
        <f>IF(B158="","",IF(ISNUMBER(N158),"DECIDIDO – ","")&amp;IF(ISNUMBER(M158),IF(P158="",IF(F158="","INFORMAR PRAZO","SEM DATA"),IF(P158&gt;=0,"DEFESA NO PRAZO","DEFESA FORA DO PRAZO")),IF(OR(H158="DECISÃO D.P",ISNUMBER(N158)),"SEM DEFESA",IF(H158="","SEM STATUS",IF(F158="","INFORMAR PRAZO",IF(P158="","SEM DATA",IF(P158&lt;0,"VENCIDO",IF(P158&lt;=DiasAlerta,"VENCE EM BREVE","NO PRAZO"))))))))</f>
        <v/>
      </c>
      <c r="R158" s="118" t="str">
        <f>IF(D158="","",TODAY()-D158)</f>
        <v/>
      </c>
      <c r="S158" s="111" t="n"/>
    </row>
    <row r="159" ht="18" customHeight="1">
      <c r="A159" s="110" t="n"/>
      <c r="B159" s="111" t="n"/>
      <c r="C159" s="111" t="n"/>
      <c r="D159" s="112" t="n"/>
      <c r="E159" s="111" t="n"/>
      <c r="F159" s="110" t="n"/>
      <c r="G159" s="113" t="n"/>
      <c r="H159" s="113" t="n"/>
      <c r="I159" s="111" t="n"/>
      <c r="J159" s="114" t="n"/>
      <c r="K159" s="114" t="n"/>
      <c r="L159" s="112" t="n"/>
      <c r="M159" s="112" t="n"/>
      <c r="N159" s="112" t="n"/>
      <c r="O159" s="115" t="str">
        <f>IF(OR(D159="",F159=""),"",D159+F159)</f>
        <v/>
      </c>
      <c r="P159" s="116" t="str">
        <f>IF(O159="","",IF(ISNUMBER(M159),O159-M159,IF(OR(H159="DECISÃO D.P",ISNUMBER(N159)),"",O159-TODAY())))</f>
        <v/>
      </c>
      <c r="Q159" s="117" t="str">
        <f>IF(B159="","",IF(ISNUMBER(N159),"DECIDIDO – ","")&amp;IF(ISNUMBER(M159),IF(P159="",IF(F159="","INFORMAR PRAZO","SEM DATA"),IF(P159&gt;=0,"DEFESA NO PRAZO","DEFESA FORA DO PRAZO")),IF(OR(H159="DECISÃO D.P",ISNUMBER(N159)),"SEM DEFESA",IF(H159="","SEM STATUS",IF(F159="","INFORMAR PRAZO",IF(P159="","SEM DATA",IF(P159&lt;0,"VENCIDO",IF(P159&lt;=DiasAlerta,"VENCE EM BREVE","NO PRAZO"))))))))</f>
        <v/>
      </c>
      <c r="R159" s="118" t="str">
        <f>IF(D159="","",TODAY()-D159)</f>
        <v/>
      </c>
      <c r="S159" s="111" t="n"/>
    </row>
    <row r="160" ht="18" customHeight="1">
      <c r="A160" s="110" t="n"/>
      <c r="B160" s="111" t="n"/>
      <c r="C160" s="111" t="n"/>
      <c r="D160" s="112" t="n"/>
      <c r="E160" s="111" t="n"/>
      <c r="F160" s="110" t="n"/>
      <c r="G160" s="113" t="n"/>
      <c r="H160" s="113" t="n"/>
      <c r="I160" s="111" t="n"/>
      <c r="J160" s="114" t="n"/>
      <c r="K160" s="114" t="n"/>
      <c r="L160" s="112" t="n"/>
      <c r="M160" s="112" t="n"/>
      <c r="N160" s="112" t="n"/>
      <c r="O160" s="115" t="str">
        <f>IF(OR(D160="",F160=""),"",D160+F160)</f>
        <v/>
      </c>
      <c r="P160" s="116" t="str">
        <f>IF(O160="","",IF(ISNUMBER(M160),O160-M160,IF(OR(H160="DECISÃO D.P",ISNUMBER(N160)),"",O160-TODAY())))</f>
        <v/>
      </c>
      <c r="Q160" s="117" t="str">
        <f>IF(B160="","",IF(ISNUMBER(N160),"DECIDIDO – ","")&amp;IF(ISNUMBER(M160),IF(P160="",IF(F160="","INFORMAR PRAZO","SEM DATA"),IF(P160&gt;=0,"DEFESA NO PRAZO","DEFESA FORA DO PRAZO")),IF(OR(H160="DECISÃO D.P",ISNUMBER(N160)),"SEM DEFESA",IF(H160="","SEM STATUS",IF(F160="","INFORMAR PRAZO",IF(P160="","SEM DATA",IF(P160&lt;0,"VENCIDO",IF(P160&lt;=DiasAlerta,"VENCE EM BREVE","NO PRAZO"))))))))</f>
        <v/>
      </c>
      <c r="R160" s="118" t="str">
        <f>IF(D160="","",TODAY()-D160)</f>
        <v/>
      </c>
      <c r="S160" s="111" t="n"/>
    </row>
    <row r="161" ht="18" customHeight="1">
      <c r="A161" s="110" t="n"/>
      <c r="B161" s="111" t="n"/>
      <c r="C161" s="111" t="n"/>
      <c r="D161" s="112" t="n"/>
      <c r="E161" s="111" t="n"/>
      <c r="F161" s="110" t="n"/>
      <c r="G161" s="113" t="n"/>
      <c r="H161" s="113" t="n"/>
      <c r="I161" s="111" t="n"/>
      <c r="J161" s="114" t="n"/>
      <c r="K161" s="114" t="n"/>
      <c r="L161" s="112" t="n"/>
      <c r="M161" s="112" t="n"/>
      <c r="N161" s="112" t="n"/>
      <c r="O161" s="115" t="str">
        <f>IF(OR(D161="",F161=""),"",D161+F161)</f>
        <v/>
      </c>
      <c r="P161" s="116" t="str">
        <f>IF(O161="","",IF(ISNUMBER(M161),O161-M161,IF(OR(H161="DECISÃO D.P",ISNUMBER(N161)),"",O161-TODAY())))</f>
        <v/>
      </c>
      <c r="Q161" s="117" t="str">
        <f>IF(B161="","",IF(ISNUMBER(N161),"DECIDIDO – ","")&amp;IF(ISNUMBER(M161),IF(P161="",IF(F161="","INFORMAR PRAZO","SEM DATA"),IF(P161&gt;=0,"DEFESA NO PRAZO","DEFESA FORA DO PRAZO")),IF(OR(H161="DECISÃO D.P",ISNUMBER(N161)),"SEM DEFESA",IF(H161="","SEM STATUS",IF(F161="","INFORMAR PRAZO",IF(P161="","SEM DATA",IF(P161&lt;0,"VENCIDO",IF(P161&lt;=DiasAlerta,"VENCE EM BREVE","NO PRAZO"))))))))</f>
        <v/>
      </c>
      <c r="R161" s="118" t="str">
        <f>IF(D161="","",TODAY()-D161)</f>
        <v/>
      </c>
      <c r="S161" s="111" t="n"/>
    </row>
    <row r="162" ht="18" customHeight="1">
      <c r="A162" s="110" t="n"/>
      <c r="B162" s="111" t="n"/>
      <c r="C162" s="111" t="n"/>
      <c r="D162" s="112" t="n"/>
      <c r="E162" s="111" t="n"/>
      <c r="F162" s="110" t="n"/>
      <c r="G162" s="113" t="n"/>
      <c r="H162" s="113" t="n"/>
      <c r="I162" s="111" t="n"/>
      <c r="J162" s="114" t="n"/>
      <c r="K162" s="114" t="n"/>
      <c r="L162" s="112" t="n"/>
      <c r="M162" s="112" t="n"/>
      <c r="N162" s="112" t="n"/>
      <c r="O162" s="115" t="str">
        <f>IF(OR(D162="",F162=""),"",D162+F162)</f>
        <v/>
      </c>
      <c r="P162" s="116" t="str">
        <f>IF(O162="","",IF(ISNUMBER(M162),O162-M162,IF(OR(H162="DECISÃO D.P",ISNUMBER(N162)),"",O162-TODAY())))</f>
        <v/>
      </c>
      <c r="Q162" s="117" t="str">
        <f>IF(B162="","",IF(ISNUMBER(N162),"DECIDIDO – ","")&amp;IF(ISNUMBER(M162),IF(P162="",IF(F162="","INFORMAR PRAZO","SEM DATA"),IF(P162&gt;=0,"DEFESA NO PRAZO","DEFESA FORA DO PRAZO")),IF(OR(H162="DECISÃO D.P",ISNUMBER(N162)),"SEM DEFESA",IF(H162="","SEM STATUS",IF(F162="","INFORMAR PRAZO",IF(P162="","SEM DATA",IF(P162&lt;0,"VENCIDO",IF(P162&lt;=DiasAlerta,"VENCE EM BREVE","NO PRAZO"))))))))</f>
        <v/>
      </c>
      <c r="R162" s="118" t="str">
        <f>IF(D162="","",TODAY()-D162)</f>
        <v/>
      </c>
      <c r="S162" s="111" t="n"/>
    </row>
    <row r="163" ht="18" customHeight="1">
      <c r="A163" s="110" t="n"/>
      <c r="B163" s="111" t="n"/>
      <c r="C163" s="111" t="n"/>
      <c r="D163" s="112" t="n"/>
      <c r="E163" s="111" t="n"/>
      <c r="F163" s="110" t="n"/>
      <c r="G163" s="113" t="n"/>
      <c r="H163" s="113" t="n"/>
      <c r="I163" s="111" t="n"/>
      <c r="J163" s="114" t="n"/>
      <c r="K163" s="114" t="n"/>
      <c r="L163" s="112" t="n"/>
      <c r="M163" s="112" t="n"/>
      <c r="N163" s="112" t="n"/>
      <c r="O163" s="115" t="str">
        <f>IF(OR(D163="",F163=""),"",D163+F163)</f>
        <v/>
      </c>
      <c r="P163" s="116" t="str">
        <f>IF(O163="","",IF(ISNUMBER(M163),O163-M163,IF(OR(H163="DECISÃO D.P",ISNUMBER(N163)),"",O163-TODAY())))</f>
        <v/>
      </c>
      <c r="Q163" s="117" t="str">
        <f>IF(B163="","",IF(ISNUMBER(N163),"DECIDIDO – ","")&amp;IF(ISNUMBER(M163),IF(P163="",IF(F163="","INFORMAR PRAZO","SEM DATA"),IF(P163&gt;=0,"DEFESA NO PRAZO","DEFESA FORA DO PRAZO")),IF(OR(H163="DECISÃO D.P",ISNUMBER(N163)),"SEM DEFESA",IF(H163="","SEM STATUS",IF(F163="","INFORMAR PRAZO",IF(P163="","SEM DATA",IF(P163&lt;0,"VENCIDO",IF(P163&lt;=DiasAlerta,"VENCE EM BREVE","NO PRAZO"))))))))</f>
        <v/>
      </c>
      <c r="R163" s="118" t="str">
        <f>IF(D163="","",TODAY()-D163)</f>
        <v/>
      </c>
      <c r="S163" s="111" t="n"/>
    </row>
    <row r="164" ht="18" customHeight="1">
      <c r="A164" s="110" t="n"/>
      <c r="B164" s="111" t="n"/>
      <c r="C164" s="111" t="n"/>
      <c r="D164" s="112" t="n"/>
      <c r="E164" s="111" t="n"/>
      <c r="F164" s="110" t="n"/>
      <c r="G164" s="113" t="n"/>
      <c r="H164" s="113" t="n"/>
      <c r="I164" s="111" t="n"/>
      <c r="J164" s="114" t="n"/>
      <c r="K164" s="114" t="n"/>
      <c r="L164" s="112" t="n"/>
      <c r="M164" s="112" t="n"/>
      <c r="N164" s="112" t="n"/>
      <c r="O164" s="115" t="str">
        <f>IF(OR(D164="",F164=""),"",D164+F164)</f>
        <v/>
      </c>
      <c r="P164" s="116" t="str">
        <f>IF(O164="","",IF(ISNUMBER(M164),O164-M164,IF(OR(H164="DECISÃO D.P",ISNUMBER(N164)),"",O164-TODAY())))</f>
        <v/>
      </c>
      <c r="Q164" s="117" t="str">
        <f>IF(B164="","",IF(ISNUMBER(N164),"DECIDIDO – ","")&amp;IF(ISNUMBER(M164),IF(P164="",IF(F164="","INFORMAR PRAZO","SEM DATA"),IF(P164&gt;=0,"DEFESA NO PRAZO","DEFESA FORA DO PRAZO")),IF(OR(H164="DECISÃO D.P",ISNUMBER(N164)),"SEM DEFESA",IF(H164="","SEM STATUS",IF(F164="","INFORMAR PRAZO",IF(P164="","SEM DATA",IF(P164&lt;0,"VENCIDO",IF(P164&lt;=DiasAlerta,"VENCE EM BREVE","NO PRAZO"))))))))</f>
        <v/>
      </c>
      <c r="R164" s="118" t="str">
        <f>IF(D164="","",TODAY()-D164)</f>
        <v/>
      </c>
      <c r="S164" s="111" t="n"/>
    </row>
    <row r="165" ht="18" customHeight="1">
      <c r="A165" s="110" t="n"/>
      <c r="B165" s="111" t="n"/>
      <c r="C165" s="111" t="n"/>
      <c r="D165" s="112" t="n"/>
      <c r="E165" s="111" t="n"/>
      <c r="F165" s="110" t="n"/>
      <c r="G165" s="113" t="n"/>
      <c r="H165" s="113" t="n"/>
      <c r="I165" s="111" t="n"/>
      <c r="J165" s="114" t="n"/>
      <c r="K165" s="114" t="n"/>
      <c r="L165" s="112" t="n"/>
      <c r="M165" s="112" t="n"/>
      <c r="N165" s="112" t="n"/>
      <c r="O165" s="115" t="str">
        <f>IF(OR(D165="",F165=""),"",D165+F165)</f>
        <v/>
      </c>
      <c r="P165" s="116" t="str">
        <f>IF(O165="","",IF(ISNUMBER(M165),O165-M165,IF(OR(H165="DECISÃO D.P",ISNUMBER(N165)),"",O165-TODAY())))</f>
        <v/>
      </c>
      <c r="Q165" s="117" t="str">
        <f>IF(B165="","",IF(ISNUMBER(N165),"DECIDIDO – ","")&amp;IF(ISNUMBER(M165),IF(P165="",IF(F165="","INFORMAR PRAZO","SEM DATA"),IF(P165&gt;=0,"DEFESA NO PRAZO","DEFESA FORA DO PRAZO")),IF(OR(H165="DECISÃO D.P",ISNUMBER(N165)),"SEM DEFESA",IF(H165="","SEM STATUS",IF(F165="","INFORMAR PRAZO",IF(P165="","SEM DATA",IF(P165&lt;0,"VENCIDO",IF(P165&lt;=DiasAlerta,"VENCE EM BREVE","NO PRAZO"))))))))</f>
        <v/>
      </c>
      <c r="R165" s="118" t="str">
        <f>IF(D165="","",TODAY()-D165)</f>
        <v/>
      </c>
      <c r="S165" s="111" t="n"/>
    </row>
    <row r="166" ht="18" customHeight="1">
      <c r="A166" s="110" t="n"/>
      <c r="B166" s="111" t="n"/>
      <c r="C166" s="111" t="n"/>
      <c r="D166" s="112" t="n"/>
      <c r="E166" s="111" t="n"/>
      <c r="F166" s="110" t="n"/>
      <c r="G166" s="113" t="n"/>
      <c r="H166" s="113" t="n"/>
      <c r="I166" s="111" t="n"/>
      <c r="J166" s="114" t="n"/>
      <c r="K166" s="114" t="n"/>
      <c r="L166" s="112" t="n"/>
      <c r="M166" s="112" t="n"/>
      <c r="N166" s="112" t="n"/>
      <c r="O166" s="115" t="str">
        <f>IF(OR(D166="",F166=""),"",D166+F166)</f>
        <v/>
      </c>
      <c r="P166" s="116" t="str">
        <f>IF(O166="","",IF(ISNUMBER(M166),O166-M166,IF(OR(H166="DECISÃO D.P",ISNUMBER(N166)),"",O166-TODAY())))</f>
        <v/>
      </c>
      <c r="Q166" s="117" t="str">
        <f>IF(B166="","",IF(ISNUMBER(N166),"DECIDIDO – ","")&amp;IF(ISNUMBER(M166),IF(P166="",IF(F166="","INFORMAR PRAZO","SEM DATA"),IF(P166&gt;=0,"DEFESA NO PRAZO","DEFESA FORA DO PRAZO")),IF(OR(H166="DECISÃO D.P",ISNUMBER(N166)),"SEM DEFESA",IF(H166="","SEM STATUS",IF(F166="","INFORMAR PRAZO",IF(P166="","SEM DATA",IF(P166&lt;0,"VENCIDO",IF(P166&lt;=DiasAlerta,"VENCE EM BREVE","NO PRAZO"))))))))</f>
        <v/>
      </c>
      <c r="R166" s="118" t="str">
        <f>IF(D166="","",TODAY()-D166)</f>
        <v/>
      </c>
      <c r="S166" s="111" t="n"/>
    </row>
    <row r="167" ht="18" customHeight="1">
      <c r="A167" s="110" t="n"/>
      <c r="B167" s="111" t="n"/>
      <c r="C167" s="111" t="n"/>
      <c r="D167" s="112" t="n"/>
      <c r="E167" s="111" t="n"/>
      <c r="F167" s="110" t="n"/>
      <c r="G167" s="113" t="n"/>
      <c r="H167" s="113" t="n"/>
      <c r="I167" s="111" t="n"/>
      <c r="J167" s="114" t="n"/>
      <c r="K167" s="114" t="n"/>
      <c r="L167" s="112" t="n"/>
      <c r="M167" s="112" t="n"/>
      <c r="N167" s="112" t="n"/>
      <c r="O167" s="115" t="str">
        <f>IF(OR(D167="",F167=""),"",D167+F167)</f>
        <v/>
      </c>
      <c r="P167" s="116" t="str">
        <f>IF(O167="","",IF(ISNUMBER(M167),O167-M167,IF(OR(H167="DECISÃO D.P",ISNUMBER(N167)),"",O167-TODAY())))</f>
        <v/>
      </c>
      <c r="Q167" s="117" t="str">
        <f>IF(B167="","",IF(ISNUMBER(N167),"DECIDIDO – ","")&amp;IF(ISNUMBER(M167),IF(P167="",IF(F167="","INFORMAR PRAZO","SEM DATA"),IF(P167&gt;=0,"DEFESA NO PRAZO","DEFESA FORA DO PRAZO")),IF(OR(H167="DECISÃO D.P",ISNUMBER(N167)),"SEM DEFESA",IF(H167="","SEM STATUS",IF(F167="","INFORMAR PRAZO",IF(P167="","SEM DATA",IF(P167&lt;0,"VENCIDO",IF(P167&lt;=DiasAlerta,"VENCE EM BREVE","NO PRAZO"))))))))</f>
        <v/>
      </c>
      <c r="R167" s="118" t="str">
        <f>IF(D167="","",TODAY()-D167)</f>
        <v/>
      </c>
      <c r="S167" s="111" t="n"/>
    </row>
    <row r="168" ht="18" customHeight="1">
      <c r="A168" s="110" t="n"/>
      <c r="B168" s="111" t="n"/>
      <c r="C168" s="111" t="n"/>
      <c r="D168" s="112" t="n"/>
      <c r="E168" s="111" t="n"/>
      <c r="F168" s="110" t="n"/>
      <c r="G168" s="113" t="n"/>
      <c r="H168" s="113" t="n"/>
      <c r="I168" s="111" t="n"/>
      <c r="J168" s="114" t="n"/>
      <c r="K168" s="114" t="n"/>
      <c r="L168" s="112" t="n"/>
      <c r="M168" s="112" t="n"/>
      <c r="N168" s="112" t="n"/>
      <c r="O168" s="115" t="str">
        <f>IF(OR(D168="",F168=""),"",D168+F168)</f>
        <v/>
      </c>
      <c r="P168" s="116" t="str">
        <f>IF(O168="","",IF(ISNUMBER(M168),O168-M168,IF(OR(H168="DECISÃO D.P",ISNUMBER(N168)),"",O168-TODAY())))</f>
        <v/>
      </c>
      <c r="Q168" s="117" t="str">
        <f>IF(B168="","",IF(ISNUMBER(N168),"DECIDIDO – ","")&amp;IF(ISNUMBER(M168),IF(P168="",IF(F168="","INFORMAR PRAZO","SEM DATA"),IF(P168&gt;=0,"DEFESA NO PRAZO","DEFESA FORA DO PRAZO")),IF(OR(H168="DECISÃO D.P",ISNUMBER(N168)),"SEM DEFESA",IF(H168="","SEM STATUS",IF(F168="","INFORMAR PRAZO",IF(P168="","SEM DATA",IF(P168&lt;0,"VENCIDO",IF(P168&lt;=DiasAlerta,"VENCE EM BREVE","NO PRAZO"))))))))</f>
        <v/>
      </c>
      <c r="R168" s="118" t="str">
        <f>IF(D168="","",TODAY()-D168)</f>
        <v/>
      </c>
      <c r="S168" s="111" t="n"/>
    </row>
    <row r="169" ht="18" customHeight="1">
      <c r="A169" s="110" t="n"/>
      <c r="B169" s="111" t="n"/>
      <c r="C169" s="111" t="n"/>
      <c r="D169" s="112" t="n"/>
      <c r="E169" s="111" t="n"/>
      <c r="F169" s="110" t="n"/>
      <c r="G169" s="113" t="n"/>
      <c r="H169" s="113" t="n"/>
      <c r="I169" s="111" t="n"/>
      <c r="J169" s="114" t="n"/>
      <c r="K169" s="114" t="n"/>
      <c r="L169" s="112" t="n"/>
      <c r="M169" s="112" t="n"/>
      <c r="N169" s="112" t="n"/>
      <c r="O169" s="115" t="str">
        <f>IF(OR(D169="",F169=""),"",D169+F169)</f>
        <v/>
      </c>
      <c r="P169" s="116" t="str">
        <f>IF(O169="","",IF(ISNUMBER(M169),O169-M169,IF(OR(H169="DECISÃO D.P",ISNUMBER(N169)),"",O169-TODAY())))</f>
        <v/>
      </c>
      <c r="Q169" s="117" t="str">
        <f>IF(B169="","",IF(ISNUMBER(N169),"DECIDIDO – ","")&amp;IF(ISNUMBER(M169),IF(P169="",IF(F169="","INFORMAR PRAZO","SEM DATA"),IF(P169&gt;=0,"DEFESA NO PRAZO","DEFESA FORA DO PRAZO")),IF(OR(H169="DECISÃO D.P",ISNUMBER(N169)),"SEM DEFESA",IF(H169="","SEM STATUS",IF(F169="","INFORMAR PRAZO",IF(P169="","SEM DATA",IF(P169&lt;0,"VENCIDO",IF(P169&lt;=DiasAlerta,"VENCE EM BREVE","NO PRAZO"))))))))</f>
        <v/>
      </c>
      <c r="R169" s="118" t="str">
        <f>IF(D169="","",TODAY()-D169)</f>
        <v/>
      </c>
      <c r="S169" s="111" t="n"/>
    </row>
    <row r="170" ht="18" customHeight="1">
      <c r="A170" s="110" t="n"/>
      <c r="B170" s="111" t="n"/>
      <c r="C170" s="111" t="n"/>
      <c r="D170" s="112" t="n"/>
      <c r="E170" s="111" t="n"/>
      <c r="F170" s="110" t="n"/>
      <c r="G170" s="113" t="n"/>
      <c r="H170" s="113" t="n"/>
      <c r="I170" s="111" t="n"/>
      <c r="J170" s="114" t="n"/>
      <c r="K170" s="114" t="n"/>
      <c r="L170" s="112" t="n"/>
      <c r="M170" s="112" t="n"/>
      <c r="N170" s="112" t="n"/>
      <c r="O170" s="115" t="str">
        <f>IF(OR(D170="",F170=""),"",D170+F170)</f>
        <v/>
      </c>
      <c r="P170" s="116" t="str">
        <f>IF(O170="","",IF(ISNUMBER(M170),O170-M170,IF(OR(H170="DECISÃO D.P",ISNUMBER(N170)),"",O170-TODAY())))</f>
        <v/>
      </c>
      <c r="Q170" s="117" t="str">
        <f>IF(B170="","",IF(ISNUMBER(N170),"DECIDIDO – ","")&amp;IF(ISNUMBER(M170),IF(P170="",IF(F170="","INFORMAR PRAZO","SEM DATA"),IF(P170&gt;=0,"DEFESA NO PRAZO","DEFESA FORA DO PRAZO")),IF(OR(H170="DECISÃO D.P",ISNUMBER(N170)),"SEM DEFESA",IF(H170="","SEM STATUS",IF(F170="","INFORMAR PRAZO",IF(P170="","SEM DATA",IF(P170&lt;0,"VENCIDO",IF(P170&lt;=DiasAlerta,"VENCE EM BREVE","NO PRAZO"))))))))</f>
        <v/>
      </c>
      <c r="R170" s="118" t="str">
        <f>IF(D170="","",TODAY()-D170)</f>
        <v/>
      </c>
      <c r="S170" s="111" t="n"/>
    </row>
    <row r="171" ht="18" customHeight="1">
      <c r="A171" s="110" t="n"/>
      <c r="B171" s="111" t="n"/>
      <c r="C171" s="111" t="n"/>
      <c r="D171" s="112" t="n"/>
      <c r="E171" s="111" t="n"/>
      <c r="F171" s="110" t="n"/>
      <c r="G171" s="113" t="n"/>
      <c r="H171" s="113" t="n"/>
      <c r="I171" s="111" t="n"/>
      <c r="J171" s="114" t="n"/>
      <c r="K171" s="114" t="n"/>
      <c r="L171" s="112" t="n"/>
      <c r="M171" s="112" t="n"/>
      <c r="N171" s="112" t="n"/>
      <c r="O171" s="115" t="str">
        <f>IF(OR(D171="",F171=""),"",D171+F171)</f>
        <v/>
      </c>
      <c r="P171" s="116" t="str">
        <f>IF(O171="","",IF(ISNUMBER(M171),O171-M171,IF(OR(H171="DECISÃO D.P",ISNUMBER(N171)),"",O171-TODAY())))</f>
        <v/>
      </c>
      <c r="Q171" s="117" t="str">
        <f>IF(B171="","",IF(ISNUMBER(N171),"DECIDIDO – ","")&amp;IF(ISNUMBER(M171),IF(P171="",IF(F171="","INFORMAR PRAZO","SEM DATA"),IF(P171&gt;=0,"DEFESA NO PRAZO","DEFESA FORA DO PRAZO")),IF(OR(H171="DECISÃO D.P",ISNUMBER(N171)),"SEM DEFESA",IF(H171="","SEM STATUS",IF(F171="","INFORMAR PRAZO",IF(P171="","SEM DATA",IF(P171&lt;0,"VENCIDO",IF(P171&lt;=DiasAlerta,"VENCE EM BREVE","NO PRAZO"))))))))</f>
        <v/>
      </c>
      <c r="R171" s="118" t="str">
        <f>IF(D171="","",TODAY()-D171)</f>
        <v/>
      </c>
      <c r="S171" s="111" t="n"/>
    </row>
    <row r="172" ht="18" customHeight="1">
      <c r="A172" s="110" t="n"/>
      <c r="B172" s="111" t="n"/>
      <c r="C172" s="111" t="n"/>
      <c r="D172" s="112" t="n"/>
      <c r="E172" s="111" t="n"/>
      <c r="F172" s="110" t="n"/>
      <c r="G172" s="113" t="n"/>
      <c r="H172" s="113" t="n"/>
      <c r="I172" s="111" t="n"/>
      <c r="J172" s="114" t="n"/>
      <c r="K172" s="114" t="n"/>
      <c r="L172" s="112" t="n"/>
      <c r="M172" s="112" t="n"/>
      <c r="N172" s="112" t="n"/>
      <c r="O172" s="115" t="str">
        <f>IF(OR(D172="",F172=""),"",D172+F172)</f>
        <v/>
      </c>
      <c r="P172" s="116" t="str">
        <f>IF(O172="","",IF(ISNUMBER(M172),O172-M172,IF(OR(H172="DECISÃO D.P",ISNUMBER(N172)),"",O172-TODAY())))</f>
        <v/>
      </c>
      <c r="Q172" s="117" t="str">
        <f>IF(B172="","",IF(ISNUMBER(N172),"DECIDIDO – ","")&amp;IF(ISNUMBER(M172),IF(P172="",IF(F172="","INFORMAR PRAZO","SEM DATA"),IF(P172&gt;=0,"DEFESA NO PRAZO","DEFESA FORA DO PRAZO")),IF(OR(H172="DECISÃO D.P",ISNUMBER(N172)),"SEM DEFESA",IF(H172="","SEM STATUS",IF(F172="","INFORMAR PRAZO",IF(P172="","SEM DATA",IF(P172&lt;0,"VENCIDO",IF(P172&lt;=DiasAlerta,"VENCE EM BREVE","NO PRAZO"))))))))</f>
        <v/>
      </c>
      <c r="R172" s="118" t="str">
        <f>IF(D172="","",TODAY()-D172)</f>
        <v/>
      </c>
      <c r="S172" s="111" t="n"/>
    </row>
    <row r="173" ht="18" customHeight="1">
      <c r="A173" s="110" t="n"/>
      <c r="B173" s="111" t="n"/>
      <c r="C173" s="111" t="n"/>
      <c r="D173" s="112" t="n"/>
      <c r="E173" s="111" t="n"/>
      <c r="F173" s="110" t="n"/>
      <c r="G173" s="113" t="n"/>
      <c r="H173" s="113" t="n"/>
      <c r="I173" s="111" t="n"/>
      <c r="J173" s="114" t="n"/>
      <c r="K173" s="114" t="n"/>
      <c r="L173" s="112" t="n"/>
      <c r="M173" s="112" t="n"/>
      <c r="N173" s="112" t="n"/>
      <c r="O173" s="115" t="str">
        <f>IF(OR(D173="",F173=""),"",D173+F173)</f>
        <v/>
      </c>
      <c r="P173" s="116" t="str">
        <f>IF(O173="","",IF(ISNUMBER(M173),O173-M173,IF(OR(H173="DECISÃO D.P",ISNUMBER(N173)),"",O173-TODAY())))</f>
        <v/>
      </c>
      <c r="Q173" s="117" t="str">
        <f>IF(B173="","",IF(ISNUMBER(N173),"DECIDIDO – ","")&amp;IF(ISNUMBER(M173),IF(P173="",IF(F173="","INFORMAR PRAZO","SEM DATA"),IF(P173&gt;=0,"DEFESA NO PRAZO","DEFESA FORA DO PRAZO")),IF(OR(H173="DECISÃO D.P",ISNUMBER(N173)),"SEM DEFESA",IF(H173="","SEM STATUS",IF(F173="","INFORMAR PRAZO",IF(P173="","SEM DATA",IF(P173&lt;0,"VENCIDO",IF(P173&lt;=DiasAlerta,"VENCE EM BREVE","NO PRAZO"))))))))</f>
        <v/>
      </c>
      <c r="R173" s="118" t="str">
        <f>IF(D173="","",TODAY()-D173)</f>
        <v/>
      </c>
      <c r="S173" s="111" t="n"/>
    </row>
    <row r="174" ht="18" customHeight="1">
      <c r="A174" s="110" t="n"/>
      <c r="B174" s="111" t="n"/>
      <c r="C174" s="111" t="n"/>
      <c r="D174" s="112" t="n"/>
      <c r="E174" s="111" t="n"/>
      <c r="F174" s="110" t="n"/>
      <c r="G174" s="113" t="n"/>
      <c r="H174" s="113" t="n"/>
      <c r="I174" s="111" t="n"/>
      <c r="J174" s="114" t="n"/>
      <c r="K174" s="114" t="n"/>
      <c r="L174" s="112" t="n"/>
      <c r="M174" s="112" t="n"/>
      <c r="N174" s="112" t="n"/>
      <c r="O174" s="115" t="str">
        <f>IF(OR(D174="",F174=""),"",D174+F174)</f>
        <v/>
      </c>
      <c r="P174" s="116" t="str">
        <f>IF(O174="","",IF(ISNUMBER(M174),O174-M174,IF(OR(H174="DECISÃO D.P",ISNUMBER(N174)),"",O174-TODAY())))</f>
        <v/>
      </c>
      <c r="Q174" s="117" t="str">
        <f>IF(B174="","",IF(ISNUMBER(N174),"DECIDIDO – ","")&amp;IF(ISNUMBER(M174),IF(P174="",IF(F174="","INFORMAR PRAZO","SEM DATA"),IF(P174&gt;=0,"DEFESA NO PRAZO","DEFESA FORA DO PRAZO")),IF(OR(H174="DECISÃO D.P",ISNUMBER(N174)),"SEM DEFESA",IF(H174="","SEM STATUS",IF(F174="","INFORMAR PRAZO",IF(P174="","SEM DATA",IF(P174&lt;0,"VENCIDO",IF(P174&lt;=DiasAlerta,"VENCE EM BREVE","NO PRAZO"))))))))</f>
        <v/>
      </c>
      <c r="R174" s="118" t="str">
        <f>IF(D174="","",TODAY()-D174)</f>
        <v/>
      </c>
      <c r="S174" s="111" t="n"/>
    </row>
    <row r="175" ht="18" customHeight="1">
      <c r="A175" s="110" t="n"/>
      <c r="B175" s="111" t="n"/>
      <c r="C175" s="111" t="n"/>
      <c r="D175" s="112" t="n"/>
      <c r="E175" s="111" t="n"/>
      <c r="F175" s="110" t="n"/>
      <c r="G175" s="113" t="n"/>
      <c r="H175" s="113" t="n"/>
      <c r="I175" s="111" t="n"/>
      <c r="J175" s="114" t="n"/>
      <c r="K175" s="114" t="n"/>
      <c r="L175" s="112" t="n"/>
      <c r="M175" s="112" t="n"/>
      <c r="N175" s="112" t="n"/>
      <c r="O175" s="115" t="str">
        <f>IF(OR(D175="",F175=""),"",D175+F175)</f>
        <v/>
      </c>
      <c r="P175" s="116" t="str">
        <f>IF(O175="","",IF(ISNUMBER(M175),O175-M175,IF(OR(H175="DECISÃO D.P",ISNUMBER(N175)),"",O175-TODAY())))</f>
        <v/>
      </c>
      <c r="Q175" s="117" t="str">
        <f>IF(B175="","",IF(ISNUMBER(N175),"DECIDIDO – ","")&amp;IF(ISNUMBER(M175),IF(P175="",IF(F175="","INFORMAR PRAZO","SEM DATA"),IF(P175&gt;=0,"DEFESA NO PRAZO","DEFESA FORA DO PRAZO")),IF(OR(H175="DECISÃO D.P",ISNUMBER(N175)),"SEM DEFESA",IF(H175="","SEM STATUS",IF(F175="","INFORMAR PRAZO",IF(P175="","SEM DATA",IF(P175&lt;0,"VENCIDO",IF(P175&lt;=DiasAlerta,"VENCE EM BREVE","NO PRAZO"))))))))</f>
        <v/>
      </c>
      <c r="R175" s="118" t="str">
        <f>IF(D175="","",TODAY()-D175)</f>
        <v/>
      </c>
      <c r="S175" s="111" t="n"/>
    </row>
    <row r="176" ht="18" customHeight="1">
      <c r="A176" s="110" t="n"/>
      <c r="B176" s="111" t="n"/>
      <c r="C176" s="111" t="n"/>
      <c r="D176" s="112" t="n"/>
      <c r="E176" s="111" t="n"/>
      <c r="F176" s="110" t="n"/>
      <c r="G176" s="113" t="n"/>
      <c r="H176" s="113" t="n"/>
      <c r="I176" s="111" t="n"/>
      <c r="J176" s="114" t="n"/>
      <c r="K176" s="114" t="n"/>
      <c r="L176" s="112" t="n"/>
      <c r="M176" s="112" t="n"/>
      <c r="N176" s="112" t="n"/>
      <c r="O176" s="115" t="str">
        <f>IF(OR(D176="",F176=""),"",D176+F176)</f>
        <v/>
      </c>
      <c r="P176" s="116" t="str">
        <f>IF(O176="","",IF(ISNUMBER(M176),O176-M176,IF(OR(H176="DECISÃO D.P",ISNUMBER(N176)),"",O176-TODAY())))</f>
        <v/>
      </c>
      <c r="Q176" s="117" t="str">
        <f>IF(B176="","",IF(ISNUMBER(N176),"DECIDIDO – ","")&amp;IF(ISNUMBER(M176),IF(P176="",IF(F176="","INFORMAR PRAZO","SEM DATA"),IF(P176&gt;=0,"DEFESA NO PRAZO","DEFESA FORA DO PRAZO")),IF(OR(H176="DECISÃO D.P",ISNUMBER(N176)),"SEM DEFESA",IF(H176="","SEM STATUS",IF(F176="","INFORMAR PRAZO",IF(P176="","SEM DATA",IF(P176&lt;0,"VENCIDO",IF(P176&lt;=DiasAlerta,"VENCE EM BREVE","NO PRAZO"))))))))</f>
        <v/>
      </c>
      <c r="R176" s="118" t="str">
        <f>IF(D176="","",TODAY()-D176)</f>
        <v/>
      </c>
      <c r="S176" s="111" t="n"/>
    </row>
    <row r="177" ht="18" customHeight="1">
      <c r="A177" s="110" t="n"/>
      <c r="B177" s="111" t="n"/>
      <c r="C177" s="111" t="n"/>
      <c r="D177" s="112" t="n"/>
      <c r="E177" s="111" t="n"/>
      <c r="F177" s="110" t="n"/>
      <c r="G177" s="113" t="n"/>
      <c r="H177" s="113" t="n"/>
      <c r="I177" s="111" t="n"/>
      <c r="J177" s="114" t="n"/>
      <c r="K177" s="114" t="n"/>
      <c r="L177" s="112" t="n"/>
      <c r="M177" s="112" t="n"/>
      <c r="N177" s="112" t="n"/>
      <c r="O177" s="115" t="str">
        <f>IF(OR(D177="",F177=""),"",D177+F177)</f>
        <v/>
      </c>
      <c r="P177" s="116" t="str">
        <f>IF(O177="","",IF(ISNUMBER(M177),O177-M177,IF(OR(H177="DECISÃO D.P",ISNUMBER(N177)),"",O177-TODAY())))</f>
        <v/>
      </c>
      <c r="Q177" s="117" t="str">
        <f>IF(B177="","",IF(ISNUMBER(N177),"DECIDIDO – ","")&amp;IF(ISNUMBER(M177),IF(P177="",IF(F177="","INFORMAR PRAZO","SEM DATA"),IF(P177&gt;=0,"DEFESA NO PRAZO","DEFESA FORA DO PRAZO")),IF(OR(H177="DECISÃO D.P",ISNUMBER(N177)),"SEM DEFESA",IF(H177="","SEM STATUS",IF(F177="","INFORMAR PRAZO",IF(P177="","SEM DATA",IF(P177&lt;0,"VENCIDO",IF(P177&lt;=DiasAlerta,"VENCE EM BREVE","NO PRAZO"))))))))</f>
        <v/>
      </c>
      <c r="R177" s="118" t="str">
        <f>IF(D177="","",TODAY()-D177)</f>
        <v/>
      </c>
      <c r="S177" s="111" t="n"/>
    </row>
    <row r="178" ht="18" customHeight="1">
      <c r="A178" s="110" t="n"/>
      <c r="B178" s="111" t="n"/>
      <c r="C178" s="111" t="n"/>
      <c r="D178" s="112" t="n"/>
      <c r="E178" s="111" t="n"/>
      <c r="F178" s="110" t="n"/>
      <c r="G178" s="113" t="n"/>
      <c r="H178" s="113" t="n"/>
      <c r="I178" s="111" t="n"/>
      <c r="J178" s="114" t="n"/>
      <c r="K178" s="114" t="n"/>
      <c r="L178" s="112" t="n"/>
      <c r="M178" s="112" t="n"/>
      <c r="N178" s="112" t="n"/>
      <c r="O178" s="115" t="str">
        <f>IF(OR(D178="",F178=""),"",D178+F178)</f>
        <v/>
      </c>
      <c r="P178" s="116" t="str">
        <f>IF(O178="","",IF(ISNUMBER(M178),O178-M178,IF(OR(H178="DECISÃO D.P",ISNUMBER(N178)),"",O178-TODAY())))</f>
        <v/>
      </c>
      <c r="Q178" s="117" t="str">
        <f>IF(B178="","",IF(ISNUMBER(N178),"DECIDIDO – ","")&amp;IF(ISNUMBER(M178),IF(P178="",IF(F178="","INFORMAR PRAZO","SEM DATA"),IF(P178&gt;=0,"DEFESA NO PRAZO","DEFESA FORA DO PRAZO")),IF(OR(H178="DECISÃO D.P",ISNUMBER(N178)),"SEM DEFESA",IF(H178="","SEM STATUS",IF(F178="","INFORMAR PRAZO",IF(P178="","SEM DATA",IF(P178&lt;0,"VENCIDO",IF(P178&lt;=DiasAlerta,"VENCE EM BREVE","NO PRAZO"))))))))</f>
        <v/>
      </c>
      <c r="R178" s="118" t="str">
        <f>IF(D178="","",TODAY()-D178)</f>
        <v/>
      </c>
      <c r="S178" s="111" t="n"/>
    </row>
    <row r="179" ht="18" customHeight="1">
      <c r="A179" s="110" t="n"/>
      <c r="B179" s="111" t="n"/>
      <c r="C179" s="111" t="n"/>
      <c r="D179" s="112" t="n"/>
      <c r="E179" s="111" t="n"/>
      <c r="F179" s="110" t="n"/>
      <c r="G179" s="113" t="n"/>
      <c r="H179" s="113" t="n"/>
      <c r="I179" s="111" t="n"/>
      <c r="J179" s="114" t="n"/>
      <c r="K179" s="114" t="n"/>
      <c r="L179" s="112" t="n"/>
      <c r="M179" s="112" t="n"/>
      <c r="N179" s="112" t="n"/>
      <c r="O179" s="115" t="str">
        <f>IF(OR(D179="",F179=""),"",D179+F179)</f>
        <v/>
      </c>
      <c r="P179" s="116" t="str">
        <f>IF(O179="","",IF(ISNUMBER(M179),O179-M179,IF(OR(H179="DECISÃO D.P",ISNUMBER(N179)),"",O179-TODAY())))</f>
        <v/>
      </c>
      <c r="Q179" s="117" t="str">
        <f>IF(B179="","",IF(ISNUMBER(N179),"DECIDIDO – ","")&amp;IF(ISNUMBER(M179),IF(P179="",IF(F179="","INFORMAR PRAZO","SEM DATA"),IF(P179&gt;=0,"DEFESA NO PRAZO","DEFESA FORA DO PRAZO")),IF(OR(H179="DECISÃO D.P",ISNUMBER(N179)),"SEM DEFESA",IF(H179="","SEM STATUS",IF(F179="","INFORMAR PRAZO",IF(P179="","SEM DATA",IF(P179&lt;0,"VENCIDO",IF(P179&lt;=DiasAlerta,"VENCE EM BREVE","NO PRAZO"))))))))</f>
        <v/>
      </c>
      <c r="R179" s="118" t="str">
        <f>IF(D179="","",TODAY()-D179)</f>
        <v/>
      </c>
      <c r="S179" s="111" t="n"/>
    </row>
    <row r="180" ht="18" customHeight="1">
      <c r="A180" s="110" t="n"/>
      <c r="B180" s="111" t="n"/>
      <c r="C180" s="111" t="n"/>
      <c r="D180" s="112" t="n"/>
      <c r="E180" s="111" t="n"/>
      <c r="F180" s="110" t="n"/>
      <c r="G180" s="113" t="n"/>
      <c r="H180" s="113" t="n"/>
      <c r="I180" s="111" t="n"/>
      <c r="J180" s="114" t="n"/>
      <c r="K180" s="114" t="n"/>
      <c r="L180" s="112" t="n"/>
      <c r="M180" s="112" t="n"/>
      <c r="N180" s="112" t="n"/>
      <c r="O180" s="115" t="str">
        <f>IF(OR(D180="",F180=""),"",D180+F180)</f>
        <v/>
      </c>
      <c r="P180" s="116" t="str">
        <f>IF(O180="","",IF(ISNUMBER(M180),O180-M180,IF(OR(H180="DECISÃO D.P",ISNUMBER(N180)),"",O180-TODAY())))</f>
        <v/>
      </c>
      <c r="Q180" s="117" t="str">
        <f>IF(B180="","",IF(ISNUMBER(N180),"DECIDIDO – ","")&amp;IF(ISNUMBER(M180),IF(P180="",IF(F180="","INFORMAR PRAZO","SEM DATA"),IF(P180&gt;=0,"DEFESA NO PRAZO","DEFESA FORA DO PRAZO")),IF(OR(H180="DECISÃO D.P",ISNUMBER(N180)),"SEM DEFESA",IF(H180="","SEM STATUS",IF(F180="","INFORMAR PRAZO",IF(P180="","SEM DATA",IF(P180&lt;0,"VENCIDO",IF(P180&lt;=DiasAlerta,"VENCE EM BREVE","NO PRAZO"))))))))</f>
        <v/>
      </c>
      <c r="R180" s="118" t="str">
        <f>IF(D180="","",TODAY()-D180)</f>
        <v/>
      </c>
      <c r="S180" s="111" t="n"/>
    </row>
    <row r="181" ht="18" customHeight="1">
      <c r="A181" s="110" t="n"/>
      <c r="B181" s="111" t="n"/>
      <c r="C181" s="111" t="n"/>
      <c r="D181" s="112" t="n"/>
      <c r="E181" s="111" t="n"/>
      <c r="F181" s="110" t="n"/>
      <c r="G181" s="113" t="n"/>
      <c r="H181" s="113" t="n"/>
      <c r="I181" s="111" t="n"/>
      <c r="J181" s="114" t="n"/>
      <c r="K181" s="114" t="n"/>
      <c r="L181" s="112" t="n"/>
      <c r="M181" s="112" t="n"/>
      <c r="N181" s="112" t="n"/>
      <c r="O181" s="115" t="str">
        <f>IF(OR(D181="",F181=""),"",D181+F181)</f>
        <v/>
      </c>
      <c r="P181" s="116" t="str">
        <f>IF(O181="","",IF(ISNUMBER(M181),O181-M181,IF(OR(H181="DECISÃO D.P",ISNUMBER(N181)),"",O181-TODAY())))</f>
        <v/>
      </c>
      <c r="Q181" s="117" t="str">
        <f>IF(B181="","",IF(ISNUMBER(N181),"DECIDIDO – ","")&amp;IF(ISNUMBER(M181),IF(P181="",IF(F181="","INFORMAR PRAZO","SEM DATA"),IF(P181&gt;=0,"DEFESA NO PRAZO","DEFESA FORA DO PRAZO")),IF(OR(H181="DECISÃO D.P",ISNUMBER(N181)),"SEM DEFESA",IF(H181="","SEM STATUS",IF(F181="","INFORMAR PRAZO",IF(P181="","SEM DATA",IF(P181&lt;0,"VENCIDO",IF(P181&lt;=DiasAlerta,"VENCE EM BREVE","NO PRAZO"))))))))</f>
        <v/>
      </c>
      <c r="R181" s="118" t="str">
        <f>IF(D181="","",TODAY()-D181)</f>
        <v/>
      </c>
      <c r="S181" s="111" t="n"/>
    </row>
    <row r="182" ht="18" customHeight="1">
      <c r="A182" s="110" t="n"/>
      <c r="B182" s="111" t="n"/>
      <c r="C182" s="111" t="n"/>
      <c r="D182" s="112" t="n"/>
      <c r="E182" s="111" t="n"/>
      <c r="F182" s="110" t="n"/>
      <c r="G182" s="113" t="n"/>
      <c r="H182" s="113" t="n"/>
      <c r="I182" s="111" t="n"/>
      <c r="J182" s="114" t="n"/>
      <c r="K182" s="114" t="n"/>
      <c r="L182" s="112" t="n"/>
      <c r="M182" s="112" t="n"/>
      <c r="N182" s="112" t="n"/>
      <c r="O182" s="115" t="str">
        <f>IF(OR(D182="",F182=""),"",D182+F182)</f>
        <v/>
      </c>
      <c r="P182" s="116" t="str">
        <f>IF(O182="","",IF(ISNUMBER(M182),O182-M182,IF(OR(H182="DECISÃO D.P",ISNUMBER(N182)),"",O182-TODAY())))</f>
        <v/>
      </c>
      <c r="Q182" s="117" t="str">
        <f>IF(B182="","",IF(ISNUMBER(N182),"DECIDIDO – ","")&amp;IF(ISNUMBER(M182),IF(P182="",IF(F182="","INFORMAR PRAZO","SEM DATA"),IF(P182&gt;=0,"DEFESA NO PRAZO","DEFESA FORA DO PRAZO")),IF(OR(H182="DECISÃO D.P",ISNUMBER(N182)),"SEM DEFESA",IF(H182="","SEM STATUS",IF(F182="","INFORMAR PRAZO",IF(P182="","SEM DATA",IF(P182&lt;0,"VENCIDO",IF(P182&lt;=DiasAlerta,"VENCE EM BREVE","NO PRAZO"))))))))</f>
        <v/>
      </c>
      <c r="R182" s="118" t="str">
        <f>IF(D182="","",TODAY()-D182)</f>
        <v/>
      </c>
      <c r="S182" s="111" t="n"/>
    </row>
    <row r="183" ht="18" customHeight="1">
      <c r="A183" s="110" t="n"/>
      <c r="B183" s="111" t="n"/>
      <c r="C183" s="111" t="n"/>
      <c r="D183" s="112" t="n"/>
      <c r="E183" s="111" t="n"/>
      <c r="F183" s="110" t="n"/>
      <c r="G183" s="113" t="n"/>
      <c r="H183" s="113" t="n"/>
      <c r="I183" s="111" t="n"/>
      <c r="J183" s="114" t="n"/>
      <c r="K183" s="114" t="n"/>
      <c r="L183" s="112" t="n"/>
      <c r="M183" s="112" t="n"/>
      <c r="N183" s="112" t="n"/>
      <c r="O183" s="115" t="str">
        <f>IF(OR(D183="",F183=""),"",D183+F183)</f>
        <v/>
      </c>
      <c r="P183" s="116" t="str">
        <f>IF(O183="","",IF(ISNUMBER(M183),O183-M183,IF(OR(H183="DECISÃO D.P",ISNUMBER(N183)),"",O183-TODAY())))</f>
        <v/>
      </c>
      <c r="Q183" s="117" t="str">
        <f>IF(B183="","",IF(ISNUMBER(N183),"DECIDIDO – ","")&amp;IF(ISNUMBER(M183),IF(P183="",IF(F183="","INFORMAR PRAZO","SEM DATA"),IF(P183&gt;=0,"DEFESA NO PRAZO","DEFESA FORA DO PRAZO")),IF(OR(H183="DECISÃO D.P",ISNUMBER(N183)),"SEM DEFESA",IF(H183="","SEM STATUS",IF(F183="","INFORMAR PRAZO",IF(P183="","SEM DATA",IF(P183&lt;0,"VENCIDO",IF(P183&lt;=DiasAlerta,"VENCE EM BREVE","NO PRAZO"))))))))</f>
        <v/>
      </c>
      <c r="R183" s="118" t="str">
        <f>IF(D183="","",TODAY()-D183)</f>
        <v/>
      </c>
      <c r="S183" s="111" t="n"/>
    </row>
    <row r="184" ht="18" customHeight="1">
      <c r="A184" s="110" t="n"/>
      <c r="B184" s="111" t="n"/>
      <c r="C184" s="111" t="n"/>
      <c r="D184" s="112" t="n"/>
      <c r="E184" s="111" t="n"/>
      <c r="F184" s="110" t="n"/>
      <c r="G184" s="113" t="n"/>
      <c r="H184" s="113" t="n"/>
      <c r="I184" s="111" t="n"/>
      <c r="J184" s="114" t="n"/>
      <c r="K184" s="114" t="n"/>
      <c r="L184" s="112" t="n"/>
      <c r="M184" s="112" t="n"/>
      <c r="N184" s="112" t="n"/>
      <c r="O184" s="115" t="str">
        <f>IF(OR(D184="",F184=""),"",D184+F184)</f>
        <v/>
      </c>
      <c r="P184" s="116" t="str">
        <f>IF(O184="","",IF(ISNUMBER(M184),O184-M184,IF(OR(H184="DECISÃO D.P",ISNUMBER(N184)),"",O184-TODAY())))</f>
        <v/>
      </c>
      <c r="Q184" s="117" t="str">
        <f>IF(B184="","",IF(ISNUMBER(N184),"DECIDIDO – ","")&amp;IF(ISNUMBER(M184),IF(P184="",IF(F184="","INFORMAR PRAZO","SEM DATA"),IF(P184&gt;=0,"DEFESA NO PRAZO","DEFESA FORA DO PRAZO")),IF(OR(H184="DECISÃO D.P",ISNUMBER(N184)),"SEM DEFESA",IF(H184="","SEM STATUS",IF(F184="","INFORMAR PRAZO",IF(P184="","SEM DATA",IF(P184&lt;0,"VENCIDO",IF(P184&lt;=DiasAlerta,"VENCE EM BREVE","NO PRAZO"))))))))</f>
        <v/>
      </c>
      <c r="R184" s="118" t="str">
        <f>IF(D184="","",TODAY()-D184)</f>
        <v/>
      </c>
      <c r="S184" s="111" t="n"/>
    </row>
    <row r="185" ht="18" customHeight="1">
      <c r="A185" s="110" t="n"/>
      <c r="B185" s="111" t="n"/>
      <c r="C185" s="111" t="n"/>
      <c r="D185" s="112" t="n"/>
      <c r="E185" s="111" t="n"/>
      <c r="F185" s="110" t="n"/>
      <c r="G185" s="113" t="n"/>
      <c r="H185" s="113" t="n"/>
      <c r="I185" s="111" t="n"/>
      <c r="J185" s="114" t="n"/>
      <c r="K185" s="114" t="n"/>
      <c r="L185" s="112" t="n"/>
      <c r="M185" s="112" t="n"/>
      <c r="N185" s="112" t="n"/>
      <c r="O185" s="115" t="str">
        <f>IF(OR(D185="",F185=""),"",D185+F185)</f>
        <v/>
      </c>
      <c r="P185" s="116" t="str">
        <f>IF(O185="","",IF(ISNUMBER(M185),O185-M185,IF(OR(H185="DECISÃO D.P",ISNUMBER(N185)),"",O185-TODAY())))</f>
        <v/>
      </c>
      <c r="Q185" s="117" t="str">
        <f>IF(B185="","",IF(ISNUMBER(N185),"DECIDIDO – ","")&amp;IF(ISNUMBER(M185),IF(P185="",IF(F185="","INFORMAR PRAZO","SEM DATA"),IF(P185&gt;=0,"DEFESA NO PRAZO","DEFESA FORA DO PRAZO")),IF(OR(H185="DECISÃO D.P",ISNUMBER(N185)),"SEM DEFESA",IF(H185="","SEM STATUS",IF(F185="","INFORMAR PRAZO",IF(P185="","SEM DATA",IF(P185&lt;0,"VENCIDO",IF(P185&lt;=DiasAlerta,"VENCE EM BREVE","NO PRAZO"))))))))</f>
        <v/>
      </c>
      <c r="R185" s="118" t="str">
        <f>IF(D185="","",TODAY()-D185)</f>
        <v/>
      </c>
      <c r="S185" s="111" t="n"/>
    </row>
    <row r="186" ht="18" customHeight="1">
      <c r="A186" s="110" t="n"/>
      <c r="B186" s="111" t="n"/>
      <c r="C186" s="111" t="n"/>
      <c r="D186" s="112" t="n"/>
      <c r="E186" s="111" t="n"/>
      <c r="F186" s="110" t="n"/>
      <c r="G186" s="113" t="n"/>
      <c r="H186" s="113" t="n"/>
      <c r="I186" s="111" t="n"/>
      <c r="J186" s="114" t="n"/>
      <c r="K186" s="114" t="n"/>
      <c r="L186" s="112" t="n"/>
      <c r="M186" s="112" t="n"/>
      <c r="N186" s="112" t="n"/>
      <c r="O186" s="115" t="str">
        <f>IF(OR(D186="",F186=""),"",D186+F186)</f>
        <v/>
      </c>
      <c r="P186" s="116" t="str">
        <f>IF(O186="","",IF(ISNUMBER(M186),O186-M186,IF(OR(H186="DECISÃO D.P",ISNUMBER(N186)),"",O186-TODAY())))</f>
        <v/>
      </c>
      <c r="Q186" s="117" t="str">
        <f>IF(B186="","",IF(ISNUMBER(N186),"DECIDIDO – ","")&amp;IF(ISNUMBER(M186),IF(P186="",IF(F186="","INFORMAR PRAZO","SEM DATA"),IF(P186&gt;=0,"DEFESA NO PRAZO","DEFESA FORA DO PRAZO")),IF(OR(H186="DECISÃO D.P",ISNUMBER(N186)),"SEM DEFESA",IF(H186="","SEM STATUS",IF(F186="","INFORMAR PRAZO",IF(P186="","SEM DATA",IF(P186&lt;0,"VENCIDO",IF(P186&lt;=DiasAlerta,"VENCE EM BREVE","NO PRAZO"))))))))</f>
        <v/>
      </c>
      <c r="R186" s="118" t="str">
        <f>IF(D186="","",TODAY()-D186)</f>
        <v/>
      </c>
      <c r="S186" s="111" t="n"/>
    </row>
    <row r="187" ht="18" customHeight="1">
      <c r="A187" s="110" t="n"/>
      <c r="B187" s="111" t="n"/>
      <c r="C187" s="111" t="n"/>
      <c r="D187" s="112" t="n"/>
      <c r="E187" s="111" t="n"/>
      <c r="F187" s="110" t="n"/>
      <c r="G187" s="113" t="n"/>
      <c r="H187" s="113" t="n"/>
      <c r="I187" s="111" t="n"/>
      <c r="J187" s="114" t="n"/>
      <c r="K187" s="114" t="n"/>
      <c r="L187" s="112" t="n"/>
      <c r="M187" s="112" t="n"/>
      <c r="N187" s="112" t="n"/>
      <c r="O187" s="115" t="str">
        <f>IF(OR(D187="",F187=""),"",D187+F187)</f>
        <v/>
      </c>
      <c r="P187" s="116" t="str">
        <f>IF(O187="","",IF(ISNUMBER(M187),O187-M187,IF(OR(H187="DECISÃO D.P",ISNUMBER(N187)),"",O187-TODAY())))</f>
        <v/>
      </c>
      <c r="Q187" s="117" t="str">
        <f>IF(B187="","",IF(ISNUMBER(N187),"DECIDIDO – ","")&amp;IF(ISNUMBER(M187),IF(P187="",IF(F187="","INFORMAR PRAZO","SEM DATA"),IF(P187&gt;=0,"DEFESA NO PRAZO","DEFESA FORA DO PRAZO")),IF(OR(H187="DECISÃO D.P",ISNUMBER(N187)),"SEM DEFESA",IF(H187="","SEM STATUS",IF(F187="","INFORMAR PRAZO",IF(P187="","SEM DATA",IF(P187&lt;0,"VENCIDO",IF(P187&lt;=DiasAlerta,"VENCE EM BREVE","NO PRAZO"))))))))</f>
        <v/>
      </c>
      <c r="R187" s="118" t="str">
        <f>IF(D187="","",TODAY()-D187)</f>
        <v/>
      </c>
      <c r="S187" s="111" t="n"/>
    </row>
    <row r="188" ht="18" customHeight="1">
      <c r="A188" s="110" t="n"/>
      <c r="B188" s="111" t="n"/>
      <c r="C188" s="111" t="n"/>
      <c r="D188" s="112" t="n"/>
      <c r="E188" s="111" t="n"/>
      <c r="F188" s="110" t="n"/>
      <c r="G188" s="113" t="n"/>
      <c r="H188" s="113" t="n"/>
      <c r="I188" s="111" t="n"/>
      <c r="J188" s="114" t="n"/>
      <c r="K188" s="114" t="n"/>
      <c r="L188" s="112" t="n"/>
      <c r="M188" s="112" t="n"/>
      <c r="N188" s="112" t="n"/>
      <c r="O188" s="115" t="str">
        <f>IF(OR(D188="",F188=""),"",D188+F188)</f>
        <v/>
      </c>
      <c r="P188" s="116" t="str">
        <f>IF(O188="","",IF(ISNUMBER(M188),O188-M188,IF(OR(H188="DECISÃO D.P",ISNUMBER(N188)),"",O188-TODAY())))</f>
        <v/>
      </c>
      <c r="Q188" s="117" t="str">
        <f>IF(B188="","",IF(ISNUMBER(N188),"DECIDIDO – ","")&amp;IF(ISNUMBER(M188),IF(P188="",IF(F188="","INFORMAR PRAZO","SEM DATA"),IF(P188&gt;=0,"DEFESA NO PRAZO","DEFESA FORA DO PRAZO")),IF(OR(H188="DECISÃO D.P",ISNUMBER(N188)),"SEM DEFESA",IF(H188="","SEM STATUS",IF(F188="","INFORMAR PRAZO",IF(P188="","SEM DATA",IF(P188&lt;0,"VENCIDO",IF(P188&lt;=DiasAlerta,"VENCE EM BREVE","NO PRAZO"))))))))</f>
        <v/>
      </c>
      <c r="R188" s="118" t="str">
        <f>IF(D188="","",TODAY()-D188)</f>
        <v/>
      </c>
      <c r="S188" s="111" t="n"/>
    </row>
    <row r="189" ht="18" customHeight="1">
      <c r="A189" s="110" t="n"/>
      <c r="B189" s="111" t="n"/>
      <c r="C189" s="111" t="n"/>
      <c r="D189" s="112" t="n"/>
      <c r="E189" s="111" t="n"/>
      <c r="F189" s="110" t="n"/>
      <c r="G189" s="113" t="n"/>
      <c r="H189" s="113" t="n"/>
      <c r="I189" s="111" t="n"/>
      <c r="J189" s="114" t="n"/>
      <c r="K189" s="114" t="n"/>
      <c r="L189" s="112" t="n"/>
      <c r="M189" s="112" t="n"/>
      <c r="N189" s="112" t="n"/>
      <c r="O189" s="115" t="str">
        <f>IF(OR(D189="",F189=""),"",D189+F189)</f>
        <v/>
      </c>
      <c r="P189" s="116" t="str">
        <f>IF(O189="","",IF(ISNUMBER(M189),O189-M189,IF(OR(H189="DECISÃO D.P",ISNUMBER(N189)),"",O189-TODAY())))</f>
        <v/>
      </c>
      <c r="Q189" s="117" t="str">
        <f>IF(B189="","",IF(ISNUMBER(N189),"DECIDIDO – ","")&amp;IF(ISNUMBER(M189),IF(P189="",IF(F189="","INFORMAR PRAZO","SEM DATA"),IF(P189&gt;=0,"DEFESA NO PRAZO","DEFESA FORA DO PRAZO")),IF(OR(H189="DECISÃO D.P",ISNUMBER(N189)),"SEM DEFESA",IF(H189="","SEM STATUS",IF(F189="","INFORMAR PRAZO",IF(P189="","SEM DATA",IF(P189&lt;0,"VENCIDO",IF(P189&lt;=DiasAlerta,"VENCE EM BREVE","NO PRAZO"))))))))</f>
        <v/>
      </c>
      <c r="R189" s="118" t="str">
        <f>IF(D189="","",TODAY()-D189)</f>
        <v/>
      </c>
      <c r="S189" s="111" t="n"/>
    </row>
    <row r="190" ht="18" customHeight="1">
      <c r="A190" s="110" t="n"/>
      <c r="B190" s="111" t="n"/>
      <c r="C190" s="111" t="n"/>
      <c r="D190" s="112" t="n"/>
      <c r="E190" s="111" t="n"/>
      <c r="F190" s="110" t="n"/>
      <c r="G190" s="113" t="n"/>
      <c r="H190" s="113" t="n"/>
      <c r="I190" s="111" t="n"/>
      <c r="J190" s="114" t="n"/>
      <c r="K190" s="114" t="n"/>
      <c r="L190" s="112" t="n"/>
      <c r="M190" s="112" t="n"/>
      <c r="N190" s="112" t="n"/>
      <c r="O190" s="115" t="str">
        <f>IF(OR(D190="",F190=""),"",D190+F190)</f>
        <v/>
      </c>
      <c r="P190" s="116" t="str">
        <f>IF(O190="","",IF(ISNUMBER(M190),O190-M190,IF(OR(H190="DECISÃO D.P",ISNUMBER(N190)),"",O190-TODAY())))</f>
        <v/>
      </c>
      <c r="Q190" s="117" t="str">
        <f>IF(B190="","",IF(ISNUMBER(N190),"DECIDIDO – ","")&amp;IF(ISNUMBER(M190),IF(P190="",IF(F190="","INFORMAR PRAZO","SEM DATA"),IF(P190&gt;=0,"DEFESA NO PRAZO","DEFESA FORA DO PRAZO")),IF(OR(H190="DECISÃO D.P",ISNUMBER(N190)),"SEM DEFESA",IF(H190="","SEM STATUS",IF(F190="","INFORMAR PRAZO",IF(P190="","SEM DATA",IF(P190&lt;0,"VENCIDO",IF(P190&lt;=DiasAlerta,"VENCE EM BREVE","NO PRAZO"))))))))</f>
        <v/>
      </c>
      <c r="R190" s="118" t="str">
        <f>IF(D190="","",TODAY()-D190)</f>
        <v/>
      </c>
      <c r="S190" s="111" t="n"/>
    </row>
    <row r="191" ht="18" customHeight="1">
      <c r="A191" s="110" t="n"/>
      <c r="B191" s="111" t="n"/>
      <c r="C191" s="111" t="n"/>
      <c r="D191" s="112" t="n"/>
      <c r="E191" s="111" t="n"/>
      <c r="F191" s="110" t="n"/>
      <c r="G191" s="113" t="n"/>
      <c r="H191" s="113" t="n"/>
      <c r="I191" s="111" t="n"/>
      <c r="J191" s="114" t="n"/>
      <c r="K191" s="114" t="n"/>
      <c r="L191" s="112" t="n"/>
      <c r="M191" s="112" t="n"/>
      <c r="N191" s="112" t="n"/>
      <c r="O191" s="115" t="str">
        <f>IF(OR(D191="",F191=""),"",D191+F191)</f>
        <v/>
      </c>
      <c r="P191" s="116" t="str">
        <f>IF(O191="","",IF(ISNUMBER(M191),O191-M191,IF(OR(H191="DECISÃO D.P",ISNUMBER(N191)),"",O191-TODAY())))</f>
        <v/>
      </c>
      <c r="Q191" s="117" t="str">
        <f>IF(B191="","",IF(ISNUMBER(N191),"DECIDIDO – ","")&amp;IF(ISNUMBER(M191),IF(P191="",IF(F191="","INFORMAR PRAZO","SEM DATA"),IF(P191&gt;=0,"DEFESA NO PRAZO","DEFESA FORA DO PRAZO")),IF(OR(H191="DECISÃO D.P",ISNUMBER(N191)),"SEM DEFESA",IF(H191="","SEM STATUS",IF(F191="","INFORMAR PRAZO",IF(P191="","SEM DATA",IF(P191&lt;0,"VENCIDO",IF(P191&lt;=DiasAlerta,"VENCE EM BREVE","NO PRAZO"))))))))</f>
        <v/>
      </c>
      <c r="R191" s="118" t="str">
        <f>IF(D191="","",TODAY()-D191)</f>
        <v/>
      </c>
      <c r="S191" s="111" t="n"/>
    </row>
    <row r="192" ht="18" customHeight="1">
      <c r="A192" s="110" t="n"/>
      <c r="B192" s="111" t="n"/>
      <c r="C192" s="111" t="n"/>
      <c r="D192" s="112" t="n"/>
      <c r="E192" s="111" t="n"/>
      <c r="F192" s="110" t="n"/>
      <c r="G192" s="113" t="n"/>
      <c r="H192" s="113" t="n"/>
      <c r="I192" s="111" t="n"/>
      <c r="J192" s="114" t="n"/>
      <c r="K192" s="114" t="n"/>
      <c r="L192" s="112" t="n"/>
      <c r="M192" s="112" t="n"/>
      <c r="N192" s="112" t="n"/>
      <c r="O192" s="115" t="str">
        <f>IF(OR(D192="",F192=""),"",D192+F192)</f>
        <v/>
      </c>
      <c r="P192" s="116" t="str">
        <f>IF(O192="","",IF(ISNUMBER(M192),O192-M192,IF(OR(H192="DECISÃO D.P",ISNUMBER(N192)),"",O192-TODAY())))</f>
        <v/>
      </c>
      <c r="Q192" s="117" t="str">
        <f>IF(B192="","",IF(ISNUMBER(N192),"DECIDIDO – ","")&amp;IF(ISNUMBER(M192),IF(P192="",IF(F192="","INFORMAR PRAZO","SEM DATA"),IF(P192&gt;=0,"DEFESA NO PRAZO","DEFESA FORA DO PRAZO")),IF(OR(H192="DECISÃO D.P",ISNUMBER(N192)),"SEM DEFESA",IF(H192="","SEM STATUS",IF(F192="","INFORMAR PRAZO",IF(P192="","SEM DATA",IF(P192&lt;0,"VENCIDO",IF(P192&lt;=DiasAlerta,"VENCE EM BREVE","NO PRAZO"))))))))</f>
        <v/>
      </c>
      <c r="R192" s="118" t="str">
        <f>IF(D192="","",TODAY()-D192)</f>
        <v/>
      </c>
      <c r="S192" s="111" t="n"/>
    </row>
    <row r="193" ht="18" customHeight="1">
      <c r="A193" s="110" t="n"/>
      <c r="B193" s="111" t="n"/>
      <c r="C193" s="111" t="n"/>
      <c r="D193" s="112" t="n"/>
      <c r="E193" s="111" t="n"/>
      <c r="F193" s="110" t="n"/>
      <c r="G193" s="113" t="n"/>
      <c r="H193" s="113" t="n"/>
      <c r="I193" s="111" t="n"/>
      <c r="J193" s="114" t="n"/>
      <c r="K193" s="114" t="n"/>
      <c r="L193" s="112" t="n"/>
      <c r="M193" s="112" t="n"/>
      <c r="N193" s="112" t="n"/>
      <c r="O193" s="115" t="str">
        <f>IF(OR(D193="",F193=""),"",D193+F193)</f>
        <v/>
      </c>
      <c r="P193" s="116" t="str">
        <f>IF(O193="","",IF(ISNUMBER(M193),O193-M193,IF(OR(H193="DECISÃO D.P",ISNUMBER(N193)),"",O193-TODAY())))</f>
        <v/>
      </c>
      <c r="Q193" s="117" t="str">
        <f>IF(B193="","",IF(ISNUMBER(N193),"DECIDIDO – ","")&amp;IF(ISNUMBER(M193),IF(P193="",IF(F193="","INFORMAR PRAZO","SEM DATA"),IF(P193&gt;=0,"DEFESA NO PRAZO","DEFESA FORA DO PRAZO")),IF(OR(H193="DECISÃO D.P",ISNUMBER(N193)),"SEM DEFESA",IF(H193="","SEM STATUS",IF(F193="","INFORMAR PRAZO",IF(P193="","SEM DATA",IF(P193&lt;0,"VENCIDO",IF(P193&lt;=DiasAlerta,"VENCE EM BREVE","NO PRAZO"))))))))</f>
        <v/>
      </c>
      <c r="R193" s="118" t="str">
        <f>IF(D193="","",TODAY()-D193)</f>
        <v/>
      </c>
      <c r="S193" s="111" t="n"/>
    </row>
    <row r="194" ht="18" customHeight="1">
      <c r="A194" s="110" t="n"/>
      <c r="B194" s="111" t="n"/>
      <c r="C194" s="111" t="n"/>
      <c r="D194" s="112" t="n"/>
      <c r="E194" s="111" t="n"/>
      <c r="F194" s="110" t="n"/>
      <c r="G194" s="113" t="n"/>
      <c r="H194" s="113" t="n"/>
      <c r="I194" s="111" t="n"/>
      <c r="J194" s="114" t="n"/>
      <c r="K194" s="114" t="n"/>
      <c r="L194" s="112" t="n"/>
      <c r="M194" s="112" t="n"/>
      <c r="N194" s="112" t="n"/>
      <c r="O194" s="115" t="str">
        <f>IF(OR(D194="",F194=""),"",D194+F194)</f>
        <v/>
      </c>
      <c r="P194" s="116" t="str">
        <f>IF(O194="","",IF(ISNUMBER(M194),O194-M194,IF(OR(H194="DECISÃO D.P",ISNUMBER(N194)),"",O194-TODAY())))</f>
        <v/>
      </c>
      <c r="Q194" s="117" t="str">
        <f>IF(B194="","",IF(ISNUMBER(N194),"DECIDIDO – ","")&amp;IF(ISNUMBER(M194),IF(P194="",IF(F194="","INFORMAR PRAZO","SEM DATA"),IF(P194&gt;=0,"DEFESA NO PRAZO","DEFESA FORA DO PRAZO")),IF(OR(H194="DECISÃO D.P",ISNUMBER(N194)),"SEM DEFESA",IF(H194="","SEM STATUS",IF(F194="","INFORMAR PRAZO",IF(P194="","SEM DATA",IF(P194&lt;0,"VENCIDO",IF(P194&lt;=DiasAlerta,"VENCE EM BREVE","NO PRAZO"))))))))</f>
        <v/>
      </c>
      <c r="R194" s="118" t="str">
        <f>IF(D194="","",TODAY()-D194)</f>
        <v/>
      </c>
      <c r="S194" s="111" t="n"/>
    </row>
    <row r="195" ht="18" customHeight="1">
      <c r="A195" s="110" t="n"/>
      <c r="B195" s="111" t="n"/>
      <c r="C195" s="111" t="n"/>
      <c r="D195" s="112" t="n"/>
      <c r="E195" s="111" t="n"/>
      <c r="F195" s="110" t="n"/>
      <c r="G195" s="113" t="n"/>
      <c r="H195" s="113" t="n"/>
      <c r="I195" s="111" t="n"/>
      <c r="J195" s="114" t="n"/>
      <c r="K195" s="114" t="n"/>
      <c r="L195" s="112" t="n"/>
      <c r="M195" s="112" t="n"/>
      <c r="N195" s="112" t="n"/>
      <c r="O195" s="115" t="str">
        <f>IF(OR(D195="",F195=""),"",D195+F195)</f>
        <v/>
      </c>
      <c r="P195" s="116" t="str">
        <f>IF(O195="","",IF(ISNUMBER(M195),O195-M195,IF(OR(H195="DECISÃO D.P",ISNUMBER(N195)),"",O195-TODAY())))</f>
        <v/>
      </c>
      <c r="Q195" s="117" t="str">
        <f>IF(B195="","",IF(ISNUMBER(N195),"DECIDIDO – ","")&amp;IF(ISNUMBER(M195),IF(P195="",IF(F195="","INFORMAR PRAZO","SEM DATA"),IF(P195&gt;=0,"DEFESA NO PRAZO","DEFESA FORA DO PRAZO")),IF(OR(H195="DECISÃO D.P",ISNUMBER(N195)),"SEM DEFESA",IF(H195="","SEM STATUS",IF(F195="","INFORMAR PRAZO",IF(P195="","SEM DATA",IF(P195&lt;0,"VENCIDO",IF(P195&lt;=DiasAlerta,"VENCE EM BREVE","NO PRAZO"))))))))</f>
        <v/>
      </c>
      <c r="R195" s="118" t="str">
        <f>IF(D195="","",TODAY()-D195)</f>
        <v/>
      </c>
      <c r="S195" s="111" t="n"/>
    </row>
    <row r="196" ht="18" customHeight="1">
      <c r="A196" s="110" t="n"/>
      <c r="B196" s="111" t="n"/>
      <c r="C196" s="111" t="n"/>
      <c r="D196" s="112" t="n"/>
      <c r="E196" s="111" t="n"/>
      <c r="F196" s="110" t="n"/>
      <c r="G196" s="113" t="n"/>
      <c r="H196" s="113" t="n"/>
      <c r="I196" s="111" t="n"/>
      <c r="J196" s="114" t="n"/>
      <c r="K196" s="114" t="n"/>
      <c r="L196" s="112" t="n"/>
      <c r="M196" s="112" t="n"/>
      <c r="N196" s="112" t="n"/>
      <c r="O196" s="115" t="str">
        <f>IF(OR(D196="",F196=""),"",D196+F196)</f>
        <v/>
      </c>
      <c r="P196" s="116" t="str">
        <f>IF(O196="","",IF(ISNUMBER(M196),O196-M196,IF(OR(H196="DECISÃO D.P",ISNUMBER(N196)),"",O196-TODAY())))</f>
        <v/>
      </c>
      <c r="Q196" s="117" t="str">
        <f>IF(B196="","",IF(ISNUMBER(N196),"DECIDIDO – ","")&amp;IF(ISNUMBER(M196),IF(P196="",IF(F196="","INFORMAR PRAZO","SEM DATA"),IF(P196&gt;=0,"DEFESA NO PRAZO","DEFESA FORA DO PRAZO")),IF(OR(H196="DECISÃO D.P",ISNUMBER(N196)),"SEM DEFESA",IF(H196="","SEM STATUS",IF(F196="","INFORMAR PRAZO",IF(P196="","SEM DATA",IF(P196&lt;0,"VENCIDO",IF(P196&lt;=DiasAlerta,"VENCE EM BREVE","NO PRAZO"))))))))</f>
        <v/>
      </c>
      <c r="R196" s="118" t="str">
        <f>IF(D196="","",TODAY()-D196)</f>
        <v/>
      </c>
      <c r="S196" s="111" t="n"/>
    </row>
    <row r="197" ht="18" customHeight="1">
      <c r="A197" s="110" t="n"/>
      <c r="B197" s="111" t="n"/>
      <c r="C197" s="111" t="n"/>
      <c r="D197" s="112" t="n"/>
      <c r="E197" s="111" t="n"/>
      <c r="F197" s="110" t="n"/>
      <c r="G197" s="113" t="n"/>
      <c r="H197" s="113" t="n"/>
      <c r="I197" s="111" t="n"/>
      <c r="J197" s="114" t="n"/>
      <c r="K197" s="114" t="n"/>
      <c r="L197" s="112" t="n"/>
      <c r="M197" s="112" t="n"/>
      <c r="N197" s="112" t="n"/>
      <c r="O197" s="115" t="str">
        <f>IF(OR(D197="",F197=""),"",D197+F197)</f>
        <v/>
      </c>
      <c r="P197" s="116" t="str">
        <f>IF(O197="","",IF(ISNUMBER(M197),O197-M197,IF(OR(H197="DECISÃO D.P",ISNUMBER(N197)),"",O197-TODAY())))</f>
        <v/>
      </c>
      <c r="Q197" s="117" t="str">
        <f>IF(B197="","",IF(ISNUMBER(N197),"DECIDIDO – ","")&amp;IF(ISNUMBER(M197),IF(P197="",IF(F197="","INFORMAR PRAZO","SEM DATA"),IF(P197&gt;=0,"DEFESA NO PRAZO","DEFESA FORA DO PRAZO")),IF(OR(H197="DECISÃO D.P",ISNUMBER(N197)),"SEM DEFESA",IF(H197="","SEM STATUS",IF(F197="","INFORMAR PRAZO",IF(P197="","SEM DATA",IF(P197&lt;0,"VENCIDO",IF(P197&lt;=DiasAlerta,"VENCE EM BREVE","NO PRAZO"))))))))</f>
        <v/>
      </c>
      <c r="R197" s="118" t="str">
        <f>IF(D197="","",TODAY()-D197)</f>
        <v/>
      </c>
      <c r="S197" s="111" t="n"/>
    </row>
    <row r="198" ht="18" customHeight="1">
      <c r="A198" s="110" t="n"/>
      <c r="B198" s="111" t="n"/>
      <c r="C198" s="111" t="n"/>
      <c r="D198" s="112" t="n"/>
      <c r="E198" s="111" t="n"/>
      <c r="F198" s="110" t="n"/>
      <c r="G198" s="113" t="n"/>
      <c r="H198" s="113" t="n"/>
      <c r="I198" s="111" t="n"/>
      <c r="J198" s="114" t="n"/>
      <c r="K198" s="114" t="n"/>
      <c r="L198" s="112" t="n"/>
      <c r="M198" s="112" t="n"/>
      <c r="N198" s="112" t="n"/>
      <c r="O198" s="115" t="str">
        <f>IF(OR(D198="",F198=""),"",D198+F198)</f>
        <v/>
      </c>
      <c r="P198" s="116" t="str">
        <f>IF(O198="","",IF(ISNUMBER(M198),O198-M198,IF(OR(H198="DECISÃO D.P",ISNUMBER(N198)),"",O198-TODAY())))</f>
        <v/>
      </c>
      <c r="Q198" s="117" t="str">
        <f>IF(B198="","",IF(ISNUMBER(N198),"DECIDIDO – ","")&amp;IF(ISNUMBER(M198),IF(P198="",IF(F198="","INFORMAR PRAZO","SEM DATA"),IF(P198&gt;=0,"DEFESA NO PRAZO","DEFESA FORA DO PRAZO")),IF(OR(H198="DECISÃO D.P",ISNUMBER(N198)),"SEM DEFESA",IF(H198="","SEM STATUS",IF(F198="","INFORMAR PRAZO",IF(P198="","SEM DATA",IF(P198&lt;0,"VENCIDO",IF(P198&lt;=DiasAlerta,"VENCE EM BREVE","NO PRAZO"))))))))</f>
        <v/>
      </c>
      <c r="R198" s="118" t="str">
        <f>IF(D198="","",TODAY()-D198)</f>
        <v/>
      </c>
      <c r="S198" s="111" t="n"/>
    </row>
    <row r="199" ht="18" customHeight="1">
      <c r="A199" s="110" t="n"/>
      <c r="B199" s="111" t="n"/>
      <c r="C199" s="111" t="n"/>
      <c r="D199" s="112" t="n"/>
      <c r="E199" s="111" t="n"/>
      <c r="F199" s="110" t="n"/>
      <c r="G199" s="113" t="n"/>
      <c r="H199" s="113" t="n"/>
      <c r="I199" s="111" t="n"/>
      <c r="J199" s="114" t="n"/>
      <c r="K199" s="114" t="n"/>
      <c r="L199" s="112" t="n"/>
      <c r="M199" s="112" t="n"/>
      <c r="N199" s="112" t="n"/>
      <c r="O199" s="115" t="str">
        <f>IF(OR(D199="",F199=""),"",D199+F199)</f>
        <v/>
      </c>
      <c r="P199" s="116" t="str">
        <f>IF(O199="","",IF(ISNUMBER(M199),O199-M199,IF(OR(H199="DECISÃO D.P",ISNUMBER(N199)),"",O199-TODAY())))</f>
        <v/>
      </c>
      <c r="Q199" s="117" t="str">
        <f>IF(B199="","",IF(ISNUMBER(N199),"DECIDIDO – ","")&amp;IF(ISNUMBER(M199),IF(P199="",IF(F199="","INFORMAR PRAZO","SEM DATA"),IF(P199&gt;=0,"DEFESA NO PRAZO","DEFESA FORA DO PRAZO")),IF(OR(H199="DECISÃO D.P",ISNUMBER(N199)),"SEM DEFESA",IF(H199="","SEM STATUS",IF(F199="","INFORMAR PRAZO",IF(P199="","SEM DATA",IF(P199&lt;0,"VENCIDO",IF(P199&lt;=DiasAlerta,"VENCE EM BREVE","NO PRAZO"))))))))</f>
        <v/>
      </c>
      <c r="R199" s="118" t="str">
        <f>IF(D199="","",TODAY()-D199)</f>
        <v/>
      </c>
      <c r="S199" s="111" t="n"/>
    </row>
    <row r="200" ht="18" customHeight="1">
      <c r="A200" s="110" t="n"/>
      <c r="B200" s="111" t="n"/>
      <c r="C200" s="111" t="n"/>
      <c r="D200" s="112" t="n"/>
      <c r="E200" s="111" t="n"/>
      <c r="F200" s="110" t="n"/>
      <c r="G200" s="113" t="n"/>
      <c r="H200" s="113" t="n"/>
      <c r="I200" s="111" t="n"/>
      <c r="J200" s="114" t="n"/>
      <c r="K200" s="114" t="n"/>
      <c r="L200" s="112" t="n"/>
      <c r="M200" s="112" t="n"/>
      <c r="N200" s="112" t="n"/>
      <c r="O200" s="115" t="str">
        <f>IF(OR(D200="",F200=""),"",D200+F200)</f>
        <v/>
      </c>
      <c r="P200" s="116" t="str">
        <f>IF(O200="","",IF(ISNUMBER(M200),O200-M200,IF(OR(H200="DECISÃO D.P",ISNUMBER(N200)),"",O200-TODAY())))</f>
        <v/>
      </c>
      <c r="Q200" s="117" t="str">
        <f>IF(B200="","",IF(ISNUMBER(N200),"DECIDIDO – ","")&amp;IF(ISNUMBER(M200),IF(P200="",IF(F200="","INFORMAR PRAZO","SEM DATA"),IF(P200&gt;=0,"DEFESA NO PRAZO","DEFESA FORA DO PRAZO")),IF(OR(H200="DECISÃO D.P",ISNUMBER(N200)),"SEM DEFESA",IF(H200="","SEM STATUS",IF(F200="","INFORMAR PRAZO",IF(P200="","SEM DATA",IF(P200&lt;0,"VENCIDO",IF(P200&lt;=DiasAlerta,"VENCE EM BREVE","NO PRAZO"))))))))</f>
        <v/>
      </c>
      <c r="R200" s="118" t="str">
        <f>IF(D200="","",TODAY()-D200)</f>
        <v/>
      </c>
      <c r="S200" s="111" t="n"/>
    </row>
    <row r="201" ht="18" customHeight="1">
      <c r="A201" s="110" t="n"/>
      <c r="B201" s="111" t="n"/>
      <c r="C201" s="111" t="n"/>
      <c r="D201" s="112" t="n"/>
      <c r="E201" s="111" t="n"/>
      <c r="F201" s="110" t="n"/>
      <c r="G201" s="113" t="n"/>
      <c r="H201" s="113" t="n"/>
      <c r="I201" s="111" t="n"/>
      <c r="J201" s="114" t="n"/>
      <c r="K201" s="114" t="n"/>
      <c r="L201" s="112" t="n"/>
      <c r="M201" s="112" t="n"/>
      <c r="N201" s="112" t="n"/>
      <c r="O201" s="115" t="str">
        <f>IF(OR(D201="",F201=""),"",D201+F201)</f>
        <v/>
      </c>
      <c r="P201" s="116" t="str">
        <f>IF(O201="","",IF(ISNUMBER(M201),O201-M201,IF(OR(H201="DECISÃO D.P",ISNUMBER(N201)),"",O201-TODAY())))</f>
        <v/>
      </c>
      <c r="Q201" s="117" t="str">
        <f>IF(B201="","",IF(ISNUMBER(N201),"DECIDIDO – ","")&amp;IF(ISNUMBER(M201),IF(P201="",IF(F201="","INFORMAR PRAZO","SEM DATA"),IF(P201&gt;=0,"DEFESA NO PRAZO","DEFESA FORA DO PRAZO")),IF(OR(H201="DECISÃO D.P",ISNUMBER(N201)),"SEM DEFESA",IF(H201="","SEM STATUS",IF(F201="","INFORMAR PRAZO",IF(P201="","SEM DATA",IF(P201&lt;0,"VENCIDO",IF(P201&lt;=DiasAlerta,"VENCE EM BREVE","NO PRAZO"))))))))</f>
        <v/>
      </c>
      <c r="R201" s="118" t="str">
        <f>IF(D201="","",TODAY()-D201)</f>
        <v/>
      </c>
      <c r="S201" s="111" t="n"/>
    </row>
    <row r="202" ht="18" customHeight="1">
      <c r="A202" s="110" t="n"/>
      <c r="B202" s="111" t="n"/>
      <c r="C202" s="111" t="n"/>
      <c r="D202" s="112" t="n"/>
      <c r="E202" s="111" t="n"/>
      <c r="F202" s="110" t="n"/>
      <c r="G202" s="113" t="n"/>
      <c r="H202" s="113" t="n"/>
      <c r="I202" s="111" t="n"/>
      <c r="J202" s="114" t="n"/>
      <c r="K202" s="114" t="n"/>
      <c r="L202" s="112" t="n"/>
      <c r="M202" s="112" t="n"/>
      <c r="N202" s="112" t="n"/>
      <c r="O202" s="115" t="str">
        <f>IF(OR(D202="",F202=""),"",D202+F202)</f>
        <v/>
      </c>
      <c r="P202" s="116" t="str">
        <f>IF(O202="","",IF(ISNUMBER(M202),O202-M202,IF(OR(H202="DECISÃO D.P",ISNUMBER(N202)),"",O202-TODAY())))</f>
        <v/>
      </c>
      <c r="Q202" s="117" t="str">
        <f>IF(B202="","",IF(ISNUMBER(N202),"DECIDIDO – ","")&amp;IF(ISNUMBER(M202),IF(P202="",IF(F202="","INFORMAR PRAZO","SEM DATA"),IF(P202&gt;=0,"DEFESA NO PRAZO","DEFESA FORA DO PRAZO")),IF(OR(H202="DECISÃO D.P",ISNUMBER(N202)),"SEM DEFESA",IF(H202="","SEM STATUS",IF(F202="","INFORMAR PRAZO",IF(P202="","SEM DATA",IF(P202&lt;0,"VENCIDO",IF(P202&lt;=DiasAlerta,"VENCE EM BREVE","NO PRAZO"))))))))</f>
        <v/>
      </c>
      <c r="R202" s="118" t="str">
        <f>IF(D202="","",TODAY()-D202)</f>
        <v/>
      </c>
      <c r="S202" s="111" t="n"/>
    </row>
    <row r="203" ht="18" customHeight="1">
      <c r="A203" s="110" t="n"/>
      <c r="B203" s="111" t="n"/>
      <c r="C203" s="111" t="n"/>
      <c r="D203" s="112" t="n"/>
      <c r="E203" s="111" t="n"/>
      <c r="F203" s="110" t="n"/>
      <c r="G203" s="113" t="n"/>
      <c r="H203" s="113" t="n"/>
      <c r="I203" s="111" t="n"/>
      <c r="J203" s="114" t="n"/>
      <c r="K203" s="114" t="n"/>
      <c r="L203" s="112" t="n"/>
      <c r="M203" s="112" t="n"/>
      <c r="N203" s="112" t="n"/>
      <c r="O203" s="115" t="str">
        <f>IF(OR(D203="",F203=""),"",D203+F203)</f>
        <v/>
      </c>
      <c r="P203" s="116" t="str">
        <f>IF(O203="","",IF(ISNUMBER(M203),O203-M203,IF(OR(H203="DECISÃO D.P",ISNUMBER(N203)),"",O203-TODAY())))</f>
        <v/>
      </c>
      <c r="Q203" s="117" t="str">
        <f>IF(B203="","",IF(ISNUMBER(N203),"DECIDIDO – ","")&amp;IF(ISNUMBER(M203),IF(P203="",IF(F203="","INFORMAR PRAZO","SEM DATA"),IF(P203&gt;=0,"DEFESA NO PRAZO","DEFESA FORA DO PRAZO")),IF(OR(H203="DECISÃO D.P",ISNUMBER(N203)),"SEM DEFESA",IF(H203="","SEM STATUS",IF(F203="","INFORMAR PRAZO",IF(P203="","SEM DATA",IF(P203&lt;0,"VENCIDO",IF(P203&lt;=DiasAlerta,"VENCE EM BREVE","NO PRAZO"))))))))</f>
        <v/>
      </c>
      <c r="R203" s="118" t="str">
        <f>IF(D203="","",TODAY()-D203)</f>
        <v/>
      </c>
      <c r="S203" s="111" t="n"/>
    </row>
    <row r="204" ht="18" customHeight="1">
      <c r="A204" s="110" t="n"/>
      <c r="B204" s="111" t="n"/>
      <c r="C204" s="111" t="n"/>
      <c r="D204" s="112" t="n"/>
      <c r="E204" s="111" t="n"/>
      <c r="F204" s="110" t="n"/>
      <c r="G204" s="113" t="n"/>
      <c r="H204" s="113" t="n"/>
      <c r="I204" s="111" t="n"/>
      <c r="J204" s="114" t="n"/>
      <c r="K204" s="114" t="n"/>
      <c r="L204" s="112" t="n"/>
      <c r="M204" s="112" t="n"/>
      <c r="N204" s="112" t="n"/>
      <c r="O204" s="115" t="str">
        <f>IF(OR(D204="",F204=""),"",D204+F204)</f>
        <v/>
      </c>
      <c r="P204" s="116" t="str">
        <f>IF(O204="","",IF(ISNUMBER(M204),O204-M204,IF(OR(H204="DECISÃO D.P",ISNUMBER(N204)),"",O204-TODAY())))</f>
        <v/>
      </c>
      <c r="Q204" s="117" t="str">
        <f>IF(B204="","",IF(ISNUMBER(N204),"DECIDIDO – ","")&amp;IF(ISNUMBER(M204),IF(P204="",IF(F204="","INFORMAR PRAZO","SEM DATA"),IF(P204&gt;=0,"DEFESA NO PRAZO","DEFESA FORA DO PRAZO")),IF(OR(H204="DECISÃO D.P",ISNUMBER(N204)),"SEM DEFESA",IF(H204="","SEM STATUS",IF(F204="","INFORMAR PRAZO",IF(P204="","SEM DATA",IF(P204&lt;0,"VENCIDO",IF(P204&lt;=DiasAlerta,"VENCE EM BREVE","NO PRAZO"))))))))</f>
        <v/>
      </c>
      <c r="R204" s="118" t="str">
        <f>IF(D204="","",TODAY()-D204)</f>
        <v/>
      </c>
      <c r="S204" s="111" t="n"/>
    </row>
    <row r="205" ht="18" customHeight="1">
      <c r="A205" s="110" t="n"/>
      <c r="B205" s="111" t="n"/>
      <c r="C205" s="111" t="n"/>
      <c r="D205" s="112" t="n"/>
      <c r="E205" s="111" t="n"/>
      <c r="F205" s="110" t="n"/>
      <c r="G205" s="113" t="n"/>
      <c r="H205" s="113" t="n"/>
      <c r="I205" s="111" t="n"/>
      <c r="J205" s="114" t="n"/>
      <c r="K205" s="114" t="n"/>
      <c r="L205" s="112" t="n"/>
      <c r="M205" s="112" t="n"/>
      <c r="N205" s="112" t="n"/>
      <c r="O205" s="115" t="str">
        <f>IF(OR(D205="",F205=""),"",D205+F205)</f>
        <v/>
      </c>
      <c r="P205" s="116" t="str">
        <f>IF(O205="","",IF(ISNUMBER(M205),O205-M205,IF(OR(H205="DECISÃO D.P",ISNUMBER(N205)),"",O205-TODAY())))</f>
        <v/>
      </c>
      <c r="Q205" s="117" t="str">
        <f>IF(B205="","",IF(ISNUMBER(N205),"DECIDIDO – ","")&amp;IF(ISNUMBER(M205),IF(P205="",IF(F205="","INFORMAR PRAZO","SEM DATA"),IF(P205&gt;=0,"DEFESA NO PRAZO","DEFESA FORA DO PRAZO")),IF(OR(H205="DECISÃO D.P",ISNUMBER(N205)),"SEM DEFESA",IF(H205="","SEM STATUS",IF(F205="","INFORMAR PRAZO",IF(P205="","SEM DATA",IF(P205&lt;0,"VENCIDO",IF(P205&lt;=DiasAlerta,"VENCE EM BREVE","NO PRAZO"))))))))</f>
        <v/>
      </c>
      <c r="R205" s="118" t="str">
        <f>IF(D205="","",TODAY()-D205)</f>
        <v/>
      </c>
      <c r="S205" s="111" t="n"/>
    </row>
    <row r="206" ht="18" customHeight="1">
      <c r="A206" s="110" t="n"/>
      <c r="B206" s="111" t="n"/>
      <c r="C206" s="111" t="n"/>
      <c r="D206" s="112" t="n"/>
      <c r="E206" s="111" t="n"/>
      <c r="F206" s="110" t="n"/>
      <c r="G206" s="113" t="n"/>
      <c r="H206" s="113" t="n"/>
      <c r="I206" s="111" t="n"/>
      <c r="J206" s="114" t="n"/>
      <c r="K206" s="114" t="n"/>
      <c r="L206" s="112" t="n"/>
      <c r="M206" s="112" t="n"/>
      <c r="N206" s="112" t="n"/>
      <c r="O206" s="115" t="str">
        <f>IF(OR(D206="",F206=""),"",D206+F206)</f>
        <v/>
      </c>
      <c r="P206" s="116" t="str">
        <f>IF(O206="","",IF(ISNUMBER(M206),O206-M206,IF(OR(H206="DECISÃO D.P",ISNUMBER(N206)),"",O206-TODAY())))</f>
        <v/>
      </c>
      <c r="Q206" s="117" t="str">
        <f>IF(B206="","",IF(ISNUMBER(N206),"DECIDIDO – ","")&amp;IF(ISNUMBER(M206),IF(P206="",IF(F206="","INFORMAR PRAZO","SEM DATA"),IF(P206&gt;=0,"DEFESA NO PRAZO","DEFESA FORA DO PRAZO")),IF(OR(H206="DECISÃO D.P",ISNUMBER(N206)),"SEM DEFESA",IF(H206="","SEM STATUS",IF(F206="","INFORMAR PRAZO",IF(P206="","SEM DATA",IF(P206&lt;0,"VENCIDO",IF(P206&lt;=DiasAlerta,"VENCE EM BREVE","NO PRAZO"))))))))</f>
        <v/>
      </c>
      <c r="R206" s="118" t="str">
        <f>IF(D206="","",TODAY()-D206)</f>
        <v/>
      </c>
      <c r="S206" s="111" t="n"/>
    </row>
    <row r="207" ht="18" customHeight="1">
      <c r="A207" s="110" t="n"/>
      <c r="B207" s="111" t="n"/>
      <c r="C207" s="111" t="n"/>
      <c r="D207" s="112" t="n"/>
      <c r="E207" s="111" t="n"/>
      <c r="F207" s="110" t="n"/>
      <c r="G207" s="113" t="n"/>
      <c r="H207" s="113" t="n"/>
      <c r="I207" s="111" t="n"/>
      <c r="J207" s="114" t="n"/>
      <c r="K207" s="114" t="n"/>
      <c r="L207" s="112" t="n"/>
      <c r="M207" s="112" t="n"/>
      <c r="N207" s="112" t="n"/>
      <c r="O207" s="115" t="str">
        <f>IF(OR(D207="",F207=""),"",D207+F207)</f>
        <v/>
      </c>
      <c r="P207" s="116" t="str">
        <f>IF(O207="","",IF(ISNUMBER(M207),O207-M207,IF(OR(H207="DECISÃO D.P",ISNUMBER(N207)),"",O207-TODAY())))</f>
        <v/>
      </c>
      <c r="Q207" s="117" t="str">
        <f>IF(B207="","",IF(ISNUMBER(N207),"DECIDIDO – ","")&amp;IF(ISNUMBER(M207),IF(P207="",IF(F207="","INFORMAR PRAZO","SEM DATA"),IF(P207&gt;=0,"DEFESA NO PRAZO","DEFESA FORA DO PRAZO")),IF(OR(H207="DECISÃO D.P",ISNUMBER(N207)),"SEM DEFESA",IF(H207="","SEM STATUS",IF(F207="","INFORMAR PRAZO",IF(P207="","SEM DATA",IF(P207&lt;0,"VENCIDO",IF(P207&lt;=DiasAlerta,"VENCE EM BREVE","NO PRAZO"))))))))</f>
        <v/>
      </c>
      <c r="R207" s="118" t="str">
        <f>IF(D207="","",TODAY()-D207)</f>
        <v/>
      </c>
      <c r="S207" s="111" t="n"/>
    </row>
    <row r="208" ht="18" customHeight="1">
      <c r="A208" s="110" t="n"/>
      <c r="B208" s="111" t="n"/>
      <c r="C208" s="111" t="n"/>
      <c r="D208" s="112" t="n"/>
      <c r="E208" s="111" t="n"/>
      <c r="F208" s="110" t="n"/>
      <c r="G208" s="113" t="n"/>
      <c r="H208" s="113" t="n"/>
      <c r="I208" s="111" t="n"/>
      <c r="J208" s="114" t="n"/>
      <c r="K208" s="114" t="n"/>
      <c r="L208" s="112" t="n"/>
      <c r="M208" s="112" t="n"/>
      <c r="N208" s="112" t="n"/>
      <c r="O208" s="115" t="str">
        <f>IF(OR(D208="",F208=""),"",D208+F208)</f>
        <v/>
      </c>
      <c r="P208" s="116" t="str">
        <f>IF(O208="","",IF(ISNUMBER(M208),O208-M208,IF(OR(H208="DECISÃO D.P",ISNUMBER(N208)),"",O208-TODAY())))</f>
        <v/>
      </c>
      <c r="Q208" s="117" t="str">
        <f>IF(B208="","",IF(ISNUMBER(N208),"DECIDIDO – ","")&amp;IF(ISNUMBER(M208),IF(P208="",IF(F208="","INFORMAR PRAZO","SEM DATA"),IF(P208&gt;=0,"DEFESA NO PRAZO","DEFESA FORA DO PRAZO")),IF(OR(H208="DECISÃO D.P",ISNUMBER(N208)),"SEM DEFESA",IF(H208="","SEM STATUS",IF(F208="","INFORMAR PRAZO",IF(P208="","SEM DATA",IF(P208&lt;0,"VENCIDO",IF(P208&lt;=DiasAlerta,"VENCE EM BREVE","NO PRAZO"))))))))</f>
        <v/>
      </c>
      <c r="R208" s="118" t="str">
        <f>IF(D208="","",TODAY()-D208)</f>
        <v/>
      </c>
      <c r="S208" s="111" t="n"/>
    </row>
    <row r="209" ht="18" customHeight="1">
      <c r="A209" s="110" t="n"/>
      <c r="B209" s="111" t="n"/>
      <c r="C209" s="111" t="n"/>
      <c r="D209" s="112" t="n"/>
      <c r="E209" s="111" t="n"/>
      <c r="F209" s="110" t="n"/>
      <c r="G209" s="113" t="n"/>
      <c r="H209" s="113" t="n"/>
      <c r="I209" s="111" t="n"/>
      <c r="J209" s="114" t="n"/>
      <c r="K209" s="114" t="n"/>
      <c r="L209" s="112" t="n"/>
      <c r="M209" s="112" t="n"/>
      <c r="N209" s="112" t="n"/>
      <c r="O209" s="115" t="str">
        <f>IF(OR(D209="",F209=""),"",D209+F209)</f>
        <v/>
      </c>
      <c r="P209" s="116" t="str">
        <f>IF(O209="","",IF(ISNUMBER(M209),O209-M209,IF(OR(H209="DECISÃO D.P",ISNUMBER(N209)),"",O209-TODAY())))</f>
        <v/>
      </c>
      <c r="Q209" s="117" t="str">
        <f>IF(B209="","",IF(ISNUMBER(N209),"DECIDIDO – ","")&amp;IF(ISNUMBER(M209),IF(P209="",IF(F209="","INFORMAR PRAZO","SEM DATA"),IF(P209&gt;=0,"DEFESA NO PRAZO","DEFESA FORA DO PRAZO")),IF(OR(H209="DECISÃO D.P",ISNUMBER(N209)),"SEM DEFESA",IF(H209="","SEM STATUS",IF(F209="","INFORMAR PRAZO",IF(P209="","SEM DATA",IF(P209&lt;0,"VENCIDO",IF(P209&lt;=DiasAlerta,"VENCE EM BREVE","NO PRAZO"))))))))</f>
        <v/>
      </c>
      <c r="R209" s="118" t="str">
        <f>IF(D209="","",TODAY()-D209)</f>
        <v/>
      </c>
      <c r="S209" s="111" t="n"/>
    </row>
    <row r="210" ht="18" customHeight="1">
      <c r="A210" s="110" t="n"/>
      <c r="B210" s="111" t="n"/>
      <c r="C210" s="111" t="n"/>
      <c r="D210" s="112" t="n"/>
      <c r="E210" s="111" t="n"/>
      <c r="F210" s="110" t="n"/>
      <c r="G210" s="113" t="n"/>
      <c r="H210" s="113" t="n"/>
      <c r="I210" s="111" t="n"/>
      <c r="J210" s="114" t="n"/>
      <c r="K210" s="114" t="n"/>
      <c r="L210" s="112" t="n"/>
      <c r="M210" s="112" t="n"/>
      <c r="N210" s="112" t="n"/>
      <c r="O210" s="115" t="str">
        <f>IF(OR(D210="",F210=""),"",D210+F210)</f>
        <v/>
      </c>
      <c r="P210" s="116" t="str">
        <f>IF(O210="","",IF(ISNUMBER(M210),O210-M210,IF(OR(H210="DECISÃO D.P",ISNUMBER(N210)),"",O210-TODAY())))</f>
        <v/>
      </c>
      <c r="Q210" s="117" t="str">
        <f>IF(B210="","",IF(ISNUMBER(N210),"DECIDIDO – ","")&amp;IF(ISNUMBER(M210),IF(P210="",IF(F210="","INFORMAR PRAZO","SEM DATA"),IF(P210&gt;=0,"DEFESA NO PRAZO","DEFESA FORA DO PRAZO")),IF(OR(H210="DECISÃO D.P",ISNUMBER(N210)),"SEM DEFESA",IF(H210="","SEM STATUS",IF(F210="","INFORMAR PRAZO",IF(P210="","SEM DATA",IF(P210&lt;0,"VENCIDO",IF(P210&lt;=DiasAlerta,"VENCE EM BREVE","NO PRAZO"))))))))</f>
        <v/>
      </c>
      <c r="R210" s="118" t="str">
        <f>IF(D210="","",TODAY()-D210)</f>
        <v/>
      </c>
      <c r="S210" s="111" t="n"/>
    </row>
    <row r="211" ht="18" customHeight="1">
      <c r="A211" s="110" t="n"/>
      <c r="B211" s="111" t="n"/>
      <c r="C211" s="111" t="n"/>
      <c r="D211" s="112" t="n"/>
      <c r="E211" s="111" t="n"/>
      <c r="F211" s="110" t="n"/>
      <c r="G211" s="113" t="n"/>
      <c r="H211" s="113" t="n"/>
      <c r="I211" s="111" t="n"/>
      <c r="J211" s="114" t="n"/>
      <c r="K211" s="114" t="n"/>
      <c r="L211" s="112" t="n"/>
      <c r="M211" s="112" t="n"/>
      <c r="N211" s="112" t="n"/>
      <c r="O211" s="115" t="str">
        <f>IF(OR(D211="",F211=""),"",D211+F211)</f>
        <v/>
      </c>
      <c r="P211" s="116" t="str">
        <f>IF(O211="","",IF(ISNUMBER(M211),O211-M211,IF(OR(H211="DECISÃO D.P",ISNUMBER(N211)),"",O211-TODAY())))</f>
        <v/>
      </c>
      <c r="Q211" s="117" t="str">
        <f>IF(B211="","",IF(ISNUMBER(N211),"DECIDIDO – ","")&amp;IF(ISNUMBER(M211),IF(P211="",IF(F211="","INFORMAR PRAZO","SEM DATA"),IF(P211&gt;=0,"DEFESA NO PRAZO","DEFESA FORA DO PRAZO")),IF(OR(H211="DECISÃO D.P",ISNUMBER(N211)),"SEM DEFESA",IF(H211="","SEM STATUS",IF(F211="","INFORMAR PRAZO",IF(P211="","SEM DATA",IF(P211&lt;0,"VENCIDO",IF(P211&lt;=DiasAlerta,"VENCE EM BREVE","NO PRAZO"))))))))</f>
        <v/>
      </c>
      <c r="R211" s="118" t="str">
        <f>IF(D211="","",TODAY()-D211)</f>
        <v/>
      </c>
      <c r="S211" s="111" t="n"/>
    </row>
    <row r="212" ht="18" customHeight="1">
      <c r="A212" s="110" t="n"/>
      <c r="B212" s="111" t="n"/>
      <c r="C212" s="111" t="n"/>
      <c r="D212" s="112" t="n"/>
      <c r="E212" s="111" t="n"/>
      <c r="F212" s="110" t="n"/>
      <c r="G212" s="113" t="n"/>
      <c r="H212" s="113" t="n"/>
      <c r="I212" s="111" t="n"/>
      <c r="J212" s="114" t="n"/>
      <c r="K212" s="114" t="n"/>
      <c r="L212" s="112" t="n"/>
      <c r="M212" s="112" t="n"/>
      <c r="N212" s="112" t="n"/>
      <c r="O212" s="115" t="str">
        <f>IF(OR(D212="",F212=""),"",D212+F212)</f>
        <v/>
      </c>
      <c r="P212" s="116" t="str">
        <f>IF(O212="","",IF(ISNUMBER(M212),O212-M212,IF(OR(H212="DECISÃO D.P",ISNUMBER(N212)),"",O212-TODAY())))</f>
        <v/>
      </c>
      <c r="Q212" s="117" t="str">
        <f>IF(B212="","",IF(ISNUMBER(N212),"DECIDIDO – ","")&amp;IF(ISNUMBER(M212),IF(P212="",IF(F212="","INFORMAR PRAZO","SEM DATA"),IF(P212&gt;=0,"DEFESA NO PRAZO","DEFESA FORA DO PRAZO")),IF(OR(H212="DECISÃO D.P",ISNUMBER(N212)),"SEM DEFESA",IF(H212="","SEM STATUS",IF(F212="","INFORMAR PRAZO",IF(P212="","SEM DATA",IF(P212&lt;0,"VENCIDO",IF(P212&lt;=DiasAlerta,"VENCE EM BREVE","NO PRAZO"))))))))</f>
        <v/>
      </c>
      <c r="R212" s="118" t="str">
        <f>IF(D212="","",TODAY()-D212)</f>
        <v/>
      </c>
      <c r="S212" s="111" t="n"/>
    </row>
    <row r="213" ht="18" customHeight="1">
      <c r="A213" s="110" t="n"/>
      <c r="B213" s="111" t="n"/>
      <c r="C213" s="111" t="n"/>
      <c r="D213" s="112" t="n"/>
      <c r="E213" s="111" t="n"/>
      <c r="F213" s="110" t="n"/>
      <c r="G213" s="113" t="n"/>
      <c r="H213" s="113" t="n"/>
      <c r="I213" s="111" t="n"/>
      <c r="J213" s="114" t="n"/>
      <c r="K213" s="114" t="n"/>
      <c r="L213" s="112" t="n"/>
      <c r="M213" s="112" t="n"/>
      <c r="N213" s="112" t="n"/>
      <c r="O213" s="115" t="str">
        <f>IF(OR(D213="",F213=""),"",D213+F213)</f>
        <v/>
      </c>
      <c r="P213" s="116" t="str">
        <f>IF(O213="","",IF(ISNUMBER(M213),O213-M213,IF(OR(H213="DECISÃO D.P",ISNUMBER(N213)),"",O213-TODAY())))</f>
        <v/>
      </c>
      <c r="Q213" s="117" t="str">
        <f>IF(B213="","",IF(ISNUMBER(N213),"DECIDIDO – ","")&amp;IF(ISNUMBER(M213),IF(P213="",IF(F213="","INFORMAR PRAZO","SEM DATA"),IF(P213&gt;=0,"DEFESA NO PRAZO","DEFESA FORA DO PRAZO")),IF(OR(H213="DECISÃO D.P",ISNUMBER(N213)),"SEM DEFESA",IF(H213="","SEM STATUS",IF(F213="","INFORMAR PRAZO",IF(P213="","SEM DATA",IF(P213&lt;0,"VENCIDO",IF(P213&lt;=DiasAlerta,"VENCE EM BREVE","NO PRAZO"))))))))</f>
        <v/>
      </c>
      <c r="R213" s="118" t="str">
        <f>IF(D213="","",TODAY()-D213)</f>
        <v/>
      </c>
      <c r="S213" s="111" t="n"/>
    </row>
    <row r="214" ht="18" customHeight="1">
      <c r="A214" s="110" t="n"/>
      <c r="B214" s="111" t="n"/>
      <c r="C214" s="111" t="n"/>
      <c r="D214" s="112" t="n"/>
      <c r="E214" s="111" t="n"/>
      <c r="F214" s="110" t="n"/>
      <c r="G214" s="113" t="n"/>
      <c r="H214" s="113" t="n"/>
      <c r="I214" s="111" t="n"/>
      <c r="J214" s="114" t="n"/>
      <c r="K214" s="114" t="n"/>
      <c r="L214" s="112" t="n"/>
      <c r="M214" s="112" t="n"/>
      <c r="N214" s="112" t="n"/>
      <c r="O214" s="115" t="str">
        <f>IF(OR(D214="",F214=""),"",D214+F214)</f>
        <v/>
      </c>
      <c r="P214" s="116" t="str">
        <f>IF(O214="","",IF(ISNUMBER(M214),O214-M214,IF(OR(H214="DECISÃO D.P",ISNUMBER(N214)),"",O214-TODAY())))</f>
        <v/>
      </c>
      <c r="Q214" s="117" t="str">
        <f>IF(B214="","",IF(ISNUMBER(N214),"DECIDIDO – ","")&amp;IF(ISNUMBER(M214),IF(P214="",IF(F214="","INFORMAR PRAZO","SEM DATA"),IF(P214&gt;=0,"DEFESA NO PRAZO","DEFESA FORA DO PRAZO")),IF(OR(H214="DECISÃO D.P",ISNUMBER(N214)),"SEM DEFESA",IF(H214="","SEM STATUS",IF(F214="","INFORMAR PRAZO",IF(P214="","SEM DATA",IF(P214&lt;0,"VENCIDO",IF(P214&lt;=DiasAlerta,"VENCE EM BREVE","NO PRAZO"))))))))</f>
        <v/>
      </c>
      <c r="R214" s="118" t="str">
        <f>IF(D214="","",TODAY()-D214)</f>
        <v/>
      </c>
      <c r="S214" s="111" t="n"/>
    </row>
    <row r="215" ht="18" customHeight="1">
      <c r="A215" s="110" t="n"/>
      <c r="B215" s="111" t="n"/>
      <c r="C215" s="111" t="n"/>
      <c r="D215" s="112" t="n"/>
      <c r="E215" s="111" t="n"/>
      <c r="F215" s="110" t="n"/>
      <c r="G215" s="113" t="n"/>
      <c r="H215" s="113" t="n"/>
      <c r="I215" s="111" t="n"/>
      <c r="J215" s="114" t="n"/>
      <c r="K215" s="114" t="n"/>
      <c r="L215" s="112" t="n"/>
      <c r="M215" s="112" t="n"/>
      <c r="N215" s="112" t="n"/>
      <c r="O215" s="115" t="str">
        <f>IF(OR(D215="",F215=""),"",D215+F215)</f>
        <v/>
      </c>
      <c r="P215" s="116" t="str">
        <f>IF(O215="","",IF(ISNUMBER(M215),O215-M215,IF(OR(H215="DECISÃO D.P",ISNUMBER(N215)),"",O215-TODAY())))</f>
        <v/>
      </c>
      <c r="Q215" s="117" t="str">
        <f>IF(B215="","",IF(ISNUMBER(N215),"DECIDIDO – ","")&amp;IF(ISNUMBER(M215),IF(P215="",IF(F215="","INFORMAR PRAZO","SEM DATA"),IF(P215&gt;=0,"DEFESA NO PRAZO","DEFESA FORA DO PRAZO")),IF(OR(H215="DECISÃO D.P",ISNUMBER(N215)),"SEM DEFESA",IF(H215="","SEM STATUS",IF(F215="","INFORMAR PRAZO",IF(P215="","SEM DATA",IF(P215&lt;0,"VENCIDO",IF(P215&lt;=DiasAlerta,"VENCE EM BREVE","NO PRAZO"))))))))</f>
        <v/>
      </c>
      <c r="R215" s="118" t="str">
        <f>IF(D215="","",TODAY()-D215)</f>
        <v/>
      </c>
      <c r="S215" s="111" t="n"/>
    </row>
    <row r="216" ht="18" customHeight="1">
      <c r="A216" s="110" t="n"/>
      <c r="B216" s="111" t="n"/>
      <c r="C216" s="111" t="n"/>
      <c r="D216" s="112" t="n"/>
      <c r="E216" s="111" t="n"/>
      <c r="F216" s="110" t="n"/>
      <c r="G216" s="113" t="n"/>
      <c r="H216" s="113" t="n"/>
      <c r="I216" s="111" t="n"/>
      <c r="J216" s="114" t="n"/>
      <c r="K216" s="114" t="n"/>
      <c r="L216" s="112" t="n"/>
      <c r="M216" s="112" t="n"/>
      <c r="N216" s="112" t="n"/>
      <c r="O216" s="115" t="str">
        <f>IF(OR(D216="",F216=""),"",D216+F216)</f>
        <v/>
      </c>
      <c r="P216" s="116" t="str">
        <f>IF(O216="","",IF(ISNUMBER(M216),O216-M216,IF(OR(H216="DECISÃO D.P",ISNUMBER(N216)),"",O216-TODAY())))</f>
        <v/>
      </c>
      <c r="Q216" s="117" t="str">
        <f>IF(B216="","",IF(ISNUMBER(N216),"DECIDIDO – ","")&amp;IF(ISNUMBER(M216),IF(P216="",IF(F216="","INFORMAR PRAZO","SEM DATA"),IF(P216&gt;=0,"DEFESA NO PRAZO","DEFESA FORA DO PRAZO")),IF(OR(H216="DECISÃO D.P",ISNUMBER(N216)),"SEM DEFESA",IF(H216="","SEM STATUS",IF(F216="","INFORMAR PRAZO",IF(P216="","SEM DATA",IF(P216&lt;0,"VENCIDO",IF(P216&lt;=DiasAlerta,"VENCE EM BREVE","NO PRAZO"))))))))</f>
        <v/>
      </c>
      <c r="R216" s="118" t="str">
        <f>IF(D216="","",TODAY()-D216)</f>
        <v/>
      </c>
      <c r="S216" s="111" t="n"/>
    </row>
    <row r="217" ht="18" customHeight="1">
      <c r="A217" s="110" t="n"/>
      <c r="B217" s="111" t="n"/>
      <c r="C217" s="111" t="n"/>
      <c r="D217" s="112" t="n"/>
      <c r="E217" s="111" t="n"/>
      <c r="F217" s="110" t="n"/>
      <c r="G217" s="113" t="n"/>
      <c r="H217" s="113" t="n"/>
      <c r="I217" s="111" t="n"/>
      <c r="J217" s="114" t="n"/>
      <c r="K217" s="114" t="n"/>
      <c r="L217" s="112" t="n"/>
      <c r="M217" s="112" t="n"/>
      <c r="N217" s="112" t="n"/>
      <c r="O217" s="115" t="str">
        <f>IF(OR(D217="",F217=""),"",D217+F217)</f>
        <v/>
      </c>
      <c r="P217" s="116" t="str">
        <f>IF(O217="","",IF(ISNUMBER(M217),O217-M217,IF(OR(H217="DECISÃO D.P",ISNUMBER(N217)),"",O217-TODAY())))</f>
        <v/>
      </c>
      <c r="Q217" s="117" t="str">
        <f>IF(B217="","",IF(ISNUMBER(N217),"DECIDIDO – ","")&amp;IF(ISNUMBER(M217),IF(P217="",IF(F217="","INFORMAR PRAZO","SEM DATA"),IF(P217&gt;=0,"DEFESA NO PRAZO","DEFESA FORA DO PRAZO")),IF(OR(H217="DECISÃO D.P",ISNUMBER(N217)),"SEM DEFESA",IF(H217="","SEM STATUS",IF(F217="","INFORMAR PRAZO",IF(P217="","SEM DATA",IF(P217&lt;0,"VENCIDO",IF(P217&lt;=DiasAlerta,"VENCE EM BREVE","NO PRAZO"))))))))</f>
        <v/>
      </c>
      <c r="R217" s="118" t="str">
        <f>IF(D217="","",TODAY()-D217)</f>
        <v/>
      </c>
      <c r="S217" s="111" t="n"/>
    </row>
    <row r="218" ht="18" customHeight="1">
      <c r="A218" s="110" t="n"/>
      <c r="B218" s="111" t="n"/>
      <c r="C218" s="111" t="n"/>
      <c r="D218" s="112" t="n"/>
      <c r="E218" s="111" t="n"/>
      <c r="F218" s="110" t="n"/>
      <c r="G218" s="113" t="n"/>
      <c r="H218" s="113" t="n"/>
      <c r="I218" s="111" t="n"/>
      <c r="J218" s="114" t="n"/>
      <c r="K218" s="114" t="n"/>
      <c r="L218" s="112" t="n"/>
      <c r="M218" s="112" t="n"/>
      <c r="N218" s="112" t="n"/>
      <c r="O218" s="115" t="str">
        <f>IF(OR(D218="",F218=""),"",D218+F218)</f>
        <v/>
      </c>
      <c r="P218" s="116" t="str">
        <f>IF(O218="","",IF(ISNUMBER(M218),O218-M218,IF(OR(H218="DECISÃO D.P",ISNUMBER(N218)),"",O218-TODAY())))</f>
        <v/>
      </c>
      <c r="Q218" s="117" t="str">
        <f>IF(B218="","",IF(ISNUMBER(N218),"DECIDIDO – ","")&amp;IF(ISNUMBER(M218),IF(P218="",IF(F218="","INFORMAR PRAZO","SEM DATA"),IF(P218&gt;=0,"DEFESA NO PRAZO","DEFESA FORA DO PRAZO")),IF(OR(H218="DECISÃO D.P",ISNUMBER(N218)),"SEM DEFESA",IF(H218="","SEM STATUS",IF(F218="","INFORMAR PRAZO",IF(P218="","SEM DATA",IF(P218&lt;0,"VENCIDO",IF(P218&lt;=DiasAlerta,"VENCE EM BREVE","NO PRAZO"))))))))</f>
        <v/>
      </c>
      <c r="R218" s="118" t="str">
        <f>IF(D218="","",TODAY()-D218)</f>
        <v/>
      </c>
      <c r="S218" s="111" t="n"/>
    </row>
    <row r="219" ht="18" customHeight="1">
      <c r="A219" s="110" t="n"/>
      <c r="B219" s="111" t="n"/>
      <c r="C219" s="111" t="n"/>
      <c r="D219" s="112" t="n"/>
      <c r="E219" s="111" t="n"/>
      <c r="F219" s="110" t="n"/>
      <c r="G219" s="113" t="n"/>
      <c r="H219" s="113" t="n"/>
      <c r="I219" s="111" t="n"/>
      <c r="J219" s="114" t="n"/>
      <c r="K219" s="114" t="n"/>
      <c r="L219" s="112" t="n"/>
      <c r="M219" s="112" t="n"/>
      <c r="N219" s="112" t="n"/>
      <c r="O219" s="115" t="str">
        <f>IF(OR(D219="",F219=""),"",D219+F219)</f>
        <v/>
      </c>
      <c r="P219" s="116" t="str">
        <f>IF(O219="","",IF(ISNUMBER(M219),O219-M219,IF(OR(H219="DECISÃO D.P",ISNUMBER(N219)),"",O219-TODAY())))</f>
        <v/>
      </c>
      <c r="Q219" s="117" t="str">
        <f>IF(B219="","",IF(ISNUMBER(N219),"DECIDIDO – ","")&amp;IF(ISNUMBER(M219),IF(P219="",IF(F219="","INFORMAR PRAZO","SEM DATA"),IF(P219&gt;=0,"DEFESA NO PRAZO","DEFESA FORA DO PRAZO")),IF(OR(H219="DECISÃO D.P",ISNUMBER(N219)),"SEM DEFESA",IF(H219="","SEM STATUS",IF(F219="","INFORMAR PRAZO",IF(P219="","SEM DATA",IF(P219&lt;0,"VENCIDO",IF(P219&lt;=DiasAlerta,"VENCE EM BREVE","NO PRAZO"))))))))</f>
        <v/>
      </c>
      <c r="R219" s="118" t="str">
        <f>IF(D219="","",TODAY()-D219)</f>
        <v/>
      </c>
      <c r="S219" s="111" t="n"/>
    </row>
    <row r="220" ht="18" customHeight="1">
      <c r="A220" s="110" t="n"/>
      <c r="B220" s="111" t="n"/>
      <c r="C220" s="111" t="n"/>
      <c r="D220" s="112" t="n"/>
      <c r="E220" s="111" t="n"/>
      <c r="F220" s="110" t="n"/>
      <c r="G220" s="113" t="n"/>
      <c r="H220" s="113" t="n"/>
      <c r="I220" s="111" t="n"/>
      <c r="J220" s="114" t="n"/>
      <c r="K220" s="114" t="n"/>
      <c r="L220" s="112" t="n"/>
      <c r="M220" s="112" t="n"/>
      <c r="N220" s="112" t="n"/>
      <c r="O220" s="115" t="str">
        <f>IF(OR(D220="",F220=""),"",D220+F220)</f>
        <v/>
      </c>
      <c r="P220" s="116" t="str">
        <f>IF(O220="","",IF(ISNUMBER(M220),O220-M220,IF(OR(H220="DECISÃO D.P",ISNUMBER(N220)),"",O220-TODAY())))</f>
        <v/>
      </c>
      <c r="Q220" s="117" t="str">
        <f>IF(B220="","",IF(ISNUMBER(N220),"DECIDIDO – ","")&amp;IF(ISNUMBER(M220),IF(P220="",IF(F220="","INFORMAR PRAZO","SEM DATA"),IF(P220&gt;=0,"DEFESA NO PRAZO","DEFESA FORA DO PRAZO")),IF(OR(H220="DECISÃO D.P",ISNUMBER(N220)),"SEM DEFESA",IF(H220="","SEM STATUS",IF(F220="","INFORMAR PRAZO",IF(P220="","SEM DATA",IF(P220&lt;0,"VENCIDO",IF(P220&lt;=DiasAlerta,"VENCE EM BREVE","NO PRAZO"))))))))</f>
        <v/>
      </c>
      <c r="R220" s="118" t="str">
        <f>IF(D220="","",TODAY()-D220)</f>
        <v/>
      </c>
      <c r="S220" s="111" t="n"/>
    </row>
    <row r="221" ht="18" customHeight="1">
      <c r="A221" s="110" t="n"/>
      <c r="B221" s="111" t="n"/>
      <c r="C221" s="111" t="n"/>
      <c r="D221" s="112" t="n"/>
      <c r="E221" s="111" t="n"/>
      <c r="F221" s="110" t="n"/>
      <c r="G221" s="113" t="n"/>
      <c r="H221" s="113" t="n"/>
      <c r="I221" s="111" t="n"/>
      <c r="J221" s="114" t="n"/>
      <c r="K221" s="114" t="n"/>
      <c r="L221" s="112" t="n"/>
      <c r="M221" s="112" t="n"/>
      <c r="N221" s="112" t="n"/>
      <c r="O221" s="115" t="str">
        <f>IF(OR(D221="",F221=""),"",D221+F221)</f>
        <v/>
      </c>
      <c r="P221" s="116" t="str">
        <f>IF(O221="","",IF(ISNUMBER(M221),O221-M221,IF(OR(H221="DECISÃO D.P",ISNUMBER(N221)),"",O221-TODAY())))</f>
        <v/>
      </c>
      <c r="Q221" s="117" t="str">
        <f>IF(B221="","",IF(ISNUMBER(N221),"DECIDIDO – ","")&amp;IF(ISNUMBER(M221),IF(P221="",IF(F221="","INFORMAR PRAZO","SEM DATA"),IF(P221&gt;=0,"DEFESA NO PRAZO","DEFESA FORA DO PRAZO")),IF(OR(H221="DECISÃO D.P",ISNUMBER(N221)),"SEM DEFESA",IF(H221="","SEM STATUS",IF(F221="","INFORMAR PRAZO",IF(P221="","SEM DATA",IF(P221&lt;0,"VENCIDO",IF(P221&lt;=DiasAlerta,"VENCE EM BREVE","NO PRAZO"))))))))</f>
        <v/>
      </c>
      <c r="R221" s="118" t="str">
        <f>IF(D221="","",TODAY()-D221)</f>
        <v/>
      </c>
      <c r="S221" s="111" t="n"/>
    </row>
    <row r="222" ht="18" customHeight="1">
      <c r="A222" s="110" t="n"/>
      <c r="B222" s="111" t="n"/>
      <c r="C222" s="111" t="n"/>
      <c r="D222" s="112" t="n"/>
      <c r="E222" s="111" t="n"/>
      <c r="F222" s="110" t="n"/>
      <c r="G222" s="113" t="n"/>
      <c r="H222" s="113" t="n"/>
      <c r="I222" s="111" t="n"/>
      <c r="J222" s="114" t="n"/>
      <c r="K222" s="114" t="n"/>
      <c r="L222" s="112" t="n"/>
      <c r="M222" s="112" t="n"/>
      <c r="N222" s="112" t="n"/>
      <c r="O222" s="115" t="str">
        <f>IF(OR(D222="",F222=""),"",D222+F222)</f>
        <v/>
      </c>
      <c r="P222" s="116" t="str">
        <f>IF(O222="","",IF(ISNUMBER(M222),O222-M222,IF(OR(H222="DECISÃO D.P",ISNUMBER(N222)),"",O222-TODAY())))</f>
        <v/>
      </c>
      <c r="Q222" s="117" t="str">
        <f>IF(B222="","",IF(ISNUMBER(N222),"DECIDIDO – ","")&amp;IF(ISNUMBER(M222),IF(P222="",IF(F222="","INFORMAR PRAZO","SEM DATA"),IF(P222&gt;=0,"DEFESA NO PRAZO","DEFESA FORA DO PRAZO")),IF(OR(H222="DECISÃO D.P",ISNUMBER(N222)),"SEM DEFESA",IF(H222="","SEM STATUS",IF(F222="","INFORMAR PRAZO",IF(P222="","SEM DATA",IF(P222&lt;0,"VENCIDO",IF(P222&lt;=DiasAlerta,"VENCE EM BREVE","NO PRAZO"))))))))</f>
        <v/>
      </c>
      <c r="R222" s="118" t="str">
        <f>IF(D222="","",TODAY()-D222)</f>
        <v/>
      </c>
      <c r="S222" s="111" t="n"/>
    </row>
    <row r="223" ht="18" customHeight="1">
      <c r="A223" s="110" t="n"/>
      <c r="B223" s="111" t="n"/>
      <c r="C223" s="111" t="n"/>
      <c r="D223" s="112" t="n"/>
      <c r="E223" s="111" t="n"/>
      <c r="F223" s="110" t="n"/>
      <c r="G223" s="113" t="n"/>
      <c r="H223" s="113" t="n"/>
      <c r="I223" s="111" t="n"/>
      <c r="J223" s="114" t="n"/>
      <c r="K223" s="114" t="n"/>
      <c r="L223" s="112" t="n"/>
      <c r="M223" s="112" t="n"/>
      <c r="N223" s="112" t="n"/>
      <c r="O223" s="115" t="str">
        <f>IF(OR(D223="",F223=""),"",D223+F223)</f>
        <v/>
      </c>
      <c r="P223" s="116" t="str">
        <f>IF(O223="","",IF(ISNUMBER(M223),O223-M223,IF(OR(H223="DECISÃO D.P",ISNUMBER(N223)),"",O223-TODAY())))</f>
        <v/>
      </c>
      <c r="Q223" s="117" t="str">
        <f>IF(B223="","",IF(ISNUMBER(N223),"DECIDIDO – ","")&amp;IF(ISNUMBER(M223),IF(P223="",IF(F223="","INFORMAR PRAZO","SEM DATA"),IF(P223&gt;=0,"DEFESA NO PRAZO","DEFESA FORA DO PRAZO")),IF(OR(H223="DECISÃO D.P",ISNUMBER(N223)),"SEM DEFESA",IF(H223="","SEM STATUS",IF(F223="","INFORMAR PRAZO",IF(P223="","SEM DATA",IF(P223&lt;0,"VENCIDO",IF(P223&lt;=DiasAlerta,"VENCE EM BREVE","NO PRAZO"))))))))</f>
        <v/>
      </c>
      <c r="R223" s="118" t="str">
        <f>IF(D223="","",TODAY()-D223)</f>
        <v/>
      </c>
      <c r="S223" s="111" t="n"/>
    </row>
    <row r="224" ht="18" customHeight="1">
      <c r="A224" s="110" t="n"/>
      <c r="B224" s="111" t="n"/>
      <c r="C224" s="111" t="n"/>
      <c r="D224" s="112" t="n"/>
      <c r="E224" s="111" t="n"/>
      <c r="F224" s="110" t="n"/>
      <c r="G224" s="113" t="n"/>
      <c r="H224" s="113" t="n"/>
      <c r="I224" s="111" t="n"/>
      <c r="J224" s="114" t="n"/>
      <c r="K224" s="114" t="n"/>
      <c r="L224" s="112" t="n"/>
      <c r="M224" s="112" t="n"/>
      <c r="N224" s="112" t="n"/>
      <c r="O224" s="115" t="str">
        <f>IF(OR(D224="",F224=""),"",D224+F224)</f>
        <v/>
      </c>
      <c r="P224" s="116" t="str">
        <f>IF(O224="","",IF(ISNUMBER(M224),O224-M224,IF(OR(H224="DECISÃO D.P",ISNUMBER(N224)),"",O224-TODAY())))</f>
        <v/>
      </c>
      <c r="Q224" s="117" t="str">
        <f>IF(B224="","",IF(ISNUMBER(N224),"DECIDIDO – ","")&amp;IF(ISNUMBER(M224),IF(P224="",IF(F224="","INFORMAR PRAZO","SEM DATA"),IF(P224&gt;=0,"DEFESA NO PRAZO","DEFESA FORA DO PRAZO")),IF(OR(H224="DECISÃO D.P",ISNUMBER(N224)),"SEM DEFESA",IF(H224="","SEM STATUS",IF(F224="","INFORMAR PRAZO",IF(P224="","SEM DATA",IF(P224&lt;0,"VENCIDO",IF(P224&lt;=DiasAlerta,"VENCE EM BREVE","NO PRAZO"))))))))</f>
        <v/>
      </c>
      <c r="R224" s="118" t="str">
        <f>IF(D224="","",TODAY()-D224)</f>
        <v/>
      </c>
      <c r="S224" s="111" t="n"/>
    </row>
    <row r="225" ht="18" customHeight="1">
      <c r="A225" s="110" t="n"/>
      <c r="B225" s="111" t="n"/>
      <c r="C225" s="111" t="n"/>
      <c r="D225" s="112" t="n"/>
      <c r="E225" s="111" t="n"/>
      <c r="F225" s="110" t="n"/>
      <c r="G225" s="113" t="n"/>
      <c r="H225" s="113" t="n"/>
      <c r="I225" s="111" t="n"/>
      <c r="J225" s="114" t="n"/>
      <c r="K225" s="114" t="n"/>
      <c r="L225" s="112" t="n"/>
      <c r="M225" s="112" t="n"/>
      <c r="N225" s="112" t="n"/>
      <c r="O225" s="115" t="str">
        <f>IF(OR(D225="",F225=""),"",D225+F225)</f>
        <v/>
      </c>
      <c r="P225" s="116" t="str">
        <f>IF(O225="","",IF(ISNUMBER(M225),O225-M225,IF(OR(H225="DECISÃO D.P",ISNUMBER(N225)),"",O225-TODAY())))</f>
        <v/>
      </c>
      <c r="Q225" s="117" t="str">
        <f>IF(B225="","",IF(ISNUMBER(N225),"DECIDIDO – ","")&amp;IF(ISNUMBER(M225),IF(P225="",IF(F225="","INFORMAR PRAZO","SEM DATA"),IF(P225&gt;=0,"DEFESA NO PRAZO","DEFESA FORA DO PRAZO")),IF(OR(H225="DECISÃO D.P",ISNUMBER(N225)),"SEM DEFESA",IF(H225="","SEM STATUS",IF(F225="","INFORMAR PRAZO",IF(P225="","SEM DATA",IF(P225&lt;0,"VENCIDO",IF(P225&lt;=DiasAlerta,"VENCE EM BREVE","NO PRAZO"))))))))</f>
        <v/>
      </c>
      <c r="R225" s="118" t="str">
        <f>IF(D225="","",TODAY()-D225)</f>
        <v/>
      </c>
      <c r="S225" s="111" t="n"/>
    </row>
    <row r="226" ht="18" customHeight="1">
      <c r="A226" s="110" t="n"/>
      <c r="B226" s="111" t="n"/>
      <c r="C226" s="111" t="n"/>
      <c r="D226" s="112" t="n"/>
      <c r="E226" s="111" t="n"/>
      <c r="F226" s="110" t="n"/>
      <c r="G226" s="113" t="n"/>
      <c r="H226" s="113" t="n"/>
      <c r="I226" s="111" t="n"/>
      <c r="J226" s="114" t="n"/>
      <c r="K226" s="114" t="n"/>
      <c r="L226" s="112" t="n"/>
      <c r="M226" s="112" t="n"/>
      <c r="N226" s="112" t="n"/>
      <c r="O226" s="115" t="str">
        <f>IF(OR(D226="",F226=""),"",D226+F226)</f>
        <v/>
      </c>
      <c r="P226" s="116" t="str">
        <f>IF(O226="","",IF(ISNUMBER(M226),O226-M226,IF(OR(H226="DECISÃO D.P",ISNUMBER(N226)),"",O226-TODAY())))</f>
        <v/>
      </c>
      <c r="Q226" s="117" t="str">
        <f>IF(B226="","",IF(ISNUMBER(N226),"DECIDIDO – ","")&amp;IF(ISNUMBER(M226),IF(P226="",IF(F226="","INFORMAR PRAZO","SEM DATA"),IF(P226&gt;=0,"DEFESA NO PRAZO","DEFESA FORA DO PRAZO")),IF(OR(H226="DECISÃO D.P",ISNUMBER(N226)),"SEM DEFESA",IF(H226="","SEM STATUS",IF(F226="","INFORMAR PRAZO",IF(P226="","SEM DATA",IF(P226&lt;0,"VENCIDO",IF(P226&lt;=DiasAlerta,"VENCE EM BREVE","NO PRAZO"))))))))</f>
        <v/>
      </c>
      <c r="R226" s="118" t="str">
        <f>IF(D226="","",TODAY()-D226)</f>
        <v/>
      </c>
      <c r="S226" s="111" t="n"/>
    </row>
    <row r="227" ht="18" customHeight="1">
      <c r="A227" s="110" t="n"/>
      <c r="B227" s="111" t="n"/>
      <c r="C227" s="111" t="n"/>
      <c r="D227" s="112" t="n"/>
      <c r="E227" s="111" t="n"/>
      <c r="F227" s="110" t="n"/>
      <c r="G227" s="113" t="n"/>
      <c r="H227" s="113" t="n"/>
      <c r="I227" s="111" t="n"/>
      <c r="J227" s="114" t="n"/>
      <c r="K227" s="114" t="n"/>
      <c r="L227" s="112" t="n"/>
      <c r="M227" s="112" t="n"/>
      <c r="N227" s="112" t="n"/>
      <c r="O227" s="115" t="str">
        <f>IF(OR(D227="",F227=""),"",D227+F227)</f>
        <v/>
      </c>
      <c r="P227" s="116" t="str">
        <f>IF(O227="","",IF(ISNUMBER(M227),O227-M227,IF(OR(H227="DECISÃO D.P",ISNUMBER(N227)),"",O227-TODAY())))</f>
        <v/>
      </c>
      <c r="Q227" s="117" t="str">
        <f>IF(B227="","",IF(ISNUMBER(N227),"DECIDIDO – ","")&amp;IF(ISNUMBER(M227),IF(P227="",IF(F227="","INFORMAR PRAZO","SEM DATA"),IF(P227&gt;=0,"DEFESA NO PRAZO","DEFESA FORA DO PRAZO")),IF(OR(H227="DECISÃO D.P",ISNUMBER(N227)),"SEM DEFESA",IF(H227="","SEM STATUS",IF(F227="","INFORMAR PRAZO",IF(P227="","SEM DATA",IF(P227&lt;0,"VENCIDO",IF(P227&lt;=DiasAlerta,"VENCE EM BREVE","NO PRAZO"))))))))</f>
        <v/>
      </c>
      <c r="R227" s="118" t="str">
        <f>IF(D227="","",TODAY()-D227)</f>
        <v/>
      </c>
      <c r="S227" s="111" t="n"/>
    </row>
    <row r="228" ht="18" customHeight="1">
      <c r="A228" s="110" t="n"/>
      <c r="B228" s="111" t="n"/>
      <c r="C228" s="111" t="n"/>
      <c r="D228" s="112" t="n"/>
      <c r="E228" s="111" t="n"/>
      <c r="F228" s="110" t="n"/>
      <c r="G228" s="113" t="n"/>
      <c r="H228" s="113" t="n"/>
      <c r="I228" s="111" t="n"/>
      <c r="J228" s="114" t="n"/>
      <c r="K228" s="114" t="n"/>
      <c r="L228" s="112" t="n"/>
      <c r="M228" s="112" t="n"/>
      <c r="N228" s="112" t="n"/>
      <c r="O228" s="115" t="str">
        <f>IF(OR(D228="",F228=""),"",D228+F228)</f>
        <v/>
      </c>
      <c r="P228" s="116" t="str">
        <f>IF(O228="","",IF(ISNUMBER(M228),O228-M228,IF(OR(H228="DECISÃO D.P",ISNUMBER(N228)),"",O228-TODAY())))</f>
        <v/>
      </c>
      <c r="Q228" s="117" t="str">
        <f>IF(B228="","",IF(ISNUMBER(N228),"DECIDIDO – ","")&amp;IF(ISNUMBER(M228),IF(P228="",IF(F228="","INFORMAR PRAZO","SEM DATA"),IF(P228&gt;=0,"DEFESA NO PRAZO","DEFESA FORA DO PRAZO")),IF(OR(H228="DECISÃO D.P",ISNUMBER(N228)),"SEM DEFESA",IF(H228="","SEM STATUS",IF(F228="","INFORMAR PRAZO",IF(P228="","SEM DATA",IF(P228&lt;0,"VENCIDO",IF(P228&lt;=DiasAlerta,"VENCE EM BREVE","NO PRAZO"))))))))</f>
        <v/>
      </c>
      <c r="R228" s="118" t="str">
        <f>IF(D228="","",TODAY()-D228)</f>
        <v/>
      </c>
      <c r="S228" s="111" t="n"/>
    </row>
    <row r="229" ht="18" customHeight="1">
      <c r="A229" s="110" t="n"/>
      <c r="B229" s="111" t="n"/>
      <c r="C229" s="111" t="n"/>
      <c r="D229" s="112" t="n"/>
      <c r="E229" s="111" t="n"/>
      <c r="F229" s="110" t="n"/>
      <c r="G229" s="113" t="n"/>
      <c r="H229" s="113" t="n"/>
      <c r="I229" s="111" t="n"/>
      <c r="J229" s="114" t="n"/>
      <c r="K229" s="114" t="n"/>
      <c r="L229" s="112" t="n"/>
      <c r="M229" s="112" t="n"/>
      <c r="N229" s="112" t="n"/>
      <c r="O229" s="115" t="str">
        <f>IF(OR(D229="",F229=""),"",D229+F229)</f>
        <v/>
      </c>
      <c r="P229" s="116" t="str">
        <f>IF(O229="","",IF(ISNUMBER(M229),O229-M229,IF(OR(H229="DECISÃO D.P",ISNUMBER(N229)),"",O229-TODAY())))</f>
        <v/>
      </c>
      <c r="Q229" s="117" t="str">
        <f>IF(B229="","",IF(ISNUMBER(N229),"DECIDIDO – ","")&amp;IF(ISNUMBER(M229),IF(P229="",IF(F229="","INFORMAR PRAZO","SEM DATA"),IF(P229&gt;=0,"DEFESA NO PRAZO","DEFESA FORA DO PRAZO")),IF(OR(H229="DECISÃO D.P",ISNUMBER(N229)),"SEM DEFESA",IF(H229="","SEM STATUS",IF(F229="","INFORMAR PRAZO",IF(P229="","SEM DATA",IF(P229&lt;0,"VENCIDO",IF(P229&lt;=DiasAlerta,"VENCE EM BREVE","NO PRAZO"))))))))</f>
        <v/>
      </c>
      <c r="R229" s="118" t="str">
        <f>IF(D229="","",TODAY()-D229)</f>
        <v/>
      </c>
      <c r="S229" s="111" t="n"/>
    </row>
    <row r="230" ht="18" customHeight="1">
      <c r="A230" s="110" t="n"/>
      <c r="B230" s="111" t="n"/>
      <c r="C230" s="111" t="n"/>
      <c r="D230" s="112" t="n"/>
      <c r="E230" s="111" t="n"/>
      <c r="F230" s="110" t="n"/>
      <c r="G230" s="113" t="n"/>
      <c r="H230" s="113" t="n"/>
      <c r="I230" s="111" t="n"/>
      <c r="J230" s="114" t="n"/>
      <c r="K230" s="114" t="n"/>
      <c r="L230" s="112" t="n"/>
      <c r="M230" s="112" t="n"/>
      <c r="N230" s="112" t="n"/>
      <c r="O230" s="115" t="str">
        <f>IF(OR(D230="",F230=""),"",D230+F230)</f>
        <v/>
      </c>
      <c r="P230" s="116" t="str">
        <f>IF(O230="","",IF(ISNUMBER(M230),O230-M230,IF(OR(H230="DECISÃO D.P",ISNUMBER(N230)),"",O230-TODAY())))</f>
        <v/>
      </c>
      <c r="Q230" s="117" t="str">
        <f>IF(B230="","",IF(ISNUMBER(N230),"DECIDIDO – ","")&amp;IF(ISNUMBER(M230),IF(P230="",IF(F230="","INFORMAR PRAZO","SEM DATA"),IF(P230&gt;=0,"DEFESA NO PRAZO","DEFESA FORA DO PRAZO")),IF(OR(H230="DECISÃO D.P",ISNUMBER(N230)),"SEM DEFESA",IF(H230="","SEM STATUS",IF(F230="","INFORMAR PRAZO",IF(P230="","SEM DATA",IF(P230&lt;0,"VENCIDO",IF(P230&lt;=DiasAlerta,"VENCE EM BREVE","NO PRAZO"))))))))</f>
        <v/>
      </c>
      <c r="R230" s="118" t="str">
        <f>IF(D230="","",TODAY()-D230)</f>
        <v/>
      </c>
      <c r="S230" s="111" t="n"/>
    </row>
    <row r="231" ht="18" customHeight="1">
      <c r="A231" s="110" t="n"/>
      <c r="B231" s="111" t="n"/>
      <c r="C231" s="111" t="n"/>
      <c r="D231" s="112" t="n"/>
      <c r="E231" s="111" t="n"/>
      <c r="F231" s="110" t="n"/>
      <c r="G231" s="113" t="n"/>
      <c r="H231" s="113" t="n"/>
      <c r="I231" s="111" t="n"/>
      <c r="J231" s="114" t="n"/>
      <c r="K231" s="114" t="n"/>
      <c r="L231" s="112" t="n"/>
      <c r="M231" s="112" t="n"/>
      <c r="N231" s="112" t="n"/>
      <c r="O231" s="115" t="str">
        <f>IF(OR(D231="",F231=""),"",D231+F231)</f>
        <v/>
      </c>
      <c r="P231" s="116" t="str">
        <f>IF(O231="","",IF(ISNUMBER(M231),O231-M231,IF(OR(H231="DECISÃO D.P",ISNUMBER(N231)),"",O231-TODAY())))</f>
        <v/>
      </c>
      <c r="Q231" s="117" t="str">
        <f>IF(B231="","",IF(ISNUMBER(N231),"DECIDIDO – ","")&amp;IF(ISNUMBER(M231),IF(P231="",IF(F231="","INFORMAR PRAZO","SEM DATA"),IF(P231&gt;=0,"DEFESA NO PRAZO","DEFESA FORA DO PRAZO")),IF(OR(H231="DECISÃO D.P",ISNUMBER(N231)),"SEM DEFESA",IF(H231="","SEM STATUS",IF(F231="","INFORMAR PRAZO",IF(P231="","SEM DATA",IF(P231&lt;0,"VENCIDO",IF(P231&lt;=DiasAlerta,"VENCE EM BREVE","NO PRAZO"))))))))</f>
        <v/>
      </c>
      <c r="R231" s="118" t="str">
        <f>IF(D231="","",TODAY()-D231)</f>
        <v/>
      </c>
      <c r="S231" s="111" t="n"/>
    </row>
    <row r="232" ht="18" customHeight="1">
      <c r="A232" s="110" t="n"/>
      <c r="B232" s="111" t="n"/>
      <c r="C232" s="111" t="n"/>
      <c r="D232" s="112" t="n"/>
      <c r="E232" s="111" t="n"/>
      <c r="F232" s="110" t="n"/>
      <c r="G232" s="113" t="n"/>
      <c r="H232" s="113" t="n"/>
      <c r="I232" s="111" t="n"/>
      <c r="J232" s="114" t="n"/>
      <c r="K232" s="114" t="n"/>
      <c r="L232" s="112" t="n"/>
      <c r="M232" s="112" t="n"/>
      <c r="N232" s="112" t="n"/>
      <c r="O232" s="115" t="str">
        <f>IF(OR(D232="",F232=""),"",D232+F232)</f>
        <v/>
      </c>
      <c r="P232" s="116" t="str">
        <f>IF(O232="","",IF(ISNUMBER(M232),O232-M232,IF(OR(H232="DECISÃO D.P",ISNUMBER(N232)),"",O232-TODAY())))</f>
        <v/>
      </c>
      <c r="Q232" s="117" t="str">
        <f>IF(B232="","",IF(ISNUMBER(N232),"DECIDIDO – ","")&amp;IF(ISNUMBER(M232),IF(P232="",IF(F232="","INFORMAR PRAZO","SEM DATA"),IF(P232&gt;=0,"DEFESA NO PRAZO","DEFESA FORA DO PRAZO")),IF(OR(H232="DECISÃO D.P",ISNUMBER(N232)),"SEM DEFESA",IF(H232="","SEM STATUS",IF(F232="","INFORMAR PRAZO",IF(P232="","SEM DATA",IF(P232&lt;0,"VENCIDO",IF(P232&lt;=DiasAlerta,"VENCE EM BREVE","NO PRAZO"))))))))</f>
        <v/>
      </c>
      <c r="R232" s="118" t="str">
        <f>IF(D232="","",TODAY()-D232)</f>
        <v/>
      </c>
      <c r="S232" s="111" t="n"/>
    </row>
    <row r="233" ht="18" customHeight="1">
      <c r="A233" s="110" t="n"/>
      <c r="B233" s="111" t="n"/>
      <c r="C233" s="111" t="n"/>
      <c r="D233" s="112" t="n"/>
      <c r="E233" s="111" t="n"/>
      <c r="F233" s="110" t="n"/>
      <c r="G233" s="113" t="n"/>
      <c r="H233" s="113" t="n"/>
      <c r="I233" s="111" t="n"/>
      <c r="J233" s="114" t="n"/>
      <c r="K233" s="114" t="n"/>
      <c r="L233" s="112" t="n"/>
      <c r="M233" s="112" t="n"/>
      <c r="N233" s="112" t="n"/>
      <c r="O233" s="115" t="str">
        <f>IF(OR(D233="",F233=""),"",D233+F233)</f>
        <v/>
      </c>
      <c r="P233" s="116" t="str">
        <f>IF(O233="","",IF(ISNUMBER(M233),O233-M233,IF(OR(H233="DECISÃO D.P",ISNUMBER(N233)),"",O233-TODAY())))</f>
        <v/>
      </c>
      <c r="Q233" s="117" t="str">
        <f>IF(B233="","",IF(ISNUMBER(N233),"DECIDIDO – ","")&amp;IF(ISNUMBER(M233),IF(P233="",IF(F233="","INFORMAR PRAZO","SEM DATA"),IF(P233&gt;=0,"DEFESA NO PRAZO","DEFESA FORA DO PRAZO")),IF(OR(H233="DECISÃO D.P",ISNUMBER(N233)),"SEM DEFESA",IF(H233="","SEM STATUS",IF(F233="","INFORMAR PRAZO",IF(P233="","SEM DATA",IF(P233&lt;0,"VENCIDO",IF(P233&lt;=DiasAlerta,"VENCE EM BREVE","NO PRAZO"))))))))</f>
        <v/>
      </c>
      <c r="R233" s="118" t="str">
        <f>IF(D233="","",TODAY()-D233)</f>
        <v/>
      </c>
      <c r="S233" s="111" t="n"/>
    </row>
    <row r="234" ht="18" customHeight="1">
      <c r="A234" s="110" t="n"/>
      <c r="B234" s="111" t="n"/>
      <c r="C234" s="111" t="n"/>
      <c r="D234" s="112" t="n"/>
      <c r="E234" s="111" t="n"/>
      <c r="F234" s="110" t="n"/>
      <c r="G234" s="113" t="n"/>
      <c r="H234" s="113" t="n"/>
      <c r="I234" s="111" t="n"/>
      <c r="J234" s="114" t="n"/>
      <c r="K234" s="114" t="n"/>
      <c r="L234" s="112" t="n"/>
      <c r="M234" s="112" t="n"/>
      <c r="N234" s="112" t="n"/>
      <c r="O234" s="115" t="str">
        <f>IF(OR(D234="",F234=""),"",D234+F234)</f>
        <v/>
      </c>
      <c r="P234" s="116" t="str">
        <f>IF(O234="","",IF(ISNUMBER(M234),O234-M234,IF(OR(H234="DECISÃO D.P",ISNUMBER(N234)),"",O234-TODAY())))</f>
        <v/>
      </c>
      <c r="Q234" s="117" t="str">
        <f>IF(B234="","",IF(ISNUMBER(N234),"DECIDIDO – ","")&amp;IF(ISNUMBER(M234),IF(P234="",IF(F234="","INFORMAR PRAZO","SEM DATA"),IF(P234&gt;=0,"DEFESA NO PRAZO","DEFESA FORA DO PRAZO")),IF(OR(H234="DECISÃO D.P",ISNUMBER(N234)),"SEM DEFESA",IF(H234="","SEM STATUS",IF(F234="","INFORMAR PRAZO",IF(P234="","SEM DATA",IF(P234&lt;0,"VENCIDO",IF(P234&lt;=DiasAlerta,"VENCE EM BREVE","NO PRAZO"))))))))</f>
        <v/>
      </c>
      <c r="R234" s="118" t="str">
        <f>IF(D234="","",TODAY()-D234)</f>
        <v/>
      </c>
      <c r="S234" s="111" t="n"/>
    </row>
    <row r="235" ht="18" customHeight="1">
      <c r="A235" s="110" t="n"/>
      <c r="B235" s="111" t="n"/>
      <c r="C235" s="111" t="n"/>
      <c r="D235" s="112" t="n"/>
      <c r="E235" s="111" t="n"/>
      <c r="F235" s="110" t="n"/>
      <c r="G235" s="113" t="n"/>
      <c r="H235" s="113" t="n"/>
      <c r="I235" s="111" t="n"/>
      <c r="J235" s="114" t="n"/>
      <c r="K235" s="114" t="n"/>
      <c r="L235" s="112" t="n"/>
      <c r="M235" s="112" t="n"/>
      <c r="N235" s="112" t="n"/>
      <c r="O235" s="115" t="str">
        <f>IF(OR(D235="",F235=""),"",D235+F235)</f>
        <v/>
      </c>
      <c r="P235" s="116" t="str">
        <f>IF(O235="","",IF(ISNUMBER(M235),O235-M235,IF(OR(H235="DECISÃO D.P",ISNUMBER(N235)),"",O235-TODAY())))</f>
        <v/>
      </c>
      <c r="Q235" s="117" t="str">
        <f>IF(B235="","",IF(ISNUMBER(N235),"DECIDIDO – ","")&amp;IF(ISNUMBER(M235),IF(P235="",IF(F235="","INFORMAR PRAZO","SEM DATA"),IF(P235&gt;=0,"DEFESA NO PRAZO","DEFESA FORA DO PRAZO")),IF(OR(H235="DECISÃO D.P",ISNUMBER(N235)),"SEM DEFESA",IF(H235="","SEM STATUS",IF(F235="","INFORMAR PRAZO",IF(P235="","SEM DATA",IF(P235&lt;0,"VENCIDO",IF(P235&lt;=DiasAlerta,"VENCE EM BREVE","NO PRAZO"))))))))</f>
        <v/>
      </c>
      <c r="R235" s="118" t="str">
        <f>IF(D235="","",TODAY()-D235)</f>
        <v/>
      </c>
      <c r="S235" s="111" t="n"/>
    </row>
    <row r="236" ht="18" customHeight="1">
      <c r="A236" s="110" t="n"/>
      <c r="B236" s="111" t="n"/>
      <c r="C236" s="111" t="n"/>
      <c r="D236" s="112" t="n"/>
      <c r="E236" s="111" t="n"/>
      <c r="F236" s="110" t="n"/>
      <c r="G236" s="113" t="n"/>
      <c r="H236" s="113" t="n"/>
      <c r="I236" s="111" t="n"/>
      <c r="J236" s="114" t="n"/>
      <c r="K236" s="114" t="n"/>
      <c r="L236" s="112" t="n"/>
      <c r="M236" s="112" t="n"/>
      <c r="N236" s="112" t="n"/>
      <c r="O236" s="115" t="str">
        <f>IF(OR(D236="",F236=""),"",D236+F236)</f>
        <v/>
      </c>
      <c r="P236" s="116" t="str">
        <f>IF(O236="","",IF(ISNUMBER(M236),O236-M236,IF(OR(H236="DECISÃO D.P",ISNUMBER(N236)),"",O236-TODAY())))</f>
        <v/>
      </c>
      <c r="Q236" s="117" t="str">
        <f>IF(B236="","",IF(ISNUMBER(N236),"DECIDIDO – ","")&amp;IF(ISNUMBER(M236),IF(P236="",IF(F236="","INFORMAR PRAZO","SEM DATA"),IF(P236&gt;=0,"DEFESA NO PRAZO","DEFESA FORA DO PRAZO")),IF(OR(H236="DECISÃO D.P",ISNUMBER(N236)),"SEM DEFESA",IF(H236="","SEM STATUS",IF(F236="","INFORMAR PRAZO",IF(P236="","SEM DATA",IF(P236&lt;0,"VENCIDO",IF(P236&lt;=DiasAlerta,"VENCE EM BREVE","NO PRAZO"))))))))</f>
        <v/>
      </c>
      <c r="R236" s="118" t="str">
        <f>IF(D236="","",TODAY()-D236)</f>
        <v/>
      </c>
      <c r="S236" s="111" t="n"/>
    </row>
    <row r="237" ht="18" customHeight="1">
      <c r="A237" s="110" t="n"/>
      <c r="B237" s="111" t="n"/>
      <c r="C237" s="111" t="n"/>
      <c r="D237" s="112" t="n"/>
      <c r="E237" s="111" t="n"/>
      <c r="F237" s="110" t="n"/>
      <c r="G237" s="113" t="n"/>
      <c r="H237" s="113" t="n"/>
      <c r="I237" s="111" t="n"/>
      <c r="J237" s="114" t="n"/>
      <c r="K237" s="114" t="n"/>
      <c r="L237" s="112" t="n"/>
      <c r="M237" s="112" t="n"/>
      <c r="N237" s="112" t="n"/>
      <c r="O237" s="115" t="str">
        <f>IF(OR(D237="",F237=""),"",D237+F237)</f>
        <v/>
      </c>
      <c r="P237" s="116" t="str">
        <f>IF(O237="","",IF(ISNUMBER(M237),O237-M237,IF(OR(H237="DECISÃO D.P",ISNUMBER(N237)),"",O237-TODAY())))</f>
        <v/>
      </c>
      <c r="Q237" s="117" t="str">
        <f>IF(B237="","",IF(ISNUMBER(N237),"DECIDIDO – ","")&amp;IF(ISNUMBER(M237),IF(P237="",IF(F237="","INFORMAR PRAZO","SEM DATA"),IF(P237&gt;=0,"DEFESA NO PRAZO","DEFESA FORA DO PRAZO")),IF(OR(H237="DECISÃO D.P",ISNUMBER(N237)),"SEM DEFESA",IF(H237="","SEM STATUS",IF(F237="","INFORMAR PRAZO",IF(P237="","SEM DATA",IF(P237&lt;0,"VENCIDO",IF(P237&lt;=DiasAlerta,"VENCE EM BREVE","NO PRAZO"))))))))</f>
        <v/>
      </c>
      <c r="R237" s="118" t="str">
        <f>IF(D237="","",TODAY()-D237)</f>
        <v/>
      </c>
      <c r="S237" s="111" t="n"/>
    </row>
    <row r="238" ht="18" customHeight="1">
      <c r="A238" s="110" t="n"/>
      <c r="B238" s="111" t="n"/>
      <c r="C238" s="111" t="n"/>
      <c r="D238" s="112" t="n"/>
      <c r="E238" s="111" t="n"/>
      <c r="F238" s="110" t="n"/>
      <c r="G238" s="113" t="n"/>
      <c r="H238" s="113" t="n"/>
      <c r="I238" s="111" t="n"/>
      <c r="J238" s="114" t="n"/>
      <c r="K238" s="114" t="n"/>
      <c r="L238" s="112" t="n"/>
      <c r="M238" s="112" t="n"/>
      <c r="N238" s="112" t="n"/>
      <c r="O238" s="115" t="str">
        <f>IF(OR(D238="",F238=""),"",D238+F238)</f>
        <v/>
      </c>
      <c r="P238" s="116" t="str">
        <f>IF(O238="","",IF(ISNUMBER(M238),O238-M238,IF(OR(H238="DECISÃO D.P",ISNUMBER(N238)),"",O238-TODAY())))</f>
        <v/>
      </c>
      <c r="Q238" s="117" t="str">
        <f>IF(B238="","",IF(ISNUMBER(N238),"DECIDIDO – ","")&amp;IF(ISNUMBER(M238),IF(P238="",IF(F238="","INFORMAR PRAZO","SEM DATA"),IF(P238&gt;=0,"DEFESA NO PRAZO","DEFESA FORA DO PRAZO")),IF(OR(H238="DECISÃO D.P",ISNUMBER(N238)),"SEM DEFESA",IF(H238="","SEM STATUS",IF(F238="","INFORMAR PRAZO",IF(P238="","SEM DATA",IF(P238&lt;0,"VENCIDO",IF(P238&lt;=DiasAlerta,"VENCE EM BREVE","NO PRAZO"))))))))</f>
        <v/>
      </c>
      <c r="R238" s="118" t="str">
        <f>IF(D238="","",TODAY()-D238)</f>
        <v/>
      </c>
      <c r="S238" s="111" t="n"/>
    </row>
    <row r="239" ht="18" customHeight="1">
      <c r="A239" s="110" t="n"/>
      <c r="B239" s="111" t="n"/>
      <c r="C239" s="111" t="n"/>
      <c r="D239" s="112" t="n"/>
      <c r="E239" s="111" t="n"/>
      <c r="F239" s="110" t="n"/>
      <c r="G239" s="113" t="n"/>
      <c r="H239" s="113" t="n"/>
      <c r="I239" s="111" t="n"/>
      <c r="J239" s="114" t="n"/>
      <c r="K239" s="114" t="n"/>
      <c r="L239" s="112" t="n"/>
      <c r="M239" s="112" t="n"/>
      <c r="N239" s="112" t="n"/>
      <c r="O239" s="115" t="str">
        <f>IF(OR(D239="",F239=""),"",D239+F239)</f>
        <v/>
      </c>
      <c r="P239" s="116" t="str">
        <f>IF(O239="","",IF(ISNUMBER(M239),O239-M239,IF(OR(H239="DECISÃO D.P",ISNUMBER(N239)),"",O239-TODAY())))</f>
        <v/>
      </c>
      <c r="Q239" s="117" t="str">
        <f>IF(B239="","",IF(ISNUMBER(N239),"DECIDIDO – ","")&amp;IF(ISNUMBER(M239),IF(P239="",IF(F239="","INFORMAR PRAZO","SEM DATA"),IF(P239&gt;=0,"DEFESA NO PRAZO","DEFESA FORA DO PRAZO")),IF(OR(H239="DECISÃO D.P",ISNUMBER(N239)),"SEM DEFESA",IF(H239="","SEM STATUS",IF(F239="","INFORMAR PRAZO",IF(P239="","SEM DATA",IF(P239&lt;0,"VENCIDO",IF(P239&lt;=DiasAlerta,"VENCE EM BREVE","NO PRAZO"))))))))</f>
        <v/>
      </c>
      <c r="R239" s="118" t="str">
        <f>IF(D239="","",TODAY()-D239)</f>
        <v/>
      </c>
      <c r="S239" s="111" t="n"/>
    </row>
    <row r="240" ht="18" customHeight="1">
      <c r="A240" s="110" t="n"/>
      <c r="B240" s="111" t="n"/>
      <c r="C240" s="111" t="n"/>
      <c r="D240" s="112" t="n"/>
      <c r="E240" s="111" t="n"/>
      <c r="F240" s="110" t="n"/>
      <c r="G240" s="113" t="n"/>
      <c r="H240" s="113" t="n"/>
      <c r="I240" s="111" t="n"/>
      <c r="J240" s="114" t="n"/>
      <c r="K240" s="114" t="n"/>
      <c r="L240" s="112" t="n"/>
      <c r="M240" s="112" t="n"/>
      <c r="N240" s="112" t="n"/>
      <c r="O240" s="115" t="str">
        <f>IF(OR(D240="",F240=""),"",D240+F240)</f>
        <v/>
      </c>
      <c r="P240" s="116" t="str">
        <f>IF(O240="","",IF(ISNUMBER(M240),O240-M240,IF(OR(H240="DECISÃO D.P",ISNUMBER(N240)),"",O240-TODAY())))</f>
        <v/>
      </c>
      <c r="Q240" s="117" t="str">
        <f>IF(B240="","",IF(ISNUMBER(N240),"DECIDIDO – ","")&amp;IF(ISNUMBER(M240),IF(P240="",IF(F240="","INFORMAR PRAZO","SEM DATA"),IF(P240&gt;=0,"DEFESA NO PRAZO","DEFESA FORA DO PRAZO")),IF(OR(H240="DECISÃO D.P",ISNUMBER(N240)),"SEM DEFESA",IF(H240="","SEM STATUS",IF(F240="","INFORMAR PRAZO",IF(P240="","SEM DATA",IF(P240&lt;0,"VENCIDO",IF(P240&lt;=DiasAlerta,"VENCE EM BREVE","NO PRAZO"))))))))</f>
        <v/>
      </c>
      <c r="R240" s="118" t="str">
        <f>IF(D240="","",TODAY()-D240)</f>
        <v/>
      </c>
      <c r="S240" s="111" t="n"/>
    </row>
    <row r="241" ht="18" customHeight="1">
      <c r="A241" s="110" t="n"/>
      <c r="B241" s="111" t="n"/>
      <c r="C241" s="111" t="n"/>
      <c r="D241" s="112" t="n"/>
      <c r="E241" s="111" t="n"/>
      <c r="F241" s="110" t="n"/>
      <c r="G241" s="113" t="n"/>
      <c r="H241" s="113" t="n"/>
      <c r="I241" s="111" t="n"/>
      <c r="J241" s="114" t="n"/>
      <c r="K241" s="114" t="n"/>
      <c r="L241" s="112" t="n"/>
      <c r="M241" s="112" t="n"/>
      <c r="N241" s="112" t="n"/>
      <c r="O241" s="115" t="str">
        <f>IF(OR(D241="",F241=""),"",D241+F241)</f>
        <v/>
      </c>
      <c r="P241" s="116" t="str">
        <f>IF(O241="","",IF(ISNUMBER(M241),O241-M241,IF(OR(H241="DECISÃO D.P",ISNUMBER(N241)),"",O241-TODAY())))</f>
        <v/>
      </c>
      <c r="Q241" s="117" t="str">
        <f>IF(B241="","",IF(ISNUMBER(N241),"DECIDIDO – ","")&amp;IF(ISNUMBER(M241),IF(P241="",IF(F241="","INFORMAR PRAZO","SEM DATA"),IF(P241&gt;=0,"DEFESA NO PRAZO","DEFESA FORA DO PRAZO")),IF(OR(H241="DECISÃO D.P",ISNUMBER(N241)),"SEM DEFESA",IF(H241="","SEM STATUS",IF(F241="","INFORMAR PRAZO",IF(P241="","SEM DATA",IF(P241&lt;0,"VENCIDO",IF(P241&lt;=DiasAlerta,"VENCE EM BREVE","NO PRAZO"))))))))</f>
        <v/>
      </c>
      <c r="R241" s="118" t="str">
        <f>IF(D241="","",TODAY()-D241)</f>
        <v/>
      </c>
      <c r="S241" s="111" t="n"/>
    </row>
    <row r="242" ht="18" customHeight="1">
      <c r="A242" s="110" t="n"/>
      <c r="B242" s="111" t="n"/>
      <c r="C242" s="111" t="n"/>
      <c r="D242" s="112" t="n"/>
      <c r="E242" s="111" t="n"/>
      <c r="F242" s="110" t="n"/>
      <c r="G242" s="113" t="n"/>
      <c r="H242" s="113" t="n"/>
      <c r="I242" s="111" t="n"/>
      <c r="J242" s="114" t="n"/>
      <c r="K242" s="114" t="n"/>
      <c r="L242" s="112" t="n"/>
      <c r="M242" s="112" t="n"/>
      <c r="N242" s="112" t="n"/>
      <c r="O242" s="115" t="str">
        <f>IF(OR(D242="",F242=""),"",D242+F242)</f>
        <v/>
      </c>
      <c r="P242" s="116" t="str">
        <f>IF(O242="","",IF(ISNUMBER(M242),O242-M242,IF(OR(H242="DECISÃO D.P",ISNUMBER(N242)),"",O242-TODAY())))</f>
        <v/>
      </c>
      <c r="Q242" s="117" t="str">
        <f>IF(B242="","",IF(ISNUMBER(N242),"DECIDIDO – ","")&amp;IF(ISNUMBER(M242),IF(P242="",IF(F242="","INFORMAR PRAZO","SEM DATA"),IF(P242&gt;=0,"DEFESA NO PRAZO","DEFESA FORA DO PRAZO")),IF(OR(H242="DECISÃO D.P",ISNUMBER(N242)),"SEM DEFESA",IF(H242="","SEM STATUS",IF(F242="","INFORMAR PRAZO",IF(P242="","SEM DATA",IF(P242&lt;0,"VENCIDO",IF(P242&lt;=DiasAlerta,"VENCE EM BREVE","NO PRAZO"))))))))</f>
        <v/>
      </c>
      <c r="R242" s="118" t="str">
        <f>IF(D242="","",TODAY()-D242)</f>
        <v/>
      </c>
      <c r="S242" s="111" t="n"/>
    </row>
    <row r="243" ht="18" customHeight="1">
      <c r="A243" s="110" t="n"/>
      <c r="B243" s="111" t="n"/>
      <c r="C243" s="111" t="n"/>
      <c r="D243" s="112" t="n"/>
      <c r="E243" s="111" t="n"/>
      <c r="F243" s="110" t="n"/>
      <c r="G243" s="113" t="n"/>
      <c r="H243" s="113" t="n"/>
      <c r="I243" s="111" t="n"/>
      <c r="J243" s="114" t="n"/>
      <c r="K243" s="114" t="n"/>
      <c r="L243" s="112" t="n"/>
      <c r="M243" s="112" t="n"/>
      <c r="N243" s="112" t="n"/>
      <c r="O243" s="115" t="str">
        <f>IF(OR(D243="",F243=""),"",D243+F243)</f>
        <v/>
      </c>
      <c r="P243" s="116" t="str">
        <f>IF(O243="","",IF(ISNUMBER(M243),O243-M243,IF(OR(H243="DECISÃO D.P",ISNUMBER(N243)),"",O243-TODAY())))</f>
        <v/>
      </c>
      <c r="Q243" s="117" t="str">
        <f>IF(B243="","",IF(ISNUMBER(N243),"DECIDIDO – ","")&amp;IF(ISNUMBER(M243),IF(P243="",IF(F243="","INFORMAR PRAZO","SEM DATA"),IF(P243&gt;=0,"DEFESA NO PRAZO","DEFESA FORA DO PRAZO")),IF(OR(H243="DECISÃO D.P",ISNUMBER(N243)),"SEM DEFESA",IF(H243="","SEM STATUS",IF(F243="","INFORMAR PRAZO",IF(P243="","SEM DATA",IF(P243&lt;0,"VENCIDO",IF(P243&lt;=DiasAlerta,"VENCE EM BREVE","NO PRAZO"))))))))</f>
        <v/>
      </c>
      <c r="R243" s="118" t="str">
        <f>IF(D243="","",TODAY()-D243)</f>
        <v/>
      </c>
      <c r="S243" s="111" t="n"/>
    </row>
    <row r="244" ht="18" customHeight="1">
      <c r="A244" s="110" t="n"/>
      <c r="B244" s="111" t="n"/>
      <c r="C244" s="111" t="n"/>
      <c r="D244" s="112" t="n"/>
      <c r="E244" s="111" t="n"/>
      <c r="F244" s="110" t="n"/>
      <c r="G244" s="113" t="n"/>
      <c r="H244" s="113" t="n"/>
      <c r="I244" s="111" t="n"/>
      <c r="J244" s="114" t="n"/>
      <c r="K244" s="114" t="n"/>
      <c r="L244" s="112" t="n"/>
      <c r="M244" s="112" t="n"/>
      <c r="N244" s="112" t="n"/>
      <c r="O244" s="115" t="str">
        <f>IF(OR(D244="",F244=""),"",D244+F244)</f>
        <v/>
      </c>
      <c r="P244" s="116" t="str">
        <f>IF(O244="","",IF(ISNUMBER(M244),O244-M244,IF(OR(H244="DECISÃO D.P",ISNUMBER(N244)),"",O244-TODAY())))</f>
        <v/>
      </c>
      <c r="Q244" s="117" t="str">
        <f>IF(B244="","",IF(ISNUMBER(N244),"DECIDIDO – ","")&amp;IF(ISNUMBER(M244),IF(P244="",IF(F244="","INFORMAR PRAZO","SEM DATA"),IF(P244&gt;=0,"DEFESA NO PRAZO","DEFESA FORA DO PRAZO")),IF(OR(H244="DECISÃO D.P",ISNUMBER(N244)),"SEM DEFESA",IF(H244="","SEM STATUS",IF(F244="","INFORMAR PRAZO",IF(P244="","SEM DATA",IF(P244&lt;0,"VENCIDO",IF(P244&lt;=DiasAlerta,"VENCE EM BREVE","NO PRAZO"))))))))</f>
        <v/>
      </c>
      <c r="R244" s="118" t="str">
        <f>IF(D244="","",TODAY()-D244)</f>
        <v/>
      </c>
      <c r="S244" s="111" t="n"/>
    </row>
    <row r="245" ht="18" customHeight="1">
      <c r="A245" s="110" t="n"/>
      <c r="B245" s="111" t="n"/>
      <c r="C245" s="111" t="n"/>
      <c r="D245" s="112" t="n"/>
      <c r="E245" s="111" t="n"/>
      <c r="F245" s="110" t="n"/>
      <c r="G245" s="113" t="n"/>
      <c r="H245" s="113" t="n"/>
      <c r="I245" s="111" t="n"/>
      <c r="J245" s="114" t="n"/>
      <c r="K245" s="114" t="n"/>
      <c r="L245" s="112" t="n"/>
      <c r="M245" s="112" t="n"/>
      <c r="N245" s="112" t="n"/>
      <c r="O245" s="115" t="str">
        <f>IF(OR(D245="",F245=""),"",D245+F245)</f>
        <v/>
      </c>
      <c r="P245" s="116" t="str">
        <f>IF(O245="","",IF(ISNUMBER(M245),O245-M245,IF(OR(H245="DECISÃO D.P",ISNUMBER(N245)),"",O245-TODAY())))</f>
        <v/>
      </c>
      <c r="Q245" s="117" t="str">
        <f>IF(B245="","",IF(ISNUMBER(N245),"DECIDIDO – ","")&amp;IF(ISNUMBER(M245),IF(P245="",IF(F245="","INFORMAR PRAZO","SEM DATA"),IF(P245&gt;=0,"DEFESA NO PRAZO","DEFESA FORA DO PRAZO")),IF(OR(H245="DECISÃO D.P",ISNUMBER(N245)),"SEM DEFESA",IF(H245="","SEM STATUS",IF(F245="","INFORMAR PRAZO",IF(P245="","SEM DATA",IF(P245&lt;0,"VENCIDO",IF(P245&lt;=DiasAlerta,"VENCE EM BREVE","NO PRAZO"))))))))</f>
        <v/>
      </c>
      <c r="R245" s="118" t="str">
        <f>IF(D245="","",TODAY()-D245)</f>
        <v/>
      </c>
      <c r="S245" s="111" t="n"/>
    </row>
    <row r="246" ht="18" customHeight="1">
      <c r="A246" s="110" t="n"/>
      <c r="B246" s="111" t="n"/>
      <c r="C246" s="111" t="n"/>
      <c r="D246" s="112" t="n"/>
      <c r="E246" s="111" t="n"/>
      <c r="F246" s="110" t="n"/>
      <c r="G246" s="113" t="n"/>
      <c r="H246" s="113" t="n"/>
      <c r="I246" s="111" t="n"/>
      <c r="J246" s="114" t="n"/>
      <c r="K246" s="114" t="n"/>
      <c r="L246" s="112" t="n"/>
      <c r="M246" s="112" t="n"/>
      <c r="N246" s="112" t="n"/>
      <c r="O246" s="115" t="str">
        <f>IF(OR(D246="",F246=""),"",D246+F246)</f>
        <v/>
      </c>
      <c r="P246" s="116" t="str">
        <f>IF(O246="","",IF(ISNUMBER(M246),O246-M246,IF(OR(H246="DECISÃO D.P",ISNUMBER(N246)),"",O246-TODAY())))</f>
        <v/>
      </c>
      <c r="Q246" s="117" t="str">
        <f>IF(B246="","",IF(ISNUMBER(N246),"DECIDIDO – ","")&amp;IF(ISNUMBER(M246),IF(P246="",IF(F246="","INFORMAR PRAZO","SEM DATA"),IF(P246&gt;=0,"DEFESA NO PRAZO","DEFESA FORA DO PRAZO")),IF(OR(H246="DECISÃO D.P",ISNUMBER(N246)),"SEM DEFESA",IF(H246="","SEM STATUS",IF(F246="","INFORMAR PRAZO",IF(P246="","SEM DATA",IF(P246&lt;0,"VENCIDO",IF(P246&lt;=DiasAlerta,"VENCE EM BREVE","NO PRAZO"))))))))</f>
        <v/>
      </c>
      <c r="R246" s="118" t="str">
        <f>IF(D246="","",TODAY()-D246)</f>
        <v/>
      </c>
      <c r="S246" s="111" t="n"/>
    </row>
    <row r="247" ht="18" customHeight="1">
      <c r="A247" s="110" t="n"/>
      <c r="B247" s="111" t="n"/>
      <c r="C247" s="111" t="n"/>
      <c r="D247" s="112" t="n"/>
      <c r="E247" s="111" t="n"/>
      <c r="F247" s="110" t="n"/>
      <c r="G247" s="113" t="n"/>
      <c r="H247" s="113" t="n"/>
      <c r="I247" s="111" t="n"/>
      <c r="J247" s="114" t="n"/>
      <c r="K247" s="114" t="n"/>
      <c r="L247" s="112" t="n"/>
      <c r="M247" s="112" t="n"/>
      <c r="N247" s="112" t="n"/>
      <c r="O247" s="115" t="str">
        <f>IF(OR(D247="",F247=""),"",D247+F247)</f>
        <v/>
      </c>
      <c r="P247" s="116" t="str">
        <f>IF(O247="","",IF(ISNUMBER(M247),O247-M247,IF(OR(H247="DECISÃO D.P",ISNUMBER(N247)),"",O247-TODAY())))</f>
        <v/>
      </c>
      <c r="Q247" s="117" t="str">
        <f>IF(B247="","",IF(ISNUMBER(N247),"DECIDIDO – ","")&amp;IF(ISNUMBER(M247),IF(P247="",IF(F247="","INFORMAR PRAZO","SEM DATA"),IF(P247&gt;=0,"DEFESA NO PRAZO","DEFESA FORA DO PRAZO")),IF(OR(H247="DECISÃO D.P",ISNUMBER(N247)),"SEM DEFESA",IF(H247="","SEM STATUS",IF(F247="","INFORMAR PRAZO",IF(P247="","SEM DATA",IF(P247&lt;0,"VENCIDO",IF(P247&lt;=DiasAlerta,"VENCE EM BREVE","NO PRAZO"))))))))</f>
        <v/>
      </c>
      <c r="R247" s="118" t="str">
        <f>IF(D247="","",TODAY()-D247)</f>
        <v/>
      </c>
      <c r="S247" s="111" t="n"/>
    </row>
    <row r="248" ht="18" customHeight="1">
      <c r="A248" s="110" t="n"/>
      <c r="B248" s="111" t="n"/>
      <c r="C248" s="111" t="n"/>
      <c r="D248" s="112" t="n"/>
      <c r="E248" s="111" t="n"/>
      <c r="F248" s="110" t="n"/>
      <c r="G248" s="113" t="n"/>
      <c r="H248" s="113" t="n"/>
      <c r="I248" s="111" t="n"/>
      <c r="J248" s="114" t="n"/>
      <c r="K248" s="114" t="n"/>
      <c r="L248" s="112" t="n"/>
      <c r="M248" s="112" t="n"/>
      <c r="N248" s="112" t="n"/>
      <c r="O248" s="115" t="str">
        <f>IF(OR(D248="",F248=""),"",D248+F248)</f>
        <v/>
      </c>
      <c r="P248" s="116" t="str">
        <f>IF(O248="","",IF(ISNUMBER(M248),O248-M248,IF(OR(H248="DECISÃO D.P",ISNUMBER(N248)),"",O248-TODAY())))</f>
        <v/>
      </c>
      <c r="Q248" s="117" t="str">
        <f>IF(B248="","",IF(ISNUMBER(N248),"DECIDIDO – ","")&amp;IF(ISNUMBER(M248),IF(P248="",IF(F248="","INFORMAR PRAZO","SEM DATA"),IF(P248&gt;=0,"DEFESA NO PRAZO","DEFESA FORA DO PRAZO")),IF(OR(H248="DECISÃO D.P",ISNUMBER(N248)),"SEM DEFESA",IF(H248="","SEM STATUS",IF(F248="","INFORMAR PRAZO",IF(P248="","SEM DATA",IF(P248&lt;0,"VENCIDO",IF(P248&lt;=DiasAlerta,"VENCE EM BREVE","NO PRAZO"))))))))</f>
        <v/>
      </c>
      <c r="R248" s="118" t="str">
        <f>IF(D248="","",TODAY()-D248)</f>
        <v/>
      </c>
      <c r="S248" s="111" t="n"/>
    </row>
    <row r="249" ht="18" customHeight="1">
      <c r="A249" s="110" t="n"/>
      <c r="B249" s="111" t="n"/>
      <c r="C249" s="111" t="n"/>
      <c r="D249" s="112" t="n"/>
      <c r="E249" s="111" t="n"/>
      <c r="F249" s="110" t="n"/>
      <c r="G249" s="113" t="n"/>
      <c r="H249" s="113" t="n"/>
      <c r="I249" s="111" t="n"/>
      <c r="J249" s="114" t="n"/>
      <c r="K249" s="114" t="n"/>
      <c r="L249" s="112" t="n"/>
      <c r="M249" s="112" t="n"/>
      <c r="N249" s="112" t="n"/>
      <c r="O249" s="115" t="str">
        <f>IF(OR(D249="",F249=""),"",D249+F249)</f>
        <v/>
      </c>
      <c r="P249" s="116" t="str">
        <f>IF(O249="","",IF(ISNUMBER(M249),O249-M249,IF(OR(H249="DECISÃO D.P",ISNUMBER(N249)),"",O249-TODAY())))</f>
        <v/>
      </c>
      <c r="Q249" s="117" t="str">
        <f>IF(B249="","",IF(ISNUMBER(N249),"DECIDIDO – ","")&amp;IF(ISNUMBER(M249),IF(P249="",IF(F249="","INFORMAR PRAZO","SEM DATA"),IF(P249&gt;=0,"DEFESA NO PRAZO","DEFESA FORA DO PRAZO")),IF(OR(H249="DECISÃO D.P",ISNUMBER(N249)),"SEM DEFESA",IF(H249="","SEM STATUS",IF(F249="","INFORMAR PRAZO",IF(P249="","SEM DATA",IF(P249&lt;0,"VENCIDO",IF(P249&lt;=DiasAlerta,"VENCE EM BREVE","NO PRAZO"))))))))</f>
        <v/>
      </c>
      <c r="R249" s="118" t="str">
        <f>IF(D249="","",TODAY()-D249)</f>
        <v/>
      </c>
      <c r="S249" s="111" t="n"/>
    </row>
    <row r="250" ht="18" customHeight="1">
      <c r="A250" s="110" t="n"/>
      <c r="B250" s="111" t="n"/>
      <c r="C250" s="111" t="n"/>
      <c r="D250" s="112" t="n"/>
      <c r="E250" s="111" t="n"/>
      <c r="F250" s="110" t="n"/>
      <c r="G250" s="113" t="n"/>
      <c r="H250" s="113" t="n"/>
      <c r="I250" s="111" t="n"/>
      <c r="J250" s="114" t="n"/>
      <c r="K250" s="114" t="n"/>
      <c r="L250" s="112" t="n"/>
      <c r="M250" s="112" t="n"/>
      <c r="N250" s="112" t="n"/>
      <c r="O250" s="115" t="str">
        <f>IF(OR(D250="",F250=""),"",D250+F250)</f>
        <v/>
      </c>
      <c r="P250" s="116" t="str">
        <f>IF(O250="","",IF(ISNUMBER(M250),O250-M250,IF(OR(H250="DECISÃO D.P",ISNUMBER(N250)),"",O250-TODAY())))</f>
        <v/>
      </c>
      <c r="Q250" s="117" t="str">
        <f>IF(B250="","",IF(ISNUMBER(N250),"DECIDIDO – ","")&amp;IF(ISNUMBER(M250),IF(P250="",IF(F250="","INFORMAR PRAZO","SEM DATA"),IF(P250&gt;=0,"DEFESA NO PRAZO","DEFESA FORA DO PRAZO")),IF(OR(H250="DECISÃO D.P",ISNUMBER(N250)),"SEM DEFESA",IF(H250="","SEM STATUS",IF(F250="","INFORMAR PRAZO",IF(P250="","SEM DATA",IF(P250&lt;0,"VENCIDO",IF(P250&lt;=DiasAlerta,"VENCE EM BREVE","NO PRAZO"))))))))</f>
        <v/>
      </c>
      <c r="R250" s="118" t="str">
        <f>IF(D250="","",TODAY()-D250)</f>
        <v/>
      </c>
      <c r="S250" s="111" t="n"/>
    </row>
    <row r="251" ht="18" customHeight="1">
      <c r="A251" s="110" t="n"/>
      <c r="B251" s="111" t="n"/>
      <c r="C251" s="111" t="n"/>
      <c r="D251" s="112" t="n"/>
      <c r="E251" s="111" t="n"/>
      <c r="F251" s="110" t="n"/>
      <c r="G251" s="113" t="n"/>
      <c r="H251" s="113" t="n"/>
      <c r="I251" s="111" t="n"/>
      <c r="J251" s="114" t="n"/>
      <c r="K251" s="114" t="n"/>
      <c r="L251" s="112" t="n"/>
      <c r="M251" s="112" t="n"/>
      <c r="N251" s="112" t="n"/>
      <c r="O251" s="115" t="str">
        <f>IF(OR(D251="",F251=""),"",D251+F251)</f>
        <v/>
      </c>
      <c r="P251" s="116" t="str">
        <f>IF(O251="","",IF(ISNUMBER(M251),O251-M251,IF(OR(H251="DECISÃO D.P",ISNUMBER(N251)),"",O251-TODAY())))</f>
        <v/>
      </c>
      <c r="Q251" s="117" t="str">
        <f>IF(B251="","",IF(ISNUMBER(N251),"DECIDIDO – ","")&amp;IF(ISNUMBER(M251),IF(P251="",IF(F251="","INFORMAR PRAZO","SEM DATA"),IF(P251&gt;=0,"DEFESA NO PRAZO","DEFESA FORA DO PRAZO")),IF(OR(H251="DECISÃO D.P",ISNUMBER(N251)),"SEM DEFESA",IF(H251="","SEM STATUS",IF(F251="","INFORMAR PRAZO",IF(P251="","SEM DATA",IF(P251&lt;0,"VENCIDO",IF(P251&lt;=DiasAlerta,"VENCE EM BREVE","NO PRAZO"))))))))</f>
        <v/>
      </c>
      <c r="R251" s="118" t="str">
        <f>IF(D251="","",TODAY()-D251)</f>
        <v/>
      </c>
      <c r="S251" s="111" t="n"/>
    </row>
    <row r="252" ht="18" customHeight="1">
      <c r="A252" s="110" t="n"/>
      <c r="B252" s="111" t="n"/>
      <c r="C252" s="111" t="n"/>
      <c r="D252" s="112" t="n"/>
      <c r="E252" s="111" t="n"/>
      <c r="F252" s="110" t="n"/>
      <c r="G252" s="113" t="n"/>
      <c r="H252" s="113" t="n"/>
      <c r="I252" s="111" t="n"/>
      <c r="J252" s="114" t="n"/>
      <c r="K252" s="114" t="n"/>
      <c r="L252" s="112" t="n"/>
      <c r="M252" s="112" t="n"/>
      <c r="N252" s="112" t="n"/>
      <c r="O252" s="115" t="str">
        <f>IF(OR(D252="",F252=""),"",D252+F252)</f>
        <v/>
      </c>
      <c r="P252" s="116" t="str">
        <f>IF(O252="","",IF(ISNUMBER(M252),O252-M252,IF(OR(H252="DECISÃO D.P",ISNUMBER(N252)),"",O252-TODAY())))</f>
        <v/>
      </c>
      <c r="Q252" s="117" t="str">
        <f>IF(B252="","",IF(ISNUMBER(N252),"DECIDIDO – ","")&amp;IF(ISNUMBER(M252),IF(P252="",IF(F252="","INFORMAR PRAZO","SEM DATA"),IF(P252&gt;=0,"DEFESA NO PRAZO","DEFESA FORA DO PRAZO")),IF(OR(H252="DECISÃO D.P",ISNUMBER(N252)),"SEM DEFESA",IF(H252="","SEM STATUS",IF(F252="","INFORMAR PRAZO",IF(P252="","SEM DATA",IF(P252&lt;0,"VENCIDO",IF(P252&lt;=DiasAlerta,"VENCE EM BREVE","NO PRAZO"))))))))</f>
        <v/>
      </c>
      <c r="R252" s="118" t="str">
        <f>IF(D252="","",TODAY()-D252)</f>
        <v/>
      </c>
      <c r="S252" s="111" t="n"/>
    </row>
    <row r="253" ht="18" customHeight="1">
      <c r="A253" s="110" t="n"/>
      <c r="B253" s="111" t="n"/>
      <c r="C253" s="111" t="n"/>
      <c r="D253" s="112" t="n"/>
      <c r="E253" s="111" t="n"/>
      <c r="F253" s="110" t="n"/>
      <c r="G253" s="113" t="n"/>
      <c r="H253" s="113" t="n"/>
      <c r="I253" s="111" t="n"/>
      <c r="J253" s="114" t="n"/>
      <c r="K253" s="114" t="n"/>
      <c r="L253" s="112" t="n"/>
      <c r="M253" s="112" t="n"/>
      <c r="N253" s="112" t="n"/>
      <c r="O253" s="115" t="str">
        <f>IF(OR(D253="",F253=""),"",D253+F253)</f>
        <v/>
      </c>
      <c r="P253" s="116" t="str">
        <f>IF(O253="","",IF(ISNUMBER(M253),O253-M253,IF(OR(H253="DECISÃO D.P",ISNUMBER(N253)),"",O253-TODAY())))</f>
        <v/>
      </c>
      <c r="Q253" s="117" t="str">
        <f>IF(B253="","",IF(ISNUMBER(N253),"DECIDIDO – ","")&amp;IF(ISNUMBER(M253),IF(P253="",IF(F253="","INFORMAR PRAZO","SEM DATA"),IF(P253&gt;=0,"DEFESA NO PRAZO","DEFESA FORA DO PRAZO")),IF(OR(H253="DECISÃO D.P",ISNUMBER(N253)),"SEM DEFESA",IF(H253="","SEM STATUS",IF(F253="","INFORMAR PRAZO",IF(P253="","SEM DATA",IF(P253&lt;0,"VENCIDO",IF(P253&lt;=DiasAlerta,"VENCE EM BREVE","NO PRAZO"))))))))</f>
        <v/>
      </c>
      <c r="R253" s="118" t="str">
        <f>IF(D253="","",TODAY()-D253)</f>
        <v/>
      </c>
      <c r="S253" s="111" t="n"/>
    </row>
    <row r="254" ht="18" customHeight="1">
      <c r="A254" s="110" t="n"/>
      <c r="B254" s="111" t="n"/>
      <c r="C254" s="111" t="n"/>
      <c r="D254" s="112" t="n"/>
      <c r="E254" s="111" t="n"/>
      <c r="F254" s="110" t="n"/>
      <c r="G254" s="113" t="n"/>
      <c r="H254" s="113" t="n"/>
      <c r="I254" s="111" t="n"/>
      <c r="J254" s="114" t="n"/>
      <c r="K254" s="114" t="n"/>
      <c r="L254" s="112" t="n"/>
      <c r="M254" s="112" t="n"/>
      <c r="N254" s="112" t="n"/>
      <c r="O254" s="115" t="str">
        <f>IF(OR(D254="",F254=""),"",D254+F254)</f>
        <v/>
      </c>
      <c r="P254" s="116" t="str">
        <f>IF(O254="","",IF(ISNUMBER(M254),O254-M254,IF(OR(H254="DECISÃO D.P",ISNUMBER(N254)),"",O254-TODAY())))</f>
        <v/>
      </c>
      <c r="Q254" s="117" t="str">
        <f>IF(B254="","",IF(ISNUMBER(N254),"DECIDIDO – ","")&amp;IF(ISNUMBER(M254),IF(P254="",IF(F254="","INFORMAR PRAZO","SEM DATA"),IF(P254&gt;=0,"DEFESA NO PRAZO","DEFESA FORA DO PRAZO")),IF(OR(H254="DECISÃO D.P",ISNUMBER(N254)),"SEM DEFESA",IF(H254="","SEM STATUS",IF(F254="","INFORMAR PRAZO",IF(P254="","SEM DATA",IF(P254&lt;0,"VENCIDO",IF(P254&lt;=DiasAlerta,"VENCE EM BREVE","NO PRAZO"))))))))</f>
        <v/>
      </c>
      <c r="R254" s="118" t="str">
        <f>IF(D254="","",TODAY()-D254)</f>
        <v/>
      </c>
      <c r="S254" s="111" t="n"/>
    </row>
    <row r="255" ht="18" customHeight="1">
      <c r="A255" s="110" t="n"/>
      <c r="B255" s="111" t="n"/>
      <c r="C255" s="111" t="n"/>
      <c r="D255" s="112" t="n"/>
      <c r="E255" s="111" t="n"/>
      <c r="F255" s="110" t="n"/>
      <c r="G255" s="113" t="n"/>
      <c r="H255" s="113" t="n"/>
      <c r="I255" s="111" t="n"/>
      <c r="J255" s="114" t="n"/>
      <c r="K255" s="114" t="n"/>
      <c r="L255" s="112" t="n"/>
      <c r="M255" s="112" t="n"/>
      <c r="N255" s="112" t="n"/>
      <c r="O255" s="115" t="str">
        <f>IF(OR(D255="",F255=""),"",D255+F255)</f>
        <v/>
      </c>
      <c r="P255" s="116" t="str">
        <f>IF(O255="","",IF(ISNUMBER(M255),O255-M255,IF(OR(H255="DECISÃO D.P",ISNUMBER(N255)),"",O255-TODAY())))</f>
        <v/>
      </c>
      <c r="Q255" s="117" t="str">
        <f>IF(B255="","",IF(ISNUMBER(N255),"DECIDIDO – ","")&amp;IF(ISNUMBER(M255),IF(P255="",IF(F255="","INFORMAR PRAZO","SEM DATA"),IF(P255&gt;=0,"DEFESA NO PRAZO","DEFESA FORA DO PRAZO")),IF(OR(H255="DECISÃO D.P",ISNUMBER(N255)),"SEM DEFESA",IF(H255="","SEM STATUS",IF(F255="","INFORMAR PRAZO",IF(P255="","SEM DATA",IF(P255&lt;0,"VENCIDO",IF(P255&lt;=DiasAlerta,"VENCE EM BREVE","NO PRAZO"))))))))</f>
        <v/>
      </c>
      <c r="R255" s="118" t="str">
        <f>IF(D255="","",TODAY()-D255)</f>
        <v/>
      </c>
      <c r="S255" s="111" t="n"/>
    </row>
    <row r="256" ht="18" customHeight="1">
      <c r="A256" s="110" t="n"/>
      <c r="B256" s="111" t="n"/>
      <c r="C256" s="111" t="n"/>
      <c r="D256" s="112" t="n"/>
      <c r="E256" s="111" t="n"/>
      <c r="F256" s="110" t="n"/>
      <c r="G256" s="113" t="n"/>
      <c r="H256" s="113" t="n"/>
      <c r="I256" s="111" t="n"/>
      <c r="J256" s="114" t="n"/>
      <c r="K256" s="114" t="n"/>
      <c r="L256" s="112" t="n"/>
      <c r="M256" s="112" t="n"/>
      <c r="N256" s="112" t="n"/>
      <c r="O256" s="115" t="str">
        <f>IF(OR(D256="",F256=""),"",D256+F256)</f>
        <v/>
      </c>
      <c r="P256" s="116" t="str">
        <f>IF(O256="","",IF(ISNUMBER(M256),O256-M256,IF(OR(H256="DECISÃO D.P",ISNUMBER(N256)),"",O256-TODAY())))</f>
        <v/>
      </c>
      <c r="Q256" s="117" t="str">
        <f>IF(B256="","",IF(ISNUMBER(N256),"DECIDIDO – ","")&amp;IF(ISNUMBER(M256),IF(P256="",IF(F256="","INFORMAR PRAZO","SEM DATA"),IF(P256&gt;=0,"DEFESA NO PRAZO","DEFESA FORA DO PRAZO")),IF(OR(H256="DECISÃO D.P",ISNUMBER(N256)),"SEM DEFESA",IF(H256="","SEM STATUS",IF(F256="","INFORMAR PRAZO",IF(P256="","SEM DATA",IF(P256&lt;0,"VENCIDO",IF(P256&lt;=DiasAlerta,"VENCE EM BREVE","NO PRAZO"))))))))</f>
        <v/>
      </c>
      <c r="R256" s="118" t="str">
        <f>IF(D256="","",TODAY()-D256)</f>
        <v/>
      </c>
      <c r="S256" s="111" t="n"/>
    </row>
    <row r="257" ht="18" customHeight="1">
      <c r="A257" s="110" t="n"/>
      <c r="B257" s="111" t="n"/>
      <c r="C257" s="111" t="n"/>
      <c r="D257" s="112" t="n"/>
      <c r="E257" s="111" t="n"/>
      <c r="F257" s="110" t="n"/>
      <c r="G257" s="113" t="n"/>
      <c r="H257" s="113" t="n"/>
      <c r="I257" s="111" t="n"/>
      <c r="J257" s="114" t="n"/>
      <c r="K257" s="114" t="n"/>
      <c r="L257" s="112" t="n"/>
      <c r="M257" s="112" t="n"/>
      <c r="N257" s="112" t="n"/>
      <c r="O257" s="115" t="str">
        <f>IF(OR(D257="",F257=""),"",D257+F257)</f>
        <v/>
      </c>
      <c r="P257" s="116" t="str">
        <f>IF(O257="","",IF(ISNUMBER(M257),O257-M257,IF(OR(H257="DECISÃO D.P",ISNUMBER(N257)),"",O257-TODAY())))</f>
        <v/>
      </c>
      <c r="Q257" s="117" t="str">
        <f>IF(B257="","",IF(ISNUMBER(N257),"DECIDIDO – ","")&amp;IF(ISNUMBER(M257),IF(P257="",IF(F257="","INFORMAR PRAZO","SEM DATA"),IF(P257&gt;=0,"DEFESA NO PRAZO","DEFESA FORA DO PRAZO")),IF(OR(H257="DECISÃO D.P",ISNUMBER(N257)),"SEM DEFESA",IF(H257="","SEM STATUS",IF(F257="","INFORMAR PRAZO",IF(P257="","SEM DATA",IF(P257&lt;0,"VENCIDO",IF(P257&lt;=DiasAlerta,"VENCE EM BREVE","NO PRAZO"))))))))</f>
        <v/>
      </c>
      <c r="R257" s="118" t="str">
        <f>IF(D257="","",TODAY()-D257)</f>
        <v/>
      </c>
      <c r="S257" s="111" t="n"/>
    </row>
    <row r="258" ht="18" customHeight="1">
      <c r="A258" s="110" t="n"/>
      <c r="B258" s="111" t="n"/>
      <c r="C258" s="111" t="n"/>
      <c r="D258" s="112" t="n"/>
      <c r="E258" s="111" t="n"/>
      <c r="F258" s="110" t="n"/>
      <c r="G258" s="113" t="n"/>
      <c r="H258" s="113" t="n"/>
      <c r="I258" s="111" t="n"/>
      <c r="J258" s="114" t="n"/>
      <c r="K258" s="114" t="n"/>
      <c r="L258" s="112" t="n"/>
      <c r="M258" s="112" t="n"/>
      <c r="N258" s="112" t="n"/>
      <c r="O258" s="115" t="str">
        <f>IF(OR(D258="",F258=""),"",D258+F258)</f>
        <v/>
      </c>
      <c r="P258" s="116" t="str">
        <f>IF(O258="","",IF(ISNUMBER(M258),O258-M258,IF(OR(H258="DECISÃO D.P",ISNUMBER(N258)),"",O258-TODAY())))</f>
        <v/>
      </c>
      <c r="Q258" s="117" t="str">
        <f>IF(B258="","",IF(ISNUMBER(N258),"DECIDIDO – ","")&amp;IF(ISNUMBER(M258),IF(P258="",IF(F258="","INFORMAR PRAZO","SEM DATA"),IF(P258&gt;=0,"DEFESA NO PRAZO","DEFESA FORA DO PRAZO")),IF(OR(H258="DECISÃO D.P",ISNUMBER(N258)),"SEM DEFESA",IF(H258="","SEM STATUS",IF(F258="","INFORMAR PRAZO",IF(P258="","SEM DATA",IF(P258&lt;0,"VENCIDO",IF(P258&lt;=DiasAlerta,"VENCE EM BREVE","NO PRAZO"))))))))</f>
        <v/>
      </c>
      <c r="R258" s="118" t="str">
        <f>IF(D258="","",TODAY()-D258)</f>
        <v/>
      </c>
      <c r="S258" s="111" t="n"/>
    </row>
    <row r="259" ht="18" customHeight="1">
      <c r="A259" s="110" t="n"/>
      <c r="B259" s="111" t="n"/>
      <c r="C259" s="111" t="n"/>
      <c r="D259" s="112" t="n"/>
      <c r="E259" s="111" t="n"/>
      <c r="F259" s="110" t="n"/>
      <c r="G259" s="113" t="n"/>
      <c r="H259" s="113" t="n"/>
      <c r="I259" s="111" t="n"/>
      <c r="J259" s="114" t="n"/>
      <c r="K259" s="114" t="n"/>
      <c r="L259" s="112" t="n"/>
      <c r="M259" s="112" t="n"/>
      <c r="N259" s="112" t="n"/>
      <c r="O259" s="115" t="str">
        <f>IF(OR(D259="",F259=""),"",D259+F259)</f>
        <v/>
      </c>
      <c r="P259" s="116" t="str">
        <f>IF(O259="","",IF(ISNUMBER(M259),O259-M259,IF(OR(H259="DECISÃO D.P",ISNUMBER(N259)),"",O259-TODAY())))</f>
        <v/>
      </c>
      <c r="Q259" s="117" t="str">
        <f>IF(B259="","",IF(ISNUMBER(N259),"DECIDIDO – ","")&amp;IF(ISNUMBER(M259),IF(P259="",IF(F259="","INFORMAR PRAZO","SEM DATA"),IF(P259&gt;=0,"DEFESA NO PRAZO","DEFESA FORA DO PRAZO")),IF(OR(H259="DECISÃO D.P",ISNUMBER(N259)),"SEM DEFESA",IF(H259="","SEM STATUS",IF(F259="","INFORMAR PRAZO",IF(P259="","SEM DATA",IF(P259&lt;0,"VENCIDO",IF(P259&lt;=DiasAlerta,"VENCE EM BREVE","NO PRAZO"))))))))</f>
        <v/>
      </c>
      <c r="R259" s="118" t="str">
        <f>IF(D259="","",TODAY()-D259)</f>
        <v/>
      </c>
      <c r="S259" s="111" t="n"/>
    </row>
    <row r="260" ht="18" customHeight="1">
      <c r="A260" s="110" t="n"/>
      <c r="B260" s="111" t="n"/>
      <c r="C260" s="111" t="n"/>
      <c r="D260" s="112" t="n"/>
      <c r="E260" s="111" t="n"/>
      <c r="F260" s="110" t="n"/>
      <c r="G260" s="113" t="n"/>
      <c r="H260" s="113" t="n"/>
      <c r="I260" s="111" t="n"/>
      <c r="J260" s="114" t="n"/>
      <c r="K260" s="114" t="n"/>
      <c r="L260" s="112" t="n"/>
      <c r="M260" s="112" t="n"/>
      <c r="N260" s="112" t="n"/>
      <c r="O260" s="115" t="str">
        <f>IF(OR(D260="",F260=""),"",D260+F260)</f>
        <v/>
      </c>
      <c r="P260" s="116" t="str">
        <f>IF(O260="","",IF(ISNUMBER(M260),O260-M260,IF(OR(H260="DECISÃO D.P",ISNUMBER(N260)),"",O260-TODAY())))</f>
        <v/>
      </c>
      <c r="Q260" s="117" t="str">
        <f>IF(B260="","",IF(ISNUMBER(N260),"DECIDIDO – ","")&amp;IF(ISNUMBER(M260),IF(P260="",IF(F260="","INFORMAR PRAZO","SEM DATA"),IF(P260&gt;=0,"DEFESA NO PRAZO","DEFESA FORA DO PRAZO")),IF(OR(H260="DECISÃO D.P",ISNUMBER(N260)),"SEM DEFESA",IF(H260="","SEM STATUS",IF(F260="","INFORMAR PRAZO",IF(P260="","SEM DATA",IF(P260&lt;0,"VENCIDO",IF(P260&lt;=DiasAlerta,"VENCE EM BREVE","NO PRAZO"))))))))</f>
        <v/>
      </c>
      <c r="R260" s="118" t="str">
        <f>IF(D260="","",TODAY()-D260)</f>
        <v/>
      </c>
      <c r="S260" s="111" t="n"/>
    </row>
    <row r="261" ht="18" customHeight="1">
      <c r="A261" s="110" t="n"/>
      <c r="B261" s="111" t="n"/>
      <c r="C261" s="111" t="n"/>
      <c r="D261" s="112" t="n"/>
      <c r="E261" s="111" t="n"/>
      <c r="F261" s="110" t="n"/>
      <c r="G261" s="113" t="n"/>
      <c r="H261" s="113" t="n"/>
      <c r="I261" s="111" t="n"/>
      <c r="J261" s="114" t="n"/>
      <c r="K261" s="114" t="n"/>
      <c r="L261" s="112" t="n"/>
      <c r="M261" s="112" t="n"/>
      <c r="N261" s="112" t="n"/>
      <c r="O261" s="115" t="str">
        <f>IF(OR(D261="",F261=""),"",D261+F261)</f>
        <v/>
      </c>
      <c r="P261" s="116" t="str">
        <f>IF(O261="","",IF(ISNUMBER(M261),O261-M261,IF(OR(H261="DECISÃO D.P",ISNUMBER(N261)),"",O261-TODAY())))</f>
        <v/>
      </c>
      <c r="Q261" s="117" t="str">
        <f>IF(B261="","",IF(ISNUMBER(N261),"DECIDIDO – ","")&amp;IF(ISNUMBER(M261),IF(P261="",IF(F261="","INFORMAR PRAZO","SEM DATA"),IF(P261&gt;=0,"DEFESA NO PRAZO","DEFESA FORA DO PRAZO")),IF(OR(H261="DECISÃO D.P",ISNUMBER(N261)),"SEM DEFESA",IF(H261="","SEM STATUS",IF(F261="","INFORMAR PRAZO",IF(P261="","SEM DATA",IF(P261&lt;0,"VENCIDO",IF(P261&lt;=DiasAlerta,"VENCE EM BREVE","NO PRAZO"))))))))</f>
        <v/>
      </c>
      <c r="R261" s="118" t="str">
        <f>IF(D261="","",TODAY()-D261)</f>
        <v/>
      </c>
      <c r="S261" s="111" t="n"/>
    </row>
    <row r="262" ht="18" customHeight="1">
      <c r="A262" s="110" t="n"/>
      <c r="B262" s="111" t="n"/>
      <c r="C262" s="111" t="n"/>
      <c r="D262" s="112" t="n"/>
      <c r="E262" s="111" t="n"/>
      <c r="F262" s="110" t="n"/>
      <c r="G262" s="113" t="n"/>
      <c r="H262" s="113" t="n"/>
      <c r="I262" s="111" t="n"/>
      <c r="J262" s="114" t="n"/>
      <c r="K262" s="114" t="n"/>
      <c r="L262" s="112" t="n"/>
      <c r="M262" s="112" t="n"/>
      <c r="N262" s="112" t="n"/>
      <c r="O262" s="115" t="str">
        <f>IF(OR(D262="",F262=""),"",D262+F262)</f>
        <v/>
      </c>
      <c r="P262" s="116" t="str">
        <f>IF(O262="","",IF(ISNUMBER(M262),O262-M262,IF(OR(H262="DECISÃO D.P",ISNUMBER(N262)),"",O262-TODAY())))</f>
        <v/>
      </c>
      <c r="Q262" s="117" t="str">
        <f>IF(B262="","",IF(ISNUMBER(N262),"DECIDIDO – ","")&amp;IF(ISNUMBER(M262),IF(P262="",IF(F262="","INFORMAR PRAZO","SEM DATA"),IF(P262&gt;=0,"DEFESA NO PRAZO","DEFESA FORA DO PRAZO")),IF(OR(H262="DECISÃO D.P",ISNUMBER(N262)),"SEM DEFESA",IF(H262="","SEM STATUS",IF(F262="","INFORMAR PRAZO",IF(P262="","SEM DATA",IF(P262&lt;0,"VENCIDO",IF(P262&lt;=DiasAlerta,"VENCE EM BREVE","NO PRAZO"))))))))</f>
        <v/>
      </c>
      <c r="R262" s="118" t="str">
        <f>IF(D262="","",TODAY()-D262)</f>
        <v/>
      </c>
      <c r="S262" s="111" t="n"/>
    </row>
    <row r="263" ht="18" customHeight="1">
      <c r="A263" s="110" t="n"/>
      <c r="B263" s="111" t="n"/>
      <c r="C263" s="111" t="n"/>
      <c r="D263" s="112" t="n"/>
      <c r="E263" s="111" t="n"/>
      <c r="F263" s="110" t="n"/>
      <c r="G263" s="113" t="n"/>
      <c r="H263" s="113" t="n"/>
      <c r="I263" s="111" t="n"/>
      <c r="J263" s="114" t="n"/>
      <c r="K263" s="114" t="n"/>
      <c r="L263" s="112" t="n"/>
      <c r="M263" s="112" t="n"/>
      <c r="N263" s="112" t="n"/>
      <c r="O263" s="115" t="str">
        <f>IF(OR(D263="",F263=""),"",D263+F263)</f>
        <v/>
      </c>
      <c r="P263" s="116" t="str">
        <f>IF(O263="","",IF(ISNUMBER(M263),O263-M263,IF(OR(H263="DECISÃO D.P",ISNUMBER(N263)),"",O263-TODAY())))</f>
        <v/>
      </c>
      <c r="Q263" s="117" t="str">
        <f>IF(B263="","",IF(ISNUMBER(N263),"DECIDIDO – ","")&amp;IF(ISNUMBER(M263),IF(P263="",IF(F263="","INFORMAR PRAZO","SEM DATA"),IF(P263&gt;=0,"DEFESA NO PRAZO","DEFESA FORA DO PRAZO")),IF(OR(H263="DECISÃO D.P",ISNUMBER(N263)),"SEM DEFESA",IF(H263="","SEM STATUS",IF(F263="","INFORMAR PRAZO",IF(P263="","SEM DATA",IF(P263&lt;0,"VENCIDO",IF(P263&lt;=DiasAlerta,"VENCE EM BREVE","NO PRAZO"))))))))</f>
        <v/>
      </c>
      <c r="R263" s="118" t="str">
        <f>IF(D263="","",TODAY()-D263)</f>
        <v/>
      </c>
      <c r="S263" s="111" t="n"/>
    </row>
    <row r="264" ht="18" customHeight="1">
      <c r="A264" s="110" t="n"/>
      <c r="B264" s="111" t="n"/>
      <c r="C264" s="111" t="n"/>
      <c r="D264" s="112" t="n"/>
      <c r="E264" s="111" t="n"/>
      <c r="F264" s="110" t="n"/>
      <c r="G264" s="113" t="n"/>
      <c r="H264" s="113" t="n"/>
      <c r="I264" s="111" t="n"/>
      <c r="J264" s="114" t="n"/>
      <c r="K264" s="114" t="n"/>
      <c r="L264" s="112" t="n"/>
      <c r="M264" s="112" t="n"/>
      <c r="N264" s="112" t="n"/>
      <c r="O264" s="115" t="str">
        <f>IF(OR(D264="",F264=""),"",D264+F264)</f>
        <v/>
      </c>
      <c r="P264" s="116" t="str">
        <f>IF(O264="","",IF(ISNUMBER(M264),O264-M264,IF(OR(H264="DECISÃO D.P",ISNUMBER(N264)),"",O264-TODAY())))</f>
        <v/>
      </c>
      <c r="Q264" s="117" t="str">
        <f>IF(B264="","",IF(ISNUMBER(N264),"DECIDIDO – ","")&amp;IF(ISNUMBER(M264),IF(P264="",IF(F264="","INFORMAR PRAZO","SEM DATA"),IF(P264&gt;=0,"DEFESA NO PRAZO","DEFESA FORA DO PRAZO")),IF(OR(H264="DECISÃO D.P",ISNUMBER(N264)),"SEM DEFESA",IF(H264="","SEM STATUS",IF(F264="","INFORMAR PRAZO",IF(P264="","SEM DATA",IF(P264&lt;0,"VENCIDO",IF(P264&lt;=DiasAlerta,"VENCE EM BREVE","NO PRAZO"))))))))</f>
        <v/>
      </c>
      <c r="R264" s="118" t="str">
        <f>IF(D264="","",TODAY()-D264)</f>
        <v/>
      </c>
      <c r="S264" s="111" t="n"/>
    </row>
    <row r="265" ht="18" customHeight="1">
      <c r="A265" s="110" t="n"/>
      <c r="B265" s="111" t="n"/>
      <c r="C265" s="111" t="n"/>
      <c r="D265" s="112" t="n"/>
      <c r="E265" s="111" t="n"/>
      <c r="F265" s="110" t="n"/>
      <c r="G265" s="113" t="n"/>
      <c r="H265" s="113" t="n"/>
      <c r="I265" s="111" t="n"/>
      <c r="J265" s="114" t="n"/>
      <c r="K265" s="114" t="n"/>
      <c r="L265" s="112" t="n"/>
      <c r="M265" s="112" t="n"/>
      <c r="N265" s="112" t="n"/>
      <c r="O265" s="115" t="str">
        <f>IF(OR(D265="",F265=""),"",D265+F265)</f>
        <v/>
      </c>
      <c r="P265" s="116" t="str">
        <f>IF(O265="","",IF(ISNUMBER(M265),O265-M265,IF(OR(H265="DECISÃO D.P",ISNUMBER(N265)),"",O265-TODAY())))</f>
        <v/>
      </c>
      <c r="Q265" s="117" t="str">
        <f>IF(B265="","",IF(ISNUMBER(N265),"DECIDIDO – ","")&amp;IF(ISNUMBER(M265),IF(P265="",IF(F265="","INFORMAR PRAZO","SEM DATA"),IF(P265&gt;=0,"DEFESA NO PRAZO","DEFESA FORA DO PRAZO")),IF(OR(H265="DECISÃO D.P",ISNUMBER(N265)),"SEM DEFESA",IF(H265="","SEM STATUS",IF(F265="","INFORMAR PRAZO",IF(P265="","SEM DATA",IF(P265&lt;0,"VENCIDO",IF(P265&lt;=DiasAlerta,"VENCE EM BREVE","NO PRAZO"))))))))</f>
        <v/>
      </c>
      <c r="R265" s="118" t="str">
        <f>IF(D265="","",TODAY()-D265)</f>
        <v/>
      </c>
      <c r="S265" s="111" t="n"/>
    </row>
    <row r="266" ht="18" customHeight="1">
      <c r="A266" s="110" t="n"/>
      <c r="B266" s="111" t="n"/>
      <c r="C266" s="111" t="n"/>
      <c r="D266" s="112" t="n"/>
      <c r="E266" s="111" t="n"/>
      <c r="F266" s="110" t="n"/>
      <c r="G266" s="113" t="n"/>
      <c r="H266" s="113" t="n"/>
      <c r="I266" s="111" t="n"/>
      <c r="J266" s="114" t="n"/>
      <c r="K266" s="114" t="n"/>
      <c r="L266" s="112" t="n"/>
      <c r="M266" s="112" t="n"/>
      <c r="N266" s="112" t="n"/>
      <c r="O266" s="115" t="str">
        <f>IF(OR(D266="",F266=""),"",D266+F266)</f>
        <v/>
      </c>
      <c r="P266" s="116" t="str">
        <f>IF(O266="","",IF(ISNUMBER(M266),O266-M266,IF(OR(H266="DECISÃO D.P",ISNUMBER(N266)),"",O266-TODAY())))</f>
        <v/>
      </c>
      <c r="Q266" s="117" t="str">
        <f>IF(B266="","",IF(ISNUMBER(N266),"DECIDIDO – ","")&amp;IF(ISNUMBER(M266),IF(P266="",IF(F266="","INFORMAR PRAZO","SEM DATA"),IF(P266&gt;=0,"DEFESA NO PRAZO","DEFESA FORA DO PRAZO")),IF(OR(H266="DECISÃO D.P",ISNUMBER(N266)),"SEM DEFESA",IF(H266="","SEM STATUS",IF(F266="","INFORMAR PRAZO",IF(P266="","SEM DATA",IF(P266&lt;0,"VENCIDO",IF(P266&lt;=DiasAlerta,"VENCE EM BREVE","NO PRAZO"))))))))</f>
        <v/>
      </c>
      <c r="R266" s="118" t="str">
        <f>IF(D266="","",TODAY()-D266)</f>
        <v/>
      </c>
      <c r="S266" s="111" t="n"/>
    </row>
    <row r="267" ht="18" customHeight="1">
      <c r="A267" s="110" t="n"/>
      <c r="B267" s="111" t="n"/>
      <c r="C267" s="111" t="n"/>
      <c r="D267" s="112" t="n"/>
      <c r="E267" s="111" t="n"/>
      <c r="F267" s="110" t="n"/>
      <c r="G267" s="113" t="n"/>
      <c r="H267" s="113" t="n"/>
      <c r="I267" s="111" t="n"/>
      <c r="J267" s="114" t="n"/>
      <c r="K267" s="114" t="n"/>
      <c r="L267" s="112" t="n"/>
      <c r="M267" s="112" t="n"/>
      <c r="N267" s="112" t="n"/>
      <c r="O267" s="115" t="str">
        <f>IF(OR(D267="",F267=""),"",D267+F267)</f>
        <v/>
      </c>
      <c r="P267" s="116" t="str">
        <f>IF(O267="","",IF(ISNUMBER(M267),O267-M267,IF(OR(H267="DECISÃO D.P",ISNUMBER(N267)),"",O267-TODAY())))</f>
        <v/>
      </c>
      <c r="Q267" s="117" t="str">
        <f>IF(B267="","",IF(ISNUMBER(N267),"DECIDIDO – ","")&amp;IF(ISNUMBER(M267),IF(P267="",IF(F267="","INFORMAR PRAZO","SEM DATA"),IF(P267&gt;=0,"DEFESA NO PRAZO","DEFESA FORA DO PRAZO")),IF(OR(H267="DECISÃO D.P",ISNUMBER(N267)),"SEM DEFESA",IF(H267="","SEM STATUS",IF(F267="","INFORMAR PRAZO",IF(P267="","SEM DATA",IF(P267&lt;0,"VENCIDO",IF(P267&lt;=DiasAlerta,"VENCE EM BREVE","NO PRAZO"))))))))</f>
        <v/>
      </c>
      <c r="R267" s="118" t="str">
        <f>IF(D267="","",TODAY()-D267)</f>
        <v/>
      </c>
      <c r="S267" s="111" t="n"/>
    </row>
    <row r="268" ht="18" customHeight="1">
      <c r="A268" s="110" t="n"/>
      <c r="B268" s="111" t="n"/>
      <c r="C268" s="111" t="n"/>
      <c r="D268" s="112" t="n"/>
      <c r="E268" s="111" t="n"/>
      <c r="F268" s="110" t="n"/>
      <c r="G268" s="113" t="n"/>
      <c r="H268" s="113" t="n"/>
      <c r="I268" s="111" t="n"/>
      <c r="J268" s="114" t="n"/>
      <c r="K268" s="114" t="n"/>
      <c r="L268" s="112" t="n"/>
      <c r="M268" s="112" t="n"/>
      <c r="N268" s="112" t="n"/>
      <c r="O268" s="115" t="str">
        <f>IF(OR(D268="",F268=""),"",D268+F268)</f>
        <v/>
      </c>
      <c r="P268" s="116" t="str">
        <f>IF(O268="","",IF(ISNUMBER(M268),O268-M268,IF(OR(H268="DECISÃO D.P",ISNUMBER(N268)),"",O268-TODAY())))</f>
        <v/>
      </c>
      <c r="Q268" s="117" t="str">
        <f>IF(B268="","",IF(ISNUMBER(N268),"DECIDIDO – ","")&amp;IF(ISNUMBER(M268),IF(P268="",IF(F268="","INFORMAR PRAZO","SEM DATA"),IF(P268&gt;=0,"DEFESA NO PRAZO","DEFESA FORA DO PRAZO")),IF(OR(H268="DECISÃO D.P",ISNUMBER(N268)),"SEM DEFESA",IF(H268="","SEM STATUS",IF(F268="","INFORMAR PRAZO",IF(P268="","SEM DATA",IF(P268&lt;0,"VENCIDO",IF(P268&lt;=DiasAlerta,"VENCE EM BREVE","NO PRAZO"))))))))</f>
        <v/>
      </c>
      <c r="R268" s="118" t="str">
        <f>IF(D268="","",TODAY()-D268)</f>
        <v/>
      </c>
      <c r="S268" s="111" t="n"/>
    </row>
    <row r="269" ht="18" customHeight="1">
      <c r="A269" s="110" t="n"/>
      <c r="B269" s="111" t="n"/>
      <c r="C269" s="111" t="n"/>
      <c r="D269" s="112" t="n"/>
      <c r="E269" s="111" t="n"/>
      <c r="F269" s="110" t="n"/>
      <c r="G269" s="113" t="n"/>
      <c r="H269" s="113" t="n"/>
      <c r="I269" s="111" t="n"/>
      <c r="J269" s="114" t="n"/>
      <c r="K269" s="114" t="n"/>
      <c r="L269" s="112" t="n"/>
      <c r="M269" s="112" t="n"/>
      <c r="N269" s="112" t="n"/>
      <c r="O269" s="115" t="str">
        <f>IF(OR(D269="",F269=""),"",D269+F269)</f>
        <v/>
      </c>
      <c r="P269" s="116" t="str">
        <f>IF(O269="","",IF(ISNUMBER(M269),O269-M269,IF(OR(H269="DECISÃO D.P",ISNUMBER(N269)),"",O269-TODAY())))</f>
        <v/>
      </c>
      <c r="Q269" s="117" t="str">
        <f>IF(B269="","",IF(ISNUMBER(N269),"DECIDIDO – ","")&amp;IF(ISNUMBER(M269),IF(P269="",IF(F269="","INFORMAR PRAZO","SEM DATA"),IF(P269&gt;=0,"DEFESA NO PRAZO","DEFESA FORA DO PRAZO")),IF(OR(H269="DECISÃO D.P",ISNUMBER(N269)),"SEM DEFESA",IF(H269="","SEM STATUS",IF(F269="","INFORMAR PRAZO",IF(P269="","SEM DATA",IF(P269&lt;0,"VENCIDO",IF(P269&lt;=DiasAlerta,"VENCE EM BREVE","NO PRAZO"))))))))</f>
        <v/>
      </c>
      <c r="R269" s="118" t="str">
        <f>IF(D269="","",TODAY()-D269)</f>
        <v/>
      </c>
      <c r="S269" s="111" t="n"/>
    </row>
    <row r="270" ht="18" customHeight="1">
      <c r="A270" s="110" t="n"/>
      <c r="B270" s="111" t="n"/>
      <c r="C270" s="111" t="n"/>
      <c r="D270" s="112" t="n"/>
      <c r="E270" s="111" t="n"/>
      <c r="F270" s="110" t="n"/>
      <c r="G270" s="113" t="n"/>
      <c r="H270" s="113" t="n"/>
      <c r="I270" s="111" t="n"/>
      <c r="J270" s="114" t="n"/>
      <c r="K270" s="114" t="n"/>
      <c r="L270" s="112" t="n"/>
      <c r="M270" s="112" t="n"/>
      <c r="N270" s="112" t="n"/>
      <c r="O270" s="115" t="str">
        <f>IF(OR(D270="",F270=""),"",D270+F270)</f>
        <v/>
      </c>
      <c r="P270" s="116" t="str">
        <f>IF(O270="","",IF(ISNUMBER(M270),O270-M270,IF(OR(H270="DECISÃO D.P",ISNUMBER(N270)),"",O270-TODAY())))</f>
        <v/>
      </c>
      <c r="Q270" s="117" t="str">
        <f>IF(B270="","",IF(ISNUMBER(N270),"DECIDIDO – ","")&amp;IF(ISNUMBER(M270),IF(P270="",IF(F270="","INFORMAR PRAZO","SEM DATA"),IF(P270&gt;=0,"DEFESA NO PRAZO","DEFESA FORA DO PRAZO")),IF(OR(H270="DECISÃO D.P",ISNUMBER(N270)),"SEM DEFESA",IF(H270="","SEM STATUS",IF(F270="","INFORMAR PRAZO",IF(P270="","SEM DATA",IF(P270&lt;0,"VENCIDO",IF(P270&lt;=DiasAlerta,"VENCE EM BREVE","NO PRAZO"))))))))</f>
        <v/>
      </c>
      <c r="R270" s="118" t="str">
        <f>IF(D270="","",TODAY()-D270)</f>
        <v/>
      </c>
      <c r="S270" s="111" t="n"/>
    </row>
    <row r="271" ht="18" customHeight="1">
      <c r="A271" s="110" t="n"/>
      <c r="B271" s="111" t="n"/>
      <c r="C271" s="111" t="n"/>
      <c r="D271" s="112" t="n"/>
      <c r="E271" s="111" t="n"/>
      <c r="F271" s="110" t="n"/>
      <c r="G271" s="113" t="n"/>
      <c r="H271" s="113" t="n"/>
      <c r="I271" s="111" t="n"/>
      <c r="J271" s="114" t="n"/>
      <c r="K271" s="114" t="n"/>
      <c r="L271" s="112" t="n"/>
      <c r="M271" s="112" t="n"/>
      <c r="N271" s="112" t="n"/>
      <c r="O271" s="115" t="str">
        <f>IF(OR(D271="",F271=""),"",D271+F271)</f>
        <v/>
      </c>
      <c r="P271" s="116" t="str">
        <f>IF(O271="","",IF(ISNUMBER(M271),O271-M271,IF(OR(H271="DECISÃO D.P",ISNUMBER(N271)),"",O271-TODAY())))</f>
        <v/>
      </c>
      <c r="Q271" s="117" t="str">
        <f>IF(B271="","",IF(ISNUMBER(N271),"DECIDIDO – ","")&amp;IF(ISNUMBER(M271),IF(P271="",IF(F271="","INFORMAR PRAZO","SEM DATA"),IF(P271&gt;=0,"DEFESA NO PRAZO","DEFESA FORA DO PRAZO")),IF(OR(H271="DECISÃO D.P",ISNUMBER(N271)),"SEM DEFESA",IF(H271="","SEM STATUS",IF(F271="","INFORMAR PRAZO",IF(P271="","SEM DATA",IF(P271&lt;0,"VENCIDO",IF(P271&lt;=DiasAlerta,"VENCE EM BREVE","NO PRAZO"))))))))</f>
        <v/>
      </c>
      <c r="R271" s="118" t="str">
        <f>IF(D271="","",TODAY()-D271)</f>
        <v/>
      </c>
      <c r="S271" s="111" t="n"/>
    </row>
    <row r="272" ht="18" customHeight="1">
      <c r="A272" s="110" t="n"/>
      <c r="B272" s="111" t="n"/>
      <c r="C272" s="111" t="n"/>
      <c r="D272" s="112" t="n"/>
      <c r="E272" s="111" t="n"/>
      <c r="F272" s="110" t="n"/>
      <c r="G272" s="113" t="n"/>
      <c r="H272" s="113" t="n"/>
      <c r="I272" s="111" t="n"/>
      <c r="J272" s="114" t="n"/>
      <c r="K272" s="114" t="n"/>
      <c r="L272" s="112" t="n"/>
      <c r="M272" s="112" t="n"/>
      <c r="N272" s="112" t="n"/>
      <c r="O272" s="115" t="str">
        <f>IF(OR(D272="",F272=""),"",D272+F272)</f>
        <v/>
      </c>
      <c r="P272" s="116" t="str">
        <f>IF(O272="","",IF(ISNUMBER(M272),O272-M272,IF(OR(H272="DECISÃO D.P",ISNUMBER(N272)),"",O272-TODAY())))</f>
        <v/>
      </c>
      <c r="Q272" s="117" t="str">
        <f>IF(B272="","",IF(ISNUMBER(N272),"DECIDIDO – ","")&amp;IF(ISNUMBER(M272),IF(P272="",IF(F272="","INFORMAR PRAZO","SEM DATA"),IF(P272&gt;=0,"DEFESA NO PRAZO","DEFESA FORA DO PRAZO")),IF(OR(H272="DECISÃO D.P",ISNUMBER(N272)),"SEM DEFESA",IF(H272="","SEM STATUS",IF(F272="","INFORMAR PRAZO",IF(P272="","SEM DATA",IF(P272&lt;0,"VENCIDO",IF(P272&lt;=DiasAlerta,"VENCE EM BREVE","NO PRAZO"))))))))</f>
        <v/>
      </c>
      <c r="R272" s="118" t="str">
        <f>IF(D272="","",TODAY()-D272)</f>
        <v/>
      </c>
      <c r="S272" s="111" t="n"/>
    </row>
    <row r="273" ht="18" customHeight="1">
      <c r="A273" s="110" t="n"/>
      <c r="B273" s="111" t="n"/>
      <c r="C273" s="111" t="n"/>
      <c r="D273" s="112" t="n"/>
      <c r="E273" s="111" t="n"/>
      <c r="F273" s="110" t="n"/>
      <c r="G273" s="113" t="n"/>
      <c r="H273" s="113" t="n"/>
      <c r="I273" s="111" t="n"/>
      <c r="J273" s="114" t="n"/>
      <c r="K273" s="114" t="n"/>
      <c r="L273" s="112" t="n"/>
      <c r="M273" s="112" t="n"/>
      <c r="N273" s="112" t="n"/>
      <c r="O273" s="115" t="str">
        <f>IF(OR(D273="",F273=""),"",D273+F273)</f>
        <v/>
      </c>
      <c r="P273" s="116" t="str">
        <f>IF(O273="","",IF(ISNUMBER(M273),O273-M273,IF(OR(H273="DECISÃO D.P",ISNUMBER(N273)),"",O273-TODAY())))</f>
        <v/>
      </c>
      <c r="Q273" s="117" t="str">
        <f>IF(B273="","",IF(ISNUMBER(N273),"DECIDIDO – ","")&amp;IF(ISNUMBER(M273),IF(P273="",IF(F273="","INFORMAR PRAZO","SEM DATA"),IF(P273&gt;=0,"DEFESA NO PRAZO","DEFESA FORA DO PRAZO")),IF(OR(H273="DECISÃO D.P",ISNUMBER(N273)),"SEM DEFESA",IF(H273="","SEM STATUS",IF(F273="","INFORMAR PRAZO",IF(P273="","SEM DATA",IF(P273&lt;0,"VENCIDO",IF(P273&lt;=DiasAlerta,"VENCE EM BREVE","NO PRAZO"))))))))</f>
        <v/>
      </c>
      <c r="R273" s="118" t="str">
        <f>IF(D273="","",TODAY()-D273)</f>
        <v/>
      </c>
      <c r="S273" s="111" t="n"/>
    </row>
    <row r="274" ht="18" customHeight="1">
      <c r="A274" s="110" t="n"/>
      <c r="B274" s="111" t="n"/>
      <c r="C274" s="111" t="n"/>
      <c r="D274" s="112" t="n"/>
      <c r="E274" s="111" t="n"/>
      <c r="F274" s="110" t="n"/>
      <c r="G274" s="113" t="n"/>
      <c r="H274" s="113" t="n"/>
      <c r="I274" s="111" t="n"/>
      <c r="J274" s="114" t="n"/>
      <c r="K274" s="114" t="n"/>
      <c r="L274" s="112" t="n"/>
      <c r="M274" s="112" t="n"/>
      <c r="N274" s="112" t="n"/>
      <c r="O274" s="115" t="str">
        <f>IF(OR(D274="",F274=""),"",D274+F274)</f>
        <v/>
      </c>
      <c r="P274" s="116" t="str">
        <f>IF(O274="","",IF(ISNUMBER(M274),O274-M274,IF(OR(H274="DECISÃO D.P",ISNUMBER(N274)),"",O274-TODAY())))</f>
        <v/>
      </c>
      <c r="Q274" s="117" t="str">
        <f>IF(B274="","",IF(ISNUMBER(N274),"DECIDIDO – ","")&amp;IF(ISNUMBER(M274),IF(P274="",IF(F274="","INFORMAR PRAZO","SEM DATA"),IF(P274&gt;=0,"DEFESA NO PRAZO","DEFESA FORA DO PRAZO")),IF(OR(H274="DECISÃO D.P",ISNUMBER(N274)),"SEM DEFESA",IF(H274="","SEM STATUS",IF(F274="","INFORMAR PRAZO",IF(P274="","SEM DATA",IF(P274&lt;0,"VENCIDO",IF(P274&lt;=DiasAlerta,"VENCE EM BREVE","NO PRAZO"))))))))</f>
        <v/>
      </c>
      <c r="R274" s="118" t="str">
        <f>IF(D274="","",TODAY()-D274)</f>
        <v/>
      </c>
      <c r="S274" s="111" t="n"/>
    </row>
    <row r="275" ht="18" customHeight="1">
      <c r="A275" s="110" t="n"/>
      <c r="B275" s="111" t="n"/>
      <c r="C275" s="111" t="n"/>
      <c r="D275" s="112" t="n"/>
      <c r="E275" s="111" t="n"/>
      <c r="F275" s="110" t="n"/>
      <c r="G275" s="113" t="n"/>
      <c r="H275" s="113" t="n"/>
      <c r="I275" s="111" t="n"/>
      <c r="J275" s="114" t="n"/>
      <c r="K275" s="114" t="n"/>
      <c r="L275" s="112" t="n"/>
      <c r="M275" s="112" t="n"/>
      <c r="N275" s="112" t="n"/>
      <c r="O275" s="115" t="str">
        <f>IF(OR(D275="",F275=""),"",D275+F275)</f>
        <v/>
      </c>
      <c r="P275" s="116" t="str">
        <f>IF(O275="","",IF(ISNUMBER(M275),O275-M275,IF(OR(H275="DECISÃO D.P",ISNUMBER(N275)),"",O275-TODAY())))</f>
        <v/>
      </c>
      <c r="Q275" s="117" t="str">
        <f>IF(B275="","",IF(ISNUMBER(N275),"DECIDIDO – ","")&amp;IF(ISNUMBER(M275),IF(P275="",IF(F275="","INFORMAR PRAZO","SEM DATA"),IF(P275&gt;=0,"DEFESA NO PRAZO","DEFESA FORA DO PRAZO")),IF(OR(H275="DECISÃO D.P",ISNUMBER(N275)),"SEM DEFESA",IF(H275="","SEM STATUS",IF(F275="","INFORMAR PRAZO",IF(P275="","SEM DATA",IF(P275&lt;0,"VENCIDO",IF(P275&lt;=DiasAlerta,"VENCE EM BREVE","NO PRAZO"))))))))</f>
        <v/>
      </c>
      <c r="R275" s="118" t="str">
        <f>IF(D275="","",TODAY()-D275)</f>
        <v/>
      </c>
      <c r="S275" s="111" t="n"/>
    </row>
    <row r="276" ht="18" customHeight="1">
      <c r="A276" s="110" t="n"/>
      <c r="B276" s="111" t="n"/>
      <c r="C276" s="111" t="n"/>
      <c r="D276" s="112" t="n"/>
      <c r="E276" s="111" t="n"/>
      <c r="F276" s="110" t="n"/>
      <c r="G276" s="113" t="n"/>
      <c r="H276" s="113" t="n"/>
      <c r="I276" s="111" t="n"/>
      <c r="J276" s="114" t="n"/>
      <c r="K276" s="114" t="n"/>
      <c r="L276" s="112" t="n"/>
      <c r="M276" s="112" t="n"/>
      <c r="N276" s="112" t="n"/>
      <c r="O276" s="115" t="str">
        <f>IF(OR(D276="",F276=""),"",D276+F276)</f>
        <v/>
      </c>
      <c r="P276" s="116" t="str">
        <f>IF(O276="","",IF(ISNUMBER(M276),O276-M276,IF(OR(H276="DECISÃO D.P",ISNUMBER(N276)),"",O276-TODAY())))</f>
        <v/>
      </c>
      <c r="Q276" s="117" t="str">
        <f>IF(B276="","",IF(ISNUMBER(N276),"DECIDIDO – ","")&amp;IF(ISNUMBER(M276),IF(P276="",IF(F276="","INFORMAR PRAZO","SEM DATA"),IF(P276&gt;=0,"DEFESA NO PRAZO","DEFESA FORA DO PRAZO")),IF(OR(H276="DECISÃO D.P",ISNUMBER(N276)),"SEM DEFESA",IF(H276="","SEM STATUS",IF(F276="","INFORMAR PRAZO",IF(P276="","SEM DATA",IF(P276&lt;0,"VENCIDO",IF(P276&lt;=DiasAlerta,"VENCE EM BREVE","NO PRAZO"))))))))</f>
        <v/>
      </c>
      <c r="R276" s="118" t="str">
        <f>IF(D276="","",TODAY()-D276)</f>
        <v/>
      </c>
      <c r="S276" s="111" t="n"/>
    </row>
    <row r="277" ht="18" customHeight="1">
      <c r="A277" s="110" t="n"/>
      <c r="B277" s="111" t="n"/>
      <c r="C277" s="111" t="n"/>
      <c r="D277" s="112" t="n"/>
      <c r="E277" s="111" t="n"/>
      <c r="F277" s="110" t="n"/>
      <c r="G277" s="113" t="n"/>
      <c r="H277" s="113" t="n"/>
      <c r="I277" s="111" t="n"/>
      <c r="J277" s="114" t="n"/>
      <c r="K277" s="114" t="n"/>
      <c r="L277" s="112" t="n"/>
      <c r="M277" s="112" t="n"/>
      <c r="N277" s="112" t="n"/>
      <c r="O277" s="115" t="str">
        <f>IF(OR(D277="",F277=""),"",D277+F277)</f>
        <v/>
      </c>
      <c r="P277" s="116" t="str">
        <f>IF(O277="","",IF(ISNUMBER(M277),O277-M277,IF(OR(H277="DECISÃO D.P",ISNUMBER(N277)),"",O277-TODAY())))</f>
        <v/>
      </c>
      <c r="Q277" s="117" t="str">
        <f>IF(B277="","",IF(ISNUMBER(N277),"DECIDIDO – ","")&amp;IF(ISNUMBER(M277),IF(P277="",IF(F277="","INFORMAR PRAZO","SEM DATA"),IF(P277&gt;=0,"DEFESA NO PRAZO","DEFESA FORA DO PRAZO")),IF(OR(H277="DECISÃO D.P",ISNUMBER(N277)),"SEM DEFESA",IF(H277="","SEM STATUS",IF(F277="","INFORMAR PRAZO",IF(P277="","SEM DATA",IF(P277&lt;0,"VENCIDO",IF(P277&lt;=DiasAlerta,"VENCE EM BREVE","NO PRAZO"))))))))</f>
        <v/>
      </c>
      <c r="R277" s="118" t="str">
        <f>IF(D277="","",TODAY()-D277)</f>
        <v/>
      </c>
      <c r="S277" s="111" t="n"/>
    </row>
    <row r="278" ht="18" customHeight="1">
      <c r="A278" s="110" t="n"/>
      <c r="B278" s="111" t="n"/>
      <c r="C278" s="111" t="n"/>
      <c r="D278" s="112" t="n"/>
      <c r="E278" s="111" t="n"/>
      <c r="F278" s="110" t="n"/>
      <c r="G278" s="113" t="n"/>
      <c r="H278" s="113" t="n"/>
      <c r="I278" s="111" t="n"/>
      <c r="J278" s="114" t="n"/>
      <c r="K278" s="114" t="n"/>
      <c r="L278" s="112" t="n"/>
      <c r="M278" s="112" t="n"/>
      <c r="N278" s="112" t="n"/>
      <c r="O278" s="115" t="str">
        <f>IF(OR(D278="",F278=""),"",D278+F278)</f>
        <v/>
      </c>
      <c r="P278" s="116" t="str">
        <f>IF(O278="","",IF(ISNUMBER(M278),O278-M278,IF(OR(H278="DECISÃO D.P",ISNUMBER(N278)),"",O278-TODAY())))</f>
        <v/>
      </c>
      <c r="Q278" s="117" t="str">
        <f>IF(B278="","",IF(ISNUMBER(N278),"DECIDIDO – ","")&amp;IF(ISNUMBER(M278),IF(P278="",IF(F278="","INFORMAR PRAZO","SEM DATA"),IF(P278&gt;=0,"DEFESA NO PRAZO","DEFESA FORA DO PRAZO")),IF(OR(H278="DECISÃO D.P",ISNUMBER(N278)),"SEM DEFESA",IF(H278="","SEM STATUS",IF(F278="","INFORMAR PRAZO",IF(P278="","SEM DATA",IF(P278&lt;0,"VENCIDO",IF(P278&lt;=DiasAlerta,"VENCE EM BREVE","NO PRAZO"))))))))</f>
        <v/>
      </c>
      <c r="R278" s="118" t="str">
        <f>IF(D278="","",TODAY()-D278)</f>
        <v/>
      </c>
      <c r="S278" s="111" t="n"/>
    </row>
    <row r="279" ht="18" customHeight="1">
      <c r="A279" s="110" t="n"/>
      <c r="B279" s="111" t="n"/>
      <c r="C279" s="111" t="n"/>
      <c r="D279" s="112" t="n"/>
      <c r="E279" s="111" t="n"/>
      <c r="F279" s="110" t="n"/>
      <c r="G279" s="113" t="n"/>
      <c r="H279" s="113" t="n"/>
      <c r="I279" s="111" t="n"/>
      <c r="J279" s="114" t="n"/>
      <c r="K279" s="114" t="n"/>
      <c r="L279" s="112" t="n"/>
      <c r="M279" s="112" t="n"/>
      <c r="N279" s="112" t="n"/>
      <c r="O279" s="115" t="str">
        <f>IF(OR(D279="",F279=""),"",D279+F279)</f>
        <v/>
      </c>
      <c r="P279" s="116" t="str">
        <f>IF(O279="","",IF(ISNUMBER(M279),O279-M279,IF(OR(H279="DECISÃO D.P",ISNUMBER(N279)),"",O279-TODAY())))</f>
        <v/>
      </c>
      <c r="Q279" s="117" t="str">
        <f>IF(B279="","",IF(ISNUMBER(N279),"DECIDIDO – ","")&amp;IF(ISNUMBER(M279),IF(P279="",IF(F279="","INFORMAR PRAZO","SEM DATA"),IF(P279&gt;=0,"DEFESA NO PRAZO","DEFESA FORA DO PRAZO")),IF(OR(H279="DECISÃO D.P",ISNUMBER(N279)),"SEM DEFESA",IF(H279="","SEM STATUS",IF(F279="","INFORMAR PRAZO",IF(P279="","SEM DATA",IF(P279&lt;0,"VENCIDO",IF(P279&lt;=DiasAlerta,"VENCE EM BREVE","NO PRAZO"))))))))</f>
        <v/>
      </c>
      <c r="R279" s="118" t="str">
        <f>IF(D279="","",TODAY()-D279)</f>
        <v/>
      </c>
      <c r="S279" s="111" t="n"/>
    </row>
    <row r="280" ht="18" customHeight="1">
      <c r="A280" s="110" t="n"/>
      <c r="B280" s="111" t="n"/>
      <c r="C280" s="111" t="n"/>
      <c r="D280" s="112" t="n"/>
      <c r="E280" s="111" t="n"/>
      <c r="F280" s="110" t="n"/>
      <c r="G280" s="113" t="n"/>
      <c r="H280" s="113" t="n"/>
      <c r="I280" s="111" t="n"/>
      <c r="J280" s="114" t="n"/>
      <c r="K280" s="114" t="n"/>
      <c r="L280" s="112" t="n"/>
      <c r="M280" s="112" t="n"/>
      <c r="N280" s="112" t="n"/>
      <c r="O280" s="115" t="str">
        <f>IF(OR(D280="",F280=""),"",D280+F280)</f>
        <v/>
      </c>
      <c r="P280" s="116" t="str">
        <f>IF(O280="","",IF(ISNUMBER(M280),O280-M280,IF(OR(H280="DECISÃO D.P",ISNUMBER(N280)),"",O280-TODAY())))</f>
        <v/>
      </c>
      <c r="Q280" s="117" t="str">
        <f>IF(B280="","",IF(ISNUMBER(N280),"DECIDIDO – ","")&amp;IF(ISNUMBER(M280),IF(P280="",IF(F280="","INFORMAR PRAZO","SEM DATA"),IF(P280&gt;=0,"DEFESA NO PRAZO","DEFESA FORA DO PRAZO")),IF(OR(H280="DECISÃO D.P",ISNUMBER(N280)),"SEM DEFESA",IF(H280="","SEM STATUS",IF(F280="","INFORMAR PRAZO",IF(P280="","SEM DATA",IF(P280&lt;0,"VENCIDO",IF(P280&lt;=DiasAlerta,"VENCE EM BREVE","NO PRAZO"))))))))</f>
        <v/>
      </c>
      <c r="R280" s="118" t="str">
        <f>IF(D280="","",TODAY()-D280)</f>
        <v/>
      </c>
      <c r="S280" s="111" t="n"/>
    </row>
    <row r="281" ht="18" customHeight="1">
      <c r="A281" s="110" t="n"/>
      <c r="B281" s="111" t="n"/>
      <c r="C281" s="111" t="n"/>
      <c r="D281" s="112" t="n"/>
      <c r="E281" s="111" t="n"/>
      <c r="F281" s="110" t="n"/>
      <c r="G281" s="113" t="n"/>
      <c r="H281" s="113" t="n"/>
      <c r="I281" s="111" t="n"/>
      <c r="J281" s="114" t="n"/>
      <c r="K281" s="114" t="n"/>
      <c r="L281" s="112" t="n"/>
      <c r="M281" s="112" t="n"/>
      <c r="N281" s="112" t="n"/>
      <c r="O281" s="115" t="str">
        <f>IF(OR(D281="",F281=""),"",D281+F281)</f>
        <v/>
      </c>
      <c r="P281" s="116" t="str">
        <f>IF(O281="","",IF(ISNUMBER(M281),O281-M281,IF(OR(H281="DECISÃO D.P",ISNUMBER(N281)),"",O281-TODAY())))</f>
        <v/>
      </c>
      <c r="Q281" s="117" t="str">
        <f>IF(B281="","",IF(ISNUMBER(N281),"DECIDIDO – ","")&amp;IF(ISNUMBER(M281),IF(P281="",IF(F281="","INFORMAR PRAZO","SEM DATA"),IF(P281&gt;=0,"DEFESA NO PRAZO","DEFESA FORA DO PRAZO")),IF(OR(H281="DECISÃO D.P",ISNUMBER(N281)),"SEM DEFESA",IF(H281="","SEM STATUS",IF(F281="","INFORMAR PRAZO",IF(P281="","SEM DATA",IF(P281&lt;0,"VENCIDO",IF(P281&lt;=DiasAlerta,"VENCE EM BREVE","NO PRAZO"))))))))</f>
        <v/>
      </c>
      <c r="R281" s="118" t="str">
        <f>IF(D281="","",TODAY()-D281)</f>
        <v/>
      </c>
      <c r="S281" s="111" t="n"/>
    </row>
    <row r="282" ht="18" customHeight="1">
      <c r="A282" s="110" t="n"/>
      <c r="B282" s="111" t="n"/>
      <c r="C282" s="111" t="n"/>
      <c r="D282" s="112" t="n"/>
      <c r="E282" s="111" t="n"/>
      <c r="F282" s="110" t="n"/>
      <c r="G282" s="113" t="n"/>
      <c r="H282" s="113" t="n"/>
      <c r="I282" s="111" t="n"/>
      <c r="J282" s="114" t="n"/>
      <c r="K282" s="114" t="n"/>
      <c r="L282" s="112" t="n"/>
      <c r="M282" s="112" t="n"/>
      <c r="N282" s="112" t="n"/>
      <c r="O282" s="115" t="str">
        <f>IF(OR(D282="",F282=""),"",D282+F282)</f>
        <v/>
      </c>
      <c r="P282" s="116" t="str">
        <f>IF(O282="","",IF(ISNUMBER(M282),O282-M282,IF(OR(H282="DECISÃO D.P",ISNUMBER(N282)),"",O282-TODAY())))</f>
        <v/>
      </c>
      <c r="Q282" s="117" t="str">
        <f>IF(B282="","",IF(ISNUMBER(N282),"DECIDIDO – ","")&amp;IF(ISNUMBER(M282),IF(P282="",IF(F282="","INFORMAR PRAZO","SEM DATA"),IF(P282&gt;=0,"DEFESA NO PRAZO","DEFESA FORA DO PRAZO")),IF(OR(H282="DECISÃO D.P",ISNUMBER(N282)),"SEM DEFESA",IF(H282="","SEM STATUS",IF(F282="","INFORMAR PRAZO",IF(P282="","SEM DATA",IF(P282&lt;0,"VENCIDO",IF(P282&lt;=DiasAlerta,"VENCE EM BREVE","NO PRAZO"))))))))</f>
        <v/>
      </c>
      <c r="R282" s="118" t="str">
        <f>IF(D282="","",TODAY()-D282)</f>
        <v/>
      </c>
      <c r="S282" s="111" t="n"/>
    </row>
    <row r="283" ht="18" customHeight="1">
      <c r="A283" s="110" t="n"/>
      <c r="B283" s="111" t="n"/>
      <c r="C283" s="111" t="n"/>
      <c r="D283" s="112" t="n"/>
      <c r="E283" s="111" t="n"/>
      <c r="F283" s="110" t="n"/>
      <c r="G283" s="113" t="n"/>
      <c r="H283" s="113" t="n"/>
      <c r="I283" s="111" t="n"/>
      <c r="J283" s="114" t="n"/>
      <c r="K283" s="114" t="n"/>
      <c r="L283" s="112" t="n"/>
      <c r="M283" s="112" t="n"/>
      <c r="N283" s="112" t="n"/>
      <c r="O283" s="115" t="str">
        <f>IF(OR(D283="",F283=""),"",D283+F283)</f>
        <v/>
      </c>
      <c r="P283" s="116" t="str">
        <f>IF(O283="","",IF(ISNUMBER(M283),O283-M283,IF(OR(H283="DECISÃO D.P",ISNUMBER(N283)),"",O283-TODAY())))</f>
        <v/>
      </c>
      <c r="Q283" s="117" t="str">
        <f>IF(B283="","",IF(ISNUMBER(N283),"DECIDIDO – ","")&amp;IF(ISNUMBER(M283),IF(P283="",IF(F283="","INFORMAR PRAZO","SEM DATA"),IF(P283&gt;=0,"DEFESA NO PRAZO","DEFESA FORA DO PRAZO")),IF(OR(H283="DECISÃO D.P",ISNUMBER(N283)),"SEM DEFESA",IF(H283="","SEM STATUS",IF(F283="","INFORMAR PRAZO",IF(P283="","SEM DATA",IF(P283&lt;0,"VENCIDO",IF(P283&lt;=DiasAlerta,"VENCE EM BREVE","NO PRAZO"))))))))</f>
        <v/>
      </c>
      <c r="R283" s="118" t="str">
        <f>IF(D283="","",TODAY()-D283)</f>
        <v/>
      </c>
      <c r="S283" s="111" t="n"/>
    </row>
    <row r="284" ht="18" customHeight="1">
      <c r="A284" s="110" t="n"/>
      <c r="B284" s="111" t="n"/>
      <c r="C284" s="111" t="n"/>
      <c r="D284" s="112" t="n"/>
      <c r="E284" s="111" t="n"/>
      <c r="F284" s="110" t="n"/>
      <c r="G284" s="113" t="n"/>
      <c r="H284" s="113" t="n"/>
      <c r="I284" s="111" t="n"/>
      <c r="J284" s="114" t="n"/>
      <c r="K284" s="114" t="n"/>
      <c r="L284" s="112" t="n"/>
      <c r="M284" s="112" t="n"/>
      <c r="N284" s="112" t="n"/>
      <c r="O284" s="115" t="str">
        <f>IF(OR(D284="",F284=""),"",D284+F284)</f>
        <v/>
      </c>
      <c r="P284" s="116" t="str">
        <f>IF(O284="","",IF(ISNUMBER(M284),O284-M284,IF(OR(H284="DECISÃO D.P",ISNUMBER(N284)),"",O284-TODAY())))</f>
        <v/>
      </c>
      <c r="Q284" s="117" t="str">
        <f>IF(B284="","",IF(ISNUMBER(N284),"DECIDIDO – ","")&amp;IF(ISNUMBER(M284),IF(P284="",IF(F284="","INFORMAR PRAZO","SEM DATA"),IF(P284&gt;=0,"DEFESA NO PRAZO","DEFESA FORA DO PRAZO")),IF(OR(H284="DECISÃO D.P",ISNUMBER(N284)),"SEM DEFESA",IF(H284="","SEM STATUS",IF(F284="","INFORMAR PRAZO",IF(P284="","SEM DATA",IF(P284&lt;0,"VENCIDO",IF(P284&lt;=DiasAlerta,"VENCE EM BREVE","NO PRAZO"))))))))</f>
        <v/>
      </c>
      <c r="R284" s="118" t="str">
        <f>IF(D284="","",TODAY()-D284)</f>
        <v/>
      </c>
      <c r="S284" s="111" t="n"/>
    </row>
    <row r="285" ht="18" customHeight="1">
      <c r="A285" s="110" t="n"/>
      <c r="B285" s="111" t="n"/>
      <c r="C285" s="111" t="n"/>
      <c r="D285" s="112" t="n"/>
      <c r="E285" s="111" t="n"/>
      <c r="F285" s="110" t="n"/>
      <c r="G285" s="113" t="n"/>
      <c r="H285" s="113" t="n"/>
      <c r="I285" s="111" t="n"/>
      <c r="J285" s="114" t="n"/>
      <c r="K285" s="114" t="n"/>
      <c r="L285" s="112" t="n"/>
      <c r="M285" s="112" t="n"/>
      <c r="N285" s="112" t="n"/>
      <c r="O285" s="115" t="str">
        <f>IF(OR(D285="",F285=""),"",D285+F285)</f>
        <v/>
      </c>
      <c r="P285" s="116" t="str">
        <f>IF(O285="","",IF(ISNUMBER(M285),O285-M285,IF(OR(H285="DECISÃO D.P",ISNUMBER(N285)),"",O285-TODAY())))</f>
        <v/>
      </c>
      <c r="Q285" s="117" t="str">
        <f>IF(B285="","",IF(ISNUMBER(N285),"DECIDIDO – ","")&amp;IF(ISNUMBER(M285),IF(P285="",IF(F285="","INFORMAR PRAZO","SEM DATA"),IF(P285&gt;=0,"DEFESA NO PRAZO","DEFESA FORA DO PRAZO")),IF(OR(H285="DECISÃO D.P",ISNUMBER(N285)),"SEM DEFESA",IF(H285="","SEM STATUS",IF(F285="","INFORMAR PRAZO",IF(P285="","SEM DATA",IF(P285&lt;0,"VENCIDO",IF(P285&lt;=DiasAlerta,"VENCE EM BREVE","NO PRAZO"))))))))</f>
        <v/>
      </c>
      <c r="R285" s="118" t="str">
        <f>IF(D285="","",TODAY()-D285)</f>
        <v/>
      </c>
      <c r="S285" s="111" t="n"/>
    </row>
    <row r="286" ht="18" customHeight="1">
      <c r="A286" s="110" t="n"/>
      <c r="B286" s="111" t="n"/>
      <c r="C286" s="111" t="n"/>
      <c r="D286" s="112" t="n"/>
      <c r="E286" s="111" t="n"/>
      <c r="F286" s="110" t="n"/>
      <c r="G286" s="113" t="n"/>
      <c r="H286" s="113" t="n"/>
      <c r="I286" s="111" t="n"/>
      <c r="J286" s="114" t="n"/>
      <c r="K286" s="114" t="n"/>
      <c r="L286" s="112" t="n"/>
      <c r="M286" s="112" t="n"/>
      <c r="N286" s="112" t="n"/>
      <c r="O286" s="115" t="str">
        <f>IF(OR(D286="",F286=""),"",D286+F286)</f>
        <v/>
      </c>
      <c r="P286" s="116" t="str">
        <f>IF(O286="","",IF(ISNUMBER(M286),O286-M286,IF(OR(H286="DECISÃO D.P",ISNUMBER(N286)),"",O286-TODAY())))</f>
        <v/>
      </c>
      <c r="Q286" s="117" t="str">
        <f>IF(B286="","",IF(ISNUMBER(N286),"DECIDIDO – ","")&amp;IF(ISNUMBER(M286),IF(P286="",IF(F286="","INFORMAR PRAZO","SEM DATA"),IF(P286&gt;=0,"DEFESA NO PRAZO","DEFESA FORA DO PRAZO")),IF(OR(H286="DECISÃO D.P",ISNUMBER(N286)),"SEM DEFESA",IF(H286="","SEM STATUS",IF(F286="","INFORMAR PRAZO",IF(P286="","SEM DATA",IF(P286&lt;0,"VENCIDO",IF(P286&lt;=DiasAlerta,"VENCE EM BREVE","NO PRAZO"))))))))</f>
        <v/>
      </c>
      <c r="R286" s="118" t="str">
        <f>IF(D286="","",TODAY()-D286)</f>
        <v/>
      </c>
      <c r="S286" s="111" t="n"/>
    </row>
    <row r="287" ht="18" customHeight="1">
      <c r="A287" s="110" t="n"/>
      <c r="B287" s="111" t="n"/>
      <c r="C287" s="111" t="n"/>
      <c r="D287" s="112" t="n"/>
      <c r="E287" s="111" t="n"/>
      <c r="F287" s="110" t="n"/>
      <c r="G287" s="113" t="n"/>
      <c r="H287" s="113" t="n"/>
      <c r="I287" s="111" t="n"/>
      <c r="J287" s="114" t="n"/>
      <c r="K287" s="114" t="n"/>
      <c r="L287" s="112" t="n"/>
      <c r="M287" s="112" t="n"/>
      <c r="N287" s="112" t="n"/>
      <c r="O287" s="115" t="str">
        <f>IF(OR(D287="",F287=""),"",D287+F287)</f>
        <v/>
      </c>
      <c r="P287" s="116" t="str">
        <f>IF(O287="","",IF(ISNUMBER(M287),O287-M287,IF(OR(H287="DECISÃO D.P",ISNUMBER(N287)),"",O287-TODAY())))</f>
        <v/>
      </c>
      <c r="Q287" s="117" t="str">
        <f>IF(B287="","",IF(ISNUMBER(N287),"DECIDIDO – ","")&amp;IF(ISNUMBER(M287),IF(P287="",IF(F287="","INFORMAR PRAZO","SEM DATA"),IF(P287&gt;=0,"DEFESA NO PRAZO","DEFESA FORA DO PRAZO")),IF(OR(H287="DECISÃO D.P",ISNUMBER(N287)),"SEM DEFESA",IF(H287="","SEM STATUS",IF(F287="","INFORMAR PRAZO",IF(P287="","SEM DATA",IF(P287&lt;0,"VENCIDO",IF(P287&lt;=DiasAlerta,"VENCE EM BREVE","NO PRAZO"))))))))</f>
        <v/>
      </c>
      <c r="R287" s="118" t="str">
        <f>IF(D287="","",TODAY()-D287)</f>
        <v/>
      </c>
      <c r="S287" s="111" t="n"/>
    </row>
    <row r="288" ht="18" customHeight="1">
      <c r="A288" s="110" t="n"/>
      <c r="B288" s="111" t="n"/>
      <c r="C288" s="111" t="n"/>
      <c r="D288" s="112" t="n"/>
      <c r="E288" s="111" t="n"/>
      <c r="F288" s="110" t="n"/>
      <c r="G288" s="113" t="n"/>
      <c r="H288" s="113" t="n"/>
      <c r="I288" s="111" t="n"/>
      <c r="J288" s="114" t="n"/>
      <c r="K288" s="114" t="n"/>
      <c r="L288" s="112" t="n"/>
      <c r="M288" s="112" t="n"/>
      <c r="N288" s="112" t="n"/>
      <c r="O288" s="115" t="str">
        <f>IF(OR(D288="",F288=""),"",D288+F288)</f>
        <v/>
      </c>
      <c r="P288" s="116" t="str">
        <f>IF(O288="","",IF(ISNUMBER(M288),O288-M288,IF(OR(H288="DECISÃO D.P",ISNUMBER(N288)),"",O288-TODAY())))</f>
        <v/>
      </c>
      <c r="Q288" s="117" t="str">
        <f>IF(B288="","",IF(ISNUMBER(N288),"DECIDIDO – ","")&amp;IF(ISNUMBER(M288),IF(P288="",IF(F288="","INFORMAR PRAZO","SEM DATA"),IF(P288&gt;=0,"DEFESA NO PRAZO","DEFESA FORA DO PRAZO")),IF(OR(H288="DECISÃO D.P",ISNUMBER(N288)),"SEM DEFESA",IF(H288="","SEM STATUS",IF(F288="","INFORMAR PRAZO",IF(P288="","SEM DATA",IF(P288&lt;0,"VENCIDO",IF(P288&lt;=DiasAlerta,"VENCE EM BREVE","NO PRAZO"))))))))</f>
        <v/>
      </c>
      <c r="R288" s="118" t="str">
        <f>IF(D288="","",TODAY()-D288)</f>
        <v/>
      </c>
      <c r="S288" s="111" t="n"/>
    </row>
    <row r="289" ht="18" customHeight="1">
      <c r="A289" s="110" t="n"/>
      <c r="B289" s="111" t="n"/>
      <c r="C289" s="111" t="n"/>
      <c r="D289" s="112" t="n"/>
      <c r="E289" s="111" t="n"/>
      <c r="F289" s="110" t="n"/>
      <c r="G289" s="113" t="n"/>
      <c r="H289" s="113" t="n"/>
      <c r="I289" s="111" t="n"/>
      <c r="J289" s="114" t="n"/>
      <c r="K289" s="114" t="n"/>
      <c r="L289" s="112" t="n"/>
      <c r="M289" s="112" t="n"/>
      <c r="N289" s="112" t="n"/>
      <c r="O289" s="115" t="str">
        <f>IF(OR(D289="",F289=""),"",D289+F289)</f>
        <v/>
      </c>
      <c r="P289" s="116" t="str">
        <f>IF(O289="","",IF(ISNUMBER(M289),O289-M289,IF(OR(H289="DECISÃO D.P",ISNUMBER(N289)),"",O289-TODAY())))</f>
        <v/>
      </c>
      <c r="Q289" s="117" t="str">
        <f>IF(B289="","",IF(ISNUMBER(N289),"DECIDIDO – ","")&amp;IF(ISNUMBER(M289),IF(P289="",IF(F289="","INFORMAR PRAZO","SEM DATA"),IF(P289&gt;=0,"DEFESA NO PRAZO","DEFESA FORA DO PRAZO")),IF(OR(H289="DECISÃO D.P",ISNUMBER(N289)),"SEM DEFESA",IF(H289="","SEM STATUS",IF(F289="","INFORMAR PRAZO",IF(P289="","SEM DATA",IF(P289&lt;0,"VENCIDO",IF(P289&lt;=DiasAlerta,"VENCE EM BREVE","NO PRAZO"))))))))</f>
        <v/>
      </c>
      <c r="R289" s="118" t="str">
        <f>IF(D289="","",TODAY()-D289)</f>
        <v/>
      </c>
      <c r="S289" s="111" t="n"/>
    </row>
    <row r="290" ht="18" customHeight="1">
      <c r="A290" s="110" t="n"/>
      <c r="B290" s="111" t="n"/>
      <c r="C290" s="111" t="n"/>
      <c r="D290" s="112" t="n"/>
      <c r="E290" s="111" t="n"/>
      <c r="F290" s="110" t="n"/>
      <c r="G290" s="113" t="n"/>
      <c r="H290" s="113" t="n"/>
      <c r="I290" s="111" t="n"/>
      <c r="J290" s="114" t="n"/>
      <c r="K290" s="114" t="n"/>
      <c r="L290" s="112" t="n"/>
      <c r="M290" s="112" t="n"/>
      <c r="N290" s="112" t="n"/>
      <c r="O290" s="115" t="str">
        <f>IF(OR(D290="",F290=""),"",D290+F290)</f>
        <v/>
      </c>
      <c r="P290" s="116" t="str">
        <f>IF(O290="","",IF(ISNUMBER(M290),O290-M290,IF(OR(H290="DECISÃO D.P",ISNUMBER(N290)),"",O290-TODAY())))</f>
        <v/>
      </c>
      <c r="Q290" s="117" t="str">
        <f>IF(B290="","",IF(ISNUMBER(N290),"DECIDIDO – ","")&amp;IF(ISNUMBER(M290),IF(P290="",IF(F290="","INFORMAR PRAZO","SEM DATA"),IF(P290&gt;=0,"DEFESA NO PRAZO","DEFESA FORA DO PRAZO")),IF(OR(H290="DECISÃO D.P",ISNUMBER(N290)),"SEM DEFESA",IF(H290="","SEM STATUS",IF(F290="","INFORMAR PRAZO",IF(P290="","SEM DATA",IF(P290&lt;0,"VENCIDO",IF(P290&lt;=DiasAlerta,"VENCE EM BREVE","NO PRAZO"))))))))</f>
        <v/>
      </c>
      <c r="R290" s="118" t="str">
        <f>IF(D290="","",TODAY()-D290)</f>
        <v/>
      </c>
      <c r="S290" s="111" t="n"/>
    </row>
    <row r="291" ht="18" customHeight="1">
      <c r="A291" s="110" t="n"/>
      <c r="B291" s="111" t="n"/>
      <c r="C291" s="111" t="n"/>
      <c r="D291" s="112" t="n"/>
      <c r="E291" s="111" t="n"/>
      <c r="F291" s="110" t="n"/>
      <c r="G291" s="113" t="n"/>
      <c r="H291" s="113" t="n"/>
      <c r="I291" s="111" t="n"/>
      <c r="J291" s="114" t="n"/>
      <c r="K291" s="114" t="n"/>
      <c r="L291" s="112" t="n"/>
      <c r="M291" s="112" t="n"/>
      <c r="N291" s="112" t="n"/>
      <c r="O291" s="115" t="str">
        <f>IF(OR(D291="",F291=""),"",D291+F291)</f>
        <v/>
      </c>
      <c r="P291" s="116" t="str">
        <f>IF(O291="","",IF(ISNUMBER(M291),O291-M291,IF(OR(H291="DECISÃO D.P",ISNUMBER(N291)),"",O291-TODAY())))</f>
        <v/>
      </c>
      <c r="Q291" s="117" t="str">
        <f>IF(B291="","",IF(ISNUMBER(N291),"DECIDIDO – ","")&amp;IF(ISNUMBER(M291),IF(P291="",IF(F291="","INFORMAR PRAZO","SEM DATA"),IF(P291&gt;=0,"DEFESA NO PRAZO","DEFESA FORA DO PRAZO")),IF(OR(H291="DECISÃO D.P",ISNUMBER(N291)),"SEM DEFESA",IF(H291="","SEM STATUS",IF(F291="","INFORMAR PRAZO",IF(P291="","SEM DATA",IF(P291&lt;0,"VENCIDO",IF(P291&lt;=DiasAlerta,"VENCE EM BREVE","NO PRAZO"))))))))</f>
        <v/>
      </c>
      <c r="R291" s="118" t="str">
        <f>IF(D291="","",TODAY()-D291)</f>
        <v/>
      </c>
      <c r="S291" s="111" t="n"/>
    </row>
    <row r="292" ht="18" customHeight="1">
      <c r="A292" s="110" t="n"/>
      <c r="B292" s="111" t="n"/>
      <c r="C292" s="111" t="n"/>
      <c r="D292" s="112" t="n"/>
      <c r="E292" s="111" t="n"/>
      <c r="F292" s="110" t="n"/>
      <c r="G292" s="113" t="n"/>
      <c r="H292" s="113" t="n"/>
      <c r="I292" s="111" t="n"/>
      <c r="J292" s="114" t="n"/>
      <c r="K292" s="114" t="n"/>
      <c r="L292" s="112" t="n"/>
      <c r="M292" s="112" t="n"/>
      <c r="N292" s="112" t="n"/>
      <c r="O292" s="115" t="str">
        <f>IF(OR(D292="",F292=""),"",D292+F292)</f>
        <v/>
      </c>
      <c r="P292" s="116" t="str">
        <f>IF(O292="","",IF(ISNUMBER(M292),O292-M292,IF(OR(H292="DECISÃO D.P",ISNUMBER(N292)),"",O292-TODAY())))</f>
        <v/>
      </c>
      <c r="Q292" s="117" t="str">
        <f>IF(B292="","",IF(ISNUMBER(N292),"DECIDIDO – ","")&amp;IF(ISNUMBER(M292),IF(P292="",IF(F292="","INFORMAR PRAZO","SEM DATA"),IF(P292&gt;=0,"DEFESA NO PRAZO","DEFESA FORA DO PRAZO")),IF(OR(H292="DECISÃO D.P",ISNUMBER(N292)),"SEM DEFESA",IF(H292="","SEM STATUS",IF(F292="","INFORMAR PRAZO",IF(P292="","SEM DATA",IF(P292&lt;0,"VENCIDO",IF(P292&lt;=DiasAlerta,"VENCE EM BREVE","NO PRAZO"))))))))</f>
        <v/>
      </c>
      <c r="R292" s="118" t="str">
        <f>IF(D292="","",TODAY()-D292)</f>
        <v/>
      </c>
      <c r="S292" s="111" t="n"/>
    </row>
    <row r="293" ht="18" customHeight="1">
      <c r="A293" s="110" t="n"/>
      <c r="B293" s="111" t="n"/>
      <c r="C293" s="111" t="n"/>
      <c r="D293" s="112" t="n"/>
      <c r="E293" s="111" t="n"/>
      <c r="F293" s="110" t="n"/>
      <c r="G293" s="113" t="n"/>
      <c r="H293" s="113" t="n"/>
      <c r="I293" s="111" t="n"/>
      <c r="J293" s="114" t="n"/>
      <c r="K293" s="114" t="n"/>
      <c r="L293" s="112" t="n"/>
      <c r="M293" s="112" t="n"/>
      <c r="N293" s="112" t="n"/>
      <c r="O293" s="115" t="str">
        <f>IF(OR(D293="",F293=""),"",D293+F293)</f>
        <v/>
      </c>
      <c r="P293" s="116" t="str">
        <f>IF(O293="","",IF(ISNUMBER(M293),O293-M293,IF(OR(H293="DECISÃO D.P",ISNUMBER(N293)),"",O293-TODAY())))</f>
        <v/>
      </c>
      <c r="Q293" s="117" t="str">
        <f>IF(B293="","",IF(ISNUMBER(N293),"DECIDIDO – ","")&amp;IF(ISNUMBER(M293),IF(P293="",IF(F293="","INFORMAR PRAZO","SEM DATA"),IF(P293&gt;=0,"DEFESA NO PRAZO","DEFESA FORA DO PRAZO")),IF(OR(H293="DECISÃO D.P",ISNUMBER(N293)),"SEM DEFESA",IF(H293="","SEM STATUS",IF(F293="","INFORMAR PRAZO",IF(P293="","SEM DATA",IF(P293&lt;0,"VENCIDO",IF(P293&lt;=DiasAlerta,"VENCE EM BREVE","NO PRAZO"))))))))</f>
        <v/>
      </c>
      <c r="R293" s="118" t="str">
        <f>IF(D293="","",TODAY()-D293)</f>
        <v/>
      </c>
      <c r="S293" s="111" t="n"/>
    </row>
    <row r="294" ht="18" customHeight="1">
      <c r="A294" s="110" t="n"/>
      <c r="B294" s="111" t="n"/>
      <c r="C294" s="111" t="n"/>
      <c r="D294" s="112" t="n"/>
      <c r="E294" s="111" t="n"/>
      <c r="F294" s="110" t="n"/>
      <c r="G294" s="113" t="n"/>
      <c r="H294" s="113" t="n"/>
      <c r="I294" s="111" t="n"/>
      <c r="J294" s="114" t="n"/>
      <c r="K294" s="114" t="n"/>
      <c r="L294" s="112" t="n"/>
      <c r="M294" s="112" t="n"/>
      <c r="N294" s="112" t="n"/>
      <c r="O294" s="115" t="str">
        <f>IF(OR(D294="",F294=""),"",D294+F294)</f>
        <v/>
      </c>
      <c r="P294" s="116" t="str">
        <f>IF(O294="","",IF(ISNUMBER(M294),O294-M294,IF(OR(H294="DECISÃO D.P",ISNUMBER(N294)),"",O294-TODAY())))</f>
        <v/>
      </c>
      <c r="Q294" s="117" t="str">
        <f>IF(B294="","",IF(ISNUMBER(N294),"DECIDIDO – ","")&amp;IF(ISNUMBER(M294),IF(P294="",IF(F294="","INFORMAR PRAZO","SEM DATA"),IF(P294&gt;=0,"DEFESA NO PRAZO","DEFESA FORA DO PRAZO")),IF(OR(H294="DECISÃO D.P",ISNUMBER(N294)),"SEM DEFESA",IF(H294="","SEM STATUS",IF(F294="","INFORMAR PRAZO",IF(P294="","SEM DATA",IF(P294&lt;0,"VENCIDO",IF(P294&lt;=DiasAlerta,"VENCE EM BREVE","NO PRAZO"))))))))</f>
        <v/>
      </c>
      <c r="R294" s="118" t="str">
        <f>IF(D294="","",TODAY()-D294)</f>
        <v/>
      </c>
      <c r="S294" s="111" t="n"/>
    </row>
    <row r="295" ht="18" customHeight="1">
      <c r="A295" s="110" t="n"/>
      <c r="B295" s="111" t="n"/>
      <c r="C295" s="111" t="n"/>
      <c r="D295" s="112" t="n"/>
      <c r="E295" s="111" t="n"/>
      <c r="F295" s="110" t="n"/>
      <c r="G295" s="113" t="n"/>
      <c r="H295" s="113" t="n"/>
      <c r="I295" s="111" t="n"/>
      <c r="J295" s="114" t="n"/>
      <c r="K295" s="114" t="n"/>
      <c r="L295" s="112" t="n"/>
      <c r="M295" s="112" t="n"/>
      <c r="N295" s="112" t="n"/>
      <c r="O295" s="115" t="str">
        <f>IF(OR(D295="",F295=""),"",D295+F295)</f>
        <v/>
      </c>
      <c r="P295" s="116" t="str">
        <f>IF(O295="","",IF(ISNUMBER(M295),O295-M295,IF(OR(H295="DECISÃO D.P",ISNUMBER(N295)),"",O295-TODAY())))</f>
        <v/>
      </c>
      <c r="Q295" s="117" t="str">
        <f>IF(B295="","",IF(ISNUMBER(N295),"DECIDIDO – ","")&amp;IF(ISNUMBER(M295),IF(P295="",IF(F295="","INFORMAR PRAZO","SEM DATA"),IF(P295&gt;=0,"DEFESA NO PRAZO","DEFESA FORA DO PRAZO")),IF(OR(H295="DECISÃO D.P",ISNUMBER(N295)),"SEM DEFESA",IF(H295="","SEM STATUS",IF(F295="","INFORMAR PRAZO",IF(P295="","SEM DATA",IF(P295&lt;0,"VENCIDO",IF(P295&lt;=DiasAlerta,"VENCE EM BREVE","NO PRAZO"))))))))</f>
        <v/>
      </c>
      <c r="R295" s="118" t="str">
        <f>IF(D295="","",TODAY()-D295)</f>
        <v/>
      </c>
      <c r="S295" s="111" t="n"/>
    </row>
    <row r="296" ht="18" customHeight="1">
      <c r="A296" s="110" t="n"/>
      <c r="B296" s="111" t="n"/>
      <c r="C296" s="111" t="n"/>
      <c r="D296" s="112" t="n"/>
      <c r="E296" s="111" t="n"/>
      <c r="F296" s="110" t="n"/>
      <c r="G296" s="113" t="n"/>
      <c r="H296" s="113" t="n"/>
      <c r="I296" s="111" t="n"/>
      <c r="J296" s="114" t="n"/>
      <c r="K296" s="114" t="n"/>
      <c r="L296" s="112" t="n"/>
      <c r="M296" s="112" t="n"/>
      <c r="N296" s="112" t="n"/>
      <c r="O296" s="115" t="str">
        <f>IF(OR(D296="",F296=""),"",D296+F296)</f>
        <v/>
      </c>
      <c r="P296" s="116" t="str">
        <f>IF(O296="","",IF(ISNUMBER(M296),O296-M296,IF(OR(H296="DECISÃO D.P",ISNUMBER(N296)),"",O296-TODAY())))</f>
        <v/>
      </c>
      <c r="Q296" s="117" t="str">
        <f>IF(B296="","",IF(ISNUMBER(N296),"DECIDIDO – ","")&amp;IF(ISNUMBER(M296),IF(P296="",IF(F296="","INFORMAR PRAZO","SEM DATA"),IF(P296&gt;=0,"DEFESA NO PRAZO","DEFESA FORA DO PRAZO")),IF(OR(H296="DECISÃO D.P",ISNUMBER(N296)),"SEM DEFESA",IF(H296="","SEM STATUS",IF(F296="","INFORMAR PRAZO",IF(P296="","SEM DATA",IF(P296&lt;0,"VENCIDO",IF(P296&lt;=DiasAlerta,"VENCE EM BREVE","NO PRAZO"))))))))</f>
        <v/>
      </c>
      <c r="R296" s="118" t="str">
        <f>IF(D296="","",TODAY()-D296)</f>
        <v/>
      </c>
      <c r="S296" s="111" t="n"/>
    </row>
    <row r="297" ht="18" customHeight="1">
      <c r="A297" s="110" t="n"/>
      <c r="B297" s="111" t="n"/>
      <c r="C297" s="111" t="n"/>
      <c r="D297" s="112" t="n"/>
      <c r="E297" s="111" t="n"/>
      <c r="F297" s="110" t="n"/>
      <c r="G297" s="113" t="n"/>
      <c r="H297" s="113" t="n"/>
      <c r="I297" s="111" t="n"/>
      <c r="J297" s="114" t="n"/>
      <c r="K297" s="114" t="n"/>
      <c r="L297" s="112" t="n"/>
      <c r="M297" s="112" t="n"/>
      <c r="N297" s="112" t="n"/>
      <c r="O297" s="115" t="str">
        <f>IF(OR(D297="",F297=""),"",D297+F297)</f>
        <v/>
      </c>
      <c r="P297" s="116" t="str">
        <f>IF(O297="","",IF(ISNUMBER(M297),O297-M297,IF(OR(H297="DECISÃO D.P",ISNUMBER(N297)),"",O297-TODAY())))</f>
        <v/>
      </c>
      <c r="Q297" s="117" t="str">
        <f>IF(B297="","",IF(ISNUMBER(N297),"DECIDIDO – ","")&amp;IF(ISNUMBER(M297),IF(P297="",IF(F297="","INFORMAR PRAZO","SEM DATA"),IF(P297&gt;=0,"DEFESA NO PRAZO","DEFESA FORA DO PRAZO")),IF(OR(H297="DECISÃO D.P",ISNUMBER(N297)),"SEM DEFESA",IF(H297="","SEM STATUS",IF(F297="","INFORMAR PRAZO",IF(P297="","SEM DATA",IF(P297&lt;0,"VENCIDO",IF(P297&lt;=DiasAlerta,"VENCE EM BREVE","NO PRAZO"))))))))</f>
        <v/>
      </c>
      <c r="R297" s="118" t="str">
        <f>IF(D297="","",TODAY()-D297)</f>
        <v/>
      </c>
      <c r="S297" s="111" t="n"/>
    </row>
    <row r="298" ht="18" customHeight="1">
      <c r="A298" s="110" t="n"/>
      <c r="B298" s="111" t="n"/>
      <c r="C298" s="111" t="n"/>
      <c r="D298" s="112" t="n"/>
      <c r="E298" s="111" t="n"/>
      <c r="F298" s="110" t="n"/>
      <c r="G298" s="113" t="n"/>
      <c r="H298" s="113" t="n"/>
      <c r="I298" s="111" t="n"/>
      <c r="J298" s="114" t="n"/>
      <c r="K298" s="114" t="n"/>
      <c r="L298" s="112" t="n"/>
      <c r="M298" s="112" t="n"/>
      <c r="N298" s="112" t="n"/>
      <c r="O298" s="115" t="str">
        <f>IF(OR(D298="",F298=""),"",D298+F298)</f>
        <v/>
      </c>
      <c r="P298" s="116" t="str">
        <f>IF(O298="","",IF(ISNUMBER(M298),O298-M298,IF(OR(H298="DECISÃO D.P",ISNUMBER(N298)),"",O298-TODAY())))</f>
        <v/>
      </c>
      <c r="Q298" s="117" t="str">
        <f>IF(B298="","",IF(ISNUMBER(N298),"DECIDIDO – ","")&amp;IF(ISNUMBER(M298),IF(P298="",IF(F298="","INFORMAR PRAZO","SEM DATA"),IF(P298&gt;=0,"DEFESA NO PRAZO","DEFESA FORA DO PRAZO")),IF(OR(H298="DECISÃO D.P",ISNUMBER(N298)),"SEM DEFESA",IF(H298="","SEM STATUS",IF(F298="","INFORMAR PRAZO",IF(P298="","SEM DATA",IF(P298&lt;0,"VENCIDO",IF(P298&lt;=DiasAlerta,"VENCE EM BREVE","NO PRAZO"))))))))</f>
        <v/>
      </c>
      <c r="R298" s="118" t="str">
        <f>IF(D298="","",TODAY()-D298)</f>
        <v/>
      </c>
      <c r="S298" s="111" t="n"/>
    </row>
    <row r="299" ht="18" customHeight="1">
      <c r="A299" s="110" t="n"/>
      <c r="B299" s="111" t="n"/>
      <c r="C299" s="111" t="n"/>
      <c r="D299" s="112" t="n"/>
      <c r="E299" s="111" t="n"/>
      <c r="F299" s="110" t="n"/>
      <c r="G299" s="113" t="n"/>
      <c r="H299" s="113" t="n"/>
      <c r="I299" s="111" t="n"/>
      <c r="J299" s="114" t="n"/>
      <c r="K299" s="114" t="n"/>
      <c r="L299" s="112" t="n"/>
      <c r="M299" s="112" t="n"/>
      <c r="N299" s="112" t="n"/>
      <c r="O299" s="115" t="str">
        <f>IF(OR(D299="",F299=""),"",D299+F299)</f>
        <v/>
      </c>
      <c r="P299" s="116" t="str">
        <f>IF(O299="","",IF(ISNUMBER(M299),O299-M299,IF(OR(H299="DECISÃO D.P",ISNUMBER(N299)),"",O299-TODAY())))</f>
        <v/>
      </c>
      <c r="Q299" s="117" t="str">
        <f>IF(B299="","",IF(ISNUMBER(N299),"DECIDIDO – ","")&amp;IF(ISNUMBER(M299),IF(P299="",IF(F299="","INFORMAR PRAZO","SEM DATA"),IF(P299&gt;=0,"DEFESA NO PRAZO","DEFESA FORA DO PRAZO")),IF(OR(H299="DECISÃO D.P",ISNUMBER(N299)),"SEM DEFESA",IF(H299="","SEM STATUS",IF(F299="","INFORMAR PRAZO",IF(P299="","SEM DATA",IF(P299&lt;0,"VENCIDO",IF(P299&lt;=DiasAlerta,"VENCE EM BREVE","NO PRAZO"))))))))</f>
        <v/>
      </c>
      <c r="R299" s="118" t="str">
        <f>IF(D299="","",TODAY()-D299)</f>
        <v/>
      </c>
      <c r="S299" s="111" t="n"/>
    </row>
    <row r="300" ht="18" customHeight="1">
      <c r="A300" s="110" t="n"/>
      <c r="B300" s="111" t="n"/>
      <c r="C300" s="111" t="n"/>
      <c r="D300" s="112" t="n"/>
      <c r="E300" s="111" t="n"/>
      <c r="F300" s="110" t="n"/>
      <c r="G300" s="113" t="n"/>
      <c r="H300" s="113" t="n"/>
      <c r="I300" s="111" t="n"/>
      <c r="J300" s="114" t="n"/>
      <c r="K300" s="114" t="n"/>
      <c r="L300" s="112" t="n"/>
      <c r="M300" s="112" t="n"/>
      <c r="N300" s="112" t="n"/>
      <c r="O300" s="115" t="str">
        <f>IF(OR(D300="",F300=""),"",D300+F300)</f>
        <v/>
      </c>
      <c r="P300" s="116" t="str">
        <f>IF(O300="","",IF(ISNUMBER(M300),O300-M300,IF(OR(H300="DECISÃO D.P",ISNUMBER(N300)),"",O300-TODAY())))</f>
        <v/>
      </c>
      <c r="Q300" s="117" t="str">
        <f>IF(B300="","",IF(ISNUMBER(N300),"DECIDIDO – ","")&amp;IF(ISNUMBER(M300),IF(P300="",IF(F300="","INFORMAR PRAZO","SEM DATA"),IF(P300&gt;=0,"DEFESA NO PRAZO","DEFESA FORA DO PRAZO")),IF(OR(H300="DECISÃO D.P",ISNUMBER(N300)),"SEM DEFESA",IF(H300="","SEM STATUS",IF(F300="","INFORMAR PRAZO",IF(P300="","SEM DATA",IF(P300&lt;0,"VENCIDO",IF(P300&lt;=DiasAlerta,"VENCE EM BREVE","NO PRAZO"))))))))</f>
        <v/>
      </c>
      <c r="R300" s="118" t="str">
        <f>IF(D300="","",TODAY()-D300)</f>
        <v/>
      </c>
      <c r="S300" s="111" t="n"/>
    </row>
    <row r="301" ht="18" customHeight="1">
      <c r="A301" s="110" t="n"/>
      <c r="B301" s="111" t="n"/>
      <c r="C301" s="111" t="n"/>
      <c r="D301" s="112" t="n"/>
      <c r="E301" s="111" t="n"/>
      <c r="F301" s="110" t="n"/>
      <c r="G301" s="113" t="n"/>
      <c r="H301" s="113" t="n"/>
      <c r="I301" s="111" t="n"/>
      <c r="J301" s="114" t="n"/>
      <c r="K301" s="114" t="n"/>
      <c r="L301" s="112" t="n"/>
      <c r="M301" s="112" t="n"/>
      <c r="N301" s="112" t="n"/>
      <c r="O301" s="115" t="str">
        <f>IF(OR(D301="",F301=""),"",D301+F301)</f>
        <v/>
      </c>
      <c r="P301" s="116" t="str">
        <f>IF(O301="","",IF(ISNUMBER(M301),O301-M301,IF(OR(H301="DECISÃO D.P",ISNUMBER(N301)),"",O301-TODAY())))</f>
        <v/>
      </c>
      <c r="Q301" s="117" t="str">
        <f>IF(B301="","",IF(ISNUMBER(N301),"DECIDIDO – ","")&amp;IF(ISNUMBER(M301),IF(P301="",IF(F301="","INFORMAR PRAZO","SEM DATA"),IF(P301&gt;=0,"DEFESA NO PRAZO","DEFESA FORA DO PRAZO")),IF(OR(H301="DECISÃO D.P",ISNUMBER(N301)),"SEM DEFESA",IF(H301="","SEM STATUS",IF(F301="","INFORMAR PRAZO",IF(P301="","SEM DATA",IF(P301&lt;0,"VENCIDO",IF(P301&lt;=DiasAlerta,"VENCE EM BREVE","NO PRAZO"))))))))</f>
        <v/>
      </c>
      <c r="R301" s="118" t="str">
        <f>IF(D301="","",TODAY()-D301)</f>
        <v/>
      </c>
      <c r="S301" s="111" t="n"/>
    </row>
    <row r="302" ht="18" customHeight="1">
      <c r="A302" s="110" t="n"/>
      <c r="B302" s="111" t="n"/>
      <c r="C302" s="111" t="n"/>
      <c r="D302" s="112" t="n"/>
      <c r="E302" s="111" t="n"/>
      <c r="F302" s="110" t="n"/>
      <c r="G302" s="113" t="n"/>
      <c r="H302" s="113" t="n"/>
      <c r="I302" s="111" t="n"/>
      <c r="J302" s="114" t="n"/>
      <c r="K302" s="114" t="n"/>
      <c r="L302" s="112" t="n"/>
      <c r="M302" s="112" t="n"/>
      <c r="N302" s="112" t="n"/>
      <c r="O302" s="115" t="str">
        <f>IF(OR(D302="",F302=""),"",D302+F302)</f>
        <v/>
      </c>
      <c r="P302" s="116" t="str">
        <f>IF(O302="","",IF(ISNUMBER(M302),O302-M302,IF(OR(H302="DECISÃO D.P",ISNUMBER(N302)),"",O302-TODAY())))</f>
        <v/>
      </c>
      <c r="Q302" s="117" t="str">
        <f>IF(B302="","",IF(ISNUMBER(N302),"DECIDIDO – ","")&amp;IF(ISNUMBER(M302),IF(P302="",IF(F302="","INFORMAR PRAZO","SEM DATA"),IF(P302&gt;=0,"DEFESA NO PRAZO","DEFESA FORA DO PRAZO")),IF(OR(H302="DECISÃO D.P",ISNUMBER(N302)),"SEM DEFESA",IF(H302="","SEM STATUS",IF(F302="","INFORMAR PRAZO",IF(P302="","SEM DATA",IF(P302&lt;0,"VENCIDO",IF(P302&lt;=DiasAlerta,"VENCE EM BREVE","NO PRAZO"))))))))</f>
        <v/>
      </c>
      <c r="R302" s="118" t="str">
        <f>IF(D302="","",TODAY()-D302)</f>
        <v/>
      </c>
      <c r="S302" s="111" t="n"/>
    </row>
    <row r="303" ht="18" customHeight="1">
      <c r="A303" s="110" t="n"/>
      <c r="B303" s="111" t="n"/>
      <c r="C303" s="111" t="n"/>
      <c r="D303" s="112" t="n"/>
      <c r="E303" s="111" t="n"/>
      <c r="F303" s="110" t="n"/>
      <c r="G303" s="113" t="n"/>
      <c r="H303" s="113" t="n"/>
      <c r="I303" s="111" t="n"/>
      <c r="J303" s="114" t="n"/>
      <c r="K303" s="114" t="n"/>
      <c r="L303" s="112" t="n"/>
      <c r="M303" s="112" t="n"/>
      <c r="N303" s="112" t="n"/>
      <c r="O303" s="115" t="str">
        <f>IF(OR(D303="",F303=""),"",D303+F303)</f>
        <v/>
      </c>
      <c r="P303" s="116" t="str">
        <f>IF(O303="","",IF(ISNUMBER(M303),O303-M303,IF(OR(H303="DECISÃO D.P",ISNUMBER(N303)),"",O303-TODAY())))</f>
        <v/>
      </c>
      <c r="Q303" s="117" t="str">
        <f>IF(B303="","",IF(ISNUMBER(N303),"DECIDIDO – ","")&amp;IF(ISNUMBER(M303),IF(P303="",IF(F303="","INFORMAR PRAZO","SEM DATA"),IF(P303&gt;=0,"DEFESA NO PRAZO","DEFESA FORA DO PRAZO")),IF(OR(H303="DECISÃO D.P",ISNUMBER(N303)),"SEM DEFESA",IF(H303="","SEM STATUS",IF(F303="","INFORMAR PRAZO",IF(P303="","SEM DATA",IF(P303&lt;0,"VENCIDO",IF(P303&lt;=DiasAlerta,"VENCE EM BREVE","NO PRAZO"))))))))</f>
        <v/>
      </c>
      <c r="R303" s="118" t="str">
        <f>IF(D303="","",TODAY()-D303)</f>
        <v/>
      </c>
      <c r="S303" s="111" t="n"/>
    </row>
    <row r="304" ht="18" customHeight="1">
      <c r="A304" s="110" t="n"/>
      <c r="B304" s="111" t="n"/>
      <c r="C304" s="111" t="n"/>
      <c r="D304" s="112" t="n"/>
      <c r="E304" s="111" t="n"/>
      <c r="F304" s="110" t="n"/>
      <c r="G304" s="113" t="n"/>
      <c r="H304" s="113" t="n"/>
      <c r="I304" s="111" t="n"/>
      <c r="J304" s="114" t="n"/>
      <c r="K304" s="114" t="n"/>
      <c r="L304" s="112" t="n"/>
      <c r="M304" s="112" t="n"/>
      <c r="N304" s="112" t="n"/>
      <c r="O304" s="115" t="str">
        <f>IF(OR(D304="",F304=""),"",D304+F304)</f>
        <v/>
      </c>
      <c r="P304" s="116" t="str">
        <f>IF(O304="","",IF(ISNUMBER(M304),O304-M304,IF(OR(H304="DECISÃO D.P",ISNUMBER(N304)),"",O304-TODAY())))</f>
        <v/>
      </c>
      <c r="Q304" s="117" t="str">
        <f>IF(B304="","",IF(ISNUMBER(N304),"DECIDIDO – ","")&amp;IF(ISNUMBER(M304),IF(P304="",IF(F304="","INFORMAR PRAZO","SEM DATA"),IF(P304&gt;=0,"DEFESA NO PRAZO","DEFESA FORA DO PRAZO")),IF(OR(H304="DECISÃO D.P",ISNUMBER(N304)),"SEM DEFESA",IF(H304="","SEM STATUS",IF(F304="","INFORMAR PRAZO",IF(P304="","SEM DATA",IF(P304&lt;0,"VENCIDO",IF(P304&lt;=DiasAlerta,"VENCE EM BREVE","NO PRAZO"))))))))</f>
        <v/>
      </c>
      <c r="R304" s="118" t="str">
        <f>IF(D304="","",TODAY()-D304)</f>
        <v/>
      </c>
      <c r="S304" s="111" t="n"/>
    </row>
    <row r="305" ht="18" customHeight="1">
      <c r="A305" s="110" t="n"/>
      <c r="B305" s="111" t="n"/>
      <c r="C305" s="111" t="n"/>
      <c r="D305" s="112" t="n"/>
      <c r="E305" s="111" t="n"/>
      <c r="F305" s="110" t="n"/>
      <c r="G305" s="113" t="n"/>
      <c r="H305" s="113" t="n"/>
      <c r="I305" s="111" t="n"/>
      <c r="J305" s="114" t="n"/>
      <c r="K305" s="114" t="n"/>
      <c r="L305" s="112" t="n"/>
      <c r="M305" s="112" t="n"/>
      <c r="N305" s="112" t="n"/>
      <c r="O305" s="115" t="str">
        <f>IF(OR(D305="",F305=""),"",D305+F305)</f>
        <v/>
      </c>
      <c r="P305" s="116" t="str">
        <f>IF(O305="","",IF(ISNUMBER(M305),O305-M305,IF(OR(H305="DECISÃO D.P",ISNUMBER(N305)),"",O305-TODAY())))</f>
        <v/>
      </c>
      <c r="Q305" s="117" t="str">
        <f>IF(B305="","",IF(ISNUMBER(N305),"DECIDIDO – ","")&amp;IF(ISNUMBER(M305),IF(P305="",IF(F305="","INFORMAR PRAZO","SEM DATA"),IF(P305&gt;=0,"DEFESA NO PRAZO","DEFESA FORA DO PRAZO")),IF(OR(H305="DECISÃO D.P",ISNUMBER(N305)),"SEM DEFESA",IF(H305="","SEM STATUS",IF(F305="","INFORMAR PRAZO",IF(P305="","SEM DATA",IF(P305&lt;0,"VENCIDO",IF(P305&lt;=DiasAlerta,"VENCE EM BREVE","NO PRAZO"))))))))</f>
        <v/>
      </c>
      <c r="R305" s="118" t="str">
        <f>IF(D305="","",TODAY()-D305)</f>
        <v/>
      </c>
      <c r="S305" s="111" t="n"/>
    </row>
    <row r="306" ht="18" customHeight="1">
      <c r="A306" s="110" t="n"/>
      <c r="B306" s="111" t="n"/>
      <c r="C306" s="111" t="n"/>
      <c r="D306" s="112" t="n"/>
      <c r="E306" s="111" t="n"/>
      <c r="F306" s="110" t="n"/>
      <c r="G306" s="113" t="n"/>
      <c r="H306" s="113" t="n"/>
      <c r="I306" s="111" t="n"/>
      <c r="J306" s="114" t="n"/>
      <c r="K306" s="114" t="n"/>
      <c r="L306" s="112" t="n"/>
      <c r="M306" s="112" t="n"/>
      <c r="N306" s="112" t="n"/>
      <c r="O306" s="115" t="str">
        <f>IF(OR(D306="",F306=""),"",D306+F306)</f>
        <v/>
      </c>
      <c r="P306" s="116" t="str">
        <f>IF(O306="","",IF(ISNUMBER(M306),O306-M306,IF(OR(H306="DECISÃO D.P",ISNUMBER(N306)),"",O306-TODAY())))</f>
        <v/>
      </c>
      <c r="Q306" s="117" t="str">
        <f>IF(B306="","",IF(ISNUMBER(N306),"DECIDIDO – ","")&amp;IF(ISNUMBER(M306),IF(P306="",IF(F306="","INFORMAR PRAZO","SEM DATA"),IF(P306&gt;=0,"DEFESA NO PRAZO","DEFESA FORA DO PRAZO")),IF(OR(H306="DECISÃO D.P",ISNUMBER(N306)),"SEM DEFESA",IF(H306="","SEM STATUS",IF(F306="","INFORMAR PRAZO",IF(P306="","SEM DATA",IF(P306&lt;0,"VENCIDO",IF(P306&lt;=DiasAlerta,"VENCE EM BREVE","NO PRAZO"))))))))</f>
        <v/>
      </c>
      <c r="R306" s="118" t="str">
        <f>IF(D306="","",TODAY()-D306)</f>
        <v/>
      </c>
      <c r="S306" s="111" t="n"/>
    </row>
    <row r="307" ht="18" customHeight="1">
      <c r="A307" s="110" t="n"/>
      <c r="B307" s="111" t="n"/>
      <c r="C307" s="111" t="n"/>
      <c r="D307" s="112" t="n"/>
      <c r="E307" s="111" t="n"/>
      <c r="F307" s="110" t="n"/>
      <c r="G307" s="113" t="n"/>
      <c r="H307" s="113" t="n"/>
      <c r="I307" s="111" t="n"/>
      <c r="J307" s="114" t="n"/>
      <c r="K307" s="114" t="n"/>
      <c r="L307" s="112" t="n"/>
      <c r="M307" s="112" t="n"/>
      <c r="N307" s="112" t="n"/>
      <c r="O307" s="115" t="str">
        <f>IF(OR(D307="",F307=""),"",D307+F307)</f>
        <v/>
      </c>
      <c r="P307" s="116" t="str">
        <f>IF(O307="","",IF(ISNUMBER(M307),O307-M307,IF(OR(H307="DECISÃO D.P",ISNUMBER(N307)),"",O307-TODAY())))</f>
        <v/>
      </c>
      <c r="Q307" s="117" t="str">
        <f>IF(B307="","",IF(ISNUMBER(N307),"DECIDIDO – ","")&amp;IF(ISNUMBER(M307),IF(P307="",IF(F307="","INFORMAR PRAZO","SEM DATA"),IF(P307&gt;=0,"DEFESA NO PRAZO","DEFESA FORA DO PRAZO")),IF(OR(H307="DECISÃO D.P",ISNUMBER(N307)),"SEM DEFESA",IF(H307="","SEM STATUS",IF(F307="","INFORMAR PRAZO",IF(P307="","SEM DATA",IF(P307&lt;0,"VENCIDO",IF(P307&lt;=DiasAlerta,"VENCE EM BREVE","NO PRAZO"))))))))</f>
        <v/>
      </c>
      <c r="R307" s="118" t="str">
        <f>IF(D307="","",TODAY()-D307)</f>
        <v/>
      </c>
      <c r="S307" s="111" t="n"/>
    </row>
    <row r="308" ht="18" customHeight="1">
      <c r="A308" s="110" t="n"/>
      <c r="B308" s="111" t="n"/>
      <c r="C308" s="111" t="n"/>
      <c r="D308" s="112" t="n"/>
      <c r="E308" s="111" t="n"/>
      <c r="F308" s="110" t="n"/>
      <c r="G308" s="113" t="n"/>
      <c r="H308" s="113" t="n"/>
      <c r="I308" s="111" t="n"/>
      <c r="J308" s="114" t="n"/>
      <c r="K308" s="114" t="n"/>
      <c r="L308" s="112" t="n"/>
      <c r="M308" s="112" t="n"/>
      <c r="N308" s="112" t="n"/>
      <c r="O308" s="115" t="str">
        <f>IF(OR(D308="",F308=""),"",D308+F308)</f>
        <v/>
      </c>
      <c r="P308" s="116" t="str">
        <f>IF(O308="","",IF(ISNUMBER(M308),O308-M308,IF(OR(H308="DECISÃO D.P",ISNUMBER(N308)),"",O308-TODAY())))</f>
        <v/>
      </c>
      <c r="Q308" s="117" t="str">
        <f>IF(B308="","",IF(ISNUMBER(N308),"DECIDIDO – ","")&amp;IF(ISNUMBER(M308),IF(P308="",IF(F308="","INFORMAR PRAZO","SEM DATA"),IF(P308&gt;=0,"DEFESA NO PRAZO","DEFESA FORA DO PRAZO")),IF(OR(H308="DECISÃO D.P",ISNUMBER(N308)),"SEM DEFESA",IF(H308="","SEM STATUS",IF(F308="","INFORMAR PRAZO",IF(P308="","SEM DATA",IF(P308&lt;0,"VENCIDO",IF(P308&lt;=DiasAlerta,"VENCE EM BREVE","NO PRAZO"))))))))</f>
        <v/>
      </c>
      <c r="R308" s="118" t="str">
        <f>IF(D308="","",TODAY()-D308)</f>
        <v/>
      </c>
      <c r="S308" s="111" t="n"/>
    </row>
    <row r="309" ht="18" customHeight="1">
      <c r="A309" s="110" t="n"/>
      <c r="B309" s="111" t="n"/>
      <c r="C309" s="111" t="n"/>
      <c r="D309" s="112" t="n"/>
      <c r="E309" s="111" t="n"/>
      <c r="F309" s="110" t="n"/>
      <c r="G309" s="113" t="n"/>
      <c r="H309" s="113" t="n"/>
      <c r="I309" s="111" t="n"/>
      <c r="J309" s="114" t="n"/>
      <c r="K309" s="114" t="n"/>
      <c r="L309" s="112" t="n"/>
      <c r="M309" s="112" t="n"/>
      <c r="N309" s="112" t="n"/>
      <c r="O309" s="115" t="str">
        <f>IF(OR(D309="",F309=""),"",D309+F309)</f>
        <v/>
      </c>
      <c r="P309" s="116" t="str">
        <f>IF(O309="","",IF(ISNUMBER(M309),O309-M309,IF(OR(H309="DECISÃO D.P",ISNUMBER(N309)),"",O309-TODAY())))</f>
        <v/>
      </c>
      <c r="Q309" s="117" t="str">
        <f>IF(B309="","",IF(ISNUMBER(N309),"DECIDIDO – ","")&amp;IF(ISNUMBER(M309),IF(P309="",IF(F309="","INFORMAR PRAZO","SEM DATA"),IF(P309&gt;=0,"DEFESA NO PRAZO","DEFESA FORA DO PRAZO")),IF(OR(H309="DECISÃO D.P",ISNUMBER(N309)),"SEM DEFESA",IF(H309="","SEM STATUS",IF(F309="","INFORMAR PRAZO",IF(P309="","SEM DATA",IF(P309&lt;0,"VENCIDO",IF(P309&lt;=DiasAlerta,"VENCE EM BREVE","NO PRAZO"))))))))</f>
        <v/>
      </c>
      <c r="R309" s="118" t="str">
        <f>IF(D309="","",TODAY()-D309)</f>
        <v/>
      </c>
      <c r="S309" s="111" t="n"/>
    </row>
    <row r="310" ht="18" customHeight="1">
      <c r="A310" s="110" t="n"/>
      <c r="B310" s="111" t="n"/>
      <c r="C310" s="111" t="n"/>
      <c r="D310" s="112" t="n"/>
      <c r="E310" s="111" t="n"/>
      <c r="F310" s="110" t="n"/>
      <c r="G310" s="113" t="n"/>
      <c r="H310" s="113" t="n"/>
      <c r="I310" s="111" t="n"/>
      <c r="J310" s="114" t="n"/>
      <c r="K310" s="114" t="n"/>
      <c r="L310" s="112" t="n"/>
      <c r="M310" s="112" t="n"/>
      <c r="N310" s="112" t="n"/>
      <c r="O310" s="115" t="str">
        <f>IF(OR(D310="",F310=""),"",D310+F310)</f>
        <v/>
      </c>
      <c r="P310" s="116" t="str">
        <f>IF(O310="","",IF(ISNUMBER(M310),O310-M310,IF(OR(H310="DECISÃO D.P",ISNUMBER(N310)),"",O310-TODAY())))</f>
        <v/>
      </c>
      <c r="Q310" s="117" t="str">
        <f>IF(B310="","",IF(ISNUMBER(N310),"DECIDIDO – ","")&amp;IF(ISNUMBER(M310),IF(P310="",IF(F310="","INFORMAR PRAZO","SEM DATA"),IF(P310&gt;=0,"DEFESA NO PRAZO","DEFESA FORA DO PRAZO")),IF(OR(H310="DECISÃO D.P",ISNUMBER(N310)),"SEM DEFESA",IF(H310="","SEM STATUS",IF(F310="","INFORMAR PRAZO",IF(P310="","SEM DATA",IF(P310&lt;0,"VENCIDO",IF(P310&lt;=DiasAlerta,"VENCE EM BREVE","NO PRAZO"))))))))</f>
        <v/>
      </c>
      <c r="R310" s="118" t="str">
        <f>IF(D310="","",TODAY()-D310)</f>
        <v/>
      </c>
      <c r="S310" s="111" t="n"/>
    </row>
    <row r="311" ht="18" customHeight="1">
      <c r="A311" s="110" t="n"/>
      <c r="B311" s="111" t="n"/>
      <c r="C311" s="111" t="n"/>
      <c r="D311" s="112" t="n"/>
      <c r="E311" s="111" t="n"/>
      <c r="F311" s="110" t="n"/>
      <c r="G311" s="113" t="n"/>
      <c r="H311" s="113" t="n"/>
      <c r="I311" s="111" t="n"/>
      <c r="J311" s="114" t="n"/>
      <c r="K311" s="114" t="n"/>
      <c r="L311" s="112" t="n"/>
      <c r="M311" s="112" t="n"/>
      <c r="N311" s="112" t="n"/>
      <c r="O311" s="115" t="str">
        <f>IF(OR(D311="",F311=""),"",D311+F311)</f>
        <v/>
      </c>
      <c r="P311" s="116" t="str">
        <f>IF(O311="","",IF(ISNUMBER(M311),O311-M311,IF(OR(H311="DECISÃO D.P",ISNUMBER(N311)),"",O311-TODAY())))</f>
        <v/>
      </c>
      <c r="Q311" s="117" t="str">
        <f>IF(B311="","",IF(ISNUMBER(N311),"DECIDIDO – ","")&amp;IF(ISNUMBER(M311),IF(P311="",IF(F311="","INFORMAR PRAZO","SEM DATA"),IF(P311&gt;=0,"DEFESA NO PRAZO","DEFESA FORA DO PRAZO")),IF(OR(H311="DECISÃO D.P",ISNUMBER(N311)),"SEM DEFESA",IF(H311="","SEM STATUS",IF(F311="","INFORMAR PRAZO",IF(P311="","SEM DATA",IF(P311&lt;0,"VENCIDO",IF(P311&lt;=DiasAlerta,"VENCE EM BREVE","NO PRAZO"))))))))</f>
        <v/>
      </c>
      <c r="R311" s="118" t="str">
        <f>IF(D311="","",TODAY()-D311)</f>
        <v/>
      </c>
      <c r="S311" s="111" t="n"/>
    </row>
    <row r="312" ht="18" customHeight="1">
      <c r="A312" s="110" t="n"/>
      <c r="B312" s="111" t="n"/>
      <c r="C312" s="111" t="n"/>
      <c r="D312" s="112" t="n"/>
      <c r="E312" s="111" t="n"/>
      <c r="F312" s="110" t="n"/>
      <c r="G312" s="113" t="n"/>
      <c r="H312" s="113" t="n"/>
      <c r="I312" s="111" t="n"/>
      <c r="J312" s="114" t="n"/>
      <c r="K312" s="114" t="n"/>
      <c r="L312" s="112" t="n"/>
      <c r="M312" s="112" t="n"/>
      <c r="N312" s="112" t="n"/>
      <c r="O312" s="115" t="str">
        <f>IF(OR(D312="",F312=""),"",D312+F312)</f>
        <v/>
      </c>
      <c r="P312" s="116" t="str">
        <f>IF(O312="","",IF(ISNUMBER(M312),O312-M312,IF(OR(H312="DECISÃO D.P",ISNUMBER(N312)),"",O312-TODAY())))</f>
        <v/>
      </c>
      <c r="Q312" s="117" t="str">
        <f>IF(B312="","",IF(ISNUMBER(N312),"DECIDIDO – ","")&amp;IF(ISNUMBER(M312),IF(P312="",IF(F312="","INFORMAR PRAZO","SEM DATA"),IF(P312&gt;=0,"DEFESA NO PRAZO","DEFESA FORA DO PRAZO")),IF(OR(H312="DECISÃO D.P",ISNUMBER(N312)),"SEM DEFESA",IF(H312="","SEM STATUS",IF(F312="","INFORMAR PRAZO",IF(P312="","SEM DATA",IF(P312&lt;0,"VENCIDO",IF(P312&lt;=DiasAlerta,"VENCE EM BREVE","NO PRAZO"))))))))</f>
        <v/>
      </c>
      <c r="R312" s="118" t="str">
        <f>IF(D312="","",TODAY()-D312)</f>
        <v/>
      </c>
      <c r="S312" s="111" t="n"/>
    </row>
    <row r="313" ht="18" customHeight="1">
      <c r="A313" s="110" t="n"/>
      <c r="B313" s="111" t="n"/>
      <c r="C313" s="111" t="n"/>
      <c r="D313" s="112" t="n"/>
      <c r="E313" s="111" t="n"/>
      <c r="F313" s="110" t="n"/>
      <c r="G313" s="113" t="n"/>
      <c r="H313" s="113" t="n"/>
      <c r="I313" s="111" t="n"/>
      <c r="J313" s="114" t="n"/>
      <c r="K313" s="114" t="n"/>
      <c r="L313" s="112" t="n"/>
      <c r="M313" s="112" t="n"/>
      <c r="N313" s="112" t="n"/>
      <c r="O313" s="115" t="str">
        <f>IF(OR(D313="",F313=""),"",D313+F313)</f>
        <v/>
      </c>
      <c r="P313" s="116" t="str">
        <f>IF(O313="","",IF(ISNUMBER(M313),O313-M313,IF(OR(H313="DECISÃO D.P",ISNUMBER(N313)),"",O313-TODAY())))</f>
        <v/>
      </c>
      <c r="Q313" s="117" t="str">
        <f>IF(B313="","",IF(ISNUMBER(N313),"DECIDIDO – ","")&amp;IF(ISNUMBER(M313),IF(P313="",IF(F313="","INFORMAR PRAZO","SEM DATA"),IF(P313&gt;=0,"DEFESA NO PRAZO","DEFESA FORA DO PRAZO")),IF(OR(H313="DECISÃO D.P",ISNUMBER(N313)),"SEM DEFESA",IF(H313="","SEM STATUS",IF(F313="","INFORMAR PRAZO",IF(P313="","SEM DATA",IF(P313&lt;0,"VENCIDO",IF(P313&lt;=DiasAlerta,"VENCE EM BREVE","NO PRAZO"))))))))</f>
        <v/>
      </c>
      <c r="R313" s="118" t="str">
        <f>IF(D313="","",TODAY()-D313)</f>
        <v/>
      </c>
      <c r="S313" s="111" t="n"/>
    </row>
    <row r="314" ht="18" customHeight="1">
      <c r="A314" s="110" t="n"/>
      <c r="B314" s="111" t="n"/>
      <c r="C314" s="111" t="n"/>
      <c r="D314" s="112" t="n"/>
      <c r="E314" s="111" t="n"/>
      <c r="F314" s="110" t="n"/>
      <c r="G314" s="113" t="n"/>
      <c r="H314" s="113" t="n"/>
      <c r="I314" s="111" t="n"/>
      <c r="J314" s="114" t="n"/>
      <c r="K314" s="114" t="n"/>
      <c r="L314" s="112" t="n"/>
      <c r="M314" s="112" t="n"/>
      <c r="N314" s="112" t="n"/>
      <c r="O314" s="115" t="str">
        <f>IF(OR(D314="",F314=""),"",D314+F314)</f>
        <v/>
      </c>
      <c r="P314" s="116" t="str">
        <f>IF(O314="","",IF(ISNUMBER(M314),O314-M314,IF(OR(H314="DECISÃO D.P",ISNUMBER(N314)),"",O314-TODAY())))</f>
        <v/>
      </c>
      <c r="Q314" s="117" t="str">
        <f>IF(B314="","",IF(ISNUMBER(N314),"DECIDIDO – ","")&amp;IF(ISNUMBER(M314),IF(P314="",IF(F314="","INFORMAR PRAZO","SEM DATA"),IF(P314&gt;=0,"DEFESA NO PRAZO","DEFESA FORA DO PRAZO")),IF(OR(H314="DECISÃO D.P",ISNUMBER(N314)),"SEM DEFESA",IF(H314="","SEM STATUS",IF(F314="","INFORMAR PRAZO",IF(P314="","SEM DATA",IF(P314&lt;0,"VENCIDO",IF(P314&lt;=DiasAlerta,"VENCE EM BREVE","NO PRAZO"))))))))</f>
        <v/>
      </c>
      <c r="R314" s="118" t="str">
        <f>IF(D314="","",TODAY()-D314)</f>
        <v/>
      </c>
      <c r="S314" s="111" t="n"/>
    </row>
    <row r="315" ht="18" customHeight="1">
      <c r="A315" s="110" t="n"/>
      <c r="B315" s="111" t="n"/>
      <c r="C315" s="111" t="n"/>
      <c r="D315" s="112" t="n"/>
      <c r="E315" s="111" t="n"/>
      <c r="F315" s="110" t="n"/>
      <c r="G315" s="113" t="n"/>
      <c r="H315" s="113" t="n"/>
      <c r="I315" s="111" t="n"/>
      <c r="J315" s="114" t="n"/>
      <c r="K315" s="114" t="n"/>
      <c r="L315" s="112" t="n"/>
      <c r="M315" s="112" t="n"/>
      <c r="N315" s="112" t="n"/>
      <c r="O315" s="115" t="str">
        <f>IF(OR(D315="",F315=""),"",D315+F315)</f>
        <v/>
      </c>
      <c r="P315" s="116" t="str">
        <f>IF(O315="","",IF(ISNUMBER(M315),O315-M315,IF(OR(H315="DECISÃO D.P",ISNUMBER(N315)),"",O315-TODAY())))</f>
        <v/>
      </c>
      <c r="Q315" s="117" t="str">
        <f>IF(B315="","",IF(ISNUMBER(N315),"DECIDIDO – ","")&amp;IF(ISNUMBER(M315),IF(P315="",IF(F315="","INFORMAR PRAZO","SEM DATA"),IF(P315&gt;=0,"DEFESA NO PRAZO","DEFESA FORA DO PRAZO")),IF(OR(H315="DECISÃO D.P",ISNUMBER(N315)),"SEM DEFESA",IF(H315="","SEM STATUS",IF(F315="","INFORMAR PRAZO",IF(P315="","SEM DATA",IF(P315&lt;0,"VENCIDO",IF(P315&lt;=DiasAlerta,"VENCE EM BREVE","NO PRAZO"))))))))</f>
        <v/>
      </c>
      <c r="R315" s="118" t="str">
        <f>IF(D315="","",TODAY()-D315)</f>
        <v/>
      </c>
      <c r="S315" s="111" t="n"/>
    </row>
    <row r="316" ht="18" customHeight="1">
      <c r="A316" s="110" t="n"/>
      <c r="B316" s="111" t="n"/>
      <c r="C316" s="111" t="n"/>
      <c r="D316" s="112" t="n"/>
      <c r="E316" s="111" t="n"/>
      <c r="F316" s="110" t="n"/>
      <c r="G316" s="113" t="n"/>
      <c r="H316" s="113" t="n"/>
      <c r="I316" s="111" t="n"/>
      <c r="J316" s="114" t="n"/>
      <c r="K316" s="114" t="n"/>
      <c r="L316" s="112" t="n"/>
      <c r="M316" s="112" t="n"/>
      <c r="N316" s="112" t="n"/>
      <c r="O316" s="115" t="str">
        <f>IF(OR(D316="",F316=""),"",D316+F316)</f>
        <v/>
      </c>
      <c r="P316" s="116" t="str">
        <f>IF(O316="","",IF(ISNUMBER(M316),O316-M316,IF(OR(H316="DECISÃO D.P",ISNUMBER(N316)),"",O316-TODAY())))</f>
        <v/>
      </c>
      <c r="Q316" s="117" t="str">
        <f>IF(B316="","",IF(ISNUMBER(N316),"DECIDIDO – ","")&amp;IF(ISNUMBER(M316),IF(P316="",IF(F316="","INFORMAR PRAZO","SEM DATA"),IF(P316&gt;=0,"DEFESA NO PRAZO","DEFESA FORA DO PRAZO")),IF(OR(H316="DECISÃO D.P",ISNUMBER(N316)),"SEM DEFESA",IF(H316="","SEM STATUS",IF(F316="","INFORMAR PRAZO",IF(P316="","SEM DATA",IF(P316&lt;0,"VENCIDO",IF(P316&lt;=DiasAlerta,"VENCE EM BREVE","NO PRAZO"))))))))</f>
        <v/>
      </c>
      <c r="R316" s="118" t="str">
        <f>IF(D316="","",TODAY()-D316)</f>
        <v/>
      </c>
      <c r="S316" s="111" t="n"/>
    </row>
    <row r="317" ht="18" customHeight="1">
      <c r="A317" s="110" t="n"/>
      <c r="B317" s="111" t="n"/>
      <c r="C317" s="111" t="n"/>
      <c r="D317" s="112" t="n"/>
      <c r="E317" s="111" t="n"/>
      <c r="F317" s="110" t="n"/>
      <c r="G317" s="113" t="n"/>
      <c r="H317" s="113" t="n"/>
      <c r="I317" s="111" t="n"/>
      <c r="J317" s="114" t="n"/>
      <c r="K317" s="114" t="n"/>
      <c r="L317" s="112" t="n"/>
      <c r="M317" s="112" t="n"/>
      <c r="N317" s="112" t="n"/>
      <c r="O317" s="115" t="str">
        <f>IF(OR(D317="",F317=""),"",D317+F317)</f>
        <v/>
      </c>
      <c r="P317" s="116" t="str">
        <f>IF(O317="","",IF(ISNUMBER(M317),O317-M317,IF(OR(H317="DECISÃO D.P",ISNUMBER(N317)),"",O317-TODAY())))</f>
        <v/>
      </c>
      <c r="Q317" s="117" t="str">
        <f>IF(B317="","",IF(ISNUMBER(N317),"DECIDIDO – ","")&amp;IF(ISNUMBER(M317),IF(P317="",IF(F317="","INFORMAR PRAZO","SEM DATA"),IF(P317&gt;=0,"DEFESA NO PRAZO","DEFESA FORA DO PRAZO")),IF(OR(H317="DECISÃO D.P",ISNUMBER(N317)),"SEM DEFESA",IF(H317="","SEM STATUS",IF(F317="","INFORMAR PRAZO",IF(P317="","SEM DATA",IF(P317&lt;0,"VENCIDO",IF(P317&lt;=DiasAlerta,"VENCE EM BREVE","NO PRAZO"))))))))</f>
        <v/>
      </c>
      <c r="R317" s="118" t="str">
        <f>IF(D317="","",TODAY()-D317)</f>
        <v/>
      </c>
      <c r="S317" s="111" t="n"/>
    </row>
    <row r="318" ht="18" customHeight="1">
      <c r="A318" s="110" t="n"/>
      <c r="B318" s="111" t="n"/>
      <c r="C318" s="111" t="n"/>
      <c r="D318" s="112" t="n"/>
      <c r="E318" s="111" t="n"/>
      <c r="F318" s="110" t="n"/>
      <c r="G318" s="113" t="n"/>
      <c r="H318" s="113" t="n"/>
      <c r="I318" s="111" t="n"/>
      <c r="J318" s="114" t="n"/>
      <c r="K318" s="114" t="n"/>
      <c r="L318" s="112" t="n"/>
      <c r="M318" s="112" t="n"/>
      <c r="N318" s="112" t="n"/>
      <c r="O318" s="115" t="str">
        <f>IF(OR(D318="",F318=""),"",D318+F318)</f>
        <v/>
      </c>
      <c r="P318" s="116" t="str">
        <f>IF(O318="","",IF(ISNUMBER(M318),O318-M318,IF(OR(H318="DECISÃO D.P",ISNUMBER(N318)),"",O318-TODAY())))</f>
        <v/>
      </c>
      <c r="Q318" s="117" t="str">
        <f>IF(B318="","",IF(ISNUMBER(N318),"DECIDIDO – ","")&amp;IF(ISNUMBER(M318),IF(P318="",IF(F318="","INFORMAR PRAZO","SEM DATA"),IF(P318&gt;=0,"DEFESA NO PRAZO","DEFESA FORA DO PRAZO")),IF(OR(H318="DECISÃO D.P",ISNUMBER(N318)),"SEM DEFESA",IF(H318="","SEM STATUS",IF(F318="","INFORMAR PRAZO",IF(P318="","SEM DATA",IF(P318&lt;0,"VENCIDO",IF(P318&lt;=DiasAlerta,"VENCE EM BREVE","NO PRAZO"))))))))</f>
        <v/>
      </c>
      <c r="R318" s="118" t="str">
        <f>IF(D318="","",TODAY()-D318)</f>
        <v/>
      </c>
      <c r="S318" s="111" t="n"/>
    </row>
    <row r="319" ht="18" customHeight="1">
      <c r="A319" s="110" t="n"/>
      <c r="B319" s="111" t="n"/>
      <c r="C319" s="111" t="n"/>
      <c r="D319" s="112" t="n"/>
      <c r="E319" s="111" t="n"/>
      <c r="F319" s="110" t="n"/>
      <c r="G319" s="113" t="n"/>
      <c r="H319" s="113" t="n"/>
      <c r="I319" s="111" t="n"/>
      <c r="J319" s="114" t="n"/>
      <c r="K319" s="114" t="n"/>
      <c r="L319" s="112" t="n"/>
      <c r="M319" s="112" t="n"/>
      <c r="N319" s="112" t="n"/>
      <c r="O319" s="115" t="str">
        <f>IF(OR(D319="",F319=""),"",D319+F319)</f>
        <v/>
      </c>
      <c r="P319" s="116" t="str">
        <f>IF(O319="","",IF(ISNUMBER(M319),O319-M319,IF(OR(H319="DECISÃO D.P",ISNUMBER(N319)),"",O319-TODAY())))</f>
        <v/>
      </c>
      <c r="Q319" s="117" t="str">
        <f>IF(B319="","",IF(ISNUMBER(N319),"DECIDIDO – ","")&amp;IF(ISNUMBER(M319),IF(P319="",IF(F319="","INFORMAR PRAZO","SEM DATA"),IF(P319&gt;=0,"DEFESA NO PRAZO","DEFESA FORA DO PRAZO")),IF(OR(H319="DECISÃO D.P",ISNUMBER(N319)),"SEM DEFESA",IF(H319="","SEM STATUS",IF(F319="","INFORMAR PRAZO",IF(P319="","SEM DATA",IF(P319&lt;0,"VENCIDO",IF(P319&lt;=DiasAlerta,"VENCE EM BREVE","NO PRAZO"))))))))</f>
        <v/>
      </c>
      <c r="R319" s="118" t="str">
        <f>IF(D319="","",TODAY()-D319)</f>
        <v/>
      </c>
      <c r="S319" s="111" t="n"/>
    </row>
    <row r="320" ht="18" customHeight="1">
      <c r="A320" s="110" t="n"/>
      <c r="B320" s="111" t="n"/>
      <c r="C320" s="111" t="n"/>
      <c r="D320" s="112" t="n"/>
      <c r="E320" s="111" t="n"/>
      <c r="F320" s="110" t="n"/>
      <c r="G320" s="113" t="n"/>
      <c r="H320" s="113" t="n"/>
      <c r="I320" s="111" t="n"/>
      <c r="J320" s="114" t="n"/>
      <c r="K320" s="114" t="n"/>
      <c r="L320" s="112" t="n"/>
      <c r="M320" s="112" t="n"/>
      <c r="N320" s="112" t="n"/>
      <c r="O320" s="115" t="str">
        <f>IF(OR(D320="",F320=""),"",D320+F320)</f>
        <v/>
      </c>
      <c r="P320" s="116" t="str">
        <f>IF(O320="","",IF(ISNUMBER(M320),O320-M320,IF(OR(H320="DECISÃO D.P",ISNUMBER(N320)),"",O320-TODAY())))</f>
        <v/>
      </c>
      <c r="Q320" s="117" t="str">
        <f>IF(B320="","",IF(ISNUMBER(N320),"DECIDIDO – ","")&amp;IF(ISNUMBER(M320),IF(P320="",IF(F320="","INFORMAR PRAZO","SEM DATA"),IF(P320&gt;=0,"DEFESA NO PRAZO","DEFESA FORA DO PRAZO")),IF(OR(H320="DECISÃO D.P",ISNUMBER(N320)),"SEM DEFESA",IF(H320="","SEM STATUS",IF(F320="","INFORMAR PRAZO",IF(P320="","SEM DATA",IF(P320&lt;0,"VENCIDO",IF(P320&lt;=DiasAlerta,"VENCE EM BREVE","NO PRAZO"))))))))</f>
        <v/>
      </c>
      <c r="R320" s="118" t="str">
        <f>IF(D320="","",TODAY()-D320)</f>
        <v/>
      </c>
      <c r="S320" s="111" t="n"/>
    </row>
    <row r="321" ht="18" customHeight="1">
      <c r="A321" s="110" t="n"/>
      <c r="B321" s="111" t="n"/>
      <c r="C321" s="111" t="n"/>
      <c r="D321" s="112" t="n"/>
      <c r="E321" s="111" t="n"/>
      <c r="F321" s="110" t="n"/>
      <c r="G321" s="113" t="n"/>
      <c r="H321" s="113" t="n"/>
      <c r="I321" s="111" t="n"/>
      <c r="J321" s="114" t="n"/>
      <c r="K321" s="114" t="n"/>
      <c r="L321" s="112" t="n"/>
      <c r="M321" s="112" t="n"/>
      <c r="N321" s="112" t="n"/>
      <c r="O321" s="115" t="str">
        <f>IF(OR(D321="",F321=""),"",D321+F321)</f>
        <v/>
      </c>
      <c r="P321" s="116" t="str">
        <f>IF(O321="","",IF(ISNUMBER(M321),O321-M321,IF(OR(H321="DECISÃO D.P",ISNUMBER(N321)),"",O321-TODAY())))</f>
        <v/>
      </c>
      <c r="Q321" s="117" t="str">
        <f>IF(B321="","",IF(ISNUMBER(N321),"DECIDIDO – ","")&amp;IF(ISNUMBER(M321),IF(P321="",IF(F321="","INFORMAR PRAZO","SEM DATA"),IF(P321&gt;=0,"DEFESA NO PRAZO","DEFESA FORA DO PRAZO")),IF(OR(H321="DECISÃO D.P",ISNUMBER(N321)),"SEM DEFESA",IF(H321="","SEM STATUS",IF(F321="","INFORMAR PRAZO",IF(P321="","SEM DATA",IF(P321&lt;0,"VENCIDO",IF(P321&lt;=DiasAlerta,"VENCE EM BREVE","NO PRAZO"))))))))</f>
        <v/>
      </c>
      <c r="R321" s="118" t="str">
        <f>IF(D321="","",TODAY()-D321)</f>
        <v/>
      </c>
      <c r="S321" s="111" t="n"/>
    </row>
    <row r="322" ht="18" customHeight="1">
      <c r="A322" s="110" t="n"/>
      <c r="B322" s="111" t="n"/>
      <c r="C322" s="111" t="n"/>
      <c r="D322" s="112" t="n"/>
      <c r="E322" s="111" t="n"/>
      <c r="F322" s="110" t="n"/>
      <c r="G322" s="113" t="n"/>
      <c r="H322" s="113" t="n"/>
      <c r="I322" s="111" t="n"/>
      <c r="J322" s="114" t="n"/>
      <c r="K322" s="114" t="n"/>
      <c r="L322" s="112" t="n"/>
      <c r="M322" s="112" t="n"/>
      <c r="N322" s="112" t="n"/>
      <c r="O322" s="115" t="str">
        <f>IF(OR(D322="",F322=""),"",D322+F322)</f>
        <v/>
      </c>
      <c r="P322" s="116" t="str">
        <f>IF(O322="","",IF(ISNUMBER(M322),O322-M322,IF(OR(H322="DECISÃO D.P",ISNUMBER(N322)),"",O322-TODAY())))</f>
        <v/>
      </c>
      <c r="Q322" s="117" t="str">
        <f>IF(B322="","",IF(ISNUMBER(N322),"DECIDIDO – ","")&amp;IF(ISNUMBER(M322),IF(P322="",IF(F322="","INFORMAR PRAZO","SEM DATA"),IF(P322&gt;=0,"DEFESA NO PRAZO","DEFESA FORA DO PRAZO")),IF(OR(H322="DECISÃO D.P",ISNUMBER(N322)),"SEM DEFESA",IF(H322="","SEM STATUS",IF(F322="","INFORMAR PRAZO",IF(P322="","SEM DATA",IF(P322&lt;0,"VENCIDO",IF(P322&lt;=DiasAlerta,"VENCE EM BREVE","NO PRAZO"))))))))</f>
        <v/>
      </c>
      <c r="R322" s="118" t="str">
        <f>IF(D322="","",TODAY()-D322)</f>
        <v/>
      </c>
      <c r="S322" s="111" t="n"/>
    </row>
    <row r="323" ht="18" customHeight="1">
      <c r="A323" s="110" t="n"/>
      <c r="B323" s="111" t="n"/>
      <c r="C323" s="111" t="n"/>
      <c r="D323" s="112" t="n"/>
      <c r="E323" s="111" t="n"/>
      <c r="F323" s="110" t="n"/>
      <c r="G323" s="113" t="n"/>
      <c r="H323" s="113" t="n"/>
      <c r="I323" s="111" t="n"/>
      <c r="J323" s="114" t="n"/>
      <c r="K323" s="114" t="n"/>
      <c r="L323" s="112" t="n"/>
      <c r="M323" s="112" t="n"/>
      <c r="N323" s="112" t="n"/>
      <c r="O323" s="115" t="str">
        <f>IF(OR(D323="",F323=""),"",D323+F323)</f>
        <v/>
      </c>
      <c r="P323" s="116" t="str">
        <f>IF(O323="","",IF(ISNUMBER(M323),O323-M323,IF(OR(H323="DECISÃO D.P",ISNUMBER(N323)),"",O323-TODAY())))</f>
        <v/>
      </c>
      <c r="Q323" s="117" t="str">
        <f>IF(B323="","",IF(ISNUMBER(N323),"DECIDIDO – ","")&amp;IF(ISNUMBER(M323),IF(P323="",IF(F323="","INFORMAR PRAZO","SEM DATA"),IF(P323&gt;=0,"DEFESA NO PRAZO","DEFESA FORA DO PRAZO")),IF(OR(H323="DECISÃO D.P",ISNUMBER(N323)),"SEM DEFESA",IF(H323="","SEM STATUS",IF(F323="","INFORMAR PRAZO",IF(P323="","SEM DATA",IF(P323&lt;0,"VENCIDO",IF(P323&lt;=DiasAlerta,"VENCE EM BREVE","NO PRAZO"))))))))</f>
        <v/>
      </c>
      <c r="R323" s="118" t="str">
        <f>IF(D323="","",TODAY()-D323)</f>
        <v/>
      </c>
      <c r="S323" s="111" t="n"/>
    </row>
    <row r="324" ht="18" customHeight="1">
      <c r="A324" s="110" t="n"/>
      <c r="B324" s="111" t="n"/>
      <c r="C324" s="111" t="n"/>
      <c r="D324" s="112" t="n"/>
      <c r="E324" s="111" t="n"/>
      <c r="F324" s="110" t="n"/>
      <c r="G324" s="113" t="n"/>
      <c r="H324" s="113" t="n"/>
      <c r="I324" s="111" t="n"/>
      <c r="J324" s="114" t="n"/>
      <c r="K324" s="114" t="n"/>
      <c r="L324" s="112" t="n"/>
      <c r="M324" s="112" t="n"/>
      <c r="N324" s="112" t="n"/>
      <c r="O324" s="115" t="str">
        <f>IF(OR(D324="",F324=""),"",D324+F324)</f>
        <v/>
      </c>
      <c r="P324" s="116" t="str">
        <f>IF(O324="","",IF(ISNUMBER(M324),O324-M324,IF(OR(H324="DECISÃO D.P",ISNUMBER(N324)),"",O324-TODAY())))</f>
        <v/>
      </c>
      <c r="Q324" s="117" t="str">
        <f>IF(B324="","",IF(ISNUMBER(N324),"DECIDIDO – ","")&amp;IF(ISNUMBER(M324),IF(P324="",IF(F324="","INFORMAR PRAZO","SEM DATA"),IF(P324&gt;=0,"DEFESA NO PRAZO","DEFESA FORA DO PRAZO")),IF(OR(H324="DECISÃO D.P",ISNUMBER(N324)),"SEM DEFESA",IF(H324="","SEM STATUS",IF(F324="","INFORMAR PRAZO",IF(P324="","SEM DATA",IF(P324&lt;0,"VENCIDO",IF(P324&lt;=DiasAlerta,"VENCE EM BREVE","NO PRAZO"))))))))</f>
        <v/>
      </c>
      <c r="R324" s="118" t="str">
        <f>IF(D324="","",TODAY()-D324)</f>
        <v/>
      </c>
      <c r="S324" s="111" t="n"/>
    </row>
    <row r="325" ht="18" customHeight="1">
      <c r="A325" s="110" t="n"/>
      <c r="B325" s="111" t="n"/>
      <c r="C325" s="111" t="n"/>
      <c r="D325" s="112" t="n"/>
      <c r="E325" s="111" t="n"/>
      <c r="F325" s="110" t="n"/>
      <c r="G325" s="113" t="n"/>
      <c r="H325" s="113" t="n"/>
      <c r="I325" s="111" t="n"/>
      <c r="J325" s="114" t="n"/>
      <c r="K325" s="114" t="n"/>
      <c r="L325" s="112" t="n"/>
      <c r="M325" s="112" t="n"/>
      <c r="N325" s="112" t="n"/>
      <c r="O325" s="115" t="str">
        <f>IF(OR(D325="",F325=""),"",D325+F325)</f>
        <v/>
      </c>
      <c r="P325" s="116" t="str">
        <f>IF(O325="","",IF(ISNUMBER(M325),O325-M325,IF(OR(H325="DECISÃO D.P",ISNUMBER(N325)),"",O325-TODAY())))</f>
        <v/>
      </c>
      <c r="Q325" s="117" t="str">
        <f>IF(B325="","",IF(ISNUMBER(N325),"DECIDIDO – ","")&amp;IF(ISNUMBER(M325),IF(P325="",IF(F325="","INFORMAR PRAZO","SEM DATA"),IF(P325&gt;=0,"DEFESA NO PRAZO","DEFESA FORA DO PRAZO")),IF(OR(H325="DECISÃO D.P",ISNUMBER(N325)),"SEM DEFESA",IF(H325="","SEM STATUS",IF(F325="","INFORMAR PRAZO",IF(P325="","SEM DATA",IF(P325&lt;0,"VENCIDO",IF(P325&lt;=DiasAlerta,"VENCE EM BREVE","NO PRAZO"))))))))</f>
        <v/>
      </c>
      <c r="R325" s="118" t="str">
        <f>IF(D325="","",TODAY()-D325)</f>
        <v/>
      </c>
      <c r="S325" s="111" t="n"/>
    </row>
    <row r="326" ht="18" customHeight="1">
      <c r="A326" s="110" t="n"/>
      <c r="B326" s="111" t="n"/>
      <c r="C326" s="111" t="n"/>
      <c r="D326" s="112" t="n"/>
      <c r="E326" s="111" t="n"/>
      <c r="F326" s="110" t="n"/>
      <c r="G326" s="113" t="n"/>
      <c r="H326" s="113" t="n"/>
      <c r="I326" s="111" t="n"/>
      <c r="J326" s="114" t="n"/>
      <c r="K326" s="114" t="n"/>
      <c r="L326" s="112" t="n"/>
      <c r="M326" s="112" t="n"/>
      <c r="N326" s="112" t="n"/>
      <c r="O326" s="115" t="str">
        <f>IF(OR(D326="",F326=""),"",D326+F326)</f>
        <v/>
      </c>
      <c r="P326" s="116" t="str">
        <f>IF(O326="","",IF(ISNUMBER(M326),O326-M326,IF(OR(H326="DECISÃO D.P",ISNUMBER(N326)),"",O326-TODAY())))</f>
        <v/>
      </c>
      <c r="Q326" s="117" t="str">
        <f>IF(B326="","",IF(ISNUMBER(N326),"DECIDIDO – ","")&amp;IF(ISNUMBER(M326),IF(P326="",IF(F326="","INFORMAR PRAZO","SEM DATA"),IF(P326&gt;=0,"DEFESA NO PRAZO","DEFESA FORA DO PRAZO")),IF(OR(H326="DECISÃO D.P",ISNUMBER(N326)),"SEM DEFESA",IF(H326="","SEM STATUS",IF(F326="","INFORMAR PRAZO",IF(P326="","SEM DATA",IF(P326&lt;0,"VENCIDO",IF(P326&lt;=DiasAlerta,"VENCE EM BREVE","NO PRAZO"))))))))</f>
        <v/>
      </c>
      <c r="R326" s="118" t="str">
        <f>IF(D326="","",TODAY()-D326)</f>
        <v/>
      </c>
      <c r="S326" s="111" t="n"/>
    </row>
    <row r="327" ht="18" customHeight="1">
      <c r="A327" s="110" t="n"/>
      <c r="B327" s="111" t="n"/>
      <c r="C327" s="111" t="n"/>
      <c r="D327" s="112" t="n"/>
      <c r="E327" s="111" t="n"/>
      <c r="F327" s="110" t="n"/>
      <c r="G327" s="113" t="n"/>
      <c r="H327" s="113" t="n"/>
      <c r="I327" s="111" t="n"/>
      <c r="J327" s="114" t="n"/>
      <c r="K327" s="114" t="n"/>
      <c r="L327" s="112" t="n"/>
      <c r="M327" s="112" t="n"/>
      <c r="N327" s="112" t="n"/>
      <c r="O327" s="115" t="str">
        <f>IF(OR(D327="",F327=""),"",D327+F327)</f>
        <v/>
      </c>
      <c r="P327" s="116" t="str">
        <f>IF(O327="","",IF(ISNUMBER(M327),O327-M327,IF(OR(H327="DECISÃO D.P",ISNUMBER(N327)),"",O327-TODAY())))</f>
        <v/>
      </c>
      <c r="Q327" s="117" t="str">
        <f>IF(B327="","",IF(ISNUMBER(N327),"DECIDIDO – ","")&amp;IF(ISNUMBER(M327),IF(P327="",IF(F327="","INFORMAR PRAZO","SEM DATA"),IF(P327&gt;=0,"DEFESA NO PRAZO","DEFESA FORA DO PRAZO")),IF(OR(H327="DECISÃO D.P",ISNUMBER(N327)),"SEM DEFESA",IF(H327="","SEM STATUS",IF(F327="","INFORMAR PRAZO",IF(P327="","SEM DATA",IF(P327&lt;0,"VENCIDO",IF(P327&lt;=DiasAlerta,"VENCE EM BREVE","NO PRAZO"))))))))</f>
        <v/>
      </c>
      <c r="R327" s="118" t="str">
        <f>IF(D327="","",TODAY()-D327)</f>
        <v/>
      </c>
      <c r="S327" s="111" t="n"/>
    </row>
    <row r="328" ht="18" customHeight="1">
      <c r="A328" s="110" t="n"/>
      <c r="B328" s="111" t="n"/>
      <c r="C328" s="111" t="n"/>
      <c r="D328" s="112" t="n"/>
      <c r="E328" s="111" t="n"/>
      <c r="F328" s="110" t="n"/>
      <c r="G328" s="113" t="n"/>
      <c r="H328" s="113" t="n"/>
      <c r="I328" s="111" t="n"/>
      <c r="J328" s="114" t="n"/>
      <c r="K328" s="114" t="n"/>
      <c r="L328" s="112" t="n"/>
      <c r="M328" s="112" t="n"/>
      <c r="N328" s="112" t="n"/>
      <c r="O328" s="115" t="str">
        <f>IF(OR(D328="",F328=""),"",D328+F328)</f>
        <v/>
      </c>
      <c r="P328" s="116" t="str">
        <f>IF(O328="","",IF(ISNUMBER(M328),O328-M328,IF(OR(H328="DECISÃO D.P",ISNUMBER(N328)),"",O328-TODAY())))</f>
        <v/>
      </c>
      <c r="Q328" s="117" t="str">
        <f>IF(B328="","",IF(ISNUMBER(N328),"DECIDIDO – ","")&amp;IF(ISNUMBER(M328),IF(P328="",IF(F328="","INFORMAR PRAZO","SEM DATA"),IF(P328&gt;=0,"DEFESA NO PRAZO","DEFESA FORA DO PRAZO")),IF(OR(H328="DECISÃO D.P",ISNUMBER(N328)),"SEM DEFESA",IF(H328="","SEM STATUS",IF(F328="","INFORMAR PRAZO",IF(P328="","SEM DATA",IF(P328&lt;0,"VENCIDO",IF(P328&lt;=DiasAlerta,"VENCE EM BREVE","NO PRAZO"))))))))</f>
        <v/>
      </c>
      <c r="R328" s="118" t="str">
        <f>IF(D328="","",TODAY()-D328)</f>
        <v/>
      </c>
      <c r="S328" s="111" t="n"/>
    </row>
    <row r="329" ht="18" customHeight="1">
      <c r="A329" s="110" t="n"/>
      <c r="B329" s="111" t="n"/>
      <c r="C329" s="111" t="n"/>
      <c r="D329" s="112" t="n"/>
      <c r="E329" s="111" t="n"/>
      <c r="F329" s="110" t="n"/>
      <c r="G329" s="113" t="n"/>
      <c r="H329" s="113" t="n"/>
      <c r="I329" s="111" t="n"/>
      <c r="J329" s="114" t="n"/>
      <c r="K329" s="114" t="n"/>
      <c r="L329" s="112" t="n"/>
      <c r="M329" s="112" t="n"/>
      <c r="N329" s="112" t="n"/>
      <c r="O329" s="115" t="str">
        <f>IF(OR(D329="",F329=""),"",D329+F329)</f>
        <v/>
      </c>
      <c r="P329" s="116" t="str">
        <f>IF(O329="","",IF(ISNUMBER(M329),O329-M329,IF(OR(H329="DECISÃO D.P",ISNUMBER(N329)),"",O329-TODAY())))</f>
        <v/>
      </c>
      <c r="Q329" s="117" t="str">
        <f>IF(B329="","",IF(ISNUMBER(N329),"DECIDIDO – ","")&amp;IF(ISNUMBER(M329),IF(P329="",IF(F329="","INFORMAR PRAZO","SEM DATA"),IF(P329&gt;=0,"DEFESA NO PRAZO","DEFESA FORA DO PRAZO")),IF(OR(H329="DECISÃO D.P",ISNUMBER(N329)),"SEM DEFESA",IF(H329="","SEM STATUS",IF(F329="","INFORMAR PRAZO",IF(P329="","SEM DATA",IF(P329&lt;0,"VENCIDO",IF(P329&lt;=DiasAlerta,"VENCE EM BREVE","NO PRAZO"))))))))</f>
        <v/>
      </c>
      <c r="R329" s="118" t="str">
        <f>IF(D329="","",TODAY()-D329)</f>
        <v/>
      </c>
      <c r="S329" s="111" t="n"/>
    </row>
    <row r="330" ht="18" customHeight="1">
      <c r="A330" s="110" t="n"/>
      <c r="B330" s="111" t="n"/>
      <c r="C330" s="111" t="n"/>
      <c r="D330" s="112" t="n"/>
      <c r="E330" s="111" t="n"/>
      <c r="F330" s="110" t="n"/>
      <c r="G330" s="113" t="n"/>
      <c r="H330" s="113" t="n"/>
      <c r="I330" s="111" t="n"/>
      <c r="J330" s="114" t="n"/>
      <c r="K330" s="114" t="n"/>
      <c r="L330" s="112" t="n"/>
      <c r="M330" s="112" t="n"/>
      <c r="N330" s="112" t="n"/>
      <c r="O330" s="115" t="str">
        <f>IF(OR(D330="",F330=""),"",D330+F330)</f>
        <v/>
      </c>
      <c r="P330" s="116" t="str">
        <f>IF(O330="","",IF(ISNUMBER(M330),O330-M330,IF(OR(H330="DECISÃO D.P",ISNUMBER(N330)),"",O330-TODAY())))</f>
        <v/>
      </c>
      <c r="Q330" s="117" t="str">
        <f>IF(B330="","",IF(ISNUMBER(N330),"DECIDIDO – ","")&amp;IF(ISNUMBER(M330),IF(P330="",IF(F330="","INFORMAR PRAZO","SEM DATA"),IF(P330&gt;=0,"DEFESA NO PRAZO","DEFESA FORA DO PRAZO")),IF(OR(H330="DECISÃO D.P",ISNUMBER(N330)),"SEM DEFESA",IF(H330="","SEM STATUS",IF(F330="","INFORMAR PRAZO",IF(P330="","SEM DATA",IF(P330&lt;0,"VENCIDO",IF(P330&lt;=DiasAlerta,"VENCE EM BREVE","NO PRAZO"))))))))</f>
        <v/>
      </c>
      <c r="R330" s="118" t="str">
        <f>IF(D330="","",TODAY()-D330)</f>
        <v/>
      </c>
      <c r="S330" s="111" t="n"/>
    </row>
    <row r="331" ht="18" customHeight="1">
      <c r="A331" s="110" t="n"/>
      <c r="B331" s="111" t="n"/>
      <c r="C331" s="111" t="n"/>
      <c r="D331" s="112" t="n"/>
      <c r="E331" s="111" t="n"/>
      <c r="F331" s="110" t="n"/>
      <c r="G331" s="113" t="n"/>
      <c r="H331" s="113" t="n"/>
      <c r="I331" s="111" t="n"/>
      <c r="J331" s="114" t="n"/>
      <c r="K331" s="114" t="n"/>
      <c r="L331" s="112" t="n"/>
      <c r="M331" s="112" t="n"/>
      <c r="N331" s="112" t="n"/>
      <c r="O331" s="115" t="str">
        <f>IF(OR(D331="",F331=""),"",D331+F331)</f>
        <v/>
      </c>
      <c r="P331" s="116" t="str">
        <f>IF(O331="","",IF(ISNUMBER(M331),O331-M331,IF(OR(H331="DECISÃO D.P",ISNUMBER(N331)),"",O331-TODAY())))</f>
        <v/>
      </c>
      <c r="Q331" s="117" t="str">
        <f>IF(B331="","",IF(ISNUMBER(N331),"DECIDIDO – ","")&amp;IF(ISNUMBER(M331),IF(P331="",IF(F331="","INFORMAR PRAZO","SEM DATA"),IF(P331&gt;=0,"DEFESA NO PRAZO","DEFESA FORA DO PRAZO")),IF(OR(H331="DECISÃO D.P",ISNUMBER(N331)),"SEM DEFESA",IF(H331="","SEM STATUS",IF(F331="","INFORMAR PRAZO",IF(P331="","SEM DATA",IF(P331&lt;0,"VENCIDO",IF(P331&lt;=DiasAlerta,"VENCE EM BREVE","NO PRAZO"))))))))</f>
        <v/>
      </c>
      <c r="R331" s="118" t="str">
        <f>IF(D331="","",TODAY()-D331)</f>
        <v/>
      </c>
      <c r="S331" s="111" t="n"/>
    </row>
    <row r="332" ht="18" customHeight="1">
      <c r="A332" s="110" t="n"/>
      <c r="B332" s="111" t="n"/>
      <c r="C332" s="111" t="n"/>
      <c r="D332" s="112" t="n"/>
      <c r="E332" s="111" t="n"/>
      <c r="F332" s="110" t="n"/>
      <c r="G332" s="113" t="n"/>
      <c r="H332" s="113" t="n"/>
      <c r="I332" s="111" t="n"/>
      <c r="J332" s="114" t="n"/>
      <c r="K332" s="114" t="n"/>
      <c r="L332" s="112" t="n"/>
      <c r="M332" s="112" t="n"/>
      <c r="N332" s="112" t="n"/>
      <c r="O332" s="115" t="str">
        <f>IF(OR(D332="",F332=""),"",D332+F332)</f>
        <v/>
      </c>
      <c r="P332" s="116" t="str">
        <f>IF(O332="","",IF(ISNUMBER(M332),O332-M332,IF(OR(H332="DECISÃO D.P",ISNUMBER(N332)),"",O332-TODAY())))</f>
        <v/>
      </c>
      <c r="Q332" s="117" t="str">
        <f>IF(B332="","",IF(ISNUMBER(N332),"DECIDIDO – ","")&amp;IF(ISNUMBER(M332),IF(P332="",IF(F332="","INFORMAR PRAZO","SEM DATA"),IF(P332&gt;=0,"DEFESA NO PRAZO","DEFESA FORA DO PRAZO")),IF(OR(H332="DECISÃO D.P",ISNUMBER(N332)),"SEM DEFESA",IF(H332="","SEM STATUS",IF(F332="","INFORMAR PRAZO",IF(P332="","SEM DATA",IF(P332&lt;0,"VENCIDO",IF(P332&lt;=DiasAlerta,"VENCE EM BREVE","NO PRAZO"))))))))</f>
        <v/>
      </c>
      <c r="R332" s="118" t="str">
        <f>IF(D332="","",TODAY()-D332)</f>
        <v/>
      </c>
      <c r="S332" s="111" t="n"/>
    </row>
    <row r="333" ht="18" customHeight="1">
      <c r="A333" s="110" t="n"/>
      <c r="B333" s="111" t="n"/>
      <c r="C333" s="111" t="n"/>
      <c r="D333" s="112" t="n"/>
      <c r="E333" s="111" t="n"/>
      <c r="F333" s="110" t="n"/>
      <c r="G333" s="113" t="n"/>
      <c r="H333" s="113" t="n"/>
      <c r="I333" s="111" t="n"/>
      <c r="J333" s="114" t="n"/>
      <c r="K333" s="114" t="n"/>
      <c r="L333" s="112" t="n"/>
      <c r="M333" s="112" t="n"/>
      <c r="N333" s="112" t="n"/>
      <c r="O333" s="115" t="str">
        <f>IF(OR(D333="",F333=""),"",D333+F333)</f>
        <v/>
      </c>
      <c r="P333" s="116" t="str">
        <f>IF(O333="","",IF(ISNUMBER(M333),O333-M333,IF(OR(H333="DECISÃO D.P",ISNUMBER(N333)),"",O333-TODAY())))</f>
        <v/>
      </c>
      <c r="Q333" s="117" t="str">
        <f>IF(B333="","",IF(ISNUMBER(N333),"DECIDIDO – ","")&amp;IF(ISNUMBER(M333),IF(P333="",IF(F333="","INFORMAR PRAZO","SEM DATA"),IF(P333&gt;=0,"DEFESA NO PRAZO","DEFESA FORA DO PRAZO")),IF(OR(H333="DECISÃO D.P",ISNUMBER(N333)),"SEM DEFESA",IF(H333="","SEM STATUS",IF(F333="","INFORMAR PRAZO",IF(P333="","SEM DATA",IF(P333&lt;0,"VENCIDO",IF(P333&lt;=DiasAlerta,"VENCE EM BREVE","NO PRAZO"))))))))</f>
        <v/>
      </c>
      <c r="R333" s="118" t="str">
        <f>IF(D333="","",TODAY()-D333)</f>
        <v/>
      </c>
      <c r="S333" s="111" t="n"/>
    </row>
    <row r="334" ht="18" customHeight="1">
      <c r="A334" s="110" t="n"/>
      <c r="B334" s="111" t="n"/>
      <c r="C334" s="111" t="n"/>
      <c r="D334" s="112" t="n"/>
      <c r="E334" s="111" t="n"/>
      <c r="F334" s="110" t="n"/>
      <c r="G334" s="113" t="n"/>
      <c r="H334" s="113" t="n"/>
      <c r="I334" s="111" t="n"/>
      <c r="J334" s="114" t="n"/>
      <c r="K334" s="114" t="n"/>
      <c r="L334" s="112" t="n"/>
      <c r="M334" s="112" t="n"/>
      <c r="N334" s="112" t="n"/>
      <c r="O334" s="115" t="str">
        <f>IF(OR(D334="",F334=""),"",D334+F334)</f>
        <v/>
      </c>
      <c r="P334" s="116" t="str">
        <f>IF(O334="","",IF(ISNUMBER(M334),O334-M334,IF(OR(H334="DECISÃO D.P",ISNUMBER(N334)),"",O334-TODAY())))</f>
        <v/>
      </c>
      <c r="Q334" s="117" t="str">
        <f>IF(B334="","",IF(ISNUMBER(N334),"DECIDIDO – ","")&amp;IF(ISNUMBER(M334),IF(P334="",IF(F334="","INFORMAR PRAZO","SEM DATA"),IF(P334&gt;=0,"DEFESA NO PRAZO","DEFESA FORA DO PRAZO")),IF(OR(H334="DECISÃO D.P",ISNUMBER(N334)),"SEM DEFESA",IF(H334="","SEM STATUS",IF(F334="","INFORMAR PRAZO",IF(P334="","SEM DATA",IF(P334&lt;0,"VENCIDO",IF(P334&lt;=DiasAlerta,"VENCE EM BREVE","NO PRAZO"))))))))</f>
        <v/>
      </c>
      <c r="R334" s="118" t="str">
        <f>IF(D334="","",TODAY()-D334)</f>
        <v/>
      </c>
      <c r="S334" s="111" t="n"/>
    </row>
    <row r="335" ht="18" customHeight="1">
      <c r="A335" s="110" t="n"/>
      <c r="B335" s="111" t="n"/>
      <c r="C335" s="111" t="n"/>
      <c r="D335" s="112" t="n"/>
      <c r="E335" s="111" t="n"/>
      <c r="F335" s="110" t="n"/>
      <c r="G335" s="113" t="n"/>
      <c r="H335" s="113" t="n"/>
      <c r="I335" s="111" t="n"/>
      <c r="J335" s="114" t="n"/>
      <c r="K335" s="114" t="n"/>
      <c r="L335" s="112" t="n"/>
      <c r="M335" s="112" t="n"/>
      <c r="N335" s="112" t="n"/>
      <c r="O335" s="115" t="str">
        <f>IF(OR(D335="",F335=""),"",D335+F335)</f>
        <v/>
      </c>
      <c r="P335" s="116" t="str">
        <f>IF(O335="","",IF(ISNUMBER(M335),O335-M335,IF(OR(H335="DECISÃO D.P",ISNUMBER(N335)),"",O335-TODAY())))</f>
        <v/>
      </c>
      <c r="Q335" s="117" t="str">
        <f>IF(B335="","",IF(ISNUMBER(N335),"DECIDIDO – ","")&amp;IF(ISNUMBER(M335),IF(P335="",IF(F335="","INFORMAR PRAZO","SEM DATA"),IF(P335&gt;=0,"DEFESA NO PRAZO","DEFESA FORA DO PRAZO")),IF(OR(H335="DECISÃO D.P",ISNUMBER(N335)),"SEM DEFESA",IF(H335="","SEM STATUS",IF(F335="","INFORMAR PRAZO",IF(P335="","SEM DATA",IF(P335&lt;0,"VENCIDO",IF(P335&lt;=DiasAlerta,"VENCE EM BREVE","NO PRAZO"))))))))</f>
        <v/>
      </c>
      <c r="R335" s="118" t="str">
        <f>IF(D335="","",TODAY()-D335)</f>
        <v/>
      </c>
      <c r="S335" s="111" t="n"/>
    </row>
    <row r="336" ht="18" customHeight="1">
      <c r="A336" s="110" t="n"/>
      <c r="B336" s="111" t="n"/>
      <c r="C336" s="111" t="n"/>
      <c r="D336" s="112" t="n"/>
      <c r="E336" s="111" t="n"/>
      <c r="F336" s="110" t="n"/>
      <c r="G336" s="113" t="n"/>
      <c r="H336" s="113" t="n"/>
      <c r="I336" s="111" t="n"/>
      <c r="J336" s="114" t="n"/>
      <c r="K336" s="114" t="n"/>
      <c r="L336" s="112" t="n"/>
      <c r="M336" s="112" t="n"/>
      <c r="N336" s="112" t="n"/>
      <c r="O336" s="115" t="str">
        <f>IF(OR(D336="",F336=""),"",D336+F336)</f>
        <v/>
      </c>
      <c r="P336" s="116" t="str">
        <f>IF(O336="","",IF(ISNUMBER(M336),O336-M336,IF(OR(H336="DECISÃO D.P",ISNUMBER(N336)),"",O336-TODAY())))</f>
        <v/>
      </c>
      <c r="Q336" s="117" t="str">
        <f>IF(B336="","",IF(ISNUMBER(N336),"DECIDIDO – ","")&amp;IF(ISNUMBER(M336),IF(P336="",IF(F336="","INFORMAR PRAZO","SEM DATA"),IF(P336&gt;=0,"DEFESA NO PRAZO","DEFESA FORA DO PRAZO")),IF(OR(H336="DECISÃO D.P",ISNUMBER(N336)),"SEM DEFESA",IF(H336="","SEM STATUS",IF(F336="","INFORMAR PRAZO",IF(P336="","SEM DATA",IF(P336&lt;0,"VENCIDO",IF(P336&lt;=DiasAlerta,"VENCE EM BREVE","NO PRAZO"))))))))</f>
        <v/>
      </c>
      <c r="R336" s="118" t="str">
        <f>IF(D336="","",TODAY()-D336)</f>
        <v/>
      </c>
      <c r="S336" s="111" t="n"/>
    </row>
    <row r="337" ht="18" customHeight="1">
      <c r="A337" s="110" t="n"/>
      <c r="B337" s="111" t="n"/>
      <c r="C337" s="111" t="n"/>
      <c r="D337" s="112" t="n"/>
      <c r="E337" s="111" t="n"/>
      <c r="F337" s="110" t="n"/>
      <c r="G337" s="113" t="n"/>
      <c r="H337" s="113" t="n"/>
      <c r="I337" s="111" t="n"/>
      <c r="J337" s="114" t="n"/>
      <c r="K337" s="114" t="n"/>
      <c r="L337" s="112" t="n"/>
      <c r="M337" s="112" t="n"/>
      <c r="N337" s="112" t="n"/>
      <c r="O337" s="115" t="str">
        <f>IF(OR(D337="",F337=""),"",D337+F337)</f>
        <v/>
      </c>
      <c r="P337" s="116" t="str">
        <f>IF(O337="","",IF(ISNUMBER(M337),O337-M337,IF(OR(H337="DECISÃO D.P",ISNUMBER(N337)),"",O337-TODAY())))</f>
        <v/>
      </c>
      <c r="Q337" s="117" t="str">
        <f>IF(B337="","",IF(ISNUMBER(N337),"DECIDIDO – ","")&amp;IF(ISNUMBER(M337),IF(P337="",IF(F337="","INFORMAR PRAZO","SEM DATA"),IF(P337&gt;=0,"DEFESA NO PRAZO","DEFESA FORA DO PRAZO")),IF(OR(H337="DECISÃO D.P",ISNUMBER(N337)),"SEM DEFESA",IF(H337="","SEM STATUS",IF(F337="","INFORMAR PRAZO",IF(P337="","SEM DATA",IF(P337&lt;0,"VENCIDO",IF(P337&lt;=DiasAlerta,"VENCE EM BREVE","NO PRAZO"))))))))</f>
        <v/>
      </c>
      <c r="R337" s="118" t="str">
        <f>IF(D337="","",TODAY()-D337)</f>
        <v/>
      </c>
      <c r="S337" s="111" t="n"/>
    </row>
    <row r="338" ht="18" customHeight="1">
      <c r="A338" s="110" t="n"/>
      <c r="B338" s="111" t="n"/>
      <c r="C338" s="111" t="n"/>
      <c r="D338" s="112" t="n"/>
      <c r="E338" s="111" t="n"/>
      <c r="F338" s="110" t="n"/>
      <c r="G338" s="113" t="n"/>
      <c r="H338" s="113" t="n"/>
      <c r="I338" s="111" t="n"/>
      <c r="J338" s="114" t="n"/>
      <c r="K338" s="114" t="n"/>
      <c r="L338" s="112" t="n"/>
      <c r="M338" s="112" t="n"/>
      <c r="N338" s="112" t="n"/>
      <c r="O338" s="115" t="str">
        <f>IF(OR(D338="",F338=""),"",D338+F338)</f>
        <v/>
      </c>
      <c r="P338" s="116" t="str">
        <f>IF(O338="","",IF(ISNUMBER(M338),O338-M338,IF(OR(H338="DECISÃO D.P",ISNUMBER(N338)),"",O338-TODAY())))</f>
        <v/>
      </c>
      <c r="Q338" s="117" t="str">
        <f>IF(B338="","",IF(ISNUMBER(N338),"DECIDIDO – ","")&amp;IF(ISNUMBER(M338),IF(P338="",IF(F338="","INFORMAR PRAZO","SEM DATA"),IF(P338&gt;=0,"DEFESA NO PRAZO","DEFESA FORA DO PRAZO")),IF(OR(H338="DECISÃO D.P",ISNUMBER(N338)),"SEM DEFESA",IF(H338="","SEM STATUS",IF(F338="","INFORMAR PRAZO",IF(P338="","SEM DATA",IF(P338&lt;0,"VENCIDO",IF(P338&lt;=DiasAlerta,"VENCE EM BREVE","NO PRAZO"))))))))</f>
        <v/>
      </c>
      <c r="R338" s="118" t="str">
        <f>IF(D338="","",TODAY()-D338)</f>
        <v/>
      </c>
      <c r="S338" s="111" t="n"/>
    </row>
    <row r="339" ht="18" customHeight="1">
      <c r="A339" s="110" t="n"/>
      <c r="B339" s="111" t="n"/>
      <c r="C339" s="111" t="n"/>
      <c r="D339" s="112" t="n"/>
      <c r="E339" s="111" t="n"/>
      <c r="F339" s="110" t="n"/>
      <c r="G339" s="113" t="n"/>
      <c r="H339" s="113" t="n"/>
      <c r="I339" s="111" t="n"/>
      <c r="J339" s="114" t="n"/>
      <c r="K339" s="114" t="n"/>
      <c r="L339" s="112" t="n"/>
      <c r="M339" s="112" t="n"/>
      <c r="N339" s="112" t="n"/>
      <c r="O339" s="115" t="str">
        <f>IF(OR(D339="",F339=""),"",D339+F339)</f>
        <v/>
      </c>
      <c r="P339" s="116" t="str">
        <f>IF(O339="","",IF(ISNUMBER(M339),O339-M339,IF(OR(H339="DECISÃO D.P",ISNUMBER(N339)),"",O339-TODAY())))</f>
        <v/>
      </c>
      <c r="Q339" s="117" t="str">
        <f>IF(B339="","",IF(ISNUMBER(N339),"DECIDIDO – ","")&amp;IF(ISNUMBER(M339),IF(P339="",IF(F339="","INFORMAR PRAZO","SEM DATA"),IF(P339&gt;=0,"DEFESA NO PRAZO","DEFESA FORA DO PRAZO")),IF(OR(H339="DECISÃO D.P",ISNUMBER(N339)),"SEM DEFESA",IF(H339="","SEM STATUS",IF(F339="","INFORMAR PRAZO",IF(P339="","SEM DATA",IF(P339&lt;0,"VENCIDO",IF(P339&lt;=DiasAlerta,"VENCE EM BREVE","NO PRAZO"))))))))</f>
        <v/>
      </c>
      <c r="R339" s="118" t="str">
        <f>IF(D339="","",TODAY()-D339)</f>
        <v/>
      </c>
      <c r="S339" s="111" t="n"/>
    </row>
    <row r="340" ht="18" customHeight="1">
      <c r="A340" s="110" t="n"/>
      <c r="B340" s="111" t="n"/>
      <c r="C340" s="111" t="n"/>
      <c r="D340" s="112" t="n"/>
      <c r="E340" s="111" t="n"/>
      <c r="F340" s="110" t="n"/>
      <c r="G340" s="113" t="n"/>
      <c r="H340" s="113" t="n"/>
      <c r="I340" s="111" t="n"/>
      <c r="J340" s="114" t="n"/>
      <c r="K340" s="114" t="n"/>
      <c r="L340" s="112" t="n"/>
      <c r="M340" s="112" t="n"/>
      <c r="N340" s="112" t="n"/>
      <c r="O340" s="115" t="str">
        <f>IF(OR(D340="",F340=""),"",D340+F340)</f>
        <v/>
      </c>
      <c r="P340" s="116" t="str">
        <f>IF(O340="","",IF(ISNUMBER(M340),O340-M340,IF(OR(H340="DECISÃO D.P",ISNUMBER(N340)),"",O340-TODAY())))</f>
        <v/>
      </c>
      <c r="Q340" s="117" t="str">
        <f>IF(B340="","",IF(ISNUMBER(N340),"DECIDIDO – ","")&amp;IF(ISNUMBER(M340),IF(P340="",IF(F340="","INFORMAR PRAZO","SEM DATA"),IF(P340&gt;=0,"DEFESA NO PRAZO","DEFESA FORA DO PRAZO")),IF(OR(H340="DECISÃO D.P",ISNUMBER(N340)),"SEM DEFESA",IF(H340="","SEM STATUS",IF(F340="","INFORMAR PRAZO",IF(P340="","SEM DATA",IF(P340&lt;0,"VENCIDO",IF(P340&lt;=DiasAlerta,"VENCE EM BREVE","NO PRAZO"))))))))</f>
        <v/>
      </c>
      <c r="R340" s="118" t="str">
        <f>IF(D340="","",TODAY()-D340)</f>
        <v/>
      </c>
      <c r="S340" s="111" t="n"/>
    </row>
    <row r="341" ht="18" customHeight="1">
      <c r="A341" s="110" t="n"/>
      <c r="B341" s="111" t="n"/>
      <c r="C341" s="111" t="n"/>
      <c r="D341" s="112" t="n"/>
      <c r="E341" s="111" t="n"/>
      <c r="F341" s="110" t="n"/>
      <c r="G341" s="113" t="n"/>
      <c r="H341" s="113" t="n"/>
      <c r="I341" s="111" t="n"/>
      <c r="J341" s="114" t="n"/>
      <c r="K341" s="114" t="n"/>
      <c r="L341" s="112" t="n"/>
      <c r="M341" s="112" t="n"/>
      <c r="N341" s="112" t="n"/>
      <c r="O341" s="115" t="str">
        <f>IF(OR(D341="",F341=""),"",D341+F341)</f>
        <v/>
      </c>
      <c r="P341" s="116" t="str">
        <f>IF(O341="","",IF(ISNUMBER(M341),O341-M341,IF(OR(H341="DECISÃO D.P",ISNUMBER(N341)),"",O341-TODAY())))</f>
        <v/>
      </c>
      <c r="Q341" s="117" t="str">
        <f>IF(B341="","",IF(ISNUMBER(N341),"DECIDIDO – ","")&amp;IF(ISNUMBER(M341),IF(P341="",IF(F341="","INFORMAR PRAZO","SEM DATA"),IF(P341&gt;=0,"DEFESA NO PRAZO","DEFESA FORA DO PRAZO")),IF(OR(H341="DECISÃO D.P",ISNUMBER(N341)),"SEM DEFESA",IF(H341="","SEM STATUS",IF(F341="","INFORMAR PRAZO",IF(P341="","SEM DATA",IF(P341&lt;0,"VENCIDO",IF(P341&lt;=DiasAlerta,"VENCE EM BREVE","NO PRAZO"))))))))</f>
        <v/>
      </c>
      <c r="R341" s="118" t="str">
        <f>IF(D341="","",TODAY()-D341)</f>
        <v/>
      </c>
      <c r="S341" s="111" t="n"/>
    </row>
    <row r="342" ht="18" customHeight="1">
      <c r="A342" s="110" t="n"/>
      <c r="B342" s="111" t="n"/>
      <c r="C342" s="111" t="n"/>
      <c r="D342" s="112" t="n"/>
      <c r="E342" s="111" t="n"/>
      <c r="F342" s="110" t="n"/>
      <c r="G342" s="113" t="n"/>
      <c r="H342" s="113" t="n"/>
      <c r="I342" s="111" t="n"/>
      <c r="J342" s="114" t="n"/>
      <c r="K342" s="114" t="n"/>
      <c r="L342" s="112" t="n"/>
      <c r="M342" s="112" t="n"/>
      <c r="N342" s="112" t="n"/>
      <c r="O342" s="115" t="str">
        <f>IF(OR(D342="",F342=""),"",D342+F342)</f>
        <v/>
      </c>
      <c r="P342" s="116" t="str">
        <f>IF(O342="","",IF(ISNUMBER(M342),O342-M342,IF(OR(H342="DECISÃO D.P",ISNUMBER(N342)),"",O342-TODAY())))</f>
        <v/>
      </c>
      <c r="Q342" s="117" t="str">
        <f>IF(B342="","",IF(ISNUMBER(N342),"DECIDIDO – ","")&amp;IF(ISNUMBER(M342),IF(P342="",IF(F342="","INFORMAR PRAZO","SEM DATA"),IF(P342&gt;=0,"DEFESA NO PRAZO","DEFESA FORA DO PRAZO")),IF(OR(H342="DECISÃO D.P",ISNUMBER(N342)),"SEM DEFESA",IF(H342="","SEM STATUS",IF(F342="","INFORMAR PRAZO",IF(P342="","SEM DATA",IF(P342&lt;0,"VENCIDO",IF(P342&lt;=DiasAlerta,"VENCE EM BREVE","NO PRAZO"))))))))</f>
        <v/>
      </c>
      <c r="R342" s="118" t="str">
        <f>IF(D342="","",TODAY()-D342)</f>
        <v/>
      </c>
      <c r="S342" s="111" t="n"/>
    </row>
    <row r="343" ht="18" customHeight="1">
      <c r="A343" s="110" t="n"/>
      <c r="B343" s="111" t="n"/>
      <c r="C343" s="111" t="n"/>
      <c r="D343" s="112" t="n"/>
      <c r="E343" s="111" t="n"/>
      <c r="F343" s="110" t="n"/>
      <c r="G343" s="113" t="n"/>
      <c r="H343" s="113" t="n"/>
      <c r="I343" s="111" t="n"/>
      <c r="J343" s="114" t="n"/>
      <c r="K343" s="114" t="n"/>
      <c r="L343" s="112" t="n"/>
      <c r="M343" s="112" t="n"/>
      <c r="N343" s="112" t="n"/>
      <c r="O343" s="115" t="str">
        <f>IF(OR(D343="",F343=""),"",D343+F343)</f>
        <v/>
      </c>
      <c r="P343" s="116" t="str">
        <f>IF(O343="","",IF(ISNUMBER(M343),O343-M343,IF(OR(H343="DECISÃO D.P",ISNUMBER(N343)),"",O343-TODAY())))</f>
        <v/>
      </c>
      <c r="Q343" s="117" t="str">
        <f>IF(B343="","",IF(ISNUMBER(N343),"DECIDIDO – ","")&amp;IF(ISNUMBER(M343),IF(P343="",IF(F343="","INFORMAR PRAZO","SEM DATA"),IF(P343&gt;=0,"DEFESA NO PRAZO","DEFESA FORA DO PRAZO")),IF(OR(H343="DECISÃO D.P",ISNUMBER(N343)),"SEM DEFESA",IF(H343="","SEM STATUS",IF(F343="","INFORMAR PRAZO",IF(P343="","SEM DATA",IF(P343&lt;0,"VENCIDO",IF(P343&lt;=DiasAlerta,"VENCE EM BREVE","NO PRAZO"))))))))</f>
        <v/>
      </c>
      <c r="R343" s="118" t="str">
        <f>IF(D343="","",TODAY()-D343)</f>
        <v/>
      </c>
      <c r="S343" s="111" t="n"/>
    </row>
    <row r="344" ht="18" customHeight="1">
      <c r="A344" s="110" t="n"/>
      <c r="B344" s="111" t="n"/>
      <c r="C344" s="111" t="n"/>
      <c r="D344" s="112" t="n"/>
      <c r="E344" s="111" t="n"/>
      <c r="F344" s="110" t="n"/>
      <c r="G344" s="113" t="n"/>
      <c r="H344" s="113" t="n"/>
      <c r="I344" s="111" t="n"/>
      <c r="J344" s="114" t="n"/>
      <c r="K344" s="114" t="n"/>
      <c r="L344" s="112" t="n"/>
      <c r="M344" s="112" t="n"/>
      <c r="N344" s="112" t="n"/>
      <c r="O344" s="115" t="str">
        <f>IF(OR(D344="",F344=""),"",D344+F344)</f>
        <v/>
      </c>
      <c r="P344" s="116" t="str">
        <f>IF(O344="","",IF(ISNUMBER(M344),O344-M344,IF(OR(H344="DECISÃO D.P",ISNUMBER(N344)),"",O344-TODAY())))</f>
        <v/>
      </c>
      <c r="Q344" s="117" t="str">
        <f>IF(B344="","",IF(ISNUMBER(N344),"DECIDIDO – ","")&amp;IF(ISNUMBER(M344),IF(P344="",IF(F344="","INFORMAR PRAZO","SEM DATA"),IF(P344&gt;=0,"DEFESA NO PRAZO","DEFESA FORA DO PRAZO")),IF(OR(H344="DECISÃO D.P",ISNUMBER(N344)),"SEM DEFESA",IF(H344="","SEM STATUS",IF(F344="","INFORMAR PRAZO",IF(P344="","SEM DATA",IF(P344&lt;0,"VENCIDO",IF(P344&lt;=DiasAlerta,"VENCE EM BREVE","NO PRAZO"))))))))</f>
        <v/>
      </c>
      <c r="R344" s="118" t="str">
        <f>IF(D344="","",TODAY()-D344)</f>
        <v/>
      </c>
      <c r="S344" s="111" t="n"/>
    </row>
    <row r="345" ht="18" customHeight="1">
      <c r="A345" s="110" t="n"/>
      <c r="B345" s="111" t="n"/>
      <c r="C345" s="111" t="n"/>
      <c r="D345" s="112" t="n"/>
      <c r="E345" s="111" t="n"/>
      <c r="F345" s="110" t="n"/>
      <c r="G345" s="113" t="n"/>
      <c r="H345" s="113" t="n"/>
      <c r="I345" s="111" t="n"/>
      <c r="J345" s="114" t="n"/>
      <c r="K345" s="114" t="n"/>
      <c r="L345" s="112" t="n"/>
      <c r="M345" s="112" t="n"/>
      <c r="N345" s="112" t="n"/>
      <c r="O345" s="115" t="str">
        <f>IF(OR(D345="",F345=""),"",D345+F345)</f>
        <v/>
      </c>
      <c r="P345" s="116" t="str">
        <f>IF(O345="","",IF(ISNUMBER(M345),O345-M345,IF(OR(H345="DECISÃO D.P",ISNUMBER(N345)),"",O345-TODAY())))</f>
        <v/>
      </c>
      <c r="Q345" s="117" t="str">
        <f>IF(B345="","",IF(ISNUMBER(N345),"DECIDIDO – ","")&amp;IF(ISNUMBER(M345),IF(P345="",IF(F345="","INFORMAR PRAZO","SEM DATA"),IF(P345&gt;=0,"DEFESA NO PRAZO","DEFESA FORA DO PRAZO")),IF(OR(H345="DECISÃO D.P",ISNUMBER(N345)),"SEM DEFESA",IF(H345="","SEM STATUS",IF(F345="","INFORMAR PRAZO",IF(P345="","SEM DATA",IF(P345&lt;0,"VENCIDO",IF(P345&lt;=DiasAlerta,"VENCE EM BREVE","NO PRAZO"))))))))</f>
        <v/>
      </c>
      <c r="R345" s="118" t="str">
        <f>IF(D345="","",TODAY()-D345)</f>
        <v/>
      </c>
      <c r="S345" s="111" t="n"/>
    </row>
    <row r="346" ht="18" customHeight="1">
      <c r="A346" s="110" t="n"/>
      <c r="B346" s="111" t="n"/>
      <c r="C346" s="111" t="n"/>
      <c r="D346" s="112" t="n"/>
      <c r="E346" s="111" t="n"/>
      <c r="F346" s="110" t="n"/>
      <c r="G346" s="113" t="n"/>
      <c r="H346" s="113" t="n"/>
      <c r="I346" s="111" t="n"/>
      <c r="J346" s="114" t="n"/>
      <c r="K346" s="114" t="n"/>
      <c r="L346" s="112" t="n"/>
      <c r="M346" s="112" t="n"/>
      <c r="N346" s="112" t="n"/>
      <c r="O346" s="115" t="str">
        <f>IF(OR(D346="",F346=""),"",D346+F346)</f>
        <v/>
      </c>
      <c r="P346" s="116" t="str">
        <f>IF(O346="","",IF(ISNUMBER(M346),O346-M346,IF(OR(H346="DECISÃO D.P",ISNUMBER(N346)),"",O346-TODAY())))</f>
        <v/>
      </c>
      <c r="Q346" s="117" t="str">
        <f>IF(B346="","",IF(ISNUMBER(N346),"DECIDIDO – ","")&amp;IF(ISNUMBER(M346),IF(P346="",IF(F346="","INFORMAR PRAZO","SEM DATA"),IF(P346&gt;=0,"DEFESA NO PRAZO","DEFESA FORA DO PRAZO")),IF(OR(H346="DECISÃO D.P",ISNUMBER(N346)),"SEM DEFESA",IF(H346="","SEM STATUS",IF(F346="","INFORMAR PRAZO",IF(P346="","SEM DATA",IF(P346&lt;0,"VENCIDO",IF(P346&lt;=DiasAlerta,"VENCE EM BREVE","NO PRAZO"))))))))</f>
        <v/>
      </c>
      <c r="R346" s="118" t="str">
        <f>IF(D346="","",TODAY()-D346)</f>
        <v/>
      </c>
      <c r="S346" s="111" t="n"/>
    </row>
    <row r="347" ht="18" customHeight="1">
      <c r="A347" s="110" t="n"/>
      <c r="B347" s="111" t="n"/>
      <c r="C347" s="111" t="n"/>
      <c r="D347" s="112" t="n"/>
      <c r="E347" s="111" t="n"/>
      <c r="F347" s="110" t="n"/>
      <c r="G347" s="113" t="n"/>
      <c r="H347" s="113" t="n"/>
      <c r="I347" s="111" t="n"/>
      <c r="J347" s="114" t="n"/>
      <c r="K347" s="114" t="n"/>
      <c r="L347" s="112" t="n"/>
      <c r="M347" s="112" t="n"/>
      <c r="N347" s="112" t="n"/>
      <c r="O347" s="115" t="str">
        <f>IF(OR(D347="",F347=""),"",D347+F347)</f>
        <v/>
      </c>
      <c r="P347" s="116" t="str">
        <f>IF(O347="","",IF(ISNUMBER(M347),O347-M347,IF(OR(H347="DECISÃO D.P",ISNUMBER(N347)),"",O347-TODAY())))</f>
        <v/>
      </c>
      <c r="Q347" s="117" t="str">
        <f>IF(B347="","",IF(ISNUMBER(N347),"DECIDIDO – ","")&amp;IF(ISNUMBER(M347),IF(P347="",IF(F347="","INFORMAR PRAZO","SEM DATA"),IF(P347&gt;=0,"DEFESA NO PRAZO","DEFESA FORA DO PRAZO")),IF(OR(H347="DECISÃO D.P",ISNUMBER(N347)),"SEM DEFESA",IF(H347="","SEM STATUS",IF(F347="","INFORMAR PRAZO",IF(P347="","SEM DATA",IF(P347&lt;0,"VENCIDO",IF(P347&lt;=DiasAlerta,"VENCE EM BREVE","NO PRAZO"))))))))</f>
        <v/>
      </c>
      <c r="R347" s="118" t="str">
        <f>IF(D347="","",TODAY()-D347)</f>
        <v/>
      </c>
      <c r="S347" s="111" t="n"/>
    </row>
    <row r="348" ht="18" customHeight="1">
      <c r="A348" s="110" t="n"/>
      <c r="B348" s="111" t="n"/>
      <c r="C348" s="111" t="n"/>
      <c r="D348" s="112" t="n"/>
      <c r="E348" s="111" t="n"/>
      <c r="F348" s="110" t="n"/>
      <c r="G348" s="113" t="n"/>
      <c r="H348" s="113" t="n"/>
      <c r="I348" s="111" t="n"/>
      <c r="J348" s="114" t="n"/>
      <c r="K348" s="114" t="n"/>
      <c r="L348" s="112" t="n"/>
      <c r="M348" s="112" t="n"/>
      <c r="N348" s="112" t="n"/>
      <c r="O348" s="115" t="str">
        <f>IF(OR(D348="",F348=""),"",D348+F348)</f>
        <v/>
      </c>
      <c r="P348" s="116" t="str">
        <f>IF(O348="","",IF(ISNUMBER(M348),O348-M348,IF(OR(H348="DECISÃO D.P",ISNUMBER(N348)),"",O348-TODAY())))</f>
        <v/>
      </c>
      <c r="Q348" s="117" t="str">
        <f>IF(B348="","",IF(ISNUMBER(N348),"DECIDIDO – ","")&amp;IF(ISNUMBER(M348),IF(P348="",IF(F348="","INFORMAR PRAZO","SEM DATA"),IF(P348&gt;=0,"DEFESA NO PRAZO","DEFESA FORA DO PRAZO")),IF(OR(H348="DECISÃO D.P",ISNUMBER(N348)),"SEM DEFESA",IF(H348="","SEM STATUS",IF(F348="","INFORMAR PRAZO",IF(P348="","SEM DATA",IF(P348&lt;0,"VENCIDO",IF(P348&lt;=DiasAlerta,"VENCE EM BREVE","NO PRAZO"))))))))</f>
        <v/>
      </c>
      <c r="R348" s="118" t="str">
        <f>IF(D348="","",TODAY()-D348)</f>
        <v/>
      </c>
      <c r="S348" s="111" t="n"/>
    </row>
    <row r="349" ht="18" customHeight="1">
      <c r="A349" s="110" t="n"/>
      <c r="B349" s="111" t="n"/>
      <c r="C349" s="111" t="n"/>
      <c r="D349" s="112" t="n"/>
      <c r="E349" s="111" t="n"/>
      <c r="F349" s="110" t="n"/>
      <c r="G349" s="113" t="n"/>
      <c r="H349" s="113" t="n"/>
      <c r="I349" s="111" t="n"/>
      <c r="J349" s="114" t="n"/>
      <c r="K349" s="114" t="n"/>
      <c r="L349" s="112" t="n"/>
      <c r="M349" s="112" t="n"/>
      <c r="N349" s="112" t="n"/>
      <c r="O349" s="115" t="str">
        <f>IF(OR(D349="",F349=""),"",D349+F349)</f>
        <v/>
      </c>
      <c r="P349" s="116" t="str">
        <f>IF(O349="","",IF(ISNUMBER(M349),O349-M349,IF(OR(H349="DECISÃO D.P",ISNUMBER(N349)),"",O349-TODAY())))</f>
        <v/>
      </c>
      <c r="Q349" s="117" t="str">
        <f>IF(B349="","",IF(ISNUMBER(N349),"DECIDIDO – ","")&amp;IF(ISNUMBER(M349),IF(P349="",IF(F349="","INFORMAR PRAZO","SEM DATA"),IF(P349&gt;=0,"DEFESA NO PRAZO","DEFESA FORA DO PRAZO")),IF(OR(H349="DECISÃO D.P",ISNUMBER(N349)),"SEM DEFESA",IF(H349="","SEM STATUS",IF(F349="","INFORMAR PRAZO",IF(P349="","SEM DATA",IF(P349&lt;0,"VENCIDO",IF(P349&lt;=DiasAlerta,"VENCE EM BREVE","NO PRAZO"))))))))</f>
        <v/>
      </c>
      <c r="R349" s="118" t="str">
        <f>IF(D349="","",TODAY()-D349)</f>
        <v/>
      </c>
      <c r="S349" s="111" t="n"/>
    </row>
    <row r="350" ht="18" customHeight="1">
      <c r="A350" s="110" t="n"/>
      <c r="B350" s="111" t="n"/>
      <c r="C350" s="111" t="n"/>
      <c r="D350" s="112" t="n"/>
      <c r="E350" s="111" t="n"/>
      <c r="F350" s="110" t="n"/>
      <c r="G350" s="113" t="n"/>
      <c r="H350" s="113" t="n"/>
      <c r="I350" s="111" t="n"/>
      <c r="J350" s="114" t="n"/>
      <c r="K350" s="114" t="n"/>
      <c r="L350" s="112" t="n"/>
      <c r="M350" s="112" t="n"/>
      <c r="N350" s="112" t="n"/>
      <c r="O350" s="115" t="str">
        <f>IF(OR(D350="",F350=""),"",D350+F350)</f>
        <v/>
      </c>
      <c r="P350" s="116" t="str">
        <f>IF(O350="","",IF(ISNUMBER(M350),O350-M350,IF(OR(H350="DECISÃO D.P",ISNUMBER(N350)),"",O350-TODAY())))</f>
        <v/>
      </c>
      <c r="Q350" s="117" t="str">
        <f>IF(B350="","",IF(ISNUMBER(N350),"DECIDIDO – ","")&amp;IF(ISNUMBER(M350),IF(P350="",IF(F350="","INFORMAR PRAZO","SEM DATA"),IF(P350&gt;=0,"DEFESA NO PRAZO","DEFESA FORA DO PRAZO")),IF(OR(H350="DECISÃO D.P",ISNUMBER(N350)),"SEM DEFESA",IF(H350="","SEM STATUS",IF(F350="","INFORMAR PRAZO",IF(P350="","SEM DATA",IF(P350&lt;0,"VENCIDO",IF(P350&lt;=DiasAlerta,"VENCE EM BREVE","NO PRAZO"))))))))</f>
        <v/>
      </c>
      <c r="R350" s="118" t="str">
        <f>IF(D350="","",TODAY()-D350)</f>
        <v/>
      </c>
      <c r="S350" s="111" t="n"/>
    </row>
    <row r="351" ht="18" customHeight="1">
      <c r="A351" s="110" t="n"/>
      <c r="B351" s="111" t="n"/>
      <c r="C351" s="111" t="n"/>
      <c r="D351" s="112" t="n"/>
      <c r="E351" s="111" t="n"/>
      <c r="F351" s="110" t="n"/>
      <c r="G351" s="113" t="n"/>
      <c r="H351" s="113" t="n"/>
      <c r="I351" s="111" t="n"/>
      <c r="J351" s="114" t="n"/>
      <c r="K351" s="114" t="n"/>
      <c r="L351" s="112" t="n"/>
      <c r="M351" s="112" t="n"/>
      <c r="N351" s="112" t="n"/>
      <c r="O351" s="115" t="str">
        <f>IF(OR(D351="",F351=""),"",D351+F351)</f>
        <v/>
      </c>
      <c r="P351" s="116" t="str">
        <f>IF(O351="","",IF(ISNUMBER(M351),O351-M351,IF(OR(H351="DECISÃO D.P",ISNUMBER(N351)),"",O351-TODAY())))</f>
        <v/>
      </c>
      <c r="Q351" s="117" t="str">
        <f>IF(B351="","",IF(ISNUMBER(N351),"DECIDIDO – ","")&amp;IF(ISNUMBER(M351),IF(P351="",IF(F351="","INFORMAR PRAZO","SEM DATA"),IF(P351&gt;=0,"DEFESA NO PRAZO","DEFESA FORA DO PRAZO")),IF(OR(H351="DECISÃO D.P",ISNUMBER(N351)),"SEM DEFESA",IF(H351="","SEM STATUS",IF(F351="","INFORMAR PRAZO",IF(P351="","SEM DATA",IF(P351&lt;0,"VENCIDO",IF(P351&lt;=DiasAlerta,"VENCE EM BREVE","NO PRAZO"))))))))</f>
        <v/>
      </c>
      <c r="R351" s="118" t="str">
        <f>IF(D351="","",TODAY()-D351)</f>
        <v/>
      </c>
      <c r="S351" s="111" t="n"/>
    </row>
    <row r="352" ht="18" customHeight="1">
      <c r="A352" s="110" t="n"/>
      <c r="B352" s="111" t="n"/>
      <c r="C352" s="111" t="n"/>
      <c r="D352" s="112" t="n"/>
      <c r="E352" s="111" t="n"/>
      <c r="F352" s="110" t="n"/>
      <c r="G352" s="113" t="n"/>
      <c r="H352" s="113" t="n"/>
      <c r="I352" s="111" t="n"/>
      <c r="J352" s="114" t="n"/>
      <c r="K352" s="114" t="n"/>
      <c r="L352" s="112" t="n"/>
      <c r="M352" s="112" t="n"/>
      <c r="N352" s="112" t="n"/>
      <c r="O352" s="115" t="str">
        <f>IF(OR(D352="",F352=""),"",D352+F352)</f>
        <v/>
      </c>
      <c r="P352" s="116" t="str">
        <f>IF(O352="","",IF(ISNUMBER(M352),O352-M352,IF(OR(H352="DECISÃO D.P",ISNUMBER(N352)),"",O352-TODAY())))</f>
        <v/>
      </c>
      <c r="Q352" s="117" t="str">
        <f>IF(B352="","",IF(ISNUMBER(N352),"DECIDIDO – ","")&amp;IF(ISNUMBER(M352),IF(P352="",IF(F352="","INFORMAR PRAZO","SEM DATA"),IF(P352&gt;=0,"DEFESA NO PRAZO","DEFESA FORA DO PRAZO")),IF(OR(H352="DECISÃO D.P",ISNUMBER(N352)),"SEM DEFESA",IF(H352="","SEM STATUS",IF(F352="","INFORMAR PRAZO",IF(P352="","SEM DATA",IF(P352&lt;0,"VENCIDO",IF(P352&lt;=DiasAlerta,"VENCE EM BREVE","NO PRAZO"))))))))</f>
        <v/>
      </c>
      <c r="R352" s="118" t="str">
        <f>IF(D352="","",TODAY()-D352)</f>
        <v/>
      </c>
      <c r="S352" s="111" t="n"/>
    </row>
    <row r="353" ht="18" customHeight="1">
      <c r="A353" s="110" t="n"/>
      <c r="B353" s="111" t="n"/>
      <c r="C353" s="111" t="n"/>
      <c r="D353" s="112" t="n"/>
      <c r="E353" s="111" t="n"/>
      <c r="F353" s="110" t="n"/>
      <c r="G353" s="113" t="n"/>
      <c r="H353" s="113" t="n"/>
      <c r="I353" s="111" t="n"/>
      <c r="J353" s="114" t="n"/>
      <c r="K353" s="114" t="n"/>
      <c r="L353" s="112" t="n"/>
      <c r="M353" s="112" t="n"/>
      <c r="N353" s="112" t="n"/>
      <c r="O353" s="115" t="str">
        <f>IF(OR(D353="",F353=""),"",D353+F353)</f>
        <v/>
      </c>
      <c r="P353" s="116" t="str">
        <f>IF(O353="","",IF(ISNUMBER(M353),O353-M353,IF(OR(H353="DECISÃO D.P",ISNUMBER(N353)),"",O353-TODAY())))</f>
        <v/>
      </c>
      <c r="Q353" s="117" t="str">
        <f>IF(B353="","",IF(ISNUMBER(N353),"DECIDIDO – ","")&amp;IF(ISNUMBER(M353),IF(P353="",IF(F353="","INFORMAR PRAZO","SEM DATA"),IF(P353&gt;=0,"DEFESA NO PRAZO","DEFESA FORA DO PRAZO")),IF(OR(H353="DECISÃO D.P",ISNUMBER(N353)),"SEM DEFESA",IF(H353="","SEM STATUS",IF(F353="","INFORMAR PRAZO",IF(P353="","SEM DATA",IF(P353&lt;0,"VENCIDO",IF(P353&lt;=DiasAlerta,"VENCE EM BREVE","NO PRAZO"))))))))</f>
        <v/>
      </c>
      <c r="R353" s="118" t="str">
        <f>IF(D353="","",TODAY()-D353)</f>
        <v/>
      </c>
      <c r="S353" s="111" t="n"/>
    </row>
    <row r="354" ht="18" customHeight="1">
      <c r="A354" s="110" t="n"/>
      <c r="B354" s="111" t="n"/>
      <c r="C354" s="111" t="n"/>
      <c r="D354" s="112" t="n"/>
      <c r="E354" s="111" t="n"/>
      <c r="F354" s="110" t="n"/>
      <c r="G354" s="113" t="n"/>
      <c r="H354" s="113" t="n"/>
      <c r="I354" s="111" t="n"/>
      <c r="J354" s="114" t="n"/>
      <c r="K354" s="114" t="n"/>
      <c r="L354" s="112" t="n"/>
      <c r="M354" s="112" t="n"/>
      <c r="N354" s="112" t="n"/>
      <c r="O354" s="115" t="str">
        <f>IF(OR(D354="",F354=""),"",D354+F354)</f>
        <v/>
      </c>
      <c r="P354" s="116" t="str">
        <f>IF(O354="","",IF(ISNUMBER(M354),O354-M354,IF(OR(H354="DECISÃO D.P",ISNUMBER(N354)),"",O354-TODAY())))</f>
        <v/>
      </c>
      <c r="Q354" s="117" t="str">
        <f>IF(B354="","",IF(ISNUMBER(N354),"DECIDIDO – ","")&amp;IF(ISNUMBER(M354),IF(P354="",IF(F354="","INFORMAR PRAZO","SEM DATA"),IF(P354&gt;=0,"DEFESA NO PRAZO","DEFESA FORA DO PRAZO")),IF(OR(H354="DECISÃO D.P",ISNUMBER(N354)),"SEM DEFESA",IF(H354="","SEM STATUS",IF(F354="","INFORMAR PRAZO",IF(P354="","SEM DATA",IF(P354&lt;0,"VENCIDO",IF(P354&lt;=DiasAlerta,"VENCE EM BREVE","NO PRAZO"))))))))</f>
        <v/>
      </c>
      <c r="R354" s="118" t="str">
        <f>IF(D354="","",TODAY()-D354)</f>
        <v/>
      </c>
      <c r="S354" s="111" t="n"/>
    </row>
    <row r="355" ht="18" customHeight="1">
      <c r="A355" s="110" t="n"/>
      <c r="B355" s="111" t="n"/>
      <c r="C355" s="111" t="n"/>
      <c r="D355" s="112" t="n"/>
      <c r="E355" s="111" t="n"/>
      <c r="F355" s="110" t="n"/>
      <c r="G355" s="113" t="n"/>
      <c r="H355" s="113" t="n"/>
      <c r="I355" s="111" t="n"/>
      <c r="J355" s="114" t="n"/>
      <c r="K355" s="114" t="n"/>
      <c r="L355" s="112" t="n"/>
      <c r="M355" s="112" t="n"/>
      <c r="N355" s="112" t="n"/>
      <c r="O355" s="115" t="str">
        <f>IF(OR(D355="",F355=""),"",D355+F355)</f>
        <v/>
      </c>
      <c r="P355" s="116" t="str">
        <f>IF(O355="","",IF(ISNUMBER(M355),O355-M355,IF(OR(H355="DECISÃO D.P",ISNUMBER(N355)),"",O355-TODAY())))</f>
        <v/>
      </c>
      <c r="Q355" s="117" t="str">
        <f>IF(B355="","",IF(ISNUMBER(N355),"DECIDIDO – ","")&amp;IF(ISNUMBER(M355),IF(P355="",IF(F355="","INFORMAR PRAZO","SEM DATA"),IF(P355&gt;=0,"DEFESA NO PRAZO","DEFESA FORA DO PRAZO")),IF(OR(H355="DECISÃO D.P",ISNUMBER(N355)),"SEM DEFESA",IF(H355="","SEM STATUS",IF(F355="","INFORMAR PRAZO",IF(P355="","SEM DATA",IF(P355&lt;0,"VENCIDO",IF(P355&lt;=DiasAlerta,"VENCE EM BREVE","NO PRAZO"))))))))</f>
        <v/>
      </c>
      <c r="R355" s="118" t="str">
        <f>IF(D355="","",TODAY()-D355)</f>
        <v/>
      </c>
      <c r="S355" s="111" t="n"/>
    </row>
    <row r="356" ht="18" customHeight="1">
      <c r="A356" s="110" t="n"/>
      <c r="B356" s="111" t="n"/>
      <c r="C356" s="111" t="n"/>
      <c r="D356" s="112" t="n"/>
      <c r="E356" s="111" t="n"/>
      <c r="F356" s="110" t="n"/>
      <c r="G356" s="113" t="n"/>
      <c r="H356" s="113" t="n"/>
      <c r="I356" s="111" t="n"/>
      <c r="J356" s="114" t="n"/>
      <c r="K356" s="114" t="n"/>
      <c r="L356" s="112" t="n"/>
      <c r="M356" s="112" t="n"/>
      <c r="N356" s="112" t="n"/>
      <c r="O356" s="115" t="str">
        <f>IF(OR(D356="",F356=""),"",D356+F356)</f>
        <v/>
      </c>
      <c r="P356" s="116" t="str">
        <f>IF(O356="","",IF(ISNUMBER(M356),O356-M356,IF(OR(H356="DECISÃO D.P",ISNUMBER(N356)),"",O356-TODAY())))</f>
        <v/>
      </c>
      <c r="Q356" s="117" t="str">
        <f>IF(B356="","",IF(ISNUMBER(N356),"DECIDIDO – ","")&amp;IF(ISNUMBER(M356),IF(P356="",IF(F356="","INFORMAR PRAZO","SEM DATA"),IF(P356&gt;=0,"DEFESA NO PRAZO","DEFESA FORA DO PRAZO")),IF(OR(H356="DECISÃO D.P",ISNUMBER(N356)),"SEM DEFESA",IF(H356="","SEM STATUS",IF(F356="","INFORMAR PRAZO",IF(P356="","SEM DATA",IF(P356&lt;0,"VENCIDO",IF(P356&lt;=DiasAlerta,"VENCE EM BREVE","NO PRAZO"))))))))</f>
        <v/>
      </c>
      <c r="R356" s="118" t="str">
        <f>IF(D356="","",TODAY()-D356)</f>
        <v/>
      </c>
      <c r="S356" s="111" t="n"/>
    </row>
    <row r="357" ht="18" customHeight="1">
      <c r="A357" s="110" t="n"/>
      <c r="B357" s="111" t="n"/>
      <c r="C357" s="111" t="n"/>
      <c r="D357" s="112" t="n"/>
      <c r="E357" s="111" t="n"/>
      <c r="F357" s="110" t="n"/>
      <c r="G357" s="113" t="n"/>
      <c r="H357" s="113" t="n"/>
      <c r="I357" s="111" t="n"/>
      <c r="J357" s="114" t="n"/>
      <c r="K357" s="114" t="n"/>
      <c r="L357" s="112" t="n"/>
      <c r="M357" s="112" t="n"/>
      <c r="N357" s="112" t="n"/>
      <c r="O357" s="115" t="str">
        <f>IF(OR(D357="",F357=""),"",D357+F357)</f>
        <v/>
      </c>
      <c r="P357" s="116" t="str">
        <f>IF(O357="","",IF(ISNUMBER(M357),O357-M357,IF(OR(H357="DECISÃO D.P",ISNUMBER(N357)),"",O357-TODAY())))</f>
        <v/>
      </c>
      <c r="Q357" s="117" t="str">
        <f>IF(B357="","",IF(ISNUMBER(N357),"DECIDIDO – ","")&amp;IF(ISNUMBER(M357),IF(P357="",IF(F357="","INFORMAR PRAZO","SEM DATA"),IF(P357&gt;=0,"DEFESA NO PRAZO","DEFESA FORA DO PRAZO")),IF(OR(H357="DECISÃO D.P",ISNUMBER(N357)),"SEM DEFESA",IF(H357="","SEM STATUS",IF(F357="","INFORMAR PRAZO",IF(P357="","SEM DATA",IF(P357&lt;0,"VENCIDO",IF(P357&lt;=DiasAlerta,"VENCE EM BREVE","NO PRAZO"))))))))</f>
        <v/>
      </c>
      <c r="R357" s="118" t="str">
        <f>IF(D357="","",TODAY()-D357)</f>
        <v/>
      </c>
      <c r="S357" s="111" t="n"/>
    </row>
    <row r="358" ht="18" customHeight="1">
      <c r="A358" s="110" t="n"/>
      <c r="B358" s="111" t="n"/>
      <c r="C358" s="111" t="n"/>
      <c r="D358" s="112" t="n"/>
      <c r="E358" s="111" t="n"/>
      <c r="F358" s="110" t="n"/>
      <c r="G358" s="113" t="n"/>
      <c r="H358" s="113" t="n"/>
      <c r="I358" s="111" t="n"/>
      <c r="J358" s="114" t="n"/>
      <c r="K358" s="114" t="n"/>
      <c r="L358" s="112" t="n"/>
      <c r="M358" s="112" t="n"/>
      <c r="N358" s="112" t="n"/>
      <c r="O358" s="115" t="str">
        <f>IF(OR(D358="",F358=""),"",D358+F358)</f>
        <v/>
      </c>
      <c r="P358" s="116" t="str">
        <f>IF(O358="","",IF(ISNUMBER(M358),O358-M358,IF(OR(H358="DECISÃO D.P",ISNUMBER(N358)),"",O358-TODAY())))</f>
        <v/>
      </c>
      <c r="Q358" s="117" t="str">
        <f>IF(B358="","",IF(ISNUMBER(N358),"DECIDIDO – ","")&amp;IF(ISNUMBER(M358),IF(P358="",IF(F358="","INFORMAR PRAZO","SEM DATA"),IF(P358&gt;=0,"DEFESA NO PRAZO","DEFESA FORA DO PRAZO")),IF(OR(H358="DECISÃO D.P",ISNUMBER(N358)),"SEM DEFESA",IF(H358="","SEM STATUS",IF(F358="","INFORMAR PRAZO",IF(P358="","SEM DATA",IF(P358&lt;0,"VENCIDO",IF(P358&lt;=DiasAlerta,"VENCE EM BREVE","NO PRAZO"))))))))</f>
        <v/>
      </c>
      <c r="R358" s="118" t="str">
        <f>IF(D358="","",TODAY()-D358)</f>
        <v/>
      </c>
      <c r="S358" s="111" t="n"/>
    </row>
    <row r="359" ht="18" customHeight="1">
      <c r="A359" s="110" t="n"/>
      <c r="B359" s="111" t="n"/>
      <c r="C359" s="111" t="n"/>
      <c r="D359" s="112" t="n"/>
      <c r="E359" s="111" t="n"/>
      <c r="F359" s="110" t="n"/>
      <c r="G359" s="113" t="n"/>
      <c r="H359" s="113" t="n"/>
      <c r="I359" s="111" t="n"/>
      <c r="J359" s="114" t="n"/>
      <c r="K359" s="114" t="n"/>
      <c r="L359" s="112" t="n"/>
      <c r="M359" s="112" t="n"/>
      <c r="N359" s="112" t="n"/>
      <c r="O359" s="115" t="str">
        <f>IF(OR(D359="",F359=""),"",D359+F359)</f>
        <v/>
      </c>
      <c r="P359" s="116" t="str">
        <f>IF(O359="","",IF(ISNUMBER(M359),O359-M359,IF(OR(H359="DECISÃO D.P",ISNUMBER(N359)),"",O359-TODAY())))</f>
        <v/>
      </c>
      <c r="Q359" s="117" t="str">
        <f>IF(B359="","",IF(ISNUMBER(N359),"DECIDIDO – ","")&amp;IF(ISNUMBER(M359),IF(P359="",IF(F359="","INFORMAR PRAZO","SEM DATA"),IF(P359&gt;=0,"DEFESA NO PRAZO","DEFESA FORA DO PRAZO")),IF(OR(H359="DECISÃO D.P",ISNUMBER(N359)),"SEM DEFESA",IF(H359="","SEM STATUS",IF(F359="","INFORMAR PRAZO",IF(P359="","SEM DATA",IF(P359&lt;0,"VENCIDO",IF(P359&lt;=DiasAlerta,"VENCE EM BREVE","NO PRAZO"))))))))</f>
        <v/>
      </c>
      <c r="R359" s="118" t="str">
        <f>IF(D359="","",TODAY()-D359)</f>
        <v/>
      </c>
      <c r="S359" s="111" t="n"/>
    </row>
    <row r="360" ht="18" customHeight="1">
      <c r="A360" s="110" t="n"/>
      <c r="B360" s="111" t="n"/>
      <c r="C360" s="111" t="n"/>
      <c r="D360" s="112" t="n"/>
      <c r="E360" s="111" t="n"/>
      <c r="F360" s="110" t="n"/>
      <c r="G360" s="113" t="n"/>
      <c r="H360" s="113" t="n"/>
      <c r="I360" s="111" t="n"/>
      <c r="J360" s="114" t="n"/>
      <c r="K360" s="114" t="n"/>
      <c r="L360" s="112" t="n"/>
      <c r="M360" s="112" t="n"/>
      <c r="N360" s="112" t="n"/>
      <c r="O360" s="115" t="str">
        <f>IF(OR(D360="",F360=""),"",D360+F360)</f>
        <v/>
      </c>
      <c r="P360" s="116" t="str">
        <f>IF(O360="","",IF(ISNUMBER(M360),O360-M360,IF(OR(H360="DECISÃO D.P",ISNUMBER(N360)),"",O360-TODAY())))</f>
        <v/>
      </c>
      <c r="Q360" s="117" t="str">
        <f>IF(B360="","",IF(ISNUMBER(N360),"DECIDIDO – ","")&amp;IF(ISNUMBER(M360),IF(P360="",IF(F360="","INFORMAR PRAZO","SEM DATA"),IF(P360&gt;=0,"DEFESA NO PRAZO","DEFESA FORA DO PRAZO")),IF(OR(H360="DECISÃO D.P",ISNUMBER(N360)),"SEM DEFESA",IF(H360="","SEM STATUS",IF(F360="","INFORMAR PRAZO",IF(P360="","SEM DATA",IF(P360&lt;0,"VENCIDO",IF(P360&lt;=DiasAlerta,"VENCE EM BREVE","NO PRAZO"))))))))</f>
        <v/>
      </c>
      <c r="R360" s="118" t="str">
        <f>IF(D360="","",TODAY()-D360)</f>
        <v/>
      </c>
      <c r="S360" s="111" t="n"/>
    </row>
    <row r="361" ht="18" customHeight="1">
      <c r="A361" s="110" t="n"/>
      <c r="B361" s="111" t="n"/>
      <c r="C361" s="111" t="n"/>
      <c r="D361" s="112" t="n"/>
      <c r="E361" s="111" t="n"/>
      <c r="F361" s="110" t="n"/>
      <c r="G361" s="113" t="n"/>
      <c r="H361" s="113" t="n"/>
      <c r="I361" s="111" t="n"/>
      <c r="J361" s="114" t="n"/>
      <c r="K361" s="114" t="n"/>
      <c r="L361" s="112" t="n"/>
      <c r="M361" s="112" t="n"/>
      <c r="N361" s="112" t="n"/>
      <c r="O361" s="115" t="str">
        <f>IF(OR(D361="",F361=""),"",D361+F361)</f>
        <v/>
      </c>
      <c r="P361" s="116" t="str">
        <f>IF(O361="","",IF(ISNUMBER(M361),O361-M361,IF(OR(H361="DECISÃO D.P",ISNUMBER(N361)),"",O361-TODAY())))</f>
        <v/>
      </c>
      <c r="Q361" s="117" t="str">
        <f>IF(B361="","",IF(ISNUMBER(N361),"DECIDIDO – ","")&amp;IF(ISNUMBER(M361),IF(P361="",IF(F361="","INFORMAR PRAZO","SEM DATA"),IF(P361&gt;=0,"DEFESA NO PRAZO","DEFESA FORA DO PRAZO")),IF(OR(H361="DECISÃO D.P",ISNUMBER(N361)),"SEM DEFESA",IF(H361="","SEM STATUS",IF(F361="","INFORMAR PRAZO",IF(P361="","SEM DATA",IF(P361&lt;0,"VENCIDO",IF(P361&lt;=DiasAlerta,"VENCE EM BREVE","NO PRAZO"))))))))</f>
        <v/>
      </c>
      <c r="R361" s="118" t="str">
        <f>IF(D361="","",TODAY()-D361)</f>
        <v/>
      </c>
      <c r="S361" s="111" t="n"/>
    </row>
    <row r="362" ht="18" customHeight="1">
      <c r="A362" s="110" t="n"/>
      <c r="B362" s="111" t="n"/>
      <c r="C362" s="111" t="n"/>
      <c r="D362" s="112" t="n"/>
      <c r="E362" s="111" t="n"/>
      <c r="F362" s="110" t="n"/>
      <c r="G362" s="113" t="n"/>
      <c r="H362" s="113" t="n"/>
      <c r="I362" s="111" t="n"/>
      <c r="J362" s="114" t="n"/>
      <c r="K362" s="114" t="n"/>
      <c r="L362" s="112" t="n"/>
      <c r="M362" s="112" t="n"/>
      <c r="N362" s="112" t="n"/>
      <c r="O362" s="115" t="str">
        <f>IF(OR(D362="",F362=""),"",D362+F362)</f>
        <v/>
      </c>
      <c r="P362" s="116" t="str">
        <f>IF(O362="","",IF(ISNUMBER(M362),O362-M362,IF(OR(H362="DECISÃO D.P",ISNUMBER(N362)),"",O362-TODAY())))</f>
        <v/>
      </c>
      <c r="Q362" s="117" t="str">
        <f>IF(B362="","",IF(ISNUMBER(N362),"DECIDIDO – ","")&amp;IF(ISNUMBER(M362),IF(P362="",IF(F362="","INFORMAR PRAZO","SEM DATA"),IF(P362&gt;=0,"DEFESA NO PRAZO","DEFESA FORA DO PRAZO")),IF(OR(H362="DECISÃO D.P",ISNUMBER(N362)),"SEM DEFESA",IF(H362="","SEM STATUS",IF(F362="","INFORMAR PRAZO",IF(P362="","SEM DATA",IF(P362&lt;0,"VENCIDO",IF(P362&lt;=DiasAlerta,"VENCE EM BREVE","NO PRAZO"))))))))</f>
        <v/>
      </c>
      <c r="R362" s="118" t="str">
        <f>IF(D362="","",TODAY()-D362)</f>
        <v/>
      </c>
      <c r="S362" s="111" t="n"/>
    </row>
    <row r="363" ht="18" customHeight="1">
      <c r="A363" s="110" t="n"/>
      <c r="B363" s="111" t="n"/>
      <c r="C363" s="111" t="n"/>
      <c r="D363" s="112" t="n"/>
      <c r="E363" s="111" t="n"/>
      <c r="F363" s="110" t="n"/>
      <c r="G363" s="113" t="n"/>
      <c r="H363" s="113" t="n"/>
      <c r="I363" s="111" t="n"/>
      <c r="J363" s="114" t="n"/>
      <c r="K363" s="114" t="n"/>
      <c r="L363" s="112" t="n"/>
      <c r="M363" s="112" t="n"/>
      <c r="N363" s="112" t="n"/>
      <c r="O363" s="115" t="str">
        <f>IF(OR(D363="",F363=""),"",D363+F363)</f>
        <v/>
      </c>
      <c r="P363" s="116" t="str">
        <f>IF(O363="","",IF(ISNUMBER(M363),O363-M363,IF(OR(H363="DECISÃO D.P",ISNUMBER(N363)),"",O363-TODAY())))</f>
        <v/>
      </c>
      <c r="Q363" s="117" t="str">
        <f>IF(B363="","",IF(ISNUMBER(N363),"DECIDIDO – ","")&amp;IF(ISNUMBER(M363),IF(P363="",IF(F363="","INFORMAR PRAZO","SEM DATA"),IF(P363&gt;=0,"DEFESA NO PRAZO","DEFESA FORA DO PRAZO")),IF(OR(H363="DECISÃO D.P",ISNUMBER(N363)),"SEM DEFESA",IF(H363="","SEM STATUS",IF(F363="","INFORMAR PRAZO",IF(P363="","SEM DATA",IF(P363&lt;0,"VENCIDO",IF(P363&lt;=DiasAlerta,"VENCE EM BREVE","NO PRAZO"))))))))</f>
        <v/>
      </c>
      <c r="R363" s="118" t="str">
        <f>IF(D363="","",TODAY()-D363)</f>
        <v/>
      </c>
      <c r="S363" s="111" t="n"/>
    </row>
    <row r="364" ht="18" customHeight="1">
      <c r="A364" s="110" t="n"/>
      <c r="B364" s="111" t="n"/>
      <c r="C364" s="111" t="n"/>
      <c r="D364" s="112" t="n"/>
      <c r="E364" s="111" t="n"/>
      <c r="F364" s="110" t="n"/>
      <c r="G364" s="113" t="n"/>
      <c r="H364" s="113" t="n"/>
      <c r="I364" s="111" t="n"/>
      <c r="J364" s="114" t="n"/>
      <c r="K364" s="114" t="n"/>
      <c r="L364" s="112" t="n"/>
      <c r="M364" s="112" t="n"/>
      <c r="N364" s="112" t="n"/>
      <c r="O364" s="115" t="str">
        <f>IF(OR(D364="",F364=""),"",D364+F364)</f>
        <v/>
      </c>
      <c r="P364" s="116" t="str">
        <f>IF(O364="","",IF(ISNUMBER(M364),O364-M364,IF(OR(H364="DECISÃO D.P",ISNUMBER(N364)),"",O364-TODAY())))</f>
        <v/>
      </c>
      <c r="Q364" s="117" t="str">
        <f>IF(B364="","",IF(ISNUMBER(N364),"DECIDIDO – ","")&amp;IF(ISNUMBER(M364),IF(P364="",IF(F364="","INFORMAR PRAZO","SEM DATA"),IF(P364&gt;=0,"DEFESA NO PRAZO","DEFESA FORA DO PRAZO")),IF(OR(H364="DECISÃO D.P",ISNUMBER(N364)),"SEM DEFESA",IF(H364="","SEM STATUS",IF(F364="","INFORMAR PRAZO",IF(P364="","SEM DATA",IF(P364&lt;0,"VENCIDO",IF(P364&lt;=DiasAlerta,"VENCE EM BREVE","NO PRAZO"))))))))</f>
        <v/>
      </c>
      <c r="R364" s="118" t="str">
        <f>IF(D364="","",TODAY()-D364)</f>
        <v/>
      </c>
      <c r="S364" s="111" t="n"/>
    </row>
    <row r="365" ht="18" customHeight="1">
      <c r="A365" s="110" t="n"/>
      <c r="B365" s="111" t="n"/>
      <c r="C365" s="111" t="n"/>
      <c r="D365" s="112" t="n"/>
      <c r="E365" s="111" t="n"/>
      <c r="F365" s="110" t="n"/>
      <c r="G365" s="113" t="n"/>
      <c r="H365" s="113" t="n"/>
      <c r="I365" s="111" t="n"/>
      <c r="J365" s="114" t="n"/>
      <c r="K365" s="114" t="n"/>
      <c r="L365" s="112" t="n"/>
      <c r="M365" s="112" t="n"/>
      <c r="N365" s="112" t="n"/>
      <c r="O365" s="115" t="str">
        <f>IF(OR(D365="",F365=""),"",D365+F365)</f>
        <v/>
      </c>
      <c r="P365" s="116" t="str">
        <f>IF(O365="","",IF(ISNUMBER(M365),O365-M365,IF(OR(H365="DECISÃO D.P",ISNUMBER(N365)),"",O365-TODAY())))</f>
        <v/>
      </c>
      <c r="Q365" s="117" t="str">
        <f>IF(B365="","",IF(ISNUMBER(N365),"DECIDIDO – ","")&amp;IF(ISNUMBER(M365),IF(P365="",IF(F365="","INFORMAR PRAZO","SEM DATA"),IF(P365&gt;=0,"DEFESA NO PRAZO","DEFESA FORA DO PRAZO")),IF(OR(H365="DECISÃO D.P",ISNUMBER(N365)),"SEM DEFESA",IF(H365="","SEM STATUS",IF(F365="","INFORMAR PRAZO",IF(P365="","SEM DATA",IF(P365&lt;0,"VENCIDO",IF(P365&lt;=DiasAlerta,"VENCE EM BREVE","NO PRAZO"))))))))</f>
        <v/>
      </c>
      <c r="R365" s="118" t="str">
        <f>IF(D365="","",TODAY()-D365)</f>
        <v/>
      </c>
      <c r="S365" s="111" t="n"/>
    </row>
    <row r="366" ht="18" customHeight="1">
      <c r="A366" s="110" t="n"/>
      <c r="B366" s="111" t="n"/>
      <c r="C366" s="111" t="n"/>
      <c r="D366" s="112" t="n"/>
      <c r="E366" s="111" t="n"/>
      <c r="F366" s="110" t="n"/>
      <c r="G366" s="113" t="n"/>
      <c r="H366" s="113" t="n"/>
      <c r="I366" s="111" t="n"/>
      <c r="J366" s="114" t="n"/>
      <c r="K366" s="114" t="n"/>
      <c r="L366" s="112" t="n"/>
      <c r="M366" s="112" t="n"/>
      <c r="N366" s="112" t="n"/>
      <c r="O366" s="115" t="str">
        <f>IF(OR(D366="",F366=""),"",D366+F366)</f>
        <v/>
      </c>
      <c r="P366" s="116" t="str">
        <f>IF(O366="","",IF(ISNUMBER(M366),O366-M366,IF(OR(H366="DECISÃO D.P",ISNUMBER(N366)),"",O366-TODAY())))</f>
        <v/>
      </c>
      <c r="Q366" s="117" t="str">
        <f>IF(B366="","",IF(ISNUMBER(N366),"DECIDIDO – ","")&amp;IF(ISNUMBER(M366),IF(P366="",IF(F366="","INFORMAR PRAZO","SEM DATA"),IF(P366&gt;=0,"DEFESA NO PRAZO","DEFESA FORA DO PRAZO")),IF(OR(H366="DECISÃO D.P",ISNUMBER(N366)),"SEM DEFESA",IF(H366="","SEM STATUS",IF(F366="","INFORMAR PRAZO",IF(P366="","SEM DATA",IF(P366&lt;0,"VENCIDO",IF(P366&lt;=DiasAlerta,"VENCE EM BREVE","NO PRAZO"))))))))</f>
        <v/>
      </c>
      <c r="R366" s="118" t="str">
        <f>IF(D366="","",TODAY()-D366)</f>
        <v/>
      </c>
      <c r="S366" s="111" t="n"/>
    </row>
    <row r="367" ht="18" customHeight="1">
      <c r="A367" s="110" t="n"/>
      <c r="B367" s="111" t="n"/>
      <c r="C367" s="111" t="n"/>
      <c r="D367" s="112" t="n"/>
      <c r="E367" s="111" t="n"/>
      <c r="F367" s="110" t="n"/>
      <c r="G367" s="113" t="n"/>
      <c r="H367" s="113" t="n"/>
      <c r="I367" s="111" t="n"/>
      <c r="J367" s="114" t="n"/>
      <c r="K367" s="114" t="n"/>
      <c r="L367" s="112" t="n"/>
      <c r="M367" s="112" t="n"/>
      <c r="N367" s="112" t="n"/>
      <c r="O367" s="115" t="str">
        <f>IF(OR(D367="",F367=""),"",D367+F367)</f>
        <v/>
      </c>
      <c r="P367" s="116" t="str">
        <f>IF(O367="","",IF(ISNUMBER(M367),O367-M367,IF(OR(H367="DECISÃO D.P",ISNUMBER(N367)),"",O367-TODAY())))</f>
        <v/>
      </c>
      <c r="Q367" s="117" t="str">
        <f>IF(B367="","",IF(ISNUMBER(N367),"DECIDIDO – ","")&amp;IF(ISNUMBER(M367),IF(P367="",IF(F367="","INFORMAR PRAZO","SEM DATA"),IF(P367&gt;=0,"DEFESA NO PRAZO","DEFESA FORA DO PRAZO")),IF(OR(H367="DECISÃO D.P",ISNUMBER(N367)),"SEM DEFESA",IF(H367="","SEM STATUS",IF(F367="","INFORMAR PRAZO",IF(P367="","SEM DATA",IF(P367&lt;0,"VENCIDO",IF(P367&lt;=DiasAlerta,"VENCE EM BREVE","NO PRAZO"))))))))</f>
        <v/>
      </c>
      <c r="R367" s="118" t="str">
        <f>IF(D367="","",TODAY()-D367)</f>
        <v/>
      </c>
      <c r="S367" s="111" t="n"/>
    </row>
    <row r="368" ht="18" customHeight="1">
      <c r="A368" s="110" t="n"/>
      <c r="B368" s="111" t="n"/>
      <c r="C368" s="111" t="n"/>
      <c r="D368" s="112" t="n"/>
      <c r="E368" s="111" t="n"/>
      <c r="F368" s="110" t="n"/>
      <c r="G368" s="113" t="n"/>
      <c r="H368" s="113" t="n"/>
      <c r="I368" s="111" t="n"/>
      <c r="J368" s="114" t="n"/>
      <c r="K368" s="114" t="n"/>
      <c r="L368" s="112" t="n"/>
      <c r="M368" s="112" t="n"/>
      <c r="N368" s="112" t="n"/>
      <c r="O368" s="115" t="str">
        <f>IF(OR(D368="",F368=""),"",D368+F368)</f>
        <v/>
      </c>
      <c r="P368" s="116" t="str">
        <f>IF(O368="","",IF(ISNUMBER(M368),O368-M368,IF(OR(H368="DECISÃO D.P",ISNUMBER(N368)),"",O368-TODAY())))</f>
        <v/>
      </c>
      <c r="Q368" s="117" t="str">
        <f>IF(B368="","",IF(ISNUMBER(N368),"DECIDIDO – ","")&amp;IF(ISNUMBER(M368),IF(P368="",IF(F368="","INFORMAR PRAZO","SEM DATA"),IF(P368&gt;=0,"DEFESA NO PRAZO","DEFESA FORA DO PRAZO")),IF(OR(H368="DECISÃO D.P",ISNUMBER(N368)),"SEM DEFESA",IF(H368="","SEM STATUS",IF(F368="","INFORMAR PRAZO",IF(P368="","SEM DATA",IF(P368&lt;0,"VENCIDO",IF(P368&lt;=DiasAlerta,"VENCE EM BREVE","NO PRAZO"))))))))</f>
        <v/>
      </c>
      <c r="R368" s="118" t="str">
        <f>IF(D368="","",TODAY()-D368)</f>
        <v/>
      </c>
      <c r="S368" s="111" t="n"/>
    </row>
    <row r="369" ht="18" customHeight="1">
      <c r="A369" s="110" t="n"/>
      <c r="B369" s="111" t="n"/>
      <c r="C369" s="111" t="n"/>
      <c r="D369" s="112" t="n"/>
      <c r="E369" s="111" t="n"/>
      <c r="F369" s="110" t="n"/>
      <c r="G369" s="113" t="n"/>
      <c r="H369" s="113" t="n"/>
      <c r="I369" s="111" t="n"/>
      <c r="J369" s="114" t="n"/>
      <c r="K369" s="114" t="n"/>
      <c r="L369" s="112" t="n"/>
      <c r="M369" s="112" t="n"/>
      <c r="N369" s="112" t="n"/>
      <c r="O369" s="115" t="str">
        <f>IF(OR(D369="",F369=""),"",D369+F369)</f>
        <v/>
      </c>
      <c r="P369" s="116" t="str">
        <f>IF(O369="","",IF(ISNUMBER(M369),O369-M369,IF(OR(H369="DECISÃO D.P",ISNUMBER(N369)),"",O369-TODAY())))</f>
        <v/>
      </c>
      <c r="Q369" s="117" t="str">
        <f>IF(B369="","",IF(ISNUMBER(N369),"DECIDIDO – ","")&amp;IF(ISNUMBER(M369),IF(P369="",IF(F369="","INFORMAR PRAZO","SEM DATA"),IF(P369&gt;=0,"DEFESA NO PRAZO","DEFESA FORA DO PRAZO")),IF(OR(H369="DECISÃO D.P",ISNUMBER(N369)),"SEM DEFESA",IF(H369="","SEM STATUS",IF(F369="","INFORMAR PRAZO",IF(P369="","SEM DATA",IF(P369&lt;0,"VENCIDO",IF(P369&lt;=DiasAlerta,"VENCE EM BREVE","NO PRAZO"))))))))</f>
        <v/>
      </c>
      <c r="R369" s="118" t="str">
        <f>IF(D369="","",TODAY()-D369)</f>
        <v/>
      </c>
      <c r="S369" s="111" t="n"/>
    </row>
    <row r="370" ht="18" customHeight="1">
      <c r="A370" s="110" t="n"/>
      <c r="B370" s="111" t="n"/>
      <c r="C370" s="111" t="n"/>
      <c r="D370" s="112" t="n"/>
      <c r="E370" s="111" t="n"/>
      <c r="F370" s="110" t="n"/>
      <c r="G370" s="113" t="n"/>
      <c r="H370" s="113" t="n"/>
      <c r="I370" s="111" t="n"/>
      <c r="J370" s="114" t="n"/>
      <c r="K370" s="114" t="n"/>
      <c r="L370" s="112" t="n"/>
      <c r="M370" s="112" t="n"/>
      <c r="N370" s="112" t="n"/>
      <c r="O370" s="115" t="str">
        <f>IF(OR(D370="",F370=""),"",D370+F370)</f>
        <v/>
      </c>
      <c r="P370" s="116" t="str">
        <f>IF(O370="","",IF(ISNUMBER(M370),O370-M370,IF(OR(H370="DECISÃO D.P",ISNUMBER(N370)),"",O370-TODAY())))</f>
        <v/>
      </c>
      <c r="Q370" s="117" t="str">
        <f>IF(B370="","",IF(ISNUMBER(N370),"DECIDIDO – ","")&amp;IF(ISNUMBER(M370),IF(P370="",IF(F370="","INFORMAR PRAZO","SEM DATA"),IF(P370&gt;=0,"DEFESA NO PRAZO","DEFESA FORA DO PRAZO")),IF(OR(H370="DECISÃO D.P",ISNUMBER(N370)),"SEM DEFESA",IF(H370="","SEM STATUS",IF(F370="","INFORMAR PRAZO",IF(P370="","SEM DATA",IF(P370&lt;0,"VENCIDO",IF(P370&lt;=DiasAlerta,"VENCE EM BREVE","NO PRAZO"))))))))</f>
        <v/>
      </c>
      <c r="R370" s="118" t="str">
        <f>IF(D370="","",TODAY()-D370)</f>
        <v/>
      </c>
      <c r="S370" s="111" t="n"/>
    </row>
    <row r="371" ht="18" customHeight="1">
      <c r="A371" s="110" t="n"/>
      <c r="B371" s="111" t="n"/>
      <c r="C371" s="111" t="n"/>
      <c r="D371" s="112" t="n"/>
      <c r="E371" s="111" t="n"/>
      <c r="F371" s="110" t="n"/>
      <c r="G371" s="113" t="n"/>
      <c r="H371" s="113" t="n"/>
      <c r="I371" s="111" t="n"/>
      <c r="J371" s="114" t="n"/>
      <c r="K371" s="114" t="n"/>
      <c r="L371" s="112" t="n"/>
      <c r="M371" s="112" t="n"/>
      <c r="N371" s="112" t="n"/>
      <c r="O371" s="115" t="str">
        <f>IF(OR(D371="",F371=""),"",D371+F371)</f>
        <v/>
      </c>
      <c r="P371" s="116" t="str">
        <f>IF(O371="","",IF(ISNUMBER(M371),O371-M371,IF(OR(H371="DECISÃO D.P",ISNUMBER(N371)),"",O371-TODAY())))</f>
        <v/>
      </c>
      <c r="Q371" s="117" t="str">
        <f>IF(B371="","",IF(ISNUMBER(N371),"DECIDIDO – ","")&amp;IF(ISNUMBER(M371),IF(P371="",IF(F371="","INFORMAR PRAZO","SEM DATA"),IF(P371&gt;=0,"DEFESA NO PRAZO","DEFESA FORA DO PRAZO")),IF(OR(H371="DECISÃO D.P",ISNUMBER(N371)),"SEM DEFESA",IF(H371="","SEM STATUS",IF(F371="","INFORMAR PRAZO",IF(P371="","SEM DATA",IF(P371&lt;0,"VENCIDO",IF(P371&lt;=DiasAlerta,"VENCE EM BREVE","NO PRAZO"))))))))</f>
        <v/>
      </c>
      <c r="R371" s="118" t="str">
        <f>IF(D371="","",TODAY()-D371)</f>
        <v/>
      </c>
      <c r="S371" s="111" t="n"/>
    </row>
    <row r="372" ht="18" customHeight="1">
      <c r="A372" s="110" t="n"/>
      <c r="B372" s="111" t="n"/>
      <c r="C372" s="111" t="n"/>
      <c r="D372" s="112" t="n"/>
      <c r="E372" s="111" t="n"/>
      <c r="F372" s="110" t="n"/>
      <c r="G372" s="113" t="n"/>
      <c r="H372" s="113" t="n"/>
      <c r="I372" s="111" t="n"/>
      <c r="J372" s="114" t="n"/>
      <c r="K372" s="114" t="n"/>
      <c r="L372" s="112" t="n"/>
      <c r="M372" s="112" t="n"/>
      <c r="N372" s="112" t="n"/>
      <c r="O372" s="115" t="str">
        <f>IF(OR(D372="",F372=""),"",D372+F372)</f>
        <v/>
      </c>
      <c r="P372" s="116" t="str">
        <f>IF(O372="","",IF(ISNUMBER(M372),O372-M372,IF(OR(H372="DECISÃO D.P",ISNUMBER(N372)),"",O372-TODAY())))</f>
        <v/>
      </c>
      <c r="Q372" s="117" t="str">
        <f>IF(B372="","",IF(ISNUMBER(N372),"DECIDIDO – ","")&amp;IF(ISNUMBER(M372),IF(P372="",IF(F372="","INFORMAR PRAZO","SEM DATA"),IF(P372&gt;=0,"DEFESA NO PRAZO","DEFESA FORA DO PRAZO")),IF(OR(H372="DECISÃO D.P",ISNUMBER(N372)),"SEM DEFESA",IF(H372="","SEM STATUS",IF(F372="","INFORMAR PRAZO",IF(P372="","SEM DATA",IF(P372&lt;0,"VENCIDO",IF(P372&lt;=DiasAlerta,"VENCE EM BREVE","NO PRAZO"))))))))</f>
        <v/>
      </c>
      <c r="R372" s="118" t="str">
        <f>IF(D372="","",TODAY()-D372)</f>
        <v/>
      </c>
      <c r="S372" s="111" t="n"/>
    </row>
    <row r="373" ht="18" customHeight="1">
      <c r="A373" s="110" t="n"/>
      <c r="B373" s="111" t="n"/>
      <c r="C373" s="111" t="n"/>
      <c r="D373" s="112" t="n"/>
      <c r="E373" s="111" t="n"/>
      <c r="F373" s="110" t="n"/>
      <c r="G373" s="113" t="n"/>
      <c r="H373" s="113" t="n"/>
      <c r="I373" s="111" t="n"/>
      <c r="J373" s="114" t="n"/>
      <c r="K373" s="114" t="n"/>
      <c r="L373" s="112" t="n"/>
      <c r="M373" s="112" t="n"/>
      <c r="N373" s="112" t="n"/>
      <c r="O373" s="115" t="str">
        <f>IF(OR(D373="",F373=""),"",D373+F373)</f>
        <v/>
      </c>
      <c r="P373" s="116" t="str">
        <f>IF(O373="","",IF(ISNUMBER(M373),O373-M373,IF(OR(H373="DECISÃO D.P",ISNUMBER(N373)),"",O373-TODAY())))</f>
        <v/>
      </c>
      <c r="Q373" s="117" t="str">
        <f>IF(B373="","",IF(ISNUMBER(N373),"DECIDIDO – ","")&amp;IF(ISNUMBER(M373),IF(P373="",IF(F373="","INFORMAR PRAZO","SEM DATA"),IF(P373&gt;=0,"DEFESA NO PRAZO","DEFESA FORA DO PRAZO")),IF(OR(H373="DECISÃO D.P",ISNUMBER(N373)),"SEM DEFESA",IF(H373="","SEM STATUS",IF(F373="","INFORMAR PRAZO",IF(P373="","SEM DATA",IF(P373&lt;0,"VENCIDO",IF(P373&lt;=DiasAlerta,"VENCE EM BREVE","NO PRAZO"))))))))</f>
        <v/>
      </c>
      <c r="R373" s="118" t="str">
        <f>IF(D373="","",TODAY()-D373)</f>
        <v/>
      </c>
      <c r="S373" s="111" t="n"/>
    </row>
    <row r="374" ht="18" customHeight="1">
      <c r="A374" s="110" t="n"/>
      <c r="B374" s="111" t="n"/>
      <c r="C374" s="111" t="n"/>
      <c r="D374" s="112" t="n"/>
      <c r="E374" s="111" t="n"/>
      <c r="F374" s="110" t="n"/>
      <c r="G374" s="113" t="n"/>
      <c r="H374" s="113" t="n"/>
      <c r="I374" s="111" t="n"/>
      <c r="J374" s="114" t="n"/>
      <c r="K374" s="114" t="n"/>
      <c r="L374" s="112" t="n"/>
      <c r="M374" s="112" t="n"/>
      <c r="N374" s="112" t="n"/>
      <c r="O374" s="115" t="str">
        <f>IF(OR(D374="",F374=""),"",D374+F374)</f>
        <v/>
      </c>
      <c r="P374" s="116" t="str">
        <f>IF(O374="","",IF(ISNUMBER(M374),O374-M374,IF(OR(H374="DECISÃO D.P",ISNUMBER(N374)),"",O374-TODAY())))</f>
        <v/>
      </c>
      <c r="Q374" s="117" t="str">
        <f>IF(B374="","",IF(ISNUMBER(N374),"DECIDIDO – ","")&amp;IF(ISNUMBER(M374),IF(P374="",IF(F374="","INFORMAR PRAZO","SEM DATA"),IF(P374&gt;=0,"DEFESA NO PRAZO","DEFESA FORA DO PRAZO")),IF(OR(H374="DECISÃO D.P",ISNUMBER(N374)),"SEM DEFESA",IF(H374="","SEM STATUS",IF(F374="","INFORMAR PRAZO",IF(P374="","SEM DATA",IF(P374&lt;0,"VENCIDO",IF(P374&lt;=DiasAlerta,"VENCE EM BREVE","NO PRAZO"))))))))</f>
        <v/>
      </c>
      <c r="R374" s="118" t="str">
        <f>IF(D374="","",TODAY()-D374)</f>
        <v/>
      </c>
      <c r="S374" s="111" t="n"/>
    </row>
    <row r="375" ht="18" customHeight="1">
      <c r="A375" s="110" t="n"/>
      <c r="B375" s="111" t="n"/>
      <c r="C375" s="111" t="n"/>
      <c r="D375" s="112" t="n"/>
      <c r="E375" s="111" t="n"/>
      <c r="F375" s="110" t="n"/>
      <c r="G375" s="113" t="n"/>
      <c r="H375" s="113" t="n"/>
      <c r="I375" s="111" t="n"/>
      <c r="J375" s="114" t="n"/>
      <c r="K375" s="114" t="n"/>
      <c r="L375" s="112" t="n"/>
      <c r="M375" s="112" t="n"/>
      <c r="N375" s="112" t="n"/>
      <c r="O375" s="115" t="str">
        <f>IF(OR(D375="",F375=""),"",D375+F375)</f>
        <v/>
      </c>
      <c r="P375" s="116" t="str">
        <f>IF(O375="","",IF(ISNUMBER(M375),O375-M375,IF(OR(H375="DECISÃO D.P",ISNUMBER(N375)),"",O375-TODAY())))</f>
        <v/>
      </c>
      <c r="Q375" s="117" t="str">
        <f>IF(B375="","",IF(ISNUMBER(N375),"DECIDIDO – ","")&amp;IF(ISNUMBER(M375),IF(P375="",IF(F375="","INFORMAR PRAZO","SEM DATA"),IF(P375&gt;=0,"DEFESA NO PRAZO","DEFESA FORA DO PRAZO")),IF(OR(H375="DECISÃO D.P",ISNUMBER(N375)),"SEM DEFESA",IF(H375="","SEM STATUS",IF(F375="","INFORMAR PRAZO",IF(P375="","SEM DATA",IF(P375&lt;0,"VENCIDO",IF(P375&lt;=DiasAlerta,"VENCE EM BREVE","NO PRAZO"))))))))</f>
        <v/>
      </c>
      <c r="R375" s="118" t="str">
        <f>IF(D375="","",TODAY()-D375)</f>
        <v/>
      </c>
      <c r="S375" s="111" t="n"/>
    </row>
    <row r="376" ht="18" customHeight="1">
      <c r="A376" s="110" t="n"/>
      <c r="B376" s="111" t="n"/>
      <c r="C376" s="111" t="n"/>
      <c r="D376" s="112" t="n"/>
      <c r="E376" s="111" t="n"/>
      <c r="F376" s="110" t="n"/>
      <c r="G376" s="113" t="n"/>
      <c r="H376" s="113" t="n"/>
      <c r="I376" s="111" t="n"/>
      <c r="J376" s="114" t="n"/>
      <c r="K376" s="114" t="n"/>
      <c r="L376" s="112" t="n"/>
      <c r="M376" s="112" t="n"/>
      <c r="N376" s="112" t="n"/>
      <c r="O376" s="115" t="str">
        <f>IF(OR(D376="",F376=""),"",D376+F376)</f>
        <v/>
      </c>
      <c r="P376" s="116" t="str">
        <f>IF(O376="","",IF(ISNUMBER(M376),O376-M376,IF(OR(H376="DECISÃO D.P",ISNUMBER(N376)),"",O376-TODAY())))</f>
        <v/>
      </c>
      <c r="Q376" s="117" t="str">
        <f>IF(B376="","",IF(ISNUMBER(N376),"DECIDIDO – ","")&amp;IF(ISNUMBER(M376),IF(P376="",IF(F376="","INFORMAR PRAZO","SEM DATA"),IF(P376&gt;=0,"DEFESA NO PRAZO","DEFESA FORA DO PRAZO")),IF(OR(H376="DECISÃO D.P",ISNUMBER(N376)),"SEM DEFESA",IF(H376="","SEM STATUS",IF(F376="","INFORMAR PRAZO",IF(P376="","SEM DATA",IF(P376&lt;0,"VENCIDO",IF(P376&lt;=DiasAlerta,"VENCE EM BREVE","NO PRAZO"))))))))</f>
        <v/>
      </c>
      <c r="R376" s="118" t="str">
        <f>IF(D376="","",TODAY()-D376)</f>
        <v/>
      </c>
      <c r="S376" s="111" t="n"/>
    </row>
    <row r="377" ht="18" customHeight="1">
      <c r="A377" s="110" t="n"/>
      <c r="B377" s="111" t="n"/>
      <c r="C377" s="111" t="n"/>
      <c r="D377" s="112" t="n"/>
      <c r="E377" s="111" t="n"/>
      <c r="F377" s="110" t="n"/>
      <c r="G377" s="113" t="n"/>
      <c r="H377" s="113" t="n"/>
      <c r="I377" s="111" t="n"/>
      <c r="J377" s="114" t="n"/>
      <c r="K377" s="114" t="n"/>
      <c r="L377" s="112" t="n"/>
      <c r="M377" s="112" t="n"/>
      <c r="N377" s="112" t="n"/>
      <c r="O377" s="115" t="str">
        <f>IF(OR(D377="",F377=""),"",D377+F377)</f>
        <v/>
      </c>
      <c r="P377" s="116" t="str">
        <f>IF(O377="","",IF(ISNUMBER(M377),O377-M377,IF(OR(H377="DECISÃO D.P",ISNUMBER(N377)),"",O377-TODAY())))</f>
        <v/>
      </c>
      <c r="Q377" s="117" t="str">
        <f>IF(B377="","",IF(ISNUMBER(N377),"DECIDIDO – ","")&amp;IF(ISNUMBER(M377),IF(P377="",IF(F377="","INFORMAR PRAZO","SEM DATA"),IF(P377&gt;=0,"DEFESA NO PRAZO","DEFESA FORA DO PRAZO")),IF(OR(H377="DECISÃO D.P",ISNUMBER(N377)),"SEM DEFESA",IF(H377="","SEM STATUS",IF(F377="","INFORMAR PRAZO",IF(P377="","SEM DATA",IF(P377&lt;0,"VENCIDO",IF(P377&lt;=DiasAlerta,"VENCE EM BREVE","NO PRAZO"))))))))</f>
        <v/>
      </c>
      <c r="R377" s="118" t="str">
        <f>IF(D377="","",TODAY()-D377)</f>
        <v/>
      </c>
      <c r="S377" s="111" t="n"/>
    </row>
    <row r="378" ht="18" customHeight="1">
      <c r="A378" s="110" t="n"/>
      <c r="B378" s="111" t="n"/>
      <c r="C378" s="111" t="n"/>
      <c r="D378" s="112" t="n"/>
      <c r="E378" s="111" t="n"/>
      <c r="F378" s="110" t="n"/>
      <c r="G378" s="113" t="n"/>
      <c r="H378" s="113" t="n"/>
      <c r="I378" s="111" t="n"/>
      <c r="J378" s="114" t="n"/>
      <c r="K378" s="114" t="n"/>
      <c r="L378" s="112" t="n"/>
      <c r="M378" s="112" t="n"/>
      <c r="N378" s="112" t="n"/>
      <c r="O378" s="115" t="str">
        <f>IF(OR(D378="",F378=""),"",D378+F378)</f>
        <v/>
      </c>
      <c r="P378" s="116" t="str">
        <f>IF(O378="","",IF(ISNUMBER(M378),O378-M378,IF(OR(H378="DECISÃO D.P",ISNUMBER(N378)),"",O378-TODAY())))</f>
        <v/>
      </c>
      <c r="Q378" s="117" t="str">
        <f>IF(B378="","",IF(ISNUMBER(N378),"DECIDIDO – ","")&amp;IF(ISNUMBER(M378),IF(P378="",IF(F378="","INFORMAR PRAZO","SEM DATA"),IF(P378&gt;=0,"DEFESA NO PRAZO","DEFESA FORA DO PRAZO")),IF(OR(H378="DECISÃO D.P",ISNUMBER(N378)),"SEM DEFESA",IF(H378="","SEM STATUS",IF(F378="","INFORMAR PRAZO",IF(P378="","SEM DATA",IF(P378&lt;0,"VENCIDO",IF(P378&lt;=DiasAlerta,"VENCE EM BREVE","NO PRAZO"))))))))</f>
        <v/>
      </c>
      <c r="R378" s="118" t="str">
        <f>IF(D378="","",TODAY()-D378)</f>
        <v/>
      </c>
      <c r="S378" s="111" t="n"/>
    </row>
    <row r="379" ht="18" customHeight="1">
      <c r="A379" s="110" t="n"/>
      <c r="B379" s="111" t="n"/>
      <c r="C379" s="111" t="n"/>
      <c r="D379" s="112" t="n"/>
      <c r="E379" s="111" t="n"/>
      <c r="F379" s="110" t="n"/>
      <c r="G379" s="113" t="n"/>
      <c r="H379" s="113" t="n"/>
      <c r="I379" s="111" t="n"/>
      <c r="J379" s="114" t="n"/>
      <c r="K379" s="114" t="n"/>
      <c r="L379" s="112" t="n"/>
      <c r="M379" s="112" t="n"/>
      <c r="N379" s="112" t="n"/>
      <c r="O379" s="115" t="str">
        <f>IF(OR(D379="",F379=""),"",D379+F379)</f>
        <v/>
      </c>
      <c r="P379" s="116" t="str">
        <f>IF(O379="","",IF(ISNUMBER(M379),O379-M379,IF(OR(H379="DECISÃO D.P",ISNUMBER(N379)),"",O379-TODAY())))</f>
        <v/>
      </c>
      <c r="Q379" s="117" t="str">
        <f>IF(B379="","",IF(ISNUMBER(N379),"DECIDIDO – ","")&amp;IF(ISNUMBER(M379),IF(P379="",IF(F379="","INFORMAR PRAZO","SEM DATA"),IF(P379&gt;=0,"DEFESA NO PRAZO","DEFESA FORA DO PRAZO")),IF(OR(H379="DECISÃO D.P",ISNUMBER(N379)),"SEM DEFESA",IF(H379="","SEM STATUS",IF(F379="","INFORMAR PRAZO",IF(P379="","SEM DATA",IF(P379&lt;0,"VENCIDO",IF(P379&lt;=DiasAlerta,"VENCE EM BREVE","NO PRAZO"))))))))</f>
        <v/>
      </c>
      <c r="R379" s="118" t="str">
        <f>IF(D379="","",TODAY()-D379)</f>
        <v/>
      </c>
      <c r="S379" s="111" t="n"/>
    </row>
    <row r="380" ht="18" customHeight="1">
      <c r="A380" s="110" t="n"/>
      <c r="B380" s="111" t="n"/>
      <c r="C380" s="111" t="n"/>
      <c r="D380" s="112" t="n"/>
      <c r="E380" s="111" t="n"/>
      <c r="F380" s="110" t="n"/>
      <c r="G380" s="113" t="n"/>
      <c r="H380" s="113" t="n"/>
      <c r="I380" s="111" t="n"/>
      <c r="J380" s="114" t="n"/>
      <c r="K380" s="114" t="n"/>
      <c r="L380" s="112" t="n"/>
      <c r="M380" s="112" t="n"/>
      <c r="N380" s="112" t="n"/>
      <c r="O380" s="115" t="str">
        <f>IF(OR(D380="",F380=""),"",D380+F380)</f>
        <v/>
      </c>
      <c r="P380" s="116" t="str">
        <f>IF(O380="","",IF(ISNUMBER(M380),O380-M380,IF(OR(H380="DECISÃO D.P",ISNUMBER(N380)),"",O380-TODAY())))</f>
        <v/>
      </c>
      <c r="Q380" s="117" t="str">
        <f>IF(B380="","",IF(ISNUMBER(N380),"DECIDIDO – ","")&amp;IF(ISNUMBER(M380),IF(P380="",IF(F380="","INFORMAR PRAZO","SEM DATA"),IF(P380&gt;=0,"DEFESA NO PRAZO","DEFESA FORA DO PRAZO")),IF(OR(H380="DECISÃO D.P",ISNUMBER(N380)),"SEM DEFESA",IF(H380="","SEM STATUS",IF(F380="","INFORMAR PRAZO",IF(P380="","SEM DATA",IF(P380&lt;0,"VENCIDO",IF(P380&lt;=DiasAlerta,"VENCE EM BREVE","NO PRAZO"))))))))</f>
        <v/>
      </c>
      <c r="R380" s="118" t="str">
        <f>IF(D380="","",TODAY()-D380)</f>
        <v/>
      </c>
      <c r="S380" s="111" t="n"/>
    </row>
    <row r="381" ht="18" customHeight="1">
      <c r="A381" s="110" t="n"/>
      <c r="B381" s="111" t="n"/>
      <c r="C381" s="111" t="n"/>
      <c r="D381" s="112" t="n"/>
      <c r="E381" s="111" t="n"/>
      <c r="F381" s="110" t="n"/>
      <c r="G381" s="113" t="n"/>
      <c r="H381" s="113" t="n"/>
      <c r="I381" s="111" t="n"/>
      <c r="J381" s="114" t="n"/>
      <c r="K381" s="114" t="n"/>
      <c r="L381" s="112" t="n"/>
      <c r="M381" s="112" t="n"/>
      <c r="N381" s="112" t="n"/>
      <c r="O381" s="115" t="str">
        <f>IF(OR(D381="",F381=""),"",D381+F381)</f>
        <v/>
      </c>
      <c r="P381" s="116" t="str">
        <f>IF(O381="","",IF(ISNUMBER(M381),O381-M381,IF(OR(H381="DECISÃO D.P",ISNUMBER(N381)),"",O381-TODAY())))</f>
        <v/>
      </c>
      <c r="Q381" s="117" t="str">
        <f>IF(B381="","",IF(ISNUMBER(N381),"DECIDIDO – ","")&amp;IF(ISNUMBER(M381),IF(P381="",IF(F381="","INFORMAR PRAZO","SEM DATA"),IF(P381&gt;=0,"DEFESA NO PRAZO","DEFESA FORA DO PRAZO")),IF(OR(H381="DECISÃO D.P",ISNUMBER(N381)),"SEM DEFESA",IF(H381="","SEM STATUS",IF(F381="","INFORMAR PRAZO",IF(P381="","SEM DATA",IF(P381&lt;0,"VENCIDO",IF(P381&lt;=DiasAlerta,"VENCE EM BREVE","NO PRAZO"))))))))</f>
        <v/>
      </c>
      <c r="R381" s="118" t="str">
        <f>IF(D381="","",TODAY()-D381)</f>
        <v/>
      </c>
      <c r="S381" s="111" t="n"/>
    </row>
    <row r="382" ht="18" customHeight="1">
      <c r="A382" s="110" t="n"/>
      <c r="B382" s="111" t="n"/>
      <c r="C382" s="111" t="n"/>
      <c r="D382" s="112" t="n"/>
      <c r="E382" s="111" t="n"/>
      <c r="F382" s="110" t="n"/>
      <c r="G382" s="113" t="n"/>
      <c r="H382" s="113" t="n"/>
      <c r="I382" s="111" t="n"/>
      <c r="J382" s="114" t="n"/>
      <c r="K382" s="114" t="n"/>
      <c r="L382" s="112" t="n"/>
      <c r="M382" s="112" t="n"/>
      <c r="N382" s="112" t="n"/>
      <c r="O382" s="115" t="str">
        <f>IF(OR(D382="",F382=""),"",D382+F382)</f>
        <v/>
      </c>
      <c r="P382" s="116" t="str">
        <f>IF(O382="","",IF(ISNUMBER(M382),O382-M382,IF(OR(H382="DECISÃO D.P",ISNUMBER(N382)),"",O382-TODAY())))</f>
        <v/>
      </c>
      <c r="Q382" s="117" t="str">
        <f>IF(B382="","",IF(ISNUMBER(N382),"DECIDIDO – ","")&amp;IF(ISNUMBER(M382),IF(P382="",IF(F382="","INFORMAR PRAZO","SEM DATA"),IF(P382&gt;=0,"DEFESA NO PRAZO","DEFESA FORA DO PRAZO")),IF(OR(H382="DECISÃO D.P",ISNUMBER(N382)),"SEM DEFESA",IF(H382="","SEM STATUS",IF(F382="","INFORMAR PRAZO",IF(P382="","SEM DATA",IF(P382&lt;0,"VENCIDO",IF(P382&lt;=DiasAlerta,"VENCE EM BREVE","NO PRAZO"))))))))</f>
        <v/>
      </c>
      <c r="R382" s="118" t="str">
        <f>IF(D382="","",TODAY()-D382)</f>
        <v/>
      </c>
      <c r="S382" s="111" t="n"/>
    </row>
    <row r="383" ht="18" customHeight="1">
      <c r="A383" s="110" t="n"/>
      <c r="B383" s="111" t="n"/>
      <c r="C383" s="111" t="n"/>
      <c r="D383" s="112" t="n"/>
      <c r="E383" s="111" t="n"/>
      <c r="F383" s="110" t="n"/>
      <c r="G383" s="113" t="n"/>
      <c r="H383" s="113" t="n"/>
      <c r="I383" s="111" t="n"/>
      <c r="J383" s="114" t="n"/>
      <c r="K383" s="114" t="n"/>
      <c r="L383" s="112" t="n"/>
      <c r="M383" s="112" t="n"/>
      <c r="N383" s="112" t="n"/>
      <c r="O383" s="115" t="str">
        <f>IF(OR(D383="",F383=""),"",D383+F383)</f>
        <v/>
      </c>
      <c r="P383" s="116" t="str">
        <f>IF(O383="","",IF(ISNUMBER(M383),O383-M383,IF(OR(H383="DECISÃO D.P",ISNUMBER(N383)),"",O383-TODAY())))</f>
        <v/>
      </c>
      <c r="Q383" s="117" t="str">
        <f>IF(B383="","",IF(ISNUMBER(N383),"DECIDIDO – ","")&amp;IF(ISNUMBER(M383),IF(P383="",IF(F383="","INFORMAR PRAZO","SEM DATA"),IF(P383&gt;=0,"DEFESA NO PRAZO","DEFESA FORA DO PRAZO")),IF(OR(H383="DECISÃO D.P",ISNUMBER(N383)),"SEM DEFESA",IF(H383="","SEM STATUS",IF(F383="","INFORMAR PRAZO",IF(P383="","SEM DATA",IF(P383&lt;0,"VENCIDO",IF(P383&lt;=DiasAlerta,"VENCE EM BREVE","NO PRAZO"))))))))</f>
        <v/>
      </c>
      <c r="R383" s="118" t="str">
        <f>IF(D383="","",TODAY()-D383)</f>
        <v/>
      </c>
      <c r="S383" s="111" t="n"/>
    </row>
    <row r="384" ht="18" customHeight="1">
      <c r="A384" s="110" t="n"/>
      <c r="B384" s="111" t="n"/>
      <c r="C384" s="111" t="n"/>
      <c r="D384" s="112" t="n"/>
      <c r="E384" s="111" t="n"/>
      <c r="F384" s="110" t="n"/>
      <c r="G384" s="113" t="n"/>
      <c r="H384" s="113" t="n"/>
      <c r="I384" s="111" t="n"/>
      <c r="J384" s="114" t="n"/>
      <c r="K384" s="114" t="n"/>
      <c r="L384" s="112" t="n"/>
      <c r="M384" s="112" t="n"/>
      <c r="N384" s="112" t="n"/>
      <c r="O384" s="115" t="str">
        <f>IF(OR(D384="",F384=""),"",D384+F384)</f>
        <v/>
      </c>
      <c r="P384" s="116" t="str">
        <f>IF(O384="","",IF(ISNUMBER(M384),O384-M384,IF(OR(H384="DECISÃO D.P",ISNUMBER(N384)),"",O384-TODAY())))</f>
        <v/>
      </c>
      <c r="Q384" s="117" t="str">
        <f>IF(B384="","",IF(ISNUMBER(N384),"DECIDIDO – ","")&amp;IF(ISNUMBER(M384),IF(P384="",IF(F384="","INFORMAR PRAZO","SEM DATA"),IF(P384&gt;=0,"DEFESA NO PRAZO","DEFESA FORA DO PRAZO")),IF(OR(H384="DECISÃO D.P",ISNUMBER(N384)),"SEM DEFESA",IF(H384="","SEM STATUS",IF(F384="","INFORMAR PRAZO",IF(P384="","SEM DATA",IF(P384&lt;0,"VENCIDO",IF(P384&lt;=DiasAlerta,"VENCE EM BREVE","NO PRAZO"))))))))</f>
        <v/>
      </c>
      <c r="R384" s="118" t="str">
        <f>IF(D384="","",TODAY()-D384)</f>
        <v/>
      </c>
      <c r="S384" s="111" t="n"/>
    </row>
    <row r="385" ht="18" customHeight="1">
      <c r="A385" s="110" t="n"/>
      <c r="B385" s="111" t="n"/>
      <c r="C385" s="111" t="n"/>
      <c r="D385" s="112" t="n"/>
      <c r="E385" s="111" t="n"/>
      <c r="F385" s="110" t="n"/>
      <c r="G385" s="113" t="n"/>
      <c r="H385" s="113" t="n"/>
      <c r="I385" s="111" t="n"/>
      <c r="J385" s="114" t="n"/>
      <c r="K385" s="114" t="n"/>
      <c r="L385" s="112" t="n"/>
      <c r="M385" s="112" t="n"/>
      <c r="N385" s="112" t="n"/>
      <c r="O385" s="115" t="str">
        <f>IF(OR(D385="",F385=""),"",D385+F385)</f>
        <v/>
      </c>
      <c r="P385" s="116" t="str">
        <f>IF(O385="","",IF(ISNUMBER(M385),O385-M385,IF(OR(H385="DECISÃO D.P",ISNUMBER(N385)),"",O385-TODAY())))</f>
        <v/>
      </c>
      <c r="Q385" s="117" t="str">
        <f>IF(B385="","",IF(ISNUMBER(N385),"DECIDIDO – ","")&amp;IF(ISNUMBER(M385),IF(P385="",IF(F385="","INFORMAR PRAZO","SEM DATA"),IF(P385&gt;=0,"DEFESA NO PRAZO","DEFESA FORA DO PRAZO")),IF(OR(H385="DECISÃO D.P",ISNUMBER(N385)),"SEM DEFESA",IF(H385="","SEM STATUS",IF(F385="","INFORMAR PRAZO",IF(P385="","SEM DATA",IF(P385&lt;0,"VENCIDO",IF(P385&lt;=DiasAlerta,"VENCE EM BREVE","NO PRAZO"))))))))</f>
        <v/>
      </c>
      <c r="R385" s="118" t="str">
        <f>IF(D385="","",TODAY()-D385)</f>
        <v/>
      </c>
      <c r="S385" s="111" t="n"/>
    </row>
    <row r="386" ht="18" customHeight="1">
      <c r="A386" s="110" t="n"/>
      <c r="B386" s="111" t="n"/>
      <c r="C386" s="111" t="n"/>
      <c r="D386" s="112" t="n"/>
      <c r="E386" s="111" t="n"/>
      <c r="F386" s="110" t="n"/>
      <c r="G386" s="113" t="n"/>
      <c r="H386" s="113" t="n"/>
      <c r="I386" s="111" t="n"/>
      <c r="J386" s="114" t="n"/>
      <c r="K386" s="114" t="n"/>
      <c r="L386" s="112" t="n"/>
      <c r="M386" s="112" t="n"/>
      <c r="N386" s="112" t="n"/>
      <c r="O386" s="115" t="str">
        <f>IF(OR(D386="",F386=""),"",D386+F386)</f>
        <v/>
      </c>
      <c r="P386" s="116" t="str">
        <f>IF(O386="","",IF(ISNUMBER(M386),O386-M386,IF(OR(H386="DECISÃO D.P",ISNUMBER(N386)),"",O386-TODAY())))</f>
        <v/>
      </c>
      <c r="Q386" s="117" t="str">
        <f>IF(B386="","",IF(ISNUMBER(N386),"DECIDIDO – ","")&amp;IF(ISNUMBER(M386),IF(P386="",IF(F386="","INFORMAR PRAZO","SEM DATA"),IF(P386&gt;=0,"DEFESA NO PRAZO","DEFESA FORA DO PRAZO")),IF(OR(H386="DECISÃO D.P",ISNUMBER(N386)),"SEM DEFESA",IF(H386="","SEM STATUS",IF(F386="","INFORMAR PRAZO",IF(P386="","SEM DATA",IF(P386&lt;0,"VENCIDO",IF(P386&lt;=DiasAlerta,"VENCE EM BREVE","NO PRAZO"))))))))</f>
        <v/>
      </c>
      <c r="R386" s="118" t="str">
        <f>IF(D386="","",TODAY()-D386)</f>
        <v/>
      </c>
      <c r="S386" s="111" t="n"/>
    </row>
    <row r="387" ht="18" customHeight="1">
      <c r="A387" s="110" t="n"/>
      <c r="B387" s="111" t="n"/>
      <c r="C387" s="111" t="n"/>
      <c r="D387" s="112" t="n"/>
      <c r="E387" s="111" t="n"/>
      <c r="F387" s="110" t="n"/>
      <c r="G387" s="113" t="n"/>
      <c r="H387" s="113" t="n"/>
      <c r="I387" s="111" t="n"/>
      <c r="J387" s="114" t="n"/>
      <c r="K387" s="114" t="n"/>
      <c r="L387" s="112" t="n"/>
      <c r="M387" s="112" t="n"/>
      <c r="N387" s="112" t="n"/>
      <c r="O387" s="115" t="str">
        <f>IF(OR(D387="",F387=""),"",D387+F387)</f>
        <v/>
      </c>
      <c r="P387" s="116" t="str">
        <f>IF(O387="","",IF(ISNUMBER(M387),O387-M387,IF(OR(H387="DECISÃO D.P",ISNUMBER(N387)),"",O387-TODAY())))</f>
        <v/>
      </c>
      <c r="Q387" s="117" t="str">
        <f>IF(B387="","",IF(ISNUMBER(N387),"DECIDIDO – ","")&amp;IF(ISNUMBER(M387),IF(P387="",IF(F387="","INFORMAR PRAZO","SEM DATA"),IF(P387&gt;=0,"DEFESA NO PRAZO","DEFESA FORA DO PRAZO")),IF(OR(H387="DECISÃO D.P",ISNUMBER(N387)),"SEM DEFESA",IF(H387="","SEM STATUS",IF(F387="","INFORMAR PRAZO",IF(P387="","SEM DATA",IF(P387&lt;0,"VENCIDO",IF(P387&lt;=DiasAlerta,"VENCE EM BREVE","NO PRAZO"))))))))</f>
        <v/>
      </c>
      <c r="R387" s="118" t="str">
        <f>IF(D387="","",TODAY()-D387)</f>
        <v/>
      </c>
      <c r="S387" s="111" t="n"/>
    </row>
    <row r="388" ht="18" customHeight="1">
      <c r="A388" s="110" t="n"/>
      <c r="B388" s="111" t="n"/>
      <c r="C388" s="111" t="n"/>
      <c r="D388" s="112" t="n"/>
      <c r="E388" s="111" t="n"/>
      <c r="F388" s="110" t="n"/>
      <c r="G388" s="113" t="n"/>
      <c r="H388" s="113" t="n"/>
      <c r="I388" s="111" t="n"/>
      <c r="J388" s="114" t="n"/>
      <c r="K388" s="114" t="n"/>
      <c r="L388" s="112" t="n"/>
      <c r="M388" s="112" t="n"/>
      <c r="N388" s="112" t="n"/>
      <c r="O388" s="115" t="str">
        <f>IF(OR(D388="",F388=""),"",D388+F388)</f>
        <v/>
      </c>
      <c r="P388" s="116" t="str">
        <f>IF(O388="","",IF(ISNUMBER(M388),O388-M388,IF(OR(H388="DECISÃO D.P",ISNUMBER(N388)),"",O388-TODAY())))</f>
        <v/>
      </c>
      <c r="Q388" s="117" t="str">
        <f>IF(B388="","",IF(ISNUMBER(N388),"DECIDIDO – ","")&amp;IF(ISNUMBER(M388),IF(P388="",IF(F388="","INFORMAR PRAZO","SEM DATA"),IF(P388&gt;=0,"DEFESA NO PRAZO","DEFESA FORA DO PRAZO")),IF(OR(H388="DECISÃO D.P",ISNUMBER(N388)),"SEM DEFESA",IF(H388="","SEM STATUS",IF(F388="","INFORMAR PRAZO",IF(P388="","SEM DATA",IF(P388&lt;0,"VENCIDO",IF(P388&lt;=DiasAlerta,"VENCE EM BREVE","NO PRAZO"))))))))</f>
        <v/>
      </c>
      <c r="R388" s="118" t="str">
        <f>IF(D388="","",TODAY()-D388)</f>
        <v/>
      </c>
      <c r="S388" s="111" t="n"/>
    </row>
    <row r="389" ht="18" customHeight="1">
      <c r="A389" s="110" t="n"/>
      <c r="B389" s="111" t="n"/>
      <c r="C389" s="111" t="n"/>
      <c r="D389" s="112" t="n"/>
      <c r="E389" s="111" t="n"/>
      <c r="F389" s="110" t="n"/>
      <c r="G389" s="113" t="n"/>
      <c r="H389" s="113" t="n"/>
      <c r="I389" s="111" t="n"/>
      <c r="J389" s="114" t="n"/>
      <c r="K389" s="114" t="n"/>
      <c r="L389" s="112" t="n"/>
      <c r="M389" s="112" t="n"/>
      <c r="N389" s="112" t="n"/>
      <c r="O389" s="115" t="str">
        <f>IF(OR(D389="",F389=""),"",D389+F389)</f>
        <v/>
      </c>
      <c r="P389" s="116" t="str">
        <f>IF(O389="","",IF(ISNUMBER(M389),O389-M389,IF(OR(H389="DECISÃO D.P",ISNUMBER(N389)),"",O389-TODAY())))</f>
        <v/>
      </c>
      <c r="Q389" s="117" t="str">
        <f>IF(B389="","",IF(ISNUMBER(N389),"DECIDIDO – ","")&amp;IF(ISNUMBER(M389),IF(P389="",IF(F389="","INFORMAR PRAZO","SEM DATA"),IF(P389&gt;=0,"DEFESA NO PRAZO","DEFESA FORA DO PRAZO")),IF(OR(H389="DECISÃO D.P",ISNUMBER(N389)),"SEM DEFESA",IF(H389="","SEM STATUS",IF(F389="","INFORMAR PRAZO",IF(P389="","SEM DATA",IF(P389&lt;0,"VENCIDO",IF(P389&lt;=DiasAlerta,"VENCE EM BREVE","NO PRAZO"))))))))</f>
        <v/>
      </c>
      <c r="R389" s="118" t="str">
        <f>IF(D389="","",TODAY()-D389)</f>
        <v/>
      </c>
      <c r="S389" s="111" t="n"/>
    </row>
    <row r="390" ht="18" customHeight="1">
      <c r="A390" s="110" t="n"/>
      <c r="B390" s="111" t="n"/>
      <c r="C390" s="111" t="n"/>
      <c r="D390" s="112" t="n"/>
      <c r="E390" s="111" t="n"/>
      <c r="F390" s="110" t="n"/>
      <c r="G390" s="113" t="n"/>
      <c r="H390" s="113" t="n"/>
      <c r="I390" s="111" t="n"/>
      <c r="J390" s="114" t="n"/>
      <c r="K390" s="114" t="n"/>
      <c r="L390" s="112" t="n"/>
      <c r="M390" s="112" t="n"/>
      <c r="N390" s="112" t="n"/>
      <c r="O390" s="115" t="str">
        <f>IF(OR(D390="",F390=""),"",D390+F390)</f>
        <v/>
      </c>
      <c r="P390" s="116" t="str">
        <f>IF(O390="","",IF(ISNUMBER(M390),O390-M390,IF(OR(H390="DECISÃO D.P",ISNUMBER(N390)),"",O390-TODAY())))</f>
        <v/>
      </c>
      <c r="Q390" s="117" t="str">
        <f>IF(B390="","",IF(ISNUMBER(N390),"DECIDIDO – ","")&amp;IF(ISNUMBER(M390),IF(P390="",IF(F390="","INFORMAR PRAZO","SEM DATA"),IF(P390&gt;=0,"DEFESA NO PRAZO","DEFESA FORA DO PRAZO")),IF(OR(H390="DECISÃO D.P",ISNUMBER(N390)),"SEM DEFESA",IF(H390="","SEM STATUS",IF(F390="","INFORMAR PRAZO",IF(P390="","SEM DATA",IF(P390&lt;0,"VENCIDO",IF(P390&lt;=DiasAlerta,"VENCE EM BREVE","NO PRAZO"))))))))</f>
        <v/>
      </c>
      <c r="R390" s="118" t="str">
        <f>IF(D390="","",TODAY()-D390)</f>
        <v/>
      </c>
      <c r="S390" s="111" t="n"/>
    </row>
    <row r="391" ht="18" customHeight="1">
      <c r="A391" s="110" t="n"/>
      <c r="B391" s="111" t="n"/>
      <c r="C391" s="111" t="n"/>
      <c r="D391" s="112" t="n"/>
      <c r="E391" s="111" t="n"/>
      <c r="F391" s="110" t="n"/>
      <c r="G391" s="113" t="n"/>
      <c r="H391" s="113" t="n"/>
      <c r="I391" s="111" t="n"/>
      <c r="J391" s="114" t="n"/>
      <c r="K391" s="114" t="n"/>
      <c r="L391" s="112" t="n"/>
      <c r="M391" s="112" t="n"/>
      <c r="N391" s="112" t="n"/>
      <c r="O391" s="115" t="str">
        <f>IF(OR(D391="",F391=""),"",D391+F391)</f>
        <v/>
      </c>
      <c r="P391" s="116" t="str">
        <f>IF(O391="","",IF(ISNUMBER(M391),O391-M391,IF(OR(H391="DECISÃO D.P",ISNUMBER(N391)),"",O391-TODAY())))</f>
        <v/>
      </c>
      <c r="Q391" s="117" t="str">
        <f>IF(B391="","",IF(ISNUMBER(N391),"DECIDIDO – ","")&amp;IF(ISNUMBER(M391),IF(P391="",IF(F391="","INFORMAR PRAZO","SEM DATA"),IF(P391&gt;=0,"DEFESA NO PRAZO","DEFESA FORA DO PRAZO")),IF(OR(H391="DECISÃO D.P",ISNUMBER(N391)),"SEM DEFESA",IF(H391="","SEM STATUS",IF(F391="","INFORMAR PRAZO",IF(P391="","SEM DATA",IF(P391&lt;0,"VENCIDO",IF(P391&lt;=DiasAlerta,"VENCE EM BREVE","NO PRAZO"))))))))</f>
        <v/>
      </c>
      <c r="R391" s="118" t="str">
        <f>IF(D391="","",TODAY()-D391)</f>
        <v/>
      </c>
      <c r="S391" s="111" t="n"/>
    </row>
    <row r="392" ht="18" customHeight="1">
      <c r="A392" s="110" t="n"/>
      <c r="B392" s="111" t="n"/>
      <c r="C392" s="111" t="n"/>
      <c r="D392" s="112" t="n"/>
      <c r="E392" s="111" t="n"/>
      <c r="F392" s="110" t="n"/>
      <c r="G392" s="113" t="n"/>
      <c r="H392" s="113" t="n"/>
      <c r="I392" s="111" t="n"/>
      <c r="J392" s="114" t="n"/>
      <c r="K392" s="114" t="n"/>
      <c r="L392" s="112" t="n"/>
      <c r="M392" s="112" t="n"/>
      <c r="N392" s="112" t="n"/>
      <c r="O392" s="115" t="str">
        <f>IF(OR(D392="",F392=""),"",D392+F392)</f>
        <v/>
      </c>
      <c r="P392" s="116" t="str">
        <f>IF(O392="","",IF(ISNUMBER(M392),O392-M392,IF(OR(H392="DECISÃO D.P",ISNUMBER(N392)),"",O392-TODAY())))</f>
        <v/>
      </c>
      <c r="Q392" s="117" t="str">
        <f>IF(B392="","",IF(ISNUMBER(N392),"DECIDIDO – ","")&amp;IF(ISNUMBER(M392),IF(P392="",IF(F392="","INFORMAR PRAZO","SEM DATA"),IF(P392&gt;=0,"DEFESA NO PRAZO","DEFESA FORA DO PRAZO")),IF(OR(H392="DECISÃO D.P",ISNUMBER(N392)),"SEM DEFESA",IF(H392="","SEM STATUS",IF(F392="","INFORMAR PRAZO",IF(P392="","SEM DATA",IF(P392&lt;0,"VENCIDO",IF(P392&lt;=DiasAlerta,"VENCE EM BREVE","NO PRAZO"))))))))</f>
        <v/>
      </c>
      <c r="R392" s="118" t="str">
        <f>IF(D392="","",TODAY()-D392)</f>
        <v/>
      </c>
      <c r="S392" s="111" t="n"/>
    </row>
    <row r="393" ht="18" customHeight="1">
      <c r="A393" s="110" t="n"/>
      <c r="B393" s="111" t="n"/>
      <c r="C393" s="111" t="n"/>
      <c r="D393" s="112" t="n"/>
      <c r="E393" s="111" t="n"/>
      <c r="F393" s="110" t="n"/>
      <c r="G393" s="113" t="n"/>
      <c r="H393" s="113" t="n"/>
      <c r="I393" s="111" t="n"/>
      <c r="J393" s="114" t="n"/>
      <c r="K393" s="114" t="n"/>
      <c r="L393" s="112" t="n"/>
      <c r="M393" s="112" t="n"/>
      <c r="N393" s="112" t="n"/>
      <c r="O393" s="115" t="str">
        <f>IF(OR(D393="",F393=""),"",D393+F393)</f>
        <v/>
      </c>
      <c r="P393" s="116" t="str">
        <f>IF(O393="","",IF(ISNUMBER(M393),O393-M393,IF(OR(H393="DECISÃO D.P",ISNUMBER(N393)),"",O393-TODAY())))</f>
        <v/>
      </c>
      <c r="Q393" s="117" t="str">
        <f>IF(B393="","",IF(ISNUMBER(N393),"DECIDIDO – ","")&amp;IF(ISNUMBER(M393),IF(P393="",IF(F393="","INFORMAR PRAZO","SEM DATA"),IF(P393&gt;=0,"DEFESA NO PRAZO","DEFESA FORA DO PRAZO")),IF(OR(H393="DECISÃO D.P",ISNUMBER(N393)),"SEM DEFESA",IF(H393="","SEM STATUS",IF(F393="","INFORMAR PRAZO",IF(P393="","SEM DATA",IF(P393&lt;0,"VENCIDO",IF(P393&lt;=DiasAlerta,"VENCE EM BREVE","NO PRAZO"))))))))</f>
        <v/>
      </c>
      <c r="R393" s="118" t="str">
        <f>IF(D393="","",TODAY()-D393)</f>
        <v/>
      </c>
      <c r="S393" s="111" t="n"/>
    </row>
    <row r="394" ht="18" customHeight="1">
      <c r="A394" s="110" t="n"/>
      <c r="B394" s="111" t="n"/>
      <c r="C394" s="111" t="n"/>
      <c r="D394" s="112" t="n"/>
      <c r="E394" s="111" t="n"/>
      <c r="F394" s="110" t="n"/>
      <c r="G394" s="113" t="n"/>
      <c r="H394" s="113" t="n"/>
      <c r="I394" s="111" t="n"/>
      <c r="J394" s="114" t="n"/>
      <c r="K394" s="114" t="n"/>
      <c r="L394" s="112" t="n"/>
      <c r="M394" s="112" t="n"/>
      <c r="N394" s="112" t="n"/>
      <c r="O394" s="115" t="str">
        <f>IF(OR(D394="",F394=""),"",D394+F394)</f>
        <v/>
      </c>
      <c r="P394" s="116" t="str">
        <f>IF(O394="","",IF(ISNUMBER(M394),O394-M394,IF(OR(H394="DECISÃO D.P",ISNUMBER(N394)),"",O394-TODAY())))</f>
        <v/>
      </c>
      <c r="Q394" s="117" t="str">
        <f>IF(B394="","",IF(ISNUMBER(N394),"DECIDIDO – ","")&amp;IF(ISNUMBER(M394),IF(P394="",IF(F394="","INFORMAR PRAZO","SEM DATA"),IF(P394&gt;=0,"DEFESA NO PRAZO","DEFESA FORA DO PRAZO")),IF(OR(H394="DECISÃO D.P",ISNUMBER(N394)),"SEM DEFESA",IF(H394="","SEM STATUS",IF(F394="","INFORMAR PRAZO",IF(P394="","SEM DATA",IF(P394&lt;0,"VENCIDO",IF(P394&lt;=DiasAlerta,"VENCE EM BREVE","NO PRAZO"))))))))</f>
        <v/>
      </c>
      <c r="R394" s="118" t="str">
        <f>IF(D394="","",TODAY()-D394)</f>
        <v/>
      </c>
      <c r="S394" s="111" t="n"/>
    </row>
    <row r="395" ht="18" customHeight="1">
      <c r="A395" s="110" t="n"/>
      <c r="B395" s="111" t="n"/>
      <c r="C395" s="111" t="n"/>
      <c r="D395" s="112" t="n"/>
      <c r="E395" s="111" t="n"/>
      <c r="F395" s="110" t="n"/>
      <c r="G395" s="113" t="n"/>
      <c r="H395" s="113" t="n"/>
      <c r="I395" s="111" t="n"/>
      <c r="J395" s="114" t="n"/>
      <c r="K395" s="114" t="n"/>
      <c r="L395" s="112" t="n"/>
      <c r="M395" s="112" t="n"/>
      <c r="N395" s="112" t="n"/>
      <c r="O395" s="115" t="str">
        <f>IF(OR(D395="",F395=""),"",D395+F395)</f>
        <v/>
      </c>
      <c r="P395" s="116" t="str">
        <f>IF(O395="","",IF(ISNUMBER(M395),O395-M395,IF(OR(H395="DECISÃO D.P",ISNUMBER(N395)),"",O395-TODAY())))</f>
        <v/>
      </c>
      <c r="Q395" s="117" t="str">
        <f>IF(B395="","",IF(ISNUMBER(N395),"DECIDIDO – ","")&amp;IF(ISNUMBER(M395),IF(P395="",IF(F395="","INFORMAR PRAZO","SEM DATA"),IF(P395&gt;=0,"DEFESA NO PRAZO","DEFESA FORA DO PRAZO")),IF(OR(H395="DECISÃO D.P",ISNUMBER(N395)),"SEM DEFESA",IF(H395="","SEM STATUS",IF(F395="","INFORMAR PRAZO",IF(P395="","SEM DATA",IF(P395&lt;0,"VENCIDO",IF(P395&lt;=DiasAlerta,"VENCE EM BREVE","NO PRAZO"))))))))</f>
        <v/>
      </c>
      <c r="R395" s="118" t="str">
        <f>IF(D395="","",TODAY()-D395)</f>
        <v/>
      </c>
      <c r="S395" s="111" t="n"/>
    </row>
    <row r="396" ht="18" customHeight="1">
      <c r="A396" s="110" t="n"/>
      <c r="B396" s="111" t="n"/>
      <c r="C396" s="111" t="n"/>
      <c r="D396" s="112" t="n"/>
      <c r="E396" s="111" t="n"/>
      <c r="F396" s="110" t="n"/>
      <c r="G396" s="113" t="n"/>
      <c r="H396" s="113" t="n"/>
      <c r="I396" s="111" t="n"/>
      <c r="J396" s="114" t="n"/>
      <c r="K396" s="114" t="n"/>
      <c r="L396" s="112" t="n"/>
      <c r="M396" s="112" t="n"/>
      <c r="N396" s="112" t="n"/>
      <c r="O396" s="115" t="str">
        <f>IF(OR(D396="",F396=""),"",D396+F396)</f>
        <v/>
      </c>
      <c r="P396" s="116" t="str">
        <f>IF(O396="","",IF(ISNUMBER(M396),O396-M396,IF(OR(H396="DECISÃO D.P",ISNUMBER(N396)),"",O396-TODAY())))</f>
        <v/>
      </c>
      <c r="Q396" s="117" t="str">
        <f>IF(B396="","",IF(ISNUMBER(N396),"DECIDIDO – ","")&amp;IF(ISNUMBER(M396),IF(P396="",IF(F396="","INFORMAR PRAZO","SEM DATA"),IF(P396&gt;=0,"DEFESA NO PRAZO","DEFESA FORA DO PRAZO")),IF(OR(H396="DECISÃO D.P",ISNUMBER(N396)),"SEM DEFESA",IF(H396="","SEM STATUS",IF(F396="","INFORMAR PRAZO",IF(P396="","SEM DATA",IF(P396&lt;0,"VENCIDO",IF(P396&lt;=DiasAlerta,"VENCE EM BREVE","NO PRAZO"))))))))</f>
        <v/>
      </c>
      <c r="R396" s="118" t="str">
        <f>IF(D396="","",TODAY()-D396)</f>
        <v/>
      </c>
      <c r="S396" s="111" t="n"/>
    </row>
    <row r="397" ht="18" customHeight="1">
      <c r="A397" s="110" t="n"/>
      <c r="B397" s="111" t="n"/>
      <c r="C397" s="111" t="n"/>
      <c r="D397" s="112" t="n"/>
      <c r="E397" s="111" t="n"/>
      <c r="F397" s="110" t="n"/>
      <c r="G397" s="113" t="n"/>
      <c r="H397" s="113" t="n"/>
      <c r="I397" s="111" t="n"/>
      <c r="J397" s="114" t="n"/>
      <c r="K397" s="114" t="n"/>
      <c r="L397" s="112" t="n"/>
      <c r="M397" s="112" t="n"/>
      <c r="N397" s="112" t="n"/>
      <c r="O397" s="115" t="str">
        <f>IF(OR(D397="",F397=""),"",D397+F397)</f>
        <v/>
      </c>
      <c r="P397" s="116" t="str">
        <f>IF(O397="","",IF(ISNUMBER(M397),O397-M397,IF(OR(H397="DECISÃO D.P",ISNUMBER(N397)),"",O397-TODAY())))</f>
        <v/>
      </c>
      <c r="Q397" s="117" t="str">
        <f>IF(B397="","",IF(ISNUMBER(N397),"DECIDIDO – ","")&amp;IF(ISNUMBER(M397),IF(P397="",IF(F397="","INFORMAR PRAZO","SEM DATA"),IF(P397&gt;=0,"DEFESA NO PRAZO","DEFESA FORA DO PRAZO")),IF(OR(H397="DECISÃO D.P",ISNUMBER(N397)),"SEM DEFESA",IF(H397="","SEM STATUS",IF(F397="","INFORMAR PRAZO",IF(P397="","SEM DATA",IF(P397&lt;0,"VENCIDO",IF(P397&lt;=DiasAlerta,"VENCE EM BREVE","NO PRAZO"))))))))</f>
        <v/>
      </c>
      <c r="R397" s="118" t="str">
        <f>IF(D397="","",TODAY()-D397)</f>
        <v/>
      </c>
      <c r="S397" s="111" t="n"/>
    </row>
    <row r="398" ht="18" customHeight="1">
      <c r="A398" s="110" t="n"/>
      <c r="B398" s="111" t="n"/>
      <c r="C398" s="111" t="n"/>
      <c r="D398" s="112" t="n"/>
      <c r="E398" s="111" t="n"/>
      <c r="F398" s="110" t="n"/>
      <c r="G398" s="113" t="n"/>
      <c r="H398" s="113" t="n"/>
      <c r="I398" s="111" t="n"/>
      <c r="J398" s="114" t="n"/>
      <c r="K398" s="114" t="n"/>
      <c r="L398" s="112" t="n"/>
      <c r="M398" s="112" t="n"/>
      <c r="N398" s="112" t="n"/>
      <c r="O398" s="115" t="str">
        <f>IF(OR(D398="",F398=""),"",D398+F398)</f>
        <v/>
      </c>
      <c r="P398" s="116" t="str">
        <f>IF(O398="","",IF(ISNUMBER(M398),O398-M398,IF(OR(H398="DECISÃO D.P",ISNUMBER(N398)),"",O398-TODAY())))</f>
        <v/>
      </c>
      <c r="Q398" s="117" t="str">
        <f>IF(B398="","",IF(ISNUMBER(N398),"DECIDIDO – ","")&amp;IF(ISNUMBER(M398),IF(P398="",IF(F398="","INFORMAR PRAZO","SEM DATA"),IF(P398&gt;=0,"DEFESA NO PRAZO","DEFESA FORA DO PRAZO")),IF(OR(H398="DECISÃO D.P",ISNUMBER(N398)),"SEM DEFESA",IF(H398="","SEM STATUS",IF(F398="","INFORMAR PRAZO",IF(P398="","SEM DATA",IF(P398&lt;0,"VENCIDO",IF(P398&lt;=DiasAlerta,"VENCE EM BREVE","NO PRAZO"))))))))</f>
        <v/>
      </c>
      <c r="R398" s="118" t="str">
        <f>IF(D398="","",TODAY()-D398)</f>
        <v/>
      </c>
      <c r="S398" s="111" t="n"/>
    </row>
    <row r="399" ht="18" customHeight="1">
      <c r="A399" s="110" t="n"/>
      <c r="B399" s="111" t="n"/>
      <c r="C399" s="111" t="n"/>
      <c r="D399" s="112" t="n"/>
      <c r="E399" s="111" t="n"/>
      <c r="F399" s="110" t="n"/>
      <c r="G399" s="113" t="n"/>
      <c r="H399" s="113" t="n"/>
      <c r="I399" s="111" t="n"/>
      <c r="J399" s="114" t="n"/>
      <c r="K399" s="114" t="n"/>
      <c r="L399" s="112" t="n"/>
      <c r="M399" s="112" t="n"/>
      <c r="N399" s="112" t="n"/>
      <c r="O399" s="115" t="str">
        <f>IF(OR(D399="",F399=""),"",D399+F399)</f>
        <v/>
      </c>
      <c r="P399" s="116" t="str">
        <f>IF(O399="","",IF(ISNUMBER(M399),O399-M399,IF(OR(H399="DECISÃO D.P",ISNUMBER(N399)),"",O399-TODAY())))</f>
        <v/>
      </c>
      <c r="Q399" s="117" t="str">
        <f>IF(B399="","",IF(ISNUMBER(N399),"DECIDIDO – ","")&amp;IF(ISNUMBER(M399),IF(P399="",IF(F399="","INFORMAR PRAZO","SEM DATA"),IF(P399&gt;=0,"DEFESA NO PRAZO","DEFESA FORA DO PRAZO")),IF(OR(H399="DECISÃO D.P",ISNUMBER(N399)),"SEM DEFESA",IF(H399="","SEM STATUS",IF(F399="","INFORMAR PRAZO",IF(P399="","SEM DATA",IF(P399&lt;0,"VENCIDO",IF(P399&lt;=DiasAlerta,"VENCE EM BREVE","NO PRAZO"))))))))</f>
        <v/>
      </c>
      <c r="R399" s="118" t="str">
        <f>IF(D399="","",TODAY()-D399)</f>
        <v/>
      </c>
      <c r="S399" s="111" t="n"/>
    </row>
    <row r="400" ht="18" customHeight="1">
      <c r="A400" s="110" t="n"/>
      <c r="B400" s="111" t="n"/>
      <c r="C400" s="111" t="n"/>
      <c r="D400" s="112" t="n"/>
      <c r="E400" s="111" t="n"/>
      <c r="F400" s="110" t="n"/>
      <c r="G400" s="113" t="n"/>
      <c r="H400" s="113" t="n"/>
      <c r="I400" s="111" t="n"/>
      <c r="J400" s="114" t="n"/>
      <c r="K400" s="114" t="n"/>
      <c r="L400" s="112" t="n"/>
      <c r="M400" s="112" t="n"/>
      <c r="N400" s="112" t="n"/>
      <c r="O400" s="115" t="str">
        <f>IF(OR(D400="",F400=""),"",D400+F400)</f>
        <v/>
      </c>
      <c r="P400" s="116" t="str">
        <f>IF(O400="","",IF(ISNUMBER(M400),O400-M400,IF(OR(H400="DECISÃO D.P",ISNUMBER(N400)),"",O400-TODAY())))</f>
        <v/>
      </c>
      <c r="Q400" s="117" t="str">
        <f>IF(B400="","",IF(ISNUMBER(N400),"DECIDIDO – ","")&amp;IF(ISNUMBER(M400),IF(P400="",IF(F400="","INFORMAR PRAZO","SEM DATA"),IF(P400&gt;=0,"DEFESA NO PRAZO","DEFESA FORA DO PRAZO")),IF(OR(H400="DECISÃO D.P",ISNUMBER(N400)),"SEM DEFESA",IF(H400="","SEM STATUS",IF(F400="","INFORMAR PRAZO",IF(P400="","SEM DATA",IF(P400&lt;0,"VENCIDO",IF(P400&lt;=DiasAlerta,"VENCE EM BREVE","NO PRAZO"))))))))</f>
        <v/>
      </c>
      <c r="R400" s="118" t="str">
        <f>IF(D400="","",TODAY()-D400)</f>
        <v/>
      </c>
      <c r="S400" s="111" t="n"/>
    </row>
    <row r="401" ht="18" customHeight="1">
      <c r="A401" s="110" t="n"/>
      <c r="B401" s="111" t="n"/>
      <c r="C401" s="111" t="n"/>
      <c r="D401" s="112" t="n"/>
      <c r="E401" s="111" t="n"/>
      <c r="F401" s="110" t="n"/>
      <c r="G401" s="113" t="n"/>
      <c r="H401" s="113" t="n"/>
      <c r="I401" s="111" t="n"/>
      <c r="J401" s="114" t="n"/>
      <c r="K401" s="114" t="n"/>
      <c r="L401" s="112" t="n"/>
      <c r="M401" s="112" t="n"/>
      <c r="N401" s="112" t="n"/>
      <c r="O401" s="115" t="str">
        <f>IF(OR(D401="",F401=""),"",D401+F401)</f>
        <v/>
      </c>
      <c r="P401" s="116" t="str">
        <f>IF(O401="","",IF(ISNUMBER(M401),O401-M401,IF(OR(H401="DECISÃO D.P",ISNUMBER(N401)),"",O401-TODAY())))</f>
        <v/>
      </c>
      <c r="Q401" s="117" t="str">
        <f>IF(B401="","",IF(ISNUMBER(N401),"DECIDIDO – ","")&amp;IF(ISNUMBER(M401),IF(P401="",IF(F401="","INFORMAR PRAZO","SEM DATA"),IF(P401&gt;=0,"DEFESA NO PRAZO","DEFESA FORA DO PRAZO")),IF(OR(H401="DECISÃO D.P",ISNUMBER(N401)),"SEM DEFESA",IF(H401="","SEM STATUS",IF(F401="","INFORMAR PRAZO",IF(P401="","SEM DATA",IF(P401&lt;0,"VENCIDO",IF(P401&lt;=DiasAlerta,"VENCE EM BREVE","NO PRAZO"))))))))</f>
        <v/>
      </c>
      <c r="R401" s="118" t="str">
        <f>IF(D401="","",TODAY()-D401)</f>
        <v/>
      </c>
      <c r="S401" s="111" t="n"/>
    </row>
    <row r="402" ht="18" customHeight="1">
      <c r="A402" s="110" t="n"/>
      <c r="B402" s="111" t="n"/>
      <c r="C402" s="111" t="n"/>
      <c r="D402" s="112" t="n"/>
      <c r="E402" s="111" t="n"/>
      <c r="F402" s="110" t="n"/>
      <c r="G402" s="113" t="n"/>
      <c r="H402" s="113" t="n"/>
      <c r="I402" s="111" t="n"/>
      <c r="J402" s="114" t="n"/>
      <c r="K402" s="114" t="n"/>
      <c r="L402" s="112" t="n"/>
      <c r="M402" s="112" t="n"/>
      <c r="N402" s="112" t="n"/>
      <c r="O402" s="115" t="str">
        <f>IF(OR(D402="",F402=""),"",D402+F402)</f>
        <v/>
      </c>
      <c r="P402" s="116" t="str">
        <f>IF(O402="","",IF(ISNUMBER(M402),O402-M402,IF(OR(H402="DECISÃO D.P",ISNUMBER(N402)),"",O402-TODAY())))</f>
        <v/>
      </c>
      <c r="Q402" s="117" t="str">
        <f>IF(B402="","",IF(ISNUMBER(N402),"DECIDIDO – ","")&amp;IF(ISNUMBER(M402),IF(P402="",IF(F402="","INFORMAR PRAZO","SEM DATA"),IF(P402&gt;=0,"DEFESA NO PRAZO","DEFESA FORA DO PRAZO")),IF(OR(H402="DECISÃO D.P",ISNUMBER(N402)),"SEM DEFESA",IF(H402="","SEM STATUS",IF(F402="","INFORMAR PRAZO",IF(P402="","SEM DATA",IF(P402&lt;0,"VENCIDO",IF(P402&lt;=DiasAlerta,"VENCE EM BREVE","NO PRAZO"))))))))</f>
        <v/>
      </c>
      <c r="R402" s="118" t="str">
        <f>IF(D402="","",TODAY()-D402)</f>
        <v/>
      </c>
      <c r="S402" s="111" t="n"/>
    </row>
    <row r="403" ht="18" customHeight="1">
      <c r="A403" s="110" t="n"/>
      <c r="B403" s="111" t="n"/>
      <c r="C403" s="111" t="n"/>
      <c r="D403" s="112" t="n"/>
      <c r="E403" s="111" t="n"/>
      <c r="F403" s="110" t="n"/>
      <c r="G403" s="113" t="n"/>
      <c r="H403" s="113" t="n"/>
      <c r="I403" s="111" t="n"/>
      <c r="J403" s="114" t="n"/>
      <c r="K403" s="114" t="n"/>
      <c r="L403" s="112" t="n"/>
      <c r="M403" s="112" t="n"/>
      <c r="N403" s="112" t="n"/>
      <c r="O403" s="115" t="str">
        <f>IF(OR(D403="",F403=""),"",D403+F403)</f>
        <v/>
      </c>
      <c r="P403" s="116" t="str">
        <f>IF(O403="","",IF(ISNUMBER(M403),O403-M403,IF(OR(H403="DECISÃO D.P",ISNUMBER(N403)),"",O403-TODAY())))</f>
        <v/>
      </c>
      <c r="Q403" s="117" t="str">
        <f>IF(B403="","",IF(ISNUMBER(N403),"DECIDIDO – ","")&amp;IF(ISNUMBER(M403),IF(P403="",IF(F403="","INFORMAR PRAZO","SEM DATA"),IF(P403&gt;=0,"DEFESA NO PRAZO","DEFESA FORA DO PRAZO")),IF(OR(H403="DECISÃO D.P",ISNUMBER(N403)),"SEM DEFESA",IF(H403="","SEM STATUS",IF(F403="","INFORMAR PRAZO",IF(P403="","SEM DATA",IF(P403&lt;0,"VENCIDO",IF(P403&lt;=DiasAlerta,"VENCE EM BREVE","NO PRAZO"))))))))</f>
        <v/>
      </c>
      <c r="R403" s="118" t="str">
        <f>IF(D403="","",TODAY()-D403)</f>
        <v/>
      </c>
      <c r="S403" s="111" t="n"/>
    </row>
    <row r="404" ht="18" customHeight="1">
      <c r="A404" s="110" t="n"/>
      <c r="B404" s="111" t="n"/>
      <c r="C404" s="111" t="n"/>
      <c r="D404" s="112" t="n"/>
      <c r="E404" s="111" t="n"/>
      <c r="F404" s="110" t="n"/>
      <c r="G404" s="113" t="n"/>
      <c r="H404" s="113" t="n"/>
      <c r="I404" s="111" t="n"/>
      <c r="J404" s="114" t="n"/>
      <c r="K404" s="114" t="n"/>
      <c r="L404" s="112" t="n"/>
      <c r="M404" s="112" t="n"/>
      <c r="N404" s="112" t="n"/>
      <c r="O404" s="115" t="str">
        <f>IF(OR(D404="",F404=""),"",D404+F404)</f>
        <v/>
      </c>
      <c r="P404" s="116" t="str">
        <f>IF(O404="","",IF(ISNUMBER(M404),O404-M404,IF(OR(H404="DECISÃO D.P",ISNUMBER(N404)),"",O404-TODAY())))</f>
        <v/>
      </c>
      <c r="Q404" s="117" t="str">
        <f>IF(B404="","",IF(ISNUMBER(N404),"DECIDIDO – ","")&amp;IF(ISNUMBER(M404),IF(P404="",IF(F404="","INFORMAR PRAZO","SEM DATA"),IF(P404&gt;=0,"DEFESA NO PRAZO","DEFESA FORA DO PRAZO")),IF(OR(H404="DECISÃO D.P",ISNUMBER(N404)),"SEM DEFESA",IF(H404="","SEM STATUS",IF(F404="","INFORMAR PRAZO",IF(P404="","SEM DATA",IF(P404&lt;0,"VENCIDO",IF(P404&lt;=DiasAlerta,"VENCE EM BREVE","NO PRAZO"))))))))</f>
        <v/>
      </c>
      <c r="R404" s="118" t="str">
        <f>IF(D404="","",TODAY()-D404)</f>
        <v/>
      </c>
      <c r="S404" s="111" t="n"/>
    </row>
    <row r="405" ht="18" customHeight="1">
      <c r="A405" s="110" t="n"/>
      <c r="B405" s="111" t="n"/>
      <c r="C405" s="111" t="n"/>
      <c r="D405" s="112" t="n"/>
      <c r="E405" s="111" t="n"/>
      <c r="F405" s="110" t="n"/>
      <c r="G405" s="113" t="n"/>
      <c r="H405" s="113" t="n"/>
      <c r="I405" s="111" t="n"/>
      <c r="J405" s="114" t="n"/>
      <c r="K405" s="114" t="n"/>
      <c r="L405" s="112" t="n"/>
      <c r="M405" s="112" t="n"/>
      <c r="N405" s="112" t="n"/>
      <c r="O405" s="115" t="str">
        <f>IF(OR(D405="",F405=""),"",D405+F405)</f>
        <v/>
      </c>
      <c r="P405" s="116" t="str">
        <f>IF(O405="","",IF(ISNUMBER(M405),O405-M405,IF(OR(H405="DECISÃO D.P",ISNUMBER(N405)),"",O405-TODAY())))</f>
        <v/>
      </c>
      <c r="Q405" s="117" t="str">
        <f>IF(B405="","",IF(ISNUMBER(N405),"DECIDIDO – ","")&amp;IF(ISNUMBER(M405),IF(P405="",IF(F405="","INFORMAR PRAZO","SEM DATA"),IF(P405&gt;=0,"DEFESA NO PRAZO","DEFESA FORA DO PRAZO")),IF(OR(H405="DECISÃO D.P",ISNUMBER(N405)),"SEM DEFESA",IF(H405="","SEM STATUS",IF(F405="","INFORMAR PRAZO",IF(P405="","SEM DATA",IF(P405&lt;0,"VENCIDO",IF(P405&lt;=DiasAlerta,"VENCE EM BREVE","NO PRAZO"))))))))</f>
        <v/>
      </c>
      <c r="R405" s="118" t="str">
        <f>IF(D405="","",TODAY()-D405)</f>
        <v/>
      </c>
      <c r="S405" s="111" t="n"/>
    </row>
    <row r="406" ht="18" customHeight="1">
      <c r="A406" s="110" t="n"/>
      <c r="B406" s="111" t="n"/>
      <c r="C406" s="111" t="n"/>
      <c r="D406" s="112" t="n"/>
      <c r="E406" s="111" t="n"/>
      <c r="F406" s="110" t="n"/>
      <c r="G406" s="113" t="n"/>
      <c r="H406" s="113" t="n"/>
      <c r="I406" s="111" t="n"/>
      <c r="J406" s="114" t="n"/>
      <c r="K406" s="114" t="n"/>
      <c r="L406" s="112" t="n"/>
      <c r="M406" s="112" t="n"/>
      <c r="N406" s="112" t="n"/>
      <c r="O406" s="115" t="str">
        <f>IF(OR(D406="",F406=""),"",D406+F406)</f>
        <v/>
      </c>
      <c r="P406" s="116" t="str">
        <f>IF(O406="","",IF(ISNUMBER(M406),O406-M406,IF(OR(H406="DECISÃO D.P",ISNUMBER(N406)),"",O406-TODAY())))</f>
        <v/>
      </c>
      <c r="Q406" s="117" t="str">
        <f>IF(B406="","",IF(ISNUMBER(N406),"DECIDIDO – ","")&amp;IF(ISNUMBER(M406),IF(P406="",IF(F406="","INFORMAR PRAZO","SEM DATA"),IF(P406&gt;=0,"DEFESA NO PRAZO","DEFESA FORA DO PRAZO")),IF(OR(H406="DECISÃO D.P",ISNUMBER(N406)),"SEM DEFESA",IF(H406="","SEM STATUS",IF(F406="","INFORMAR PRAZO",IF(P406="","SEM DATA",IF(P406&lt;0,"VENCIDO",IF(P406&lt;=DiasAlerta,"VENCE EM BREVE","NO PRAZO"))))))))</f>
        <v/>
      </c>
      <c r="R406" s="118" t="str">
        <f>IF(D406="","",TODAY()-D406)</f>
        <v/>
      </c>
      <c r="S406" s="111" t="n"/>
    </row>
    <row r="407" ht="18" customHeight="1">
      <c r="A407" s="110" t="n"/>
      <c r="B407" s="111" t="n"/>
      <c r="C407" s="111" t="n"/>
      <c r="D407" s="112" t="n"/>
      <c r="E407" s="111" t="n"/>
      <c r="F407" s="110" t="n"/>
      <c r="G407" s="113" t="n"/>
      <c r="H407" s="113" t="n"/>
      <c r="I407" s="111" t="n"/>
      <c r="J407" s="114" t="n"/>
      <c r="K407" s="114" t="n"/>
      <c r="L407" s="112" t="n"/>
      <c r="M407" s="112" t="n"/>
      <c r="N407" s="112" t="n"/>
      <c r="O407" s="115" t="str">
        <f>IF(OR(D407="",F407=""),"",D407+F407)</f>
        <v/>
      </c>
      <c r="P407" s="116" t="str">
        <f>IF(O407="","",IF(ISNUMBER(M407),O407-M407,IF(OR(H407="DECISÃO D.P",ISNUMBER(N407)),"",O407-TODAY())))</f>
        <v/>
      </c>
      <c r="Q407" s="117" t="str">
        <f>IF(B407="","",IF(ISNUMBER(N407),"DECIDIDO – ","")&amp;IF(ISNUMBER(M407),IF(P407="",IF(F407="","INFORMAR PRAZO","SEM DATA"),IF(P407&gt;=0,"DEFESA NO PRAZO","DEFESA FORA DO PRAZO")),IF(OR(H407="DECISÃO D.P",ISNUMBER(N407)),"SEM DEFESA",IF(H407="","SEM STATUS",IF(F407="","INFORMAR PRAZO",IF(P407="","SEM DATA",IF(P407&lt;0,"VENCIDO",IF(P407&lt;=DiasAlerta,"VENCE EM BREVE","NO PRAZO"))))))))</f>
        <v/>
      </c>
      <c r="R407" s="118" t="str">
        <f>IF(D407="","",TODAY()-D407)</f>
        <v/>
      </c>
      <c r="S407" s="111" t="n"/>
    </row>
    <row r="408" ht="18" customHeight="1">
      <c r="A408" s="110" t="n"/>
      <c r="B408" s="111" t="n"/>
      <c r="C408" s="111" t="n"/>
      <c r="D408" s="112" t="n"/>
      <c r="E408" s="111" t="n"/>
      <c r="F408" s="110" t="n"/>
      <c r="G408" s="113" t="n"/>
      <c r="H408" s="113" t="n"/>
      <c r="I408" s="111" t="n"/>
      <c r="J408" s="114" t="n"/>
      <c r="K408" s="114" t="n"/>
      <c r="L408" s="112" t="n"/>
      <c r="M408" s="112" t="n"/>
      <c r="N408" s="112" t="n"/>
      <c r="O408" s="115" t="str">
        <f>IF(OR(D408="",F408=""),"",D408+F408)</f>
        <v/>
      </c>
      <c r="P408" s="116" t="str">
        <f>IF(O408="","",IF(ISNUMBER(M408),O408-M408,IF(OR(H408="DECISÃO D.P",ISNUMBER(N408)),"",O408-TODAY())))</f>
        <v/>
      </c>
      <c r="Q408" s="117" t="str">
        <f>IF(B408="","",IF(ISNUMBER(N408),"DECIDIDO – ","")&amp;IF(ISNUMBER(M408),IF(P408="",IF(F408="","INFORMAR PRAZO","SEM DATA"),IF(P408&gt;=0,"DEFESA NO PRAZO","DEFESA FORA DO PRAZO")),IF(OR(H408="DECISÃO D.P",ISNUMBER(N408)),"SEM DEFESA",IF(H408="","SEM STATUS",IF(F408="","INFORMAR PRAZO",IF(P408="","SEM DATA",IF(P408&lt;0,"VENCIDO",IF(P408&lt;=DiasAlerta,"VENCE EM BREVE","NO PRAZO"))))))))</f>
        <v/>
      </c>
      <c r="R408" s="118" t="str">
        <f>IF(D408="","",TODAY()-D408)</f>
        <v/>
      </c>
      <c r="S408" s="111" t="n"/>
    </row>
    <row r="409" ht="18" customHeight="1">
      <c r="A409" s="110" t="n"/>
      <c r="B409" s="111" t="n"/>
      <c r="C409" s="111" t="n"/>
      <c r="D409" s="112" t="n"/>
      <c r="E409" s="111" t="n"/>
      <c r="F409" s="110" t="n"/>
      <c r="G409" s="113" t="n"/>
      <c r="H409" s="113" t="n"/>
      <c r="I409" s="111" t="n"/>
      <c r="J409" s="114" t="n"/>
      <c r="K409" s="114" t="n"/>
      <c r="L409" s="112" t="n"/>
      <c r="M409" s="112" t="n"/>
      <c r="N409" s="112" t="n"/>
      <c r="O409" s="115" t="str">
        <f>IF(OR(D409="",F409=""),"",D409+F409)</f>
        <v/>
      </c>
      <c r="P409" s="116" t="str">
        <f>IF(O409="","",IF(ISNUMBER(M409),O409-M409,IF(OR(H409="DECISÃO D.P",ISNUMBER(N409)),"",O409-TODAY())))</f>
        <v/>
      </c>
      <c r="Q409" s="117" t="str">
        <f>IF(B409="","",IF(ISNUMBER(N409),"DECIDIDO – ","")&amp;IF(ISNUMBER(M409),IF(P409="",IF(F409="","INFORMAR PRAZO","SEM DATA"),IF(P409&gt;=0,"DEFESA NO PRAZO","DEFESA FORA DO PRAZO")),IF(OR(H409="DECISÃO D.P",ISNUMBER(N409)),"SEM DEFESA",IF(H409="","SEM STATUS",IF(F409="","INFORMAR PRAZO",IF(P409="","SEM DATA",IF(P409&lt;0,"VENCIDO",IF(P409&lt;=DiasAlerta,"VENCE EM BREVE","NO PRAZO"))))))))</f>
        <v/>
      </c>
      <c r="R409" s="118" t="str">
        <f>IF(D409="","",TODAY()-D409)</f>
        <v/>
      </c>
      <c r="S409" s="111" t="n"/>
    </row>
    <row r="410" ht="18" customHeight="1">
      <c r="A410" s="110" t="n"/>
      <c r="B410" s="111" t="n"/>
      <c r="C410" s="111" t="n"/>
      <c r="D410" s="112" t="n"/>
      <c r="E410" s="111" t="n"/>
      <c r="F410" s="110" t="n"/>
      <c r="G410" s="113" t="n"/>
      <c r="H410" s="113" t="n"/>
      <c r="I410" s="111" t="n"/>
      <c r="J410" s="114" t="n"/>
      <c r="K410" s="114" t="n"/>
      <c r="L410" s="112" t="n"/>
      <c r="M410" s="112" t="n"/>
      <c r="N410" s="112" t="n"/>
      <c r="O410" s="115" t="str">
        <f>IF(OR(D410="",F410=""),"",D410+F410)</f>
        <v/>
      </c>
      <c r="P410" s="116" t="str">
        <f>IF(O410="","",IF(ISNUMBER(M410),O410-M410,IF(OR(H410="DECISÃO D.P",ISNUMBER(N410)),"",O410-TODAY())))</f>
        <v/>
      </c>
      <c r="Q410" s="117" t="str">
        <f>IF(B410="","",IF(ISNUMBER(N410),"DECIDIDO – ","")&amp;IF(ISNUMBER(M410),IF(P410="",IF(F410="","INFORMAR PRAZO","SEM DATA"),IF(P410&gt;=0,"DEFESA NO PRAZO","DEFESA FORA DO PRAZO")),IF(OR(H410="DECISÃO D.P",ISNUMBER(N410)),"SEM DEFESA",IF(H410="","SEM STATUS",IF(F410="","INFORMAR PRAZO",IF(P410="","SEM DATA",IF(P410&lt;0,"VENCIDO",IF(P410&lt;=DiasAlerta,"VENCE EM BREVE","NO PRAZO"))))))))</f>
        <v/>
      </c>
      <c r="R410" s="118" t="str">
        <f>IF(D410="","",TODAY()-D410)</f>
        <v/>
      </c>
      <c r="S410" s="111" t="n"/>
    </row>
    <row r="411" ht="18" customHeight="1">
      <c r="A411" s="110" t="n"/>
      <c r="B411" s="111" t="n"/>
      <c r="C411" s="111" t="n"/>
      <c r="D411" s="112" t="n"/>
      <c r="E411" s="111" t="n"/>
      <c r="F411" s="110" t="n"/>
      <c r="G411" s="113" t="n"/>
      <c r="H411" s="113" t="n"/>
      <c r="I411" s="111" t="n"/>
      <c r="J411" s="114" t="n"/>
      <c r="K411" s="114" t="n"/>
      <c r="L411" s="112" t="n"/>
      <c r="M411" s="112" t="n"/>
      <c r="N411" s="112" t="n"/>
      <c r="O411" s="115" t="str">
        <f>IF(OR(D411="",F411=""),"",D411+F411)</f>
        <v/>
      </c>
      <c r="P411" s="116" t="str">
        <f>IF(O411="","",IF(ISNUMBER(M411),O411-M411,IF(OR(H411="DECISÃO D.P",ISNUMBER(N411)),"",O411-TODAY())))</f>
        <v/>
      </c>
      <c r="Q411" s="117" t="str">
        <f>IF(B411="","",IF(ISNUMBER(N411),"DECIDIDO – ","")&amp;IF(ISNUMBER(M411),IF(P411="",IF(F411="","INFORMAR PRAZO","SEM DATA"),IF(P411&gt;=0,"DEFESA NO PRAZO","DEFESA FORA DO PRAZO")),IF(OR(H411="DECISÃO D.P",ISNUMBER(N411)),"SEM DEFESA",IF(H411="","SEM STATUS",IF(F411="","INFORMAR PRAZO",IF(P411="","SEM DATA",IF(P411&lt;0,"VENCIDO",IF(P411&lt;=DiasAlerta,"VENCE EM BREVE","NO PRAZO"))))))))</f>
        <v/>
      </c>
      <c r="R411" s="118" t="str">
        <f>IF(D411="","",TODAY()-D411)</f>
        <v/>
      </c>
      <c r="S411" s="111" t="n"/>
    </row>
    <row r="412" ht="18" customHeight="1">
      <c r="A412" s="110" t="n"/>
      <c r="B412" s="111" t="n"/>
      <c r="C412" s="111" t="n"/>
      <c r="D412" s="112" t="n"/>
      <c r="E412" s="111" t="n"/>
      <c r="F412" s="110" t="n"/>
      <c r="G412" s="113" t="n"/>
      <c r="H412" s="113" t="n"/>
      <c r="I412" s="111" t="n"/>
      <c r="J412" s="114" t="n"/>
      <c r="K412" s="114" t="n"/>
      <c r="L412" s="112" t="n"/>
      <c r="M412" s="112" t="n"/>
      <c r="N412" s="112" t="n"/>
      <c r="O412" s="115" t="str">
        <f>IF(OR(D412="",F412=""),"",D412+F412)</f>
        <v/>
      </c>
      <c r="P412" s="116" t="str">
        <f>IF(O412="","",IF(ISNUMBER(M412),O412-M412,IF(OR(H412="DECISÃO D.P",ISNUMBER(N412)),"",O412-TODAY())))</f>
        <v/>
      </c>
      <c r="Q412" s="117" t="str">
        <f>IF(B412="","",IF(ISNUMBER(N412),"DECIDIDO – ","")&amp;IF(ISNUMBER(M412),IF(P412="",IF(F412="","INFORMAR PRAZO","SEM DATA"),IF(P412&gt;=0,"DEFESA NO PRAZO","DEFESA FORA DO PRAZO")),IF(OR(H412="DECISÃO D.P",ISNUMBER(N412)),"SEM DEFESA",IF(H412="","SEM STATUS",IF(F412="","INFORMAR PRAZO",IF(P412="","SEM DATA",IF(P412&lt;0,"VENCIDO",IF(P412&lt;=DiasAlerta,"VENCE EM BREVE","NO PRAZO"))))))))</f>
        <v/>
      </c>
      <c r="R412" s="118" t="str">
        <f>IF(D412="","",TODAY()-D412)</f>
        <v/>
      </c>
      <c r="S412" s="111" t="n"/>
    </row>
    <row r="413" ht="18" customHeight="1">
      <c r="A413" s="110" t="n"/>
      <c r="B413" s="111" t="n"/>
      <c r="C413" s="111" t="n"/>
      <c r="D413" s="112" t="n"/>
      <c r="E413" s="111" t="n"/>
      <c r="F413" s="110" t="n"/>
      <c r="G413" s="113" t="n"/>
      <c r="H413" s="113" t="n"/>
      <c r="I413" s="111" t="n"/>
      <c r="J413" s="114" t="n"/>
      <c r="K413" s="114" t="n"/>
      <c r="L413" s="112" t="n"/>
      <c r="M413" s="112" t="n"/>
      <c r="N413" s="112" t="n"/>
      <c r="O413" s="115" t="str">
        <f>IF(OR(D413="",F413=""),"",D413+F413)</f>
        <v/>
      </c>
      <c r="P413" s="116" t="str">
        <f>IF(O413="","",IF(ISNUMBER(M413),O413-M413,IF(OR(H413="DECISÃO D.P",ISNUMBER(N413)),"",O413-TODAY())))</f>
        <v/>
      </c>
      <c r="Q413" s="117" t="str">
        <f>IF(B413="","",IF(ISNUMBER(N413),"DECIDIDO – ","")&amp;IF(ISNUMBER(M413),IF(P413="",IF(F413="","INFORMAR PRAZO","SEM DATA"),IF(P413&gt;=0,"DEFESA NO PRAZO","DEFESA FORA DO PRAZO")),IF(OR(H413="DECISÃO D.P",ISNUMBER(N413)),"SEM DEFESA",IF(H413="","SEM STATUS",IF(F413="","INFORMAR PRAZO",IF(P413="","SEM DATA",IF(P413&lt;0,"VENCIDO",IF(P413&lt;=DiasAlerta,"VENCE EM BREVE","NO PRAZO"))))))))</f>
        <v/>
      </c>
      <c r="R413" s="118" t="str">
        <f>IF(D413="","",TODAY()-D413)</f>
        <v/>
      </c>
      <c r="S413" s="111" t="n"/>
    </row>
    <row r="414" ht="18" customHeight="1">
      <c r="A414" s="110" t="n"/>
      <c r="B414" s="111" t="n"/>
      <c r="C414" s="111" t="n"/>
      <c r="D414" s="112" t="n"/>
      <c r="E414" s="111" t="n"/>
      <c r="F414" s="110" t="n"/>
      <c r="G414" s="113" t="n"/>
      <c r="H414" s="113" t="n"/>
      <c r="I414" s="111" t="n"/>
      <c r="J414" s="114" t="n"/>
      <c r="K414" s="114" t="n"/>
      <c r="L414" s="112" t="n"/>
      <c r="M414" s="112" t="n"/>
      <c r="N414" s="112" t="n"/>
      <c r="O414" s="115" t="str">
        <f>IF(OR(D414="",F414=""),"",D414+F414)</f>
        <v/>
      </c>
      <c r="P414" s="116" t="str">
        <f>IF(O414="","",IF(ISNUMBER(M414),O414-M414,IF(OR(H414="DECISÃO D.P",ISNUMBER(N414)),"",O414-TODAY())))</f>
        <v/>
      </c>
      <c r="Q414" s="117" t="str">
        <f>IF(B414="","",IF(ISNUMBER(N414),"DECIDIDO – ","")&amp;IF(ISNUMBER(M414),IF(P414="",IF(F414="","INFORMAR PRAZO","SEM DATA"),IF(P414&gt;=0,"DEFESA NO PRAZO","DEFESA FORA DO PRAZO")),IF(OR(H414="DECISÃO D.P",ISNUMBER(N414)),"SEM DEFESA",IF(H414="","SEM STATUS",IF(F414="","INFORMAR PRAZO",IF(P414="","SEM DATA",IF(P414&lt;0,"VENCIDO",IF(P414&lt;=DiasAlerta,"VENCE EM BREVE","NO PRAZO"))))))))</f>
        <v/>
      </c>
      <c r="R414" s="118" t="str">
        <f>IF(D414="","",TODAY()-D414)</f>
        <v/>
      </c>
      <c r="S414" s="111" t="n"/>
    </row>
    <row r="415" ht="18" customHeight="1">
      <c r="A415" s="110" t="n"/>
      <c r="B415" s="111" t="n"/>
      <c r="C415" s="111" t="n"/>
      <c r="D415" s="112" t="n"/>
      <c r="E415" s="111" t="n"/>
      <c r="F415" s="110" t="n"/>
      <c r="G415" s="113" t="n"/>
      <c r="H415" s="113" t="n"/>
      <c r="I415" s="111" t="n"/>
      <c r="J415" s="114" t="n"/>
      <c r="K415" s="114" t="n"/>
      <c r="L415" s="112" t="n"/>
      <c r="M415" s="112" t="n"/>
      <c r="N415" s="112" t="n"/>
      <c r="O415" s="115" t="str">
        <f>IF(OR(D415="",F415=""),"",D415+F415)</f>
        <v/>
      </c>
      <c r="P415" s="116" t="str">
        <f>IF(O415="","",IF(ISNUMBER(M415),O415-M415,IF(OR(H415="DECISÃO D.P",ISNUMBER(N415)),"",O415-TODAY())))</f>
        <v/>
      </c>
      <c r="Q415" s="117" t="str">
        <f>IF(B415="","",IF(ISNUMBER(N415),"DECIDIDO – ","")&amp;IF(ISNUMBER(M415),IF(P415="",IF(F415="","INFORMAR PRAZO","SEM DATA"),IF(P415&gt;=0,"DEFESA NO PRAZO","DEFESA FORA DO PRAZO")),IF(OR(H415="DECISÃO D.P",ISNUMBER(N415)),"SEM DEFESA",IF(H415="","SEM STATUS",IF(F415="","INFORMAR PRAZO",IF(P415="","SEM DATA",IF(P415&lt;0,"VENCIDO",IF(P415&lt;=DiasAlerta,"VENCE EM BREVE","NO PRAZO"))))))))</f>
        <v/>
      </c>
      <c r="R415" s="118" t="str">
        <f>IF(D415="","",TODAY()-D415)</f>
        <v/>
      </c>
      <c r="S415" s="111" t="n"/>
    </row>
    <row r="416" ht="18" customHeight="1">
      <c r="A416" s="110" t="n"/>
      <c r="B416" s="111" t="n"/>
      <c r="C416" s="111" t="n"/>
      <c r="D416" s="112" t="n"/>
      <c r="E416" s="111" t="n"/>
      <c r="F416" s="110" t="n"/>
      <c r="G416" s="113" t="n"/>
      <c r="H416" s="113" t="n"/>
      <c r="I416" s="111" t="n"/>
      <c r="J416" s="114" t="n"/>
      <c r="K416" s="114" t="n"/>
      <c r="L416" s="112" t="n"/>
      <c r="M416" s="112" t="n"/>
      <c r="N416" s="112" t="n"/>
      <c r="O416" s="115" t="str">
        <f>IF(OR(D416="",F416=""),"",D416+F416)</f>
        <v/>
      </c>
      <c r="P416" s="116" t="str">
        <f>IF(O416="","",IF(ISNUMBER(M416),O416-M416,IF(OR(H416="DECISÃO D.P",ISNUMBER(N416)),"",O416-TODAY())))</f>
        <v/>
      </c>
      <c r="Q416" s="117" t="str">
        <f>IF(B416="","",IF(ISNUMBER(N416),"DECIDIDO – ","")&amp;IF(ISNUMBER(M416),IF(P416="",IF(F416="","INFORMAR PRAZO","SEM DATA"),IF(P416&gt;=0,"DEFESA NO PRAZO","DEFESA FORA DO PRAZO")),IF(OR(H416="DECISÃO D.P",ISNUMBER(N416)),"SEM DEFESA",IF(H416="","SEM STATUS",IF(F416="","INFORMAR PRAZO",IF(P416="","SEM DATA",IF(P416&lt;0,"VENCIDO",IF(P416&lt;=DiasAlerta,"VENCE EM BREVE","NO PRAZO"))))))))</f>
        <v/>
      </c>
      <c r="R416" s="118" t="str">
        <f>IF(D416="","",TODAY()-D416)</f>
        <v/>
      </c>
      <c r="S416" s="111" t="n"/>
    </row>
    <row r="417" ht="18" customHeight="1">
      <c r="A417" s="110" t="n"/>
      <c r="B417" s="111" t="n"/>
      <c r="C417" s="111" t="n"/>
      <c r="D417" s="112" t="n"/>
      <c r="E417" s="111" t="n"/>
      <c r="F417" s="110" t="n"/>
      <c r="G417" s="113" t="n"/>
      <c r="H417" s="113" t="n"/>
      <c r="I417" s="111" t="n"/>
      <c r="J417" s="114" t="n"/>
      <c r="K417" s="114" t="n"/>
      <c r="L417" s="112" t="n"/>
      <c r="M417" s="112" t="n"/>
      <c r="N417" s="112" t="n"/>
      <c r="O417" s="115" t="str">
        <f>IF(OR(D417="",F417=""),"",D417+F417)</f>
        <v/>
      </c>
      <c r="P417" s="116" t="str">
        <f>IF(O417="","",IF(ISNUMBER(M417),O417-M417,IF(OR(H417="DECISÃO D.P",ISNUMBER(N417)),"",O417-TODAY())))</f>
        <v/>
      </c>
      <c r="Q417" s="117" t="str">
        <f>IF(B417="","",IF(ISNUMBER(N417),"DECIDIDO – ","")&amp;IF(ISNUMBER(M417),IF(P417="",IF(F417="","INFORMAR PRAZO","SEM DATA"),IF(P417&gt;=0,"DEFESA NO PRAZO","DEFESA FORA DO PRAZO")),IF(OR(H417="DECISÃO D.P",ISNUMBER(N417)),"SEM DEFESA",IF(H417="","SEM STATUS",IF(F417="","INFORMAR PRAZO",IF(P417="","SEM DATA",IF(P417&lt;0,"VENCIDO",IF(P417&lt;=DiasAlerta,"VENCE EM BREVE","NO PRAZO"))))))))</f>
        <v/>
      </c>
      <c r="R417" s="118" t="str">
        <f>IF(D417="","",TODAY()-D417)</f>
        <v/>
      </c>
      <c r="S417" s="111" t="n"/>
    </row>
    <row r="418" ht="18" customHeight="1">
      <c r="A418" s="110" t="n"/>
      <c r="B418" s="111" t="n"/>
      <c r="C418" s="111" t="n"/>
      <c r="D418" s="112" t="n"/>
      <c r="E418" s="111" t="n"/>
      <c r="F418" s="110" t="n"/>
      <c r="G418" s="113" t="n"/>
      <c r="H418" s="113" t="n"/>
      <c r="I418" s="111" t="n"/>
      <c r="J418" s="114" t="n"/>
      <c r="K418" s="114" t="n"/>
      <c r="L418" s="112" t="n"/>
      <c r="M418" s="112" t="n"/>
      <c r="N418" s="112" t="n"/>
      <c r="O418" s="115" t="str">
        <f>IF(OR(D418="",F418=""),"",D418+F418)</f>
        <v/>
      </c>
      <c r="P418" s="116" t="str">
        <f>IF(O418="","",IF(ISNUMBER(M418),O418-M418,IF(OR(H418="DECISÃO D.P",ISNUMBER(N418)),"",O418-TODAY())))</f>
        <v/>
      </c>
      <c r="Q418" s="117" t="str">
        <f>IF(B418="","",IF(ISNUMBER(N418),"DECIDIDO – ","")&amp;IF(ISNUMBER(M418),IF(P418="",IF(F418="","INFORMAR PRAZO","SEM DATA"),IF(P418&gt;=0,"DEFESA NO PRAZO","DEFESA FORA DO PRAZO")),IF(OR(H418="DECISÃO D.P",ISNUMBER(N418)),"SEM DEFESA",IF(H418="","SEM STATUS",IF(F418="","INFORMAR PRAZO",IF(P418="","SEM DATA",IF(P418&lt;0,"VENCIDO",IF(P418&lt;=DiasAlerta,"VENCE EM BREVE","NO PRAZO"))))))))</f>
        <v/>
      </c>
      <c r="R418" s="118" t="str">
        <f>IF(D418="","",TODAY()-D418)</f>
        <v/>
      </c>
      <c r="S418" s="111" t="n"/>
    </row>
    <row r="419" ht="18" customHeight="1">
      <c r="A419" s="110" t="n"/>
      <c r="B419" s="111" t="n"/>
      <c r="C419" s="111" t="n"/>
      <c r="D419" s="112" t="n"/>
      <c r="E419" s="111" t="n"/>
      <c r="F419" s="110" t="n"/>
      <c r="G419" s="113" t="n"/>
      <c r="H419" s="113" t="n"/>
      <c r="I419" s="111" t="n"/>
      <c r="J419" s="114" t="n"/>
      <c r="K419" s="114" t="n"/>
      <c r="L419" s="112" t="n"/>
      <c r="M419" s="112" t="n"/>
      <c r="N419" s="112" t="n"/>
      <c r="O419" s="115" t="str">
        <f>IF(OR(D419="",F419=""),"",D419+F419)</f>
        <v/>
      </c>
      <c r="P419" s="116" t="str">
        <f>IF(O419="","",IF(ISNUMBER(M419),O419-M419,IF(OR(H419="DECISÃO D.P",ISNUMBER(N419)),"",O419-TODAY())))</f>
        <v/>
      </c>
      <c r="Q419" s="117" t="str">
        <f>IF(B419="","",IF(ISNUMBER(N419),"DECIDIDO – ","")&amp;IF(ISNUMBER(M419),IF(P419="",IF(F419="","INFORMAR PRAZO","SEM DATA"),IF(P419&gt;=0,"DEFESA NO PRAZO","DEFESA FORA DO PRAZO")),IF(OR(H419="DECISÃO D.P",ISNUMBER(N419)),"SEM DEFESA",IF(H419="","SEM STATUS",IF(F419="","INFORMAR PRAZO",IF(P419="","SEM DATA",IF(P419&lt;0,"VENCIDO",IF(P419&lt;=DiasAlerta,"VENCE EM BREVE","NO PRAZO"))))))))</f>
        <v/>
      </c>
      <c r="R419" s="118" t="str">
        <f>IF(D419="","",TODAY()-D419)</f>
        <v/>
      </c>
      <c r="S419" s="111" t="n"/>
    </row>
    <row r="420" ht="18" customHeight="1">
      <c r="A420" s="110" t="n"/>
      <c r="B420" s="111" t="n"/>
      <c r="C420" s="111" t="n"/>
      <c r="D420" s="112" t="n"/>
      <c r="E420" s="111" t="n"/>
      <c r="F420" s="110" t="n"/>
      <c r="G420" s="113" t="n"/>
      <c r="H420" s="113" t="n"/>
      <c r="I420" s="111" t="n"/>
      <c r="J420" s="114" t="n"/>
      <c r="K420" s="114" t="n"/>
      <c r="L420" s="112" t="n"/>
      <c r="M420" s="112" t="n"/>
      <c r="N420" s="112" t="n"/>
      <c r="O420" s="115" t="str">
        <f>IF(OR(D420="",F420=""),"",D420+F420)</f>
        <v/>
      </c>
      <c r="P420" s="116" t="str">
        <f>IF(O420="","",IF(ISNUMBER(M420),O420-M420,IF(OR(H420="DECISÃO D.P",ISNUMBER(N420)),"",O420-TODAY())))</f>
        <v/>
      </c>
      <c r="Q420" s="117" t="str">
        <f>IF(B420="","",IF(ISNUMBER(N420),"DECIDIDO – ","")&amp;IF(ISNUMBER(M420),IF(P420="",IF(F420="","INFORMAR PRAZO","SEM DATA"),IF(P420&gt;=0,"DEFESA NO PRAZO","DEFESA FORA DO PRAZO")),IF(OR(H420="DECISÃO D.P",ISNUMBER(N420)),"SEM DEFESA",IF(H420="","SEM STATUS",IF(F420="","INFORMAR PRAZO",IF(P420="","SEM DATA",IF(P420&lt;0,"VENCIDO",IF(P420&lt;=DiasAlerta,"VENCE EM BREVE","NO PRAZO"))))))))</f>
        <v/>
      </c>
      <c r="R420" s="118" t="str">
        <f>IF(D420="","",TODAY()-D420)</f>
        <v/>
      </c>
      <c r="S420" s="111" t="n"/>
    </row>
    <row r="421" ht="18" customHeight="1">
      <c r="A421" s="110" t="n"/>
      <c r="B421" s="111" t="n"/>
      <c r="C421" s="111" t="n"/>
      <c r="D421" s="112" t="n"/>
      <c r="E421" s="111" t="n"/>
      <c r="F421" s="110" t="n"/>
      <c r="G421" s="113" t="n"/>
      <c r="H421" s="113" t="n"/>
      <c r="I421" s="111" t="n"/>
      <c r="J421" s="114" t="n"/>
      <c r="K421" s="114" t="n"/>
      <c r="L421" s="112" t="n"/>
      <c r="M421" s="112" t="n"/>
      <c r="N421" s="112" t="n"/>
      <c r="O421" s="115" t="str">
        <f>IF(OR(D421="",F421=""),"",D421+F421)</f>
        <v/>
      </c>
      <c r="P421" s="116" t="str">
        <f>IF(O421="","",IF(ISNUMBER(M421),O421-M421,IF(OR(H421="DECISÃO D.P",ISNUMBER(N421)),"",O421-TODAY())))</f>
        <v/>
      </c>
      <c r="Q421" s="117" t="str">
        <f>IF(B421="","",IF(ISNUMBER(N421),"DECIDIDO – ","")&amp;IF(ISNUMBER(M421),IF(P421="",IF(F421="","INFORMAR PRAZO","SEM DATA"),IF(P421&gt;=0,"DEFESA NO PRAZO","DEFESA FORA DO PRAZO")),IF(OR(H421="DECISÃO D.P",ISNUMBER(N421)),"SEM DEFESA",IF(H421="","SEM STATUS",IF(F421="","INFORMAR PRAZO",IF(P421="","SEM DATA",IF(P421&lt;0,"VENCIDO",IF(P421&lt;=DiasAlerta,"VENCE EM BREVE","NO PRAZO"))))))))</f>
        <v/>
      </c>
      <c r="R421" s="118" t="str">
        <f>IF(D421="","",TODAY()-D421)</f>
        <v/>
      </c>
      <c r="S421" s="111" t="n"/>
    </row>
    <row r="422" ht="18" customHeight="1">
      <c r="A422" s="110" t="n"/>
      <c r="B422" s="111" t="n"/>
      <c r="C422" s="111" t="n"/>
      <c r="D422" s="112" t="n"/>
      <c r="E422" s="111" t="n"/>
      <c r="F422" s="110" t="n"/>
      <c r="G422" s="113" t="n"/>
      <c r="H422" s="113" t="n"/>
      <c r="I422" s="111" t="n"/>
      <c r="J422" s="114" t="n"/>
      <c r="K422" s="114" t="n"/>
      <c r="L422" s="112" t="n"/>
      <c r="M422" s="112" t="n"/>
      <c r="N422" s="112" t="n"/>
      <c r="O422" s="115" t="str">
        <f>IF(OR(D422="",F422=""),"",D422+F422)</f>
        <v/>
      </c>
      <c r="P422" s="116" t="str">
        <f>IF(O422="","",IF(ISNUMBER(M422),O422-M422,IF(OR(H422="DECISÃO D.P",ISNUMBER(N422)),"",O422-TODAY())))</f>
        <v/>
      </c>
      <c r="Q422" s="117" t="str">
        <f>IF(B422="","",IF(ISNUMBER(N422),"DECIDIDO – ","")&amp;IF(ISNUMBER(M422),IF(P422="",IF(F422="","INFORMAR PRAZO","SEM DATA"),IF(P422&gt;=0,"DEFESA NO PRAZO","DEFESA FORA DO PRAZO")),IF(OR(H422="DECISÃO D.P",ISNUMBER(N422)),"SEM DEFESA",IF(H422="","SEM STATUS",IF(F422="","INFORMAR PRAZO",IF(P422="","SEM DATA",IF(P422&lt;0,"VENCIDO",IF(P422&lt;=DiasAlerta,"VENCE EM BREVE","NO PRAZO"))))))))</f>
        <v/>
      </c>
      <c r="R422" s="118" t="str">
        <f>IF(D422="","",TODAY()-D422)</f>
        <v/>
      </c>
      <c r="S422" s="111" t="n"/>
    </row>
    <row r="423" ht="18" customHeight="1">
      <c r="A423" s="110" t="n"/>
      <c r="B423" s="111" t="n"/>
      <c r="C423" s="111" t="n"/>
      <c r="D423" s="112" t="n"/>
      <c r="E423" s="111" t="n"/>
      <c r="F423" s="110" t="n"/>
      <c r="G423" s="113" t="n"/>
      <c r="H423" s="113" t="n"/>
      <c r="I423" s="111" t="n"/>
      <c r="J423" s="114" t="n"/>
      <c r="K423" s="114" t="n"/>
      <c r="L423" s="112" t="n"/>
      <c r="M423" s="112" t="n"/>
      <c r="N423" s="112" t="n"/>
      <c r="O423" s="115" t="str">
        <f>IF(OR(D423="",F423=""),"",D423+F423)</f>
        <v/>
      </c>
      <c r="P423" s="116" t="str">
        <f>IF(O423="","",IF(ISNUMBER(M423),O423-M423,IF(OR(H423="DECISÃO D.P",ISNUMBER(N423)),"",O423-TODAY())))</f>
        <v/>
      </c>
      <c r="Q423" s="117" t="str">
        <f>IF(B423="","",IF(ISNUMBER(N423),"DECIDIDO – ","")&amp;IF(ISNUMBER(M423),IF(P423="",IF(F423="","INFORMAR PRAZO","SEM DATA"),IF(P423&gt;=0,"DEFESA NO PRAZO","DEFESA FORA DO PRAZO")),IF(OR(H423="DECISÃO D.P",ISNUMBER(N423)),"SEM DEFESA",IF(H423="","SEM STATUS",IF(F423="","INFORMAR PRAZO",IF(P423="","SEM DATA",IF(P423&lt;0,"VENCIDO",IF(P423&lt;=DiasAlerta,"VENCE EM BREVE","NO PRAZO"))))))))</f>
        <v/>
      </c>
      <c r="R423" s="118" t="str">
        <f>IF(D423="","",TODAY()-D423)</f>
        <v/>
      </c>
      <c r="S423" s="111" t="n"/>
    </row>
    <row r="424" ht="18" customHeight="1">
      <c r="A424" s="110" t="n"/>
      <c r="B424" s="111" t="n"/>
      <c r="C424" s="111" t="n"/>
      <c r="D424" s="112" t="n"/>
      <c r="E424" s="111" t="n"/>
      <c r="F424" s="110" t="n"/>
      <c r="G424" s="113" t="n"/>
      <c r="H424" s="113" t="n"/>
      <c r="I424" s="111" t="n"/>
      <c r="J424" s="114" t="n"/>
      <c r="K424" s="114" t="n"/>
      <c r="L424" s="112" t="n"/>
      <c r="M424" s="112" t="n"/>
      <c r="N424" s="112" t="n"/>
      <c r="O424" s="115" t="str">
        <f>IF(OR(D424="",F424=""),"",D424+F424)</f>
        <v/>
      </c>
      <c r="P424" s="116" t="str">
        <f>IF(O424="","",IF(ISNUMBER(M424),O424-M424,IF(OR(H424="DECISÃO D.P",ISNUMBER(N424)),"",O424-TODAY())))</f>
        <v/>
      </c>
      <c r="Q424" s="117" t="str">
        <f>IF(B424="","",IF(ISNUMBER(N424),"DECIDIDO – ","")&amp;IF(ISNUMBER(M424),IF(P424="",IF(F424="","INFORMAR PRAZO","SEM DATA"),IF(P424&gt;=0,"DEFESA NO PRAZO","DEFESA FORA DO PRAZO")),IF(OR(H424="DECISÃO D.P",ISNUMBER(N424)),"SEM DEFESA",IF(H424="","SEM STATUS",IF(F424="","INFORMAR PRAZO",IF(P424="","SEM DATA",IF(P424&lt;0,"VENCIDO",IF(P424&lt;=DiasAlerta,"VENCE EM BREVE","NO PRAZO"))))))))</f>
        <v/>
      </c>
      <c r="R424" s="118" t="str">
        <f>IF(D424="","",TODAY()-D424)</f>
        <v/>
      </c>
      <c r="S424" s="111" t="n"/>
    </row>
    <row r="425" ht="18" customHeight="1">
      <c r="A425" s="110" t="n"/>
      <c r="B425" s="111" t="n"/>
      <c r="C425" s="111" t="n"/>
      <c r="D425" s="112" t="n"/>
      <c r="E425" s="111" t="n"/>
      <c r="F425" s="110" t="n"/>
      <c r="G425" s="113" t="n"/>
      <c r="H425" s="113" t="n"/>
      <c r="I425" s="111" t="n"/>
      <c r="J425" s="114" t="n"/>
      <c r="K425" s="114" t="n"/>
      <c r="L425" s="112" t="n"/>
      <c r="M425" s="112" t="n"/>
      <c r="N425" s="112" t="n"/>
      <c r="O425" s="115" t="str">
        <f>IF(OR(D425="",F425=""),"",D425+F425)</f>
        <v/>
      </c>
      <c r="P425" s="116" t="str">
        <f>IF(O425="","",IF(ISNUMBER(M425),O425-M425,IF(OR(H425="DECISÃO D.P",ISNUMBER(N425)),"",O425-TODAY())))</f>
        <v/>
      </c>
      <c r="Q425" s="117" t="str">
        <f>IF(B425="","",IF(ISNUMBER(N425),"DECIDIDO – ","")&amp;IF(ISNUMBER(M425),IF(P425="",IF(F425="","INFORMAR PRAZO","SEM DATA"),IF(P425&gt;=0,"DEFESA NO PRAZO","DEFESA FORA DO PRAZO")),IF(OR(H425="DECISÃO D.P",ISNUMBER(N425)),"SEM DEFESA",IF(H425="","SEM STATUS",IF(F425="","INFORMAR PRAZO",IF(P425="","SEM DATA",IF(P425&lt;0,"VENCIDO",IF(P425&lt;=DiasAlerta,"VENCE EM BREVE","NO PRAZO"))))))))</f>
        <v/>
      </c>
      <c r="R425" s="118" t="str">
        <f>IF(D425="","",TODAY()-D425)</f>
        <v/>
      </c>
      <c r="S425" s="111" t="n"/>
    </row>
    <row r="426" ht="18" customHeight="1">
      <c r="A426" s="110" t="n"/>
      <c r="B426" s="111" t="n"/>
      <c r="C426" s="111" t="n"/>
      <c r="D426" s="112" t="n"/>
      <c r="E426" s="111" t="n"/>
      <c r="F426" s="110" t="n"/>
      <c r="G426" s="113" t="n"/>
      <c r="H426" s="113" t="n"/>
      <c r="I426" s="111" t="n"/>
      <c r="J426" s="114" t="n"/>
      <c r="K426" s="114" t="n"/>
      <c r="L426" s="112" t="n"/>
      <c r="M426" s="112" t="n"/>
      <c r="N426" s="112" t="n"/>
      <c r="O426" s="115" t="str">
        <f>IF(OR(D426="",F426=""),"",D426+F426)</f>
        <v/>
      </c>
      <c r="P426" s="116" t="str">
        <f>IF(O426="","",IF(ISNUMBER(M426),O426-M426,IF(OR(H426="DECISÃO D.P",ISNUMBER(N426)),"",O426-TODAY())))</f>
        <v/>
      </c>
      <c r="Q426" s="117" t="str">
        <f>IF(B426="","",IF(ISNUMBER(N426),"DECIDIDO – ","")&amp;IF(ISNUMBER(M426),IF(P426="",IF(F426="","INFORMAR PRAZO","SEM DATA"),IF(P426&gt;=0,"DEFESA NO PRAZO","DEFESA FORA DO PRAZO")),IF(OR(H426="DECISÃO D.P",ISNUMBER(N426)),"SEM DEFESA",IF(H426="","SEM STATUS",IF(F426="","INFORMAR PRAZO",IF(P426="","SEM DATA",IF(P426&lt;0,"VENCIDO",IF(P426&lt;=DiasAlerta,"VENCE EM BREVE","NO PRAZO"))))))))</f>
        <v/>
      </c>
      <c r="R426" s="118" t="str">
        <f>IF(D426="","",TODAY()-D426)</f>
        <v/>
      </c>
      <c r="S426" s="111" t="n"/>
    </row>
    <row r="427" ht="18" customHeight="1">
      <c r="A427" s="110" t="n"/>
      <c r="B427" s="111" t="n"/>
      <c r="C427" s="111" t="n"/>
      <c r="D427" s="112" t="n"/>
      <c r="E427" s="111" t="n"/>
      <c r="F427" s="110" t="n"/>
      <c r="G427" s="113" t="n"/>
      <c r="H427" s="113" t="n"/>
      <c r="I427" s="111" t="n"/>
      <c r="J427" s="114" t="n"/>
      <c r="K427" s="114" t="n"/>
      <c r="L427" s="112" t="n"/>
      <c r="M427" s="112" t="n"/>
      <c r="N427" s="112" t="n"/>
      <c r="O427" s="115" t="str">
        <f>IF(OR(D427="",F427=""),"",D427+F427)</f>
        <v/>
      </c>
      <c r="P427" s="116" t="str">
        <f>IF(O427="","",IF(ISNUMBER(M427),O427-M427,IF(OR(H427="DECISÃO D.P",ISNUMBER(N427)),"",O427-TODAY())))</f>
        <v/>
      </c>
      <c r="Q427" s="117" t="str">
        <f>IF(B427="","",IF(ISNUMBER(N427),"DECIDIDO – ","")&amp;IF(ISNUMBER(M427),IF(P427="",IF(F427="","INFORMAR PRAZO","SEM DATA"),IF(P427&gt;=0,"DEFESA NO PRAZO","DEFESA FORA DO PRAZO")),IF(OR(H427="DECISÃO D.P",ISNUMBER(N427)),"SEM DEFESA",IF(H427="","SEM STATUS",IF(F427="","INFORMAR PRAZO",IF(P427="","SEM DATA",IF(P427&lt;0,"VENCIDO",IF(P427&lt;=DiasAlerta,"VENCE EM BREVE","NO PRAZO"))))))))</f>
        <v/>
      </c>
      <c r="R427" s="118" t="str">
        <f>IF(D427="","",TODAY()-D427)</f>
        <v/>
      </c>
      <c r="S427" s="111" t="n"/>
    </row>
    <row r="428" ht="18" customHeight="1">
      <c r="A428" s="110" t="n"/>
      <c r="B428" s="111" t="n"/>
      <c r="C428" s="111" t="n"/>
      <c r="D428" s="112" t="n"/>
      <c r="E428" s="111" t="n"/>
      <c r="F428" s="110" t="n"/>
      <c r="G428" s="113" t="n"/>
      <c r="H428" s="113" t="n"/>
      <c r="I428" s="111" t="n"/>
      <c r="J428" s="114" t="n"/>
      <c r="K428" s="114" t="n"/>
      <c r="L428" s="112" t="n"/>
      <c r="M428" s="112" t="n"/>
      <c r="N428" s="112" t="n"/>
      <c r="O428" s="115" t="str">
        <f>IF(OR(D428="",F428=""),"",D428+F428)</f>
        <v/>
      </c>
      <c r="P428" s="116" t="str">
        <f>IF(O428="","",IF(ISNUMBER(M428),O428-M428,IF(OR(H428="DECISÃO D.P",ISNUMBER(N428)),"",O428-TODAY())))</f>
        <v/>
      </c>
      <c r="Q428" s="117" t="str">
        <f>IF(B428="","",IF(ISNUMBER(N428),"DECIDIDO – ","")&amp;IF(ISNUMBER(M428),IF(P428="",IF(F428="","INFORMAR PRAZO","SEM DATA"),IF(P428&gt;=0,"DEFESA NO PRAZO","DEFESA FORA DO PRAZO")),IF(OR(H428="DECISÃO D.P",ISNUMBER(N428)),"SEM DEFESA",IF(H428="","SEM STATUS",IF(F428="","INFORMAR PRAZO",IF(P428="","SEM DATA",IF(P428&lt;0,"VENCIDO",IF(P428&lt;=DiasAlerta,"VENCE EM BREVE","NO PRAZO"))))))))</f>
        <v/>
      </c>
      <c r="R428" s="118" t="str">
        <f>IF(D428="","",TODAY()-D428)</f>
        <v/>
      </c>
      <c r="S428" s="111" t="n"/>
    </row>
    <row r="429" ht="18" customHeight="1">
      <c r="A429" s="110" t="n"/>
      <c r="B429" s="111" t="n"/>
      <c r="C429" s="111" t="n"/>
      <c r="D429" s="112" t="n"/>
      <c r="E429" s="111" t="n"/>
      <c r="F429" s="110" t="n"/>
      <c r="G429" s="113" t="n"/>
      <c r="H429" s="113" t="n"/>
      <c r="I429" s="111" t="n"/>
      <c r="J429" s="114" t="n"/>
      <c r="K429" s="114" t="n"/>
      <c r="L429" s="112" t="n"/>
      <c r="M429" s="112" t="n"/>
      <c r="N429" s="112" t="n"/>
      <c r="O429" s="115" t="str">
        <f>IF(OR(D429="",F429=""),"",D429+F429)</f>
        <v/>
      </c>
      <c r="P429" s="116" t="str">
        <f>IF(O429="","",IF(ISNUMBER(M429),O429-M429,IF(OR(H429="DECISÃO D.P",ISNUMBER(N429)),"",O429-TODAY())))</f>
        <v/>
      </c>
      <c r="Q429" s="117" t="str">
        <f>IF(B429="","",IF(ISNUMBER(N429),"DECIDIDO – ","")&amp;IF(ISNUMBER(M429),IF(P429="",IF(F429="","INFORMAR PRAZO","SEM DATA"),IF(P429&gt;=0,"DEFESA NO PRAZO","DEFESA FORA DO PRAZO")),IF(OR(H429="DECISÃO D.P",ISNUMBER(N429)),"SEM DEFESA",IF(H429="","SEM STATUS",IF(F429="","INFORMAR PRAZO",IF(P429="","SEM DATA",IF(P429&lt;0,"VENCIDO",IF(P429&lt;=DiasAlerta,"VENCE EM BREVE","NO PRAZO"))))))))</f>
        <v/>
      </c>
      <c r="R429" s="118" t="str">
        <f>IF(D429="","",TODAY()-D429)</f>
        <v/>
      </c>
      <c r="S429" s="111" t="n"/>
    </row>
    <row r="430" ht="18" customHeight="1">
      <c r="A430" s="110" t="n"/>
      <c r="B430" s="111" t="n"/>
      <c r="C430" s="111" t="n"/>
      <c r="D430" s="112" t="n"/>
      <c r="E430" s="111" t="n"/>
      <c r="F430" s="110" t="n"/>
      <c r="G430" s="113" t="n"/>
      <c r="H430" s="113" t="n"/>
      <c r="I430" s="111" t="n"/>
      <c r="J430" s="114" t="n"/>
      <c r="K430" s="114" t="n"/>
      <c r="L430" s="112" t="n"/>
      <c r="M430" s="112" t="n"/>
      <c r="N430" s="112" t="n"/>
      <c r="O430" s="115" t="str">
        <f>IF(OR(D430="",F430=""),"",D430+F430)</f>
        <v/>
      </c>
      <c r="P430" s="116" t="str">
        <f>IF(O430="","",IF(ISNUMBER(M430),O430-M430,IF(OR(H430="DECISÃO D.P",ISNUMBER(N430)),"",O430-TODAY())))</f>
        <v/>
      </c>
      <c r="Q430" s="117" t="str">
        <f>IF(B430="","",IF(ISNUMBER(N430),"DECIDIDO – ","")&amp;IF(ISNUMBER(M430),IF(P430="",IF(F430="","INFORMAR PRAZO","SEM DATA"),IF(P430&gt;=0,"DEFESA NO PRAZO","DEFESA FORA DO PRAZO")),IF(OR(H430="DECISÃO D.P",ISNUMBER(N430)),"SEM DEFESA",IF(H430="","SEM STATUS",IF(F430="","INFORMAR PRAZO",IF(P430="","SEM DATA",IF(P430&lt;0,"VENCIDO",IF(P430&lt;=DiasAlerta,"VENCE EM BREVE","NO PRAZO"))))))))</f>
        <v/>
      </c>
      <c r="R430" s="118" t="str">
        <f>IF(D430="","",TODAY()-D430)</f>
        <v/>
      </c>
      <c r="S430" s="111" t="n"/>
    </row>
    <row r="431" ht="18" customHeight="1">
      <c r="A431" s="110" t="n"/>
      <c r="B431" s="111" t="n"/>
      <c r="C431" s="111" t="n"/>
      <c r="D431" s="112" t="n"/>
      <c r="E431" s="111" t="n"/>
      <c r="F431" s="110" t="n"/>
      <c r="G431" s="113" t="n"/>
      <c r="H431" s="113" t="n"/>
      <c r="I431" s="111" t="n"/>
      <c r="J431" s="114" t="n"/>
      <c r="K431" s="114" t="n"/>
      <c r="L431" s="112" t="n"/>
      <c r="M431" s="112" t="n"/>
      <c r="N431" s="112" t="n"/>
      <c r="O431" s="115" t="str">
        <f>IF(OR(D431="",F431=""),"",D431+F431)</f>
        <v/>
      </c>
      <c r="P431" s="116" t="str">
        <f>IF(O431="","",IF(ISNUMBER(M431),O431-M431,IF(OR(H431="DECISÃO D.P",ISNUMBER(N431)),"",O431-TODAY())))</f>
        <v/>
      </c>
      <c r="Q431" s="117" t="str">
        <f>IF(B431="","",IF(ISNUMBER(N431),"DECIDIDO – ","")&amp;IF(ISNUMBER(M431),IF(P431="",IF(F431="","INFORMAR PRAZO","SEM DATA"),IF(P431&gt;=0,"DEFESA NO PRAZO","DEFESA FORA DO PRAZO")),IF(OR(H431="DECISÃO D.P",ISNUMBER(N431)),"SEM DEFESA",IF(H431="","SEM STATUS",IF(F431="","INFORMAR PRAZO",IF(P431="","SEM DATA",IF(P431&lt;0,"VENCIDO",IF(P431&lt;=DiasAlerta,"VENCE EM BREVE","NO PRAZO"))))))))</f>
        <v/>
      </c>
      <c r="R431" s="118" t="str">
        <f>IF(D431="","",TODAY()-D431)</f>
        <v/>
      </c>
      <c r="S431" s="111" t="n"/>
    </row>
    <row r="432" ht="18" customHeight="1">
      <c r="A432" s="110" t="n"/>
      <c r="B432" s="111" t="n"/>
      <c r="C432" s="111" t="n"/>
      <c r="D432" s="112" t="n"/>
      <c r="E432" s="111" t="n"/>
      <c r="F432" s="110" t="n"/>
      <c r="G432" s="113" t="n"/>
      <c r="H432" s="113" t="n"/>
      <c r="I432" s="111" t="n"/>
      <c r="J432" s="114" t="n"/>
      <c r="K432" s="114" t="n"/>
      <c r="L432" s="112" t="n"/>
      <c r="M432" s="112" t="n"/>
      <c r="N432" s="112" t="n"/>
      <c r="O432" s="115" t="str">
        <f>IF(OR(D432="",F432=""),"",D432+F432)</f>
        <v/>
      </c>
      <c r="P432" s="116" t="str">
        <f>IF(O432="","",IF(ISNUMBER(M432),O432-M432,IF(OR(H432="DECISÃO D.P",ISNUMBER(N432)),"",O432-TODAY())))</f>
        <v/>
      </c>
      <c r="Q432" s="117" t="str">
        <f>IF(B432="","",IF(ISNUMBER(N432),"DECIDIDO – ","")&amp;IF(ISNUMBER(M432),IF(P432="",IF(F432="","INFORMAR PRAZO","SEM DATA"),IF(P432&gt;=0,"DEFESA NO PRAZO","DEFESA FORA DO PRAZO")),IF(OR(H432="DECISÃO D.P",ISNUMBER(N432)),"SEM DEFESA",IF(H432="","SEM STATUS",IF(F432="","INFORMAR PRAZO",IF(P432="","SEM DATA",IF(P432&lt;0,"VENCIDO",IF(P432&lt;=DiasAlerta,"VENCE EM BREVE","NO PRAZO"))))))))</f>
        <v/>
      </c>
      <c r="R432" s="118" t="str">
        <f>IF(D432="","",TODAY()-D432)</f>
        <v/>
      </c>
      <c r="S432" s="111" t="n"/>
    </row>
    <row r="433" ht="18" customHeight="1">
      <c r="A433" s="110" t="n"/>
      <c r="B433" s="111" t="n"/>
      <c r="C433" s="111" t="n"/>
      <c r="D433" s="112" t="n"/>
      <c r="E433" s="111" t="n"/>
      <c r="F433" s="110" t="n"/>
      <c r="G433" s="113" t="n"/>
      <c r="H433" s="113" t="n"/>
      <c r="I433" s="111" t="n"/>
      <c r="J433" s="114" t="n"/>
      <c r="K433" s="114" t="n"/>
      <c r="L433" s="112" t="n"/>
      <c r="M433" s="112" t="n"/>
      <c r="N433" s="112" t="n"/>
      <c r="O433" s="115" t="str">
        <f>IF(OR(D433="",F433=""),"",D433+F433)</f>
        <v/>
      </c>
      <c r="P433" s="116" t="str">
        <f>IF(O433="","",IF(ISNUMBER(M433),O433-M433,IF(OR(H433="DECISÃO D.P",ISNUMBER(N433)),"",O433-TODAY())))</f>
        <v/>
      </c>
      <c r="Q433" s="117" t="str">
        <f>IF(B433="","",IF(ISNUMBER(N433),"DECIDIDO – ","")&amp;IF(ISNUMBER(M433),IF(P433="",IF(F433="","INFORMAR PRAZO","SEM DATA"),IF(P433&gt;=0,"DEFESA NO PRAZO","DEFESA FORA DO PRAZO")),IF(OR(H433="DECISÃO D.P",ISNUMBER(N433)),"SEM DEFESA",IF(H433="","SEM STATUS",IF(F433="","INFORMAR PRAZO",IF(P433="","SEM DATA",IF(P433&lt;0,"VENCIDO",IF(P433&lt;=DiasAlerta,"VENCE EM BREVE","NO PRAZO"))))))))</f>
        <v/>
      </c>
      <c r="R433" s="118" t="str">
        <f>IF(D433="","",TODAY()-D433)</f>
        <v/>
      </c>
      <c r="S433" s="111" t="n"/>
    </row>
    <row r="434" ht="18" customHeight="1">
      <c r="A434" s="110" t="n"/>
      <c r="B434" s="111" t="n"/>
      <c r="C434" s="111" t="n"/>
      <c r="D434" s="112" t="n"/>
      <c r="E434" s="111" t="n"/>
      <c r="F434" s="110" t="n"/>
      <c r="G434" s="113" t="n"/>
      <c r="H434" s="113" t="n"/>
      <c r="I434" s="111" t="n"/>
      <c r="J434" s="114" t="n"/>
      <c r="K434" s="114" t="n"/>
      <c r="L434" s="112" t="n"/>
      <c r="M434" s="112" t="n"/>
      <c r="N434" s="112" t="n"/>
      <c r="O434" s="115" t="str">
        <f>IF(OR(D434="",F434=""),"",D434+F434)</f>
        <v/>
      </c>
      <c r="P434" s="116" t="str">
        <f>IF(O434="","",IF(ISNUMBER(M434),O434-M434,IF(OR(H434="DECISÃO D.P",ISNUMBER(N434)),"",O434-TODAY())))</f>
        <v/>
      </c>
      <c r="Q434" s="117" t="str">
        <f>IF(B434="","",IF(ISNUMBER(N434),"DECIDIDO – ","")&amp;IF(ISNUMBER(M434),IF(P434="",IF(F434="","INFORMAR PRAZO","SEM DATA"),IF(P434&gt;=0,"DEFESA NO PRAZO","DEFESA FORA DO PRAZO")),IF(OR(H434="DECISÃO D.P",ISNUMBER(N434)),"SEM DEFESA",IF(H434="","SEM STATUS",IF(F434="","INFORMAR PRAZO",IF(P434="","SEM DATA",IF(P434&lt;0,"VENCIDO",IF(P434&lt;=DiasAlerta,"VENCE EM BREVE","NO PRAZO"))))))))</f>
        <v/>
      </c>
      <c r="R434" s="118" t="str">
        <f>IF(D434="","",TODAY()-D434)</f>
        <v/>
      </c>
      <c r="S434" s="111" t="n"/>
    </row>
    <row r="435" ht="18" customHeight="1">
      <c r="A435" s="110" t="n"/>
      <c r="B435" s="111" t="n"/>
      <c r="C435" s="111" t="n"/>
      <c r="D435" s="112" t="n"/>
      <c r="E435" s="111" t="n"/>
      <c r="F435" s="110" t="n"/>
      <c r="G435" s="113" t="n"/>
      <c r="H435" s="113" t="n"/>
      <c r="I435" s="111" t="n"/>
      <c r="J435" s="114" t="n"/>
      <c r="K435" s="114" t="n"/>
      <c r="L435" s="112" t="n"/>
      <c r="M435" s="112" t="n"/>
      <c r="N435" s="112" t="n"/>
      <c r="O435" s="115" t="str">
        <f>IF(OR(D435="",F435=""),"",D435+F435)</f>
        <v/>
      </c>
      <c r="P435" s="116" t="str">
        <f>IF(O435="","",IF(ISNUMBER(M435),O435-M435,IF(OR(H435="DECISÃO D.P",ISNUMBER(N435)),"",O435-TODAY())))</f>
        <v/>
      </c>
      <c r="Q435" s="117" t="str">
        <f>IF(B435="","",IF(ISNUMBER(N435),"DECIDIDO – ","")&amp;IF(ISNUMBER(M435),IF(P435="",IF(F435="","INFORMAR PRAZO","SEM DATA"),IF(P435&gt;=0,"DEFESA NO PRAZO","DEFESA FORA DO PRAZO")),IF(OR(H435="DECISÃO D.P",ISNUMBER(N435)),"SEM DEFESA",IF(H435="","SEM STATUS",IF(F435="","INFORMAR PRAZO",IF(P435="","SEM DATA",IF(P435&lt;0,"VENCIDO",IF(P435&lt;=DiasAlerta,"VENCE EM BREVE","NO PRAZO"))))))))</f>
        <v/>
      </c>
      <c r="R435" s="118" t="str">
        <f>IF(D435="","",TODAY()-D435)</f>
        <v/>
      </c>
      <c r="S435" s="111" t="n"/>
    </row>
    <row r="436" ht="18" customHeight="1">
      <c r="A436" s="110" t="n"/>
      <c r="B436" s="111" t="n"/>
      <c r="C436" s="111" t="n"/>
      <c r="D436" s="112" t="n"/>
      <c r="E436" s="111" t="n"/>
      <c r="F436" s="110" t="n"/>
      <c r="G436" s="113" t="n"/>
      <c r="H436" s="113" t="n"/>
      <c r="I436" s="111" t="n"/>
      <c r="J436" s="114" t="n"/>
      <c r="K436" s="114" t="n"/>
      <c r="L436" s="112" t="n"/>
      <c r="M436" s="112" t="n"/>
      <c r="N436" s="112" t="n"/>
      <c r="O436" s="115" t="str">
        <f>IF(OR(D436="",F436=""),"",D436+F436)</f>
        <v/>
      </c>
      <c r="P436" s="116" t="str">
        <f>IF(O436="","",IF(ISNUMBER(M436),O436-M436,IF(OR(H436="DECISÃO D.P",ISNUMBER(N436)),"",O436-TODAY())))</f>
        <v/>
      </c>
      <c r="Q436" s="117" t="str">
        <f>IF(B436="","",IF(ISNUMBER(N436),"DECIDIDO – ","")&amp;IF(ISNUMBER(M436),IF(P436="",IF(F436="","INFORMAR PRAZO","SEM DATA"),IF(P436&gt;=0,"DEFESA NO PRAZO","DEFESA FORA DO PRAZO")),IF(OR(H436="DECISÃO D.P",ISNUMBER(N436)),"SEM DEFESA",IF(H436="","SEM STATUS",IF(F436="","INFORMAR PRAZO",IF(P436="","SEM DATA",IF(P436&lt;0,"VENCIDO",IF(P436&lt;=DiasAlerta,"VENCE EM BREVE","NO PRAZO"))))))))</f>
        <v/>
      </c>
      <c r="R436" s="118" t="str">
        <f>IF(D436="","",TODAY()-D436)</f>
        <v/>
      </c>
      <c r="S436" s="111" t="n"/>
    </row>
    <row r="437" ht="18" customHeight="1">
      <c r="A437" s="110" t="n"/>
      <c r="B437" s="111" t="n"/>
      <c r="C437" s="111" t="n"/>
      <c r="D437" s="112" t="n"/>
      <c r="E437" s="111" t="n"/>
      <c r="F437" s="110" t="n"/>
      <c r="G437" s="113" t="n"/>
      <c r="H437" s="113" t="n"/>
      <c r="I437" s="111" t="n"/>
      <c r="J437" s="114" t="n"/>
      <c r="K437" s="114" t="n"/>
      <c r="L437" s="112" t="n"/>
      <c r="M437" s="112" t="n"/>
      <c r="N437" s="112" t="n"/>
      <c r="O437" s="115" t="str">
        <f>IF(OR(D437="",F437=""),"",D437+F437)</f>
        <v/>
      </c>
      <c r="P437" s="116" t="str">
        <f>IF(O437="","",IF(ISNUMBER(M437),O437-M437,IF(OR(H437="DECISÃO D.P",ISNUMBER(N437)),"",O437-TODAY())))</f>
        <v/>
      </c>
      <c r="Q437" s="117" t="str">
        <f>IF(B437="","",IF(ISNUMBER(N437),"DECIDIDO – ","")&amp;IF(ISNUMBER(M437),IF(P437="",IF(F437="","INFORMAR PRAZO","SEM DATA"),IF(P437&gt;=0,"DEFESA NO PRAZO","DEFESA FORA DO PRAZO")),IF(OR(H437="DECISÃO D.P",ISNUMBER(N437)),"SEM DEFESA",IF(H437="","SEM STATUS",IF(F437="","INFORMAR PRAZO",IF(P437="","SEM DATA",IF(P437&lt;0,"VENCIDO",IF(P437&lt;=DiasAlerta,"VENCE EM BREVE","NO PRAZO"))))))))</f>
        <v/>
      </c>
      <c r="R437" s="118" t="str">
        <f>IF(D437="","",TODAY()-D437)</f>
        <v/>
      </c>
      <c r="S437" s="111" t="n"/>
    </row>
    <row r="438" ht="18" customHeight="1">
      <c r="A438" s="110" t="n"/>
      <c r="B438" s="111" t="n"/>
      <c r="C438" s="111" t="n"/>
      <c r="D438" s="112" t="n"/>
      <c r="E438" s="111" t="n"/>
      <c r="F438" s="110" t="n"/>
      <c r="G438" s="113" t="n"/>
      <c r="H438" s="113" t="n"/>
      <c r="I438" s="111" t="n"/>
      <c r="J438" s="114" t="n"/>
      <c r="K438" s="114" t="n"/>
      <c r="L438" s="112" t="n"/>
      <c r="M438" s="112" t="n"/>
      <c r="N438" s="112" t="n"/>
      <c r="O438" s="115" t="str">
        <f>IF(OR(D438="",F438=""),"",D438+F438)</f>
        <v/>
      </c>
      <c r="P438" s="116" t="str">
        <f>IF(O438="","",IF(ISNUMBER(M438),O438-M438,IF(OR(H438="DECISÃO D.P",ISNUMBER(N438)),"",O438-TODAY())))</f>
        <v/>
      </c>
      <c r="Q438" s="117" t="str">
        <f>IF(B438="","",IF(ISNUMBER(N438),"DECIDIDO – ","")&amp;IF(ISNUMBER(M438),IF(P438="",IF(F438="","INFORMAR PRAZO","SEM DATA"),IF(P438&gt;=0,"DEFESA NO PRAZO","DEFESA FORA DO PRAZO")),IF(OR(H438="DECISÃO D.P",ISNUMBER(N438)),"SEM DEFESA",IF(H438="","SEM STATUS",IF(F438="","INFORMAR PRAZO",IF(P438="","SEM DATA",IF(P438&lt;0,"VENCIDO",IF(P438&lt;=DiasAlerta,"VENCE EM BREVE","NO PRAZO"))))))))</f>
        <v/>
      </c>
      <c r="R438" s="118" t="str">
        <f>IF(D438="","",TODAY()-D438)</f>
        <v/>
      </c>
      <c r="S438" s="111" t="n"/>
    </row>
    <row r="439" ht="18" customHeight="1">
      <c r="A439" s="110" t="n"/>
      <c r="B439" s="111" t="n"/>
      <c r="C439" s="111" t="n"/>
      <c r="D439" s="112" t="n"/>
      <c r="E439" s="111" t="n"/>
      <c r="F439" s="110" t="n"/>
      <c r="G439" s="113" t="n"/>
      <c r="H439" s="113" t="n"/>
      <c r="I439" s="111" t="n"/>
      <c r="J439" s="114" t="n"/>
      <c r="K439" s="114" t="n"/>
      <c r="L439" s="112" t="n"/>
      <c r="M439" s="112" t="n"/>
      <c r="N439" s="112" t="n"/>
      <c r="O439" s="115" t="str">
        <f>IF(OR(D439="",F439=""),"",D439+F439)</f>
        <v/>
      </c>
      <c r="P439" s="116" t="str">
        <f>IF(O439="","",IF(ISNUMBER(M439),O439-M439,IF(OR(H439="DECISÃO D.P",ISNUMBER(N439)),"",O439-TODAY())))</f>
        <v/>
      </c>
      <c r="Q439" s="117" t="str">
        <f>IF(B439="","",IF(ISNUMBER(N439),"DECIDIDO – ","")&amp;IF(ISNUMBER(M439),IF(P439="",IF(F439="","INFORMAR PRAZO","SEM DATA"),IF(P439&gt;=0,"DEFESA NO PRAZO","DEFESA FORA DO PRAZO")),IF(OR(H439="DECISÃO D.P",ISNUMBER(N439)),"SEM DEFESA",IF(H439="","SEM STATUS",IF(F439="","INFORMAR PRAZO",IF(P439="","SEM DATA",IF(P439&lt;0,"VENCIDO",IF(P439&lt;=DiasAlerta,"VENCE EM BREVE","NO PRAZO"))))))))</f>
        <v/>
      </c>
      <c r="R439" s="118" t="str">
        <f>IF(D439="","",TODAY()-D439)</f>
        <v/>
      </c>
      <c r="S439" s="111" t="n"/>
    </row>
    <row r="440" ht="18" customHeight="1">
      <c r="A440" s="110" t="n"/>
      <c r="B440" s="111" t="n"/>
      <c r="C440" s="111" t="n"/>
      <c r="D440" s="112" t="n"/>
      <c r="E440" s="111" t="n"/>
      <c r="F440" s="110" t="n"/>
      <c r="G440" s="113" t="n"/>
      <c r="H440" s="113" t="n"/>
      <c r="I440" s="111" t="n"/>
      <c r="J440" s="114" t="n"/>
      <c r="K440" s="114" t="n"/>
      <c r="L440" s="112" t="n"/>
      <c r="M440" s="112" t="n"/>
      <c r="N440" s="112" t="n"/>
      <c r="O440" s="115" t="str">
        <f>IF(OR(D440="",F440=""),"",D440+F440)</f>
        <v/>
      </c>
      <c r="P440" s="116" t="str">
        <f>IF(O440="","",IF(ISNUMBER(M440),O440-M440,IF(OR(H440="DECISÃO D.P",ISNUMBER(N440)),"",O440-TODAY())))</f>
        <v/>
      </c>
      <c r="Q440" s="117" t="str">
        <f>IF(B440="","",IF(ISNUMBER(N440),"DECIDIDO – ","")&amp;IF(ISNUMBER(M440),IF(P440="",IF(F440="","INFORMAR PRAZO","SEM DATA"),IF(P440&gt;=0,"DEFESA NO PRAZO","DEFESA FORA DO PRAZO")),IF(OR(H440="DECISÃO D.P",ISNUMBER(N440)),"SEM DEFESA",IF(H440="","SEM STATUS",IF(F440="","INFORMAR PRAZO",IF(P440="","SEM DATA",IF(P440&lt;0,"VENCIDO",IF(P440&lt;=DiasAlerta,"VENCE EM BREVE","NO PRAZO"))))))))</f>
        <v/>
      </c>
      <c r="R440" s="118" t="str">
        <f>IF(D440="","",TODAY()-D440)</f>
        <v/>
      </c>
      <c r="S440" s="111" t="n"/>
    </row>
    <row r="441" ht="18" customHeight="1">
      <c r="A441" s="110" t="n"/>
      <c r="B441" s="111" t="n"/>
      <c r="C441" s="111" t="n"/>
      <c r="D441" s="112" t="n"/>
      <c r="E441" s="111" t="n"/>
      <c r="F441" s="110" t="n"/>
      <c r="G441" s="113" t="n"/>
      <c r="H441" s="113" t="n"/>
      <c r="I441" s="111" t="n"/>
      <c r="J441" s="114" t="n"/>
      <c r="K441" s="114" t="n"/>
      <c r="L441" s="112" t="n"/>
      <c r="M441" s="112" t="n"/>
      <c r="N441" s="112" t="n"/>
      <c r="O441" s="115" t="str">
        <f>IF(OR(D441="",F441=""),"",D441+F441)</f>
        <v/>
      </c>
      <c r="P441" s="116" t="str">
        <f>IF(O441="","",IF(ISNUMBER(M441),O441-M441,IF(OR(H441="DECISÃO D.P",ISNUMBER(N441)),"",O441-TODAY())))</f>
        <v/>
      </c>
      <c r="Q441" s="117" t="str">
        <f>IF(B441="","",IF(ISNUMBER(N441),"DECIDIDO – ","")&amp;IF(ISNUMBER(M441),IF(P441="",IF(F441="","INFORMAR PRAZO","SEM DATA"),IF(P441&gt;=0,"DEFESA NO PRAZO","DEFESA FORA DO PRAZO")),IF(OR(H441="DECISÃO D.P",ISNUMBER(N441)),"SEM DEFESA",IF(H441="","SEM STATUS",IF(F441="","INFORMAR PRAZO",IF(P441="","SEM DATA",IF(P441&lt;0,"VENCIDO",IF(P441&lt;=DiasAlerta,"VENCE EM BREVE","NO PRAZO"))))))))</f>
        <v/>
      </c>
      <c r="R441" s="118" t="str">
        <f>IF(D441="","",TODAY()-D441)</f>
        <v/>
      </c>
      <c r="S441" s="111" t="n"/>
    </row>
    <row r="442" ht="18" customHeight="1">
      <c r="A442" s="110" t="n"/>
      <c r="B442" s="111" t="n"/>
      <c r="C442" s="111" t="n"/>
      <c r="D442" s="112" t="n"/>
      <c r="E442" s="111" t="n"/>
      <c r="F442" s="110" t="n"/>
      <c r="G442" s="113" t="n"/>
      <c r="H442" s="113" t="n"/>
      <c r="I442" s="111" t="n"/>
      <c r="J442" s="114" t="n"/>
      <c r="K442" s="114" t="n"/>
      <c r="L442" s="112" t="n"/>
      <c r="M442" s="112" t="n"/>
      <c r="N442" s="112" t="n"/>
      <c r="O442" s="115" t="str">
        <f>IF(OR(D442="",F442=""),"",D442+F442)</f>
        <v/>
      </c>
      <c r="P442" s="116" t="str">
        <f>IF(O442="","",IF(ISNUMBER(M442),O442-M442,IF(OR(H442="DECISÃO D.P",ISNUMBER(N442)),"",O442-TODAY())))</f>
        <v/>
      </c>
      <c r="Q442" s="117" t="str">
        <f>IF(B442="","",IF(ISNUMBER(N442),"DECIDIDO – ","")&amp;IF(ISNUMBER(M442),IF(P442="",IF(F442="","INFORMAR PRAZO","SEM DATA"),IF(P442&gt;=0,"DEFESA NO PRAZO","DEFESA FORA DO PRAZO")),IF(OR(H442="DECISÃO D.P",ISNUMBER(N442)),"SEM DEFESA",IF(H442="","SEM STATUS",IF(F442="","INFORMAR PRAZO",IF(P442="","SEM DATA",IF(P442&lt;0,"VENCIDO",IF(P442&lt;=DiasAlerta,"VENCE EM BREVE","NO PRAZO"))))))))</f>
        <v/>
      </c>
      <c r="R442" s="118" t="str">
        <f>IF(D442="","",TODAY()-D442)</f>
        <v/>
      </c>
      <c r="S442" s="111" t="n"/>
    </row>
    <row r="443" ht="18" customHeight="1">
      <c r="A443" s="110" t="n"/>
      <c r="B443" s="111" t="n"/>
      <c r="C443" s="111" t="n"/>
      <c r="D443" s="112" t="n"/>
      <c r="E443" s="111" t="n"/>
      <c r="F443" s="110" t="n"/>
      <c r="G443" s="113" t="n"/>
      <c r="H443" s="113" t="n"/>
      <c r="I443" s="111" t="n"/>
      <c r="J443" s="114" t="n"/>
      <c r="K443" s="114" t="n"/>
      <c r="L443" s="112" t="n"/>
      <c r="M443" s="112" t="n"/>
      <c r="N443" s="112" t="n"/>
      <c r="O443" s="115" t="str">
        <f>IF(OR(D443="",F443=""),"",D443+F443)</f>
        <v/>
      </c>
      <c r="P443" s="116" t="str">
        <f>IF(O443="","",IF(ISNUMBER(M443),O443-M443,IF(OR(H443="DECISÃO D.P",ISNUMBER(N443)),"",O443-TODAY())))</f>
        <v/>
      </c>
      <c r="Q443" s="117" t="str">
        <f>IF(B443="","",IF(ISNUMBER(N443),"DECIDIDO – ","")&amp;IF(ISNUMBER(M443),IF(P443="",IF(F443="","INFORMAR PRAZO","SEM DATA"),IF(P443&gt;=0,"DEFESA NO PRAZO","DEFESA FORA DO PRAZO")),IF(OR(H443="DECISÃO D.P",ISNUMBER(N443)),"SEM DEFESA",IF(H443="","SEM STATUS",IF(F443="","INFORMAR PRAZO",IF(P443="","SEM DATA",IF(P443&lt;0,"VENCIDO",IF(P443&lt;=DiasAlerta,"VENCE EM BREVE","NO PRAZO"))))))))</f>
        <v/>
      </c>
      <c r="R443" s="118" t="str">
        <f>IF(D443="","",TODAY()-D443)</f>
        <v/>
      </c>
      <c r="S443" s="111" t="n"/>
    </row>
    <row r="444" ht="18" customHeight="1">
      <c r="A444" s="110" t="n"/>
      <c r="B444" s="111" t="n"/>
      <c r="C444" s="111" t="n"/>
      <c r="D444" s="112" t="n"/>
      <c r="E444" s="111" t="n"/>
      <c r="F444" s="110" t="n"/>
      <c r="G444" s="113" t="n"/>
      <c r="H444" s="113" t="n"/>
      <c r="I444" s="111" t="n"/>
      <c r="J444" s="114" t="n"/>
      <c r="K444" s="114" t="n"/>
      <c r="L444" s="112" t="n"/>
      <c r="M444" s="112" t="n"/>
      <c r="N444" s="112" t="n"/>
      <c r="O444" s="115" t="str">
        <f>IF(OR(D444="",F444=""),"",D444+F444)</f>
        <v/>
      </c>
      <c r="P444" s="116" t="str">
        <f>IF(O444="","",IF(ISNUMBER(M444),O444-M444,IF(OR(H444="DECISÃO D.P",ISNUMBER(N444)),"",O444-TODAY())))</f>
        <v/>
      </c>
      <c r="Q444" s="117" t="str">
        <f>IF(B444="","",IF(ISNUMBER(N444),"DECIDIDO – ","")&amp;IF(ISNUMBER(M444),IF(P444="",IF(F444="","INFORMAR PRAZO","SEM DATA"),IF(P444&gt;=0,"DEFESA NO PRAZO","DEFESA FORA DO PRAZO")),IF(OR(H444="DECISÃO D.P",ISNUMBER(N444)),"SEM DEFESA",IF(H444="","SEM STATUS",IF(F444="","INFORMAR PRAZO",IF(P444="","SEM DATA",IF(P444&lt;0,"VENCIDO",IF(P444&lt;=DiasAlerta,"VENCE EM BREVE","NO PRAZO"))))))))</f>
        <v/>
      </c>
      <c r="R444" s="118" t="str">
        <f>IF(D444="","",TODAY()-D444)</f>
        <v/>
      </c>
      <c r="S444" s="111" t="n"/>
    </row>
    <row r="445" ht="18" customHeight="1">
      <c r="A445" s="110" t="n"/>
      <c r="B445" s="111" t="n"/>
      <c r="C445" s="111" t="n"/>
      <c r="D445" s="112" t="n"/>
      <c r="E445" s="111" t="n"/>
      <c r="F445" s="110" t="n"/>
      <c r="G445" s="113" t="n"/>
      <c r="H445" s="113" t="n"/>
      <c r="I445" s="111" t="n"/>
      <c r="J445" s="114" t="n"/>
      <c r="K445" s="114" t="n"/>
      <c r="L445" s="112" t="n"/>
      <c r="M445" s="112" t="n"/>
      <c r="N445" s="112" t="n"/>
      <c r="O445" s="115" t="str">
        <f>IF(OR(D445="",F445=""),"",D445+F445)</f>
        <v/>
      </c>
      <c r="P445" s="116" t="str">
        <f>IF(O445="","",IF(ISNUMBER(M445),O445-M445,IF(OR(H445="DECISÃO D.P",ISNUMBER(N445)),"",O445-TODAY())))</f>
        <v/>
      </c>
      <c r="Q445" s="117" t="str">
        <f>IF(B445="","",IF(ISNUMBER(N445),"DECIDIDO – ","")&amp;IF(ISNUMBER(M445),IF(P445="",IF(F445="","INFORMAR PRAZO","SEM DATA"),IF(P445&gt;=0,"DEFESA NO PRAZO","DEFESA FORA DO PRAZO")),IF(OR(H445="DECISÃO D.P",ISNUMBER(N445)),"SEM DEFESA",IF(H445="","SEM STATUS",IF(F445="","INFORMAR PRAZO",IF(P445="","SEM DATA",IF(P445&lt;0,"VENCIDO",IF(P445&lt;=DiasAlerta,"VENCE EM BREVE","NO PRAZO"))))))))</f>
        <v/>
      </c>
      <c r="R445" s="118" t="str">
        <f>IF(D445="","",TODAY()-D445)</f>
        <v/>
      </c>
      <c r="S445" s="111" t="n"/>
    </row>
    <row r="446" ht="18" customHeight="1">
      <c r="A446" s="110" t="n"/>
      <c r="B446" s="111" t="n"/>
      <c r="C446" s="111" t="n"/>
      <c r="D446" s="112" t="n"/>
      <c r="E446" s="111" t="n"/>
      <c r="F446" s="110" t="n"/>
      <c r="G446" s="113" t="n"/>
      <c r="H446" s="113" t="n"/>
      <c r="I446" s="111" t="n"/>
      <c r="J446" s="114" t="n"/>
      <c r="K446" s="114" t="n"/>
      <c r="L446" s="112" t="n"/>
      <c r="M446" s="112" t="n"/>
      <c r="N446" s="112" t="n"/>
      <c r="O446" s="115" t="str">
        <f>IF(OR(D446="",F446=""),"",D446+F446)</f>
        <v/>
      </c>
      <c r="P446" s="116" t="str">
        <f>IF(O446="","",IF(ISNUMBER(M446),O446-M446,IF(OR(H446="DECISÃO D.P",ISNUMBER(N446)),"",O446-TODAY())))</f>
        <v/>
      </c>
      <c r="Q446" s="117" t="str">
        <f>IF(B446="","",IF(ISNUMBER(N446),"DECIDIDO – ","")&amp;IF(ISNUMBER(M446),IF(P446="",IF(F446="","INFORMAR PRAZO","SEM DATA"),IF(P446&gt;=0,"DEFESA NO PRAZO","DEFESA FORA DO PRAZO")),IF(OR(H446="DECISÃO D.P",ISNUMBER(N446)),"SEM DEFESA",IF(H446="","SEM STATUS",IF(F446="","INFORMAR PRAZO",IF(P446="","SEM DATA",IF(P446&lt;0,"VENCIDO",IF(P446&lt;=DiasAlerta,"VENCE EM BREVE","NO PRAZO"))))))))</f>
        <v/>
      </c>
      <c r="R446" s="118" t="str">
        <f>IF(D446="","",TODAY()-D446)</f>
        <v/>
      </c>
      <c r="S446" s="111" t="n"/>
    </row>
    <row r="447" ht="18" customHeight="1">
      <c r="A447" s="110" t="n"/>
      <c r="B447" s="111" t="n"/>
      <c r="C447" s="111" t="n"/>
      <c r="D447" s="112" t="n"/>
      <c r="E447" s="111" t="n"/>
      <c r="F447" s="110" t="n"/>
      <c r="G447" s="113" t="n"/>
      <c r="H447" s="113" t="n"/>
      <c r="I447" s="111" t="n"/>
      <c r="J447" s="114" t="n"/>
      <c r="K447" s="114" t="n"/>
      <c r="L447" s="112" t="n"/>
      <c r="M447" s="112" t="n"/>
      <c r="N447" s="112" t="n"/>
      <c r="O447" s="115" t="str">
        <f>IF(OR(D447="",F447=""),"",D447+F447)</f>
        <v/>
      </c>
      <c r="P447" s="116" t="str">
        <f>IF(O447="","",IF(ISNUMBER(M447),O447-M447,IF(OR(H447="DECISÃO D.P",ISNUMBER(N447)),"",O447-TODAY())))</f>
        <v/>
      </c>
      <c r="Q447" s="117" t="str">
        <f>IF(B447="","",IF(ISNUMBER(N447),"DECIDIDO – ","")&amp;IF(ISNUMBER(M447),IF(P447="",IF(F447="","INFORMAR PRAZO","SEM DATA"),IF(P447&gt;=0,"DEFESA NO PRAZO","DEFESA FORA DO PRAZO")),IF(OR(H447="DECISÃO D.P",ISNUMBER(N447)),"SEM DEFESA",IF(H447="","SEM STATUS",IF(F447="","INFORMAR PRAZO",IF(P447="","SEM DATA",IF(P447&lt;0,"VENCIDO",IF(P447&lt;=DiasAlerta,"VENCE EM BREVE","NO PRAZO"))))))))</f>
        <v/>
      </c>
      <c r="R447" s="118" t="str">
        <f>IF(D447="","",TODAY()-D447)</f>
        <v/>
      </c>
      <c r="S447" s="111" t="n"/>
    </row>
    <row r="448" ht="18" customHeight="1">
      <c r="A448" s="110" t="n"/>
      <c r="B448" s="111" t="n"/>
      <c r="C448" s="111" t="n"/>
      <c r="D448" s="112" t="n"/>
      <c r="E448" s="111" t="n"/>
      <c r="F448" s="110" t="n"/>
      <c r="G448" s="113" t="n"/>
      <c r="H448" s="113" t="n"/>
      <c r="I448" s="111" t="n"/>
      <c r="J448" s="114" t="n"/>
      <c r="K448" s="114" t="n"/>
      <c r="L448" s="112" t="n"/>
      <c r="M448" s="112" t="n"/>
      <c r="N448" s="112" t="n"/>
      <c r="O448" s="115" t="str">
        <f>IF(OR(D448="",F448=""),"",D448+F448)</f>
        <v/>
      </c>
      <c r="P448" s="116" t="str">
        <f>IF(O448="","",IF(ISNUMBER(M448),O448-M448,IF(OR(H448="DECISÃO D.P",ISNUMBER(N448)),"",O448-TODAY())))</f>
        <v/>
      </c>
      <c r="Q448" s="117" t="str">
        <f>IF(B448="","",IF(ISNUMBER(N448),"DECIDIDO – ","")&amp;IF(ISNUMBER(M448),IF(P448="",IF(F448="","INFORMAR PRAZO","SEM DATA"),IF(P448&gt;=0,"DEFESA NO PRAZO","DEFESA FORA DO PRAZO")),IF(OR(H448="DECISÃO D.P",ISNUMBER(N448)),"SEM DEFESA",IF(H448="","SEM STATUS",IF(F448="","INFORMAR PRAZO",IF(P448="","SEM DATA",IF(P448&lt;0,"VENCIDO",IF(P448&lt;=DiasAlerta,"VENCE EM BREVE","NO PRAZO"))))))))</f>
        <v/>
      </c>
      <c r="R448" s="118" t="str">
        <f>IF(D448="","",TODAY()-D448)</f>
        <v/>
      </c>
      <c r="S448" s="111" t="n"/>
    </row>
    <row r="449" ht="18" customHeight="1">
      <c r="A449" s="110" t="n"/>
      <c r="B449" s="111" t="n"/>
      <c r="C449" s="111" t="n"/>
      <c r="D449" s="112" t="n"/>
      <c r="E449" s="111" t="n"/>
      <c r="F449" s="110" t="n"/>
      <c r="G449" s="113" t="n"/>
      <c r="H449" s="113" t="n"/>
      <c r="I449" s="111" t="n"/>
      <c r="J449" s="114" t="n"/>
      <c r="K449" s="114" t="n"/>
      <c r="L449" s="112" t="n"/>
      <c r="M449" s="112" t="n"/>
      <c r="N449" s="112" t="n"/>
      <c r="O449" s="115" t="str">
        <f>IF(OR(D449="",F449=""),"",D449+F449)</f>
        <v/>
      </c>
      <c r="P449" s="116" t="str">
        <f>IF(O449="","",IF(ISNUMBER(M449),O449-M449,IF(OR(H449="DECISÃO D.P",ISNUMBER(N449)),"",O449-TODAY())))</f>
        <v/>
      </c>
      <c r="Q449" s="117" t="str">
        <f>IF(B449="","",IF(ISNUMBER(N449),"DECIDIDO – ","")&amp;IF(ISNUMBER(M449),IF(P449="",IF(F449="","INFORMAR PRAZO","SEM DATA"),IF(P449&gt;=0,"DEFESA NO PRAZO","DEFESA FORA DO PRAZO")),IF(OR(H449="DECISÃO D.P",ISNUMBER(N449)),"SEM DEFESA",IF(H449="","SEM STATUS",IF(F449="","INFORMAR PRAZO",IF(P449="","SEM DATA",IF(P449&lt;0,"VENCIDO",IF(P449&lt;=DiasAlerta,"VENCE EM BREVE","NO PRAZO"))))))))</f>
        <v/>
      </c>
      <c r="R449" s="118" t="str">
        <f>IF(D449="","",TODAY()-D449)</f>
        <v/>
      </c>
      <c r="S449" s="111" t="n"/>
    </row>
    <row r="450" ht="18" customHeight="1">
      <c r="A450" s="110" t="n"/>
      <c r="B450" s="111" t="n"/>
      <c r="C450" s="111" t="n"/>
      <c r="D450" s="112" t="n"/>
      <c r="E450" s="111" t="n"/>
      <c r="F450" s="110" t="n"/>
      <c r="G450" s="113" t="n"/>
      <c r="H450" s="113" t="n"/>
      <c r="I450" s="111" t="n"/>
      <c r="J450" s="114" t="n"/>
      <c r="K450" s="114" t="n"/>
      <c r="L450" s="112" t="n"/>
      <c r="M450" s="112" t="n"/>
      <c r="N450" s="112" t="n"/>
      <c r="O450" s="115" t="str">
        <f>IF(OR(D450="",F450=""),"",D450+F450)</f>
        <v/>
      </c>
      <c r="P450" s="116" t="str">
        <f>IF(O450="","",IF(ISNUMBER(M450),O450-M450,IF(OR(H450="DECISÃO D.P",ISNUMBER(N450)),"",O450-TODAY())))</f>
        <v/>
      </c>
      <c r="Q450" s="117" t="str">
        <f>IF(B450="","",IF(ISNUMBER(N450),"DECIDIDO – ","")&amp;IF(ISNUMBER(M450),IF(P450="",IF(F450="","INFORMAR PRAZO","SEM DATA"),IF(P450&gt;=0,"DEFESA NO PRAZO","DEFESA FORA DO PRAZO")),IF(OR(H450="DECISÃO D.P",ISNUMBER(N450)),"SEM DEFESA",IF(H450="","SEM STATUS",IF(F450="","INFORMAR PRAZO",IF(P450="","SEM DATA",IF(P450&lt;0,"VENCIDO",IF(P450&lt;=DiasAlerta,"VENCE EM BREVE","NO PRAZO"))))))))</f>
        <v/>
      </c>
      <c r="R450" s="118" t="str">
        <f>IF(D450="","",TODAY()-D450)</f>
        <v/>
      </c>
      <c r="S450" s="111" t="n"/>
    </row>
    <row r="451" ht="18" customHeight="1">
      <c r="A451" s="110" t="n"/>
      <c r="B451" s="111" t="n"/>
      <c r="C451" s="111" t="n"/>
      <c r="D451" s="112" t="n"/>
      <c r="E451" s="111" t="n"/>
      <c r="F451" s="110" t="n"/>
      <c r="G451" s="113" t="n"/>
      <c r="H451" s="113" t="n"/>
      <c r="I451" s="111" t="n"/>
      <c r="J451" s="114" t="n"/>
      <c r="K451" s="114" t="n"/>
      <c r="L451" s="112" t="n"/>
      <c r="M451" s="112" t="n"/>
      <c r="N451" s="112" t="n"/>
      <c r="O451" s="115" t="str">
        <f>IF(OR(D451="",F451=""),"",D451+F451)</f>
        <v/>
      </c>
      <c r="P451" s="116" t="str">
        <f>IF(O451="","",IF(ISNUMBER(M451),O451-M451,IF(OR(H451="DECISÃO D.P",ISNUMBER(N451)),"",O451-TODAY())))</f>
        <v/>
      </c>
      <c r="Q451" s="117" t="str">
        <f>IF(B451="","",IF(ISNUMBER(N451),"DECIDIDO – ","")&amp;IF(ISNUMBER(M451),IF(P451="",IF(F451="","INFORMAR PRAZO","SEM DATA"),IF(P451&gt;=0,"DEFESA NO PRAZO","DEFESA FORA DO PRAZO")),IF(OR(H451="DECISÃO D.P",ISNUMBER(N451)),"SEM DEFESA",IF(H451="","SEM STATUS",IF(F451="","INFORMAR PRAZO",IF(P451="","SEM DATA",IF(P451&lt;0,"VENCIDO",IF(P451&lt;=DiasAlerta,"VENCE EM BREVE","NO PRAZO"))))))))</f>
        <v/>
      </c>
      <c r="R451" s="118" t="str">
        <f>IF(D451="","",TODAY()-D451)</f>
        <v/>
      </c>
      <c r="S451" s="111" t="n"/>
    </row>
    <row r="452" ht="18" customHeight="1">
      <c r="A452" s="110" t="n"/>
      <c r="B452" s="111" t="n"/>
      <c r="C452" s="111" t="n"/>
      <c r="D452" s="112" t="n"/>
      <c r="E452" s="111" t="n"/>
      <c r="F452" s="110" t="n"/>
      <c r="G452" s="113" t="n"/>
      <c r="H452" s="113" t="n"/>
      <c r="I452" s="111" t="n"/>
      <c r="J452" s="114" t="n"/>
      <c r="K452" s="114" t="n"/>
      <c r="L452" s="112" t="n"/>
      <c r="M452" s="112" t="n"/>
      <c r="N452" s="112" t="n"/>
      <c r="O452" s="115" t="str">
        <f>IF(OR(D452="",F452=""),"",D452+F452)</f>
        <v/>
      </c>
      <c r="P452" s="116" t="str">
        <f>IF(O452="","",IF(ISNUMBER(M452),O452-M452,IF(OR(H452="DECISÃO D.P",ISNUMBER(N452)),"",O452-TODAY())))</f>
        <v/>
      </c>
      <c r="Q452" s="117" t="str">
        <f>IF(B452="","",IF(ISNUMBER(N452),"DECIDIDO – ","")&amp;IF(ISNUMBER(M452),IF(P452="",IF(F452="","INFORMAR PRAZO","SEM DATA"),IF(P452&gt;=0,"DEFESA NO PRAZO","DEFESA FORA DO PRAZO")),IF(OR(H452="DECISÃO D.P",ISNUMBER(N452)),"SEM DEFESA",IF(H452="","SEM STATUS",IF(F452="","INFORMAR PRAZO",IF(P452="","SEM DATA",IF(P452&lt;0,"VENCIDO",IF(P452&lt;=DiasAlerta,"VENCE EM BREVE","NO PRAZO"))))))))</f>
        <v/>
      </c>
      <c r="R452" s="118" t="str">
        <f>IF(D452="","",TODAY()-D452)</f>
        <v/>
      </c>
      <c r="S452" s="111" t="n"/>
    </row>
    <row r="453" ht="18" customHeight="1">
      <c r="A453" s="110" t="n"/>
      <c r="B453" s="111" t="n"/>
      <c r="C453" s="111" t="n"/>
      <c r="D453" s="112" t="n"/>
      <c r="E453" s="111" t="n"/>
      <c r="F453" s="110" t="n"/>
      <c r="G453" s="113" t="n"/>
      <c r="H453" s="113" t="n"/>
      <c r="I453" s="111" t="n"/>
      <c r="J453" s="114" t="n"/>
      <c r="K453" s="114" t="n"/>
      <c r="L453" s="112" t="n"/>
      <c r="M453" s="112" t="n"/>
      <c r="N453" s="112" t="n"/>
      <c r="O453" s="115" t="str">
        <f>IF(OR(D453="",F453=""),"",D453+F453)</f>
        <v/>
      </c>
      <c r="P453" s="116" t="str">
        <f>IF(O453="","",IF(ISNUMBER(M453),O453-M453,IF(OR(H453="DECISÃO D.P",ISNUMBER(N453)),"",O453-TODAY())))</f>
        <v/>
      </c>
      <c r="Q453" s="117" t="str">
        <f>IF(B453="","",IF(ISNUMBER(N453),"DECIDIDO – ","")&amp;IF(ISNUMBER(M453),IF(P453="",IF(F453="","INFORMAR PRAZO","SEM DATA"),IF(P453&gt;=0,"DEFESA NO PRAZO","DEFESA FORA DO PRAZO")),IF(OR(H453="DECISÃO D.P",ISNUMBER(N453)),"SEM DEFESA",IF(H453="","SEM STATUS",IF(F453="","INFORMAR PRAZO",IF(P453="","SEM DATA",IF(P453&lt;0,"VENCIDO",IF(P453&lt;=DiasAlerta,"VENCE EM BREVE","NO PRAZO"))))))))</f>
        <v/>
      </c>
      <c r="R453" s="118" t="str">
        <f>IF(D453="","",TODAY()-D453)</f>
        <v/>
      </c>
      <c r="S453" s="111" t="n"/>
    </row>
    <row r="454" ht="18" customHeight="1">
      <c r="A454" s="110" t="n"/>
      <c r="B454" s="111" t="n"/>
      <c r="C454" s="111" t="n"/>
      <c r="D454" s="112" t="n"/>
      <c r="E454" s="111" t="n"/>
      <c r="F454" s="110" t="n"/>
      <c r="G454" s="113" t="n"/>
      <c r="H454" s="113" t="n"/>
      <c r="I454" s="111" t="n"/>
      <c r="J454" s="114" t="n"/>
      <c r="K454" s="114" t="n"/>
      <c r="L454" s="112" t="n"/>
      <c r="M454" s="112" t="n"/>
      <c r="N454" s="112" t="n"/>
      <c r="O454" s="115" t="str">
        <f>IF(OR(D454="",F454=""),"",D454+F454)</f>
        <v/>
      </c>
      <c r="P454" s="116" t="str">
        <f>IF(O454="","",IF(ISNUMBER(M454),O454-M454,IF(OR(H454="DECISÃO D.P",ISNUMBER(N454)),"",O454-TODAY())))</f>
        <v/>
      </c>
      <c r="Q454" s="117" t="str">
        <f>IF(B454="","",IF(ISNUMBER(N454),"DECIDIDO – ","")&amp;IF(ISNUMBER(M454),IF(P454="",IF(F454="","INFORMAR PRAZO","SEM DATA"),IF(P454&gt;=0,"DEFESA NO PRAZO","DEFESA FORA DO PRAZO")),IF(OR(H454="DECISÃO D.P",ISNUMBER(N454)),"SEM DEFESA",IF(H454="","SEM STATUS",IF(F454="","INFORMAR PRAZO",IF(P454="","SEM DATA",IF(P454&lt;0,"VENCIDO",IF(P454&lt;=DiasAlerta,"VENCE EM BREVE","NO PRAZO"))))))))</f>
        <v/>
      </c>
      <c r="R454" s="118" t="str">
        <f>IF(D454="","",TODAY()-D454)</f>
        <v/>
      </c>
      <c r="S454" s="111" t="n"/>
    </row>
    <row r="455" ht="18" customHeight="1">
      <c r="A455" s="110" t="n"/>
      <c r="B455" s="111" t="n"/>
      <c r="C455" s="111" t="n"/>
      <c r="D455" s="112" t="n"/>
      <c r="E455" s="111" t="n"/>
      <c r="F455" s="110" t="n"/>
      <c r="G455" s="113" t="n"/>
      <c r="H455" s="113" t="n"/>
      <c r="I455" s="111" t="n"/>
      <c r="J455" s="114" t="n"/>
      <c r="K455" s="114" t="n"/>
      <c r="L455" s="112" t="n"/>
      <c r="M455" s="112" t="n"/>
      <c r="N455" s="112" t="n"/>
      <c r="O455" s="115" t="str">
        <f>IF(OR(D455="",F455=""),"",D455+F455)</f>
        <v/>
      </c>
      <c r="P455" s="116" t="str">
        <f>IF(O455="","",IF(ISNUMBER(M455),O455-M455,IF(OR(H455="DECISÃO D.P",ISNUMBER(N455)),"",O455-TODAY())))</f>
        <v/>
      </c>
      <c r="Q455" s="117" t="str">
        <f>IF(B455="","",IF(ISNUMBER(N455),"DECIDIDO – ","")&amp;IF(ISNUMBER(M455),IF(P455="",IF(F455="","INFORMAR PRAZO","SEM DATA"),IF(P455&gt;=0,"DEFESA NO PRAZO","DEFESA FORA DO PRAZO")),IF(OR(H455="DECISÃO D.P",ISNUMBER(N455)),"SEM DEFESA",IF(H455="","SEM STATUS",IF(F455="","INFORMAR PRAZO",IF(P455="","SEM DATA",IF(P455&lt;0,"VENCIDO",IF(P455&lt;=DiasAlerta,"VENCE EM BREVE","NO PRAZO"))))))))</f>
        <v/>
      </c>
      <c r="R455" s="118" t="str">
        <f>IF(D455="","",TODAY()-D455)</f>
        <v/>
      </c>
      <c r="S455" s="111" t="n"/>
    </row>
    <row r="456" ht="18" customHeight="1">
      <c r="A456" s="110" t="n"/>
      <c r="B456" s="111" t="n"/>
      <c r="C456" s="111" t="n"/>
      <c r="D456" s="112" t="n"/>
      <c r="E456" s="111" t="n"/>
      <c r="F456" s="110" t="n"/>
      <c r="G456" s="113" t="n"/>
      <c r="H456" s="113" t="n"/>
      <c r="I456" s="111" t="n"/>
      <c r="J456" s="114" t="n"/>
      <c r="K456" s="114" t="n"/>
      <c r="L456" s="112" t="n"/>
      <c r="M456" s="112" t="n"/>
      <c r="N456" s="112" t="n"/>
      <c r="O456" s="115" t="str">
        <f>IF(OR(D456="",F456=""),"",D456+F456)</f>
        <v/>
      </c>
      <c r="P456" s="116" t="str">
        <f>IF(O456="","",IF(ISNUMBER(M456),O456-M456,IF(OR(H456="DECISÃO D.P",ISNUMBER(N456)),"",O456-TODAY())))</f>
        <v/>
      </c>
      <c r="Q456" s="117" t="str">
        <f>IF(B456="","",IF(ISNUMBER(N456),"DECIDIDO – ","")&amp;IF(ISNUMBER(M456),IF(P456="",IF(F456="","INFORMAR PRAZO","SEM DATA"),IF(P456&gt;=0,"DEFESA NO PRAZO","DEFESA FORA DO PRAZO")),IF(OR(H456="DECISÃO D.P",ISNUMBER(N456)),"SEM DEFESA",IF(H456="","SEM STATUS",IF(F456="","INFORMAR PRAZO",IF(P456="","SEM DATA",IF(P456&lt;0,"VENCIDO",IF(P456&lt;=DiasAlerta,"VENCE EM BREVE","NO PRAZO"))))))))</f>
        <v/>
      </c>
      <c r="R456" s="118" t="str">
        <f>IF(D456="","",TODAY()-D456)</f>
        <v/>
      </c>
      <c r="S456" s="111" t="n"/>
    </row>
    <row r="457" ht="18" customHeight="1">
      <c r="A457" s="110" t="n"/>
      <c r="B457" s="111" t="n"/>
      <c r="C457" s="111" t="n"/>
      <c r="D457" s="112" t="n"/>
      <c r="E457" s="111" t="n"/>
      <c r="F457" s="110" t="n"/>
      <c r="G457" s="113" t="n"/>
      <c r="H457" s="113" t="n"/>
      <c r="I457" s="111" t="n"/>
      <c r="J457" s="114" t="n"/>
      <c r="K457" s="114" t="n"/>
      <c r="L457" s="112" t="n"/>
      <c r="M457" s="112" t="n"/>
      <c r="N457" s="112" t="n"/>
      <c r="O457" s="115" t="str">
        <f>IF(OR(D457="",F457=""),"",D457+F457)</f>
        <v/>
      </c>
      <c r="P457" s="116" t="str">
        <f>IF(O457="","",IF(ISNUMBER(M457),O457-M457,IF(OR(H457="DECISÃO D.P",ISNUMBER(N457)),"",O457-TODAY())))</f>
        <v/>
      </c>
      <c r="Q457" s="117" t="str">
        <f>IF(B457="","",IF(ISNUMBER(N457),"DECIDIDO – ","")&amp;IF(ISNUMBER(M457),IF(P457="",IF(F457="","INFORMAR PRAZO","SEM DATA"),IF(P457&gt;=0,"DEFESA NO PRAZO","DEFESA FORA DO PRAZO")),IF(OR(H457="DECISÃO D.P",ISNUMBER(N457)),"SEM DEFESA",IF(H457="","SEM STATUS",IF(F457="","INFORMAR PRAZO",IF(P457="","SEM DATA",IF(P457&lt;0,"VENCIDO",IF(P457&lt;=DiasAlerta,"VENCE EM BREVE","NO PRAZO"))))))))</f>
        <v/>
      </c>
      <c r="R457" s="118" t="str">
        <f>IF(D457="","",TODAY()-D457)</f>
        <v/>
      </c>
      <c r="S457" s="111" t="n"/>
    </row>
    <row r="458" ht="18" customHeight="1">
      <c r="A458" s="110" t="n"/>
      <c r="B458" s="111" t="n"/>
      <c r="C458" s="111" t="n"/>
      <c r="D458" s="112" t="n"/>
      <c r="E458" s="111" t="n"/>
      <c r="F458" s="110" t="n"/>
      <c r="G458" s="113" t="n"/>
      <c r="H458" s="113" t="n"/>
      <c r="I458" s="111" t="n"/>
      <c r="J458" s="114" t="n"/>
      <c r="K458" s="114" t="n"/>
      <c r="L458" s="112" t="n"/>
      <c r="M458" s="112" t="n"/>
      <c r="N458" s="112" t="n"/>
      <c r="O458" s="115" t="str">
        <f>IF(OR(D458="",F458=""),"",D458+F458)</f>
        <v/>
      </c>
      <c r="P458" s="116" t="str">
        <f>IF(O458="","",IF(ISNUMBER(M458),O458-M458,IF(OR(H458="DECISÃO D.P",ISNUMBER(N458)),"",O458-TODAY())))</f>
        <v/>
      </c>
      <c r="Q458" s="117" t="str">
        <f>IF(B458="","",IF(ISNUMBER(N458),"DECIDIDO – ","")&amp;IF(ISNUMBER(M458),IF(P458="",IF(F458="","INFORMAR PRAZO","SEM DATA"),IF(P458&gt;=0,"DEFESA NO PRAZO","DEFESA FORA DO PRAZO")),IF(OR(H458="DECISÃO D.P",ISNUMBER(N458)),"SEM DEFESA",IF(H458="","SEM STATUS",IF(F458="","INFORMAR PRAZO",IF(P458="","SEM DATA",IF(P458&lt;0,"VENCIDO",IF(P458&lt;=DiasAlerta,"VENCE EM BREVE","NO PRAZO"))))))))</f>
        <v/>
      </c>
      <c r="R458" s="118" t="str">
        <f>IF(D458="","",TODAY()-D458)</f>
        <v/>
      </c>
      <c r="S458" s="111" t="n"/>
    </row>
    <row r="459" ht="18" customHeight="1">
      <c r="A459" s="110" t="n"/>
      <c r="B459" s="111" t="n"/>
      <c r="C459" s="111" t="n"/>
      <c r="D459" s="112" t="n"/>
      <c r="E459" s="111" t="n"/>
      <c r="F459" s="110" t="n"/>
      <c r="G459" s="113" t="n"/>
      <c r="H459" s="113" t="n"/>
      <c r="I459" s="111" t="n"/>
      <c r="J459" s="114" t="n"/>
      <c r="K459" s="114" t="n"/>
      <c r="L459" s="112" t="n"/>
      <c r="M459" s="112" t="n"/>
      <c r="N459" s="112" t="n"/>
      <c r="O459" s="115" t="str">
        <f>IF(OR(D459="",F459=""),"",D459+F459)</f>
        <v/>
      </c>
      <c r="P459" s="116" t="str">
        <f>IF(O459="","",IF(ISNUMBER(M459),O459-M459,IF(OR(H459="DECISÃO D.P",ISNUMBER(N459)),"",O459-TODAY())))</f>
        <v/>
      </c>
      <c r="Q459" s="117" t="str">
        <f>IF(B459="","",IF(ISNUMBER(N459),"DECIDIDO – ","")&amp;IF(ISNUMBER(M459),IF(P459="",IF(F459="","INFORMAR PRAZO","SEM DATA"),IF(P459&gt;=0,"DEFESA NO PRAZO","DEFESA FORA DO PRAZO")),IF(OR(H459="DECISÃO D.P",ISNUMBER(N459)),"SEM DEFESA",IF(H459="","SEM STATUS",IF(F459="","INFORMAR PRAZO",IF(P459="","SEM DATA",IF(P459&lt;0,"VENCIDO",IF(P459&lt;=DiasAlerta,"VENCE EM BREVE","NO PRAZO"))))))))</f>
        <v/>
      </c>
      <c r="R459" s="118" t="str">
        <f>IF(D459="","",TODAY()-D459)</f>
        <v/>
      </c>
      <c r="S459" s="111" t="n"/>
    </row>
    <row r="460" ht="18" customHeight="1">
      <c r="A460" s="110" t="n"/>
      <c r="B460" s="111" t="n"/>
      <c r="C460" s="111" t="n"/>
      <c r="D460" s="112" t="n"/>
      <c r="E460" s="111" t="n"/>
      <c r="F460" s="110" t="n"/>
      <c r="G460" s="113" t="n"/>
      <c r="H460" s="113" t="n"/>
      <c r="I460" s="111" t="n"/>
      <c r="J460" s="114" t="n"/>
      <c r="K460" s="114" t="n"/>
      <c r="L460" s="112" t="n"/>
      <c r="M460" s="112" t="n"/>
      <c r="N460" s="112" t="n"/>
      <c r="O460" s="115" t="str">
        <f>IF(OR(D460="",F460=""),"",D460+F460)</f>
        <v/>
      </c>
      <c r="P460" s="116" t="str">
        <f>IF(O460="","",IF(ISNUMBER(M460),O460-M460,IF(OR(H460="DECISÃO D.P",ISNUMBER(N460)),"",O460-TODAY())))</f>
        <v/>
      </c>
      <c r="Q460" s="117" t="str">
        <f>IF(B460="","",IF(ISNUMBER(N460),"DECIDIDO – ","")&amp;IF(ISNUMBER(M460),IF(P460="",IF(F460="","INFORMAR PRAZO","SEM DATA"),IF(P460&gt;=0,"DEFESA NO PRAZO","DEFESA FORA DO PRAZO")),IF(OR(H460="DECISÃO D.P",ISNUMBER(N460)),"SEM DEFESA",IF(H460="","SEM STATUS",IF(F460="","INFORMAR PRAZO",IF(P460="","SEM DATA",IF(P460&lt;0,"VENCIDO",IF(P460&lt;=DiasAlerta,"VENCE EM BREVE","NO PRAZO"))))))))</f>
        <v/>
      </c>
      <c r="R460" s="118" t="str">
        <f>IF(D460="","",TODAY()-D460)</f>
        <v/>
      </c>
      <c r="S460" s="111" t="n"/>
    </row>
    <row r="461" ht="18" customHeight="1">
      <c r="A461" s="110" t="n"/>
      <c r="B461" s="111" t="n"/>
      <c r="C461" s="111" t="n"/>
      <c r="D461" s="112" t="n"/>
      <c r="E461" s="111" t="n"/>
      <c r="F461" s="110" t="n"/>
      <c r="G461" s="113" t="n"/>
      <c r="H461" s="113" t="n"/>
      <c r="I461" s="111" t="n"/>
      <c r="J461" s="114" t="n"/>
      <c r="K461" s="114" t="n"/>
      <c r="L461" s="112" t="n"/>
      <c r="M461" s="112" t="n"/>
      <c r="N461" s="112" t="n"/>
      <c r="O461" s="115" t="str">
        <f>IF(OR(D461="",F461=""),"",D461+F461)</f>
        <v/>
      </c>
      <c r="P461" s="116" t="str">
        <f>IF(O461="","",IF(ISNUMBER(M461),O461-M461,IF(OR(H461="DECISÃO D.P",ISNUMBER(N461)),"",O461-TODAY())))</f>
        <v/>
      </c>
      <c r="Q461" s="117" t="str">
        <f>IF(B461="","",IF(ISNUMBER(N461),"DECIDIDO – ","")&amp;IF(ISNUMBER(M461),IF(P461="",IF(F461="","INFORMAR PRAZO","SEM DATA"),IF(P461&gt;=0,"DEFESA NO PRAZO","DEFESA FORA DO PRAZO")),IF(OR(H461="DECISÃO D.P",ISNUMBER(N461)),"SEM DEFESA",IF(H461="","SEM STATUS",IF(F461="","INFORMAR PRAZO",IF(P461="","SEM DATA",IF(P461&lt;0,"VENCIDO",IF(P461&lt;=DiasAlerta,"VENCE EM BREVE","NO PRAZO"))))))))</f>
        <v/>
      </c>
      <c r="R461" s="118" t="str">
        <f>IF(D461="","",TODAY()-D461)</f>
        <v/>
      </c>
      <c r="S461" s="111" t="n"/>
    </row>
    <row r="462" ht="18" customHeight="1">
      <c r="A462" s="110" t="n"/>
      <c r="B462" s="111" t="n"/>
      <c r="C462" s="111" t="n"/>
      <c r="D462" s="112" t="n"/>
      <c r="E462" s="111" t="n"/>
      <c r="F462" s="110" t="n"/>
      <c r="G462" s="113" t="n"/>
      <c r="H462" s="113" t="n"/>
      <c r="I462" s="111" t="n"/>
      <c r="J462" s="114" t="n"/>
      <c r="K462" s="114" t="n"/>
      <c r="L462" s="112" t="n"/>
      <c r="M462" s="112" t="n"/>
      <c r="N462" s="112" t="n"/>
      <c r="O462" s="115" t="str">
        <f>IF(OR(D462="",F462=""),"",D462+F462)</f>
        <v/>
      </c>
      <c r="P462" s="116" t="str">
        <f>IF(O462="","",IF(ISNUMBER(M462),O462-M462,IF(OR(H462="DECISÃO D.P",ISNUMBER(N462)),"",O462-TODAY())))</f>
        <v/>
      </c>
      <c r="Q462" s="117" t="str">
        <f>IF(B462="","",IF(ISNUMBER(N462),"DECIDIDO – ","")&amp;IF(ISNUMBER(M462),IF(P462="",IF(F462="","INFORMAR PRAZO","SEM DATA"),IF(P462&gt;=0,"DEFESA NO PRAZO","DEFESA FORA DO PRAZO")),IF(OR(H462="DECISÃO D.P",ISNUMBER(N462)),"SEM DEFESA",IF(H462="","SEM STATUS",IF(F462="","INFORMAR PRAZO",IF(P462="","SEM DATA",IF(P462&lt;0,"VENCIDO",IF(P462&lt;=DiasAlerta,"VENCE EM BREVE","NO PRAZO"))))))))</f>
        <v/>
      </c>
      <c r="R462" s="118" t="str">
        <f>IF(D462="","",TODAY()-D462)</f>
        <v/>
      </c>
      <c r="S462" s="111" t="n"/>
    </row>
    <row r="463" ht="18" customHeight="1">
      <c r="A463" s="110" t="n"/>
      <c r="B463" s="111" t="n"/>
      <c r="C463" s="111" t="n"/>
      <c r="D463" s="112" t="n"/>
      <c r="E463" s="111" t="n"/>
      <c r="F463" s="110" t="n"/>
      <c r="G463" s="113" t="n"/>
      <c r="H463" s="113" t="n"/>
      <c r="I463" s="111" t="n"/>
      <c r="J463" s="114" t="n"/>
      <c r="K463" s="114" t="n"/>
      <c r="L463" s="112" t="n"/>
      <c r="M463" s="112" t="n"/>
      <c r="N463" s="112" t="n"/>
      <c r="O463" s="115" t="str">
        <f>IF(OR(D463="",F463=""),"",D463+F463)</f>
        <v/>
      </c>
      <c r="P463" s="116" t="str">
        <f>IF(O463="","",IF(ISNUMBER(M463),O463-M463,IF(OR(H463="DECISÃO D.P",ISNUMBER(N463)),"",O463-TODAY())))</f>
        <v/>
      </c>
      <c r="Q463" s="117" t="str">
        <f>IF(B463="","",IF(ISNUMBER(N463),"DECIDIDO – ","")&amp;IF(ISNUMBER(M463),IF(P463="",IF(F463="","INFORMAR PRAZO","SEM DATA"),IF(P463&gt;=0,"DEFESA NO PRAZO","DEFESA FORA DO PRAZO")),IF(OR(H463="DECISÃO D.P",ISNUMBER(N463)),"SEM DEFESA",IF(H463="","SEM STATUS",IF(F463="","INFORMAR PRAZO",IF(P463="","SEM DATA",IF(P463&lt;0,"VENCIDO",IF(P463&lt;=DiasAlerta,"VENCE EM BREVE","NO PRAZO"))))))))</f>
        <v/>
      </c>
      <c r="R463" s="118" t="str">
        <f>IF(D463="","",TODAY()-D463)</f>
        <v/>
      </c>
      <c r="S463" s="111" t="n"/>
    </row>
    <row r="464" ht="18" customHeight="1">
      <c r="A464" s="110" t="n"/>
      <c r="B464" s="111" t="n"/>
      <c r="C464" s="111" t="n"/>
      <c r="D464" s="112" t="n"/>
      <c r="E464" s="111" t="n"/>
      <c r="F464" s="110" t="n"/>
      <c r="G464" s="113" t="n"/>
      <c r="H464" s="113" t="n"/>
      <c r="I464" s="111" t="n"/>
      <c r="J464" s="114" t="n"/>
      <c r="K464" s="114" t="n"/>
      <c r="L464" s="112" t="n"/>
      <c r="M464" s="112" t="n"/>
      <c r="N464" s="112" t="n"/>
      <c r="O464" s="115" t="str">
        <f>IF(OR(D464="",F464=""),"",D464+F464)</f>
        <v/>
      </c>
      <c r="P464" s="116" t="str">
        <f>IF(O464="","",IF(ISNUMBER(M464),O464-M464,IF(OR(H464="DECISÃO D.P",ISNUMBER(N464)),"",O464-TODAY())))</f>
        <v/>
      </c>
      <c r="Q464" s="117" t="str">
        <f>IF(B464="","",IF(ISNUMBER(N464),"DECIDIDO – ","")&amp;IF(ISNUMBER(M464),IF(P464="",IF(F464="","INFORMAR PRAZO","SEM DATA"),IF(P464&gt;=0,"DEFESA NO PRAZO","DEFESA FORA DO PRAZO")),IF(OR(H464="DECISÃO D.P",ISNUMBER(N464)),"SEM DEFESA",IF(H464="","SEM STATUS",IF(F464="","INFORMAR PRAZO",IF(P464="","SEM DATA",IF(P464&lt;0,"VENCIDO",IF(P464&lt;=DiasAlerta,"VENCE EM BREVE","NO PRAZO"))))))))</f>
        <v/>
      </c>
      <c r="R464" s="118" t="str">
        <f>IF(D464="","",TODAY()-D464)</f>
        <v/>
      </c>
      <c r="S464" s="111" t="n"/>
    </row>
    <row r="465" ht="18" customHeight="1">
      <c r="A465" s="110" t="n"/>
      <c r="B465" s="111" t="n"/>
      <c r="C465" s="111" t="n"/>
      <c r="D465" s="112" t="n"/>
      <c r="E465" s="111" t="n"/>
      <c r="F465" s="110" t="n"/>
      <c r="G465" s="113" t="n"/>
      <c r="H465" s="113" t="n"/>
      <c r="I465" s="111" t="n"/>
      <c r="J465" s="114" t="n"/>
      <c r="K465" s="114" t="n"/>
      <c r="L465" s="112" t="n"/>
      <c r="M465" s="112" t="n"/>
      <c r="N465" s="112" t="n"/>
      <c r="O465" s="115" t="str">
        <f>IF(OR(D465="",F465=""),"",D465+F465)</f>
        <v/>
      </c>
      <c r="P465" s="116" t="str">
        <f>IF(O465="","",IF(ISNUMBER(M465),O465-M465,IF(OR(H465="DECISÃO D.P",ISNUMBER(N465)),"",O465-TODAY())))</f>
        <v/>
      </c>
      <c r="Q465" s="117" t="str">
        <f>IF(B465="","",IF(ISNUMBER(N465),"DECIDIDO – ","")&amp;IF(ISNUMBER(M465),IF(P465="",IF(F465="","INFORMAR PRAZO","SEM DATA"),IF(P465&gt;=0,"DEFESA NO PRAZO","DEFESA FORA DO PRAZO")),IF(OR(H465="DECISÃO D.P",ISNUMBER(N465)),"SEM DEFESA",IF(H465="","SEM STATUS",IF(F465="","INFORMAR PRAZO",IF(P465="","SEM DATA",IF(P465&lt;0,"VENCIDO",IF(P465&lt;=DiasAlerta,"VENCE EM BREVE","NO PRAZO"))))))))</f>
        <v/>
      </c>
      <c r="R465" s="118" t="str">
        <f>IF(D465="","",TODAY()-D465)</f>
        <v/>
      </c>
      <c r="S465" s="111" t="n"/>
    </row>
    <row r="466" ht="18" customHeight="1">
      <c r="A466" s="110" t="n"/>
      <c r="B466" s="111" t="n"/>
      <c r="C466" s="111" t="n"/>
      <c r="D466" s="112" t="n"/>
      <c r="E466" s="111" t="n"/>
      <c r="F466" s="110" t="n"/>
      <c r="G466" s="113" t="n"/>
      <c r="H466" s="113" t="n"/>
      <c r="I466" s="111" t="n"/>
      <c r="J466" s="114" t="n"/>
      <c r="K466" s="114" t="n"/>
      <c r="L466" s="112" t="n"/>
      <c r="M466" s="112" t="n"/>
      <c r="N466" s="112" t="n"/>
      <c r="O466" s="115" t="str">
        <f>IF(OR(D466="",F466=""),"",D466+F466)</f>
        <v/>
      </c>
      <c r="P466" s="116" t="str">
        <f>IF(O466="","",IF(ISNUMBER(M466),O466-M466,IF(OR(H466="DECISÃO D.P",ISNUMBER(N466)),"",O466-TODAY())))</f>
        <v/>
      </c>
      <c r="Q466" s="117" t="str">
        <f>IF(B466="","",IF(ISNUMBER(N466),"DECIDIDO – ","")&amp;IF(ISNUMBER(M466),IF(P466="",IF(F466="","INFORMAR PRAZO","SEM DATA"),IF(P466&gt;=0,"DEFESA NO PRAZO","DEFESA FORA DO PRAZO")),IF(OR(H466="DECISÃO D.P",ISNUMBER(N466)),"SEM DEFESA",IF(H466="","SEM STATUS",IF(F466="","INFORMAR PRAZO",IF(P466="","SEM DATA",IF(P466&lt;0,"VENCIDO",IF(P466&lt;=DiasAlerta,"VENCE EM BREVE","NO PRAZO"))))))))</f>
        <v/>
      </c>
      <c r="R466" s="118" t="str">
        <f>IF(D466="","",TODAY()-D466)</f>
        <v/>
      </c>
      <c r="S466" s="111" t="n"/>
    </row>
    <row r="467" ht="18" customHeight="1">
      <c r="A467" s="110" t="n"/>
      <c r="B467" s="111" t="n"/>
      <c r="C467" s="111" t="n"/>
      <c r="D467" s="112" t="n"/>
      <c r="E467" s="111" t="n"/>
      <c r="F467" s="110" t="n"/>
      <c r="G467" s="113" t="n"/>
      <c r="H467" s="113" t="n"/>
      <c r="I467" s="111" t="n"/>
      <c r="J467" s="114" t="n"/>
      <c r="K467" s="114" t="n"/>
      <c r="L467" s="112" t="n"/>
      <c r="M467" s="112" t="n"/>
      <c r="N467" s="112" t="n"/>
      <c r="O467" s="115" t="str">
        <f>IF(OR(D467="",F467=""),"",D467+F467)</f>
        <v/>
      </c>
      <c r="P467" s="116" t="str">
        <f>IF(O467="","",IF(ISNUMBER(M467),O467-M467,IF(OR(H467="DECISÃO D.P",ISNUMBER(N467)),"",O467-TODAY())))</f>
        <v/>
      </c>
      <c r="Q467" s="117" t="str">
        <f>IF(B467="","",IF(ISNUMBER(N467),"DECIDIDO – ","")&amp;IF(ISNUMBER(M467),IF(P467="",IF(F467="","INFORMAR PRAZO","SEM DATA"),IF(P467&gt;=0,"DEFESA NO PRAZO","DEFESA FORA DO PRAZO")),IF(OR(H467="DECISÃO D.P",ISNUMBER(N467)),"SEM DEFESA",IF(H467="","SEM STATUS",IF(F467="","INFORMAR PRAZO",IF(P467="","SEM DATA",IF(P467&lt;0,"VENCIDO",IF(P467&lt;=DiasAlerta,"VENCE EM BREVE","NO PRAZO"))))))))</f>
        <v/>
      </c>
      <c r="R467" s="118" t="str">
        <f>IF(D467="","",TODAY()-D467)</f>
        <v/>
      </c>
      <c r="S467" s="111" t="n"/>
    </row>
    <row r="468" ht="18" customHeight="1">
      <c r="A468" s="110" t="n"/>
      <c r="B468" s="111" t="n"/>
      <c r="C468" s="111" t="n"/>
      <c r="D468" s="112" t="n"/>
      <c r="E468" s="111" t="n"/>
      <c r="F468" s="110" t="n"/>
      <c r="G468" s="113" t="n"/>
      <c r="H468" s="113" t="n"/>
      <c r="I468" s="111" t="n"/>
      <c r="J468" s="114" t="n"/>
      <c r="K468" s="114" t="n"/>
      <c r="L468" s="112" t="n"/>
      <c r="M468" s="112" t="n"/>
      <c r="N468" s="112" t="n"/>
      <c r="O468" s="115" t="str">
        <f>IF(OR(D468="",F468=""),"",D468+F468)</f>
        <v/>
      </c>
      <c r="P468" s="116" t="str">
        <f>IF(O468="","",IF(ISNUMBER(M468),O468-M468,IF(OR(H468="DECISÃO D.P",ISNUMBER(N468)),"",O468-TODAY())))</f>
        <v/>
      </c>
      <c r="Q468" s="117" t="str">
        <f>IF(B468="","",IF(ISNUMBER(N468),"DECIDIDO – ","")&amp;IF(ISNUMBER(M468),IF(P468="",IF(F468="","INFORMAR PRAZO","SEM DATA"),IF(P468&gt;=0,"DEFESA NO PRAZO","DEFESA FORA DO PRAZO")),IF(OR(H468="DECISÃO D.P",ISNUMBER(N468)),"SEM DEFESA",IF(H468="","SEM STATUS",IF(F468="","INFORMAR PRAZO",IF(P468="","SEM DATA",IF(P468&lt;0,"VENCIDO",IF(P468&lt;=DiasAlerta,"VENCE EM BREVE","NO PRAZO"))))))))</f>
        <v/>
      </c>
      <c r="R468" s="118" t="str">
        <f>IF(D468="","",TODAY()-D468)</f>
        <v/>
      </c>
      <c r="S468" s="111" t="n"/>
    </row>
    <row r="469" ht="18" customHeight="1">
      <c r="A469" s="110" t="n"/>
      <c r="B469" s="111" t="n"/>
      <c r="C469" s="111" t="n"/>
      <c r="D469" s="112" t="n"/>
      <c r="E469" s="111" t="n"/>
      <c r="F469" s="110" t="n"/>
      <c r="G469" s="113" t="n"/>
      <c r="H469" s="113" t="n"/>
      <c r="I469" s="111" t="n"/>
      <c r="J469" s="114" t="n"/>
      <c r="K469" s="114" t="n"/>
      <c r="L469" s="112" t="n"/>
      <c r="M469" s="112" t="n"/>
      <c r="N469" s="112" t="n"/>
      <c r="O469" s="115" t="str">
        <f>IF(OR(D469="",F469=""),"",D469+F469)</f>
        <v/>
      </c>
      <c r="P469" s="116" t="str">
        <f>IF(O469="","",IF(ISNUMBER(M469),O469-M469,IF(OR(H469="DECISÃO D.P",ISNUMBER(N469)),"",O469-TODAY())))</f>
        <v/>
      </c>
      <c r="Q469" s="117" t="str">
        <f>IF(B469="","",IF(ISNUMBER(N469),"DECIDIDO – ","")&amp;IF(ISNUMBER(M469),IF(P469="",IF(F469="","INFORMAR PRAZO","SEM DATA"),IF(P469&gt;=0,"DEFESA NO PRAZO","DEFESA FORA DO PRAZO")),IF(OR(H469="DECISÃO D.P",ISNUMBER(N469)),"SEM DEFESA",IF(H469="","SEM STATUS",IF(F469="","INFORMAR PRAZO",IF(P469="","SEM DATA",IF(P469&lt;0,"VENCIDO",IF(P469&lt;=DiasAlerta,"VENCE EM BREVE","NO PRAZO"))))))))</f>
        <v/>
      </c>
      <c r="R469" s="118" t="str">
        <f>IF(D469="","",TODAY()-D469)</f>
        <v/>
      </c>
      <c r="S469" s="111" t="n"/>
    </row>
    <row r="470" ht="18" customHeight="1">
      <c r="A470" s="110" t="n"/>
      <c r="B470" s="111" t="n"/>
      <c r="C470" s="111" t="n"/>
      <c r="D470" s="112" t="n"/>
      <c r="E470" s="111" t="n"/>
      <c r="F470" s="110" t="n"/>
      <c r="G470" s="113" t="n"/>
      <c r="H470" s="113" t="n"/>
      <c r="I470" s="111" t="n"/>
      <c r="J470" s="114" t="n"/>
      <c r="K470" s="114" t="n"/>
      <c r="L470" s="112" t="n"/>
      <c r="M470" s="112" t="n"/>
      <c r="N470" s="112" t="n"/>
      <c r="O470" s="115" t="str">
        <f>IF(OR(D470="",F470=""),"",D470+F470)</f>
        <v/>
      </c>
      <c r="P470" s="116" t="str">
        <f>IF(O470="","",IF(ISNUMBER(M470),O470-M470,IF(OR(H470="DECISÃO D.P",ISNUMBER(N470)),"",O470-TODAY())))</f>
        <v/>
      </c>
      <c r="Q470" s="117" t="str">
        <f>IF(B470="","",IF(ISNUMBER(N470),"DECIDIDO – ","")&amp;IF(ISNUMBER(M470),IF(P470="",IF(F470="","INFORMAR PRAZO","SEM DATA"),IF(P470&gt;=0,"DEFESA NO PRAZO","DEFESA FORA DO PRAZO")),IF(OR(H470="DECISÃO D.P",ISNUMBER(N470)),"SEM DEFESA",IF(H470="","SEM STATUS",IF(F470="","INFORMAR PRAZO",IF(P470="","SEM DATA",IF(P470&lt;0,"VENCIDO",IF(P470&lt;=DiasAlerta,"VENCE EM BREVE","NO PRAZO"))))))))</f>
        <v/>
      </c>
      <c r="R470" s="118" t="str">
        <f>IF(D470="","",TODAY()-D470)</f>
        <v/>
      </c>
      <c r="S470" s="111" t="n"/>
    </row>
    <row r="471" ht="18" customHeight="1">
      <c r="A471" s="110" t="n"/>
      <c r="B471" s="111" t="n"/>
      <c r="C471" s="111" t="n"/>
      <c r="D471" s="112" t="n"/>
      <c r="E471" s="111" t="n"/>
      <c r="F471" s="110" t="n"/>
      <c r="G471" s="113" t="n"/>
      <c r="H471" s="113" t="n"/>
      <c r="I471" s="111" t="n"/>
      <c r="J471" s="114" t="n"/>
      <c r="K471" s="114" t="n"/>
      <c r="L471" s="112" t="n"/>
      <c r="M471" s="112" t="n"/>
      <c r="N471" s="112" t="n"/>
      <c r="O471" s="115" t="str">
        <f>IF(OR(D471="",F471=""),"",D471+F471)</f>
        <v/>
      </c>
      <c r="P471" s="116" t="str">
        <f>IF(O471="","",IF(ISNUMBER(M471),O471-M471,IF(OR(H471="DECISÃO D.P",ISNUMBER(N471)),"",O471-TODAY())))</f>
        <v/>
      </c>
      <c r="Q471" s="117" t="str">
        <f>IF(B471="","",IF(ISNUMBER(N471),"DECIDIDO – ","")&amp;IF(ISNUMBER(M471),IF(P471="",IF(F471="","INFORMAR PRAZO","SEM DATA"),IF(P471&gt;=0,"DEFESA NO PRAZO","DEFESA FORA DO PRAZO")),IF(OR(H471="DECISÃO D.P",ISNUMBER(N471)),"SEM DEFESA",IF(H471="","SEM STATUS",IF(F471="","INFORMAR PRAZO",IF(P471="","SEM DATA",IF(P471&lt;0,"VENCIDO",IF(P471&lt;=DiasAlerta,"VENCE EM BREVE","NO PRAZO"))))))))</f>
        <v/>
      </c>
      <c r="R471" s="118" t="str">
        <f>IF(D471="","",TODAY()-D471)</f>
        <v/>
      </c>
      <c r="S471" s="111" t="n"/>
    </row>
    <row r="472" ht="18" customHeight="1">
      <c r="A472" s="110" t="n"/>
      <c r="B472" s="111" t="n"/>
      <c r="C472" s="111" t="n"/>
      <c r="D472" s="112" t="n"/>
      <c r="E472" s="111" t="n"/>
      <c r="F472" s="110" t="n"/>
      <c r="G472" s="113" t="n"/>
      <c r="H472" s="113" t="n"/>
      <c r="I472" s="111" t="n"/>
      <c r="J472" s="114" t="n"/>
      <c r="K472" s="114" t="n"/>
      <c r="L472" s="112" t="n"/>
      <c r="M472" s="112" t="n"/>
      <c r="N472" s="112" t="n"/>
      <c r="O472" s="115" t="str">
        <f>IF(OR(D472="",F472=""),"",D472+F472)</f>
        <v/>
      </c>
      <c r="P472" s="116" t="str">
        <f>IF(O472="","",IF(ISNUMBER(M472),O472-M472,IF(OR(H472="DECISÃO D.P",ISNUMBER(N472)),"",O472-TODAY())))</f>
        <v/>
      </c>
      <c r="Q472" s="117" t="str">
        <f>IF(B472="","",IF(ISNUMBER(N472),"DECIDIDO – ","")&amp;IF(ISNUMBER(M472),IF(P472="",IF(F472="","INFORMAR PRAZO","SEM DATA"),IF(P472&gt;=0,"DEFESA NO PRAZO","DEFESA FORA DO PRAZO")),IF(OR(H472="DECISÃO D.P",ISNUMBER(N472)),"SEM DEFESA",IF(H472="","SEM STATUS",IF(F472="","INFORMAR PRAZO",IF(P472="","SEM DATA",IF(P472&lt;0,"VENCIDO",IF(P472&lt;=DiasAlerta,"VENCE EM BREVE","NO PRAZO"))))))))</f>
        <v/>
      </c>
      <c r="R472" s="118" t="str">
        <f>IF(D472="","",TODAY()-D472)</f>
        <v/>
      </c>
      <c r="S472" s="111" t="n"/>
    </row>
    <row r="473" ht="18" customHeight="1">
      <c r="A473" s="110" t="n"/>
      <c r="B473" s="111" t="n"/>
      <c r="C473" s="111" t="n"/>
      <c r="D473" s="112" t="n"/>
      <c r="E473" s="111" t="n"/>
      <c r="F473" s="110" t="n"/>
      <c r="G473" s="113" t="n"/>
      <c r="H473" s="113" t="n"/>
      <c r="I473" s="111" t="n"/>
      <c r="J473" s="114" t="n"/>
      <c r="K473" s="114" t="n"/>
      <c r="L473" s="112" t="n"/>
      <c r="M473" s="112" t="n"/>
      <c r="N473" s="112" t="n"/>
      <c r="O473" s="115" t="str">
        <f>IF(OR(D473="",F473=""),"",D473+F473)</f>
        <v/>
      </c>
      <c r="P473" s="116" t="str">
        <f>IF(O473="","",IF(ISNUMBER(M473),O473-M473,IF(OR(H473="DECISÃO D.P",ISNUMBER(N473)),"",O473-TODAY())))</f>
        <v/>
      </c>
      <c r="Q473" s="117" t="str">
        <f>IF(B473="","",IF(ISNUMBER(N473),"DECIDIDO – ","")&amp;IF(ISNUMBER(M473),IF(P473="",IF(F473="","INFORMAR PRAZO","SEM DATA"),IF(P473&gt;=0,"DEFESA NO PRAZO","DEFESA FORA DO PRAZO")),IF(OR(H473="DECISÃO D.P",ISNUMBER(N473)),"SEM DEFESA",IF(H473="","SEM STATUS",IF(F473="","INFORMAR PRAZO",IF(P473="","SEM DATA",IF(P473&lt;0,"VENCIDO",IF(P473&lt;=DiasAlerta,"VENCE EM BREVE","NO PRAZO"))))))))</f>
        <v/>
      </c>
      <c r="R473" s="118" t="str">
        <f>IF(D473="","",TODAY()-D473)</f>
        <v/>
      </c>
      <c r="S473" s="111" t="n"/>
    </row>
    <row r="474" ht="18" customHeight="1">
      <c r="A474" s="110" t="n"/>
      <c r="B474" s="111" t="n"/>
      <c r="C474" s="111" t="n"/>
      <c r="D474" s="112" t="n"/>
      <c r="E474" s="111" t="n"/>
      <c r="F474" s="110" t="n"/>
      <c r="G474" s="113" t="n"/>
      <c r="H474" s="113" t="n"/>
      <c r="I474" s="111" t="n"/>
      <c r="J474" s="114" t="n"/>
      <c r="K474" s="114" t="n"/>
      <c r="L474" s="112" t="n"/>
      <c r="M474" s="112" t="n"/>
      <c r="N474" s="112" t="n"/>
      <c r="O474" s="115" t="str">
        <f>IF(OR(D474="",F474=""),"",D474+F474)</f>
        <v/>
      </c>
      <c r="P474" s="116" t="str">
        <f>IF(O474="","",IF(ISNUMBER(M474),O474-M474,IF(OR(H474="DECISÃO D.P",ISNUMBER(N474)),"",O474-TODAY())))</f>
        <v/>
      </c>
      <c r="Q474" s="117" t="str">
        <f>IF(B474="","",IF(ISNUMBER(N474),"DECIDIDO – ","")&amp;IF(ISNUMBER(M474),IF(P474="",IF(F474="","INFORMAR PRAZO","SEM DATA"),IF(P474&gt;=0,"DEFESA NO PRAZO","DEFESA FORA DO PRAZO")),IF(OR(H474="DECISÃO D.P",ISNUMBER(N474)),"SEM DEFESA",IF(H474="","SEM STATUS",IF(F474="","INFORMAR PRAZO",IF(P474="","SEM DATA",IF(P474&lt;0,"VENCIDO",IF(P474&lt;=DiasAlerta,"VENCE EM BREVE","NO PRAZO"))))))))</f>
        <v/>
      </c>
      <c r="R474" s="118" t="str">
        <f>IF(D474="","",TODAY()-D474)</f>
        <v/>
      </c>
      <c r="S474" s="111" t="n"/>
    </row>
    <row r="475" ht="18" customHeight="1">
      <c r="A475" s="110" t="n"/>
      <c r="B475" s="111" t="n"/>
      <c r="C475" s="111" t="n"/>
      <c r="D475" s="112" t="n"/>
      <c r="E475" s="111" t="n"/>
      <c r="F475" s="110" t="n"/>
      <c r="G475" s="113" t="n"/>
      <c r="H475" s="113" t="n"/>
      <c r="I475" s="111" t="n"/>
      <c r="J475" s="114" t="n"/>
      <c r="K475" s="114" t="n"/>
      <c r="L475" s="112" t="n"/>
      <c r="M475" s="112" t="n"/>
      <c r="N475" s="112" t="n"/>
      <c r="O475" s="115" t="str">
        <f>IF(OR(D475="",F475=""),"",D475+F475)</f>
        <v/>
      </c>
      <c r="P475" s="116" t="str">
        <f>IF(O475="","",IF(ISNUMBER(M475),O475-M475,IF(OR(H475="DECISÃO D.P",ISNUMBER(N475)),"",O475-TODAY())))</f>
        <v/>
      </c>
      <c r="Q475" s="117" t="str">
        <f>IF(B475="","",IF(ISNUMBER(N475),"DECIDIDO – ","")&amp;IF(ISNUMBER(M475),IF(P475="",IF(F475="","INFORMAR PRAZO","SEM DATA"),IF(P475&gt;=0,"DEFESA NO PRAZO","DEFESA FORA DO PRAZO")),IF(OR(H475="DECISÃO D.P",ISNUMBER(N475)),"SEM DEFESA",IF(H475="","SEM STATUS",IF(F475="","INFORMAR PRAZO",IF(P475="","SEM DATA",IF(P475&lt;0,"VENCIDO",IF(P475&lt;=DiasAlerta,"VENCE EM BREVE","NO PRAZO"))))))))</f>
        <v/>
      </c>
      <c r="R475" s="118" t="str">
        <f>IF(D475="","",TODAY()-D475)</f>
        <v/>
      </c>
      <c r="S475" s="111" t="n"/>
    </row>
    <row r="476" ht="18" customHeight="1">
      <c r="A476" s="110" t="n"/>
      <c r="B476" s="111" t="n"/>
      <c r="C476" s="111" t="n"/>
      <c r="D476" s="112" t="n"/>
      <c r="E476" s="111" t="n"/>
      <c r="F476" s="110" t="n"/>
      <c r="G476" s="113" t="n"/>
      <c r="H476" s="113" t="n"/>
      <c r="I476" s="111" t="n"/>
      <c r="J476" s="114" t="n"/>
      <c r="K476" s="114" t="n"/>
      <c r="L476" s="112" t="n"/>
      <c r="M476" s="112" t="n"/>
      <c r="N476" s="112" t="n"/>
      <c r="O476" s="115" t="str">
        <f>IF(OR(D476="",F476=""),"",D476+F476)</f>
        <v/>
      </c>
      <c r="P476" s="116" t="str">
        <f>IF(O476="","",IF(ISNUMBER(M476),O476-M476,IF(OR(H476="DECISÃO D.P",ISNUMBER(N476)),"",O476-TODAY())))</f>
        <v/>
      </c>
      <c r="Q476" s="117" t="str">
        <f>IF(B476="","",IF(ISNUMBER(N476),"DECIDIDO – ","")&amp;IF(ISNUMBER(M476),IF(P476="",IF(F476="","INFORMAR PRAZO","SEM DATA"),IF(P476&gt;=0,"DEFESA NO PRAZO","DEFESA FORA DO PRAZO")),IF(OR(H476="DECISÃO D.P",ISNUMBER(N476)),"SEM DEFESA",IF(H476="","SEM STATUS",IF(F476="","INFORMAR PRAZO",IF(P476="","SEM DATA",IF(P476&lt;0,"VENCIDO",IF(P476&lt;=DiasAlerta,"VENCE EM BREVE","NO PRAZO"))))))))</f>
        <v/>
      </c>
      <c r="R476" s="118" t="str">
        <f>IF(D476="","",TODAY()-D476)</f>
        <v/>
      </c>
      <c r="S476" s="111" t="n"/>
    </row>
    <row r="477" ht="18" customHeight="1">
      <c r="A477" s="110" t="n"/>
      <c r="B477" s="111" t="n"/>
      <c r="C477" s="111" t="n"/>
      <c r="D477" s="112" t="n"/>
      <c r="E477" s="111" t="n"/>
      <c r="F477" s="110" t="n"/>
      <c r="G477" s="113" t="n"/>
      <c r="H477" s="113" t="n"/>
      <c r="I477" s="111" t="n"/>
      <c r="J477" s="114" t="n"/>
      <c r="K477" s="114" t="n"/>
      <c r="L477" s="112" t="n"/>
      <c r="M477" s="112" t="n"/>
      <c r="N477" s="112" t="n"/>
      <c r="O477" s="115" t="str">
        <f>IF(OR(D477="",F477=""),"",D477+F477)</f>
        <v/>
      </c>
      <c r="P477" s="116" t="str">
        <f>IF(O477="","",IF(ISNUMBER(M477),O477-M477,IF(OR(H477="DECISÃO D.P",ISNUMBER(N477)),"",O477-TODAY())))</f>
        <v/>
      </c>
      <c r="Q477" s="117" t="str">
        <f>IF(B477="","",IF(ISNUMBER(N477),"DECIDIDO – ","")&amp;IF(ISNUMBER(M477),IF(P477="",IF(F477="","INFORMAR PRAZO","SEM DATA"),IF(P477&gt;=0,"DEFESA NO PRAZO","DEFESA FORA DO PRAZO")),IF(OR(H477="DECISÃO D.P",ISNUMBER(N477)),"SEM DEFESA",IF(H477="","SEM STATUS",IF(F477="","INFORMAR PRAZO",IF(P477="","SEM DATA",IF(P477&lt;0,"VENCIDO",IF(P477&lt;=DiasAlerta,"VENCE EM BREVE","NO PRAZO"))))))))</f>
        <v/>
      </c>
      <c r="R477" s="118" t="str">
        <f>IF(D477="","",TODAY()-D477)</f>
        <v/>
      </c>
      <c r="S477" s="111" t="n"/>
    </row>
    <row r="478" ht="18" customHeight="1">
      <c r="A478" s="110" t="n"/>
      <c r="B478" s="111" t="n"/>
      <c r="C478" s="111" t="n"/>
      <c r="D478" s="112" t="n"/>
      <c r="E478" s="111" t="n"/>
      <c r="F478" s="110" t="n"/>
      <c r="G478" s="113" t="n"/>
      <c r="H478" s="113" t="n"/>
      <c r="I478" s="111" t="n"/>
      <c r="J478" s="114" t="n"/>
      <c r="K478" s="114" t="n"/>
      <c r="L478" s="112" t="n"/>
      <c r="M478" s="112" t="n"/>
      <c r="N478" s="112" t="n"/>
      <c r="O478" s="115" t="str">
        <f>IF(OR(D478="",F478=""),"",D478+F478)</f>
        <v/>
      </c>
      <c r="P478" s="116" t="str">
        <f>IF(O478="","",IF(ISNUMBER(M478),O478-M478,IF(OR(H478="DECISÃO D.P",ISNUMBER(N478)),"",O478-TODAY())))</f>
        <v/>
      </c>
      <c r="Q478" s="117" t="str">
        <f>IF(B478="","",IF(ISNUMBER(N478),"DECIDIDO – ","")&amp;IF(ISNUMBER(M478),IF(P478="",IF(F478="","INFORMAR PRAZO","SEM DATA"),IF(P478&gt;=0,"DEFESA NO PRAZO","DEFESA FORA DO PRAZO")),IF(OR(H478="DECISÃO D.P",ISNUMBER(N478)),"SEM DEFESA",IF(H478="","SEM STATUS",IF(F478="","INFORMAR PRAZO",IF(P478="","SEM DATA",IF(P478&lt;0,"VENCIDO",IF(P478&lt;=DiasAlerta,"VENCE EM BREVE","NO PRAZO"))))))))</f>
        <v/>
      </c>
      <c r="R478" s="118" t="str">
        <f>IF(D478="","",TODAY()-D478)</f>
        <v/>
      </c>
      <c r="S478" s="111" t="n"/>
    </row>
    <row r="479" ht="18" customHeight="1">
      <c r="A479" s="110" t="n"/>
      <c r="B479" s="111" t="n"/>
      <c r="C479" s="111" t="n"/>
      <c r="D479" s="112" t="n"/>
      <c r="E479" s="111" t="n"/>
      <c r="F479" s="110" t="n"/>
      <c r="G479" s="113" t="n"/>
      <c r="H479" s="113" t="n"/>
      <c r="I479" s="111" t="n"/>
      <c r="J479" s="114" t="n"/>
      <c r="K479" s="114" t="n"/>
      <c r="L479" s="112" t="n"/>
      <c r="M479" s="112" t="n"/>
      <c r="N479" s="112" t="n"/>
      <c r="O479" s="115" t="str">
        <f>IF(OR(D479="",F479=""),"",D479+F479)</f>
        <v/>
      </c>
      <c r="P479" s="116" t="str">
        <f>IF(O479="","",IF(ISNUMBER(M479),O479-M479,IF(OR(H479="DECISÃO D.P",ISNUMBER(N479)),"",O479-TODAY())))</f>
        <v/>
      </c>
      <c r="Q479" s="117" t="str">
        <f>IF(B479="","",IF(ISNUMBER(N479),"DECIDIDO – ","")&amp;IF(ISNUMBER(M479),IF(P479="",IF(F479="","INFORMAR PRAZO","SEM DATA"),IF(P479&gt;=0,"DEFESA NO PRAZO","DEFESA FORA DO PRAZO")),IF(OR(H479="DECISÃO D.P",ISNUMBER(N479)),"SEM DEFESA",IF(H479="","SEM STATUS",IF(F479="","INFORMAR PRAZO",IF(P479="","SEM DATA",IF(P479&lt;0,"VENCIDO",IF(P479&lt;=DiasAlerta,"VENCE EM BREVE","NO PRAZO"))))))))</f>
        <v/>
      </c>
      <c r="R479" s="118" t="str">
        <f>IF(D479="","",TODAY()-D479)</f>
        <v/>
      </c>
      <c r="S479" s="111" t="n"/>
    </row>
    <row r="480" ht="18" customHeight="1">
      <c r="A480" s="110" t="n"/>
      <c r="B480" s="111" t="n"/>
      <c r="C480" s="111" t="n"/>
      <c r="D480" s="112" t="n"/>
      <c r="E480" s="111" t="n"/>
      <c r="F480" s="110" t="n"/>
      <c r="G480" s="113" t="n"/>
      <c r="H480" s="113" t="n"/>
      <c r="I480" s="111" t="n"/>
      <c r="J480" s="114" t="n"/>
      <c r="K480" s="114" t="n"/>
      <c r="L480" s="112" t="n"/>
      <c r="M480" s="112" t="n"/>
      <c r="N480" s="112" t="n"/>
      <c r="O480" s="115" t="str">
        <f>IF(OR(D480="",F480=""),"",D480+F480)</f>
        <v/>
      </c>
      <c r="P480" s="116" t="str">
        <f>IF(O480="","",IF(ISNUMBER(M480),O480-M480,IF(OR(H480="DECISÃO D.P",ISNUMBER(N480)),"",O480-TODAY())))</f>
        <v/>
      </c>
      <c r="Q480" s="117" t="str">
        <f>IF(B480="","",IF(ISNUMBER(N480),"DECIDIDO – ","")&amp;IF(ISNUMBER(M480),IF(P480="",IF(F480="","INFORMAR PRAZO","SEM DATA"),IF(P480&gt;=0,"DEFESA NO PRAZO","DEFESA FORA DO PRAZO")),IF(OR(H480="DECISÃO D.P",ISNUMBER(N480)),"SEM DEFESA",IF(H480="","SEM STATUS",IF(F480="","INFORMAR PRAZO",IF(P480="","SEM DATA",IF(P480&lt;0,"VENCIDO",IF(P480&lt;=DiasAlerta,"VENCE EM BREVE","NO PRAZO"))))))))</f>
        <v/>
      </c>
      <c r="R480" s="118" t="str">
        <f>IF(D480="","",TODAY()-D480)</f>
        <v/>
      </c>
      <c r="S480" s="111" t="n"/>
    </row>
    <row r="481" ht="18" customHeight="1">
      <c r="A481" s="110" t="n"/>
      <c r="B481" s="111" t="n"/>
      <c r="C481" s="111" t="n"/>
      <c r="D481" s="112" t="n"/>
      <c r="E481" s="111" t="n"/>
      <c r="F481" s="110" t="n"/>
      <c r="G481" s="113" t="n"/>
      <c r="H481" s="113" t="n"/>
      <c r="I481" s="111" t="n"/>
      <c r="J481" s="114" t="n"/>
      <c r="K481" s="114" t="n"/>
      <c r="L481" s="112" t="n"/>
      <c r="M481" s="112" t="n"/>
      <c r="N481" s="112" t="n"/>
      <c r="O481" s="115" t="str">
        <f>IF(OR(D481="",F481=""),"",D481+F481)</f>
        <v/>
      </c>
      <c r="P481" s="116" t="str">
        <f>IF(O481="","",IF(ISNUMBER(M481),O481-M481,IF(OR(H481="DECISÃO D.P",ISNUMBER(N481)),"",O481-TODAY())))</f>
        <v/>
      </c>
      <c r="Q481" s="117" t="str">
        <f>IF(B481="","",IF(ISNUMBER(N481),"DECIDIDO – ","")&amp;IF(ISNUMBER(M481),IF(P481="",IF(F481="","INFORMAR PRAZO","SEM DATA"),IF(P481&gt;=0,"DEFESA NO PRAZO","DEFESA FORA DO PRAZO")),IF(OR(H481="DECISÃO D.P",ISNUMBER(N481)),"SEM DEFESA",IF(H481="","SEM STATUS",IF(F481="","INFORMAR PRAZO",IF(P481="","SEM DATA",IF(P481&lt;0,"VENCIDO",IF(P481&lt;=DiasAlerta,"VENCE EM BREVE","NO PRAZO"))))))))</f>
        <v/>
      </c>
      <c r="R481" s="118" t="str">
        <f>IF(D481="","",TODAY()-D481)</f>
        <v/>
      </c>
      <c r="S481" s="111" t="n"/>
    </row>
    <row r="482" ht="18" customHeight="1">
      <c r="A482" s="110" t="n"/>
      <c r="B482" s="111" t="n"/>
      <c r="C482" s="111" t="n"/>
      <c r="D482" s="112" t="n"/>
      <c r="E482" s="111" t="n"/>
      <c r="F482" s="110" t="n"/>
      <c r="G482" s="113" t="n"/>
      <c r="H482" s="113" t="n"/>
      <c r="I482" s="111" t="n"/>
      <c r="J482" s="114" t="n"/>
      <c r="K482" s="114" t="n"/>
      <c r="L482" s="112" t="n"/>
      <c r="M482" s="112" t="n"/>
      <c r="N482" s="112" t="n"/>
      <c r="O482" s="115" t="str">
        <f>IF(OR(D482="",F482=""),"",D482+F482)</f>
        <v/>
      </c>
      <c r="P482" s="116" t="str">
        <f>IF(O482="","",IF(ISNUMBER(M482),O482-M482,IF(OR(H482="DECISÃO D.P",ISNUMBER(N482)),"",O482-TODAY())))</f>
        <v/>
      </c>
      <c r="Q482" s="117" t="str">
        <f>IF(B482="","",IF(ISNUMBER(N482),"DECIDIDO – ","")&amp;IF(ISNUMBER(M482),IF(P482="",IF(F482="","INFORMAR PRAZO","SEM DATA"),IF(P482&gt;=0,"DEFESA NO PRAZO","DEFESA FORA DO PRAZO")),IF(OR(H482="DECISÃO D.P",ISNUMBER(N482)),"SEM DEFESA",IF(H482="","SEM STATUS",IF(F482="","INFORMAR PRAZO",IF(P482="","SEM DATA",IF(P482&lt;0,"VENCIDO",IF(P482&lt;=DiasAlerta,"VENCE EM BREVE","NO PRAZO"))))))))</f>
        <v/>
      </c>
      <c r="R482" s="118" t="str">
        <f>IF(D482="","",TODAY()-D482)</f>
        <v/>
      </c>
      <c r="S482" s="111" t="n"/>
    </row>
    <row r="483" ht="18" customHeight="1">
      <c r="A483" s="110" t="n"/>
      <c r="B483" s="111" t="n"/>
      <c r="C483" s="111" t="n"/>
      <c r="D483" s="112" t="n"/>
      <c r="E483" s="111" t="n"/>
      <c r="F483" s="110" t="n"/>
      <c r="G483" s="113" t="n"/>
      <c r="H483" s="113" t="n"/>
      <c r="I483" s="111" t="n"/>
      <c r="J483" s="114" t="n"/>
      <c r="K483" s="114" t="n"/>
      <c r="L483" s="112" t="n"/>
      <c r="M483" s="112" t="n"/>
      <c r="N483" s="112" t="n"/>
      <c r="O483" s="115" t="str">
        <f>IF(OR(D483="",F483=""),"",D483+F483)</f>
        <v/>
      </c>
      <c r="P483" s="116" t="str">
        <f>IF(O483="","",IF(ISNUMBER(M483),O483-M483,IF(OR(H483="DECISÃO D.P",ISNUMBER(N483)),"",O483-TODAY())))</f>
        <v/>
      </c>
      <c r="Q483" s="117" t="str">
        <f>IF(B483="","",IF(ISNUMBER(N483),"DECIDIDO – ","")&amp;IF(ISNUMBER(M483),IF(P483="",IF(F483="","INFORMAR PRAZO","SEM DATA"),IF(P483&gt;=0,"DEFESA NO PRAZO","DEFESA FORA DO PRAZO")),IF(OR(H483="DECISÃO D.P",ISNUMBER(N483)),"SEM DEFESA",IF(H483="","SEM STATUS",IF(F483="","INFORMAR PRAZO",IF(P483="","SEM DATA",IF(P483&lt;0,"VENCIDO",IF(P483&lt;=DiasAlerta,"VENCE EM BREVE","NO PRAZO"))))))))</f>
        <v/>
      </c>
      <c r="R483" s="118" t="str">
        <f>IF(D483="","",TODAY()-D483)</f>
        <v/>
      </c>
      <c r="S483" s="111" t="n"/>
    </row>
    <row r="484" ht="18" customHeight="1">
      <c r="A484" s="110" t="n"/>
      <c r="B484" s="111" t="n"/>
      <c r="C484" s="111" t="n"/>
      <c r="D484" s="112" t="n"/>
      <c r="E484" s="111" t="n"/>
      <c r="F484" s="110" t="n"/>
      <c r="G484" s="113" t="n"/>
      <c r="H484" s="113" t="n"/>
      <c r="I484" s="111" t="n"/>
      <c r="J484" s="114" t="n"/>
      <c r="K484" s="114" t="n"/>
      <c r="L484" s="112" t="n"/>
      <c r="M484" s="112" t="n"/>
      <c r="N484" s="112" t="n"/>
      <c r="O484" s="115" t="str">
        <f>IF(OR(D484="",F484=""),"",D484+F484)</f>
        <v/>
      </c>
      <c r="P484" s="116" t="str">
        <f>IF(O484="","",IF(ISNUMBER(M484),O484-M484,IF(OR(H484="DECISÃO D.P",ISNUMBER(N484)),"",O484-TODAY())))</f>
        <v/>
      </c>
      <c r="Q484" s="117" t="str">
        <f>IF(B484="","",IF(ISNUMBER(N484),"DECIDIDO – ","")&amp;IF(ISNUMBER(M484),IF(P484="",IF(F484="","INFORMAR PRAZO","SEM DATA"),IF(P484&gt;=0,"DEFESA NO PRAZO","DEFESA FORA DO PRAZO")),IF(OR(H484="DECISÃO D.P",ISNUMBER(N484)),"SEM DEFESA",IF(H484="","SEM STATUS",IF(F484="","INFORMAR PRAZO",IF(P484="","SEM DATA",IF(P484&lt;0,"VENCIDO",IF(P484&lt;=DiasAlerta,"VENCE EM BREVE","NO PRAZO"))))))))</f>
        <v/>
      </c>
      <c r="R484" s="118" t="str">
        <f>IF(D484="","",TODAY()-D484)</f>
        <v/>
      </c>
      <c r="S484" s="111" t="n"/>
    </row>
    <row r="485" ht="18" customHeight="1">
      <c r="A485" s="110" t="n"/>
      <c r="B485" s="111" t="n"/>
      <c r="C485" s="111" t="n"/>
      <c r="D485" s="112" t="n"/>
      <c r="E485" s="111" t="n"/>
      <c r="F485" s="110" t="n"/>
      <c r="G485" s="113" t="n"/>
      <c r="H485" s="113" t="n"/>
      <c r="I485" s="111" t="n"/>
      <c r="J485" s="114" t="n"/>
      <c r="K485" s="114" t="n"/>
      <c r="L485" s="112" t="n"/>
      <c r="M485" s="112" t="n"/>
      <c r="N485" s="112" t="n"/>
      <c r="O485" s="115" t="str">
        <f>IF(OR(D485="",F485=""),"",D485+F485)</f>
        <v/>
      </c>
      <c r="P485" s="116" t="str">
        <f>IF(O485="","",IF(ISNUMBER(M485),O485-M485,IF(OR(H485="DECISÃO D.P",ISNUMBER(N485)),"",O485-TODAY())))</f>
        <v/>
      </c>
      <c r="Q485" s="117" t="str">
        <f>IF(B485="","",IF(ISNUMBER(N485),"DECIDIDO – ","")&amp;IF(ISNUMBER(M485),IF(P485="",IF(F485="","INFORMAR PRAZO","SEM DATA"),IF(P485&gt;=0,"DEFESA NO PRAZO","DEFESA FORA DO PRAZO")),IF(OR(H485="DECISÃO D.P",ISNUMBER(N485)),"SEM DEFESA",IF(H485="","SEM STATUS",IF(F485="","INFORMAR PRAZO",IF(P485="","SEM DATA",IF(P485&lt;0,"VENCIDO",IF(P485&lt;=DiasAlerta,"VENCE EM BREVE","NO PRAZO"))))))))</f>
        <v/>
      </c>
      <c r="R485" s="118" t="str">
        <f>IF(D485="","",TODAY()-D485)</f>
        <v/>
      </c>
      <c r="S485" s="111" t="n"/>
    </row>
    <row r="486" ht="18" customHeight="1">
      <c r="A486" s="110" t="n"/>
      <c r="B486" s="111" t="n"/>
      <c r="C486" s="111" t="n"/>
      <c r="D486" s="112" t="n"/>
      <c r="E486" s="111" t="n"/>
      <c r="F486" s="110" t="n"/>
      <c r="G486" s="113" t="n"/>
      <c r="H486" s="113" t="n"/>
      <c r="I486" s="111" t="n"/>
      <c r="J486" s="114" t="n"/>
      <c r="K486" s="114" t="n"/>
      <c r="L486" s="112" t="n"/>
      <c r="M486" s="112" t="n"/>
      <c r="N486" s="112" t="n"/>
      <c r="O486" s="115" t="str">
        <f>IF(OR(D486="",F486=""),"",D486+F486)</f>
        <v/>
      </c>
      <c r="P486" s="116" t="str">
        <f>IF(O486="","",IF(ISNUMBER(M486),O486-M486,IF(OR(H486="DECISÃO D.P",ISNUMBER(N486)),"",O486-TODAY())))</f>
        <v/>
      </c>
      <c r="Q486" s="117" t="str">
        <f>IF(B486="","",IF(ISNUMBER(N486),"DECIDIDO – ","")&amp;IF(ISNUMBER(M486),IF(P486="",IF(F486="","INFORMAR PRAZO","SEM DATA"),IF(P486&gt;=0,"DEFESA NO PRAZO","DEFESA FORA DO PRAZO")),IF(OR(H486="DECISÃO D.P",ISNUMBER(N486)),"SEM DEFESA",IF(H486="","SEM STATUS",IF(F486="","INFORMAR PRAZO",IF(P486="","SEM DATA",IF(P486&lt;0,"VENCIDO",IF(P486&lt;=DiasAlerta,"VENCE EM BREVE","NO PRAZO"))))))))</f>
        <v/>
      </c>
      <c r="R486" s="118" t="str">
        <f>IF(D486="","",TODAY()-D486)</f>
        <v/>
      </c>
      <c r="S486" s="111" t="n"/>
    </row>
    <row r="487" ht="18" customHeight="1">
      <c r="A487" s="110" t="n"/>
      <c r="B487" s="111" t="n"/>
      <c r="C487" s="111" t="n"/>
      <c r="D487" s="112" t="n"/>
      <c r="E487" s="111" t="n"/>
      <c r="F487" s="110" t="n"/>
      <c r="G487" s="113" t="n"/>
      <c r="H487" s="113" t="n"/>
      <c r="I487" s="111" t="n"/>
      <c r="J487" s="114" t="n"/>
      <c r="K487" s="114" t="n"/>
      <c r="L487" s="112" t="n"/>
      <c r="M487" s="112" t="n"/>
      <c r="N487" s="112" t="n"/>
      <c r="O487" s="115" t="str">
        <f>IF(OR(D487="",F487=""),"",D487+F487)</f>
        <v/>
      </c>
      <c r="P487" s="116" t="str">
        <f>IF(O487="","",IF(ISNUMBER(M487),O487-M487,IF(OR(H487="DECISÃO D.P",ISNUMBER(N487)),"",O487-TODAY())))</f>
        <v/>
      </c>
      <c r="Q487" s="117" t="str">
        <f>IF(B487="","",IF(ISNUMBER(N487),"DECIDIDO – ","")&amp;IF(ISNUMBER(M487),IF(P487="",IF(F487="","INFORMAR PRAZO","SEM DATA"),IF(P487&gt;=0,"DEFESA NO PRAZO","DEFESA FORA DO PRAZO")),IF(OR(H487="DECISÃO D.P",ISNUMBER(N487)),"SEM DEFESA",IF(H487="","SEM STATUS",IF(F487="","INFORMAR PRAZO",IF(P487="","SEM DATA",IF(P487&lt;0,"VENCIDO",IF(P487&lt;=DiasAlerta,"VENCE EM BREVE","NO PRAZO"))))))))</f>
        <v/>
      </c>
      <c r="R487" s="118" t="str">
        <f>IF(D487="","",TODAY()-D487)</f>
        <v/>
      </c>
      <c r="S487" s="111" t="n"/>
    </row>
    <row r="488" ht="18" customHeight="1">
      <c r="A488" s="110" t="n"/>
      <c r="B488" s="111" t="n"/>
      <c r="C488" s="111" t="n"/>
      <c r="D488" s="112" t="n"/>
      <c r="E488" s="111" t="n"/>
      <c r="F488" s="110" t="n"/>
      <c r="G488" s="113" t="n"/>
      <c r="H488" s="113" t="n"/>
      <c r="I488" s="111" t="n"/>
      <c r="J488" s="114" t="n"/>
      <c r="K488" s="114" t="n"/>
      <c r="L488" s="112" t="n"/>
      <c r="M488" s="112" t="n"/>
      <c r="N488" s="112" t="n"/>
      <c r="O488" s="115" t="str">
        <f>IF(OR(D488="",F488=""),"",D488+F488)</f>
        <v/>
      </c>
      <c r="P488" s="116" t="str">
        <f>IF(O488="","",IF(ISNUMBER(M488),O488-M488,IF(OR(H488="DECISÃO D.P",ISNUMBER(N488)),"",O488-TODAY())))</f>
        <v/>
      </c>
      <c r="Q488" s="117" t="str">
        <f>IF(B488="","",IF(ISNUMBER(N488),"DECIDIDO – ","")&amp;IF(ISNUMBER(M488),IF(P488="",IF(F488="","INFORMAR PRAZO","SEM DATA"),IF(P488&gt;=0,"DEFESA NO PRAZO","DEFESA FORA DO PRAZO")),IF(OR(H488="DECISÃO D.P",ISNUMBER(N488)),"SEM DEFESA",IF(H488="","SEM STATUS",IF(F488="","INFORMAR PRAZO",IF(P488="","SEM DATA",IF(P488&lt;0,"VENCIDO",IF(P488&lt;=DiasAlerta,"VENCE EM BREVE","NO PRAZO"))))))))</f>
        <v/>
      </c>
      <c r="R488" s="118" t="str">
        <f>IF(D488="","",TODAY()-D488)</f>
        <v/>
      </c>
      <c r="S488" s="111" t="n"/>
    </row>
    <row r="489" ht="18" customHeight="1">
      <c r="A489" s="110" t="n"/>
      <c r="B489" s="111" t="n"/>
      <c r="C489" s="111" t="n"/>
      <c r="D489" s="112" t="n"/>
      <c r="E489" s="111" t="n"/>
      <c r="F489" s="110" t="n"/>
      <c r="G489" s="113" t="n"/>
      <c r="H489" s="113" t="n"/>
      <c r="I489" s="111" t="n"/>
      <c r="J489" s="114" t="n"/>
      <c r="K489" s="114" t="n"/>
      <c r="L489" s="112" t="n"/>
      <c r="M489" s="112" t="n"/>
      <c r="N489" s="112" t="n"/>
      <c r="O489" s="115" t="str">
        <f>IF(OR(D489="",F489=""),"",D489+F489)</f>
        <v/>
      </c>
      <c r="P489" s="116" t="str">
        <f>IF(O489="","",IF(ISNUMBER(M489),O489-M489,IF(OR(H489="DECISÃO D.P",ISNUMBER(N489)),"",O489-TODAY())))</f>
        <v/>
      </c>
      <c r="Q489" s="117" t="str">
        <f>IF(B489="","",IF(ISNUMBER(N489),"DECIDIDO – ","")&amp;IF(ISNUMBER(M489),IF(P489="",IF(F489="","INFORMAR PRAZO","SEM DATA"),IF(P489&gt;=0,"DEFESA NO PRAZO","DEFESA FORA DO PRAZO")),IF(OR(H489="DECISÃO D.P",ISNUMBER(N489)),"SEM DEFESA",IF(H489="","SEM STATUS",IF(F489="","INFORMAR PRAZO",IF(P489="","SEM DATA",IF(P489&lt;0,"VENCIDO",IF(P489&lt;=DiasAlerta,"VENCE EM BREVE","NO PRAZO"))))))))</f>
        <v/>
      </c>
      <c r="R489" s="118" t="str">
        <f>IF(D489="","",TODAY()-D489)</f>
        <v/>
      </c>
      <c r="S489" s="111" t="n"/>
    </row>
    <row r="490" ht="18" customHeight="1">
      <c r="A490" s="110" t="n"/>
      <c r="B490" s="111" t="n"/>
      <c r="C490" s="111" t="n"/>
      <c r="D490" s="112" t="n"/>
      <c r="E490" s="111" t="n"/>
      <c r="F490" s="110" t="n"/>
      <c r="G490" s="113" t="n"/>
      <c r="H490" s="113" t="n"/>
      <c r="I490" s="111" t="n"/>
      <c r="J490" s="114" t="n"/>
      <c r="K490" s="114" t="n"/>
      <c r="L490" s="112" t="n"/>
      <c r="M490" s="112" t="n"/>
      <c r="N490" s="112" t="n"/>
      <c r="O490" s="115" t="str">
        <f>IF(OR(D490="",F490=""),"",D490+F490)</f>
        <v/>
      </c>
      <c r="P490" s="116" t="str">
        <f>IF(O490="","",IF(ISNUMBER(M490),O490-M490,IF(OR(H490="DECISÃO D.P",ISNUMBER(N490)),"",O490-TODAY())))</f>
        <v/>
      </c>
      <c r="Q490" s="117" t="str">
        <f>IF(B490="","",IF(ISNUMBER(N490),"DECIDIDO – ","")&amp;IF(ISNUMBER(M490),IF(P490="",IF(F490="","INFORMAR PRAZO","SEM DATA"),IF(P490&gt;=0,"DEFESA NO PRAZO","DEFESA FORA DO PRAZO")),IF(OR(H490="DECISÃO D.P",ISNUMBER(N490)),"SEM DEFESA",IF(H490="","SEM STATUS",IF(F490="","INFORMAR PRAZO",IF(P490="","SEM DATA",IF(P490&lt;0,"VENCIDO",IF(P490&lt;=DiasAlerta,"VENCE EM BREVE","NO PRAZO"))))))))</f>
        <v/>
      </c>
      <c r="R490" s="118" t="str">
        <f>IF(D490="","",TODAY()-D490)</f>
        <v/>
      </c>
      <c r="S490" s="111" t="n"/>
    </row>
    <row r="491" ht="18" customHeight="1">
      <c r="A491" s="110" t="n"/>
      <c r="B491" s="111" t="n"/>
      <c r="C491" s="111" t="n"/>
      <c r="D491" s="112" t="n"/>
      <c r="E491" s="111" t="n"/>
      <c r="F491" s="110" t="n"/>
      <c r="G491" s="113" t="n"/>
      <c r="H491" s="113" t="n"/>
      <c r="I491" s="111" t="n"/>
      <c r="J491" s="114" t="n"/>
      <c r="K491" s="114" t="n"/>
      <c r="L491" s="112" t="n"/>
      <c r="M491" s="112" t="n"/>
      <c r="N491" s="112" t="n"/>
      <c r="O491" s="115" t="str">
        <f>IF(OR(D491="",F491=""),"",D491+F491)</f>
        <v/>
      </c>
      <c r="P491" s="116" t="str">
        <f>IF(O491="","",IF(ISNUMBER(M491),O491-M491,IF(OR(H491="DECISÃO D.P",ISNUMBER(N491)),"",O491-TODAY())))</f>
        <v/>
      </c>
      <c r="Q491" s="117" t="str">
        <f>IF(B491="","",IF(ISNUMBER(N491),"DECIDIDO – ","")&amp;IF(ISNUMBER(M491),IF(P491="",IF(F491="","INFORMAR PRAZO","SEM DATA"),IF(P491&gt;=0,"DEFESA NO PRAZO","DEFESA FORA DO PRAZO")),IF(OR(H491="DECISÃO D.P",ISNUMBER(N491)),"SEM DEFESA",IF(H491="","SEM STATUS",IF(F491="","INFORMAR PRAZO",IF(P491="","SEM DATA",IF(P491&lt;0,"VENCIDO",IF(P491&lt;=DiasAlerta,"VENCE EM BREVE","NO PRAZO"))))))))</f>
        <v/>
      </c>
      <c r="R491" s="118" t="str">
        <f>IF(D491="","",TODAY()-D491)</f>
        <v/>
      </c>
      <c r="S491" s="111" t="n"/>
    </row>
    <row r="492" ht="18" customHeight="1">
      <c r="A492" s="110" t="n"/>
      <c r="B492" s="111" t="n"/>
      <c r="C492" s="111" t="n"/>
      <c r="D492" s="112" t="n"/>
      <c r="E492" s="111" t="n"/>
      <c r="F492" s="110" t="n"/>
      <c r="G492" s="113" t="n"/>
      <c r="H492" s="113" t="n"/>
      <c r="I492" s="111" t="n"/>
      <c r="J492" s="114" t="n"/>
      <c r="K492" s="114" t="n"/>
      <c r="L492" s="112" t="n"/>
      <c r="M492" s="112" t="n"/>
      <c r="N492" s="112" t="n"/>
      <c r="O492" s="115" t="str">
        <f>IF(OR(D492="",F492=""),"",D492+F492)</f>
        <v/>
      </c>
      <c r="P492" s="116" t="str">
        <f>IF(O492="","",IF(ISNUMBER(M492),O492-M492,IF(OR(H492="DECISÃO D.P",ISNUMBER(N492)),"",O492-TODAY())))</f>
        <v/>
      </c>
      <c r="Q492" s="117" t="str">
        <f>IF(B492="","",IF(ISNUMBER(N492),"DECIDIDO – ","")&amp;IF(ISNUMBER(M492),IF(P492="",IF(F492="","INFORMAR PRAZO","SEM DATA"),IF(P492&gt;=0,"DEFESA NO PRAZO","DEFESA FORA DO PRAZO")),IF(OR(H492="DECISÃO D.P",ISNUMBER(N492)),"SEM DEFESA",IF(H492="","SEM STATUS",IF(F492="","INFORMAR PRAZO",IF(P492="","SEM DATA",IF(P492&lt;0,"VENCIDO",IF(P492&lt;=DiasAlerta,"VENCE EM BREVE","NO PRAZO"))))))))</f>
        <v/>
      </c>
      <c r="R492" s="118" t="str">
        <f>IF(D492="","",TODAY()-D492)</f>
        <v/>
      </c>
      <c r="S492" s="111" t="n"/>
    </row>
    <row r="493" ht="18" customHeight="1">
      <c r="A493" s="110" t="n"/>
      <c r="B493" s="111" t="n"/>
      <c r="C493" s="111" t="n"/>
      <c r="D493" s="112" t="n"/>
      <c r="E493" s="111" t="n"/>
      <c r="F493" s="110" t="n"/>
      <c r="G493" s="113" t="n"/>
      <c r="H493" s="113" t="n"/>
      <c r="I493" s="111" t="n"/>
      <c r="J493" s="114" t="n"/>
      <c r="K493" s="114" t="n"/>
      <c r="L493" s="112" t="n"/>
      <c r="M493" s="112" t="n"/>
      <c r="N493" s="112" t="n"/>
      <c r="O493" s="115" t="str">
        <f>IF(OR(D493="",F493=""),"",D493+F493)</f>
        <v/>
      </c>
      <c r="P493" s="116" t="str">
        <f>IF(O493="","",IF(ISNUMBER(M493),O493-M493,IF(OR(H493="DECISÃO D.P",ISNUMBER(N493)),"",O493-TODAY())))</f>
        <v/>
      </c>
      <c r="Q493" s="117" t="str">
        <f>IF(B493="","",IF(ISNUMBER(N493),"DECIDIDO – ","")&amp;IF(ISNUMBER(M493),IF(P493="",IF(F493="","INFORMAR PRAZO","SEM DATA"),IF(P493&gt;=0,"DEFESA NO PRAZO","DEFESA FORA DO PRAZO")),IF(OR(H493="DECISÃO D.P",ISNUMBER(N493)),"SEM DEFESA",IF(H493="","SEM STATUS",IF(F493="","INFORMAR PRAZO",IF(P493="","SEM DATA",IF(P493&lt;0,"VENCIDO",IF(P493&lt;=DiasAlerta,"VENCE EM BREVE","NO PRAZO"))))))))</f>
        <v/>
      </c>
      <c r="R493" s="118" t="str">
        <f>IF(D493="","",TODAY()-D493)</f>
        <v/>
      </c>
      <c r="S493" s="111" t="n"/>
    </row>
    <row r="494" ht="18" customHeight="1">
      <c r="A494" s="110" t="n"/>
      <c r="B494" s="111" t="n"/>
      <c r="C494" s="111" t="n"/>
      <c r="D494" s="112" t="n"/>
      <c r="E494" s="111" t="n"/>
      <c r="F494" s="110" t="n"/>
      <c r="G494" s="113" t="n"/>
      <c r="H494" s="113" t="n"/>
      <c r="I494" s="111" t="n"/>
      <c r="J494" s="114" t="n"/>
      <c r="K494" s="114" t="n"/>
      <c r="L494" s="112" t="n"/>
      <c r="M494" s="112" t="n"/>
      <c r="N494" s="112" t="n"/>
      <c r="O494" s="115" t="str">
        <f>IF(OR(D494="",F494=""),"",D494+F494)</f>
        <v/>
      </c>
      <c r="P494" s="116" t="str">
        <f>IF(O494="","",IF(ISNUMBER(M494),O494-M494,IF(OR(H494="DECISÃO D.P",ISNUMBER(N494)),"",O494-TODAY())))</f>
        <v/>
      </c>
      <c r="Q494" s="117" t="str">
        <f>IF(B494="","",IF(ISNUMBER(N494),"DECIDIDO – ","")&amp;IF(ISNUMBER(M494),IF(P494="",IF(F494="","INFORMAR PRAZO","SEM DATA"),IF(P494&gt;=0,"DEFESA NO PRAZO","DEFESA FORA DO PRAZO")),IF(OR(H494="DECISÃO D.P",ISNUMBER(N494)),"SEM DEFESA",IF(H494="","SEM STATUS",IF(F494="","INFORMAR PRAZO",IF(P494="","SEM DATA",IF(P494&lt;0,"VENCIDO",IF(P494&lt;=DiasAlerta,"VENCE EM BREVE","NO PRAZO"))))))))</f>
        <v/>
      </c>
      <c r="R494" s="118" t="str">
        <f>IF(D494="","",TODAY()-D494)</f>
        <v/>
      </c>
      <c r="S494" s="111" t="n"/>
    </row>
    <row r="495" ht="18" customHeight="1">
      <c r="A495" s="110" t="n"/>
      <c r="B495" s="111" t="n"/>
      <c r="C495" s="111" t="n"/>
      <c r="D495" s="112" t="n"/>
      <c r="E495" s="111" t="n"/>
      <c r="F495" s="110" t="n"/>
      <c r="G495" s="113" t="n"/>
      <c r="H495" s="113" t="n"/>
      <c r="I495" s="111" t="n"/>
      <c r="J495" s="114" t="n"/>
      <c r="K495" s="114" t="n"/>
      <c r="L495" s="112" t="n"/>
      <c r="M495" s="112" t="n"/>
      <c r="N495" s="112" t="n"/>
      <c r="O495" s="115" t="str">
        <f>IF(OR(D495="",F495=""),"",D495+F495)</f>
        <v/>
      </c>
      <c r="P495" s="116" t="str">
        <f>IF(O495="","",IF(ISNUMBER(M495),O495-M495,IF(OR(H495="DECISÃO D.P",ISNUMBER(N495)),"",O495-TODAY())))</f>
        <v/>
      </c>
      <c r="Q495" s="117" t="str">
        <f>IF(B495="","",IF(ISNUMBER(N495),"DECIDIDO – ","")&amp;IF(ISNUMBER(M495),IF(P495="",IF(F495="","INFORMAR PRAZO","SEM DATA"),IF(P495&gt;=0,"DEFESA NO PRAZO","DEFESA FORA DO PRAZO")),IF(OR(H495="DECISÃO D.P",ISNUMBER(N495)),"SEM DEFESA",IF(H495="","SEM STATUS",IF(F495="","INFORMAR PRAZO",IF(P495="","SEM DATA",IF(P495&lt;0,"VENCIDO",IF(P495&lt;=DiasAlerta,"VENCE EM BREVE","NO PRAZO"))))))))</f>
        <v/>
      </c>
      <c r="R495" s="118" t="str">
        <f>IF(D495="","",TODAY()-D495)</f>
        <v/>
      </c>
      <c r="S495" s="111" t="n"/>
    </row>
    <row r="496" ht="18" customHeight="1">
      <c r="A496" s="110" t="n"/>
      <c r="B496" s="111" t="n"/>
      <c r="C496" s="111" t="n"/>
      <c r="D496" s="112" t="n"/>
      <c r="E496" s="111" t="n"/>
      <c r="F496" s="110" t="n"/>
      <c r="G496" s="113" t="n"/>
      <c r="H496" s="113" t="n"/>
      <c r="I496" s="111" t="n"/>
      <c r="J496" s="114" t="n"/>
      <c r="K496" s="114" t="n"/>
      <c r="L496" s="112" t="n"/>
      <c r="M496" s="112" t="n"/>
      <c r="N496" s="112" t="n"/>
      <c r="O496" s="115" t="str">
        <f>IF(OR(D496="",F496=""),"",D496+F496)</f>
        <v/>
      </c>
      <c r="P496" s="116" t="str">
        <f>IF(O496="","",IF(ISNUMBER(M496),O496-M496,IF(OR(H496="DECISÃO D.P",ISNUMBER(N496)),"",O496-TODAY())))</f>
        <v/>
      </c>
      <c r="Q496" s="117" t="str">
        <f>IF(B496="","",IF(ISNUMBER(N496),"DECIDIDO – ","")&amp;IF(ISNUMBER(M496),IF(P496="",IF(F496="","INFORMAR PRAZO","SEM DATA"),IF(P496&gt;=0,"DEFESA NO PRAZO","DEFESA FORA DO PRAZO")),IF(OR(H496="DECISÃO D.P",ISNUMBER(N496)),"SEM DEFESA",IF(H496="","SEM STATUS",IF(F496="","INFORMAR PRAZO",IF(P496="","SEM DATA",IF(P496&lt;0,"VENCIDO",IF(P496&lt;=DiasAlerta,"VENCE EM BREVE","NO PRAZO"))))))))</f>
        <v/>
      </c>
      <c r="R496" s="118" t="str">
        <f>IF(D496="","",TODAY()-D496)</f>
        <v/>
      </c>
      <c r="S496" s="111" t="n"/>
    </row>
    <row r="497" ht="18" customHeight="1">
      <c r="A497" s="110" t="n"/>
      <c r="B497" s="111" t="n"/>
      <c r="C497" s="111" t="n"/>
      <c r="D497" s="112" t="n"/>
      <c r="E497" s="111" t="n"/>
      <c r="F497" s="110" t="n"/>
      <c r="G497" s="113" t="n"/>
      <c r="H497" s="113" t="n"/>
      <c r="I497" s="111" t="n"/>
      <c r="J497" s="114" t="n"/>
      <c r="K497" s="114" t="n"/>
      <c r="L497" s="112" t="n"/>
      <c r="M497" s="112" t="n"/>
      <c r="N497" s="112" t="n"/>
      <c r="O497" s="115" t="str">
        <f>IF(OR(D497="",F497=""),"",D497+F497)</f>
        <v/>
      </c>
      <c r="P497" s="116" t="str">
        <f>IF(O497="","",IF(ISNUMBER(M497),O497-M497,IF(OR(H497="DECISÃO D.P",ISNUMBER(N497)),"",O497-TODAY())))</f>
        <v/>
      </c>
      <c r="Q497" s="117" t="str">
        <f>IF(B497="","",IF(ISNUMBER(N497),"DECIDIDO – ","")&amp;IF(ISNUMBER(M497),IF(P497="",IF(F497="","INFORMAR PRAZO","SEM DATA"),IF(P497&gt;=0,"DEFESA NO PRAZO","DEFESA FORA DO PRAZO")),IF(OR(H497="DECISÃO D.P",ISNUMBER(N497)),"SEM DEFESA",IF(H497="","SEM STATUS",IF(F497="","INFORMAR PRAZO",IF(P497="","SEM DATA",IF(P497&lt;0,"VENCIDO",IF(P497&lt;=DiasAlerta,"VENCE EM BREVE","NO PRAZO"))))))))</f>
        <v/>
      </c>
      <c r="R497" s="118" t="str">
        <f>IF(D497="","",TODAY()-D497)</f>
        <v/>
      </c>
      <c r="S497" s="111" t="n"/>
    </row>
    <row r="498" ht="18" customHeight="1">
      <c r="A498" s="110" t="n"/>
      <c r="B498" s="111" t="n"/>
      <c r="C498" s="111" t="n"/>
      <c r="D498" s="112" t="n"/>
      <c r="E498" s="111" t="n"/>
      <c r="F498" s="110" t="n"/>
      <c r="G498" s="113" t="n"/>
      <c r="H498" s="113" t="n"/>
      <c r="I498" s="111" t="n"/>
      <c r="J498" s="114" t="n"/>
      <c r="K498" s="114" t="n"/>
      <c r="L498" s="112" t="n"/>
      <c r="M498" s="112" t="n"/>
      <c r="N498" s="112" t="n"/>
      <c r="O498" s="115" t="str">
        <f>IF(OR(D498="",F498=""),"",D498+F498)</f>
        <v/>
      </c>
      <c r="P498" s="116" t="str">
        <f>IF(O498="","",IF(ISNUMBER(M498),O498-M498,IF(OR(H498="DECISÃO D.P",ISNUMBER(N498)),"",O498-TODAY())))</f>
        <v/>
      </c>
      <c r="Q498" s="117" t="str">
        <f>IF(B498="","",IF(ISNUMBER(N498),"DECIDIDO – ","")&amp;IF(ISNUMBER(M498),IF(P498="",IF(F498="","INFORMAR PRAZO","SEM DATA"),IF(P498&gt;=0,"DEFESA NO PRAZO","DEFESA FORA DO PRAZO")),IF(OR(H498="DECISÃO D.P",ISNUMBER(N498)),"SEM DEFESA",IF(H498="","SEM STATUS",IF(F498="","INFORMAR PRAZO",IF(P498="","SEM DATA",IF(P498&lt;0,"VENCIDO",IF(P498&lt;=DiasAlerta,"VENCE EM BREVE","NO PRAZO"))))))))</f>
        <v/>
      </c>
      <c r="R498" s="118" t="str">
        <f>IF(D498="","",TODAY()-D498)</f>
        <v/>
      </c>
      <c r="S498" s="111" t="n"/>
    </row>
    <row r="499" ht="18" customHeight="1">
      <c r="A499" s="110" t="n"/>
      <c r="B499" s="111" t="n"/>
      <c r="C499" s="111" t="n"/>
      <c r="D499" s="112" t="n"/>
      <c r="E499" s="111" t="n"/>
      <c r="F499" s="110" t="n"/>
      <c r="G499" s="113" t="n"/>
      <c r="H499" s="113" t="n"/>
      <c r="I499" s="111" t="n"/>
      <c r="J499" s="114" t="n"/>
      <c r="K499" s="114" t="n"/>
      <c r="L499" s="112" t="n"/>
      <c r="M499" s="112" t="n"/>
      <c r="N499" s="112" t="n"/>
      <c r="O499" s="115" t="str">
        <f>IF(OR(D499="",F499=""),"",D499+F499)</f>
        <v/>
      </c>
      <c r="P499" s="116" t="str">
        <f>IF(O499="","",IF(ISNUMBER(M499),O499-M499,IF(OR(H499="DECISÃO D.P",ISNUMBER(N499)),"",O499-TODAY())))</f>
        <v/>
      </c>
      <c r="Q499" s="117" t="str">
        <f>IF(B499="","",IF(ISNUMBER(N499),"DECIDIDO – ","")&amp;IF(ISNUMBER(M499),IF(P499="",IF(F499="","INFORMAR PRAZO","SEM DATA"),IF(P499&gt;=0,"DEFESA NO PRAZO","DEFESA FORA DO PRAZO")),IF(OR(H499="DECISÃO D.P",ISNUMBER(N499)),"SEM DEFESA",IF(H499="","SEM STATUS",IF(F499="","INFORMAR PRAZO",IF(P499="","SEM DATA",IF(P499&lt;0,"VENCIDO",IF(P499&lt;=DiasAlerta,"VENCE EM BREVE","NO PRAZO"))))))))</f>
        <v/>
      </c>
      <c r="R499" s="118" t="str">
        <f>IF(D499="","",TODAY()-D499)</f>
        <v/>
      </c>
      <c r="S499" s="111" t="n"/>
    </row>
    <row r="500" ht="18" customHeight="1">
      <c r="A500" s="110" t="n"/>
      <c r="B500" s="111" t="n"/>
      <c r="C500" s="111" t="n"/>
      <c r="D500" s="112" t="n"/>
      <c r="E500" s="111" t="n"/>
      <c r="F500" s="110" t="n"/>
      <c r="G500" s="113" t="n"/>
      <c r="H500" s="113" t="n"/>
      <c r="I500" s="111" t="n"/>
      <c r="J500" s="114" t="n"/>
      <c r="K500" s="114" t="n"/>
      <c r="L500" s="112" t="n"/>
      <c r="M500" s="112" t="n"/>
      <c r="N500" s="112" t="n"/>
      <c r="O500" s="115" t="str">
        <f>IF(OR(D500="",F500=""),"",D500+F500)</f>
        <v/>
      </c>
      <c r="P500" s="116" t="str">
        <f>IF(O500="","",IF(ISNUMBER(M500),O500-M500,IF(OR(H500="DECISÃO D.P",ISNUMBER(N500)),"",O500-TODAY())))</f>
        <v/>
      </c>
      <c r="Q500" s="117" t="str">
        <f>IF(B500="","",IF(ISNUMBER(N500),"DECIDIDO – ","")&amp;IF(ISNUMBER(M500),IF(P500="",IF(F500="","INFORMAR PRAZO","SEM DATA"),IF(P500&gt;=0,"DEFESA NO PRAZO","DEFESA FORA DO PRAZO")),IF(OR(H500="DECISÃO D.P",ISNUMBER(N500)),"SEM DEFESA",IF(H500="","SEM STATUS",IF(F500="","INFORMAR PRAZO",IF(P500="","SEM DATA",IF(P500&lt;0,"VENCIDO",IF(P500&lt;=DiasAlerta,"VENCE EM BREVE","NO PRAZO"))))))))</f>
        <v/>
      </c>
      <c r="R500" s="118" t="str">
        <f>IF(D500="","",TODAY()-D500)</f>
        <v/>
      </c>
      <c r="S500" s="111" t="n"/>
    </row>
    <row r="501" ht="18" customHeight="1">
      <c r="A501" s="110" t="n"/>
      <c r="B501" s="111" t="n"/>
      <c r="C501" s="111" t="n"/>
      <c r="D501" s="112" t="n"/>
      <c r="E501" s="111" t="n"/>
      <c r="F501" s="110" t="n"/>
      <c r="G501" s="113" t="n"/>
      <c r="H501" s="113" t="n"/>
      <c r="I501" s="111" t="n"/>
      <c r="J501" s="114" t="n"/>
      <c r="K501" s="114" t="n"/>
      <c r="L501" s="112" t="n"/>
      <c r="M501" s="112" t="n"/>
      <c r="N501" s="112" t="n"/>
      <c r="O501" s="115" t="str">
        <f>IF(OR(D501="",F501=""),"",D501+F501)</f>
        <v/>
      </c>
      <c r="P501" s="116" t="str">
        <f>IF(O501="","",IF(ISNUMBER(M501),O501-M501,IF(OR(H501="DECISÃO D.P",ISNUMBER(N501)),"",O501-TODAY())))</f>
        <v/>
      </c>
      <c r="Q501" s="117" t="str">
        <f>IF(B501="","",IF(ISNUMBER(N501),"DECIDIDO – ","")&amp;IF(ISNUMBER(M501),IF(P501="",IF(F501="","INFORMAR PRAZO","SEM DATA"),IF(P501&gt;=0,"DEFESA NO PRAZO","DEFESA FORA DO PRAZO")),IF(OR(H501="DECISÃO D.P",ISNUMBER(N501)),"SEM DEFESA",IF(H501="","SEM STATUS",IF(F501="","INFORMAR PRAZO",IF(P501="","SEM DATA",IF(P501&lt;0,"VENCIDO",IF(P501&lt;=DiasAlerta,"VENCE EM BREVE","NO PRAZO"))))))))</f>
        <v/>
      </c>
      <c r="R501" s="118" t="str">
        <f>IF(D501="","",TODAY()-D501)</f>
        <v/>
      </c>
      <c r="S501" s="111" t="n"/>
    </row>
    <row r="502" ht="18" customHeight="1">
      <c r="A502" s="110" t="n"/>
      <c r="B502" s="111" t="n"/>
      <c r="C502" s="111" t="n"/>
      <c r="D502" s="112" t="n"/>
      <c r="E502" s="111" t="n"/>
      <c r="F502" s="110" t="n"/>
      <c r="G502" s="113" t="n"/>
      <c r="H502" s="113" t="n"/>
      <c r="I502" s="111" t="n"/>
      <c r="J502" s="114" t="n"/>
      <c r="K502" s="114" t="n"/>
      <c r="L502" s="112" t="n"/>
      <c r="M502" s="112" t="n"/>
      <c r="N502" s="112" t="n"/>
      <c r="O502" s="115" t="str">
        <f>IF(OR(D502="",F502=""),"",D502+F502)</f>
        <v/>
      </c>
      <c r="P502" s="116" t="str">
        <f>IF(O502="","",IF(ISNUMBER(M502),O502-M502,IF(OR(H502="DECISÃO D.P",ISNUMBER(N502)),"",O502-TODAY())))</f>
        <v/>
      </c>
      <c r="Q502" s="117" t="str">
        <f>IF(B502="","",IF(ISNUMBER(N502),"DECIDIDO – ","")&amp;IF(ISNUMBER(M502),IF(P502="",IF(F502="","INFORMAR PRAZO","SEM DATA"),IF(P502&gt;=0,"DEFESA NO PRAZO","DEFESA FORA DO PRAZO")),IF(OR(H502="DECISÃO D.P",ISNUMBER(N502)),"SEM DEFESA",IF(H502="","SEM STATUS",IF(F502="","INFORMAR PRAZO",IF(P502="","SEM DATA",IF(P502&lt;0,"VENCIDO",IF(P502&lt;=DiasAlerta,"VENCE EM BREVE","NO PRAZO"))))))))</f>
        <v/>
      </c>
      <c r="R502" s="118" t="str">
        <f>IF(D502="","",TODAY()-D502)</f>
        <v/>
      </c>
      <c r="S502" s="111" t="n"/>
    </row>
    <row r="503" ht="18" customHeight="1">
      <c r="A503" s="110" t="n"/>
      <c r="B503" s="111" t="n"/>
      <c r="C503" s="111" t="n"/>
      <c r="D503" s="112" t="n"/>
      <c r="E503" s="111" t="n"/>
      <c r="F503" s="110" t="n"/>
      <c r="G503" s="113" t="n"/>
      <c r="H503" s="113" t="n"/>
      <c r="I503" s="111" t="n"/>
      <c r="J503" s="114" t="n"/>
      <c r="K503" s="114" t="n"/>
      <c r="L503" s="112" t="n"/>
      <c r="M503" s="112" t="n"/>
      <c r="N503" s="112" t="n"/>
      <c r="O503" s="115" t="str">
        <f>IF(OR(D503="",F503=""),"",D503+F503)</f>
        <v/>
      </c>
      <c r="P503" s="116" t="str">
        <f>IF(O503="","",IF(ISNUMBER(M503),O503-M503,IF(OR(H503="DECISÃO D.P",ISNUMBER(N503)),"",O503-TODAY())))</f>
        <v/>
      </c>
      <c r="Q503" s="117" t="str">
        <f>IF(B503="","",IF(ISNUMBER(N503),"DECIDIDO – ","")&amp;IF(ISNUMBER(M503),IF(P503="",IF(F503="","INFORMAR PRAZO","SEM DATA"),IF(P503&gt;=0,"DEFESA NO PRAZO","DEFESA FORA DO PRAZO")),IF(OR(H503="DECISÃO D.P",ISNUMBER(N503)),"SEM DEFESA",IF(H503="","SEM STATUS",IF(F503="","INFORMAR PRAZO",IF(P503="","SEM DATA",IF(P503&lt;0,"VENCIDO",IF(P503&lt;=DiasAlerta,"VENCE EM BREVE","NO PRAZO"))))))))</f>
        <v/>
      </c>
      <c r="R503" s="118" t="str">
        <f>IF(D503="","",TODAY()-D503)</f>
        <v/>
      </c>
      <c r="S503" s="111" t="n"/>
    </row>
    <row r="504" ht="18" customHeight="1">
      <c r="A504" s="110" t="n"/>
      <c r="B504" s="111" t="n"/>
      <c r="C504" s="111" t="n"/>
      <c r="D504" s="112" t="n"/>
      <c r="E504" s="111" t="n"/>
      <c r="F504" s="110" t="n"/>
      <c r="G504" s="113" t="n"/>
      <c r="H504" s="113" t="n"/>
      <c r="I504" s="111" t="n"/>
      <c r="J504" s="114" t="n"/>
      <c r="K504" s="114" t="n"/>
      <c r="L504" s="112" t="n"/>
      <c r="M504" s="112" t="n"/>
      <c r="N504" s="112" t="n"/>
      <c r="O504" s="115" t="str">
        <f>IF(OR(D504="",F504=""),"",D504+F504)</f>
        <v/>
      </c>
      <c r="P504" s="116" t="str">
        <f>IF(O504="","",IF(ISNUMBER(M504),O504-M504,IF(OR(H504="DECISÃO D.P",ISNUMBER(N504)),"",O504-TODAY())))</f>
        <v/>
      </c>
      <c r="Q504" s="117" t="str">
        <f>IF(B504="","",IF(ISNUMBER(N504),"DECIDIDO – ","")&amp;IF(ISNUMBER(M504),IF(P504="",IF(F504="","INFORMAR PRAZO","SEM DATA"),IF(P504&gt;=0,"DEFESA NO PRAZO","DEFESA FORA DO PRAZO")),IF(OR(H504="DECISÃO D.P",ISNUMBER(N504)),"SEM DEFESA",IF(H504="","SEM STATUS",IF(F504="","INFORMAR PRAZO",IF(P504="","SEM DATA",IF(P504&lt;0,"VENCIDO",IF(P504&lt;=DiasAlerta,"VENCE EM BREVE","NO PRAZO"))))))))</f>
        <v/>
      </c>
      <c r="R504" s="118" t="str">
        <f>IF(D504="","",TODAY()-D504)</f>
        <v/>
      </c>
      <c r="S504" s="111" t="n"/>
    </row>
    <row r="505" ht="18" customHeight="1">
      <c r="A505" s="110" t="n"/>
      <c r="B505" s="111" t="n"/>
      <c r="C505" s="111" t="n"/>
      <c r="D505" s="112" t="n"/>
      <c r="E505" s="111" t="n"/>
      <c r="F505" s="110" t="n"/>
      <c r="G505" s="113" t="n"/>
      <c r="H505" s="113" t="n"/>
      <c r="I505" s="111" t="n"/>
      <c r="J505" s="114" t="n"/>
      <c r="K505" s="114" t="n"/>
      <c r="L505" s="112" t="n"/>
      <c r="M505" s="112" t="n"/>
      <c r="N505" s="112" t="n"/>
      <c r="O505" s="115" t="str">
        <f>IF(OR(D505="",F505=""),"",D505+F505)</f>
        <v/>
      </c>
      <c r="P505" s="116" t="str">
        <f>IF(O505="","",IF(ISNUMBER(M505),O505-M505,IF(OR(H505="DECISÃO D.P",ISNUMBER(N505)),"",O505-TODAY())))</f>
        <v/>
      </c>
      <c r="Q505" s="117" t="str">
        <f>IF(B505="","",IF(ISNUMBER(N505),"DECIDIDO – ","")&amp;IF(ISNUMBER(M505),IF(P505="",IF(F505="","INFORMAR PRAZO","SEM DATA"),IF(P505&gt;=0,"DEFESA NO PRAZO","DEFESA FORA DO PRAZO")),IF(OR(H505="DECISÃO D.P",ISNUMBER(N505)),"SEM DEFESA",IF(H505="","SEM STATUS",IF(F505="","INFORMAR PRAZO",IF(P505="","SEM DATA",IF(P505&lt;0,"VENCIDO",IF(P505&lt;=DiasAlerta,"VENCE EM BREVE","NO PRAZO"))))))))</f>
        <v/>
      </c>
      <c r="R505" s="118" t="str">
        <f>IF(D505="","",TODAY()-D505)</f>
        <v/>
      </c>
      <c r="S505" s="111" t="n"/>
    </row>
    <row r="506" ht="18" customHeight="1">
      <c r="A506" s="110" t="n"/>
      <c r="B506" s="111" t="n"/>
      <c r="C506" s="111" t="n"/>
      <c r="D506" s="112" t="n"/>
      <c r="E506" s="111" t="n"/>
      <c r="F506" s="110" t="n"/>
      <c r="G506" s="113" t="n"/>
      <c r="H506" s="113" t="n"/>
      <c r="I506" s="111" t="n"/>
      <c r="J506" s="114" t="n"/>
      <c r="K506" s="114" t="n"/>
      <c r="L506" s="112" t="n"/>
      <c r="M506" s="112" t="n"/>
      <c r="N506" s="112" t="n"/>
      <c r="O506" s="115" t="str">
        <f>IF(OR(D506="",F506=""),"",D506+F506)</f>
        <v/>
      </c>
      <c r="P506" s="116" t="str">
        <f>IF(O506="","",IF(ISNUMBER(M506),O506-M506,IF(OR(H506="DECISÃO D.P",ISNUMBER(N506)),"",O506-TODAY())))</f>
        <v/>
      </c>
      <c r="Q506" s="117" t="str">
        <f>IF(B506="","",IF(ISNUMBER(N506),"DECIDIDO – ","")&amp;IF(ISNUMBER(M506),IF(P506="",IF(F506="","INFORMAR PRAZO","SEM DATA"),IF(P506&gt;=0,"DEFESA NO PRAZO","DEFESA FORA DO PRAZO")),IF(OR(H506="DECISÃO D.P",ISNUMBER(N506)),"SEM DEFESA",IF(H506="","SEM STATUS",IF(F506="","INFORMAR PRAZO",IF(P506="","SEM DATA",IF(P506&lt;0,"VENCIDO",IF(P506&lt;=DiasAlerta,"VENCE EM BREVE","NO PRAZO"))))))))</f>
        <v/>
      </c>
      <c r="R506" s="118" t="str">
        <f>IF(D506="","",TODAY()-D506)</f>
        <v/>
      </c>
      <c r="S506" s="111" t="n"/>
    </row>
    <row r="507" ht="18" customHeight="1">
      <c r="A507" s="110" t="n"/>
      <c r="B507" s="111" t="n"/>
      <c r="C507" s="111" t="n"/>
      <c r="D507" s="112" t="n"/>
      <c r="E507" s="111" t="n"/>
      <c r="F507" s="110" t="n"/>
      <c r="G507" s="113" t="n"/>
      <c r="H507" s="113" t="n"/>
      <c r="I507" s="111" t="n"/>
      <c r="J507" s="114" t="n"/>
      <c r="K507" s="114" t="n"/>
      <c r="L507" s="112" t="n"/>
      <c r="M507" s="112" t="n"/>
      <c r="N507" s="112" t="n"/>
      <c r="O507" s="115" t="str">
        <f>IF(OR(D507="",F507=""),"",D507+F507)</f>
        <v/>
      </c>
      <c r="P507" s="116" t="str">
        <f>IF(O507="","",IF(ISNUMBER(M507),O507-M507,IF(OR(H507="DECISÃO D.P",ISNUMBER(N507)),"",O507-TODAY())))</f>
        <v/>
      </c>
      <c r="Q507" s="117" t="str">
        <f>IF(B507="","",IF(ISNUMBER(N507),"DECIDIDO – ","")&amp;IF(ISNUMBER(M507),IF(P507="",IF(F507="","INFORMAR PRAZO","SEM DATA"),IF(P507&gt;=0,"DEFESA NO PRAZO","DEFESA FORA DO PRAZO")),IF(OR(H507="DECISÃO D.P",ISNUMBER(N507)),"SEM DEFESA",IF(H507="","SEM STATUS",IF(F507="","INFORMAR PRAZO",IF(P507="","SEM DATA",IF(P507&lt;0,"VENCIDO",IF(P507&lt;=DiasAlerta,"VENCE EM BREVE","NO PRAZO"))))))))</f>
        <v/>
      </c>
      <c r="R507" s="118" t="str">
        <f>IF(D507="","",TODAY()-D507)</f>
        <v/>
      </c>
      <c r="S507" s="111" t="n"/>
    </row>
    <row r="508" ht="18" customHeight="1">
      <c r="A508" s="110" t="n"/>
      <c r="B508" s="111" t="n"/>
      <c r="C508" s="111" t="n"/>
      <c r="D508" s="112" t="n"/>
      <c r="E508" s="111" t="n"/>
      <c r="F508" s="110" t="n"/>
      <c r="G508" s="113" t="n"/>
      <c r="H508" s="113" t="n"/>
      <c r="I508" s="111" t="n"/>
      <c r="J508" s="114" t="n"/>
      <c r="K508" s="114" t="n"/>
      <c r="L508" s="112" t="n"/>
      <c r="M508" s="112" t="n"/>
      <c r="N508" s="112" t="n"/>
      <c r="O508" s="115" t="str">
        <f>IF(OR(D508="",F508=""),"",D508+F508)</f>
        <v/>
      </c>
      <c r="P508" s="116" t="str">
        <f>IF(O508="","",IF(ISNUMBER(M508),O508-M508,IF(OR(H508="DECISÃO D.P",ISNUMBER(N508)),"",O508-TODAY())))</f>
        <v/>
      </c>
      <c r="Q508" s="117" t="str">
        <f>IF(B508="","",IF(ISNUMBER(N508),"DECIDIDO – ","")&amp;IF(ISNUMBER(M508),IF(P508="",IF(F508="","INFORMAR PRAZO","SEM DATA"),IF(P508&gt;=0,"DEFESA NO PRAZO","DEFESA FORA DO PRAZO")),IF(OR(H508="DECISÃO D.P",ISNUMBER(N508)),"SEM DEFESA",IF(H508="","SEM STATUS",IF(F508="","INFORMAR PRAZO",IF(P508="","SEM DATA",IF(P508&lt;0,"VENCIDO",IF(P508&lt;=DiasAlerta,"VENCE EM BREVE","NO PRAZO"))))))))</f>
        <v/>
      </c>
      <c r="R508" s="118" t="str">
        <f>IF(D508="","",TODAY()-D508)</f>
        <v/>
      </c>
      <c r="S508" s="111" t="n"/>
    </row>
    <row r="509" ht="18" customHeight="1">
      <c r="A509" s="110" t="n"/>
      <c r="B509" s="111" t="n"/>
      <c r="C509" s="111" t="n"/>
      <c r="D509" s="112" t="n"/>
      <c r="E509" s="111" t="n"/>
      <c r="F509" s="110" t="n"/>
      <c r="G509" s="113" t="n"/>
      <c r="H509" s="113" t="n"/>
      <c r="I509" s="111" t="n"/>
      <c r="J509" s="114" t="n"/>
      <c r="K509" s="114" t="n"/>
      <c r="L509" s="112" t="n"/>
      <c r="M509" s="112" t="n"/>
      <c r="N509" s="112" t="n"/>
      <c r="O509" s="115" t="str">
        <f>IF(OR(D509="",F509=""),"",D509+F509)</f>
        <v/>
      </c>
      <c r="P509" s="116" t="str">
        <f>IF(O509="","",IF(ISNUMBER(M509),O509-M509,IF(OR(H509="DECISÃO D.P",ISNUMBER(N509)),"",O509-TODAY())))</f>
        <v/>
      </c>
      <c r="Q509" s="117" t="str">
        <f>IF(B509="","",IF(ISNUMBER(N509),"DECIDIDO – ","")&amp;IF(ISNUMBER(M509),IF(P509="",IF(F509="","INFORMAR PRAZO","SEM DATA"),IF(P509&gt;=0,"DEFESA NO PRAZO","DEFESA FORA DO PRAZO")),IF(OR(H509="DECISÃO D.P",ISNUMBER(N509)),"SEM DEFESA",IF(H509="","SEM STATUS",IF(F509="","INFORMAR PRAZO",IF(P509="","SEM DATA",IF(P509&lt;0,"VENCIDO",IF(P509&lt;=DiasAlerta,"VENCE EM BREVE","NO PRAZO"))))))))</f>
        <v/>
      </c>
      <c r="R509" s="118" t="str">
        <f>IF(D509="","",TODAY()-D509)</f>
        <v/>
      </c>
      <c r="S509" s="111" t="n"/>
    </row>
    <row r="510" ht="18" customHeight="1">
      <c r="A510" s="110" t="n"/>
      <c r="B510" s="111" t="n"/>
      <c r="C510" s="111" t="n"/>
      <c r="D510" s="112" t="n"/>
      <c r="E510" s="111" t="n"/>
      <c r="F510" s="110" t="n"/>
      <c r="G510" s="113" t="n"/>
      <c r="H510" s="113" t="n"/>
      <c r="I510" s="111" t="n"/>
      <c r="J510" s="114" t="n"/>
      <c r="K510" s="114" t="n"/>
      <c r="L510" s="112" t="n"/>
      <c r="M510" s="112" t="n"/>
      <c r="N510" s="112" t="n"/>
      <c r="O510" s="115" t="str">
        <f>IF(OR(D510="",F510=""),"",D510+F510)</f>
        <v/>
      </c>
      <c r="P510" s="116" t="str">
        <f>IF(O510="","",IF(ISNUMBER(M510),O510-M510,IF(OR(H510="DECISÃO D.P",ISNUMBER(N510)),"",O510-TODAY())))</f>
        <v/>
      </c>
      <c r="Q510" s="117" t="str">
        <f>IF(B510="","",IF(ISNUMBER(N510),"DECIDIDO – ","")&amp;IF(ISNUMBER(M510),IF(P510="",IF(F510="","INFORMAR PRAZO","SEM DATA"),IF(P510&gt;=0,"DEFESA NO PRAZO","DEFESA FORA DO PRAZO")),IF(OR(H510="DECISÃO D.P",ISNUMBER(N510)),"SEM DEFESA",IF(H510="","SEM STATUS",IF(F510="","INFORMAR PRAZO",IF(P510="","SEM DATA",IF(P510&lt;0,"VENCIDO",IF(P510&lt;=DiasAlerta,"VENCE EM BREVE","NO PRAZO"))))))))</f>
        <v/>
      </c>
      <c r="R510" s="118" t="str">
        <f>IF(D510="","",TODAY()-D510)</f>
        <v/>
      </c>
      <c r="S510" s="111" t="n"/>
    </row>
    <row r="511" ht="18" customHeight="1">
      <c r="A511" s="110" t="n"/>
      <c r="B511" s="111" t="n"/>
      <c r="C511" s="111" t="n"/>
      <c r="D511" s="112" t="n"/>
      <c r="E511" s="111" t="n"/>
      <c r="F511" s="110" t="n"/>
      <c r="G511" s="113" t="n"/>
      <c r="H511" s="113" t="n"/>
      <c r="I511" s="111" t="n"/>
      <c r="J511" s="114" t="n"/>
      <c r="K511" s="114" t="n"/>
      <c r="L511" s="112" t="n"/>
      <c r="M511" s="112" t="n"/>
      <c r="N511" s="112" t="n"/>
      <c r="O511" s="115" t="str">
        <f>IF(OR(D511="",F511=""),"",D511+F511)</f>
        <v/>
      </c>
      <c r="P511" s="116" t="str">
        <f>IF(O511="","",IF(ISNUMBER(M511),O511-M511,IF(OR(H511="DECISÃO D.P",ISNUMBER(N511)),"",O511-TODAY())))</f>
        <v/>
      </c>
      <c r="Q511" s="117" t="str">
        <f>IF(B511="","",IF(ISNUMBER(N511),"DECIDIDO – ","")&amp;IF(ISNUMBER(M511),IF(P511="",IF(F511="","INFORMAR PRAZO","SEM DATA"),IF(P511&gt;=0,"DEFESA NO PRAZO","DEFESA FORA DO PRAZO")),IF(OR(H511="DECISÃO D.P",ISNUMBER(N511)),"SEM DEFESA",IF(H511="","SEM STATUS",IF(F511="","INFORMAR PRAZO",IF(P511="","SEM DATA",IF(P511&lt;0,"VENCIDO",IF(P511&lt;=DiasAlerta,"VENCE EM BREVE","NO PRAZO"))))))))</f>
        <v/>
      </c>
      <c r="R511" s="118" t="str">
        <f>IF(D511="","",TODAY()-D511)</f>
        <v/>
      </c>
      <c r="S511" s="111" t="n"/>
    </row>
    <row r="512" ht="18" customHeight="1">
      <c r="A512" s="110" t="n"/>
      <c r="B512" s="111" t="n"/>
      <c r="C512" s="111" t="n"/>
      <c r="D512" s="112" t="n"/>
      <c r="E512" s="111" t="n"/>
      <c r="F512" s="110" t="n"/>
      <c r="G512" s="113" t="n"/>
      <c r="H512" s="113" t="n"/>
      <c r="I512" s="111" t="n"/>
      <c r="J512" s="114" t="n"/>
      <c r="K512" s="114" t="n"/>
      <c r="L512" s="112" t="n"/>
      <c r="M512" s="112" t="n"/>
      <c r="N512" s="112" t="n"/>
      <c r="O512" s="115" t="str">
        <f>IF(OR(D512="",F512=""),"",D512+F512)</f>
        <v/>
      </c>
      <c r="P512" s="116" t="str">
        <f>IF(O512="","",IF(ISNUMBER(M512),O512-M512,IF(OR(H512="DECISÃO D.P",ISNUMBER(N512)),"",O512-TODAY())))</f>
        <v/>
      </c>
      <c r="Q512" s="117" t="str">
        <f>IF(B512="","",IF(ISNUMBER(N512),"DECIDIDO – ","")&amp;IF(ISNUMBER(M512),IF(P512="",IF(F512="","INFORMAR PRAZO","SEM DATA"),IF(P512&gt;=0,"DEFESA NO PRAZO","DEFESA FORA DO PRAZO")),IF(OR(H512="DECISÃO D.P",ISNUMBER(N512)),"SEM DEFESA",IF(H512="","SEM STATUS",IF(F512="","INFORMAR PRAZO",IF(P512="","SEM DATA",IF(P512&lt;0,"VENCIDO",IF(P512&lt;=DiasAlerta,"VENCE EM BREVE","NO PRAZO"))))))))</f>
        <v/>
      </c>
      <c r="R512" s="118" t="str">
        <f>IF(D512="","",TODAY()-D512)</f>
        <v/>
      </c>
      <c r="S512" s="111" t="n"/>
    </row>
    <row r="513" ht="18" customHeight="1">
      <c r="A513" s="110" t="n"/>
      <c r="B513" s="111" t="n"/>
      <c r="C513" s="111" t="n"/>
      <c r="D513" s="112" t="n"/>
      <c r="E513" s="111" t="n"/>
      <c r="F513" s="110" t="n"/>
      <c r="G513" s="113" t="n"/>
      <c r="H513" s="113" t="n"/>
      <c r="I513" s="111" t="n"/>
      <c r="J513" s="114" t="n"/>
      <c r="K513" s="114" t="n"/>
      <c r="L513" s="112" t="n"/>
      <c r="M513" s="112" t="n"/>
      <c r="N513" s="112" t="n"/>
      <c r="O513" s="115" t="str">
        <f>IF(OR(D513="",F513=""),"",D513+F513)</f>
        <v/>
      </c>
      <c r="P513" s="116" t="str">
        <f>IF(O513="","",IF(ISNUMBER(M513),O513-M513,IF(OR(H513="DECISÃO D.P",ISNUMBER(N513)),"",O513-TODAY())))</f>
        <v/>
      </c>
      <c r="Q513" s="117" t="str">
        <f>IF(B513="","",IF(ISNUMBER(N513),"DECIDIDO – ","")&amp;IF(ISNUMBER(M513),IF(P513="",IF(F513="","INFORMAR PRAZO","SEM DATA"),IF(P513&gt;=0,"DEFESA NO PRAZO","DEFESA FORA DO PRAZO")),IF(OR(H513="DECISÃO D.P",ISNUMBER(N513)),"SEM DEFESA",IF(H513="","SEM STATUS",IF(F513="","INFORMAR PRAZO",IF(P513="","SEM DATA",IF(P513&lt;0,"VENCIDO",IF(P513&lt;=DiasAlerta,"VENCE EM BREVE","NO PRAZO"))))))))</f>
        <v/>
      </c>
      <c r="R513" s="118" t="str">
        <f>IF(D513="","",TODAY()-D513)</f>
        <v/>
      </c>
      <c r="S513" s="111" t="n"/>
    </row>
    <row r="514" ht="18" customHeight="1">
      <c r="A514" s="110" t="n"/>
      <c r="B514" s="111" t="n"/>
      <c r="C514" s="111" t="n"/>
      <c r="D514" s="112" t="n"/>
      <c r="E514" s="111" t="n"/>
      <c r="F514" s="110" t="n"/>
      <c r="G514" s="113" t="n"/>
      <c r="H514" s="113" t="n"/>
      <c r="I514" s="111" t="n"/>
      <c r="J514" s="114" t="n"/>
      <c r="K514" s="114" t="n"/>
      <c r="L514" s="112" t="n"/>
      <c r="M514" s="112" t="n"/>
      <c r="N514" s="112" t="n"/>
      <c r="O514" s="115" t="str">
        <f>IF(OR(D514="",F514=""),"",D514+F514)</f>
        <v/>
      </c>
      <c r="P514" s="116" t="str">
        <f>IF(O514="","",IF(ISNUMBER(M514),O514-M514,IF(OR(H514="DECISÃO D.P",ISNUMBER(N514)),"",O514-TODAY())))</f>
        <v/>
      </c>
      <c r="Q514" s="117" t="str">
        <f>IF(B514="","",IF(ISNUMBER(N514),"DECIDIDO – ","")&amp;IF(ISNUMBER(M514),IF(P514="",IF(F514="","INFORMAR PRAZO","SEM DATA"),IF(P514&gt;=0,"DEFESA NO PRAZO","DEFESA FORA DO PRAZO")),IF(OR(H514="DECISÃO D.P",ISNUMBER(N514)),"SEM DEFESA",IF(H514="","SEM STATUS",IF(F514="","INFORMAR PRAZO",IF(P514="","SEM DATA",IF(P514&lt;0,"VENCIDO",IF(P514&lt;=DiasAlerta,"VENCE EM BREVE","NO PRAZO"))))))))</f>
        <v/>
      </c>
      <c r="R514" s="118" t="str">
        <f>IF(D514="","",TODAY()-D514)</f>
        <v/>
      </c>
      <c r="S514" s="111" t="n"/>
    </row>
    <row r="515" ht="18" customHeight="1">
      <c r="A515" s="110" t="n"/>
      <c r="B515" s="111" t="n"/>
      <c r="C515" s="111" t="n"/>
      <c r="D515" s="112" t="n"/>
      <c r="E515" s="111" t="n"/>
      <c r="F515" s="110" t="n"/>
      <c r="G515" s="113" t="n"/>
      <c r="H515" s="113" t="n"/>
      <c r="I515" s="111" t="n"/>
      <c r="J515" s="114" t="n"/>
      <c r="K515" s="114" t="n"/>
      <c r="L515" s="112" t="n"/>
      <c r="M515" s="112" t="n"/>
      <c r="N515" s="112" t="n"/>
      <c r="O515" s="115" t="str">
        <f>IF(OR(D515="",F515=""),"",D515+F515)</f>
        <v/>
      </c>
      <c r="P515" s="116" t="str">
        <f>IF(O515="","",IF(ISNUMBER(M515),O515-M515,IF(OR(H515="DECISÃO D.P",ISNUMBER(N515)),"",O515-TODAY())))</f>
        <v/>
      </c>
      <c r="Q515" s="117" t="str">
        <f>IF(B515="","",IF(ISNUMBER(N515),"DECIDIDO – ","")&amp;IF(ISNUMBER(M515),IF(P515="",IF(F515="","INFORMAR PRAZO","SEM DATA"),IF(P515&gt;=0,"DEFESA NO PRAZO","DEFESA FORA DO PRAZO")),IF(OR(H515="DECISÃO D.P",ISNUMBER(N515)),"SEM DEFESA",IF(H515="","SEM STATUS",IF(F515="","INFORMAR PRAZO",IF(P515="","SEM DATA",IF(P515&lt;0,"VENCIDO",IF(P515&lt;=DiasAlerta,"VENCE EM BREVE","NO PRAZO"))))))))</f>
        <v/>
      </c>
      <c r="R515" s="118" t="str">
        <f>IF(D515="","",TODAY()-D515)</f>
        <v/>
      </c>
      <c r="S515" s="111" t="n"/>
    </row>
    <row r="516" ht="18" customHeight="1">
      <c r="A516" s="110" t="n"/>
      <c r="B516" s="111" t="n"/>
      <c r="C516" s="111" t="n"/>
      <c r="D516" s="112" t="n"/>
      <c r="E516" s="111" t="n"/>
      <c r="F516" s="110" t="n"/>
      <c r="G516" s="113" t="n"/>
      <c r="H516" s="113" t="n"/>
      <c r="I516" s="111" t="n"/>
      <c r="J516" s="114" t="n"/>
      <c r="K516" s="114" t="n"/>
      <c r="L516" s="112" t="n"/>
      <c r="M516" s="112" t="n"/>
      <c r="N516" s="112" t="n"/>
      <c r="O516" s="115" t="str">
        <f>IF(OR(D516="",F516=""),"",D516+F516)</f>
        <v/>
      </c>
      <c r="P516" s="116" t="str">
        <f>IF(O516="","",IF(ISNUMBER(M516),O516-M516,IF(OR(H516="DECISÃO D.P",ISNUMBER(N516)),"",O516-TODAY())))</f>
        <v/>
      </c>
      <c r="Q516" s="117" t="str">
        <f>IF(B516="","",IF(ISNUMBER(N516),"DECIDIDO – ","")&amp;IF(ISNUMBER(M516),IF(P516="",IF(F516="","INFORMAR PRAZO","SEM DATA"),IF(P516&gt;=0,"DEFESA NO PRAZO","DEFESA FORA DO PRAZO")),IF(OR(H516="DECISÃO D.P",ISNUMBER(N516)),"SEM DEFESA",IF(H516="","SEM STATUS",IF(F516="","INFORMAR PRAZO",IF(P516="","SEM DATA",IF(P516&lt;0,"VENCIDO",IF(P516&lt;=DiasAlerta,"VENCE EM BREVE","NO PRAZO"))))))))</f>
        <v/>
      </c>
      <c r="R516" s="118" t="str">
        <f>IF(D516="","",TODAY()-D516)</f>
        <v/>
      </c>
      <c r="S516" s="111" t="n"/>
    </row>
    <row r="517" ht="18" customHeight="1">
      <c r="A517" s="110" t="n"/>
      <c r="B517" s="111" t="n"/>
      <c r="C517" s="111" t="n"/>
      <c r="D517" s="112" t="n"/>
      <c r="E517" s="111" t="n"/>
      <c r="F517" s="110" t="n"/>
      <c r="G517" s="113" t="n"/>
      <c r="H517" s="113" t="n"/>
      <c r="I517" s="111" t="n"/>
      <c r="J517" s="114" t="n"/>
      <c r="K517" s="114" t="n"/>
      <c r="L517" s="112" t="n"/>
      <c r="M517" s="112" t="n"/>
      <c r="N517" s="112" t="n"/>
      <c r="O517" s="115" t="str">
        <f>IF(OR(D517="",F517=""),"",D517+F517)</f>
        <v/>
      </c>
      <c r="P517" s="116" t="str">
        <f>IF(O517="","",IF(ISNUMBER(M517),O517-M517,IF(OR(H517="DECISÃO D.P",ISNUMBER(N517)),"",O517-TODAY())))</f>
        <v/>
      </c>
      <c r="Q517" s="117" t="str">
        <f>IF(B517="","",IF(ISNUMBER(N517),"DECIDIDO – ","")&amp;IF(ISNUMBER(M517),IF(P517="",IF(F517="","INFORMAR PRAZO","SEM DATA"),IF(P517&gt;=0,"DEFESA NO PRAZO","DEFESA FORA DO PRAZO")),IF(OR(H517="DECISÃO D.P",ISNUMBER(N517)),"SEM DEFESA",IF(H517="","SEM STATUS",IF(F517="","INFORMAR PRAZO",IF(P517="","SEM DATA",IF(P517&lt;0,"VENCIDO",IF(P517&lt;=DiasAlerta,"VENCE EM BREVE","NO PRAZO"))))))))</f>
        <v/>
      </c>
      <c r="R517" s="118" t="str">
        <f>IF(D517="","",TODAY()-D517)</f>
        <v/>
      </c>
      <c r="S517" s="111" t="n"/>
    </row>
    <row r="518" ht="18" customHeight="1">
      <c r="A518" s="110" t="n"/>
      <c r="B518" s="111" t="n"/>
      <c r="C518" s="111" t="n"/>
      <c r="D518" s="112" t="n"/>
      <c r="E518" s="111" t="n"/>
      <c r="F518" s="110" t="n"/>
      <c r="G518" s="113" t="n"/>
      <c r="H518" s="113" t="n"/>
      <c r="I518" s="111" t="n"/>
      <c r="J518" s="114" t="n"/>
      <c r="K518" s="114" t="n"/>
      <c r="L518" s="112" t="n"/>
      <c r="M518" s="112" t="n"/>
      <c r="N518" s="112" t="n"/>
      <c r="O518" s="115" t="str">
        <f>IF(OR(D518="",F518=""),"",D518+F518)</f>
        <v/>
      </c>
      <c r="P518" s="116" t="str">
        <f>IF(O518="","",IF(ISNUMBER(M518),O518-M518,IF(OR(H518="DECISÃO D.P",ISNUMBER(N518)),"",O518-TODAY())))</f>
        <v/>
      </c>
      <c r="Q518" s="117" t="str">
        <f>IF(B518="","",IF(ISNUMBER(N518),"DECIDIDO – ","")&amp;IF(ISNUMBER(M518),IF(P518="",IF(F518="","INFORMAR PRAZO","SEM DATA"),IF(P518&gt;=0,"DEFESA NO PRAZO","DEFESA FORA DO PRAZO")),IF(OR(H518="DECISÃO D.P",ISNUMBER(N518)),"SEM DEFESA",IF(H518="","SEM STATUS",IF(F518="","INFORMAR PRAZO",IF(P518="","SEM DATA",IF(P518&lt;0,"VENCIDO",IF(P518&lt;=DiasAlerta,"VENCE EM BREVE","NO PRAZO"))))))))</f>
        <v/>
      </c>
      <c r="R518" s="118" t="str">
        <f>IF(D518="","",TODAY()-D518)</f>
        <v/>
      </c>
      <c r="S518" s="111" t="n"/>
    </row>
    <row r="519" ht="18" customHeight="1">
      <c r="A519" s="110" t="n"/>
      <c r="B519" s="111" t="n"/>
      <c r="C519" s="111" t="n"/>
      <c r="D519" s="112" t="n"/>
      <c r="E519" s="111" t="n"/>
      <c r="F519" s="110" t="n"/>
      <c r="G519" s="113" t="n"/>
      <c r="H519" s="113" t="n"/>
      <c r="I519" s="111" t="n"/>
      <c r="J519" s="114" t="n"/>
      <c r="K519" s="114" t="n"/>
      <c r="L519" s="112" t="n"/>
      <c r="M519" s="112" t="n"/>
      <c r="N519" s="112" t="n"/>
      <c r="O519" s="115" t="str">
        <f>IF(OR(D519="",F519=""),"",D519+F519)</f>
        <v/>
      </c>
      <c r="P519" s="116" t="str">
        <f>IF(O519="","",IF(ISNUMBER(M519),O519-M519,IF(OR(H519="DECISÃO D.P",ISNUMBER(N519)),"",O519-TODAY())))</f>
        <v/>
      </c>
      <c r="Q519" s="117" t="str">
        <f>IF(B519="","",IF(ISNUMBER(N519),"DECIDIDO – ","")&amp;IF(ISNUMBER(M519),IF(P519="",IF(F519="","INFORMAR PRAZO","SEM DATA"),IF(P519&gt;=0,"DEFESA NO PRAZO","DEFESA FORA DO PRAZO")),IF(OR(H519="DECISÃO D.P",ISNUMBER(N519)),"SEM DEFESA",IF(H519="","SEM STATUS",IF(F519="","INFORMAR PRAZO",IF(P519="","SEM DATA",IF(P519&lt;0,"VENCIDO",IF(P519&lt;=DiasAlerta,"VENCE EM BREVE","NO PRAZO"))))))))</f>
        <v/>
      </c>
      <c r="R519" s="118" t="str">
        <f>IF(D519="","",TODAY()-D519)</f>
        <v/>
      </c>
      <c r="S519" s="111" t="n"/>
    </row>
    <row r="520" ht="18" customHeight="1">
      <c r="A520" s="110" t="n"/>
      <c r="B520" s="111" t="n"/>
      <c r="C520" s="111" t="n"/>
      <c r="D520" s="112" t="n"/>
      <c r="E520" s="111" t="n"/>
      <c r="F520" s="110" t="n"/>
      <c r="G520" s="113" t="n"/>
      <c r="H520" s="113" t="n"/>
      <c r="I520" s="111" t="n"/>
      <c r="J520" s="114" t="n"/>
      <c r="K520" s="114" t="n"/>
      <c r="L520" s="112" t="n"/>
      <c r="M520" s="112" t="n"/>
      <c r="N520" s="112" t="n"/>
      <c r="O520" s="115" t="str">
        <f>IF(OR(D520="",F520=""),"",D520+F520)</f>
        <v/>
      </c>
      <c r="P520" s="116" t="str">
        <f>IF(O520="","",IF(ISNUMBER(M520),O520-M520,IF(OR(H520="DECISÃO D.P",ISNUMBER(N520)),"",O520-TODAY())))</f>
        <v/>
      </c>
      <c r="Q520" s="117" t="str">
        <f>IF(B520="","",IF(ISNUMBER(N520),"DECIDIDO – ","")&amp;IF(ISNUMBER(M520),IF(P520="",IF(F520="","INFORMAR PRAZO","SEM DATA"),IF(P520&gt;=0,"DEFESA NO PRAZO","DEFESA FORA DO PRAZO")),IF(OR(H520="DECISÃO D.P",ISNUMBER(N520)),"SEM DEFESA",IF(H520="","SEM STATUS",IF(F520="","INFORMAR PRAZO",IF(P520="","SEM DATA",IF(P520&lt;0,"VENCIDO",IF(P520&lt;=DiasAlerta,"VENCE EM BREVE","NO PRAZO"))))))))</f>
        <v/>
      </c>
      <c r="R520" s="118" t="str">
        <f>IF(D520="","",TODAY()-D520)</f>
        <v/>
      </c>
      <c r="S520" s="111" t="n"/>
    </row>
    <row r="521" ht="18" customHeight="1">
      <c r="A521" s="110" t="n"/>
      <c r="B521" s="111" t="n"/>
      <c r="C521" s="111" t="n"/>
      <c r="D521" s="112" t="n"/>
      <c r="E521" s="111" t="n"/>
      <c r="F521" s="110" t="n"/>
      <c r="G521" s="113" t="n"/>
      <c r="H521" s="113" t="n"/>
      <c r="I521" s="111" t="n"/>
      <c r="J521" s="114" t="n"/>
      <c r="K521" s="114" t="n"/>
      <c r="L521" s="112" t="n"/>
      <c r="M521" s="112" t="n"/>
      <c r="N521" s="112" t="n"/>
      <c r="O521" s="115" t="str">
        <f>IF(OR(D521="",F521=""),"",D521+F521)</f>
        <v/>
      </c>
      <c r="P521" s="116" t="str">
        <f>IF(O521="","",IF(ISNUMBER(M521),O521-M521,IF(OR(H521="DECISÃO D.P",ISNUMBER(N521)),"",O521-TODAY())))</f>
        <v/>
      </c>
      <c r="Q521" s="117" t="str">
        <f>IF(B521="","",IF(ISNUMBER(N521),"DECIDIDO – ","")&amp;IF(ISNUMBER(M521),IF(P521="",IF(F521="","INFORMAR PRAZO","SEM DATA"),IF(P521&gt;=0,"DEFESA NO PRAZO","DEFESA FORA DO PRAZO")),IF(OR(H521="DECISÃO D.P",ISNUMBER(N521)),"SEM DEFESA",IF(H521="","SEM STATUS",IF(F521="","INFORMAR PRAZO",IF(P521="","SEM DATA",IF(P521&lt;0,"VENCIDO",IF(P521&lt;=DiasAlerta,"VENCE EM BREVE","NO PRAZO"))))))))</f>
        <v/>
      </c>
      <c r="R521" s="118" t="str">
        <f>IF(D521="","",TODAY()-D521)</f>
        <v/>
      </c>
      <c r="S521" s="111" t="n"/>
    </row>
    <row r="522" ht="18" customHeight="1">
      <c r="A522" s="110" t="n"/>
      <c r="B522" s="111" t="n"/>
      <c r="C522" s="111" t="n"/>
      <c r="D522" s="112" t="n"/>
      <c r="E522" s="111" t="n"/>
      <c r="F522" s="110" t="n"/>
      <c r="G522" s="113" t="n"/>
      <c r="H522" s="113" t="n"/>
      <c r="I522" s="111" t="n"/>
      <c r="J522" s="114" t="n"/>
      <c r="K522" s="114" t="n"/>
      <c r="L522" s="112" t="n"/>
      <c r="M522" s="112" t="n"/>
      <c r="N522" s="112" t="n"/>
      <c r="O522" s="115" t="str">
        <f>IF(OR(D522="",F522=""),"",D522+F522)</f>
        <v/>
      </c>
      <c r="P522" s="116" t="str">
        <f>IF(O522="","",IF(ISNUMBER(M522),O522-M522,IF(OR(H522="DECISÃO D.P",ISNUMBER(N522)),"",O522-TODAY())))</f>
        <v/>
      </c>
      <c r="Q522" s="117" t="str">
        <f>IF(B522="","",IF(ISNUMBER(N522),"DECIDIDO – ","")&amp;IF(ISNUMBER(M522),IF(P522="",IF(F522="","INFORMAR PRAZO","SEM DATA"),IF(P522&gt;=0,"DEFESA NO PRAZO","DEFESA FORA DO PRAZO")),IF(OR(H522="DECISÃO D.P",ISNUMBER(N522)),"SEM DEFESA",IF(H522="","SEM STATUS",IF(F522="","INFORMAR PRAZO",IF(P522="","SEM DATA",IF(P522&lt;0,"VENCIDO",IF(P522&lt;=DiasAlerta,"VENCE EM BREVE","NO PRAZO"))))))))</f>
        <v/>
      </c>
      <c r="R522" s="118" t="str">
        <f>IF(D522="","",TODAY()-D522)</f>
        <v/>
      </c>
      <c r="S522" s="111" t="n"/>
    </row>
    <row r="523" ht="18" customHeight="1">
      <c r="A523" s="110" t="n"/>
      <c r="B523" s="111" t="n"/>
      <c r="C523" s="111" t="n"/>
      <c r="D523" s="112" t="n"/>
      <c r="E523" s="111" t="n"/>
      <c r="F523" s="110" t="n"/>
      <c r="G523" s="113" t="n"/>
      <c r="H523" s="113" t="n"/>
      <c r="I523" s="111" t="n"/>
      <c r="J523" s="114" t="n"/>
      <c r="K523" s="114" t="n"/>
      <c r="L523" s="112" t="n"/>
      <c r="M523" s="112" t="n"/>
      <c r="N523" s="112" t="n"/>
      <c r="O523" s="115" t="str">
        <f>IF(OR(D523="",F523=""),"",D523+F523)</f>
        <v/>
      </c>
      <c r="P523" s="116" t="str">
        <f>IF(O523="","",IF(ISNUMBER(M523),O523-M523,IF(OR(H523="DECISÃO D.P",ISNUMBER(N523)),"",O523-TODAY())))</f>
        <v/>
      </c>
      <c r="Q523" s="117" t="str">
        <f>IF(B523="","",IF(ISNUMBER(N523),"DECIDIDO – ","")&amp;IF(ISNUMBER(M523),IF(P523="",IF(F523="","INFORMAR PRAZO","SEM DATA"),IF(P523&gt;=0,"DEFESA NO PRAZO","DEFESA FORA DO PRAZO")),IF(OR(H523="DECISÃO D.P",ISNUMBER(N523)),"SEM DEFESA",IF(H523="","SEM STATUS",IF(F523="","INFORMAR PRAZO",IF(P523="","SEM DATA",IF(P523&lt;0,"VENCIDO",IF(P523&lt;=DiasAlerta,"VENCE EM BREVE","NO PRAZO"))))))))</f>
        <v/>
      </c>
      <c r="R523" s="118" t="str">
        <f>IF(D523="","",TODAY()-D523)</f>
        <v/>
      </c>
      <c r="S523" s="111" t="n"/>
    </row>
    <row r="524" ht="18" customHeight="1">
      <c r="A524" s="110" t="n"/>
      <c r="B524" s="111" t="n"/>
      <c r="C524" s="111" t="n"/>
      <c r="D524" s="112" t="n"/>
      <c r="E524" s="111" t="n"/>
      <c r="F524" s="110" t="n"/>
      <c r="G524" s="113" t="n"/>
      <c r="H524" s="113" t="n"/>
      <c r="I524" s="111" t="n"/>
      <c r="J524" s="114" t="n"/>
      <c r="K524" s="114" t="n"/>
      <c r="L524" s="112" t="n"/>
      <c r="M524" s="112" t="n"/>
      <c r="N524" s="112" t="n"/>
      <c r="O524" s="115" t="str">
        <f>IF(OR(D524="",F524=""),"",D524+F524)</f>
        <v/>
      </c>
      <c r="P524" s="116" t="str">
        <f>IF(O524="","",IF(ISNUMBER(M524),O524-M524,IF(OR(H524="DECISÃO D.P",ISNUMBER(N524)),"",O524-TODAY())))</f>
        <v/>
      </c>
      <c r="Q524" s="117" t="str">
        <f>IF(B524="","",IF(ISNUMBER(N524),"DECIDIDO – ","")&amp;IF(ISNUMBER(M524),IF(P524="",IF(F524="","INFORMAR PRAZO","SEM DATA"),IF(P524&gt;=0,"DEFESA NO PRAZO","DEFESA FORA DO PRAZO")),IF(OR(H524="DECISÃO D.P",ISNUMBER(N524)),"SEM DEFESA",IF(H524="","SEM STATUS",IF(F524="","INFORMAR PRAZO",IF(P524="","SEM DATA",IF(P524&lt;0,"VENCIDO",IF(P524&lt;=DiasAlerta,"VENCE EM BREVE","NO PRAZO"))))))))</f>
        <v/>
      </c>
      <c r="R524" s="118" t="str">
        <f>IF(D524="","",TODAY()-D524)</f>
        <v/>
      </c>
      <c r="S524" s="111" t="n"/>
    </row>
    <row r="525" ht="18" customHeight="1">
      <c r="A525" s="110" t="n"/>
      <c r="B525" s="111" t="n"/>
      <c r="C525" s="111" t="n"/>
      <c r="D525" s="112" t="n"/>
      <c r="E525" s="111" t="n"/>
      <c r="F525" s="110" t="n"/>
      <c r="G525" s="113" t="n"/>
      <c r="H525" s="113" t="n"/>
      <c r="I525" s="111" t="n"/>
      <c r="J525" s="114" t="n"/>
      <c r="K525" s="114" t="n"/>
      <c r="L525" s="112" t="n"/>
      <c r="M525" s="112" t="n"/>
      <c r="N525" s="112" t="n"/>
      <c r="O525" s="115" t="str">
        <f>IF(OR(D525="",F525=""),"",D525+F525)</f>
        <v/>
      </c>
      <c r="P525" s="116" t="str">
        <f>IF(O525="","",IF(ISNUMBER(M525),O525-M525,IF(OR(H525="DECISÃO D.P",ISNUMBER(N525)),"",O525-TODAY())))</f>
        <v/>
      </c>
      <c r="Q525" s="117" t="str">
        <f>IF(B525="","",IF(ISNUMBER(N525),"DECIDIDO – ","")&amp;IF(ISNUMBER(M525),IF(P525="",IF(F525="","INFORMAR PRAZO","SEM DATA"),IF(P525&gt;=0,"DEFESA NO PRAZO","DEFESA FORA DO PRAZO")),IF(OR(H525="DECISÃO D.P",ISNUMBER(N525)),"SEM DEFESA",IF(H525="","SEM STATUS",IF(F525="","INFORMAR PRAZO",IF(P525="","SEM DATA",IF(P525&lt;0,"VENCIDO",IF(P525&lt;=DiasAlerta,"VENCE EM BREVE","NO PRAZO"))))))))</f>
        <v/>
      </c>
      <c r="R525" s="118" t="str">
        <f>IF(D525="","",TODAY()-D525)</f>
        <v/>
      </c>
      <c r="S525" s="111" t="n"/>
    </row>
    <row r="526" ht="18" customHeight="1">
      <c r="A526" s="110" t="n"/>
      <c r="B526" s="111" t="n"/>
      <c r="C526" s="111" t="n"/>
      <c r="D526" s="112" t="n"/>
      <c r="E526" s="111" t="n"/>
      <c r="F526" s="110" t="n"/>
      <c r="G526" s="113" t="n"/>
      <c r="H526" s="113" t="n"/>
      <c r="I526" s="111" t="n"/>
      <c r="J526" s="114" t="n"/>
      <c r="K526" s="114" t="n"/>
      <c r="L526" s="112" t="n"/>
      <c r="M526" s="112" t="n"/>
      <c r="N526" s="112" t="n"/>
      <c r="O526" s="115" t="str">
        <f>IF(OR(D526="",F526=""),"",D526+F526)</f>
        <v/>
      </c>
      <c r="P526" s="116" t="str">
        <f>IF(O526="","",IF(ISNUMBER(M526),O526-M526,IF(OR(H526="DECISÃO D.P",ISNUMBER(N526)),"",O526-TODAY())))</f>
        <v/>
      </c>
      <c r="Q526" s="117" t="str">
        <f>IF(B526="","",IF(ISNUMBER(N526),"DECIDIDO – ","")&amp;IF(ISNUMBER(M526),IF(P526="",IF(F526="","INFORMAR PRAZO","SEM DATA"),IF(P526&gt;=0,"DEFESA NO PRAZO","DEFESA FORA DO PRAZO")),IF(OR(H526="DECISÃO D.P",ISNUMBER(N526)),"SEM DEFESA",IF(H526="","SEM STATUS",IF(F526="","INFORMAR PRAZO",IF(P526="","SEM DATA",IF(P526&lt;0,"VENCIDO",IF(P526&lt;=DiasAlerta,"VENCE EM BREVE","NO PRAZO"))))))))</f>
        <v/>
      </c>
      <c r="R526" s="118" t="str">
        <f>IF(D526="","",TODAY()-D526)</f>
        <v/>
      </c>
      <c r="S526" s="111" t="n"/>
    </row>
    <row r="527" ht="18" customHeight="1">
      <c r="A527" s="110" t="n"/>
      <c r="B527" s="111" t="n"/>
      <c r="C527" s="111" t="n"/>
      <c r="D527" s="112" t="n"/>
      <c r="E527" s="111" t="n"/>
      <c r="F527" s="110" t="n"/>
      <c r="G527" s="113" t="n"/>
      <c r="H527" s="113" t="n"/>
      <c r="I527" s="111" t="n"/>
      <c r="J527" s="114" t="n"/>
      <c r="K527" s="114" t="n"/>
      <c r="L527" s="112" t="n"/>
      <c r="M527" s="112" t="n"/>
      <c r="N527" s="112" t="n"/>
      <c r="O527" s="115" t="str">
        <f>IF(OR(D527="",F527=""),"",D527+F527)</f>
        <v/>
      </c>
      <c r="P527" s="116" t="str">
        <f>IF(O527="","",IF(ISNUMBER(M527),O527-M527,IF(OR(H527="DECISÃO D.P",ISNUMBER(N527)),"",O527-TODAY())))</f>
        <v/>
      </c>
      <c r="Q527" s="117" t="str">
        <f>IF(B527="","",IF(ISNUMBER(N527),"DECIDIDO – ","")&amp;IF(ISNUMBER(M527),IF(P527="",IF(F527="","INFORMAR PRAZO","SEM DATA"),IF(P527&gt;=0,"DEFESA NO PRAZO","DEFESA FORA DO PRAZO")),IF(OR(H527="DECISÃO D.P",ISNUMBER(N527)),"SEM DEFESA",IF(H527="","SEM STATUS",IF(F527="","INFORMAR PRAZO",IF(P527="","SEM DATA",IF(P527&lt;0,"VENCIDO",IF(P527&lt;=DiasAlerta,"VENCE EM BREVE","NO PRAZO"))))))))</f>
        <v/>
      </c>
      <c r="R527" s="118" t="str">
        <f>IF(D527="","",TODAY()-D527)</f>
        <v/>
      </c>
      <c r="S527" s="111" t="n"/>
    </row>
    <row r="528" ht="18" customHeight="1">
      <c r="A528" s="110" t="n"/>
      <c r="B528" s="111" t="n"/>
      <c r="C528" s="111" t="n"/>
      <c r="D528" s="112" t="n"/>
      <c r="E528" s="111" t="n"/>
      <c r="F528" s="110" t="n"/>
      <c r="G528" s="113" t="n"/>
      <c r="H528" s="113" t="n"/>
      <c r="I528" s="111" t="n"/>
      <c r="J528" s="114" t="n"/>
      <c r="K528" s="114" t="n"/>
      <c r="L528" s="112" t="n"/>
      <c r="M528" s="112" t="n"/>
      <c r="N528" s="112" t="n"/>
      <c r="O528" s="115" t="str">
        <f>IF(OR(D528="",F528=""),"",D528+F528)</f>
        <v/>
      </c>
      <c r="P528" s="116" t="str">
        <f>IF(O528="","",IF(ISNUMBER(M528),O528-M528,IF(OR(H528="DECISÃO D.P",ISNUMBER(N528)),"",O528-TODAY())))</f>
        <v/>
      </c>
      <c r="Q528" s="117" t="str">
        <f>IF(B528="","",IF(ISNUMBER(N528),"DECIDIDO – ","")&amp;IF(ISNUMBER(M528),IF(P528="",IF(F528="","INFORMAR PRAZO","SEM DATA"),IF(P528&gt;=0,"DEFESA NO PRAZO","DEFESA FORA DO PRAZO")),IF(OR(H528="DECISÃO D.P",ISNUMBER(N528)),"SEM DEFESA",IF(H528="","SEM STATUS",IF(F528="","INFORMAR PRAZO",IF(P528="","SEM DATA",IF(P528&lt;0,"VENCIDO",IF(P528&lt;=DiasAlerta,"VENCE EM BREVE","NO PRAZO"))))))))</f>
        <v/>
      </c>
      <c r="R528" s="118" t="str">
        <f>IF(D528="","",TODAY()-D528)</f>
        <v/>
      </c>
      <c r="S528" s="111" t="n"/>
    </row>
    <row r="529" ht="18" customHeight="1">
      <c r="A529" s="110" t="n"/>
      <c r="B529" s="111" t="n"/>
      <c r="C529" s="111" t="n"/>
      <c r="D529" s="112" t="n"/>
      <c r="E529" s="111" t="n"/>
      <c r="F529" s="110" t="n"/>
      <c r="G529" s="113" t="n"/>
      <c r="H529" s="113" t="n"/>
      <c r="I529" s="111" t="n"/>
      <c r="J529" s="114" t="n"/>
      <c r="K529" s="114" t="n"/>
      <c r="L529" s="112" t="n"/>
      <c r="M529" s="112" t="n"/>
      <c r="N529" s="112" t="n"/>
      <c r="O529" s="115" t="str">
        <f>IF(OR(D529="",F529=""),"",D529+F529)</f>
        <v/>
      </c>
      <c r="P529" s="116" t="str">
        <f>IF(O529="","",IF(ISNUMBER(M529),O529-M529,IF(OR(H529="DECISÃO D.P",ISNUMBER(N529)),"",O529-TODAY())))</f>
        <v/>
      </c>
      <c r="Q529" s="117" t="str">
        <f>IF(B529="","",IF(ISNUMBER(N529),"DECIDIDO – ","")&amp;IF(ISNUMBER(M529),IF(P529="",IF(F529="","INFORMAR PRAZO","SEM DATA"),IF(P529&gt;=0,"DEFESA NO PRAZO","DEFESA FORA DO PRAZO")),IF(OR(H529="DECISÃO D.P",ISNUMBER(N529)),"SEM DEFESA",IF(H529="","SEM STATUS",IF(F529="","INFORMAR PRAZO",IF(P529="","SEM DATA",IF(P529&lt;0,"VENCIDO",IF(P529&lt;=DiasAlerta,"VENCE EM BREVE","NO PRAZO"))))))))</f>
        <v/>
      </c>
      <c r="R529" s="118" t="str">
        <f>IF(D529="","",TODAY()-D529)</f>
        <v/>
      </c>
      <c r="S529" s="111" t="n"/>
    </row>
    <row r="530" ht="18" customHeight="1">
      <c r="A530" s="110" t="n"/>
      <c r="B530" s="111" t="n"/>
      <c r="C530" s="111" t="n"/>
      <c r="D530" s="112" t="n"/>
      <c r="E530" s="111" t="n"/>
      <c r="F530" s="110" t="n"/>
      <c r="G530" s="113" t="n"/>
      <c r="H530" s="113" t="n"/>
      <c r="I530" s="111" t="n"/>
      <c r="J530" s="114" t="n"/>
      <c r="K530" s="114" t="n"/>
      <c r="L530" s="112" t="n"/>
      <c r="M530" s="112" t="n"/>
      <c r="N530" s="112" t="n"/>
      <c r="O530" s="115" t="str">
        <f>IF(OR(D530="",F530=""),"",D530+F530)</f>
        <v/>
      </c>
      <c r="P530" s="116" t="str">
        <f>IF(O530="","",IF(ISNUMBER(M530),O530-M530,IF(OR(H530="DECISÃO D.P",ISNUMBER(N530)),"",O530-TODAY())))</f>
        <v/>
      </c>
      <c r="Q530" s="117" t="str">
        <f>IF(B530="","",IF(ISNUMBER(N530),"DECIDIDO – ","")&amp;IF(ISNUMBER(M530),IF(P530="",IF(F530="","INFORMAR PRAZO","SEM DATA"),IF(P530&gt;=0,"DEFESA NO PRAZO","DEFESA FORA DO PRAZO")),IF(OR(H530="DECISÃO D.P",ISNUMBER(N530)),"SEM DEFESA",IF(H530="","SEM STATUS",IF(F530="","INFORMAR PRAZO",IF(P530="","SEM DATA",IF(P530&lt;0,"VENCIDO",IF(P530&lt;=DiasAlerta,"VENCE EM BREVE","NO PRAZO"))))))))</f>
        <v/>
      </c>
      <c r="R530" s="118" t="str">
        <f>IF(D530="","",TODAY()-D530)</f>
        <v/>
      </c>
      <c r="S530" s="111" t="n"/>
    </row>
    <row r="531" ht="18" customHeight="1">
      <c r="A531" s="110" t="n"/>
      <c r="B531" s="111" t="n"/>
      <c r="C531" s="111" t="n"/>
      <c r="D531" s="112" t="n"/>
      <c r="E531" s="111" t="n"/>
      <c r="F531" s="110" t="n"/>
      <c r="G531" s="113" t="n"/>
      <c r="H531" s="113" t="n"/>
      <c r="I531" s="111" t="n"/>
      <c r="J531" s="114" t="n"/>
      <c r="K531" s="114" t="n"/>
      <c r="L531" s="112" t="n"/>
      <c r="M531" s="112" t="n"/>
      <c r="N531" s="112" t="n"/>
      <c r="O531" s="115" t="str">
        <f>IF(OR(D531="",F531=""),"",D531+F531)</f>
        <v/>
      </c>
      <c r="P531" s="116" t="str">
        <f>IF(O531="","",IF(ISNUMBER(M531),O531-M531,IF(OR(H531="DECISÃO D.P",ISNUMBER(N531)),"",O531-TODAY())))</f>
        <v/>
      </c>
      <c r="Q531" s="117" t="str">
        <f>IF(B531="","",IF(ISNUMBER(N531),"DECIDIDO – ","")&amp;IF(ISNUMBER(M531),IF(P531="",IF(F531="","INFORMAR PRAZO","SEM DATA"),IF(P531&gt;=0,"DEFESA NO PRAZO","DEFESA FORA DO PRAZO")),IF(OR(H531="DECISÃO D.P",ISNUMBER(N531)),"SEM DEFESA",IF(H531="","SEM STATUS",IF(F531="","INFORMAR PRAZO",IF(P531="","SEM DATA",IF(P531&lt;0,"VENCIDO",IF(P531&lt;=DiasAlerta,"VENCE EM BREVE","NO PRAZO"))))))))</f>
        <v/>
      </c>
      <c r="R531" s="118" t="str">
        <f>IF(D531="","",TODAY()-D531)</f>
        <v/>
      </c>
      <c r="S531" s="111" t="n"/>
    </row>
    <row r="532" ht="18" customHeight="1">
      <c r="A532" s="110" t="n"/>
      <c r="B532" s="111" t="n"/>
      <c r="C532" s="111" t="n"/>
      <c r="D532" s="112" t="n"/>
      <c r="E532" s="111" t="n"/>
      <c r="F532" s="110" t="n"/>
      <c r="G532" s="113" t="n"/>
      <c r="H532" s="113" t="n"/>
      <c r="I532" s="111" t="n"/>
      <c r="J532" s="114" t="n"/>
      <c r="K532" s="114" t="n"/>
      <c r="L532" s="112" t="n"/>
      <c r="M532" s="112" t="n"/>
      <c r="N532" s="112" t="n"/>
      <c r="O532" s="115" t="str">
        <f>IF(OR(D532="",F532=""),"",D532+F532)</f>
        <v/>
      </c>
      <c r="P532" s="116" t="str">
        <f>IF(O532="","",IF(ISNUMBER(M532),O532-M532,IF(OR(H532="DECISÃO D.P",ISNUMBER(N532)),"",O532-TODAY())))</f>
        <v/>
      </c>
      <c r="Q532" s="117" t="str">
        <f>IF(B532="","",IF(ISNUMBER(N532),"DECIDIDO – ","")&amp;IF(ISNUMBER(M532),IF(P532="",IF(F532="","INFORMAR PRAZO","SEM DATA"),IF(P532&gt;=0,"DEFESA NO PRAZO","DEFESA FORA DO PRAZO")),IF(OR(H532="DECISÃO D.P",ISNUMBER(N532)),"SEM DEFESA",IF(H532="","SEM STATUS",IF(F532="","INFORMAR PRAZO",IF(P532="","SEM DATA",IF(P532&lt;0,"VENCIDO",IF(P532&lt;=DiasAlerta,"VENCE EM BREVE","NO PRAZO"))))))))</f>
        <v/>
      </c>
      <c r="R532" s="118" t="str">
        <f>IF(D532="","",TODAY()-D532)</f>
        <v/>
      </c>
      <c r="S532" s="111" t="n"/>
    </row>
    <row r="533" ht="18" customHeight="1">
      <c r="A533" s="110" t="n"/>
      <c r="B533" s="111" t="n"/>
      <c r="C533" s="111" t="n"/>
      <c r="D533" s="112" t="n"/>
      <c r="E533" s="111" t="n"/>
      <c r="F533" s="110" t="n"/>
      <c r="G533" s="113" t="n"/>
      <c r="H533" s="113" t="n"/>
      <c r="I533" s="111" t="n"/>
      <c r="J533" s="114" t="n"/>
      <c r="K533" s="114" t="n"/>
      <c r="L533" s="112" t="n"/>
      <c r="M533" s="112" t="n"/>
      <c r="N533" s="112" t="n"/>
      <c r="O533" s="115" t="str">
        <f>IF(OR(D533="",F533=""),"",D533+F533)</f>
        <v/>
      </c>
      <c r="P533" s="116" t="str">
        <f>IF(O533="","",IF(ISNUMBER(M533),O533-M533,IF(OR(H533="DECISÃO D.P",ISNUMBER(N533)),"",O533-TODAY())))</f>
        <v/>
      </c>
      <c r="Q533" s="117" t="str">
        <f>IF(B533="","",IF(ISNUMBER(N533),"DECIDIDO – ","")&amp;IF(ISNUMBER(M533),IF(P533="",IF(F533="","INFORMAR PRAZO","SEM DATA"),IF(P533&gt;=0,"DEFESA NO PRAZO","DEFESA FORA DO PRAZO")),IF(OR(H533="DECISÃO D.P",ISNUMBER(N533)),"SEM DEFESA",IF(H533="","SEM STATUS",IF(F533="","INFORMAR PRAZO",IF(P533="","SEM DATA",IF(P533&lt;0,"VENCIDO",IF(P533&lt;=DiasAlerta,"VENCE EM BREVE","NO PRAZO"))))))))</f>
        <v/>
      </c>
      <c r="R533" s="118" t="str">
        <f>IF(D533="","",TODAY()-D533)</f>
        <v/>
      </c>
      <c r="S533" s="111" t="n"/>
    </row>
    <row r="534" ht="18" customHeight="1">
      <c r="A534" s="110" t="n"/>
      <c r="B534" s="111" t="n"/>
      <c r="C534" s="111" t="n"/>
      <c r="D534" s="112" t="n"/>
      <c r="E534" s="111" t="n"/>
      <c r="F534" s="110" t="n"/>
      <c r="G534" s="113" t="n"/>
      <c r="H534" s="113" t="n"/>
      <c r="I534" s="111" t="n"/>
      <c r="J534" s="114" t="n"/>
      <c r="K534" s="114" t="n"/>
      <c r="L534" s="112" t="n"/>
      <c r="M534" s="112" t="n"/>
      <c r="N534" s="112" t="n"/>
      <c r="O534" s="115" t="str">
        <f>IF(OR(D534="",F534=""),"",D534+F534)</f>
        <v/>
      </c>
      <c r="P534" s="116" t="str">
        <f>IF(O534="","",IF(ISNUMBER(M534),O534-M534,IF(OR(H534="DECISÃO D.P",ISNUMBER(N534)),"",O534-TODAY())))</f>
        <v/>
      </c>
      <c r="Q534" s="117" t="str">
        <f>IF(B534="","",IF(ISNUMBER(N534),"DECIDIDO – ","")&amp;IF(ISNUMBER(M534),IF(P534="",IF(F534="","INFORMAR PRAZO","SEM DATA"),IF(P534&gt;=0,"DEFESA NO PRAZO","DEFESA FORA DO PRAZO")),IF(OR(H534="DECISÃO D.P",ISNUMBER(N534)),"SEM DEFESA",IF(H534="","SEM STATUS",IF(F534="","INFORMAR PRAZO",IF(P534="","SEM DATA",IF(P534&lt;0,"VENCIDO",IF(P534&lt;=DiasAlerta,"VENCE EM BREVE","NO PRAZO"))))))))</f>
        <v/>
      </c>
      <c r="R534" s="118" t="str">
        <f>IF(D534="","",TODAY()-D534)</f>
        <v/>
      </c>
      <c r="S534" s="111" t="n"/>
    </row>
    <row r="535" ht="18" customHeight="1">
      <c r="A535" s="110" t="n"/>
      <c r="B535" s="111" t="n"/>
      <c r="C535" s="111" t="n"/>
      <c r="D535" s="112" t="n"/>
      <c r="E535" s="111" t="n"/>
      <c r="F535" s="110" t="n"/>
      <c r="G535" s="113" t="n"/>
      <c r="H535" s="113" t="n"/>
      <c r="I535" s="111" t="n"/>
      <c r="J535" s="114" t="n"/>
      <c r="K535" s="114" t="n"/>
      <c r="L535" s="112" t="n"/>
      <c r="M535" s="112" t="n"/>
      <c r="N535" s="112" t="n"/>
      <c r="O535" s="115" t="str">
        <f>IF(OR(D535="",F535=""),"",D535+F535)</f>
        <v/>
      </c>
      <c r="P535" s="116" t="str">
        <f>IF(O535="","",IF(ISNUMBER(M535),O535-M535,IF(OR(H535="DECISÃO D.P",ISNUMBER(N535)),"",O535-TODAY())))</f>
        <v/>
      </c>
      <c r="Q535" s="117" t="str">
        <f>IF(B535="","",IF(ISNUMBER(N535),"DECIDIDO – ","")&amp;IF(ISNUMBER(M535),IF(P535="",IF(F535="","INFORMAR PRAZO","SEM DATA"),IF(P535&gt;=0,"DEFESA NO PRAZO","DEFESA FORA DO PRAZO")),IF(OR(H535="DECISÃO D.P",ISNUMBER(N535)),"SEM DEFESA",IF(H535="","SEM STATUS",IF(F535="","INFORMAR PRAZO",IF(P535="","SEM DATA",IF(P535&lt;0,"VENCIDO",IF(P535&lt;=DiasAlerta,"VENCE EM BREVE","NO PRAZO"))))))))</f>
        <v/>
      </c>
      <c r="R535" s="118" t="str">
        <f>IF(D535="","",TODAY()-D535)</f>
        <v/>
      </c>
      <c r="S535" s="111" t="n"/>
    </row>
    <row r="536" ht="18" customHeight="1">
      <c r="A536" s="110" t="n"/>
      <c r="B536" s="111" t="n"/>
      <c r="C536" s="111" t="n"/>
      <c r="D536" s="112" t="n"/>
      <c r="E536" s="111" t="n"/>
      <c r="F536" s="110" t="n"/>
      <c r="G536" s="113" t="n"/>
      <c r="H536" s="113" t="n"/>
      <c r="I536" s="111" t="n"/>
      <c r="J536" s="114" t="n"/>
      <c r="K536" s="114" t="n"/>
      <c r="L536" s="112" t="n"/>
      <c r="M536" s="112" t="n"/>
      <c r="N536" s="112" t="n"/>
      <c r="O536" s="115" t="str">
        <f>IF(OR(D536="",F536=""),"",D536+F536)</f>
        <v/>
      </c>
      <c r="P536" s="116" t="str">
        <f>IF(O536="","",IF(ISNUMBER(M536),O536-M536,IF(OR(H536="DECISÃO D.P",ISNUMBER(N536)),"",O536-TODAY())))</f>
        <v/>
      </c>
      <c r="Q536" s="117" t="str">
        <f>IF(B536="","",IF(ISNUMBER(N536),"DECIDIDO – ","")&amp;IF(ISNUMBER(M536),IF(P536="",IF(F536="","INFORMAR PRAZO","SEM DATA"),IF(P536&gt;=0,"DEFESA NO PRAZO","DEFESA FORA DO PRAZO")),IF(OR(H536="DECISÃO D.P",ISNUMBER(N536)),"SEM DEFESA",IF(H536="","SEM STATUS",IF(F536="","INFORMAR PRAZO",IF(P536="","SEM DATA",IF(P536&lt;0,"VENCIDO",IF(P536&lt;=DiasAlerta,"VENCE EM BREVE","NO PRAZO"))))))))</f>
        <v/>
      </c>
      <c r="R536" s="118" t="str">
        <f>IF(D536="","",TODAY()-D536)</f>
        <v/>
      </c>
      <c r="S536" s="111" t="n"/>
    </row>
    <row r="537" ht="18" customHeight="1">
      <c r="A537" s="110" t="n"/>
      <c r="B537" s="111" t="n"/>
      <c r="C537" s="111" t="n"/>
      <c r="D537" s="112" t="n"/>
      <c r="E537" s="111" t="n"/>
      <c r="F537" s="110" t="n"/>
      <c r="G537" s="113" t="n"/>
      <c r="H537" s="113" t="n"/>
      <c r="I537" s="111" t="n"/>
      <c r="J537" s="114" t="n"/>
      <c r="K537" s="114" t="n"/>
      <c r="L537" s="112" t="n"/>
      <c r="M537" s="112" t="n"/>
      <c r="N537" s="112" t="n"/>
      <c r="O537" s="115" t="str">
        <f>IF(OR(D537="",F537=""),"",D537+F537)</f>
        <v/>
      </c>
      <c r="P537" s="116" t="str">
        <f>IF(O537="","",IF(ISNUMBER(M537),O537-M537,IF(OR(H537="DECISÃO D.P",ISNUMBER(N537)),"",O537-TODAY())))</f>
        <v/>
      </c>
      <c r="Q537" s="117" t="str">
        <f>IF(B537="","",IF(ISNUMBER(N537),"DECIDIDO – ","")&amp;IF(ISNUMBER(M537),IF(P537="",IF(F537="","INFORMAR PRAZO","SEM DATA"),IF(P537&gt;=0,"DEFESA NO PRAZO","DEFESA FORA DO PRAZO")),IF(OR(H537="DECISÃO D.P",ISNUMBER(N537)),"SEM DEFESA",IF(H537="","SEM STATUS",IF(F537="","INFORMAR PRAZO",IF(P537="","SEM DATA",IF(P537&lt;0,"VENCIDO",IF(P537&lt;=DiasAlerta,"VENCE EM BREVE","NO PRAZO"))))))))</f>
        <v/>
      </c>
      <c r="R537" s="118" t="str">
        <f>IF(D537="","",TODAY()-D537)</f>
        <v/>
      </c>
      <c r="S537" s="111" t="n"/>
    </row>
    <row r="538" ht="18" customHeight="1">
      <c r="A538" s="110" t="n"/>
      <c r="B538" s="111" t="n"/>
      <c r="C538" s="111" t="n"/>
      <c r="D538" s="112" t="n"/>
      <c r="E538" s="111" t="n"/>
      <c r="F538" s="110" t="n"/>
      <c r="G538" s="113" t="n"/>
      <c r="H538" s="113" t="n"/>
      <c r="I538" s="111" t="n"/>
      <c r="J538" s="114" t="n"/>
      <c r="K538" s="114" t="n"/>
      <c r="L538" s="112" t="n"/>
      <c r="M538" s="112" t="n"/>
      <c r="N538" s="112" t="n"/>
      <c r="O538" s="115" t="str">
        <f>IF(OR(D538="",F538=""),"",D538+F538)</f>
        <v/>
      </c>
      <c r="P538" s="116" t="str">
        <f>IF(O538="","",IF(ISNUMBER(M538),O538-M538,IF(OR(H538="DECISÃO D.P",ISNUMBER(N538)),"",O538-TODAY())))</f>
        <v/>
      </c>
      <c r="Q538" s="117" t="str">
        <f>IF(B538="","",IF(ISNUMBER(N538),"DECIDIDO – ","")&amp;IF(ISNUMBER(M538),IF(P538="",IF(F538="","INFORMAR PRAZO","SEM DATA"),IF(P538&gt;=0,"DEFESA NO PRAZO","DEFESA FORA DO PRAZO")),IF(OR(H538="DECISÃO D.P",ISNUMBER(N538)),"SEM DEFESA",IF(H538="","SEM STATUS",IF(F538="","INFORMAR PRAZO",IF(P538="","SEM DATA",IF(P538&lt;0,"VENCIDO",IF(P538&lt;=DiasAlerta,"VENCE EM BREVE","NO PRAZO"))))))))</f>
        <v/>
      </c>
      <c r="R538" s="118" t="str">
        <f>IF(D538="","",TODAY()-D538)</f>
        <v/>
      </c>
      <c r="S538" s="111" t="n"/>
    </row>
    <row r="539" ht="18" customHeight="1">
      <c r="A539" s="110" t="n"/>
      <c r="B539" s="111" t="n"/>
      <c r="C539" s="111" t="n"/>
      <c r="D539" s="112" t="n"/>
      <c r="E539" s="111" t="n"/>
      <c r="F539" s="110" t="n"/>
      <c r="G539" s="113" t="n"/>
      <c r="H539" s="113" t="n"/>
      <c r="I539" s="111" t="n"/>
      <c r="J539" s="114" t="n"/>
      <c r="K539" s="114" t="n"/>
      <c r="L539" s="112" t="n"/>
      <c r="M539" s="112" t="n"/>
      <c r="N539" s="112" t="n"/>
      <c r="O539" s="115" t="str">
        <f>IF(OR(D539="",F539=""),"",D539+F539)</f>
        <v/>
      </c>
      <c r="P539" s="116" t="str">
        <f>IF(O539="","",IF(ISNUMBER(M539),O539-M539,IF(OR(H539="DECISÃO D.P",ISNUMBER(N539)),"",O539-TODAY())))</f>
        <v/>
      </c>
      <c r="Q539" s="117" t="str">
        <f>IF(B539="","",IF(ISNUMBER(N539),"DECIDIDO – ","")&amp;IF(ISNUMBER(M539),IF(P539="",IF(F539="","INFORMAR PRAZO","SEM DATA"),IF(P539&gt;=0,"DEFESA NO PRAZO","DEFESA FORA DO PRAZO")),IF(OR(H539="DECISÃO D.P",ISNUMBER(N539)),"SEM DEFESA",IF(H539="","SEM STATUS",IF(F539="","INFORMAR PRAZO",IF(P539="","SEM DATA",IF(P539&lt;0,"VENCIDO",IF(P539&lt;=DiasAlerta,"VENCE EM BREVE","NO PRAZO"))))))))</f>
        <v/>
      </c>
      <c r="R539" s="118" t="str">
        <f>IF(D539="","",TODAY()-D539)</f>
        <v/>
      </c>
      <c r="S539" s="111" t="n"/>
    </row>
    <row r="540" ht="18" customHeight="1">
      <c r="A540" s="110" t="n"/>
      <c r="B540" s="111" t="n"/>
      <c r="C540" s="111" t="n"/>
      <c r="D540" s="112" t="n"/>
      <c r="E540" s="111" t="n"/>
      <c r="F540" s="110" t="n"/>
      <c r="G540" s="113" t="n"/>
      <c r="H540" s="113" t="n"/>
      <c r="I540" s="111" t="n"/>
      <c r="J540" s="114" t="n"/>
      <c r="K540" s="114" t="n"/>
      <c r="L540" s="112" t="n"/>
      <c r="M540" s="112" t="n"/>
      <c r="N540" s="112" t="n"/>
      <c r="O540" s="115" t="str">
        <f>IF(OR(D540="",F540=""),"",D540+F540)</f>
        <v/>
      </c>
      <c r="P540" s="116" t="str">
        <f>IF(O540="","",IF(ISNUMBER(M540),O540-M540,IF(OR(H540="DECISÃO D.P",ISNUMBER(N540)),"",O540-TODAY())))</f>
        <v/>
      </c>
      <c r="Q540" s="117" t="str">
        <f>IF(B540="","",IF(ISNUMBER(N540),"DECIDIDO – ","")&amp;IF(ISNUMBER(M540),IF(P540="",IF(F540="","INFORMAR PRAZO","SEM DATA"),IF(P540&gt;=0,"DEFESA NO PRAZO","DEFESA FORA DO PRAZO")),IF(OR(H540="DECISÃO D.P",ISNUMBER(N540)),"SEM DEFESA",IF(H540="","SEM STATUS",IF(F540="","INFORMAR PRAZO",IF(P540="","SEM DATA",IF(P540&lt;0,"VENCIDO",IF(P540&lt;=DiasAlerta,"VENCE EM BREVE","NO PRAZO"))))))))</f>
        <v/>
      </c>
      <c r="R540" s="118" t="str">
        <f>IF(D540="","",TODAY()-D540)</f>
        <v/>
      </c>
      <c r="S540" s="111" t="n"/>
    </row>
    <row r="541" ht="18" customHeight="1">
      <c r="A541" s="110" t="n"/>
      <c r="B541" s="111" t="n"/>
      <c r="C541" s="111" t="n"/>
      <c r="D541" s="112" t="n"/>
      <c r="E541" s="111" t="n"/>
      <c r="F541" s="110" t="n"/>
      <c r="G541" s="113" t="n"/>
      <c r="H541" s="113" t="n"/>
      <c r="I541" s="111" t="n"/>
      <c r="J541" s="114" t="n"/>
      <c r="K541" s="114" t="n"/>
      <c r="L541" s="112" t="n"/>
      <c r="M541" s="112" t="n"/>
      <c r="N541" s="112" t="n"/>
      <c r="O541" s="115" t="str">
        <f>IF(OR(D541="",F541=""),"",D541+F541)</f>
        <v/>
      </c>
      <c r="P541" s="116" t="str">
        <f>IF(O541="","",IF(ISNUMBER(M541),O541-M541,IF(OR(H541="DECISÃO D.P",ISNUMBER(N541)),"",O541-TODAY())))</f>
        <v/>
      </c>
      <c r="Q541" s="117" t="str">
        <f>IF(B541="","",IF(ISNUMBER(N541),"DECIDIDO – ","")&amp;IF(ISNUMBER(M541),IF(P541="",IF(F541="","INFORMAR PRAZO","SEM DATA"),IF(P541&gt;=0,"DEFESA NO PRAZO","DEFESA FORA DO PRAZO")),IF(OR(H541="DECISÃO D.P",ISNUMBER(N541)),"SEM DEFESA",IF(H541="","SEM STATUS",IF(F541="","INFORMAR PRAZO",IF(P541="","SEM DATA",IF(P541&lt;0,"VENCIDO",IF(P541&lt;=DiasAlerta,"VENCE EM BREVE","NO PRAZO"))))))))</f>
        <v/>
      </c>
      <c r="R541" s="118" t="str">
        <f>IF(D541="","",TODAY()-D541)</f>
        <v/>
      </c>
      <c r="S541" s="111" t="n"/>
    </row>
    <row r="542" ht="18" customHeight="1">
      <c r="A542" s="110" t="n"/>
      <c r="B542" s="111" t="n"/>
      <c r="C542" s="111" t="n"/>
      <c r="D542" s="112" t="n"/>
      <c r="E542" s="111" t="n"/>
      <c r="F542" s="110" t="n"/>
      <c r="G542" s="113" t="n"/>
      <c r="H542" s="113" t="n"/>
      <c r="I542" s="111" t="n"/>
      <c r="J542" s="114" t="n"/>
      <c r="K542" s="114" t="n"/>
      <c r="L542" s="112" t="n"/>
      <c r="M542" s="112" t="n"/>
      <c r="N542" s="112" t="n"/>
      <c r="O542" s="115" t="str">
        <f>IF(OR(D542="",F542=""),"",D542+F542)</f>
        <v/>
      </c>
      <c r="P542" s="116" t="str">
        <f>IF(O542="","",IF(ISNUMBER(M542),O542-M542,IF(OR(H542="DECISÃO D.P",ISNUMBER(N542)),"",O542-TODAY())))</f>
        <v/>
      </c>
      <c r="Q542" s="117" t="str">
        <f>IF(B542="","",IF(ISNUMBER(N542),"DECIDIDO – ","")&amp;IF(ISNUMBER(M542),IF(P542="",IF(F542="","INFORMAR PRAZO","SEM DATA"),IF(P542&gt;=0,"DEFESA NO PRAZO","DEFESA FORA DO PRAZO")),IF(OR(H542="DECISÃO D.P",ISNUMBER(N542)),"SEM DEFESA",IF(H542="","SEM STATUS",IF(F542="","INFORMAR PRAZO",IF(P542="","SEM DATA",IF(P542&lt;0,"VENCIDO",IF(P542&lt;=DiasAlerta,"VENCE EM BREVE","NO PRAZO"))))))))</f>
        <v/>
      </c>
      <c r="R542" s="118" t="str">
        <f>IF(D542="","",TODAY()-D542)</f>
        <v/>
      </c>
      <c r="S542" s="111" t="n"/>
    </row>
    <row r="543" ht="18" customHeight="1">
      <c r="A543" s="110" t="n"/>
      <c r="B543" s="111" t="n"/>
      <c r="C543" s="111" t="n"/>
      <c r="D543" s="112" t="n"/>
      <c r="E543" s="111" t="n"/>
      <c r="F543" s="110" t="n"/>
      <c r="G543" s="113" t="n"/>
      <c r="H543" s="113" t="n"/>
      <c r="I543" s="111" t="n"/>
      <c r="J543" s="114" t="n"/>
      <c r="K543" s="114" t="n"/>
      <c r="L543" s="112" t="n"/>
      <c r="M543" s="112" t="n"/>
      <c r="N543" s="112" t="n"/>
      <c r="O543" s="115" t="str">
        <f>IF(OR(D543="",F543=""),"",D543+F543)</f>
        <v/>
      </c>
      <c r="P543" s="116" t="str">
        <f>IF(O543="","",IF(ISNUMBER(M543),O543-M543,IF(OR(H543="DECISÃO D.P",ISNUMBER(N543)),"",O543-TODAY())))</f>
        <v/>
      </c>
      <c r="Q543" s="117" t="str">
        <f>IF(B543="","",IF(ISNUMBER(N543),"DECIDIDO – ","")&amp;IF(ISNUMBER(M543),IF(P543="",IF(F543="","INFORMAR PRAZO","SEM DATA"),IF(P543&gt;=0,"DEFESA NO PRAZO","DEFESA FORA DO PRAZO")),IF(OR(H543="DECISÃO D.P",ISNUMBER(N543)),"SEM DEFESA",IF(H543="","SEM STATUS",IF(F543="","INFORMAR PRAZO",IF(P543="","SEM DATA",IF(P543&lt;0,"VENCIDO",IF(P543&lt;=DiasAlerta,"VENCE EM BREVE","NO PRAZO"))))))))</f>
        <v/>
      </c>
      <c r="R543" s="118" t="str">
        <f>IF(D543="","",TODAY()-D543)</f>
        <v/>
      </c>
      <c r="S543" s="111" t="n"/>
    </row>
    <row r="544" ht="18" customHeight="1">
      <c r="A544" s="110" t="n"/>
      <c r="B544" s="111" t="n"/>
      <c r="C544" s="111" t="n"/>
      <c r="D544" s="112" t="n"/>
      <c r="E544" s="111" t="n"/>
      <c r="F544" s="110" t="n"/>
      <c r="G544" s="113" t="n"/>
      <c r="H544" s="113" t="n"/>
      <c r="I544" s="111" t="n"/>
      <c r="J544" s="114" t="n"/>
      <c r="K544" s="114" t="n"/>
      <c r="L544" s="112" t="n"/>
      <c r="M544" s="112" t="n"/>
      <c r="N544" s="112" t="n"/>
      <c r="O544" s="115" t="str">
        <f>IF(OR(D544="",F544=""),"",D544+F544)</f>
        <v/>
      </c>
      <c r="P544" s="116" t="str">
        <f>IF(O544="","",IF(ISNUMBER(M544),O544-M544,IF(OR(H544="DECISÃO D.P",ISNUMBER(N544)),"",O544-TODAY())))</f>
        <v/>
      </c>
      <c r="Q544" s="117" t="str">
        <f>IF(B544="","",IF(ISNUMBER(N544),"DECIDIDO – ","")&amp;IF(ISNUMBER(M544),IF(P544="",IF(F544="","INFORMAR PRAZO","SEM DATA"),IF(P544&gt;=0,"DEFESA NO PRAZO","DEFESA FORA DO PRAZO")),IF(OR(H544="DECISÃO D.P",ISNUMBER(N544)),"SEM DEFESA",IF(H544="","SEM STATUS",IF(F544="","INFORMAR PRAZO",IF(P544="","SEM DATA",IF(P544&lt;0,"VENCIDO",IF(P544&lt;=DiasAlerta,"VENCE EM BREVE","NO PRAZO"))))))))</f>
        <v/>
      </c>
      <c r="R544" s="118" t="str">
        <f>IF(D544="","",TODAY()-D544)</f>
        <v/>
      </c>
      <c r="S544" s="111" t="n"/>
    </row>
    <row r="545" ht="18" customHeight="1">
      <c r="A545" s="110" t="n"/>
      <c r="B545" s="111" t="n"/>
      <c r="C545" s="111" t="n"/>
      <c r="D545" s="112" t="n"/>
      <c r="E545" s="111" t="n"/>
      <c r="F545" s="110" t="n"/>
      <c r="G545" s="113" t="n"/>
      <c r="H545" s="113" t="n"/>
      <c r="I545" s="111" t="n"/>
      <c r="J545" s="114" t="n"/>
      <c r="K545" s="114" t="n"/>
      <c r="L545" s="112" t="n"/>
      <c r="M545" s="112" t="n"/>
      <c r="N545" s="112" t="n"/>
      <c r="O545" s="115" t="str">
        <f>IF(OR(D545="",F545=""),"",D545+F545)</f>
        <v/>
      </c>
      <c r="P545" s="116" t="str">
        <f>IF(O545="","",IF(ISNUMBER(M545),O545-M545,IF(OR(H545="DECISÃO D.P",ISNUMBER(N545)),"",O545-TODAY())))</f>
        <v/>
      </c>
      <c r="Q545" s="117" t="str">
        <f>IF(B545="","",IF(ISNUMBER(N545),"DECIDIDO – ","")&amp;IF(ISNUMBER(M545),IF(P545="",IF(F545="","INFORMAR PRAZO","SEM DATA"),IF(P545&gt;=0,"DEFESA NO PRAZO","DEFESA FORA DO PRAZO")),IF(OR(H545="DECISÃO D.P",ISNUMBER(N545)),"SEM DEFESA",IF(H545="","SEM STATUS",IF(F545="","INFORMAR PRAZO",IF(P545="","SEM DATA",IF(P545&lt;0,"VENCIDO",IF(P545&lt;=DiasAlerta,"VENCE EM BREVE","NO PRAZO"))))))))</f>
        <v/>
      </c>
      <c r="R545" s="118" t="str">
        <f>IF(D545="","",TODAY()-D545)</f>
        <v/>
      </c>
      <c r="S545" s="111" t="n"/>
    </row>
    <row r="546" ht="18" customHeight="1">
      <c r="A546" s="110" t="n"/>
      <c r="B546" s="111" t="n"/>
      <c r="C546" s="111" t="n"/>
      <c r="D546" s="112" t="n"/>
      <c r="E546" s="111" t="n"/>
      <c r="F546" s="110" t="n"/>
      <c r="G546" s="113" t="n"/>
      <c r="H546" s="113" t="n"/>
      <c r="I546" s="111" t="n"/>
      <c r="J546" s="114" t="n"/>
      <c r="K546" s="114" t="n"/>
      <c r="L546" s="112" t="n"/>
      <c r="M546" s="112" t="n"/>
      <c r="N546" s="112" t="n"/>
      <c r="O546" s="115" t="str">
        <f>IF(OR(D546="",F546=""),"",D546+F546)</f>
        <v/>
      </c>
      <c r="P546" s="116" t="str">
        <f>IF(O546="","",IF(ISNUMBER(M546),O546-M546,IF(OR(H546="DECISÃO D.P",ISNUMBER(N546)),"",O546-TODAY())))</f>
        <v/>
      </c>
      <c r="Q546" s="117" t="str">
        <f>IF(B546="","",IF(ISNUMBER(N546),"DECIDIDO – ","")&amp;IF(ISNUMBER(M546),IF(P546="",IF(F546="","INFORMAR PRAZO","SEM DATA"),IF(P546&gt;=0,"DEFESA NO PRAZO","DEFESA FORA DO PRAZO")),IF(OR(H546="DECISÃO D.P",ISNUMBER(N546)),"SEM DEFESA",IF(H546="","SEM STATUS",IF(F546="","INFORMAR PRAZO",IF(P546="","SEM DATA",IF(P546&lt;0,"VENCIDO",IF(P546&lt;=DiasAlerta,"VENCE EM BREVE","NO PRAZO"))))))))</f>
        <v/>
      </c>
      <c r="R546" s="118" t="str">
        <f>IF(D546="","",TODAY()-D546)</f>
        <v/>
      </c>
      <c r="S546" s="111" t="n"/>
    </row>
    <row r="547" ht="18" customHeight="1">
      <c r="A547" s="110" t="n"/>
      <c r="B547" s="111" t="n"/>
      <c r="C547" s="111" t="n"/>
      <c r="D547" s="112" t="n"/>
      <c r="E547" s="111" t="n"/>
      <c r="F547" s="110" t="n"/>
      <c r="G547" s="113" t="n"/>
      <c r="H547" s="113" t="n"/>
      <c r="I547" s="111" t="n"/>
      <c r="J547" s="114" t="n"/>
      <c r="K547" s="114" t="n"/>
      <c r="L547" s="112" t="n"/>
      <c r="M547" s="112" t="n"/>
      <c r="N547" s="112" t="n"/>
      <c r="O547" s="115" t="str">
        <f>IF(OR(D547="",F547=""),"",D547+F547)</f>
        <v/>
      </c>
      <c r="P547" s="116" t="str">
        <f>IF(O547="","",IF(ISNUMBER(M547),O547-M547,IF(OR(H547="DECISÃO D.P",ISNUMBER(N547)),"",O547-TODAY())))</f>
        <v/>
      </c>
      <c r="Q547" s="117" t="str">
        <f>IF(B547="","",IF(ISNUMBER(N547),"DECIDIDO – ","")&amp;IF(ISNUMBER(M547),IF(P547="",IF(F547="","INFORMAR PRAZO","SEM DATA"),IF(P547&gt;=0,"DEFESA NO PRAZO","DEFESA FORA DO PRAZO")),IF(OR(H547="DECISÃO D.P",ISNUMBER(N547)),"SEM DEFESA",IF(H547="","SEM STATUS",IF(F547="","INFORMAR PRAZO",IF(P547="","SEM DATA",IF(P547&lt;0,"VENCIDO",IF(P547&lt;=DiasAlerta,"VENCE EM BREVE","NO PRAZO"))))))))</f>
        <v/>
      </c>
      <c r="R547" s="118" t="str">
        <f>IF(D547="","",TODAY()-D547)</f>
        <v/>
      </c>
      <c r="S547" s="111" t="n"/>
    </row>
    <row r="548" ht="18" customHeight="1">
      <c r="A548" s="110" t="n"/>
      <c r="B548" s="111" t="n"/>
      <c r="C548" s="111" t="n"/>
      <c r="D548" s="112" t="n"/>
      <c r="E548" s="111" t="n"/>
      <c r="F548" s="110" t="n"/>
      <c r="G548" s="113" t="n"/>
      <c r="H548" s="113" t="n"/>
      <c r="I548" s="111" t="n"/>
      <c r="J548" s="114" t="n"/>
      <c r="K548" s="114" t="n"/>
      <c r="L548" s="112" t="n"/>
      <c r="M548" s="112" t="n"/>
      <c r="N548" s="112" t="n"/>
      <c r="O548" s="115" t="str">
        <f>IF(OR(D548="",F548=""),"",D548+F548)</f>
        <v/>
      </c>
      <c r="P548" s="116" t="str">
        <f>IF(O548="","",IF(ISNUMBER(M548),O548-M548,IF(OR(H548="DECISÃO D.P",ISNUMBER(N548)),"",O548-TODAY())))</f>
        <v/>
      </c>
      <c r="Q548" s="117" t="str">
        <f>IF(B548="","",IF(ISNUMBER(N548),"DECIDIDO – ","")&amp;IF(ISNUMBER(M548),IF(P548="",IF(F548="","INFORMAR PRAZO","SEM DATA"),IF(P548&gt;=0,"DEFESA NO PRAZO","DEFESA FORA DO PRAZO")),IF(OR(H548="DECISÃO D.P",ISNUMBER(N548)),"SEM DEFESA",IF(H548="","SEM STATUS",IF(F548="","INFORMAR PRAZO",IF(P548="","SEM DATA",IF(P548&lt;0,"VENCIDO",IF(P548&lt;=DiasAlerta,"VENCE EM BREVE","NO PRAZO"))))))))</f>
        <v/>
      </c>
      <c r="R548" s="118" t="str">
        <f>IF(D548="","",TODAY()-D548)</f>
        <v/>
      </c>
      <c r="S548" s="111" t="n"/>
    </row>
    <row r="549" ht="18" customHeight="1">
      <c r="A549" s="110" t="n"/>
      <c r="B549" s="111" t="n"/>
      <c r="C549" s="111" t="n"/>
      <c r="D549" s="112" t="n"/>
      <c r="E549" s="111" t="n"/>
      <c r="F549" s="110" t="n"/>
      <c r="G549" s="113" t="n"/>
      <c r="H549" s="113" t="n"/>
      <c r="I549" s="111" t="n"/>
      <c r="J549" s="114" t="n"/>
      <c r="K549" s="114" t="n"/>
      <c r="L549" s="112" t="n"/>
      <c r="M549" s="112" t="n"/>
      <c r="N549" s="112" t="n"/>
      <c r="O549" s="115" t="str">
        <f>IF(OR(D549="",F549=""),"",D549+F549)</f>
        <v/>
      </c>
      <c r="P549" s="116" t="str">
        <f>IF(O549="","",IF(ISNUMBER(M549),O549-M549,IF(OR(H549="DECISÃO D.P",ISNUMBER(N549)),"",O549-TODAY())))</f>
        <v/>
      </c>
      <c r="Q549" s="117" t="str">
        <f>IF(B549="","",IF(ISNUMBER(N549),"DECIDIDO – ","")&amp;IF(ISNUMBER(M549),IF(P549="",IF(F549="","INFORMAR PRAZO","SEM DATA"),IF(P549&gt;=0,"DEFESA NO PRAZO","DEFESA FORA DO PRAZO")),IF(OR(H549="DECISÃO D.P",ISNUMBER(N549)),"SEM DEFESA",IF(H549="","SEM STATUS",IF(F549="","INFORMAR PRAZO",IF(P549="","SEM DATA",IF(P549&lt;0,"VENCIDO",IF(P549&lt;=DiasAlerta,"VENCE EM BREVE","NO PRAZO"))))))))</f>
        <v/>
      </c>
      <c r="R549" s="118" t="str">
        <f>IF(D549="","",TODAY()-D549)</f>
        <v/>
      </c>
      <c r="S549" s="111" t="n"/>
    </row>
    <row r="550" ht="18" customHeight="1">
      <c r="A550" s="110" t="n"/>
      <c r="B550" s="111" t="n"/>
      <c r="C550" s="111" t="n"/>
      <c r="D550" s="112" t="n"/>
      <c r="E550" s="111" t="n"/>
      <c r="F550" s="110" t="n"/>
      <c r="G550" s="113" t="n"/>
      <c r="H550" s="113" t="n"/>
      <c r="I550" s="111" t="n"/>
      <c r="J550" s="114" t="n"/>
      <c r="K550" s="114" t="n"/>
      <c r="L550" s="112" t="n"/>
      <c r="M550" s="112" t="n"/>
      <c r="N550" s="112" t="n"/>
      <c r="O550" s="115" t="str">
        <f>IF(OR(D550="",F550=""),"",D550+F550)</f>
        <v/>
      </c>
      <c r="P550" s="116" t="str">
        <f>IF(O550="","",IF(ISNUMBER(M550),O550-M550,IF(OR(H550="DECISÃO D.P",ISNUMBER(N550)),"",O550-TODAY())))</f>
        <v/>
      </c>
      <c r="Q550" s="117" t="str">
        <f>IF(B550="","",IF(ISNUMBER(N550),"DECIDIDO – ","")&amp;IF(ISNUMBER(M550),IF(P550="",IF(F550="","INFORMAR PRAZO","SEM DATA"),IF(P550&gt;=0,"DEFESA NO PRAZO","DEFESA FORA DO PRAZO")),IF(OR(H550="DECISÃO D.P",ISNUMBER(N550)),"SEM DEFESA",IF(H550="","SEM STATUS",IF(F550="","INFORMAR PRAZO",IF(P550="","SEM DATA",IF(P550&lt;0,"VENCIDO",IF(P550&lt;=DiasAlerta,"VENCE EM BREVE","NO PRAZO"))))))))</f>
        <v/>
      </c>
      <c r="R550" s="118" t="str">
        <f>IF(D550="","",TODAY()-D550)</f>
        <v/>
      </c>
      <c r="S550" s="111" t="n"/>
    </row>
    <row r="551" ht="18" customHeight="1">
      <c r="A551" s="110" t="n"/>
      <c r="B551" s="111" t="n"/>
      <c r="C551" s="111" t="n"/>
      <c r="D551" s="112" t="n"/>
      <c r="E551" s="111" t="n"/>
      <c r="F551" s="110" t="n"/>
      <c r="G551" s="113" t="n"/>
      <c r="H551" s="113" t="n"/>
      <c r="I551" s="111" t="n"/>
      <c r="J551" s="114" t="n"/>
      <c r="K551" s="114" t="n"/>
      <c r="L551" s="112" t="n"/>
      <c r="M551" s="112" t="n"/>
      <c r="N551" s="112" t="n"/>
      <c r="O551" s="115" t="str">
        <f>IF(OR(D551="",F551=""),"",D551+F551)</f>
        <v/>
      </c>
      <c r="P551" s="116" t="str">
        <f>IF(O551="","",IF(ISNUMBER(M551),O551-M551,IF(OR(H551="DECISÃO D.P",ISNUMBER(N551)),"",O551-TODAY())))</f>
        <v/>
      </c>
      <c r="Q551" s="117" t="str">
        <f>IF(B551="","",IF(ISNUMBER(N551),"DECIDIDO – ","")&amp;IF(ISNUMBER(M551),IF(P551="",IF(F551="","INFORMAR PRAZO","SEM DATA"),IF(P551&gt;=0,"DEFESA NO PRAZO","DEFESA FORA DO PRAZO")),IF(OR(H551="DECISÃO D.P",ISNUMBER(N551)),"SEM DEFESA",IF(H551="","SEM STATUS",IF(F551="","INFORMAR PRAZO",IF(P551="","SEM DATA",IF(P551&lt;0,"VENCIDO",IF(P551&lt;=DiasAlerta,"VENCE EM BREVE","NO PRAZO"))))))))</f>
        <v/>
      </c>
      <c r="R551" s="118" t="str">
        <f>IF(D551="","",TODAY()-D551)</f>
        <v/>
      </c>
      <c r="S551" s="111" t="n"/>
    </row>
    <row r="552" ht="18" customHeight="1">
      <c r="A552" s="110" t="n"/>
      <c r="B552" s="111" t="n"/>
      <c r="C552" s="111" t="n"/>
      <c r="D552" s="112" t="n"/>
      <c r="E552" s="111" t="n"/>
      <c r="F552" s="110" t="n"/>
      <c r="G552" s="113" t="n"/>
      <c r="H552" s="113" t="n"/>
      <c r="I552" s="111" t="n"/>
      <c r="J552" s="114" t="n"/>
      <c r="K552" s="114" t="n"/>
      <c r="L552" s="112" t="n"/>
      <c r="M552" s="112" t="n"/>
      <c r="N552" s="112" t="n"/>
      <c r="O552" s="115" t="str">
        <f>IF(OR(D552="",F552=""),"",D552+F552)</f>
        <v/>
      </c>
      <c r="P552" s="116" t="str">
        <f>IF(O552="","",IF(ISNUMBER(M552),O552-M552,IF(OR(H552="DECISÃO D.P",ISNUMBER(N552)),"",O552-TODAY())))</f>
        <v/>
      </c>
      <c r="Q552" s="117" t="str">
        <f>IF(B552="","",IF(ISNUMBER(N552),"DECIDIDO – ","")&amp;IF(ISNUMBER(M552),IF(P552="",IF(F552="","INFORMAR PRAZO","SEM DATA"),IF(P552&gt;=0,"DEFESA NO PRAZO","DEFESA FORA DO PRAZO")),IF(OR(H552="DECISÃO D.P",ISNUMBER(N552)),"SEM DEFESA",IF(H552="","SEM STATUS",IF(F552="","INFORMAR PRAZO",IF(P552="","SEM DATA",IF(P552&lt;0,"VENCIDO",IF(P552&lt;=DiasAlerta,"VENCE EM BREVE","NO PRAZO"))))))))</f>
        <v/>
      </c>
      <c r="R552" s="118" t="str">
        <f>IF(D552="","",TODAY()-D552)</f>
        <v/>
      </c>
      <c r="S552" s="111" t="n"/>
    </row>
    <row r="553" ht="18" customHeight="1">
      <c r="A553" s="110" t="n"/>
      <c r="B553" s="111" t="n"/>
      <c r="C553" s="111" t="n"/>
      <c r="D553" s="112" t="n"/>
      <c r="E553" s="111" t="n"/>
      <c r="F553" s="110" t="n"/>
      <c r="G553" s="113" t="n"/>
      <c r="H553" s="113" t="n"/>
      <c r="I553" s="111" t="n"/>
      <c r="J553" s="114" t="n"/>
      <c r="K553" s="114" t="n"/>
      <c r="L553" s="112" t="n"/>
      <c r="M553" s="112" t="n"/>
      <c r="N553" s="112" t="n"/>
      <c r="O553" s="115" t="str">
        <f>IF(OR(D553="",F553=""),"",D553+F553)</f>
        <v/>
      </c>
      <c r="P553" s="116" t="str">
        <f>IF(O553="","",IF(ISNUMBER(M553),O553-M553,IF(OR(H553="DECISÃO D.P",ISNUMBER(N553)),"",O553-TODAY())))</f>
        <v/>
      </c>
      <c r="Q553" s="117" t="str">
        <f>IF(B553="","",IF(ISNUMBER(N553),"DECIDIDO – ","")&amp;IF(ISNUMBER(M553),IF(P553="",IF(F553="","INFORMAR PRAZO","SEM DATA"),IF(P553&gt;=0,"DEFESA NO PRAZO","DEFESA FORA DO PRAZO")),IF(OR(H553="DECISÃO D.P",ISNUMBER(N553)),"SEM DEFESA",IF(H553="","SEM STATUS",IF(F553="","INFORMAR PRAZO",IF(P553="","SEM DATA",IF(P553&lt;0,"VENCIDO",IF(P553&lt;=DiasAlerta,"VENCE EM BREVE","NO PRAZO"))))))))</f>
        <v/>
      </c>
      <c r="R553" s="118" t="str">
        <f>IF(D553="","",TODAY()-D553)</f>
        <v/>
      </c>
      <c r="S553" s="111" t="n"/>
    </row>
    <row r="554" ht="18" customHeight="1">
      <c r="A554" s="110" t="n"/>
      <c r="B554" s="111" t="n"/>
      <c r="C554" s="111" t="n"/>
      <c r="D554" s="112" t="n"/>
      <c r="E554" s="111" t="n"/>
      <c r="F554" s="110" t="n"/>
      <c r="G554" s="113" t="n"/>
      <c r="H554" s="113" t="n"/>
      <c r="I554" s="111" t="n"/>
      <c r="J554" s="114" t="n"/>
      <c r="K554" s="114" t="n"/>
      <c r="L554" s="112" t="n"/>
      <c r="M554" s="112" t="n"/>
      <c r="N554" s="112" t="n"/>
      <c r="O554" s="115" t="str">
        <f>IF(OR(D554="",F554=""),"",D554+F554)</f>
        <v/>
      </c>
      <c r="P554" s="116" t="str">
        <f>IF(O554="","",IF(ISNUMBER(M554),O554-M554,IF(OR(H554="DECISÃO D.P",ISNUMBER(N554)),"",O554-TODAY())))</f>
        <v/>
      </c>
      <c r="Q554" s="117" t="str">
        <f>IF(B554="","",IF(ISNUMBER(N554),"DECIDIDO – ","")&amp;IF(ISNUMBER(M554),IF(P554="",IF(F554="","INFORMAR PRAZO","SEM DATA"),IF(P554&gt;=0,"DEFESA NO PRAZO","DEFESA FORA DO PRAZO")),IF(OR(H554="DECISÃO D.P",ISNUMBER(N554)),"SEM DEFESA",IF(H554="","SEM STATUS",IF(F554="","INFORMAR PRAZO",IF(P554="","SEM DATA",IF(P554&lt;0,"VENCIDO",IF(P554&lt;=DiasAlerta,"VENCE EM BREVE","NO PRAZO"))))))))</f>
        <v/>
      </c>
      <c r="R554" s="118" t="str">
        <f>IF(D554="","",TODAY()-D554)</f>
        <v/>
      </c>
      <c r="S554" s="111" t="n"/>
    </row>
    <row r="555" ht="18" customHeight="1">
      <c r="A555" s="110" t="n"/>
      <c r="B555" s="111" t="n"/>
      <c r="C555" s="111" t="n"/>
      <c r="D555" s="112" t="n"/>
      <c r="E555" s="111" t="n"/>
      <c r="F555" s="110" t="n"/>
      <c r="G555" s="113" t="n"/>
      <c r="H555" s="113" t="n"/>
      <c r="I555" s="111" t="n"/>
      <c r="J555" s="114" t="n"/>
      <c r="K555" s="114" t="n"/>
      <c r="L555" s="112" t="n"/>
      <c r="M555" s="112" t="n"/>
      <c r="N555" s="112" t="n"/>
      <c r="O555" s="115" t="str">
        <f>IF(OR(D555="",F555=""),"",D555+F555)</f>
        <v/>
      </c>
      <c r="P555" s="116" t="str">
        <f>IF(O555="","",IF(ISNUMBER(M555),O555-M555,IF(OR(H555="DECISÃO D.P",ISNUMBER(N555)),"",O555-TODAY())))</f>
        <v/>
      </c>
      <c r="Q555" s="117" t="str">
        <f>IF(B555="","",IF(ISNUMBER(N555),"DECIDIDO – ","")&amp;IF(ISNUMBER(M555),IF(P555="",IF(F555="","INFORMAR PRAZO","SEM DATA"),IF(P555&gt;=0,"DEFESA NO PRAZO","DEFESA FORA DO PRAZO")),IF(OR(H555="DECISÃO D.P",ISNUMBER(N555)),"SEM DEFESA",IF(H555="","SEM STATUS",IF(F555="","INFORMAR PRAZO",IF(P555="","SEM DATA",IF(P555&lt;0,"VENCIDO",IF(P555&lt;=DiasAlerta,"VENCE EM BREVE","NO PRAZO"))))))))</f>
        <v/>
      </c>
      <c r="R555" s="118" t="str">
        <f>IF(D555="","",TODAY()-D555)</f>
        <v/>
      </c>
      <c r="S555" s="111" t="n"/>
    </row>
    <row r="556" ht="18" customHeight="1">
      <c r="A556" s="110" t="n"/>
      <c r="B556" s="111" t="n"/>
      <c r="C556" s="111" t="n"/>
      <c r="D556" s="112" t="n"/>
      <c r="E556" s="111" t="n"/>
      <c r="F556" s="110" t="n"/>
      <c r="G556" s="113" t="n"/>
      <c r="H556" s="113" t="n"/>
      <c r="I556" s="111" t="n"/>
      <c r="J556" s="114" t="n"/>
      <c r="K556" s="114" t="n"/>
      <c r="L556" s="112" t="n"/>
      <c r="M556" s="112" t="n"/>
      <c r="N556" s="112" t="n"/>
      <c r="O556" s="115" t="str">
        <f>IF(OR(D556="",F556=""),"",D556+F556)</f>
        <v/>
      </c>
      <c r="P556" s="116" t="str">
        <f>IF(O556="","",IF(ISNUMBER(M556),O556-M556,IF(OR(H556="DECISÃO D.P",ISNUMBER(N556)),"",O556-TODAY())))</f>
        <v/>
      </c>
      <c r="Q556" s="117" t="str">
        <f>IF(B556="","",IF(ISNUMBER(N556),"DECIDIDO – ","")&amp;IF(ISNUMBER(M556),IF(P556="",IF(F556="","INFORMAR PRAZO","SEM DATA"),IF(P556&gt;=0,"DEFESA NO PRAZO","DEFESA FORA DO PRAZO")),IF(OR(H556="DECISÃO D.P",ISNUMBER(N556)),"SEM DEFESA",IF(H556="","SEM STATUS",IF(F556="","INFORMAR PRAZO",IF(P556="","SEM DATA",IF(P556&lt;0,"VENCIDO",IF(P556&lt;=DiasAlerta,"VENCE EM BREVE","NO PRAZO"))))))))</f>
        <v/>
      </c>
      <c r="R556" s="118" t="str">
        <f>IF(D556="","",TODAY()-D556)</f>
        <v/>
      </c>
      <c r="S556" s="111" t="n"/>
    </row>
    <row r="557" ht="18" customHeight="1">
      <c r="A557" s="110" t="n"/>
      <c r="B557" s="111" t="n"/>
      <c r="C557" s="111" t="n"/>
      <c r="D557" s="112" t="n"/>
      <c r="E557" s="111" t="n"/>
      <c r="F557" s="110" t="n"/>
      <c r="G557" s="113" t="n"/>
      <c r="H557" s="113" t="n"/>
      <c r="I557" s="111" t="n"/>
      <c r="J557" s="114" t="n"/>
      <c r="K557" s="114" t="n"/>
      <c r="L557" s="112" t="n"/>
      <c r="M557" s="112" t="n"/>
      <c r="N557" s="112" t="n"/>
      <c r="O557" s="115" t="str">
        <f>IF(OR(D557="",F557=""),"",D557+F557)</f>
        <v/>
      </c>
      <c r="P557" s="116" t="str">
        <f>IF(O557="","",IF(ISNUMBER(M557),O557-M557,IF(OR(H557="DECISÃO D.P",ISNUMBER(N557)),"",O557-TODAY())))</f>
        <v/>
      </c>
      <c r="Q557" s="117" t="str">
        <f>IF(B557="","",IF(ISNUMBER(N557),"DECIDIDO – ","")&amp;IF(ISNUMBER(M557),IF(P557="",IF(F557="","INFORMAR PRAZO","SEM DATA"),IF(P557&gt;=0,"DEFESA NO PRAZO","DEFESA FORA DO PRAZO")),IF(OR(H557="DECISÃO D.P",ISNUMBER(N557)),"SEM DEFESA",IF(H557="","SEM STATUS",IF(F557="","INFORMAR PRAZO",IF(P557="","SEM DATA",IF(P557&lt;0,"VENCIDO",IF(P557&lt;=DiasAlerta,"VENCE EM BREVE","NO PRAZO"))))))))</f>
        <v/>
      </c>
      <c r="R557" s="118" t="str">
        <f>IF(D557="","",TODAY()-D557)</f>
        <v/>
      </c>
      <c r="S557" s="111" t="n"/>
    </row>
    <row r="558" ht="18" customHeight="1">
      <c r="A558" s="110" t="n"/>
      <c r="B558" s="111" t="n"/>
      <c r="C558" s="111" t="n"/>
      <c r="D558" s="112" t="n"/>
      <c r="E558" s="111" t="n"/>
      <c r="F558" s="110" t="n"/>
      <c r="G558" s="113" t="n"/>
      <c r="H558" s="113" t="n"/>
      <c r="I558" s="111" t="n"/>
      <c r="J558" s="114" t="n"/>
      <c r="K558" s="114" t="n"/>
      <c r="L558" s="112" t="n"/>
      <c r="M558" s="112" t="n"/>
      <c r="N558" s="112" t="n"/>
      <c r="O558" s="115" t="str">
        <f>IF(OR(D558="",F558=""),"",D558+F558)</f>
        <v/>
      </c>
      <c r="P558" s="116" t="str">
        <f>IF(O558="","",IF(ISNUMBER(M558),O558-M558,IF(OR(H558="DECISÃO D.P",ISNUMBER(N558)),"",O558-TODAY())))</f>
        <v/>
      </c>
      <c r="Q558" s="117" t="str">
        <f>IF(B558="","",IF(ISNUMBER(N558),"DECIDIDO – ","")&amp;IF(ISNUMBER(M558),IF(P558="",IF(F558="","INFORMAR PRAZO","SEM DATA"),IF(P558&gt;=0,"DEFESA NO PRAZO","DEFESA FORA DO PRAZO")),IF(OR(H558="DECISÃO D.P",ISNUMBER(N558)),"SEM DEFESA",IF(H558="","SEM STATUS",IF(F558="","INFORMAR PRAZO",IF(P558="","SEM DATA",IF(P558&lt;0,"VENCIDO",IF(P558&lt;=DiasAlerta,"VENCE EM BREVE","NO PRAZO"))))))))</f>
        <v/>
      </c>
      <c r="R558" s="118" t="str">
        <f>IF(D558="","",TODAY()-D558)</f>
        <v/>
      </c>
      <c r="S558" s="111" t="n"/>
    </row>
    <row r="559" ht="18" customHeight="1">
      <c r="A559" s="110" t="n"/>
      <c r="B559" s="111" t="n"/>
      <c r="C559" s="111" t="n"/>
      <c r="D559" s="112" t="n"/>
      <c r="E559" s="111" t="n"/>
      <c r="F559" s="110" t="n"/>
      <c r="G559" s="113" t="n"/>
      <c r="H559" s="113" t="n"/>
      <c r="I559" s="111" t="n"/>
      <c r="J559" s="114" t="n"/>
      <c r="K559" s="114" t="n"/>
      <c r="L559" s="112" t="n"/>
      <c r="M559" s="112" t="n"/>
      <c r="N559" s="112" t="n"/>
      <c r="O559" s="115" t="str">
        <f>IF(OR(D559="",F559=""),"",D559+F559)</f>
        <v/>
      </c>
      <c r="P559" s="116" t="str">
        <f>IF(O559="","",IF(ISNUMBER(M559),O559-M559,IF(OR(H559="DECISÃO D.P",ISNUMBER(N559)),"",O559-TODAY())))</f>
        <v/>
      </c>
      <c r="Q559" s="117" t="str">
        <f>IF(B559="","",IF(ISNUMBER(N559),"DECIDIDO – ","")&amp;IF(ISNUMBER(M559),IF(P559="",IF(F559="","INFORMAR PRAZO","SEM DATA"),IF(P559&gt;=0,"DEFESA NO PRAZO","DEFESA FORA DO PRAZO")),IF(OR(H559="DECISÃO D.P",ISNUMBER(N559)),"SEM DEFESA",IF(H559="","SEM STATUS",IF(F559="","INFORMAR PRAZO",IF(P559="","SEM DATA",IF(P559&lt;0,"VENCIDO",IF(P559&lt;=DiasAlerta,"VENCE EM BREVE","NO PRAZO"))))))))</f>
        <v/>
      </c>
      <c r="R559" s="118" t="str">
        <f>IF(D559="","",TODAY()-D559)</f>
        <v/>
      </c>
      <c r="S559" s="111" t="n"/>
    </row>
    <row r="560" ht="18" customHeight="1">
      <c r="A560" s="110" t="n"/>
      <c r="B560" s="111" t="n"/>
      <c r="C560" s="111" t="n"/>
      <c r="D560" s="112" t="n"/>
      <c r="E560" s="111" t="n"/>
      <c r="F560" s="110" t="n"/>
      <c r="G560" s="113" t="n"/>
      <c r="H560" s="113" t="n"/>
      <c r="I560" s="111" t="n"/>
      <c r="J560" s="114" t="n"/>
      <c r="K560" s="114" t="n"/>
      <c r="L560" s="112" t="n"/>
      <c r="M560" s="112" t="n"/>
      <c r="N560" s="112" t="n"/>
      <c r="O560" s="115" t="str">
        <f>IF(OR(D560="",F560=""),"",D560+F560)</f>
        <v/>
      </c>
      <c r="P560" s="116" t="str">
        <f>IF(O560="","",IF(ISNUMBER(M560),O560-M560,IF(OR(H560="DECISÃO D.P",ISNUMBER(N560)),"",O560-TODAY())))</f>
        <v/>
      </c>
      <c r="Q560" s="117" t="str">
        <f>IF(B560="","",IF(ISNUMBER(N560),"DECIDIDO – ","")&amp;IF(ISNUMBER(M560),IF(P560="",IF(F560="","INFORMAR PRAZO","SEM DATA"),IF(P560&gt;=0,"DEFESA NO PRAZO","DEFESA FORA DO PRAZO")),IF(OR(H560="DECISÃO D.P",ISNUMBER(N560)),"SEM DEFESA",IF(H560="","SEM STATUS",IF(F560="","INFORMAR PRAZO",IF(P560="","SEM DATA",IF(P560&lt;0,"VENCIDO",IF(P560&lt;=DiasAlerta,"VENCE EM BREVE","NO PRAZO"))))))))</f>
        <v/>
      </c>
      <c r="R560" s="118" t="str">
        <f>IF(D560="","",TODAY()-D560)</f>
        <v/>
      </c>
      <c r="S560" s="111" t="n"/>
    </row>
    <row r="561" ht="18" customHeight="1">
      <c r="A561" s="110" t="n"/>
      <c r="B561" s="111" t="n"/>
      <c r="C561" s="111" t="n"/>
      <c r="D561" s="112" t="n"/>
      <c r="E561" s="111" t="n"/>
      <c r="F561" s="110" t="n"/>
      <c r="G561" s="113" t="n"/>
      <c r="H561" s="113" t="n"/>
      <c r="I561" s="111" t="n"/>
      <c r="J561" s="114" t="n"/>
      <c r="K561" s="114" t="n"/>
      <c r="L561" s="112" t="n"/>
      <c r="M561" s="112" t="n"/>
      <c r="N561" s="112" t="n"/>
      <c r="O561" s="115" t="str">
        <f>IF(OR(D561="",F561=""),"",D561+F561)</f>
        <v/>
      </c>
      <c r="P561" s="116" t="str">
        <f>IF(O561="","",IF(ISNUMBER(M561),O561-M561,IF(OR(H561="DECISÃO D.P",ISNUMBER(N561)),"",O561-TODAY())))</f>
        <v/>
      </c>
      <c r="Q561" s="117" t="str">
        <f>IF(B561="","",IF(ISNUMBER(N561),"DECIDIDO – ","")&amp;IF(ISNUMBER(M561),IF(P561="",IF(F561="","INFORMAR PRAZO","SEM DATA"),IF(P561&gt;=0,"DEFESA NO PRAZO","DEFESA FORA DO PRAZO")),IF(OR(H561="DECISÃO D.P",ISNUMBER(N561)),"SEM DEFESA",IF(H561="","SEM STATUS",IF(F561="","INFORMAR PRAZO",IF(P561="","SEM DATA",IF(P561&lt;0,"VENCIDO",IF(P561&lt;=DiasAlerta,"VENCE EM BREVE","NO PRAZO"))))))))</f>
        <v/>
      </c>
      <c r="R561" s="118" t="str">
        <f>IF(D561="","",TODAY()-D561)</f>
        <v/>
      </c>
      <c r="S561" s="111" t="n"/>
    </row>
    <row r="562" ht="18" customHeight="1">
      <c r="A562" s="110" t="n"/>
      <c r="B562" s="111" t="n"/>
      <c r="C562" s="111" t="n"/>
      <c r="D562" s="112" t="n"/>
      <c r="E562" s="111" t="n"/>
      <c r="F562" s="110" t="n"/>
      <c r="G562" s="113" t="n"/>
      <c r="H562" s="113" t="n"/>
      <c r="I562" s="111" t="n"/>
      <c r="J562" s="114" t="n"/>
      <c r="K562" s="114" t="n"/>
      <c r="L562" s="112" t="n"/>
      <c r="M562" s="112" t="n"/>
      <c r="N562" s="112" t="n"/>
      <c r="O562" s="115" t="str">
        <f>IF(OR(D562="",F562=""),"",D562+F562)</f>
        <v/>
      </c>
      <c r="P562" s="116" t="str">
        <f>IF(O562="","",IF(ISNUMBER(M562),O562-M562,IF(OR(H562="DECISÃO D.P",ISNUMBER(N562)),"",O562-TODAY())))</f>
        <v/>
      </c>
      <c r="Q562" s="117" t="str">
        <f>IF(B562="","",IF(ISNUMBER(N562),"DECIDIDO – ","")&amp;IF(ISNUMBER(M562),IF(P562="",IF(F562="","INFORMAR PRAZO","SEM DATA"),IF(P562&gt;=0,"DEFESA NO PRAZO","DEFESA FORA DO PRAZO")),IF(OR(H562="DECISÃO D.P",ISNUMBER(N562)),"SEM DEFESA",IF(H562="","SEM STATUS",IF(F562="","INFORMAR PRAZO",IF(P562="","SEM DATA",IF(P562&lt;0,"VENCIDO",IF(P562&lt;=DiasAlerta,"VENCE EM BREVE","NO PRAZO"))))))))</f>
        <v/>
      </c>
      <c r="R562" s="118" t="str">
        <f>IF(D562="","",TODAY()-D562)</f>
        <v/>
      </c>
      <c r="S562" s="111" t="n"/>
    </row>
    <row r="563" ht="18" customHeight="1">
      <c r="A563" s="110" t="n"/>
      <c r="B563" s="111" t="n"/>
      <c r="C563" s="111" t="n"/>
      <c r="D563" s="112" t="n"/>
      <c r="E563" s="111" t="n"/>
      <c r="F563" s="110" t="n"/>
      <c r="G563" s="113" t="n"/>
      <c r="H563" s="113" t="n"/>
      <c r="I563" s="111" t="n"/>
      <c r="J563" s="114" t="n"/>
      <c r="K563" s="114" t="n"/>
      <c r="L563" s="112" t="n"/>
      <c r="M563" s="112" t="n"/>
      <c r="N563" s="112" t="n"/>
      <c r="O563" s="115" t="str">
        <f>IF(OR(D563="",F563=""),"",D563+F563)</f>
        <v/>
      </c>
      <c r="P563" s="116" t="str">
        <f>IF(O563="","",IF(ISNUMBER(M563),O563-M563,IF(OR(H563="DECISÃO D.P",ISNUMBER(N563)),"",O563-TODAY())))</f>
        <v/>
      </c>
      <c r="Q563" s="117" t="str">
        <f>IF(B563="","",IF(ISNUMBER(N563),"DECIDIDO – ","")&amp;IF(ISNUMBER(M563),IF(P563="",IF(F563="","INFORMAR PRAZO","SEM DATA"),IF(P563&gt;=0,"DEFESA NO PRAZO","DEFESA FORA DO PRAZO")),IF(OR(H563="DECISÃO D.P",ISNUMBER(N563)),"SEM DEFESA",IF(H563="","SEM STATUS",IF(F563="","INFORMAR PRAZO",IF(P563="","SEM DATA",IF(P563&lt;0,"VENCIDO",IF(P563&lt;=DiasAlerta,"VENCE EM BREVE","NO PRAZO"))))))))</f>
        <v/>
      </c>
      <c r="R563" s="118" t="str">
        <f>IF(D563="","",TODAY()-D563)</f>
        <v/>
      </c>
      <c r="S563" s="111" t="n"/>
    </row>
    <row r="564" ht="18" customHeight="1">
      <c r="A564" s="110" t="n"/>
      <c r="B564" s="111" t="n"/>
      <c r="C564" s="111" t="n"/>
      <c r="D564" s="112" t="n"/>
      <c r="E564" s="111" t="n"/>
      <c r="F564" s="110" t="n"/>
      <c r="G564" s="113" t="n"/>
      <c r="H564" s="113" t="n"/>
      <c r="I564" s="111" t="n"/>
      <c r="J564" s="114" t="n"/>
      <c r="K564" s="114" t="n"/>
      <c r="L564" s="112" t="n"/>
      <c r="M564" s="112" t="n"/>
      <c r="N564" s="112" t="n"/>
      <c r="O564" s="115" t="str">
        <f>IF(OR(D564="",F564=""),"",D564+F564)</f>
        <v/>
      </c>
      <c r="P564" s="116" t="str">
        <f>IF(O564="","",IF(ISNUMBER(M564),O564-M564,IF(OR(H564="DECISÃO D.P",ISNUMBER(N564)),"",O564-TODAY())))</f>
        <v/>
      </c>
      <c r="Q564" s="117" t="str">
        <f>IF(B564="","",IF(ISNUMBER(N564),"DECIDIDO – ","")&amp;IF(ISNUMBER(M564),IF(P564="",IF(F564="","INFORMAR PRAZO","SEM DATA"),IF(P564&gt;=0,"DEFESA NO PRAZO","DEFESA FORA DO PRAZO")),IF(OR(H564="DECISÃO D.P",ISNUMBER(N564)),"SEM DEFESA",IF(H564="","SEM STATUS",IF(F564="","INFORMAR PRAZO",IF(P564="","SEM DATA",IF(P564&lt;0,"VENCIDO",IF(P564&lt;=DiasAlerta,"VENCE EM BREVE","NO PRAZO"))))))))</f>
        <v/>
      </c>
      <c r="R564" s="118" t="str">
        <f>IF(D564="","",TODAY()-D564)</f>
        <v/>
      </c>
      <c r="S564" s="111" t="n"/>
    </row>
    <row r="565" ht="18" customHeight="1">
      <c r="A565" s="110" t="n"/>
      <c r="B565" s="111" t="n"/>
      <c r="C565" s="111" t="n"/>
      <c r="D565" s="112" t="n"/>
      <c r="E565" s="111" t="n"/>
      <c r="F565" s="110" t="n"/>
      <c r="G565" s="113" t="n"/>
      <c r="H565" s="113" t="n"/>
      <c r="I565" s="111" t="n"/>
      <c r="J565" s="114" t="n"/>
      <c r="K565" s="114" t="n"/>
      <c r="L565" s="112" t="n"/>
      <c r="M565" s="112" t="n"/>
      <c r="N565" s="112" t="n"/>
      <c r="O565" s="115" t="str">
        <f>IF(OR(D565="",F565=""),"",D565+F565)</f>
        <v/>
      </c>
      <c r="P565" s="116" t="str">
        <f>IF(O565="","",IF(ISNUMBER(M565),O565-M565,IF(OR(H565="DECISÃO D.P",ISNUMBER(N565)),"",O565-TODAY())))</f>
        <v/>
      </c>
      <c r="Q565" s="117" t="str">
        <f>IF(B565="","",IF(ISNUMBER(N565),"DECIDIDO – ","")&amp;IF(ISNUMBER(M565),IF(P565="",IF(F565="","INFORMAR PRAZO","SEM DATA"),IF(P565&gt;=0,"DEFESA NO PRAZO","DEFESA FORA DO PRAZO")),IF(OR(H565="DECISÃO D.P",ISNUMBER(N565)),"SEM DEFESA",IF(H565="","SEM STATUS",IF(F565="","INFORMAR PRAZO",IF(P565="","SEM DATA",IF(P565&lt;0,"VENCIDO",IF(P565&lt;=DiasAlerta,"VENCE EM BREVE","NO PRAZO"))))))))</f>
        <v/>
      </c>
      <c r="R565" s="118" t="str">
        <f>IF(D565="","",TODAY()-D565)</f>
        <v/>
      </c>
      <c r="S565" s="111" t="n"/>
    </row>
    <row r="566" ht="18" customHeight="1">
      <c r="A566" s="110" t="n"/>
      <c r="B566" s="111" t="n"/>
      <c r="C566" s="111" t="n"/>
      <c r="D566" s="112" t="n"/>
      <c r="E566" s="111" t="n"/>
      <c r="F566" s="110" t="n"/>
      <c r="G566" s="113" t="n"/>
      <c r="H566" s="113" t="n"/>
      <c r="I566" s="111" t="n"/>
      <c r="J566" s="114" t="n"/>
      <c r="K566" s="114" t="n"/>
      <c r="L566" s="112" t="n"/>
      <c r="M566" s="112" t="n"/>
      <c r="N566" s="112" t="n"/>
      <c r="O566" s="115" t="str">
        <f>IF(OR(D566="",F566=""),"",D566+F566)</f>
        <v/>
      </c>
      <c r="P566" s="116" t="str">
        <f>IF(O566="","",IF(ISNUMBER(M566),O566-M566,IF(OR(H566="DECISÃO D.P",ISNUMBER(N566)),"",O566-TODAY())))</f>
        <v/>
      </c>
      <c r="Q566" s="117" t="str">
        <f>IF(B566="","",IF(ISNUMBER(N566),"DECIDIDO – ","")&amp;IF(ISNUMBER(M566),IF(P566="",IF(F566="","INFORMAR PRAZO","SEM DATA"),IF(P566&gt;=0,"DEFESA NO PRAZO","DEFESA FORA DO PRAZO")),IF(OR(H566="DECISÃO D.P",ISNUMBER(N566)),"SEM DEFESA",IF(H566="","SEM STATUS",IF(F566="","INFORMAR PRAZO",IF(P566="","SEM DATA",IF(P566&lt;0,"VENCIDO",IF(P566&lt;=DiasAlerta,"VENCE EM BREVE","NO PRAZO"))))))))</f>
        <v/>
      </c>
      <c r="R566" s="118" t="str">
        <f>IF(D566="","",TODAY()-D566)</f>
        <v/>
      </c>
      <c r="S566" s="111" t="n"/>
    </row>
    <row r="567" ht="18" customHeight="1">
      <c r="A567" s="110" t="n"/>
      <c r="B567" s="111" t="n"/>
      <c r="C567" s="111" t="n"/>
      <c r="D567" s="112" t="n"/>
      <c r="E567" s="111" t="n"/>
      <c r="F567" s="110" t="n"/>
      <c r="G567" s="113" t="n"/>
      <c r="H567" s="113" t="n"/>
      <c r="I567" s="111" t="n"/>
      <c r="J567" s="114" t="n"/>
      <c r="K567" s="114" t="n"/>
      <c r="L567" s="112" t="n"/>
      <c r="M567" s="112" t="n"/>
      <c r="N567" s="112" t="n"/>
      <c r="O567" s="115" t="str">
        <f>IF(OR(D567="",F567=""),"",D567+F567)</f>
        <v/>
      </c>
      <c r="P567" s="116" t="str">
        <f>IF(O567="","",IF(ISNUMBER(M567),O567-M567,IF(OR(H567="DECISÃO D.P",ISNUMBER(N567)),"",O567-TODAY())))</f>
        <v/>
      </c>
      <c r="Q567" s="117" t="str">
        <f>IF(B567="","",IF(ISNUMBER(N567),"DECIDIDO – ","")&amp;IF(ISNUMBER(M567),IF(P567="",IF(F567="","INFORMAR PRAZO","SEM DATA"),IF(P567&gt;=0,"DEFESA NO PRAZO","DEFESA FORA DO PRAZO")),IF(OR(H567="DECISÃO D.P",ISNUMBER(N567)),"SEM DEFESA",IF(H567="","SEM STATUS",IF(F567="","INFORMAR PRAZO",IF(P567="","SEM DATA",IF(P567&lt;0,"VENCIDO",IF(P567&lt;=DiasAlerta,"VENCE EM BREVE","NO PRAZO"))))))))</f>
        <v/>
      </c>
      <c r="R567" s="118" t="str">
        <f>IF(D567="","",TODAY()-D567)</f>
        <v/>
      </c>
      <c r="S567" s="111" t="n"/>
    </row>
    <row r="568" ht="18" customHeight="1">
      <c r="A568" s="110" t="n"/>
      <c r="B568" s="111" t="n"/>
      <c r="C568" s="111" t="n"/>
      <c r="D568" s="112" t="n"/>
      <c r="E568" s="111" t="n"/>
      <c r="F568" s="110" t="n"/>
      <c r="G568" s="113" t="n"/>
      <c r="H568" s="113" t="n"/>
      <c r="I568" s="111" t="n"/>
      <c r="J568" s="114" t="n"/>
      <c r="K568" s="114" t="n"/>
      <c r="L568" s="112" t="n"/>
      <c r="M568" s="112" t="n"/>
      <c r="N568" s="112" t="n"/>
      <c r="O568" s="115" t="str">
        <f>IF(OR(D568="",F568=""),"",D568+F568)</f>
        <v/>
      </c>
      <c r="P568" s="116" t="str">
        <f>IF(O568="","",IF(ISNUMBER(M568),O568-M568,IF(OR(H568="DECISÃO D.P",ISNUMBER(N568)),"",O568-TODAY())))</f>
        <v/>
      </c>
      <c r="Q568" s="117" t="str">
        <f>IF(B568="","",IF(ISNUMBER(N568),"DECIDIDO – ","")&amp;IF(ISNUMBER(M568),IF(P568="",IF(F568="","INFORMAR PRAZO","SEM DATA"),IF(P568&gt;=0,"DEFESA NO PRAZO","DEFESA FORA DO PRAZO")),IF(OR(H568="DECISÃO D.P",ISNUMBER(N568)),"SEM DEFESA",IF(H568="","SEM STATUS",IF(F568="","INFORMAR PRAZO",IF(P568="","SEM DATA",IF(P568&lt;0,"VENCIDO",IF(P568&lt;=DiasAlerta,"VENCE EM BREVE","NO PRAZO"))))))))</f>
        <v/>
      </c>
      <c r="R568" s="118" t="str">
        <f>IF(D568="","",TODAY()-D568)</f>
        <v/>
      </c>
      <c r="S568" s="111" t="n"/>
    </row>
    <row r="569" ht="18" customHeight="1">
      <c r="A569" s="110" t="n"/>
      <c r="B569" s="111" t="n"/>
      <c r="C569" s="111" t="n"/>
      <c r="D569" s="112" t="n"/>
      <c r="E569" s="111" t="n"/>
      <c r="F569" s="110" t="n"/>
      <c r="G569" s="113" t="n"/>
      <c r="H569" s="113" t="n"/>
      <c r="I569" s="111" t="n"/>
      <c r="J569" s="114" t="n"/>
      <c r="K569" s="114" t="n"/>
      <c r="L569" s="112" t="n"/>
      <c r="M569" s="112" t="n"/>
      <c r="N569" s="112" t="n"/>
      <c r="O569" s="115" t="str">
        <f>IF(OR(D569="",F569=""),"",D569+F569)</f>
        <v/>
      </c>
      <c r="P569" s="116" t="str">
        <f>IF(O569="","",IF(ISNUMBER(M569),O569-M569,IF(OR(H569="DECISÃO D.P",ISNUMBER(N569)),"",O569-TODAY())))</f>
        <v/>
      </c>
      <c r="Q569" s="117" t="str">
        <f>IF(B569="","",IF(ISNUMBER(N569),"DECIDIDO – ","")&amp;IF(ISNUMBER(M569),IF(P569="",IF(F569="","INFORMAR PRAZO","SEM DATA"),IF(P569&gt;=0,"DEFESA NO PRAZO","DEFESA FORA DO PRAZO")),IF(OR(H569="DECISÃO D.P",ISNUMBER(N569)),"SEM DEFESA",IF(H569="","SEM STATUS",IF(F569="","INFORMAR PRAZO",IF(P569="","SEM DATA",IF(P569&lt;0,"VENCIDO",IF(P569&lt;=DiasAlerta,"VENCE EM BREVE","NO PRAZO"))))))))</f>
        <v/>
      </c>
      <c r="R569" s="118" t="str">
        <f>IF(D569="","",TODAY()-D569)</f>
        <v/>
      </c>
      <c r="S569" s="111" t="n"/>
    </row>
    <row r="570" ht="18" customHeight="1">
      <c r="A570" s="110" t="n"/>
      <c r="B570" s="111" t="n"/>
      <c r="C570" s="111" t="n"/>
      <c r="D570" s="112" t="n"/>
      <c r="E570" s="111" t="n"/>
      <c r="F570" s="110" t="n"/>
      <c r="G570" s="113" t="n"/>
      <c r="H570" s="113" t="n"/>
      <c r="I570" s="111" t="n"/>
      <c r="J570" s="114" t="n"/>
      <c r="K570" s="114" t="n"/>
      <c r="L570" s="112" t="n"/>
      <c r="M570" s="112" t="n"/>
      <c r="N570" s="112" t="n"/>
      <c r="O570" s="115" t="str">
        <f>IF(OR(D570="",F570=""),"",D570+F570)</f>
        <v/>
      </c>
      <c r="P570" s="116" t="str">
        <f>IF(O570="","",IF(ISNUMBER(M570),O570-M570,IF(OR(H570="DECISÃO D.P",ISNUMBER(N570)),"",O570-TODAY())))</f>
        <v/>
      </c>
      <c r="Q570" s="117" t="str">
        <f>IF(B570="","",IF(ISNUMBER(N570),"DECIDIDO – ","")&amp;IF(ISNUMBER(M570),IF(P570="",IF(F570="","INFORMAR PRAZO","SEM DATA"),IF(P570&gt;=0,"DEFESA NO PRAZO","DEFESA FORA DO PRAZO")),IF(OR(H570="DECISÃO D.P",ISNUMBER(N570)),"SEM DEFESA",IF(H570="","SEM STATUS",IF(F570="","INFORMAR PRAZO",IF(P570="","SEM DATA",IF(P570&lt;0,"VENCIDO",IF(P570&lt;=DiasAlerta,"VENCE EM BREVE","NO PRAZO"))))))))</f>
        <v/>
      </c>
      <c r="R570" s="118" t="str">
        <f>IF(D570="","",TODAY()-D570)</f>
        <v/>
      </c>
      <c r="S570" s="111" t="n"/>
    </row>
    <row r="571" ht="18" customHeight="1">
      <c r="A571" s="110" t="n"/>
      <c r="B571" s="111" t="n"/>
      <c r="C571" s="111" t="n"/>
      <c r="D571" s="112" t="n"/>
      <c r="E571" s="111" t="n"/>
      <c r="F571" s="110" t="n"/>
      <c r="G571" s="113" t="n"/>
      <c r="H571" s="113" t="n"/>
      <c r="I571" s="111" t="n"/>
      <c r="J571" s="114" t="n"/>
      <c r="K571" s="114" t="n"/>
      <c r="L571" s="112" t="n"/>
      <c r="M571" s="112" t="n"/>
      <c r="N571" s="112" t="n"/>
      <c r="O571" s="115" t="str">
        <f>IF(OR(D571="",F571=""),"",D571+F571)</f>
        <v/>
      </c>
      <c r="P571" s="116" t="str">
        <f>IF(O571="","",IF(ISNUMBER(M571),O571-M571,IF(OR(H571="DECISÃO D.P",ISNUMBER(N571)),"",O571-TODAY())))</f>
        <v/>
      </c>
      <c r="Q571" s="117" t="str">
        <f>IF(B571="","",IF(ISNUMBER(N571),"DECIDIDO – ","")&amp;IF(ISNUMBER(M571),IF(P571="",IF(F571="","INFORMAR PRAZO","SEM DATA"),IF(P571&gt;=0,"DEFESA NO PRAZO","DEFESA FORA DO PRAZO")),IF(OR(H571="DECISÃO D.P",ISNUMBER(N571)),"SEM DEFESA",IF(H571="","SEM STATUS",IF(F571="","INFORMAR PRAZO",IF(P571="","SEM DATA",IF(P571&lt;0,"VENCIDO",IF(P571&lt;=DiasAlerta,"VENCE EM BREVE","NO PRAZO"))))))))</f>
        <v/>
      </c>
      <c r="R571" s="118" t="str">
        <f>IF(D571="","",TODAY()-D571)</f>
        <v/>
      </c>
      <c r="S571" s="111" t="n"/>
    </row>
    <row r="572" ht="18" customHeight="1">
      <c r="A572" s="110" t="n"/>
      <c r="B572" s="111" t="n"/>
      <c r="C572" s="111" t="n"/>
      <c r="D572" s="112" t="n"/>
      <c r="E572" s="111" t="n"/>
      <c r="F572" s="110" t="n"/>
      <c r="G572" s="113" t="n"/>
      <c r="H572" s="113" t="n"/>
      <c r="I572" s="111" t="n"/>
      <c r="J572" s="114" t="n"/>
      <c r="K572" s="114" t="n"/>
      <c r="L572" s="112" t="n"/>
      <c r="M572" s="112" t="n"/>
      <c r="N572" s="112" t="n"/>
      <c r="O572" s="115" t="str">
        <f>IF(OR(D572="",F572=""),"",D572+F572)</f>
        <v/>
      </c>
      <c r="P572" s="116" t="str">
        <f>IF(O572="","",IF(ISNUMBER(M572),O572-M572,IF(OR(H572="DECISÃO D.P",ISNUMBER(N572)),"",O572-TODAY())))</f>
        <v/>
      </c>
      <c r="Q572" s="117" t="str">
        <f>IF(B572="","",IF(ISNUMBER(N572),"DECIDIDO – ","")&amp;IF(ISNUMBER(M572),IF(P572="",IF(F572="","INFORMAR PRAZO","SEM DATA"),IF(P572&gt;=0,"DEFESA NO PRAZO","DEFESA FORA DO PRAZO")),IF(OR(H572="DECISÃO D.P",ISNUMBER(N572)),"SEM DEFESA",IF(H572="","SEM STATUS",IF(F572="","INFORMAR PRAZO",IF(P572="","SEM DATA",IF(P572&lt;0,"VENCIDO",IF(P572&lt;=DiasAlerta,"VENCE EM BREVE","NO PRAZO"))))))))</f>
        <v/>
      </c>
      <c r="R572" s="118" t="str">
        <f>IF(D572="","",TODAY()-D572)</f>
        <v/>
      </c>
      <c r="S572" s="111" t="n"/>
    </row>
    <row r="573" ht="18" customHeight="1">
      <c r="A573" s="110" t="n"/>
      <c r="B573" s="111" t="n"/>
      <c r="C573" s="111" t="n"/>
      <c r="D573" s="112" t="n"/>
      <c r="E573" s="111" t="n"/>
      <c r="F573" s="110" t="n"/>
      <c r="G573" s="113" t="n"/>
      <c r="H573" s="113" t="n"/>
      <c r="I573" s="111" t="n"/>
      <c r="J573" s="114" t="n"/>
      <c r="K573" s="114" t="n"/>
      <c r="L573" s="112" t="n"/>
      <c r="M573" s="112" t="n"/>
      <c r="N573" s="112" t="n"/>
      <c r="O573" s="115" t="str">
        <f>IF(OR(D573="",F573=""),"",D573+F573)</f>
        <v/>
      </c>
      <c r="P573" s="116" t="str">
        <f>IF(O573="","",IF(ISNUMBER(M573),O573-M573,IF(OR(H573="DECISÃO D.P",ISNUMBER(N573)),"",O573-TODAY())))</f>
        <v/>
      </c>
      <c r="Q573" s="117" t="str">
        <f>IF(B573="","",IF(ISNUMBER(N573),"DECIDIDO – ","")&amp;IF(ISNUMBER(M573),IF(P573="",IF(F573="","INFORMAR PRAZO","SEM DATA"),IF(P573&gt;=0,"DEFESA NO PRAZO","DEFESA FORA DO PRAZO")),IF(OR(H573="DECISÃO D.P",ISNUMBER(N573)),"SEM DEFESA",IF(H573="","SEM STATUS",IF(F573="","INFORMAR PRAZO",IF(P573="","SEM DATA",IF(P573&lt;0,"VENCIDO",IF(P573&lt;=DiasAlerta,"VENCE EM BREVE","NO PRAZO"))))))))</f>
        <v/>
      </c>
      <c r="R573" s="118" t="str">
        <f>IF(D573="","",TODAY()-D573)</f>
        <v/>
      </c>
      <c r="S573" s="111" t="n"/>
    </row>
    <row r="574" ht="18" customHeight="1">
      <c r="A574" s="110" t="n"/>
      <c r="B574" s="111" t="n"/>
      <c r="C574" s="111" t="n"/>
      <c r="D574" s="112" t="n"/>
      <c r="E574" s="111" t="n"/>
      <c r="F574" s="110" t="n"/>
      <c r="G574" s="113" t="n"/>
      <c r="H574" s="113" t="n"/>
      <c r="I574" s="111" t="n"/>
      <c r="J574" s="114" t="n"/>
      <c r="K574" s="114" t="n"/>
      <c r="L574" s="112" t="n"/>
      <c r="M574" s="112" t="n"/>
      <c r="N574" s="112" t="n"/>
      <c r="O574" s="115" t="str">
        <f>IF(OR(D574="",F574=""),"",D574+F574)</f>
        <v/>
      </c>
      <c r="P574" s="116" t="str">
        <f>IF(O574="","",IF(ISNUMBER(M574),O574-M574,IF(OR(H574="DECISÃO D.P",ISNUMBER(N574)),"",O574-TODAY())))</f>
        <v/>
      </c>
      <c r="Q574" s="117" t="str">
        <f>IF(B574="","",IF(ISNUMBER(N574),"DECIDIDO – ","")&amp;IF(ISNUMBER(M574),IF(P574="",IF(F574="","INFORMAR PRAZO","SEM DATA"),IF(P574&gt;=0,"DEFESA NO PRAZO","DEFESA FORA DO PRAZO")),IF(OR(H574="DECISÃO D.P",ISNUMBER(N574)),"SEM DEFESA",IF(H574="","SEM STATUS",IF(F574="","INFORMAR PRAZO",IF(P574="","SEM DATA",IF(P574&lt;0,"VENCIDO",IF(P574&lt;=DiasAlerta,"VENCE EM BREVE","NO PRAZO"))))))))</f>
        <v/>
      </c>
      <c r="R574" s="118" t="str">
        <f>IF(D574="","",TODAY()-D574)</f>
        <v/>
      </c>
      <c r="S574" s="111" t="n"/>
    </row>
    <row r="575" ht="18" customHeight="1">
      <c r="A575" s="110" t="n"/>
      <c r="B575" s="111" t="n"/>
      <c r="C575" s="111" t="n"/>
      <c r="D575" s="112" t="n"/>
      <c r="E575" s="111" t="n"/>
      <c r="F575" s="110" t="n"/>
      <c r="G575" s="113" t="n"/>
      <c r="H575" s="113" t="n"/>
      <c r="I575" s="111" t="n"/>
      <c r="J575" s="114" t="n"/>
      <c r="K575" s="114" t="n"/>
      <c r="L575" s="112" t="n"/>
      <c r="M575" s="112" t="n"/>
      <c r="N575" s="112" t="n"/>
      <c r="O575" s="115" t="str">
        <f>IF(OR(D575="",F575=""),"",D575+F575)</f>
        <v/>
      </c>
      <c r="P575" s="116" t="str">
        <f>IF(O575="","",IF(ISNUMBER(M575),O575-M575,IF(OR(H575="DECISÃO D.P",ISNUMBER(N575)),"",O575-TODAY())))</f>
        <v/>
      </c>
      <c r="Q575" s="117" t="str">
        <f>IF(B575="","",IF(ISNUMBER(N575),"DECIDIDO – ","")&amp;IF(ISNUMBER(M575),IF(P575="",IF(F575="","INFORMAR PRAZO","SEM DATA"),IF(P575&gt;=0,"DEFESA NO PRAZO","DEFESA FORA DO PRAZO")),IF(OR(H575="DECISÃO D.P",ISNUMBER(N575)),"SEM DEFESA",IF(H575="","SEM STATUS",IF(F575="","INFORMAR PRAZO",IF(P575="","SEM DATA",IF(P575&lt;0,"VENCIDO",IF(P575&lt;=DiasAlerta,"VENCE EM BREVE","NO PRAZO"))))))))</f>
        <v/>
      </c>
      <c r="R575" s="118" t="str">
        <f>IF(D575="","",TODAY()-D575)</f>
        <v/>
      </c>
      <c r="S575" s="111" t="n"/>
    </row>
    <row r="576" ht="18" customHeight="1">
      <c r="A576" s="110" t="n"/>
      <c r="B576" s="111" t="n"/>
      <c r="C576" s="111" t="n"/>
      <c r="D576" s="112" t="n"/>
      <c r="E576" s="111" t="n"/>
      <c r="F576" s="110" t="n"/>
      <c r="G576" s="113" t="n"/>
      <c r="H576" s="113" t="n"/>
      <c r="I576" s="111" t="n"/>
      <c r="J576" s="114" t="n"/>
      <c r="K576" s="114" t="n"/>
      <c r="L576" s="112" t="n"/>
      <c r="M576" s="112" t="n"/>
      <c r="N576" s="112" t="n"/>
      <c r="O576" s="115" t="str">
        <f>IF(OR(D576="",F576=""),"",D576+F576)</f>
        <v/>
      </c>
      <c r="P576" s="116" t="str">
        <f>IF(O576="","",IF(ISNUMBER(M576),O576-M576,IF(OR(H576="DECISÃO D.P",ISNUMBER(N576)),"",O576-TODAY())))</f>
        <v/>
      </c>
      <c r="Q576" s="117" t="str">
        <f>IF(B576="","",IF(ISNUMBER(N576),"DECIDIDO – ","")&amp;IF(ISNUMBER(M576),IF(P576="",IF(F576="","INFORMAR PRAZO","SEM DATA"),IF(P576&gt;=0,"DEFESA NO PRAZO","DEFESA FORA DO PRAZO")),IF(OR(H576="DECISÃO D.P",ISNUMBER(N576)),"SEM DEFESA",IF(H576="","SEM STATUS",IF(F576="","INFORMAR PRAZO",IF(P576="","SEM DATA",IF(P576&lt;0,"VENCIDO",IF(P576&lt;=DiasAlerta,"VENCE EM BREVE","NO PRAZO"))))))))</f>
        <v/>
      </c>
      <c r="R576" s="118" t="str">
        <f>IF(D576="","",TODAY()-D576)</f>
        <v/>
      </c>
      <c r="S576" s="111" t="n"/>
    </row>
    <row r="577" ht="18" customHeight="1">
      <c r="A577" s="110" t="n"/>
      <c r="B577" s="111" t="n"/>
      <c r="C577" s="111" t="n"/>
      <c r="D577" s="112" t="n"/>
      <c r="E577" s="111" t="n"/>
      <c r="F577" s="110" t="n"/>
      <c r="G577" s="113" t="n"/>
      <c r="H577" s="113" t="n"/>
      <c r="I577" s="111" t="n"/>
      <c r="J577" s="114" t="n"/>
      <c r="K577" s="114" t="n"/>
      <c r="L577" s="112" t="n"/>
      <c r="M577" s="112" t="n"/>
      <c r="N577" s="112" t="n"/>
      <c r="O577" s="115" t="str">
        <f>IF(OR(D577="",F577=""),"",D577+F577)</f>
        <v/>
      </c>
      <c r="P577" s="116" t="str">
        <f>IF(O577="","",IF(ISNUMBER(M577),O577-M577,IF(OR(H577="DECISÃO D.P",ISNUMBER(N577)),"",O577-TODAY())))</f>
        <v/>
      </c>
      <c r="Q577" s="117" t="str">
        <f>IF(B577="","",IF(ISNUMBER(N577),"DECIDIDO – ","")&amp;IF(ISNUMBER(M577),IF(P577="",IF(F577="","INFORMAR PRAZO","SEM DATA"),IF(P577&gt;=0,"DEFESA NO PRAZO","DEFESA FORA DO PRAZO")),IF(OR(H577="DECISÃO D.P",ISNUMBER(N577)),"SEM DEFESA",IF(H577="","SEM STATUS",IF(F577="","INFORMAR PRAZO",IF(P577="","SEM DATA",IF(P577&lt;0,"VENCIDO",IF(P577&lt;=DiasAlerta,"VENCE EM BREVE","NO PRAZO"))))))))</f>
        <v/>
      </c>
      <c r="R577" s="118" t="str">
        <f>IF(D577="","",TODAY()-D577)</f>
        <v/>
      </c>
      <c r="S577" s="111" t="n"/>
    </row>
    <row r="578" ht="18" customHeight="1">
      <c r="A578" s="110" t="n"/>
      <c r="B578" s="111" t="n"/>
      <c r="C578" s="111" t="n"/>
      <c r="D578" s="112" t="n"/>
      <c r="E578" s="111" t="n"/>
      <c r="F578" s="110" t="n"/>
      <c r="G578" s="113" t="n"/>
      <c r="H578" s="113" t="n"/>
      <c r="I578" s="111" t="n"/>
      <c r="J578" s="114" t="n"/>
      <c r="K578" s="114" t="n"/>
      <c r="L578" s="112" t="n"/>
      <c r="M578" s="112" t="n"/>
      <c r="N578" s="112" t="n"/>
      <c r="O578" s="115" t="str">
        <f>IF(OR(D578="",F578=""),"",D578+F578)</f>
        <v/>
      </c>
      <c r="P578" s="116" t="str">
        <f>IF(O578="","",IF(ISNUMBER(M578),O578-M578,IF(OR(H578="DECISÃO D.P",ISNUMBER(N578)),"",O578-TODAY())))</f>
        <v/>
      </c>
      <c r="Q578" s="117" t="str">
        <f>IF(B578="","",IF(ISNUMBER(N578),"DECIDIDO – ","")&amp;IF(ISNUMBER(M578),IF(P578="",IF(F578="","INFORMAR PRAZO","SEM DATA"),IF(P578&gt;=0,"DEFESA NO PRAZO","DEFESA FORA DO PRAZO")),IF(OR(H578="DECISÃO D.P",ISNUMBER(N578)),"SEM DEFESA",IF(H578="","SEM STATUS",IF(F578="","INFORMAR PRAZO",IF(P578="","SEM DATA",IF(P578&lt;0,"VENCIDO",IF(P578&lt;=DiasAlerta,"VENCE EM BREVE","NO PRAZO"))))))))</f>
        <v/>
      </c>
      <c r="R578" s="118" t="str">
        <f>IF(D578="","",TODAY()-D578)</f>
        <v/>
      </c>
      <c r="S578" s="111" t="n"/>
    </row>
    <row r="579" ht="18" customHeight="1">
      <c r="A579" s="110" t="n"/>
      <c r="B579" s="111" t="n"/>
      <c r="C579" s="111" t="n"/>
      <c r="D579" s="112" t="n"/>
      <c r="E579" s="111" t="n"/>
      <c r="F579" s="110" t="n"/>
      <c r="G579" s="113" t="n"/>
      <c r="H579" s="113" t="n"/>
      <c r="I579" s="111" t="n"/>
      <c r="J579" s="114" t="n"/>
      <c r="K579" s="114" t="n"/>
      <c r="L579" s="112" t="n"/>
      <c r="M579" s="112" t="n"/>
      <c r="N579" s="112" t="n"/>
      <c r="O579" s="115" t="str">
        <f>IF(OR(D579="",F579=""),"",D579+F579)</f>
        <v/>
      </c>
      <c r="P579" s="116" t="str">
        <f>IF(O579="","",IF(ISNUMBER(M579),O579-M579,IF(OR(H579="DECISÃO D.P",ISNUMBER(N579)),"",O579-TODAY())))</f>
        <v/>
      </c>
      <c r="Q579" s="117" t="str">
        <f>IF(B579="","",IF(ISNUMBER(N579),"DECIDIDO – ","")&amp;IF(ISNUMBER(M579),IF(P579="",IF(F579="","INFORMAR PRAZO","SEM DATA"),IF(P579&gt;=0,"DEFESA NO PRAZO","DEFESA FORA DO PRAZO")),IF(OR(H579="DECISÃO D.P",ISNUMBER(N579)),"SEM DEFESA",IF(H579="","SEM STATUS",IF(F579="","INFORMAR PRAZO",IF(P579="","SEM DATA",IF(P579&lt;0,"VENCIDO",IF(P579&lt;=DiasAlerta,"VENCE EM BREVE","NO PRAZO"))))))))</f>
        <v/>
      </c>
      <c r="R579" s="118" t="str">
        <f>IF(D579="","",TODAY()-D579)</f>
        <v/>
      </c>
      <c r="S579" s="111" t="n"/>
    </row>
    <row r="580" ht="18" customHeight="1">
      <c r="A580" s="110" t="n"/>
      <c r="B580" s="111" t="n"/>
      <c r="C580" s="111" t="n"/>
      <c r="D580" s="112" t="n"/>
      <c r="E580" s="111" t="n"/>
      <c r="F580" s="110" t="n"/>
      <c r="G580" s="113" t="n"/>
      <c r="H580" s="113" t="n"/>
      <c r="I580" s="111" t="n"/>
      <c r="J580" s="114" t="n"/>
      <c r="K580" s="114" t="n"/>
      <c r="L580" s="112" t="n"/>
      <c r="M580" s="112" t="n"/>
      <c r="N580" s="112" t="n"/>
      <c r="O580" s="115" t="str">
        <f>IF(OR(D580="",F580=""),"",D580+F580)</f>
        <v/>
      </c>
      <c r="P580" s="116" t="str">
        <f>IF(O580="","",IF(ISNUMBER(M580),O580-M580,IF(OR(H580="DECISÃO D.P",ISNUMBER(N580)),"",O580-TODAY())))</f>
        <v/>
      </c>
      <c r="Q580" s="117" t="str">
        <f>IF(B580="","",IF(ISNUMBER(N580),"DECIDIDO – ","")&amp;IF(ISNUMBER(M580),IF(P580="",IF(F580="","INFORMAR PRAZO","SEM DATA"),IF(P580&gt;=0,"DEFESA NO PRAZO","DEFESA FORA DO PRAZO")),IF(OR(H580="DECISÃO D.P",ISNUMBER(N580)),"SEM DEFESA",IF(H580="","SEM STATUS",IF(F580="","INFORMAR PRAZO",IF(P580="","SEM DATA",IF(P580&lt;0,"VENCIDO",IF(P580&lt;=DiasAlerta,"VENCE EM BREVE","NO PRAZO"))))))))</f>
        <v/>
      </c>
      <c r="R580" s="118" t="str">
        <f>IF(D580="","",TODAY()-D580)</f>
        <v/>
      </c>
      <c r="S580" s="111" t="n"/>
    </row>
    <row r="581" ht="18" customHeight="1">
      <c r="A581" s="110" t="n"/>
      <c r="B581" s="111" t="n"/>
      <c r="C581" s="111" t="n"/>
      <c r="D581" s="112" t="n"/>
      <c r="E581" s="111" t="n"/>
      <c r="F581" s="110" t="n"/>
      <c r="G581" s="113" t="n"/>
      <c r="H581" s="113" t="n"/>
      <c r="I581" s="111" t="n"/>
      <c r="J581" s="114" t="n"/>
      <c r="K581" s="114" t="n"/>
      <c r="L581" s="112" t="n"/>
      <c r="M581" s="112" t="n"/>
      <c r="N581" s="112" t="n"/>
      <c r="O581" s="115" t="str">
        <f>IF(OR(D581="",F581=""),"",D581+F581)</f>
        <v/>
      </c>
      <c r="P581" s="116" t="str">
        <f>IF(O581="","",IF(ISNUMBER(M581),O581-M581,IF(OR(H581="DECISÃO D.P",ISNUMBER(N581)),"",O581-TODAY())))</f>
        <v/>
      </c>
      <c r="Q581" s="117" t="str">
        <f>IF(B581="","",IF(ISNUMBER(N581),"DECIDIDO – ","")&amp;IF(ISNUMBER(M581),IF(P581="",IF(F581="","INFORMAR PRAZO","SEM DATA"),IF(P581&gt;=0,"DEFESA NO PRAZO","DEFESA FORA DO PRAZO")),IF(OR(H581="DECISÃO D.P",ISNUMBER(N581)),"SEM DEFESA",IF(H581="","SEM STATUS",IF(F581="","INFORMAR PRAZO",IF(P581="","SEM DATA",IF(P581&lt;0,"VENCIDO",IF(P581&lt;=DiasAlerta,"VENCE EM BREVE","NO PRAZO"))))))))</f>
        <v/>
      </c>
      <c r="R581" s="118" t="str">
        <f>IF(D581="","",TODAY()-D581)</f>
        <v/>
      </c>
      <c r="S581" s="111" t="n"/>
    </row>
    <row r="582" ht="18" customHeight="1">
      <c r="A582" s="110" t="n"/>
      <c r="B582" s="111" t="n"/>
      <c r="C582" s="111" t="n"/>
      <c r="D582" s="112" t="n"/>
      <c r="E582" s="111" t="n"/>
      <c r="F582" s="110" t="n"/>
      <c r="G582" s="113" t="n"/>
      <c r="H582" s="113" t="n"/>
      <c r="I582" s="111" t="n"/>
      <c r="J582" s="114" t="n"/>
      <c r="K582" s="114" t="n"/>
      <c r="L582" s="112" t="n"/>
      <c r="M582" s="112" t="n"/>
      <c r="N582" s="112" t="n"/>
      <c r="O582" s="115" t="str">
        <f>IF(OR(D582="",F582=""),"",D582+F582)</f>
        <v/>
      </c>
      <c r="P582" s="116" t="str">
        <f>IF(O582="","",IF(ISNUMBER(M582),O582-M582,IF(OR(H582="DECISÃO D.P",ISNUMBER(N582)),"",O582-TODAY())))</f>
        <v/>
      </c>
      <c r="Q582" s="117" t="str">
        <f>IF(B582="","",IF(ISNUMBER(N582),"DECIDIDO – ","")&amp;IF(ISNUMBER(M582),IF(P582="",IF(F582="","INFORMAR PRAZO","SEM DATA"),IF(P582&gt;=0,"DEFESA NO PRAZO","DEFESA FORA DO PRAZO")),IF(OR(H582="DECISÃO D.P",ISNUMBER(N582)),"SEM DEFESA",IF(H582="","SEM STATUS",IF(F582="","INFORMAR PRAZO",IF(P582="","SEM DATA",IF(P582&lt;0,"VENCIDO",IF(P582&lt;=DiasAlerta,"VENCE EM BREVE","NO PRAZO"))))))))</f>
        <v/>
      </c>
      <c r="R582" s="118" t="str">
        <f>IF(D582="","",TODAY()-D582)</f>
        <v/>
      </c>
      <c r="S582" s="111" t="n"/>
    </row>
    <row r="583" ht="18" customHeight="1">
      <c r="A583" s="110" t="n"/>
      <c r="B583" s="111" t="n"/>
      <c r="C583" s="111" t="n"/>
      <c r="D583" s="112" t="n"/>
      <c r="E583" s="111" t="n"/>
      <c r="F583" s="110" t="n"/>
      <c r="G583" s="113" t="n"/>
      <c r="H583" s="113" t="n"/>
      <c r="I583" s="111" t="n"/>
      <c r="J583" s="114" t="n"/>
      <c r="K583" s="114" t="n"/>
      <c r="L583" s="112" t="n"/>
      <c r="M583" s="112" t="n"/>
      <c r="N583" s="112" t="n"/>
      <c r="O583" s="115" t="str">
        <f>IF(OR(D583="",F583=""),"",D583+F583)</f>
        <v/>
      </c>
      <c r="P583" s="116" t="str">
        <f>IF(O583="","",IF(ISNUMBER(M583),O583-M583,IF(OR(H583="DECISÃO D.P",ISNUMBER(N583)),"",O583-TODAY())))</f>
        <v/>
      </c>
      <c r="Q583" s="117" t="str">
        <f>IF(B583="","",IF(ISNUMBER(N583),"DECIDIDO – ","")&amp;IF(ISNUMBER(M583),IF(P583="",IF(F583="","INFORMAR PRAZO","SEM DATA"),IF(P583&gt;=0,"DEFESA NO PRAZO","DEFESA FORA DO PRAZO")),IF(OR(H583="DECISÃO D.P",ISNUMBER(N583)),"SEM DEFESA",IF(H583="","SEM STATUS",IF(F583="","INFORMAR PRAZO",IF(P583="","SEM DATA",IF(P583&lt;0,"VENCIDO",IF(P583&lt;=DiasAlerta,"VENCE EM BREVE","NO PRAZO"))))))))</f>
        <v/>
      </c>
      <c r="R583" s="118" t="str">
        <f>IF(D583="","",TODAY()-D583)</f>
        <v/>
      </c>
      <c r="S583" s="111" t="n"/>
    </row>
    <row r="584" ht="18" customHeight="1">
      <c r="A584" s="110" t="n"/>
      <c r="B584" s="111" t="n"/>
      <c r="C584" s="111" t="n"/>
      <c r="D584" s="112" t="n"/>
      <c r="E584" s="111" t="n"/>
      <c r="F584" s="110" t="n"/>
      <c r="G584" s="113" t="n"/>
      <c r="H584" s="113" t="n"/>
      <c r="I584" s="111" t="n"/>
      <c r="J584" s="114" t="n"/>
      <c r="K584" s="114" t="n"/>
      <c r="L584" s="112" t="n"/>
      <c r="M584" s="112" t="n"/>
      <c r="N584" s="112" t="n"/>
      <c r="O584" s="115" t="str">
        <f>IF(OR(D584="",F584=""),"",D584+F584)</f>
        <v/>
      </c>
      <c r="P584" s="116" t="str">
        <f>IF(O584="","",IF(ISNUMBER(M584),O584-M584,IF(OR(H584="DECISÃO D.P",ISNUMBER(N584)),"",O584-TODAY())))</f>
        <v/>
      </c>
      <c r="Q584" s="117" t="str">
        <f>IF(B584="","",IF(ISNUMBER(N584),"DECIDIDO – ","")&amp;IF(ISNUMBER(M584),IF(P584="",IF(F584="","INFORMAR PRAZO","SEM DATA"),IF(P584&gt;=0,"DEFESA NO PRAZO","DEFESA FORA DO PRAZO")),IF(OR(H584="DECISÃO D.P",ISNUMBER(N584)),"SEM DEFESA",IF(H584="","SEM STATUS",IF(F584="","INFORMAR PRAZO",IF(P584="","SEM DATA",IF(P584&lt;0,"VENCIDO",IF(P584&lt;=DiasAlerta,"VENCE EM BREVE","NO PRAZO"))))))))</f>
        <v/>
      </c>
      <c r="R584" s="118" t="str">
        <f>IF(D584="","",TODAY()-D584)</f>
        <v/>
      </c>
      <c r="S584" s="111" t="n"/>
    </row>
    <row r="585" ht="18" customHeight="1">
      <c r="A585" s="110" t="n"/>
      <c r="B585" s="111" t="n"/>
      <c r="C585" s="111" t="n"/>
      <c r="D585" s="112" t="n"/>
      <c r="E585" s="111" t="n"/>
      <c r="F585" s="110" t="n"/>
      <c r="G585" s="113" t="n"/>
      <c r="H585" s="113" t="n"/>
      <c r="I585" s="111" t="n"/>
      <c r="J585" s="114" t="n"/>
      <c r="K585" s="114" t="n"/>
      <c r="L585" s="112" t="n"/>
      <c r="M585" s="112" t="n"/>
      <c r="N585" s="112" t="n"/>
      <c r="O585" s="115" t="str">
        <f>IF(OR(D585="",F585=""),"",D585+F585)</f>
        <v/>
      </c>
      <c r="P585" s="116" t="str">
        <f>IF(O585="","",IF(ISNUMBER(M585),O585-M585,IF(OR(H585="DECISÃO D.P",ISNUMBER(N585)),"",O585-TODAY())))</f>
        <v/>
      </c>
      <c r="Q585" s="117" t="str">
        <f>IF(B585="","",IF(ISNUMBER(N585),"DECIDIDO – ","")&amp;IF(ISNUMBER(M585),IF(P585="",IF(F585="","INFORMAR PRAZO","SEM DATA"),IF(P585&gt;=0,"DEFESA NO PRAZO","DEFESA FORA DO PRAZO")),IF(OR(H585="DECISÃO D.P",ISNUMBER(N585)),"SEM DEFESA",IF(H585="","SEM STATUS",IF(F585="","INFORMAR PRAZO",IF(P585="","SEM DATA",IF(P585&lt;0,"VENCIDO",IF(P585&lt;=DiasAlerta,"VENCE EM BREVE","NO PRAZO"))))))))</f>
        <v/>
      </c>
      <c r="R585" s="118" t="str">
        <f>IF(D585="","",TODAY()-D585)</f>
        <v/>
      </c>
      <c r="S585" s="111" t="n"/>
    </row>
    <row r="586" ht="18" customHeight="1">
      <c r="A586" s="110" t="n"/>
      <c r="B586" s="111" t="n"/>
      <c r="C586" s="111" t="n"/>
      <c r="D586" s="112" t="n"/>
      <c r="E586" s="111" t="n"/>
      <c r="F586" s="110" t="n"/>
      <c r="G586" s="113" t="n"/>
      <c r="H586" s="113" t="n"/>
      <c r="I586" s="111" t="n"/>
      <c r="J586" s="114" t="n"/>
      <c r="K586" s="114" t="n"/>
      <c r="L586" s="112" t="n"/>
      <c r="M586" s="112" t="n"/>
      <c r="N586" s="112" t="n"/>
      <c r="O586" s="115" t="str">
        <f>IF(OR(D586="",F586=""),"",D586+F586)</f>
        <v/>
      </c>
      <c r="P586" s="116" t="str">
        <f>IF(O586="","",IF(ISNUMBER(M586),O586-M586,IF(OR(H586="DECISÃO D.P",ISNUMBER(N586)),"",O586-TODAY())))</f>
        <v/>
      </c>
      <c r="Q586" s="117" t="str">
        <f>IF(B586="","",IF(ISNUMBER(N586),"DECIDIDO – ","")&amp;IF(ISNUMBER(M586),IF(P586="",IF(F586="","INFORMAR PRAZO","SEM DATA"),IF(P586&gt;=0,"DEFESA NO PRAZO","DEFESA FORA DO PRAZO")),IF(OR(H586="DECISÃO D.P",ISNUMBER(N586)),"SEM DEFESA",IF(H586="","SEM STATUS",IF(F586="","INFORMAR PRAZO",IF(P586="","SEM DATA",IF(P586&lt;0,"VENCIDO",IF(P586&lt;=DiasAlerta,"VENCE EM BREVE","NO PRAZO"))))))))</f>
        <v/>
      </c>
      <c r="R586" s="118" t="str">
        <f>IF(D586="","",TODAY()-D586)</f>
        <v/>
      </c>
      <c r="S586" s="111" t="n"/>
    </row>
    <row r="587" ht="18" customHeight="1">
      <c r="A587" s="110" t="n"/>
      <c r="B587" s="111" t="n"/>
      <c r="C587" s="111" t="n"/>
      <c r="D587" s="112" t="n"/>
      <c r="E587" s="111" t="n"/>
      <c r="F587" s="110" t="n"/>
      <c r="G587" s="113" t="n"/>
      <c r="H587" s="113" t="n"/>
      <c r="I587" s="111" t="n"/>
      <c r="J587" s="114" t="n"/>
      <c r="K587" s="114" t="n"/>
      <c r="L587" s="112" t="n"/>
      <c r="M587" s="112" t="n"/>
      <c r="N587" s="112" t="n"/>
      <c r="O587" s="115" t="str">
        <f>IF(OR(D587="",F587=""),"",D587+F587)</f>
        <v/>
      </c>
      <c r="P587" s="116" t="str">
        <f>IF(O587="","",IF(ISNUMBER(M587),O587-M587,IF(OR(H587="DECISÃO D.P",ISNUMBER(N587)),"",O587-TODAY())))</f>
        <v/>
      </c>
      <c r="Q587" s="117" t="str">
        <f>IF(B587="","",IF(ISNUMBER(N587),"DECIDIDO – ","")&amp;IF(ISNUMBER(M587),IF(P587="",IF(F587="","INFORMAR PRAZO","SEM DATA"),IF(P587&gt;=0,"DEFESA NO PRAZO","DEFESA FORA DO PRAZO")),IF(OR(H587="DECISÃO D.P",ISNUMBER(N587)),"SEM DEFESA",IF(H587="","SEM STATUS",IF(F587="","INFORMAR PRAZO",IF(P587="","SEM DATA",IF(P587&lt;0,"VENCIDO",IF(P587&lt;=DiasAlerta,"VENCE EM BREVE","NO PRAZO"))))))))</f>
        <v/>
      </c>
      <c r="R587" s="118" t="str">
        <f>IF(D587="","",TODAY()-D587)</f>
        <v/>
      </c>
      <c r="S587" s="111" t="n"/>
    </row>
    <row r="588" ht="18" customHeight="1">
      <c r="A588" s="110" t="n"/>
      <c r="B588" s="111" t="n"/>
      <c r="C588" s="111" t="n"/>
      <c r="D588" s="112" t="n"/>
      <c r="E588" s="111" t="n"/>
      <c r="F588" s="110" t="n"/>
      <c r="G588" s="113" t="n"/>
      <c r="H588" s="113" t="n"/>
      <c r="I588" s="111" t="n"/>
      <c r="J588" s="114" t="n"/>
      <c r="K588" s="114" t="n"/>
      <c r="L588" s="112" t="n"/>
      <c r="M588" s="112" t="n"/>
      <c r="N588" s="112" t="n"/>
      <c r="O588" s="115" t="str">
        <f>IF(OR(D588="",F588=""),"",D588+F588)</f>
        <v/>
      </c>
      <c r="P588" s="116" t="str">
        <f>IF(O588="","",IF(ISNUMBER(M588),O588-M588,IF(OR(H588="DECISÃO D.P",ISNUMBER(N588)),"",O588-TODAY())))</f>
        <v/>
      </c>
      <c r="Q588" s="117" t="str">
        <f>IF(B588="","",IF(ISNUMBER(N588),"DECIDIDO – ","")&amp;IF(ISNUMBER(M588),IF(P588="",IF(F588="","INFORMAR PRAZO","SEM DATA"),IF(P588&gt;=0,"DEFESA NO PRAZO","DEFESA FORA DO PRAZO")),IF(OR(H588="DECISÃO D.P",ISNUMBER(N588)),"SEM DEFESA",IF(H588="","SEM STATUS",IF(F588="","INFORMAR PRAZO",IF(P588="","SEM DATA",IF(P588&lt;0,"VENCIDO",IF(P588&lt;=DiasAlerta,"VENCE EM BREVE","NO PRAZO"))))))))</f>
        <v/>
      </c>
      <c r="R588" s="118" t="str">
        <f>IF(D588="","",TODAY()-D588)</f>
        <v/>
      </c>
      <c r="S588" s="111" t="n"/>
    </row>
    <row r="589" ht="18" customHeight="1">
      <c r="A589" s="110" t="n"/>
      <c r="B589" s="111" t="n"/>
      <c r="C589" s="111" t="n"/>
      <c r="D589" s="112" t="n"/>
      <c r="E589" s="111" t="n"/>
      <c r="F589" s="110" t="n"/>
      <c r="G589" s="113" t="n"/>
      <c r="H589" s="113" t="n"/>
      <c r="I589" s="111" t="n"/>
      <c r="J589" s="114" t="n"/>
      <c r="K589" s="114" t="n"/>
      <c r="L589" s="112" t="n"/>
      <c r="M589" s="112" t="n"/>
      <c r="N589" s="112" t="n"/>
      <c r="O589" s="115" t="str">
        <f>IF(OR(D589="",F589=""),"",D589+F589)</f>
        <v/>
      </c>
      <c r="P589" s="116" t="str">
        <f>IF(O589="","",IF(ISNUMBER(M589),O589-M589,IF(OR(H589="DECISÃO D.P",ISNUMBER(N589)),"",O589-TODAY())))</f>
        <v/>
      </c>
      <c r="Q589" s="117" t="str">
        <f>IF(B589="","",IF(ISNUMBER(N589),"DECIDIDO – ","")&amp;IF(ISNUMBER(M589),IF(P589="",IF(F589="","INFORMAR PRAZO","SEM DATA"),IF(P589&gt;=0,"DEFESA NO PRAZO","DEFESA FORA DO PRAZO")),IF(OR(H589="DECISÃO D.P",ISNUMBER(N589)),"SEM DEFESA",IF(H589="","SEM STATUS",IF(F589="","INFORMAR PRAZO",IF(P589="","SEM DATA",IF(P589&lt;0,"VENCIDO",IF(P589&lt;=DiasAlerta,"VENCE EM BREVE","NO PRAZO"))))))))</f>
        <v/>
      </c>
      <c r="R589" s="118" t="str">
        <f>IF(D589="","",TODAY()-D589)</f>
        <v/>
      </c>
      <c r="S589" s="111" t="n"/>
    </row>
    <row r="590" ht="18" customHeight="1">
      <c r="A590" s="110" t="n"/>
      <c r="B590" s="111" t="n"/>
      <c r="C590" s="111" t="n"/>
      <c r="D590" s="112" t="n"/>
      <c r="E590" s="111" t="n"/>
      <c r="F590" s="110" t="n"/>
      <c r="G590" s="113" t="n"/>
      <c r="H590" s="113" t="n"/>
      <c r="I590" s="111" t="n"/>
      <c r="J590" s="114" t="n"/>
      <c r="K590" s="114" t="n"/>
      <c r="L590" s="112" t="n"/>
      <c r="M590" s="112" t="n"/>
      <c r="N590" s="112" t="n"/>
      <c r="O590" s="115" t="str">
        <f>IF(OR(D590="",F590=""),"",D590+F590)</f>
        <v/>
      </c>
      <c r="P590" s="116" t="str">
        <f>IF(O590="","",IF(ISNUMBER(M590),O590-M590,IF(OR(H590="DECISÃO D.P",ISNUMBER(N590)),"",O590-TODAY())))</f>
        <v/>
      </c>
      <c r="Q590" s="117" t="str">
        <f>IF(B590="","",IF(ISNUMBER(N590),"DECIDIDO – ","")&amp;IF(ISNUMBER(M590),IF(P590="",IF(F590="","INFORMAR PRAZO","SEM DATA"),IF(P590&gt;=0,"DEFESA NO PRAZO","DEFESA FORA DO PRAZO")),IF(OR(H590="DECISÃO D.P",ISNUMBER(N590)),"SEM DEFESA",IF(H590="","SEM STATUS",IF(F590="","INFORMAR PRAZO",IF(P590="","SEM DATA",IF(P590&lt;0,"VENCIDO",IF(P590&lt;=DiasAlerta,"VENCE EM BREVE","NO PRAZO"))))))))</f>
        <v/>
      </c>
      <c r="R590" s="118" t="str">
        <f>IF(D590="","",TODAY()-D590)</f>
        <v/>
      </c>
      <c r="S590" s="111" t="n"/>
    </row>
    <row r="591" ht="18" customHeight="1">
      <c r="A591" s="110" t="n"/>
      <c r="B591" s="111" t="n"/>
      <c r="C591" s="111" t="n"/>
      <c r="D591" s="112" t="n"/>
      <c r="E591" s="111" t="n"/>
      <c r="F591" s="110" t="n"/>
      <c r="G591" s="113" t="n"/>
      <c r="H591" s="113" t="n"/>
      <c r="I591" s="111" t="n"/>
      <c r="J591" s="114" t="n"/>
      <c r="K591" s="114" t="n"/>
      <c r="L591" s="112" t="n"/>
      <c r="M591" s="112" t="n"/>
      <c r="N591" s="112" t="n"/>
      <c r="O591" s="115" t="str">
        <f>IF(OR(D591="",F591=""),"",D591+F591)</f>
        <v/>
      </c>
      <c r="P591" s="116" t="str">
        <f>IF(O591="","",IF(ISNUMBER(M591),O591-M591,IF(OR(H591="DECISÃO D.P",ISNUMBER(N591)),"",O591-TODAY())))</f>
        <v/>
      </c>
      <c r="Q591" s="117" t="str">
        <f>IF(B591="","",IF(ISNUMBER(N591),"DECIDIDO – ","")&amp;IF(ISNUMBER(M591),IF(P591="",IF(F591="","INFORMAR PRAZO","SEM DATA"),IF(P591&gt;=0,"DEFESA NO PRAZO","DEFESA FORA DO PRAZO")),IF(OR(H591="DECISÃO D.P",ISNUMBER(N591)),"SEM DEFESA",IF(H591="","SEM STATUS",IF(F591="","INFORMAR PRAZO",IF(P591="","SEM DATA",IF(P591&lt;0,"VENCIDO",IF(P591&lt;=DiasAlerta,"VENCE EM BREVE","NO PRAZO"))))))))</f>
        <v/>
      </c>
      <c r="R591" s="118" t="str">
        <f>IF(D591="","",TODAY()-D591)</f>
        <v/>
      </c>
      <c r="S591" s="111" t="n"/>
    </row>
    <row r="592" ht="18" customHeight="1">
      <c r="A592" s="110" t="n"/>
      <c r="B592" s="111" t="n"/>
      <c r="C592" s="111" t="n"/>
      <c r="D592" s="112" t="n"/>
      <c r="E592" s="111" t="n"/>
      <c r="F592" s="110" t="n"/>
      <c r="G592" s="113" t="n"/>
      <c r="H592" s="113" t="n"/>
      <c r="I592" s="111" t="n"/>
      <c r="J592" s="114" t="n"/>
      <c r="K592" s="114" t="n"/>
      <c r="L592" s="112" t="n"/>
      <c r="M592" s="112" t="n"/>
      <c r="N592" s="112" t="n"/>
      <c r="O592" s="115" t="str">
        <f>IF(OR(D592="",F592=""),"",D592+F592)</f>
        <v/>
      </c>
      <c r="P592" s="116" t="str">
        <f>IF(O592="","",IF(ISNUMBER(M592),O592-M592,IF(OR(H592="DECISÃO D.P",ISNUMBER(N592)),"",O592-TODAY())))</f>
        <v/>
      </c>
      <c r="Q592" s="117" t="str">
        <f>IF(B592="","",IF(ISNUMBER(N592),"DECIDIDO – ","")&amp;IF(ISNUMBER(M592),IF(P592="",IF(F592="","INFORMAR PRAZO","SEM DATA"),IF(P592&gt;=0,"DEFESA NO PRAZO","DEFESA FORA DO PRAZO")),IF(OR(H592="DECISÃO D.P",ISNUMBER(N592)),"SEM DEFESA",IF(H592="","SEM STATUS",IF(F592="","INFORMAR PRAZO",IF(P592="","SEM DATA",IF(P592&lt;0,"VENCIDO",IF(P592&lt;=DiasAlerta,"VENCE EM BREVE","NO PRAZO"))))))))</f>
        <v/>
      </c>
      <c r="R592" s="118" t="str">
        <f>IF(D592="","",TODAY()-D592)</f>
        <v/>
      </c>
      <c r="S592" s="111" t="n"/>
    </row>
    <row r="593" ht="18" customHeight="1">
      <c r="A593" s="110" t="n"/>
      <c r="B593" s="111" t="n"/>
      <c r="C593" s="111" t="n"/>
      <c r="D593" s="112" t="n"/>
      <c r="E593" s="111" t="n"/>
      <c r="F593" s="110" t="n"/>
      <c r="G593" s="113" t="n"/>
      <c r="H593" s="113" t="n"/>
      <c r="I593" s="111" t="n"/>
      <c r="J593" s="114" t="n"/>
      <c r="K593" s="114" t="n"/>
      <c r="L593" s="112" t="n"/>
      <c r="M593" s="112" t="n"/>
      <c r="N593" s="112" t="n"/>
      <c r="O593" s="115" t="str">
        <f>IF(OR(D593="",F593=""),"",D593+F593)</f>
        <v/>
      </c>
      <c r="P593" s="116" t="str">
        <f>IF(O593="","",IF(ISNUMBER(M593),O593-M593,IF(OR(H593="DECISÃO D.P",ISNUMBER(N593)),"",O593-TODAY())))</f>
        <v/>
      </c>
      <c r="Q593" s="117" t="str">
        <f>IF(B593="","",IF(ISNUMBER(N593),"DECIDIDO – ","")&amp;IF(ISNUMBER(M593),IF(P593="",IF(F593="","INFORMAR PRAZO","SEM DATA"),IF(P593&gt;=0,"DEFESA NO PRAZO","DEFESA FORA DO PRAZO")),IF(OR(H593="DECISÃO D.P",ISNUMBER(N593)),"SEM DEFESA",IF(H593="","SEM STATUS",IF(F593="","INFORMAR PRAZO",IF(P593="","SEM DATA",IF(P593&lt;0,"VENCIDO",IF(P593&lt;=DiasAlerta,"VENCE EM BREVE","NO PRAZO"))))))))</f>
        <v/>
      </c>
      <c r="R593" s="118" t="str">
        <f>IF(D593="","",TODAY()-D593)</f>
        <v/>
      </c>
      <c r="S593" s="111" t="n"/>
    </row>
    <row r="594" ht="18" customHeight="1">
      <c r="A594" s="110" t="n"/>
      <c r="B594" s="111" t="n"/>
      <c r="C594" s="111" t="n"/>
      <c r="D594" s="112" t="n"/>
      <c r="E594" s="111" t="n"/>
      <c r="F594" s="110" t="n"/>
      <c r="G594" s="113" t="n"/>
      <c r="H594" s="113" t="n"/>
      <c r="I594" s="111" t="n"/>
      <c r="J594" s="114" t="n"/>
      <c r="K594" s="114" t="n"/>
      <c r="L594" s="112" t="n"/>
      <c r="M594" s="112" t="n"/>
      <c r="N594" s="112" t="n"/>
      <c r="O594" s="115" t="str">
        <f>IF(OR(D594="",F594=""),"",D594+F594)</f>
        <v/>
      </c>
      <c r="P594" s="116" t="str">
        <f>IF(O594="","",IF(ISNUMBER(M594),O594-M594,IF(OR(H594="DECISÃO D.P",ISNUMBER(N594)),"",O594-TODAY())))</f>
        <v/>
      </c>
      <c r="Q594" s="117" t="str">
        <f>IF(B594="","",IF(ISNUMBER(N594),"DECIDIDO – ","")&amp;IF(ISNUMBER(M594),IF(P594="",IF(F594="","INFORMAR PRAZO","SEM DATA"),IF(P594&gt;=0,"DEFESA NO PRAZO","DEFESA FORA DO PRAZO")),IF(OR(H594="DECISÃO D.P",ISNUMBER(N594)),"SEM DEFESA",IF(H594="","SEM STATUS",IF(F594="","INFORMAR PRAZO",IF(P594="","SEM DATA",IF(P594&lt;0,"VENCIDO",IF(P594&lt;=DiasAlerta,"VENCE EM BREVE","NO PRAZO"))))))))</f>
        <v/>
      </c>
      <c r="R594" s="118" t="str">
        <f>IF(D594="","",TODAY()-D594)</f>
        <v/>
      </c>
      <c r="S594" s="111" t="n"/>
    </row>
    <row r="595" ht="18" customHeight="1">
      <c r="A595" s="110" t="n"/>
      <c r="B595" s="111" t="n"/>
      <c r="C595" s="111" t="n"/>
      <c r="D595" s="112" t="n"/>
      <c r="E595" s="111" t="n"/>
      <c r="F595" s="110" t="n"/>
      <c r="G595" s="113" t="n"/>
      <c r="H595" s="113" t="n"/>
      <c r="I595" s="111" t="n"/>
      <c r="J595" s="114" t="n"/>
      <c r="K595" s="114" t="n"/>
      <c r="L595" s="112" t="n"/>
      <c r="M595" s="112" t="n"/>
      <c r="N595" s="112" t="n"/>
      <c r="O595" s="115" t="str">
        <f>IF(OR(D595="",F595=""),"",D595+F595)</f>
        <v/>
      </c>
      <c r="P595" s="116" t="str">
        <f>IF(O595="","",IF(ISNUMBER(M595),O595-M595,IF(OR(H595="DECISÃO D.P",ISNUMBER(N595)),"",O595-TODAY())))</f>
        <v/>
      </c>
      <c r="Q595" s="117" t="str">
        <f>IF(B595="","",IF(ISNUMBER(N595),"DECIDIDO – ","")&amp;IF(ISNUMBER(M595),IF(P595="",IF(F595="","INFORMAR PRAZO","SEM DATA"),IF(P595&gt;=0,"DEFESA NO PRAZO","DEFESA FORA DO PRAZO")),IF(OR(H595="DECISÃO D.P",ISNUMBER(N595)),"SEM DEFESA",IF(H595="","SEM STATUS",IF(F595="","INFORMAR PRAZO",IF(P595="","SEM DATA",IF(P595&lt;0,"VENCIDO",IF(P595&lt;=DiasAlerta,"VENCE EM BREVE","NO PRAZO"))))))))</f>
        <v/>
      </c>
      <c r="R595" s="118" t="str">
        <f>IF(D595="","",TODAY()-D595)</f>
        <v/>
      </c>
      <c r="S595" s="111" t="n"/>
    </row>
    <row r="596" ht="18" customHeight="1">
      <c r="A596" s="110" t="n"/>
      <c r="B596" s="111" t="n"/>
      <c r="C596" s="111" t="n"/>
      <c r="D596" s="112" t="n"/>
      <c r="E596" s="111" t="n"/>
      <c r="F596" s="110" t="n"/>
      <c r="G596" s="113" t="n"/>
      <c r="H596" s="113" t="n"/>
      <c r="I596" s="111" t="n"/>
      <c r="J596" s="114" t="n"/>
      <c r="K596" s="114" t="n"/>
      <c r="L596" s="112" t="n"/>
      <c r="M596" s="112" t="n"/>
      <c r="N596" s="112" t="n"/>
      <c r="O596" s="115" t="str">
        <f>IF(OR(D596="",F596=""),"",D596+F596)</f>
        <v/>
      </c>
      <c r="P596" s="116" t="str">
        <f>IF(O596="","",IF(ISNUMBER(M596),O596-M596,IF(OR(H596="DECISÃO D.P",ISNUMBER(N596)),"",O596-TODAY())))</f>
        <v/>
      </c>
      <c r="Q596" s="117" t="str">
        <f>IF(B596="","",IF(ISNUMBER(N596),"DECIDIDO – ","")&amp;IF(ISNUMBER(M596),IF(P596="",IF(F596="","INFORMAR PRAZO","SEM DATA"),IF(P596&gt;=0,"DEFESA NO PRAZO","DEFESA FORA DO PRAZO")),IF(OR(H596="DECISÃO D.P",ISNUMBER(N596)),"SEM DEFESA",IF(H596="","SEM STATUS",IF(F596="","INFORMAR PRAZO",IF(P596="","SEM DATA",IF(P596&lt;0,"VENCIDO",IF(P596&lt;=DiasAlerta,"VENCE EM BREVE","NO PRAZO"))))))))</f>
        <v/>
      </c>
      <c r="R596" s="118" t="str">
        <f>IF(D596="","",TODAY()-D596)</f>
        <v/>
      </c>
      <c r="S596" s="111" t="n"/>
    </row>
    <row r="597" ht="18" customHeight="1">
      <c r="A597" s="110" t="n"/>
      <c r="B597" s="111" t="n"/>
      <c r="C597" s="111" t="n"/>
      <c r="D597" s="112" t="n"/>
      <c r="E597" s="111" t="n"/>
      <c r="F597" s="110" t="n"/>
      <c r="G597" s="113" t="n"/>
      <c r="H597" s="113" t="n"/>
      <c r="I597" s="111" t="n"/>
      <c r="J597" s="114" t="n"/>
      <c r="K597" s="114" t="n"/>
      <c r="L597" s="112" t="n"/>
      <c r="M597" s="112" t="n"/>
      <c r="N597" s="112" t="n"/>
      <c r="O597" s="115" t="str">
        <f>IF(OR(D597="",F597=""),"",D597+F597)</f>
        <v/>
      </c>
      <c r="P597" s="116" t="str">
        <f>IF(O597="","",IF(ISNUMBER(M597),O597-M597,IF(OR(H597="DECISÃO D.P",ISNUMBER(N597)),"",O597-TODAY())))</f>
        <v/>
      </c>
      <c r="Q597" s="117" t="str">
        <f>IF(B597="","",IF(ISNUMBER(N597),"DECIDIDO – ","")&amp;IF(ISNUMBER(M597),IF(P597="",IF(F597="","INFORMAR PRAZO","SEM DATA"),IF(P597&gt;=0,"DEFESA NO PRAZO","DEFESA FORA DO PRAZO")),IF(OR(H597="DECISÃO D.P",ISNUMBER(N597)),"SEM DEFESA",IF(H597="","SEM STATUS",IF(F597="","INFORMAR PRAZO",IF(P597="","SEM DATA",IF(P597&lt;0,"VENCIDO",IF(P597&lt;=DiasAlerta,"VENCE EM BREVE","NO PRAZO"))))))))</f>
        <v/>
      </c>
      <c r="R597" s="118" t="str">
        <f>IF(D597="","",TODAY()-D597)</f>
        <v/>
      </c>
      <c r="S597" s="111" t="n"/>
    </row>
    <row r="598" ht="18" customHeight="1">
      <c r="A598" s="110" t="n"/>
      <c r="B598" s="111" t="n"/>
      <c r="C598" s="111" t="n"/>
      <c r="D598" s="112" t="n"/>
      <c r="E598" s="111" t="n"/>
      <c r="F598" s="110" t="n"/>
      <c r="G598" s="113" t="n"/>
      <c r="H598" s="113" t="n"/>
      <c r="I598" s="111" t="n"/>
      <c r="J598" s="114" t="n"/>
      <c r="K598" s="114" t="n"/>
      <c r="L598" s="112" t="n"/>
      <c r="M598" s="112" t="n"/>
      <c r="N598" s="112" t="n"/>
      <c r="O598" s="115" t="str">
        <f>IF(OR(D598="",F598=""),"",D598+F598)</f>
        <v/>
      </c>
      <c r="P598" s="116" t="str">
        <f>IF(O598="","",IF(ISNUMBER(M598),O598-M598,IF(OR(H598="DECISÃO D.P",ISNUMBER(N598)),"",O598-TODAY())))</f>
        <v/>
      </c>
      <c r="Q598" s="117" t="str">
        <f>IF(B598="","",IF(ISNUMBER(N598),"DECIDIDO – ","")&amp;IF(ISNUMBER(M598),IF(P598="",IF(F598="","INFORMAR PRAZO","SEM DATA"),IF(P598&gt;=0,"DEFESA NO PRAZO","DEFESA FORA DO PRAZO")),IF(OR(H598="DECISÃO D.P",ISNUMBER(N598)),"SEM DEFESA",IF(H598="","SEM STATUS",IF(F598="","INFORMAR PRAZO",IF(P598="","SEM DATA",IF(P598&lt;0,"VENCIDO",IF(P598&lt;=DiasAlerta,"VENCE EM BREVE","NO PRAZO"))))))))</f>
        <v/>
      </c>
      <c r="R598" s="118" t="str">
        <f>IF(D598="","",TODAY()-D598)</f>
        <v/>
      </c>
      <c r="S598" s="111" t="n"/>
    </row>
    <row r="599" ht="18" customHeight="1">
      <c r="A599" s="110" t="n"/>
      <c r="B599" s="111" t="n"/>
      <c r="C599" s="111" t="n"/>
      <c r="D599" s="112" t="n"/>
      <c r="E599" s="111" t="n"/>
      <c r="F599" s="110" t="n"/>
      <c r="G599" s="113" t="n"/>
      <c r="H599" s="113" t="n"/>
      <c r="I599" s="111" t="n"/>
      <c r="J599" s="114" t="n"/>
      <c r="K599" s="114" t="n"/>
      <c r="L599" s="112" t="n"/>
      <c r="M599" s="112" t="n"/>
      <c r="N599" s="112" t="n"/>
      <c r="O599" s="115" t="str">
        <f>IF(OR(D599="",F599=""),"",D599+F599)</f>
        <v/>
      </c>
      <c r="P599" s="116" t="str">
        <f>IF(O599="","",IF(ISNUMBER(M599),O599-M599,IF(OR(H599="DECISÃO D.P",ISNUMBER(N599)),"",O599-TODAY())))</f>
        <v/>
      </c>
      <c r="Q599" s="117" t="str">
        <f>IF(B599="","",IF(ISNUMBER(N599),"DECIDIDO – ","")&amp;IF(ISNUMBER(M599),IF(P599="",IF(F599="","INFORMAR PRAZO","SEM DATA"),IF(P599&gt;=0,"DEFESA NO PRAZO","DEFESA FORA DO PRAZO")),IF(OR(H599="DECISÃO D.P",ISNUMBER(N599)),"SEM DEFESA",IF(H599="","SEM STATUS",IF(F599="","INFORMAR PRAZO",IF(P599="","SEM DATA",IF(P599&lt;0,"VENCIDO",IF(P599&lt;=DiasAlerta,"VENCE EM BREVE","NO PRAZO"))))))))</f>
        <v/>
      </c>
      <c r="R599" s="118" t="str">
        <f>IF(D599="","",TODAY()-D599)</f>
        <v/>
      </c>
      <c r="S599" s="111" t="n"/>
    </row>
    <row r="600" ht="18" customHeight="1">
      <c r="A600" s="110" t="n"/>
      <c r="B600" s="111" t="n"/>
      <c r="C600" s="111" t="n"/>
      <c r="D600" s="112" t="n"/>
      <c r="E600" s="111" t="n"/>
      <c r="F600" s="110" t="n"/>
      <c r="G600" s="113" t="n"/>
      <c r="H600" s="113" t="n"/>
      <c r="I600" s="111" t="n"/>
      <c r="J600" s="114" t="n"/>
      <c r="K600" s="114" t="n"/>
      <c r="L600" s="112" t="n"/>
      <c r="M600" s="112" t="n"/>
      <c r="N600" s="112" t="n"/>
      <c r="O600" s="115" t="str">
        <f>IF(OR(D600="",F600=""),"",D600+F600)</f>
        <v/>
      </c>
      <c r="P600" s="116" t="str">
        <f>IF(O600="","",IF(ISNUMBER(M600),O600-M600,IF(OR(H600="DECISÃO D.P",ISNUMBER(N600)),"",O600-TODAY())))</f>
        <v/>
      </c>
      <c r="Q600" s="117" t="str">
        <f>IF(B600="","",IF(ISNUMBER(N600),"DECIDIDO – ","")&amp;IF(ISNUMBER(M600),IF(P600="",IF(F600="","INFORMAR PRAZO","SEM DATA"),IF(P600&gt;=0,"DEFESA NO PRAZO","DEFESA FORA DO PRAZO")),IF(OR(H600="DECISÃO D.P",ISNUMBER(N600)),"SEM DEFESA",IF(H600="","SEM STATUS",IF(F600="","INFORMAR PRAZO",IF(P600="","SEM DATA",IF(P600&lt;0,"VENCIDO",IF(P600&lt;=DiasAlerta,"VENCE EM BREVE","NO PRAZO"))))))))</f>
        <v/>
      </c>
      <c r="R600" s="118" t="str">
        <f>IF(D600="","",TODAY()-D600)</f>
        <v/>
      </c>
      <c r="S600" s="111" t="n"/>
    </row>
    <row r="601" ht="18" customHeight="1">
      <c r="A601" s="110" t="n"/>
      <c r="B601" s="111" t="n"/>
      <c r="C601" s="111" t="n"/>
      <c r="D601" s="112" t="n"/>
      <c r="E601" s="111" t="n"/>
      <c r="F601" s="110" t="n"/>
      <c r="G601" s="113" t="n"/>
      <c r="H601" s="113" t="n"/>
      <c r="I601" s="111" t="n"/>
      <c r="J601" s="114" t="n"/>
      <c r="K601" s="114" t="n"/>
      <c r="L601" s="112" t="n"/>
      <c r="M601" s="112" t="n"/>
      <c r="N601" s="112" t="n"/>
      <c r="O601" s="115" t="str">
        <f>IF(OR(D601="",F601=""),"",D601+F601)</f>
        <v/>
      </c>
      <c r="P601" s="116" t="str">
        <f>IF(O601="","",IF(ISNUMBER(M601),O601-M601,IF(OR(H601="DECISÃO D.P",ISNUMBER(N601)),"",O601-TODAY())))</f>
        <v/>
      </c>
      <c r="Q601" s="117" t="str">
        <f>IF(B601="","",IF(ISNUMBER(N601),"DECIDIDO – ","")&amp;IF(ISNUMBER(M601),IF(P601="",IF(F601="","INFORMAR PRAZO","SEM DATA"),IF(P601&gt;=0,"DEFESA NO PRAZO","DEFESA FORA DO PRAZO")),IF(OR(H601="DECISÃO D.P",ISNUMBER(N601)),"SEM DEFESA",IF(H601="","SEM STATUS",IF(F601="","INFORMAR PRAZO",IF(P601="","SEM DATA",IF(P601&lt;0,"VENCIDO",IF(P601&lt;=DiasAlerta,"VENCE EM BREVE","NO PRAZO"))))))))</f>
        <v/>
      </c>
      <c r="R601" s="118" t="str">
        <f>IF(D601="","",TODAY()-D601)</f>
        <v/>
      </c>
      <c r="S601" s="111" t="n"/>
    </row>
    <row r="602" ht="18" customHeight="1">
      <c r="A602" s="110" t="n"/>
      <c r="B602" s="111" t="n"/>
      <c r="C602" s="111" t="n"/>
      <c r="D602" s="112" t="n"/>
      <c r="E602" s="111" t="n"/>
      <c r="F602" s="110" t="n"/>
      <c r="G602" s="113" t="n"/>
      <c r="H602" s="113" t="n"/>
      <c r="I602" s="111" t="n"/>
      <c r="J602" s="114" t="n"/>
      <c r="K602" s="114" t="n"/>
      <c r="L602" s="112" t="n"/>
      <c r="M602" s="112" t="n"/>
      <c r="N602" s="112" t="n"/>
      <c r="O602" s="115" t="str">
        <f>IF(OR(D602="",F602=""),"",D602+F602)</f>
        <v/>
      </c>
      <c r="P602" s="116" t="str">
        <f>IF(O602="","",IF(ISNUMBER(M602),O602-M602,IF(OR(H602="DECISÃO D.P",ISNUMBER(N602)),"",O602-TODAY())))</f>
        <v/>
      </c>
      <c r="Q602" s="117" t="str">
        <f>IF(B602="","",IF(ISNUMBER(N602),"DECIDIDO – ","")&amp;IF(ISNUMBER(M602),IF(P602="",IF(F602="","INFORMAR PRAZO","SEM DATA"),IF(P602&gt;=0,"DEFESA NO PRAZO","DEFESA FORA DO PRAZO")),IF(OR(H602="DECISÃO D.P",ISNUMBER(N602)),"SEM DEFESA",IF(H602="","SEM STATUS",IF(F602="","INFORMAR PRAZO",IF(P602="","SEM DATA",IF(P602&lt;0,"VENCIDO",IF(P602&lt;=DiasAlerta,"VENCE EM BREVE","NO PRAZO"))))))))</f>
        <v/>
      </c>
      <c r="R602" s="118" t="str">
        <f>IF(D602="","",TODAY()-D602)</f>
        <v/>
      </c>
      <c r="S602" s="111" t="n"/>
    </row>
    <row r="603" ht="18" customHeight="1">
      <c r="A603" s="110" t="n"/>
      <c r="B603" s="111" t="n"/>
      <c r="C603" s="111" t="n"/>
      <c r="D603" s="112" t="n"/>
      <c r="E603" s="111" t="n"/>
      <c r="F603" s="110" t="n"/>
      <c r="G603" s="113" t="n"/>
      <c r="H603" s="113" t="n"/>
      <c r="I603" s="111" t="n"/>
      <c r="J603" s="114" t="n"/>
      <c r="K603" s="114" t="n"/>
      <c r="L603" s="112" t="n"/>
      <c r="M603" s="112" t="n"/>
      <c r="N603" s="112" t="n"/>
      <c r="O603" s="115" t="str">
        <f>IF(OR(D603="",F603=""),"",D603+F603)</f>
        <v/>
      </c>
      <c r="P603" s="116" t="str">
        <f>IF(O603="","",IF(ISNUMBER(M603),O603-M603,IF(OR(H603="DECISÃO D.P",ISNUMBER(N603)),"",O603-TODAY())))</f>
        <v/>
      </c>
      <c r="Q603" s="117" t="str">
        <f>IF(B603="","",IF(ISNUMBER(N603),"DECIDIDO – ","")&amp;IF(ISNUMBER(M603),IF(P603="",IF(F603="","INFORMAR PRAZO","SEM DATA"),IF(P603&gt;=0,"DEFESA NO PRAZO","DEFESA FORA DO PRAZO")),IF(OR(H603="DECISÃO D.P",ISNUMBER(N603)),"SEM DEFESA",IF(H603="","SEM STATUS",IF(F603="","INFORMAR PRAZO",IF(P603="","SEM DATA",IF(P603&lt;0,"VENCIDO",IF(P603&lt;=DiasAlerta,"VENCE EM BREVE","NO PRAZO"))))))))</f>
        <v/>
      </c>
      <c r="R603" s="118" t="str">
        <f>IF(D603="","",TODAY()-D603)</f>
        <v/>
      </c>
      <c r="S603" s="111" t="n"/>
    </row>
    <row r="604" ht="18" customHeight="1">
      <c r="A604" s="110" t="n"/>
      <c r="B604" s="111" t="n"/>
      <c r="C604" s="111" t="n"/>
      <c r="D604" s="112" t="n"/>
      <c r="E604" s="111" t="n"/>
      <c r="F604" s="110" t="n"/>
      <c r="G604" s="113" t="n"/>
      <c r="H604" s="113" t="n"/>
      <c r="I604" s="111" t="n"/>
      <c r="J604" s="114" t="n"/>
      <c r="K604" s="114" t="n"/>
      <c r="L604" s="112" t="n"/>
      <c r="M604" s="112" t="n"/>
      <c r="N604" s="112" t="n"/>
      <c r="O604" s="115" t="str">
        <f>IF(OR(D604="",F604=""),"",D604+F604)</f>
        <v/>
      </c>
      <c r="P604" s="116" t="str">
        <f>IF(O604="","",IF(ISNUMBER(M604),O604-M604,IF(OR(H604="DECISÃO D.P",ISNUMBER(N604)),"",O604-TODAY())))</f>
        <v/>
      </c>
      <c r="Q604" s="117" t="str">
        <f>IF(B604="","",IF(ISNUMBER(N604),"DECIDIDO – ","")&amp;IF(ISNUMBER(M604),IF(P604="",IF(F604="","INFORMAR PRAZO","SEM DATA"),IF(P604&gt;=0,"DEFESA NO PRAZO","DEFESA FORA DO PRAZO")),IF(OR(H604="DECISÃO D.P",ISNUMBER(N604)),"SEM DEFESA",IF(H604="","SEM STATUS",IF(F604="","INFORMAR PRAZO",IF(P604="","SEM DATA",IF(P604&lt;0,"VENCIDO",IF(P604&lt;=DiasAlerta,"VENCE EM BREVE","NO PRAZO"))))))))</f>
        <v/>
      </c>
      <c r="R604" s="118" t="str">
        <f>IF(D604="","",TODAY()-D604)</f>
        <v/>
      </c>
      <c r="S604" s="111" t="n"/>
    </row>
    <row r="605" ht="18" customHeight="1">
      <c r="A605" s="110" t="n"/>
      <c r="B605" s="111" t="n"/>
      <c r="C605" s="111" t="n"/>
      <c r="D605" s="112" t="n"/>
      <c r="E605" s="111" t="n"/>
      <c r="F605" s="110" t="n"/>
      <c r="G605" s="113" t="n"/>
      <c r="H605" s="113" t="n"/>
      <c r="I605" s="111" t="n"/>
      <c r="J605" s="114" t="n"/>
      <c r="K605" s="114" t="n"/>
      <c r="L605" s="112" t="n"/>
      <c r="M605" s="112" t="n"/>
      <c r="N605" s="112" t="n"/>
      <c r="O605" s="115" t="str">
        <f>IF(OR(D605="",F605=""),"",D605+F605)</f>
        <v/>
      </c>
      <c r="P605" s="116" t="str">
        <f>IF(O605="","",IF(ISNUMBER(M605),O605-M605,IF(OR(H605="DECISÃO D.P",ISNUMBER(N605)),"",O605-TODAY())))</f>
        <v/>
      </c>
      <c r="Q605" s="117" t="str">
        <f>IF(B605="","",IF(ISNUMBER(N605),"DECIDIDO – ","")&amp;IF(ISNUMBER(M605),IF(P605="",IF(F605="","INFORMAR PRAZO","SEM DATA"),IF(P605&gt;=0,"DEFESA NO PRAZO","DEFESA FORA DO PRAZO")),IF(OR(H605="DECISÃO D.P",ISNUMBER(N605)),"SEM DEFESA",IF(H605="","SEM STATUS",IF(F605="","INFORMAR PRAZO",IF(P605="","SEM DATA",IF(P605&lt;0,"VENCIDO",IF(P605&lt;=DiasAlerta,"VENCE EM BREVE","NO PRAZO"))))))))</f>
        <v/>
      </c>
      <c r="R605" s="118" t="str">
        <f>IF(D605="","",TODAY()-D605)</f>
        <v/>
      </c>
      <c r="S605" s="111" t="n"/>
    </row>
    <row r="606" ht="18" customHeight="1">
      <c r="A606" s="110" t="n"/>
      <c r="B606" s="111" t="n"/>
      <c r="C606" s="111" t="n"/>
      <c r="D606" s="112" t="n"/>
      <c r="E606" s="111" t="n"/>
      <c r="F606" s="110" t="n"/>
      <c r="G606" s="113" t="n"/>
      <c r="H606" s="113" t="n"/>
      <c r="I606" s="111" t="n"/>
      <c r="J606" s="114" t="n"/>
      <c r="K606" s="114" t="n"/>
      <c r="L606" s="112" t="n"/>
      <c r="M606" s="112" t="n"/>
      <c r="N606" s="112" t="n"/>
      <c r="O606" s="115" t="str">
        <f>IF(OR(D606="",F606=""),"",D606+F606)</f>
        <v/>
      </c>
      <c r="P606" s="116" t="str">
        <f>IF(O606="","",IF(ISNUMBER(M606),O606-M606,IF(OR(H606="DECISÃO D.P",ISNUMBER(N606)),"",O606-TODAY())))</f>
        <v/>
      </c>
      <c r="Q606" s="117" t="str">
        <f>IF(B606="","",IF(ISNUMBER(N606),"DECIDIDO – ","")&amp;IF(ISNUMBER(M606),IF(P606="",IF(F606="","INFORMAR PRAZO","SEM DATA"),IF(P606&gt;=0,"DEFESA NO PRAZO","DEFESA FORA DO PRAZO")),IF(OR(H606="DECISÃO D.P",ISNUMBER(N606)),"SEM DEFESA",IF(H606="","SEM STATUS",IF(F606="","INFORMAR PRAZO",IF(P606="","SEM DATA",IF(P606&lt;0,"VENCIDO",IF(P606&lt;=DiasAlerta,"VENCE EM BREVE","NO PRAZO"))))))))</f>
        <v/>
      </c>
      <c r="R606" s="118" t="str">
        <f>IF(D606="","",TODAY()-D606)</f>
        <v/>
      </c>
      <c r="S606" s="111" t="n"/>
    </row>
    <row r="607" ht="18" customHeight="1">
      <c r="A607" s="110" t="n"/>
      <c r="B607" s="111" t="n"/>
      <c r="C607" s="111" t="n"/>
      <c r="D607" s="112" t="n"/>
      <c r="E607" s="111" t="n"/>
      <c r="F607" s="110" t="n"/>
      <c r="G607" s="113" t="n"/>
      <c r="H607" s="113" t="n"/>
      <c r="I607" s="111" t="n"/>
      <c r="J607" s="114" t="n"/>
      <c r="K607" s="114" t="n"/>
      <c r="L607" s="112" t="n"/>
      <c r="M607" s="112" t="n"/>
      <c r="N607" s="112" t="n"/>
      <c r="O607" s="115" t="str">
        <f>IF(OR(D607="",F607=""),"",D607+F607)</f>
        <v/>
      </c>
      <c r="P607" s="116" t="str">
        <f>IF(O607="","",IF(ISNUMBER(M607),O607-M607,IF(OR(H607="DECISÃO D.P",ISNUMBER(N607)),"",O607-TODAY())))</f>
        <v/>
      </c>
      <c r="Q607" s="117" t="str">
        <f>IF(B607="","",IF(ISNUMBER(N607),"DECIDIDO – ","")&amp;IF(ISNUMBER(M607),IF(P607="",IF(F607="","INFORMAR PRAZO","SEM DATA"),IF(P607&gt;=0,"DEFESA NO PRAZO","DEFESA FORA DO PRAZO")),IF(OR(H607="DECISÃO D.P",ISNUMBER(N607)),"SEM DEFESA",IF(H607="","SEM STATUS",IF(F607="","INFORMAR PRAZO",IF(P607="","SEM DATA",IF(P607&lt;0,"VENCIDO",IF(P607&lt;=DiasAlerta,"VENCE EM BREVE","NO PRAZO"))))))))</f>
        <v/>
      </c>
      <c r="R607" s="118" t="str">
        <f>IF(D607="","",TODAY()-D607)</f>
        <v/>
      </c>
      <c r="S607" s="111" t="n"/>
    </row>
    <row r="608" ht="18" customHeight="1">
      <c r="A608" s="110" t="n"/>
      <c r="B608" s="111" t="n"/>
      <c r="C608" s="111" t="n"/>
      <c r="D608" s="112" t="n"/>
      <c r="E608" s="111" t="n"/>
      <c r="F608" s="110" t="n"/>
      <c r="G608" s="113" t="n"/>
      <c r="H608" s="113" t="n"/>
      <c r="I608" s="111" t="n"/>
      <c r="J608" s="114" t="n"/>
      <c r="K608" s="114" t="n"/>
      <c r="L608" s="112" t="n"/>
      <c r="M608" s="112" t="n"/>
      <c r="N608" s="112" t="n"/>
      <c r="O608" s="115" t="str">
        <f>IF(OR(D608="",F608=""),"",D608+F608)</f>
        <v/>
      </c>
      <c r="P608" s="116" t="str">
        <f>IF(O608="","",IF(ISNUMBER(M608),O608-M608,IF(OR(H608="DECISÃO D.P",ISNUMBER(N608)),"",O608-TODAY())))</f>
        <v/>
      </c>
      <c r="Q608" s="117" t="str">
        <f>IF(B608="","",IF(ISNUMBER(N608),"DECIDIDO – ","")&amp;IF(ISNUMBER(M608),IF(P608="",IF(F608="","INFORMAR PRAZO","SEM DATA"),IF(P608&gt;=0,"DEFESA NO PRAZO","DEFESA FORA DO PRAZO")),IF(OR(H608="DECISÃO D.P",ISNUMBER(N608)),"SEM DEFESA",IF(H608="","SEM STATUS",IF(F608="","INFORMAR PRAZO",IF(P608="","SEM DATA",IF(P608&lt;0,"VENCIDO",IF(P608&lt;=DiasAlerta,"VENCE EM BREVE","NO PRAZO"))))))))</f>
        <v/>
      </c>
      <c r="R608" s="118" t="str">
        <f>IF(D608="","",TODAY()-D608)</f>
        <v/>
      </c>
      <c r="S608" s="111" t="n"/>
    </row>
    <row r="609" ht="18" customHeight="1">
      <c r="A609" s="110" t="n"/>
      <c r="B609" s="111" t="n"/>
      <c r="C609" s="111" t="n"/>
      <c r="D609" s="112" t="n"/>
      <c r="E609" s="111" t="n"/>
      <c r="F609" s="110" t="n"/>
      <c r="G609" s="113" t="n"/>
      <c r="H609" s="113" t="n"/>
      <c r="I609" s="111" t="n"/>
      <c r="J609" s="114" t="n"/>
      <c r="K609" s="114" t="n"/>
      <c r="L609" s="112" t="n"/>
      <c r="M609" s="112" t="n"/>
      <c r="N609" s="112" t="n"/>
      <c r="O609" s="115" t="str">
        <f>IF(OR(D609="",F609=""),"",D609+F609)</f>
        <v/>
      </c>
      <c r="P609" s="116" t="str">
        <f>IF(O609="","",IF(ISNUMBER(M609),O609-M609,IF(OR(H609="DECISÃO D.P",ISNUMBER(N609)),"",O609-TODAY())))</f>
        <v/>
      </c>
      <c r="Q609" s="117" t="str">
        <f>IF(B609="","",IF(ISNUMBER(N609),"DECIDIDO – ","")&amp;IF(ISNUMBER(M609),IF(P609="",IF(F609="","INFORMAR PRAZO","SEM DATA"),IF(P609&gt;=0,"DEFESA NO PRAZO","DEFESA FORA DO PRAZO")),IF(OR(H609="DECISÃO D.P",ISNUMBER(N609)),"SEM DEFESA",IF(H609="","SEM STATUS",IF(F609="","INFORMAR PRAZO",IF(P609="","SEM DATA",IF(P609&lt;0,"VENCIDO",IF(P609&lt;=DiasAlerta,"VENCE EM BREVE","NO PRAZO"))))))))</f>
        <v/>
      </c>
      <c r="R609" s="118" t="str">
        <f>IF(D609="","",TODAY()-D609)</f>
        <v/>
      </c>
      <c r="S609" s="111" t="n"/>
    </row>
    <row r="610" ht="18" customHeight="1">
      <c r="A610" s="110" t="n"/>
      <c r="B610" s="111" t="n"/>
      <c r="C610" s="111" t="n"/>
      <c r="D610" s="112" t="n"/>
      <c r="E610" s="111" t="n"/>
      <c r="F610" s="110" t="n"/>
      <c r="G610" s="113" t="n"/>
      <c r="H610" s="113" t="n"/>
      <c r="I610" s="111" t="n"/>
      <c r="J610" s="114" t="n"/>
      <c r="K610" s="114" t="n"/>
      <c r="L610" s="112" t="n"/>
      <c r="M610" s="112" t="n"/>
      <c r="N610" s="112" t="n"/>
      <c r="O610" s="115" t="str">
        <f>IF(OR(D610="",F610=""),"",D610+F610)</f>
        <v/>
      </c>
      <c r="P610" s="116" t="str">
        <f>IF(O610="","",IF(ISNUMBER(M610),O610-M610,IF(OR(H610="DECISÃO D.P",ISNUMBER(N610)),"",O610-TODAY())))</f>
        <v/>
      </c>
      <c r="Q610" s="117" t="str">
        <f>IF(B610="","",IF(ISNUMBER(N610),"DECIDIDO – ","")&amp;IF(ISNUMBER(M610),IF(P610="",IF(F610="","INFORMAR PRAZO","SEM DATA"),IF(P610&gt;=0,"DEFESA NO PRAZO","DEFESA FORA DO PRAZO")),IF(OR(H610="DECISÃO D.P",ISNUMBER(N610)),"SEM DEFESA",IF(H610="","SEM STATUS",IF(F610="","INFORMAR PRAZO",IF(P610="","SEM DATA",IF(P610&lt;0,"VENCIDO",IF(P610&lt;=DiasAlerta,"VENCE EM BREVE","NO PRAZO"))))))))</f>
        <v/>
      </c>
      <c r="R610" s="118" t="str">
        <f>IF(D610="","",TODAY()-D610)</f>
        <v/>
      </c>
      <c r="S610" s="111" t="n"/>
    </row>
    <row r="611" ht="18" customHeight="1">
      <c r="A611" s="110" t="n"/>
      <c r="B611" s="111" t="n"/>
      <c r="C611" s="111" t="n"/>
      <c r="D611" s="112" t="n"/>
      <c r="E611" s="111" t="n"/>
      <c r="F611" s="110" t="n"/>
      <c r="G611" s="113" t="n"/>
      <c r="H611" s="113" t="n"/>
      <c r="I611" s="111" t="n"/>
      <c r="J611" s="114" t="n"/>
      <c r="K611" s="114" t="n"/>
      <c r="L611" s="112" t="n"/>
      <c r="M611" s="112" t="n"/>
      <c r="N611" s="112" t="n"/>
      <c r="O611" s="115" t="str">
        <f>IF(OR(D611="",F611=""),"",D611+F611)</f>
        <v/>
      </c>
      <c r="P611" s="116" t="str">
        <f>IF(O611="","",IF(ISNUMBER(M611),O611-M611,IF(OR(H611="DECISÃO D.P",ISNUMBER(N611)),"",O611-TODAY())))</f>
        <v/>
      </c>
      <c r="Q611" s="117" t="str">
        <f>IF(B611="","",IF(ISNUMBER(N611),"DECIDIDO – ","")&amp;IF(ISNUMBER(M611),IF(P611="",IF(F611="","INFORMAR PRAZO","SEM DATA"),IF(P611&gt;=0,"DEFESA NO PRAZO","DEFESA FORA DO PRAZO")),IF(OR(H611="DECISÃO D.P",ISNUMBER(N611)),"SEM DEFESA",IF(H611="","SEM STATUS",IF(F611="","INFORMAR PRAZO",IF(P611="","SEM DATA",IF(P611&lt;0,"VENCIDO",IF(P611&lt;=DiasAlerta,"VENCE EM BREVE","NO PRAZO"))))))))</f>
        <v/>
      </c>
      <c r="R611" s="118" t="str">
        <f>IF(D611="","",TODAY()-D611)</f>
        <v/>
      </c>
      <c r="S611" s="111" t="n"/>
    </row>
    <row r="612" ht="18" customHeight="1">
      <c r="A612" s="110" t="n"/>
      <c r="B612" s="111" t="n"/>
      <c r="C612" s="111" t="n"/>
      <c r="D612" s="112" t="n"/>
      <c r="E612" s="111" t="n"/>
      <c r="F612" s="110" t="n"/>
      <c r="G612" s="113" t="n"/>
      <c r="H612" s="113" t="n"/>
      <c r="I612" s="111" t="n"/>
      <c r="J612" s="114" t="n"/>
      <c r="K612" s="114" t="n"/>
      <c r="L612" s="112" t="n"/>
      <c r="M612" s="112" t="n"/>
      <c r="N612" s="112" t="n"/>
      <c r="O612" s="115" t="str">
        <f>IF(OR(D612="",F612=""),"",D612+F612)</f>
        <v/>
      </c>
      <c r="P612" s="116" t="str">
        <f>IF(O612="","",IF(ISNUMBER(M612),O612-M612,IF(OR(H612="DECISÃO D.P",ISNUMBER(N612)),"",O612-TODAY())))</f>
        <v/>
      </c>
      <c r="Q612" s="117" t="str">
        <f>IF(B612="","",IF(ISNUMBER(N612),"DECIDIDO – ","")&amp;IF(ISNUMBER(M612),IF(P612="",IF(F612="","INFORMAR PRAZO","SEM DATA"),IF(P612&gt;=0,"DEFESA NO PRAZO","DEFESA FORA DO PRAZO")),IF(OR(H612="DECISÃO D.P",ISNUMBER(N612)),"SEM DEFESA",IF(H612="","SEM STATUS",IF(F612="","INFORMAR PRAZO",IF(P612="","SEM DATA",IF(P612&lt;0,"VENCIDO",IF(P612&lt;=DiasAlerta,"VENCE EM BREVE","NO PRAZO"))))))))</f>
        <v/>
      </c>
      <c r="R612" s="118" t="str">
        <f>IF(D612="","",TODAY()-D612)</f>
        <v/>
      </c>
      <c r="S612" s="111" t="n"/>
    </row>
    <row r="613" ht="18" customHeight="1">
      <c r="A613" s="110" t="n"/>
      <c r="B613" s="111" t="n"/>
      <c r="C613" s="111" t="n"/>
      <c r="D613" s="112" t="n"/>
      <c r="E613" s="111" t="n"/>
      <c r="F613" s="110" t="n"/>
      <c r="G613" s="113" t="n"/>
      <c r="H613" s="113" t="n"/>
      <c r="I613" s="111" t="n"/>
      <c r="J613" s="114" t="n"/>
      <c r="K613" s="114" t="n"/>
      <c r="L613" s="112" t="n"/>
      <c r="M613" s="112" t="n"/>
      <c r="N613" s="112" t="n"/>
      <c r="O613" s="115" t="str">
        <f>IF(OR(D613="",F613=""),"",D613+F613)</f>
        <v/>
      </c>
      <c r="P613" s="116" t="str">
        <f>IF(O613="","",IF(ISNUMBER(M613),O613-M613,IF(OR(H613="DECISÃO D.P",ISNUMBER(N613)),"",O613-TODAY())))</f>
        <v/>
      </c>
      <c r="Q613" s="117" t="str">
        <f>IF(B613="","",IF(ISNUMBER(N613),"DECIDIDO – ","")&amp;IF(ISNUMBER(M613),IF(P613="",IF(F613="","INFORMAR PRAZO","SEM DATA"),IF(P613&gt;=0,"DEFESA NO PRAZO","DEFESA FORA DO PRAZO")),IF(OR(H613="DECISÃO D.P",ISNUMBER(N613)),"SEM DEFESA",IF(H613="","SEM STATUS",IF(F613="","INFORMAR PRAZO",IF(P613="","SEM DATA",IF(P613&lt;0,"VENCIDO",IF(P613&lt;=DiasAlerta,"VENCE EM BREVE","NO PRAZO"))))))))</f>
        <v/>
      </c>
      <c r="R613" s="118" t="str">
        <f>IF(D613="","",TODAY()-D613)</f>
        <v/>
      </c>
      <c r="S613" s="111" t="n"/>
    </row>
    <row r="614" ht="18" customHeight="1">
      <c r="A614" s="110" t="n"/>
      <c r="B614" s="111" t="n"/>
      <c r="C614" s="111" t="n"/>
      <c r="D614" s="112" t="n"/>
      <c r="E614" s="111" t="n"/>
      <c r="F614" s="110" t="n"/>
      <c r="G614" s="113" t="n"/>
      <c r="H614" s="113" t="n"/>
      <c r="I614" s="111" t="n"/>
      <c r="J614" s="114" t="n"/>
      <c r="K614" s="114" t="n"/>
      <c r="L614" s="112" t="n"/>
      <c r="M614" s="112" t="n"/>
      <c r="N614" s="112" t="n"/>
      <c r="O614" s="115" t="str">
        <f>IF(OR(D614="",F614=""),"",D614+F614)</f>
        <v/>
      </c>
      <c r="P614" s="116" t="str">
        <f>IF(O614="","",IF(ISNUMBER(M614),O614-M614,IF(OR(H614="DECISÃO D.P",ISNUMBER(N614)),"",O614-TODAY())))</f>
        <v/>
      </c>
      <c r="Q614" s="117" t="str">
        <f>IF(B614="","",IF(ISNUMBER(N614),"DECIDIDO – ","")&amp;IF(ISNUMBER(M614),IF(P614="",IF(F614="","INFORMAR PRAZO","SEM DATA"),IF(P614&gt;=0,"DEFESA NO PRAZO","DEFESA FORA DO PRAZO")),IF(OR(H614="DECISÃO D.P",ISNUMBER(N614)),"SEM DEFESA",IF(H614="","SEM STATUS",IF(F614="","INFORMAR PRAZO",IF(P614="","SEM DATA",IF(P614&lt;0,"VENCIDO",IF(P614&lt;=DiasAlerta,"VENCE EM BREVE","NO PRAZO"))))))))</f>
        <v/>
      </c>
      <c r="R614" s="118" t="str">
        <f>IF(D614="","",TODAY()-D614)</f>
        <v/>
      </c>
      <c r="S614" s="111" t="n"/>
    </row>
    <row r="615" ht="18" customHeight="1">
      <c r="A615" s="110" t="n"/>
      <c r="B615" s="111" t="n"/>
      <c r="C615" s="111" t="n"/>
      <c r="D615" s="112" t="n"/>
      <c r="E615" s="111" t="n"/>
      <c r="F615" s="110" t="n"/>
      <c r="G615" s="113" t="n"/>
      <c r="H615" s="113" t="n"/>
      <c r="I615" s="111" t="n"/>
      <c r="J615" s="114" t="n"/>
      <c r="K615" s="114" t="n"/>
      <c r="L615" s="112" t="n"/>
      <c r="M615" s="112" t="n"/>
      <c r="N615" s="112" t="n"/>
      <c r="O615" s="115" t="str">
        <f>IF(OR(D615="",F615=""),"",D615+F615)</f>
        <v/>
      </c>
      <c r="P615" s="116" t="str">
        <f>IF(O615="","",IF(ISNUMBER(M615),O615-M615,IF(OR(H615="DECISÃO D.P",ISNUMBER(N615)),"",O615-TODAY())))</f>
        <v/>
      </c>
      <c r="Q615" s="117" t="str">
        <f>IF(B615="","",IF(ISNUMBER(N615),"DECIDIDO – ","")&amp;IF(ISNUMBER(M615),IF(P615="",IF(F615="","INFORMAR PRAZO","SEM DATA"),IF(P615&gt;=0,"DEFESA NO PRAZO","DEFESA FORA DO PRAZO")),IF(OR(H615="DECISÃO D.P",ISNUMBER(N615)),"SEM DEFESA",IF(H615="","SEM STATUS",IF(F615="","INFORMAR PRAZO",IF(P615="","SEM DATA",IF(P615&lt;0,"VENCIDO",IF(P615&lt;=DiasAlerta,"VENCE EM BREVE","NO PRAZO"))))))))</f>
        <v/>
      </c>
      <c r="R615" s="118" t="str">
        <f>IF(D615="","",TODAY()-D615)</f>
        <v/>
      </c>
      <c r="S615" s="111" t="n"/>
    </row>
    <row r="616" ht="18" customHeight="1">
      <c r="A616" s="110" t="n"/>
      <c r="B616" s="111" t="n"/>
      <c r="C616" s="111" t="n"/>
      <c r="D616" s="112" t="n"/>
      <c r="E616" s="111" t="n"/>
      <c r="F616" s="110" t="n"/>
      <c r="G616" s="113" t="n"/>
      <c r="H616" s="113" t="n"/>
      <c r="I616" s="111" t="n"/>
      <c r="J616" s="114" t="n"/>
      <c r="K616" s="114" t="n"/>
      <c r="L616" s="112" t="n"/>
      <c r="M616" s="112" t="n"/>
      <c r="N616" s="112" t="n"/>
      <c r="O616" s="115" t="str">
        <f>IF(OR(D616="",F616=""),"",D616+F616)</f>
        <v/>
      </c>
      <c r="P616" s="116" t="str">
        <f>IF(O616="","",IF(ISNUMBER(M616),O616-M616,IF(OR(H616="DECISÃO D.P",ISNUMBER(N616)),"",O616-TODAY())))</f>
        <v/>
      </c>
      <c r="Q616" s="117" t="str">
        <f>IF(B616="","",IF(ISNUMBER(N616),"DECIDIDO – ","")&amp;IF(ISNUMBER(M616),IF(P616="",IF(F616="","INFORMAR PRAZO","SEM DATA"),IF(P616&gt;=0,"DEFESA NO PRAZO","DEFESA FORA DO PRAZO")),IF(OR(H616="DECISÃO D.P",ISNUMBER(N616)),"SEM DEFESA",IF(H616="","SEM STATUS",IF(F616="","INFORMAR PRAZO",IF(P616="","SEM DATA",IF(P616&lt;0,"VENCIDO",IF(P616&lt;=DiasAlerta,"VENCE EM BREVE","NO PRAZO"))))))))</f>
        <v/>
      </c>
      <c r="R616" s="118" t="str">
        <f>IF(D616="","",TODAY()-D616)</f>
        <v/>
      </c>
      <c r="S616" s="111" t="n"/>
    </row>
    <row r="617" ht="18" customHeight="1">
      <c r="A617" s="110" t="n"/>
      <c r="B617" s="111" t="n"/>
      <c r="C617" s="111" t="n"/>
      <c r="D617" s="112" t="n"/>
      <c r="E617" s="111" t="n"/>
      <c r="F617" s="110" t="n"/>
      <c r="G617" s="113" t="n"/>
      <c r="H617" s="113" t="n"/>
      <c r="I617" s="111" t="n"/>
      <c r="J617" s="114" t="n"/>
      <c r="K617" s="114" t="n"/>
      <c r="L617" s="112" t="n"/>
      <c r="M617" s="112" t="n"/>
      <c r="N617" s="112" t="n"/>
      <c r="O617" s="115" t="str">
        <f>IF(OR(D617="",F617=""),"",D617+F617)</f>
        <v/>
      </c>
      <c r="P617" s="116" t="str">
        <f>IF(O617="","",IF(ISNUMBER(M617),O617-M617,IF(OR(H617="DECISÃO D.P",ISNUMBER(N617)),"",O617-TODAY())))</f>
        <v/>
      </c>
      <c r="Q617" s="117" t="str">
        <f>IF(B617="","",IF(ISNUMBER(N617),"DECIDIDO – ","")&amp;IF(ISNUMBER(M617),IF(P617="",IF(F617="","INFORMAR PRAZO","SEM DATA"),IF(P617&gt;=0,"DEFESA NO PRAZO","DEFESA FORA DO PRAZO")),IF(OR(H617="DECISÃO D.P",ISNUMBER(N617)),"SEM DEFESA",IF(H617="","SEM STATUS",IF(F617="","INFORMAR PRAZO",IF(P617="","SEM DATA",IF(P617&lt;0,"VENCIDO",IF(P617&lt;=DiasAlerta,"VENCE EM BREVE","NO PRAZO"))))))))</f>
        <v/>
      </c>
      <c r="R617" s="118" t="str">
        <f>IF(D617="","",TODAY()-D617)</f>
        <v/>
      </c>
      <c r="S617" s="111" t="n"/>
    </row>
    <row r="618" ht="18" customHeight="1">
      <c r="A618" s="110" t="n"/>
      <c r="B618" s="111" t="n"/>
      <c r="C618" s="111" t="n"/>
      <c r="D618" s="112" t="n"/>
      <c r="E618" s="111" t="n"/>
      <c r="F618" s="110" t="n"/>
      <c r="G618" s="113" t="n"/>
      <c r="H618" s="113" t="n"/>
      <c r="I618" s="111" t="n"/>
      <c r="J618" s="114" t="n"/>
      <c r="K618" s="114" t="n"/>
      <c r="L618" s="112" t="n"/>
      <c r="M618" s="112" t="n"/>
      <c r="N618" s="112" t="n"/>
      <c r="O618" s="115" t="str">
        <f>IF(OR(D618="",F618=""),"",D618+F618)</f>
        <v/>
      </c>
      <c r="P618" s="116" t="str">
        <f>IF(O618="","",IF(ISNUMBER(M618),O618-M618,IF(OR(H618="DECISÃO D.P",ISNUMBER(N618)),"",O618-TODAY())))</f>
        <v/>
      </c>
      <c r="Q618" s="117" t="str">
        <f>IF(B618="","",IF(ISNUMBER(N618),"DECIDIDO – ","")&amp;IF(ISNUMBER(M618),IF(P618="",IF(F618="","INFORMAR PRAZO","SEM DATA"),IF(P618&gt;=0,"DEFESA NO PRAZO","DEFESA FORA DO PRAZO")),IF(OR(H618="DECISÃO D.P",ISNUMBER(N618)),"SEM DEFESA",IF(H618="","SEM STATUS",IF(F618="","INFORMAR PRAZO",IF(P618="","SEM DATA",IF(P618&lt;0,"VENCIDO",IF(P618&lt;=DiasAlerta,"VENCE EM BREVE","NO PRAZO"))))))))</f>
        <v/>
      </c>
      <c r="R618" s="118" t="str">
        <f>IF(D618="","",TODAY()-D618)</f>
        <v/>
      </c>
      <c r="S618" s="111" t="n"/>
    </row>
    <row r="619" ht="18" customHeight="1">
      <c r="A619" s="110" t="n"/>
      <c r="B619" s="111" t="n"/>
      <c r="C619" s="111" t="n"/>
      <c r="D619" s="112" t="n"/>
      <c r="E619" s="111" t="n"/>
      <c r="F619" s="110" t="n"/>
      <c r="G619" s="113" t="n"/>
      <c r="H619" s="113" t="n"/>
      <c r="I619" s="111" t="n"/>
      <c r="J619" s="114" t="n"/>
      <c r="K619" s="114" t="n"/>
      <c r="L619" s="112" t="n"/>
      <c r="M619" s="112" t="n"/>
      <c r="N619" s="112" t="n"/>
      <c r="O619" s="115" t="str">
        <f>IF(OR(D619="",F619=""),"",D619+F619)</f>
        <v/>
      </c>
      <c r="P619" s="116" t="str">
        <f>IF(O619="","",IF(ISNUMBER(M619),O619-M619,IF(OR(H619="DECISÃO D.P",ISNUMBER(N619)),"",O619-TODAY())))</f>
        <v/>
      </c>
      <c r="Q619" s="117" t="str">
        <f>IF(B619="","",IF(ISNUMBER(N619),"DECIDIDO – ","")&amp;IF(ISNUMBER(M619),IF(P619="",IF(F619="","INFORMAR PRAZO","SEM DATA"),IF(P619&gt;=0,"DEFESA NO PRAZO","DEFESA FORA DO PRAZO")),IF(OR(H619="DECISÃO D.P",ISNUMBER(N619)),"SEM DEFESA",IF(H619="","SEM STATUS",IF(F619="","INFORMAR PRAZO",IF(P619="","SEM DATA",IF(P619&lt;0,"VENCIDO",IF(P619&lt;=DiasAlerta,"VENCE EM BREVE","NO PRAZO"))))))))</f>
        <v/>
      </c>
      <c r="R619" s="118" t="str">
        <f>IF(D619="","",TODAY()-D619)</f>
        <v/>
      </c>
      <c r="S619" s="111" t="n"/>
    </row>
    <row r="620" ht="18" customHeight="1">
      <c r="A620" s="110" t="n"/>
      <c r="B620" s="111" t="n"/>
      <c r="C620" s="111" t="n"/>
      <c r="D620" s="112" t="n"/>
      <c r="E620" s="111" t="n"/>
      <c r="F620" s="110" t="n"/>
      <c r="G620" s="113" t="n"/>
      <c r="H620" s="113" t="n"/>
      <c r="I620" s="111" t="n"/>
      <c r="J620" s="114" t="n"/>
      <c r="K620" s="114" t="n"/>
      <c r="L620" s="112" t="n"/>
      <c r="M620" s="112" t="n"/>
      <c r="N620" s="112" t="n"/>
      <c r="O620" s="115" t="str">
        <f>IF(OR(D620="",F620=""),"",D620+F620)</f>
        <v/>
      </c>
      <c r="P620" s="116" t="str">
        <f>IF(O620="","",IF(ISNUMBER(M620),O620-M620,IF(OR(H620="DECISÃO D.P",ISNUMBER(N620)),"",O620-TODAY())))</f>
        <v/>
      </c>
      <c r="Q620" s="117" t="str">
        <f>IF(B620="","",IF(ISNUMBER(N620),"DECIDIDO – ","")&amp;IF(ISNUMBER(M620),IF(P620="",IF(F620="","INFORMAR PRAZO","SEM DATA"),IF(P620&gt;=0,"DEFESA NO PRAZO","DEFESA FORA DO PRAZO")),IF(OR(H620="DECISÃO D.P",ISNUMBER(N620)),"SEM DEFESA",IF(H620="","SEM STATUS",IF(F620="","INFORMAR PRAZO",IF(P620="","SEM DATA",IF(P620&lt;0,"VENCIDO",IF(P620&lt;=DiasAlerta,"VENCE EM BREVE","NO PRAZO"))))))))</f>
        <v/>
      </c>
      <c r="R620" s="118" t="str">
        <f>IF(D620="","",TODAY()-D620)</f>
        <v/>
      </c>
      <c r="S620" s="111" t="n"/>
    </row>
    <row r="621" ht="18" customHeight="1">
      <c r="A621" s="110" t="n"/>
      <c r="B621" s="111" t="n"/>
      <c r="C621" s="111" t="n"/>
      <c r="D621" s="112" t="n"/>
      <c r="E621" s="111" t="n"/>
      <c r="F621" s="110" t="n"/>
      <c r="G621" s="113" t="n"/>
      <c r="H621" s="113" t="n"/>
      <c r="I621" s="111" t="n"/>
      <c r="J621" s="114" t="n"/>
      <c r="K621" s="114" t="n"/>
      <c r="L621" s="112" t="n"/>
      <c r="M621" s="112" t="n"/>
      <c r="N621" s="112" t="n"/>
      <c r="O621" s="115" t="str">
        <f>IF(OR(D621="",F621=""),"",D621+F621)</f>
        <v/>
      </c>
      <c r="P621" s="116" t="str">
        <f>IF(O621="","",IF(ISNUMBER(M621),O621-M621,IF(OR(H621="DECISÃO D.P",ISNUMBER(N621)),"",O621-TODAY())))</f>
        <v/>
      </c>
      <c r="Q621" s="117" t="str">
        <f>IF(B621="","",IF(ISNUMBER(N621),"DECIDIDO – ","")&amp;IF(ISNUMBER(M621),IF(P621="",IF(F621="","INFORMAR PRAZO","SEM DATA"),IF(P621&gt;=0,"DEFESA NO PRAZO","DEFESA FORA DO PRAZO")),IF(OR(H621="DECISÃO D.P",ISNUMBER(N621)),"SEM DEFESA",IF(H621="","SEM STATUS",IF(F621="","INFORMAR PRAZO",IF(P621="","SEM DATA",IF(P621&lt;0,"VENCIDO",IF(P621&lt;=DiasAlerta,"VENCE EM BREVE","NO PRAZO"))))))))</f>
        <v/>
      </c>
      <c r="R621" s="118" t="str">
        <f>IF(D621="","",TODAY()-D621)</f>
        <v/>
      </c>
      <c r="S621" s="111" t="n"/>
    </row>
    <row r="622" ht="18" customHeight="1">
      <c r="A622" s="110" t="n"/>
      <c r="B622" s="111" t="n"/>
      <c r="C622" s="111" t="n"/>
      <c r="D622" s="112" t="n"/>
      <c r="E622" s="111" t="n"/>
      <c r="F622" s="110" t="n"/>
      <c r="G622" s="113" t="n"/>
      <c r="H622" s="113" t="n"/>
      <c r="I622" s="111" t="n"/>
      <c r="J622" s="114" t="n"/>
      <c r="K622" s="114" t="n"/>
      <c r="L622" s="112" t="n"/>
      <c r="M622" s="112" t="n"/>
      <c r="N622" s="112" t="n"/>
      <c r="O622" s="115" t="str">
        <f>IF(OR(D622="",F622=""),"",D622+F622)</f>
        <v/>
      </c>
      <c r="P622" s="116" t="str">
        <f>IF(O622="","",IF(ISNUMBER(M622),O622-M622,IF(OR(H622="DECISÃO D.P",ISNUMBER(N622)),"",O622-TODAY())))</f>
        <v/>
      </c>
      <c r="Q622" s="117" t="str">
        <f>IF(B622="","",IF(ISNUMBER(N622),"DECIDIDO – ","")&amp;IF(ISNUMBER(M622),IF(P622="",IF(F622="","INFORMAR PRAZO","SEM DATA"),IF(P622&gt;=0,"DEFESA NO PRAZO","DEFESA FORA DO PRAZO")),IF(OR(H622="DECISÃO D.P",ISNUMBER(N622)),"SEM DEFESA",IF(H622="","SEM STATUS",IF(F622="","INFORMAR PRAZO",IF(P622="","SEM DATA",IF(P622&lt;0,"VENCIDO",IF(P622&lt;=DiasAlerta,"VENCE EM BREVE","NO PRAZO"))))))))</f>
        <v/>
      </c>
      <c r="R622" s="118" t="str">
        <f>IF(D622="","",TODAY()-D622)</f>
        <v/>
      </c>
      <c r="S622" s="111" t="n"/>
    </row>
    <row r="623" ht="18" customHeight="1">
      <c r="A623" s="110" t="n"/>
      <c r="B623" s="111" t="n"/>
      <c r="C623" s="111" t="n"/>
      <c r="D623" s="112" t="n"/>
      <c r="E623" s="111" t="n"/>
      <c r="F623" s="110" t="n"/>
      <c r="G623" s="113" t="n"/>
      <c r="H623" s="113" t="n"/>
      <c r="I623" s="111" t="n"/>
      <c r="J623" s="114" t="n"/>
      <c r="K623" s="114" t="n"/>
      <c r="L623" s="112" t="n"/>
      <c r="M623" s="112" t="n"/>
      <c r="N623" s="112" t="n"/>
      <c r="O623" s="115" t="str">
        <f>IF(OR(D623="",F623=""),"",D623+F623)</f>
        <v/>
      </c>
      <c r="P623" s="116" t="str">
        <f>IF(O623="","",IF(ISNUMBER(M623),O623-M623,IF(OR(H623="DECISÃO D.P",ISNUMBER(N623)),"",O623-TODAY())))</f>
        <v/>
      </c>
      <c r="Q623" s="117" t="str">
        <f>IF(B623="","",IF(ISNUMBER(N623),"DECIDIDO – ","")&amp;IF(ISNUMBER(M623),IF(P623="",IF(F623="","INFORMAR PRAZO","SEM DATA"),IF(P623&gt;=0,"DEFESA NO PRAZO","DEFESA FORA DO PRAZO")),IF(OR(H623="DECISÃO D.P",ISNUMBER(N623)),"SEM DEFESA",IF(H623="","SEM STATUS",IF(F623="","INFORMAR PRAZO",IF(P623="","SEM DATA",IF(P623&lt;0,"VENCIDO",IF(P623&lt;=DiasAlerta,"VENCE EM BREVE","NO PRAZO"))))))))</f>
        <v/>
      </c>
      <c r="R623" s="118" t="str">
        <f>IF(D623="","",TODAY()-D623)</f>
        <v/>
      </c>
      <c r="S623" s="111" t="n"/>
    </row>
    <row r="624" ht="18" customHeight="1">
      <c r="A624" s="110" t="n"/>
      <c r="B624" s="111" t="n"/>
      <c r="C624" s="111" t="n"/>
      <c r="D624" s="112" t="n"/>
      <c r="E624" s="111" t="n"/>
      <c r="F624" s="110" t="n"/>
      <c r="G624" s="113" t="n"/>
      <c r="H624" s="113" t="n"/>
      <c r="I624" s="111" t="n"/>
      <c r="J624" s="114" t="n"/>
      <c r="K624" s="114" t="n"/>
      <c r="L624" s="112" t="n"/>
      <c r="M624" s="112" t="n"/>
      <c r="N624" s="112" t="n"/>
      <c r="O624" s="115" t="str">
        <f>IF(OR(D624="",F624=""),"",D624+F624)</f>
        <v/>
      </c>
      <c r="P624" s="116" t="str">
        <f>IF(O624="","",IF(ISNUMBER(M624),O624-M624,IF(OR(H624="DECISÃO D.P",ISNUMBER(N624)),"",O624-TODAY())))</f>
        <v/>
      </c>
      <c r="Q624" s="117" t="str">
        <f>IF(B624="","",IF(ISNUMBER(N624),"DECIDIDO – ","")&amp;IF(ISNUMBER(M624),IF(P624="",IF(F624="","INFORMAR PRAZO","SEM DATA"),IF(P624&gt;=0,"DEFESA NO PRAZO","DEFESA FORA DO PRAZO")),IF(OR(H624="DECISÃO D.P",ISNUMBER(N624)),"SEM DEFESA",IF(H624="","SEM STATUS",IF(F624="","INFORMAR PRAZO",IF(P624="","SEM DATA",IF(P624&lt;0,"VENCIDO",IF(P624&lt;=DiasAlerta,"VENCE EM BREVE","NO PRAZO"))))))))</f>
        <v/>
      </c>
      <c r="R624" s="118" t="str">
        <f>IF(D624="","",TODAY()-D624)</f>
        <v/>
      </c>
      <c r="S624" s="111" t="n"/>
    </row>
    <row r="625" ht="18" customHeight="1">
      <c r="A625" s="110" t="n"/>
      <c r="B625" s="111" t="n"/>
      <c r="C625" s="111" t="n"/>
      <c r="D625" s="112" t="n"/>
      <c r="E625" s="111" t="n"/>
      <c r="F625" s="110" t="n"/>
      <c r="G625" s="113" t="n"/>
      <c r="H625" s="113" t="n"/>
      <c r="I625" s="111" t="n"/>
      <c r="J625" s="114" t="n"/>
      <c r="K625" s="114" t="n"/>
      <c r="L625" s="112" t="n"/>
      <c r="M625" s="112" t="n"/>
      <c r="N625" s="112" t="n"/>
      <c r="O625" s="115" t="str">
        <f>IF(OR(D625="",F625=""),"",D625+F625)</f>
        <v/>
      </c>
      <c r="P625" s="116" t="str">
        <f>IF(O625="","",IF(ISNUMBER(M625),O625-M625,IF(OR(H625="DECISÃO D.P",ISNUMBER(N625)),"",O625-TODAY())))</f>
        <v/>
      </c>
      <c r="Q625" s="117" t="str">
        <f>IF(B625="","",IF(ISNUMBER(N625),"DECIDIDO – ","")&amp;IF(ISNUMBER(M625),IF(P625="",IF(F625="","INFORMAR PRAZO","SEM DATA"),IF(P625&gt;=0,"DEFESA NO PRAZO","DEFESA FORA DO PRAZO")),IF(OR(H625="DECISÃO D.P",ISNUMBER(N625)),"SEM DEFESA",IF(H625="","SEM STATUS",IF(F625="","INFORMAR PRAZO",IF(P625="","SEM DATA",IF(P625&lt;0,"VENCIDO",IF(P625&lt;=DiasAlerta,"VENCE EM BREVE","NO PRAZO"))))))))</f>
        <v/>
      </c>
      <c r="R625" s="118" t="str">
        <f>IF(D625="","",TODAY()-D625)</f>
        <v/>
      </c>
      <c r="S625" s="111" t="n"/>
    </row>
    <row r="626" ht="18" customHeight="1">
      <c r="A626" s="110" t="n"/>
      <c r="B626" s="111" t="n"/>
      <c r="C626" s="111" t="n"/>
      <c r="D626" s="112" t="n"/>
      <c r="E626" s="111" t="n"/>
      <c r="F626" s="110" t="n"/>
      <c r="G626" s="113" t="n"/>
      <c r="H626" s="113" t="n"/>
      <c r="I626" s="111" t="n"/>
      <c r="J626" s="114" t="n"/>
      <c r="K626" s="114" t="n"/>
      <c r="L626" s="112" t="n"/>
      <c r="M626" s="112" t="n"/>
      <c r="N626" s="112" t="n"/>
      <c r="O626" s="115" t="str">
        <f>IF(OR(D626="",F626=""),"",D626+F626)</f>
        <v/>
      </c>
      <c r="P626" s="116" t="str">
        <f>IF(O626="","",IF(ISNUMBER(M626),O626-M626,IF(OR(H626="DECISÃO D.P",ISNUMBER(N626)),"",O626-TODAY())))</f>
        <v/>
      </c>
      <c r="Q626" s="117" t="str">
        <f>IF(B626="","",IF(ISNUMBER(N626),"DECIDIDO – ","")&amp;IF(ISNUMBER(M626),IF(P626="",IF(F626="","INFORMAR PRAZO","SEM DATA"),IF(P626&gt;=0,"DEFESA NO PRAZO","DEFESA FORA DO PRAZO")),IF(OR(H626="DECISÃO D.P",ISNUMBER(N626)),"SEM DEFESA",IF(H626="","SEM STATUS",IF(F626="","INFORMAR PRAZO",IF(P626="","SEM DATA",IF(P626&lt;0,"VENCIDO",IF(P626&lt;=DiasAlerta,"VENCE EM BREVE","NO PRAZO"))))))))</f>
        <v/>
      </c>
      <c r="R626" s="118" t="str">
        <f>IF(D626="","",TODAY()-D626)</f>
        <v/>
      </c>
      <c r="S626" s="111" t="n"/>
    </row>
    <row r="627" ht="18" customHeight="1">
      <c r="A627" s="110" t="n"/>
      <c r="B627" s="111" t="n"/>
      <c r="C627" s="111" t="n"/>
      <c r="D627" s="112" t="n"/>
      <c r="E627" s="111" t="n"/>
      <c r="F627" s="110" t="n"/>
      <c r="G627" s="113" t="n"/>
      <c r="H627" s="113" t="n"/>
      <c r="I627" s="111" t="n"/>
      <c r="J627" s="114" t="n"/>
      <c r="K627" s="114" t="n"/>
      <c r="L627" s="112" t="n"/>
      <c r="M627" s="112" t="n"/>
      <c r="N627" s="112" t="n"/>
      <c r="O627" s="115" t="str">
        <f>IF(OR(D627="",F627=""),"",D627+F627)</f>
        <v/>
      </c>
      <c r="P627" s="116" t="str">
        <f>IF(O627="","",IF(ISNUMBER(M627),O627-M627,IF(OR(H627="DECISÃO D.P",ISNUMBER(N627)),"",O627-TODAY())))</f>
        <v/>
      </c>
      <c r="Q627" s="117" t="str">
        <f>IF(B627="","",IF(ISNUMBER(N627),"DECIDIDO – ","")&amp;IF(ISNUMBER(M627),IF(P627="",IF(F627="","INFORMAR PRAZO","SEM DATA"),IF(P627&gt;=0,"DEFESA NO PRAZO","DEFESA FORA DO PRAZO")),IF(OR(H627="DECISÃO D.P",ISNUMBER(N627)),"SEM DEFESA",IF(H627="","SEM STATUS",IF(F627="","INFORMAR PRAZO",IF(P627="","SEM DATA",IF(P627&lt;0,"VENCIDO",IF(P627&lt;=DiasAlerta,"VENCE EM BREVE","NO PRAZO"))))))))</f>
        <v/>
      </c>
      <c r="R627" s="118" t="str">
        <f>IF(D627="","",TODAY()-D627)</f>
        <v/>
      </c>
      <c r="S627" s="111" t="n"/>
    </row>
    <row r="628" ht="18" customHeight="1">
      <c r="A628" s="110" t="n"/>
      <c r="B628" s="111" t="n"/>
      <c r="C628" s="111" t="n"/>
      <c r="D628" s="112" t="n"/>
      <c r="E628" s="111" t="n"/>
      <c r="F628" s="110" t="n"/>
      <c r="G628" s="113" t="n"/>
      <c r="H628" s="113" t="n"/>
      <c r="I628" s="111" t="n"/>
      <c r="J628" s="114" t="n"/>
      <c r="K628" s="114" t="n"/>
      <c r="L628" s="112" t="n"/>
      <c r="M628" s="112" t="n"/>
      <c r="N628" s="112" t="n"/>
      <c r="O628" s="115" t="str">
        <f>IF(OR(D628="",F628=""),"",D628+F628)</f>
        <v/>
      </c>
      <c r="P628" s="116" t="str">
        <f>IF(O628="","",IF(ISNUMBER(M628),O628-M628,IF(OR(H628="DECISÃO D.P",ISNUMBER(N628)),"",O628-TODAY())))</f>
        <v/>
      </c>
      <c r="Q628" s="117" t="str">
        <f>IF(B628="","",IF(ISNUMBER(N628),"DECIDIDO – ","")&amp;IF(ISNUMBER(M628),IF(P628="",IF(F628="","INFORMAR PRAZO","SEM DATA"),IF(P628&gt;=0,"DEFESA NO PRAZO","DEFESA FORA DO PRAZO")),IF(OR(H628="DECISÃO D.P",ISNUMBER(N628)),"SEM DEFESA",IF(H628="","SEM STATUS",IF(F628="","INFORMAR PRAZO",IF(P628="","SEM DATA",IF(P628&lt;0,"VENCIDO",IF(P628&lt;=DiasAlerta,"VENCE EM BREVE","NO PRAZO"))))))))</f>
        <v/>
      </c>
      <c r="R628" s="118" t="str">
        <f>IF(D628="","",TODAY()-D628)</f>
        <v/>
      </c>
      <c r="S628" s="111" t="n"/>
    </row>
    <row r="629" ht="18" customHeight="1">
      <c r="A629" s="110" t="n"/>
      <c r="B629" s="111" t="n"/>
      <c r="C629" s="111" t="n"/>
      <c r="D629" s="112" t="n"/>
      <c r="E629" s="111" t="n"/>
      <c r="F629" s="110" t="n"/>
      <c r="G629" s="113" t="n"/>
      <c r="H629" s="113" t="n"/>
      <c r="I629" s="111" t="n"/>
      <c r="J629" s="114" t="n"/>
      <c r="K629" s="114" t="n"/>
      <c r="L629" s="112" t="n"/>
      <c r="M629" s="112" t="n"/>
      <c r="N629" s="112" t="n"/>
      <c r="O629" s="115" t="str">
        <f>IF(OR(D629="",F629=""),"",D629+F629)</f>
        <v/>
      </c>
      <c r="P629" s="116" t="str">
        <f>IF(O629="","",IF(ISNUMBER(M629),O629-M629,IF(OR(H629="DECISÃO D.P",ISNUMBER(N629)),"",O629-TODAY())))</f>
        <v/>
      </c>
      <c r="Q629" s="117" t="str">
        <f>IF(B629="","",IF(ISNUMBER(N629),"DECIDIDO – ","")&amp;IF(ISNUMBER(M629),IF(P629="",IF(F629="","INFORMAR PRAZO","SEM DATA"),IF(P629&gt;=0,"DEFESA NO PRAZO","DEFESA FORA DO PRAZO")),IF(OR(H629="DECISÃO D.P",ISNUMBER(N629)),"SEM DEFESA",IF(H629="","SEM STATUS",IF(F629="","INFORMAR PRAZO",IF(P629="","SEM DATA",IF(P629&lt;0,"VENCIDO",IF(P629&lt;=DiasAlerta,"VENCE EM BREVE","NO PRAZO"))))))))</f>
        <v/>
      </c>
      <c r="R629" s="118" t="str">
        <f>IF(D629="","",TODAY()-D629)</f>
        <v/>
      </c>
      <c r="S629" s="111" t="n"/>
    </row>
    <row r="630" ht="18" customHeight="1">
      <c r="A630" s="110" t="n"/>
      <c r="B630" s="111" t="n"/>
      <c r="C630" s="111" t="n"/>
      <c r="D630" s="112" t="n"/>
      <c r="E630" s="111" t="n"/>
      <c r="F630" s="110" t="n"/>
      <c r="G630" s="113" t="n"/>
      <c r="H630" s="113" t="n"/>
      <c r="I630" s="111" t="n"/>
      <c r="J630" s="114" t="n"/>
      <c r="K630" s="114" t="n"/>
      <c r="L630" s="112" t="n"/>
      <c r="M630" s="112" t="n"/>
      <c r="N630" s="112" t="n"/>
      <c r="O630" s="115" t="str">
        <f>IF(OR(D630="",F630=""),"",D630+F630)</f>
        <v/>
      </c>
      <c r="P630" s="116" t="str">
        <f>IF(O630="","",IF(ISNUMBER(M630),O630-M630,IF(OR(H630="DECISÃO D.P",ISNUMBER(N630)),"",O630-TODAY())))</f>
        <v/>
      </c>
      <c r="Q630" s="117" t="str">
        <f>IF(B630="","",IF(ISNUMBER(N630),"DECIDIDO – ","")&amp;IF(ISNUMBER(M630),IF(P630="",IF(F630="","INFORMAR PRAZO","SEM DATA"),IF(P630&gt;=0,"DEFESA NO PRAZO","DEFESA FORA DO PRAZO")),IF(OR(H630="DECISÃO D.P",ISNUMBER(N630)),"SEM DEFESA",IF(H630="","SEM STATUS",IF(F630="","INFORMAR PRAZO",IF(P630="","SEM DATA",IF(P630&lt;0,"VENCIDO",IF(P630&lt;=DiasAlerta,"VENCE EM BREVE","NO PRAZO"))))))))</f>
        <v/>
      </c>
      <c r="R630" s="118" t="str">
        <f>IF(D630="","",TODAY()-D630)</f>
        <v/>
      </c>
      <c r="S630" s="111" t="n"/>
    </row>
    <row r="631" ht="18" customHeight="1">
      <c r="A631" s="110" t="n"/>
      <c r="B631" s="111" t="n"/>
      <c r="C631" s="111" t="n"/>
      <c r="D631" s="112" t="n"/>
      <c r="E631" s="111" t="n"/>
      <c r="F631" s="110" t="n"/>
      <c r="G631" s="113" t="n"/>
      <c r="H631" s="113" t="n"/>
      <c r="I631" s="111" t="n"/>
      <c r="J631" s="114" t="n"/>
      <c r="K631" s="114" t="n"/>
      <c r="L631" s="112" t="n"/>
      <c r="M631" s="112" t="n"/>
      <c r="N631" s="112" t="n"/>
      <c r="O631" s="115" t="str">
        <f>IF(OR(D631="",F631=""),"",D631+F631)</f>
        <v/>
      </c>
      <c r="P631" s="116" t="str">
        <f>IF(O631="","",IF(ISNUMBER(M631),O631-M631,IF(OR(H631="DECISÃO D.P",ISNUMBER(N631)),"",O631-TODAY())))</f>
        <v/>
      </c>
      <c r="Q631" s="117" t="str">
        <f>IF(B631="","",IF(ISNUMBER(N631),"DECIDIDO – ","")&amp;IF(ISNUMBER(M631),IF(P631="",IF(F631="","INFORMAR PRAZO","SEM DATA"),IF(P631&gt;=0,"DEFESA NO PRAZO","DEFESA FORA DO PRAZO")),IF(OR(H631="DECISÃO D.P",ISNUMBER(N631)),"SEM DEFESA",IF(H631="","SEM STATUS",IF(F631="","INFORMAR PRAZO",IF(P631="","SEM DATA",IF(P631&lt;0,"VENCIDO",IF(P631&lt;=DiasAlerta,"VENCE EM BREVE","NO PRAZO"))))))))</f>
        <v/>
      </c>
      <c r="R631" s="118" t="str">
        <f>IF(D631="","",TODAY()-D631)</f>
        <v/>
      </c>
      <c r="S631" s="111" t="n"/>
    </row>
    <row r="632" ht="18" customHeight="1">
      <c r="A632" s="110" t="n"/>
      <c r="B632" s="111" t="n"/>
      <c r="C632" s="111" t="n"/>
      <c r="D632" s="112" t="n"/>
      <c r="E632" s="111" t="n"/>
      <c r="F632" s="110" t="n"/>
      <c r="G632" s="113" t="n"/>
      <c r="H632" s="113" t="n"/>
      <c r="I632" s="111" t="n"/>
      <c r="J632" s="114" t="n"/>
      <c r="K632" s="114" t="n"/>
      <c r="L632" s="112" t="n"/>
      <c r="M632" s="112" t="n"/>
      <c r="N632" s="112" t="n"/>
      <c r="O632" s="115" t="str">
        <f>IF(OR(D632="",F632=""),"",D632+F632)</f>
        <v/>
      </c>
      <c r="P632" s="116" t="str">
        <f>IF(O632="","",IF(ISNUMBER(M632),O632-M632,IF(OR(H632="DECISÃO D.P",ISNUMBER(N632)),"",O632-TODAY())))</f>
        <v/>
      </c>
      <c r="Q632" s="117" t="str">
        <f>IF(B632="","",IF(ISNUMBER(N632),"DECIDIDO – ","")&amp;IF(ISNUMBER(M632),IF(P632="",IF(F632="","INFORMAR PRAZO","SEM DATA"),IF(P632&gt;=0,"DEFESA NO PRAZO","DEFESA FORA DO PRAZO")),IF(OR(H632="DECISÃO D.P",ISNUMBER(N632)),"SEM DEFESA",IF(H632="","SEM STATUS",IF(F632="","INFORMAR PRAZO",IF(P632="","SEM DATA",IF(P632&lt;0,"VENCIDO",IF(P632&lt;=DiasAlerta,"VENCE EM BREVE","NO PRAZO"))))))))</f>
        <v/>
      </c>
      <c r="R632" s="118" t="str">
        <f>IF(D632="","",TODAY()-D632)</f>
        <v/>
      </c>
      <c r="S632" s="111" t="n"/>
    </row>
    <row r="633" ht="18" customHeight="1">
      <c r="A633" s="110" t="n"/>
      <c r="B633" s="111" t="n"/>
      <c r="C633" s="111" t="n"/>
      <c r="D633" s="112" t="n"/>
      <c r="E633" s="111" t="n"/>
      <c r="F633" s="110" t="n"/>
      <c r="G633" s="113" t="n"/>
      <c r="H633" s="113" t="n"/>
      <c r="I633" s="111" t="n"/>
      <c r="J633" s="114" t="n"/>
      <c r="K633" s="114" t="n"/>
      <c r="L633" s="112" t="n"/>
      <c r="M633" s="112" t="n"/>
      <c r="N633" s="112" t="n"/>
      <c r="O633" s="115" t="str">
        <f>IF(OR(D633="",F633=""),"",D633+F633)</f>
        <v/>
      </c>
      <c r="P633" s="116" t="str">
        <f>IF(O633="","",IF(ISNUMBER(M633),O633-M633,IF(OR(H633="DECISÃO D.P",ISNUMBER(N633)),"",O633-TODAY())))</f>
        <v/>
      </c>
      <c r="Q633" s="117" t="str">
        <f>IF(B633="","",IF(ISNUMBER(N633),"DECIDIDO – ","")&amp;IF(ISNUMBER(M633),IF(P633="",IF(F633="","INFORMAR PRAZO","SEM DATA"),IF(P633&gt;=0,"DEFESA NO PRAZO","DEFESA FORA DO PRAZO")),IF(OR(H633="DECISÃO D.P",ISNUMBER(N633)),"SEM DEFESA",IF(H633="","SEM STATUS",IF(F633="","INFORMAR PRAZO",IF(P633="","SEM DATA",IF(P633&lt;0,"VENCIDO",IF(P633&lt;=DiasAlerta,"VENCE EM BREVE","NO PRAZO"))))))))</f>
        <v/>
      </c>
      <c r="R633" s="118" t="str">
        <f>IF(D633="","",TODAY()-D633)</f>
        <v/>
      </c>
      <c r="S633" s="111" t="n"/>
    </row>
    <row r="634" ht="18" customHeight="1">
      <c r="A634" s="110" t="n"/>
      <c r="B634" s="111" t="n"/>
      <c r="C634" s="111" t="n"/>
      <c r="D634" s="112" t="n"/>
      <c r="E634" s="111" t="n"/>
      <c r="F634" s="110" t="n"/>
      <c r="G634" s="113" t="n"/>
      <c r="H634" s="113" t="n"/>
      <c r="I634" s="111" t="n"/>
      <c r="J634" s="114" t="n"/>
      <c r="K634" s="114" t="n"/>
      <c r="L634" s="112" t="n"/>
      <c r="M634" s="112" t="n"/>
      <c r="N634" s="112" t="n"/>
      <c r="O634" s="115" t="str">
        <f>IF(OR(D634="",F634=""),"",D634+F634)</f>
        <v/>
      </c>
      <c r="P634" s="116" t="str">
        <f>IF(O634="","",IF(ISNUMBER(M634),O634-M634,IF(OR(H634="DECISÃO D.P",ISNUMBER(N634)),"",O634-TODAY())))</f>
        <v/>
      </c>
      <c r="Q634" s="117" t="str">
        <f>IF(B634="","",IF(ISNUMBER(N634),"DECIDIDO – ","")&amp;IF(ISNUMBER(M634),IF(P634="",IF(F634="","INFORMAR PRAZO","SEM DATA"),IF(P634&gt;=0,"DEFESA NO PRAZO","DEFESA FORA DO PRAZO")),IF(OR(H634="DECISÃO D.P",ISNUMBER(N634)),"SEM DEFESA",IF(H634="","SEM STATUS",IF(F634="","INFORMAR PRAZO",IF(P634="","SEM DATA",IF(P634&lt;0,"VENCIDO",IF(P634&lt;=DiasAlerta,"VENCE EM BREVE","NO PRAZO"))))))))</f>
        <v/>
      </c>
      <c r="R634" s="118" t="str">
        <f>IF(D634="","",TODAY()-D634)</f>
        <v/>
      </c>
      <c r="S634" s="111" t="n"/>
    </row>
    <row r="635" ht="18" customHeight="1">
      <c r="A635" s="110" t="n"/>
      <c r="B635" s="111" t="n"/>
      <c r="C635" s="111" t="n"/>
      <c r="D635" s="112" t="n"/>
      <c r="E635" s="111" t="n"/>
      <c r="F635" s="110" t="n"/>
      <c r="G635" s="113" t="n"/>
      <c r="H635" s="113" t="n"/>
      <c r="I635" s="111" t="n"/>
      <c r="J635" s="114" t="n"/>
      <c r="K635" s="114" t="n"/>
      <c r="L635" s="112" t="n"/>
      <c r="M635" s="112" t="n"/>
      <c r="N635" s="112" t="n"/>
      <c r="O635" s="115" t="str">
        <f>IF(OR(D635="",F635=""),"",D635+F635)</f>
        <v/>
      </c>
      <c r="P635" s="116" t="str">
        <f>IF(O635="","",IF(ISNUMBER(M635),O635-M635,IF(OR(H635="DECISÃO D.P",ISNUMBER(N635)),"",O635-TODAY())))</f>
        <v/>
      </c>
      <c r="Q635" s="117" t="str">
        <f>IF(B635="","",IF(ISNUMBER(N635),"DECIDIDO – ","")&amp;IF(ISNUMBER(M635),IF(P635="",IF(F635="","INFORMAR PRAZO","SEM DATA"),IF(P635&gt;=0,"DEFESA NO PRAZO","DEFESA FORA DO PRAZO")),IF(OR(H635="DECISÃO D.P",ISNUMBER(N635)),"SEM DEFESA",IF(H635="","SEM STATUS",IF(F635="","INFORMAR PRAZO",IF(P635="","SEM DATA",IF(P635&lt;0,"VENCIDO",IF(P635&lt;=DiasAlerta,"VENCE EM BREVE","NO PRAZO"))))))))</f>
        <v/>
      </c>
      <c r="R635" s="118" t="str">
        <f>IF(D635="","",TODAY()-D635)</f>
        <v/>
      </c>
      <c r="S635" s="111" t="n"/>
    </row>
    <row r="636" ht="18" customHeight="1">
      <c r="A636" s="110" t="n"/>
      <c r="B636" s="111" t="n"/>
      <c r="C636" s="111" t="n"/>
      <c r="D636" s="112" t="n"/>
      <c r="E636" s="111" t="n"/>
      <c r="F636" s="110" t="n"/>
      <c r="G636" s="113" t="n"/>
      <c r="H636" s="113" t="n"/>
      <c r="I636" s="111" t="n"/>
      <c r="J636" s="114" t="n"/>
      <c r="K636" s="114" t="n"/>
      <c r="L636" s="112" t="n"/>
      <c r="M636" s="112" t="n"/>
      <c r="N636" s="112" t="n"/>
      <c r="O636" s="115" t="str">
        <f>IF(OR(D636="",F636=""),"",D636+F636)</f>
        <v/>
      </c>
      <c r="P636" s="116" t="str">
        <f>IF(O636="","",IF(ISNUMBER(M636),O636-M636,IF(OR(H636="DECISÃO D.P",ISNUMBER(N636)),"",O636-TODAY())))</f>
        <v/>
      </c>
      <c r="Q636" s="117" t="str">
        <f>IF(B636="","",IF(ISNUMBER(N636),"DECIDIDO – ","")&amp;IF(ISNUMBER(M636),IF(P636="",IF(F636="","INFORMAR PRAZO","SEM DATA"),IF(P636&gt;=0,"DEFESA NO PRAZO","DEFESA FORA DO PRAZO")),IF(OR(H636="DECISÃO D.P",ISNUMBER(N636)),"SEM DEFESA",IF(H636="","SEM STATUS",IF(F636="","INFORMAR PRAZO",IF(P636="","SEM DATA",IF(P636&lt;0,"VENCIDO",IF(P636&lt;=DiasAlerta,"VENCE EM BREVE","NO PRAZO"))))))))</f>
        <v/>
      </c>
      <c r="R636" s="118" t="str">
        <f>IF(D636="","",TODAY()-D636)</f>
        <v/>
      </c>
      <c r="S636" s="111" t="n"/>
    </row>
    <row r="637" ht="18" customHeight="1">
      <c r="A637" s="110" t="n"/>
      <c r="B637" s="111" t="n"/>
      <c r="C637" s="111" t="n"/>
      <c r="D637" s="112" t="n"/>
      <c r="E637" s="111" t="n"/>
      <c r="F637" s="110" t="n"/>
      <c r="G637" s="113" t="n"/>
      <c r="H637" s="113" t="n"/>
      <c r="I637" s="111" t="n"/>
      <c r="J637" s="114" t="n"/>
      <c r="K637" s="114" t="n"/>
      <c r="L637" s="112" t="n"/>
      <c r="M637" s="112" t="n"/>
      <c r="N637" s="112" t="n"/>
      <c r="O637" s="115" t="str">
        <f>IF(OR(D637="",F637=""),"",D637+F637)</f>
        <v/>
      </c>
      <c r="P637" s="116" t="str">
        <f>IF(O637="","",IF(ISNUMBER(M637),O637-M637,IF(OR(H637="DECISÃO D.P",ISNUMBER(N637)),"",O637-TODAY())))</f>
        <v/>
      </c>
      <c r="Q637" s="117" t="str">
        <f>IF(B637="","",IF(ISNUMBER(N637),"DECIDIDO – ","")&amp;IF(ISNUMBER(M637),IF(P637="",IF(F637="","INFORMAR PRAZO","SEM DATA"),IF(P637&gt;=0,"DEFESA NO PRAZO","DEFESA FORA DO PRAZO")),IF(OR(H637="DECISÃO D.P",ISNUMBER(N637)),"SEM DEFESA",IF(H637="","SEM STATUS",IF(F637="","INFORMAR PRAZO",IF(P637="","SEM DATA",IF(P637&lt;0,"VENCIDO",IF(P637&lt;=DiasAlerta,"VENCE EM BREVE","NO PRAZO"))))))))</f>
        <v/>
      </c>
      <c r="R637" s="118" t="str">
        <f>IF(D637="","",TODAY()-D637)</f>
        <v/>
      </c>
      <c r="S637" s="111" t="n"/>
    </row>
    <row r="638" ht="18" customHeight="1">
      <c r="A638" s="110" t="n"/>
      <c r="B638" s="111" t="n"/>
      <c r="C638" s="111" t="n"/>
      <c r="D638" s="112" t="n"/>
      <c r="E638" s="111" t="n"/>
      <c r="F638" s="110" t="n"/>
      <c r="G638" s="113" t="n"/>
      <c r="H638" s="113" t="n"/>
      <c r="I638" s="111" t="n"/>
      <c r="J638" s="114" t="n"/>
      <c r="K638" s="114" t="n"/>
      <c r="L638" s="112" t="n"/>
      <c r="M638" s="112" t="n"/>
      <c r="N638" s="112" t="n"/>
      <c r="O638" s="115" t="str">
        <f>IF(OR(D638="",F638=""),"",D638+F638)</f>
        <v/>
      </c>
      <c r="P638" s="116" t="str">
        <f>IF(O638="","",IF(ISNUMBER(M638),O638-M638,IF(OR(H638="DECISÃO D.P",ISNUMBER(N638)),"",O638-TODAY())))</f>
        <v/>
      </c>
      <c r="Q638" s="117" t="str">
        <f>IF(B638="","",IF(ISNUMBER(N638),"DECIDIDO – ","")&amp;IF(ISNUMBER(M638),IF(P638="",IF(F638="","INFORMAR PRAZO","SEM DATA"),IF(P638&gt;=0,"DEFESA NO PRAZO","DEFESA FORA DO PRAZO")),IF(OR(H638="DECISÃO D.P",ISNUMBER(N638)),"SEM DEFESA",IF(H638="","SEM STATUS",IF(F638="","INFORMAR PRAZO",IF(P638="","SEM DATA",IF(P638&lt;0,"VENCIDO",IF(P638&lt;=DiasAlerta,"VENCE EM BREVE","NO PRAZO"))))))))</f>
        <v/>
      </c>
      <c r="R638" s="118" t="str">
        <f>IF(D638="","",TODAY()-D638)</f>
        <v/>
      </c>
      <c r="S638" s="111" t="n"/>
    </row>
    <row r="639" ht="18" customHeight="1">
      <c r="A639" s="110" t="n"/>
      <c r="B639" s="111" t="n"/>
      <c r="C639" s="111" t="n"/>
      <c r="D639" s="112" t="n"/>
      <c r="E639" s="111" t="n"/>
      <c r="F639" s="110" t="n"/>
      <c r="G639" s="113" t="n"/>
      <c r="H639" s="113" t="n"/>
      <c r="I639" s="111" t="n"/>
      <c r="J639" s="114" t="n"/>
      <c r="K639" s="114" t="n"/>
      <c r="L639" s="112" t="n"/>
      <c r="M639" s="112" t="n"/>
      <c r="N639" s="112" t="n"/>
      <c r="O639" s="115" t="str">
        <f>IF(OR(D639="",F639=""),"",D639+F639)</f>
        <v/>
      </c>
      <c r="P639" s="116" t="str">
        <f>IF(O639="","",IF(ISNUMBER(M639),O639-M639,IF(OR(H639="DECISÃO D.P",ISNUMBER(N639)),"",O639-TODAY())))</f>
        <v/>
      </c>
      <c r="Q639" s="117" t="str">
        <f>IF(B639="","",IF(ISNUMBER(N639),"DECIDIDO – ","")&amp;IF(ISNUMBER(M639),IF(P639="",IF(F639="","INFORMAR PRAZO","SEM DATA"),IF(P639&gt;=0,"DEFESA NO PRAZO","DEFESA FORA DO PRAZO")),IF(OR(H639="DECISÃO D.P",ISNUMBER(N639)),"SEM DEFESA",IF(H639="","SEM STATUS",IF(F639="","INFORMAR PRAZO",IF(P639="","SEM DATA",IF(P639&lt;0,"VENCIDO",IF(P639&lt;=DiasAlerta,"VENCE EM BREVE","NO PRAZO"))))))))</f>
        <v/>
      </c>
      <c r="R639" s="118" t="str">
        <f>IF(D639="","",TODAY()-D639)</f>
        <v/>
      </c>
      <c r="S639" s="111" t="n"/>
    </row>
    <row r="640" ht="18" customHeight="1">
      <c r="A640" s="110" t="n"/>
      <c r="B640" s="111" t="n"/>
      <c r="C640" s="111" t="n"/>
      <c r="D640" s="112" t="n"/>
      <c r="E640" s="111" t="n"/>
      <c r="F640" s="110" t="n"/>
      <c r="G640" s="113" t="n"/>
      <c r="H640" s="113" t="n"/>
      <c r="I640" s="111" t="n"/>
      <c r="J640" s="114" t="n"/>
      <c r="K640" s="114" t="n"/>
      <c r="L640" s="112" t="n"/>
      <c r="M640" s="112" t="n"/>
      <c r="N640" s="112" t="n"/>
      <c r="O640" s="115" t="str">
        <f>IF(OR(D640="",F640=""),"",D640+F640)</f>
        <v/>
      </c>
      <c r="P640" s="116" t="str">
        <f>IF(O640="","",IF(ISNUMBER(M640),O640-M640,IF(OR(H640="DECISÃO D.P",ISNUMBER(N640)),"",O640-TODAY())))</f>
        <v/>
      </c>
      <c r="Q640" s="117" t="str">
        <f>IF(B640="","",IF(ISNUMBER(N640),"DECIDIDO – ","")&amp;IF(ISNUMBER(M640),IF(P640="",IF(F640="","INFORMAR PRAZO","SEM DATA"),IF(P640&gt;=0,"DEFESA NO PRAZO","DEFESA FORA DO PRAZO")),IF(OR(H640="DECISÃO D.P",ISNUMBER(N640)),"SEM DEFESA",IF(H640="","SEM STATUS",IF(F640="","INFORMAR PRAZO",IF(P640="","SEM DATA",IF(P640&lt;0,"VENCIDO",IF(P640&lt;=DiasAlerta,"VENCE EM BREVE","NO PRAZO"))))))))</f>
        <v/>
      </c>
      <c r="R640" s="118" t="str">
        <f>IF(D640="","",TODAY()-D640)</f>
        <v/>
      </c>
      <c r="S640" s="111" t="n"/>
    </row>
    <row r="641" ht="18" customHeight="1">
      <c r="A641" s="110" t="n"/>
      <c r="B641" s="111" t="n"/>
      <c r="C641" s="111" t="n"/>
      <c r="D641" s="112" t="n"/>
      <c r="E641" s="111" t="n"/>
      <c r="F641" s="110" t="n"/>
      <c r="G641" s="113" t="n"/>
      <c r="H641" s="113" t="n"/>
      <c r="I641" s="111" t="n"/>
      <c r="J641" s="114" t="n"/>
      <c r="K641" s="114" t="n"/>
      <c r="L641" s="112" t="n"/>
      <c r="M641" s="112" t="n"/>
      <c r="N641" s="112" t="n"/>
      <c r="O641" s="115" t="str">
        <f>IF(OR(D641="",F641=""),"",D641+F641)</f>
        <v/>
      </c>
      <c r="P641" s="116" t="str">
        <f>IF(O641="","",IF(ISNUMBER(M641),O641-M641,IF(OR(H641="DECISÃO D.P",ISNUMBER(N641)),"",O641-TODAY())))</f>
        <v/>
      </c>
      <c r="Q641" s="117" t="str">
        <f>IF(B641="","",IF(ISNUMBER(N641),"DECIDIDO – ","")&amp;IF(ISNUMBER(M641),IF(P641="",IF(F641="","INFORMAR PRAZO","SEM DATA"),IF(P641&gt;=0,"DEFESA NO PRAZO","DEFESA FORA DO PRAZO")),IF(OR(H641="DECISÃO D.P",ISNUMBER(N641)),"SEM DEFESA",IF(H641="","SEM STATUS",IF(F641="","INFORMAR PRAZO",IF(P641="","SEM DATA",IF(P641&lt;0,"VENCIDO",IF(P641&lt;=DiasAlerta,"VENCE EM BREVE","NO PRAZO"))))))))</f>
        <v/>
      </c>
      <c r="R641" s="118" t="str">
        <f>IF(D641="","",TODAY()-D641)</f>
        <v/>
      </c>
      <c r="S641" s="111" t="n"/>
    </row>
    <row r="642" ht="18" customHeight="1">
      <c r="A642" s="110" t="n"/>
      <c r="B642" s="111" t="n"/>
      <c r="C642" s="111" t="n"/>
      <c r="D642" s="112" t="n"/>
      <c r="E642" s="111" t="n"/>
      <c r="F642" s="110" t="n"/>
      <c r="G642" s="113" t="n"/>
      <c r="H642" s="113" t="n"/>
      <c r="I642" s="111" t="n"/>
      <c r="J642" s="114" t="n"/>
      <c r="K642" s="114" t="n"/>
      <c r="L642" s="112" t="n"/>
      <c r="M642" s="112" t="n"/>
      <c r="N642" s="112" t="n"/>
      <c r="O642" s="115" t="str">
        <f>IF(OR(D642="",F642=""),"",D642+F642)</f>
        <v/>
      </c>
      <c r="P642" s="116" t="str">
        <f>IF(O642="","",IF(ISNUMBER(M642),O642-M642,IF(OR(H642="DECISÃO D.P",ISNUMBER(N642)),"",O642-TODAY())))</f>
        <v/>
      </c>
      <c r="Q642" s="117" t="str">
        <f>IF(B642="","",IF(ISNUMBER(N642),"DECIDIDO – ","")&amp;IF(ISNUMBER(M642),IF(P642="",IF(F642="","INFORMAR PRAZO","SEM DATA"),IF(P642&gt;=0,"DEFESA NO PRAZO","DEFESA FORA DO PRAZO")),IF(OR(H642="DECISÃO D.P",ISNUMBER(N642)),"SEM DEFESA",IF(H642="","SEM STATUS",IF(F642="","INFORMAR PRAZO",IF(P642="","SEM DATA",IF(P642&lt;0,"VENCIDO",IF(P642&lt;=DiasAlerta,"VENCE EM BREVE","NO PRAZO"))))))))</f>
        <v/>
      </c>
      <c r="R642" s="118" t="str">
        <f>IF(D642="","",TODAY()-D642)</f>
        <v/>
      </c>
      <c r="S642" s="111" t="n"/>
    </row>
    <row r="643" ht="18" customHeight="1">
      <c r="A643" s="110" t="n"/>
      <c r="B643" s="111" t="n"/>
      <c r="C643" s="111" t="n"/>
      <c r="D643" s="112" t="n"/>
      <c r="E643" s="111" t="n"/>
      <c r="F643" s="110" t="n"/>
      <c r="G643" s="113" t="n"/>
      <c r="H643" s="113" t="n"/>
      <c r="I643" s="111" t="n"/>
      <c r="J643" s="114" t="n"/>
      <c r="K643" s="114" t="n"/>
      <c r="L643" s="112" t="n"/>
      <c r="M643" s="112" t="n"/>
      <c r="N643" s="112" t="n"/>
      <c r="O643" s="115" t="str">
        <f>IF(OR(D643="",F643=""),"",D643+F643)</f>
        <v/>
      </c>
      <c r="P643" s="116" t="str">
        <f>IF(O643="","",IF(ISNUMBER(M643),O643-M643,IF(OR(H643="DECISÃO D.P",ISNUMBER(N643)),"",O643-TODAY())))</f>
        <v/>
      </c>
      <c r="Q643" s="117" t="str">
        <f>IF(B643="","",IF(ISNUMBER(N643),"DECIDIDO – ","")&amp;IF(ISNUMBER(M643),IF(P643="",IF(F643="","INFORMAR PRAZO","SEM DATA"),IF(P643&gt;=0,"DEFESA NO PRAZO","DEFESA FORA DO PRAZO")),IF(OR(H643="DECISÃO D.P",ISNUMBER(N643)),"SEM DEFESA",IF(H643="","SEM STATUS",IF(F643="","INFORMAR PRAZO",IF(P643="","SEM DATA",IF(P643&lt;0,"VENCIDO",IF(P643&lt;=DiasAlerta,"VENCE EM BREVE","NO PRAZO"))))))))</f>
        <v/>
      </c>
      <c r="R643" s="118" t="str">
        <f>IF(D643="","",TODAY()-D643)</f>
        <v/>
      </c>
      <c r="S643" s="111" t="n"/>
    </row>
    <row r="644" ht="18" customHeight="1">
      <c r="A644" s="110" t="n"/>
      <c r="B644" s="111" t="n"/>
      <c r="C644" s="111" t="n"/>
      <c r="D644" s="112" t="n"/>
      <c r="E644" s="111" t="n"/>
      <c r="F644" s="110" t="n"/>
      <c r="G644" s="113" t="n"/>
      <c r="H644" s="113" t="n"/>
      <c r="I644" s="111" t="n"/>
      <c r="J644" s="114" t="n"/>
      <c r="K644" s="114" t="n"/>
      <c r="L644" s="112" t="n"/>
      <c r="M644" s="112" t="n"/>
      <c r="N644" s="112" t="n"/>
      <c r="O644" s="115" t="str">
        <f>IF(OR(D644="",F644=""),"",D644+F644)</f>
        <v/>
      </c>
      <c r="P644" s="116" t="str">
        <f>IF(O644="","",IF(ISNUMBER(M644),O644-M644,IF(OR(H644="DECISÃO D.P",ISNUMBER(N644)),"",O644-TODAY())))</f>
        <v/>
      </c>
      <c r="Q644" s="117" t="str">
        <f>IF(B644="","",IF(ISNUMBER(N644),"DECIDIDO – ","")&amp;IF(ISNUMBER(M644),IF(P644="",IF(F644="","INFORMAR PRAZO","SEM DATA"),IF(P644&gt;=0,"DEFESA NO PRAZO","DEFESA FORA DO PRAZO")),IF(OR(H644="DECISÃO D.P",ISNUMBER(N644)),"SEM DEFESA",IF(H644="","SEM STATUS",IF(F644="","INFORMAR PRAZO",IF(P644="","SEM DATA",IF(P644&lt;0,"VENCIDO",IF(P644&lt;=DiasAlerta,"VENCE EM BREVE","NO PRAZO"))))))))</f>
        <v/>
      </c>
      <c r="R644" s="118" t="str">
        <f>IF(D644="","",TODAY()-D644)</f>
        <v/>
      </c>
      <c r="S644" s="111" t="n"/>
    </row>
    <row r="645" ht="18" customHeight="1">
      <c r="A645" s="110" t="n"/>
      <c r="B645" s="111" t="n"/>
      <c r="C645" s="111" t="n"/>
      <c r="D645" s="112" t="n"/>
      <c r="E645" s="111" t="n"/>
      <c r="F645" s="110" t="n"/>
      <c r="G645" s="113" t="n"/>
      <c r="H645" s="113" t="n"/>
      <c r="I645" s="111" t="n"/>
      <c r="J645" s="114" t="n"/>
      <c r="K645" s="114" t="n"/>
      <c r="L645" s="112" t="n"/>
      <c r="M645" s="112" t="n"/>
      <c r="N645" s="112" t="n"/>
      <c r="O645" s="115" t="str">
        <f>IF(OR(D645="",F645=""),"",D645+F645)</f>
        <v/>
      </c>
      <c r="P645" s="116" t="str">
        <f>IF(O645="","",IF(ISNUMBER(M645),O645-M645,IF(OR(H645="DECISÃO D.P",ISNUMBER(N645)),"",O645-TODAY())))</f>
        <v/>
      </c>
      <c r="Q645" s="117" t="str">
        <f>IF(B645="","",IF(ISNUMBER(N645),"DECIDIDO – ","")&amp;IF(ISNUMBER(M645),IF(P645="",IF(F645="","INFORMAR PRAZO","SEM DATA"),IF(P645&gt;=0,"DEFESA NO PRAZO","DEFESA FORA DO PRAZO")),IF(OR(H645="DECISÃO D.P",ISNUMBER(N645)),"SEM DEFESA",IF(H645="","SEM STATUS",IF(F645="","INFORMAR PRAZO",IF(P645="","SEM DATA",IF(P645&lt;0,"VENCIDO",IF(P645&lt;=DiasAlerta,"VENCE EM BREVE","NO PRAZO"))))))))</f>
        <v/>
      </c>
      <c r="R645" s="118" t="str">
        <f>IF(D645="","",TODAY()-D645)</f>
        <v/>
      </c>
      <c r="S645" s="111" t="n"/>
    </row>
    <row r="646" ht="18" customHeight="1">
      <c r="A646" s="110" t="n"/>
      <c r="B646" s="111" t="n"/>
      <c r="C646" s="111" t="n"/>
      <c r="D646" s="112" t="n"/>
      <c r="E646" s="111" t="n"/>
      <c r="F646" s="110" t="n"/>
      <c r="G646" s="113" t="n"/>
      <c r="H646" s="113" t="n"/>
      <c r="I646" s="111" t="n"/>
      <c r="J646" s="114" t="n"/>
      <c r="K646" s="114" t="n"/>
      <c r="L646" s="112" t="n"/>
      <c r="M646" s="112" t="n"/>
      <c r="N646" s="112" t="n"/>
      <c r="O646" s="115" t="str">
        <f>IF(OR(D646="",F646=""),"",D646+F646)</f>
        <v/>
      </c>
      <c r="P646" s="116" t="str">
        <f>IF(O646="","",IF(ISNUMBER(M646),O646-M646,IF(OR(H646="DECISÃO D.P",ISNUMBER(N646)),"",O646-TODAY())))</f>
        <v/>
      </c>
      <c r="Q646" s="117" t="str">
        <f>IF(B646="","",IF(ISNUMBER(N646),"DECIDIDO – ","")&amp;IF(ISNUMBER(M646),IF(P646="",IF(F646="","INFORMAR PRAZO","SEM DATA"),IF(P646&gt;=0,"DEFESA NO PRAZO","DEFESA FORA DO PRAZO")),IF(OR(H646="DECISÃO D.P",ISNUMBER(N646)),"SEM DEFESA",IF(H646="","SEM STATUS",IF(F646="","INFORMAR PRAZO",IF(P646="","SEM DATA",IF(P646&lt;0,"VENCIDO",IF(P646&lt;=DiasAlerta,"VENCE EM BREVE","NO PRAZO"))))))))</f>
        <v/>
      </c>
      <c r="R646" s="118" t="str">
        <f>IF(D646="","",TODAY()-D646)</f>
        <v/>
      </c>
      <c r="S646" s="111" t="n"/>
    </row>
    <row r="647" ht="18" customHeight="1">
      <c r="A647" s="110" t="n"/>
      <c r="B647" s="111" t="n"/>
      <c r="C647" s="111" t="n"/>
      <c r="D647" s="112" t="n"/>
      <c r="E647" s="111" t="n"/>
      <c r="F647" s="110" t="n"/>
      <c r="G647" s="113" t="n"/>
      <c r="H647" s="113" t="n"/>
      <c r="I647" s="111" t="n"/>
      <c r="J647" s="114" t="n"/>
      <c r="K647" s="114" t="n"/>
      <c r="L647" s="112" t="n"/>
      <c r="M647" s="112" t="n"/>
      <c r="N647" s="112" t="n"/>
      <c r="O647" s="115" t="str">
        <f>IF(OR(D647="",F647=""),"",D647+F647)</f>
        <v/>
      </c>
      <c r="P647" s="116" t="str">
        <f>IF(O647="","",IF(ISNUMBER(M647),O647-M647,IF(OR(H647="DECISÃO D.P",ISNUMBER(N647)),"",O647-TODAY())))</f>
        <v/>
      </c>
      <c r="Q647" s="117" t="str">
        <f>IF(B647="","",IF(ISNUMBER(N647),"DECIDIDO – ","")&amp;IF(ISNUMBER(M647),IF(P647="",IF(F647="","INFORMAR PRAZO","SEM DATA"),IF(P647&gt;=0,"DEFESA NO PRAZO","DEFESA FORA DO PRAZO")),IF(OR(H647="DECISÃO D.P",ISNUMBER(N647)),"SEM DEFESA",IF(H647="","SEM STATUS",IF(F647="","INFORMAR PRAZO",IF(P647="","SEM DATA",IF(P647&lt;0,"VENCIDO",IF(P647&lt;=DiasAlerta,"VENCE EM BREVE","NO PRAZO"))))))))</f>
        <v/>
      </c>
      <c r="R647" s="118" t="str">
        <f>IF(D647="","",TODAY()-D647)</f>
        <v/>
      </c>
      <c r="S647" s="111" t="n"/>
    </row>
    <row r="648" ht="18" customHeight="1">
      <c r="A648" s="110" t="n"/>
      <c r="B648" s="111" t="n"/>
      <c r="C648" s="111" t="n"/>
      <c r="D648" s="112" t="n"/>
      <c r="E648" s="111" t="n"/>
      <c r="F648" s="110" t="n"/>
      <c r="G648" s="113" t="n"/>
      <c r="H648" s="113" t="n"/>
      <c r="I648" s="111" t="n"/>
      <c r="J648" s="114" t="n"/>
      <c r="K648" s="114" t="n"/>
      <c r="L648" s="112" t="n"/>
      <c r="M648" s="112" t="n"/>
      <c r="N648" s="112" t="n"/>
      <c r="O648" s="115" t="str">
        <f>IF(OR(D648="",F648=""),"",D648+F648)</f>
        <v/>
      </c>
      <c r="P648" s="116" t="str">
        <f>IF(O648="","",IF(ISNUMBER(M648),O648-M648,IF(OR(H648="DECISÃO D.P",ISNUMBER(N648)),"",O648-TODAY())))</f>
        <v/>
      </c>
      <c r="Q648" s="117" t="str">
        <f>IF(B648="","",IF(ISNUMBER(N648),"DECIDIDO – ","")&amp;IF(ISNUMBER(M648),IF(P648="",IF(F648="","INFORMAR PRAZO","SEM DATA"),IF(P648&gt;=0,"DEFESA NO PRAZO","DEFESA FORA DO PRAZO")),IF(OR(H648="DECISÃO D.P",ISNUMBER(N648)),"SEM DEFESA",IF(H648="","SEM STATUS",IF(F648="","INFORMAR PRAZO",IF(P648="","SEM DATA",IF(P648&lt;0,"VENCIDO",IF(P648&lt;=DiasAlerta,"VENCE EM BREVE","NO PRAZO"))))))))</f>
        <v/>
      </c>
      <c r="R648" s="118" t="str">
        <f>IF(D648="","",TODAY()-D648)</f>
        <v/>
      </c>
      <c r="S648" s="111" t="n"/>
    </row>
    <row r="649" ht="18" customHeight="1">
      <c r="A649" s="110" t="n"/>
      <c r="B649" s="111" t="n"/>
      <c r="C649" s="111" t="n"/>
      <c r="D649" s="112" t="n"/>
      <c r="E649" s="111" t="n"/>
      <c r="F649" s="110" t="n"/>
      <c r="G649" s="113" t="n"/>
      <c r="H649" s="113" t="n"/>
      <c r="I649" s="111" t="n"/>
      <c r="J649" s="114" t="n"/>
      <c r="K649" s="114" t="n"/>
      <c r="L649" s="112" t="n"/>
      <c r="M649" s="112" t="n"/>
      <c r="N649" s="112" t="n"/>
      <c r="O649" s="115" t="str">
        <f>IF(OR(D649="",F649=""),"",D649+F649)</f>
        <v/>
      </c>
      <c r="P649" s="116" t="str">
        <f>IF(O649="","",IF(ISNUMBER(M649),O649-M649,IF(OR(H649="DECISÃO D.P",ISNUMBER(N649)),"",O649-TODAY())))</f>
        <v/>
      </c>
      <c r="Q649" s="117" t="str">
        <f>IF(B649="","",IF(ISNUMBER(N649),"DECIDIDO – ","")&amp;IF(ISNUMBER(M649),IF(P649="",IF(F649="","INFORMAR PRAZO","SEM DATA"),IF(P649&gt;=0,"DEFESA NO PRAZO","DEFESA FORA DO PRAZO")),IF(OR(H649="DECISÃO D.P",ISNUMBER(N649)),"SEM DEFESA",IF(H649="","SEM STATUS",IF(F649="","INFORMAR PRAZO",IF(P649="","SEM DATA",IF(P649&lt;0,"VENCIDO",IF(P649&lt;=DiasAlerta,"VENCE EM BREVE","NO PRAZO"))))))))</f>
        <v/>
      </c>
      <c r="R649" s="118" t="str">
        <f>IF(D649="","",TODAY()-D649)</f>
        <v/>
      </c>
      <c r="S649" s="111" t="n"/>
    </row>
    <row r="650" ht="18" customHeight="1">
      <c r="A650" s="110" t="n"/>
      <c r="B650" s="111" t="n"/>
      <c r="C650" s="111" t="n"/>
      <c r="D650" s="112" t="n"/>
      <c r="E650" s="111" t="n"/>
      <c r="F650" s="110" t="n"/>
      <c r="G650" s="113" t="n"/>
      <c r="H650" s="113" t="n"/>
      <c r="I650" s="111" t="n"/>
      <c r="J650" s="114" t="n"/>
      <c r="K650" s="114" t="n"/>
      <c r="L650" s="112" t="n"/>
      <c r="M650" s="112" t="n"/>
      <c r="N650" s="112" t="n"/>
      <c r="O650" s="115" t="str">
        <f>IF(OR(D650="",F650=""),"",D650+F650)</f>
        <v/>
      </c>
      <c r="P650" s="116" t="str">
        <f>IF(O650="","",IF(ISNUMBER(M650),O650-M650,IF(OR(H650="DECISÃO D.P",ISNUMBER(N650)),"",O650-TODAY())))</f>
        <v/>
      </c>
      <c r="Q650" s="117" t="str">
        <f>IF(B650="","",IF(ISNUMBER(N650),"DECIDIDO – ","")&amp;IF(ISNUMBER(M650),IF(P650="",IF(F650="","INFORMAR PRAZO","SEM DATA"),IF(P650&gt;=0,"DEFESA NO PRAZO","DEFESA FORA DO PRAZO")),IF(OR(H650="DECISÃO D.P",ISNUMBER(N650)),"SEM DEFESA",IF(H650="","SEM STATUS",IF(F650="","INFORMAR PRAZO",IF(P650="","SEM DATA",IF(P650&lt;0,"VENCIDO",IF(P650&lt;=DiasAlerta,"VENCE EM BREVE","NO PRAZO"))))))))</f>
        <v/>
      </c>
      <c r="R650" s="118" t="str">
        <f>IF(D650="","",TODAY()-D650)</f>
        <v/>
      </c>
      <c r="S650" s="111" t="n"/>
    </row>
    <row r="651" ht="18" customHeight="1">
      <c r="A651" s="110" t="n"/>
      <c r="B651" s="111" t="n"/>
      <c r="C651" s="111" t="n"/>
      <c r="D651" s="112" t="n"/>
      <c r="E651" s="111" t="n"/>
      <c r="F651" s="110" t="n"/>
      <c r="G651" s="113" t="n"/>
      <c r="H651" s="113" t="n"/>
      <c r="I651" s="111" t="n"/>
      <c r="J651" s="114" t="n"/>
      <c r="K651" s="114" t="n"/>
      <c r="L651" s="112" t="n"/>
      <c r="M651" s="112" t="n"/>
      <c r="N651" s="112" t="n"/>
      <c r="O651" s="115" t="str">
        <f>IF(OR(D651="",F651=""),"",D651+F651)</f>
        <v/>
      </c>
      <c r="P651" s="116" t="str">
        <f>IF(O651="","",IF(ISNUMBER(M651),O651-M651,IF(OR(H651="DECISÃO D.P",ISNUMBER(N651)),"",O651-TODAY())))</f>
        <v/>
      </c>
      <c r="Q651" s="117" t="str">
        <f>IF(B651="","",IF(ISNUMBER(N651),"DECIDIDO – ","")&amp;IF(ISNUMBER(M651),IF(P651="",IF(F651="","INFORMAR PRAZO","SEM DATA"),IF(P651&gt;=0,"DEFESA NO PRAZO","DEFESA FORA DO PRAZO")),IF(OR(H651="DECISÃO D.P",ISNUMBER(N651)),"SEM DEFESA",IF(H651="","SEM STATUS",IF(F651="","INFORMAR PRAZO",IF(P651="","SEM DATA",IF(P651&lt;0,"VENCIDO",IF(P651&lt;=DiasAlerta,"VENCE EM BREVE","NO PRAZO"))))))))</f>
        <v/>
      </c>
      <c r="R651" s="118" t="str">
        <f>IF(D651="","",TODAY()-D651)</f>
        <v/>
      </c>
      <c r="S651" s="111" t="n"/>
    </row>
    <row r="652" ht="18" customHeight="1">
      <c r="A652" s="110" t="n"/>
      <c r="B652" s="111" t="n"/>
      <c r="C652" s="111" t="n"/>
      <c r="D652" s="112" t="n"/>
      <c r="E652" s="111" t="n"/>
      <c r="F652" s="110" t="n"/>
      <c r="G652" s="113" t="n"/>
      <c r="H652" s="113" t="n"/>
      <c r="I652" s="111" t="n"/>
      <c r="J652" s="114" t="n"/>
      <c r="K652" s="114" t="n"/>
      <c r="L652" s="112" t="n"/>
      <c r="M652" s="112" t="n"/>
      <c r="N652" s="112" t="n"/>
      <c r="O652" s="115" t="str">
        <f>IF(OR(D652="",F652=""),"",D652+F652)</f>
        <v/>
      </c>
      <c r="P652" s="116" t="str">
        <f>IF(O652="","",IF(ISNUMBER(M652),O652-M652,IF(OR(H652="DECISÃO D.P",ISNUMBER(N652)),"",O652-TODAY())))</f>
        <v/>
      </c>
      <c r="Q652" s="117" t="str">
        <f>IF(B652="","",IF(ISNUMBER(N652),"DECIDIDO – ","")&amp;IF(ISNUMBER(M652),IF(P652="",IF(F652="","INFORMAR PRAZO","SEM DATA"),IF(P652&gt;=0,"DEFESA NO PRAZO","DEFESA FORA DO PRAZO")),IF(OR(H652="DECISÃO D.P",ISNUMBER(N652)),"SEM DEFESA",IF(H652="","SEM STATUS",IF(F652="","INFORMAR PRAZO",IF(P652="","SEM DATA",IF(P652&lt;0,"VENCIDO",IF(P652&lt;=DiasAlerta,"VENCE EM BREVE","NO PRAZO"))))))))</f>
        <v/>
      </c>
      <c r="R652" s="118" t="str">
        <f>IF(D652="","",TODAY()-D652)</f>
        <v/>
      </c>
      <c r="S652" s="111" t="n"/>
    </row>
    <row r="653" ht="18" customHeight="1">
      <c r="A653" s="110" t="n"/>
      <c r="B653" s="111" t="n"/>
      <c r="C653" s="111" t="n"/>
      <c r="D653" s="112" t="n"/>
      <c r="E653" s="111" t="n"/>
      <c r="F653" s="110" t="n"/>
      <c r="G653" s="113" t="n"/>
      <c r="H653" s="113" t="n"/>
      <c r="I653" s="111" t="n"/>
      <c r="J653" s="114" t="n"/>
      <c r="K653" s="114" t="n"/>
      <c r="L653" s="112" t="n"/>
      <c r="M653" s="112" t="n"/>
      <c r="N653" s="112" t="n"/>
      <c r="O653" s="115" t="str">
        <f>IF(OR(D653="",F653=""),"",D653+F653)</f>
        <v/>
      </c>
      <c r="P653" s="116" t="str">
        <f>IF(O653="","",IF(ISNUMBER(M653),O653-M653,IF(OR(H653="DECISÃO D.P",ISNUMBER(N653)),"",O653-TODAY())))</f>
        <v/>
      </c>
      <c r="Q653" s="117" t="str">
        <f>IF(B653="","",IF(ISNUMBER(N653),"DECIDIDO – ","")&amp;IF(ISNUMBER(M653),IF(P653="",IF(F653="","INFORMAR PRAZO","SEM DATA"),IF(P653&gt;=0,"DEFESA NO PRAZO","DEFESA FORA DO PRAZO")),IF(OR(H653="DECISÃO D.P",ISNUMBER(N653)),"SEM DEFESA",IF(H653="","SEM STATUS",IF(F653="","INFORMAR PRAZO",IF(P653="","SEM DATA",IF(P653&lt;0,"VENCIDO",IF(P653&lt;=DiasAlerta,"VENCE EM BREVE","NO PRAZO"))))))))</f>
        <v/>
      </c>
      <c r="R653" s="118" t="str">
        <f>IF(D653="","",TODAY()-D653)</f>
        <v/>
      </c>
      <c r="S653" s="111" t="n"/>
    </row>
    <row r="654" ht="18" customHeight="1">
      <c r="A654" s="110" t="n"/>
      <c r="B654" s="111" t="n"/>
      <c r="C654" s="111" t="n"/>
      <c r="D654" s="112" t="n"/>
      <c r="E654" s="111" t="n"/>
      <c r="F654" s="110" t="n"/>
      <c r="G654" s="113" t="n"/>
      <c r="H654" s="113" t="n"/>
      <c r="I654" s="111" t="n"/>
      <c r="J654" s="114" t="n"/>
      <c r="K654" s="114" t="n"/>
      <c r="L654" s="112" t="n"/>
      <c r="M654" s="112" t="n"/>
      <c r="N654" s="112" t="n"/>
      <c r="O654" s="115" t="str">
        <f>IF(OR(D654="",F654=""),"",D654+F654)</f>
        <v/>
      </c>
      <c r="P654" s="116" t="str">
        <f>IF(O654="","",IF(ISNUMBER(M654),O654-M654,IF(OR(H654="DECISÃO D.P",ISNUMBER(N654)),"",O654-TODAY())))</f>
        <v/>
      </c>
      <c r="Q654" s="117" t="str">
        <f>IF(B654="","",IF(ISNUMBER(N654),"DECIDIDO – ","")&amp;IF(ISNUMBER(M654),IF(P654="",IF(F654="","INFORMAR PRAZO","SEM DATA"),IF(P654&gt;=0,"DEFESA NO PRAZO","DEFESA FORA DO PRAZO")),IF(OR(H654="DECISÃO D.P",ISNUMBER(N654)),"SEM DEFESA",IF(H654="","SEM STATUS",IF(F654="","INFORMAR PRAZO",IF(P654="","SEM DATA",IF(P654&lt;0,"VENCIDO",IF(P654&lt;=DiasAlerta,"VENCE EM BREVE","NO PRAZO"))))))))</f>
        <v/>
      </c>
      <c r="R654" s="118" t="str">
        <f>IF(D654="","",TODAY()-D654)</f>
        <v/>
      </c>
      <c r="S654" s="111" t="n"/>
    </row>
    <row r="655" ht="18" customHeight="1">
      <c r="A655" s="110" t="n"/>
      <c r="B655" s="111" t="n"/>
      <c r="C655" s="111" t="n"/>
      <c r="D655" s="112" t="n"/>
      <c r="E655" s="111" t="n"/>
      <c r="F655" s="110" t="n"/>
      <c r="G655" s="113" t="n"/>
      <c r="H655" s="113" t="n"/>
      <c r="I655" s="111" t="n"/>
      <c r="J655" s="114" t="n"/>
      <c r="K655" s="114" t="n"/>
      <c r="L655" s="112" t="n"/>
      <c r="M655" s="112" t="n"/>
      <c r="N655" s="112" t="n"/>
      <c r="O655" s="115" t="str">
        <f>IF(OR(D655="",F655=""),"",D655+F655)</f>
        <v/>
      </c>
      <c r="P655" s="116" t="str">
        <f>IF(O655="","",IF(ISNUMBER(M655),O655-M655,IF(OR(H655="DECISÃO D.P",ISNUMBER(N655)),"",O655-TODAY())))</f>
        <v/>
      </c>
      <c r="Q655" s="117" t="str">
        <f>IF(B655="","",IF(ISNUMBER(N655),"DECIDIDO – ","")&amp;IF(ISNUMBER(M655),IF(P655="",IF(F655="","INFORMAR PRAZO","SEM DATA"),IF(P655&gt;=0,"DEFESA NO PRAZO","DEFESA FORA DO PRAZO")),IF(OR(H655="DECISÃO D.P",ISNUMBER(N655)),"SEM DEFESA",IF(H655="","SEM STATUS",IF(F655="","INFORMAR PRAZO",IF(P655="","SEM DATA",IF(P655&lt;0,"VENCIDO",IF(P655&lt;=DiasAlerta,"VENCE EM BREVE","NO PRAZO"))))))))</f>
        <v/>
      </c>
      <c r="R655" s="118" t="str">
        <f>IF(D655="","",TODAY()-D655)</f>
        <v/>
      </c>
      <c r="S655" s="111" t="n"/>
    </row>
    <row r="656" ht="18" customHeight="1">
      <c r="A656" s="110" t="n"/>
      <c r="B656" s="111" t="n"/>
      <c r="C656" s="111" t="n"/>
      <c r="D656" s="112" t="n"/>
      <c r="E656" s="111" t="n"/>
      <c r="F656" s="110" t="n"/>
      <c r="G656" s="113" t="n"/>
      <c r="H656" s="113" t="n"/>
      <c r="I656" s="111" t="n"/>
      <c r="J656" s="114" t="n"/>
      <c r="K656" s="114" t="n"/>
      <c r="L656" s="112" t="n"/>
      <c r="M656" s="112" t="n"/>
      <c r="N656" s="112" t="n"/>
      <c r="O656" s="115" t="str">
        <f>IF(OR(D656="",F656=""),"",D656+F656)</f>
        <v/>
      </c>
      <c r="P656" s="116" t="str">
        <f>IF(O656="","",IF(ISNUMBER(M656),O656-M656,IF(OR(H656="DECISÃO D.P",ISNUMBER(N656)),"",O656-TODAY())))</f>
        <v/>
      </c>
      <c r="Q656" s="117" t="str">
        <f>IF(B656="","",IF(ISNUMBER(N656),"DECIDIDO – ","")&amp;IF(ISNUMBER(M656),IF(P656="",IF(F656="","INFORMAR PRAZO","SEM DATA"),IF(P656&gt;=0,"DEFESA NO PRAZO","DEFESA FORA DO PRAZO")),IF(OR(H656="DECISÃO D.P",ISNUMBER(N656)),"SEM DEFESA",IF(H656="","SEM STATUS",IF(F656="","INFORMAR PRAZO",IF(P656="","SEM DATA",IF(P656&lt;0,"VENCIDO",IF(P656&lt;=DiasAlerta,"VENCE EM BREVE","NO PRAZO"))))))))</f>
        <v/>
      </c>
      <c r="R656" s="118" t="str">
        <f>IF(D656="","",TODAY()-D656)</f>
        <v/>
      </c>
      <c r="S656" s="111" t="n"/>
    </row>
    <row r="657" ht="18" customHeight="1">
      <c r="A657" s="110" t="n"/>
      <c r="B657" s="111" t="n"/>
      <c r="C657" s="111" t="n"/>
      <c r="D657" s="112" t="n"/>
      <c r="E657" s="111" t="n"/>
      <c r="F657" s="110" t="n"/>
      <c r="G657" s="113" t="n"/>
      <c r="H657" s="113" t="n"/>
      <c r="I657" s="111" t="n"/>
      <c r="J657" s="114" t="n"/>
      <c r="K657" s="114" t="n"/>
      <c r="L657" s="112" t="n"/>
      <c r="M657" s="112" t="n"/>
      <c r="N657" s="112" t="n"/>
      <c r="O657" s="115" t="str">
        <f>IF(OR(D657="",F657=""),"",D657+F657)</f>
        <v/>
      </c>
      <c r="P657" s="116" t="str">
        <f>IF(O657="","",IF(ISNUMBER(M657),O657-M657,IF(OR(H657="DECISÃO D.P",ISNUMBER(N657)),"",O657-TODAY())))</f>
        <v/>
      </c>
      <c r="Q657" s="117" t="str">
        <f>IF(B657="","",IF(ISNUMBER(N657),"DECIDIDO – ","")&amp;IF(ISNUMBER(M657),IF(P657="",IF(F657="","INFORMAR PRAZO","SEM DATA"),IF(P657&gt;=0,"DEFESA NO PRAZO","DEFESA FORA DO PRAZO")),IF(OR(H657="DECISÃO D.P",ISNUMBER(N657)),"SEM DEFESA",IF(H657="","SEM STATUS",IF(F657="","INFORMAR PRAZO",IF(P657="","SEM DATA",IF(P657&lt;0,"VENCIDO",IF(P657&lt;=DiasAlerta,"VENCE EM BREVE","NO PRAZO"))))))))</f>
        <v/>
      </c>
      <c r="R657" s="118" t="str">
        <f>IF(D657="","",TODAY()-D657)</f>
        <v/>
      </c>
      <c r="S657" s="111" t="n"/>
    </row>
    <row r="658" ht="18" customHeight="1">
      <c r="A658" s="110" t="n"/>
      <c r="B658" s="111" t="n"/>
      <c r="C658" s="111" t="n"/>
      <c r="D658" s="112" t="n"/>
      <c r="E658" s="111" t="n"/>
      <c r="F658" s="110" t="n"/>
      <c r="G658" s="113" t="n"/>
      <c r="H658" s="113" t="n"/>
      <c r="I658" s="111" t="n"/>
      <c r="J658" s="114" t="n"/>
      <c r="K658" s="114" t="n"/>
      <c r="L658" s="112" t="n"/>
      <c r="M658" s="112" t="n"/>
      <c r="N658" s="112" t="n"/>
      <c r="O658" s="115" t="str">
        <f>IF(OR(D658="",F658=""),"",D658+F658)</f>
        <v/>
      </c>
      <c r="P658" s="116" t="str">
        <f>IF(O658="","",IF(ISNUMBER(M658),O658-M658,IF(OR(H658="DECISÃO D.P",ISNUMBER(N658)),"",O658-TODAY())))</f>
        <v/>
      </c>
      <c r="Q658" s="117" t="str">
        <f>IF(B658="","",IF(ISNUMBER(N658),"DECIDIDO – ","")&amp;IF(ISNUMBER(M658),IF(P658="",IF(F658="","INFORMAR PRAZO","SEM DATA"),IF(P658&gt;=0,"DEFESA NO PRAZO","DEFESA FORA DO PRAZO")),IF(OR(H658="DECISÃO D.P",ISNUMBER(N658)),"SEM DEFESA",IF(H658="","SEM STATUS",IF(F658="","INFORMAR PRAZO",IF(P658="","SEM DATA",IF(P658&lt;0,"VENCIDO",IF(P658&lt;=DiasAlerta,"VENCE EM BREVE","NO PRAZO"))))))))</f>
        <v/>
      </c>
      <c r="R658" s="118" t="str">
        <f>IF(D658="","",TODAY()-D658)</f>
        <v/>
      </c>
      <c r="S658" s="111" t="n"/>
    </row>
    <row r="659" ht="18" customHeight="1">
      <c r="A659" s="110" t="n"/>
      <c r="B659" s="111" t="n"/>
      <c r="C659" s="111" t="n"/>
      <c r="D659" s="112" t="n"/>
      <c r="E659" s="111" t="n"/>
      <c r="F659" s="110" t="n"/>
      <c r="G659" s="113" t="n"/>
      <c r="H659" s="113" t="n"/>
      <c r="I659" s="111" t="n"/>
      <c r="J659" s="114" t="n"/>
      <c r="K659" s="114" t="n"/>
      <c r="L659" s="112" t="n"/>
      <c r="M659" s="112" t="n"/>
      <c r="N659" s="112" t="n"/>
      <c r="O659" s="115" t="str">
        <f>IF(OR(D659="",F659=""),"",D659+F659)</f>
        <v/>
      </c>
      <c r="P659" s="116" t="str">
        <f>IF(O659="","",IF(ISNUMBER(M659),O659-M659,IF(OR(H659="DECISÃO D.P",ISNUMBER(N659)),"",O659-TODAY())))</f>
        <v/>
      </c>
      <c r="Q659" s="117" t="str">
        <f>IF(B659="","",IF(ISNUMBER(N659),"DECIDIDO – ","")&amp;IF(ISNUMBER(M659),IF(P659="",IF(F659="","INFORMAR PRAZO","SEM DATA"),IF(P659&gt;=0,"DEFESA NO PRAZO","DEFESA FORA DO PRAZO")),IF(OR(H659="DECISÃO D.P",ISNUMBER(N659)),"SEM DEFESA",IF(H659="","SEM STATUS",IF(F659="","INFORMAR PRAZO",IF(P659="","SEM DATA",IF(P659&lt;0,"VENCIDO",IF(P659&lt;=DiasAlerta,"VENCE EM BREVE","NO PRAZO"))))))))</f>
        <v/>
      </c>
      <c r="R659" s="118" t="str">
        <f>IF(D659="","",TODAY()-D659)</f>
        <v/>
      </c>
      <c r="S659" s="111" t="n"/>
    </row>
    <row r="660" ht="18" customHeight="1">
      <c r="A660" s="110" t="n"/>
      <c r="B660" s="111" t="n"/>
      <c r="C660" s="111" t="n"/>
      <c r="D660" s="112" t="n"/>
      <c r="E660" s="111" t="n"/>
      <c r="F660" s="110" t="n"/>
      <c r="G660" s="113" t="n"/>
      <c r="H660" s="113" t="n"/>
      <c r="I660" s="111" t="n"/>
      <c r="J660" s="114" t="n"/>
      <c r="K660" s="114" t="n"/>
      <c r="L660" s="112" t="n"/>
      <c r="M660" s="112" t="n"/>
      <c r="N660" s="112" t="n"/>
      <c r="O660" s="115" t="str">
        <f>IF(OR(D660="",F660=""),"",D660+F660)</f>
        <v/>
      </c>
      <c r="P660" s="116" t="str">
        <f>IF(O660="","",IF(ISNUMBER(M660),O660-M660,IF(OR(H660="DECISÃO D.P",ISNUMBER(N660)),"",O660-TODAY())))</f>
        <v/>
      </c>
      <c r="Q660" s="117" t="str">
        <f>IF(B660="","",IF(ISNUMBER(N660),"DECIDIDO – ","")&amp;IF(ISNUMBER(M660),IF(P660="",IF(F660="","INFORMAR PRAZO","SEM DATA"),IF(P660&gt;=0,"DEFESA NO PRAZO","DEFESA FORA DO PRAZO")),IF(OR(H660="DECISÃO D.P",ISNUMBER(N660)),"SEM DEFESA",IF(H660="","SEM STATUS",IF(F660="","INFORMAR PRAZO",IF(P660="","SEM DATA",IF(P660&lt;0,"VENCIDO",IF(P660&lt;=DiasAlerta,"VENCE EM BREVE","NO PRAZO"))))))))</f>
        <v/>
      </c>
      <c r="R660" s="118" t="str">
        <f>IF(D660="","",TODAY()-D660)</f>
        <v/>
      </c>
      <c r="S660" s="111" t="n"/>
    </row>
    <row r="661" ht="18" customHeight="1">
      <c r="A661" s="110" t="n"/>
      <c r="B661" s="111" t="n"/>
      <c r="C661" s="111" t="n"/>
      <c r="D661" s="112" t="n"/>
      <c r="E661" s="111" t="n"/>
      <c r="F661" s="110" t="n"/>
      <c r="G661" s="113" t="n"/>
      <c r="H661" s="113" t="n"/>
      <c r="I661" s="111" t="n"/>
      <c r="J661" s="114" t="n"/>
      <c r="K661" s="114" t="n"/>
      <c r="L661" s="112" t="n"/>
      <c r="M661" s="112" t="n"/>
      <c r="N661" s="112" t="n"/>
      <c r="O661" s="115" t="str">
        <f>IF(OR(D661="",F661=""),"",D661+F661)</f>
        <v/>
      </c>
      <c r="P661" s="116" t="str">
        <f>IF(O661="","",IF(ISNUMBER(M661),O661-M661,IF(OR(H661="DECISÃO D.P",ISNUMBER(N661)),"",O661-TODAY())))</f>
        <v/>
      </c>
      <c r="Q661" s="117" t="str">
        <f>IF(B661="","",IF(ISNUMBER(N661),"DECIDIDO – ","")&amp;IF(ISNUMBER(M661),IF(P661="",IF(F661="","INFORMAR PRAZO","SEM DATA"),IF(P661&gt;=0,"DEFESA NO PRAZO","DEFESA FORA DO PRAZO")),IF(OR(H661="DECISÃO D.P",ISNUMBER(N661)),"SEM DEFESA",IF(H661="","SEM STATUS",IF(F661="","INFORMAR PRAZO",IF(P661="","SEM DATA",IF(P661&lt;0,"VENCIDO",IF(P661&lt;=DiasAlerta,"VENCE EM BREVE","NO PRAZO"))))))))</f>
        <v/>
      </c>
      <c r="R661" s="118" t="str">
        <f>IF(D661="","",TODAY()-D661)</f>
        <v/>
      </c>
      <c r="S661" s="111" t="n"/>
    </row>
    <row r="662" ht="18" customHeight="1">
      <c r="A662" s="110" t="n"/>
      <c r="B662" s="111" t="n"/>
      <c r="C662" s="111" t="n"/>
      <c r="D662" s="112" t="n"/>
      <c r="E662" s="111" t="n"/>
      <c r="F662" s="110" t="n"/>
      <c r="G662" s="113" t="n"/>
      <c r="H662" s="113" t="n"/>
      <c r="I662" s="111" t="n"/>
      <c r="J662" s="114" t="n"/>
      <c r="K662" s="114" t="n"/>
      <c r="L662" s="112" t="n"/>
      <c r="M662" s="112" t="n"/>
      <c r="N662" s="112" t="n"/>
      <c r="O662" s="115" t="str">
        <f>IF(OR(D662="",F662=""),"",D662+F662)</f>
        <v/>
      </c>
      <c r="P662" s="116" t="str">
        <f>IF(O662="","",IF(ISNUMBER(M662),O662-M662,IF(OR(H662="DECISÃO D.P",ISNUMBER(N662)),"",O662-TODAY())))</f>
        <v/>
      </c>
      <c r="Q662" s="117" t="str">
        <f>IF(B662="","",IF(ISNUMBER(N662),"DECIDIDO – ","")&amp;IF(ISNUMBER(M662),IF(P662="",IF(F662="","INFORMAR PRAZO","SEM DATA"),IF(P662&gt;=0,"DEFESA NO PRAZO","DEFESA FORA DO PRAZO")),IF(OR(H662="DECISÃO D.P",ISNUMBER(N662)),"SEM DEFESA",IF(H662="","SEM STATUS",IF(F662="","INFORMAR PRAZO",IF(P662="","SEM DATA",IF(P662&lt;0,"VENCIDO",IF(P662&lt;=DiasAlerta,"VENCE EM BREVE","NO PRAZO"))))))))</f>
        <v/>
      </c>
      <c r="R662" s="118" t="str">
        <f>IF(D662="","",TODAY()-D662)</f>
        <v/>
      </c>
      <c r="S662" s="111" t="n"/>
    </row>
    <row r="663" ht="18" customHeight="1">
      <c r="A663" s="110" t="n"/>
      <c r="B663" s="111" t="n"/>
      <c r="C663" s="111" t="n"/>
      <c r="D663" s="112" t="n"/>
      <c r="E663" s="111" t="n"/>
      <c r="F663" s="110" t="n"/>
      <c r="G663" s="113" t="n"/>
      <c r="H663" s="113" t="n"/>
      <c r="I663" s="111" t="n"/>
      <c r="J663" s="114" t="n"/>
      <c r="K663" s="114" t="n"/>
      <c r="L663" s="112" t="n"/>
      <c r="M663" s="112" t="n"/>
      <c r="N663" s="112" t="n"/>
      <c r="O663" s="115" t="str">
        <f>IF(OR(D663="",F663=""),"",D663+F663)</f>
        <v/>
      </c>
      <c r="P663" s="116" t="str">
        <f>IF(O663="","",IF(ISNUMBER(M663),O663-M663,IF(OR(H663="DECISÃO D.P",ISNUMBER(N663)),"",O663-TODAY())))</f>
        <v/>
      </c>
      <c r="Q663" s="117" t="str">
        <f>IF(B663="","",IF(ISNUMBER(N663),"DECIDIDO – ","")&amp;IF(ISNUMBER(M663),IF(P663="",IF(F663="","INFORMAR PRAZO","SEM DATA"),IF(P663&gt;=0,"DEFESA NO PRAZO","DEFESA FORA DO PRAZO")),IF(OR(H663="DECISÃO D.P",ISNUMBER(N663)),"SEM DEFESA",IF(H663="","SEM STATUS",IF(F663="","INFORMAR PRAZO",IF(P663="","SEM DATA",IF(P663&lt;0,"VENCIDO",IF(P663&lt;=DiasAlerta,"VENCE EM BREVE","NO PRAZO"))))))))</f>
        <v/>
      </c>
      <c r="R663" s="118" t="str">
        <f>IF(D663="","",TODAY()-D663)</f>
        <v/>
      </c>
      <c r="S663" s="111" t="n"/>
    </row>
    <row r="664" ht="18" customHeight="1">
      <c r="A664" s="110" t="n"/>
      <c r="B664" s="111" t="n"/>
      <c r="C664" s="111" t="n"/>
      <c r="D664" s="112" t="n"/>
      <c r="E664" s="111" t="n"/>
      <c r="F664" s="110" t="n"/>
      <c r="G664" s="113" t="n"/>
      <c r="H664" s="113" t="n"/>
      <c r="I664" s="111" t="n"/>
      <c r="J664" s="114" t="n"/>
      <c r="K664" s="114" t="n"/>
      <c r="L664" s="112" t="n"/>
      <c r="M664" s="112" t="n"/>
      <c r="N664" s="112" t="n"/>
      <c r="O664" s="115" t="str">
        <f>IF(OR(D664="",F664=""),"",D664+F664)</f>
        <v/>
      </c>
      <c r="P664" s="116" t="str">
        <f>IF(O664="","",IF(ISNUMBER(M664),O664-M664,IF(OR(H664="DECISÃO D.P",ISNUMBER(N664)),"",O664-TODAY())))</f>
        <v/>
      </c>
      <c r="Q664" s="117" t="str">
        <f>IF(B664="","",IF(ISNUMBER(N664),"DECIDIDO – ","")&amp;IF(ISNUMBER(M664),IF(P664="",IF(F664="","INFORMAR PRAZO","SEM DATA"),IF(P664&gt;=0,"DEFESA NO PRAZO","DEFESA FORA DO PRAZO")),IF(OR(H664="DECISÃO D.P",ISNUMBER(N664)),"SEM DEFESA",IF(H664="","SEM STATUS",IF(F664="","INFORMAR PRAZO",IF(P664="","SEM DATA",IF(P664&lt;0,"VENCIDO",IF(P664&lt;=DiasAlerta,"VENCE EM BREVE","NO PRAZO"))))))))</f>
        <v/>
      </c>
      <c r="R664" s="118" t="str">
        <f>IF(D664="","",TODAY()-D664)</f>
        <v/>
      </c>
      <c r="S664" s="111" t="n"/>
    </row>
    <row r="665" ht="18" customHeight="1">
      <c r="A665" s="110" t="n"/>
      <c r="B665" s="111" t="n"/>
      <c r="C665" s="111" t="n"/>
      <c r="D665" s="112" t="n"/>
      <c r="E665" s="111" t="n"/>
      <c r="F665" s="110" t="n"/>
      <c r="G665" s="113" t="n"/>
      <c r="H665" s="113" t="n"/>
      <c r="I665" s="111" t="n"/>
      <c r="J665" s="114" t="n"/>
      <c r="K665" s="114" t="n"/>
      <c r="L665" s="112" t="n"/>
      <c r="M665" s="112" t="n"/>
      <c r="N665" s="112" t="n"/>
      <c r="O665" s="115" t="str">
        <f>IF(OR(D665="",F665=""),"",D665+F665)</f>
        <v/>
      </c>
      <c r="P665" s="116" t="str">
        <f>IF(O665="","",IF(ISNUMBER(M665),O665-M665,IF(OR(H665="DECISÃO D.P",ISNUMBER(N665)),"",O665-TODAY())))</f>
        <v/>
      </c>
      <c r="Q665" s="117" t="str">
        <f>IF(B665="","",IF(ISNUMBER(N665),"DECIDIDO – ","")&amp;IF(ISNUMBER(M665),IF(P665="",IF(F665="","INFORMAR PRAZO","SEM DATA"),IF(P665&gt;=0,"DEFESA NO PRAZO","DEFESA FORA DO PRAZO")),IF(OR(H665="DECISÃO D.P",ISNUMBER(N665)),"SEM DEFESA",IF(H665="","SEM STATUS",IF(F665="","INFORMAR PRAZO",IF(P665="","SEM DATA",IF(P665&lt;0,"VENCIDO",IF(P665&lt;=DiasAlerta,"VENCE EM BREVE","NO PRAZO"))))))))</f>
        <v/>
      </c>
      <c r="R665" s="118" t="str">
        <f>IF(D665="","",TODAY()-D665)</f>
        <v/>
      </c>
      <c r="S665" s="111" t="n"/>
    </row>
    <row r="666" ht="18" customHeight="1">
      <c r="A666" s="110" t="n"/>
      <c r="B666" s="111" t="n"/>
      <c r="C666" s="111" t="n"/>
      <c r="D666" s="112" t="n"/>
      <c r="E666" s="111" t="n"/>
      <c r="F666" s="110" t="n"/>
      <c r="G666" s="113" t="n"/>
      <c r="H666" s="113" t="n"/>
      <c r="I666" s="111" t="n"/>
      <c r="J666" s="114" t="n"/>
      <c r="K666" s="114" t="n"/>
      <c r="L666" s="112" t="n"/>
      <c r="M666" s="112" t="n"/>
      <c r="N666" s="112" t="n"/>
      <c r="O666" s="115" t="str">
        <f>IF(OR(D666="",F666=""),"",D666+F666)</f>
        <v/>
      </c>
      <c r="P666" s="116" t="str">
        <f>IF(O666="","",IF(ISNUMBER(M666),O666-M666,IF(OR(H666="DECISÃO D.P",ISNUMBER(N666)),"",O666-TODAY())))</f>
        <v/>
      </c>
      <c r="Q666" s="117" t="str">
        <f>IF(B666="","",IF(ISNUMBER(N666),"DECIDIDO – ","")&amp;IF(ISNUMBER(M666),IF(P666="",IF(F666="","INFORMAR PRAZO","SEM DATA"),IF(P666&gt;=0,"DEFESA NO PRAZO","DEFESA FORA DO PRAZO")),IF(OR(H666="DECISÃO D.P",ISNUMBER(N666)),"SEM DEFESA",IF(H666="","SEM STATUS",IF(F666="","INFORMAR PRAZO",IF(P666="","SEM DATA",IF(P666&lt;0,"VENCIDO",IF(P666&lt;=DiasAlerta,"VENCE EM BREVE","NO PRAZO"))))))))</f>
        <v/>
      </c>
      <c r="R666" s="118" t="str">
        <f>IF(D666="","",TODAY()-D666)</f>
        <v/>
      </c>
      <c r="S666" s="111" t="n"/>
    </row>
    <row r="667" ht="18" customHeight="1">
      <c r="A667" s="110" t="n"/>
      <c r="B667" s="111" t="n"/>
      <c r="C667" s="111" t="n"/>
      <c r="D667" s="112" t="n"/>
      <c r="E667" s="111" t="n"/>
      <c r="F667" s="110" t="n"/>
      <c r="G667" s="113" t="n"/>
      <c r="H667" s="113" t="n"/>
      <c r="I667" s="111" t="n"/>
      <c r="J667" s="114" t="n"/>
      <c r="K667" s="114" t="n"/>
      <c r="L667" s="112" t="n"/>
      <c r="M667" s="112" t="n"/>
      <c r="N667" s="112" t="n"/>
      <c r="O667" s="115" t="str">
        <f>IF(OR(D667="",F667=""),"",D667+F667)</f>
        <v/>
      </c>
      <c r="P667" s="116" t="str">
        <f>IF(O667="","",IF(ISNUMBER(M667),O667-M667,IF(OR(H667="DECISÃO D.P",ISNUMBER(N667)),"",O667-TODAY())))</f>
        <v/>
      </c>
      <c r="Q667" s="117" t="str">
        <f>IF(B667="","",IF(ISNUMBER(N667),"DECIDIDO – ","")&amp;IF(ISNUMBER(M667),IF(P667="",IF(F667="","INFORMAR PRAZO","SEM DATA"),IF(P667&gt;=0,"DEFESA NO PRAZO","DEFESA FORA DO PRAZO")),IF(OR(H667="DECISÃO D.P",ISNUMBER(N667)),"SEM DEFESA",IF(H667="","SEM STATUS",IF(F667="","INFORMAR PRAZO",IF(P667="","SEM DATA",IF(P667&lt;0,"VENCIDO",IF(P667&lt;=DiasAlerta,"VENCE EM BREVE","NO PRAZO"))))))))</f>
        <v/>
      </c>
      <c r="R667" s="118" t="str">
        <f>IF(D667="","",TODAY()-D667)</f>
        <v/>
      </c>
      <c r="S667" s="111" t="n"/>
    </row>
    <row r="668" ht="18" customHeight="1">
      <c r="A668" s="110" t="n"/>
      <c r="B668" s="111" t="n"/>
      <c r="C668" s="111" t="n"/>
      <c r="D668" s="112" t="n"/>
      <c r="E668" s="111" t="n"/>
      <c r="F668" s="110" t="n"/>
      <c r="G668" s="113" t="n"/>
      <c r="H668" s="113" t="n"/>
      <c r="I668" s="111" t="n"/>
      <c r="J668" s="114" t="n"/>
      <c r="K668" s="114" t="n"/>
      <c r="L668" s="112" t="n"/>
      <c r="M668" s="112" t="n"/>
      <c r="N668" s="112" t="n"/>
      <c r="O668" s="115" t="str">
        <f>IF(OR(D668="",F668=""),"",D668+F668)</f>
        <v/>
      </c>
      <c r="P668" s="116" t="str">
        <f>IF(O668="","",IF(ISNUMBER(M668),O668-M668,IF(OR(H668="DECISÃO D.P",ISNUMBER(N668)),"",O668-TODAY())))</f>
        <v/>
      </c>
      <c r="Q668" s="117" t="str">
        <f>IF(B668="","",IF(ISNUMBER(N668),"DECIDIDO – ","")&amp;IF(ISNUMBER(M668),IF(P668="",IF(F668="","INFORMAR PRAZO","SEM DATA"),IF(P668&gt;=0,"DEFESA NO PRAZO","DEFESA FORA DO PRAZO")),IF(OR(H668="DECISÃO D.P",ISNUMBER(N668)),"SEM DEFESA",IF(H668="","SEM STATUS",IF(F668="","INFORMAR PRAZO",IF(P668="","SEM DATA",IF(P668&lt;0,"VENCIDO",IF(P668&lt;=DiasAlerta,"VENCE EM BREVE","NO PRAZO"))))))))</f>
        <v/>
      </c>
      <c r="R668" s="118" t="str">
        <f>IF(D668="","",TODAY()-D668)</f>
        <v/>
      </c>
      <c r="S668" s="111" t="n"/>
    </row>
    <row r="669" ht="18" customHeight="1">
      <c r="A669" s="110" t="n"/>
      <c r="B669" s="111" t="n"/>
      <c r="C669" s="111" t="n"/>
      <c r="D669" s="112" t="n"/>
      <c r="E669" s="111" t="n"/>
      <c r="F669" s="110" t="n"/>
      <c r="G669" s="113" t="n"/>
      <c r="H669" s="113" t="n"/>
      <c r="I669" s="111" t="n"/>
      <c r="J669" s="114" t="n"/>
      <c r="K669" s="114" t="n"/>
      <c r="L669" s="112" t="n"/>
      <c r="M669" s="112" t="n"/>
      <c r="N669" s="112" t="n"/>
      <c r="O669" s="115" t="str">
        <f>IF(OR(D669="",F669=""),"",D669+F669)</f>
        <v/>
      </c>
      <c r="P669" s="116" t="str">
        <f>IF(O669="","",IF(ISNUMBER(M669),O669-M669,IF(OR(H669="DECISÃO D.P",ISNUMBER(N669)),"",O669-TODAY())))</f>
        <v/>
      </c>
      <c r="Q669" s="117" t="str">
        <f>IF(B669="","",IF(ISNUMBER(N669),"DECIDIDO – ","")&amp;IF(ISNUMBER(M669),IF(P669="",IF(F669="","INFORMAR PRAZO","SEM DATA"),IF(P669&gt;=0,"DEFESA NO PRAZO","DEFESA FORA DO PRAZO")),IF(OR(H669="DECISÃO D.P",ISNUMBER(N669)),"SEM DEFESA",IF(H669="","SEM STATUS",IF(F669="","INFORMAR PRAZO",IF(P669="","SEM DATA",IF(P669&lt;0,"VENCIDO",IF(P669&lt;=DiasAlerta,"VENCE EM BREVE","NO PRAZO"))))))))</f>
        <v/>
      </c>
      <c r="R669" s="118" t="str">
        <f>IF(D669="","",TODAY()-D669)</f>
        <v/>
      </c>
      <c r="S669" s="111" t="n"/>
    </row>
    <row r="670" ht="18" customHeight="1">
      <c r="A670" s="110" t="n"/>
      <c r="B670" s="111" t="n"/>
      <c r="C670" s="111" t="n"/>
      <c r="D670" s="112" t="n"/>
      <c r="E670" s="111" t="n"/>
      <c r="F670" s="110" t="n"/>
      <c r="G670" s="113" t="n"/>
      <c r="H670" s="113" t="n"/>
      <c r="I670" s="111" t="n"/>
      <c r="J670" s="114" t="n"/>
      <c r="K670" s="114" t="n"/>
      <c r="L670" s="112" t="n"/>
      <c r="M670" s="112" t="n"/>
      <c r="N670" s="112" t="n"/>
      <c r="O670" s="115" t="str">
        <f>IF(OR(D670="",F670=""),"",D670+F670)</f>
        <v/>
      </c>
      <c r="P670" s="116" t="str">
        <f>IF(O670="","",IF(ISNUMBER(M670),O670-M670,IF(OR(H670="DECISÃO D.P",ISNUMBER(N670)),"",O670-TODAY())))</f>
        <v/>
      </c>
      <c r="Q670" s="117" t="str">
        <f>IF(B670="","",IF(ISNUMBER(N670),"DECIDIDO – ","")&amp;IF(ISNUMBER(M670),IF(P670="",IF(F670="","INFORMAR PRAZO","SEM DATA"),IF(P670&gt;=0,"DEFESA NO PRAZO","DEFESA FORA DO PRAZO")),IF(OR(H670="DECISÃO D.P",ISNUMBER(N670)),"SEM DEFESA",IF(H670="","SEM STATUS",IF(F670="","INFORMAR PRAZO",IF(P670="","SEM DATA",IF(P670&lt;0,"VENCIDO",IF(P670&lt;=DiasAlerta,"VENCE EM BREVE","NO PRAZO"))))))))</f>
        <v/>
      </c>
      <c r="R670" s="118" t="str">
        <f>IF(D670="","",TODAY()-D670)</f>
        <v/>
      </c>
      <c r="S670" s="111" t="n"/>
    </row>
    <row r="671" ht="18" customHeight="1">
      <c r="A671" s="110" t="n"/>
      <c r="B671" s="111" t="n"/>
      <c r="C671" s="111" t="n"/>
      <c r="D671" s="112" t="n"/>
      <c r="E671" s="111" t="n"/>
      <c r="F671" s="110" t="n"/>
      <c r="G671" s="113" t="n"/>
      <c r="H671" s="113" t="n"/>
      <c r="I671" s="111" t="n"/>
      <c r="J671" s="114" t="n"/>
      <c r="K671" s="114" t="n"/>
      <c r="L671" s="112" t="n"/>
      <c r="M671" s="112" t="n"/>
      <c r="N671" s="112" t="n"/>
      <c r="O671" s="115" t="str">
        <f>IF(OR(D671="",F671=""),"",D671+F671)</f>
        <v/>
      </c>
      <c r="P671" s="116" t="str">
        <f>IF(O671="","",IF(ISNUMBER(M671),O671-M671,IF(OR(H671="DECISÃO D.P",ISNUMBER(N671)),"",O671-TODAY())))</f>
        <v/>
      </c>
      <c r="Q671" s="117" t="str">
        <f>IF(B671="","",IF(ISNUMBER(N671),"DECIDIDO – ","")&amp;IF(ISNUMBER(M671),IF(P671="",IF(F671="","INFORMAR PRAZO","SEM DATA"),IF(P671&gt;=0,"DEFESA NO PRAZO","DEFESA FORA DO PRAZO")),IF(OR(H671="DECISÃO D.P",ISNUMBER(N671)),"SEM DEFESA",IF(H671="","SEM STATUS",IF(F671="","INFORMAR PRAZO",IF(P671="","SEM DATA",IF(P671&lt;0,"VENCIDO",IF(P671&lt;=DiasAlerta,"VENCE EM BREVE","NO PRAZO"))))))))</f>
        <v/>
      </c>
      <c r="R671" s="118" t="str">
        <f>IF(D671="","",TODAY()-D671)</f>
        <v/>
      </c>
      <c r="S671" s="111" t="n"/>
    </row>
    <row r="672" ht="18" customHeight="1">
      <c r="A672" s="110" t="n"/>
      <c r="B672" s="111" t="n"/>
      <c r="C672" s="111" t="n"/>
      <c r="D672" s="112" t="n"/>
      <c r="E672" s="111" t="n"/>
      <c r="F672" s="110" t="n"/>
      <c r="G672" s="113" t="n"/>
      <c r="H672" s="113" t="n"/>
      <c r="I672" s="111" t="n"/>
      <c r="J672" s="114" t="n"/>
      <c r="K672" s="114" t="n"/>
      <c r="L672" s="112" t="n"/>
      <c r="M672" s="112" t="n"/>
      <c r="N672" s="112" t="n"/>
      <c r="O672" s="115" t="str">
        <f>IF(OR(D672="",F672=""),"",D672+F672)</f>
        <v/>
      </c>
      <c r="P672" s="116" t="str">
        <f>IF(O672="","",IF(ISNUMBER(M672),O672-M672,IF(OR(H672="DECISÃO D.P",ISNUMBER(N672)),"",O672-TODAY())))</f>
        <v/>
      </c>
      <c r="Q672" s="117" t="str">
        <f>IF(B672="","",IF(ISNUMBER(N672),"DECIDIDO – ","")&amp;IF(ISNUMBER(M672),IF(P672="",IF(F672="","INFORMAR PRAZO","SEM DATA"),IF(P672&gt;=0,"DEFESA NO PRAZO","DEFESA FORA DO PRAZO")),IF(OR(H672="DECISÃO D.P",ISNUMBER(N672)),"SEM DEFESA",IF(H672="","SEM STATUS",IF(F672="","INFORMAR PRAZO",IF(P672="","SEM DATA",IF(P672&lt;0,"VENCIDO",IF(P672&lt;=DiasAlerta,"VENCE EM BREVE","NO PRAZO"))))))))</f>
        <v/>
      </c>
      <c r="R672" s="118" t="str">
        <f>IF(D672="","",TODAY()-D672)</f>
        <v/>
      </c>
      <c r="S672" s="111" t="n"/>
    </row>
    <row r="673" ht="18" customHeight="1">
      <c r="A673" s="110" t="n"/>
      <c r="B673" s="111" t="n"/>
      <c r="C673" s="111" t="n"/>
      <c r="D673" s="112" t="n"/>
      <c r="E673" s="111" t="n"/>
      <c r="F673" s="110" t="n"/>
      <c r="G673" s="113" t="n"/>
      <c r="H673" s="113" t="n"/>
      <c r="I673" s="111" t="n"/>
      <c r="J673" s="114" t="n"/>
      <c r="K673" s="114" t="n"/>
      <c r="L673" s="112" t="n"/>
      <c r="M673" s="112" t="n"/>
      <c r="N673" s="112" t="n"/>
      <c r="O673" s="115" t="str">
        <f>IF(OR(D673="",F673=""),"",D673+F673)</f>
        <v/>
      </c>
      <c r="P673" s="116" t="str">
        <f>IF(O673="","",IF(ISNUMBER(M673),O673-M673,IF(OR(H673="DECISÃO D.P",ISNUMBER(N673)),"",O673-TODAY())))</f>
        <v/>
      </c>
      <c r="Q673" s="117" t="str">
        <f>IF(B673="","",IF(ISNUMBER(N673),"DECIDIDO – ","")&amp;IF(ISNUMBER(M673),IF(P673="",IF(F673="","INFORMAR PRAZO","SEM DATA"),IF(P673&gt;=0,"DEFESA NO PRAZO","DEFESA FORA DO PRAZO")),IF(OR(H673="DECISÃO D.P",ISNUMBER(N673)),"SEM DEFESA",IF(H673="","SEM STATUS",IF(F673="","INFORMAR PRAZO",IF(P673="","SEM DATA",IF(P673&lt;0,"VENCIDO",IF(P673&lt;=DiasAlerta,"VENCE EM BREVE","NO PRAZO"))))))))</f>
        <v/>
      </c>
      <c r="R673" s="118" t="str">
        <f>IF(D673="","",TODAY()-D673)</f>
        <v/>
      </c>
      <c r="S673" s="111" t="n"/>
    </row>
    <row r="674" ht="18" customHeight="1">
      <c r="A674" s="110" t="n"/>
      <c r="B674" s="111" t="n"/>
      <c r="C674" s="111" t="n"/>
      <c r="D674" s="112" t="n"/>
      <c r="E674" s="111" t="n"/>
      <c r="F674" s="110" t="n"/>
      <c r="G674" s="113" t="n"/>
      <c r="H674" s="113" t="n"/>
      <c r="I674" s="111" t="n"/>
      <c r="J674" s="114" t="n"/>
      <c r="K674" s="114" t="n"/>
      <c r="L674" s="112" t="n"/>
      <c r="M674" s="112" t="n"/>
      <c r="N674" s="112" t="n"/>
      <c r="O674" s="115" t="str">
        <f>IF(OR(D674="",F674=""),"",D674+F674)</f>
        <v/>
      </c>
      <c r="P674" s="116" t="str">
        <f>IF(O674="","",IF(ISNUMBER(M674),O674-M674,IF(OR(H674="DECISÃO D.P",ISNUMBER(N674)),"",O674-TODAY())))</f>
        <v/>
      </c>
      <c r="Q674" s="117" t="str">
        <f>IF(B674="","",IF(ISNUMBER(N674),"DECIDIDO – ","")&amp;IF(ISNUMBER(M674),IF(P674="",IF(F674="","INFORMAR PRAZO","SEM DATA"),IF(P674&gt;=0,"DEFESA NO PRAZO","DEFESA FORA DO PRAZO")),IF(OR(H674="DECISÃO D.P",ISNUMBER(N674)),"SEM DEFESA",IF(H674="","SEM STATUS",IF(F674="","INFORMAR PRAZO",IF(P674="","SEM DATA",IF(P674&lt;0,"VENCIDO",IF(P674&lt;=DiasAlerta,"VENCE EM BREVE","NO PRAZO"))))))))</f>
        <v/>
      </c>
      <c r="R674" s="118" t="str">
        <f>IF(D674="","",TODAY()-D674)</f>
        <v/>
      </c>
      <c r="S674" s="111" t="n"/>
    </row>
    <row r="675" ht="18" customHeight="1">
      <c r="A675" s="110" t="n"/>
      <c r="B675" s="111" t="n"/>
      <c r="C675" s="111" t="n"/>
      <c r="D675" s="112" t="n"/>
      <c r="E675" s="111" t="n"/>
      <c r="F675" s="110" t="n"/>
      <c r="G675" s="113" t="n"/>
      <c r="H675" s="113" t="n"/>
      <c r="I675" s="111" t="n"/>
      <c r="J675" s="114" t="n"/>
      <c r="K675" s="114" t="n"/>
      <c r="L675" s="112" t="n"/>
      <c r="M675" s="112" t="n"/>
      <c r="N675" s="112" t="n"/>
      <c r="O675" s="115" t="str">
        <f>IF(OR(D675="",F675=""),"",D675+F675)</f>
        <v/>
      </c>
      <c r="P675" s="116" t="str">
        <f>IF(O675="","",IF(ISNUMBER(M675),O675-M675,IF(OR(H675="DECISÃO D.P",ISNUMBER(N675)),"",O675-TODAY())))</f>
        <v/>
      </c>
      <c r="Q675" s="117" t="str">
        <f>IF(B675="","",IF(ISNUMBER(N675),"DECIDIDO – ","")&amp;IF(ISNUMBER(M675),IF(P675="",IF(F675="","INFORMAR PRAZO","SEM DATA"),IF(P675&gt;=0,"DEFESA NO PRAZO","DEFESA FORA DO PRAZO")),IF(OR(H675="DECISÃO D.P",ISNUMBER(N675)),"SEM DEFESA",IF(H675="","SEM STATUS",IF(F675="","INFORMAR PRAZO",IF(P675="","SEM DATA",IF(P675&lt;0,"VENCIDO",IF(P675&lt;=DiasAlerta,"VENCE EM BREVE","NO PRAZO"))))))))</f>
        <v/>
      </c>
      <c r="R675" s="118" t="str">
        <f>IF(D675="","",TODAY()-D675)</f>
        <v/>
      </c>
      <c r="S675" s="111" t="n"/>
    </row>
    <row r="676" ht="18" customHeight="1">
      <c r="A676" s="110" t="n"/>
      <c r="B676" s="111" t="n"/>
      <c r="C676" s="111" t="n"/>
      <c r="D676" s="112" t="n"/>
      <c r="E676" s="111" t="n"/>
      <c r="F676" s="110" t="n"/>
      <c r="G676" s="113" t="n"/>
      <c r="H676" s="113" t="n"/>
      <c r="I676" s="111" t="n"/>
      <c r="J676" s="114" t="n"/>
      <c r="K676" s="114" t="n"/>
      <c r="L676" s="112" t="n"/>
      <c r="M676" s="112" t="n"/>
      <c r="N676" s="112" t="n"/>
      <c r="O676" s="115" t="str">
        <f>IF(OR(D676="",F676=""),"",D676+F676)</f>
        <v/>
      </c>
      <c r="P676" s="116" t="str">
        <f>IF(O676="","",IF(ISNUMBER(M676),O676-M676,IF(OR(H676="DECISÃO D.P",ISNUMBER(N676)),"",O676-TODAY())))</f>
        <v/>
      </c>
      <c r="Q676" s="117" t="str">
        <f>IF(B676="","",IF(ISNUMBER(N676),"DECIDIDO – ","")&amp;IF(ISNUMBER(M676),IF(P676="",IF(F676="","INFORMAR PRAZO","SEM DATA"),IF(P676&gt;=0,"DEFESA NO PRAZO","DEFESA FORA DO PRAZO")),IF(OR(H676="DECISÃO D.P",ISNUMBER(N676)),"SEM DEFESA",IF(H676="","SEM STATUS",IF(F676="","INFORMAR PRAZO",IF(P676="","SEM DATA",IF(P676&lt;0,"VENCIDO",IF(P676&lt;=DiasAlerta,"VENCE EM BREVE","NO PRAZO"))))))))</f>
        <v/>
      </c>
      <c r="R676" s="118" t="str">
        <f>IF(D676="","",TODAY()-D676)</f>
        <v/>
      </c>
      <c r="S676" s="111" t="n"/>
    </row>
    <row r="677" ht="18" customHeight="1">
      <c r="A677" s="110" t="n"/>
      <c r="B677" s="111" t="n"/>
      <c r="C677" s="111" t="n"/>
      <c r="D677" s="112" t="n"/>
      <c r="E677" s="111" t="n"/>
      <c r="F677" s="110" t="n"/>
      <c r="G677" s="113" t="n"/>
      <c r="H677" s="113" t="n"/>
      <c r="I677" s="111" t="n"/>
      <c r="J677" s="114" t="n"/>
      <c r="K677" s="114" t="n"/>
      <c r="L677" s="112" t="n"/>
      <c r="M677" s="112" t="n"/>
      <c r="N677" s="112" t="n"/>
      <c r="O677" s="115" t="str">
        <f>IF(OR(D677="",F677=""),"",D677+F677)</f>
        <v/>
      </c>
      <c r="P677" s="116" t="str">
        <f>IF(O677="","",IF(ISNUMBER(M677),O677-M677,IF(OR(H677="DECISÃO D.P",ISNUMBER(N677)),"",O677-TODAY())))</f>
        <v/>
      </c>
      <c r="Q677" s="117" t="str">
        <f>IF(B677="","",IF(ISNUMBER(N677),"DECIDIDO – ","")&amp;IF(ISNUMBER(M677),IF(P677="",IF(F677="","INFORMAR PRAZO","SEM DATA"),IF(P677&gt;=0,"DEFESA NO PRAZO","DEFESA FORA DO PRAZO")),IF(OR(H677="DECISÃO D.P",ISNUMBER(N677)),"SEM DEFESA",IF(H677="","SEM STATUS",IF(F677="","INFORMAR PRAZO",IF(P677="","SEM DATA",IF(P677&lt;0,"VENCIDO",IF(P677&lt;=DiasAlerta,"VENCE EM BREVE","NO PRAZO"))))))))</f>
        <v/>
      </c>
      <c r="R677" s="118" t="str">
        <f>IF(D677="","",TODAY()-D677)</f>
        <v/>
      </c>
      <c r="S677" s="111" t="n"/>
    </row>
    <row r="678" ht="18" customHeight="1">
      <c r="A678" s="110" t="n"/>
      <c r="B678" s="111" t="n"/>
      <c r="C678" s="111" t="n"/>
      <c r="D678" s="112" t="n"/>
      <c r="E678" s="111" t="n"/>
      <c r="F678" s="110" t="n"/>
      <c r="G678" s="113" t="n"/>
      <c r="H678" s="113" t="n"/>
      <c r="I678" s="111" t="n"/>
      <c r="J678" s="114" t="n"/>
      <c r="K678" s="114" t="n"/>
      <c r="L678" s="112" t="n"/>
      <c r="M678" s="112" t="n"/>
      <c r="N678" s="112" t="n"/>
      <c r="O678" s="115" t="str">
        <f>IF(OR(D678="",F678=""),"",D678+F678)</f>
        <v/>
      </c>
      <c r="P678" s="116" t="str">
        <f>IF(O678="","",IF(ISNUMBER(M678),O678-M678,IF(OR(H678="DECISÃO D.P",ISNUMBER(N678)),"",O678-TODAY())))</f>
        <v/>
      </c>
      <c r="Q678" s="117" t="str">
        <f>IF(B678="","",IF(ISNUMBER(N678),"DECIDIDO – ","")&amp;IF(ISNUMBER(M678),IF(P678="",IF(F678="","INFORMAR PRAZO","SEM DATA"),IF(P678&gt;=0,"DEFESA NO PRAZO","DEFESA FORA DO PRAZO")),IF(OR(H678="DECISÃO D.P",ISNUMBER(N678)),"SEM DEFESA",IF(H678="","SEM STATUS",IF(F678="","INFORMAR PRAZO",IF(P678="","SEM DATA",IF(P678&lt;0,"VENCIDO",IF(P678&lt;=DiasAlerta,"VENCE EM BREVE","NO PRAZO"))))))))</f>
        <v/>
      </c>
      <c r="R678" s="118" t="str">
        <f>IF(D678="","",TODAY()-D678)</f>
        <v/>
      </c>
      <c r="S678" s="111" t="n"/>
    </row>
    <row r="679" ht="18" customHeight="1">
      <c r="A679" s="110" t="n"/>
      <c r="B679" s="111" t="n"/>
      <c r="C679" s="111" t="n"/>
      <c r="D679" s="112" t="n"/>
      <c r="E679" s="111" t="n"/>
      <c r="F679" s="110" t="n"/>
      <c r="G679" s="113" t="n"/>
      <c r="H679" s="113" t="n"/>
      <c r="I679" s="111" t="n"/>
      <c r="J679" s="114" t="n"/>
      <c r="K679" s="114" t="n"/>
      <c r="L679" s="112" t="n"/>
      <c r="M679" s="112" t="n"/>
      <c r="N679" s="112" t="n"/>
      <c r="O679" s="115" t="str">
        <f>IF(OR(D679="",F679=""),"",D679+F679)</f>
        <v/>
      </c>
      <c r="P679" s="116" t="str">
        <f>IF(O679="","",IF(ISNUMBER(M679),O679-M679,IF(OR(H679="DECISÃO D.P",ISNUMBER(N679)),"",O679-TODAY())))</f>
        <v/>
      </c>
      <c r="Q679" s="117" t="str">
        <f>IF(B679="","",IF(ISNUMBER(N679),"DECIDIDO – ","")&amp;IF(ISNUMBER(M679),IF(P679="",IF(F679="","INFORMAR PRAZO","SEM DATA"),IF(P679&gt;=0,"DEFESA NO PRAZO","DEFESA FORA DO PRAZO")),IF(OR(H679="DECISÃO D.P",ISNUMBER(N679)),"SEM DEFESA",IF(H679="","SEM STATUS",IF(F679="","INFORMAR PRAZO",IF(P679="","SEM DATA",IF(P679&lt;0,"VENCIDO",IF(P679&lt;=DiasAlerta,"VENCE EM BREVE","NO PRAZO"))))))))</f>
        <v/>
      </c>
      <c r="R679" s="118" t="str">
        <f>IF(D679="","",TODAY()-D679)</f>
        <v/>
      </c>
      <c r="S679" s="111" t="n"/>
    </row>
    <row r="680" ht="18" customHeight="1">
      <c r="A680" s="110" t="n"/>
      <c r="B680" s="111" t="n"/>
      <c r="C680" s="111" t="n"/>
      <c r="D680" s="112" t="n"/>
      <c r="E680" s="111" t="n"/>
      <c r="F680" s="110" t="n"/>
      <c r="G680" s="113" t="n"/>
      <c r="H680" s="113" t="n"/>
      <c r="I680" s="111" t="n"/>
      <c r="J680" s="114" t="n"/>
      <c r="K680" s="114" t="n"/>
      <c r="L680" s="112" t="n"/>
      <c r="M680" s="112" t="n"/>
      <c r="N680" s="112" t="n"/>
      <c r="O680" s="115" t="str">
        <f>IF(OR(D680="",F680=""),"",D680+F680)</f>
        <v/>
      </c>
      <c r="P680" s="116" t="str">
        <f>IF(O680="","",IF(ISNUMBER(M680),O680-M680,IF(OR(H680="DECISÃO D.P",ISNUMBER(N680)),"",O680-TODAY())))</f>
        <v/>
      </c>
      <c r="Q680" s="117" t="str">
        <f>IF(B680="","",IF(ISNUMBER(N680),"DECIDIDO – ","")&amp;IF(ISNUMBER(M680),IF(P680="",IF(F680="","INFORMAR PRAZO","SEM DATA"),IF(P680&gt;=0,"DEFESA NO PRAZO","DEFESA FORA DO PRAZO")),IF(OR(H680="DECISÃO D.P",ISNUMBER(N680)),"SEM DEFESA",IF(H680="","SEM STATUS",IF(F680="","INFORMAR PRAZO",IF(P680="","SEM DATA",IF(P680&lt;0,"VENCIDO",IF(P680&lt;=DiasAlerta,"VENCE EM BREVE","NO PRAZO"))))))))</f>
        <v/>
      </c>
      <c r="R680" s="118" t="str">
        <f>IF(D680="","",TODAY()-D680)</f>
        <v/>
      </c>
      <c r="S680" s="111" t="n"/>
    </row>
    <row r="681" ht="18" customHeight="1">
      <c r="A681" s="110" t="n"/>
      <c r="B681" s="111" t="n"/>
      <c r="C681" s="111" t="n"/>
      <c r="D681" s="112" t="n"/>
      <c r="E681" s="111" t="n"/>
      <c r="F681" s="110" t="n"/>
      <c r="G681" s="113" t="n"/>
      <c r="H681" s="113" t="n"/>
      <c r="I681" s="111" t="n"/>
      <c r="J681" s="114" t="n"/>
      <c r="K681" s="114" t="n"/>
      <c r="L681" s="112" t="n"/>
      <c r="M681" s="112" t="n"/>
      <c r="N681" s="112" t="n"/>
      <c r="O681" s="115" t="str">
        <f>IF(OR(D681="",F681=""),"",D681+F681)</f>
        <v/>
      </c>
      <c r="P681" s="116" t="str">
        <f>IF(O681="","",IF(ISNUMBER(M681),O681-M681,IF(OR(H681="DECISÃO D.P",ISNUMBER(N681)),"",O681-TODAY())))</f>
        <v/>
      </c>
      <c r="Q681" s="117" t="str">
        <f>IF(B681="","",IF(ISNUMBER(N681),"DECIDIDO – ","")&amp;IF(ISNUMBER(M681),IF(P681="",IF(F681="","INFORMAR PRAZO","SEM DATA"),IF(P681&gt;=0,"DEFESA NO PRAZO","DEFESA FORA DO PRAZO")),IF(OR(H681="DECISÃO D.P",ISNUMBER(N681)),"SEM DEFESA",IF(H681="","SEM STATUS",IF(F681="","INFORMAR PRAZO",IF(P681="","SEM DATA",IF(P681&lt;0,"VENCIDO",IF(P681&lt;=DiasAlerta,"VENCE EM BREVE","NO PRAZO"))))))))</f>
        <v/>
      </c>
      <c r="R681" s="118" t="str">
        <f>IF(D681="","",TODAY()-D681)</f>
        <v/>
      </c>
      <c r="S681" s="111" t="n"/>
    </row>
    <row r="682" ht="18" customHeight="1">
      <c r="A682" s="110" t="n"/>
      <c r="B682" s="111" t="n"/>
      <c r="C682" s="111" t="n"/>
      <c r="D682" s="112" t="n"/>
      <c r="E682" s="111" t="n"/>
      <c r="F682" s="110" t="n"/>
      <c r="G682" s="113" t="n"/>
      <c r="H682" s="113" t="n"/>
      <c r="I682" s="111" t="n"/>
      <c r="J682" s="114" t="n"/>
      <c r="K682" s="114" t="n"/>
      <c r="L682" s="112" t="n"/>
      <c r="M682" s="112" t="n"/>
      <c r="N682" s="112" t="n"/>
      <c r="O682" s="115" t="str">
        <f>IF(OR(D682="",F682=""),"",D682+F682)</f>
        <v/>
      </c>
      <c r="P682" s="116" t="str">
        <f>IF(O682="","",IF(ISNUMBER(M682),O682-M682,IF(OR(H682="DECISÃO D.P",ISNUMBER(N682)),"",O682-TODAY())))</f>
        <v/>
      </c>
      <c r="Q682" s="117" t="str">
        <f>IF(B682="","",IF(ISNUMBER(N682),"DECIDIDO – ","")&amp;IF(ISNUMBER(M682),IF(P682="",IF(F682="","INFORMAR PRAZO","SEM DATA"),IF(P682&gt;=0,"DEFESA NO PRAZO","DEFESA FORA DO PRAZO")),IF(OR(H682="DECISÃO D.P",ISNUMBER(N682)),"SEM DEFESA",IF(H682="","SEM STATUS",IF(F682="","INFORMAR PRAZO",IF(P682="","SEM DATA",IF(P682&lt;0,"VENCIDO",IF(P682&lt;=DiasAlerta,"VENCE EM BREVE","NO PRAZO"))))))))</f>
        <v/>
      </c>
      <c r="R682" s="118" t="str">
        <f>IF(D682="","",TODAY()-D682)</f>
        <v/>
      </c>
      <c r="S682" s="111" t="n"/>
    </row>
    <row r="683" ht="18" customHeight="1">
      <c r="A683" s="110" t="n"/>
      <c r="B683" s="111" t="n"/>
      <c r="C683" s="111" t="n"/>
      <c r="D683" s="112" t="n"/>
      <c r="E683" s="111" t="n"/>
      <c r="F683" s="110" t="n"/>
      <c r="G683" s="113" t="n"/>
      <c r="H683" s="113" t="n"/>
      <c r="I683" s="111" t="n"/>
      <c r="J683" s="114" t="n"/>
      <c r="K683" s="114" t="n"/>
      <c r="L683" s="112" t="n"/>
      <c r="M683" s="112" t="n"/>
      <c r="N683" s="112" t="n"/>
      <c r="O683" s="115" t="str">
        <f>IF(OR(D683="",F683=""),"",D683+F683)</f>
        <v/>
      </c>
      <c r="P683" s="116" t="str">
        <f>IF(O683="","",IF(ISNUMBER(M683),O683-M683,IF(OR(H683="DECISÃO D.P",ISNUMBER(N683)),"",O683-TODAY())))</f>
        <v/>
      </c>
      <c r="Q683" s="117" t="str">
        <f>IF(B683="","",IF(ISNUMBER(N683),"DECIDIDO – ","")&amp;IF(ISNUMBER(M683),IF(P683="",IF(F683="","INFORMAR PRAZO","SEM DATA"),IF(P683&gt;=0,"DEFESA NO PRAZO","DEFESA FORA DO PRAZO")),IF(OR(H683="DECISÃO D.P",ISNUMBER(N683)),"SEM DEFESA",IF(H683="","SEM STATUS",IF(F683="","INFORMAR PRAZO",IF(P683="","SEM DATA",IF(P683&lt;0,"VENCIDO",IF(P683&lt;=DiasAlerta,"VENCE EM BREVE","NO PRAZO"))))))))</f>
        <v/>
      </c>
      <c r="R683" s="118" t="str">
        <f>IF(D683="","",TODAY()-D683)</f>
        <v/>
      </c>
      <c r="S683" s="111" t="n"/>
    </row>
    <row r="684" ht="18" customHeight="1">
      <c r="A684" s="110" t="n"/>
      <c r="B684" s="111" t="n"/>
      <c r="C684" s="111" t="n"/>
      <c r="D684" s="112" t="n"/>
      <c r="E684" s="111" t="n"/>
      <c r="F684" s="110" t="n"/>
      <c r="G684" s="113" t="n"/>
      <c r="H684" s="113" t="n"/>
      <c r="I684" s="111" t="n"/>
      <c r="J684" s="114" t="n"/>
      <c r="K684" s="114" t="n"/>
      <c r="L684" s="112" t="n"/>
      <c r="M684" s="112" t="n"/>
      <c r="N684" s="112" t="n"/>
      <c r="O684" s="115" t="str">
        <f>IF(OR(D684="",F684=""),"",D684+F684)</f>
        <v/>
      </c>
      <c r="P684" s="116" t="str">
        <f>IF(O684="","",IF(ISNUMBER(M684),O684-M684,IF(OR(H684="DECISÃO D.P",ISNUMBER(N684)),"",O684-TODAY())))</f>
        <v/>
      </c>
      <c r="Q684" s="117" t="str">
        <f>IF(B684="","",IF(ISNUMBER(N684),"DECIDIDO – ","")&amp;IF(ISNUMBER(M684),IF(P684="",IF(F684="","INFORMAR PRAZO","SEM DATA"),IF(P684&gt;=0,"DEFESA NO PRAZO","DEFESA FORA DO PRAZO")),IF(OR(H684="DECISÃO D.P",ISNUMBER(N684)),"SEM DEFESA",IF(H684="","SEM STATUS",IF(F684="","INFORMAR PRAZO",IF(P684="","SEM DATA",IF(P684&lt;0,"VENCIDO",IF(P684&lt;=DiasAlerta,"VENCE EM BREVE","NO PRAZO"))))))))</f>
        <v/>
      </c>
      <c r="R684" s="118" t="str">
        <f>IF(D684="","",TODAY()-D684)</f>
        <v/>
      </c>
      <c r="S684" s="111" t="n"/>
    </row>
    <row r="685" ht="18" customHeight="1">
      <c r="A685" s="110" t="n"/>
      <c r="B685" s="111" t="n"/>
      <c r="C685" s="111" t="n"/>
      <c r="D685" s="112" t="n"/>
      <c r="E685" s="111" t="n"/>
      <c r="F685" s="110" t="n"/>
      <c r="G685" s="113" t="n"/>
      <c r="H685" s="113" t="n"/>
      <c r="I685" s="111" t="n"/>
      <c r="J685" s="114" t="n"/>
      <c r="K685" s="114" t="n"/>
      <c r="L685" s="112" t="n"/>
      <c r="M685" s="112" t="n"/>
      <c r="N685" s="112" t="n"/>
      <c r="O685" s="115" t="str">
        <f>IF(OR(D685="",F685=""),"",D685+F685)</f>
        <v/>
      </c>
      <c r="P685" s="116" t="str">
        <f>IF(O685="","",IF(ISNUMBER(M685),O685-M685,IF(OR(H685="DECISÃO D.P",ISNUMBER(N685)),"",O685-TODAY())))</f>
        <v/>
      </c>
      <c r="Q685" s="117" t="str">
        <f>IF(B685="","",IF(ISNUMBER(N685),"DECIDIDO – ","")&amp;IF(ISNUMBER(M685),IF(P685="",IF(F685="","INFORMAR PRAZO","SEM DATA"),IF(P685&gt;=0,"DEFESA NO PRAZO","DEFESA FORA DO PRAZO")),IF(OR(H685="DECISÃO D.P",ISNUMBER(N685)),"SEM DEFESA",IF(H685="","SEM STATUS",IF(F685="","INFORMAR PRAZO",IF(P685="","SEM DATA",IF(P685&lt;0,"VENCIDO",IF(P685&lt;=DiasAlerta,"VENCE EM BREVE","NO PRAZO"))))))))</f>
        <v/>
      </c>
      <c r="R685" s="118" t="str">
        <f>IF(D685="","",TODAY()-D685)</f>
        <v/>
      </c>
      <c r="S685" s="111" t="n"/>
    </row>
    <row r="686" ht="18" customHeight="1">
      <c r="A686" s="110" t="n"/>
      <c r="B686" s="111" t="n"/>
      <c r="C686" s="111" t="n"/>
      <c r="D686" s="112" t="n"/>
      <c r="E686" s="111" t="n"/>
      <c r="F686" s="110" t="n"/>
      <c r="G686" s="113" t="n"/>
      <c r="H686" s="113" t="n"/>
      <c r="I686" s="111" t="n"/>
      <c r="J686" s="114" t="n"/>
      <c r="K686" s="114" t="n"/>
      <c r="L686" s="112" t="n"/>
      <c r="M686" s="112" t="n"/>
      <c r="N686" s="112" t="n"/>
      <c r="O686" s="115" t="str">
        <f>IF(OR(D686="",F686=""),"",D686+F686)</f>
        <v/>
      </c>
      <c r="P686" s="116" t="str">
        <f>IF(O686="","",IF(ISNUMBER(M686),O686-M686,IF(OR(H686="DECISÃO D.P",ISNUMBER(N686)),"",O686-TODAY())))</f>
        <v/>
      </c>
      <c r="Q686" s="117" t="str">
        <f>IF(B686="","",IF(ISNUMBER(N686),"DECIDIDO – ","")&amp;IF(ISNUMBER(M686),IF(P686="",IF(F686="","INFORMAR PRAZO","SEM DATA"),IF(P686&gt;=0,"DEFESA NO PRAZO","DEFESA FORA DO PRAZO")),IF(OR(H686="DECISÃO D.P",ISNUMBER(N686)),"SEM DEFESA",IF(H686="","SEM STATUS",IF(F686="","INFORMAR PRAZO",IF(P686="","SEM DATA",IF(P686&lt;0,"VENCIDO",IF(P686&lt;=DiasAlerta,"VENCE EM BREVE","NO PRAZO"))))))))</f>
        <v/>
      </c>
      <c r="R686" s="118" t="str">
        <f>IF(D686="","",TODAY()-D686)</f>
        <v/>
      </c>
      <c r="S686" s="111" t="n"/>
    </row>
    <row r="687" ht="18" customHeight="1">
      <c r="A687" s="110" t="n"/>
      <c r="B687" s="111" t="n"/>
      <c r="C687" s="111" t="n"/>
      <c r="D687" s="112" t="n"/>
      <c r="E687" s="111" t="n"/>
      <c r="F687" s="110" t="n"/>
      <c r="G687" s="113" t="n"/>
      <c r="H687" s="113" t="n"/>
      <c r="I687" s="111" t="n"/>
      <c r="J687" s="114" t="n"/>
      <c r="K687" s="114" t="n"/>
      <c r="L687" s="112" t="n"/>
      <c r="M687" s="112" t="n"/>
      <c r="N687" s="112" t="n"/>
      <c r="O687" s="115" t="str">
        <f>IF(OR(D687="",F687=""),"",D687+F687)</f>
        <v/>
      </c>
      <c r="P687" s="116" t="str">
        <f>IF(O687="","",IF(ISNUMBER(M687),O687-M687,IF(OR(H687="DECISÃO D.P",ISNUMBER(N687)),"",O687-TODAY())))</f>
        <v/>
      </c>
      <c r="Q687" s="117" t="str">
        <f>IF(B687="","",IF(ISNUMBER(N687),"DECIDIDO – ","")&amp;IF(ISNUMBER(M687),IF(P687="",IF(F687="","INFORMAR PRAZO","SEM DATA"),IF(P687&gt;=0,"DEFESA NO PRAZO","DEFESA FORA DO PRAZO")),IF(OR(H687="DECISÃO D.P",ISNUMBER(N687)),"SEM DEFESA",IF(H687="","SEM STATUS",IF(F687="","INFORMAR PRAZO",IF(P687="","SEM DATA",IF(P687&lt;0,"VENCIDO",IF(P687&lt;=DiasAlerta,"VENCE EM BREVE","NO PRAZO"))))))))</f>
        <v/>
      </c>
      <c r="R687" s="118" t="str">
        <f>IF(D687="","",TODAY()-D687)</f>
        <v/>
      </c>
      <c r="S687" s="111" t="n"/>
    </row>
    <row r="688" ht="18" customHeight="1">
      <c r="A688" s="110" t="n"/>
      <c r="B688" s="111" t="n"/>
      <c r="C688" s="111" t="n"/>
      <c r="D688" s="112" t="n"/>
      <c r="E688" s="111" t="n"/>
      <c r="F688" s="110" t="n"/>
      <c r="G688" s="113" t="n"/>
      <c r="H688" s="113" t="n"/>
      <c r="I688" s="111" t="n"/>
      <c r="J688" s="114" t="n"/>
      <c r="K688" s="114" t="n"/>
      <c r="L688" s="112" t="n"/>
      <c r="M688" s="112" t="n"/>
      <c r="N688" s="112" t="n"/>
      <c r="O688" s="115" t="str">
        <f>IF(OR(D688="",F688=""),"",D688+F688)</f>
        <v/>
      </c>
      <c r="P688" s="116" t="str">
        <f>IF(O688="","",IF(ISNUMBER(M688),O688-M688,IF(OR(H688="DECISÃO D.P",ISNUMBER(N688)),"",O688-TODAY())))</f>
        <v/>
      </c>
      <c r="Q688" s="117" t="str">
        <f>IF(B688="","",IF(ISNUMBER(N688),"DECIDIDO – ","")&amp;IF(ISNUMBER(M688),IF(P688="",IF(F688="","INFORMAR PRAZO","SEM DATA"),IF(P688&gt;=0,"DEFESA NO PRAZO","DEFESA FORA DO PRAZO")),IF(OR(H688="DECISÃO D.P",ISNUMBER(N688)),"SEM DEFESA",IF(H688="","SEM STATUS",IF(F688="","INFORMAR PRAZO",IF(P688="","SEM DATA",IF(P688&lt;0,"VENCIDO",IF(P688&lt;=DiasAlerta,"VENCE EM BREVE","NO PRAZO"))))))))</f>
        <v/>
      </c>
      <c r="R688" s="118" t="str">
        <f>IF(D688="","",TODAY()-D688)</f>
        <v/>
      </c>
      <c r="S688" s="111" t="n"/>
    </row>
    <row r="689" ht="18" customHeight="1">
      <c r="A689" s="110" t="n"/>
      <c r="B689" s="111" t="n"/>
      <c r="C689" s="111" t="n"/>
      <c r="D689" s="112" t="n"/>
      <c r="E689" s="111" t="n"/>
      <c r="F689" s="110" t="n"/>
      <c r="G689" s="113" t="n"/>
      <c r="H689" s="113" t="n"/>
      <c r="I689" s="111" t="n"/>
      <c r="J689" s="114" t="n"/>
      <c r="K689" s="114" t="n"/>
      <c r="L689" s="112" t="n"/>
      <c r="M689" s="112" t="n"/>
      <c r="N689" s="112" t="n"/>
      <c r="O689" s="115" t="str">
        <f>IF(OR(D689="",F689=""),"",D689+F689)</f>
        <v/>
      </c>
      <c r="P689" s="116" t="str">
        <f>IF(O689="","",IF(ISNUMBER(M689),O689-M689,IF(OR(H689="DECISÃO D.P",ISNUMBER(N689)),"",O689-TODAY())))</f>
        <v/>
      </c>
      <c r="Q689" s="117" t="str">
        <f>IF(B689="","",IF(ISNUMBER(N689),"DECIDIDO – ","")&amp;IF(ISNUMBER(M689),IF(P689="",IF(F689="","INFORMAR PRAZO","SEM DATA"),IF(P689&gt;=0,"DEFESA NO PRAZO","DEFESA FORA DO PRAZO")),IF(OR(H689="DECISÃO D.P",ISNUMBER(N689)),"SEM DEFESA",IF(H689="","SEM STATUS",IF(F689="","INFORMAR PRAZO",IF(P689="","SEM DATA",IF(P689&lt;0,"VENCIDO",IF(P689&lt;=DiasAlerta,"VENCE EM BREVE","NO PRAZO"))))))))</f>
        <v/>
      </c>
      <c r="R689" s="118" t="str">
        <f>IF(D689="","",TODAY()-D689)</f>
        <v/>
      </c>
      <c r="S689" s="111" t="n"/>
    </row>
    <row r="690" ht="18" customHeight="1">
      <c r="A690" s="110" t="n"/>
      <c r="B690" s="111" t="n"/>
      <c r="C690" s="111" t="n"/>
      <c r="D690" s="112" t="n"/>
      <c r="E690" s="111" t="n"/>
      <c r="F690" s="110" t="n"/>
      <c r="G690" s="113" t="n"/>
      <c r="H690" s="113" t="n"/>
      <c r="I690" s="111" t="n"/>
      <c r="J690" s="114" t="n"/>
      <c r="K690" s="114" t="n"/>
      <c r="L690" s="112" t="n"/>
      <c r="M690" s="112" t="n"/>
      <c r="N690" s="112" t="n"/>
      <c r="O690" s="115" t="str">
        <f>IF(OR(D690="",F690=""),"",D690+F690)</f>
        <v/>
      </c>
      <c r="P690" s="116" t="str">
        <f>IF(O690="","",IF(ISNUMBER(M690),O690-M690,IF(OR(H690="DECISÃO D.P",ISNUMBER(N690)),"",O690-TODAY())))</f>
        <v/>
      </c>
      <c r="Q690" s="117" t="str">
        <f>IF(B690="","",IF(ISNUMBER(N690),"DECIDIDO – ","")&amp;IF(ISNUMBER(M690),IF(P690="",IF(F690="","INFORMAR PRAZO","SEM DATA"),IF(P690&gt;=0,"DEFESA NO PRAZO","DEFESA FORA DO PRAZO")),IF(OR(H690="DECISÃO D.P",ISNUMBER(N690)),"SEM DEFESA",IF(H690="","SEM STATUS",IF(F690="","INFORMAR PRAZO",IF(P690="","SEM DATA",IF(P690&lt;0,"VENCIDO",IF(P690&lt;=DiasAlerta,"VENCE EM BREVE","NO PRAZO"))))))))</f>
        <v/>
      </c>
      <c r="R690" s="118" t="str">
        <f>IF(D690="","",TODAY()-D690)</f>
        <v/>
      </c>
      <c r="S690" s="111" t="n"/>
    </row>
    <row r="691" ht="18" customHeight="1">
      <c r="A691" s="110" t="n"/>
      <c r="B691" s="111" t="n"/>
      <c r="C691" s="111" t="n"/>
      <c r="D691" s="112" t="n"/>
      <c r="E691" s="111" t="n"/>
      <c r="F691" s="110" t="n"/>
      <c r="G691" s="113" t="n"/>
      <c r="H691" s="113" t="n"/>
      <c r="I691" s="111" t="n"/>
      <c r="J691" s="114" t="n"/>
      <c r="K691" s="114" t="n"/>
      <c r="L691" s="112" t="n"/>
      <c r="M691" s="112" t="n"/>
      <c r="N691" s="112" t="n"/>
      <c r="O691" s="115" t="str">
        <f>IF(OR(D691="",F691=""),"",D691+F691)</f>
        <v/>
      </c>
      <c r="P691" s="116" t="str">
        <f>IF(O691="","",IF(ISNUMBER(M691),O691-M691,IF(OR(H691="DECISÃO D.P",ISNUMBER(N691)),"",O691-TODAY())))</f>
        <v/>
      </c>
      <c r="Q691" s="117" t="str">
        <f>IF(B691="","",IF(ISNUMBER(N691),"DECIDIDO – ","")&amp;IF(ISNUMBER(M691),IF(P691="",IF(F691="","INFORMAR PRAZO","SEM DATA"),IF(P691&gt;=0,"DEFESA NO PRAZO","DEFESA FORA DO PRAZO")),IF(OR(H691="DECISÃO D.P",ISNUMBER(N691)),"SEM DEFESA",IF(H691="","SEM STATUS",IF(F691="","INFORMAR PRAZO",IF(P691="","SEM DATA",IF(P691&lt;0,"VENCIDO",IF(P691&lt;=DiasAlerta,"VENCE EM BREVE","NO PRAZO"))))))))</f>
        <v/>
      </c>
      <c r="R691" s="118" t="str">
        <f>IF(D691="","",TODAY()-D691)</f>
        <v/>
      </c>
      <c r="S691" s="111" t="n"/>
    </row>
    <row r="692" ht="18" customHeight="1">
      <c r="A692" s="110" t="n"/>
      <c r="B692" s="111" t="n"/>
      <c r="C692" s="111" t="n"/>
      <c r="D692" s="112" t="n"/>
      <c r="E692" s="111" t="n"/>
      <c r="F692" s="110" t="n"/>
      <c r="G692" s="113" t="n"/>
      <c r="H692" s="113" t="n"/>
      <c r="I692" s="111" t="n"/>
      <c r="J692" s="114" t="n"/>
      <c r="K692" s="114" t="n"/>
      <c r="L692" s="112" t="n"/>
      <c r="M692" s="112" t="n"/>
      <c r="N692" s="112" t="n"/>
      <c r="O692" s="115" t="str">
        <f>IF(OR(D692="",F692=""),"",D692+F692)</f>
        <v/>
      </c>
      <c r="P692" s="116" t="str">
        <f>IF(O692="","",IF(ISNUMBER(M692),O692-M692,IF(OR(H692="DECISÃO D.P",ISNUMBER(N692)),"",O692-TODAY())))</f>
        <v/>
      </c>
      <c r="Q692" s="117" t="str">
        <f>IF(B692="","",IF(ISNUMBER(N692),"DECIDIDO – ","")&amp;IF(ISNUMBER(M692),IF(P692="",IF(F692="","INFORMAR PRAZO","SEM DATA"),IF(P692&gt;=0,"DEFESA NO PRAZO","DEFESA FORA DO PRAZO")),IF(OR(H692="DECISÃO D.P",ISNUMBER(N692)),"SEM DEFESA",IF(H692="","SEM STATUS",IF(F692="","INFORMAR PRAZO",IF(P692="","SEM DATA",IF(P692&lt;0,"VENCIDO",IF(P692&lt;=DiasAlerta,"VENCE EM BREVE","NO PRAZO"))))))))</f>
        <v/>
      </c>
      <c r="R692" s="118" t="str">
        <f>IF(D692="","",TODAY()-D692)</f>
        <v/>
      </c>
      <c r="S692" s="111" t="n"/>
    </row>
    <row r="693" ht="18" customHeight="1">
      <c r="A693" s="110" t="n"/>
      <c r="B693" s="111" t="n"/>
      <c r="C693" s="111" t="n"/>
      <c r="D693" s="112" t="n"/>
      <c r="E693" s="111" t="n"/>
      <c r="F693" s="110" t="n"/>
      <c r="G693" s="113" t="n"/>
      <c r="H693" s="113" t="n"/>
      <c r="I693" s="111" t="n"/>
      <c r="J693" s="114" t="n"/>
      <c r="K693" s="114" t="n"/>
      <c r="L693" s="112" t="n"/>
      <c r="M693" s="112" t="n"/>
      <c r="N693" s="112" t="n"/>
      <c r="O693" s="115" t="str">
        <f>IF(OR(D693="",F693=""),"",D693+F693)</f>
        <v/>
      </c>
      <c r="P693" s="116" t="str">
        <f>IF(O693="","",IF(ISNUMBER(M693),O693-M693,IF(OR(H693="DECISÃO D.P",ISNUMBER(N693)),"",O693-TODAY())))</f>
        <v/>
      </c>
      <c r="Q693" s="117" t="str">
        <f>IF(B693="","",IF(ISNUMBER(N693),"DECIDIDO – ","")&amp;IF(ISNUMBER(M693),IF(P693="",IF(F693="","INFORMAR PRAZO","SEM DATA"),IF(P693&gt;=0,"DEFESA NO PRAZO","DEFESA FORA DO PRAZO")),IF(OR(H693="DECISÃO D.P",ISNUMBER(N693)),"SEM DEFESA",IF(H693="","SEM STATUS",IF(F693="","INFORMAR PRAZO",IF(P693="","SEM DATA",IF(P693&lt;0,"VENCIDO",IF(P693&lt;=DiasAlerta,"VENCE EM BREVE","NO PRAZO"))))))))</f>
        <v/>
      </c>
      <c r="R693" s="118" t="str">
        <f>IF(D693="","",TODAY()-D693)</f>
        <v/>
      </c>
      <c r="S693" s="111" t="n"/>
    </row>
    <row r="694" ht="18" customHeight="1">
      <c r="A694" s="110" t="n"/>
      <c r="B694" s="111" t="n"/>
      <c r="C694" s="111" t="n"/>
      <c r="D694" s="112" t="n"/>
      <c r="E694" s="111" t="n"/>
      <c r="F694" s="110" t="n"/>
      <c r="G694" s="113" t="n"/>
      <c r="H694" s="113" t="n"/>
      <c r="I694" s="111" t="n"/>
      <c r="J694" s="114" t="n"/>
      <c r="K694" s="114" t="n"/>
      <c r="L694" s="112" t="n"/>
      <c r="M694" s="112" t="n"/>
      <c r="N694" s="112" t="n"/>
      <c r="O694" s="115" t="str">
        <f>IF(OR(D694="",F694=""),"",D694+F694)</f>
        <v/>
      </c>
      <c r="P694" s="116" t="str">
        <f>IF(O694="","",IF(ISNUMBER(M694),O694-M694,IF(OR(H694="DECISÃO D.P",ISNUMBER(N694)),"",O694-TODAY())))</f>
        <v/>
      </c>
      <c r="Q694" s="117" t="str">
        <f>IF(B694="","",IF(ISNUMBER(N694),"DECIDIDO – ","")&amp;IF(ISNUMBER(M694),IF(P694="",IF(F694="","INFORMAR PRAZO","SEM DATA"),IF(P694&gt;=0,"DEFESA NO PRAZO","DEFESA FORA DO PRAZO")),IF(OR(H694="DECISÃO D.P",ISNUMBER(N694)),"SEM DEFESA",IF(H694="","SEM STATUS",IF(F694="","INFORMAR PRAZO",IF(P694="","SEM DATA",IF(P694&lt;0,"VENCIDO",IF(P694&lt;=DiasAlerta,"VENCE EM BREVE","NO PRAZO"))))))))</f>
        <v/>
      </c>
      <c r="R694" s="118" t="str">
        <f>IF(D694="","",TODAY()-D694)</f>
        <v/>
      </c>
      <c r="S694" s="111" t="n"/>
    </row>
    <row r="695" ht="18" customHeight="1">
      <c r="A695" s="110" t="n"/>
      <c r="B695" s="111" t="n"/>
      <c r="C695" s="111" t="n"/>
      <c r="D695" s="112" t="n"/>
      <c r="E695" s="111" t="n"/>
      <c r="F695" s="110" t="n"/>
      <c r="G695" s="113" t="n"/>
      <c r="H695" s="113" t="n"/>
      <c r="I695" s="111" t="n"/>
      <c r="J695" s="114" t="n"/>
      <c r="K695" s="114" t="n"/>
      <c r="L695" s="112" t="n"/>
      <c r="M695" s="112" t="n"/>
      <c r="N695" s="112" t="n"/>
      <c r="O695" s="115" t="str">
        <f>IF(OR(D695="",F695=""),"",D695+F695)</f>
        <v/>
      </c>
      <c r="P695" s="116" t="str">
        <f>IF(O695="","",IF(ISNUMBER(M695),O695-M695,IF(OR(H695="DECISÃO D.P",ISNUMBER(N695)),"",O695-TODAY())))</f>
        <v/>
      </c>
      <c r="Q695" s="117" t="str">
        <f>IF(B695="","",IF(ISNUMBER(N695),"DECIDIDO – ","")&amp;IF(ISNUMBER(M695),IF(P695="",IF(F695="","INFORMAR PRAZO","SEM DATA"),IF(P695&gt;=0,"DEFESA NO PRAZO","DEFESA FORA DO PRAZO")),IF(OR(H695="DECISÃO D.P",ISNUMBER(N695)),"SEM DEFESA",IF(H695="","SEM STATUS",IF(F695="","INFORMAR PRAZO",IF(P695="","SEM DATA",IF(P695&lt;0,"VENCIDO",IF(P695&lt;=DiasAlerta,"VENCE EM BREVE","NO PRAZO"))))))))</f>
        <v/>
      </c>
      <c r="R695" s="118" t="str">
        <f>IF(D695="","",TODAY()-D695)</f>
        <v/>
      </c>
      <c r="S695" s="111" t="n"/>
    </row>
    <row r="696" ht="18" customHeight="1">
      <c r="A696" s="110" t="n"/>
      <c r="B696" s="111" t="n"/>
      <c r="C696" s="111" t="n"/>
      <c r="D696" s="112" t="n"/>
      <c r="E696" s="111" t="n"/>
      <c r="F696" s="110" t="n"/>
      <c r="G696" s="113" t="n"/>
      <c r="H696" s="113" t="n"/>
      <c r="I696" s="111" t="n"/>
      <c r="J696" s="114" t="n"/>
      <c r="K696" s="114" t="n"/>
      <c r="L696" s="112" t="n"/>
      <c r="M696" s="112" t="n"/>
      <c r="N696" s="112" t="n"/>
      <c r="O696" s="115" t="str">
        <f>IF(OR(D696="",F696=""),"",D696+F696)</f>
        <v/>
      </c>
      <c r="P696" s="116" t="str">
        <f>IF(O696="","",IF(ISNUMBER(M696),O696-M696,IF(OR(H696="DECISÃO D.P",ISNUMBER(N696)),"",O696-TODAY())))</f>
        <v/>
      </c>
      <c r="Q696" s="117" t="str">
        <f>IF(B696="","",IF(ISNUMBER(N696),"DECIDIDO – ","")&amp;IF(ISNUMBER(M696),IF(P696="",IF(F696="","INFORMAR PRAZO","SEM DATA"),IF(P696&gt;=0,"DEFESA NO PRAZO","DEFESA FORA DO PRAZO")),IF(OR(H696="DECISÃO D.P",ISNUMBER(N696)),"SEM DEFESA",IF(H696="","SEM STATUS",IF(F696="","INFORMAR PRAZO",IF(P696="","SEM DATA",IF(P696&lt;0,"VENCIDO",IF(P696&lt;=DiasAlerta,"VENCE EM BREVE","NO PRAZO"))))))))</f>
        <v/>
      </c>
      <c r="R696" s="118" t="str">
        <f>IF(D696="","",TODAY()-D696)</f>
        <v/>
      </c>
      <c r="S696" s="111" t="n"/>
    </row>
    <row r="697" ht="18" customHeight="1">
      <c r="A697" s="110" t="n"/>
      <c r="B697" s="111" t="n"/>
      <c r="C697" s="111" t="n"/>
      <c r="D697" s="112" t="n"/>
      <c r="E697" s="111" t="n"/>
      <c r="F697" s="110" t="n"/>
      <c r="G697" s="113" t="n"/>
      <c r="H697" s="113" t="n"/>
      <c r="I697" s="111" t="n"/>
      <c r="J697" s="114" t="n"/>
      <c r="K697" s="114" t="n"/>
      <c r="L697" s="112" t="n"/>
      <c r="M697" s="112" t="n"/>
      <c r="N697" s="112" t="n"/>
      <c r="O697" s="115" t="str">
        <f>IF(OR(D697="",F697=""),"",D697+F697)</f>
        <v/>
      </c>
      <c r="P697" s="116" t="str">
        <f>IF(O697="","",IF(ISNUMBER(M697),O697-M697,IF(OR(H697="DECISÃO D.P",ISNUMBER(N697)),"",O697-TODAY())))</f>
        <v/>
      </c>
      <c r="Q697" s="117" t="str">
        <f>IF(B697="","",IF(ISNUMBER(N697),"DECIDIDO – ","")&amp;IF(ISNUMBER(M697),IF(P697="",IF(F697="","INFORMAR PRAZO","SEM DATA"),IF(P697&gt;=0,"DEFESA NO PRAZO","DEFESA FORA DO PRAZO")),IF(OR(H697="DECISÃO D.P",ISNUMBER(N697)),"SEM DEFESA",IF(H697="","SEM STATUS",IF(F697="","INFORMAR PRAZO",IF(P697="","SEM DATA",IF(P697&lt;0,"VENCIDO",IF(P697&lt;=DiasAlerta,"VENCE EM BREVE","NO PRAZO"))))))))</f>
        <v/>
      </c>
      <c r="R697" s="118" t="str">
        <f>IF(D697="","",TODAY()-D697)</f>
        <v/>
      </c>
      <c r="S697" s="111" t="n"/>
    </row>
    <row r="698" ht="18" customHeight="1">
      <c r="A698" s="110" t="n"/>
      <c r="B698" s="111" t="n"/>
      <c r="C698" s="111" t="n"/>
      <c r="D698" s="112" t="n"/>
      <c r="E698" s="111" t="n"/>
      <c r="F698" s="110" t="n"/>
      <c r="G698" s="113" t="n"/>
      <c r="H698" s="113" t="n"/>
      <c r="I698" s="111" t="n"/>
      <c r="J698" s="114" t="n"/>
      <c r="K698" s="114" t="n"/>
      <c r="L698" s="112" t="n"/>
      <c r="M698" s="112" t="n"/>
      <c r="N698" s="112" t="n"/>
      <c r="O698" s="115" t="str">
        <f>IF(OR(D698="",F698=""),"",D698+F698)</f>
        <v/>
      </c>
      <c r="P698" s="116" t="str">
        <f>IF(O698="","",IF(ISNUMBER(M698),O698-M698,IF(OR(H698="DECISÃO D.P",ISNUMBER(N698)),"",O698-TODAY())))</f>
        <v/>
      </c>
      <c r="Q698" s="117" t="str">
        <f>IF(B698="","",IF(ISNUMBER(N698),"DECIDIDO – ","")&amp;IF(ISNUMBER(M698),IF(P698="",IF(F698="","INFORMAR PRAZO","SEM DATA"),IF(P698&gt;=0,"DEFESA NO PRAZO","DEFESA FORA DO PRAZO")),IF(OR(H698="DECISÃO D.P",ISNUMBER(N698)),"SEM DEFESA",IF(H698="","SEM STATUS",IF(F698="","INFORMAR PRAZO",IF(P698="","SEM DATA",IF(P698&lt;0,"VENCIDO",IF(P698&lt;=DiasAlerta,"VENCE EM BREVE","NO PRAZO"))))))))</f>
        <v/>
      </c>
      <c r="R698" s="118" t="str">
        <f>IF(D698="","",TODAY()-D698)</f>
        <v/>
      </c>
      <c r="S698" s="111" t="n"/>
    </row>
    <row r="699" ht="18" customHeight="1">
      <c r="A699" s="110" t="n"/>
      <c r="B699" s="111" t="n"/>
      <c r="C699" s="111" t="n"/>
      <c r="D699" s="112" t="n"/>
      <c r="E699" s="111" t="n"/>
      <c r="F699" s="110" t="n"/>
      <c r="G699" s="113" t="n"/>
      <c r="H699" s="113" t="n"/>
      <c r="I699" s="111" t="n"/>
      <c r="J699" s="114" t="n"/>
      <c r="K699" s="114" t="n"/>
      <c r="L699" s="112" t="n"/>
      <c r="M699" s="112" t="n"/>
      <c r="N699" s="112" t="n"/>
      <c r="O699" s="115" t="str">
        <f>IF(OR(D699="",F699=""),"",D699+F699)</f>
        <v/>
      </c>
      <c r="P699" s="116" t="str">
        <f>IF(O699="","",IF(ISNUMBER(M699),O699-M699,IF(OR(H699="DECISÃO D.P",ISNUMBER(N699)),"",O699-TODAY())))</f>
        <v/>
      </c>
      <c r="Q699" s="117" t="str">
        <f>IF(B699="","",IF(ISNUMBER(N699),"DECIDIDO – ","")&amp;IF(ISNUMBER(M699),IF(P699="",IF(F699="","INFORMAR PRAZO","SEM DATA"),IF(P699&gt;=0,"DEFESA NO PRAZO","DEFESA FORA DO PRAZO")),IF(OR(H699="DECISÃO D.P",ISNUMBER(N699)),"SEM DEFESA",IF(H699="","SEM STATUS",IF(F699="","INFORMAR PRAZO",IF(P699="","SEM DATA",IF(P699&lt;0,"VENCIDO",IF(P699&lt;=DiasAlerta,"VENCE EM BREVE","NO PRAZO"))))))))</f>
        <v/>
      </c>
      <c r="R699" s="118" t="str">
        <f>IF(D699="","",TODAY()-D699)</f>
        <v/>
      </c>
      <c r="S699" s="111" t="n"/>
    </row>
    <row r="700" ht="18" customHeight="1">
      <c r="A700" s="110" t="n"/>
      <c r="B700" s="111" t="n"/>
      <c r="C700" s="111" t="n"/>
      <c r="D700" s="112" t="n"/>
      <c r="E700" s="111" t="n"/>
      <c r="F700" s="110" t="n"/>
      <c r="G700" s="113" t="n"/>
      <c r="H700" s="113" t="n"/>
      <c r="I700" s="111" t="n"/>
      <c r="J700" s="114" t="n"/>
      <c r="K700" s="114" t="n"/>
      <c r="L700" s="112" t="n"/>
      <c r="M700" s="112" t="n"/>
      <c r="N700" s="112" t="n"/>
      <c r="O700" s="115" t="str">
        <f>IF(OR(D700="",F700=""),"",D700+F700)</f>
        <v/>
      </c>
      <c r="P700" s="116" t="str">
        <f>IF(O700="","",IF(ISNUMBER(M700),O700-M700,IF(OR(H700="DECISÃO D.P",ISNUMBER(N700)),"",O700-TODAY())))</f>
        <v/>
      </c>
      <c r="Q700" s="117" t="str">
        <f>IF(B700="","",IF(ISNUMBER(N700),"DECIDIDO – ","")&amp;IF(ISNUMBER(M700),IF(P700="",IF(F700="","INFORMAR PRAZO","SEM DATA"),IF(P700&gt;=0,"DEFESA NO PRAZO","DEFESA FORA DO PRAZO")),IF(OR(H700="DECISÃO D.P",ISNUMBER(N700)),"SEM DEFESA",IF(H700="","SEM STATUS",IF(F700="","INFORMAR PRAZO",IF(P700="","SEM DATA",IF(P700&lt;0,"VENCIDO",IF(P700&lt;=DiasAlerta,"VENCE EM BREVE","NO PRAZO"))))))))</f>
        <v/>
      </c>
      <c r="R700" s="118" t="str">
        <f>IF(D700="","",TODAY()-D700)</f>
        <v/>
      </c>
      <c r="S700" s="111" t="n"/>
    </row>
    <row r="701" ht="18" customHeight="1">
      <c r="A701" s="110" t="n"/>
      <c r="B701" s="111" t="n"/>
      <c r="C701" s="111" t="n"/>
      <c r="D701" s="112" t="n"/>
      <c r="E701" s="111" t="n"/>
      <c r="F701" s="110" t="n"/>
      <c r="G701" s="113" t="n"/>
      <c r="H701" s="113" t="n"/>
      <c r="I701" s="111" t="n"/>
      <c r="J701" s="114" t="n"/>
      <c r="K701" s="114" t="n"/>
      <c r="L701" s="112" t="n"/>
      <c r="M701" s="112" t="n"/>
      <c r="N701" s="112" t="n"/>
      <c r="O701" s="115" t="str">
        <f>IF(OR(D701="",F701=""),"",D701+F701)</f>
        <v/>
      </c>
      <c r="P701" s="116" t="str">
        <f>IF(O701="","",IF(ISNUMBER(M701),O701-M701,IF(OR(H701="DECISÃO D.P",ISNUMBER(N701)),"",O701-TODAY())))</f>
        <v/>
      </c>
      <c r="Q701" s="117" t="str">
        <f>IF(B701="","",IF(ISNUMBER(N701),"DECIDIDO – ","")&amp;IF(ISNUMBER(M701),IF(P701="",IF(F701="","INFORMAR PRAZO","SEM DATA"),IF(P701&gt;=0,"DEFESA NO PRAZO","DEFESA FORA DO PRAZO")),IF(OR(H701="DECISÃO D.P",ISNUMBER(N701)),"SEM DEFESA",IF(H701="","SEM STATUS",IF(F701="","INFORMAR PRAZO",IF(P701="","SEM DATA",IF(P701&lt;0,"VENCIDO",IF(P701&lt;=DiasAlerta,"VENCE EM BREVE","NO PRAZO"))))))))</f>
        <v/>
      </c>
      <c r="R701" s="118" t="str">
        <f>IF(D701="","",TODAY()-D701)</f>
        <v/>
      </c>
      <c r="S701" s="111" t="n"/>
    </row>
    <row r="702" ht="18" customHeight="1">
      <c r="A702" s="110" t="n"/>
      <c r="B702" s="111" t="n"/>
      <c r="C702" s="111" t="n"/>
      <c r="D702" s="112" t="n"/>
      <c r="E702" s="111" t="n"/>
      <c r="F702" s="110" t="n"/>
      <c r="G702" s="113" t="n"/>
      <c r="H702" s="113" t="n"/>
      <c r="I702" s="111" t="n"/>
      <c r="J702" s="114" t="n"/>
      <c r="K702" s="114" t="n"/>
      <c r="L702" s="112" t="n"/>
      <c r="M702" s="112" t="n"/>
      <c r="N702" s="112" t="n"/>
      <c r="O702" s="115" t="str">
        <f>IF(OR(D702="",F702=""),"",D702+F702)</f>
        <v/>
      </c>
      <c r="P702" s="116" t="str">
        <f>IF(O702="","",IF(ISNUMBER(M702),O702-M702,IF(OR(H702="DECISÃO D.P",ISNUMBER(N702)),"",O702-TODAY())))</f>
        <v/>
      </c>
      <c r="Q702" s="117" t="str">
        <f>IF(B702="","",IF(ISNUMBER(N702),"DECIDIDO – ","")&amp;IF(ISNUMBER(M702),IF(P702="",IF(F702="","INFORMAR PRAZO","SEM DATA"),IF(P702&gt;=0,"DEFESA NO PRAZO","DEFESA FORA DO PRAZO")),IF(OR(H702="DECISÃO D.P",ISNUMBER(N702)),"SEM DEFESA",IF(H702="","SEM STATUS",IF(F702="","INFORMAR PRAZO",IF(P702="","SEM DATA",IF(P702&lt;0,"VENCIDO",IF(P702&lt;=DiasAlerta,"VENCE EM BREVE","NO PRAZO"))))))))</f>
        <v/>
      </c>
      <c r="R702" s="118" t="str">
        <f>IF(D702="","",TODAY()-D702)</f>
        <v/>
      </c>
      <c r="S702" s="111" t="n"/>
    </row>
    <row r="703" ht="18" customHeight="1">
      <c r="A703" s="110" t="n"/>
      <c r="B703" s="111" t="n"/>
      <c r="C703" s="111" t="n"/>
      <c r="D703" s="112" t="n"/>
      <c r="E703" s="111" t="n"/>
      <c r="F703" s="110" t="n"/>
      <c r="G703" s="113" t="n"/>
      <c r="H703" s="113" t="n"/>
      <c r="I703" s="111" t="n"/>
      <c r="J703" s="114" t="n"/>
      <c r="K703" s="114" t="n"/>
      <c r="L703" s="112" t="n"/>
      <c r="M703" s="112" t="n"/>
      <c r="N703" s="112" t="n"/>
      <c r="O703" s="115" t="str">
        <f>IF(OR(D703="",F703=""),"",D703+F703)</f>
        <v/>
      </c>
      <c r="P703" s="116" t="str">
        <f>IF(O703="","",IF(ISNUMBER(M703),O703-M703,IF(OR(H703="DECISÃO D.P",ISNUMBER(N703)),"",O703-TODAY())))</f>
        <v/>
      </c>
      <c r="Q703" s="117" t="str">
        <f>IF(B703="","",IF(ISNUMBER(N703),"DECIDIDO – ","")&amp;IF(ISNUMBER(M703),IF(P703="",IF(F703="","INFORMAR PRAZO","SEM DATA"),IF(P703&gt;=0,"DEFESA NO PRAZO","DEFESA FORA DO PRAZO")),IF(OR(H703="DECISÃO D.P",ISNUMBER(N703)),"SEM DEFESA",IF(H703="","SEM STATUS",IF(F703="","INFORMAR PRAZO",IF(P703="","SEM DATA",IF(P703&lt;0,"VENCIDO",IF(P703&lt;=DiasAlerta,"VENCE EM BREVE","NO PRAZO"))))))))</f>
        <v/>
      </c>
      <c r="R703" s="118" t="str">
        <f>IF(D703="","",TODAY()-D703)</f>
        <v/>
      </c>
      <c r="S703" s="111" t="n"/>
    </row>
    <row r="704" ht="18" customHeight="1">
      <c r="A704" s="110" t="n"/>
      <c r="B704" s="111" t="n"/>
      <c r="C704" s="111" t="n"/>
      <c r="D704" s="112" t="n"/>
      <c r="E704" s="111" t="n"/>
      <c r="F704" s="110" t="n"/>
      <c r="G704" s="113" t="n"/>
      <c r="H704" s="113" t="n"/>
      <c r="I704" s="111" t="n"/>
      <c r="J704" s="114" t="n"/>
      <c r="K704" s="114" t="n"/>
      <c r="L704" s="112" t="n"/>
      <c r="M704" s="112" t="n"/>
      <c r="N704" s="112" t="n"/>
      <c r="O704" s="115" t="str">
        <f>IF(OR(D704="",F704=""),"",D704+F704)</f>
        <v/>
      </c>
      <c r="P704" s="116" t="str">
        <f>IF(O704="","",IF(ISNUMBER(M704),O704-M704,IF(OR(H704="DECISÃO D.P",ISNUMBER(N704)),"",O704-TODAY())))</f>
        <v/>
      </c>
      <c r="Q704" s="117" t="str">
        <f>IF(B704="","",IF(ISNUMBER(N704),"DECIDIDO – ","")&amp;IF(ISNUMBER(M704),IF(P704="",IF(F704="","INFORMAR PRAZO","SEM DATA"),IF(P704&gt;=0,"DEFESA NO PRAZO","DEFESA FORA DO PRAZO")),IF(OR(H704="DECISÃO D.P",ISNUMBER(N704)),"SEM DEFESA",IF(H704="","SEM STATUS",IF(F704="","INFORMAR PRAZO",IF(P704="","SEM DATA",IF(P704&lt;0,"VENCIDO",IF(P704&lt;=DiasAlerta,"VENCE EM BREVE","NO PRAZO"))))))))</f>
        <v/>
      </c>
      <c r="R704" s="118" t="str">
        <f>IF(D704="","",TODAY()-D704)</f>
        <v/>
      </c>
      <c r="S704" s="111" t="n"/>
    </row>
    <row r="705" ht="18" customHeight="1">
      <c r="A705" s="110" t="n"/>
      <c r="B705" s="111" t="n"/>
      <c r="C705" s="111" t="n"/>
      <c r="D705" s="112" t="n"/>
      <c r="E705" s="111" t="n"/>
      <c r="F705" s="110" t="n"/>
      <c r="G705" s="113" t="n"/>
      <c r="H705" s="113" t="n"/>
      <c r="I705" s="111" t="n"/>
      <c r="J705" s="114" t="n"/>
      <c r="K705" s="114" t="n"/>
      <c r="L705" s="112" t="n"/>
      <c r="M705" s="112" t="n"/>
      <c r="N705" s="112" t="n"/>
      <c r="O705" s="115" t="str">
        <f>IF(OR(D705="",F705=""),"",D705+F705)</f>
        <v/>
      </c>
      <c r="P705" s="116" t="str">
        <f>IF(O705="","",IF(ISNUMBER(M705),O705-M705,IF(OR(H705="DECISÃO D.P",ISNUMBER(N705)),"",O705-TODAY())))</f>
        <v/>
      </c>
      <c r="Q705" s="117" t="str">
        <f>IF(B705="","",IF(ISNUMBER(N705),"DECIDIDO – ","")&amp;IF(ISNUMBER(M705),IF(P705="",IF(F705="","INFORMAR PRAZO","SEM DATA"),IF(P705&gt;=0,"DEFESA NO PRAZO","DEFESA FORA DO PRAZO")),IF(OR(H705="DECISÃO D.P",ISNUMBER(N705)),"SEM DEFESA",IF(H705="","SEM STATUS",IF(F705="","INFORMAR PRAZO",IF(P705="","SEM DATA",IF(P705&lt;0,"VENCIDO",IF(P705&lt;=DiasAlerta,"VENCE EM BREVE","NO PRAZO"))))))))</f>
        <v/>
      </c>
      <c r="R705" s="118" t="str">
        <f>IF(D705="","",TODAY()-D705)</f>
        <v/>
      </c>
      <c r="S705" s="111" t="n"/>
    </row>
    <row r="706" ht="18" customHeight="1">
      <c r="A706" s="110" t="n"/>
      <c r="B706" s="111" t="n"/>
      <c r="C706" s="111" t="n"/>
      <c r="D706" s="112" t="n"/>
      <c r="E706" s="111" t="n"/>
      <c r="F706" s="110" t="n"/>
      <c r="G706" s="113" t="n"/>
      <c r="H706" s="113" t="n"/>
      <c r="I706" s="111" t="n"/>
      <c r="J706" s="114" t="n"/>
      <c r="K706" s="114" t="n"/>
      <c r="L706" s="112" t="n"/>
      <c r="M706" s="112" t="n"/>
      <c r="N706" s="112" t="n"/>
      <c r="O706" s="115" t="str">
        <f>IF(OR(D706="",F706=""),"",D706+F706)</f>
        <v/>
      </c>
      <c r="P706" s="116" t="str">
        <f>IF(O706="","",IF(ISNUMBER(M706),O706-M706,IF(OR(H706="DECISÃO D.P",ISNUMBER(N706)),"",O706-TODAY())))</f>
        <v/>
      </c>
      <c r="Q706" s="117" t="str">
        <f>IF(B706="","",IF(ISNUMBER(N706),"DECIDIDO – ","")&amp;IF(ISNUMBER(M706),IF(P706="",IF(F706="","INFORMAR PRAZO","SEM DATA"),IF(P706&gt;=0,"DEFESA NO PRAZO","DEFESA FORA DO PRAZO")),IF(OR(H706="DECISÃO D.P",ISNUMBER(N706)),"SEM DEFESA",IF(H706="","SEM STATUS",IF(F706="","INFORMAR PRAZO",IF(P706="","SEM DATA",IF(P706&lt;0,"VENCIDO",IF(P706&lt;=DiasAlerta,"VENCE EM BREVE","NO PRAZO"))))))))</f>
        <v/>
      </c>
      <c r="R706" s="118" t="str">
        <f>IF(D706="","",TODAY()-D706)</f>
        <v/>
      </c>
      <c r="S706" s="111" t="n"/>
    </row>
    <row r="707" ht="18" customHeight="1">
      <c r="A707" s="110" t="n"/>
      <c r="B707" s="111" t="n"/>
      <c r="C707" s="111" t="n"/>
      <c r="D707" s="112" t="n"/>
      <c r="E707" s="111" t="n"/>
      <c r="F707" s="110" t="n"/>
      <c r="G707" s="113" t="n"/>
      <c r="H707" s="113" t="n"/>
      <c r="I707" s="111" t="n"/>
      <c r="J707" s="114" t="n"/>
      <c r="K707" s="114" t="n"/>
      <c r="L707" s="112" t="n"/>
      <c r="M707" s="112" t="n"/>
      <c r="N707" s="112" t="n"/>
      <c r="O707" s="115" t="str">
        <f>IF(OR(D707="",F707=""),"",D707+F707)</f>
        <v/>
      </c>
      <c r="P707" s="116" t="str">
        <f>IF(O707="","",IF(ISNUMBER(M707),O707-M707,IF(OR(H707="DECISÃO D.P",ISNUMBER(N707)),"",O707-TODAY())))</f>
        <v/>
      </c>
      <c r="Q707" s="117" t="str">
        <f>IF(B707="","",IF(ISNUMBER(N707),"DECIDIDO – ","")&amp;IF(ISNUMBER(M707),IF(P707="",IF(F707="","INFORMAR PRAZO","SEM DATA"),IF(P707&gt;=0,"DEFESA NO PRAZO","DEFESA FORA DO PRAZO")),IF(OR(H707="DECISÃO D.P",ISNUMBER(N707)),"SEM DEFESA",IF(H707="","SEM STATUS",IF(F707="","INFORMAR PRAZO",IF(P707="","SEM DATA",IF(P707&lt;0,"VENCIDO",IF(P707&lt;=DiasAlerta,"VENCE EM BREVE","NO PRAZO"))))))))</f>
        <v/>
      </c>
      <c r="R707" s="118" t="str">
        <f>IF(D707="","",TODAY()-D707)</f>
        <v/>
      </c>
      <c r="S707" s="111" t="n"/>
    </row>
    <row r="708" ht="18" customHeight="1">
      <c r="A708" s="110" t="n"/>
      <c r="B708" s="111" t="n"/>
      <c r="C708" s="111" t="n"/>
      <c r="D708" s="112" t="n"/>
      <c r="E708" s="111" t="n"/>
      <c r="F708" s="110" t="n"/>
      <c r="G708" s="113" t="n"/>
      <c r="H708" s="113" t="n"/>
      <c r="I708" s="111" t="n"/>
      <c r="J708" s="114" t="n"/>
      <c r="K708" s="114" t="n"/>
      <c r="L708" s="112" t="n"/>
      <c r="M708" s="112" t="n"/>
      <c r="N708" s="112" t="n"/>
      <c r="O708" s="115" t="str">
        <f>IF(OR(D708="",F708=""),"",D708+F708)</f>
        <v/>
      </c>
      <c r="P708" s="116" t="str">
        <f>IF(O708="","",IF(ISNUMBER(M708),O708-M708,IF(OR(H708="DECISÃO D.P",ISNUMBER(N708)),"",O708-TODAY())))</f>
        <v/>
      </c>
      <c r="Q708" s="117" t="str">
        <f>IF(B708="","",IF(ISNUMBER(N708),"DECIDIDO – ","")&amp;IF(ISNUMBER(M708),IF(P708="",IF(F708="","INFORMAR PRAZO","SEM DATA"),IF(P708&gt;=0,"DEFESA NO PRAZO","DEFESA FORA DO PRAZO")),IF(OR(H708="DECISÃO D.P",ISNUMBER(N708)),"SEM DEFESA",IF(H708="","SEM STATUS",IF(F708="","INFORMAR PRAZO",IF(P708="","SEM DATA",IF(P708&lt;0,"VENCIDO",IF(P708&lt;=DiasAlerta,"VENCE EM BREVE","NO PRAZO"))))))))</f>
        <v/>
      </c>
      <c r="R708" s="118" t="str">
        <f>IF(D708="","",TODAY()-D708)</f>
        <v/>
      </c>
      <c r="S708" s="111" t="n"/>
    </row>
    <row r="709" ht="18" customHeight="1">
      <c r="A709" s="110" t="n"/>
      <c r="B709" s="111" t="n"/>
      <c r="C709" s="111" t="n"/>
      <c r="D709" s="112" t="n"/>
      <c r="E709" s="111" t="n"/>
      <c r="F709" s="110" t="n"/>
      <c r="G709" s="113" t="n"/>
      <c r="H709" s="113" t="n"/>
      <c r="I709" s="111" t="n"/>
      <c r="J709" s="114" t="n"/>
      <c r="K709" s="114" t="n"/>
      <c r="L709" s="112" t="n"/>
      <c r="M709" s="112" t="n"/>
      <c r="N709" s="112" t="n"/>
      <c r="O709" s="115" t="str">
        <f>IF(OR(D709="",F709=""),"",D709+F709)</f>
        <v/>
      </c>
      <c r="P709" s="116" t="str">
        <f>IF(O709="","",IF(ISNUMBER(M709),O709-M709,IF(OR(H709="DECISÃO D.P",ISNUMBER(N709)),"",O709-TODAY())))</f>
        <v/>
      </c>
      <c r="Q709" s="117" t="str">
        <f>IF(B709="","",IF(ISNUMBER(N709),"DECIDIDO – ","")&amp;IF(ISNUMBER(M709),IF(P709="",IF(F709="","INFORMAR PRAZO","SEM DATA"),IF(P709&gt;=0,"DEFESA NO PRAZO","DEFESA FORA DO PRAZO")),IF(OR(H709="DECISÃO D.P",ISNUMBER(N709)),"SEM DEFESA",IF(H709="","SEM STATUS",IF(F709="","INFORMAR PRAZO",IF(P709="","SEM DATA",IF(P709&lt;0,"VENCIDO",IF(P709&lt;=DiasAlerta,"VENCE EM BREVE","NO PRAZO"))))))))</f>
        <v/>
      </c>
      <c r="R709" s="118" t="str">
        <f>IF(D709="","",TODAY()-D709)</f>
        <v/>
      </c>
      <c r="S709" s="111" t="n"/>
    </row>
    <row r="710" ht="18" customHeight="1">
      <c r="A710" s="110" t="n"/>
      <c r="B710" s="111" t="n"/>
      <c r="C710" s="111" t="n"/>
      <c r="D710" s="112" t="n"/>
      <c r="E710" s="111" t="n"/>
      <c r="F710" s="110" t="n"/>
      <c r="G710" s="113" t="n"/>
      <c r="H710" s="113" t="n"/>
      <c r="I710" s="111" t="n"/>
      <c r="J710" s="114" t="n"/>
      <c r="K710" s="114" t="n"/>
      <c r="L710" s="112" t="n"/>
      <c r="M710" s="112" t="n"/>
      <c r="N710" s="112" t="n"/>
      <c r="O710" s="115" t="str">
        <f>IF(OR(D710="",F710=""),"",D710+F710)</f>
        <v/>
      </c>
      <c r="P710" s="116" t="str">
        <f>IF(O710="","",IF(ISNUMBER(M710),O710-M710,IF(OR(H710="DECISÃO D.P",ISNUMBER(N710)),"",O710-TODAY())))</f>
        <v/>
      </c>
      <c r="Q710" s="117" t="str">
        <f>IF(B710="","",IF(ISNUMBER(N710),"DECIDIDO – ","")&amp;IF(ISNUMBER(M710),IF(P710="",IF(F710="","INFORMAR PRAZO","SEM DATA"),IF(P710&gt;=0,"DEFESA NO PRAZO","DEFESA FORA DO PRAZO")),IF(OR(H710="DECISÃO D.P",ISNUMBER(N710)),"SEM DEFESA",IF(H710="","SEM STATUS",IF(F710="","INFORMAR PRAZO",IF(P710="","SEM DATA",IF(P710&lt;0,"VENCIDO",IF(P710&lt;=DiasAlerta,"VENCE EM BREVE","NO PRAZO"))))))))</f>
        <v/>
      </c>
      <c r="R710" s="118" t="str">
        <f>IF(D710="","",TODAY()-D710)</f>
        <v/>
      </c>
      <c r="S710" s="111" t="n"/>
    </row>
    <row r="711" ht="18" customHeight="1">
      <c r="A711" s="110" t="n"/>
      <c r="B711" s="111" t="n"/>
      <c r="C711" s="111" t="n"/>
      <c r="D711" s="112" t="n"/>
      <c r="E711" s="111" t="n"/>
      <c r="F711" s="110" t="n"/>
      <c r="G711" s="113" t="n"/>
      <c r="H711" s="113" t="n"/>
      <c r="I711" s="111" t="n"/>
      <c r="J711" s="114" t="n"/>
      <c r="K711" s="114" t="n"/>
      <c r="L711" s="112" t="n"/>
      <c r="M711" s="112" t="n"/>
      <c r="N711" s="112" t="n"/>
      <c r="O711" s="115" t="str">
        <f>IF(OR(D711="",F711=""),"",D711+F711)</f>
        <v/>
      </c>
      <c r="P711" s="116" t="str">
        <f>IF(O711="","",IF(ISNUMBER(M711),O711-M711,IF(OR(H711="DECISÃO D.P",ISNUMBER(N711)),"",O711-TODAY())))</f>
        <v/>
      </c>
      <c r="Q711" s="117" t="str">
        <f>IF(B711="","",IF(ISNUMBER(N711),"DECIDIDO – ","")&amp;IF(ISNUMBER(M711),IF(P711="",IF(F711="","INFORMAR PRAZO","SEM DATA"),IF(P711&gt;=0,"DEFESA NO PRAZO","DEFESA FORA DO PRAZO")),IF(OR(H711="DECISÃO D.P",ISNUMBER(N711)),"SEM DEFESA",IF(H711="","SEM STATUS",IF(F711="","INFORMAR PRAZO",IF(P711="","SEM DATA",IF(P711&lt;0,"VENCIDO",IF(P711&lt;=DiasAlerta,"VENCE EM BREVE","NO PRAZO"))))))))</f>
        <v/>
      </c>
      <c r="R711" s="118" t="str">
        <f>IF(D711="","",TODAY()-D711)</f>
        <v/>
      </c>
      <c r="S711" s="111" t="n"/>
    </row>
    <row r="712" ht="18" customHeight="1">
      <c r="A712" s="110" t="n"/>
      <c r="B712" s="111" t="n"/>
      <c r="C712" s="111" t="n"/>
      <c r="D712" s="112" t="n"/>
      <c r="E712" s="111" t="n"/>
      <c r="F712" s="110" t="n"/>
      <c r="G712" s="113" t="n"/>
      <c r="H712" s="113" t="n"/>
      <c r="I712" s="111" t="n"/>
      <c r="J712" s="114" t="n"/>
      <c r="K712" s="114" t="n"/>
      <c r="L712" s="112" t="n"/>
      <c r="M712" s="112" t="n"/>
      <c r="N712" s="112" t="n"/>
      <c r="O712" s="115" t="str">
        <f>IF(OR(D712="",F712=""),"",D712+F712)</f>
        <v/>
      </c>
      <c r="P712" s="116" t="str">
        <f>IF(O712="","",IF(ISNUMBER(M712),O712-M712,IF(OR(H712="DECISÃO D.P",ISNUMBER(N712)),"",O712-TODAY())))</f>
        <v/>
      </c>
      <c r="Q712" s="117" t="str">
        <f>IF(B712="","",IF(ISNUMBER(N712),"DECIDIDO – ","")&amp;IF(ISNUMBER(M712),IF(P712="",IF(F712="","INFORMAR PRAZO","SEM DATA"),IF(P712&gt;=0,"DEFESA NO PRAZO","DEFESA FORA DO PRAZO")),IF(OR(H712="DECISÃO D.P",ISNUMBER(N712)),"SEM DEFESA",IF(H712="","SEM STATUS",IF(F712="","INFORMAR PRAZO",IF(P712="","SEM DATA",IF(P712&lt;0,"VENCIDO",IF(P712&lt;=DiasAlerta,"VENCE EM BREVE","NO PRAZO"))))))))</f>
        <v/>
      </c>
      <c r="R712" s="118" t="str">
        <f>IF(D712="","",TODAY()-D712)</f>
        <v/>
      </c>
      <c r="S712" s="111" t="n"/>
    </row>
    <row r="713" ht="18" customHeight="1">
      <c r="A713" s="110" t="n"/>
      <c r="B713" s="111" t="n"/>
      <c r="C713" s="111" t="n"/>
      <c r="D713" s="112" t="n"/>
      <c r="E713" s="111" t="n"/>
      <c r="F713" s="110" t="n"/>
      <c r="G713" s="113" t="n"/>
      <c r="H713" s="113" t="n"/>
      <c r="I713" s="111" t="n"/>
      <c r="J713" s="114" t="n"/>
      <c r="K713" s="114" t="n"/>
      <c r="L713" s="112" t="n"/>
      <c r="M713" s="112" t="n"/>
      <c r="N713" s="112" t="n"/>
      <c r="O713" s="115" t="str">
        <f>IF(OR(D713="",F713=""),"",D713+F713)</f>
        <v/>
      </c>
      <c r="P713" s="116" t="str">
        <f>IF(O713="","",IF(ISNUMBER(M713),O713-M713,IF(OR(H713="DECISÃO D.P",ISNUMBER(N713)),"",O713-TODAY())))</f>
        <v/>
      </c>
      <c r="Q713" s="117" t="str">
        <f>IF(B713="","",IF(ISNUMBER(N713),"DECIDIDO – ","")&amp;IF(ISNUMBER(M713),IF(P713="",IF(F713="","INFORMAR PRAZO","SEM DATA"),IF(P713&gt;=0,"DEFESA NO PRAZO","DEFESA FORA DO PRAZO")),IF(OR(H713="DECISÃO D.P",ISNUMBER(N713)),"SEM DEFESA",IF(H713="","SEM STATUS",IF(F713="","INFORMAR PRAZO",IF(P713="","SEM DATA",IF(P713&lt;0,"VENCIDO",IF(P713&lt;=DiasAlerta,"VENCE EM BREVE","NO PRAZO"))))))))</f>
        <v/>
      </c>
      <c r="R713" s="118" t="str">
        <f>IF(D713="","",TODAY()-D713)</f>
        <v/>
      </c>
      <c r="S713" s="111" t="n"/>
    </row>
    <row r="714" ht="18" customHeight="1">
      <c r="A714" s="110" t="n"/>
      <c r="B714" s="111" t="n"/>
      <c r="C714" s="111" t="n"/>
      <c r="D714" s="112" t="n"/>
      <c r="E714" s="111" t="n"/>
      <c r="F714" s="110" t="n"/>
      <c r="G714" s="113" t="n"/>
      <c r="H714" s="113" t="n"/>
      <c r="I714" s="111" t="n"/>
      <c r="J714" s="114" t="n"/>
      <c r="K714" s="114" t="n"/>
      <c r="L714" s="112" t="n"/>
      <c r="M714" s="112" t="n"/>
      <c r="N714" s="112" t="n"/>
      <c r="O714" s="115" t="str">
        <f>IF(OR(D714="",F714=""),"",D714+F714)</f>
        <v/>
      </c>
      <c r="P714" s="116" t="str">
        <f>IF(O714="","",IF(ISNUMBER(M714),O714-M714,IF(OR(H714="DECISÃO D.P",ISNUMBER(N714)),"",O714-TODAY())))</f>
        <v/>
      </c>
      <c r="Q714" s="117" t="str">
        <f>IF(B714="","",IF(ISNUMBER(N714),"DECIDIDO – ","")&amp;IF(ISNUMBER(M714),IF(P714="",IF(F714="","INFORMAR PRAZO","SEM DATA"),IF(P714&gt;=0,"DEFESA NO PRAZO","DEFESA FORA DO PRAZO")),IF(OR(H714="DECISÃO D.P",ISNUMBER(N714)),"SEM DEFESA",IF(H714="","SEM STATUS",IF(F714="","INFORMAR PRAZO",IF(P714="","SEM DATA",IF(P714&lt;0,"VENCIDO",IF(P714&lt;=DiasAlerta,"VENCE EM BREVE","NO PRAZO"))))))))</f>
        <v/>
      </c>
      <c r="R714" s="118" t="str">
        <f>IF(D714="","",TODAY()-D714)</f>
        <v/>
      </c>
      <c r="S714" s="111" t="n"/>
    </row>
    <row r="715" ht="18" customHeight="1">
      <c r="A715" s="110" t="n"/>
      <c r="B715" s="111" t="n"/>
      <c r="C715" s="111" t="n"/>
      <c r="D715" s="112" t="n"/>
      <c r="E715" s="111" t="n"/>
      <c r="F715" s="110" t="n"/>
      <c r="G715" s="113" t="n"/>
      <c r="H715" s="113" t="n"/>
      <c r="I715" s="111" t="n"/>
      <c r="J715" s="114" t="n"/>
      <c r="K715" s="114" t="n"/>
      <c r="L715" s="112" t="n"/>
      <c r="M715" s="112" t="n"/>
      <c r="N715" s="112" t="n"/>
      <c r="O715" s="115" t="str">
        <f>IF(OR(D715="",F715=""),"",D715+F715)</f>
        <v/>
      </c>
      <c r="P715" s="116" t="str">
        <f>IF(O715="","",IF(ISNUMBER(M715),O715-M715,IF(OR(H715="DECISÃO D.P",ISNUMBER(N715)),"",O715-TODAY())))</f>
        <v/>
      </c>
      <c r="Q715" s="117" t="str">
        <f>IF(B715="","",IF(ISNUMBER(N715),"DECIDIDO – ","")&amp;IF(ISNUMBER(M715),IF(P715="",IF(F715="","INFORMAR PRAZO","SEM DATA"),IF(P715&gt;=0,"DEFESA NO PRAZO","DEFESA FORA DO PRAZO")),IF(OR(H715="DECISÃO D.P",ISNUMBER(N715)),"SEM DEFESA",IF(H715="","SEM STATUS",IF(F715="","INFORMAR PRAZO",IF(P715="","SEM DATA",IF(P715&lt;0,"VENCIDO",IF(P715&lt;=DiasAlerta,"VENCE EM BREVE","NO PRAZO"))))))))</f>
        <v/>
      </c>
      <c r="R715" s="118" t="str">
        <f>IF(D715="","",TODAY()-D715)</f>
        <v/>
      </c>
      <c r="S715" s="111" t="n"/>
    </row>
    <row r="716" ht="18" customHeight="1">
      <c r="A716" s="110" t="n"/>
      <c r="B716" s="111" t="n"/>
      <c r="C716" s="111" t="n"/>
      <c r="D716" s="112" t="n"/>
      <c r="E716" s="111" t="n"/>
      <c r="F716" s="110" t="n"/>
      <c r="G716" s="113" t="n"/>
      <c r="H716" s="113" t="n"/>
      <c r="I716" s="111" t="n"/>
      <c r="J716" s="114" t="n"/>
      <c r="K716" s="114" t="n"/>
      <c r="L716" s="112" t="n"/>
      <c r="M716" s="112" t="n"/>
      <c r="N716" s="112" t="n"/>
      <c r="O716" s="115" t="str">
        <f>IF(OR(D716="",F716=""),"",D716+F716)</f>
        <v/>
      </c>
      <c r="P716" s="116" t="str">
        <f>IF(O716="","",IF(ISNUMBER(M716),O716-M716,IF(OR(H716="DECISÃO D.P",ISNUMBER(N716)),"",O716-TODAY())))</f>
        <v/>
      </c>
      <c r="Q716" s="117" t="str">
        <f>IF(B716="","",IF(ISNUMBER(N716),"DECIDIDO – ","")&amp;IF(ISNUMBER(M716),IF(P716="",IF(F716="","INFORMAR PRAZO","SEM DATA"),IF(P716&gt;=0,"DEFESA NO PRAZO","DEFESA FORA DO PRAZO")),IF(OR(H716="DECISÃO D.P",ISNUMBER(N716)),"SEM DEFESA",IF(H716="","SEM STATUS",IF(F716="","INFORMAR PRAZO",IF(P716="","SEM DATA",IF(P716&lt;0,"VENCIDO",IF(P716&lt;=DiasAlerta,"VENCE EM BREVE","NO PRAZO"))))))))</f>
        <v/>
      </c>
      <c r="R716" s="118" t="str">
        <f>IF(D716="","",TODAY()-D716)</f>
        <v/>
      </c>
      <c r="S716" s="111" t="n"/>
    </row>
    <row r="717" ht="18" customHeight="1">
      <c r="A717" s="110" t="n"/>
      <c r="B717" s="111" t="n"/>
      <c r="C717" s="111" t="n"/>
      <c r="D717" s="112" t="n"/>
      <c r="E717" s="111" t="n"/>
      <c r="F717" s="110" t="n"/>
      <c r="G717" s="113" t="n"/>
      <c r="H717" s="113" t="n"/>
      <c r="I717" s="111" t="n"/>
      <c r="J717" s="114" t="n"/>
      <c r="K717" s="114" t="n"/>
      <c r="L717" s="112" t="n"/>
      <c r="M717" s="112" t="n"/>
      <c r="N717" s="112" t="n"/>
      <c r="O717" s="115" t="str">
        <f>IF(OR(D717="",F717=""),"",D717+F717)</f>
        <v/>
      </c>
      <c r="P717" s="116" t="str">
        <f>IF(O717="","",IF(ISNUMBER(M717),O717-M717,IF(OR(H717="DECISÃO D.P",ISNUMBER(N717)),"",O717-TODAY())))</f>
        <v/>
      </c>
      <c r="Q717" s="117" t="str">
        <f>IF(B717="","",IF(ISNUMBER(N717),"DECIDIDO – ","")&amp;IF(ISNUMBER(M717),IF(P717="",IF(F717="","INFORMAR PRAZO","SEM DATA"),IF(P717&gt;=0,"DEFESA NO PRAZO","DEFESA FORA DO PRAZO")),IF(OR(H717="DECISÃO D.P",ISNUMBER(N717)),"SEM DEFESA",IF(H717="","SEM STATUS",IF(F717="","INFORMAR PRAZO",IF(P717="","SEM DATA",IF(P717&lt;0,"VENCIDO",IF(P717&lt;=DiasAlerta,"VENCE EM BREVE","NO PRAZO"))))))))</f>
        <v/>
      </c>
      <c r="R717" s="118" t="str">
        <f>IF(D717="","",TODAY()-D717)</f>
        <v/>
      </c>
      <c r="S717" s="111" t="n"/>
    </row>
    <row r="718" ht="18" customHeight="1">
      <c r="A718" s="110" t="n"/>
      <c r="B718" s="111" t="n"/>
      <c r="C718" s="111" t="n"/>
      <c r="D718" s="112" t="n"/>
      <c r="E718" s="111" t="n"/>
      <c r="F718" s="110" t="n"/>
      <c r="G718" s="113" t="n"/>
      <c r="H718" s="113" t="n"/>
      <c r="I718" s="111" t="n"/>
      <c r="J718" s="114" t="n"/>
      <c r="K718" s="114" t="n"/>
      <c r="L718" s="112" t="n"/>
      <c r="M718" s="112" t="n"/>
      <c r="N718" s="112" t="n"/>
      <c r="O718" s="115" t="str">
        <f>IF(OR(D718="",F718=""),"",D718+F718)</f>
        <v/>
      </c>
      <c r="P718" s="116" t="str">
        <f>IF(O718="","",IF(ISNUMBER(M718),O718-M718,IF(OR(H718="DECISÃO D.P",ISNUMBER(N718)),"",O718-TODAY())))</f>
        <v/>
      </c>
      <c r="Q718" s="117" t="str">
        <f>IF(B718="","",IF(ISNUMBER(N718),"DECIDIDO – ","")&amp;IF(ISNUMBER(M718),IF(P718="",IF(F718="","INFORMAR PRAZO","SEM DATA"),IF(P718&gt;=0,"DEFESA NO PRAZO","DEFESA FORA DO PRAZO")),IF(OR(H718="DECISÃO D.P",ISNUMBER(N718)),"SEM DEFESA",IF(H718="","SEM STATUS",IF(F718="","INFORMAR PRAZO",IF(P718="","SEM DATA",IF(P718&lt;0,"VENCIDO",IF(P718&lt;=DiasAlerta,"VENCE EM BREVE","NO PRAZO"))))))))</f>
        <v/>
      </c>
      <c r="R718" s="118" t="str">
        <f>IF(D718="","",TODAY()-D718)</f>
        <v/>
      </c>
      <c r="S718" s="111" t="n"/>
    </row>
    <row r="719" ht="18" customHeight="1">
      <c r="A719" s="110" t="n"/>
      <c r="B719" s="111" t="n"/>
      <c r="C719" s="111" t="n"/>
      <c r="D719" s="112" t="n"/>
      <c r="E719" s="111" t="n"/>
      <c r="F719" s="110" t="n"/>
      <c r="G719" s="113" t="n"/>
      <c r="H719" s="113" t="n"/>
      <c r="I719" s="111" t="n"/>
      <c r="J719" s="114" t="n"/>
      <c r="K719" s="114" t="n"/>
      <c r="L719" s="112" t="n"/>
      <c r="M719" s="112" t="n"/>
      <c r="N719" s="112" t="n"/>
      <c r="O719" s="115" t="str">
        <f>IF(OR(D719="",F719=""),"",D719+F719)</f>
        <v/>
      </c>
      <c r="P719" s="116" t="str">
        <f>IF(O719="","",IF(ISNUMBER(M719),O719-M719,IF(OR(H719="DECISÃO D.P",ISNUMBER(N719)),"",O719-TODAY())))</f>
        <v/>
      </c>
      <c r="Q719" s="117" t="str">
        <f>IF(B719="","",IF(ISNUMBER(N719),"DECIDIDO – ","")&amp;IF(ISNUMBER(M719),IF(P719="",IF(F719="","INFORMAR PRAZO","SEM DATA"),IF(P719&gt;=0,"DEFESA NO PRAZO","DEFESA FORA DO PRAZO")),IF(OR(H719="DECISÃO D.P",ISNUMBER(N719)),"SEM DEFESA",IF(H719="","SEM STATUS",IF(F719="","INFORMAR PRAZO",IF(P719="","SEM DATA",IF(P719&lt;0,"VENCIDO",IF(P719&lt;=DiasAlerta,"VENCE EM BREVE","NO PRAZO"))))))))</f>
        <v/>
      </c>
      <c r="R719" s="118" t="str">
        <f>IF(D719="","",TODAY()-D719)</f>
        <v/>
      </c>
      <c r="S719" s="111" t="n"/>
    </row>
    <row r="720" ht="18" customHeight="1">
      <c r="A720" s="110" t="n"/>
      <c r="B720" s="111" t="n"/>
      <c r="C720" s="111" t="n"/>
      <c r="D720" s="112" t="n"/>
      <c r="E720" s="111" t="n"/>
      <c r="F720" s="110" t="n"/>
      <c r="G720" s="113" t="n"/>
      <c r="H720" s="113" t="n"/>
      <c r="I720" s="111" t="n"/>
      <c r="J720" s="114" t="n"/>
      <c r="K720" s="114" t="n"/>
      <c r="L720" s="112" t="n"/>
      <c r="M720" s="112" t="n"/>
      <c r="N720" s="112" t="n"/>
      <c r="O720" s="115" t="str">
        <f>IF(OR(D720="",F720=""),"",D720+F720)</f>
        <v/>
      </c>
      <c r="P720" s="116" t="str">
        <f>IF(O720="","",IF(ISNUMBER(M720),O720-M720,IF(OR(H720="DECISÃO D.P",ISNUMBER(N720)),"",O720-TODAY())))</f>
        <v/>
      </c>
      <c r="Q720" s="117" t="str">
        <f>IF(B720="","",IF(ISNUMBER(N720),"DECIDIDO – ","")&amp;IF(ISNUMBER(M720),IF(P720="",IF(F720="","INFORMAR PRAZO","SEM DATA"),IF(P720&gt;=0,"DEFESA NO PRAZO","DEFESA FORA DO PRAZO")),IF(OR(H720="DECISÃO D.P",ISNUMBER(N720)),"SEM DEFESA",IF(H720="","SEM STATUS",IF(F720="","INFORMAR PRAZO",IF(P720="","SEM DATA",IF(P720&lt;0,"VENCIDO",IF(P720&lt;=DiasAlerta,"VENCE EM BREVE","NO PRAZO"))))))))</f>
        <v/>
      </c>
      <c r="R720" s="118" t="str">
        <f>IF(D720="","",TODAY()-D720)</f>
        <v/>
      </c>
      <c r="S720" s="111" t="n"/>
    </row>
    <row r="721" ht="18" customHeight="1">
      <c r="A721" s="110" t="n"/>
      <c r="B721" s="111" t="n"/>
      <c r="C721" s="111" t="n"/>
      <c r="D721" s="112" t="n"/>
      <c r="E721" s="111" t="n"/>
      <c r="F721" s="110" t="n"/>
      <c r="G721" s="113" t="n"/>
      <c r="H721" s="113" t="n"/>
      <c r="I721" s="111" t="n"/>
      <c r="J721" s="114" t="n"/>
      <c r="K721" s="114" t="n"/>
      <c r="L721" s="112" t="n"/>
      <c r="M721" s="112" t="n"/>
      <c r="N721" s="112" t="n"/>
      <c r="O721" s="115" t="str">
        <f>IF(OR(D721="",F721=""),"",D721+F721)</f>
        <v/>
      </c>
      <c r="P721" s="116" t="str">
        <f>IF(O721="","",IF(ISNUMBER(M721),O721-M721,IF(OR(H721="DECISÃO D.P",ISNUMBER(N721)),"",O721-TODAY())))</f>
        <v/>
      </c>
      <c r="Q721" s="117" t="str">
        <f>IF(B721="","",IF(ISNUMBER(N721),"DECIDIDO – ","")&amp;IF(ISNUMBER(M721),IF(P721="",IF(F721="","INFORMAR PRAZO","SEM DATA"),IF(P721&gt;=0,"DEFESA NO PRAZO","DEFESA FORA DO PRAZO")),IF(OR(H721="DECISÃO D.P",ISNUMBER(N721)),"SEM DEFESA",IF(H721="","SEM STATUS",IF(F721="","INFORMAR PRAZO",IF(P721="","SEM DATA",IF(P721&lt;0,"VENCIDO",IF(P721&lt;=DiasAlerta,"VENCE EM BREVE","NO PRAZO"))))))))</f>
        <v/>
      </c>
      <c r="R721" s="118" t="str">
        <f>IF(D721="","",TODAY()-D721)</f>
        <v/>
      </c>
      <c r="S721" s="111" t="n"/>
    </row>
    <row r="722" ht="18" customHeight="1">
      <c r="A722" s="110" t="n"/>
      <c r="B722" s="111" t="n"/>
      <c r="C722" s="111" t="n"/>
      <c r="D722" s="112" t="n"/>
      <c r="E722" s="111" t="n"/>
      <c r="F722" s="110" t="n"/>
      <c r="G722" s="113" t="n"/>
      <c r="H722" s="113" t="n"/>
      <c r="I722" s="111" t="n"/>
      <c r="J722" s="114" t="n"/>
      <c r="K722" s="114" t="n"/>
      <c r="L722" s="112" t="n"/>
      <c r="M722" s="112" t="n"/>
      <c r="N722" s="112" t="n"/>
      <c r="O722" s="115" t="str">
        <f>IF(OR(D722="",F722=""),"",D722+F722)</f>
        <v/>
      </c>
      <c r="P722" s="116" t="str">
        <f>IF(O722="","",IF(ISNUMBER(M722),O722-M722,IF(OR(H722="DECISÃO D.P",ISNUMBER(N722)),"",O722-TODAY())))</f>
        <v/>
      </c>
      <c r="Q722" s="117" t="str">
        <f>IF(B722="","",IF(ISNUMBER(N722),"DECIDIDO – ","")&amp;IF(ISNUMBER(M722),IF(P722="",IF(F722="","INFORMAR PRAZO","SEM DATA"),IF(P722&gt;=0,"DEFESA NO PRAZO","DEFESA FORA DO PRAZO")),IF(OR(H722="DECISÃO D.P",ISNUMBER(N722)),"SEM DEFESA",IF(H722="","SEM STATUS",IF(F722="","INFORMAR PRAZO",IF(P722="","SEM DATA",IF(P722&lt;0,"VENCIDO",IF(P722&lt;=DiasAlerta,"VENCE EM BREVE","NO PRAZO"))))))))</f>
        <v/>
      </c>
      <c r="R722" s="118" t="str">
        <f>IF(D722="","",TODAY()-D722)</f>
        <v/>
      </c>
      <c r="S722" s="111" t="n"/>
    </row>
    <row r="723" ht="18" customHeight="1">
      <c r="A723" s="110" t="n"/>
      <c r="B723" s="111" t="n"/>
      <c r="C723" s="111" t="n"/>
      <c r="D723" s="112" t="n"/>
      <c r="E723" s="111" t="n"/>
      <c r="F723" s="110" t="n"/>
      <c r="G723" s="113" t="n"/>
      <c r="H723" s="113" t="n"/>
      <c r="I723" s="111" t="n"/>
      <c r="J723" s="114" t="n"/>
      <c r="K723" s="114" t="n"/>
      <c r="L723" s="112" t="n"/>
      <c r="M723" s="112" t="n"/>
      <c r="N723" s="112" t="n"/>
      <c r="O723" s="115" t="str">
        <f>IF(OR(D723="",F723=""),"",D723+F723)</f>
        <v/>
      </c>
      <c r="P723" s="116" t="str">
        <f>IF(O723="","",IF(ISNUMBER(M723),O723-M723,IF(OR(H723="DECISÃO D.P",ISNUMBER(N723)),"",O723-TODAY())))</f>
        <v/>
      </c>
      <c r="Q723" s="117" t="str">
        <f>IF(B723="","",IF(ISNUMBER(N723),"DECIDIDO – ","")&amp;IF(ISNUMBER(M723),IF(P723="",IF(F723="","INFORMAR PRAZO","SEM DATA"),IF(P723&gt;=0,"DEFESA NO PRAZO","DEFESA FORA DO PRAZO")),IF(OR(H723="DECISÃO D.P",ISNUMBER(N723)),"SEM DEFESA",IF(H723="","SEM STATUS",IF(F723="","INFORMAR PRAZO",IF(P723="","SEM DATA",IF(P723&lt;0,"VENCIDO",IF(P723&lt;=DiasAlerta,"VENCE EM BREVE","NO PRAZO"))))))))</f>
        <v/>
      </c>
      <c r="R723" s="118" t="str">
        <f>IF(D723="","",TODAY()-D723)</f>
        <v/>
      </c>
      <c r="S723" s="111" t="n"/>
    </row>
    <row r="724" ht="18" customHeight="1">
      <c r="A724" s="110" t="n"/>
      <c r="B724" s="111" t="n"/>
      <c r="C724" s="111" t="n"/>
      <c r="D724" s="112" t="n"/>
      <c r="E724" s="111" t="n"/>
      <c r="F724" s="110" t="n"/>
      <c r="G724" s="113" t="n"/>
      <c r="H724" s="113" t="n"/>
      <c r="I724" s="111" t="n"/>
      <c r="J724" s="114" t="n"/>
      <c r="K724" s="114" t="n"/>
      <c r="L724" s="112" t="n"/>
      <c r="M724" s="112" t="n"/>
      <c r="N724" s="112" t="n"/>
      <c r="O724" s="115" t="str">
        <f>IF(OR(D724="",F724=""),"",D724+F724)</f>
        <v/>
      </c>
      <c r="P724" s="116" t="str">
        <f>IF(O724="","",IF(ISNUMBER(M724),O724-M724,IF(OR(H724="DECISÃO D.P",ISNUMBER(N724)),"",O724-TODAY())))</f>
        <v/>
      </c>
      <c r="Q724" s="117" t="str">
        <f>IF(B724="","",IF(ISNUMBER(N724),"DECIDIDO – ","")&amp;IF(ISNUMBER(M724),IF(P724="",IF(F724="","INFORMAR PRAZO","SEM DATA"),IF(P724&gt;=0,"DEFESA NO PRAZO","DEFESA FORA DO PRAZO")),IF(OR(H724="DECISÃO D.P",ISNUMBER(N724)),"SEM DEFESA",IF(H724="","SEM STATUS",IF(F724="","INFORMAR PRAZO",IF(P724="","SEM DATA",IF(P724&lt;0,"VENCIDO",IF(P724&lt;=DiasAlerta,"VENCE EM BREVE","NO PRAZO"))))))))</f>
        <v/>
      </c>
      <c r="R724" s="118" t="str">
        <f>IF(D724="","",TODAY()-D724)</f>
        <v/>
      </c>
      <c r="S724" s="111" t="n"/>
    </row>
    <row r="725" ht="18" customHeight="1">
      <c r="A725" s="110" t="n"/>
      <c r="B725" s="111" t="n"/>
      <c r="C725" s="111" t="n"/>
      <c r="D725" s="112" t="n"/>
      <c r="E725" s="111" t="n"/>
      <c r="F725" s="110" t="n"/>
      <c r="G725" s="113" t="n"/>
      <c r="H725" s="113" t="n"/>
      <c r="I725" s="111" t="n"/>
      <c r="J725" s="114" t="n"/>
      <c r="K725" s="114" t="n"/>
      <c r="L725" s="112" t="n"/>
      <c r="M725" s="112" t="n"/>
      <c r="N725" s="112" t="n"/>
      <c r="O725" s="115" t="str">
        <f>IF(OR(D725="",F725=""),"",D725+F725)</f>
        <v/>
      </c>
      <c r="P725" s="116" t="str">
        <f>IF(O725="","",IF(ISNUMBER(M725),O725-M725,IF(OR(H725="DECISÃO D.P",ISNUMBER(N725)),"",O725-TODAY())))</f>
        <v/>
      </c>
      <c r="Q725" s="117" t="str">
        <f>IF(B725="","",IF(ISNUMBER(N725),"DECIDIDO – ","")&amp;IF(ISNUMBER(M725),IF(P725="",IF(F725="","INFORMAR PRAZO","SEM DATA"),IF(P725&gt;=0,"DEFESA NO PRAZO","DEFESA FORA DO PRAZO")),IF(OR(H725="DECISÃO D.P",ISNUMBER(N725)),"SEM DEFESA",IF(H725="","SEM STATUS",IF(F725="","INFORMAR PRAZO",IF(P725="","SEM DATA",IF(P725&lt;0,"VENCIDO",IF(P725&lt;=DiasAlerta,"VENCE EM BREVE","NO PRAZO"))))))))</f>
        <v/>
      </c>
      <c r="R725" s="118" t="str">
        <f>IF(D725="","",TODAY()-D725)</f>
        <v/>
      </c>
      <c r="S725" s="111" t="n"/>
    </row>
    <row r="726" ht="18" customHeight="1">
      <c r="A726" s="110" t="n"/>
      <c r="B726" s="111" t="n"/>
      <c r="C726" s="111" t="n"/>
      <c r="D726" s="112" t="n"/>
      <c r="E726" s="111" t="n"/>
      <c r="F726" s="110" t="n"/>
      <c r="G726" s="113" t="n"/>
      <c r="H726" s="113" t="n"/>
      <c r="I726" s="111" t="n"/>
      <c r="J726" s="114" t="n"/>
      <c r="K726" s="114" t="n"/>
      <c r="L726" s="112" t="n"/>
      <c r="M726" s="112" t="n"/>
      <c r="N726" s="112" t="n"/>
      <c r="O726" s="115" t="str">
        <f>IF(OR(D726="",F726=""),"",D726+F726)</f>
        <v/>
      </c>
      <c r="P726" s="116" t="str">
        <f>IF(O726="","",IF(ISNUMBER(M726),O726-M726,IF(OR(H726="DECISÃO D.P",ISNUMBER(N726)),"",O726-TODAY())))</f>
        <v/>
      </c>
      <c r="Q726" s="117" t="str">
        <f>IF(B726="","",IF(ISNUMBER(N726),"DECIDIDO – ","")&amp;IF(ISNUMBER(M726),IF(P726="",IF(F726="","INFORMAR PRAZO","SEM DATA"),IF(P726&gt;=0,"DEFESA NO PRAZO","DEFESA FORA DO PRAZO")),IF(OR(H726="DECISÃO D.P",ISNUMBER(N726)),"SEM DEFESA",IF(H726="","SEM STATUS",IF(F726="","INFORMAR PRAZO",IF(P726="","SEM DATA",IF(P726&lt;0,"VENCIDO",IF(P726&lt;=DiasAlerta,"VENCE EM BREVE","NO PRAZO"))))))))</f>
        <v/>
      </c>
      <c r="R726" s="118" t="str">
        <f>IF(D726="","",TODAY()-D726)</f>
        <v/>
      </c>
      <c r="S726" s="111" t="n"/>
    </row>
    <row r="727" ht="18" customHeight="1">
      <c r="A727" s="110" t="n"/>
      <c r="B727" s="111" t="n"/>
      <c r="C727" s="111" t="n"/>
      <c r="D727" s="112" t="n"/>
      <c r="E727" s="111" t="n"/>
      <c r="F727" s="110" t="n"/>
      <c r="G727" s="113" t="n"/>
      <c r="H727" s="113" t="n"/>
      <c r="I727" s="111" t="n"/>
      <c r="J727" s="114" t="n"/>
      <c r="K727" s="114" t="n"/>
      <c r="L727" s="112" t="n"/>
      <c r="M727" s="112" t="n"/>
      <c r="N727" s="112" t="n"/>
      <c r="O727" s="115" t="str">
        <f>IF(OR(D727="",F727=""),"",D727+F727)</f>
        <v/>
      </c>
      <c r="P727" s="116" t="str">
        <f>IF(O727="","",IF(ISNUMBER(M727),O727-M727,IF(OR(H727="DECISÃO D.P",ISNUMBER(N727)),"",O727-TODAY())))</f>
        <v/>
      </c>
      <c r="Q727" s="117" t="str">
        <f>IF(B727="","",IF(ISNUMBER(N727),"DECIDIDO – ","")&amp;IF(ISNUMBER(M727),IF(P727="",IF(F727="","INFORMAR PRAZO","SEM DATA"),IF(P727&gt;=0,"DEFESA NO PRAZO","DEFESA FORA DO PRAZO")),IF(OR(H727="DECISÃO D.P",ISNUMBER(N727)),"SEM DEFESA",IF(H727="","SEM STATUS",IF(F727="","INFORMAR PRAZO",IF(P727="","SEM DATA",IF(P727&lt;0,"VENCIDO",IF(P727&lt;=DiasAlerta,"VENCE EM BREVE","NO PRAZO"))))))))</f>
        <v/>
      </c>
      <c r="R727" s="118" t="str">
        <f>IF(D727="","",TODAY()-D727)</f>
        <v/>
      </c>
      <c r="S727" s="111" t="n"/>
    </row>
    <row r="728" ht="18" customHeight="1">
      <c r="A728" s="110" t="n"/>
      <c r="B728" s="111" t="n"/>
      <c r="C728" s="111" t="n"/>
      <c r="D728" s="112" t="n"/>
      <c r="E728" s="111" t="n"/>
      <c r="F728" s="110" t="n"/>
      <c r="G728" s="113" t="n"/>
      <c r="H728" s="113" t="n"/>
      <c r="I728" s="111" t="n"/>
      <c r="J728" s="114" t="n"/>
      <c r="K728" s="114" t="n"/>
      <c r="L728" s="112" t="n"/>
      <c r="M728" s="112" t="n"/>
      <c r="N728" s="112" t="n"/>
      <c r="O728" s="115" t="str">
        <f>IF(OR(D728="",F728=""),"",D728+F728)</f>
        <v/>
      </c>
      <c r="P728" s="116" t="str">
        <f>IF(O728="","",IF(ISNUMBER(M728),O728-M728,IF(OR(H728="DECISÃO D.P",ISNUMBER(N728)),"",O728-TODAY())))</f>
        <v/>
      </c>
      <c r="Q728" s="117" t="str">
        <f>IF(B728="","",IF(ISNUMBER(N728),"DECIDIDO – ","")&amp;IF(ISNUMBER(M728),IF(P728="",IF(F728="","INFORMAR PRAZO","SEM DATA"),IF(P728&gt;=0,"DEFESA NO PRAZO","DEFESA FORA DO PRAZO")),IF(OR(H728="DECISÃO D.P",ISNUMBER(N728)),"SEM DEFESA",IF(H728="","SEM STATUS",IF(F728="","INFORMAR PRAZO",IF(P728="","SEM DATA",IF(P728&lt;0,"VENCIDO",IF(P728&lt;=DiasAlerta,"VENCE EM BREVE","NO PRAZO"))))))))</f>
        <v/>
      </c>
      <c r="R728" s="118" t="str">
        <f>IF(D728="","",TODAY()-D728)</f>
        <v/>
      </c>
      <c r="S728" s="111" t="n"/>
    </row>
    <row r="729" ht="18" customHeight="1">
      <c r="A729" s="110" t="n"/>
      <c r="B729" s="111" t="n"/>
      <c r="C729" s="111" t="n"/>
      <c r="D729" s="112" t="n"/>
      <c r="E729" s="111" t="n"/>
      <c r="F729" s="110" t="n"/>
      <c r="G729" s="113" t="n"/>
      <c r="H729" s="113" t="n"/>
      <c r="I729" s="111" t="n"/>
      <c r="J729" s="114" t="n"/>
      <c r="K729" s="114" t="n"/>
      <c r="L729" s="112" t="n"/>
      <c r="M729" s="112" t="n"/>
      <c r="N729" s="112" t="n"/>
      <c r="O729" s="115" t="str">
        <f>IF(OR(D729="",F729=""),"",D729+F729)</f>
        <v/>
      </c>
      <c r="P729" s="116" t="str">
        <f>IF(O729="","",IF(ISNUMBER(M729),O729-M729,IF(OR(H729="DECISÃO D.P",ISNUMBER(N729)),"",O729-TODAY())))</f>
        <v/>
      </c>
      <c r="Q729" s="117" t="str">
        <f>IF(B729="","",IF(ISNUMBER(N729),"DECIDIDO – ","")&amp;IF(ISNUMBER(M729),IF(P729="",IF(F729="","INFORMAR PRAZO","SEM DATA"),IF(P729&gt;=0,"DEFESA NO PRAZO","DEFESA FORA DO PRAZO")),IF(OR(H729="DECISÃO D.P",ISNUMBER(N729)),"SEM DEFESA",IF(H729="","SEM STATUS",IF(F729="","INFORMAR PRAZO",IF(P729="","SEM DATA",IF(P729&lt;0,"VENCIDO",IF(P729&lt;=DiasAlerta,"VENCE EM BREVE","NO PRAZO"))))))))</f>
        <v/>
      </c>
      <c r="R729" s="118" t="str">
        <f>IF(D729="","",TODAY()-D729)</f>
        <v/>
      </c>
      <c r="S729" s="111" t="n"/>
    </row>
    <row r="730" ht="18" customHeight="1">
      <c r="A730" s="110" t="n"/>
      <c r="B730" s="111" t="n"/>
      <c r="C730" s="111" t="n"/>
      <c r="D730" s="112" t="n"/>
      <c r="E730" s="111" t="n"/>
      <c r="F730" s="110" t="n"/>
      <c r="G730" s="113" t="n"/>
      <c r="H730" s="113" t="n"/>
      <c r="I730" s="111" t="n"/>
      <c r="J730" s="114" t="n"/>
      <c r="K730" s="114" t="n"/>
      <c r="L730" s="112" t="n"/>
      <c r="M730" s="112" t="n"/>
      <c r="N730" s="112" t="n"/>
      <c r="O730" s="115" t="str">
        <f>IF(OR(D730="",F730=""),"",D730+F730)</f>
        <v/>
      </c>
      <c r="P730" s="116" t="str">
        <f>IF(O730="","",IF(ISNUMBER(M730),O730-M730,IF(OR(H730="DECISÃO D.P",ISNUMBER(N730)),"",O730-TODAY())))</f>
        <v/>
      </c>
      <c r="Q730" s="117" t="str">
        <f>IF(B730="","",IF(ISNUMBER(N730),"DECIDIDO – ","")&amp;IF(ISNUMBER(M730),IF(P730="",IF(F730="","INFORMAR PRAZO","SEM DATA"),IF(P730&gt;=0,"DEFESA NO PRAZO","DEFESA FORA DO PRAZO")),IF(OR(H730="DECISÃO D.P",ISNUMBER(N730)),"SEM DEFESA",IF(H730="","SEM STATUS",IF(F730="","INFORMAR PRAZO",IF(P730="","SEM DATA",IF(P730&lt;0,"VENCIDO",IF(P730&lt;=DiasAlerta,"VENCE EM BREVE","NO PRAZO"))))))))</f>
        <v/>
      </c>
      <c r="R730" s="118" t="str">
        <f>IF(D730="","",TODAY()-D730)</f>
        <v/>
      </c>
      <c r="S730" s="111" t="n"/>
    </row>
    <row r="731" ht="18" customHeight="1">
      <c r="A731" s="110" t="n"/>
      <c r="B731" s="111" t="n"/>
      <c r="C731" s="111" t="n"/>
      <c r="D731" s="112" t="n"/>
      <c r="E731" s="111" t="n"/>
      <c r="F731" s="110" t="n"/>
      <c r="G731" s="113" t="n"/>
      <c r="H731" s="113" t="n"/>
      <c r="I731" s="111" t="n"/>
      <c r="J731" s="114" t="n"/>
      <c r="K731" s="114" t="n"/>
      <c r="L731" s="112" t="n"/>
      <c r="M731" s="112" t="n"/>
      <c r="N731" s="112" t="n"/>
      <c r="O731" s="115" t="str">
        <f>IF(OR(D731="",F731=""),"",D731+F731)</f>
        <v/>
      </c>
      <c r="P731" s="116" t="str">
        <f>IF(O731="","",IF(ISNUMBER(M731),O731-M731,IF(OR(H731="DECISÃO D.P",ISNUMBER(N731)),"",O731-TODAY())))</f>
        <v/>
      </c>
      <c r="Q731" s="117" t="str">
        <f>IF(B731="","",IF(ISNUMBER(N731),"DECIDIDO – ","")&amp;IF(ISNUMBER(M731),IF(P731="",IF(F731="","INFORMAR PRAZO","SEM DATA"),IF(P731&gt;=0,"DEFESA NO PRAZO","DEFESA FORA DO PRAZO")),IF(OR(H731="DECISÃO D.P",ISNUMBER(N731)),"SEM DEFESA",IF(H731="","SEM STATUS",IF(F731="","INFORMAR PRAZO",IF(P731="","SEM DATA",IF(P731&lt;0,"VENCIDO",IF(P731&lt;=DiasAlerta,"VENCE EM BREVE","NO PRAZO"))))))))</f>
        <v/>
      </c>
      <c r="R731" s="118" t="str">
        <f>IF(D731="","",TODAY()-D731)</f>
        <v/>
      </c>
      <c r="S731" s="111" t="n"/>
    </row>
    <row r="732" ht="18" customHeight="1">
      <c r="A732" s="110" t="n"/>
      <c r="B732" s="111" t="n"/>
      <c r="C732" s="111" t="n"/>
      <c r="D732" s="112" t="n"/>
      <c r="E732" s="111" t="n"/>
      <c r="F732" s="110" t="n"/>
      <c r="G732" s="113" t="n"/>
      <c r="H732" s="113" t="n"/>
      <c r="I732" s="111" t="n"/>
      <c r="J732" s="114" t="n"/>
      <c r="K732" s="114" t="n"/>
      <c r="L732" s="112" t="n"/>
      <c r="M732" s="112" t="n"/>
      <c r="N732" s="112" t="n"/>
      <c r="O732" s="115" t="str">
        <f>IF(OR(D732="",F732=""),"",D732+F732)</f>
        <v/>
      </c>
      <c r="P732" s="116" t="str">
        <f>IF(O732="","",IF(ISNUMBER(M732),O732-M732,IF(OR(H732="DECISÃO D.P",ISNUMBER(N732)),"",O732-TODAY())))</f>
        <v/>
      </c>
      <c r="Q732" s="117" t="str">
        <f>IF(B732="","",IF(ISNUMBER(N732),"DECIDIDO – ","")&amp;IF(ISNUMBER(M732),IF(P732="",IF(F732="","INFORMAR PRAZO","SEM DATA"),IF(P732&gt;=0,"DEFESA NO PRAZO","DEFESA FORA DO PRAZO")),IF(OR(H732="DECISÃO D.P",ISNUMBER(N732)),"SEM DEFESA",IF(H732="","SEM STATUS",IF(F732="","INFORMAR PRAZO",IF(P732="","SEM DATA",IF(P732&lt;0,"VENCIDO",IF(P732&lt;=DiasAlerta,"VENCE EM BREVE","NO PRAZO"))))))))</f>
        <v/>
      </c>
      <c r="R732" s="118" t="str">
        <f>IF(D732="","",TODAY()-D732)</f>
        <v/>
      </c>
      <c r="S732" s="111" t="n"/>
    </row>
    <row r="733" ht="18" customHeight="1">
      <c r="A733" s="110" t="n"/>
      <c r="B733" s="111" t="n"/>
      <c r="C733" s="111" t="n"/>
      <c r="D733" s="112" t="n"/>
      <c r="E733" s="111" t="n"/>
      <c r="F733" s="110" t="n"/>
      <c r="G733" s="113" t="n"/>
      <c r="H733" s="113" t="n"/>
      <c r="I733" s="111" t="n"/>
      <c r="J733" s="114" t="n"/>
      <c r="K733" s="114" t="n"/>
      <c r="L733" s="112" t="n"/>
      <c r="M733" s="112" t="n"/>
      <c r="N733" s="112" t="n"/>
      <c r="O733" s="115" t="str">
        <f>IF(OR(D733="",F733=""),"",D733+F733)</f>
        <v/>
      </c>
      <c r="P733" s="116" t="str">
        <f>IF(O733="","",IF(ISNUMBER(M733),O733-M733,IF(OR(H733="DECISÃO D.P",ISNUMBER(N733)),"",O733-TODAY())))</f>
        <v/>
      </c>
      <c r="Q733" s="117" t="str">
        <f>IF(B733="","",IF(ISNUMBER(N733),"DECIDIDO – ","")&amp;IF(ISNUMBER(M733),IF(P733="",IF(F733="","INFORMAR PRAZO","SEM DATA"),IF(P733&gt;=0,"DEFESA NO PRAZO","DEFESA FORA DO PRAZO")),IF(OR(H733="DECISÃO D.P",ISNUMBER(N733)),"SEM DEFESA",IF(H733="","SEM STATUS",IF(F733="","INFORMAR PRAZO",IF(P733="","SEM DATA",IF(P733&lt;0,"VENCIDO",IF(P733&lt;=DiasAlerta,"VENCE EM BREVE","NO PRAZO"))))))))</f>
        <v/>
      </c>
      <c r="R733" s="118" t="str">
        <f>IF(D733="","",TODAY()-D733)</f>
        <v/>
      </c>
      <c r="S733" s="111" t="n"/>
    </row>
    <row r="734" ht="18" customHeight="1">
      <c r="A734" s="110" t="n"/>
      <c r="B734" s="111" t="n"/>
      <c r="C734" s="111" t="n"/>
      <c r="D734" s="112" t="n"/>
      <c r="E734" s="111" t="n"/>
      <c r="F734" s="110" t="n"/>
      <c r="G734" s="113" t="n"/>
      <c r="H734" s="113" t="n"/>
      <c r="I734" s="111" t="n"/>
      <c r="J734" s="114" t="n"/>
      <c r="K734" s="114" t="n"/>
      <c r="L734" s="112" t="n"/>
      <c r="M734" s="112" t="n"/>
      <c r="N734" s="112" t="n"/>
      <c r="O734" s="115" t="str">
        <f>IF(OR(D734="",F734=""),"",D734+F734)</f>
        <v/>
      </c>
      <c r="P734" s="116" t="str">
        <f>IF(O734="","",IF(ISNUMBER(M734),O734-M734,IF(OR(H734="DECISÃO D.P",ISNUMBER(N734)),"",O734-TODAY())))</f>
        <v/>
      </c>
      <c r="Q734" s="117" t="str">
        <f>IF(B734="","",IF(ISNUMBER(N734),"DECIDIDO – ","")&amp;IF(ISNUMBER(M734),IF(P734="",IF(F734="","INFORMAR PRAZO","SEM DATA"),IF(P734&gt;=0,"DEFESA NO PRAZO","DEFESA FORA DO PRAZO")),IF(OR(H734="DECISÃO D.P",ISNUMBER(N734)),"SEM DEFESA",IF(H734="","SEM STATUS",IF(F734="","INFORMAR PRAZO",IF(P734="","SEM DATA",IF(P734&lt;0,"VENCIDO",IF(P734&lt;=DiasAlerta,"VENCE EM BREVE","NO PRAZO"))))))))</f>
        <v/>
      </c>
      <c r="R734" s="118" t="str">
        <f>IF(D734="","",TODAY()-D734)</f>
        <v/>
      </c>
      <c r="S734" s="111" t="n"/>
    </row>
    <row r="735" ht="18" customHeight="1">
      <c r="A735" s="110" t="n"/>
      <c r="B735" s="111" t="n"/>
      <c r="C735" s="111" t="n"/>
      <c r="D735" s="112" t="n"/>
      <c r="E735" s="111" t="n"/>
      <c r="F735" s="110" t="n"/>
      <c r="G735" s="113" t="n"/>
      <c r="H735" s="113" t="n"/>
      <c r="I735" s="111" t="n"/>
      <c r="J735" s="114" t="n"/>
      <c r="K735" s="114" t="n"/>
      <c r="L735" s="112" t="n"/>
      <c r="M735" s="112" t="n"/>
      <c r="N735" s="112" t="n"/>
      <c r="O735" s="115" t="str">
        <f>IF(OR(D735="",F735=""),"",D735+F735)</f>
        <v/>
      </c>
      <c r="P735" s="116" t="str">
        <f>IF(O735="","",IF(ISNUMBER(M735),O735-M735,IF(OR(H735="DECISÃO D.P",ISNUMBER(N735)),"",O735-TODAY())))</f>
        <v/>
      </c>
      <c r="Q735" s="117" t="str">
        <f>IF(B735="","",IF(ISNUMBER(N735),"DECIDIDO – ","")&amp;IF(ISNUMBER(M735),IF(P735="",IF(F735="","INFORMAR PRAZO","SEM DATA"),IF(P735&gt;=0,"DEFESA NO PRAZO","DEFESA FORA DO PRAZO")),IF(OR(H735="DECISÃO D.P",ISNUMBER(N735)),"SEM DEFESA",IF(H735="","SEM STATUS",IF(F735="","INFORMAR PRAZO",IF(P735="","SEM DATA",IF(P735&lt;0,"VENCIDO",IF(P735&lt;=DiasAlerta,"VENCE EM BREVE","NO PRAZO"))))))))</f>
        <v/>
      </c>
      <c r="R735" s="118" t="str">
        <f>IF(D735="","",TODAY()-D735)</f>
        <v/>
      </c>
      <c r="S735" s="111" t="n"/>
    </row>
    <row r="736" ht="18" customHeight="1">
      <c r="A736" s="110" t="n"/>
      <c r="B736" s="111" t="n"/>
      <c r="C736" s="111" t="n"/>
      <c r="D736" s="112" t="n"/>
      <c r="E736" s="111" t="n"/>
      <c r="F736" s="110" t="n"/>
      <c r="G736" s="113" t="n"/>
      <c r="H736" s="113" t="n"/>
      <c r="I736" s="111" t="n"/>
      <c r="J736" s="114" t="n"/>
      <c r="K736" s="114" t="n"/>
      <c r="L736" s="112" t="n"/>
      <c r="M736" s="112" t="n"/>
      <c r="N736" s="112" t="n"/>
      <c r="O736" s="115" t="str">
        <f>IF(OR(D736="",F736=""),"",D736+F736)</f>
        <v/>
      </c>
      <c r="P736" s="116" t="str">
        <f>IF(O736="","",IF(ISNUMBER(M736),O736-M736,IF(OR(H736="DECISÃO D.P",ISNUMBER(N736)),"",O736-TODAY())))</f>
        <v/>
      </c>
      <c r="Q736" s="117" t="str">
        <f>IF(B736="","",IF(ISNUMBER(N736),"DECIDIDO – ","")&amp;IF(ISNUMBER(M736),IF(P736="",IF(F736="","INFORMAR PRAZO","SEM DATA"),IF(P736&gt;=0,"DEFESA NO PRAZO","DEFESA FORA DO PRAZO")),IF(OR(H736="DECISÃO D.P",ISNUMBER(N736)),"SEM DEFESA",IF(H736="","SEM STATUS",IF(F736="","INFORMAR PRAZO",IF(P736="","SEM DATA",IF(P736&lt;0,"VENCIDO",IF(P736&lt;=DiasAlerta,"VENCE EM BREVE","NO PRAZO"))))))))</f>
        <v/>
      </c>
      <c r="R736" s="118" t="str">
        <f>IF(D736="","",TODAY()-D736)</f>
        <v/>
      </c>
      <c r="S736" s="111" t="n"/>
    </row>
    <row r="737" ht="18" customHeight="1">
      <c r="A737" s="110" t="n"/>
      <c r="B737" s="111" t="n"/>
      <c r="C737" s="111" t="n"/>
      <c r="D737" s="112" t="n"/>
      <c r="E737" s="111" t="n"/>
      <c r="F737" s="110" t="n"/>
      <c r="G737" s="113" t="n"/>
      <c r="H737" s="113" t="n"/>
      <c r="I737" s="111" t="n"/>
      <c r="J737" s="114" t="n"/>
      <c r="K737" s="114" t="n"/>
      <c r="L737" s="112" t="n"/>
      <c r="M737" s="112" t="n"/>
      <c r="N737" s="112" t="n"/>
      <c r="O737" s="115" t="str">
        <f>IF(OR(D737="",F737=""),"",D737+F737)</f>
        <v/>
      </c>
      <c r="P737" s="116" t="str">
        <f>IF(O737="","",IF(ISNUMBER(M737),O737-M737,IF(OR(H737="DECISÃO D.P",ISNUMBER(N737)),"",O737-TODAY())))</f>
        <v/>
      </c>
      <c r="Q737" s="117" t="str">
        <f>IF(B737="","",IF(ISNUMBER(N737),"DECIDIDO – ","")&amp;IF(ISNUMBER(M737),IF(P737="",IF(F737="","INFORMAR PRAZO","SEM DATA"),IF(P737&gt;=0,"DEFESA NO PRAZO","DEFESA FORA DO PRAZO")),IF(OR(H737="DECISÃO D.P",ISNUMBER(N737)),"SEM DEFESA",IF(H737="","SEM STATUS",IF(F737="","INFORMAR PRAZO",IF(P737="","SEM DATA",IF(P737&lt;0,"VENCIDO",IF(P737&lt;=DiasAlerta,"VENCE EM BREVE","NO PRAZO"))))))))</f>
        <v/>
      </c>
      <c r="R737" s="118" t="str">
        <f>IF(D737="","",TODAY()-D737)</f>
        <v/>
      </c>
      <c r="S737" s="111" t="n"/>
    </row>
    <row r="738" ht="18" customHeight="1">
      <c r="A738" s="110" t="n"/>
      <c r="B738" s="111" t="n"/>
      <c r="C738" s="111" t="n"/>
      <c r="D738" s="112" t="n"/>
      <c r="E738" s="111" t="n"/>
      <c r="F738" s="110" t="n"/>
      <c r="G738" s="113" t="n"/>
      <c r="H738" s="113" t="n"/>
      <c r="I738" s="111" t="n"/>
      <c r="J738" s="114" t="n"/>
      <c r="K738" s="114" t="n"/>
      <c r="L738" s="112" t="n"/>
      <c r="M738" s="112" t="n"/>
      <c r="N738" s="112" t="n"/>
      <c r="O738" s="115" t="str">
        <f>IF(OR(D738="",F738=""),"",D738+F738)</f>
        <v/>
      </c>
      <c r="P738" s="116" t="str">
        <f>IF(O738="","",IF(ISNUMBER(M738),O738-M738,IF(OR(H738="DECISÃO D.P",ISNUMBER(N738)),"",O738-TODAY())))</f>
        <v/>
      </c>
      <c r="Q738" s="117" t="str">
        <f>IF(B738="","",IF(ISNUMBER(N738),"DECIDIDO – ","")&amp;IF(ISNUMBER(M738),IF(P738="",IF(F738="","INFORMAR PRAZO","SEM DATA"),IF(P738&gt;=0,"DEFESA NO PRAZO","DEFESA FORA DO PRAZO")),IF(OR(H738="DECISÃO D.P",ISNUMBER(N738)),"SEM DEFESA",IF(H738="","SEM STATUS",IF(F738="","INFORMAR PRAZO",IF(P738="","SEM DATA",IF(P738&lt;0,"VENCIDO",IF(P738&lt;=DiasAlerta,"VENCE EM BREVE","NO PRAZO"))))))))</f>
        <v/>
      </c>
      <c r="R738" s="118" t="str">
        <f>IF(D738="","",TODAY()-D738)</f>
        <v/>
      </c>
      <c r="S738" s="111" t="n"/>
    </row>
    <row r="739" ht="18" customHeight="1">
      <c r="A739" s="110" t="n"/>
      <c r="B739" s="111" t="n"/>
      <c r="C739" s="111" t="n"/>
      <c r="D739" s="112" t="n"/>
      <c r="E739" s="111" t="n"/>
      <c r="F739" s="110" t="n"/>
      <c r="G739" s="113" t="n"/>
      <c r="H739" s="113" t="n"/>
      <c r="I739" s="111" t="n"/>
      <c r="J739" s="114" t="n"/>
      <c r="K739" s="114" t="n"/>
      <c r="L739" s="112" t="n"/>
      <c r="M739" s="112" t="n"/>
      <c r="N739" s="112" t="n"/>
      <c r="O739" s="115" t="str">
        <f>IF(OR(D739="",F739=""),"",D739+F739)</f>
        <v/>
      </c>
      <c r="P739" s="116" t="str">
        <f>IF(O739="","",IF(ISNUMBER(M739),O739-M739,IF(OR(H739="DECISÃO D.P",ISNUMBER(N739)),"",O739-TODAY())))</f>
        <v/>
      </c>
      <c r="Q739" s="117" t="str">
        <f>IF(B739="","",IF(ISNUMBER(N739),"DECIDIDO – ","")&amp;IF(ISNUMBER(M739),IF(P739="",IF(F739="","INFORMAR PRAZO","SEM DATA"),IF(P739&gt;=0,"DEFESA NO PRAZO","DEFESA FORA DO PRAZO")),IF(OR(H739="DECISÃO D.P",ISNUMBER(N739)),"SEM DEFESA",IF(H739="","SEM STATUS",IF(F739="","INFORMAR PRAZO",IF(P739="","SEM DATA",IF(P739&lt;0,"VENCIDO",IF(P739&lt;=DiasAlerta,"VENCE EM BREVE","NO PRAZO"))))))))</f>
        <v/>
      </c>
      <c r="R739" s="118" t="str">
        <f>IF(D739="","",TODAY()-D739)</f>
        <v/>
      </c>
      <c r="S739" s="111" t="n"/>
    </row>
    <row r="740" ht="18" customHeight="1">
      <c r="A740" s="110" t="n"/>
      <c r="B740" s="111" t="n"/>
      <c r="C740" s="111" t="n"/>
      <c r="D740" s="112" t="n"/>
      <c r="E740" s="111" t="n"/>
      <c r="F740" s="110" t="n"/>
      <c r="G740" s="113" t="n"/>
      <c r="H740" s="113" t="n"/>
      <c r="I740" s="111" t="n"/>
      <c r="J740" s="114" t="n"/>
      <c r="K740" s="114" t="n"/>
      <c r="L740" s="112" t="n"/>
      <c r="M740" s="112" t="n"/>
      <c r="N740" s="112" t="n"/>
      <c r="O740" s="115" t="str">
        <f>IF(OR(D740="",F740=""),"",D740+F740)</f>
        <v/>
      </c>
      <c r="P740" s="116" t="str">
        <f>IF(O740="","",IF(ISNUMBER(M740),O740-M740,IF(OR(H740="DECISÃO D.P",ISNUMBER(N740)),"",O740-TODAY())))</f>
        <v/>
      </c>
      <c r="Q740" s="117" t="str">
        <f>IF(B740="","",IF(ISNUMBER(N740),"DECIDIDO – ","")&amp;IF(ISNUMBER(M740),IF(P740="",IF(F740="","INFORMAR PRAZO","SEM DATA"),IF(P740&gt;=0,"DEFESA NO PRAZO","DEFESA FORA DO PRAZO")),IF(OR(H740="DECISÃO D.P",ISNUMBER(N740)),"SEM DEFESA",IF(H740="","SEM STATUS",IF(F740="","INFORMAR PRAZO",IF(P740="","SEM DATA",IF(P740&lt;0,"VENCIDO",IF(P740&lt;=DiasAlerta,"VENCE EM BREVE","NO PRAZO"))))))))</f>
        <v/>
      </c>
      <c r="R740" s="118" t="str">
        <f>IF(D740="","",TODAY()-D740)</f>
        <v/>
      </c>
      <c r="S740" s="111" t="n"/>
    </row>
    <row r="741" ht="18" customHeight="1">
      <c r="A741" s="110" t="n"/>
      <c r="B741" s="111" t="n"/>
      <c r="C741" s="111" t="n"/>
      <c r="D741" s="112" t="n"/>
      <c r="E741" s="111" t="n"/>
      <c r="F741" s="110" t="n"/>
      <c r="G741" s="113" t="n"/>
      <c r="H741" s="113" t="n"/>
      <c r="I741" s="111" t="n"/>
      <c r="J741" s="114" t="n"/>
      <c r="K741" s="114" t="n"/>
      <c r="L741" s="112" t="n"/>
      <c r="M741" s="112" t="n"/>
      <c r="N741" s="112" t="n"/>
      <c r="O741" s="115" t="str">
        <f>IF(OR(D741="",F741=""),"",D741+F741)</f>
        <v/>
      </c>
      <c r="P741" s="116" t="str">
        <f>IF(O741="","",IF(ISNUMBER(M741),O741-M741,IF(OR(H741="DECISÃO D.P",ISNUMBER(N741)),"",O741-TODAY())))</f>
        <v/>
      </c>
      <c r="Q741" s="117" t="str">
        <f>IF(B741="","",IF(ISNUMBER(N741),"DECIDIDO – ","")&amp;IF(ISNUMBER(M741),IF(P741="",IF(F741="","INFORMAR PRAZO","SEM DATA"),IF(P741&gt;=0,"DEFESA NO PRAZO","DEFESA FORA DO PRAZO")),IF(OR(H741="DECISÃO D.P",ISNUMBER(N741)),"SEM DEFESA",IF(H741="","SEM STATUS",IF(F741="","INFORMAR PRAZO",IF(P741="","SEM DATA",IF(P741&lt;0,"VENCIDO",IF(P741&lt;=DiasAlerta,"VENCE EM BREVE","NO PRAZO"))))))))</f>
        <v/>
      </c>
      <c r="R741" s="118" t="str">
        <f>IF(D741="","",TODAY()-D741)</f>
        <v/>
      </c>
      <c r="S741" s="111" t="n"/>
    </row>
    <row r="742" ht="18" customHeight="1">
      <c r="A742" s="110" t="n"/>
      <c r="B742" s="111" t="n"/>
      <c r="C742" s="111" t="n"/>
      <c r="D742" s="112" t="n"/>
      <c r="E742" s="111" t="n"/>
      <c r="F742" s="110" t="n"/>
      <c r="G742" s="113" t="n"/>
      <c r="H742" s="113" t="n"/>
      <c r="I742" s="111" t="n"/>
      <c r="J742" s="114" t="n"/>
      <c r="K742" s="114" t="n"/>
      <c r="L742" s="112" t="n"/>
      <c r="M742" s="112" t="n"/>
      <c r="N742" s="112" t="n"/>
      <c r="O742" s="115" t="str">
        <f>IF(OR(D742="",F742=""),"",D742+F742)</f>
        <v/>
      </c>
      <c r="P742" s="116" t="str">
        <f>IF(O742="","",IF(ISNUMBER(M742),O742-M742,IF(OR(H742="DECISÃO D.P",ISNUMBER(N742)),"",O742-TODAY())))</f>
        <v/>
      </c>
      <c r="Q742" s="117" t="str">
        <f>IF(B742="","",IF(ISNUMBER(N742),"DECIDIDO – ","")&amp;IF(ISNUMBER(M742),IF(P742="",IF(F742="","INFORMAR PRAZO","SEM DATA"),IF(P742&gt;=0,"DEFESA NO PRAZO","DEFESA FORA DO PRAZO")),IF(OR(H742="DECISÃO D.P",ISNUMBER(N742)),"SEM DEFESA",IF(H742="","SEM STATUS",IF(F742="","INFORMAR PRAZO",IF(P742="","SEM DATA",IF(P742&lt;0,"VENCIDO",IF(P742&lt;=DiasAlerta,"VENCE EM BREVE","NO PRAZO"))))))))</f>
        <v/>
      </c>
      <c r="R742" s="118" t="str">
        <f>IF(D742="","",TODAY()-D742)</f>
        <v/>
      </c>
      <c r="S742" s="111" t="n"/>
    </row>
    <row r="743" ht="18" customHeight="1">
      <c r="A743" s="110" t="n"/>
      <c r="B743" s="111" t="n"/>
      <c r="C743" s="111" t="n"/>
      <c r="D743" s="112" t="n"/>
      <c r="E743" s="111" t="n"/>
      <c r="F743" s="110" t="n"/>
      <c r="G743" s="113" t="n"/>
      <c r="H743" s="113" t="n"/>
      <c r="I743" s="111" t="n"/>
      <c r="J743" s="114" t="n"/>
      <c r="K743" s="114" t="n"/>
      <c r="L743" s="112" t="n"/>
      <c r="M743" s="112" t="n"/>
      <c r="N743" s="112" t="n"/>
      <c r="O743" s="115" t="str">
        <f>IF(OR(D743="",F743=""),"",D743+F743)</f>
        <v/>
      </c>
      <c r="P743" s="116" t="str">
        <f>IF(O743="","",IF(ISNUMBER(M743),O743-M743,IF(OR(H743="DECISÃO D.P",ISNUMBER(N743)),"",O743-TODAY())))</f>
        <v/>
      </c>
      <c r="Q743" s="117" t="str">
        <f>IF(B743="","",IF(ISNUMBER(N743),"DECIDIDO – ","")&amp;IF(ISNUMBER(M743),IF(P743="",IF(F743="","INFORMAR PRAZO","SEM DATA"),IF(P743&gt;=0,"DEFESA NO PRAZO","DEFESA FORA DO PRAZO")),IF(OR(H743="DECISÃO D.P",ISNUMBER(N743)),"SEM DEFESA",IF(H743="","SEM STATUS",IF(F743="","INFORMAR PRAZO",IF(P743="","SEM DATA",IF(P743&lt;0,"VENCIDO",IF(P743&lt;=DiasAlerta,"VENCE EM BREVE","NO PRAZO"))))))))</f>
        <v/>
      </c>
      <c r="R743" s="118" t="str">
        <f>IF(D743="","",TODAY()-D743)</f>
        <v/>
      </c>
      <c r="S743" s="111" t="n"/>
    </row>
    <row r="744" ht="18" customHeight="1">
      <c r="A744" s="110" t="n"/>
      <c r="B744" s="111" t="n"/>
      <c r="C744" s="111" t="n"/>
      <c r="D744" s="112" t="n"/>
      <c r="E744" s="111" t="n"/>
      <c r="F744" s="110" t="n"/>
      <c r="G744" s="113" t="n"/>
      <c r="H744" s="113" t="n"/>
      <c r="I744" s="111" t="n"/>
      <c r="J744" s="114" t="n"/>
      <c r="K744" s="114" t="n"/>
      <c r="L744" s="112" t="n"/>
      <c r="M744" s="112" t="n"/>
      <c r="N744" s="112" t="n"/>
      <c r="O744" s="115" t="str">
        <f>IF(OR(D744="",F744=""),"",D744+F744)</f>
        <v/>
      </c>
      <c r="P744" s="116" t="str">
        <f>IF(O744="","",IF(ISNUMBER(M744),O744-M744,IF(OR(H744="DECISÃO D.P",ISNUMBER(N744)),"",O744-TODAY())))</f>
        <v/>
      </c>
      <c r="Q744" s="117" t="str">
        <f>IF(B744="","",IF(ISNUMBER(N744),"DECIDIDO – ","")&amp;IF(ISNUMBER(M744),IF(P744="",IF(F744="","INFORMAR PRAZO","SEM DATA"),IF(P744&gt;=0,"DEFESA NO PRAZO","DEFESA FORA DO PRAZO")),IF(OR(H744="DECISÃO D.P",ISNUMBER(N744)),"SEM DEFESA",IF(H744="","SEM STATUS",IF(F744="","INFORMAR PRAZO",IF(P744="","SEM DATA",IF(P744&lt;0,"VENCIDO",IF(P744&lt;=DiasAlerta,"VENCE EM BREVE","NO PRAZO"))))))))</f>
        <v/>
      </c>
      <c r="R744" s="118" t="str">
        <f>IF(D744="","",TODAY()-D744)</f>
        <v/>
      </c>
      <c r="S744" s="111" t="n"/>
    </row>
    <row r="745" ht="18" customHeight="1">
      <c r="A745" s="110" t="n"/>
      <c r="B745" s="111" t="n"/>
      <c r="C745" s="111" t="n"/>
      <c r="D745" s="112" t="n"/>
      <c r="E745" s="111" t="n"/>
      <c r="F745" s="110" t="n"/>
      <c r="G745" s="113" t="n"/>
      <c r="H745" s="113" t="n"/>
      <c r="I745" s="111" t="n"/>
      <c r="J745" s="114" t="n"/>
      <c r="K745" s="114" t="n"/>
      <c r="L745" s="112" t="n"/>
      <c r="M745" s="112" t="n"/>
      <c r="N745" s="112" t="n"/>
      <c r="O745" s="115" t="str">
        <f>IF(OR(D745="",F745=""),"",D745+F745)</f>
        <v/>
      </c>
      <c r="P745" s="116" t="str">
        <f>IF(O745="","",IF(ISNUMBER(M745),O745-M745,IF(OR(H745="DECISÃO D.P",ISNUMBER(N745)),"",O745-TODAY())))</f>
        <v/>
      </c>
      <c r="Q745" s="117" t="str">
        <f>IF(B745="","",IF(ISNUMBER(N745),"DECIDIDO – ","")&amp;IF(ISNUMBER(M745),IF(P745="",IF(F745="","INFORMAR PRAZO","SEM DATA"),IF(P745&gt;=0,"DEFESA NO PRAZO","DEFESA FORA DO PRAZO")),IF(OR(H745="DECISÃO D.P",ISNUMBER(N745)),"SEM DEFESA",IF(H745="","SEM STATUS",IF(F745="","INFORMAR PRAZO",IF(P745="","SEM DATA",IF(P745&lt;0,"VENCIDO",IF(P745&lt;=DiasAlerta,"VENCE EM BREVE","NO PRAZO"))))))))</f>
        <v/>
      </c>
      <c r="R745" s="118" t="str">
        <f>IF(D745="","",TODAY()-D745)</f>
        <v/>
      </c>
      <c r="S745" s="111" t="n"/>
    </row>
    <row r="746" ht="18" customHeight="1">
      <c r="A746" s="110" t="n"/>
      <c r="B746" s="111" t="n"/>
      <c r="C746" s="111" t="n"/>
      <c r="D746" s="112" t="n"/>
      <c r="E746" s="111" t="n"/>
      <c r="F746" s="110" t="n"/>
      <c r="G746" s="113" t="n"/>
      <c r="H746" s="113" t="n"/>
      <c r="I746" s="111" t="n"/>
      <c r="J746" s="114" t="n"/>
      <c r="K746" s="114" t="n"/>
      <c r="L746" s="112" t="n"/>
      <c r="M746" s="112" t="n"/>
      <c r="N746" s="112" t="n"/>
      <c r="O746" s="115" t="str">
        <f>IF(OR(D746="",F746=""),"",D746+F746)</f>
        <v/>
      </c>
      <c r="P746" s="116" t="str">
        <f>IF(O746="","",IF(ISNUMBER(M746),O746-M746,IF(OR(H746="DECISÃO D.P",ISNUMBER(N746)),"",O746-TODAY())))</f>
        <v/>
      </c>
      <c r="Q746" s="117" t="str">
        <f>IF(B746="","",IF(ISNUMBER(N746),"DECIDIDO – ","")&amp;IF(ISNUMBER(M746),IF(P746="",IF(F746="","INFORMAR PRAZO","SEM DATA"),IF(P746&gt;=0,"DEFESA NO PRAZO","DEFESA FORA DO PRAZO")),IF(OR(H746="DECISÃO D.P",ISNUMBER(N746)),"SEM DEFESA",IF(H746="","SEM STATUS",IF(F746="","INFORMAR PRAZO",IF(P746="","SEM DATA",IF(P746&lt;0,"VENCIDO",IF(P746&lt;=DiasAlerta,"VENCE EM BREVE","NO PRAZO"))))))))</f>
        <v/>
      </c>
      <c r="R746" s="118" t="str">
        <f>IF(D746="","",TODAY()-D746)</f>
        <v/>
      </c>
      <c r="S746" s="111" t="n"/>
    </row>
    <row r="747" ht="18" customHeight="1">
      <c r="A747" s="110" t="n"/>
      <c r="B747" s="111" t="n"/>
      <c r="C747" s="111" t="n"/>
      <c r="D747" s="112" t="n"/>
      <c r="E747" s="111" t="n"/>
      <c r="F747" s="110" t="n"/>
      <c r="G747" s="113" t="n"/>
      <c r="H747" s="113" t="n"/>
      <c r="I747" s="111" t="n"/>
      <c r="J747" s="114" t="n"/>
      <c r="K747" s="114" t="n"/>
      <c r="L747" s="112" t="n"/>
      <c r="M747" s="112" t="n"/>
      <c r="N747" s="112" t="n"/>
      <c r="O747" s="115" t="str">
        <f>IF(OR(D747="",F747=""),"",D747+F747)</f>
        <v/>
      </c>
      <c r="P747" s="116" t="str">
        <f>IF(O747="","",IF(ISNUMBER(M747),O747-M747,IF(OR(H747="DECISÃO D.P",ISNUMBER(N747)),"",O747-TODAY())))</f>
        <v/>
      </c>
      <c r="Q747" s="117" t="str">
        <f>IF(B747="","",IF(ISNUMBER(N747),"DECIDIDO – ","")&amp;IF(ISNUMBER(M747),IF(P747="",IF(F747="","INFORMAR PRAZO","SEM DATA"),IF(P747&gt;=0,"DEFESA NO PRAZO","DEFESA FORA DO PRAZO")),IF(OR(H747="DECISÃO D.P",ISNUMBER(N747)),"SEM DEFESA",IF(H747="","SEM STATUS",IF(F747="","INFORMAR PRAZO",IF(P747="","SEM DATA",IF(P747&lt;0,"VENCIDO",IF(P747&lt;=DiasAlerta,"VENCE EM BREVE","NO PRAZO"))))))))</f>
        <v/>
      </c>
      <c r="R747" s="118" t="str">
        <f>IF(D747="","",TODAY()-D747)</f>
        <v/>
      </c>
      <c r="S747" s="111" t="n"/>
    </row>
    <row r="748" ht="18" customHeight="1">
      <c r="A748" s="110" t="n"/>
      <c r="B748" s="111" t="n"/>
      <c r="C748" s="111" t="n"/>
      <c r="D748" s="112" t="n"/>
      <c r="E748" s="111" t="n"/>
      <c r="F748" s="110" t="n"/>
      <c r="G748" s="113" t="n"/>
      <c r="H748" s="113" t="n"/>
      <c r="I748" s="111" t="n"/>
      <c r="J748" s="114" t="n"/>
      <c r="K748" s="114" t="n"/>
      <c r="L748" s="112" t="n"/>
      <c r="M748" s="112" t="n"/>
      <c r="N748" s="112" t="n"/>
      <c r="O748" s="115" t="str">
        <f>IF(OR(D748="",F748=""),"",D748+F748)</f>
        <v/>
      </c>
      <c r="P748" s="116" t="str">
        <f>IF(O748="","",IF(ISNUMBER(M748),O748-M748,IF(OR(H748="DECISÃO D.P",ISNUMBER(N748)),"",O748-TODAY())))</f>
        <v/>
      </c>
      <c r="Q748" s="117" t="str">
        <f>IF(B748="","",IF(ISNUMBER(N748),"DECIDIDO – ","")&amp;IF(ISNUMBER(M748),IF(P748="",IF(F748="","INFORMAR PRAZO","SEM DATA"),IF(P748&gt;=0,"DEFESA NO PRAZO","DEFESA FORA DO PRAZO")),IF(OR(H748="DECISÃO D.P",ISNUMBER(N748)),"SEM DEFESA",IF(H748="","SEM STATUS",IF(F748="","INFORMAR PRAZO",IF(P748="","SEM DATA",IF(P748&lt;0,"VENCIDO",IF(P748&lt;=DiasAlerta,"VENCE EM BREVE","NO PRAZO"))))))))</f>
        <v/>
      </c>
      <c r="R748" s="118" t="str">
        <f>IF(D748="","",TODAY()-D748)</f>
        <v/>
      </c>
      <c r="S748" s="111" t="n"/>
    </row>
    <row r="749" ht="18" customHeight="1">
      <c r="A749" s="110" t="n"/>
      <c r="B749" s="111" t="n"/>
      <c r="C749" s="111" t="n"/>
      <c r="D749" s="112" t="n"/>
      <c r="E749" s="111" t="n"/>
      <c r="F749" s="110" t="n"/>
      <c r="G749" s="113" t="n"/>
      <c r="H749" s="113" t="n"/>
      <c r="I749" s="111" t="n"/>
      <c r="J749" s="114" t="n"/>
      <c r="K749" s="114" t="n"/>
      <c r="L749" s="112" t="n"/>
      <c r="M749" s="112" t="n"/>
      <c r="N749" s="112" t="n"/>
      <c r="O749" s="115" t="str">
        <f>IF(OR(D749="",F749=""),"",D749+F749)</f>
        <v/>
      </c>
      <c r="P749" s="116" t="str">
        <f>IF(O749="","",IF(ISNUMBER(M749),O749-M749,IF(OR(H749="DECISÃO D.P",ISNUMBER(N749)),"",O749-TODAY())))</f>
        <v/>
      </c>
      <c r="Q749" s="117" t="str">
        <f>IF(B749="","",IF(ISNUMBER(N749),"DECIDIDO – ","")&amp;IF(ISNUMBER(M749),IF(P749="",IF(F749="","INFORMAR PRAZO","SEM DATA"),IF(P749&gt;=0,"DEFESA NO PRAZO","DEFESA FORA DO PRAZO")),IF(OR(H749="DECISÃO D.P",ISNUMBER(N749)),"SEM DEFESA",IF(H749="","SEM STATUS",IF(F749="","INFORMAR PRAZO",IF(P749="","SEM DATA",IF(P749&lt;0,"VENCIDO",IF(P749&lt;=DiasAlerta,"VENCE EM BREVE","NO PRAZO"))))))))</f>
        <v/>
      </c>
      <c r="R749" s="118" t="str">
        <f>IF(D749="","",TODAY()-D749)</f>
        <v/>
      </c>
      <c r="S749" s="111" t="n"/>
    </row>
    <row r="750" ht="18" customHeight="1">
      <c r="A750" s="110" t="n"/>
      <c r="B750" s="111" t="n"/>
      <c r="C750" s="111" t="n"/>
      <c r="D750" s="112" t="n"/>
      <c r="E750" s="111" t="n"/>
      <c r="F750" s="110" t="n"/>
      <c r="G750" s="113" t="n"/>
      <c r="H750" s="113" t="n"/>
      <c r="I750" s="111" t="n"/>
      <c r="J750" s="114" t="n"/>
      <c r="K750" s="114" t="n"/>
      <c r="L750" s="112" t="n"/>
      <c r="M750" s="112" t="n"/>
      <c r="N750" s="112" t="n"/>
      <c r="O750" s="115" t="str">
        <f>IF(OR(D750="",F750=""),"",D750+F750)</f>
        <v/>
      </c>
      <c r="P750" s="116" t="str">
        <f>IF(O750="","",IF(ISNUMBER(M750),O750-M750,IF(OR(H750="DECISÃO D.P",ISNUMBER(N750)),"",O750-TODAY())))</f>
        <v/>
      </c>
      <c r="Q750" s="117" t="str">
        <f>IF(B750="","",IF(ISNUMBER(N750),"DECIDIDO – ","")&amp;IF(ISNUMBER(M750),IF(P750="",IF(F750="","INFORMAR PRAZO","SEM DATA"),IF(P750&gt;=0,"DEFESA NO PRAZO","DEFESA FORA DO PRAZO")),IF(OR(H750="DECISÃO D.P",ISNUMBER(N750)),"SEM DEFESA",IF(H750="","SEM STATUS",IF(F750="","INFORMAR PRAZO",IF(P750="","SEM DATA",IF(P750&lt;0,"VENCIDO",IF(P750&lt;=DiasAlerta,"VENCE EM BREVE","NO PRAZO"))))))))</f>
        <v/>
      </c>
      <c r="R750" s="118" t="str">
        <f>IF(D750="","",TODAY()-D750)</f>
        <v/>
      </c>
      <c r="S750" s="111" t="n"/>
    </row>
    <row r="751" ht="18" customHeight="1">
      <c r="A751" s="110" t="n"/>
      <c r="B751" s="111" t="n"/>
      <c r="C751" s="111" t="n"/>
      <c r="D751" s="112" t="n"/>
      <c r="E751" s="111" t="n"/>
      <c r="F751" s="110" t="n"/>
      <c r="G751" s="113" t="n"/>
      <c r="H751" s="113" t="n"/>
      <c r="I751" s="111" t="n"/>
      <c r="J751" s="114" t="n"/>
      <c r="K751" s="114" t="n"/>
      <c r="L751" s="112" t="n"/>
      <c r="M751" s="112" t="n"/>
      <c r="N751" s="112" t="n"/>
      <c r="O751" s="115" t="str">
        <f>IF(OR(D751="",F751=""),"",D751+F751)</f>
        <v/>
      </c>
      <c r="P751" s="116" t="str">
        <f>IF(O751="","",IF(ISNUMBER(M751),O751-M751,IF(OR(H751="DECISÃO D.P",ISNUMBER(N751)),"",O751-TODAY())))</f>
        <v/>
      </c>
      <c r="Q751" s="117" t="str">
        <f>IF(B751="","",IF(ISNUMBER(N751),"DECIDIDO – ","")&amp;IF(ISNUMBER(M751),IF(P751="",IF(F751="","INFORMAR PRAZO","SEM DATA"),IF(P751&gt;=0,"DEFESA NO PRAZO","DEFESA FORA DO PRAZO")),IF(OR(H751="DECISÃO D.P",ISNUMBER(N751)),"SEM DEFESA",IF(H751="","SEM STATUS",IF(F751="","INFORMAR PRAZO",IF(P751="","SEM DATA",IF(P751&lt;0,"VENCIDO",IF(P751&lt;=DiasAlerta,"VENCE EM BREVE","NO PRAZO"))))))))</f>
        <v/>
      </c>
      <c r="R751" s="118" t="str">
        <f>IF(D751="","",TODAY()-D751)</f>
        <v/>
      </c>
      <c r="S751" s="111" t="n"/>
    </row>
    <row r="752" ht="18" customHeight="1">
      <c r="A752" s="110" t="n"/>
      <c r="B752" s="111" t="n"/>
      <c r="C752" s="111" t="n"/>
      <c r="D752" s="112" t="n"/>
      <c r="E752" s="111" t="n"/>
      <c r="F752" s="110" t="n"/>
      <c r="G752" s="113" t="n"/>
      <c r="H752" s="113" t="n"/>
      <c r="I752" s="111" t="n"/>
      <c r="J752" s="114" t="n"/>
      <c r="K752" s="114" t="n"/>
      <c r="L752" s="112" t="n"/>
      <c r="M752" s="112" t="n"/>
      <c r="N752" s="112" t="n"/>
      <c r="O752" s="115" t="str">
        <f>IF(OR(D752="",F752=""),"",D752+F752)</f>
        <v/>
      </c>
      <c r="P752" s="116" t="str">
        <f>IF(O752="","",IF(ISNUMBER(M752),O752-M752,IF(OR(H752="DECISÃO D.P",ISNUMBER(N752)),"",O752-TODAY())))</f>
        <v/>
      </c>
      <c r="Q752" s="117" t="str">
        <f>IF(B752="","",IF(ISNUMBER(N752),"DECIDIDO – ","")&amp;IF(ISNUMBER(M752),IF(P752="",IF(F752="","INFORMAR PRAZO","SEM DATA"),IF(P752&gt;=0,"DEFESA NO PRAZO","DEFESA FORA DO PRAZO")),IF(OR(H752="DECISÃO D.P",ISNUMBER(N752)),"SEM DEFESA",IF(H752="","SEM STATUS",IF(F752="","INFORMAR PRAZO",IF(P752="","SEM DATA",IF(P752&lt;0,"VENCIDO",IF(P752&lt;=DiasAlerta,"VENCE EM BREVE","NO PRAZO"))))))))</f>
        <v/>
      </c>
      <c r="R752" s="118" t="str">
        <f>IF(D752="","",TODAY()-D752)</f>
        <v/>
      </c>
      <c r="S752" s="111" t="n"/>
    </row>
    <row r="753" ht="18" customHeight="1">
      <c r="A753" s="110" t="n"/>
      <c r="B753" s="111" t="n"/>
      <c r="C753" s="111" t="n"/>
      <c r="D753" s="112" t="n"/>
      <c r="E753" s="111" t="n"/>
      <c r="F753" s="110" t="n"/>
      <c r="G753" s="113" t="n"/>
      <c r="H753" s="113" t="n"/>
      <c r="I753" s="111" t="n"/>
      <c r="J753" s="114" t="n"/>
      <c r="K753" s="114" t="n"/>
      <c r="L753" s="112" t="n"/>
      <c r="M753" s="112" t="n"/>
      <c r="N753" s="112" t="n"/>
      <c r="O753" s="115" t="str">
        <f>IF(OR(D753="",F753=""),"",D753+F753)</f>
        <v/>
      </c>
      <c r="P753" s="116" t="str">
        <f>IF(O753="","",IF(ISNUMBER(M753),O753-M753,IF(OR(H753="DECISÃO D.P",ISNUMBER(N753)),"",O753-TODAY())))</f>
        <v/>
      </c>
      <c r="Q753" s="117" t="str">
        <f>IF(B753="","",IF(ISNUMBER(N753),"DECIDIDO – ","")&amp;IF(ISNUMBER(M753),IF(P753="",IF(F753="","INFORMAR PRAZO","SEM DATA"),IF(P753&gt;=0,"DEFESA NO PRAZO","DEFESA FORA DO PRAZO")),IF(OR(H753="DECISÃO D.P",ISNUMBER(N753)),"SEM DEFESA",IF(H753="","SEM STATUS",IF(F753="","INFORMAR PRAZO",IF(P753="","SEM DATA",IF(P753&lt;0,"VENCIDO",IF(P753&lt;=DiasAlerta,"VENCE EM BREVE","NO PRAZO"))))))))</f>
        <v/>
      </c>
      <c r="R753" s="118" t="str">
        <f>IF(D753="","",TODAY()-D753)</f>
        <v/>
      </c>
      <c r="S753" s="111" t="n"/>
    </row>
    <row r="754" ht="18" customHeight="1">
      <c r="A754" s="110" t="n"/>
      <c r="B754" s="111" t="n"/>
      <c r="C754" s="111" t="n"/>
      <c r="D754" s="112" t="n"/>
      <c r="E754" s="111" t="n"/>
      <c r="F754" s="110" t="n"/>
      <c r="G754" s="113" t="n"/>
      <c r="H754" s="113" t="n"/>
      <c r="I754" s="111" t="n"/>
      <c r="J754" s="114" t="n"/>
      <c r="K754" s="114" t="n"/>
      <c r="L754" s="112" t="n"/>
      <c r="M754" s="112" t="n"/>
      <c r="N754" s="112" t="n"/>
      <c r="O754" s="115" t="str">
        <f>IF(OR(D754="",F754=""),"",D754+F754)</f>
        <v/>
      </c>
      <c r="P754" s="116" t="str">
        <f>IF(O754="","",IF(ISNUMBER(M754),O754-M754,IF(OR(H754="DECISÃO D.P",ISNUMBER(N754)),"",O754-TODAY())))</f>
        <v/>
      </c>
      <c r="Q754" s="117" t="str">
        <f>IF(B754="","",IF(ISNUMBER(N754),"DECIDIDO – ","")&amp;IF(ISNUMBER(M754),IF(P754="",IF(F754="","INFORMAR PRAZO","SEM DATA"),IF(P754&gt;=0,"DEFESA NO PRAZO","DEFESA FORA DO PRAZO")),IF(OR(H754="DECISÃO D.P",ISNUMBER(N754)),"SEM DEFESA",IF(H754="","SEM STATUS",IF(F754="","INFORMAR PRAZO",IF(P754="","SEM DATA",IF(P754&lt;0,"VENCIDO",IF(P754&lt;=DiasAlerta,"VENCE EM BREVE","NO PRAZO"))))))))</f>
        <v/>
      </c>
      <c r="R754" s="118" t="str">
        <f>IF(D754="","",TODAY()-D754)</f>
        <v/>
      </c>
      <c r="S754" s="111" t="n"/>
    </row>
    <row r="755" ht="18" customHeight="1">
      <c r="A755" s="110" t="n"/>
      <c r="B755" s="111" t="n"/>
      <c r="C755" s="111" t="n"/>
      <c r="D755" s="112" t="n"/>
      <c r="E755" s="111" t="n"/>
      <c r="F755" s="110" t="n"/>
      <c r="G755" s="113" t="n"/>
      <c r="H755" s="113" t="n"/>
      <c r="I755" s="111" t="n"/>
      <c r="J755" s="114" t="n"/>
      <c r="K755" s="114" t="n"/>
      <c r="L755" s="112" t="n"/>
      <c r="M755" s="112" t="n"/>
      <c r="N755" s="112" t="n"/>
      <c r="O755" s="115" t="str">
        <f>IF(OR(D755="",F755=""),"",D755+F755)</f>
        <v/>
      </c>
      <c r="P755" s="116" t="str">
        <f>IF(O755="","",IF(ISNUMBER(M755),O755-M755,IF(OR(H755="DECISÃO D.P",ISNUMBER(N755)),"",O755-TODAY())))</f>
        <v/>
      </c>
      <c r="Q755" s="117" t="str">
        <f>IF(B755="","",IF(ISNUMBER(N755),"DECIDIDO – ","")&amp;IF(ISNUMBER(M755),IF(P755="",IF(F755="","INFORMAR PRAZO","SEM DATA"),IF(P755&gt;=0,"DEFESA NO PRAZO","DEFESA FORA DO PRAZO")),IF(OR(H755="DECISÃO D.P",ISNUMBER(N755)),"SEM DEFESA",IF(H755="","SEM STATUS",IF(F755="","INFORMAR PRAZO",IF(P755="","SEM DATA",IF(P755&lt;0,"VENCIDO",IF(P755&lt;=DiasAlerta,"VENCE EM BREVE","NO PRAZO"))))))))</f>
        <v/>
      </c>
      <c r="R755" s="118" t="str">
        <f>IF(D755="","",TODAY()-D755)</f>
        <v/>
      </c>
      <c r="S755" s="111" t="n"/>
    </row>
    <row r="756" ht="18" customHeight="1">
      <c r="A756" s="110" t="n"/>
      <c r="B756" s="111" t="n"/>
      <c r="C756" s="111" t="n"/>
      <c r="D756" s="112" t="n"/>
      <c r="E756" s="111" t="n"/>
      <c r="F756" s="110" t="n"/>
      <c r="G756" s="113" t="n"/>
      <c r="H756" s="113" t="n"/>
      <c r="I756" s="111" t="n"/>
      <c r="J756" s="114" t="n"/>
      <c r="K756" s="114" t="n"/>
      <c r="L756" s="112" t="n"/>
      <c r="M756" s="112" t="n"/>
      <c r="N756" s="112" t="n"/>
      <c r="O756" s="115" t="str">
        <f>IF(OR(D756="",F756=""),"",D756+F756)</f>
        <v/>
      </c>
      <c r="P756" s="116" t="str">
        <f>IF(O756="","",IF(ISNUMBER(M756),O756-M756,IF(OR(H756="DECISÃO D.P",ISNUMBER(N756)),"",O756-TODAY())))</f>
        <v/>
      </c>
      <c r="Q756" s="117" t="str">
        <f>IF(B756="","",IF(ISNUMBER(N756),"DECIDIDO – ","")&amp;IF(ISNUMBER(M756),IF(P756="",IF(F756="","INFORMAR PRAZO","SEM DATA"),IF(P756&gt;=0,"DEFESA NO PRAZO","DEFESA FORA DO PRAZO")),IF(OR(H756="DECISÃO D.P",ISNUMBER(N756)),"SEM DEFESA",IF(H756="","SEM STATUS",IF(F756="","INFORMAR PRAZO",IF(P756="","SEM DATA",IF(P756&lt;0,"VENCIDO",IF(P756&lt;=DiasAlerta,"VENCE EM BREVE","NO PRAZO"))))))))</f>
        <v/>
      </c>
      <c r="R756" s="118" t="str">
        <f>IF(D756="","",TODAY()-D756)</f>
        <v/>
      </c>
      <c r="S756" s="111" t="n"/>
    </row>
    <row r="757" ht="18" customHeight="1">
      <c r="A757" s="110" t="n"/>
      <c r="B757" s="111" t="n"/>
      <c r="C757" s="111" t="n"/>
      <c r="D757" s="112" t="n"/>
      <c r="E757" s="111" t="n"/>
      <c r="F757" s="110" t="n"/>
      <c r="G757" s="113" t="n"/>
      <c r="H757" s="113" t="n"/>
      <c r="I757" s="111" t="n"/>
      <c r="J757" s="114" t="n"/>
      <c r="K757" s="114" t="n"/>
      <c r="L757" s="112" t="n"/>
      <c r="M757" s="112" t="n"/>
      <c r="N757" s="112" t="n"/>
      <c r="O757" s="115" t="str">
        <f>IF(OR(D757="",F757=""),"",D757+F757)</f>
        <v/>
      </c>
      <c r="P757" s="116" t="str">
        <f>IF(O757="","",IF(ISNUMBER(M757),O757-M757,IF(OR(H757="DECISÃO D.P",ISNUMBER(N757)),"",O757-TODAY())))</f>
        <v/>
      </c>
      <c r="Q757" s="117" t="str">
        <f>IF(B757="","",IF(ISNUMBER(N757),"DECIDIDO – ","")&amp;IF(ISNUMBER(M757),IF(P757="",IF(F757="","INFORMAR PRAZO","SEM DATA"),IF(P757&gt;=0,"DEFESA NO PRAZO","DEFESA FORA DO PRAZO")),IF(OR(H757="DECISÃO D.P",ISNUMBER(N757)),"SEM DEFESA",IF(H757="","SEM STATUS",IF(F757="","INFORMAR PRAZO",IF(P757="","SEM DATA",IF(P757&lt;0,"VENCIDO",IF(P757&lt;=DiasAlerta,"VENCE EM BREVE","NO PRAZO"))))))))</f>
        <v/>
      </c>
      <c r="R757" s="118" t="str">
        <f>IF(D757="","",TODAY()-D757)</f>
        <v/>
      </c>
      <c r="S757" s="111" t="n"/>
    </row>
    <row r="758" ht="18" customHeight="1">
      <c r="A758" s="110" t="n"/>
      <c r="B758" s="111" t="n"/>
      <c r="C758" s="111" t="n"/>
      <c r="D758" s="112" t="n"/>
      <c r="E758" s="111" t="n"/>
      <c r="F758" s="110" t="n"/>
      <c r="G758" s="113" t="n"/>
      <c r="H758" s="113" t="n"/>
      <c r="I758" s="111" t="n"/>
      <c r="J758" s="114" t="n"/>
      <c r="K758" s="114" t="n"/>
      <c r="L758" s="112" t="n"/>
      <c r="M758" s="112" t="n"/>
      <c r="N758" s="112" t="n"/>
      <c r="O758" s="115" t="str">
        <f>IF(OR(D758="",F758=""),"",D758+F758)</f>
        <v/>
      </c>
      <c r="P758" s="116" t="str">
        <f>IF(O758="","",IF(ISNUMBER(M758),O758-M758,IF(OR(H758="DECISÃO D.P",ISNUMBER(N758)),"",O758-TODAY())))</f>
        <v/>
      </c>
      <c r="Q758" s="117" t="str">
        <f>IF(B758="","",IF(ISNUMBER(N758),"DECIDIDO – ","")&amp;IF(ISNUMBER(M758),IF(P758="",IF(F758="","INFORMAR PRAZO","SEM DATA"),IF(P758&gt;=0,"DEFESA NO PRAZO","DEFESA FORA DO PRAZO")),IF(OR(H758="DECISÃO D.P",ISNUMBER(N758)),"SEM DEFESA",IF(H758="","SEM STATUS",IF(F758="","INFORMAR PRAZO",IF(P758="","SEM DATA",IF(P758&lt;0,"VENCIDO",IF(P758&lt;=DiasAlerta,"VENCE EM BREVE","NO PRAZO"))))))))</f>
        <v/>
      </c>
      <c r="R758" s="118" t="str">
        <f>IF(D758="","",TODAY()-D758)</f>
        <v/>
      </c>
      <c r="S758" s="111" t="n"/>
    </row>
    <row r="759" ht="18" customHeight="1">
      <c r="A759" s="110" t="n"/>
      <c r="B759" s="111" t="n"/>
      <c r="C759" s="111" t="n"/>
      <c r="D759" s="112" t="n"/>
      <c r="E759" s="111" t="n"/>
      <c r="F759" s="110" t="n"/>
      <c r="G759" s="113" t="n"/>
      <c r="H759" s="113" t="n"/>
      <c r="I759" s="111" t="n"/>
      <c r="J759" s="114" t="n"/>
      <c r="K759" s="114" t="n"/>
      <c r="L759" s="112" t="n"/>
      <c r="M759" s="112" t="n"/>
      <c r="N759" s="112" t="n"/>
      <c r="O759" s="115" t="str">
        <f>IF(OR(D759="",F759=""),"",D759+F759)</f>
        <v/>
      </c>
      <c r="P759" s="116" t="str">
        <f>IF(O759="","",IF(ISNUMBER(M759),O759-M759,IF(OR(H759="DECISÃO D.P",ISNUMBER(N759)),"",O759-TODAY())))</f>
        <v/>
      </c>
      <c r="Q759" s="117" t="str">
        <f>IF(B759="","",IF(ISNUMBER(N759),"DECIDIDO – ","")&amp;IF(ISNUMBER(M759),IF(P759="",IF(F759="","INFORMAR PRAZO","SEM DATA"),IF(P759&gt;=0,"DEFESA NO PRAZO","DEFESA FORA DO PRAZO")),IF(OR(H759="DECISÃO D.P",ISNUMBER(N759)),"SEM DEFESA",IF(H759="","SEM STATUS",IF(F759="","INFORMAR PRAZO",IF(P759="","SEM DATA",IF(P759&lt;0,"VENCIDO",IF(P759&lt;=DiasAlerta,"VENCE EM BREVE","NO PRAZO"))))))))</f>
        <v/>
      </c>
      <c r="R759" s="118" t="str">
        <f>IF(D759="","",TODAY()-D759)</f>
        <v/>
      </c>
      <c r="S759" s="111" t="n"/>
    </row>
    <row r="760" ht="18" customHeight="1">
      <c r="A760" s="110" t="n"/>
      <c r="B760" s="111" t="n"/>
      <c r="C760" s="111" t="n"/>
      <c r="D760" s="112" t="n"/>
      <c r="E760" s="111" t="n"/>
      <c r="F760" s="110" t="n"/>
      <c r="G760" s="113" t="n"/>
      <c r="H760" s="113" t="n"/>
      <c r="I760" s="111" t="n"/>
      <c r="J760" s="114" t="n"/>
      <c r="K760" s="114" t="n"/>
      <c r="L760" s="112" t="n"/>
      <c r="M760" s="112" t="n"/>
      <c r="N760" s="112" t="n"/>
      <c r="O760" s="115" t="str">
        <f>IF(OR(D760="",F760=""),"",D760+F760)</f>
        <v/>
      </c>
      <c r="P760" s="116" t="str">
        <f>IF(O760="","",IF(ISNUMBER(M760),O760-M760,IF(OR(H760="DECISÃO D.P",ISNUMBER(N760)),"",O760-TODAY())))</f>
        <v/>
      </c>
      <c r="Q760" s="117" t="str">
        <f>IF(B760="","",IF(ISNUMBER(N760),"DECIDIDO – ","")&amp;IF(ISNUMBER(M760),IF(P760="",IF(F760="","INFORMAR PRAZO","SEM DATA"),IF(P760&gt;=0,"DEFESA NO PRAZO","DEFESA FORA DO PRAZO")),IF(OR(H760="DECISÃO D.P",ISNUMBER(N760)),"SEM DEFESA",IF(H760="","SEM STATUS",IF(F760="","INFORMAR PRAZO",IF(P760="","SEM DATA",IF(P760&lt;0,"VENCIDO",IF(P760&lt;=DiasAlerta,"VENCE EM BREVE","NO PRAZO"))))))))</f>
        <v/>
      </c>
      <c r="R760" s="118" t="str">
        <f>IF(D760="","",TODAY()-D760)</f>
        <v/>
      </c>
      <c r="S760" s="111" t="n"/>
    </row>
    <row r="761" ht="18" customHeight="1">
      <c r="A761" s="110" t="n"/>
      <c r="B761" s="111" t="n"/>
      <c r="C761" s="111" t="n"/>
      <c r="D761" s="112" t="n"/>
      <c r="E761" s="111" t="n"/>
      <c r="F761" s="110" t="n"/>
      <c r="G761" s="113" t="n"/>
      <c r="H761" s="113" t="n"/>
      <c r="I761" s="111" t="n"/>
      <c r="J761" s="114" t="n"/>
      <c r="K761" s="114" t="n"/>
      <c r="L761" s="112" t="n"/>
      <c r="M761" s="112" t="n"/>
      <c r="N761" s="112" t="n"/>
      <c r="O761" s="115" t="str">
        <f>IF(OR(D761="",F761=""),"",D761+F761)</f>
        <v/>
      </c>
      <c r="P761" s="116" t="str">
        <f>IF(O761="","",IF(ISNUMBER(M761),O761-M761,IF(OR(H761="DECISÃO D.P",ISNUMBER(N761)),"",O761-TODAY())))</f>
        <v/>
      </c>
      <c r="Q761" s="117" t="str">
        <f>IF(B761="","",IF(ISNUMBER(N761),"DECIDIDO – ","")&amp;IF(ISNUMBER(M761),IF(P761="",IF(F761="","INFORMAR PRAZO","SEM DATA"),IF(P761&gt;=0,"DEFESA NO PRAZO","DEFESA FORA DO PRAZO")),IF(OR(H761="DECISÃO D.P",ISNUMBER(N761)),"SEM DEFESA",IF(H761="","SEM STATUS",IF(F761="","INFORMAR PRAZO",IF(P761="","SEM DATA",IF(P761&lt;0,"VENCIDO",IF(P761&lt;=DiasAlerta,"VENCE EM BREVE","NO PRAZO"))))))))</f>
        <v/>
      </c>
      <c r="R761" s="118" t="str">
        <f>IF(D761="","",TODAY()-D761)</f>
        <v/>
      </c>
      <c r="S761" s="111" t="n"/>
    </row>
    <row r="762" ht="18" customHeight="1">
      <c r="A762" s="110" t="n"/>
      <c r="B762" s="111" t="n"/>
      <c r="C762" s="111" t="n"/>
      <c r="D762" s="112" t="n"/>
      <c r="E762" s="111" t="n"/>
      <c r="F762" s="110" t="n"/>
      <c r="G762" s="113" t="n"/>
      <c r="H762" s="113" t="n"/>
      <c r="I762" s="111" t="n"/>
      <c r="J762" s="114" t="n"/>
      <c r="K762" s="114" t="n"/>
      <c r="L762" s="112" t="n"/>
      <c r="M762" s="112" t="n"/>
      <c r="N762" s="112" t="n"/>
      <c r="O762" s="115" t="str">
        <f>IF(OR(D762="",F762=""),"",D762+F762)</f>
        <v/>
      </c>
      <c r="P762" s="116" t="str">
        <f>IF(O762="","",IF(ISNUMBER(M762),O762-M762,IF(OR(H762="DECISÃO D.P",ISNUMBER(N762)),"",O762-TODAY())))</f>
        <v/>
      </c>
      <c r="Q762" s="117" t="str">
        <f>IF(B762="","",IF(ISNUMBER(N762),"DECIDIDO – ","")&amp;IF(ISNUMBER(M762),IF(P762="",IF(F762="","INFORMAR PRAZO","SEM DATA"),IF(P762&gt;=0,"DEFESA NO PRAZO","DEFESA FORA DO PRAZO")),IF(OR(H762="DECISÃO D.P",ISNUMBER(N762)),"SEM DEFESA",IF(H762="","SEM STATUS",IF(F762="","INFORMAR PRAZO",IF(P762="","SEM DATA",IF(P762&lt;0,"VENCIDO",IF(P762&lt;=DiasAlerta,"VENCE EM BREVE","NO PRAZO"))))))))</f>
        <v/>
      </c>
      <c r="R762" s="118" t="str">
        <f>IF(D762="","",TODAY()-D762)</f>
        <v/>
      </c>
      <c r="S762" s="111" t="n"/>
    </row>
    <row r="763" ht="18" customHeight="1">
      <c r="A763" s="110" t="n"/>
      <c r="B763" s="111" t="n"/>
      <c r="C763" s="111" t="n"/>
      <c r="D763" s="112" t="n"/>
      <c r="E763" s="111" t="n"/>
      <c r="F763" s="110" t="n"/>
      <c r="G763" s="113" t="n"/>
      <c r="H763" s="113" t="n"/>
      <c r="I763" s="111" t="n"/>
      <c r="J763" s="114" t="n"/>
      <c r="K763" s="114" t="n"/>
      <c r="L763" s="112" t="n"/>
      <c r="M763" s="112" t="n"/>
      <c r="N763" s="112" t="n"/>
      <c r="O763" s="115" t="str">
        <f>IF(OR(D763="",F763=""),"",D763+F763)</f>
        <v/>
      </c>
      <c r="P763" s="116" t="str">
        <f>IF(O763="","",IF(ISNUMBER(M763),O763-M763,IF(OR(H763="DECISÃO D.P",ISNUMBER(N763)),"",O763-TODAY())))</f>
        <v/>
      </c>
      <c r="Q763" s="117" t="str">
        <f>IF(B763="","",IF(ISNUMBER(N763),"DECIDIDO – ","")&amp;IF(ISNUMBER(M763),IF(P763="",IF(F763="","INFORMAR PRAZO","SEM DATA"),IF(P763&gt;=0,"DEFESA NO PRAZO","DEFESA FORA DO PRAZO")),IF(OR(H763="DECISÃO D.P",ISNUMBER(N763)),"SEM DEFESA",IF(H763="","SEM STATUS",IF(F763="","INFORMAR PRAZO",IF(P763="","SEM DATA",IF(P763&lt;0,"VENCIDO",IF(P763&lt;=DiasAlerta,"VENCE EM BREVE","NO PRAZO"))))))))</f>
        <v/>
      </c>
      <c r="R763" s="118" t="str">
        <f>IF(D763="","",TODAY()-D763)</f>
        <v/>
      </c>
      <c r="S763" s="111" t="n"/>
    </row>
    <row r="764" ht="18" customHeight="1">
      <c r="A764" s="110" t="n"/>
      <c r="B764" s="111" t="n"/>
      <c r="C764" s="111" t="n"/>
      <c r="D764" s="112" t="n"/>
      <c r="E764" s="111" t="n"/>
      <c r="F764" s="110" t="n"/>
      <c r="G764" s="113" t="n"/>
      <c r="H764" s="113" t="n"/>
      <c r="I764" s="111" t="n"/>
      <c r="J764" s="114" t="n"/>
      <c r="K764" s="114" t="n"/>
      <c r="L764" s="112" t="n"/>
      <c r="M764" s="112" t="n"/>
      <c r="N764" s="112" t="n"/>
      <c r="O764" s="115" t="str">
        <f>IF(OR(D764="",F764=""),"",D764+F764)</f>
        <v/>
      </c>
      <c r="P764" s="116" t="str">
        <f>IF(O764="","",IF(ISNUMBER(M764),O764-M764,IF(OR(H764="DECISÃO D.P",ISNUMBER(N764)),"",O764-TODAY())))</f>
        <v/>
      </c>
      <c r="Q764" s="117" t="str">
        <f>IF(B764="","",IF(ISNUMBER(N764),"DECIDIDO – ","")&amp;IF(ISNUMBER(M764),IF(P764="",IF(F764="","INFORMAR PRAZO","SEM DATA"),IF(P764&gt;=0,"DEFESA NO PRAZO","DEFESA FORA DO PRAZO")),IF(OR(H764="DECISÃO D.P",ISNUMBER(N764)),"SEM DEFESA",IF(H764="","SEM STATUS",IF(F764="","INFORMAR PRAZO",IF(P764="","SEM DATA",IF(P764&lt;0,"VENCIDO",IF(P764&lt;=DiasAlerta,"VENCE EM BREVE","NO PRAZO"))))))))</f>
        <v/>
      </c>
      <c r="R764" s="118" t="str">
        <f>IF(D764="","",TODAY()-D764)</f>
        <v/>
      </c>
      <c r="S764" s="111" t="n"/>
    </row>
    <row r="765" ht="18" customHeight="1">
      <c r="A765" s="110" t="n"/>
      <c r="B765" s="111" t="n"/>
      <c r="C765" s="111" t="n"/>
      <c r="D765" s="112" t="n"/>
      <c r="E765" s="111" t="n"/>
      <c r="F765" s="110" t="n"/>
      <c r="G765" s="113" t="n"/>
      <c r="H765" s="113" t="n"/>
      <c r="I765" s="111" t="n"/>
      <c r="J765" s="114" t="n"/>
      <c r="K765" s="114" t="n"/>
      <c r="L765" s="112" t="n"/>
      <c r="M765" s="112" t="n"/>
      <c r="N765" s="112" t="n"/>
      <c r="O765" s="115" t="str">
        <f>IF(OR(D765="",F765=""),"",D765+F765)</f>
        <v/>
      </c>
      <c r="P765" s="116" t="str">
        <f>IF(O765="","",IF(ISNUMBER(M765),O765-M765,IF(OR(H765="DECISÃO D.P",ISNUMBER(N765)),"",O765-TODAY())))</f>
        <v/>
      </c>
      <c r="Q765" s="117" t="str">
        <f>IF(B765="","",IF(ISNUMBER(N765),"DECIDIDO – ","")&amp;IF(ISNUMBER(M765),IF(P765="",IF(F765="","INFORMAR PRAZO","SEM DATA"),IF(P765&gt;=0,"DEFESA NO PRAZO","DEFESA FORA DO PRAZO")),IF(OR(H765="DECISÃO D.P",ISNUMBER(N765)),"SEM DEFESA",IF(H765="","SEM STATUS",IF(F765="","INFORMAR PRAZO",IF(P765="","SEM DATA",IF(P765&lt;0,"VENCIDO",IF(P765&lt;=DiasAlerta,"VENCE EM BREVE","NO PRAZO"))))))))</f>
        <v/>
      </c>
      <c r="R765" s="118" t="str">
        <f>IF(D765="","",TODAY()-D765)</f>
        <v/>
      </c>
      <c r="S765" s="111" t="n"/>
    </row>
    <row r="766" ht="18" customHeight="1">
      <c r="A766" s="110" t="n"/>
      <c r="B766" s="111" t="n"/>
      <c r="C766" s="111" t="n"/>
      <c r="D766" s="112" t="n"/>
      <c r="E766" s="111" t="n"/>
      <c r="F766" s="110" t="n"/>
      <c r="G766" s="113" t="n"/>
      <c r="H766" s="113" t="n"/>
      <c r="I766" s="111" t="n"/>
      <c r="J766" s="114" t="n"/>
      <c r="K766" s="114" t="n"/>
      <c r="L766" s="112" t="n"/>
      <c r="M766" s="112" t="n"/>
      <c r="N766" s="112" t="n"/>
      <c r="O766" s="115" t="str">
        <f>IF(OR(D766="",F766=""),"",D766+F766)</f>
        <v/>
      </c>
      <c r="P766" s="116" t="str">
        <f>IF(O766="","",IF(ISNUMBER(M766),O766-M766,IF(OR(H766="DECISÃO D.P",ISNUMBER(N766)),"",O766-TODAY())))</f>
        <v/>
      </c>
      <c r="Q766" s="117" t="str">
        <f>IF(B766="","",IF(ISNUMBER(N766),"DECIDIDO – ","")&amp;IF(ISNUMBER(M766),IF(P766="",IF(F766="","INFORMAR PRAZO","SEM DATA"),IF(P766&gt;=0,"DEFESA NO PRAZO","DEFESA FORA DO PRAZO")),IF(OR(H766="DECISÃO D.P",ISNUMBER(N766)),"SEM DEFESA",IF(H766="","SEM STATUS",IF(F766="","INFORMAR PRAZO",IF(P766="","SEM DATA",IF(P766&lt;0,"VENCIDO",IF(P766&lt;=DiasAlerta,"VENCE EM BREVE","NO PRAZO"))))))))</f>
        <v/>
      </c>
      <c r="R766" s="118" t="str">
        <f>IF(D766="","",TODAY()-D766)</f>
        <v/>
      </c>
      <c r="S766" s="111" t="n"/>
    </row>
    <row r="767" ht="18" customHeight="1">
      <c r="A767" s="110" t="n"/>
      <c r="B767" s="111" t="n"/>
      <c r="C767" s="111" t="n"/>
      <c r="D767" s="112" t="n"/>
      <c r="E767" s="111" t="n"/>
      <c r="F767" s="110" t="n"/>
      <c r="G767" s="113" t="n"/>
      <c r="H767" s="113" t="n"/>
      <c r="I767" s="111" t="n"/>
      <c r="J767" s="114" t="n"/>
      <c r="K767" s="114" t="n"/>
      <c r="L767" s="112" t="n"/>
      <c r="M767" s="112" t="n"/>
      <c r="N767" s="112" t="n"/>
      <c r="O767" s="115" t="str">
        <f>IF(OR(D767="",F767=""),"",D767+F767)</f>
        <v/>
      </c>
      <c r="P767" s="116" t="str">
        <f>IF(O767="","",IF(ISNUMBER(M767),O767-M767,IF(OR(H767="DECISÃO D.P",ISNUMBER(N767)),"",O767-TODAY())))</f>
        <v/>
      </c>
      <c r="Q767" s="117" t="str">
        <f>IF(B767="","",IF(ISNUMBER(N767),"DECIDIDO – ","")&amp;IF(ISNUMBER(M767),IF(P767="",IF(F767="","INFORMAR PRAZO","SEM DATA"),IF(P767&gt;=0,"DEFESA NO PRAZO","DEFESA FORA DO PRAZO")),IF(OR(H767="DECISÃO D.P",ISNUMBER(N767)),"SEM DEFESA",IF(H767="","SEM STATUS",IF(F767="","INFORMAR PRAZO",IF(P767="","SEM DATA",IF(P767&lt;0,"VENCIDO",IF(P767&lt;=DiasAlerta,"VENCE EM BREVE","NO PRAZO"))))))))</f>
        <v/>
      </c>
      <c r="R767" s="118" t="str">
        <f>IF(D767="","",TODAY()-D767)</f>
        <v/>
      </c>
      <c r="S767" s="111" t="n"/>
    </row>
    <row r="768" ht="18" customHeight="1">
      <c r="A768" s="110" t="n"/>
      <c r="B768" s="111" t="n"/>
      <c r="C768" s="111" t="n"/>
      <c r="D768" s="112" t="n"/>
      <c r="E768" s="111" t="n"/>
      <c r="F768" s="110" t="n"/>
      <c r="G768" s="113" t="n"/>
      <c r="H768" s="113" t="n"/>
      <c r="I768" s="111" t="n"/>
      <c r="J768" s="114" t="n"/>
      <c r="K768" s="114" t="n"/>
      <c r="L768" s="112" t="n"/>
      <c r="M768" s="112" t="n"/>
      <c r="N768" s="112" t="n"/>
      <c r="O768" s="115" t="str">
        <f>IF(OR(D768="",F768=""),"",D768+F768)</f>
        <v/>
      </c>
      <c r="P768" s="116" t="str">
        <f>IF(O768="","",IF(ISNUMBER(M768),O768-M768,IF(OR(H768="DECISÃO D.P",ISNUMBER(N768)),"",O768-TODAY())))</f>
        <v/>
      </c>
      <c r="Q768" s="117" t="str">
        <f>IF(B768="","",IF(ISNUMBER(N768),"DECIDIDO – ","")&amp;IF(ISNUMBER(M768),IF(P768="",IF(F768="","INFORMAR PRAZO","SEM DATA"),IF(P768&gt;=0,"DEFESA NO PRAZO","DEFESA FORA DO PRAZO")),IF(OR(H768="DECISÃO D.P",ISNUMBER(N768)),"SEM DEFESA",IF(H768="","SEM STATUS",IF(F768="","INFORMAR PRAZO",IF(P768="","SEM DATA",IF(P768&lt;0,"VENCIDO",IF(P768&lt;=DiasAlerta,"VENCE EM BREVE","NO PRAZO"))))))))</f>
        <v/>
      </c>
      <c r="R768" s="118" t="str">
        <f>IF(D768="","",TODAY()-D768)</f>
        <v/>
      </c>
      <c r="S768" s="111" t="n"/>
    </row>
    <row r="769" ht="18" customHeight="1">
      <c r="A769" s="110" t="n"/>
      <c r="B769" s="111" t="n"/>
      <c r="C769" s="111" t="n"/>
      <c r="D769" s="112" t="n"/>
      <c r="E769" s="111" t="n"/>
      <c r="F769" s="110" t="n"/>
      <c r="G769" s="113" t="n"/>
      <c r="H769" s="113" t="n"/>
      <c r="I769" s="111" t="n"/>
      <c r="J769" s="114" t="n"/>
      <c r="K769" s="114" t="n"/>
      <c r="L769" s="112" t="n"/>
      <c r="M769" s="112" t="n"/>
      <c r="N769" s="112" t="n"/>
      <c r="O769" s="115" t="str">
        <f>IF(OR(D769="",F769=""),"",D769+F769)</f>
        <v/>
      </c>
      <c r="P769" s="116" t="str">
        <f>IF(O769="","",IF(ISNUMBER(M769),O769-M769,IF(OR(H769="DECISÃO D.P",ISNUMBER(N769)),"",O769-TODAY())))</f>
        <v/>
      </c>
      <c r="Q769" s="117" t="str">
        <f>IF(B769="","",IF(ISNUMBER(N769),"DECIDIDO – ","")&amp;IF(ISNUMBER(M769),IF(P769="",IF(F769="","INFORMAR PRAZO","SEM DATA"),IF(P769&gt;=0,"DEFESA NO PRAZO","DEFESA FORA DO PRAZO")),IF(OR(H769="DECISÃO D.P",ISNUMBER(N769)),"SEM DEFESA",IF(H769="","SEM STATUS",IF(F769="","INFORMAR PRAZO",IF(P769="","SEM DATA",IF(P769&lt;0,"VENCIDO",IF(P769&lt;=DiasAlerta,"VENCE EM BREVE","NO PRAZO"))))))))</f>
        <v/>
      </c>
      <c r="R769" s="118" t="str">
        <f>IF(D769="","",TODAY()-D769)</f>
        <v/>
      </c>
      <c r="S769" s="111" t="n"/>
    </row>
    <row r="770" ht="18" customHeight="1">
      <c r="A770" s="110" t="n"/>
      <c r="B770" s="111" t="n"/>
      <c r="C770" s="111" t="n"/>
      <c r="D770" s="112" t="n"/>
      <c r="E770" s="111" t="n"/>
      <c r="F770" s="110" t="n"/>
      <c r="G770" s="113" t="n"/>
      <c r="H770" s="113" t="n"/>
      <c r="I770" s="111" t="n"/>
      <c r="J770" s="114" t="n"/>
      <c r="K770" s="114" t="n"/>
      <c r="L770" s="112" t="n"/>
      <c r="M770" s="112" t="n"/>
      <c r="N770" s="112" t="n"/>
      <c r="O770" s="115" t="str">
        <f>IF(OR(D770="",F770=""),"",D770+F770)</f>
        <v/>
      </c>
      <c r="P770" s="116" t="str">
        <f>IF(O770="","",IF(ISNUMBER(M770),O770-M770,IF(OR(H770="DECISÃO D.P",ISNUMBER(N770)),"",O770-TODAY())))</f>
        <v/>
      </c>
      <c r="Q770" s="117" t="str">
        <f>IF(B770="","",IF(ISNUMBER(N770),"DECIDIDO – ","")&amp;IF(ISNUMBER(M770),IF(P770="",IF(F770="","INFORMAR PRAZO","SEM DATA"),IF(P770&gt;=0,"DEFESA NO PRAZO","DEFESA FORA DO PRAZO")),IF(OR(H770="DECISÃO D.P",ISNUMBER(N770)),"SEM DEFESA",IF(H770="","SEM STATUS",IF(F770="","INFORMAR PRAZO",IF(P770="","SEM DATA",IF(P770&lt;0,"VENCIDO",IF(P770&lt;=DiasAlerta,"VENCE EM BREVE","NO PRAZO"))))))))</f>
        <v/>
      </c>
      <c r="R770" s="118" t="str">
        <f>IF(D770="","",TODAY()-D770)</f>
        <v/>
      </c>
      <c r="S770" s="111" t="n"/>
    </row>
    <row r="771" ht="18" customHeight="1">
      <c r="A771" s="110" t="n"/>
      <c r="B771" s="111" t="n"/>
      <c r="C771" s="111" t="n"/>
      <c r="D771" s="112" t="n"/>
      <c r="E771" s="111" t="n"/>
      <c r="F771" s="110" t="n"/>
      <c r="G771" s="113" t="n"/>
      <c r="H771" s="113" t="n"/>
      <c r="I771" s="111" t="n"/>
      <c r="J771" s="114" t="n"/>
      <c r="K771" s="114" t="n"/>
      <c r="L771" s="112" t="n"/>
      <c r="M771" s="112" t="n"/>
      <c r="N771" s="112" t="n"/>
      <c r="O771" s="115" t="str">
        <f>IF(OR(D771="",F771=""),"",D771+F771)</f>
        <v/>
      </c>
      <c r="P771" s="116" t="str">
        <f>IF(O771="","",IF(ISNUMBER(M771),O771-M771,IF(OR(H771="DECISÃO D.P",ISNUMBER(N771)),"",O771-TODAY())))</f>
        <v/>
      </c>
      <c r="Q771" s="117" t="str">
        <f>IF(B771="","",IF(ISNUMBER(N771),"DECIDIDO – ","")&amp;IF(ISNUMBER(M771),IF(P771="",IF(F771="","INFORMAR PRAZO","SEM DATA"),IF(P771&gt;=0,"DEFESA NO PRAZO","DEFESA FORA DO PRAZO")),IF(OR(H771="DECISÃO D.P",ISNUMBER(N771)),"SEM DEFESA",IF(H771="","SEM STATUS",IF(F771="","INFORMAR PRAZO",IF(P771="","SEM DATA",IF(P771&lt;0,"VENCIDO",IF(P771&lt;=DiasAlerta,"VENCE EM BREVE","NO PRAZO"))))))))</f>
        <v/>
      </c>
      <c r="R771" s="118" t="str">
        <f>IF(D771="","",TODAY()-D771)</f>
        <v/>
      </c>
      <c r="S771" s="111" t="n"/>
    </row>
    <row r="772" ht="18" customHeight="1">
      <c r="A772" s="110" t="n"/>
      <c r="B772" s="111" t="n"/>
      <c r="C772" s="111" t="n"/>
      <c r="D772" s="112" t="n"/>
      <c r="E772" s="111" t="n"/>
      <c r="F772" s="110" t="n"/>
      <c r="G772" s="113" t="n"/>
      <c r="H772" s="113" t="n"/>
      <c r="I772" s="111" t="n"/>
      <c r="J772" s="114" t="n"/>
      <c r="K772" s="114" t="n"/>
      <c r="L772" s="112" t="n"/>
      <c r="M772" s="112" t="n"/>
      <c r="N772" s="112" t="n"/>
      <c r="O772" s="115" t="str">
        <f>IF(OR(D772="",F772=""),"",D772+F772)</f>
        <v/>
      </c>
      <c r="P772" s="116" t="str">
        <f>IF(O772="","",IF(ISNUMBER(M772),O772-M772,IF(OR(H772="DECISÃO D.P",ISNUMBER(N772)),"",O772-TODAY())))</f>
        <v/>
      </c>
      <c r="Q772" s="117" t="str">
        <f>IF(B772="","",IF(ISNUMBER(N772),"DECIDIDO – ","")&amp;IF(ISNUMBER(M772),IF(P772="",IF(F772="","INFORMAR PRAZO","SEM DATA"),IF(P772&gt;=0,"DEFESA NO PRAZO","DEFESA FORA DO PRAZO")),IF(OR(H772="DECISÃO D.P",ISNUMBER(N772)),"SEM DEFESA",IF(H772="","SEM STATUS",IF(F772="","INFORMAR PRAZO",IF(P772="","SEM DATA",IF(P772&lt;0,"VENCIDO",IF(P772&lt;=DiasAlerta,"VENCE EM BREVE","NO PRAZO"))))))))</f>
        <v/>
      </c>
      <c r="R772" s="118" t="str">
        <f>IF(D772="","",TODAY()-D772)</f>
        <v/>
      </c>
      <c r="S772" s="111" t="n"/>
    </row>
    <row r="773" ht="18" customHeight="1">
      <c r="A773" s="110" t="n"/>
      <c r="B773" s="111" t="n"/>
      <c r="C773" s="111" t="n"/>
      <c r="D773" s="112" t="n"/>
      <c r="E773" s="111" t="n"/>
      <c r="F773" s="110" t="n"/>
      <c r="G773" s="113" t="n"/>
      <c r="H773" s="113" t="n"/>
      <c r="I773" s="111" t="n"/>
      <c r="J773" s="114" t="n"/>
      <c r="K773" s="114" t="n"/>
      <c r="L773" s="112" t="n"/>
      <c r="M773" s="112" t="n"/>
      <c r="N773" s="112" t="n"/>
      <c r="O773" s="115" t="str">
        <f>IF(OR(D773="",F773=""),"",D773+F773)</f>
        <v/>
      </c>
      <c r="P773" s="116" t="str">
        <f>IF(O773="","",IF(ISNUMBER(M773),O773-M773,IF(OR(H773="DECISÃO D.P",ISNUMBER(N773)),"",O773-TODAY())))</f>
        <v/>
      </c>
      <c r="Q773" s="117" t="str">
        <f>IF(B773="","",IF(ISNUMBER(N773),"DECIDIDO – ","")&amp;IF(ISNUMBER(M773),IF(P773="",IF(F773="","INFORMAR PRAZO","SEM DATA"),IF(P773&gt;=0,"DEFESA NO PRAZO","DEFESA FORA DO PRAZO")),IF(OR(H773="DECISÃO D.P",ISNUMBER(N773)),"SEM DEFESA",IF(H773="","SEM STATUS",IF(F773="","INFORMAR PRAZO",IF(P773="","SEM DATA",IF(P773&lt;0,"VENCIDO",IF(P773&lt;=DiasAlerta,"VENCE EM BREVE","NO PRAZO"))))))))</f>
        <v/>
      </c>
      <c r="R773" s="118" t="str">
        <f>IF(D773="","",TODAY()-D773)</f>
        <v/>
      </c>
      <c r="S773" s="111" t="n"/>
    </row>
    <row r="774" ht="18" customHeight="1">
      <c r="A774" s="110" t="n"/>
      <c r="B774" s="111" t="n"/>
      <c r="C774" s="111" t="n"/>
      <c r="D774" s="112" t="n"/>
      <c r="E774" s="111" t="n"/>
      <c r="F774" s="110" t="n"/>
      <c r="G774" s="113" t="n"/>
      <c r="H774" s="113" t="n"/>
      <c r="I774" s="111" t="n"/>
      <c r="J774" s="114" t="n"/>
      <c r="K774" s="114" t="n"/>
      <c r="L774" s="112" t="n"/>
      <c r="M774" s="112" t="n"/>
      <c r="N774" s="112" t="n"/>
      <c r="O774" s="115" t="str">
        <f>IF(OR(D774="",F774=""),"",D774+F774)</f>
        <v/>
      </c>
      <c r="P774" s="116" t="str">
        <f>IF(O774="","",IF(ISNUMBER(M774),O774-M774,IF(OR(H774="DECISÃO D.P",ISNUMBER(N774)),"",O774-TODAY())))</f>
        <v/>
      </c>
      <c r="Q774" s="117" t="str">
        <f>IF(B774="","",IF(ISNUMBER(N774),"DECIDIDO – ","")&amp;IF(ISNUMBER(M774),IF(P774="",IF(F774="","INFORMAR PRAZO","SEM DATA"),IF(P774&gt;=0,"DEFESA NO PRAZO","DEFESA FORA DO PRAZO")),IF(OR(H774="DECISÃO D.P",ISNUMBER(N774)),"SEM DEFESA",IF(H774="","SEM STATUS",IF(F774="","INFORMAR PRAZO",IF(P774="","SEM DATA",IF(P774&lt;0,"VENCIDO",IF(P774&lt;=DiasAlerta,"VENCE EM BREVE","NO PRAZO"))))))))</f>
        <v/>
      </c>
      <c r="R774" s="118" t="str">
        <f>IF(D774="","",TODAY()-D774)</f>
        <v/>
      </c>
      <c r="S774" s="111" t="n"/>
    </row>
    <row r="775" ht="18" customHeight="1">
      <c r="A775" s="110" t="n"/>
      <c r="B775" s="111" t="n"/>
      <c r="C775" s="111" t="n"/>
      <c r="D775" s="112" t="n"/>
      <c r="E775" s="111" t="n"/>
      <c r="F775" s="110" t="n"/>
      <c r="G775" s="113" t="n"/>
      <c r="H775" s="113" t="n"/>
      <c r="I775" s="111" t="n"/>
      <c r="J775" s="114" t="n"/>
      <c r="K775" s="114" t="n"/>
      <c r="L775" s="112" t="n"/>
      <c r="M775" s="112" t="n"/>
      <c r="N775" s="112" t="n"/>
      <c r="O775" s="115" t="str">
        <f>IF(OR(D775="",F775=""),"",D775+F775)</f>
        <v/>
      </c>
      <c r="P775" s="116" t="str">
        <f>IF(O775="","",IF(ISNUMBER(M775),O775-M775,IF(OR(H775="DECISÃO D.P",ISNUMBER(N775)),"",O775-TODAY())))</f>
        <v/>
      </c>
      <c r="Q775" s="117" t="str">
        <f>IF(B775="","",IF(ISNUMBER(N775),"DECIDIDO – ","")&amp;IF(ISNUMBER(M775),IF(P775="",IF(F775="","INFORMAR PRAZO","SEM DATA"),IF(P775&gt;=0,"DEFESA NO PRAZO","DEFESA FORA DO PRAZO")),IF(OR(H775="DECISÃO D.P",ISNUMBER(N775)),"SEM DEFESA",IF(H775="","SEM STATUS",IF(F775="","INFORMAR PRAZO",IF(P775="","SEM DATA",IF(P775&lt;0,"VENCIDO",IF(P775&lt;=DiasAlerta,"VENCE EM BREVE","NO PRAZO"))))))))</f>
        <v/>
      </c>
      <c r="R775" s="118" t="str">
        <f>IF(D775="","",TODAY()-D775)</f>
        <v/>
      </c>
      <c r="S775" s="111" t="n"/>
    </row>
    <row r="776" ht="18" customHeight="1">
      <c r="A776" s="110" t="n"/>
      <c r="B776" s="111" t="n"/>
      <c r="C776" s="111" t="n"/>
      <c r="D776" s="112" t="n"/>
      <c r="E776" s="111" t="n"/>
      <c r="F776" s="110" t="n"/>
      <c r="G776" s="113" t="n"/>
      <c r="H776" s="113" t="n"/>
      <c r="I776" s="111" t="n"/>
      <c r="J776" s="114" t="n"/>
      <c r="K776" s="114" t="n"/>
      <c r="L776" s="112" t="n"/>
      <c r="M776" s="112" t="n"/>
      <c r="N776" s="112" t="n"/>
      <c r="O776" s="115" t="str">
        <f>IF(OR(D776="",F776=""),"",D776+F776)</f>
        <v/>
      </c>
      <c r="P776" s="116" t="str">
        <f>IF(O776="","",IF(ISNUMBER(M776),O776-M776,IF(OR(H776="DECISÃO D.P",ISNUMBER(N776)),"",O776-TODAY())))</f>
        <v/>
      </c>
      <c r="Q776" s="117" t="str">
        <f>IF(B776="","",IF(ISNUMBER(N776),"DECIDIDO – ","")&amp;IF(ISNUMBER(M776),IF(P776="",IF(F776="","INFORMAR PRAZO","SEM DATA"),IF(P776&gt;=0,"DEFESA NO PRAZO","DEFESA FORA DO PRAZO")),IF(OR(H776="DECISÃO D.P",ISNUMBER(N776)),"SEM DEFESA",IF(H776="","SEM STATUS",IF(F776="","INFORMAR PRAZO",IF(P776="","SEM DATA",IF(P776&lt;0,"VENCIDO",IF(P776&lt;=DiasAlerta,"VENCE EM BREVE","NO PRAZO"))))))))</f>
        <v/>
      </c>
      <c r="R776" s="118" t="str">
        <f>IF(D776="","",TODAY()-D776)</f>
        <v/>
      </c>
      <c r="S776" s="111" t="n"/>
    </row>
    <row r="777" ht="18" customHeight="1">
      <c r="A777" s="110" t="n"/>
      <c r="B777" s="111" t="n"/>
      <c r="C777" s="111" t="n"/>
      <c r="D777" s="112" t="n"/>
      <c r="E777" s="111" t="n"/>
      <c r="F777" s="110" t="n"/>
      <c r="G777" s="113" t="n"/>
      <c r="H777" s="113" t="n"/>
      <c r="I777" s="111" t="n"/>
      <c r="J777" s="114" t="n"/>
      <c r="K777" s="114" t="n"/>
      <c r="L777" s="112" t="n"/>
      <c r="M777" s="112" t="n"/>
      <c r="N777" s="112" t="n"/>
      <c r="O777" s="115" t="str">
        <f>IF(OR(D777="",F777=""),"",D777+F777)</f>
        <v/>
      </c>
      <c r="P777" s="116" t="str">
        <f>IF(O777="","",IF(ISNUMBER(M777),O777-M777,IF(OR(H777="DECISÃO D.P",ISNUMBER(N777)),"",O777-TODAY())))</f>
        <v/>
      </c>
      <c r="Q777" s="117" t="str">
        <f>IF(B777="","",IF(ISNUMBER(N777),"DECIDIDO – ","")&amp;IF(ISNUMBER(M777),IF(P777="",IF(F777="","INFORMAR PRAZO","SEM DATA"),IF(P777&gt;=0,"DEFESA NO PRAZO","DEFESA FORA DO PRAZO")),IF(OR(H777="DECISÃO D.P",ISNUMBER(N777)),"SEM DEFESA",IF(H777="","SEM STATUS",IF(F777="","INFORMAR PRAZO",IF(P777="","SEM DATA",IF(P777&lt;0,"VENCIDO",IF(P777&lt;=DiasAlerta,"VENCE EM BREVE","NO PRAZO"))))))))</f>
        <v/>
      </c>
      <c r="R777" s="118" t="str">
        <f>IF(D777="","",TODAY()-D777)</f>
        <v/>
      </c>
      <c r="S777" s="111" t="n"/>
    </row>
    <row r="778" ht="18" customHeight="1">
      <c r="A778" s="110" t="n"/>
      <c r="B778" s="111" t="n"/>
      <c r="C778" s="111" t="n"/>
      <c r="D778" s="112" t="n"/>
      <c r="E778" s="111" t="n"/>
      <c r="F778" s="110" t="n"/>
      <c r="G778" s="113" t="n"/>
      <c r="H778" s="113" t="n"/>
      <c r="I778" s="111" t="n"/>
      <c r="J778" s="114" t="n"/>
      <c r="K778" s="114" t="n"/>
      <c r="L778" s="112" t="n"/>
      <c r="M778" s="112" t="n"/>
      <c r="N778" s="112" t="n"/>
      <c r="O778" s="115" t="str">
        <f>IF(OR(D778="",F778=""),"",D778+F778)</f>
        <v/>
      </c>
      <c r="P778" s="116" t="str">
        <f>IF(O778="","",IF(ISNUMBER(M778),O778-M778,IF(OR(H778="DECISÃO D.P",ISNUMBER(N778)),"",O778-TODAY())))</f>
        <v/>
      </c>
      <c r="Q778" s="117" t="str">
        <f>IF(B778="","",IF(ISNUMBER(N778),"DECIDIDO – ","")&amp;IF(ISNUMBER(M778),IF(P778="",IF(F778="","INFORMAR PRAZO","SEM DATA"),IF(P778&gt;=0,"DEFESA NO PRAZO","DEFESA FORA DO PRAZO")),IF(OR(H778="DECISÃO D.P",ISNUMBER(N778)),"SEM DEFESA",IF(H778="","SEM STATUS",IF(F778="","INFORMAR PRAZO",IF(P778="","SEM DATA",IF(P778&lt;0,"VENCIDO",IF(P778&lt;=DiasAlerta,"VENCE EM BREVE","NO PRAZO"))))))))</f>
        <v/>
      </c>
      <c r="R778" s="118" t="str">
        <f>IF(D778="","",TODAY()-D778)</f>
        <v/>
      </c>
      <c r="S778" s="111" t="n"/>
    </row>
    <row r="779" ht="18" customHeight="1">
      <c r="A779" s="110" t="n"/>
      <c r="B779" s="111" t="n"/>
      <c r="C779" s="111" t="n"/>
      <c r="D779" s="112" t="n"/>
      <c r="E779" s="111" t="n"/>
      <c r="F779" s="110" t="n"/>
      <c r="G779" s="113" t="n"/>
      <c r="H779" s="113" t="n"/>
      <c r="I779" s="111" t="n"/>
      <c r="J779" s="114" t="n"/>
      <c r="K779" s="114" t="n"/>
      <c r="L779" s="112" t="n"/>
      <c r="M779" s="112" t="n"/>
      <c r="N779" s="112" t="n"/>
      <c r="O779" s="115" t="str">
        <f>IF(OR(D779="",F779=""),"",D779+F779)</f>
        <v/>
      </c>
      <c r="P779" s="116" t="str">
        <f>IF(O779="","",IF(ISNUMBER(M779),O779-M779,IF(OR(H779="DECISÃO D.P",ISNUMBER(N779)),"",O779-TODAY())))</f>
        <v/>
      </c>
      <c r="Q779" s="117" t="str">
        <f>IF(B779="","",IF(ISNUMBER(N779),"DECIDIDO – ","")&amp;IF(ISNUMBER(M779),IF(P779="",IF(F779="","INFORMAR PRAZO","SEM DATA"),IF(P779&gt;=0,"DEFESA NO PRAZO","DEFESA FORA DO PRAZO")),IF(OR(H779="DECISÃO D.P",ISNUMBER(N779)),"SEM DEFESA",IF(H779="","SEM STATUS",IF(F779="","INFORMAR PRAZO",IF(P779="","SEM DATA",IF(P779&lt;0,"VENCIDO",IF(P779&lt;=DiasAlerta,"VENCE EM BREVE","NO PRAZO"))))))))</f>
        <v/>
      </c>
      <c r="R779" s="118" t="str">
        <f>IF(D779="","",TODAY()-D779)</f>
        <v/>
      </c>
      <c r="S779" s="111" t="n"/>
    </row>
    <row r="780" ht="18" customHeight="1">
      <c r="A780" s="110" t="n"/>
      <c r="B780" s="111" t="n"/>
      <c r="C780" s="111" t="n"/>
      <c r="D780" s="112" t="n"/>
      <c r="E780" s="111" t="n"/>
      <c r="F780" s="110" t="n"/>
      <c r="G780" s="113" t="n"/>
      <c r="H780" s="113" t="n"/>
      <c r="I780" s="111" t="n"/>
      <c r="J780" s="114" t="n"/>
      <c r="K780" s="114" t="n"/>
      <c r="L780" s="112" t="n"/>
      <c r="M780" s="112" t="n"/>
      <c r="N780" s="112" t="n"/>
      <c r="O780" s="115" t="str">
        <f>IF(OR(D780="",F780=""),"",D780+F780)</f>
        <v/>
      </c>
      <c r="P780" s="116" t="str">
        <f>IF(O780="","",IF(ISNUMBER(M780),O780-M780,IF(OR(H780="DECISÃO D.P",ISNUMBER(N780)),"",O780-TODAY())))</f>
        <v/>
      </c>
      <c r="Q780" s="117" t="str">
        <f>IF(B780="","",IF(ISNUMBER(N780),"DECIDIDO – ","")&amp;IF(ISNUMBER(M780),IF(P780="",IF(F780="","INFORMAR PRAZO","SEM DATA"),IF(P780&gt;=0,"DEFESA NO PRAZO","DEFESA FORA DO PRAZO")),IF(OR(H780="DECISÃO D.P",ISNUMBER(N780)),"SEM DEFESA",IF(H780="","SEM STATUS",IF(F780="","INFORMAR PRAZO",IF(P780="","SEM DATA",IF(P780&lt;0,"VENCIDO",IF(P780&lt;=DiasAlerta,"VENCE EM BREVE","NO PRAZO"))))))))</f>
        <v/>
      </c>
      <c r="R780" s="118" t="str">
        <f>IF(D780="","",TODAY()-D780)</f>
        <v/>
      </c>
      <c r="S780" s="111" t="n"/>
    </row>
    <row r="781" ht="18" customHeight="1">
      <c r="A781" s="110" t="n"/>
      <c r="B781" s="111" t="n"/>
      <c r="C781" s="111" t="n"/>
      <c r="D781" s="112" t="n"/>
      <c r="E781" s="111" t="n"/>
      <c r="F781" s="110" t="n"/>
      <c r="G781" s="113" t="n"/>
      <c r="H781" s="113" t="n"/>
      <c r="I781" s="111" t="n"/>
      <c r="J781" s="114" t="n"/>
      <c r="K781" s="114" t="n"/>
      <c r="L781" s="112" t="n"/>
      <c r="M781" s="112" t="n"/>
      <c r="N781" s="112" t="n"/>
      <c r="O781" s="115" t="str">
        <f>IF(OR(D781="",F781=""),"",D781+F781)</f>
        <v/>
      </c>
      <c r="P781" s="116" t="str">
        <f>IF(O781="","",IF(ISNUMBER(M781),O781-M781,IF(OR(H781="DECISÃO D.P",ISNUMBER(N781)),"",O781-TODAY())))</f>
        <v/>
      </c>
      <c r="Q781" s="117" t="str">
        <f>IF(B781="","",IF(ISNUMBER(N781),"DECIDIDO – ","")&amp;IF(ISNUMBER(M781),IF(P781="",IF(F781="","INFORMAR PRAZO","SEM DATA"),IF(P781&gt;=0,"DEFESA NO PRAZO","DEFESA FORA DO PRAZO")),IF(OR(H781="DECISÃO D.P",ISNUMBER(N781)),"SEM DEFESA",IF(H781="","SEM STATUS",IF(F781="","INFORMAR PRAZO",IF(P781="","SEM DATA",IF(P781&lt;0,"VENCIDO",IF(P781&lt;=DiasAlerta,"VENCE EM BREVE","NO PRAZO"))))))))</f>
        <v/>
      </c>
      <c r="R781" s="118" t="str">
        <f>IF(D781="","",TODAY()-D781)</f>
        <v/>
      </c>
      <c r="S781" s="111" t="n"/>
    </row>
    <row r="782" ht="18" customHeight="1">
      <c r="A782" s="110" t="n"/>
      <c r="B782" s="111" t="n"/>
      <c r="C782" s="111" t="n"/>
      <c r="D782" s="112" t="n"/>
      <c r="E782" s="111" t="n"/>
      <c r="F782" s="110" t="n"/>
      <c r="G782" s="113" t="n"/>
      <c r="H782" s="113" t="n"/>
      <c r="I782" s="111" t="n"/>
      <c r="J782" s="114" t="n"/>
      <c r="K782" s="114" t="n"/>
      <c r="L782" s="112" t="n"/>
      <c r="M782" s="112" t="n"/>
      <c r="N782" s="112" t="n"/>
      <c r="O782" s="115" t="str">
        <f>IF(OR(D782="",F782=""),"",D782+F782)</f>
        <v/>
      </c>
      <c r="P782" s="116" t="str">
        <f>IF(O782="","",IF(ISNUMBER(M782),O782-M782,IF(OR(H782="DECISÃO D.P",ISNUMBER(N782)),"",O782-TODAY())))</f>
        <v/>
      </c>
      <c r="Q782" s="117" t="str">
        <f>IF(B782="","",IF(ISNUMBER(N782),"DECIDIDO – ","")&amp;IF(ISNUMBER(M782),IF(P782="",IF(F782="","INFORMAR PRAZO","SEM DATA"),IF(P782&gt;=0,"DEFESA NO PRAZO","DEFESA FORA DO PRAZO")),IF(OR(H782="DECISÃO D.P",ISNUMBER(N782)),"SEM DEFESA",IF(H782="","SEM STATUS",IF(F782="","INFORMAR PRAZO",IF(P782="","SEM DATA",IF(P782&lt;0,"VENCIDO",IF(P782&lt;=DiasAlerta,"VENCE EM BREVE","NO PRAZO"))))))))</f>
        <v/>
      </c>
      <c r="R782" s="118" t="str">
        <f>IF(D782="","",TODAY()-D782)</f>
        <v/>
      </c>
      <c r="S782" s="111" t="n"/>
    </row>
    <row r="783" ht="18" customHeight="1">
      <c r="A783" s="110" t="n"/>
      <c r="B783" s="111" t="n"/>
      <c r="C783" s="111" t="n"/>
      <c r="D783" s="112" t="n"/>
      <c r="E783" s="111" t="n"/>
      <c r="F783" s="110" t="n"/>
      <c r="G783" s="113" t="n"/>
      <c r="H783" s="113" t="n"/>
      <c r="I783" s="111" t="n"/>
      <c r="J783" s="114" t="n"/>
      <c r="K783" s="114" t="n"/>
      <c r="L783" s="112" t="n"/>
      <c r="M783" s="112" t="n"/>
      <c r="N783" s="112" t="n"/>
      <c r="O783" s="115" t="str">
        <f>IF(OR(D783="",F783=""),"",D783+F783)</f>
        <v/>
      </c>
      <c r="P783" s="116" t="str">
        <f>IF(O783="","",IF(ISNUMBER(M783),O783-M783,IF(OR(H783="DECISÃO D.P",ISNUMBER(N783)),"",O783-TODAY())))</f>
        <v/>
      </c>
      <c r="Q783" s="117" t="str">
        <f>IF(B783="","",IF(ISNUMBER(N783),"DECIDIDO – ","")&amp;IF(ISNUMBER(M783),IF(P783="",IF(F783="","INFORMAR PRAZO","SEM DATA"),IF(P783&gt;=0,"DEFESA NO PRAZO","DEFESA FORA DO PRAZO")),IF(OR(H783="DECISÃO D.P",ISNUMBER(N783)),"SEM DEFESA",IF(H783="","SEM STATUS",IF(F783="","INFORMAR PRAZO",IF(P783="","SEM DATA",IF(P783&lt;0,"VENCIDO",IF(P783&lt;=DiasAlerta,"VENCE EM BREVE","NO PRAZO"))))))))</f>
        <v/>
      </c>
      <c r="R783" s="118" t="str">
        <f>IF(D783="","",TODAY()-D783)</f>
        <v/>
      </c>
      <c r="S783" s="111" t="n"/>
    </row>
    <row r="784" ht="18" customHeight="1">
      <c r="A784" s="110" t="n"/>
      <c r="B784" s="111" t="n"/>
      <c r="C784" s="111" t="n"/>
      <c r="D784" s="112" t="n"/>
      <c r="E784" s="111" t="n"/>
      <c r="F784" s="110" t="n"/>
      <c r="G784" s="113" t="n"/>
      <c r="H784" s="113" t="n"/>
      <c r="I784" s="111" t="n"/>
      <c r="J784" s="114" t="n"/>
      <c r="K784" s="114" t="n"/>
      <c r="L784" s="112" t="n"/>
      <c r="M784" s="112" t="n"/>
      <c r="N784" s="112" t="n"/>
      <c r="O784" s="115" t="str">
        <f>IF(OR(D784="",F784=""),"",D784+F784)</f>
        <v/>
      </c>
      <c r="P784" s="116" t="str">
        <f>IF(O784="","",IF(ISNUMBER(M784),O784-M784,IF(OR(H784="DECISÃO D.P",ISNUMBER(N784)),"",O784-TODAY())))</f>
        <v/>
      </c>
      <c r="Q784" s="117" t="str">
        <f>IF(B784="","",IF(ISNUMBER(N784),"DECIDIDO – ","")&amp;IF(ISNUMBER(M784),IF(P784="",IF(F784="","INFORMAR PRAZO","SEM DATA"),IF(P784&gt;=0,"DEFESA NO PRAZO","DEFESA FORA DO PRAZO")),IF(OR(H784="DECISÃO D.P",ISNUMBER(N784)),"SEM DEFESA",IF(H784="","SEM STATUS",IF(F784="","INFORMAR PRAZO",IF(P784="","SEM DATA",IF(P784&lt;0,"VENCIDO",IF(P784&lt;=DiasAlerta,"VENCE EM BREVE","NO PRAZO"))))))))</f>
        <v/>
      </c>
      <c r="R784" s="118" t="str">
        <f>IF(D784="","",TODAY()-D784)</f>
        <v/>
      </c>
      <c r="S784" s="111" t="n"/>
    </row>
    <row r="785" ht="18" customHeight="1">
      <c r="A785" s="110" t="n"/>
      <c r="B785" s="111" t="n"/>
      <c r="C785" s="111" t="n"/>
      <c r="D785" s="112" t="n"/>
      <c r="E785" s="111" t="n"/>
      <c r="F785" s="110" t="n"/>
      <c r="G785" s="113" t="n"/>
      <c r="H785" s="113" t="n"/>
      <c r="I785" s="111" t="n"/>
      <c r="J785" s="114" t="n"/>
      <c r="K785" s="114" t="n"/>
      <c r="L785" s="112" t="n"/>
      <c r="M785" s="112" t="n"/>
      <c r="N785" s="112" t="n"/>
      <c r="O785" s="115" t="str">
        <f>IF(OR(D785="",F785=""),"",D785+F785)</f>
        <v/>
      </c>
      <c r="P785" s="116" t="str">
        <f>IF(O785="","",IF(ISNUMBER(M785),O785-M785,IF(OR(H785="DECISÃO D.P",ISNUMBER(N785)),"",O785-TODAY())))</f>
        <v/>
      </c>
      <c r="Q785" s="117" t="str">
        <f>IF(B785="","",IF(ISNUMBER(N785),"DECIDIDO – ","")&amp;IF(ISNUMBER(M785),IF(P785="",IF(F785="","INFORMAR PRAZO","SEM DATA"),IF(P785&gt;=0,"DEFESA NO PRAZO","DEFESA FORA DO PRAZO")),IF(OR(H785="DECISÃO D.P",ISNUMBER(N785)),"SEM DEFESA",IF(H785="","SEM STATUS",IF(F785="","INFORMAR PRAZO",IF(P785="","SEM DATA",IF(P785&lt;0,"VENCIDO",IF(P785&lt;=DiasAlerta,"VENCE EM BREVE","NO PRAZO"))))))))</f>
        <v/>
      </c>
      <c r="R785" s="118" t="str">
        <f>IF(D785="","",TODAY()-D785)</f>
        <v/>
      </c>
      <c r="S785" s="111" t="n"/>
    </row>
    <row r="786" ht="18" customHeight="1">
      <c r="A786" s="110" t="n"/>
      <c r="B786" s="111" t="n"/>
      <c r="C786" s="111" t="n"/>
      <c r="D786" s="112" t="n"/>
      <c r="E786" s="111" t="n"/>
      <c r="F786" s="110" t="n"/>
      <c r="G786" s="113" t="n"/>
      <c r="H786" s="113" t="n"/>
      <c r="I786" s="111" t="n"/>
      <c r="J786" s="114" t="n"/>
      <c r="K786" s="114" t="n"/>
      <c r="L786" s="112" t="n"/>
      <c r="M786" s="112" t="n"/>
      <c r="N786" s="112" t="n"/>
      <c r="O786" s="115" t="str">
        <f>IF(OR(D786="",F786=""),"",D786+F786)</f>
        <v/>
      </c>
      <c r="P786" s="116" t="str">
        <f>IF(O786="","",IF(ISNUMBER(M786),O786-M786,IF(OR(H786="DECISÃO D.P",ISNUMBER(N786)),"",O786-TODAY())))</f>
        <v/>
      </c>
      <c r="Q786" s="117" t="str">
        <f>IF(B786="","",IF(ISNUMBER(N786),"DECIDIDO – ","")&amp;IF(ISNUMBER(M786),IF(P786="",IF(F786="","INFORMAR PRAZO","SEM DATA"),IF(P786&gt;=0,"DEFESA NO PRAZO","DEFESA FORA DO PRAZO")),IF(OR(H786="DECISÃO D.P",ISNUMBER(N786)),"SEM DEFESA",IF(H786="","SEM STATUS",IF(F786="","INFORMAR PRAZO",IF(P786="","SEM DATA",IF(P786&lt;0,"VENCIDO",IF(P786&lt;=DiasAlerta,"VENCE EM BREVE","NO PRAZO"))))))))</f>
        <v/>
      </c>
      <c r="R786" s="118" t="str">
        <f>IF(D786="","",TODAY()-D786)</f>
        <v/>
      </c>
      <c r="S786" s="111" t="n"/>
    </row>
    <row r="787" ht="18" customHeight="1">
      <c r="A787" s="110" t="n"/>
      <c r="B787" s="111" t="n"/>
      <c r="C787" s="111" t="n"/>
      <c r="D787" s="112" t="n"/>
      <c r="E787" s="111" t="n"/>
      <c r="F787" s="110" t="n"/>
      <c r="G787" s="113" t="n"/>
      <c r="H787" s="113" t="n"/>
      <c r="I787" s="111" t="n"/>
      <c r="J787" s="114" t="n"/>
      <c r="K787" s="114" t="n"/>
      <c r="L787" s="112" t="n"/>
      <c r="M787" s="112" t="n"/>
      <c r="N787" s="112" t="n"/>
      <c r="O787" s="115" t="str">
        <f>IF(OR(D787="",F787=""),"",D787+F787)</f>
        <v/>
      </c>
      <c r="P787" s="116" t="str">
        <f>IF(O787="","",IF(ISNUMBER(M787),O787-M787,IF(OR(H787="DECISÃO D.P",ISNUMBER(N787)),"",O787-TODAY())))</f>
        <v/>
      </c>
      <c r="Q787" s="117" t="str">
        <f>IF(B787="","",IF(ISNUMBER(N787),"DECIDIDO – ","")&amp;IF(ISNUMBER(M787),IF(P787="",IF(F787="","INFORMAR PRAZO","SEM DATA"),IF(P787&gt;=0,"DEFESA NO PRAZO","DEFESA FORA DO PRAZO")),IF(OR(H787="DECISÃO D.P",ISNUMBER(N787)),"SEM DEFESA",IF(H787="","SEM STATUS",IF(F787="","INFORMAR PRAZO",IF(P787="","SEM DATA",IF(P787&lt;0,"VENCIDO",IF(P787&lt;=DiasAlerta,"VENCE EM BREVE","NO PRAZO"))))))))</f>
        <v/>
      </c>
      <c r="R787" s="118" t="str">
        <f>IF(D787="","",TODAY()-D787)</f>
        <v/>
      </c>
      <c r="S787" s="111" t="n"/>
    </row>
    <row r="788" ht="18" customHeight="1">
      <c r="A788" s="110" t="n"/>
      <c r="B788" s="111" t="n"/>
      <c r="C788" s="111" t="n"/>
      <c r="D788" s="112" t="n"/>
      <c r="E788" s="111" t="n"/>
      <c r="F788" s="110" t="n"/>
      <c r="G788" s="113" t="n"/>
      <c r="H788" s="113" t="n"/>
      <c r="I788" s="111" t="n"/>
      <c r="J788" s="114" t="n"/>
      <c r="K788" s="114" t="n"/>
      <c r="L788" s="112" t="n"/>
      <c r="M788" s="112" t="n"/>
      <c r="N788" s="112" t="n"/>
      <c r="O788" s="115" t="str">
        <f>IF(OR(D788="",F788=""),"",D788+F788)</f>
        <v/>
      </c>
      <c r="P788" s="116" t="str">
        <f>IF(O788="","",IF(ISNUMBER(M788),O788-M788,IF(OR(H788="DECISÃO D.P",ISNUMBER(N788)),"",O788-TODAY())))</f>
        <v/>
      </c>
      <c r="Q788" s="117" t="str">
        <f>IF(B788="","",IF(ISNUMBER(N788),"DECIDIDO – ","")&amp;IF(ISNUMBER(M788),IF(P788="",IF(F788="","INFORMAR PRAZO","SEM DATA"),IF(P788&gt;=0,"DEFESA NO PRAZO","DEFESA FORA DO PRAZO")),IF(OR(H788="DECISÃO D.P",ISNUMBER(N788)),"SEM DEFESA",IF(H788="","SEM STATUS",IF(F788="","INFORMAR PRAZO",IF(P788="","SEM DATA",IF(P788&lt;0,"VENCIDO",IF(P788&lt;=DiasAlerta,"VENCE EM BREVE","NO PRAZO"))))))))</f>
        <v/>
      </c>
      <c r="R788" s="118" t="str">
        <f>IF(D788="","",TODAY()-D788)</f>
        <v/>
      </c>
      <c r="S788" s="111" t="n"/>
    </row>
    <row r="789" ht="18" customHeight="1">
      <c r="A789" s="110" t="n"/>
      <c r="B789" s="111" t="n"/>
      <c r="C789" s="111" t="n"/>
      <c r="D789" s="112" t="n"/>
      <c r="E789" s="111" t="n"/>
      <c r="F789" s="110" t="n"/>
      <c r="G789" s="113" t="n"/>
      <c r="H789" s="113" t="n"/>
      <c r="I789" s="111" t="n"/>
      <c r="J789" s="114" t="n"/>
      <c r="K789" s="114" t="n"/>
      <c r="L789" s="112" t="n"/>
      <c r="M789" s="112" t="n"/>
      <c r="N789" s="112" t="n"/>
      <c r="O789" s="115" t="str">
        <f>IF(OR(D789="",F789=""),"",D789+F789)</f>
        <v/>
      </c>
      <c r="P789" s="116" t="str">
        <f>IF(O789="","",IF(ISNUMBER(M789),O789-M789,IF(OR(H789="DECISÃO D.P",ISNUMBER(N789)),"",O789-TODAY())))</f>
        <v/>
      </c>
      <c r="Q789" s="117" t="str">
        <f>IF(B789="","",IF(ISNUMBER(N789),"DECIDIDO – ","")&amp;IF(ISNUMBER(M789),IF(P789="",IF(F789="","INFORMAR PRAZO","SEM DATA"),IF(P789&gt;=0,"DEFESA NO PRAZO","DEFESA FORA DO PRAZO")),IF(OR(H789="DECISÃO D.P",ISNUMBER(N789)),"SEM DEFESA",IF(H789="","SEM STATUS",IF(F789="","INFORMAR PRAZO",IF(P789="","SEM DATA",IF(P789&lt;0,"VENCIDO",IF(P789&lt;=DiasAlerta,"VENCE EM BREVE","NO PRAZO"))))))))</f>
        <v/>
      </c>
      <c r="R789" s="118" t="str">
        <f>IF(D789="","",TODAY()-D789)</f>
        <v/>
      </c>
      <c r="S789" s="111" t="n"/>
    </row>
    <row r="790" ht="18" customHeight="1">
      <c r="A790" s="110" t="n"/>
      <c r="B790" s="111" t="n"/>
      <c r="C790" s="111" t="n"/>
      <c r="D790" s="112" t="n"/>
      <c r="E790" s="111" t="n"/>
      <c r="F790" s="110" t="n"/>
      <c r="G790" s="113" t="n"/>
      <c r="H790" s="113" t="n"/>
      <c r="I790" s="111" t="n"/>
      <c r="J790" s="114" t="n"/>
      <c r="K790" s="114" t="n"/>
      <c r="L790" s="112" t="n"/>
      <c r="M790" s="112" t="n"/>
      <c r="N790" s="112" t="n"/>
      <c r="O790" s="115" t="str">
        <f>IF(OR(D790="",F790=""),"",D790+F790)</f>
        <v/>
      </c>
      <c r="P790" s="116" t="str">
        <f>IF(O790="","",IF(ISNUMBER(M790),O790-M790,IF(OR(H790="DECISÃO D.P",ISNUMBER(N790)),"",O790-TODAY())))</f>
        <v/>
      </c>
      <c r="Q790" s="117" t="str">
        <f>IF(B790="","",IF(ISNUMBER(N790),"DECIDIDO – ","")&amp;IF(ISNUMBER(M790),IF(P790="",IF(F790="","INFORMAR PRAZO","SEM DATA"),IF(P790&gt;=0,"DEFESA NO PRAZO","DEFESA FORA DO PRAZO")),IF(OR(H790="DECISÃO D.P",ISNUMBER(N790)),"SEM DEFESA",IF(H790="","SEM STATUS",IF(F790="","INFORMAR PRAZO",IF(P790="","SEM DATA",IF(P790&lt;0,"VENCIDO",IF(P790&lt;=DiasAlerta,"VENCE EM BREVE","NO PRAZO"))))))))</f>
        <v/>
      </c>
      <c r="R790" s="118" t="str">
        <f>IF(D790="","",TODAY()-D790)</f>
        <v/>
      </c>
      <c r="S790" s="111" t="n"/>
    </row>
    <row r="791" ht="18" customHeight="1">
      <c r="A791" s="110" t="n"/>
      <c r="B791" s="111" t="n"/>
      <c r="C791" s="111" t="n"/>
      <c r="D791" s="112" t="n"/>
      <c r="E791" s="111" t="n"/>
      <c r="F791" s="110" t="n"/>
      <c r="G791" s="113" t="n"/>
      <c r="H791" s="113" t="n"/>
      <c r="I791" s="111" t="n"/>
      <c r="J791" s="114" t="n"/>
      <c r="K791" s="114" t="n"/>
      <c r="L791" s="112" t="n"/>
      <c r="M791" s="112" t="n"/>
      <c r="N791" s="112" t="n"/>
      <c r="O791" s="115" t="str">
        <f>IF(OR(D791="",F791=""),"",D791+F791)</f>
        <v/>
      </c>
      <c r="P791" s="116" t="str">
        <f>IF(O791="","",IF(ISNUMBER(M791),O791-M791,IF(OR(H791="DECISÃO D.P",ISNUMBER(N791)),"",O791-TODAY())))</f>
        <v/>
      </c>
      <c r="Q791" s="117" t="str">
        <f>IF(B791="","",IF(ISNUMBER(N791),"DECIDIDO – ","")&amp;IF(ISNUMBER(M791),IF(P791="",IF(F791="","INFORMAR PRAZO","SEM DATA"),IF(P791&gt;=0,"DEFESA NO PRAZO","DEFESA FORA DO PRAZO")),IF(OR(H791="DECISÃO D.P",ISNUMBER(N791)),"SEM DEFESA",IF(H791="","SEM STATUS",IF(F791="","INFORMAR PRAZO",IF(P791="","SEM DATA",IF(P791&lt;0,"VENCIDO",IF(P791&lt;=DiasAlerta,"VENCE EM BREVE","NO PRAZO"))))))))</f>
        <v/>
      </c>
      <c r="R791" s="118" t="str">
        <f>IF(D791="","",TODAY()-D791)</f>
        <v/>
      </c>
      <c r="S791" s="111" t="n"/>
    </row>
    <row r="792" ht="18" customHeight="1">
      <c r="A792" s="110" t="n"/>
      <c r="B792" s="111" t="n"/>
      <c r="C792" s="111" t="n"/>
      <c r="D792" s="112" t="n"/>
      <c r="E792" s="111" t="n"/>
      <c r="F792" s="110" t="n"/>
      <c r="G792" s="113" t="n"/>
      <c r="H792" s="113" t="n"/>
      <c r="I792" s="111" t="n"/>
      <c r="J792" s="114" t="n"/>
      <c r="K792" s="114" t="n"/>
      <c r="L792" s="112" t="n"/>
      <c r="M792" s="112" t="n"/>
      <c r="N792" s="112" t="n"/>
      <c r="O792" s="115" t="str">
        <f>IF(OR(D792="",F792=""),"",D792+F792)</f>
        <v/>
      </c>
      <c r="P792" s="116" t="str">
        <f>IF(O792="","",IF(ISNUMBER(M792),O792-M792,IF(OR(H792="DECISÃO D.P",ISNUMBER(N792)),"",O792-TODAY())))</f>
        <v/>
      </c>
      <c r="Q792" s="117" t="str">
        <f>IF(B792="","",IF(ISNUMBER(N792),"DECIDIDO – ","")&amp;IF(ISNUMBER(M792),IF(P792="",IF(F792="","INFORMAR PRAZO","SEM DATA"),IF(P792&gt;=0,"DEFESA NO PRAZO","DEFESA FORA DO PRAZO")),IF(OR(H792="DECISÃO D.P",ISNUMBER(N792)),"SEM DEFESA",IF(H792="","SEM STATUS",IF(F792="","INFORMAR PRAZO",IF(P792="","SEM DATA",IF(P792&lt;0,"VENCIDO",IF(P792&lt;=DiasAlerta,"VENCE EM BREVE","NO PRAZO"))))))))</f>
        <v/>
      </c>
      <c r="R792" s="118" t="str">
        <f>IF(D792="","",TODAY()-D792)</f>
        <v/>
      </c>
      <c r="S792" s="111" t="n"/>
    </row>
    <row r="793" ht="18" customHeight="1">
      <c r="A793" s="110" t="n"/>
      <c r="B793" s="111" t="n"/>
      <c r="C793" s="111" t="n"/>
      <c r="D793" s="112" t="n"/>
      <c r="E793" s="111" t="n"/>
      <c r="F793" s="110" t="n"/>
      <c r="G793" s="113" t="n"/>
      <c r="H793" s="113" t="n"/>
      <c r="I793" s="111" t="n"/>
      <c r="J793" s="114" t="n"/>
      <c r="K793" s="114" t="n"/>
      <c r="L793" s="112" t="n"/>
      <c r="M793" s="112" t="n"/>
      <c r="N793" s="112" t="n"/>
      <c r="O793" s="115" t="str">
        <f>IF(OR(D793="",F793=""),"",D793+F793)</f>
        <v/>
      </c>
      <c r="P793" s="116" t="str">
        <f>IF(O793="","",IF(ISNUMBER(M793),O793-M793,IF(OR(H793="DECISÃO D.P",ISNUMBER(N793)),"",O793-TODAY())))</f>
        <v/>
      </c>
      <c r="Q793" s="117" t="str">
        <f>IF(B793="","",IF(ISNUMBER(N793),"DECIDIDO – ","")&amp;IF(ISNUMBER(M793),IF(P793="",IF(F793="","INFORMAR PRAZO","SEM DATA"),IF(P793&gt;=0,"DEFESA NO PRAZO","DEFESA FORA DO PRAZO")),IF(OR(H793="DECISÃO D.P",ISNUMBER(N793)),"SEM DEFESA",IF(H793="","SEM STATUS",IF(F793="","INFORMAR PRAZO",IF(P793="","SEM DATA",IF(P793&lt;0,"VENCIDO",IF(P793&lt;=DiasAlerta,"VENCE EM BREVE","NO PRAZO"))))))))</f>
        <v/>
      </c>
      <c r="R793" s="118" t="str">
        <f>IF(D793="","",TODAY()-D793)</f>
        <v/>
      </c>
      <c r="S793" s="111" t="n"/>
    </row>
    <row r="794" ht="18" customHeight="1">
      <c r="A794" s="110" t="n"/>
      <c r="B794" s="111" t="n"/>
      <c r="C794" s="111" t="n"/>
      <c r="D794" s="112" t="n"/>
      <c r="E794" s="111" t="n"/>
      <c r="F794" s="110" t="n"/>
      <c r="G794" s="113" t="n"/>
      <c r="H794" s="113" t="n"/>
      <c r="I794" s="111" t="n"/>
      <c r="J794" s="114" t="n"/>
      <c r="K794" s="114" t="n"/>
      <c r="L794" s="112" t="n"/>
      <c r="M794" s="112" t="n"/>
      <c r="N794" s="112" t="n"/>
      <c r="O794" s="115" t="str">
        <f>IF(OR(D794="",F794=""),"",D794+F794)</f>
        <v/>
      </c>
      <c r="P794" s="116" t="str">
        <f>IF(O794="","",IF(ISNUMBER(M794),O794-M794,IF(OR(H794="DECISÃO D.P",ISNUMBER(N794)),"",O794-TODAY())))</f>
        <v/>
      </c>
      <c r="Q794" s="117" t="str">
        <f>IF(B794="","",IF(ISNUMBER(N794),"DECIDIDO – ","")&amp;IF(ISNUMBER(M794),IF(P794="",IF(F794="","INFORMAR PRAZO","SEM DATA"),IF(P794&gt;=0,"DEFESA NO PRAZO","DEFESA FORA DO PRAZO")),IF(OR(H794="DECISÃO D.P",ISNUMBER(N794)),"SEM DEFESA",IF(H794="","SEM STATUS",IF(F794="","INFORMAR PRAZO",IF(P794="","SEM DATA",IF(P794&lt;0,"VENCIDO",IF(P794&lt;=DiasAlerta,"VENCE EM BREVE","NO PRAZO"))))))))</f>
        <v/>
      </c>
      <c r="R794" s="118" t="str">
        <f>IF(D794="","",TODAY()-D794)</f>
        <v/>
      </c>
      <c r="S794" s="111" t="n"/>
    </row>
    <row r="795" ht="18" customHeight="1">
      <c r="A795" s="110" t="n"/>
      <c r="B795" s="111" t="n"/>
      <c r="C795" s="111" t="n"/>
      <c r="D795" s="112" t="n"/>
      <c r="E795" s="111" t="n"/>
      <c r="F795" s="110" t="n"/>
      <c r="G795" s="113" t="n"/>
      <c r="H795" s="113" t="n"/>
      <c r="I795" s="111" t="n"/>
      <c r="J795" s="114" t="n"/>
      <c r="K795" s="114" t="n"/>
      <c r="L795" s="112" t="n"/>
      <c r="M795" s="112" t="n"/>
      <c r="N795" s="112" t="n"/>
      <c r="O795" s="115" t="str">
        <f>IF(OR(D795="",F795=""),"",D795+F795)</f>
        <v/>
      </c>
      <c r="P795" s="116" t="str">
        <f>IF(O795="","",IF(ISNUMBER(M795),O795-M795,IF(OR(H795="DECISÃO D.P",ISNUMBER(N795)),"",O795-TODAY())))</f>
        <v/>
      </c>
      <c r="Q795" s="117" t="str">
        <f>IF(B795="","",IF(ISNUMBER(N795),"DECIDIDO – ","")&amp;IF(ISNUMBER(M795),IF(P795="",IF(F795="","INFORMAR PRAZO","SEM DATA"),IF(P795&gt;=0,"DEFESA NO PRAZO","DEFESA FORA DO PRAZO")),IF(OR(H795="DECISÃO D.P",ISNUMBER(N795)),"SEM DEFESA",IF(H795="","SEM STATUS",IF(F795="","INFORMAR PRAZO",IF(P795="","SEM DATA",IF(P795&lt;0,"VENCIDO",IF(P795&lt;=DiasAlerta,"VENCE EM BREVE","NO PRAZO"))))))))</f>
        <v/>
      </c>
      <c r="R795" s="118" t="str">
        <f>IF(D795="","",TODAY()-D795)</f>
        <v/>
      </c>
      <c r="S795" s="111" t="n"/>
    </row>
    <row r="796" ht="18" customHeight="1">
      <c r="A796" s="110" t="n"/>
      <c r="B796" s="111" t="n"/>
      <c r="C796" s="111" t="n"/>
      <c r="D796" s="112" t="n"/>
      <c r="E796" s="111" t="n"/>
      <c r="F796" s="110" t="n"/>
      <c r="G796" s="113" t="n"/>
      <c r="H796" s="113" t="n"/>
      <c r="I796" s="111" t="n"/>
      <c r="J796" s="114" t="n"/>
      <c r="K796" s="114" t="n"/>
      <c r="L796" s="112" t="n"/>
      <c r="M796" s="112" t="n"/>
      <c r="N796" s="112" t="n"/>
      <c r="O796" s="115" t="str">
        <f>IF(OR(D796="",F796=""),"",D796+F796)</f>
        <v/>
      </c>
      <c r="P796" s="116" t="str">
        <f>IF(O796="","",IF(ISNUMBER(M796),O796-M796,IF(OR(H796="DECISÃO D.P",ISNUMBER(N796)),"",O796-TODAY())))</f>
        <v/>
      </c>
      <c r="Q796" s="117" t="str">
        <f>IF(B796="","",IF(ISNUMBER(N796),"DECIDIDO – ","")&amp;IF(ISNUMBER(M796),IF(P796="",IF(F796="","INFORMAR PRAZO","SEM DATA"),IF(P796&gt;=0,"DEFESA NO PRAZO","DEFESA FORA DO PRAZO")),IF(OR(H796="DECISÃO D.P",ISNUMBER(N796)),"SEM DEFESA",IF(H796="","SEM STATUS",IF(F796="","INFORMAR PRAZO",IF(P796="","SEM DATA",IF(P796&lt;0,"VENCIDO",IF(P796&lt;=DiasAlerta,"VENCE EM BREVE","NO PRAZO"))))))))</f>
        <v/>
      </c>
      <c r="R796" s="118" t="str">
        <f>IF(D796="","",TODAY()-D796)</f>
        <v/>
      </c>
      <c r="S796" s="111" t="n"/>
    </row>
    <row r="797" ht="18" customHeight="1">
      <c r="A797" s="110" t="n"/>
      <c r="B797" s="111" t="n"/>
      <c r="C797" s="111" t="n"/>
      <c r="D797" s="112" t="n"/>
      <c r="E797" s="111" t="n"/>
      <c r="F797" s="110" t="n"/>
      <c r="G797" s="113" t="n"/>
      <c r="H797" s="113" t="n"/>
      <c r="I797" s="111" t="n"/>
      <c r="J797" s="114" t="n"/>
      <c r="K797" s="114" t="n"/>
      <c r="L797" s="112" t="n"/>
      <c r="M797" s="112" t="n"/>
      <c r="N797" s="112" t="n"/>
      <c r="O797" s="115" t="str">
        <f>IF(OR(D797="",F797=""),"",D797+F797)</f>
        <v/>
      </c>
      <c r="P797" s="116" t="str">
        <f>IF(O797="","",IF(ISNUMBER(M797),O797-M797,IF(OR(H797="DECISÃO D.P",ISNUMBER(N797)),"",O797-TODAY())))</f>
        <v/>
      </c>
      <c r="Q797" s="117" t="str">
        <f>IF(B797="","",IF(ISNUMBER(N797),"DECIDIDO – ","")&amp;IF(ISNUMBER(M797),IF(P797="",IF(F797="","INFORMAR PRAZO","SEM DATA"),IF(P797&gt;=0,"DEFESA NO PRAZO","DEFESA FORA DO PRAZO")),IF(OR(H797="DECISÃO D.P",ISNUMBER(N797)),"SEM DEFESA",IF(H797="","SEM STATUS",IF(F797="","INFORMAR PRAZO",IF(P797="","SEM DATA",IF(P797&lt;0,"VENCIDO",IF(P797&lt;=DiasAlerta,"VENCE EM BREVE","NO PRAZO"))))))))</f>
        <v/>
      </c>
      <c r="R797" s="118" t="str">
        <f>IF(D797="","",TODAY()-D797)</f>
        <v/>
      </c>
      <c r="S797" s="111" t="n"/>
    </row>
    <row r="798" ht="18" customHeight="1">
      <c r="A798" s="110" t="n"/>
      <c r="B798" s="111" t="n"/>
      <c r="C798" s="111" t="n"/>
      <c r="D798" s="112" t="n"/>
      <c r="E798" s="111" t="n"/>
      <c r="F798" s="110" t="n"/>
      <c r="G798" s="113" t="n"/>
      <c r="H798" s="113" t="n"/>
      <c r="I798" s="111" t="n"/>
      <c r="J798" s="114" t="n"/>
      <c r="K798" s="114" t="n"/>
      <c r="L798" s="112" t="n"/>
      <c r="M798" s="112" t="n"/>
      <c r="N798" s="112" t="n"/>
      <c r="O798" s="115" t="str">
        <f>IF(OR(D798="",F798=""),"",D798+F798)</f>
        <v/>
      </c>
      <c r="P798" s="116" t="str">
        <f>IF(O798="","",IF(ISNUMBER(M798),O798-M798,IF(OR(H798="DECISÃO D.P",ISNUMBER(N798)),"",O798-TODAY())))</f>
        <v/>
      </c>
      <c r="Q798" s="117" t="str">
        <f>IF(B798="","",IF(ISNUMBER(N798),"DECIDIDO – ","")&amp;IF(ISNUMBER(M798),IF(P798="",IF(F798="","INFORMAR PRAZO","SEM DATA"),IF(P798&gt;=0,"DEFESA NO PRAZO","DEFESA FORA DO PRAZO")),IF(OR(H798="DECISÃO D.P",ISNUMBER(N798)),"SEM DEFESA",IF(H798="","SEM STATUS",IF(F798="","INFORMAR PRAZO",IF(P798="","SEM DATA",IF(P798&lt;0,"VENCIDO",IF(P798&lt;=DiasAlerta,"VENCE EM BREVE","NO PRAZO"))))))))</f>
        <v/>
      </c>
      <c r="R798" s="118" t="str">
        <f>IF(D798="","",TODAY()-D798)</f>
        <v/>
      </c>
      <c r="S798" s="111" t="n"/>
    </row>
    <row r="799" ht="18" customHeight="1">
      <c r="A799" s="110" t="n"/>
      <c r="B799" s="111" t="n"/>
      <c r="C799" s="111" t="n"/>
      <c r="D799" s="112" t="n"/>
      <c r="E799" s="111" t="n"/>
      <c r="F799" s="110" t="n"/>
      <c r="G799" s="113" t="n"/>
      <c r="H799" s="113" t="n"/>
      <c r="I799" s="111" t="n"/>
      <c r="J799" s="114" t="n"/>
      <c r="K799" s="114" t="n"/>
      <c r="L799" s="112" t="n"/>
      <c r="M799" s="112" t="n"/>
      <c r="N799" s="112" t="n"/>
      <c r="O799" s="115" t="str">
        <f>IF(OR(D799="",F799=""),"",D799+F799)</f>
        <v/>
      </c>
      <c r="P799" s="116" t="str">
        <f>IF(O799="","",IF(ISNUMBER(M799),O799-M799,IF(OR(H799="DECISÃO D.P",ISNUMBER(N799)),"",O799-TODAY())))</f>
        <v/>
      </c>
      <c r="Q799" s="117" t="str">
        <f>IF(B799="","",IF(ISNUMBER(N799),"DECIDIDO – ","")&amp;IF(ISNUMBER(M799),IF(P799="",IF(F799="","INFORMAR PRAZO","SEM DATA"),IF(P799&gt;=0,"DEFESA NO PRAZO","DEFESA FORA DO PRAZO")),IF(OR(H799="DECISÃO D.P",ISNUMBER(N799)),"SEM DEFESA",IF(H799="","SEM STATUS",IF(F799="","INFORMAR PRAZO",IF(P799="","SEM DATA",IF(P799&lt;0,"VENCIDO",IF(P799&lt;=DiasAlerta,"VENCE EM BREVE","NO PRAZO"))))))))</f>
        <v/>
      </c>
      <c r="R799" s="118" t="str">
        <f>IF(D799="","",TODAY()-D799)</f>
        <v/>
      </c>
      <c r="S799" s="111" t="n"/>
    </row>
    <row r="800" ht="18" customHeight="1">
      <c r="A800" s="110" t="n"/>
      <c r="B800" s="111" t="n"/>
      <c r="C800" s="111" t="n"/>
      <c r="D800" s="112" t="n"/>
      <c r="E800" s="111" t="n"/>
      <c r="F800" s="110" t="n"/>
      <c r="G800" s="113" t="n"/>
      <c r="H800" s="113" t="n"/>
      <c r="I800" s="111" t="n"/>
      <c r="J800" s="114" t="n"/>
      <c r="K800" s="114" t="n"/>
      <c r="L800" s="112" t="n"/>
      <c r="M800" s="112" t="n"/>
      <c r="N800" s="112" t="n"/>
      <c r="O800" s="115" t="str">
        <f>IF(OR(D800="",F800=""),"",D800+F800)</f>
        <v/>
      </c>
      <c r="P800" s="116" t="str">
        <f>IF(O800="","",IF(ISNUMBER(M800),O800-M800,IF(OR(H800="DECISÃO D.P",ISNUMBER(N800)),"",O800-TODAY())))</f>
        <v/>
      </c>
      <c r="Q800" s="117" t="str">
        <f>IF(B800="","",IF(ISNUMBER(N800),"DECIDIDO – ","")&amp;IF(ISNUMBER(M800),IF(P800="",IF(F800="","INFORMAR PRAZO","SEM DATA"),IF(P800&gt;=0,"DEFESA NO PRAZO","DEFESA FORA DO PRAZO")),IF(OR(H800="DECISÃO D.P",ISNUMBER(N800)),"SEM DEFESA",IF(H800="","SEM STATUS",IF(F800="","INFORMAR PRAZO",IF(P800="","SEM DATA",IF(P800&lt;0,"VENCIDO",IF(P800&lt;=DiasAlerta,"VENCE EM BREVE","NO PRAZO"))))))))</f>
        <v/>
      </c>
      <c r="R800" s="118" t="str">
        <f>IF(D800="","",TODAY()-D800)</f>
        <v/>
      </c>
      <c r="S800" s="111" t="n"/>
    </row>
    <row r="801" ht="18" customHeight="1">
      <c r="A801" s="110" t="n"/>
      <c r="B801" s="111" t="n"/>
      <c r="C801" s="111" t="n"/>
      <c r="D801" s="112" t="n"/>
      <c r="E801" s="111" t="n"/>
      <c r="F801" s="110" t="n"/>
      <c r="G801" s="113" t="n"/>
      <c r="H801" s="113" t="n"/>
      <c r="I801" s="111" t="n"/>
      <c r="J801" s="114" t="n"/>
      <c r="K801" s="114" t="n"/>
      <c r="L801" s="112" t="n"/>
      <c r="M801" s="112" t="n"/>
      <c r="N801" s="112" t="n"/>
      <c r="O801" s="115" t="str">
        <f>IF(OR(D801="",F801=""),"",D801+F801)</f>
        <v/>
      </c>
      <c r="P801" s="116" t="str">
        <f>IF(O801="","",IF(ISNUMBER(M801),O801-M801,IF(OR(H801="DECISÃO D.P",ISNUMBER(N801)),"",O801-TODAY())))</f>
        <v/>
      </c>
      <c r="Q801" s="117" t="str">
        <f>IF(B801="","",IF(ISNUMBER(N801),"DECIDIDO – ","")&amp;IF(ISNUMBER(M801),IF(P801="",IF(F801="","INFORMAR PRAZO","SEM DATA"),IF(P801&gt;=0,"DEFESA NO PRAZO","DEFESA FORA DO PRAZO")),IF(OR(H801="DECISÃO D.P",ISNUMBER(N801)),"SEM DEFESA",IF(H801="","SEM STATUS",IF(F801="","INFORMAR PRAZO",IF(P801="","SEM DATA",IF(P801&lt;0,"VENCIDO",IF(P801&lt;=DiasAlerta,"VENCE EM BREVE","NO PRAZO"))))))))</f>
        <v/>
      </c>
      <c r="R801" s="118" t="str">
        <f>IF(D801="","",TODAY()-D801)</f>
        <v/>
      </c>
      <c r="S801" s="111" t="n"/>
    </row>
    <row r="802" ht="18" customHeight="1">
      <c r="A802" s="110" t="n"/>
      <c r="B802" s="111" t="n"/>
      <c r="C802" s="111" t="n"/>
      <c r="D802" s="112" t="n"/>
      <c r="E802" s="111" t="n"/>
      <c r="F802" s="110" t="n"/>
      <c r="G802" s="113" t="n"/>
      <c r="H802" s="113" t="n"/>
      <c r="I802" s="111" t="n"/>
      <c r="J802" s="114" t="n"/>
      <c r="K802" s="114" t="n"/>
      <c r="L802" s="112" t="n"/>
      <c r="M802" s="112" t="n"/>
      <c r="N802" s="112" t="n"/>
      <c r="O802" s="115" t="str">
        <f>IF(OR(D802="",F802=""),"",D802+F802)</f>
        <v/>
      </c>
      <c r="P802" s="116" t="str">
        <f>IF(O802="","",IF(ISNUMBER(M802),O802-M802,IF(OR(H802="DECISÃO D.P",ISNUMBER(N802)),"",O802-TODAY())))</f>
        <v/>
      </c>
      <c r="Q802" s="117" t="str">
        <f>IF(B802="","",IF(ISNUMBER(N802),"DECIDIDO – ","")&amp;IF(ISNUMBER(M802),IF(P802="",IF(F802="","INFORMAR PRAZO","SEM DATA"),IF(P802&gt;=0,"DEFESA NO PRAZO","DEFESA FORA DO PRAZO")),IF(OR(H802="DECISÃO D.P",ISNUMBER(N802)),"SEM DEFESA",IF(H802="","SEM STATUS",IF(F802="","INFORMAR PRAZO",IF(P802="","SEM DATA",IF(P802&lt;0,"VENCIDO",IF(P802&lt;=DiasAlerta,"VENCE EM BREVE","NO PRAZO"))))))))</f>
        <v/>
      </c>
      <c r="R802" s="118" t="str">
        <f>IF(D802="","",TODAY()-D802)</f>
        <v/>
      </c>
      <c r="S802" s="111" t="n"/>
    </row>
    <row r="803" ht="18" customHeight="1">
      <c r="A803" s="110" t="n"/>
      <c r="B803" s="111" t="n"/>
      <c r="C803" s="111" t="n"/>
      <c r="D803" s="112" t="n"/>
      <c r="E803" s="111" t="n"/>
      <c r="F803" s="110" t="n"/>
      <c r="G803" s="113" t="n"/>
      <c r="H803" s="113" t="n"/>
      <c r="I803" s="111" t="n"/>
      <c r="J803" s="114" t="n"/>
      <c r="K803" s="114" t="n"/>
      <c r="L803" s="112" t="n"/>
      <c r="M803" s="112" t="n"/>
      <c r="N803" s="112" t="n"/>
      <c r="O803" s="115" t="str">
        <f>IF(OR(D803="",F803=""),"",D803+F803)</f>
        <v/>
      </c>
      <c r="P803" s="116" t="str">
        <f>IF(O803="","",IF(ISNUMBER(M803),O803-M803,IF(OR(H803="DECISÃO D.P",ISNUMBER(N803)),"",O803-TODAY())))</f>
        <v/>
      </c>
      <c r="Q803" s="117" t="str">
        <f>IF(B803="","",IF(ISNUMBER(N803),"DECIDIDO – ","")&amp;IF(ISNUMBER(M803),IF(P803="",IF(F803="","INFORMAR PRAZO","SEM DATA"),IF(P803&gt;=0,"DEFESA NO PRAZO","DEFESA FORA DO PRAZO")),IF(OR(H803="DECISÃO D.P",ISNUMBER(N803)),"SEM DEFESA",IF(H803="","SEM STATUS",IF(F803="","INFORMAR PRAZO",IF(P803="","SEM DATA",IF(P803&lt;0,"VENCIDO",IF(P803&lt;=DiasAlerta,"VENCE EM BREVE","NO PRAZO"))))))))</f>
        <v/>
      </c>
      <c r="R803" s="118" t="str">
        <f>IF(D803="","",TODAY()-D803)</f>
        <v/>
      </c>
      <c r="S803" s="111" t="n"/>
    </row>
    <row r="804" ht="18" customHeight="1">
      <c r="A804" s="110" t="n"/>
      <c r="B804" s="111" t="n"/>
      <c r="C804" s="111" t="n"/>
      <c r="D804" s="112" t="n"/>
      <c r="E804" s="111" t="n"/>
      <c r="F804" s="110" t="n"/>
      <c r="G804" s="113" t="n"/>
      <c r="H804" s="113" t="n"/>
      <c r="I804" s="111" t="n"/>
      <c r="J804" s="114" t="n"/>
      <c r="K804" s="114" t="n"/>
      <c r="L804" s="112" t="n"/>
      <c r="M804" s="112" t="n"/>
      <c r="N804" s="112" t="n"/>
      <c r="O804" s="115" t="str">
        <f>IF(OR(D804="",F804=""),"",D804+F804)</f>
        <v/>
      </c>
      <c r="P804" s="116" t="str">
        <f>IF(O804="","",IF(ISNUMBER(M804),O804-M804,IF(OR(H804="DECISÃO D.P",ISNUMBER(N804)),"",O804-TODAY())))</f>
        <v/>
      </c>
      <c r="Q804" s="117" t="str">
        <f>IF(B804="","",IF(ISNUMBER(N804),"DECIDIDO – ","")&amp;IF(ISNUMBER(M804),IF(P804="",IF(F804="","INFORMAR PRAZO","SEM DATA"),IF(P804&gt;=0,"DEFESA NO PRAZO","DEFESA FORA DO PRAZO")),IF(OR(H804="DECISÃO D.P",ISNUMBER(N804)),"SEM DEFESA",IF(H804="","SEM STATUS",IF(F804="","INFORMAR PRAZO",IF(P804="","SEM DATA",IF(P804&lt;0,"VENCIDO",IF(P804&lt;=DiasAlerta,"VENCE EM BREVE","NO PRAZO"))))))))</f>
        <v/>
      </c>
      <c r="R804" s="118" t="str">
        <f>IF(D804="","",TODAY()-D804)</f>
        <v/>
      </c>
      <c r="S804" s="111" t="n"/>
    </row>
    <row r="805" ht="18" customHeight="1">
      <c r="A805" s="110" t="n"/>
      <c r="B805" s="111" t="n"/>
      <c r="C805" s="111" t="n"/>
      <c r="D805" s="112" t="n"/>
      <c r="E805" s="111" t="n"/>
      <c r="F805" s="110" t="n"/>
      <c r="G805" s="113" t="n"/>
      <c r="H805" s="113" t="n"/>
      <c r="I805" s="111" t="n"/>
      <c r="J805" s="114" t="n"/>
      <c r="K805" s="114" t="n"/>
      <c r="L805" s="112" t="n"/>
      <c r="M805" s="112" t="n"/>
      <c r="N805" s="112" t="n"/>
      <c r="O805" s="115" t="str">
        <f>IF(OR(D805="",F805=""),"",D805+F805)</f>
        <v/>
      </c>
      <c r="P805" s="116" t="str">
        <f>IF(O805="","",IF(ISNUMBER(M805),O805-M805,IF(OR(H805="DECISÃO D.P",ISNUMBER(N805)),"",O805-TODAY())))</f>
        <v/>
      </c>
      <c r="Q805" s="117" t="str">
        <f>IF(B805="","",IF(ISNUMBER(N805),"DECIDIDO – ","")&amp;IF(ISNUMBER(M805),IF(P805="",IF(F805="","INFORMAR PRAZO","SEM DATA"),IF(P805&gt;=0,"DEFESA NO PRAZO","DEFESA FORA DO PRAZO")),IF(OR(H805="DECISÃO D.P",ISNUMBER(N805)),"SEM DEFESA",IF(H805="","SEM STATUS",IF(F805="","INFORMAR PRAZO",IF(P805="","SEM DATA",IF(P805&lt;0,"VENCIDO",IF(P805&lt;=DiasAlerta,"VENCE EM BREVE","NO PRAZO"))))))))</f>
        <v/>
      </c>
      <c r="R805" s="118" t="str">
        <f>IF(D805="","",TODAY()-D805)</f>
        <v/>
      </c>
      <c r="S805" s="111" t="n"/>
    </row>
    <row r="806" ht="18" customHeight="1">
      <c r="A806" s="110" t="n"/>
      <c r="B806" s="111" t="n"/>
      <c r="C806" s="111" t="n"/>
      <c r="D806" s="112" t="n"/>
      <c r="E806" s="111" t="n"/>
      <c r="F806" s="110" t="n"/>
      <c r="G806" s="113" t="n"/>
      <c r="H806" s="113" t="n"/>
      <c r="I806" s="111" t="n"/>
      <c r="J806" s="114" t="n"/>
      <c r="K806" s="114" t="n"/>
      <c r="L806" s="112" t="n"/>
      <c r="M806" s="112" t="n"/>
      <c r="N806" s="112" t="n"/>
      <c r="O806" s="115" t="str">
        <f>IF(OR(D806="",F806=""),"",D806+F806)</f>
        <v/>
      </c>
      <c r="P806" s="116" t="str">
        <f>IF(O806="","",IF(ISNUMBER(M806),O806-M806,IF(OR(H806="DECISÃO D.P",ISNUMBER(N806)),"",O806-TODAY())))</f>
        <v/>
      </c>
      <c r="Q806" s="117" t="str">
        <f>IF(B806="","",IF(ISNUMBER(N806),"DECIDIDO – ","")&amp;IF(ISNUMBER(M806),IF(P806="",IF(F806="","INFORMAR PRAZO","SEM DATA"),IF(P806&gt;=0,"DEFESA NO PRAZO","DEFESA FORA DO PRAZO")),IF(OR(H806="DECISÃO D.P",ISNUMBER(N806)),"SEM DEFESA",IF(H806="","SEM STATUS",IF(F806="","INFORMAR PRAZO",IF(P806="","SEM DATA",IF(P806&lt;0,"VENCIDO",IF(P806&lt;=DiasAlerta,"VENCE EM BREVE","NO PRAZO"))))))))</f>
        <v/>
      </c>
      <c r="R806" s="118" t="str">
        <f>IF(D806="","",TODAY()-D806)</f>
        <v/>
      </c>
      <c r="S806" s="111" t="n"/>
    </row>
    <row r="807" ht="18" customHeight="1">
      <c r="A807" s="110" t="n"/>
      <c r="B807" s="111" t="n"/>
      <c r="C807" s="111" t="n"/>
      <c r="D807" s="112" t="n"/>
      <c r="E807" s="111" t="n"/>
      <c r="F807" s="110" t="n"/>
      <c r="G807" s="113" t="n"/>
      <c r="H807" s="113" t="n"/>
      <c r="I807" s="111" t="n"/>
      <c r="J807" s="114" t="n"/>
      <c r="K807" s="114" t="n"/>
      <c r="L807" s="112" t="n"/>
      <c r="M807" s="112" t="n"/>
      <c r="N807" s="112" t="n"/>
      <c r="O807" s="115" t="str">
        <f>IF(OR(D807="",F807=""),"",D807+F807)</f>
        <v/>
      </c>
      <c r="P807" s="116" t="str">
        <f>IF(O807="","",IF(ISNUMBER(M807),O807-M807,IF(OR(H807="DECISÃO D.P",ISNUMBER(N807)),"",O807-TODAY())))</f>
        <v/>
      </c>
      <c r="Q807" s="117" t="str">
        <f>IF(B807="","",IF(ISNUMBER(N807),"DECIDIDO – ","")&amp;IF(ISNUMBER(M807),IF(P807="",IF(F807="","INFORMAR PRAZO","SEM DATA"),IF(P807&gt;=0,"DEFESA NO PRAZO","DEFESA FORA DO PRAZO")),IF(OR(H807="DECISÃO D.P",ISNUMBER(N807)),"SEM DEFESA",IF(H807="","SEM STATUS",IF(F807="","INFORMAR PRAZO",IF(P807="","SEM DATA",IF(P807&lt;0,"VENCIDO",IF(P807&lt;=DiasAlerta,"VENCE EM BREVE","NO PRAZO"))))))))</f>
        <v/>
      </c>
      <c r="R807" s="118" t="str">
        <f>IF(D807="","",TODAY()-D807)</f>
        <v/>
      </c>
      <c r="S807" s="111" t="n"/>
    </row>
    <row r="808" ht="18" customHeight="1">
      <c r="A808" s="110" t="n"/>
      <c r="B808" s="111" t="n"/>
      <c r="C808" s="111" t="n"/>
      <c r="D808" s="112" t="n"/>
      <c r="E808" s="111" t="n"/>
      <c r="F808" s="110" t="n"/>
      <c r="G808" s="113" t="n"/>
      <c r="H808" s="113" t="n"/>
      <c r="I808" s="111" t="n"/>
      <c r="J808" s="114" t="n"/>
      <c r="K808" s="114" t="n"/>
      <c r="L808" s="112" t="n"/>
      <c r="M808" s="112" t="n"/>
      <c r="N808" s="112" t="n"/>
      <c r="O808" s="115" t="str">
        <f>IF(OR(D808="",F808=""),"",D808+F808)</f>
        <v/>
      </c>
      <c r="P808" s="116" t="str">
        <f>IF(O808="","",IF(ISNUMBER(M808),O808-M808,IF(OR(H808="DECISÃO D.P",ISNUMBER(N808)),"",O808-TODAY())))</f>
        <v/>
      </c>
      <c r="Q808" s="117" t="str">
        <f>IF(B808="","",IF(ISNUMBER(N808),"DECIDIDO – ","")&amp;IF(ISNUMBER(M808),IF(P808="",IF(F808="","INFORMAR PRAZO","SEM DATA"),IF(P808&gt;=0,"DEFESA NO PRAZO","DEFESA FORA DO PRAZO")),IF(OR(H808="DECISÃO D.P",ISNUMBER(N808)),"SEM DEFESA",IF(H808="","SEM STATUS",IF(F808="","INFORMAR PRAZO",IF(P808="","SEM DATA",IF(P808&lt;0,"VENCIDO",IF(P808&lt;=DiasAlerta,"VENCE EM BREVE","NO PRAZO"))))))))</f>
        <v/>
      </c>
      <c r="R808" s="118" t="str">
        <f>IF(D808="","",TODAY()-D808)</f>
        <v/>
      </c>
      <c r="S808" s="111" t="n"/>
    </row>
    <row r="809" ht="18" customHeight="1">
      <c r="A809" s="110" t="n"/>
      <c r="B809" s="111" t="n"/>
      <c r="C809" s="111" t="n"/>
      <c r="D809" s="112" t="n"/>
      <c r="E809" s="111" t="n"/>
      <c r="F809" s="110" t="n"/>
      <c r="G809" s="113" t="n"/>
      <c r="H809" s="113" t="n"/>
      <c r="I809" s="111" t="n"/>
      <c r="J809" s="114" t="n"/>
      <c r="K809" s="114" t="n"/>
      <c r="L809" s="112" t="n"/>
      <c r="M809" s="112" t="n"/>
      <c r="N809" s="112" t="n"/>
      <c r="O809" s="115" t="str">
        <f>IF(OR(D809="",F809=""),"",D809+F809)</f>
        <v/>
      </c>
      <c r="P809" s="116" t="str">
        <f>IF(O809="","",IF(ISNUMBER(M809),O809-M809,IF(OR(H809="DECISÃO D.P",ISNUMBER(N809)),"",O809-TODAY())))</f>
        <v/>
      </c>
      <c r="Q809" s="117" t="str">
        <f>IF(B809="","",IF(ISNUMBER(N809),"DECIDIDO – ","")&amp;IF(ISNUMBER(M809),IF(P809="",IF(F809="","INFORMAR PRAZO","SEM DATA"),IF(P809&gt;=0,"DEFESA NO PRAZO","DEFESA FORA DO PRAZO")),IF(OR(H809="DECISÃO D.P",ISNUMBER(N809)),"SEM DEFESA",IF(H809="","SEM STATUS",IF(F809="","INFORMAR PRAZO",IF(P809="","SEM DATA",IF(P809&lt;0,"VENCIDO",IF(P809&lt;=DiasAlerta,"VENCE EM BREVE","NO PRAZO"))))))))</f>
        <v/>
      </c>
      <c r="R809" s="118" t="str">
        <f>IF(D809="","",TODAY()-D809)</f>
        <v/>
      </c>
      <c r="S809" s="111" t="n"/>
    </row>
    <row r="810" ht="18" customHeight="1">
      <c r="A810" s="110" t="n"/>
      <c r="B810" s="111" t="n"/>
      <c r="C810" s="111" t="n"/>
      <c r="D810" s="112" t="n"/>
      <c r="E810" s="111" t="n"/>
      <c r="F810" s="110" t="n"/>
      <c r="G810" s="113" t="n"/>
      <c r="H810" s="113" t="n"/>
      <c r="I810" s="111" t="n"/>
      <c r="J810" s="114" t="n"/>
      <c r="K810" s="114" t="n"/>
      <c r="L810" s="112" t="n"/>
      <c r="M810" s="112" t="n"/>
      <c r="N810" s="112" t="n"/>
      <c r="O810" s="115" t="str">
        <f>IF(OR(D810="",F810=""),"",D810+F810)</f>
        <v/>
      </c>
      <c r="P810" s="116" t="str">
        <f>IF(O810="","",IF(ISNUMBER(M810),O810-M810,IF(OR(H810="DECISÃO D.P",ISNUMBER(N810)),"",O810-TODAY())))</f>
        <v/>
      </c>
      <c r="Q810" s="117" t="str">
        <f>IF(B810="","",IF(ISNUMBER(N810),"DECIDIDO – ","")&amp;IF(ISNUMBER(M810),IF(P810="",IF(F810="","INFORMAR PRAZO","SEM DATA"),IF(P810&gt;=0,"DEFESA NO PRAZO","DEFESA FORA DO PRAZO")),IF(OR(H810="DECISÃO D.P",ISNUMBER(N810)),"SEM DEFESA",IF(H810="","SEM STATUS",IF(F810="","INFORMAR PRAZO",IF(P810="","SEM DATA",IF(P810&lt;0,"VENCIDO",IF(P810&lt;=DiasAlerta,"VENCE EM BREVE","NO PRAZO"))))))))</f>
        <v/>
      </c>
      <c r="R810" s="118" t="str">
        <f>IF(D810="","",TODAY()-D810)</f>
        <v/>
      </c>
      <c r="S810" s="111" t="n"/>
    </row>
    <row r="811" ht="18" customHeight="1">
      <c r="A811" s="110" t="n"/>
      <c r="B811" s="111" t="n"/>
      <c r="C811" s="111" t="n"/>
      <c r="D811" s="112" t="n"/>
      <c r="E811" s="111" t="n"/>
      <c r="F811" s="110" t="n"/>
      <c r="G811" s="113" t="n"/>
      <c r="H811" s="113" t="n"/>
      <c r="I811" s="111" t="n"/>
      <c r="J811" s="114" t="n"/>
      <c r="K811" s="114" t="n"/>
      <c r="L811" s="112" t="n"/>
      <c r="M811" s="112" t="n"/>
      <c r="N811" s="112" t="n"/>
      <c r="O811" s="115" t="str">
        <f>IF(OR(D811="",F811=""),"",D811+F811)</f>
        <v/>
      </c>
      <c r="P811" s="116" t="str">
        <f>IF(O811="","",IF(ISNUMBER(M811),O811-M811,IF(OR(H811="DECISÃO D.P",ISNUMBER(N811)),"",O811-TODAY())))</f>
        <v/>
      </c>
      <c r="Q811" s="117" t="str">
        <f>IF(B811="","",IF(ISNUMBER(N811),"DECIDIDO – ","")&amp;IF(ISNUMBER(M811),IF(P811="",IF(F811="","INFORMAR PRAZO","SEM DATA"),IF(P811&gt;=0,"DEFESA NO PRAZO","DEFESA FORA DO PRAZO")),IF(OR(H811="DECISÃO D.P",ISNUMBER(N811)),"SEM DEFESA",IF(H811="","SEM STATUS",IF(F811="","INFORMAR PRAZO",IF(P811="","SEM DATA",IF(P811&lt;0,"VENCIDO",IF(P811&lt;=DiasAlerta,"VENCE EM BREVE","NO PRAZO"))))))))</f>
        <v/>
      </c>
      <c r="R811" s="118" t="str">
        <f>IF(D811="","",TODAY()-D811)</f>
        <v/>
      </c>
      <c r="S811" s="111" t="n"/>
    </row>
    <row r="812" ht="18" customHeight="1">
      <c r="A812" s="110" t="n"/>
      <c r="B812" s="111" t="n"/>
      <c r="C812" s="111" t="n"/>
      <c r="D812" s="112" t="n"/>
      <c r="E812" s="111" t="n"/>
      <c r="F812" s="110" t="n"/>
      <c r="G812" s="113" t="n"/>
      <c r="H812" s="113" t="n"/>
      <c r="I812" s="111" t="n"/>
      <c r="J812" s="114" t="n"/>
      <c r="K812" s="114" t="n"/>
      <c r="L812" s="112" t="n"/>
      <c r="M812" s="112" t="n"/>
      <c r="N812" s="112" t="n"/>
      <c r="O812" s="115" t="str">
        <f>IF(OR(D812="",F812=""),"",D812+F812)</f>
        <v/>
      </c>
      <c r="P812" s="116" t="str">
        <f>IF(O812="","",IF(ISNUMBER(M812),O812-M812,IF(OR(H812="DECISÃO D.P",ISNUMBER(N812)),"",O812-TODAY())))</f>
        <v/>
      </c>
      <c r="Q812" s="117" t="str">
        <f>IF(B812="","",IF(ISNUMBER(N812),"DECIDIDO – ","")&amp;IF(ISNUMBER(M812),IF(P812="",IF(F812="","INFORMAR PRAZO","SEM DATA"),IF(P812&gt;=0,"DEFESA NO PRAZO","DEFESA FORA DO PRAZO")),IF(OR(H812="DECISÃO D.P",ISNUMBER(N812)),"SEM DEFESA",IF(H812="","SEM STATUS",IF(F812="","INFORMAR PRAZO",IF(P812="","SEM DATA",IF(P812&lt;0,"VENCIDO",IF(P812&lt;=DiasAlerta,"VENCE EM BREVE","NO PRAZO"))))))))</f>
        <v/>
      </c>
      <c r="R812" s="118" t="str">
        <f>IF(D812="","",TODAY()-D812)</f>
        <v/>
      </c>
      <c r="S812" s="111" t="n"/>
    </row>
    <row r="813" ht="18" customHeight="1">
      <c r="A813" s="110" t="n"/>
      <c r="B813" s="111" t="n"/>
      <c r="C813" s="111" t="n"/>
      <c r="D813" s="112" t="n"/>
      <c r="E813" s="111" t="n"/>
      <c r="F813" s="110" t="n"/>
      <c r="G813" s="113" t="n"/>
      <c r="H813" s="113" t="n"/>
      <c r="I813" s="111" t="n"/>
      <c r="J813" s="114" t="n"/>
      <c r="K813" s="114" t="n"/>
      <c r="L813" s="112" t="n"/>
      <c r="M813" s="112" t="n"/>
      <c r="N813" s="112" t="n"/>
      <c r="O813" s="115" t="str">
        <f>IF(OR(D813="",F813=""),"",D813+F813)</f>
        <v/>
      </c>
      <c r="P813" s="116" t="str">
        <f>IF(O813="","",IF(ISNUMBER(M813),O813-M813,IF(OR(H813="DECISÃO D.P",ISNUMBER(N813)),"",O813-TODAY())))</f>
        <v/>
      </c>
      <c r="Q813" s="117" t="str">
        <f>IF(B813="","",IF(ISNUMBER(N813),"DECIDIDO – ","")&amp;IF(ISNUMBER(M813),IF(P813="",IF(F813="","INFORMAR PRAZO","SEM DATA"),IF(P813&gt;=0,"DEFESA NO PRAZO","DEFESA FORA DO PRAZO")),IF(OR(H813="DECISÃO D.P",ISNUMBER(N813)),"SEM DEFESA",IF(H813="","SEM STATUS",IF(F813="","INFORMAR PRAZO",IF(P813="","SEM DATA",IF(P813&lt;0,"VENCIDO",IF(P813&lt;=DiasAlerta,"VENCE EM BREVE","NO PRAZO"))))))))</f>
        <v/>
      </c>
      <c r="R813" s="118" t="str">
        <f>IF(D813="","",TODAY()-D813)</f>
        <v/>
      </c>
      <c r="S813" s="111" t="n"/>
    </row>
    <row r="814" ht="18" customHeight="1">
      <c r="A814" s="110" t="n"/>
      <c r="B814" s="111" t="n"/>
      <c r="C814" s="111" t="n"/>
      <c r="D814" s="112" t="n"/>
      <c r="E814" s="111" t="n"/>
      <c r="F814" s="110" t="n"/>
      <c r="G814" s="113" t="n"/>
      <c r="H814" s="113" t="n"/>
      <c r="I814" s="111" t="n"/>
      <c r="J814" s="114" t="n"/>
      <c r="K814" s="114" t="n"/>
      <c r="L814" s="112" t="n"/>
      <c r="M814" s="112" t="n"/>
      <c r="N814" s="112" t="n"/>
      <c r="O814" s="115" t="str">
        <f>IF(OR(D814="",F814=""),"",D814+F814)</f>
        <v/>
      </c>
      <c r="P814" s="116" t="str">
        <f>IF(O814="","",IF(ISNUMBER(M814),O814-M814,IF(OR(H814="DECISÃO D.P",ISNUMBER(N814)),"",O814-TODAY())))</f>
        <v/>
      </c>
      <c r="Q814" s="117" t="str">
        <f>IF(B814="","",IF(ISNUMBER(N814),"DECIDIDO – ","")&amp;IF(ISNUMBER(M814),IF(P814="",IF(F814="","INFORMAR PRAZO","SEM DATA"),IF(P814&gt;=0,"DEFESA NO PRAZO","DEFESA FORA DO PRAZO")),IF(OR(H814="DECISÃO D.P",ISNUMBER(N814)),"SEM DEFESA",IF(H814="","SEM STATUS",IF(F814="","INFORMAR PRAZO",IF(P814="","SEM DATA",IF(P814&lt;0,"VENCIDO",IF(P814&lt;=DiasAlerta,"VENCE EM BREVE","NO PRAZO"))))))))</f>
        <v/>
      </c>
      <c r="R814" s="118" t="str">
        <f>IF(D814="","",TODAY()-D814)</f>
        <v/>
      </c>
      <c r="S814" s="111" t="n"/>
    </row>
    <row r="815" ht="18" customHeight="1">
      <c r="A815" s="110" t="n"/>
      <c r="B815" s="111" t="n"/>
      <c r="C815" s="111" t="n"/>
      <c r="D815" s="112" t="n"/>
      <c r="E815" s="111" t="n"/>
      <c r="F815" s="110" t="n"/>
      <c r="G815" s="113" t="n"/>
      <c r="H815" s="113" t="n"/>
      <c r="I815" s="111" t="n"/>
      <c r="J815" s="114" t="n"/>
      <c r="K815" s="114" t="n"/>
      <c r="L815" s="112" t="n"/>
      <c r="M815" s="112" t="n"/>
      <c r="N815" s="112" t="n"/>
      <c r="O815" s="115" t="str">
        <f>IF(OR(D815="",F815=""),"",D815+F815)</f>
        <v/>
      </c>
      <c r="P815" s="116" t="str">
        <f>IF(O815="","",IF(ISNUMBER(M815),O815-M815,IF(OR(H815="DECISÃO D.P",ISNUMBER(N815)),"",O815-TODAY())))</f>
        <v/>
      </c>
      <c r="Q815" s="117" t="str">
        <f>IF(B815="","",IF(ISNUMBER(N815),"DECIDIDO – ","")&amp;IF(ISNUMBER(M815),IF(P815="",IF(F815="","INFORMAR PRAZO","SEM DATA"),IF(P815&gt;=0,"DEFESA NO PRAZO","DEFESA FORA DO PRAZO")),IF(OR(H815="DECISÃO D.P",ISNUMBER(N815)),"SEM DEFESA",IF(H815="","SEM STATUS",IF(F815="","INFORMAR PRAZO",IF(P815="","SEM DATA",IF(P815&lt;0,"VENCIDO",IF(P815&lt;=DiasAlerta,"VENCE EM BREVE","NO PRAZO"))))))))</f>
        <v/>
      </c>
      <c r="R815" s="118" t="str">
        <f>IF(D815="","",TODAY()-D815)</f>
        <v/>
      </c>
      <c r="S815" s="111" t="n"/>
    </row>
    <row r="816" ht="18" customHeight="1">
      <c r="A816" s="110" t="n"/>
      <c r="B816" s="111" t="n"/>
      <c r="C816" s="111" t="n"/>
      <c r="D816" s="112" t="n"/>
      <c r="E816" s="111" t="n"/>
      <c r="F816" s="110" t="n"/>
      <c r="G816" s="113" t="n"/>
      <c r="H816" s="113" t="n"/>
      <c r="I816" s="111" t="n"/>
      <c r="J816" s="114" t="n"/>
      <c r="K816" s="114" t="n"/>
      <c r="L816" s="112" t="n"/>
      <c r="M816" s="112" t="n"/>
      <c r="N816" s="112" t="n"/>
      <c r="O816" s="115" t="str">
        <f>IF(OR(D816="",F816=""),"",D816+F816)</f>
        <v/>
      </c>
      <c r="P816" s="116" t="str">
        <f>IF(O816="","",IF(ISNUMBER(M816),O816-M816,IF(OR(H816="DECISÃO D.P",ISNUMBER(N816)),"",O816-TODAY())))</f>
        <v/>
      </c>
      <c r="Q816" s="117" t="str">
        <f>IF(B816="","",IF(ISNUMBER(N816),"DECIDIDO – ","")&amp;IF(ISNUMBER(M816),IF(P816="",IF(F816="","INFORMAR PRAZO","SEM DATA"),IF(P816&gt;=0,"DEFESA NO PRAZO","DEFESA FORA DO PRAZO")),IF(OR(H816="DECISÃO D.P",ISNUMBER(N816)),"SEM DEFESA",IF(H816="","SEM STATUS",IF(F816="","INFORMAR PRAZO",IF(P816="","SEM DATA",IF(P816&lt;0,"VENCIDO",IF(P816&lt;=DiasAlerta,"VENCE EM BREVE","NO PRAZO"))))))))</f>
        <v/>
      </c>
      <c r="R816" s="118" t="str">
        <f>IF(D816="","",TODAY()-D816)</f>
        <v/>
      </c>
      <c r="S816" s="111" t="n"/>
    </row>
    <row r="817" ht="18" customHeight="1">
      <c r="A817" s="110" t="n"/>
      <c r="B817" s="111" t="n"/>
      <c r="C817" s="111" t="n"/>
      <c r="D817" s="112" t="n"/>
      <c r="E817" s="111" t="n"/>
      <c r="F817" s="110" t="n"/>
      <c r="G817" s="113" t="n"/>
      <c r="H817" s="113" t="n"/>
      <c r="I817" s="111" t="n"/>
      <c r="J817" s="114" t="n"/>
      <c r="K817" s="114" t="n"/>
      <c r="L817" s="112" t="n"/>
      <c r="M817" s="112" t="n"/>
      <c r="N817" s="112" t="n"/>
      <c r="O817" s="115" t="str">
        <f>IF(OR(D817="",F817=""),"",D817+F817)</f>
        <v/>
      </c>
      <c r="P817" s="116" t="str">
        <f>IF(O817="","",IF(ISNUMBER(M817),O817-M817,IF(OR(H817="DECISÃO D.P",ISNUMBER(N817)),"",O817-TODAY())))</f>
        <v/>
      </c>
      <c r="Q817" s="117" t="str">
        <f>IF(B817="","",IF(ISNUMBER(N817),"DECIDIDO – ","")&amp;IF(ISNUMBER(M817),IF(P817="",IF(F817="","INFORMAR PRAZO","SEM DATA"),IF(P817&gt;=0,"DEFESA NO PRAZO","DEFESA FORA DO PRAZO")),IF(OR(H817="DECISÃO D.P",ISNUMBER(N817)),"SEM DEFESA",IF(H817="","SEM STATUS",IF(F817="","INFORMAR PRAZO",IF(P817="","SEM DATA",IF(P817&lt;0,"VENCIDO",IF(P817&lt;=DiasAlerta,"VENCE EM BREVE","NO PRAZO"))))))))</f>
        <v/>
      </c>
      <c r="R817" s="118" t="str">
        <f>IF(D817="","",TODAY()-D817)</f>
        <v/>
      </c>
      <c r="S817" s="111" t="n"/>
    </row>
    <row r="818" ht="18" customHeight="1">
      <c r="A818" s="110" t="n"/>
      <c r="B818" s="111" t="n"/>
      <c r="C818" s="111" t="n"/>
      <c r="D818" s="112" t="n"/>
      <c r="E818" s="111" t="n"/>
      <c r="F818" s="110" t="n"/>
      <c r="G818" s="113" t="n"/>
      <c r="H818" s="113" t="n"/>
      <c r="I818" s="111" t="n"/>
      <c r="J818" s="114" t="n"/>
      <c r="K818" s="114" t="n"/>
      <c r="L818" s="112" t="n"/>
      <c r="M818" s="112" t="n"/>
      <c r="N818" s="112" t="n"/>
      <c r="O818" s="115" t="str">
        <f>IF(OR(D818="",F818=""),"",D818+F818)</f>
        <v/>
      </c>
      <c r="P818" s="116" t="str">
        <f>IF(O818="","",IF(ISNUMBER(M818),O818-M818,IF(OR(H818="DECISÃO D.P",ISNUMBER(N818)),"",O818-TODAY())))</f>
        <v/>
      </c>
      <c r="Q818" s="117" t="str">
        <f>IF(B818="","",IF(ISNUMBER(N818),"DECIDIDO – ","")&amp;IF(ISNUMBER(M818),IF(P818="",IF(F818="","INFORMAR PRAZO","SEM DATA"),IF(P818&gt;=0,"DEFESA NO PRAZO","DEFESA FORA DO PRAZO")),IF(OR(H818="DECISÃO D.P",ISNUMBER(N818)),"SEM DEFESA",IF(H818="","SEM STATUS",IF(F818="","INFORMAR PRAZO",IF(P818="","SEM DATA",IF(P818&lt;0,"VENCIDO",IF(P818&lt;=DiasAlerta,"VENCE EM BREVE","NO PRAZO"))))))))</f>
        <v/>
      </c>
      <c r="R818" s="118" t="str">
        <f>IF(D818="","",TODAY()-D818)</f>
        <v/>
      </c>
      <c r="S818" s="111" t="n"/>
    </row>
    <row r="819" ht="18" customHeight="1">
      <c r="A819" s="110" t="n"/>
      <c r="B819" s="111" t="n"/>
      <c r="C819" s="111" t="n"/>
      <c r="D819" s="112" t="n"/>
      <c r="E819" s="111" t="n"/>
      <c r="F819" s="110" t="n"/>
      <c r="G819" s="113" t="n"/>
      <c r="H819" s="113" t="n"/>
      <c r="I819" s="111" t="n"/>
      <c r="J819" s="114" t="n"/>
      <c r="K819" s="114" t="n"/>
      <c r="L819" s="112" t="n"/>
      <c r="M819" s="112" t="n"/>
      <c r="N819" s="112" t="n"/>
      <c r="O819" s="115" t="str">
        <f>IF(OR(D819="",F819=""),"",D819+F819)</f>
        <v/>
      </c>
      <c r="P819" s="116" t="str">
        <f>IF(O819="","",IF(ISNUMBER(M819),O819-M819,IF(OR(H819="DECISÃO D.P",ISNUMBER(N819)),"",O819-TODAY())))</f>
        <v/>
      </c>
      <c r="Q819" s="117" t="str">
        <f>IF(B819="","",IF(ISNUMBER(N819),"DECIDIDO – ","")&amp;IF(ISNUMBER(M819),IF(P819="",IF(F819="","INFORMAR PRAZO","SEM DATA"),IF(P819&gt;=0,"DEFESA NO PRAZO","DEFESA FORA DO PRAZO")),IF(OR(H819="DECISÃO D.P",ISNUMBER(N819)),"SEM DEFESA",IF(H819="","SEM STATUS",IF(F819="","INFORMAR PRAZO",IF(P819="","SEM DATA",IF(P819&lt;0,"VENCIDO",IF(P819&lt;=DiasAlerta,"VENCE EM BREVE","NO PRAZO"))))))))</f>
        <v/>
      </c>
      <c r="R819" s="118" t="str">
        <f>IF(D819="","",TODAY()-D819)</f>
        <v/>
      </c>
      <c r="S819" s="111" t="n"/>
    </row>
    <row r="820" ht="18" customHeight="1">
      <c r="A820" s="110" t="n"/>
      <c r="B820" s="111" t="n"/>
      <c r="C820" s="111" t="n"/>
      <c r="D820" s="112" t="n"/>
      <c r="E820" s="111" t="n"/>
      <c r="F820" s="110" t="n"/>
      <c r="G820" s="113" t="n"/>
      <c r="H820" s="113" t="n"/>
      <c r="I820" s="111" t="n"/>
      <c r="J820" s="114" t="n"/>
      <c r="K820" s="114" t="n"/>
      <c r="L820" s="112" t="n"/>
      <c r="M820" s="112" t="n"/>
      <c r="N820" s="112" t="n"/>
      <c r="O820" s="115" t="str">
        <f>IF(OR(D820="",F820=""),"",D820+F820)</f>
        <v/>
      </c>
      <c r="P820" s="116" t="str">
        <f>IF(O820="","",IF(ISNUMBER(M820),O820-M820,IF(OR(H820="DECISÃO D.P",ISNUMBER(N820)),"",O820-TODAY())))</f>
        <v/>
      </c>
      <c r="Q820" s="117" t="str">
        <f>IF(B820="","",IF(ISNUMBER(N820),"DECIDIDO – ","")&amp;IF(ISNUMBER(M820),IF(P820="",IF(F820="","INFORMAR PRAZO","SEM DATA"),IF(P820&gt;=0,"DEFESA NO PRAZO","DEFESA FORA DO PRAZO")),IF(OR(H820="DECISÃO D.P",ISNUMBER(N820)),"SEM DEFESA",IF(H820="","SEM STATUS",IF(F820="","INFORMAR PRAZO",IF(P820="","SEM DATA",IF(P820&lt;0,"VENCIDO",IF(P820&lt;=DiasAlerta,"VENCE EM BREVE","NO PRAZO"))))))))</f>
        <v/>
      </c>
      <c r="R820" s="118" t="str">
        <f>IF(D820="","",TODAY()-D820)</f>
        <v/>
      </c>
      <c r="S820" s="111" t="n"/>
    </row>
    <row r="821" ht="18" customHeight="1">
      <c r="A821" s="110" t="n"/>
      <c r="B821" s="111" t="n"/>
      <c r="C821" s="111" t="n"/>
      <c r="D821" s="112" t="n"/>
      <c r="E821" s="111" t="n"/>
      <c r="F821" s="110" t="n"/>
      <c r="G821" s="113" t="n"/>
      <c r="H821" s="113" t="n"/>
      <c r="I821" s="111" t="n"/>
      <c r="J821" s="114" t="n"/>
      <c r="K821" s="114" t="n"/>
      <c r="L821" s="112" t="n"/>
      <c r="M821" s="112" t="n"/>
      <c r="N821" s="112" t="n"/>
      <c r="O821" s="115" t="str">
        <f>IF(OR(D821="",F821=""),"",D821+F821)</f>
        <v/>
      </c>
      <c r="P821" s="116" t="str">
        <f>IF(O821="","",IF(ISNUMBER(M821),O821-M821,IF(OR(H821="DECISÃO D.P",ISNUMBER(N821)),"",O821-TODAY())))</f>
        <v/>
      </c>
      <c r="Q821" s="117" t="str">
        <f>IF(B821="","",IF(ISNUMBER(N821),"DECIDIDO – ","")&amp;IF(ISNUMBER(M821),IF(P821="",IF(F821="","INFORMAR PRAZO","SEM DATA"),IF(P821&gt;=0,"DEFESA NO PRAZO","DEFESA FORA DO PRAZO")),IF(OR(H821="DECISÃO D.P",ISNUMBER(N821)),"SEM DEFESA",IF(H821="","SEM STATUS",IF(F821="","INFORMAR PRAZO",IF(P821="","SEM DATA",IF(P821&lt;0,"VENCIDO",IF(P821&lt;=DiasAlerta,"VENCE EM BREVE","NO PRAZO"))))))))</f>
        <v/>
      </c>
      <c r="R821" s="118" t="str">
        <f>IF(D821="","",TODAY()-D821)</f>
        <v/>
      </c>
      <c r="S821" s="111" t="n"/>
    </row>
    <row r="822" ht="18" customHeight="1">
      <c r="A822" s="110" t="n"/>
      <c r="B822" s="111" t="n"/>
      <c r="C822" s="111" t="n"/>
      <c r="D822" s="112" t="n"/>
      <c r="E822" s="111" t="n"/>
      <c r="F822" s="110" t="n"/>
      <c r="G822" s="113" t="n"/>
      <c r="H822" s="113" t="n"/>
      <c r="I822" s="111" t="n"/>
      <c r="J822" s="114" t="n"/>
      <c r="K822" s="114" t="n"/>
      <c r="L822" s="112" t="n"/>
      <c r="M822" s="112" t="n"/>
      <c r="N822" s="112" t="n"/>
      <c r="O822" s="115" t="str">
        <f>IF(OR(D822="",F822=""),"",D822+F822)</f>
        <v/>
      </c>
      <c r="P822" s="116" t="str">
        <f>IF(O822="","",IF(ISNUMBER(M822),O822-M822,IF(OR(H822="DECISÃO D.P",ISNUMBER(N822)),"",O822-TODAY())))</f>
        <v/>
      </c>
      <c r="Q822" s="117" t="str">
        <f>IF(B822="","",IF(ISNUMBER(N822),"DECIDIDO – ","")&amp;IF(ISNUMBER(M822),IF(P822="",IF(F822="","INFORMAR PRAZO","SEM DATA"),IF(P822&gt;=0,"DEFESA NO PRAZO","DEFESA FORA DO PRAZO")),IF(OR(H822="DECISÃO D.P",ISNUMBER(N822)),"SEM DEFESA",IF(H822="","SEM STATUS",IF(F822="","INFORMAR PRAZO",IF(P822="","SEM DATA",IF(P822&lt;0,"VENCIDO",IF(P822&lt;=DiasAlerta,"VENCE EM BREVE","NO PRAZO"))))))))</f>
        <v/>
      </c>
      <c r="R822" s="118" t="str">
        <f>IF(D822="","",TODAY()-D822)</f>
        <v/>
      </c>
      <c r="S822" s="111" t="n"/>
    </row>
    <row r="823" ht="18" customHeight="1">
      <c r="A823" s="110" t="n"/>
      <c r="B823" s="111" t="n"/>
      <c r="C823" s="111" t="n"/>
      <c r="D823" s="112" t="n"/>
      <c r="E823" s="111" t="n"/>
      <c r="F823" s="110" t="n"/>
      <c r="G823" s="113" t="n"/>
      <c r="H823" s="113" t="n"/>
      <c r="I823" s="111" t="n"/>
      <c r="J823" s="114" t="n"/>
      <c r="K823" s="114" t="n"/>
      <c r="L823" s="112" t="n"/>
      <c r="M823" s="112" t="n"/>
      <c r="N823" s="112" t="n"/>
      <c r="O823" s="115" t="str">
        <f>IF(OR(D823="",F823=""),"",D823+F823)</f>
        <v/>
      </c>
      <c r="P823" s="116" t="str">
        <f>IF(O823="","",IF(ISNUMBER(M823),O823-M823,IF(OR(H823="DECISÃO D.P",ISNUMBER(N823)),"",O823-TODAY())))</f>
        <v/>
      </c>
      <c r="Q823" s="117" t="str">
        <f>IF(B823="","",IF(ISNUMBER(N823),"DECIDIDO – ","")&amp;IF(ISNUMBER(M823),IF(P823="",IF(F823="","INFORMAR PRAZO","SEM DATA"),IF(P823&gt;=0,"DEFESA NO PRAZO","DEFESA FORA DO PRAZO")),IF(OR(H823="DECISÃO D.P",ISNUMBER(N823)),"SEM DEFESA",IF(H823="","SEM STATUS",IF(F823="","INFORMAR PRAZO",IF(P823="","SEM DATA",IF(P823&lt;0,"VENCIDO",IF(P823&lt;=DiasAlerta,"VENCE EM BREVE","NO PRAZO"))))))))</f>
        <v/>
      </c>
      <c r="R823" s="118" t="str">
        <f>IF(D823="","",TODAY()-D823)</f>
        <v/>
      </c>
      <c r="S823" s="111" t="n"/>
    </row>
    <row r="824" ht="18" customHeight="1">
      <c r="A824" s="110" t="n"/>
      <c r="B824" s="111" t="n"/>
      <c r="C824" s="111" t="n"/>
      <c r="D824" s="112" t="n"/>
      <c r="E824" s="111" t="n"/>
      <c r="F824" s="110" t="n"/>
      <c r="G824" s="113" t="n"/>
      <c r="H824" s="113" t="n"/>
      <c r="I824" s="111" t="n"/>
      <c r="J824" s="114" t="n"/>
      <c r="K824" s="114" t="n"/>
      <c r="L824" s="112" t="n"/>
      <c r="M824" s="112" t="n"/>
      <c r="N824" s="112" t="n"/>
      <c r="O824" s="115" t="str">
        <f>IF(OR(D824="",F824=""),"",D824+F824)</f>
        <v/>
      </c>
      <c r="P824" s="116" t="str">
        <f>IF(O824="","",IF(ISNUMBER(M824),O824-M824,IF(OR(H824="DECISÃO D.P",ISNUMBER(N824)),"",O824-TODAY())))</f>
        <v/>
      </c>
      <c r="Q824" s="117" t="str">
        <f>IF(B824="","",IF(ISNUMBER(N824),"DECIDIDO – ","")&amp;IF(ISNUMBER(M824),IF(P824="",IF(F824="","INFORMAR PRAZO","SEM DATA"),IF(P824&gt;=0,"DEFESA NO PRAZO","DEFESA FORA DO PRAZO")),IF(OR(H824="DECISÃO D.P",ISNUMBER(N824)),"SEM DEFESA",IF(H824="","SEM STATUS",IF(F824="","INFORMAR PRAZO",IF(P824="","SEM DATA",IF(P824&lt;0,"VENCIDO",IF(P824&lt;=DiasAlerta,"VENCE EM BREVE","NO PRAZO"))))))))</f>
        <v/>
      </c>
      <c r="R824" s="118" t="str">
        <f>IF(D824="","",TODAY()-D824)</f>
        <v/>
      </c>
      <c r="S824" s="111" t="n"/>
    </row>
    <row r="825" ht="18" customHeight="1">
      <c r="A825" s="110" t="n"/>
      <c r="B825" s="111" t="n"/>
      <c r="C825" s="111" t="n"/>
      <c r="D825" s="112" t="n"/>
      <c r="E825" s="111" t="n"/>
      <c r="F825" s="110" t="n"/>
      <c r="G825" s="113" t="n"/>
      <c r="H825" s="113" t="n"/>
      <c r="I825" s="111" t="n"/>
      <c r="J825" s="114" t="n"/>
      <c r="K825" s="114" t="n"/>
      <c r="L825" s="112" t="n"/>
      <c r="M825" s="112" t="n"/>
      <c r="N825" s="112" t="n"/>
      <c r="O825" s="115" t="str">
        <f>IF(OR(D825="",F825=""),"",D825+F825)</f>
        <v/>
      </c>
      <c r="P825" s="116" t="str">
        <f>IF(O825="","",IF(ISNUMBER(M825),O825-M825,IF(OR(H825="DECISÃO D.P",ISNUMBER(N825)),"",O825-TODAY())))</f>
        <v/>
      </c>
      <c r="Q825" s="117" t="str">
        <f>IF(B825="","",IF(ISNUMBER(N825),"DECIDIDO – ","")&amp;IF(ISNUMBER(M825),IF(P825="",IF(F825="","INFORMAR PRAZO","SEM DATA"),IF(P825&gt;=0,"DEFESA NO PRAZO","DEFESA FORA DO PRAZO")),IF(OR(H825="DECISÃO D.P",ISNUMBER(N825)),"SEM DEFESA",IF(H825="","SEM STATUS",IF(F825="","INFORMAR PRAZO",IF(P825="","SEM DATA",IF(P825&lt;0,"VENCIDO",IF(P825&lt;=DiasAlerta,"VENCE EM BREVE","NO PRAZO"))))))))</f>
        <v/>
      </c>
      <c r="R825" s="118" t="str">
        <f>IF(D825="","",TODAY()-D825)</f>
        <v/>
      </c>
      <c r="S825" s="111" t="n"/>
    </row>
    <row r="826" ht="18" customHeight="1">
      <c r="A826" s="110" t="n"/>
      <c r="B826" s="111" t="n"/>
      <c r="C826" s="111" t="n"/>
      <c r="D826" s="112" t="n"/>
      <c r="E826" s="111" t="n"/>
      <c r="F826" s="110" t="n"/>
      <c r="G826" s="113" t="n"/>
      <c r="H826" s="113" t="n"/>
      <c r="I826" s="111" t="n"/>
      <c r="J826" s="114" t="n"/>
      <c r="K826" s="114" t="n"/>
      <c r="L826" s="112" t="n"/>
      <c r="M826" s="112" t="n"/>
      <c r="N826" s="112" t="n"/>
      <c r="O826" s="115" t="str">
        <f>IF(OR(D826="",F826=""),"",D826+F826)</f>
        <v/>
      </c>
      <c r="P826" s="116" t="str">
        <f>IF(O826="","",IF(ISNUMBER(M826),O826-M826,IF(OR(H826="DECISÃO D.P",ISNUMBER(N826)),"",O826-TODAY())))</f>
        <v/>
      </c>
      <c r="Q826" s="117" t="str">
        <f>IF(B826="","",IF(ISNUMBER(N826),"DECIDIDO – ","")&amp;IF(ISNUMBER(M826),IF(P826="",IF(F826="","INFORMAR PRAZO","SEM DATA"),IF(P826&gt;=0,"DEFESA NO PRAZO","DEFESA FORA DO PRAZO")),IF(OR(H826="DECISÃO D.P",ISNUMBER(N826)),"SEM DEFESA",IF(H826="","SEM STATUS",IF(F826="","INFORMAR PRAZO",IF(P826="","SEM DATA",IF(P826&lt;0,"VENCIDO",IF(P826&lt;=DiasAlerta,"VENCE EM BREVE","NO PRAZO"))))))))</f>
        <v/>
      </c>
      <c r="R826" s="118" t="str">
        <f>IF(D826="","",TODAY()-D826)</f>
        <v/>
      </c>
      <c r="S826" s="111" t="n"/>
    </row>
    <row r="827" ht="18" customHeight="1">
      <c r="A827" s="110" t="n"/>
      <c r="B827" s="111" t="n"/>
      <c r="C827" s="111" t="n"/>
      <c r="D827" s="112" t="n"/>
      <c r="E827" s="111" t="n"/>
      <c r="F827" s="110" t="n"/>
      <c r="G827" s="113" t="n"/>
      <c r="H827" s="113" t="n"/>
      <c r="I827" s="111" t="n"/>
      <c r="J827" s="114" t="n"/>
      <c r="K827" s="114" t="n"/>
      <c r="L827" s="112" t="n"/>
      <c r="M827" s="112" t="n"/>
      <c r="N827" s="112" t="n"/>
      <c r="O827" s="115" t="str">
        <f>IF(OR(D827="",F827=""),"",D827+F827)</f>
        <v/>
      </c>
      <c r="P827" s="116" t="str">
        <f>IF(O827="","",IF(ISNUMBER(M827),O827-M827,IF(OR(H827="DECISÃO D.P",ISNUMBER(N827)),"",O827-TODAY())))</f>
        <v/>
      </c>
      <c r="Q827" s="117" t="str">
        <f>IF(B827="","",IF(ISNUMBER(N827),"DECIDIDO – ","")&amp;IF(ISNUMBER(M827),IF(P827="",IF(F827="","INFORMAR PRAZO","SEM DATA"),IF(P827&gt;=0,"DEFESA NO PRAZO","DEFESA FORA DO PRAZO")),IF(OR(H827="DECISÃO D.P",ISNUMBER(N827)),"SEM DEFESA",IF(H827="","SEM STATUS",IF(F827="","INFORMAR PRAZO",IF(P827="","SEM DATA",IF(P827&lt;0,"VENCIDO",IF(P827&lt;=DiasAlerta,"VENCE EM BREVE","NO PRAZO"))))))))</f>
        <v/>
      </c>
      <c r="R827" s="118" t="str">
        <f>IF(D827="","",TODAY()-D827)</f>
        <v/>
      </c>
      <c r="S827" s="111" t="n"/>
    </row>
    <row r="828" ht="18" customHeight="1">
      <c r="A828" s="110" t="n"/>
      <c r="B828" s="111" t="n"/>
      <c r="C828" s="111" t="n"/>
      <c r="D828" s="112" t="n"/>
      <c r="E828" s="111" t="n"/>
      <c r="F828" s="110" t="n"/>
      <c r="G828" s="113" t="n"/>
      <c r="H828" s="113" t="n"/>
      <c r="I828" s="111" t="n"/>
      <c r="J828" s="114" t="n"/>
      <c r="K828" s="114" t="n"/>
      <c r="L828" s="112" t="n"/>
      <c r="M828" s="112" t="n"/>
      <c r="N828" s="112" t="n"/>
      <c r="O828" s="115" t="str">
        <f>IF(OR(D828="",F828=""),"",D828+F828)</f>
        <v/>
      </c>
      <c r="P828" s="116" t="str">
        <f>IF(O828="","",IF(ISNUMBER(M828),O828-M828,IF(OR(H828="DECISÃO D.P",ISNUMBER(N828)),"",O828-TODAY())))</f>
        <v/>
      </c>
      <c r="Q828" s="117" t="str">
        <f>IF(B828="","",IF(ISNUMBER(N828),"DECIDIDO – ","")&amp;IF(ISNUMBER(M828),IF(P828="",IF(F828="","INFORMAR PRAZO","SEM DATA"),IF(P828&gt;=0,"DEFESA NO PRAZO","DEFESA FORA DO PRAZO")),IF(OR(H828="DECISÃO D.P",ISNUMBER(N828)),"SEM DEFESA",IF(H828="","SEM STATUS",IF(F828="","INFORMAR PRAZO",IF(P828="","SEM DATA",IF(P828&lt;0,"VENCIDO",IF(P828&lt;=DiasAlerta,"VENCE EM BREVE","NO PRAZO"))))))))</f>
        <v/>
      </c>
      <c r="R828" s="118" t="str">
        <f>IF(D828="","",TODAY()-D828)</f>
        <v/>
      </c>
      <c r="S828" s="111" t="n"/>
    </row>
    <row r="829" ht="18" customHeight="1">
      <c r="A829" s="110" t="n"/>
      <c r="B829" s="111" t="n"/>
      <c r="C829" s="111" t="n"/>
      <c r="D829" s="112" t="n"/>
      <c r="E829" s="111" t="n"/>
      <c r="F829" s="110" t="n"/>
      <c r="G829" s="113" t="n"/>
      <c r="H829" s="113" t="n"/>
      <c r="I829" s="111" t="n"/>
      <c r="J829" s="114" t="n"/>
      <c r="K829" s="114" t="n"/>
      <c r="L829" s="112" t="n"/>
      <c r="M829" s="112" t="n"/>
      <c r="N829" s="112" t="n"/>
      <c r="O829" s="115" t="str">
        <f>IF(OR(D829="",F829=""),"",D829+F829)</f>
        <v/>
      </c>
      <c r="P829" s="116" t="str">
        <f>IF(O829="","",IF(ISNUMBER(M829),O829-M829,IF(OR(H829="DECISÃO D.P",ISNUMBER(N829)),"",O829-TODAY())))</f>
        <v/>
      </c>
      <c r="Q829" s="117" t="str">
        <f>IF(B829="","",IF(ISNUMBER(N829),"DECIDIDO – ","")&amp;IF(ISNUMBER(M829),IF(P829="",IF(F829="","INFORMAR PRAZO","SEM DATA"),IF(P829&gt;=0,"DEFESA NO PRAZO","DEFESA FORA DO PRAZO")),IF(OR(H829="DECISÃO D.P",ISNUMBER(N829)),"SEM DEFESA",IF(H829="","SEM STATUS",IF(F829="","INFORMAR PRAZO",IF(P829="","SEM DATA",IF(P829&lt;0,"VENCIDO",IF(P829&lt;=DiasAlerta,"VENCE EM BREVE","NO PRAZO"))))))))</f>
        <v/>
      </c>
      <c r="R829" s="118" t="str">
        <f>IF(D829="","",TODAY()-D829)</f>
        <v/>
      </c>
      <c r="S829" s="111" t="n"/>
    </row>
    <row r="830" ht="18" customHeight="1">
      <c r="A830" s="110" t="n"/>
      <c r="B830" s="111" t="n"/>
      <c r="C830" s="111" t="n"/>
      <c r="D830" s="112" t="n"/>
      <c r="E830" s="111" t="n"/>
      <c r="F830" s="110" t="n"/>
      <c r="G830" s="113" t="n"/>
      <c r="H830" s="113" t="n"/>
      <c r="I830" s="111" t="n"/>
      <c r="J830" s="114" t="n"/>
      <c r="K830" s="114" t="n"/>
      <c r="L830" s="112" t="n"/>
      <c r="M830" s="112" t="n"/>
      <c r="N830" s="112" t="n"/>
      <c r="O830" s="115" t="str">
        <f>IF(OR(D830="",F830=""),"",D830+F830)</f>
        <v/>
      </c>
      <c r="P830" s="116" t="str">
        <f>IF(O830="","",IF(ISNUMBER(M830),O830-M830,IF(OR(H830="DECISÃO D.P",ISNUMBER(N830)),"",O830-TODAY())))</f>
        <v/>
      </c>
      <c r="Q830" s="117" t="str">
        <f>IF(B830="","",IF(ISNUMBER(N830),"DECIDIDO – ","")&amp;IF(ISNUMBER(M830),IF(P830="",IF(F830="","INFORMAR PRAZO","SEM DATA"),IF(P830&gt;=0,"DEFESA NO PRAZO","DEFESA FORA DO PRAZO")),IF(OR(H830="DECISÃO D.P",ISNUMBER(N830)),"SEM DEFESA",IF(H830="","SEM STATUS",IF(F830="","INFORMAR PRAZO",IF(P830="","SEM DATA",IF(P830&lt;0,"VENCIDO",IF(P830&lt;=DiasAlerta,"VENCE EM BREVE","NO PRAZO"))))))))</f>
        <v/>
      </c>
      <c r="R830" s="118" t="str">
        <f>IF(D830="","",TODAY()-D830)</f>
        <v/>
      </c>
      <c r="S830" s="111" t="n"/>
    </row>
    <row r="831" ht="18" customHeight="1">
      <c r="A831" s="110" t="n"/>
      <c r="B831" s="111" t="n"/>
      <c r="C831" s="111" t="n"/>
      <c r="D831" s="112" t="n"/>
      <c r="E831" s="111" t="n"/>
      <c r="F831" s="110" t="n"/>
      <c r="G831" s="113" t="n"/>
      <c r="H831" s="113" t="n"/>
      <c r="I831" s="111" t="n"/>
      <c r="J831" s="114" t="n"/>
      <c r="K831" s="114" t="n"/>
      <c r="L831" s="112" t="n"/>
      <c r="M831" s="112" t="n"/>
      <c r="N831" s="112" t="n"/>
      <c r="O831" s="115" t="str">
        <f>IF(OR(D831="",F831=""),"",D831+F831)</f>
        <v/>
      </c>
      <c r="P831" s="116" t="str">
        <f>IF(O831="","",IF(ISNUMBER(M831),O831-M831,IF(OR(H831="DECISÃO D.P",ISNUMBER(N831)),"",O831-TODAY())))</f>
        <v/>
      </c>
      <c r="Q831" s="117" t="str">
        <f>IF(B831="","",IF(ISNUMBER(N831),"DECIDIDO – ","")&amp;IF(ISNUMBER(M831),IF(P831="",IF(F831="","INFORMAR PRAZO","SEM DATA"),IF(P831&gt;=0,"DEFESA NO PRAZO","DEFESA FORA DO PRAZO")),IF(OR(H831="DECISÃO D.P",ISNUMBER(N831)),"SEM DEFESA",IF(H831="","SEM STATUS",IF(F831="","INFORMAR PRAZO",IF(P831="","SEM DATA",IF(P831&lt;0,"VENCIDO",IF(P831&lt;=DiasAlerta,"VENCE EM BREVE","NO PRAZO"))))))))</f>
        <v/>
      </c>
      <c r="R831" s="118" t="str">
        <f>IF(D831="","",TODAY()-D831)</f>
        <v/>
      </c>
      <c r="S831" s="111" t="n"/>
    </row>
    <row r="832" ht="18" customHeight="1">
      <c r="A832" s="110" t="n"/>
      <c r="B832" s="111" t="n"/>
      <c r="C832" s="111" t="n"/>
      <c r="D832" s="112" t="n"/>
      <c r="E832" s="111" t="n"/>
      <c r="F832" s="110" t="n"/>
      <c r="G832" s="113" t="n"/>
      <c r="H832" s="113" t="n"/>
      <c r="I832" s="111" t="n"/>
      <c r="J832" s="114" t="n"/>
      <c r="K832" s="114" t="n"/>
      <c r="L832" s="112" t="n"/>
      <c r="M832" s="112" t="n"/>
      <c r="N832" s="112" t="n"/>
      <c r="O832" s="115" t="str">
        <f>IF(OR(D832="",F832=""),"",D832+F832)</f>
        <v/>
      </c>
      <c r="P832" s="116" t="str">
        <f>IF(O832="","",IF(ISNUMBER(M832),O832-M832,IF(OR(H832="DECISÃO D.P",ISNUMBER(N832)),"",O832-TODAY())))</f>
        <v/>
      </c>
      <c r="Q832" s="117" t="str">
        <f>IF(B832="","",IF(ISNUMBER(N832),"DECIDIDO – ","")&amp;IF(ISNUMBER(M832),IF(P832="",IF(F832="","INFORMAR PRAZO","SEM DATA"),IF(P832&gt;=0,"DEFESA NO PRAZO","DEFESA FORA DO PRAZO")),IF(OR(H832="DECISÃO D.P",ISNUMBER(N832)),"SEM DEFESA",IF(H832="","SEM STATUS",IF(F832="","INFORMAR PRAZO",IF(P832="","SEM DATA",IF(P832&lt;0,"VENCIDO",IF(P832&lt;=DiasAlerta,"VENCE EM BREVE","NO PRAZO"))))))))</f>
        <v/>
      </c>
      <c r="R832" s="118" t="str">
        <f>IF(D832="","",TODAY()-D832)</f>
        <v/>
      </c>
      <c r="S832" s="111" t="n"/>
    </row>
    <row r="833" ht="18" customHeight="1">
      <c r="A833" s="110" t="n"/>
      <c r="B833" s="111" t="n"/>
      <c r="C833" s="111" t="n"/>
      <c r="D833" s="112" t="n"/>
      <c r="E833" s="111" t="n"/>
      <c r="F833" s="110" t="n"/>
      <c r="G833" s="113" t="n"/>
      <c r="H833" s="113" t="n"/>
      <c r="I833" s="111" t="n"/>
      <c r="J833" s="114" t="n"/>
      <c r="K833" s="114" t="n"/>
      <c r="L833" s="112" t="n"/>
      <c r="M833" s="112" t="n"/>
      <c r="N833" s="112" t="n"/>
      <c r="O833" s="115" t="str">
        <f>IF(OR(D833="",F833=""),"",D833+F833)</f>
        <v/>
      </c>
      <c r="P833" s="116" t="str">
        <f>IF(O833="","",IF(ISNUMBER(M833),O833-M833,IF(OR(H833="DECISÃO D.P",ISNUMBER(N833)),"",O833-TODAY())))</f>
        <v/>
      </c>
      <c r="Q833" s="117" t="str">
        <f>IF(B833="","",IF(ISNUMBER(N833),"DECIDIDO – ","")&amp;IF(ISNUMBER(M833),IF(P833="",IF(F833="","INFORMAR PRAZO","SEM DATA"),IF(P833&gt;=0,"DEFESA NO PRAZO","DEFESA FORA DO PRAZO")),IF(OR(H833="DECISÃO D.P",ISNUMBER(N833)),"SEM DEFESA",IF(H833="","SEM STATUS",IF(F833="","INFORMAR PRAZO",IF(P833="","SEM DATA",IF(P833&lt;0,"VENCIDO",IF(P833&lt;=DiasAlerta,"VENCE EM BREVE","NO PRAZO"))))))))</f>
        <v/>
      </c>
      <c r="R833" s="118" t="str">
        <f>IF(D833="","",TODAY()-D833)</f>
        <v/>
      </c>
      <c r="S833" s="111" t="n"/>
    </row>
    <row r="834" ht="18" customHeight="1">
      <c r="A834" s="110" t="n"/>
      <c r="B834" s="111" t="n"/>
      <c r="C834" s="111" t="n"/>
      <c r="D834" s="112" t="n"/>
      <c r="E834" s="111" t="n"/>
      <c r="F834" s="110" t="n"/>
      <c r="G834" s="113" t="n"/>
      <c r="H834" s="113" t="n"/>
      <c r="I834" s="111" t="n"/>
      <c r="J834" s="114" t="n"/>
      <c r="K834" s="114" t="n"/>
      <c r="L834" s="112" t="n"/>
      <c r="M834" s="112" t="n"/>
      <c r="N834" s="112" t="n"/>
      <c r="O834" s="115" t="str">
        <f>IF(OR(D834="",F834=""),"",D834+F834)</f>
        <v/>
      </c>
      <c r="P834" s="116" t="str">
        <f>IF(O834="","",IF(ISNUMBER(M834),O834-M834,IF(OR(H834="DECISÃO D.P",ISNUMBER(N834)),"",O834-TODAY())))</f>
        <v/>
      </c>
      <c r="Q834" s="117" t="str">
        <f>IF(B834="","",IF(ISNUMBER(N834),"DECIDIDO – ","")&amp;IF(ISNUMBER(M834),IF(P834="",IF(F834="","INFORMAR PRAZO","SEM DATA"),IF(P834&gt;=0,"DEFESA NO PRAZO","DEFESA FORA DO PRAZO")),IF(OR(H834="DECISÃO D.P",ISNUMBER(N834)),"SEM DEFESA",IF(H834="","SEM STATUS",IF(F834="","INFORMAR PRAZO",IF(P834="","SEM DATA",IF(P834&lt;0,"VENCIDO",IF(P834&lt;=DiasAlerta,"VENCE EM BREVE","NO PRAZO"))))))))</f>
        <v/>
      </c>
      <c r="R834" s="118" t="str">
        <f>IF(D834="","",TODAY()-D834)</f>
        <v/>
      </c>
      <c r="S834" s="111" t="n"/>
    </row>
    <row r="835" ht="18" customHeight="1">
      <c r="A835" s="110" t="n"/>
      <c r="B835" s="111" t="n"/>
      <c r="C835" s="111" t="n"/>
      <c r="D835" s="112" t="n"/>
      <c r="E835" s="111" t="n"/>
      <c r="F835" s="110" t="n"/>
      <c r="G835" s="113" t="n"/>
      <c r="H835" s="113" t="n"/>
      <c r="I835" s="111" t="n"/>
      <c r="J835" s="114" t="n"/>
      <c r="K835" s="114" t="n"/>
      <c r="L835" s="112" t="n"/>
      <c r="M835" s="112" t="n"/>
      <c r="N835" s="112" t="n"/>
      <c r="O835" s="115" t="str">
        <f>IF(OR(D835="",F835=""),"",D835+F835)</f>
        <v/>
      </c>
      <c r="P835" s="116" t="str">
        <f>IF(O835="","",IF(ISNUMBER(M835),O835-M835,IF(OR(H835="DECISÃO D.P",ISNUMBER(N835)),"",O835-TODAY())))</f>
        <v/>
      </c>
      <c r="Q835" s="117" t="str">
        <f>IF(B835="","",IF(ISNUMBER(N835),"DECIDIDO – ","")&amp;IF(ISNUMBER(M835),IF(P835="",IF(F835="","INFORMAR PRAZO","SEM DATA"),IF(P835&gt;=0,"DEFESA NO PRAZO","DEFESA FORA DO PRAZO")),IF(OR(H835="DECISÃO D.P",ISNUMBER(N835)),"SEM DEFESA",IF(H835="","SEM STATUS",IF(F835="","INFORMAR PRAZO",IF(P835="","SEM DATA",IF(P835&lt;0,"VENCIDO",IF(P835&lt;=DiasAlerta,"VENCE EM BREVE","NO PRAZO"))))))))</f>
        <v/>
      </c>
      <c r="R835" s="118" t="str">
        <f>IF(D835="","",TODAY()-D835)</f>
        <v/>
      </c>
      <c r="S835" s="111" t="n"/>
    </row>
    <row r="836" ht="18" customHeight="1">
      <c r="A836" s="110" t="n"/>
      <c r="B836" s="111" t="n"/>
      <c r="C836" s="111" t="n"/>
      <c r="D836" s="112" t="n"/>
      <c r="E836" s="111" t="n"/>
      <c r="F836" s="110" t="n"/>
      <c r="G836" s="113" t="n"/>
      <c r="H836" s="113" t="n"/>
      <c r="I836" s="111" t="n"/>
      <c r="J836" s="114" t="n"/>
      <c r="K836" s="114" t="n"/>
      <c r="L836" s="112" t="n"/>
      <c r="M836" s="112" t="n"/>
      <c r="N836" s="112" t="n"/>
      <c r="O836" s="115" t="str">
        <f>IF(OR(D836="",F836=""),"",D836+F836)</f>
        <v/>
      </c>
      <c r="P836" s="116" t="str">
        <f>IF(O836="","",IF(ISNUMBER(M836),O836-M836,IF(OR(H836="DECISÃO D.P",ISNUMBER(N836)),"",O836-TODAY())))</f>
        <v/>
      </c>
      <c r="Q836" s="117" t="str">
        <f>IF(B836="","",IF(ISNUMBER(N836),"DECIDIDO – ","")&amp;IF(ISNUMBER(M836),IF(P836="",IF(F836="","INFORMAR PRAZO","SEM DATA"),IF(P836&gt;=0,"DEFESA NO PRAZO","DEFESA FORA DO PRAZO")),IF(OR(H836="DECISÃO D.P",ISNUMBER(N836)),"SEM DEFESA",IF(H836="","SEM STATUS",IF(F836="","INFORMAR PRAZO",IF(P836="","SEM DATA",IF(P836&lt;0,"VENCIDO",IF(P836&lt;=DiasAlerta,"VENCE EM BREVE","NO PRAZO"))))))))</f>
        <v/>
      </c>
      <c r="R836" s="118" t="str">
        <f>IF(D836="","",TODAY()-D836)</f>
        <v/>
      </c>
      <c r="S836" s="111" t="n"/>
    </row>
    <row r="837" ht="18" customHeight="1">
      <c r="A837" s="110" t="n"/>
      <c r="B837" s="111" t="n"/>
      <c r="C837" s="111" t="n"/>
      <c r="D837" s="112" t="n"/>
      <c r="E837" s="111" t="n"/>
      <c r="F837" s="110" t="n"/>
      <c r="G837" s="113" t="n"/>
      <c r="H837" s="113" t="n"/>
      <c r="I837" s="111" t="n"/>
      <c r="J837" s="114" t="n"/>
      <c r="K837" s="114" t="n"/>
      <c r="L837" s="112" t="n"/>
      <c r="M837" s="112" t="n"/>
      <c r="N837" s="112" t="n"/>
      <c r="O837" s="115" t="str">
        <f>IF(OR(D837="",F837=""),"",D837+F837)</f>
        <v/>
      </c>
      <c r="P837" s="116" t="str">
        <f>IF(O837="","",IF(ISNUMBER(M837),O837-M837,IF(OR(H837="DECISÃO D.P",ISNUMBER(N837)),"",O837-TODAY())))</f>
        <v/>
      </c>
      <c r="Q837" s="117" t="str">
        <f>IF(B837="","",IF(ISNUMBER(N837),"DECIDIDO – ","")&amp;IF(ISNUMBER(M837),IF(P837="",IF(F837="","INFORMAR PRAZO","SEM DATA"),IF(P837&gt;=0,"DEFESA NO PRAZO","DEFESA FORA DO PRAZO")),IF(OR(H837="DECISÃO D.P",ISNUMBER(N837)),"SEM DEFESA",IF(H837="","SEM STATUS",IF(F837="","INFORMAR PRAZO",IF(P837="","SEM DATA",IF(P837&lt;0,"VENCIDO",IF(P837&lt;=DiasAlerta,"VENCE EM BREVE","NO PRAZO"))))))))</f>
        <v/>
      </c>
      <c r="R837" s="118" t="str">
        <f>IF(D837="","",TODAY()-D837)</f>
        <v/>
      </c>
      <c r="S837" s="111" t="n"/>
    </row>
    <row r="838" ht="18" customHeight="1">
      <c r="A838" s="110" t="n"/>
      <c r="B838" s="111" t="n"/>
      <c r="C838" s="111" t="n"/>
      <c r="D838" s="112" t="n"/>
      <c r="E838" s="111" t="n"/>
      <c r="F838" s="110" t="n"/>
      <c r="G838" s="113" t="n"/>
      <c r="H838" s="113" t="n"/>
      <c r="I838" s="111" t="n"/>
      <c r="J838" s="114" t="n"/>
      <c r="K838" s="114" t="n"/>
      <c r="L838" s="112" t="n"/>
      <c r="M838" s="112" t="n"/>
      <c r="N838" s="112" t="n"/>
      <c r="O838" s="115" t="str">
        <f>IF(OR(D838="",F838=""),"",D838+F838)</f>
        <v/>
      </c>
      <c r="P838" s="116" t="str">
        <f>IF(O838="","",IF(ISNUMBER(M838),O838-M838,IF(OR(H838="DECISÃO D.P",ISNUMBER(N838)),"",O838-TODAY())))</f>
        <v/>
      </c>
      <c r="Q838" s="117" t="str">
        <f>IF(B838="","",IF(ISNUMBER(N838),"DECIDIDO – ","")&amp;IF(ISNUMBER(M838),IF(P838="",IF(F838="","INFORMAR PRAZO","SEM DATA"),IF(P838&gt;=0,"DEFESA NO PRAZO","DEFESA FORA DO PRAZO")),IF(OR(H838="DECISÃO D.P",ISNUMBER(N838)),"SEM DEFESA",IF(H838="","SEM STATUS",IF(F838="","INFORMAR PRAZO",IF(P838="","SEM DATA",IF(P838&lt;0,"VENCIDO",IF(P838&lt;=DiasAlerta,"VENCE EM BREVE","NO PRAZO"))))))))</f>
        <v/>
      </c>
      <c r="R838" s="118" t="str">
        <f>IF(D838="","",TODAY()-D838)</f>
        <v/>
      </c>
      <c r="S838" s="111" t="n"/>
    </row>
    <row r="839" ht="18" customHeight="1">
      <c r="A839" s="110" t="n"/>
      <c r="B839" s="111" t="n"/>
      <c r="C839" s="111" t="n"/>
      <c r="D839" s="112" t="n"/>
      <c r="E839" s="111" t="n"/>
      <c r="F839" s="110" t="n"/>
      <c r="G839" s="113" t="n"/>
      <c r="H839" s="113" t="n"/>
      <c r="I839" s="111" t="n"/>
      <c r="J839" s="114" t="n"/>
      <c r="K839" s="114" t="n"/>
      <c r="L839" s="112" t="n"/>
      <c r="M839" s="112" t="n"/>
      <c r="N839" s="112" t="n"/>
      <c r="O839" s="115" t="str">
        <f>IF(OR(D839="",F839=""),"",D839+F839)</f>
        <v/>
      </c>
      <c r="P839" s="116" t="str">
        <f>IF(O839="","",IF(ISNUMBER(M839),O839-M839,IF(OR(H839="DECISÃO D.P",ISNUMBER(N839)),"",O839-TODAY())))</f>
        <v/>
      </c>
      <c r="Q839" s="117" t="str">
        <f>IF(B839="","",IF(ISNUMBER(N839),"DECIDIDO – ","")&amp;IF(ISNUMBER(M839),IF(P839="",IF(F839="","INFORMAR PRAZO","SEM DATA"),IF(P839&gt;=0,"DEFESA NO PRAZO","DEFESA FORA DO PRAZO")),IF(OR(H839="DECISÃO D.P",ISNUMBER(N839)),"SEM DEFESA",IF(H839="","SEM STATUS",IF(F839="","INFORMAR PRAZO",IF(P839="","SEM DATA",IF(P839&lt;0,"VENCIDO",IF(P839&lt;=DiasAlerta,"VENCE EM BREVE","NO PRAZO"))))))))</f>
        <v/>
      </c>
      <c r="R839" s="118" t="str">
        <f>IF(D839="","",TODAY()-D839)</f>
        <v/>
      </c>
      <c r="S839" s="111" t="n"/>
    </row>
    <row r="840" ht="18" customHeight="1">
      <c r="A840" s="110" t="n"/>
      <c r="B840" s="111" t="n"/>
      <c r="C840" s="111" t="n"/>
      <c r="D840" s="112" t="n"/>
      <c r="E840" s="111" t="n"/>
      <c r="F840" s="110" t="n"/>
      <c r="G840" s="113" t="n"/>
      <c r="H840" s="113" t="n"/>
      <c r="I840" s="111" t="n"/>
      <c r="J840" s="114" t="n"/>
      <c r="K840" s="114" t="n"/>
      <c r="L840" s="112" t="n"/>
      <c r="M840" s="112" t="n"/>
      <c r="N840" s="112" t="n"/>
      <c r="O840" s="115" t="str">
        <f>IF(OR(D840="",F840=""),"",D840+F840)</f>
        <v/>
      </c>
      <c r="P840" s="116" t="str">
        <f>IF(O840="","",IF(ISNUMBER(M840),O840-M840,IF(OR(H840="DECISÃO D.P",ISNUMBER(N840)),"",O840-TODAY())))</f>
        <v/>
      </c>
      <c r="Q840" s="117" t="str">
        <f>IF(B840="","",IF(ISNUMBER(N840),"DECIDIDO – ","")&amp;IF(ISNUMBER(M840),IF(P840="",IF(F840="","INFORMAR PRAZO","SEM DATA"),IF(P840&gt;=0,"DEFESA NO PRAZO","DEFESA FORA DO PRAZO")),IF(OR(H840="DECISÃO D.P",ISNUMBER(N840)),"SEM DEFESA",IF(H840="","SEM STATUS",IF(F840="","INFORMAR PRAZO",IF(P840="","SEM DATA",IF(P840&lt;0,"VENCIDO",IF(P840&lt;=DiasAlerta,"VENCE EM BREVE","NO PRAZO"))))))))</f>
        <v/>
      </c>
      <c r="R840" s="118" t="str">
        <f>IF(D840="","",TODAY()-D840)</f>
        <v/>
      </c>
      <c r="S840" s="111" t="n"/>
    </row>
    <row r="841" ht="18" customHeight="1">
      <c r="A841" s="110" t="n"/>
      <c r="B841" s="111" t="n"/>
      <c r="C841" s="111" t="n"/>
      <c r="D841" s="112" t="n"/>
      <c r="E841" s="111" t="n"/>
      <c r="F841" s="110" t="n"/>
      <c r="G841" s="113" t="n"/>
      <c r="H841" s="113" t="n"/>
      <c r="I841" s="111" t="n"/>
      <c r="J841" s="114" t="n"/>
      <c r="K841" s="114" t="n"/>
      <c r="L841" s="112" t="n"/>
      <c r="M841" s="112" t="n"/>
      <c r="N841" s="112" t="n"/>
      <c r="O841" s="115" t="str">
        <f>IF(OR(D841="",F841=""),"",D841+F841)</f>
        <v/>
      </c>
      <c r="P841" s="116" t="str">
        <f>IF(O841="","",IF(ISNUMBER(M841),O841-M841,IF(OR(H841="DECISÃO D.P",ISNUMBER(N841)),"",O841-TODAY())))</f>
        <v/>
      </c>
      <c r="Q841" s="117" t="str">
        <f>IF(B841="","",IF(ISNUMBER(N841),"DECIDIDO – ","")&amp;IF(ISNUMBER(M841),IF(P841="",IF(F841="","INFORMAR PRAZO","SEM DATA"),IF(P841&gt;=0,"DEFESA NO PRAZO","DEFESA FORA DO PRAZO")),IF(OR(H841="DECISÃO D.P",ISNUMBER(N841)),"SEM DEFESA",IF(H841="","SEM STATUS",IF(F841="","INFORMAR PRAZO",IF(P841="","SEM DATA",IF(P841&lt;0,"VENCIDO",IF(P841&lt;=DiasAlerta,"VENCE EM BREVE","NO PRAZO"))))))))</f>
        <v/>
      </c>
      <c r="R841" s="118" t="str">
        <f>IF(D841="","",TODAY()-D841)</f>
        <v/>
      </c>
      <c r="S841" s="111" t="n"/>
    </row>
    <row r="842" ht="18" customHeight="1">
      <c r="A842" s="110" t="n"/>
      <c r="B842" s="111" t="n"/>
      <c r="C842" s="111" t="n"/>
      <c r="D842" s="112" t="n"/>
      <c r="E842" s="111" t="n"/>
      <c r="F842" s="110" t="n"/>
      <c r="G842" s="113" t="n"/>
      <c r="H842" s="113" t="n"/>
      <c r="I842" s="111" t="n"/>
      <c r="J842" s="114" t="n"/>
      <c r="K842" s="114" t="n"/>
      <c r="L842" s="112" t="n"/>
      <c r="M842" s="112" t="n"/>
      <c r="N842" s="112" t="n"/>
      <c r="O842" s="115" t="str">
        <f>IF(OR(D842="",F842=""),"",D842+F842)</f>
        <v/>
      </c>
      <c r="P842" s="116" t="str">
        <f>IF(O842="","",IF(ISNUMBER(M842),O842-M842,IF(OR(H842="DECISÃO D.P",ISNUMBER(N842)),"",O842-TODAY())))</f>
        <v/>
      </c>
      <c r="Q842" s="117" t="str">
        <f>IF(B842="","",IF(ISNUMBER(N842),"DECIDIDO – ","")&amp;IF(ISNUMBER(M842),IF(P842="",IF(F842="","INFORMAR PRAZO","SEM DATA"),IF(P842&gt;=0,"DEFESA NO PRAZO","DEFESA FORA DO PRAZO")),IF(OR(H842="DECISÃO D.P",ISNUMBER(N842)),"SEM DEFESA",IF(H842="","SEM STATUS",IF(F842="","INFORMAR PRAZO",IF(P842="","SEM DATA",IF(P842&lt;0,"VENCIDO",IF(P842&lt;=DiasAlerta,"VENCE EM BREVE","NO PRAZO"))))))))</f>
        <v/>
      </c>
      <c r="R842" s="118" t="str">
        <f>IF(D842="","",TODAY()-D842)</f>
        <v/>
      </c>
      <c r="S842" s="111" t="n"/>
    </row>
    <row r="843" ht="18" customHeight="1">
      <c r="A843" s="110" t="n"/>
      <c r="B843" s="111" t="n"/>
      <c r="C843" s="111" t="n"/>
      <c r="D843" s="112" t="n"/>
      <c r="E843" s="111" t="n"/>
      <c r="F843" s="110" t="n"/>
      <c r="G843" s="113" t="n"/>
      <c r="H843" s="113" t="n"/>
      <c r="I843" s="111" t="n"/>
      <c r="J843" s="114" t="n"/>
      <c r="K843" s="114" t="n"/>
      <c r="L843" s="112" t="n"/>
      <c r="M843" s="112" t="n"/>
      <c r="N843" s="112" t="n"/>
      <c r="O843" s="115" t="str">
        <f>IF(OR(D843="",F843=""),"",D843+F843)</f>
        <v/>
      </c>
      <c r="P843" s="116" t="str">
        <f>IF(O843="","",IF(ISNUMBER(M843),O843-M843,IF(OR(H843="DECISÃO D.P",ISNUMBER(N843)),"",O843-TODAY())))</f>
        <v/>
      </c>
      <c r="Q843" s="117" t="str">
        <f>IF(B843="","",IF(ISNUMBER(N843),"DECIDIDO – ","")&amp;IF(ISNUMBER(M843),IF(P843="",IF(F843="","INFORMAR PRAZO","SEM DATA"),IF(P843&gt;=0,"DEFESA NO PRAZO","DEFESA FORA DO PRAZO")),IF(OR(H843="DECISÃO D.P",ISNUMBER(N843)),"SEM DEFESA",IF(H843="","SEM STATUS",IF(F843="","INFORMAR PRAZO",IF(P843="","SEM DATA",IF(P843&lt;0,"VENCIDO",IF(P843&lt;=DiasAlerta,"VENCE EM BREVE","NO PRAZO"))))))))</f>
        <v/>
      </c>
      <c r="R843" s="118" t="str">
        <f>IF(D843="","",TODAY()-D843)</f>
        <v/>
      </c>
      <c r="S843" s="111" t="n"/>
    </row>
    <row r="844" ht="18" customHeight="1">
      <c r="A844" s="110" t="n"/>
      <c r="B844" s="111" t="n"/>
      <c r="C844" s="111" t="n"/>
      <c r="D844" s="112" t="n"/>
      <c r="E844" s="111" t="n"/>
      <c r="F844" s="110" t="n"/>
      <c r="G844" s="113" t="n"/>
      <c r="H844" s="113" t="n"/>
      <c r="I844" s="111" t="n"/>
      <c r="J844" s="114" t="n"/>
      <c r="K844" s="114" t="n"/>
      <c r="L844" s="112" t="n"/>
      <c r="M844" s="112" t="n"/>
      <c r="N844" s="112" t="n"/>
      <c r="O844" s="115" t="str">
        <f>IF(OR(D844="",F844=""),"",D844+F844)</f>
        <v/>
      </c>
      <c r="P844" s="116" t="str">
        <f>IF(O844="","",IF(ISNUMBER(M844),O844-M844,IF(OR(H844="DECISÃO D.P",ISNUMBER(N844)),"",O844-TODAY())))</f>
        <v/>
      </c>
      <c r="Q844" s="117" t="str">
        <f>IF(B844="","",IF(ISNUMBER(N844),"DECIDIDO – ","")&amp;IF(ISNUMBER(M844),IF(P844="",IF(F844="","INFORMAR PRAZO","SEM DATA"),IF(P844&gt;=0,"DEFESA NO PRAZO","DEFESA FORA DO PRAZO")),IF(OR(H844="DECISÃO D.P",ISNUMBER(N844)),"SEM DEFESA",IF(H844="","SEM STATUS",IF(F844="","INFORMAR PRAZO",IF(P844="","SEM DATA",IF(P844&lt;0,"VENCIDO",IF(P844&lt;=DiasAlerta,"VENCE EM BREVE","NO PRAZO"))))))))</f>
        <v/>
      </c>
      <c r="R844" s="118" t="str">
        <f>IF(D844="","",TODAY()-D844)</f>
        <v/>
      </c>
      <c r="S844" s="111" t="n"/>
    </row>
    <row r="845" ht="18" customHeight="1">
      <c r="A845" s="110" t="n"/>
      <c r="B845" s="111" t="n"/>
      <c r="C845" s="111" t="n"/>
      <c r="D845" s="112" t="n"/>
      <c r="E845" s="111" t="n"/>
      <c r="F845" s="110" t="n"/>
      <c r="G845" s="113" t="n"/>
      <c r="H845" s="113" t="n"/>
      <c r="I845" s="111" t="n"/>
      <c r="J845" s="114" t="n"/>
      <c r="K845" s="114" t="n"/>
      <c r="L845" s="112" t="n"/>
      <c r="M845" s="112" t="n"/>
      <c r="N845" s="112" t="n"/>
      <c r="O845" s="115" t="str">
        <f>IF(OR(D845="",F845=""),"",D845+F845)</f>
        <v/>
      </c>
      <c r="P845" s="116" t="str">
        <f>IF(O845="","",IF(ISNUMBER(M845),O845-M845,IF(OR(H845="DECISÃO D.P",ISNUMBER(N845)),"",O845-TODAY())))</f>
        <v/>
      </c>
      <c r="Q845" s="117" t="str">
        <f>IF(B845="","",IF(ISNUMBER(N845),"DECIDIDO – ","")&amp;IF(ISNUMBER(M845),IF(P845="",IF(F845="","INFORMAR PRAZO","SEM DATA"),IF(P845&gt;=0,"DEFESA NO PRAZO","DEFESA FORA DO PRAZO")),IF(OR(H845="DECISÃO D.P",ISNUMBER(N845)),"SEM DEFESA",IF(H845="","SEM STATUS",IF(F845="","INFORMAR PRAZO",IF(P845="","SEM DATA",IF(P845&lt;0,"VENCIDO",IF(P845&lt;=DiasAlerta,"VENCE EM BREVE","NO PRAZO"))))))))</f>
        <v/>
      </c>
      <c r="R845" s="118" t="str">
        <f>IF(D845="","",TODAY()-D845)</f>
        <v/>
      </c>
      <c r="S845" s="111" t="n"/>
    </row>
    <row r="846" ht="18" customHeight="1">
      <c r="A846" s="110" t="n"/>
      <c r="B846" s="111" t="n"/>
      <c r="C846" s="111" t="n"/>
      <c r="D846" s="112" t="n"/>
      <c r="E846" s="111" t="n"/>
      <c r="F846" s="110" t="n"/>
      <c r="G846" s="113" t="n"/>
      <c r="H846" s="113" t="n"/>
      <c r="I846" s="111" t="n"/>
      <c r="J846" s="114" t="n"/>
      <c r="K846" s="114" t="n"/>
      <c r="L846" s="112" t="n"/>
      <c r="M846" s="112" t="n"/>
      <c r="N846" s="112" t="n"/>
      <c r="O846" s="115" t="str">
        <f>IF(OR(D846="",F846=""),"",D846+F846)</f>
        <v/>
      </c>
      <c r="P846" s="116" t="str">
        <f>IF(O846="","",IF(ISNUMBER(M846),O846-M846,IF(OR(H846="DECISÃO D.P",ISNUMBER(N846)),"",O846-TODAY())))</f>
        <v/>
      </c>
      <c r="Q846" s="117" t="str">
        <f>IF(B846="","",IF(ISNUMBER(N846),"DECIDIDO – ","")&amp;IF(ISNUMBER(M846),IF(P846="",IF(F846="","INFORMAR PRAZO","SEM DATA"),IF(P846&gt;=0,"DEFESA NO PRAZO","DEFESA FORA DO PRAZO")),IF(OR(H846="DECISÃO D.P",ISNUMBER(N846)),"SEM DEFESA",IF(H846="","SEM STATUS",IF(F846="","INFORMAR PRAZO",IF(P846="","SEM DATA",IF(P846&lt;0,"VENCIDO",IF(P846&lt;=DiasAlerta,"VENCE EM BREVE","NO PRAZO"))))))))</f>
        <v/>
      </c>
      <c r="R846" s="118" t="str">
        <f>IF(D846="","",TODAY()-D846)</f>
        <v/>
      </c>
      <c r="S846" s="111" t="n"/>
    </row>
    <row r="847" ht="18" customHeight="1">
      <c r="A847" s="110" t="n"/>
      <c r="B847" s="111" t="n"/>
      <c r="C847" s="111" t="n"/>
      <c r="D847" s="112" t="n"/>
      <c r="E847" s="111" t="n"/>
      <c r="F847" s="110" t="n"/>
      <c r="G847" s="113" t="n"/>
      <c r="H847" s="113" t="n"/>
      <c r="I847" s="111" t="n"/>
      <c r="J847" s="114" t="n"/>
      <c r="K847" s="114" t="n"/>
      <c r="L847" s="112" t="n"/>
      <c r="M847" s="112" t="n"/>
      <c r="N847" s="112" t="n"/>
      <c r="O847" s="115" t="str">
        <f>IF(OR(D847="",F847=""),"",D847+F847)</f>
        <v/>
      </c>
      <c r="P847" s="116" t="str">
        <f>IF(O847="","",IF(ISNUMBER(M847),O847-M847,IF(OR(H847="DECISÃO D.P",ISNUMBER(N847)),"",O847-TODAY())))</f>
        <v/>
      </c>
      <c r="Q847" s="117" t="str">
        <f>IF(B847="","",IF(ISNUMBER(N847),"DECIDIDO – ","")&amp;IF(ISNUMBER(M847),IF(P847="",IF(F847="","INFORMAR PRAZO","SEM DATA"),IF(P847&gt;=0,"DEFESA NO PRAZO","DEFESA FORA DO PRAZO")),IF(OR(H847="DECISÃO D.P",ISNUMBER(N847)),"SEM DEFESA",IF(H847="","SEM STATUS",IF(F847="","INFORMAR PRAZO",IF(P847="","SEM DATA",IF(P847&lt;0,"VENCIDO",IF(P847&lt;=DiasAlerta,"VENCE EM BREVE","NO PRAZO"))))))))</f>
        <v/>
      </c>
      <c r="R847" s="118" t="str">
        <f>IF(D847="","",TODAY()-D847)</f>
        <v/>
      </c>
      <c r="S847" s="111" t="n"/>
    </row>
    <row r="848" ht="18" customHeight="1">
      <c r="A848" s="110" t="n"/>
      <c r="B848" s="111" t="n"/>
      <c r="C848" s="111" t="n"/>
      <c r="D848" s="112" t="n"/>
      <c r="E848" s="111" t="n"/>
      <c r="F848" s="110" t="n"/>
      <c r="G848" s="113" t="n"/>
      <c r="H848" s="113" t="n"/>
      <c r="I848" s="111" t="n"/>
      <c r="J848" s="114" t="n"/>
      <c r="K848" s="114" t="n"/>
      <c r="L848" s="112" t="n"/>
      <c r="M848" s="112" t="n"/>
      <c r="N848" s="112" t="n"/>
      <c r="O848" s="115" t="str">
        <f>IF(OR(D848="",F848=""),"",D848+F848)</f>
        <v/>
      </c>
      <c r="P848" s="116" t="str">
        <f>IF(O848="","",IF(ISNUMBER(M848),O848-M848,IF(OR(H848="DECISÃO D.P",ISNUMBER(N848)),"",O848-TODAY())))</f>
        <v/>
      </c>
      <c r="Q848" s="117" t="str">
        <f>IF(B848="","",IF(ISNUMBER(N848),"DECIDIDO – ","")&amp;IF(ISNUMBER(M848),IF(P848="",IF(F848="","INFORMAR PRAZO","SEM DATA"),IF(P848&gt;=0,"DEFESA NO PRAZO","DEFESA FORA DO PRAZO")),IF(OR(H848="DECISÃO D.P",ISNUMBER(N848)),"SEM DEFESA",IF(H848="","SEM STATUS",IF(F848="","INFORMAR PRAZO",IF(P848="","SEM DATA",IF(P848&lt;0,"VENCIDO",IF(P848&lt;=DiasAlerta,"VENCE EM BREVE","NO PRAZO"))))))))</f>
        <v/>
      </c>
      <c r="R848" s="118" t="str">
        <f>IF(D848="","",TODAY()-D848)</f>
        <v/>
      </c>
      <c r="S848" s="111" t="n"/>
    </row>
    <row r="849" ht="18" customHeight="1">
      <c r="A849" s="110" t="n"/>
      <c r="B849" s="111" t="n"/>
      <c r="C849" s="111" t="n"/>
      <c r="D849" s="112" t="n"/>
      <c r="E849" s="111" t="n"/>
      <c r="F849" s="110" t="n"/>
      <c r="G849" s="113" t="n"/>
      <c r="H849" s="113" t="n"/>
      <c r="I849" s="111" t="n"/>
      <c r="J849" s="114" t="n"/>
      <c r="K849" s="114" t="n"/>
      <c r="L849" s="112" t="n"/>
      <c r="M849" s="112" t="n"/>
      <c r="N849" s="112" t="n"/>
      <c r="O849" s="115" t="str">
        <f>IF(OR(D849="",F849=""),"",D849+F849)</f>
        <v/>
      </c>
      <c r="P849" s="116" t="str">
        <f>IF(O849="","",IF(ISNUMBER(M849),O849-M849,IF(OR(H849="DECISÃO D.P",ISNUMBER(N849)),"",O849-TODAY())))</f>
        <v/>
      </c>
      <c r="Q849" s="117" t="str">
        <f>IF(B849="","",IF(ISNUMBER(N849),"DECIDIDO – ","")&amp;IF(ISNUMBER(M849),IF(P849="",IF(F849="","INFORMAR PRAZO","SEM DATA"),IF(P849&gt;=0,"DEFESA NO PRAZO","DEFESA FORA DO PRAZO")),IF(OR(H849="DECISÃO D.P",ISNUMBER(N849)),"SEM DEFESA",IF(H849="","SEM STATUS",IF(F849="","INFORMAR PRAZO",IF(P849="","SEM DATA",IF(P849&lt;0,"VENCIDO",IF(P849&lt;=DiasAlerta,"VENCE EM BREVE","NO PRAZO"))))))))</f>
        <v/>
      </c>
      <c r="R849" s="118" t="str">
        <f>IF(D849="","",TODAY()-D849)</f>
        <v/>
      </c>
      <c r="S849" s="111" t="n"/>
    </row>
    <row r="850" ht="18" customHeight="1">
      <c r="A850" s="110" t="n"/>
      <c r="B850" s="111" t="n"/>
      <c r="C850" s="111" t="n"/>
      <c r="D850" s="112" t="n"/>
      <c r="E850" s="111" t="n"/>
      <c r="F850" s="110" t="n"/>
      <c r="G850" s="113" t="n"/>
      <c r="H850" s="113" t="n"/>
      <c r="I850" s="111" t="n"/>
      <c r="J850" s="114" t="n"/>
      <c r="K850" s="114" t="n"/>
      <c r="L850" s="112" t="n"/>
      <c r="M850" s="112" t="n"/>
      <c r="N850" s="112" t="n"/>
      <c r="O850" s="115" t="str">
        <f>IF(OR(D850="",F850=""),"",D850+F850)</f>
        <v/>
      </c>
      <c r="P850" s="116" t="str">
        <f>IF(O850="","",IF(ISNUMBER(M850),O850-M850,IF(OR(H850="DECISÃO D.P",ISNUMBER(N850)),"",O850-TODAY())))</f>
        <v/>
      </c>
      <c r="Q850" s="117" t="str">
        <f>IF(B850="","",IF(ISNUMBER(N850),"DECIDIDO – ","")&amp;IF(ISNUMBER(M850),IF(P850="",IF(F850="","INFORMAR PRAZO","SEM DATA"),IF(P850&gt;=0,"DEFESA NO PRAZO","DEFESA FORA DO PRAZO")),IF(OR(H850="DECISÃO D.P",ISNUMBER(N850)),"SEM DEFESA",IF(H850="","SEM STATUS",IF(F850="","INFORMAR PRAZO",IF(P850="","SEM DATA",IF(P850&lt;0,"VENCIDO",IF(P850&lt;=DiasAlerta,"VENCE EM BREVE","NO PRAZO"))))))))</f>
        <v/>
      </c>
      <c r="R850" s="118" t="str">
        <f>IF(D850="","",TODAY()-D850)</f>
        <v/>
      </c>
      <c r="S850" s="111" t="n"/>
    </row>
    <row r="851" ht="18" customHeight="1">
      <c r="A851" s="110" t="n"/>
      <c r="B851" s="111" t="n"/>
      <c r="C851" s="111" t="n"/>
      <c r="D851" s="112" t="n"/>
      <c r="E851" s="111" t="n"/>
      <c r="F851" s="110" t="n"/>
      <c r="G851" s="113" t="n"/>
      <c r="H851" s="113" t="n"/>
      <c r="I851" s="111" t="n"/>
      <c r="J851" s="114" t="n"/>
      <c r="K851" s="114" t="n"/>
      <c r="L851" s="112" t="n"/>
      <c r="M851" s="112" t="n"/>
      <c r="N851" s="112" t="n"/>
      <c r="O851" s="115" t="str">
        <f>IF(OR(D851="",F851=""),"",D851+F851)</f>
        <v/>
      </c>
      <c r="P851" s="116" t="str">
        <f>IF(O851="","",IF(ISNUMBER(M851),O851-M851,IF(OR(H851="DECISÃO D.P",ISNUMBER(N851)),"",O851-TODAY())))</f>
        <v/>
      </c>
      <c r="Q851" s="117" t="str">
        <f>IF(B851="","",IF(ISNUMBER(N851),"DECIDIDO – ","")&amp;IF(ISNUMBER(M851),IF(P851="",IF(F851="","INFORMAR PRAZO","SEM DATA"),IF(P851&gt;=0,"DEFESA NO PRAZO","DEFESA FORA DO PRAZO")),IF(OR(H851="DECISÃO D.P",ISNUMBER(N851)),"SEM DEFESA",IF(H851="","SEM STATUS",IF(F851="","INFORMAR PRAZO",IF(P851="","SEM DATA",IF(P851&lt;0,"VENCIDO",IF(P851&lt;=DiasAlerta,"VENCE EM BREVE","NO PRAZO"))))))))</f>
        <v/>
      </c>
      <c r="R851" s="118" t="str">
        <f>IF(D851="","",TODAY()-D851)</f>
        <v/>
      </c>
      <c r="S851" s="111" t="n"/>
    </row>
    <row r="852" ht="18" customHeight="1">
      <c r="A852" s="110" t="n"/>
      <c r="B852" s="111" t="n"/>
      <c r="C852" s="111" t="n"/>
      <c r="D852" s="112" t="n"/>
      <c r="E852" s="111" t="n"/>
      <c r="F852" s="110" t="n"/>
      <c r="G852" s="113" t="n"/>
      <c r="H852" s="113" t="n"/>
      <c r="I852" s="111" t="n"/>
      <c r="J852" s="114" t="n"/>
      <c r="K852" s="114" t="n"/>
      <c r="L852" s="112" t="n"/>
      <c r="M852" s="112" t="n"/>
      <c r="N852" s="112" t="n"/>
      <c r="O852" s="115" t="str">
        <f>IF(OR(D852="",F852=""),"",D852+F852)</f>
        <v/>
      </c>
      <c r="P852" s="116" t="str">
        <f>IF(O852="","",IF(ISNUMBER(M852),O852-M852,IF(OR(H852="DECISÃO D.P",ISNUMBER(N852)),"",O852-TODAY())))</f>
        <v/>
      </c>
      <c r="Q852" s="117" t="str">
        <f>IF(B852="","",IF(ISNUMBER(N852),"DECIDIDO – ","")&amp;IF(ISNUMBER(M852),IF(P852="",IF(F852="","INFORMAR PRAZO","SEM DATA"),IF(P852&gt;=0,"DEFESA NO PRAZO","DEFESA FORA DO PRAZO")),IF(OR(H852="DECISÃO D.P",ISNUMBER(N852)),"SEM DEFESA",IF(H852="","SEM STATUS",IF(F852="","INFORMAR PRAZO",IF(P852="","SEM DATA",IF(P852&lt;0,"VENCIDO",IF(P852&lt;=DiasAlerta,"VENCE EM BREVE","NO PRAZO"))))))))</f>
        <v/>
      </c>
      <c r="R852" s="118" t="str">
        <f>IF(D852="","",TODAY()-D852)</f>
        <v/>
      </c>
      <c r="S852" s="111" t="n"/>
    </row>
    <row r="853" ht="18" customHeight="1">
      <c r="A853" s="110" t="n"/>
      <c r="B853" s="111" t="n"/>
      <c r="C853" s="111" t="n"/>
      <c r="D853" s="112" t="n"/>
      <c r="E853" s="111" t="n"/>
      <c r="F853" s="110" t="n"/>
      <c r="G853" s="113" t="n"/>
      <c r="H853" s="113" t="n"/>
      <c r="I853" s="111" t="n"/>
      <c r="J853" s="114" t="n"/>
      <c r="K853" s="114" t="n"/>
      <c r="L853" s="112" t="n"/>
      <c r="M853" s="112" t="n"/>
      <c r="N853" s="112" t="n"/>
      <c r="O853" s="115" t="str">
        <f>IF(OR(D853="",F853=""),"",D853+F853)</f>
        <v/>
      </c>
      <c r="P853" s="116" t="str">
        <f>IF(O853="","",IF(ISNUMBER(M853),O853-M853,IF(OR(H853="DECISÃO D.P",ISNUMBER(N853)),"",O853-TODAY())))</f>
        <v/>
      </c>
      <c r="Q853" s="117" t="str">
        <f>IF(B853="","",IF(ISNUMBER(N853),"DECIDIDO – ","")&amp;IF(ISNUMBER(M853),IF(P853="",IF(F853="","INFORMAR PRAZO","SEM DATA"),IF(P853&gt;=0,"DEFESA NO PRAZO","DEFESA FORA DO PRAZO")),IF(OR(H853="DECISÃO D.P",ISNUMBER(N853)),"SEM DEFESA",IF(H853="","SEM STATUS",IF(F853="","INFORMAR PRAZO",IF(P853="","SEM DATA",IF(P853&lt;0,"VENCIDO",IF(P853&lt;=DiasAlerta,"VENCE EM BREVE","NO PRAZO"))))))))</f>
        <v/>
      </c>
      <c r="R853" s="118" t="str">
        <f>IF(D853="","",TODAY()-D853)</f>
        <v/>
      </c>
      <c r="S853" s="111" t="n"/>
    </row>
    <row r="854" ht="18" customHeight="1">
      <c r="A854" s="110" t="n"/>
      <c r="B854" s="111" t="n"/>
      <c r="C854" s="111" t="n"/>
      <c r="D854" s="112" t="n"/>
      <c r="E854" s="111" t="n"/>
      <c r="F854" s="110" t="n"/>
      <c r="G854" s="113" t="n"/>
      <c r="H854" s="113" t="n"/>
      <c r="I854" s="111" t="n"/>
      <c r="J854" s="114" t="n"/>
      <c r="K854" s="114" t="n"/>
      <c r="L854" s="112" t="n"/>
      <c r="M854" s="112" t="n"/>
      <c r="N854" s="112" t="n"/>
      <c r="O854" s="115" t="str">
        <f>IF(OR(D854="",F854=""),"",D854+F854)</f>
        <v/>
      </c>
      <c r="P854" s="116" t="str">
        <f>IF(O854="","",IF(ISNUMBER(M854),O854-M854,IF(OR(H854="DECISÃO D.P",ISNUMBER(N854)),"",O854-TODAY())))</f>
        <v/>
      </c>
      <c r="Q854" s="117" t="str">
        <f>IF(B854="","",IF(ISNUMBER(N854),"DECIDIDO – ","")&amp;IF(ISNUMBER(M854),IF(P854="",IF(F854="","INFORMAR PRAZO","SEM DATA"),IF(P854&gt;=0,"DEFESA NO PRAZO","DEFESA FORA DO PRAZO")),IF(OR(H854="DECISÃO D.P",ISNUMBER(N854)),"SEM DEFESA",IF(H854="","SEM STATUS",IF(F854="","INFORMAR PRAZO",IF(P854="","SEM DATA",IF(P854&lt;0,"VENCIDO",IF(P854&lt;=DiasAlerta,"VENCE EM BREVE","NO PRAZO"))))))))</f>
        <v/>
      </c>
      <c r="R854" s="118" t="str">
        <f>IF(D854="","",TODAY()-D854)</f>
        <v/>
      </c>
      <c r="S854" s="111" t="n"/>
    </row>
    <row r="855" ht="18" customHeight="1">
      <c r="A855" s="110" t="n"/>
      <c r="B855" s="111" t="n"/>
      <c r="C855" s="111" t="n"/>
      <c r="D855" s="112" t="n"/>
      <c r="E855" s="111" t="n"/>
      <c r="F855" s="110" t="n"/>
      <c r="G855" s="113" t="n"/>
      <c r="H855" s="113" t="n"/>
      <c r="I855" s="111" t="n"/>
      <c r="J855" s="114" t="n"/>
      <c r="K855" s="114" t="n"/>
      <c r="L855" s="112" t="n"/>
      <c r="M855" s="112" t="n"/>
      <c r="N855" s="112" t="n"/>
      <c r="O855" s="115" t="str">
        <f>IF(OR(D855="",F855=""),"",D855+F855)</f>
        <v/>
      </c>
      <c r="P855" s="116" t="str">
        <f>IF(O855="","",IF(ISNUMBER(M855),O855-M855,IF(OR(H855="DECISÃO D.P",ISNUMBER(N855)),"",O855-TODAY())))</f>
        <v/>
      </c>
      <c r="Q855" s="117" t="str">
        <f>IF(B855="","",IF(ISNUMBER(N855),"DECIDIDO – ","")&amp;IF(ISNUMBER(M855),IF(P855="",IF(F855="","INFORMAR PRAZO","SEM DATA"),IF(P855&gt;=0,"DEFESA NO PRAZO","DEFESA FORA DO PRAZO")),IF(OR(H855="DECISÃO D.P",ISNUMBER(N855)),"SEM DEFESA",IF(H855="","SEM STATUS",IF(F855="","INFORMAR PRAZO",IF(P855="","SEM DATA",IF(P855&lt;0,"VENCIDO",IF(P855&lt;=DiasAlerta,"VENCE EM BREVE","NO PRAZO"))))))))</f>
        <v/>
      </c>
      <c r="R855" s="118" t="str">
        <f>IF(D855="","",TODAY()-D855)</f>
        <v/>
      </c>
      <c r="S855" s="111" t="n"/>
    </row>
    <row r="856" ht="18" customHeight="1">
      <c r="A856" s="110" t="n"/>
      <c r="B856" s="111" t="n"/>
      <c r="C856" s="111" t="n"/>
      <c r="D856" s="112" t="n"/>
      <c r="E856" s="111" t="n"/>
      <c r="F856" s="110" t="n"/>
      <c r="G856" s="113" t="n"/>
      <c r="H856" s="113" t="n"/>
      <c r="I856" s="111" t="n"/>
      <c r="J856" s="114" t="n"/>
      <c r="K856" s="114" t="n"/>
      <c r="L856" s="112" t="n"/>
      <c r="M856" s="112" t="n"/>
      <c r="N856" s="112" t="n"/>
      <c r="O856" s="115" t="str">
        <f>IF(OR(D856="",F856=""),"",D856+F856)</f>
        <v/>
      </c>
      <c r="P856" s="116" t="str">
        <f>IF(O856="","",IF(ISNUMBER(M856),O856-M856,IF(OR(H856="DECISÃO D.P",ISNUMBER(N856)),"",O856-TODAY())))</f>
        <v/>
      </c>
      <c r="Q856" s="117" t="str">
        <f>IF(B856="","",IF(ISNUMBER(N856),"DECIDIDO – ","")&amp;IF(ISNUMBER(M856),IF(P856="",IF(F856="","INFORMAR PRAZO","SEM DATA"),IF(P856&gt;=0,"DEFESA NO PRAZO","DEFESA FORA DO PRAZO")),IF(OR(H856="DECISÃO D.P",ISNUMBER(N856)),"SEM DEFESA",IF(H856="","SEM STATUS",IF(F856="","INFORMAR PRAZO",IF(P856="","SEM DATA",IF(P856&lt;0,"VENCIDO",IF(P856&lt;=DiasAlerta,"VENCE EM BREVE","NO PRAZO"))))))))</f>
        <v/>
      </c>
      <c r="R856" s="118" t="str">
        <f>IF(D856="","",TODAY()-D856)</f>
        <v/>
      </c>
      <c r="S856" s="111" t="n"/>
    </row>
    <row r="857" ht="18" customHeight="1">
      <c r="A857" s="110" t="n"/>
      <c r="B857" s="111" t="n"/>
      <c r="C857" s="111" t="n"/>
      <c r="D857" s="112" t="n"/>
      <c r="E857" s="111" t="n"/>
      <c r="F857" s="110" t="n"/>
      <c r="G857" s="113" t="n"/>
      <c r="H857" s="113" t="n"/>
      <c r="I857" s="111" t="n"/>
      <c r="J857" s="114" t="n"/>
      <c r="K857" s="114" t="n"/>
      <c r="L857" s="112" t="n"/>
      <c r="M857" s="112" t="n"/>
      <c r="N857" s="112" t="n"/>
      <c r="O857" s="115" t="str">
        <f>IF(OR(D857="",F857=""),"",D857+F857)</f>
        <v/>
      </c>
      <c r="P857" s="116" t="str">
        <f>IF(O857="","",IF(ISNUMBER(M857),O857-M857,IF(OR(H857="DECISÃO D.P",ISNUMBER(N857)),"",O857-TODAY())))</f>
        <v/>
      </c>
      <c r="Q857" s="117" t="str">
        <f>IF(B857="","",IF(ISNUMBER(N857),"DECIDIDO – ","")&amp;IF(ISNUMBER(M857),IF(P857="",IF(F857="","INFORMAR PRAZO","SEM DATA"),IF(P857&gt;=0,"DEFESA NO PRAZO","DEFESA FORA DO PRAZO")),IF(OR(H857="DECISÃO D.P",ISNUMBER(N857)),"SEM DEFESA",IF(H857="","SEM STATUS",IF(F857="","INFORMAR PRAZO",IF(P857="","SEM DATA",IF(P857&lt;0,"VENCIDO",IF(P857&lt;=DiasAlerta,"VENCE EM BREVE","NO PRAZO"))))))))</f>
        <v/>
      </c>
      <c r="R857" s="118" t="str">
        <f>IF(D857="","",TODAY()-D857)</f>
        <v/>
      </c>
      <c r="S857" s="111" t="n"/>
    </row>
    <row r="858" ht="18" customHeight="1">
      <c r="A858" s="110" t="n"/>
      <c r="B858" s="111" t="n"/>
      <c r="C858" s="111" t="n"/>
      <c r="D858" s="112" t="n"/>
      <c r="E858" s="111" t="n"/>
      <c r="F858" s="110" t="n"/>
      <c r="G858" s="113" t="n"/>
      <c r="H858" s="113" t="n"/>
      <c r="I858" s="111" t="n"/>
      <c r="J858" s="114" t="n"/>
      <c r="K858" s="114" t="n"/>
      <c r="L858" s="112" t="n"/>
      <c r="M858" s="112" t="n"/>
      <c r="N858" s="112" t="n"/>
      <c r="O858" s="115" t="str">
        <f>IF(OR(D858="",F858=""),"",D858+F858)</f>
        <v/>
      </c>
      <c r="P858" s="116" t="str">
        <f>IF(O858="","",IF(ISNUMBER(M858),O858-M858,IF(OR(H858="DECISÃO D.P",ISNUMBER(N858)),"",O858-TODAY())))</f>
        <v/>
      </c>
      <c r="Q858" s="117" t="str">
        <f>IF(B858="","",IF(ISNUMBER(N858),"DECIDIDO – ","")&amp;IF(ISNUMBER(M858),IF(P858="",IF(F858="","INFORMAR PRAZO","SEM DATA"),IF(P858&gt;=0,"DEFESA NO PRAZO","DEFESA FORA DO PRAZO")),IF(OR(H858="DECISÃO D.P",ISNUMBER(N858)),"SEM DEFESA",IF(H858="","SEM STATUS",IF(F858="","INFORMAR PRAZO",IF(P858="","SEM DATA",IF(P858&lt;0,"VENCIDO",IF(P858&lt;=DiasAlerta,"VENCE EM BREVE","NO PRAZO"))))))))</f>
        <v/>
      </c>
      <c r="R858" s="118" t="str">
        <f>IF(D858="","",TODAY()-D858)</f>
        <v/>
      </c>
      <c r="S858" s="111" t="n"/>
    </row>
    <row r="859" ht="18" customHeight="1">
      <c r="A859" s="110" t="n"/>
      <c r="B859" s="111" t="n"/>
      <c r="C859" s="111" t="n"/>
      <c r="D859" s="112" t="n"/>
      <c r="E859" s="111" t="n"/>
      <c r="F859" s="110" t="n"/>
      <c r="G859" s="113" t="n"/>
      <c r="H859" s="113" t="n"/>
      <c r="I859" s="111" t="n"/>
      <c r="J859" s="114" t="n"/>
      <c r="K859" s="114" t="n"/>
      <c r="L859" s="112" t="n"/>
      <c r="M859" s="112" t="n"/>
      <c r="N859" s="112" t="n"/>
      <c r="O859" s="115" t="str">
        <f>IF(OR(D859="",F859=""),"",D859+F859)</f>
        <v/>
      </c>
      <c r="P859" s="116" t="str">
        <f>IF(O859="","",IF(ISNUMBER(M859),O859-M859,IF(OR(H859="DECISÃO D.P",ISNUMBER(N859)),"",O859-TODAY())))</f>
        <v/>
      </c>
      <c r="Q859" s="117" t="str">
        <f>IF(B859="","",IF(ISNUMBER(N859),"DECIDIDO – ","")&amp;IF(ISNUMBER(M859),IF(P859="",IF(F859="","INFORMAR PRAZO","SEM DATA"),IF(P859&gt;=0,"DEFESA NO PRAZO","DEFESA FORA DO PRAZO")),IF(OR(H859="DECISÃO D.P",ISNUMBER(N859)),"SEM DEFESA",IF(H859="","SEM STATUS",IF(F859="","INFORMAR PRAZO",IF(P859="","SEM DATA",IF(P859&lt;0,"VENCIDO",IF(P859&lt;=DiasAlerta,"VENCE EM BREVE","NO PRAZO"))))))))</f>
        <v/>
      </c>
      <c r="R859" s="118" t="str">
        <f>IF(D859="","",TODAY()-D859)</f>
        <v/>
      </c>
      <c r="S859" s="111" t="n"/>
    </row>
    <row r="860" ht="18" customHeight="1">
      <c r="A860" s="110" t="n"/>
      <c r="B860" s="111" t="n"/>
      <c r="C860" s="111" t="n"/>
      <c r="D860" s="112" t="n"/>
      <c r="E860" s="111" t="n"/>
      <c r="F860" s="110" t="n"/>
      <c r="G860" s="113" t="n"/>
      <c r="H860" s="113" t="n"/>
      <c r="I860" s="111" t="n"/>
      <c r="J860" s="114" t="n"/>
      <c r="K860" s="114" t="n"/>
      <c r="L860" s="112" t="n"/>
      <c r="M860" s="112" t="n"/>
      <c r="N860" s="112" t="n"/>
      <c r="O860" s="115" t="str">
        <f>IF(OR(D860="",F860=""),"",D860+F860)</f>
        <v/>
      </c>
      <c r="P860" s="116" t="str">
        <f>IF(O860="","",IF(ISNUMBER(M860),O860-M860,IF(OR(H860="DECISÃO D.P",ISNUMBER(N860)),"",O860-TODAY())))</f>
        <v/>
      </c>
      <c r="Q860" s="117" t="str">
        <f>IF(B860="","",IF(ISNUMBER(N860),"DECIDIDO – ","")&amp;IF(ISNUMBER(M860),IF(P860="",IF(F860="","INFORMAR PRAZO","SEM DATA"),IF(P860&gt;=0,"DEFESA NO PRAZO","DEFESA FORA DO PRAZO")),IF(OR(H860="DECISÃO D.P",ISNUMBER(N860)),"SEM DEFESA",IF(H860="","SEM STATUS",IF(F860="","INFORMAR PRAZO",IF(P860="","SEM DATA",IF(P860&lt;0,"VENCIDO",IF(P860&lt;=DiasAlerta,"VENCE EM BREVE","NO PRAZO"))))))))</f>
        <v/>
      </c>
      <c r="R860" s="118" t="str">
        <f>IF(D860="","",TODAY()-D860)</f>
        <v/>
      </c>
      <c r="S860" s="111" t="n"/>
    </row>
    <row r="861" ht="18" customHeight="1">
      <c r="A861" s="110" t="n"/>
      <c r="B861" s="111" t="n"/>
      <c r="C861" s="111" t="n"/>
      <c r="D861" s="112" t="n"/>
      <c r="E861" s="111" t="n"/>
      <c r="F861" s="110" t="n"/>
      <c r="G861" s="113" t="n"/>
      <c r="H861" s="113" t="n"/>
      <c r="I861" s="111" t="n"/>
      <c r="J861" s="114" t="n"/>
      <c r="K861" s="114" t="n"/>
      <c r="L861" s="112" t="n"/>
      <c r="M861" s="112" t="n"/>
      <c r="N861" s="112" t="n"/>
      <c r="O861" s="115" t="str">
        <f>IF(OR(D861="",F861=""),"",D861+F861)</f>
        <v/>
      </c>
      <c r="P861" s="116" t="str">
        <f>IF(O861="","",IF(ISNUMBER(M861),O861-M861,IF(OR(H861="DECISÃO D.P",ISNUMBER(N861)),"",O861-TODAY())))</f>
        <v/>
      </c>
      <c r="Q861" s="117" t="str">
        <f>IF(B861="","",IF(ISNUMBER(N861),"DECIDIDO – ","")&amp;IF(ISNUMBER(M861),IF(P861="",IF(F861="","INFORMAR PRAZO","SEM DATA"),IF(P861&gt;=0,"DEFESA NO PRAZO","DEFESA FORA DO PRAZO")),IF(OR(H861="DECISÃO D.P",ISNUMBER(N861)),"SEM DEFESA",IF(H861="","SEM STATUS",IF(F861="","INFORMAR PRAZO",IF(P861="","SEM DATA",IF(P861&lt;0,"VENCIDO",IF(P861&lt;=DiasAlerta,"VENCE EM BREVE","NO PRAZO"))))))))</f>
        <v/>
      </c>
      <c r="R861" s="118" t="str">
        <f>IF(D861="","",TODAY()-D861)</f>
        <v/>
      </c>
      <c r="S861" s="111" t="n"/>
    </row>
    <row r="862" ht="18" customHeight="1">
      <c r="A862" s="110" t="n"/>
      <c r="B862" s="111" t="n"/>
      <c r="C862" s="111" t="n"/>
      <c r="D862" s="112" t="n"/>
      <c r="E862" s="111" t="n"/>
      <c r="F862" s="110" t="n"/>
      <c r="G862" s="113" t="n"/>
      <c r="H862" s="113" t="n"/>
      <c r="I862" s="111" t="n"/>
      <c r="J862" s="114" t="n"/>
      <c r="K862" s="114" t="n"/>
      <c r="L862" s="112" t="n"/>
      <c r="M862" s="112" t="n"/>
      <c r="N862" s="112" t="n"/>
      <c r="O862" s="115" t="str">
        <f>IF(OR(D862="",F862=""),"",D862+F862)</f>
        <v/>
      </c>
      <c r="P862" s="116" t="str">
        <f>IF(O862="","",IF(ISNUMBER(M862),O862-M862,IF(OR(H862="DECISÃO D.P",ISNUMBER(N862)),"",O862-TODAY())))</f>
        <v/>
      </c>
      <c r="Q862" s="117" t="str">
        <f>IF(B862="","",IF(ISNUMBER(N862),"DECIDIDO – ","")&amp;IF(ISNUMBER(M862),IF(P862="",IF(F862="","INFORMAR PRAZO","SEM DATA"),IF(P862&gt;=0,"DEFESA NO PRAZO","DEFESA FORA DO PRAZO")),IF(OR(H862="DECISÃO D.P",ISNUMBER(N862)),"SEM DEFESA",IF(H862="","SEM STATUS",IF(F862="","INFORMAR PRAZO",IF(P862="","SEM DATA",IF(P862&lt;0,"VENCIDO",IF(P862&lt;=DiasAlerta,"VENCE EM BREVE","NO PRAZO"))))))))</f>
        <v/>
      </c>
      <c r="R862" s="118" t="str">
        <f>IF(D862="","",TODAY()-D862)</f>
        <v/>
      </c>
      <c r="S862" s="111" t="n"/>
    </row>
    <row r="863" ht="18" customHeight="1">
      <c r="A863" s="110" t="n"/>
      <c r="B863" s="111" t="n"/>
      <c r="C863" s="111" t="n"/>
      <c r="D863" s="112" t="n"/>
      <c r="E863" s="111" t="n"/>
      <c r="F863" s="110" t="n"/>
      <c r="G863" s="113" t="n"/>
      <c r="H863" s="113" t="n"/>
      <c r="I863" s="111" t="n"/>
      <c r="J863" s="114" t="n"/>
      <c r="K863" s="114" t="n"/>
      <c r="L863" s="112" t="n"/>
      <c r="M863" s="112" t="n"/>
      <c r="N863" s="112" t="n"/>
      <c r="O863" s="115" t="str">
        <f>IF(OR(D863="",F863=""),"",D863+F863)</f>
        <v/>
      </c>
      <c r="P863" s="116" t="str">
        <f>IF(O863="","",IF(ISNUMBER(M863),O863-M863,IF(OR(H863="DECISÃO D.P",ISNUMBER(N863)),"",O863-TODAY())))</f>
        <v/>
      </c>
      <c r="Q863" s="117" t="str">
        <f>IF(B863="","",IF(ISNUMBER(N863),"DECIDIDO – ","")&amp;IF(ISNUMBER(M863),IF(P863="",IF(F863="","INFORMAR PRAZO","SEM DATA"),IF(P863&gt;=0,"DEFESA NO PRAZO","DEFESA FORA DO PRAZO")),IF(OR(H863="DECISÃO D.P",ISNUMBER(N863)),"SEM DEFESA",IF(H863="","SEM STATUS",IF(F863="","INFORMAR PRAZO",IF(P863="","SEM DATA",IF(P863&lt;0,"VENCIDO",IF(P863&lt;=DiasAlerta,"VENCE EM BREVE","NO PRAZO"))))))))</f>
        <v/>
      </c>
      <c r="R863" s="118" t="str">
        <f>IF(D863="","",TODAY()-D863)</f>
        <v/>
      </c>
      <c r="S863" s="111" t="n"/>
    </row>
    <row r="864" ht="18" customHeight="1">
      <c r="A864" s="110" t="n"/>
      <c r="B864" s="111" t="n"/>
      <c r="C864" s="111" t="n"/>
      <c r="D864" s="112" t="n"/>
      <c r="E864" s="111" t="n"/>
      <c r="F864" s="110" t="n"/>
      <c r="G864" s="113" t="n"/>
      <c r="H864" s="113" t="n"/>
      <c r="I864" s="111" t="n"/>
      <c r="J864" s="114" t="n"/>
      <c r="K864" s="114" t="n"/>
      <c r="L864" s="112" t="n"/>
      <c r="M864" s="112" t="n"/>
      <c r="N864" s="112" t="n"/>
      <c r="O864" s="115" t="str">
        <f>IF(OR(D864="",F864=""),"",D864+F864)</f>
        <v/>
      </c>
      <c r="P864" s="116" t="str">
        <f>IF(O864="","",IF(ISNUMBER(M864),O864-M864,IF(OR(H864="DECISÃO D.P",ISNUMBER(N864)),"",O864-TODAY())))</f>
        <v/>
      </c>
      <c r="Q864" s="117" t="str">
        <f>IF(B864="","",IF(ISNUMBER(N864),"DECIDIDO – ","")&amp;IF(ISNUMBER(M864),IF(P864="",IF(F864="","INFORMAR PRAZO","SEM DATA"),IF(P864&gt;=0,"DEFESA NO PRAZO","DEFESA FORA DO PRAZO")),IF(OR(H864="DECISÃO D.P",ISNUMBER(N864)),"SEM DEFESA",IF(H864="","SEM STATUS",IF(F864="","INFORMAR PRAZO",IF(P864="","SEM DATA",IF(P864&lt;0,"VENCIDO",IF(P864&lt;=DiasAlerta,"VENCE EM BREVE","NO PRAZO"))))))))</f>
        <v/>
      </c>
      <c r="R864" s="118" t="str">
        <f>IF(D864="","",TODAY()-D864)</f>
        <v/>
      </c>
      <c r="S864" s="111" t="n"/>
    </row>
    <row r="865" ht="18" customHeight="1">
      <c r="A865" s="110" t="n"/>
      <c r="B865" s="111" t="n"/>
      <c r="C865" s="111" t="n"/>
      <c r="D865" s="112" t="n"/>
      <c r="E865" s="111" t="n"/>
      <c r="F865" s="110" t="n"/>
      <c r="G865" s="113" t="n"/>
      <c r="H865" s="113" t="n"/>
      <c r="I865" s="111" t="n"/>
      <c r="J865" s="114" t="n"/>
      <c r="K865" s="114" t="n"/>
      <c r="L865" s="112" t="n"/>
      <c r="M865" s="112" t="n"/>
      <c r="N865" s="112" t="n"/>
      <c r="O865" s="115" t="str">
        <f>IF(OR(D865="",F865=""),"",D865+F865)</f>
        <v/>
      </c>
      <c r="P865" s="116" t="str">
        <f>IF(O865="","",IF(ISNUMBER(M865),O865-M865,IF(OR(H865="DECISÃO D.P",ISNUMBER(N865)),"",O865-TODAY())))</f>
        <v/>
      </c>
      <c r="Q865" s="117" t="str">
        <f>IF(B865="","",IF(ISNUMBER(N865),"DECIDIDO – ","")&amp;IF(ISNUMBER(M865),IF(P865="",IF(F865="","INFORMAR PRAZO","SEM DATA"),IF(P865&gt;=0,"DEFESA NO PRAZO","DEFESA FORA DO PRAZO")),IF(OR(H865="DECISÃO D.P",ISNUMBER(N865)),"SEM DEFESA",IF(H865="","SEM STATUS",IF(F865="","INFORMAR PRAZO",IF(P865="","SEM DATA",IF(P865&lt;0,"VENCIDO",IF(P865&lt;=DiasAlerta,"VENCE EM BREVE","NO PRAZO"))))))))</f>
        <v/>
      </c>
      <c r="R865" s="118" t="str">
        <f>IF(D865="","",TODAY()-D865)</f>
        <v/>
      </c>
      <c r="S865" s="111" t="n"/>
    </row>
    <row r="866" ht="18" customHeight="1">
      <c r="A866" s="110" t="n"/>
      <c r="B866" s="111" t="n"/>
      <c r="C866" s="111" t="n"/>
      <c r="D866" s="112" t="n"/>
      <c r="E866" s="111" t="n"/>
      <c r="F866" s="110" t="n"/>
      <c r="G866" s="113" t="n"/>
      <c r="H866" s="113" t="n"/>
      <c r="I866" s="111" t="n"/>
      <c r="J866" s="114" t="n"/>
      <c r="K866" s="114" t="n"/>
      <c r="L866" s="112" t="n"/>
      <c r="M866" s="112" t="n"/>
      <c r="N866" s="112" t="n"/>
      <c r="O866" s="115" t="str">
        <f>IF(OR(D866="",F866=""),"",D866+F866)</f>
        <v/>
      </c>
      <c r="P866" s="116" t="str">
        <f>IF(O866="","",IF(ISNUMBER(M866),O866-M866,IF(OR(H866="DECISÃO D.P",ISNUMBER(N866)),"",O866-TODAY())))</f>
        <v/>
      </c>
      <c r="Q866" s="117" t="str">
        <f>IF(B866="","",IF(ISNUMBER(N866),"DECIDIDO – ","")&amp;IF(ISNUMBER(M866),IF(P866="",IF(F866="","INFORMAR PRAZO","SEM DATA"),IF(P866&gt;=0,"DEFESA NO PRAZO","DEFESA FORA DO PRAZO")),IF(OR(H866="DECISÃO D.P",ISNUMBER(N866)),"SEM DEFESA",IF(H866="","SEM STATUS",IF(F866="","INFORMAR PRAZO",IF(P866="","SEM DATA",IF(P866&lt;0,"VENCIDO",IF(P866&lt;=DiasAlerta,"VENCE EM BREVE","NO PRAZO"))))))))</f>
        <v/>
      </c>
      <c r="R866" s="118" t="str">
        <f>IF(D866="","",TODAY()-D866)</f>
        <v/>
      </c>
      <c r="S866" s="111" t="n"/>
    </row>
    <row r="867" ht="18" customHeight="1">
      <c r="A867" s="110" t="n"/>
      <c r="B867" s="111" t="n"/>
      <c r="C867" s="111" t="n"/>
      <c r="D867" s="112" t="n"/>
      <c r="E867" s="111" t="n"/>
      <c r="F867" s="110" t="n"/>
      <c r="G867" s="113" t="n"/>
      <c r="H867" s="113" t="n"/>
      <c r="I867" s="111" t="n"/>
      <c r="J867" s="114" t="n"/>
      <c r="K867" s="114" t="n"/>
      <c r="L867" s="112" t="n"/>
      <c r="M867" s="112" t="n"/>
      <c r="N867" s="112" t="n"/>
      <c r="O867" s="115" t="str">
        <f>IF(OR(D867="",F867=""),"",D867+F867)</f>
        <v/>
      </c>
      <c r="P867" s="116" t="str">
        <f>IF(O867="","",IF(ISNUMBER(M867),O867-M867,IF(OR(H867="DECISÃO D.P",ISNUMBER(N867)),"",O867-TODAY())))</f>
        <v/>
      </c>
      <c r="Q867" s="117" t="str">
        <f>IF(B867="","",IF(ISNUMBER(N867),"DECIDIDO – ","")&amp;IF(ISNUMBER(M867),IF(P867="",IF(F867="","INFORMAR PRAZO","SEM DATA"),IF(P867&gt;=0,"DEFESA NO PRAZO","DEFESA FORA DO PRAZO")),IF(OR(H867="DECISÃO D.P",ISNUMBER(N867)),"SEM DEFESA",IF(H867="","SEM STATUS",IF(F867="","INFORMAR PRAZO",IF(P867="","SEM DATA",IF(P867&lt;0,"VENCIDO",IF(P867&lt;=DiasAlerta,"VENCE EM BREVE","NO PRAZO"))))))))</f>
        <v/>
      </c>
      <c r="R867" s="118" t="str">
        <f>IF(D867="","",TODAY()-D867)</f>
        <v/>
      </c>
      <c r="S867" s="111" t="n"/>
    </row>
    <row r="868" ht="18" customHeight="1">
      <c r="A868" s="110" t="n"/>
      <c r="B868" s="111" t="n"/>
      <c r="C868" s="111" t="n"/>
      <c r="D868" s="112" t="n"/>
      <c r="E868" s="111" t="n"/>
      <c r="F868" s="110" t="n"/>
      <c r="G868" s="113" t="n"/>
      <c r="H868" s="113" t="n"/>
      <c r="I868" s="111" t="n"/>
      <c r="J868" s="114" t="n"/>
      <c r="K868" s="114" t="n"/>
      <c r="L868" s="112" t="n"/>
      <c r="M868" s="112" t="n"/>
      <c r="N868" s="112" t="n"/>
      <c r="O868" s="115" t="str">
        <f>IF(OR(D868="",F868=""),"",D868+F868)</f>
        <v/>
      </c>
      <c r="P868" s="116" t="str">
        <f>IF(O868="","",IF(ISNUMBER(M868),O868-M868,IF(OR(H868="DECISÃO D.P",ISNUMBER(N868)),"",O868-TODAY())))</f>
        <v/>
      </c>
      <c r="Q868" s="117" t="str">
        <f>IF(B868="","",IF(ISNUMBER(N868),"DECIDIDO – ","")&amp;IF(ISNUMBER(M868),IF(P868="",IF(F868="","INFORMAR PRAZO","SEM DATA"),IF(P868&gt;=0,"DEFESA NO PRAZO","DEFESA FORA DO PRAZO")),IF(OR(H868="DECISÃO D.P",ISNUMBER(N868)),"SEM DEFESA",IF(H868="","SEM STATUS",IF(F868="","INFORMAR PRAZO",IF(P868="","SEM DATA",IF(P868&lt;0,"VENCIDO",IF(P868&lt;=DiasAlerta,"VENCE EM BREVE","NO PRAZO"))))))))</f>
        <v/>
      </c>
      <c r="R868" s="118" t="str">
        <f>IF(D868="","",TODAY()-D868)</f>
        <v/>
      </c>
      <c r="S868" s="111" t="n"/>
    </row>
    <row r="869" ht="18" customHeight="1">
      <c r="A869" s="110" t="n"/>
      <c r="B869" s="111" t="n"/>
      <c r="C869" s="111" t="n"/>
      <c r="D869" s="112" t="n"/>
      <c r="E869" s="111" t="n"/>
      <c r="F869" s="110" t="n"/>
      <c r="G869" s="113" t="n"/>
      <c r="H869" s="113" t="n"/>
      <c r="I869" s="111" t="n"/>
      <c r="J869" s="114" t="n"/>
      <c r="K869" s="114" t="n"/>
      <c r="L869" s="112" t="n"/>
      <c r="M869" s="112" t="n"/>
      <c r="N869" s="112" t="n"/>
      <c r="O869" s="115" t="str">
        <f>IF(OR(D869="",F869=""),"",D869+F869)</f>
        <v/>
      </c>
      <c r="P869" s="116" t="str">
        <f>IF(O869="","",IF(ISNUMBER(M869),O869-M869,IF(OR(H869="DECISÃO D.P",ISNUMBER(N869)),"",O869-TODAY())))</f>
        <v/>
      </c>
      <c r="Q869" s="117" t="str">
        <f>IF(B869="","",IF(ISNUMBER(N869),"DECIDIDO – ","")&amp;IF(ISNUMBER(M869),IF(P869="",IF(F869="","INFORMAR PRAZO","SEM DATA"),IF(P869&gt;=0,"DEFESA NO PRAZO","DEFESA FORA DO PRAZO")),IF(OR(H869="DECISÃO D.P",ISNUMBER(N869)),"SEM DEFESA",IF(H869="","SEM STATUS",IF(F869="","INFORMAR PRAZO",IF(P869="","SEM DATA",IF(P869&lt;0,"VENCIDO",IF(P869&lt;=DiasAlerta,"VENCE EM BREVE","NO PRAZO"))))))))</f>
        <v/>
      </c>
      <c r="R869" s="118" t="str">
        <f>IF(D869="","",TODAY()-D869)</f>
        <v/>
      </c>
      <c r="S869" s="111" t="n"/>
    </row>
    <row r="870" ht="18" customHeight="1">
      <c r="A870" s="110" t="n"/>
      <c r="B870" s="111" t="n"/>
      <c r="C870" s="111" t="n"/>
      <c r="D870" s="112" t="n"/>
      <c r="E870" s="111" t="n"/>
      <c r="F870" s="110" t="n"/>
      <c r="G870" s="113" t="n"/>
      <c r="H870" s="113" t="n"/>
      <c r="I870" s="111" t="n"/>
      <c r="J870" s="114" t="n"/>
      <c r="K870" s="114" t="n"/>
      <c r="L870" s="112" t="n"/>
      <c r="M870" s="112" t="n"/>
      <c r="N870" s="112" t="n"/>
      <c r="O870" s="115" t="str">
        <f>IF(OR(D870="",F870=""),"",D870+F870)</f>
        <v/>
      </c>
      <c r="P870" s="116" t="str">
        <f>IF(O870="","",IF(ISNUMBER(M870),O870-M870,IF(OR(H870="DECISÃO D.P",ISNUMBER(N870)),"",O870-TODAY())))</f>
        <v/>
      </c>
      <c r="Q870" s="117" t="str">
        <f>IF(B870="","",IF(ISNUMBER(N870),"DECIDIDO – ","")&amp;IF(ISNUMBER(M870),IF(P870="",IF(F870="","INFORMAR PRAZO","SEM DATA"),IF(P870&gt;=0,"DEFESA NO PRAZO","DEFESA FORA DO PRAZO")),IF(OR(H870="DECISÃO D.P",ISNUMBER(N870)),"SEM DEFESA",IF(H870="","SEM STATUS",IF(F870="","INFORMAR PRAZO",IF(P870="","SEM DATA",IF(P870&lt;0,"VENCIDO",IF(P870&lt;=DiasAlerta,"VENCE EM BREVE","NO PRAZO"))))))))</f>
        <v/>
      </c>
      <c r="R870" s="118" t="str">
        <f>IF(D870="","",TODAY()-D870)</f>
        <v/>
      </c>
      <c r="S870" s="111" t="n"/>
    </row>
    <row r="871" ht="18" customHeight="1">
      <c r="A871" s="110" t="n"/>
      <c r="B871" s="111" t="n"/>
      <c r="C871" s="111" t="n"/>
      <c r="D871" s="112" t="n"/>
      <c r="E871" s="111" t="n"/>
      <c r="F871" s="110" t="n"/>
      <c r="G871" s="113" t="n"/>
      <c r="H871" s="113" t="n"/>
      <c r="I871" s="111" t="n"/>
      <c r="J871" s="114" t="n"/>
      <c r="K871" s="114" t="n"/>
      <c r="L871" s="112" t="n"/>
      <c r="M871" s="112" t="n"/>
      <c r="N871" s="112" t="n"/>
      <c r="O871" s="115" t="str">
        <f>IF(OR(D871="",F871=""),"",D871+F871)</f>
        <v/>
      </c>
      <c r="P871" s="116" t="str">
        <f>IF(O871="","",IF(ISNUMBER(M871),O871-M871,IF(OR(H871="DECISÃO D.P",ISNUMBER(N871)),"",O871-TODAY())))</f>
        <v/>
      </c>
      <c r="Q871" s="117" t="str">
        <f>IF(B871="","",IF(ISNUMBER(N871),"DECIDIDO – ","")&amp;IF(ISNUMBER(M871),IF(P871="",IF(F871="","INFORMAR PRAZO","SEM DATA"),IF(P871&gt;=0,"DEFESA NO PRAZO","DEFESA FORA DO PRAZO")),IF(OR(H871="DECISÃO D.P",ISNUMBER(N871)),"SEM DEFESA",IF(H871="","SEM STATUS",IF(F871="","INFORMAR PRAZO",IF(P871="","SEM DATA",IF(P871&lt;0,"VENCIDO",IF(P871&lt;=DiasAlerta,"VENCE EM BREVE","NO PRAZO"))))))))</f>
        <v/>
      </c>
      <c r="R871" s="118" t="str">
        <f>IF(D871="","",TODAY()-D871)</f>
        <v/>
      </c>
      <c r="S871" s="111" t="n"/>
    </row>
    <row r="872" ht="18" customHeight="1">
      <c r="A872" s="110" t="n"/>
      <c r="B872" s="111" t="n"/>
      <c r="C872" s="111" t="n"/>
      <c r="D872" s="112" t="n"/>
      <c r="E872" s="111" t="n"/>
      <c r="F872" s="110" t="n"/>
      <c r="G872" s="113" t="n"/>
      <c r="H872" s="113" t="n"/>
      <c r="I872" s="111" t="n"/>
      <c r="J872" s="114" t="n"/>
      <c r="K872" s="114" t="n"/>
      <c r="L872" s="112" t="n"/>
      <c r="M872" s="112" t="n"/>
      <c r="N872" s="112" t="n"/>
      <c r="O872" s="115" t="str">
        <f>IF(OR(D872="",F872=""),"",D872+F872)</f>
        <v/>
      </c>
      <c r="P872" s="116" t="str">
        <f>IF(O872="","",IF(ISNUMBER(M872),O872-M872,IF(OR(H872="DECISÃO D.P",ISNUMBER(N872)),"",O872-TODAY())))</f>
        <v/>
      </c>
      <c r="Q872" s="117" t="str">
        <f>IF(B872="","",IF(ISNUMBER(N872),"DECIDIDO – ","")&amp;IF(ISNUMBER(M872),IF(P872="",IF(F872="","INFORMAR PRAZO","SEM DATA"),IF(P872&gt;=0,"DEFESA NO PRAZO","DEFESA FORA DO PRAZO")),IF(OR(H872="DECISÃO D.P",ISNUMBER(N872)),"SEM DEFESA",IF(H872="","SEM STATUS",IF(F872="","INFORMAR PRAZO",IF(P872="","SEM DATA",IF(P872&lt;0,"VENCIDO",IF(P872&lt;=DiasAlerta,"VENCE EM BREVE","NO PRAZO"))))))))</f>
        <v/>
      </c>
      <c r="R872" s="118" t="str">
        <f>IF(D872="","",TODAY()-D872)</f>
        <v/>
      </c>
      <c r="S872" s="111" t="n"/>
    </row>
    <row r="873" ht="18" customHeight="1">
      <c r="A873" s="110" t="n"/>
      <c r="B873" s="111" t="n"/>
      <c r="C873" s="111" t="n"/>
      <c r="D873" s="112" t="n"/>
      <c r="E873" s="111" t="n"/>
      <c r="F873" s="110" t="n"/>
      <c r="G873" s="113" t="n"/>
      <c r="H873" s="113" t="n"/>
      <c r="I873" s="111" t="n"/>
      <c r="J873" s="114" t="n"/>
      <c r="K873" s="114" t="n"/>
      <c r="L873" s="112" t="n"/>
      <c r="M873" s="112" t="n"/>
      <c r="N873" s="112" t="n"/>
      <c r="O873" s="115" t="str">
        <f>IF(OR(D873="",F873=""),"",D873+F873)</f>
        <v/>
      </c>
      <c r="P873" s="116" t="str">
        <f>IF(O873="","",IF(ISNUMBER(M873),O873-M873,IF(OR(H873="DECISÃO D.P",ISNUMBER(N873)),"",O873-TODAY())))</f>
        <v/>
      </c>
      <c r="Q873" s="117" t="str">
        <f>IF(B873="","",IF(ISNUMBER(N873),"DECIDIDO – ","")&amp;IF(ISNUMBER(M873),IF(P873="",IF(F873="","INFORMAR PRAZO","SEM DATA"),IF(P873&gt;=0,"DEFESA NO PRAZO","DEFESA FORA DO PRAZO")),IF(OR(H873="DECISÃO D.P",ISNUMBER(N873)),"SEM DEFESA",IF(H873="","SEM STATUS",IF(F873="","INFORMAR PRAZO",IF(P873="","SEM DATA",IF(P873&lt;0,"VENCIDO",IF(P873&lt;=DiasAlerta,"VENCE EM BREVE","NO PRAZO"))))))))</f>
        <v/>
      </c>
      <c r="R873" s="118" t="str">
        <f>IF(D873="","",TODAY()-D873)</f>
        <v/>
      </c>
      <c r="S873" s="111" t="n"/>
    </row>
    <row r="874" ht="18" customHeight="1">
      <c r="A874" s="110" t="n"/>
      <c r="B874" s="111" t="n"/>
      <c r="C874" s="111" t="n"/>
      <c r="D874" s="112" t="n"/>
      <c r="E874" s="111" t="n"/>
      <c r="F874" s="110" t="n"/>
      <c r="G874" s="113" t="n"/>
      <c r="H874" s="113" t="n"/>
      <c r="I874" s="111" t="n"/>
      <c r="J874" s="114" t="n"/>
      <c r="K874" s="114" t="n"/>
      <c r="L874" s="112" t="n"/>
      <c r="M874" s="112" t="n"/>
      <c r="N874" s="112" t="n"/>
      <c r="O874" s="115" t="str">
        <f>IF(OR(D874="",F874=""),"",D874+F874)</f>
        <v/>
      </c>
      <c r="P874" s="116" t="str">
        <f>IF(O874="","",IF(ISNUMBER(M874),O874-M874,IF(OR(H874="DECISÃO D.P",ISNUMBER(N874)),"",O874-TODAY())))</f>
        <v/>
      </c>
      <c r="Q874" s="117" t="str">
        <f>IF(B874="","",IF(ISNUMBER(N874),"DECIDIDO – ","")&amp;IF(ISNUMBER(M874),IF(P874="",IF(F874="","INFORMAR PRAZO","SEM DATA"),IF(P874&gt;=0,"DEFESA NO PRAZO","DEFESA FORA DO PRAZO")),IF(OR(H874="DECISÃO D.P",ISNUMBER(N874)),"SEM DEFESA",IF(H874="","SEM STATUS",IF(F874="","INFORMAR PRAZO",IF(P874="","SEM DATA",IF(P874&lt;0,"VENCIDO",IF(P874&lt;=DiasAlerta,"VENCE EM BREVE","NO PRAZO"))))))))</f>
        <v/>
      </c>
      <c r="R874" s="118" t="str">
        <f>IF(D874="","",TODAY()-D874)</f>
        <v/>
      </c>
      <c r="S874" s="111" t="n"/>
    </row>
    <row r="875" ht="18" customHeight="1">
      <c r="A875" s="110" t="n"/>
      <c r="B875" s="111" t="n"/>
      <c r="C875" s="111" t="n"/>
      <c r="D875" s="112" t="n"/>
      <c r="E875" s="111" t="n"/>
      <c r="F875" s="110" t="n"/>
      <c r="G875" s="113" t="n"/>
      <c r="H875" s="113" t="n"/>
      <c r="I875" s="111" t="n"/>
      <c r="J875" s="114" t="n"/>
      <c r="K875" s="114" t="n"/>
      <c r="L875" s="112" t="n"/>
      <c r="M875" s="112" t="n"/>
      <c r="N875" s="112" t="n"/>
      <c r="O875" s="115" t="str">
        <f>IF(OR(D875="",F875=""),"",D875+F875)</f>
        <v/>
      </c>
      <c r="P875" s="116" t="str">
        <f>IF(O875="","",IF(ISNUMBER(M875),O875-M875,IF(OR(H875="DECISÃO D.P",ISNUMBER(N875)),"",O875-TODAY())))</f>
        <v/>
      </c>
      <c r="Q875" s="117" t="str">
        <f>IF(B875="","",IF(ISNUMBER(N875),"DECIDIDO – ","")&amp;IF(ISNUMBER(M875),IF(P875="",IF(F875="","INFORMAR PRAZO","SEM DATA"),IF(P875&gt;=0,"DEFESA NO PRAZO","DEFESA FORA DO PRAZO")),IF(OR(H875="DECISÃO D.P",ISNUMBER(N875)),"SEM DEFESA",IF(H875="","SEM STATUS",IF(F875="","INFORMAR PRAZO",IF(P875="","SEM DATA",IF(P875&lt;0,"VENCIDO",IF(P875&lt;=DiasAlerta,"VENCE EM BREVE","NO PRAZO"))))))))</f>
        <v/>
      </c>
      <c r="R875" s="118" t="str">
        <f>IF(D875="","",TODAY()-D875)</f>
        <v/>
      </c>
      <c r="S875" s="111" t="n"/>
    </row>
    <row r="876" ht="18" customHeight="1">
      <c r="A876" s="110" t="n"/>
      <c r="B876" s="111" t="n"/>
      <c r="C876" s="111" t="n"/>
      <c r="D876" s="112" t="n"/>
      <c r="E876" s="111" t="n"/>
      <c r="F876" s="110" t="n"/>
      <c r="G876" s="113" t="n"/>
      <c r="H876" s="113" t="n"/>
      <c r="I876" s="111" t="n"/>
      <c r="J876" s="114" t="n"/>
      <c r="K876" s="114" t="n"/>
      <c r="L876" s="112" t="n"/>
      <c r="M876" s="112" t="n"/>
      <c r="N876" s="112" t="n"/>
      <c r="O876" s="115" t="str">
        <f>IF(OR(D876="",F876=""),"",D876+F876)</f>
        <v/>
      </c>
      <c r="P876" s="116" t="str">
        <f>IF(O876="","",IF(ISNUMBER(M876),O876-M876,IF(OR(H876="DECISÃO D.P",ISNUMBER(N876)),"",O876-TODAY())))</f>
        <v/>
      </c>
      <c r="Q876" s="117" t="str">
        <f>IF(B876="","",IF(ISNUMBER(N876),"DECIDIDO – ","")&amp;IF(ISNUMBER(M876),IF(P876="",IF(F876="","INFORMAR PRAZO","SEM DATA"),IF(P876&gt;=0,"DEFESA NO PRAZO","DEFESA FORA DO PRAZO")),IF(OR(H876="DECISÃO D.P",ISNUMBER(N876)),"SEM DEFESA",IF(H876="","SEM STATUS",IF(F876="","INFORMAR PRAZO",IF(P876="","SEM DATA",IF(P876&lt;0,"VENCIDO",IF(P876&lt;=DiasAlerta,"VENCE EM BREVE","NO PRAZO"))))))))</f>
        <v/>
      </c>
      <c r="R876" s="118" t="str">
        <f>IF(D876="","",TODAY()-D876)</f>
        <v/>
      </c>
      <c r="S876" s="111" t="n"/>
    </row>
    <row r="877" ht="18" customHeight="1">
      <c r="A877" s="110" t="n"/>
      <c r="B877" s="111" t="n"/>
      <c r="C877" s="111" t="n"/>
      <c r="D877" s="112" t="n"/>
      <c r="E877" s="111" t="n"/>
      <c r="F877" s="110" t="n"/>
      <c r="G877" s="113" t="n"/>
      <c r="H877" s="113" t="n"/>
      <c r="I877" s="111" t="n"/>
      <c r="J877" s="114" t="n"/>
      <c r="K877" s="114" t="n"/>
      <c r="L877" s="112" t="n"/>
      <c r="M877" s="112" t="n"/>
      <c r="N877" s="112" t="n"/>
      <c r="O877" s="115" t="str">
        <f>IF(OR(D877="",F877=""),"",D877+F877)</f>
        <v/>
      </c>
      <c r="P877" s="116" t="str">
        <f>IF(O877="","",IF(ISNUMBER(M877),O877-M877,IF(OR(H877="DECISÃO D.P",ISNUMBER(N877)),"",O877-TODAY())))</f>
        <v/>
      </c>
      <c r="Q877" s="117" t="str">
        <f>IF(B877="","",IF(ISNUMBER(N877),"DECIDIDO – ","")&amp;IF(ISNUMBER(M877),IF(P877="",IF(F877="","INFORMAR PRAZO","SEM DATA"),IF(P877&gt;=0,"DEFESA NO PRAZO","DEFESA FORA DO PRAZO")),IF(OR(H877="DECISÃO D.P",ISNUMBER(N877)),"SEM DEFESA",IF(H877="","SEM STATUS",IF(F877="","INFORMAR PRAZO",IF(P877="","SEM DATA",IF(P877&lt;0,"VENCIDO",IF(P877&lt;=DiasAlerta,"VENCE EM BREVE","NO PRAZO"))))))))</f>
        <v/>
      </c>
      <c r="R877" s="118" t="str">
        <f>IF(D877="","",TODAY()-D877)</f>
        <v/>
      </c>
      <c r="S877" s="111" t="n"/>
    </row>
    <row r="878" ht="18" customHeight="1">
      <c r="A878" s="110" t="n"/>
      <c r="B878" s="111" t="n"/>
      <c r="C878" s="111" t="n"/>
      <c r="D878" s="112" t="n"/>
      <c r="E878" s="111" t="n"/>
      <c r="F878" s="110" t="n"/>
      <c r="G878" s="113" t="n"/>
      <c r="H878" s="113" t="n"/>
      <c r="I878" s="111" t="n"/>
      <c r="J878" s="114" t="n"/>
      <c r="K878" s="114" t="n"/>
      <c r="L878" s="112" t="n"/>
      <c r="M878" s="112" t="n"/>
      <c r="N878" s="112" t="n"/>
      <c r="O878" s="115" t="str">
        <f>IF(OR(D878="",F878=""),"",D878+F878)</f>
        <v/>
      </c>
      <c r="P878" s="116" t="str">
        <f>IF(O878="","",IF(ISNUMBER(M878),O878-M878,IF(OR(H878="DECISÃO D.P",ISNUMBER(N878)),"",O878-TODAY())))</f>
        <v/>
      </c>
      <c r="Q878" s="117" t="str">
        <f>IF(B878="","",IF(ISNUMBER(N878),"DECIDIDO – ","")&amp;IF(ISNUMBER(M878),IF(P878="",IF(F878="","INFORMAR PRAZO","SEM DATA"),IF(P878&gt;=0,"DEFESA NO PRAZO","DEFESA FORA DO PRAZO")),IF(OR(H878="DECISÃO D.P",ISNUMBER(N878)),"SEM DEFESA",IF(H878="","SEM STATUS",IF(F878="","INFORMAR PRAZO",IF(P878="","SEM DATA",IF(P878&lt;0,"VENCIDO",IF(P878&lt;=DiasAlerta,"VENCE EM BREVE","NO PRAZO"))))))))</f>
        <v/>
      </c>
      <c r="R878" s="118" t="str">
        <f>IF(D878="","",TODAY()-D878)</f>
        <v/>
      </c>
      <c r="S878" s="111" t="n"/>
    </row>
    <row r="879" ht="18" customHeight="1">
      <c r="A879" s="110" t="n"/>
      <c r="B879" s="111" t="n"/>
      <c r="C879" s="111" t="n"/>
      <c r="D879" s="112" t="n"/>
      <c r="E879" s="111" t="n"/>
      <c r="F879" s="110" t="n"/>
      <c r="G879" s="113" t="n"/>
      <c r="H879" s="113" t="n"/>
      <c r="I879" s="111" t="n"/>
      <c r="J879" s="114" t="n"/>
      <c r="K879" s="114" t="n"/>
      <c r="L879" s="112" t="n"/>
      <c r="M879" s="112" t="n"/>
      <c r="N879" s="112" t="n"/>
      <c r="O879" s="115" t="str">
        <f>IF(OR(D879="",F879=""),"",D879+F879)</f>
        <v/>
      </c>
      <c r="P879" s="116" t="str">
        <f>IF(O879="","",IF(ISNUMBER(M879),O879-M879,IF(OR(H879="DECISÃO D.P",ISNUMBER(N879)),"",O879-TODAY())))</f>
        <v/>
      </c>
      <c r="Q879" s="117" t="str">
        <f>IF(B879="","",IF(ISNUMBER(N879),"DECIDIDO – ","")&amp;IF(ISNUMBER(M879),IF(P879="",IF(F879="","INFORMAR PRAZO","SEM DATA"),IF(P879&gt;=0,"DEFESA NO PRAZO","DEFESA FORA DO PRAZO")),IF(OR(H879="DECISÃO D.P",ISNUMBER(N879)),"SEM DEFESA",IF(H879="","SEM STATUS",IF(F879="","INFORMAR PRAZO",IF(P879="","SEM DATA",IF(P879&lt;0,"VENCIDO",IF(P879&lt;=DiasAlerta,"VENCE EM BREVE","NO PRAZO"))))))))</f>
        <v/>
      </c>
      <c r="R879" s="118" t="str">
        <f>IF(D879="","",TODAY()-D879)</f>
        <v/>
      </c>
      <c r="S879" s="111" t="n"/>
    </row>
    <row r="880" ht="18" customHeight="1">
      <c r="A880" s="110" t="n"/>
      <c r="B880" s="111" t="n"/>
      <c r="C880" s="111" t="n"/>
      <c r="D880" s="112" t="n"/>
      <c r="E880" s="111" t="n"/>
      <c r="F880" s="110" t="n"/>
      <c r="G880" s="113" t="n"/>
      <c r="H880" s="113" t="n"/>
      <c r="I880" s="111" t="n"/>
      <c r="J880" s="114" t="n"/>
      <c r="K880" s="114" t="n"/>
      <c r="L880" s="112" t="n"/>
      <c r="M880" s="112" t="n"/>
      <c r="N880" s="112" t="n"/>
      <c r="O880" s="115" t="str">
        <f>IF(OR(D880="",F880=""),"",D880+F880)</f>
        <v/>
      </c>
      <c r="P880" s="116" t="str">
        <f>IF(O880="","",IF(ISNUMBER(M880),O880-M880,IF(OR(H880="DECISÃO D.P",ISNUMBER(N880)),"",O880-TODAY())))</f>
        <v/>
      </c>
      <c r="Q880" s="117" t="str">
        <f>IF(B880="","",IF(ISNUMBER(N880),"DECIDIDO – ","")&amp;IF(ISNUMBER(M880),IF(P880="",IF(F880="","INFORMAR PRAZO","SEM DATA"),IF(P880&gt;=0,"DEFESA NO PRAZO","DEFESA FORA DO PRAZO")),IF(OR(H880="DECISÃO D.P",ISNUMBER(N880)),"SEM DEFESA",IF(H880="","SEM STATUS",IF(F880="","INFORMAR PRAZO",IF(P880="","SEM DATA",IF(P880&lt;0,"VENCIDO",IF(P880&lt;=DiasAlerta,"VENCE EM BREVE","NO PRAZO"))))))))</f>
        <v/>
      </c>
      <c r="R880" s="118" t="str">
        <f>IF(D880="","",TODAY()-D880)</f>
        <v/>
      </c>
      <c r="S880" s="111" t="n"/>
    </row>
    <row r="881" ht="18" customHeight="1">
      <c r="A881" s="110" t="n"/>
      <c r="B881" s="111" t="n"/>
      <c r="C881" s="111" t="n"/>
      <c r="D881" s="112" t="n"/>
      <c r="E881" s="111" t="n"/>
      <c r="F881" s="110" t="n"/>
      <c r="G881" s="113" t="n"/>
      <c r="H881" s="113" t="n"/>
      <c r="I881" s="111" t="n"/>
      <c r="J881" s="114" t="n"/>
      <c r="K881" s="114" t="n"/>
      <c r="L881" s="112" t="n"/>
      <c r="M881" s="112" t="n"/>
      <c r="N881" s="112" t="n"/>
      <c r="O881" s="115" t="str">
        <f>IF(OR(D881="",F881=""),"",D881+F881)</f>
        <v/>
      </c>
      <c r="P881" s="116" t="str">
        <f>IF(O881="","",IF(ISNUMBER(M881),O881-M881,IF(OR(H881="DECISÃO D.P",ISNUMBER(N881)),"",O881-TODAY())))</f>
        <v/>
      </c>
      <c r="Q881" s="117" t="str">
        <f>IF(B881="","",IF(ISNUMBER(N881),"DECIDIDO – ","")&amp;IF(ISNUMBER(M881),IF(P881="",IF(F881="","INFORMAR PRAZO","SEM DATA"),IF(P881&gt;=0,"DEFESA NO PRAZO","DEFESA FORA DO PRAZO")),IF(OR(H881="DECISÃO D.P",ISNUMBER(N881)),"SEM DEFESA",IF(H881="","SEM STATUS",IF(F881="","INFORMAR PRAZO",IF(P881="","SEM DATA",IF(P881&lt;0,"VENCIDO",IF(P881&lt;=DiasAlerta,"VENCE EM BREVE","NO PRAZO"))))))))</f>
        <v/>
      </c>
      <c r="R881" s="118" t="str">
        <f>IF(D881="","",TODAY()-D881)</f>
        <v/>
      </c>
      <c r="S881" s="111" t="n"/>
    </row>
    <row r="882" ht="18" customHeight="1">
      <c r="A882" s="110" t="n"/>
      <c r="B882" s="111" t="n"/>
      <c r="C882" s="111" t="n"/>
      <c r="D882" s="112" t="n"/>
      <c r="E882" s="111" t="n"/>
      <c r="F882" s="110" t="n"/>
      <c r="G882" s="113" t="n"/>
      <c r="H882" s="113" t="n"/>
      <c r="I882" s="111" t="n"/>
      <c r="J882" s="114" t="n"/>
      <c r="K882" s="114" t="n"/>
      <c r="L882" s="112" t="n"/>
      <c r="M882" s="112" t="n"/>
      <c r="N882" s="112" t="n"/>
      <c r="O882" s="115" t="str">
        <f>IF(OR(D882="",F882=""),"",D882+F882)</f>
        <v/>
      </c>
      <c r="P882" s="116" t="str">
        <f>IF(O882="","",IF(ISNUMBER(M882),O882-M882,IF(OR(H882="DECISÃO D.P",ISNUMBER(N882)),"",O882-TODAY())))</f>
        <v/>
      </c>
      <c r="Q882" s="117" t="str">
        <f>IF(B882="","",IF(ISNUMBER(N882),"DECIDIDO – ","")&amp;IF(ISNUMBER(M882),IF(P882="",IF(F882="","INFORMAR PRAZO","SEM DATA"),IF(P882&gt;=0,"DEFESA NO PRAZO","DEFESA FORA DO PRAZO")),IF(OR(H882="DECISÃO D.P",ISNUMBER(N882)),"SEM DEFESA",IF(H882="","SEM STATUS",IF(F882="","INFORMAR PRAZO",IF(P882="","SEM DATA",IF(P882&lt;0,"VENCIDO",IF(P882&lt;=DiasAlerta,"VENCE EM BREVE","NO PRAZO"))))))))</f>
        <v/>
      </c>
      <c r="R882" s="118" t="str">
        <f>IF(D882="","",TODAY()-D882)</f>
        <v/>
      </c>
      <c r="S882" s="111" t="n"/>
    </row>
    <row r="883" ht="18" customHeight="1">
      <c r="A883" s="110" t="n"/>
      <c r="B883" s="111" t="n"/>
      <c r="C883" s="111" t="n"/>
      <c r="D883" s="112" t="n"/>
      <c r="E883" s="111" t="n"/>
      <c r="F883" s="110" t="n"/>
      <c r="G883" s="113" t="n"/>
      <c r="H883" s="113" t="n"/>
      <c r="I883" s="111" t="n"/>
      <c r="J883" s="114" t="n"/>
      <c r="K883" s="114" t="n"/>
      <c r="L883" s="112" t="n"/>
      <c r="M883" s="112" t="n"/>
      <c r="N883" s="112" t="n"/>
      <c r="O883" s="115" t="str">
        <f>IF(OR(D883="",F883=""),"",D883+F883)</f>
        <v/>
      </c>
      <c r="P883" s="116" t="str">
        <f>IF(O883="","",IF(ISNUMBER(M883),O883-M883,IF(OR(H883="DECISÃO D.P",ISNUMBER(N883)),"",O883-TODAY())))</f>
        <v/>
      </c>
      <c r="Q883" s="117" t="str">
        <f>IF(B883="","",IF(ISNUMBER(N883),"DECIDIDO – ","")&amp;IF(ISNUMBER(M883),IF(P883="",IF(F883="","INFORMAR PRAZO","SEM DATA"),IF(P883&gt;=0,"DEFESA NO PRAZO","DEFESA FORA DO PRAZO")),IF(OR(H883="DECISÃO D.P",ISNUMBER(N883)),"SEM DEFESA",IF(H883="","SEM STATUS",IF(F883="","INFORMAR PRAZO",IF(P883="","SEM DATA",IF(P883&lt;0,"VENCIDO",IF(P883&lt;=DiasAlerta,"VENCE EM BREVE","NO PRAZO"))))))))</f>
        <v/>
      </c>
      <c r="R883" s="118" t="str">
        <f>IF(D883="","",TODAY()-D883)</f>
        <v/>
      </c>
      <c r="S883" s="111" t="n"/>
    </row>
    <row r="884" ht="18" customHeight="1">
      <c r="A884" s="110" t="n"/>
      <c r="B884" s="111" t="n"/>
      <c r="C884" s="111" t="n"/>
      <c r="D884" s="112" t="n"/>
      <c r="E884" s="111" t="n"/>
      <c r="F884" s="110" t="n"/>
      <c r="G884" s="113" t="n"/>
      <c r="H884" s="113" t="n"/>
      <c r="I884" s="111" t="n"/>
      <c r="J884" s="114" t="n"/>
      <c r="K884" s="114" t="n"/>
      <c r="L884" s="112" t="n"/>
      <c r="M884" s="112" t="n"/>
      <c r="N884" s="112" t="n"/>
      <c r="O884" s="115" t="str">
        <f>IF(OR(D884="",F884=""),"",D884+F884)</f>
        <v/>
      </c>
      <c r="P884" s="116" t="str">
        <f>IF(O884="","",IF(ISNUMBER(M884),O884-M884,IF(OR(H884="DECISÃO D.P",ISNUMBER(N884)),"",O884-TODAY())))</f>
        <v/>
      </c>
      <c r="Q884" s="117" t="str">
        <f>IF(B884="","",IF(ISNUMBER(N884),"DECIDIDO – ","")&amp;IF(ISNUMBER(M884),IF(P884="",IF(F884="","INFORMAR PRAZO","SEM DATA"),IF(P884&gt;=0,"DEFESA NO PRAZO","DEFESA FORA DO PRAZO")),IF(OR(H884="DECISÃO D.P",ISNUMBER(N884)),"SEM DEFESA",IF(H884="","SEM STATUS",IF(F884="","INFORMAR PRAZO",IF(P884="","SEM DATA",IF(P884&lt;0,"VENCIDO",IF(P884&lt;=DiasAlerta,"VENCE EM BREVE","NO PRAZO"))))))))</f>
        <v/>
      </c>
      <c r="R884" s="118" t="str">
        <f>IF(D884="","",TODAY()-D884)</f>
        <v/>
      </c>
      <c r="S884" s="111" t="n"/>
    </row>
    <row r="885" ht="18" customHeight="1">
      <c r="A885" s="110" t="n"/>
      <c r="B885" s="111" t="n"/>
      <c r="C885" s="111" t="n"/>
      <c r="D885" s="112" t="n"/>
      <c r="E885" s="111" t="n"/>
      <c r="F885" s="110" t="n"/>
      <c r="G885" s="113" t="n"/>
      <c r="H885" s="113" t="n"/>
      <c r="I885" s="111" t="n"/>
      <c r="J885" s="114" t="n"/>
      <c r="K885" s="114" t="n"/>
      <c r="L885" s="112" t="n"/>
      <c r="M885" s="112" t="n"/>
      <c r="N885" s="112" t="n"/>
      <c r="O885" s="115" t="str">
        <f>IF(OR(D885="",F885=""),"",D885+F885)</f>
        <v/>
      </c>
      <c r="P885" s="116" t="str">
        <f>IF(O885="","",IF(ISNUMBER(M885),O885-M885,IF(OR(H885="DECISÃO D.P",ISNUMBER(N885)),"",O885-TODAY())))</f>
        <v/>
      </c>
      <c r="Q885" s="117" t="str">
        <f>IF(B885="","",IF(ISNUMBER(N885),"DECIDIDO – ","")&amp;IF(ISNUMBER(M885),IF(P885="",IF(F885="","INFORMAR PRAZO","SEM DATA"),IF(P885&gt;=0,"DEFESA NO PRAZO","DEFESA FORA DO PRAZO")),IF(OR(H885="DECISÃO D.P",ISNUMBER(N885)),"SEM DEFESA",IF(H885="","SEM STATUS",IF(F885="","INFORMAR PRAZO",IF(P885="","SEM DATA",IF(P885&lt;0,"VENCIDO",IF(P885&lt;=DiasAlerta,"VENCE EM BREVE","NO PRAZO"))))))))</f>
        <v/>
      </c>
      <c r="R885" s="118" t="str">
        <f>IF(D885="","",TODAY()-D885)</f>
        <v/>
      </c>
      <c r="S885" s="111" t="n"/>
    </row>
    <row r="886" ht="18" customHeight="1">
      <c r="A886" s="110" t="n"/>
      <c r="B886" s="111" t="n"/>
      <c r="C886" s="111" t="n"/>
      <c r="D886" s="112" t="n"/>
      <c r="E886" s="111" t="n"/>
      <c r="F886" s="110" t="n"/>
      <c r="G886" s="113" t="n"/>
      <c r="H886" s="113" t="n"/>
      <c r="I886" s="111" t="n"/>
      <c r="J886" s="114" t="n"/>
      <c r="K886" s="114" t="n"/>
      <c r="L886" s="112" t="n"/>
      <c r="M886" s="112" t="n"/>
      <c r="N886" s="112" t="n"/>
      <c r="O886" s="115" t="str">
        <f>IF(OR(D886="",F886=""),"",D886+F886)</f>
        <v/>
      </c>
      <c r="P886" s="116" t="str">
        <f>IF(O886="","",IF(ISNUMBER(M886),O886-M886,IF(OR(H886="DECISÃO D.P",ISNUMBER(N886)),"",O886-TODAY())))</f>
        <v/>
      </c>
      <c r="Q886" s="117" t="str">
        <f>IF(B886="","",IF(ISNUMBER(N886),"DECIDIDO – ","")&amp;IF(ISNUMBER(M886),IF(P886="",IF(F886="","INFORMAR PRAZO","SEM DATA"),IF(P886&gt;=0,"DEFESA NO PRAZO","DEFESA FORA DO PRAZO")),IF(OR(H886="DECISÃO D.P",ISNUMBER(N886)),"SEM DEFESA",IF(H886="","SEM STATUS",IF(F886="","INFORMAR PRAZO",IF(P886="","SEM DATA",IF(P886&lt;0,"VENCIDO",IF(P886&lt;=DiasAlerta,"VENCE EM BREVE","NO PRAZO"))))))))</f>
        <v/>
      </c>
      <c r="R886" s="118" t="str">
        <f>IF(D886="","",TODAY()-D886)</f>
        <v/>
      </c>
      <c r="S886" s="111" t="n"/>
    </row>
    <row r="887" ht="18" customHeight="1">
      <c r="A887" s="110" t="n"/>
      <c r="B887" s="111" t="n"/>
      <c r="C887" s="111" t="n"/>
      <c r="D887" s="112" t="n"/>
      <c r="E887" s="111" t="n"/>
      <c r="F887" s="110" t="n"/>
      <c r="G887" s="113" t="n"/>
      <c r="H887" s="113" t="n"/>
      <c r="I887" s="111" t="n"/>
      <c r="J887" s="114" t="n"/>
      <c r="K887" s="114" t="n"/>
      <c r="L887" s="112" t="n"/>
      <c r="M887" s="112" t="n"/>
      <c r="N887" s="112" t="n"/>
      <c r="O887" s="115" t="str">
        <f>IF(OR(D887="",F887=""),"",D887+F887)</f>
        <v/>
      </c>
      <c r="P887" s="116" t="str">
        <f>IF(O887="","",IF(ISNUMBER(M887),O887-M887,IF(OR(H887="DECISÃO D.P",ISNUMBER(N887)),"",O887-TODAY())))</f>
        <v/>
      </c>
      <c r="Q887" s="117" t="str">
        <f>IF(B887="","",IF(ISNUMBER(N887),"DECIDIDO – ","")&amp;IF(ISNUMBER(M887),IF(P887="",IF(F887="","INFORMAR PRAZO","SEM DATA"),IF(P887&gt;=0,"DEFESA NO PRAZO","DEFESA FORA DO PRAZO")),IF(OR(H887="DECISÃO D.P",ISNUMBER(N887)),"SEM DEFESA",IF(H887="","SEM STATUS",IF(F887="","INFORMAR PRAZO",IF(P887="","SEM DATA",IF(P887&lt;0,"VENCIDO",IF(P887&lt;=DiasAlerta,"VENCE EM BREVE","NO PRAZO"))))))))</f>
        <v/>
      </c>
      <c r="R887" s="118" t="str">
        <f>IF(D887="","",TODAY()-D887)</f>
        <v/>
      </c>
      <c r="S887" s="111" t="n"/>
    </row>
    <row r="888" ht="18" customHeight="1">
      <c r="A888" s="110" t="n"/>
      <c r="B888" s="111" t="n"/>
      <c r="C888" s="111" t="n"/>
      <c r="D888" s="112" t="n"/>
      <c r="E888" s="111" t="n"/>
      <c r="F888" s="110" t="n"/>
      <c r="G888" s="113" t="n"/>
      <c r="H888" s="113" t="n"/>
      <c r="I888" s="111" t="n"/>
      <c r="J888" s="114" t="n"/>
      <c r="K888" s="114" t="n"/>
      <c r="L888" s="112" t="n"/>
      <c r="M888" s="112" t="n"/>
      <c r="N888" s="112" t="n"/>
      <c r="O888" s="115" t="str">
        <f>IF(OR(D888="",F888=""),"",D888+F888)</f>
        <v/>
      </c>
      <c r="P888" s="116" t="str">
        <f>IF(O888="","",IF(ISNUMBER(M888),O888-M888,IF(OR(H888="DECISÃO D.P",ISNUMBER(N888)),"",O888-TODAY())))</f>
        <v/>
      </c>
      <c r="Q888" s="117" t="str">
        <f>IF(B888="","",IF(ISNUMBER(N888),"DECIDIDO – ","")&amp;IF(ISNUMBER(M888),IF(P888="",IF(F888="","INFORMAR PRAZO","SEM DATA"),IF(P888&gt;=0,"DEFESA NO PRAZO","DEFESA FORA DO PRAZO")),IF(OR(H888="DECISÃO D.P",ISNUMBER(N888)),"SEM DEFESA",IF(H888="","SEM STATUS",IF(F888="","INFORMAR PRAZO",IF(P888="","SEM DATA",IF(P888&lt;0,"VENCIDO",IF(P888&lt;=DiasAlerta,"VENCE EM BREVE","NO PRAZO"))))))))</f>
        <v/>
      </c>
      <c r="R888" s="118" t="str">
        <f>IF(D888="","",TODAY()-D888)</f>
        <v/>
      </c>
      <c r="S888" s="111" t="n"/>
    </row>
    <row r="889" ht="18" customHeight="1">
      <c r="A889" s="110" t="n"/>
      <c r="B889" s="111" t="n"/>
      <c r="C889" s="111" t="n"/>
      <c r="D889" s="112" t="n"/>
      <c r="E889" s="111" t="n"/>
      <c r="F889" s="110" t="n"/>
      <c r="G889" s="113" t="n"/>
      <c r="H889" s="113" t="n"/>
      <c r="I889" s="111" t="n"/>
      <c r="J889" s="114" t="n"/>
      <c r="K889" s="114" t="n"/>
      <c r="L889" s="112" t="n"/>
      <c r="M889" s="112" t="n"/>
      <c r="N889" s="112" t="n"/>
      <c r="O889" s="115" t="str">
        <f>IF(OR(D889="",F889=""),"",D889+F889)</f>
        <v/>
      </c>
      <c r="P889" s="116" t="str">
        <f>IF(O889="","",IF(ISNUMBER(M889),O889-M889,IF(OR(H889="DECISÃO D.P",ISNUMBER(N889)),"",O889-TODAY())))</f>
        <v/>
      </c>
      <c r="Q889" s="117" t="str">
        <f>IF(B889="","",IF(ISNUMBER(N889),"DECIDIDO – ","")&amp;IF(ISNUMBER(M889),IF(P889="",IF(F889="","INFORMAR PRAZO","SEM DATA"),IF(P889&gt;=0,"DEFESA NO PRAZO","DEFESA FORA DO PRAZO")),IF(OR(H889="DECISÃO D.P",ISNUMBER(N889)),"SEM DEFESA",IF(H889="","SEM STATUS",IF(F889="","INFORMAR PRAZO",IF(P889="","SEM DATA",IF(P889&lt;0,"VENCIDO",IF(P889&lt;=DiasAlerta,"VENCE EM BREVE","NO PRAZO"))))))))</f>
        <v/>
      </c>
      <c r="R889" s="118" t="str">
        <f>IF(D889="","",TODAY()-D889)</f>
        <v/>
      </c>
      <c r="S889" s="111" t="n"/>
    </row>
    <row r="890" ht="18" customHeight="1">
      <c r="A890" s="110" t="n"/>
      <c r="B890" s="111" t="n"/>
      <c r="C890" s="111" t="n"/>
      <c r="D890" s="112" t="n"/>
      <c r="E890" s="111" t="n"/>
      <c r="F890" s="110" t="n"/>
      <c r="G890" s="113" t="n"/>
      <c r="H890" s="113" t="n"/>
      <c r="I890" s="111" t="n"/>
      <c r="J890" s="114" t="n"/>
      <c r="K890" s="114" t="n"/>
      <c r="L890" s="112" t="n"/>
      <c r="M890" s="112" t="n"/>
      <c r="N890" s="112" t="n"/>
      <c r="O890" s="115" t="str">
        <f>IF(OR(D890="",F890=""),"",D890+F890)</f>
        <v/>
      </c>
      <c r="P890" s="116" t="str">
        <f>IF(O890="","",IF(ISNUMBER(M890),O890-M890,IF(OR(H890="DECISÃO D.P",ISNUMBER(N890)),"",O890-TODAY())))</f>
        <v/>
      </c>
      <c r="Q890" s="117" t="str">
        <f>IF(B890="","",IF(ISNUMBER(N890),"DECIDIDO – ","")&amp;IF(ISNUMBER(M890),IF(P890="",IF(F890="","INFORMAR PRAZO","SEM DATA"),IF(P890&gt;=0,"DEFESA NO PRAZO","DEFESA FORA DO PRAZO")),IF(OR(H890="DECISÃO D.P",ISNUMBER(N890)),"SEM DEFESA",IF(H890="","SEM STATUS",IF(F890="","INFORMAR PRAZO",IF(P890="","SEM DATA",IF(P890&lt;0,"VENCIDO",IF(P890&lt;=DiasAlerta,"VENCE EM BREVE","NO PRAZO"))))))))</f>
        <v/>
      </c>
      <c r="R890" s="118" t="str">
        <f>IF(D890="","",TODAY()-D890)</f>
        <v/>
      </c>
      <c r="S890" s="111" t="n"/>
    </row>
    <row r="891" ht="18" customHeight="1">
      <c r="A891" s="110" t="n"/>
      <c r="B891" s="111" t="n"/>
      <c r="C891" s="111" t="n"/>
      <c r="D891" s="112" t="n"/>
      <c r="E891" s="111" t="n"/>
      <c r="F891" s="110" t="n"/>
      <c r="G891" s="113" t="n"/>
      <c r="H891" s="113" t="n"/>
      <c r="I891" s="111" t="n"/>
      <c r="J891" s="114" t="n"/>
      <c r="K891" s="114" t="n"/>
      <c r="L891" s="112" t="n"/>
      <c r="M891" s="112" t="n"/>
      <c r="N891" s="112" t="n"/>
      <c r="O891" s="115" t="str">
        <f>IF(OR(D891="",F891=""),"",D891+F891)</f>
        <v/>
      </c>
      <c r="P891" s="116" t="str">
        <f>IF(O891="","",IF(ISNUMBER(M891),O891-M891,IF(OR(H891="DECISÃO D.P",ISNUMBER(N891)),"",O891-TODAY())))</f>
        <v/>
      </c>
      <c r="Q891" s="117" t="str">
        <f>IF(B891="","",IF(ISNUMBER(N891),"DECIDIDO – ","")&amp;IF(ISNUMBER(M891),IF(P891="",IF(F891="","INFORMAR PRAZO","SEM DATA"),IF(P891&gt;=0,"DEFESA NO PRAZO","DEFESA FORA DO PRAZO")),IF(OR(H891="DECISÃO D.P",ISNUMBER(N891)),"SEM DEFESA",IF(H891="","SEM STATUS",IF(F891="","INFORMAR PRAZO",IF(P891="","SEM DATA",IF(P891&lt;0,"VENCIDO",IF(P891&lt;=DiasAlerta,"VENCE EM BREVE","NO PRAZO"))))))))</f>
        <v/>
      </c>
      <c r="R891" s="118" t="str">
        <f>IF(D891="","",TODAY()-D891)</f>
        <v/>
      </c>
      <c r="S891" s="111" t="n"/>
    </row>
    <row r="892" ht="18" customHeight="1">
      <c r="A892" s="110" t="n"/>
      <c r="B892" s="111" t="n"/>
      <c r="C892" s="111" t="n"/>
      <c r="D892" s="112" t="n"/>
      <c r="E892" s="111" t="n"/>
      <c r="F892" s="110" t="n"/>
      <c r="G892" s="113" t="n"/>
      <c r="H892" s="113" t="n"/>
      <c r="I892" s="111" t="n"/>
      <c r="J892" s="114" t="n"/>
      <c r="K892" s="114" t="n"/>
      <c r="L892" s="112" t="n"/>
      <c r="M892" s="112" t="n"/>
      <c r="N892" s="112" t="n"/>
      <c r="O892" s="115" t="str">
        <f>IF(OR(D892="",F892=""),"",D892+F892)</f>
        <v/>
      </c>
      <c r="P892" s="116" t="str">
        <f>IF(O892="","",IF(ISNUMBER(M892),O892-M892,IF(OR(H892="DECISÃO D.P",ISNUMBER(N892)),"",O892-TODAY())))</f>
        <v/>
      </c>
      <c r="Q892" s="117" t="str">
        <f>IF(B892="","",IF(ISNUMBER(N892),"DECIDIDO – ","")&amp;IF(ISNUMBER(M892),IF(P892="",IF(F892="","INFORMAR PRAZO","SEM DATA"),IF(P892&gt;=0,"DEFESA NO PRAZO","DEFESA FORA DO PRAZO")),IF(OR(H892="DECISÃO D.P",ISNUMBER(N892)),"SEM DEFESA",IF(H892="","SEM STATUS",IF(F892="","INFORMAR PRAZO",IF(P892="","SEM DATA",IF(P892&lt;0,"VENCIDO",IF(P892&lt;=DiasAlerta,"VENCE EM BREVE","NO PRAZO"))))))))</f>
        <v/>
      </c>
      <c r="R892" s="118" t="str">
        <f>IF(D892="","",TODAY()-D892)</f>
        <v/>
      </c>
      <c r="S892" s="111" t="n"/>
    </row>
    <row r="893" ht="18" customHeight="1">
      <c r="A893" s="110" t="n"/>
      <c r="B893" s="111" t="n"/>
      <c r="C893" s="111" t="n"/>
      <c r="D893" s="112" t="n"/>
      <c r="E893" s="111" t="n"/>
      <c r="F893" s="110" t="n"/>
      <c r="G893" s="113" t="n"/>
      <c r="H893" s="113" t="n"/>
      <c r="I893" s="111" t="n"/>
      <c r="J893" s="114" t="n"/>
      <c r="K893" s="114" t="n"/>
      <c r="L893" s="112" t="n"/>
      <c r="M893" s="112" t="n"/>
      <c r="N893" s="112" t="n"/>
      <c r="O893" s="115" t="str">
        <f>IF(OR(D893="",F893=""),"",D893+F893)</f>
        <v/>
      </c>
      <c r="P893" s="116" t="str">
        <f>IF(O893="","",IF(ISNUMBER(M893),O893-M893,IF(OR(H893="DECISÃO D.P",ISNUMBER(N893)),"",O893-TODAY())))</f>
        <v/>
      </c>
      <c r="Q893" s="117" t="str">
        <f>IF(B893="","",IF(ISNUMBER(N893),"DECIDIDO – ","")&amp;IF(ISNUMBER(M893),IF(P893="",IF(F893="","INFORMAR PRAZO","SEM DATA"),IF(P893&gt;=0,"DEFESA NO PRAZO","DEFESA FORA DO PRAZO")),IF(OR(H893="DECISÃO D.P",ISNUMBER(N893)),"SEM DEFESA",IF(H893="","SEM STATUS",IF(F893="","INFORMAR PRAZO",IF(P893="","SEM DATA",IF(P893&lt;0,"VENCIDO",IF(P893&lt;=DiasAlerta,"VENCE EM BREVE","NO PRAZO"))))))))</f>
        <v/>
      </c>
      <c r="R893" s="118" t="str">
        <f>IF(D893="","",TODAY()-D893)</f>
        <v/>
      </c>
      <c r="S893" s="111" t="n"/>
    </row>
    <row r="894" ht="18" customHeight="1">
      <c r="A894" s="110" t="n"/>
      <c r="B894" s="111" t="n"/>
      <c r="C894" s="111" t="n"/>
      <c r="D894" s="112" t="n"/>
      <c r="E894" s="111" t="n"/>
      <c r="F894" s="110" t="n"/>
      <c r="G894" s="113" t="n"/>
      <c r="H894" s="113" t="n"/>
      <c r="I894" s="111" t="n"/>
      <c r="J894" s="114" t="n"/>
      <c r="K894" s="114" t="n"/>
      <c r="L894" s="112" t="n"/>
      <c r="M894" s="112" t="n"/>
      <c r="N894" s="112" t="n"/>
      <c r="O894" s="115" t="str">
        <f>IF(OR(D894="",F894=""),"",D894+F894)</f>
        <v/>
      </c>
      <c r="P894" s="116" t="str">
        <f>IF(O894="","",IF(ISNUMBER(M894),O894-M894,IF(OR(H894="DECISÃO D.P",ISNUMBER(N894)),"",O894-TODAY())))</f>
        <v/>
      </c>
      <c r="Q894" s="117" t="str">
        <f>IF(B894="","",IF(ISNUMBER(N894),"DECIDIDO – ","")&amp;IF(ISNUMBER(M894),IF(P894="",IF(F894="","INFORMAR PRAZO","SEM DATA"),IF(P894&gt;=0,"DEFESA NO PRAZO","DEFESA FORA DO PRAZO")),IF(OR(H894="DECISÃO D.P",ISNUMBER(N894)),"SEM DEFESA",IF(H894="","SEM STATUS",IF(F894="","INFORMAR PRAZO",IF(P894="","SEM DATA",IF(P894&lt;0,"VENCIDO",IF(P894&lt;=DiasAlerta,"VENCE EM BREVE","NO PRAZO"))))))))</f>
        <v/>
      </c>
      <c r="R894" s="118" t="str">
        <f>IF(D894="","",TODAY()-D894)</f>
        <v/>
      </c>
      <c r="S894" s="111" t="n"/>
    </row>
    <row r="895" ht="18" customHeight="1">
      <c r="A895" s="110" t="n"/>
      <c r="B895" s="111" t="n"/>
      <c r="C895" s="111" t="n"/>
      <c r="D895" s="112" t="n"/>
      <c r="E895" s="111" t="n"/>
      <c r="F895" s="110" t="n"/>
      <c r="G895" s="113" t="n"/>
      <c r="H895" s="113" t="n"/>
      <c r="I895" s="111" t="n"/>
      <c r="J895" s="114" t="n"/>
      <c r="K895" s="114" t="n"/>
      <c r="L895" s="112" t="n"/>
      <c r="M895" s="112" t="n"/>
      <c r="N895" s="112" t="n"/>
      <c r="O895" s="115" t="str">
        <f>IF(OR(D895="",F895=""),"",D895+F895)</f>
        <v/>
      </c>
      <c r="P895" s="116" t="str">
        <f>IF(O895="","",IF(ISNUMBER(M895),O895-M895,IF(OR(H895="DECISÃO D.P",ISNUMBER(N895)),"",O895-TODAY())))</f>
        <v/>
      </c>
      <c r="Q895" s="117" t="str">
        <f>IF(B895="","",IF(ISNUMBER(N895),"DECIDIDO – ","")&amp;IF(ISNUMBER(M895),IF(P895="",IF(F895="","INFORMAR PRAZO","SEM DATA"),IF(P895&gt;=0,"DEFESA NO PRAZO","DEFESA FORA DO PRAZO")),IF(OR(H895="DECISÃO D.P",ISNUMBER(N895)),"SEM DEFESA",IF(H895="","SEM STATUS",IF(F895="","INFORMAR PRAZO",IF(P895="","SEM DATA",IF(P895&lt;0,"VENCIDO",IF(P895&lt;=DiasAlerta,"VENCE EM BREVE","NO PRAZO"))))))))</f>
        <v/>
      </c>
      <c r="R895" s="118" t="str">
        <f>IF(D895="","",TODAY()-D895)</f>
        <v/>
      </c>
      <c r="S895" s="111" t="n"/>
    </row>
    <row r="896" ht="18" customHeight="1">
      <c r="A896" s="110" t="n"/>
      <c r="B896" s="111" t="n"/>
      <c r="C896" s="111" t="n"/>
      <c r="D896" s="112" t="n"/>
      <c r="E896" s="111" t="n"/>
      <c r="F896" s="110" t="n"/>
      <c r="G896" s="113" t="n"/>
      <c r="H896" s="113" t="n"/>
      <c r="I896" s="111" t="n"/>
      <c r="J896" s="114" t="n"/>
      <c r="K896" s="114" t="n"/>
      <c r="L896" s="112" t="n"/>
      <c r="M896" s="112" t="n"/>
      <c r="N896" s="112" t="n"/>
      <c r="O896" s="115" t="str">
        <f>IF(OR(D896="",F896=""),"",D896+F896)</f>
        <v/>
      </c>
      <c r="P896" s="116" t="str">
        <f>IF(O896="","",IF(ISNUMBER(M896),O896-M896,IF(OR(H896="DECISÃO D.P",ISNUMBER(N896)),"",O896-TODAY())))</f>
        <v/>
      </c>
      <c r="Q896" s="117" t="str">
        <f>IF(B896="","",IF(ISNUMBER(N896),"DECIDIDO – ","")&amp;IF(ISNUMBER(M896),IF(P896="",IF(F896="","INFORMAR PRAZO","SEM DATA"),IF(P896&gt;=0,"DEFESA NO PRAZO","DEFESA FORA DO PRAZO")),IF(OR(H896="DECISÃO D.P",ISNUMBER(N896)),"SEM DEFESA",IF(H896="","SEM STATUS",IF(F896="","INFORMAR PRAZO",IF(P896="","SEM DATA",IF(P896&lt;0,"VENCIDO",IF(P896&lt;=DiasAlerta,"VENCE EM BREVE","NO PRAZO"))))))))</f>
        <v/>
      </c>
      <c r="R896" s="118" t="str">
        <f>IF(D896="","",TODAY()-D896)</f>
        <v/>
      </c>
      <c r="S896" s="111" t="n"/>
    </row>
    <row r="897" ht="18" customHeight="1">
      <c r="A897" s="110" t="n"/>
      <c r="B897" s="111" t="n"/>
      <c r="C897" s="111" t="n"/>
      <c r="D897" s="112" t="n"/>
      <c r="E897" s="111" t="n"/>
      <c r="F897" s="110" t="n"/>
      <c r="G897" s="113" t="n"/>
      <c r="H897" s="113" t="n"/>
      <c r="I897" s="111" t="n"/>
      <c r="J897" s="114" t="n"/>
      <c r="K897" s="114" t="n"/>
      <c r="L897" s="112" t="n"/>
      <c r="M897" s="112" t="n"/>
      <c r="N897" s="112" t="n"/>
      <c r="O897" s="115" t="str">
        <f>IF(OR(D897="",F897=""),"",D897+F897)</f>
        <v/>
      </c>
      <c r="P897" s="116" t="str">
        <f>IF(O897="","",IF(ISNUMBER(M897),O897-M897,IF(OR(H897="DECISÃO D.P",ISNUMBER(N897)),"",O897-TODAY())))</f>
        <v/>
      </c>
      <c r="Q897" s="117" t="str">
        <f>IF(B897="","",IF(ISNUMBER(N897),"DECIDIDO – ","")&amp;IF(ISNUMBER(M897),IF(P897="",IF(F897="","INFORMAR PRAZO","SEM DATA"),IF(P897&gt;=0,"DEFESA NO PRAZO","DEFESA FORA DO PRAZO")),IF(OR(H897="DECISÃO D.P",ISNUMBER(N897)),"SEM DEFESA",IF(H897="","SEM STATUS",IF(F897="","INFORMAR PRAZO",IF(P897="","SEM DATA",IF(P897&lt;0,"VENCIDO",IF(P897&lt;=DiasAlerta,"VENCE EM BREVE","NO PRAZO"))))))))</f>
        <v/>
      </c>
      <c r="R897" s="118" t="str">
        <f>IF(D897="","",TODAY()-D897)</f>
        <v/>
      </c>
      <c r="S897" s="111" t="n"/>
    </row>
    <row r="898" ht="18" customHeight="1">
      <c r="A898" s="110" t="n"/>
      <c r="B898" s="111" t="n"/>
      <c r="C898" s="111" t="n"/>
      <c r="D898" s="112" t="n"/>
      <c r="E898" s="111" t="n"/>
      <c r="F898" s="110" t="n"/>
      <c r="G898" s="113" t="n"/>
      <c r="H898" s="113" t="n"/>
      <c r="I898" s="111" t="n"/>
      <c r="J898" s="114" t="n"/>
      <c r="K898" s="114" t="n"/>
      <c r="L898" s="112" t="n"/>
      <c r="M898" s="112" t="n"/>
      <c r="N898" s="112" t="n"/>
      <c r="O898" s="115" t="str">
        <f>IF(OR(D898="",F898=""),"",D898+F898)</f>
        <v/>
      </c>
      <c r="P898" s="116" t="str">
        <f>IF(O898="","",IF(ISNUMBER(M898),O898-M898,IF(OR(H898="DECISÃO D.P",ISNUMBER(N898)),"",O898-TODAY())))</f>
        <v/>
      </c>
      <c r="Q898" s="117" t="str">
        <f>IF(B898="","",IF(ISNUMBER(N898),"DECIDIDO – ","")&amp;IF(ISNUMBER(M898),IF(P898="",IF(F898="","INFORMAR PRAZO","SEM DATA"),IF(P898&gt;=0,"DEFESA NO PRAZO","DEFESA FORA DO PRAZO")),IF(OR(H898="DECISÃO D.P",ISNUMBER(N898)),"SEM DEFESA",IF(H898="","SEM STATUS",IF(F898="","INFORMAR PRAZO",IF(P898="","SEM DATA",IF(P898&lt;0,"VENCIDO",IF(P898&lt;=DiasAlerta,"VENCE EM BREVE","NO PRAZO"))))))))</f>
        <v/>
      </c>
      <c r="R898" s="118" t="str">
        <f>IF(D898="","",TODAY()-D898)</f>
        <v/>
      </c>
      <c r="S898" s="111" t="n"/>
    </row>
    <row r="899" ht="18" customHeight="1">
      <c r="A899" s="110" t="n"/>
      <c r="B899" s="111" t="n"/>
      <c r="C899" s="111" t="n"/>
      <c r="D899" s="112" t="n"/>
      <c r="E899" s="111" t="n"/>
      <c r="F899" s="110" t="n"/>
      <c r="G899" s="113" t="n"/>
      <c r="H899" s="113" t="n"/>
      <c r="I899" s="111" t="n"/>
      <c r="J899" s="114" t="n"/>
      <c r="K899" s="114" t="n"/>
      <c r="L899" s="112" t="n"/>
      <c r="M899" s="112" t="n"/>
      <c r="N899" s="112" t="n"/>
      <c r="O899" s="115" t="str">
        <f>IF(OR(D899="",F899=""),"",D899+F899)</f>
        <v/>
      </c>
      <c r="P899" s="116" t="str">
        <f>IF(O899="","",IF(ISNUMBER(M899),O899-M899,IF(OR(H899="DECISÃO D.P",ISNUMBER(N899)),"",O899-TODAY())))</f>
        <v/>
      </c>
      <c r="Q899" s="117" t="str">
        <f>IF(B899="","",IF(ISNUMBER(N899),"DECIDIDO – ","")&amp;IF(ISNUMBER(M899),IF(P899="",IF(F899="","INFORMAR PRAZO","SEM DATA"),IF(P899&gt;=0,"DEFESA NO PRAZO","DEFESA FORA DO PRAZO")),IF(OR(H899="DECISÃO D.P",ISNUMBER(N899)),"SEM DEFESA",IF(H899="","SEM STATUS",IF(F899="","INFORMAR PRAZO",IF(P899="","SEM DATA",IF(P899&lt;0,"VENCIDO",IF(P899&lt;=DiasAlerta,"VENCE EM BREVE","NO PRAZO"))))))))</f>
        <v/>
      </c>
      <c r="R899" s="118" t="str">
        <f>IF(D899="","",TODAY()-D899)</f>
        <v/>
      </c>
      <c r="S899" s="111" t="n"/>
    </row>
    <row r="900" ht="18" customHeight="1">
      <c r="A900" s="110" t="n"/>
      <c r="B900" s="111" t="n"/>
      <c r="C900" s="111" t="n"/>
      <c r="D900" s="112" t="n"/>
      <c r="E900" s="111" t="n"/>
      <c r="F900" s="110" t="n"/>
      <c r="G900" s="113" t="n"/>
      <c r="H900" s="113" t="n"/>
      <c r="I900" s="111" t="n"/>
      <c r="J900" s="114" t="n"/>
      <c r="K900" s="114" t="n"/>
      <c r="L900" s="112" t="n"/>
      <c r="M900" s="112" t="n"/>
      <c r="N900" s="112" t="n"/>
      <c r="O900" s="115" t="str">
        <f>IF(OR(D900="",F900=""),"",D900+F900)</f>
        <v/>
      </c>
      <c r="P900" s="116" t="str">
        <f>IF(O900="","",IF(ISNUMBER(M900),O900-M900,IF(OR(H900="DECISÃO D.P",ISNUMBER(N900)),"",O900-TODAY())))</f>
        <v/>
      </c>
      <c r="Q900" s="117" t="str">
        <f>IF(B900="","",IF(ISNUMBER(N900),"DECIDIDO – ","")&amp;IF(ISNUMBER(M900),IF(P900="",IF(F900="","INFORMAR PRAZO","SEM DATA"),IF(P900&gt;=0,"DEFESA NO PRAZO","DEFESA FORA DO PRAZO")),IF(OR(H900="DECISÃO D.P",ISNUMBER(N900)),"SEM DEFESA",IF(H900="","SEM STATUS",IF(F900="","INFORMAR PRAZO",IF(P900="","SEM DATA",IF(P900&lt;0,"VENCIDO",IF(P900&lt;=DiasAlerta,"VENCE EM BREVE","NO PRAZO"))))))))</f>
        <v/>
      </c>
      <c r="R900" s="118" t="str">
        <f>IF(D900="","",TODAY()-D900)</f>
        <v/>
      </c>
      <c r="S900" s="111" t="n"/>
    </row>
    <row r="901" ht="18" customHeight="1">
      <c r="A901" s="110" t="n"/>
      <c r="B901" s="111" t="n"/>
      <c r="C901" s="111" t="n"/>
      <c r="D901" s="112" t="n"/>
      <c r="E901" s="111" t="n"/>
      <c r="F901" s="110" t="n"/>
      <c r="G901" s="113" t="n"/>
      <c r="H901" s="113" t="n"/>
      <c r="I901" s="111" t="n"/>
      <c r="J901" s="114" t="n"/>
      <c r="K901" s="114" t="n"/>
      <c r="L901" s="112" t="n"/>
      <c r="M901" s="112" t="n"/>
      <c r="N901" s="112" t="n"/>
      <c r="O901" s="115" t="str">
        <f>IF(OR(D901="",F901=""),"",D901+F901)</f>
        <v/>
      </c>
      <c r="P901" s="116" t="str">
        <f>IF(O901="","",IF(ISNUMBER(M901),O901-M901,IF(OR(H901="DECISÃO D.P",ISNUMBER(N901)),"",O901-TODAY())))</f>
        <v/>
      </c>
      <c r="Q901" s="117" t="str">
        <f>IF(B901="","",IF(ISNUMBER(N901),"DECIDIDO – ","")&amp;IF(ISNUMBER(M901),IF(P901="",IF(F901="","INFORMAR PRAZO","SEM DATA"),IF(P901&gt;=0,"DEFESA NO PRAZO","DEFESA FORA DO PRAZO")),IF(OR(H901="DECISÃO D.P",ISNUMBER(N901)),"SEM DEFESA",IF(H901="","SEM STATUS",IF(F901="","INFORMAR PRAZO",IF(P901="","SEM DATA",IF(P901&lt;0,"VENCIDO",IF(P901&lt;=DiasAlerta,"VENCE EM BREVE","NO PRAZO"))))))))</f>
        <v/>
      </c>
      <c r="R901" s="118" t="str">
        <f>IF(D901="","",TODAY()-D901)</f>
        <v/>
      </c>
      <c r="S901" s="111" t="n"/>
    </row>
    <row r="902" ht="18" customHeight="1">
      <c r="A902" s="110" t="n"/>
      <c r="B902" s="111" t="n"/>
      <c r="C902" s="111" t="n"/>
      <c r="D902" s="112" t="n"/>
      <c r="E902" s="111" t="n"/>
      <c r="F902" s="110" t="n"/>
      <c r="G902" s="113" t="n"/>
      <c r="H902" s="113" t="n"/>
      <c r="I902" s="111" t="n"/>
      <c r="J902" s="114" t="n"/>
      <c r="K902" s="114" t="n"/>
      <c r="L902" s="112" t="n"/>
      <c r="M902" s="112" t="n"/>
      <c r="N902" s="112" t="n"/>
      <c r="O902" s="115" t="str">
        <f>IF(OR(D902="",F902=""),"",D902+F902)</f>
        <v/>
      </c>
      <c r="P902" s="116" t="str">
        <f>IF(O902="","",IF(ISNUMBER(M902),O902-M902,IF(OR(H902="DECISÃO D.P",ISNUMBER(N902)),"",O902-TODAY())))</f>
        <v/>
      </c>
      <c r="Q902" s="117" t="str">
        <f>IF(B902="","",IF(ISNUMBER(N902),"DECIDIDO – ","")&amp;IF(ISNUMBER(M902),IF(P902="",IF(F902="","INFORMAR PRAZO","SEM DATA"),IF(P902&gt;=0,"DEFESA NO PRAZO","DEFESA FORA DO PRAZO")),IF(OR(H902="DECISÃO D.P",ISNUMBER(N902)),"SEM DEFESA",IF(H902="","SEM STATUS",IF(F902="","INFORMAR PRAZO",IF(P902="","SEM DATA",IF(P902&lt;0,"VENCIDO",IF(P902&lt;=DiasAlerta,"VENCE EM BREVE","NO PRAZO"))))))))</f>
        <v/>
      </c>
      <c r="R902" s="118" t="str">
        <f>IF(D902="","",TODAY()-D902)</f>
        <v/>
      </c>
      <c r="S902" s="111" t="n"/>
    </row>
    <row r="903" ht="18" customHeight="1">
      <c r="A903" s="110" t="n"/>
      <c r="B903" s="111" t="n"/>
      <c r="C903" s="111" t="n"/>
      <c r="D903" s="112" t="n"/>
      <c r="E903" s="111" t="n"/>
      <c r="F903" s="110" t="n"/>
      <c r="G903" s="113" t="n"/>
      <c r="H903" s="113" t="n"/>
      <c r="I903" s="111" t="n"/>
      <c r="J903" s="114" t="n"/>
      <c r="K903" s="114" t="n"/>
      <c r="L903" s="112" t="n"/>
      <c r="M903" s="112" t="n"/>
      <c r="N903" s="112" t="n"/>
      <c r="O903" s="115" t="str">
        <f>IF(OR(D903="",F903=""),"",D903+F903)</f>
        <v/>
      </c>
      <c r="P903" s="116" t="str">
        <f>IF(O903="","",IF(ISNUMBER(M903),O903-M903,IF(OR(H903="DECISÃO D.P",ISNUMBER(N903)),"",O903-TODAY())))</f>
        <v/>
      </c>
      <c r="Q903" s="117" t="str">
        <f>IF(B903="","",IF(ISNUMBER(N903),"DECIDIDO – ","")&amp;IF(ISNUMBER(M903),IF(P903="",IF(F903="","INFORMAR PRAZO","SEM DATA"),IF(P903&gt;=0,"DEFESA NO PRAZO","DEFESA FORA DO PRAZO")),IF(OR(H903="DECISÃO D.P",ISNUMBER(N903)),"SEM DEFESA",IF(H903="","SEM STATUS",IF(F903="","INFORMAR PRAZO",IF(P903="","SEM DATA",IF(P903&lt;0,"VENCIDO",IF(P903&lt;=DiasAlerta,"VENCE EM BREVE","NO PRAZO"))))))))</f>
        <v/>
      </c>
      <c r="R903" s="118" t="str">
        <f>IF(D903="","",TODAY()-D903)</f>
        <v/>
      </c>
      <c r="S903" s="111" t="n"/>
    </row>
    <row r="904" ht="18" customHeight="1">
      <c r="A904" s="110" t="n"/>
      <c r="B904" s="111" t="n"/>
      <c r="C904" s="111" t="n"/>
      <c r="D904" s="112" t="n"/>
      <c r="E904" s="111" t="n"/>
      <c r="F904" s="110" t="n"/>
      <c r="G904" s="113" t="n"/>
      <c r="H904" s="113" t="n"/>
      <c r="I904" s="111" t="n"/>
      <c r="J904" s="114" t="n"/>
      <c r="K904" s="114" t="n"/>
      <c r="L904" s="112" t="n"/>
      <c r="M904" s="112" t="n"/>
      <c r="N904" s="112" t="n"/>
      <c r="O904" s="115" t="str">
        <f>IF(OR(D904="",F904=""),"",D904+F904)</f>
        <v/>
      </c>
      <c r="P904" s="116" t="str">
        <f>IF(O904="","",IF(ISNUMBER(M904),O904-M904,IF(OR(H904="DECISÃO D.P",ISNUMBER(N904)),"",O904-TODAY())))</f>
        <v/>
      </c>
      <c r="Q904" s="117" t="str">
        <f>IF(B904="","",IF(ISNUMBER(N904),"DECIDIDO – ","")&amp;IF(ISNUMBER(M904),IF(P904="",IF(F904="","INFORMAR PRAZO","SEM DATA"),IF(P904&gt;=0,"DEFESA NO PRAZO","DEFESA FORA DO PRAZO")),IF(OR(H904="DECISÃO D.P",ISNUMBER(N904)),"SEM DEFESA",IF(H904="","SEM STATUS",IF(F904="","INFORMAR PRAZO",IF(P904="","SEM DATA",IF(P904&lt;0,"VENCIDO",IF(P904&lt;=DiasAlerta,"VENCE EM BREVE","NO PRAZO"))))))))</f>
        <v/>
      </c>
      <c r="R904" s="118" t="str">
        <f>IF(D904="","",TODAY()-D904)</f>
        <v/>
      </c>
      <c r="S904" s="111" t="n"/>
    </row>
    <row r="905" ht="18" customHeight="1">
      <c r="A905" s="110" t="n"/>
      <c r="B905" s="111" t="n"/>
      <c r="C905" s="111" t="n"/>
      <c r="D905" s="112" t="n"/>
      <c r="E905" s="111" t="n"/>
      <c r="F905" s="110" t="n"/>
      <c r="G905" s="113" t="n"/>
      <c r="H905" s="113" t="n"/>
      <c r="I905" s="111" t="n"/>
      <c r="J905" s="114" t="n"/>
      <c r="K905" s="114" t="n"/>
      <c r="L905" s="112" t="n"/>
      <c r="M905" s="112" t="n"/>
      <c r="N905" s="112" t="n"/>
      <c r="O905" s="115" t="str">
        <f>IF(OR(D905="",F905=""),"",D905+F905)</f>
        <v/>
      </c>
      <c r="P905" s="116" t="str">
        <f>IF(O905="","",IF(ISNUMBER(M905),O905-M905,IF(OR(H905="DECISÃO D.P",ISNUMBER(N905)),"",O905-TODAY())))</f>
        <v/>
      </c>
      <c r="Q905" s="117" t="str">
        <f>IF(B905="","",IF(ISNUMBER(N905),"DECIDIDO – ","")&amp;IF(ISNUMBER(M905),IF(P905="",IF(F905="","INFORMAR PRAZO","SEM DATA"),IF(P905&gt;=0,"DEFESA NO PRAZO","DEFESA FORA DO PRAZO")),IF(OR(H905="DECISÃO D.P",ISNUMBER(N905)),"SEM DEFESA",IF(H905="","SEM STATUS",IF(F905="","INFORMAR PRAZO",IF(P905="","SEM DATA",IF(P905&lt;0,"VENCIDO",IF(P905&lt;=DiasAlerta,"VENCE EM BREVE","NO PRAZO"))))))))</f>
        <v/>
      </c>
      <c r="R905" s="118" t="str">
        <f>IF(D905="","",TODAY()-D905)</f>
        <v/>
      </c>
      <c r="S905" s="111" t="n"/>
    </row>
    <row r="906" ht="18" customHeight="1">
      <c r="A906" s="110" t="n"/>
      <c r="B906" s="111" t="n"/>
      <c r="C906" s="111" t="n"/>
      <c r="D906" s="112" t="n"/>
      <c r="E906" s="111" t="n"/>
      <c r="F906" s="110" t="n"/>
      <c r="G906" s="113" t="n"/>
      <c r="H906" s="113" t="n"/>
      <c r="I906" s="111" t="n"/>
      <c r="J906" s="114" t="n"/>
      <c r="K906" s="114" t="n"/>
      <c r="L906" s="112" t="n"/>
      <c r="M906" s="112" t="n"/>
      <c r="N906" s="112" t="n"/>
      <c r="O906" s="115" t="str">
        <f>IF(OR(D906="",F906=""),"",D906+F906)</f>
        <v/>
      </c>
      <c r="P906" s="116" t="str">
        <f>IF(O906="","",IF(ISNUMBER(M906),O906-M906,IF(OR(H906="DECISÃO D.P",ISNUMBER(N906)),"",O906-TODAY())))</f>
        <v/>
      </c>
      <c r="Q906" s="117" t="str">
        <f>IF(B906="","",IF(ISNUMBER(N906),"DECIDIDO – ","")&amp;IF(ISNUMBER(M906),IF(P906="",IF(F906="","INFORMAR PRAZO","SEM DATA"),IF(P906&gt;=0,"DEFESA NO PRAZO","DEFESA FORA DO PRAZO")),IF(OR(H906="DECISÃO D.P",ISNUMBER(N906)),"SEM DEFESA",IF(H906="","SEM STATUS",IF(F906="","INFORMAR PRAZO",IF(P906="","SEM DATA",IF(P906&lt;0,"VENCIDO",IF(P906&lt;=DiasAlerta,"VENCE EM BREVE","NO PRAZO"))))))))</f>
        <v/>
      </c>
      <c r="R906" s="118" t="str">
        <f>IF(D906="","",TODAY()-D906)</f>
        <v/>
      </c>
      <c r="S906" s="111" t="n"/>
    </row>
    <row r="907" ht="18" customHeight="1">
      <c r="A907" s="110" t="n"/>
      <c r="B907" s="111" t="n"/>
      <c r="C907" s="111" t="n"/>
      <c r="D907" s="112" t="n"/>
      <c r="E907" s="111" t="n"/>
      <c r="F907" s="110" t="n"/>
      <c r="G907" s="113" t="n"/>
      <c r="H907" s="113" t="n"/>
      <c r="I907" s="111" t="n"/>
      <c r="J907" s="114" t="n"/>
      <c r="K907" s="114" t="n"/>
      <c r="L907" s="112" t="n"/>
      <c r="M907" s="112" t="n"/>
      <c r="N907" s="112" t="n"/>
      <c r="O907" s="115" t="str">
        <f>IF(OR(D907="",F907=""),"",D907+F907)</f>
        <v/>
      </c>
      <c r="P907" s="116" t="str">
        <f>IF(O907="","",IF(ISNUMBER(M907),O907-M907,IF(OR(H907="DECISÃO D.P",ISNUMBER(N907)),"",O907-TODAY())))</f>
        <v/>
      </c>
      <c r="Q907" s="117" t="str">
        <f>IF(B907="","",IF(ISNUMBER(N907),"DECIDIDO – ","")&amp;IF(ISNUMBER(M907),IF(P907="",IF(F907="","INFORMAR PRAZO","SEM DATA"),IF(P907&gt;=0,"DEFESA NO PRAZO","DEFESA FORA DO PRAZO")),IF(OR(H907="DECISÃO D.P",ISNUMBER(N907)),"SEM DEFESA",IF(H907="","SEM STATUS",IF(F907="","INFORMAR PRAZO",IF(P907="","SEM DATA",IF(P907&lt;0,"VENCIDO",IF(P907&lt;=DiasAlerta,"VENCE EM BREVE","NO PRAZO"))))))))</f>
        <v/>
      </c>
      <c r="R907" s="118" t="str">
        <f>IF(D907="","",TODAY()-D907)</f>
        <v/>
      </c>
      <c r="S907" s="111" t="n"/>
    </row>
    <row r="908" ht="18" customHeight="1">
      <c r="A908" s="110" t="n"/>
      <c r="B908" s="111" t="n"/>
      <c r="C908" s="111" t="n"/>
      <c r="D908" s="112" t="n"/>
      <c r="E908" s="111" t="n"/>
      <c r="F908" s="110" t="n"/>
      <c r="G908" s="113" t="n"/>
      <c r="H908" s="113" t="n"/>
      <c r="I908" s="111" t="n"/>
      <c r="J908" s="114" t="n"/>
      <c r="K908" s="114" t="n"/>
      <c r="L908" s="112" t="n"/>
      <c r="M908" s="112" t="n"/>
      <c r="N908" s="112" t="n"/>
      <c r="O908" s="115" t="str">
        <f>IF(OR(D908="",F908=""),"",D908+F908)</f>
        <v/>
      </c>
      <c r="P908" s="116" t="str">
        <f>IF(O908="","",IF(ISNUMBER(M908),O908-M908,IF(OR(H908="DECISÃO D.P",ISNUMBER(N908)),"",O908-TODAY())))</f>
        <v/>
      </c>
      <c r="Q908" s="117" t="str">
        <f>IF(B908="","",IF(ISNUMBER(N908),"DECIDIDO – ","")&amp;IF(ISNUMBER(M908),IF(P908="",IF(F908="","INFORMAR PRAZO","SEM DATA"),IF(P908&gt;=0,"DEFESA NO PRAZO","DEFESA FORA DO PRAZO")),IF(OR(H908="DECISÃO D.P",ISNUMBER(N908)),"SEM DEFESA",IF(H908="","SEM STATUS",IF(F908="","INFORMAR PRAZO",IF(P908="","SEM DATA",IF(P908&lt;0,"VENCIDO",IF(P908&lt;=DiasAlerta,"VENCE EM BREVE","NO PRAZO"))))))))</f>
        <v/>
      </c>
      <c r="R908" s="118" t="str">
        <f>IF(D908="","",TODAY()-D908)</f>
        <v/>
      </c>
      <c r="S908" s="111" t="n"/>
    </row>
    <row r="909" ht="18" customHeight="1">
      <c r="A909" s="110" t="n"/>
      <c r="B909" s="111" t="n"/>
      <c r="C909" s="111" t="n"/>
      <c r="D909" s="112" t="n"/>
      <c r="E909" s="111" t="n"/>
      <c r="F909" s="110" t="n"/>
      <c r="G909" s="113" t="n"/>
      <c r="H909" s="113" t="n"/>
      <c r="I909" s="111" t="n"/>
      <c r="J909" s="114" t="n"/>
      <c r="K909" s="114" t="n"/>
      <c r="L909" s="112" t="n"/>
      <c r="M909" s="112" t="n"/>
      <c r="N909" s="112" t="n"/>
      <c r="O909" s="115" t="str">
        <f>IF(OR(D909="",F909=""),"",D909+F909)</f>
        <v/>
      </c>
      <c r="P909" s="116" t="str">
        <f>IF(O909="","",IF(ISNUMBER(M909),O909-M909,IF(OR(H909="DECISÃO D.P",ISNUMBER(N909)),"",O909-TODAY())))</f>
        <v/>
      </c>
      <c r="Q909" s="117" t="str">
        <f>IF(B909="","",IF(ISNUMBER(N909),"DECIDIDO – ","")&amp;IF(ISNUMBER(M909),IF(P909="",IF(F909="","INFORMAR PRAZO","SEM DATA"),IF(P909&gt;=0,"DEFESA NO PRAZO","DEFESA FORA DO PRAZO")),IF(OR(H909="DECISÃO D.P",ISNUMBER(N909)),"SEM DEFESA",IF(H909="","SEM STATUS",IF(F909="","INFORMAR PRAZO",IF(P909="","SEM DATA",IF(P909&lt;0,"VENCIDO",IF(P909&lt;=DiasAlerta,"VENCE EM BREVE","NO PRAZO"))))))))</f>
        <v/>
      </c>
      <c r="R909" s="118" t="str">
        <f>IF(D909="","",TODAY()-D909)</f>
        <v/>
      </c>
      <c r="S909" s="111" t="n"/>
    </row>
    <row r="910" ht="18" customHeight="1">
      <c r="A910" s="110" t="n"/>
      <c r="B910" s="111" t="n"/>
      <c r="C910" s="111" t="n"/>
      <c r="D910" s="112" t="n"/>
      <c r="E910" s="111" t="n"/>
      <c r="F910" s="110" t="n"/>
      <c r="G910" s="113" t="n"/>
      <c r="H910" s="113" t="n"/>
      <c r="I910" s="111" t="n"/>
      <c r="J910" s="114" t="n"/>
      <c r="K910" s="114" t="n"/>
      <c r="L910" s="112" t="n"/>
      <c r="M910" s="112" t="n"/>
      <c r="N910" s="112" t="n"/>
      <c r="O910" s="115" t="str">
        <f>IF(OR(D910="",F910=""),"",D910+F910)</f>
        <v/>
      </c>
      <c r="P910" s="116" t="str">
        <f>IF(O910="","",IF(ISNUMBER(M910),O910-M910,IF(OR(H910="DECISÃO D.P",ISNUMBER(N910)),"",O910-TODAY())))</f>
        <v/>
      </c>
      <c r="Q910" s="117" t="str">
        <f>IF(B910="","",IF(ISNUMBER(N910),"DECIDIDO – ","")&amp;IF(ISNUMBER(M910),IF(P910="",IF(F910="","INFORMAR PRAZO","SEM DATA"),IF(P910&gt;=0,"DEFESA NO PRAZO","DEFESA FORA DO PRAZO")),IF(OR(H910="DECISÃO D.P",ISNUMBER(N910)),"SEM DEFESA",IF(H910="","SEM STATUS",IF(F910="","INFORMAR PRAZO",IF(P910="","SEM DATA",IF(P910&lt;0,"VENCIDO",IF(P910&lt;=DiasAlerta,"VENCE EM BREVE","NO PRAZO"))))))))</f>
        <v/>
      </c>
      <c r="R910" s="118" t="str">
        <f>IF(D910="","",TODAY()-D910)</f>
        <v/>
      </c>
      <c r="S910" s="111" t="n"/>
    </row>
    <row r="911" ht="18" customHeight="1">
      <c r="A911" s="110" t="n"/>
      <c r="B911" s="111" t="n"/>
      <c r="C911" s="111" t="n"/>
      <c r="D911" s="112" t="n"/>
      <c r="E911" s="111" t="n"/>
      <c r="F911" s="110" t="n"/>
      <c r="G911" s="113" t="n"/>
      <c r="H911" s="113" t="n"/>
      <c r="I911" s="111" t="n"/>
      <c r="J911" s="114" t="n"/>
      <c r="K911" s="114" t="n"/>
      <c r="L911" s="112" t="n"/>
      <c r="M911" s="112" t="n"/>
      <c r="N911" s="112" t="n"/>
      <c r="O911" s="115" t="str">
        <f>IF(OR(D911="",F911=""),"",D911+F911)</f>
        <v/>
      </c>
      <c r="P911" s="116" t="str">
        <f>IF(O911="","",IF(ISNUMBER(M911),O911-M911,IF(OR(H911="DECISÃO D.P",ISNUMBER(N911)),"",O911-TODAY())))</f>
        <v/>
      </c>
      <c r="Q911" s="117" t="str">
        <f>IF(B911="","",IF(ISNUMBER(N911),"DECIDIDO – ","")&amp;IF(ISNUMBER(M911),IF(P911="",IF(F911="","INFORMAR PRAZO","SEM DATA"),IF(P911&gt;=0,"DEFESA NO PRAZO","DEFESA FORA DO PRAZO")),IF(OR(H911="DECISÃO D.P",ISNUMBER(N911)),"SEM DEFESA",IF(H911="","SEM STATUS",IF(F911="","INFORMAR PRAZO",IF(P911="","SEM DATA",IF(P911&lt;0,"VENCIDO",IF(P911&lt;=DiasAlerta,"VENCE EM BREVE","NO PRAZO"))))))))</f>
        <v/>
      </c>
      <c r="R911" s="118" t="str">
        <f>IF(D911="","",TODAY()-D911)</f>
        <v/>
      </c>
      <c r="S911" s="111" t="n"/>
    </row>
    <row r="912" ht="18" customHeight="1">
      <c r="A912" s="110" t="n"/>
      <c r="B912" s="111" t="n"/>
      <c r="C912" s="111" t="n"/>
      <c r="D912" s="112" t="n"/>
      <c r="E912" s="111" t="n"/>
      <c r="F912" s="110" t="n"/>
      <c r="G912" s="113" t="n"/>
      <c r="H912" s="113" t="n"/>
      <c r="I912" s="111" t="n"/>
      <c r="J912" s="114" t="n"/>
      <c r="K912" s="114" t="n"/>
      <c r="L912" s="112" t="n"/>
      <c r="M912" s="112" t="n"/>
      <c r="N912" s="112" t="n"/>
      <c r="O912" s="115" t="str">
        <f>IF(OR(D912="",F912=""),"",D912+F912)</f>
        <v/>
      </c>
      <c r="P912" s="116" t="str">
        <f>IF(O912="","",IF(ISNUMBER(M912),O912-M912,IF(OR(H912="DECISÃO D.P",ISNUMBER(N912)),"",O912-TODAY())))</f>
        <v/>
      </c>
      <c r="Q912" s="117" t="str">
        <f>IF(B912="","",IF(ISNUMBER(N912),"DECIDIDO – ","")&amp;IF(ISNUMBER(M912),IF(P912="",IF(F912="","INFORMAR PRAZO","SEM DATA"),IF(P912&gt;=0,"DEFESA NO PRAZO","DEFESA FORA DO PRAZO")),IF(OR(H912="DECISÃO D.P",ISNUMBER(N912)),"SEM DEFESA",IF(H912="","SEM STATUS",IF(F912="","INFORMAR PRAZO",IF(P912="","SEM DATA",IF(P912&lt;0,"VENCIDO",IF(P912&lt;=DiasAlerta,"VENCE EM BREVE","NO PRAZO"))))))))</f>
        <v/>
      </c>
      <c r="R912" s="118" t="str">
        <f>IF(D912="","",TODAY()-D912)</f>
        <v/>
      </c>
      <c r="S912" s="111" t="n"/>
    </row>
    <row r="913" ht="18" customHeight="1">
      <c r="A913" s="110" t="n"/>
      <c r="B913" s="111" t="n"/>
      <c r="C913" s="111" t="n"/>
      <c r="D913" s="112" t="n"/>
      <c r="E913" s="111" t="n"/>
      <c r="F913" s="110" t="n"/>
      <c r="G913" s="113" t="n"/>
      <c r="H913" s="113" t="n"/>
      <c r="I913" s="111" t="n"/>
      <c r="J913" s="114" t="n"/>
      <c r="K913" s="114" t="n"/>
      <c r="L913" s="112" t="n"/>
      <c r="M913" s="112" t="n"/>
      <c r="N913" s="112" t="n"/>
      <c r="O913" s="115" t="str">
        <f>IF(OR(D913="",F913=""),"",D913+F913)</f>
        <v/>
      </c>
      <c r="P913" s="116" t="str">
        <f>IF(O913="","",IF(ISNUMBER(M913),O913-M913,IF(OR(H913="DECISÃO D.P",ISNUMBER(N913)),"",O913-TODAY())))</f>
        <v/>
      </c>
      <c r="Q913" s="117" t="str">
        <f>IF(B913="","",IF(ISNUMBER(N913),"DECIDIDO – ","")&amp;IF(ISNUMBER(M913),IF(P913="",IF(F913="","INFORMAR PRAZO","SEM DATA"),IF(P913&gt;=0,"DEFESA NO PRAZO","DEFESA FORA DO PRAZO")),IF(OR(H913="DECISÃO D.P",ISNUMBER(N913)),"SEM DEFESA",IF(H913="","SEM STATUS",IF(F913="","INFORMAR PRAZO",IF(P913="","SEM DATA",IF(P913&lt;0,"VENCIDO",IF(P913&lt;=DiasAlerta,"VENCE EM BREVE","NO PRAZO"))))))))</f>
        <v/>
      </c>
      <c r="R913" s="118" t="str">
        <f>IF(D913="","",TODAY()-D913)</f>
        <v/>
      </c>
      <c r="S913" s="111" t="n"/>
    </row>
    <row r="914" ht="18" customHeight="1">
      <c r="A914" s="110" t="n"/>
      <c r="B914" s="111" t="n"/>
      <c r="C914" s="111" t="n"/>
      <c r="D914" s="112" t="n"/>
      <c r="E914" s="111" t="n"/>
      <c r="F914" s="110" t="n"/>
      <c r="G914" s="113" t="n"/>
      <c r="H914" s="113" t="n"/>
      <c r="I914" s="111" t="n"/>
      <c r="J914" s="114" t="n"/>
      <c r="K914" s="114" t="n"/>
      <c r="L914" s="112" t="n"/>
      <c r="M914" s="112" t="n"/>
      <c r="N914" s="112" t="n"/>
      <c r="O914" s="115" t="str">
        <f>IF(OR(D914="",F914=""),"",D914+F914)</f>
        <v/>
      </c>
      <c r="P914" s="116" t="str">
        <f>IF(O914="","",IF(ISNUMBER(M914),O914-M914,IF(OR(H914="DECISÃO D.P",ISNUMBER(N914)),"",O914-TODAY())))</f>
        <v/>
      </c>
      <c r="Q914" s="117" t="str">
        <f>IF(B914="","",IF(ISNUMBER(N914),"DECIDIDO – ","")&amp;IF(ISNUMBER(M914),IF(P914="",IF(F914="","INFORMAR PRAZO","SEM DATA"),IF(P914&gt;=0,"DEFESA NO PRAZO","DEFESA FORA DO PRAZO")),IF(OR(H914="DECISÃO D.P",ISNUMBER(N914)),"SEM DEFESA",IF(H914="","SEM STATUS",IF(F914="","INFORMAR PRAZO",IF(P914="","SEM DATA",IF(P914&lt;0,"VENCIDO",IF(P914&lt;=DiasAlerta,"VENCE EM BREVE","NO PRAZO"))))))))</f>
        <v/>
      </c>
      <c r="R914" s="118" t="str">
        <f>IF(D914="","",TODAY()-D914)</f>
        <v/>
      </c>
      <c r="S914" s="111" t="n"/>
    </row>
    <row r="915" ht="18" customHeight="1">
      <c r="A915" s="110" t="n"/>
      <c r="B915" s="111" t="n"/>
      <c r="C915" s="111" t="n"/>
      <c r="D915" s="112" t="n"/>
      <c r="E915" s="111" t="n"/>
      <c r="F915" s="110" t="n"/>
      <c r="G915" s="113" t="n"/>
      <c r="H915" s="113" t="n"/>
      <c r="I915" s="111" t="n"/>
      <c r="J915" s="114" t="n"/>
      <c r="K915" s="114" t="n"/>
      <c r="L915" s="112" t="n"/>
      <c r="M915" s="112" t="n"/>
      <c r="N915" s="112" t="n"/>
      <c r="O915" s="115" t="str">
        <f>IF(OR(D915="",F915=""),"",D915+F915)</f>
        <v/>
      </c>
      <c r="P915" s="116" t="str">
        <f>IF(O915="","",IF(ISNUMBER(M915),O915-M915,IF(OR(H915="DECISÃO D.P",ISNUMBER(N915)),"",O915-TODAY())))</f>
        <v/>
      </c>
      <c r="Q915" s="117" t="str">
        <f>IF(B915="","",IF(ISNUMBER(N915),"DECIDIDO – ","")&amp;IF(ISNUMBER(M915),IF(P915="",IF(F915="","INFORMAR PRAZO","SEM DATA"),IF(P915&gt;=0,"DEFESA NO PRAZO","DEFESA FORA DO PRAZO")),IF(OR(H915="DECISÃO D.P",ISNUMBER(N915)),"SEM DEFESA",IF(H915="","SEM STATUS",IF(F915="","INFORMAR PRAZO",IF(P915="","SEM DATA",IF(P915&lt;0,"VENCIDO",IF(P915&lt;=DiasAlerta,"VENCE EM BREVE","NO PRAZO"))))))))</f>
        <v/>
      </c>
      <c r="R915" s="118" t="str">
        <f>IF(D915="","",TODAY()-D915)</f>
        <v/>
      </c>
      <c r="S915" s="111" t="n"/>
    </row>
    <row r="916" ht="18" customHeight="1">
      <c r="A916" s="110" t="n"/>
      <c r="B916" s="111" t="n"/>
      <c r="C916" s="111" t="n"/>
      <c r="D916" s="112" t="n"/>
      <c r="E916" s="111" t="n"/>
      <c r="F916" s="110" t="n"/>
      <c r="G916" s="113" t="n"/>
      <c r="H916" s="113" t="n"/>
      <c r="I916" s="111" t="n"/>
      <c r="J916" s="114" t="n"/>
      <c r="K916" s="114" t="n"/>
      <c r="L916" s="112" t="n"/>
      <c r="M916" s="112" t="n"/>
      <c r="N916" s="112" t="n"/>
      <c r="O916" s="115" t="str">
        <f>IF(OR(D916="",F916=""),"",D916+F916)</f>
        <v/>
      </c>
      <c r="P916" s="116" t="str">
        <f>IF(O916="","",IF(ISNUMBER(M916),O916-M916,IF(OR(H916="DECISÃO D.P",ISNUMBER(N916)),"",O916-TODAY())))</f>
        <v/>
      </c>
      <c r="Q916" s="117" t="str">
        <f>IF(B916="","",IF(ISNUMBER(N916),"DECIDIDO – ","")&amp;IF(ISNUMBER(M916),IF(P916="",IF(F916="","INFORMAR PRAZO","SEM DATA"),IF(P916&gt;=0,"DEFESA NO PRAZO","DEFESA FORA DO PRAZO")),IF(OR(H916="DECISÃO D.P",ISNUMBER(N916)),"SEM DEFESA",IF(H916="","SEM STATUS",IF(F916="","INFORMAR PRAZO",IF(P916="","SEM DATA",IF(P916&lt;0,"VENCIDO",IF(P916&lt;=DiasAlerta,"VENCE EM BREVE","NO PRAZO"))))))))</f>
        <v/>
      </c>
      <c r="R916" s="118" t="str">
        <f>IF(D916="","",TODAY()-D916)</f>
        <v/>
      </c>
      <c r="S916" s="111" t="n"/>
    </row>
    <row r="917" ht="18" customHeight="1">
      <c r="A917" s="110" t="n"/>
      <c r="B917" s="111" t="n"/>
      <c r="C917" s="111" t="n"/>
      <c r="D917" s="112" t="n"/>
      <c r="E917" s="111" t="n"/>
      <c r="F917" s="110" t="n"/>
      <c r="G917" s="113" t="n"/>
      <c r="H917" s="113" t="n"/>
      <c r="I917" s="111" t="n"/>
      <c r="J917" s="114" t="n"/>
      <c r="K917" s="114" t="n"/>
      <c r="L917" s="112" t="n"/>
      <c r="M917" s="112" t="n"/>
      <c r="N917" s="112" t="n"/>
      <c r="O917" s="115" t="str">
        <f>IF(OR(D917="",F917=""),"",D917+F917)</f>
        <v/>
      </c>
      <c r="P917" s="116" t="str">
        <f>IF(O917="","",IF(ISNUMBER(M917),O917-M917,IF(OR(H917="DECISÃO D.P",ISNUMBER(N917)),"",O917-TODAY())))</f>
        <v/>
      </c>
      <c r="Q917" s="117" t="str">
        <f>IF(B917="","",IF(ISNUMBER(N917),"DECIDIDO – ","")&amp;IF(ISNUMBER(M917),IF(P917="",IF(F917="","INFORMAR PRAZO","SEM DATA"),IF(P917&gt;=0,"DEFESA NO PRAZO","DEFESA FORA DO PRAZO")),IF(OR(H917="DECISÃO D.P",ISNUMBER(N917)),"SEM DEFESA",IF(H917="","SEM STATUS",IF(F917="","INFORMAR PRAZO",IF(P917="","SEM DATA",IF(P917&lt;0,"VENCIDO",IF(P917&lt;=DiasAlerta,"VENCE EM BREVE","NO PRAZO"))))))))</f>
        <v/>
      </c>
      <c r="R917" s="118" t="str">
        <f>IF(D917="","",TODAY()-D917)</f>
        <v/>
      </c>
      <c r="S917" s="111" t="n"/>
    </row>
    <row r="918" ht="18" customHeight="1">
      <c r="A918" s="110" t="n"/>
      <c r="B918" s="111" t="n"/>
      <c r="C918" s="111" t="n"/>
      <c r="D918" s="112" t="n"/>
      <c r="E918" s="111" t="n"/>
      <c r="F918" s="110" t="n"/>
      <c r="G918" s="113" t="n"/>
      <c r="H918" s="113" t="n"/>
      <c r="I918" s="111" t="n"/>
      <c r="J918" s="114" t="n"/>
      <c r="K918" s="114" t="n"/>
      <c r="L918" s="112" t="n"/>
      <c r="M918" s="112" t="n"/>
      <c r="N918" s="112" t="n"/>
      <c r="O918" s="115" t="str">
        <f>IF(OR(D918="",F918=""),"",D918+F918)</f>
        <v/>
      </c>
      <c r="P918" s="116" t="str">
        <f>IF(O918="","",IF(ISNUMBER(M918),O918-M918,IF(OR(H918="DECISÃO D.P",ISNUMBER(N918)),"",O918-TODAY())))</f>
        <v/>
      </c>
      <c r="Q918" s="117" t="str">
        <f>IF(B918="","",IF(ISNUMBER(N918),"DECIDIDO – ","")&amp;IF(ISNUMBER(M918),IF(P918="",IF(F918="","INFORMAR PRAZO","SEM DATA"),IF(P918&gt;=0,"DEFESA NO PRAZO","DEFESA FORA DO PRAZO")),IF(OR(H918="DECISÃO D.P",ISNUMBER(N918)),"SEM DEFESA",IF(H918="","SEM STATUS",IF(F918="","INFORMAR PRAZO",IF(P918="","SEM DATA",IF(P918&lt;0,"VENCIDO",IF(P918&lt;=DiasAlerta,"VENCE EM BREVE","NO PRAZO"))))))))</f>
        <v/>
      </c>
      <c r="R918" s="118" t="str">
        <f>IF(D918="","",TODAY()-D918)</f>
        <v/>
      </c>
      <c r="S918" s="111" t="n"/>
    </row>
    <row r="919" ht="18" customHeight="1">
      <c r="A919" s="110" t="n"/>
      <c r="B919" s="111" t="n"/>
      <c r="C919" s="111" t="n"/>
      <c r="D919" s="112" t="n"/>
      <c r="E919" s="111" t="n"/>
      <c r="F919" s="110" t="n"/>
      <c r="G919" s="113" t="n"/>
      <c r="H919" s="113" t="n"/>
      <c r="I919" s="111" t="n"/>
      <c r="J919" s="114" t="n"/>
      <c r="K919" s="114" t="n"/>
      <c r="L919" s="112" t="n"/>
      <c r="M919" s="112" t="n"/>
      <c r="N919" s="112" t="n"/>
      <c r="O919" s="115" t="str">
        <f>IF(OR(D919="",F919=""),"",D919+F919)</f>
        <v/>
      </c>
      <c r="P919" s="116" t="str">
        <f>IF(O919="","",IF(ISNUMBER(M919),O919-M919,IF(OR(H919="DECISÃO D.P",ISNUMBER(N919)),"",O919-TODAY())))</f>
        <v/>
      </c>
      <c r="Q919" s="117" t="str">
        <f>IF(B919="","",IF(ISNUMBER(N919),"DECIDIDO – ","")&amp;IF(ISNUMBER(M919),IF(P919="",IF(F919="","INFORMAR PRAZO","SEM DATA"),IF(P919&gt;=0,"DEFESA NO PRAZO","DEFESA FORA DO PRAZO")),IF(OR(H919="DECISÃO D.P",ISNUMBER(N919)),"SEM DEFESA",IF(H919="","SEM STATUS",IF(F919="","INFORMAR PRAZO",IF(P919="","SEM DATA",IF(P919&lt;0,"VENCIDO",IF(P919&lt;=DiasAlerta,"VENCE EM BREVE","NO PRAZO"))))))))</f>
        <v/>
      </c>
      <c r="R919" s="118" t="str">
        <f>IF(D919="","",TODAY()-D919)</f>
        <v/>
      </c>
      <c r="S919" s="111" t="n"/>
    </row>
    <row r="920" ht="18" customHeight="1">
      <c r="A920" s="110" t="n"/>
      <c r="B920" s="111" t="n"/>
      <c r="C920" s="111" t="n"/>
      <c r="D920" s="112" t="n"/>
      <c r="E920" s="111" t="n"/>
      <c r="F920" s="110" t="n"/>
      <c r="G920" s="113" t="n"/>
      <c r="H920" s="113" t="n"/>
      <c r="I920" s="111" t="n"/>
      <c r="J920" s="114" t="n"/>
      <c r="K920" s="114" t="n"/>
      <c r="L920" s="112" t="n"/>
      <c r="M920" s="112" t="n"/>
      <c r="N920" s="112" t="n"/>
      <c r="O920" s="115" t="str">
        <f>IF(OR(D920="",F920=""),"",D920+F920)</f>
        <v/>
      </c>
      <c r="P920" s="116" t="str">
        <f>IF(O920="","",IF(ISNUMBER(M920),O920-M920,IF(OR(H920="DECISÃO D.P",ISNUMBER(N920)),"",O920-TODAY())))</f>
        <v/>
      </c>
      <c r="Q920" s="117" t="str">
        <f>IF(B920="","",IF(ISNUMBER(N920),"DECIDIDO – ","")&amp;IF(ISNUMBER(M920),IF(P920="",IF(F920="","INFORMAR PRAZO","SEM DATA"),IF(P920&gt;=0,"DEFESA NO PRAZO","DEFESA FORA DO PRAZO")),IF(OR(H920="DECISÃO D.P",ISNUMBER(N920)),"SEM DEFESA",IF(H920="","SEM STATUS",IF(F920="","INFORMAR PRAZO",IF(P920="","SEM DATA",IF(P920&lt;0,"VENCIDO",IF(P920&lt;=DiasAlerta,"VENCE EM BREVE","NO PRAZO"))))))))</f>
        <v/>
      </c>
      <c r="R920" s="118" t="str">
        <f>IF(D920="","",TODAY()-D920)</f>
        <v/>
      </c>
      <c r="S920" s="111" t="n"/>
    </row>
    <row r="921" ht="18" customHeight="1">
      <c r="A921" s="110" t="n"/>
      <c r="B921" s="111" t="n"/>
      <c r="C921" s="111" t="n"/>
      <c r="D921" s="112" t="n"/>
      <c r="E921" s="111" t="n"/>
      <c r="F921" s="110" t="n"/>
      <c r="G921" s="113" t="n"/>
      <c r="H921" s="113" t="n"/>
      <c r="I921" s="111" t="n"/>
      <c r="J921" s="114" t="n"/>
      <c r="K921" s="114" t="n"/>
      <c r="L921" s="112" t="n"/>
      <c r="M921" s="112" t="n"/>
      <c r="N921" s="112" t="n"/>
      <c r="O921" s="115" t="str">
        <f>IF(OR(D921="",F921=""),"",D921+F921)</f>
        <v/>
      </c>
      <c r="P921" s="116" t="str">
        <f>IF(O921="","",IF(ISNUMBER(M921),O921-M921,IF(OR(H921="DECISÃO D.P",ISNUMBER(N921)),"",O921-TODAY())))</f>
        <v/>
      </c>
      <c r="Q921" s="117" t="str">
        <f>IF(B921="","",IF(ISNUMBER(N921),"DECIDIDO – ","")&amp;IF(ISNUMBER(M921),IF(P921="",IF(F921="","INFORMAR PRAZO","SEM DATA"),IF(P921&gt;=0,"DEFESA NO PRAZO","DEFESA FORA DO PRAZO")),IF(OR(H921="DECISÃO D.P",ISNUMBER(N921)),"SEM DEFESA",IF(H921="","SEM STATUS",IF(F921="","INFORMAR PRAZO",IF(P921="","SEM DATA",IF(P921&lt;0,"VENCIDO",IF(P921&lt;=DiasAlerta,"VENCE EM BREVE","NO PRAZO"))))))))</f>
        <v/>
      </c>
      <c r="R921" s="118" t="str">
        <f>IF(D921="","",TODAY()-D921)</f>
        <v/>
      </c>
      <c r="S921" s="111" t="n"/>
    </row>
    <row r="922" ht="18" customHeight="1">
      <c r="A922" s="110" t="n"/>
      <c r="B922" s="111" t="n"/>
      <c r="C922" s="111" t="n"/>
      <c r="D922" s="112" t="n"/>
      <c r="E922" s="111" t="n"/>
      <c r="F922" s="110" t="n"/>
      <c r="G922" s="113" t="n"/>
      <c r="H922" s="113" t="n"/>
      <c r="I922" s="111" t="n"/>
      <c r="J922" s="114" t="n"/>
      <c r="K922" s="114" t="n"/>
      <c r="L922" s="112" t="n"/>
      <c r="M922" s="112" t="n"/>
      <c r="N922" s="112" t="n"/>
      <c r="O922" s="115" t="str">
        <f>IF(OR(D922="",F922=""),"",D922+F922)</f>
        <v/>
      </c>
      <c r="P922" s="116" t="str">
        <f>IF(O922="","",IF(ISNUMBER(M922),O922-M922,IF(OR(H922="DECISÃO D.P",ISNUMBER(N922)),"",O922-TODAY())))</f>
        <v/>
      </c>
      <c r="Q922" s="117" t="str">
        <f>IF(B922="","",IF(ISNUMBER(N922),"DECIDIDO – ","")&amp;IF(ISNUMBER(M922),IF(P922="",IF(F922="","INFORMAR PRAZO","SEM DATA"),IF(P922&gt;=0,"DEFESA NO PRAZO","DEFESA FORA DO PRAZO")),IF(OR(H922="DECISÃO D.P",ISNUMBER(N922)),"SEM DEFESA",IF(H922="","SEM STATUS",IF(F922="","INFORMAR PRAZO",IF(P922="","SEM DATA",IF(P922&lt;0,"VENCIDO",IF(P922&lt;=DiasAlerta,"VENCE EM BREVE","NO PRAZO"))))))))</f>
        <v/>
      </c>
      <c r="R922" s="118" t="str">
        <f>IF(D922="","",TODAY()-D922)</f>
        <v/>
      </c>
      <c r="S922" s="111" t="n"/>
    </row>
    <row r="923" ht="18" customHeight="1">
      <c r="A923" s="110" t="n"/>
      <c r="B923" s="111" t="n"/>
      <c r="C923" s="111" t="n"/>
      <c r="D923" s="112" t="n"/>
      <c r="E923" s="111" t="n"/>
      <c r="F923" s="110" t="n"/>
      <c r="G923" s="113" t="n"/>
      <c r="H923" s="113" t="n"/>
      <c r="I923" s="111" t="n"/>
      <c r="J923" s="114" t="n"/>
      <c r="K923" s="114" t="n"/>
      <c r="L923" s="112" t="n"/>
      <c r="M923" s="112" t="n"/>
      <c r="N923" s="112" t="n"/>
      <c r="O923" s="115" t="str">
        <f>IF(OR(D923="",F923=""),"",D923+F923)</f>
        <v/>
      </c>
      <c r="P923" s="116" t="str">
        <f>IF(O923="","",IF(ISNUMBER(M923),O923-M923,IF(OR(H923="DECISÃO D.P",ISNUMBER(N923)),"",O923-TODAY())))</f>
        <v/>
      </c>
      <c r="Q923" s="117" t="str">
        <f>IF(B923="","",IF(ISNUMBER(N923),"DECIDIDO – ","")&amp;IF(ISNUMBER(M923),IF(P923="",IF(F923="","INFORMAR PRAZO","SEM DATA"),IF(P923&gt;=0,"DEFESA NO PRAZO","DEFESA FORA DO PRAZO")),IF(OR(H923="DECISÃO D.P",ISNUMBER(N923)),"SEM DEFESA",IF(H923="","SEM STATUS",IF(F923="","INFORMAR PRAZO",IF(P923="","SEM DATA",IF(P923&lt;0,"VENCIDO",IF(P923&lt;=DiasAlerta,"VENCE EM BREVE","NO PRAZO"))))))))</f>
        <v/>
      </c>
      <c r="R923" s="118" t="str">
        <f>IF(D923="","",TODAY()-D923)</f>
        <v/>
      </c>
      <c r="S923" s="111" t="n"/>
    </row>
    <row r="924" ht="18" customHeight="1">
      <c r="A924" s="110" t="n"/>
      <c r="B924" s="111" t="n"/>
      <c r="C924" s="111" t="n"/>
      <c r="D924" s="112" t="n"/>
      <c r="E924" s="111" t="n"/>
      <c r="F924" s="110" t="n"/>
      <c r="G924" s="113" t="n"/>
      <c r="H924" s="113" t="n"/>
      <c r="I924" s="111" t="n"/>
      <c r="J924" s="114" t="n"/>
      <c r="K924" s="114" t="n"/>
      <c r="L924" s="112" t="n"/>
      <c r="M924" s="112" t="n"/>
      <c r="N924" s="112" t="n"/>
      <c r="O924" s="115" t="str">
        <f>IF(OR(D924="",F924=""),"",D924+F924)</f>
        <v/>
      </c>
      <c r="P924" s="116" t="str">
        <f>IF(O924="","",IF(ISNUMBER(M924),O924-M924,IF(OR(H924="DECISÃO D.P",ISNUMBER(N924)),"",O924-TODAY())))</f>
        <v/>
      </c>
      <c r="Q924" s="117" t="str">
        <f>IF(B924="","",IF(ISNUMBER(N924),"DECIDIDO – ","")&amp;IF(ISNUMBER(M924),IF(P924="",IF(F924="","INFORMAR PRAZO","SEM DATA"),IF(P924&gt;=0,"DEFESA NO PRAZO","DEFESA FORA DO PRAZO")),IF(OR(H924="DECISÃO D.P",ISNUMBER(N924)),"SEM DEFESA",IF(H924="","SEM STATUS",IF(F924="","INFORMAR PRAZO",IF(P924="","SEM DATA",IF(P924&lt;0,"VENCIDO",IF(P924&lt;=DiasAlerta,"VENCE EM BREVE","NO PRAZO"))))))))</f>
        <v/>
      </c>
      <c r="R924" s="118" t="str">
        <f>IF(D924="","",TODAY()-D924)</f>
        <v/>
      </c>
      <c r="S924" s="111" t="n"/>
    </row>
    <row r="925" ht="18" customHeight="1">
      <c r="A925" s="110" t="n"/>
      <c r="B925" s="111" t="n"/>
      <c r="C925" s="111" t="n"/>
      <c r="D925" s="112" t="n"/>
      <c r="E925" s="111" t="n"/>
      <c r="F925" s="110" t="n"/>
      <c r="G925" s="113" t="n"/>
      <c r="H925" s="113" t="n"/>
      <c r="I925" s="111" t="n"/>
      <c r="J925" s="114" t="n"/>
      <c r="K925" s="114" t="n"/>
      <c r="L925" s="112" t="n"/>
      <c r="M925" s="112" t="n"/>
      <c r="N925" s="112" t="n"/>
      <c r="O925" s="115" t="str">
        <f>IF(OR(D925="",F925=""),"",D925+F925)</f>
        <v/>
      </c>
      <c r="P925" s="116" t="str">
        <f>IF(O925="","",IF(ISNUMBER(M925),O925-M925,IF(OR(H925="DECISÃO D.P",ISNUMBER(N925)),"",O925-TODAY())))</f>
        <v/>
      </c>
      <c r="Q925" s="117" t="str">
        <f>IF(B925="","",IF(ISNUMBER(N925),"DECIDIDO – ","")&amp;IF(ISNUMBER(M925),IF(P925="",IF(F925="","INFORMAR PRAZO","SEM DATA"),IF(P925&gt;=0,"DEFESA NO PRAZO","DEFESA FORA DO PRAZO")),IF(OR(H925="DECISÃO D.P",ISNUMBER(N925)),"SEM DEFESA",IF(H925="","SEM STATUS",IF(F925="","INFORMAR PRAZO",IF(P925="","SEM DATA",IF(P925&lt;0,"VENCIDO",IF(P925&lt;=DiasAlerta,"VENCE EM BREVE","NO PRAZO"))))))))</f>
        <v/>
      </c>
      <c r="R925" s="118" t="str">
        <f>IF(D925="","",TODAY()-D925)</f>
        <v/>
      </c>
      <c r="S925" s="111" t="n"/>
    </row>
    <row r="926" ht="18" customHeight="1">
      <c r="A926" s="110" t="n"/>
      <c r="B926" s="111" t="n"/>
      <c r="C926" s="111" t="n"/>
      <c r="D926" s="112" t="n"/>
      <c r="E926" s="111" t="n"/>
      <c r="F926" s="110" t="n"/>
      <c r="G926" s="113" t="n"/>
      <c r="H926" s="113" t="n"/>
      <c r="I926" s="111" t="n"/>
      <c r="J926" s="114" t="n"/>
      <c r="K926" s="114" t="n"/>
      <c r="L926" s="112" t="n"/>
      <c r="M926" s="112" t="n"/>
      <c r="N926" s="112" t="n"/>
      <c r="O926" s="115" t="str">
        <f>IF(OR(D926="",F926=""),"",D926+F926)</f>
        <v/>
      </c>
      <c r="P926" s="116" t="str">
        <f>IF(O926="","",IF(ISNUMBER(M926),O926-M926,IF(OR(H926="DECISÃO D.P",ISNUMBER(N926)),"",O926-TODAY())))</f>
        <v/>
      </c>
      <c r="Q926" s="117" t="str">
        <f>IF(B926="","",IF(ISNUMBER(N926),"DECIDIDO – ","")&amp;IF(ISNUMBER(M926),IF(P926="",IF(F926="","INFORMAR PRAZO","SEM DATA"),IF(P926&gt;=0,"DEFESA NO PRAZO","DEFESA FORA DO PRAZO")),IF(OR(H926="DECISÃO D.P",ISNUMBER(N926)),"SEM DEFESA",IF(H926="","SEM STATUS",IF(F926="","INFORMAR PRAZO",IF(P926="","SEM DATA",IF(P926&lt;0,"VENCIDO",IF(P926&lt;=DiasAlerta,"VENCE EM BREVE","NO PRAZO"))))))))</f>
        <v/>
      </c>
      <c r="R926" s="118" t="str">
        <f>IF(D926="","",TODAY()-D926)</f>
        <v/>
      </c>
      <c r="S926" s="111" t="n"/>
    </row>
    <row r="927" ht="18" customHeight="1">
      <c r="A927" s="110" t="n"/>
      <c r="B927" s="111" t="n"/>
      <c r="C927" s="111" t="n"/>
      <c r="D927" s="112" t="n"/>
      <c r="E927" s="111" t="n"/>
      <c r="F927" s="110" t="n"/>
      <c r="G927" s="113" t="n"/>
      <c r="H927" s="113" t="n"/>
      <c r="I927" s="111" t="n"/>
      <c r="J927" s="114" t="n"/>
      <c r="K927" s="114" t="n"/>
      <c r="L927" s="112" t="n"/>
      <c r="M927" s="112" t="n"/>
      <c r="N927" s="112" t="n"/>
      <c r="O927" s="115" t="str">
        <f>IF(OR(D927="",F927=""),"",D927+F927)</f>
        <v/>
      </c>
      <c r="P927" s="116" t="str">
        <f>IF(O927="","",IF(ISNUMBER(M927),O927-M927,IF(OR(H927="DECISÃO D.P",ISNUMBER(N927)),"",O927-TODAY())))</f>
        <v/>
      </c>
      <c r="Q927" s="117" t="str">
        <f>IF(B927="","",IF(ISNUMBER(N927),"DECIDIDO – ","")&amp;IF(ISNUMBER(M927),IF(P927="",IF(F927="","INFORMAR PRAZO","SEM DATA"),IF(P927&gt;=0,"DEFESA NO PRAZO","DEFESA FORA DO PRAZO")),IF(OR(H927="DECISÃO D.P",ISNUMBER(N927)),"SEM DEFESA",IF(H927="","SEM STATUS",IF(F927="","INFORMAR PRAZO",IF(P927="","SEM DATA",IF(P927&lt;0,"VENCIDO",IF(P927&lt;=DiasAlerta,"VENCE EM BREVE","NO PRAZO"))))))))</f>
        <v/>
      </c>
      <c r="R927" s="118" t="str">
        <f>IF(D927="","",TODAY()-D927)</f>
        <v/>
      </c>
      <c r="S927" s="111" t="n"/>
    </row>
    <row r="928" ht="18" customHeight="1">
      <c r="A928" s="110" t="n"/>
      <c r="B928" s="111" t="n"/>
      <c r="C928" s="111" t="n"/>
      <c r="D928" s="112" t="n"/>
      <c r="E928" s="111" t="n"/>
      <c r="F928" s="110" t="n"/>
      <c r="G928" s="113" t="n"/>
      <c r="H928" s="113" t="n"/>
      <c r="I928" s="111" t="n"/>
      <c r="J928" s="114" t="n"/>
      <c r="K928" s="114" t="n"/>
      <c r="L928" s="112" t="n"/>
      <c r="M928" s="112" t="n"/>
      <c r="N928" s="112" t="n"/>
      <c r="O928" s="115" t="str">
        <f>IF(OR(D928="",F928=""),"",D928+F928)</f>
        <v/>
      </c>
      <c r="P928" s="116" t="str">
        <f>IF(O928="","",IF(ISNUMBER(M928),O928-M928,IF(OR(H928="DECISÃO D.P",ISNUMBER(N928)),"",O928-TODAY())))</f>
        <v/>
      </c>
      <c r="Q928" s="117" t="str">
        <f>IF(B928="","",IF(ISNUMBER(N928),"DECIDIDO – ","")&amp;IF(ISNUMBER(M928),IF(P928="",IF(F928="","INFORMAR PRAZO","SEM DATA"),IF(P928&gt;=0,"DEFESA NO PRAZO","DEFESA FORA DO PRAZO")),IF(OR(H928="DECISÃO D.P",ISNUMBER(N928)),"SEM DEFESA",IF(H928="","SEM STATUS",IF(F928="","INFORMAR PRAZO",IF(P928="","SEM DATA",IF(P928&lt;0,"VENCIDO",IF(P928&lt;=DiasAlerta,"VENCE EM BREVE","NO PRAZO"))))))))</f>
        <v/>
      </c>
      <c r="R928" s="118" t="str">
        <f>IF(D928="","",TODAY()-D928)</f>
        <v/>
      </c>
      <c r="S928" s="111" t="n"/>
    </row>
    <row r="929" ht="18" customHeight="1">
      <c r="A929" s="110" t="n"/>
      <c r="B929" s="111" t="n"/>
      <c r="C929" s="111" t="n"/>
      <c r="D929" s="112" t="n"/>
      <c r="E929" s="111" t="n"/>
      <c r="F929" s="110" t="n"/>
      <c r="G929" s="113" t="n"/>
      <c r="H929" s="113" t="n"/>
      <c r="I929" s="111" t="n"/>
      <c r="J929" s="114" t="n"/>
      <c r="K929" s="114" t="n"/>
      <c r="L929" s="112" t="n"/>
      <c r="M929" s="112" t="n"/>
      <c r="N929" s="112" t="n"/>
      <c r="O929" s="115" t="str">
        <f>IF(OR(D929="",F929=""),"",D929+F929)</f>
        <v/>
      </c>
      <c r="P929" s="116" t="str">
        <f>IF(O929="","",IF(ISNUMBER(M929),O929-M929,IF(OR(H929="DECISÃO D.P",ISNUMBER(N929)),"",O929-TODAY())))</f>
        <v/>
      </c>
      <c r="Q929" s="117" t="str">
        <f>IF(B929="","",IF(ISNUMBER(N929),"DECIDIDO – ","")&amp;IF(ISNUMBER(M929),IF(P929="",IF(F929="","INFORMAR PRAZO","SEM DATA"),IF(P929&gt;=0,"DEFESA NO PRAZO","DEFESA FORA DO PRAZO")),IF(OR(H929="DECISÃO D.P",ISNUMBER(N929)),"SEM DEFESA",IF(H929="","SEM STATUS",IF(F929="","INFORMAR PRAZO",IF(P929="","SEM DATA",IF(P929&lt;0,"VENCIDO",IF(P929&lt;=DiasAlerta,"VENCE EM BREVE","NO PRAZO"))))))))</f>
        <v/>
      </c>
      <c r="R929" s="118" t="str">
        <f>IF(D929="","",TODAY()-D929)</f>
        <v/>
      </c>
      <c r="S929" s="111" t="n"/>
    </row>
    <row r="930" ht="18" customHeight="1">
      <c r="A930" s="110" t="n"/>
      <c r="B930" s="111" t="n"/>
      <c r="C930" s="111" t="n"/>
      <c r="D930" s="112" t="n"/>
      <c r="E930" s="111" t="n"/>
      <c r="F930" s="110" t="n"/>
      <c r="G930" s="113" t="n"/>
      <c r="H930" s="113" t="n"/>
      <c r="I930" s="111" t="n"/>
      <c r="J930" s="114" t="n"/>
      <c r="K930" s="114" t="n"/>
      <c r="L930" s="112" t="n"/>
      <c r="M930" s="112" t="n"/>
      <c r="N930" s="112" t="n"/>
      <c r="O930" s="115" t="str">
        <f>IF(OR(D930="",F930=""),"",D930+F930)</f>
        <v/>
      </c>
      <c r="P930" s="116" t="str">
        <f>IF(O930="","",IF(ISNUMBER(M930),O930-M930,IF(OR(H930="DECISÃO D.P",ISNUMBER(N930)),"",O930-TODAY())))</f>
        <v/>
      </c>
      <c r="Q930" s="117" t="str">
        <f>IF(B930="","",IF(ISNUMBER(N930),"DECIDIDO – ","")&amp;IF(ISNUMBER(M930),IF(P930="",IF(F930="","INFORMAR PRAZO","SEM DATA"),IF(P930&gt;=0,"DEFESA NO PRAZO","DEFESA FORA DO PRAZO")),IF(OR(H930="DECISÃO D.P",ISNUMBER(N930)),"SEM DEFESA",IF(H930="","SEM STATUS",IF(F930="","INFORMAR PRAZO",IF(P930="","SEM DATA",IF(P930&lt;0,"VENCIDO",IF(P930&lt;=DiasAlerta,"VENCE EM BREVE","NO PRAZO"))))))))</f>
        <v/>
      </c>
      <c r="R930" s="118" t="str">
        <f>IF(D930="","",TODAY()-D930)</f>
        <v/>
      </c>
      <c r="S930" s="111" t="n"/>
    </row>
    <row r="931" ht="18" customHeight="1">
      <c r="A931" s="110" t="n"/>
      <c r="B931" s="111" t="n"/>
      <c r="C931" s="111" t="n"/>
      <c r="D931" s="112" t="n"/>
      <c r="E931" s="111" t="n"/>
      <c r="F931" s="110" t="n"/>
      <c r="G931" s="113" t="n"/>
      <c r="H931" s="113" t="n"/>
      <c r="I931" s="111" t="n"/>
      <c r="J931" s="114" t="n"/>
      <c r="K931" s="114" t="n"/>
      <c r="L931" s="112" t="n"/>
      <c r="M931" s="112" t="n"/>
      <c r="N931" s="112" t="n"/>
      <c r="O931" s="115" t="str">
        <f>IF(OR(D931="",F931=""),"",D931+F931)</f>
        <v/>
      </c>
      <c r="P931" s="116" t="str">
        <f>IF(O931="","",IF(ISNUMBER(M931),O931-M931,IF(OR(H931="DECISÃO D.P",ISNUMBER(N931)),"",O931-TODAY())))</f>
        <v/>
      </c>
      <c r="Q931" s="117" t="str">
        <f>IF(B931="","",IF(ISNUMBER(N931),"DECIDIDO – ","")&amp;IF(ISNUMBER(M931),IF(P931="",IF(F931="","INFORMAR PRAZO","SEM DATA"),IF(P931&gt;=0,"DEFESA NO PRAZO","DEFESA FORA DO PRAZO")),IF(OR(H931="DECISÃO D.P",ISNUMBER(N931)),"SEM DEFESA",IF(H931="","SEM STATUS",IF(F931="","INFORMAR PRAZO",IF(P931="","SEM DATA",IF(P931&lt;0,"VENCIDO",IF(P931&lt;=DiasAlerta,"VENCE EM BREVE","NO PRAZO"))))))))</f>
        <v/>
      </c>
      <c r="R931" s="118" t="str">
        <f>IF(D931="","",TODAY()-D931)</f>
        <v/>
      </c>
      <c r="S931" s="111" t="n"/>
    </row>
    <row r="932" ht="18" customHeight="1">
      <c r="A932" s="110" t="n"/>
      <c r="B932" s="111" t="n"/>
      <c r="C932" s="111" t="n"/>
      <c r="D932" s="112" t="n"/>
      <c r="E932" s="111" t="n"/>
      <c r="F932" s="110" t="n"/>
      <c r="G932" s="113" t="n"/>
      <c r="H932" s="113" t="n"/>
      <c r="I932" s="111" t="n"/>
      <c r="J932" s="114" t="n"/>
      <c r="K932" s="114" t="n"/>
      <c r="L932" s="112" t="n"/>
      <c r="M932" s="112" t="n"/>
      <c r="N932" s="112" t="n"/>
      <c r="O932" s="115" t="str">
        <f>IF(OR(D932="",F932=""),"",D932+F932)</f>
        <v/>
      </c>
      <c r="P932" s="116" t="str">
        <f>IF(O932="","",IF(ISNUMBER(M932),O932-M932,IF(OR(H932="DECISÃO D.P",ISNUMBER(N932)),"",O932-TODAY())))</f>
        <v/>
      </c>
      <c r="Q932" s="117" t="str">
        <f>IF(B932="","",IF(ISNUMBER(N932),"DECIDIDO – ","")&amp;IF(ISNUMBER(M932),IF(P932="",IF(F932="","INFORMAR PRAZO","SEM DATA"),IF(P932&gt;=0,"DEFESA NO PRAZO","DEFESA FORA DO PRAZO")),IF(OR(H932="DECISÃO D.P",ISNUMBER(N932)),"SEM DEFESA",IF(H932="","SEM STATUS",IF(F932="","INFORMAR PRAZO",IF(P932="","SEM DATA",IF(P932&lt;0,"VENCIDO",IF(P932&lt;=DiasAlerta,"VENCE EM BREVE","NO PRAZO"))))))))</f>
        <v/>
      </c>
      <c r="R932" s="118" t="str">
        <f>IF(D932="","",TODAY()-D932)</f>
        <v/>
      </c>
      <c r="S932" s="111" t="n"/>
    </row>
    <row r="933" ht="18" customHeight="1">
      <c r="A933" s="110" t="n"/>
      <c r="B933" s="111" t="n"/>
      <c r="C933" s="111" t="n"/>
      <c r="D933" s="112" t="n"/>
      <c r="E933" s="111" t="n"/>
      <c r="F933" s="110" t="n"/>
      <c r="G933" s="113" t="n"/>
      <c r="H933" s="113" t="n"/>
      <c r="I933" s="111" t="n"/>
      <c r="J933" s="114" t="n"/>
      <c r="K933" s="114" t="n"/>
      <c r="L933" s="112" t="n"/>
      <c r="M933" s="112" t="n"/>
      <c r="N933" s="112" t="n"/>
      <c r="O933" s="115" t="str">
        <f>IF(OR(D933="",F933=""),"",D933+F933)</f>
        <v/>
      </c>
      <c r="P933" s="116" t="str">
        <f>IF(O933="","",IF(ISNUMBER(M933),O933-M933,IF(OR(H933="DECISÃO D.P",ISNUMBER(N933)),"",O933-TODAY())))</f>
        <v/>
      </c>
      <c r="Q933" s="117" t="str">
        <f>IF(B933="","",IF(ISNUMBER(N933),"DECIDIDO – ","")&amp;IF(ISNUMBER(M933),IF(P933="",IF(F933="","INFORMAR PRAZO","SEM DATA"),IF(P933&gt;=0,"DEFESA NO PRAZO","DEFESA FORA DO PRAZO")),IF(OR(H933="DECISÃO D.P",ISNUMBER(N933)),"SEM DEFESA",IF(H933="","SEM STATUS",IF(F933="","INFORMAR PRAZO",IF(P933="","SEM DATA",IF(P933&lt;0,"VENCIDO",IF(P933&lt;=DiasAlerta,"VENCE EM BREVE","NO PRAZO"))))))))</f>
        <v/>
      </c>
      <c r="R933" s="118" t="str">
        <f>IF(D933="","",TODAY()-D933)</f>
        <v/>
      </c>
      <c r="S933" s="111" t="n"/>
    </row>
    <row r="934" ht="18" customHeight="1">
      <c r="A934" s="110" t="n"/>
      <c r="B934" s="111" t="n"/>
      <c r="C934" s="111" t="n"/>
      <c r="D934" s="112" t="n"/>
      <c r="E934" s="111" t="n"/>
      <c r="F934" s="110" t="n"/>
      <c r="G934" s="113" t="n"/>
      <c r="H934" s="113" t="n"/>
      <c r="I934" s="111" t="n"/>
      <c r="J934" s="114" t="n"/>
      <c r="K934" s="114" t="n"/>
      <c r="L934" s="112" t="n"/>
      <c r="M934" s="112" t="n"/>
      <c r="N934" s="112" t="n"/>
      <c r="O934" s="115" t="str">
        <f>IF(OR(D934="",F934=""),"",D934+F934)</f>
        <v/>
      </c>
      <c r="P934" s="116" t="str">
        <f>IF(O934="","",IF(ISNUMBER(M934),O934-M934,IF(OR(H934="DECISÃO D.P",ISNUMBER(N934)),"",O934-TODAY())))</f>
        <v/>
      </c>
      <c r="Q934" s="117" t="str">
        <f>IF(B934="","",IF(ISNUMBER(N934),"DECIDIDO – ","")&amp;IF(ISNUMBER(M934),IF(P934="",IF(F934="","INFORMAR PRAZO","SEM DATA"),IF(P934&gt;=0,"DEFESA NO PRAZO","DEFESA FORA DO PRAZO")),IF(OR(H934="DECISÃO D.P",ISNUMBER(N934)),"SEM DEFESA",IF(H934="","SEM STATUS",IF(F934="","INFORMAR PRAZO",IF(P934="","SEM DATA",IF(P934&lt;0,"VENCIDO",IF(P934&lt;=DiasAlerta,"VENCE EM BREVE","NO PRAZO"))))))))</f>
        <v/>
      </c>
      <c r="R934" s="118" t="str">
        <f>IF(D934="","",TODAY()-D934)</f>
        <v/>
      </c>
      <c r="S934" s="111" t="n"/>
    </row>
    <row r="935" ht="18" customHeight="1">
      <c r="A935" s="110" t="n"/>
      <c r="B935" s="111" t="n"/>
      <c r="C935" s="111" t="n"/>
      <c r="D935" s="112" t="n"/>
      <c r="E935" s="111" t="n"/>
      <c r="F935" s="110" t="n"/>
      <c r="G935" s="113" t="n"/>
      <c r="H935" s="113" t="n"/>
      <c r="I935" s="111" t="n"/>
      <c r="J935" s="114" t="n"/>
      <c r="K935" s="114" t="n"/>
      <c r="L935" s="112" t="n"/>
      <c r="M935" s="112" t="n"/>
      <c r="N935" s="112" t="n"/>
      <c r="O935" s="115" t="str">
        <f>IF(OR(D935="",F935=""),"",D935+F935)</f>
        <v/>
      </c>
      <c r="P935" s="116" t="str">
        <f>IF(O935="","",IF(ISNUMBER(M935),O935-M935,IF(OR(H935="DECISÃO D.P",ISNUMBER(N935)),"",O935-TODAY())))</f>
        <v/>
      </c>
      <c r="Q935" s="117" t="str">
        <f>IF(B935="","",IF(ISNUMBER(N935),"DECIDIDO – ","")&amp;IF(ISNUMBER(M935),IF(P935="",IF(F935="","INFORMAR PRAZO","SEM DATA"),IF(P935&gt;=0,"DEFESA NO PRAZO","DEFESA FORA DO PRAZO")),IF(OR(H935="DECISÃO D.P",ISNUMBER(N935)),"SEM DEFESA",IF(H935="","SEM STATUS",IF(F935="","INFORMAR PRAZO",IF(P935="","SEM DATA",IF(P935&lt;0,"VENCIDO",IF(P935&lt;=DiasAlerta,"VENCE EM BREVE","NO PRAZO"))))))))</f>
        <v/>
      </c>
      <c r="R935" s="118" t="str">
        <f>IF(D935="","",TODAY()-D935)</f>
        <v/>
      </c>
      <c r="S935" s="111" t="n"/>
    </row>
    <row r="936" ht="18" customHeight="1">
      <c r="A936" s="110" t="n"/>
      <c r="B936" s="111" t="n"/>
      <c r="C936" s="111" t="n"/>
      <c r="D936" s="112" t="n"/>
      <c r="E936" s="111" t="n"/>
      <c r="F936" s="110" t="n"/>
      <c r="G936" s="113" t="n"/>
      <c r="H936" s="113" t="n"/>
      <c r="I936" s="111" t="n"/>
      <c r="J936" s="114" t="n"/>
      <c r="K936" s="114" t="n"/>
      <c r="L936" s="112" t="n"/>
      <c r="M936" s="112" t="n"/>
      <c r="N936" s="112" t="n"/>
      <c r="O936" s="115" t="str">
        <f>IF(OR(D936="",F936=""),"",D936+F936)</f>
        <v/>
      </c>
      <c r="P936" s="116" t="str">
        <f>IF(O936="","",IF(ISNUMBER(M936),O936-M936,IF(OR(H936="DECISÃO D.P",ISNUMBER(N936)),"",O936-TODAY())))</f>
        <v/>
      </c>
      <c r="Q936" s="117" t="str">
        <f>IF(B936="","",IF(ISNUMBER(N936),"DECIDIDO – ","")&amp;IF(ISNUMBER(M936),IF(P936="",IF(F936="","INFORMAR PRAZO","SEM DATA"),IF(P936&gt;=0,"DEFESA NO PRAZO","DEFESA FORA DO PRAZO")),IF(OR(H936="DECISÃO D.P",ISNUMBER(N936)),"SEM DEFESA",IF(H936="","SEM STATUS",IF(F936="","INFORMAR PRAZO",IF(P936="","SEM DATA",IF(P936&lt;0,"VENCIDO",IF(P936&lt;=DiasAlerta,"VENCE EM BREVE","NO PRAZO"))))))))</f>
        <v/>
      </c>
      <c r="R936" s="118" t="str">
        <f>IF(D936="","",TODAY()-D936)</f>
        <v/>
      </c>
      <c r="S936" s="111" t="n"/>
    </row>
    <row r="937" ht="18" customHeight="1">
      <c r="A937" s="110" t="n"/>
      <c r="B937" s="111" t="n"/>
      <c r="C937" s="111" t="n"/>
      <c r="D937" s="112" t="n"/>
      <c r="E937" s="111" t="n"/>
      <c r="F937" s="110" t="n"/>
      <c r="G937" s="113" t="n"/>
      <c r="H937" s="113" t="n"/>
      <c r="I937" s="111" t="n"/>
      <c r="J937" s="114" t="n"/>
      <c r="K937" s="114" t="n"/>
      <c r="L937" s="112" t="n"/>
      <c r="M937" s="112" t="n"/>
      <c r="N937" s="112" t="n"/>
      <c r="O937" s="115" t="str">
        <f>IF(OR(D937="",F937=""),"",D937+F937)</f>
        <v/>
      </c>
      <c r="P937" s="116" t="str">
        <f>IF(O937="","",IF(ISNUMBER(M937),O937-M937,IF(OR(H937="DECISÃO D.P",ISNUMBER(N937)),"",O937-TODAY())))</f>
        <v/>
      </c>
      <c r="Q937" s="117" t="str">
        <f>IF(B937="","",IF(ISNUMBER(N937),"DECIDIDO – ","")&amp;IF(ISNUMBER(M937),IF(P937="",IF(F937="","INFORMAR PRAZO","SEM DATA"),IF(P937&gt;=0,"DEFESA NO PRAZO","DEFESA FORA DO PRAZO")),IF(OR(H937="DECISÃO D.P",ISNUMBER(N937)),"SEM DEFESA",IF(H937="","SEM STATUS",IF(F937="","INFORMAR PRAZO",IF(P937="","SEM DATA",IF(P937&lt;0,"VENCIDO",IF(P937&lt;=DiasAlerta,"VENCE EM BREVE","NO PRAZO"))))))))</f>
        <v/>
      </c>
      <c r="R937" s="118" t="str">
        <f>IF(D937="","",TODAY()-D937)</f>
        <v/>
      </c>
      <c r="S937" s="111" t="n"/>
    </row>
    <row r="938" ht="18" customHeight="1">
      <c r="A938" s="110" t="n"/>
      <c r="B938" s="111" t="n"/>
      <c r="C938" s="111" t="n"/>
      <c r="D938" s="112" t="n"/>
      <c r="E938" s="111" t="n"/>
      <c r="F938" s="110" t="n"/>
      <c r="G938" s="113" t="n"/>
      <c r="H938" s="113" t="n"/>
      <c r="I938" s="111" t="n"/>
      <c r="J938" s="114" t="n"/>
      <c r="K938" s="114" t="n"/>
      <c r="L938" s="112" t="n"/>
      <c r="M938" s="112" t="n"/>
      <c r="N938" s="112" t="n"/>
      <c r="O938" s="115" t="str">
        <f>IF(OR(D938="",F938=""),"",D938+F938)</f>
        <v/>
      </c>
      <c r="P938" s="116" t="str">
        <f>IF(O938="","",IF(ISNUMBER(M938),O938-M938,IF(OR(H938="DECISÃO D.P",ISNUMBER(N938)),"",O938-TODAY())))</f>
        <v/>
      </c>
      <c r="Q938" s="117" t="str">
        <f>IF(B938="","",IF(ISNUMBER(N938),"DECIDIDO – ","")&amp;IF(ISNUMBER(M938),IF(P938="",IF(F938="","INFORMAR PRAZO","SEM DATA"),IF(P938&gt;=0,"DEFESA NO PRAZO","DEFESA FORA DO PRAZO")),IF(OR(H938="DECISÃO D.P",ISNUMBER(N938)),"SEM DEFESA",IF(H938="","SEM STATUS",IF(F938="","INFORMAR PRAZO",IF(P938="","SEM DATA",IF(P938&lt;0,"VENCIDO",IF(P938&lt;=DiasAlerta,"VENCE EM BREVE","NO PRAZO"))))))))</f>
        <v/>
      </c>
      <c r="R938" s="118" t="str">
        <f>IF(D938="","",TODAY()-D938)</f>
        <v/>
      </c>
      <c r="S938" s="111" t="n"/>
    </row>
    <row r="939" ht="18" customHeight="1">
      <c r="A939" s="110" t="n"/>
      <c r="B939" s="111" t="n"/>
      <c r="C939" s="111" t="n"/>
      <c r="D939" s="112" t="n"/>
      <c r="E939" s="111" t="n"/>
      <c r="F939" s="110" t="n"/>
      <c r="G939" s="113" t="n"/>
      <c r="H939" s="113" t="n"/>
      <c r="I939" s="111" t="n"/>
      <c r="J939" s="114" t="n"/>
      <c r="K939" s="114" t="n"/>
      <c r="L939" s="112" t="n"/>
      <c r="M939" s="112" t="n"/>
      <c r="N939" s="112" t="n"/>
      <c r="O939" s="115" t="str">
        <f>IF(OR(D939="",F939=""),"",D939+F939)</f>
        <v/>
      </c>
      <c r="P939" s="116" t="str">
        <f>IF(O939="","",IF(ISNUMBER(M939),O939-M939,IF(OR(H939="DECISÃO D.P",ISNUMBER(N939)),"",O939-TODAY())))</f>
        <v/>
      </c>
      <c r="Q939" s="117" t="str">
        <f>IF(B939="","",IF(ISNUMBER(N939),"DECIDIDO – ","")&amp;IF(ISNUMBER(M939),IF(P939="",IF(F939="","INFORMAR PRAZO","SEM DATA"),IF(P939&gt;=0,"DEFESA NO PRAZO","DEFESA FORA DO PRAZO")),IF(OR(H939="DECISÃO D.P",ISNUMBER(N939)),"SEM DEFESA",IF(H939="","SEM STATUS",IF(F939="","INFORMAR PRAZO",IF(P939="","SEM DATA",IF(P939&lt;0,"VENCIDO",IF(P939&lt;=DiasAlerta,"VENCE EM BREVE","NO PRAZO"))))))))</f>
        <v/>
      </c>
      <c r="R939" s="118" t="str">
        <f>IF(D939="","",TODAY()-D939)</f>
        <v/>
      </c>
      <c r="S939" s="111" t="n"/>
    </row>
    <row r="940" ht="18" customHeight="1">
      <c r="A940" s="110" t="n"/>
      <c r="B940" s="111" t="n"/>
      <c r="C940" s="111" t="n"/>
      <c r="D940" s="112" t="n"/>
      <c r="E940" s="111" t="n"/>
      <c r="F940" s="110" t="n"/>
      <c r="G940" s="113" t="n"/>
      <c r="H940" s="113" t="n"/>
      <c r="I940" s="111" t="n"/>
      <c r="J940" s="114" t="n"/>
      <c r="K940" s="114" t="n"/>
      <c r="L940" s="112" t="n"/>
      <c r="M940" s="112" t="n"/>
      <c r="N940" s="112" t="n"/>
      <c r="O940" s="115" t="str">
        <f>IF(OR(D940="",F940=""),"",D940+F940)</f>
        <v/>
      </c>
      <c r="P940" s="116" t="str">
        <f>IF(O940="","",IF(ISNUMBER(M940),O940-M940,IF(OR(H940="DECISÃO D.P",ISNUMBER(N940)),"",O940-TODAY())))</f>
        <v/>
      </c>
      <c r="Q940" s="117" t="str">
        <f>IF(B940="","",IF(ISNUMBER(N940),"DECIDIDO – ","")&amp;IF(ISNUMBER(M940),IF(P940="",IF(F940="","INFORMAR PRAZO","SEM DATA"),IF(P940&gt;=0,"DEFESA NO PRAZO","DEFESA FORA DO PRAZO")),IF(OR(H940="DECISÃO D.P",ISNUMBER(N940)),"SEM DEFESA",IF(H940="","SEM STATUS",IF(F940="","INFORMAR PRAZO",IF(P940="","SEM DATA",IF(P940&lt;0,"VENCIDO",IF(P940&lt;=DiasAlerta,"VENCE EM BREVE","NO PRAZO"))))))))</f>
        <v/>
      </c>
      <c r="R940" s="118" t="str">
        <f>IF(D940="","",TODAY()-D940)</f>
        <v/>
      </c>
      <c r="S940" s="111" t="n"/>
    </row>
    <row r="941" ht="18" customHeight="1">
      <c r="A941" s="110" t="n"/>
      <c r="B941" s="111" t="n"/>
      <c r="C941" s="111" t="n"/>
      <c r="D941" s="112" t="n"/>
      <c r="E941" s="111" t="n"/>
      <c r="F941" s="110" t="n"/>
      <c r="G941" s="113" t="n"/>
      <c r="H941" s="113" t="n"/>
      <c r="I941" s="111" t="n"/>
      <c r="J941" s="114" t="n"/>
      <c r="K941" s="114" t="n"/>
      <c r="L941" s="112" t="n"/>
      <c r="M941" s="112" t="n"/>
      <c r="N941" s="112" t="n"/>
      <c r="O941" s="115" t="str">
        <f>IF(OR(D941="",F941=""),"",D941+F941)</f>
        <v/>
      </c>
      <c r="P941" s="116" t="str">
        <f>IF(O941="","",IF(ISNUMBER(M941),O941-M941,IF(OR(H941="DECISÃO D.P",ISNUMBER(N941)),"",O941-TODAY())))</f>
        <v/>
      </c>
      <c r="Q941" s="117" t="str">
        <f>IF(B941="","",IF(ISNUMBER(N941),"DECIDIDO – ","")&amp;IF(ISNUMBER(M941),IF(P941="",IF(F941="","INFORMAR PRAZO","SEM DATA"),IF(P941&gt;=0,"DEFESA NO PRAZO","DEFESA FORA DO PRAZO")),IF(OR(H941="DECISÃO D.P",ISNUMBER(N941)),"SEM DEFESA",IF(H941="","SEM STATUS",IF(F941="","INFORMAR PRAZO",IF(P941="","SEM DATA",IF(P941&lt;0,"VENCIDO",IF(P941&lt;=DiasAlerta,"VENCE EM BREVE","NO PRAZO"))))))))</f>
        <v/>
      </c>
      <c r="R941" s="118" t="str">
        <f>IF(D941="","",TODAY()-D941)</f>
        <v/>
      </c>
      <c r="S941" s="111" t="n"/>
    </row>
    <row r="942" ht="18" customHeight="1">
      <c r="A942" s="110" t="n"/>
      <c r="B942" s="111" t="n"/>
      <c r="C942" s="111" t="n"/>
      <c r="D942" s="112" t="n"/>
      <c r="E942" s="111" t="n"/>
      <c r="F942" s="110" t="n"/>
      <c r="G942" s="113" t="n"/>
      <c r="H942" s="113" t="n"/>
      <c r="I942" s="111" t="n"/>
      <c r="J942" s="114" t="n"/>
      <c r="K942" s="114" t="n"/>
      <c r="L942" s="112" t="n"/>
      <c r="M942" s="112" t="n"/>
      <c r="N942" s="112" t="n"/>
      <c r="O942" s="115" t="str">
        <f>IF(OR(D942="",F942=""),"",D942+F942)</f>
        <v/>
      </c>
      <c r="P942" s="116" t="str">
        <f>IF(O942="","",IF(ISNUMBER(M942),O942-M942,IF(OR(H942="DECISÃO D.P",ISNUMBER(N942)),"",O942-TODAY())))</f>
        <v/>
      </c>
      <c r="Q942" s="117" t="str">
        <f>IF(B942="","",IF(ISNUMBER(N942),"DECIDIDO – ","")&amp;IF(ISNUMBER(M942),IF(P942="",IF(F942="","INFORMAR PRAZO","SEM DATA"),IF(P942&gt;=0,"DEFESA NO PRAZO","DEFESA FORA DO PRAZO")),IF(OR(H942="DECISÃO D.P",ISNUMBER(N942)),"SEM DEFESA",IF(H942="","SEM STATUS",IF(F942="","INFORMAR PRAZO",IF(P942="","SEM DATA",IF(P942&lt;0,"VENCIDO",IF(P942&lt;=DiasAlerta,"VENCE EM BREVE","NO PRAZO"))))))))</f>
        <v/>
      </c>
      <c r="R942" s="118" t="str">
        <f>IF(D942="","",TODAY()-D942)</f>
        <v/>
      </c>
      <c r="S942" s="111" t="n"/>
    </row>
    <row r="943" ht="18" customHeight="1">
      <c r="A943" s="110" t="n"/>
      <c r="B943" s="111" t="n"/>
      <c r="C943" s="111" t="n"/>
      <c r="D943" s="112" t="n"/>
      <c r="E943" s="111" t="n"/>
      <c r="F943" s="110" t="n"/>
      <c r="G943" s="113" t="n"/>
      <c r="H943" s="113" t="n"/>
      <c r="I943" s="111" t="n"/>
      <c r="J943" s="114" t="n"/>
      <c r="K943" s="114" t="n"/>
      <c r="L943" s="112" t="n"/>
      <c r="M943" s="112" t="n"/>
      <c r="N943" s="112" t="n"/>
      <c r="O943" s="115" t="str">
        <f>IF(OR(D943="",F943=""),"",D943+F943)</f>
        <v/>
      </c>
      <c r="P943" s="116" t="str">
        <f>IF(O943="","",IF(ISNUMBER(M943),O943-M943,IF(OR(H943="DECISÃO D.P",ISNUMBER(N943)),"",O943-TODAY())))</f>
        <v/>
      </c>
      <c r="Q943" s="117" t="str">
        <f>IF(B943="","",IF(ISNUMBER(N943),"DECIDIDO – ","")&amp;IF(ISNUMBER(M943),IF(P943="",IF(F943="","INFORMAR PRAZO","SEM DATA"),IF(P943&gt;=0,"DEFESA NO PRAZO","DEFESA FORA DO PRAZO")),IF(OR(H943="DECISÃO D.P",ISNUMBER(N943)),"SEM DEFESA",IF(H943="","SEM STATUS",IF(F943="","INFORMAR PRAZO",IF(P943="","SEM DATA",IF(P943&lt;0,"VENCIDO",IF(P943&lt;=DiasAlerta,"VENCE EM BREVE","NO PRAZO"))))))))</f>
        <v/>
      </c>
      <c r="R943" s="118" t="str">
        <f>IF(D943="","",TODAY()-D943)</f>
        <v/>
      </c>
      <c r="S943" s="111" t="n"/>
    </row>
    <row r="944" ht="18" customHeight="1">
      <c r="A944" s="110" t="n"/>
      <c r="B944" s="111" t="n"/>
      <c r="C944" s="111" t="n"/>
      <c r="D944" s="112" t="n"/>
      <c r="E944" s="111" t="n"/>
      <c r="F944" s="110" t="n"/>
      <c r="G944" s="113" t="n"/>
      <c r="H944" s="113" t="n"/>
      <c r="I944" s="111" t="n"/>
      <c r="J944" s="114" t="n"/>
      <c r="K944" s="114" t="n"/>
      <c r="L944" s="112" t="n"/>
      <c r="M944" s="112" t="n"/>
      <c r="N944" s="112" t="n"/>
      <c r="O944" s="115" t="str">
        <f>IF(OR(D944="",F944=""),"",D944+F944)</f>
        <v/>
      </c>
      <c r="P944" s="116" t="str">
        <f>IF(O944="","",IF(ISNUMBER(M944),O944-M944,IF(OR(H944="DECISÃO D.P",ISNUMBER(N944)),"",O944-TODAY())))</f>
        <v/>
      </c>
      <c r="Q944" s="117" t="str">
        <f>IF(B944="","",IF(ISNUMBER(N944),"DECIDIDO – ","")&amp;IF(ISNUMBER(M944),IF(P944="",IF(F944="","INFORMAR PRAZO","SEM DATA"),IF(P944&gt;=0,"DEFESA NO PRAZO","DEFESA FORA DO PRAZO")),IF(OR(H944="DECISÃO D.P",ISNUMBER(N944)),"SEM DEFESA",IF(H944="","SEM STATUS",IF(F944="","INFORMAR PRAZO",IF(P944="","SEM DATA",IF(P944&lt;0,"VENCIDO",IF(P944&lt;=DiasAlerta,"VENCE EM BREVE","NO PRAZO"))))))))</f>
        <v/>
      </c>
      <c r="R944" s="118" t="str">
        <f>IF(D944="","",TODAY()-D944)</f>
        <v/>
      </c>
      <c r="S944" s="111" t="n"/>
    </row>
    <row r="945" ht="18" customHeight="1">
      <c r="A945" s="110" t="n"/>
      <c r="B945" s="111" t="n"/>
      <c r="C945" s="111" t="n"/>
      <c r="D945" s="112" t="n"/>
      <c r="E945" s="111" t="n"/>
      <c r="F945" s="110" t="n"/>
      <c r="G945" s="113" t="n"/>
      <c r="H945" s="113" t="n"/>
      <c r="I945" s="111" t="n"/>
      <c r="J945" s="114" t="n"/>
      <c r="K945" s="114" t="n"/>
      <c r="L945" s="112" t="n"/>
      <c r="M945" s="112" t="n"/>
      <c r="N945" s="112" t="n"/>
      <c r="O945" s="115" t="str">
        <f>IF(OR(D945="",F945=""),"",D945+F945)</f>
        <v/>
      </c>
      <c r="P945" s="116" t="str">
        <f>IF(O945="","",IF(ISNUMBER(M945),O945-M945,IF(OR(H945="DECISÃO D.P",ISNUMBER(N945)),"",O945-TODAY())))</f>
        <v/>
      </c>
      <c r="Q945" s="117" t="str">
        <f>IF(B945="","",IF(ISNUMBER(N945),"DECIDIDO – ","")&amp;IF(ISNUMBER(M945),IF(P945="",IF(F945="","INFORMAR PRAZO","SEM DATA"),IF(P945&gt;=0,"DEFESA NO PRAZO","DEFESA FORA DO PRAZO")),IF(OR(H945="DECISÃO D.P",ISNUMBER(N945)),"SEM DEFESA",IF(H945="","SEM STATUS",IF(F945="","INFORMAR PRAZO",IF(P945="","SEM DATA",IF(P945&lt;0,"VENCIDO",IF(P945&lt;=DiasAlerta,"VENCE EM BREVE","NO PRAZO"))))))))</f>
        <v/>
      </c>
      <c r="R945" s="118" t="str">
        <f>IF(D945="","",TODAY()-D945)</f>
        <v/>
      </c>
      <c r="S945" s="111" t="n"/>
    </row>
    <row r="946" ht="18" customHeight="1">
      <c r="A946" s="110" t="n"/>
      <c r="B946" s="111" t="n"/>
      <c r="C946" s="111" t="n"/>
      <c r="D946" s="112" t="n"/>
      <c r="E946" s="111" t="n"/>
      <c r="F946" s="110" t="n"/>
      <c r="G946" s="113" t="n"/>
      <c r="H946" s="113" t="n"/>
      <c r="I946" s="111" t="n"/>
      <c r="J946" s="114" t="n"/>
      <c r="K946" s="114" t="n"/>
      <c r="L946" s="112" t="n"/>
      <c r="M946" s="112" t="n"/>
      <c r="N946" s="112" t="n"/>
      <c r="O946" s="115" t="str">
        <f>IF(OR(D946="",F946=""),"",D946+F946)</f>
        <v/>
      </c>
      <c r="P946" s="116" t="str">
        <f>IF(O946="","",IF(ISNUMBER(M946),O946-M946,IF(OR(H946="DECISÃO D.P",ISNUMBER(N946)),"",O946-TODAY())))</f>
        <v/>
      </c>
      <c r="Q946" s="117" t="str">
        <f>IF(B946="","",IF(ISNUMBER(N946),"DECIDIDO – ","")&amp;IF(ISNUMBER(M946),IF(P946="",IF(F946="","INFORMAR PRAZO","SEM DATA"),IF(P946&gt;=0,"DEFESA NO PRAZO","DEFESA FORA DO PRAZO")),IF(OR(H946="DECISÃO D.P",ISNUMBER(N946)),"SEM DEFESA",IF(H946="","SEM STATUS",IF(F946="","INFORMAR PRAZO",IF(P946="","SEM DATA",IF(P946&lt;0,"VENCIDO",IF(P946&lt;=DiasAlerta,"VENCE EM BREVE","NO PRAZO"))))))))</f>
        <v/>
      </c>
      <c r="R946" s="118" t="str">
        <f>IF(D946="","",TODAY()-D946)</f>
        <v/>
      </c>
      <c r="S946" s="111" t="n"/>
    </row>
    <row r="947" ht="18" customHeight="1">
      <c r="A947" s="110" t="n"/>
      <c r="B947" s="111" t="n"/>
      <c r="C947" s="111" t="n"/>
      <c r="D947" s="112" t="n"/>
      <c r="E947" s="111" t="n"/>
      <c r="F947" s="110" t="n"/>
      <c r="G947" s="113" t="n"/>
      <c r="H947" s="113" t="n"/>
      <c r="I947" s="111" t="n"/>
      <c r="J947" s="114" t="n"/>
      <c r="K947" s="114" t="n"/>
      <c r="L947" s="112" t="n"/>
      <c r="M947" s="112" t="n"/>
      <c r="N947" s="112" t="n"/>
      <c r="O947" s="115" t="str">
        <f>IF(OR(D947="",F947=""),"",D947+F947)</f>
        <v/>
      </c>
      <c r="P947" s="116" t="str">
        <f>IF(O947="","",IF(ISNUMBER(M947),O947-M947,IF(OR(H947="DECISÃO D.P",ISNUMBER(N947)),"",O947-TODAY())))</f>
        <v/>
      </c>
      <c r="Q947" s="117" t="str">
        <f>IF(B947="","",IF(ISNUMBER(N947),"DECIDIDO – ","")&amp;IF(ISNUMBER(M947),IF(P947="",IF(F947="","INFORMAR PRAZO","SEM DATA"),IF(P947&gt;=0,"DEFESA NO PRAZO","DEFESA FORA DO PRAZO")),IF(OR(H947="DECISÃO D.P",ISNUMBER(N947)),"SEM DEFESA",IF(H947="","SEM STATUS",IF(F947="","INFORMAR PRAZO",IF(P947="","SEM DATA",IF(P947&lt;0,"VENCIDO",IF(P947&lt;=DiasAlerta,"VENCE EM BREVE","NO PRAZO"))))))))</f>
        <v/>
      </c>
      <c r="R947" s="118" t="str">
        <f>IF(D947="","",TODAY()-D947)</f>
        <v/>
      </c>
      <c r="S947" s="111" t="n"/>
    </row>
    <row r="948" ht="18" customHeight="1">
      <c r="A948" s="110" t="n"/>
      <c r="B948" s="111" t="n"/>
      <c r="C948" s="111" t="n"/>
      <c r="D948" s="112" t="n"/>
      <c r="E948" s="111" t="n"/>
      <c r="F948" s="110" t="n"/>
      <c r="G948" s="113" t="n"/>
      <c r="H948" s="113" t="n"/>
      <c r="I948" s="111" t="n"/>
      <c r="J948" s="114" t="n"/>
      <c r="K948" s="114" t="n"/>
      <c r="L948" s="112" t="n"/>
      <c r="M948" s="112" t="n"/>
      <c r="N948" s="112" t="n"/>
      <c r="O948" s="115" t="str">
        <f>IF(OR(D948="",F948=""),"",D948+F948)</f>
        <v/>
      </c>
      <c r="P948" s="116" t="str">
        <f>IF(O948="","",IF(ISNUMBER(M948),O948-M948,IF(OR(H948="DECISÃO D.P",ISNUMBER(N948)),"",O948-TODAY())))</f>
        <v/>
      </c>
      <c r="Q948" s="117" t="str">
        <f>IF(B948="","",IF(ISNUMBER(N948),"DECIDIDO – ","")&amp;IF(ISNUMBER(M948),IF(P948="",IF(F948="","INFORMAR PRAZO","SEM DATA"),IF(P948&gt;=0,"DEFESA NO PRAZO","DEFESA FORA DO PRAZO")),IF(OR(H948="DECISÃO D.P",ISNUMBER(N948)),"SEM DEFESA",IF(H948="","SEM STATUS",IF(F948="","INFORMAR PRAZO",IF(P948="","SEM DATA",IF(P948&lt;0,"VENCIDO",IF(P948&lt;=DiasAlerta,"VENCE EM BREVE","NO PRAZO"))))))))</f>
        <v/>
      </c>
      <c r="R948" s="118" t="str">
        <f>IF(D948="","",TODAY()-D948)</f>
        <v/>
      </c>
      <c r="S948" s="111" t="n"/>
    </row>
    <row r="949" ht="18" customHeight="1">
      <c r="A949" s="110" t="n"/>
      <c r="B949" s="111" t="n"/>
      <c r="C949" s="111" t="n"/>
      <c r="D949" s="112" t="n"/>
      <c r="E949" s="111" t="n"/>
      <c r="F949" s="110" t="n"/>
      <c r="G949" s="113" t="n"/>
      <c r="H949" s="113" t="n"/>
      <c r="I949" s="111" t="n"/>
      <c r="J949" s="114" t="n"/>
      <c r="K949" s="114" t="n"/>
      <c r="L949" s="112" t="n"/>
      <c r="M949" s="112" t="n"/>
      <c r="N949" s="112" t="n"/>
      <c r="O949" s="115" t="str">
        <f>IF(OR(D949="",F949=""),"",D949+F949)</f>
        <v/>
      </c>
      <c r="P949" s="116" t="str">
        <f>IF(O949="","",IF(ISNUMBER(M949),O949-M949,IF(OR(H949="DECISÃO D.P",ISNUMBER(N949)),"",O949-TODAY())))</f>
        <v/>
      </c>
      <c r="Q949" s="117" t="str">
        <f>IF(B949="","",IF(ISNUMBER(N949),"DECIDIDO – ","")&amp;IF(ISNUMBER(M949),IF(P949="",IF(F949="","INFORMAR PRAZO","SEM DATA"),IF(P949&gt;=0,"DEFESA NO PRAZO","DEFESA FORA DO PRAZO")),IF(OR(H949="DECISÃO D.P",ISNUMBER(N949)),"SEM DEFESA",IF(H949="","SEM STATUS",IF(F949="","INFORMAR PRAZO",IF(P949="","SEM DATA",IF(P949&lt;0,"VENCIDO",IF(P949&lt;=DiasAlerta,"VENCE EM BREVE","NO PRAZO"))))))))</f>
        <v/>
      </c>
      <c r="R949" s="118" t="str">
        <f>IF(D949="","",TODAY()-D949)</f>
        <v/>
      </c>
      <c r="S949" s="111" t="n"/>
    </row>
    <row r="950" ht="18" customHeight="1">
      <c r="A950" s="110" t="n"/>
      <c r="B950" s="111" t="n"/>
      <c r="C950" s="111" t="n"/>
      <c r="D950" s="112" t="n"/>
      <c r="E950" s="111" t="n"/>
      <c r="F950" s="110" t="n"/>
      <c r="G950" s="113" t="n"/>
      <c r="H950" s="113" t="n"/>
      <c r="I950" s="111" t="n"/>
      <c r="J950" s="114" t="n"/>
      <c r="K950" s="114" t="n"/>
      <c r="L950" s="112" t="n"/>
      <c r="M950" s="112" t="n"/>
      <c r="N950" s="112" t="n"/>
      <c r="O950" s="115" t="str">
        <f>IF(OR(D950="",F950=""),"",D950+F950)</f>
        <v/>
      </c>
      <c r="P950" s="116" t="str">
        <f>IF(O950="","",IF(ISNUMBER(M950),O950-M950,IF(OR(H950="DECISÃO D.P",ISNUMBER(N950)),"",O950-TODAY())))</f>
        <v/>
      </c>
      <c r="Q950" s="117" t="str">
        <f>IF(B950="","",IF(ISNUMBER(N950),"DECIDIDO – ","")&amp;IF(ISNUMBER(M950),IF(P950="",IF(F950="","INFORMAR PRAZO","SEM DATA"),IF(P950&gt;=0,"DEFESA NO PRAZO","DEFESA FORA DO PRAZO")),IF(OR(H950="DECISÃO D.P",ISNUMBER(N950)),"SEM DEFESA",IF(H950="","SEM STATUS",IF(F950="","INFORMAR PRAZO",IF(P950="","SEM DATA",IF(P950&lt;0,"VENCIDO",IF(P950&lt;=DiasAlerta,"VENCE EM BREVE","NO PRAZO"))))))))</f>
        <v/>
      </c>
      <c r="R950" s="118" t="str">
        <f>IF(D950="","",TODAY()-D950)</f>
        <v/>
      </c>
      <c r="S950" s="111" t="n"/>
    </row>
    <row r="951" ht="18" customHeight="1">
      <c r="A951" s="110" t="n"/>
      <c r="B951" s="111" t="n"/>
      <c r="C951" s="111" t="n"/>
      <c r="D951" s="112" t="n"/>
      <c r="E951" s="111" t="n"/>
      <c r="F951" s="110" t="n"/>
      <c r="G951" s="113" t="n"/>
      <c r="H951" s="113" t="n"/>
      <c r="I951" s="111" t="n"/>
      <c r="J951" s="114" t="n"/>
      <c r="K951" s="114" t="n"/>
      <c r="L951" s="112" t="n"/>
      <c r="M951" s="112" t="n"/>
      <c r="N951" s="112" t="n"/>
      <c r="O951" s="115" t="str">
        <f>IF(OR(D951="",F951=""),"",D951+F951)</f>
        <v/>
      </c>
      <c r="P951" s="116" t="str">
        <f>IF(O951="","",IF(ISNUMBER(M951),O951-M951,IF(OR(H951="DECISÃO D.P",ISNUMBER(N951)),"",O951-TODAY())))</f>
        <v/>
      </c>
      <c r="Q951" s="117" t="str">
        <f>IF(B951="","",IF(ISNUMBER(N951),"DECIDIDO – ","")&amp;IF(ISNUMBER(M951),IF(P951="",IF(F951="","INFORMAR PRAZO","SEM DATA"),IF(P951&gt;=0,"DEFESA NO PRAZO","DEFESA FORA DO PRAZO")),IF(OR(H951="DECISÃO D.P",ISNUMBER(N951)),"SEM DEFESA",IF(H951="","SEM STATUS",IF(F951="","INFORMAR PRAZO",IF(P951="","SEM DATA",IF(P951&lt;0,"VENCIDO",IF(P951&lt;=DiasAlerta,"VENCE EM BREVE","NO PRAZO"))))))))</f>
        <v/>
      </c>
      <c r="R951" s="118" t="str">
        <f>IF(D951="","",TODAY()-D951)</f>
        <v/>
      </c>
      <c r="S951" s="111" t="n"/>
    </row>
    <row r="952" ht="18" customHeight="1">
      <c r="A952" s="110" t="n"/>
      <c r="B952" s="111" t="n"/>
      <c r="C952" s="111" t="n"/>
      <c r="D952" s="112" t="n"/>
      <c r="E952" s="111" t="n"/>
      <c r="F952" s="110" t="n"/>
      <c r="G952" s="113" t="n"/>
      <c r="H952" s="113" t="n"/>
      <c r="I952" s="111" t="n"/>
      <c r="J952" s="114" t="n"/>
      <c r="K952" s="114" t="n"/>
      <c r="L952" s="112" t="n"/>
      <c r="M952" s="112" t="n"/>
      <c r="N952" s="112" t="n"/>
      <c r="O952" s="115" t="str">
        <f>IF(OR(D952="",F952=""),"",D952+F952)</f>
        <v/>
      </c>
      <c r="P952" s="116" t="str">
        <f>IF(O952="","",IF(ISNUMBER(M952),O952-M952,IF(OR(H952="DECISÃO D.P",ISNUMBER(N952)),"",O952-TODAY())))</f>
        <v/>
      </c>
      <c r="Q952" s="117" t="str">
        <f>IF(B952="","",IF(ISNUMBER(N952),"DECIDIDO – ","")&amp;IF(ISNUMBER(M952),IF(P952="",IF(F952="","INFORMAR PRAZO","SEM DATA"),IF(P952&gt;=0,"DEFESA NO PRAZO","DEFESA FORA DO PRAZO")),IF(OR(H952="DECISÃO D.P",ISNUMBER(N952)),"SEM DEFESA",IF(H952="","SEM STATUS",IF(F952="","INFORMAR PRAZO",IF(P952="","SEM DATA",IF(P952&lt;0,"VENCIDO",IF(P952&lt;=DiasAlerta,"VENCE EM BREVE","NO PRAZO"))))))))</f>
        <v/>
      </c>
      <c r="R952" s="118" t="str">
        <f>IF(D952="","",TODAY()-D952)</f>
        <v/>
      </c>
      <c r="S952" s="111" t="n"/>
    </row>
    <row r="953" ht="18" customHeight="1">
      <c r="A953" s="110" t="n"/>
      <c r="B953" s="111" t="n"/>
      <c r="C953" s="111" t="n"/>
      <c r="D953" s="112" t="n"/>
      <c r="E953" s="111" t="n"/>
      <c r="F953" s="110" t="n"/>
      <c r="G953" s="113" t="n"/>
      <c r="H953" s="113" t="n"/>
      <c r="I953" s="111" t="n"/>
      <c r="J953" s="114" t="n"/>
      <c r="K953" s="114" t="n"/>
      <c r="L953" s="112" t="n"/>
      <c r="M953" s="112" t="n"/>
      <c r="N953" s="112" t="n"/>
      <c r="O953" s="115" t="str">
        <f>IF(OR(D953="",F953=""),"",D953+F953)</f>
        <v/>
      </c>
      <c r="P953" s="116" t="str">
        <f>IF(O953="","",IF(ISNUMBER(M953),O953-M953,IF(OR(H953="DECISÃO D.P",ISNUMBER(N953)),"",O953-TODAY())))</f>
        <v/>
      </c>
      <c r="Q953" s="117" t="str">
        <f>IF(B953="","",IF(ISNUMBER(N953),"DECIDIDO – ","")&amp;IF(ISNUMBER(M953),IF(P953="",IF(F953="","INFORMAR PRAZO","SEM DATA"),IF(P953&gt;=0,"DEFESA NO PRAZO","DEFESA FORA DO PRAZO")),IF(OR(H953="DECISÃO D.P",ISNUMBER(N953)),"SEM DEFESA",IF(H953="","SEM STATUS",IF(F953="","INFORMAR PRAZO",IF(P953="","SEM DATA",IF(P953&lt;0,"VENCIDO",IF(P953&lt;=DiasAlerta,"VENCE EM BREVE","NO PRAZO"))))))))</f>
        <v/>
      </c>
      <c r="R953" s="118" t="str">
        <f>IF(D953="","",TODAY()-D953)</f>
        <v/>
      </c>
      <c r="S953" s="111" t="n"/>
    </row>
    <row r="954" ht="18" customHeight="1">
      <c r="A954" s="110" t="n"/>
      <c r="B954" s="111" t="n"/>
      <c r="C954" s="111" t="n"/>
      <c r="D954" s="112" t="n"/>
      <c r="E954" s="111" t="n"/>
      <c r="F954" s="110" t="n"/>
      <c r="G954" s="113" t="n"/>
      <c r="H954" s="113" t="n"/>
      <c r="I954" s="111" t="n"/>
      <c r="J954" s="114" t="n"/>
      <c r="K954" s="114" t="n"/>
      <c r="L954" s="112" t="n"/>
      <c r="M954" s="112" t="n"/>
      <c r="N954" s="112" t="n"/>
      <c r="O954" s="115" t="str">
        <f>IF(OR(D954="",F954=""),"",D954+F954)</f>
        <v/>
      </c>
      <c r="P954" s="116" t="str">
        <f>IF(O954="","",IF(ISNUMBER(M954),O954-M954,IF(OR(H954="DECISÃO D.P",ISNUMBER(N954)),"",O954-TODAY())))</f>
        <v/>
      </c>
      <c r="Q954" s="117" t="str">
        <f>IF(B954="","",IF(ISNUMBER(N954),"DECIDIDO – ","")&amp;IF(ISNUMBER(M954),IF(P954="",IF(F954="","INFORMAR PRAZO","SEM DATA"),IF(P954&gt;=0,"DEFESA NO PRAZO","DEFESA FORA DO PRAZO")),IF(OR(H954="DECISÃO D.P",ISNUMBER(N954)),"SEM DEFESA",IF(H954="","SEM STATUS",IF(F954="","INFORMAR PRAZO",IF(P954="","SEM DATA",IF(P954&lt;0,"VENCIDO",IF(P954&lt;=DiasAlerta,"VENCE EM BREVE","NO PRAZO"))))))))</f>
        <v/>
      </c>
      <c r="R954" s="118" t="str">
        <f>IF(D954="","",TODAY()-D954)</f>
        <v/>
      </c>
      <c r="S954" s="111" t="n"/>
    </row>
    <row r="955" ht="18" customHeight="1">
      <c r="A955" s="110" t="n"/>
      <c r="B955" s="111" t="n"/>
      <c r="C955" s="111" t="n"/>
      <c r="D955" s="112" t="n"/>
      <c r="E955" s="111" t="n"/>
      <c r="F955" s="110" t="n"/>
      <c r="G955" s="113" t="n"/>
      <c r="H955" s="113" t="n"/>
      <c r="I955" s="111" t="n"/>
      <c r="J955" s="114" t="n"/>
      <c r="K955" s="114" t="n"/>
      <c r="L955" s="112" t="n"/>
      <c r="M955" s="112" t="n"/>
      <c r="N955" s="112" t="n"/>
      <c r="O955" s="115" t="str">
        <f>IF(OR(D955="",F955=""),"",D955+F955)</f>
        <v/>
      </c>
      <c r="P955" s="116" t="str">
        <f>IF(O955="","",IF(ISNUMBER(M955),O955-M955,IF(OR(H955="DECISÃO D.P",ISNUMBER(N955)),"",O955-TODAY())))</f>
        <v/>
      </c>
      <c r="Q955" s="117" t="str">
        <f>IF(B955="","",IF(ISNUMBER(N955),"DECIDIDO – ","")&amp;IF(ISNUMBER(M955),IF(P955="",IF(F955="","INFORMAR PRAZO","SEM DATA"),IF(P955&gt;=0,"DEFESA NO PRAZO","DEFESA FORA DO PRAZO")),IF(OR(H955="DECISÃO D.P",ISNUMBER(N955)),"SEM DEFESA",IF(H955="","SEM STATUS",IF(F955="","INFORMAR PRAZO",IF(P955="","SEM DATA",IF(P955&lt;0,"VENCIDO",IF(P955&lt;=DiasAlerta,"VENCE EM BREVE","NO PRAZO"))))))))</f>
        <v/>
      </c>
      <c r="R955" s="118" t="str">
        <f>IF(D955="","",TODAY()-D955)</f>
        <v/>
      </c>
      <c r="S955" s="111" t="n"/>
    </row>
    <row r="956" ht="18" customHeight="1">
      <c r="A956" s="110" t="n"/>
      <c r="B956" s="111" t="n"/>
      <c r="C956" s="111" t="n"/>
      <c r="D956" s="112" t="n"/>
      <c r="E956" s="111" t="n"/>
      <c r="F956" s="110" t="n"/>
      <c r="G956" s="113" t="n"/>
      <c r="H956" s="113" t="n"/>
      <c r="I956" s="111" t="n"/>
      <c r="J956" s="114" t="n"/>
      <c r="K956" s="114" t="n"/>
      <c r="L956" s="112" t="n"/>
      <c r="M956" s="112" t="n"/>
      <c r="N956" s="112" t="n"/>
      <c r="O956" s="115" t="str">
        <f>IF(OR(D956="",F956=""),"",D956+F956)</f>
        <v/>
      </c>
      <c r="P956" s="116" t="str">
        <f>IF(O956="","",IF(ISNUMBER(M956),O956-M956,IF(OR(H956="DECISÃO D.P",ISNUMBER(N956)),"",O956-TODAY())))</f>
        <v/>
      </c>
      <c r="Q956" s="117" t="str">
        <f>IF(B956="","",IF(ISNUMBER(N956),"DECIDIDO – ","")&amp;IF(ISNUMBER(M956),IF(P956="",IF(F956="","INFORMAR PRAZO","SEM DATA"),IF(P956&gt;=0,"DEFESA NO PRAZO","DEFESA FORA DO PRAZO")),IF(OR(H956="DECISÃO D.P",ISNUMBER(N956)),"SEM DEFESA",IF(H956="","SEM STATUS",IF(F956="","INFORMAR PRAZO",IF(P956="","SEM DATA",IF(P956&lt;0,"VENCIDO",IF(P956&lt;=DiasAlerta,"VENCE EM BREVE","NO PRAZO"))))))))</f>
        <v/>
      </c>
      <c r="R956" s="118" t="str">
        <f>IF(D956="","",TODAY()-D956)</f>
        <v/>
      </c>
      <c r="S956" s="111" t="n"/>
    </row>
    <row r="957" ht="18" customHeight="1">
      <c r="A957" s="110" t="n"/>
      <c r="B957" s="111" t="n"/>
      <c r="C957" s="111" t="n"/>
      <c r="D957" s="112" t="n"/>
      <c r="E957" s="111" t="n"/>
      <c r="F957" s="110" t="n"/>
      <c r="G957" s="113" t="n"/>
      <c r="H957" s="113" t="n"/>
      <c r="I957" s="111" t="n"/>
      <c r="J957" s="114" t="n"/>
      <c r="K957" s="114" t="n"/>
      <c r="L957" s="112" t="n"/>
      <c r="M957" s="112" t="n"/>
      <c r="N957" s="112" t="n"/>
      <c r="O957" s="115" t="str">
        <f>IF(OR(D957="",F957=""),"",D957+F957)</f>
        <v/>
      </c>
      <c r="P957" s="116" t="str">
        <f>IF(O957="","",IF(ISNUMBER(M957),O957-M957,IF(OR(H957="DECISÃO D.P",ISNUMBER(N957)),"",O957-TODAY())))</f>
        <v/>
      </c>
      <c r="Q957" s="117" t="str">
        <f>IF(B957="","",IF(ISNUMBER(N957),"DECIDIDO – ","")&amp;IF(ISNUMBER(M957),IF(P957="",IF(F957="","INFORMAR PRAZO","SEM DATA"),IF(P957&gt;=0,"DEFESA NO PRAZO","DEFESA FORA DO PRAZO")),IF(OR(H957="DECISÃO D.P",ISNUMBER(N957)),"SEM DEFESA",IF(H957="","SEM STATUS",IF(F957="","INFORMAR PRAZO",IF(P957="","SEM DATA",IF(P957&lt;0,"VENCIDO",IF(P957&lt;=DiasAlerta,"VENCE EM BREVE","NO PRAZO"))))))))</f>
        <v/>
      </c>
      <c r="R957" s="118" t="str">
        <f>IF(D957="","",TODAY()-D957)</f>
        <v/>
      </c>
      <c r="S957" s="111" t="n"/>
    </row>
    <row r="958" ht="18" customHeight="1">
      <c r="A958" s="110" t="n"/>
      <c r="B958" s="111" t="n"/>
      <c r="C958" s="111" t="n"/>
      <c r="D958" s="112" t="n"/>
      <c r="E958" s="111" t="n"/>
      <c r="F958" s="110" t="n"/>
      <c r="G958" s="113" t="n"/>
      <c r="H958" s="113" t="n"/>
      <c r="I958" s="111" t="n"/>
      <c r="J958" s="114" t="n"/>
      <c r="K958" s="114" t="n"/>
      <c r="L958" s="112" t="n"/>
      <c r="M958" s="112" t="n"/>
      <c r="N958" s="112" t="n"/>
      <c r="O958" s="115" t="str">
        <f>IF(OR(D958="",F958=""),"",D958+F958)</f>
        <v/>
      </c>
      <c r="P958" s="116" t="str">
        <f>IF(O958="","",IF(ISNUMBER(M958),O958-M958,IF(OR(H958="DECISÃO D.P",ISNUMBER(N958)),"",O958-TODAY())))</f>
        <v/>
      </c>
      <c r="Q958" s="117" t="str">
        <f>IF(B958="","",IF(ISNUMBER(N958),"DECIDIDO – ","")&amp;IF(ISNUMBER(M958),IF(P958="",IF(F958="","INFORMAR PRAZO","SEM DATA"),IF(P958&gt;=0,"DEFESA NO PRAZO","DEFESA FORA DO PRAZO")),IF(OR(H958="DECISÃO D.P",ISNUMBER(N958)),"SEM DEFESA",IF(H958="","SEM STATUS",IF(F958="","INFORMAR PRAZO",IF(P958="","SEM DATA",IF(P958&lt;0,"VENCIDO",IF(P958&lt;=DiasAlerta,"VENCE EM BREVE","NO PRAZO"))))))))</f>
        <v/>
      </c>
      <c r="R958" s="118" t="str">
        <f>IF(D958="","",TODAY()-D958)</f>
        <v/>
      </c>
      <c r="S958" s="111" t="n"/>
    </row>
    <row r="959" ht="18" customHeight="1">
      <c r="A959" s="110" t="n"/>
      <c r="B959" s="111" t="n"/>
      <c r="C959" s="111" t="n"/>
      <c r="D959" s="112" t="n"/>
      <c r="E959" s="111" t="n"/>
      <c r="F959" s="110" t="n"/>
      <c r="G959" s="113" t="n"/>
      <c r="H959" s="113" t="n"/>
      <c r="I959" s="111" t="n"/>
      <c r="J959" s="114" t="n"/>
      <c r="K959" s="114" t="n"/>
      <c r="L959" s="112" t="n"/>
      <c r="M959" s="112" t="n"/>
      <c r="N959" s="112" t="n"/>
      <c r="O959" s="115" t="str">
        <f>IF(OR(D959="",F959=""),"",D959+F959)</f>
        <v/>
      </c>
      <c r="P959" s="116" t="str">
        <f>IF(O959="","",IF(ISNUMBER(M959),O959-M959,IF(OR(H959="DECISÃO D.P",ISNUMBER(N959)),"",O959-TODAY())))</f>
        <v/>
      </c>
      <c r="Q959" s="117" t="str">
        <f>IF(B959="","",IF(ISNUMBER(N959),"DECIDIDO – ","")&amp;IF(ISNUMBER(M959),IF(P959="",IF(F959="","INFORMAR PRAZO","SEM DATA"),IF(P959&gt;=0,"DEFESA NO PRAZO","DEFESA FORA DO PRAZO")),IF(OR(H959="DECISÃO D.P",ISNUMBER(N959)),"SEM DEFESA",IF(H959="","SEM STATUS",IF(F959="","INFORMAR PRAZO",IF(P959="","SEM DATA",IF(P959&lt;0,"VENCIDO",IF(P959&lt;=DiasAlerta,"VENCE EM BREVE","NO PRAZO"))))))))</f>
        <v/>
      </c>
      <c r="R959" s="118" t="str">
        <f>IF(D959="","",TODAY()-D959)</f>
        <v/>
      </c>
      <c r="S959" s="111" t="n"/>
    </row>
    <row r="960" ht="18" customHeight="1">
      <c r="A960" s="110" t="n"/>
      <c r="B960" s="111" t="n"/>
      <c r="C960" s="111" t="n"/>
      <c r="D960" s="112" t="n"/>
      <c r="E960" s="111" t="n"/>
      <c r="F960" s="110" t="n"/>
      <c r="G960" s="113" t="n"/>
      <c r="H960" s="113" t="n"/>
      <c r="I960" s="111" t="n"/>
      <c r="J960" s="114" t="n"/>
      <c r="K960" s="114" t="n"/>
      <c r="L960" s="112" t="n"/>
      <c r="M960" s="112" t="n"/>
      <c r="N960" s="112" t="n"/>
      <c r="O960" s="115" t="str">
        <f>IF(OR(D960="",F960=""),"",D960+F960)</f>
        <v/>
      </c>
      <c r="P960" s="116" t="str">
        <f>IF(O960="","",IF(ISNUMBER(M960),O960-M960,IF(OR(H960="DECISÃO D.P",ISNUMBER(N960)),"",O960-TODAY())))</f>
        <v/>
      </c>
      <c r="Q960" s="117" t="str">
        <f>IF(B960="","",IF(ISNUMBER(N960),"DECIDIDO – ","")&amp;IF(ISNUMBER(M960),IF(P960="",IF(F960="","INFORMAR PRAZO","SEM DATA"),IF(P960&gt;=0,"DEFESA NO PRAZO","DEFESA FORA DO PRAZO")),IF(OR(H960="DECISÃO D.P",ISNUMBER(N960)),"SEM DEFESA",IF(H960="","SEM STATUS",IF(F960="","INFORMAR PRAZO",IF(P960="","SEM DATA",IF(P960&lt;0,"VENCIDO",IF(P960&lt;=DiasAlerta,"VENCE EM BREVE","NO PRAZO"))))))))</f>
        <v/>
      </c>
      <c r="R960" s="118" t="str">
        <f>IF(D960="","",TODAY()-D960)</f>
        <v/>
      </c>
      <c r="S960" s="111" t="n"/>
    </row>
    <row r="961" ht="18" customHeight="1">
      <c r="A961" s="110" t="n"/>
      <c r="B961" s="111" t="n"/>
      <c r="C961" s="111" t="n"/>
      <c r="D961" s="112" t="n"/>
      <c r="E961" s="111" t="n"/>
      <c r="F961" s="110" t="n"/>
      <c r="G961" s="113" t="n"/>
      <c r="H961" s="113" t="n"/>
      <c r="I961" s="111" t="n"/>
      <c r="J961" s="114" t="n"/>
      <c r="K961" s="114" t="n"/>
      <c r="L961" s="112" t="n"/>
      <c r="M961" s="112" t="n"/>
      <c r="N961" s="112" t="n"/>
      <c r="O961" s="115" t="str">
        <f>IF(OR(D961="",F961=""),"",D961+F961)</f>
        <v/>
      </c>
      <c r="P961" s="116" t="str">
        <f>IF(O961="","",IF(ISNUMBER(M961),O961-M961,IF(OR(H961="DECISÃO D.P",ISNUMBER(N961)),"",O961-TODAY())))</f>
        <v/>
      </c>
      <c r="Q961" s="117" t="str">
        <f>IF(B961="","",IF(ISNUMBER(N961),"DECIDIDO – ","")&amp;IF(ISNUMBER(M961),IF(P961="",IF(F961="","INFORMAR PRAZO","SEM DATA"),IF(P961&gt;=0,"DEFESA NO PRAZO","DEFESA FORA DO PRAZO")),IF(OR(H961="DECISÃO D.P",ISNUMBER(N961)),"SEM DEFESA",IF(H961="","SEM STATUS",IF(F961="","INFORMAR PRAZO",IF(P961="","SEM DATA",IF(P961&lt;0,"VENCIDO",IF(P961&lt;=DiasAlerta,"VENCE EM BREVE","NO PRAZO"))))))))</f>
        <v/>
      </c>
      <c r="R961" s="118" t="str">
        <f>IF(D961="","",TODAY()-D961)</f>
        <v/>
      </c>
      <c r="S961" s="111" t="n"/>
    </row>
    <row r="962" ht="18" customHeight="1">
      <c r="A962" s="110" t="n"/>
      <c r="B962" s="111" t="n"/>
      <c r="C962" s="111" t="n"/>
      <c r="D962" s="112" t="n"/>
      <c r="E962" s="111" t="n"/>
      <c r="F962" s="110" t="n"/>
      <c r="G962" s="113" t="n"/>
      <c r="H962" s="113" t="n"/>
      <c r="I962" s="111" t="n"/>
      <c r="J962" s="114" t="n"/>
      <c r="K962" s="114" t="n"/>
      <c r="L962" s="112" t="n"/>
      <c r="M962" s="112" t="n"/>
      <c r="N962" s="112" t="n"/>
      <c r="O962" s="115" t="str">
        <f>IF(OR(D962="",F962=""),"",D962+F962)</f>
        <v/>
      </c>
      <c r="P962" s="116" t="str">
        <f>IF(O962="","",IF(ISNUMBER(M962),O962-M962,IF(OR(H962="DECISÃO D.P",ISNUMBER(N962)),"",O962-TODAY())))</f>
        <v/>
      </c>
      <c r="Q962" s="117" t="str">
        <f>IF(B962="","",IF(ISNUMBER(N962),"DECIDIDO – ","")&amp;IF(ISNUMBER(M962),IF(P962="",IF(F962="","INFORMAR PRAZO","SEM DATA"),IF(P962&gt;=0,"DEFESA NO PRAZO","DEFESA FORA DO PRAZO")),IF(OR(H962="DECISÃO D.P",ISNUMBER(N962)),"SEM DEFESA",IF(H962="","SEM STATUS",IF(F962="","INFORMAR PRAZO",IF(P962="","SEM DATA",IF(P962&lt;0,"VENCIDO",IF(P962&lt;=DiasAlerta,"VENCE EM BREVE","NO PRAZO"))))))))</f>
        <v/>
      </c>
      <c r="R962" s="118" t="str">
        <f>IF(D962="","",TODAY()-D962)</f>
        <v/>
      </c>
      <c r="S962" s="111" t="n"/>
    </row>
    <row r="963" ht="18" customHeight="1">
      <c r="A963" s="110" t="n"/>
      <c r="B963" s="111" t="n"/>
      <c r="C963" s="111" t="n"/>
      <c r="D963" s="112" t="n"/>
      <c r="E963" s="111" t="n"/>
      <c r="F963" s="110" t="n"/>
      <c r="G963" s="113" t="n"/>
      <c r="H963" s="113" t="n"/>
      <c r="I963" s="111" t="n"/>
      <c r="J963" s="114" t="n"/>
      <c r="K963" s="114" t="n"/>
      <c r="L963" s="112" t="n"/>
      <c r="M963" s="112" t="n"/>
      <c r="N963" s="112" t="n"/>
      <c r="O963" s="115" t="str">
        <f>IF(OR(D963="",F963=""),"",D963+F963)</f>
        <v/>
      </c>
      <c r="P963" s="116" t="str">
        <f>IF(O963="","",IF(ISNUMBER(M963),O963-M963,IF(OR(H963="DECISÃO D.P",ISNUMBER(N963)),"",O963-TODAY())))</f>
        <v/>
      </c>
      <c r="Q963" s="117" t="str">
        <f>IF(B963="","",IF(ISNUMBER(N963),"DECIDIDO – ","")&amp;IF(ISNUMBER(M963),IF(P963="",IF(F963="","INFORMAR PRAZO","SEM DATA"),IF(P963&gt;=0,"DEFESA NO PRAZO","DEFESA FORA DO PRAZO")),IF(OR(H963="DECISÃO D.P",ISNUMBER(N963)),"SEM DEFESA",IF(H963="","SEM STATUS",IF(F963="","INFORMAR PRAZO",IF(P963="","SEM DATA",IF(P963&lt;0,"VENCIDO",IF(P963&lt;=DiasAlerta,"VENCE EM BREVE","NO PRAZO"))))))))</f>
        <v/>
      </c>
      <c r="R963" s="118" t="str">
        <f>IF(D963="","",TODAY()-D963)</f>
        <v/>
      </c>
      <c r="S963" s="111" t="n"/>
    </row>
    <row r="964" ht="18" customHeight="1">
      <c r="A964" s="110" t="n"/>
      <c r="B964" s="111" t="n"/>
      <c r="C964" s="111" t="n"/>
      <c r="D964" s="112" t="n"/>
      <c r="E964" s="111" t="n"/>
      <c r="F964" s="110" t="n"/>
      <c r="G964" s="113" t="n"/>
      <c r="H964" s="113" t="n"/>
      <c r="I964" s="111" t="n"/>
      <c r="J964" s="114" t="n"/>
      <c r="K964" s="114" t="n"/>
      <c r="L964" s="112" t="n"/>
      <c r="M964" s="112" t="n"/>
      <c r="N964" s="112" t="n"/>
      <c r="O964" s="115" t="str">
        <f>IF(OR(D964="",F964=""),"",D964+F964)</f>
        <v/>
      </c>
      <c r="P964" s="116" t="str">
        <f>IF(O964="","",IF(ISNUMBER(M964),O964-M964,IF(OR(H964="DECISÃO D.P",ISNUMBER(N964)),"",O964-TODAY())))</f>
        <v/>
      </c>
      <c r="Q964" s="117" t="str">
        <f>IF(B964="","",IF(ISNUMBER(N964),"DECIDIDO – ","")&amp;IF(ISNUMBER(M964),IF(P964="",IF(F964="","INFORMAR PRAZO","SEM DATA"),IF(P964&gt;=0,"DEFESA NO PRAZO","DEFESA FORA DO PRAZO")),IF(OR(H964="DECISÃO D.P",ISNUMBER(N964)),"SEM DEFESA",IF(H964="","SEM STATUS",IF(F964="","INFORMAR PRAZO",IF(P964="","SEM DATA",IF(P964&lt;0,"VENCIDO",IF(P964&lt;=DiasAlerta,"VENCE EM BREVE","NO PRAZO"))))))))</f>
        <v/>
      </c>
      <c r="R964" s="118" t="str">
        <f>IF(D964="","",TODAY()-D964)</f>
        <v/>
      </c>
      <c r="S964" s="111" t="n"/>
    </row>
    <row r="965" ht="18" customHeight="1">
      <c r="A965" s="110" t="n"/>
      <c r="B965" s="111" t="n"/>
      <c r="C965" s="111" t="n"/>
      <c r="D965" s="112" t="n"/>
      <c r="E965" s="111" t="n"/>
      <c r="F965" s="110" t="n"/>
      <c r="G965" s="113" t="n"/>
      <c r="H965" s="113" t="n"/>
      <c r="I965" s="111" t="n"/>
      <c r="J965" s="114" t="n"/>
      <c r="K965" s="114" t="n"/>
      <c r="L965" s="112" t="n"/>
      <c r="M965" s="112" t="n"/>
      <c r="N965" s="112" t="n"/>
      <c r="O965" s="115" t="str">
        <f>IF(OR(D965="",F965=""),"",D965+F965)</f>
        <v/>
      </c>
      <c r="P965" s="116" t="str">
        <f>IF(O965="","",IF(ISNUMBER(M965),O965-M965,IF(OR(H965="DECISÃO D.P",ISNUMBER(N965)),"",O965-TODAY())))</f>
        <v/>
      </c>
      <c r="Q965" s="117" t="str">
        <f>IF(B965="","",IF(ISNUMBER(N965),"DECIDIDO – ","")&amp;IF(ISNUMBER(M965),IF(P965="",IF(F965="","INFORMAR PRAZO","SEM DATA"),IF(P965&gt;=0,"DEFESA NO PRAZO","DEFESA FORA DO PRAZO")),IF(OR(H965="DECISÃO D.P",ISNUMBER(N965)),"SEM DEFESA",IF(H965="","SEM STATUS",IF(F965="","INFORMAR PRAZO",IF(P965="","SEM DATA",IF(P965&lt;0,"VENCIDO",IF(P965&lt;=DiasAlerta,"VENCE EM BREVE","NO PRAZO"))))))))</f>
        <v/>
      </c>
      <c r="R965" s="118" t="str">
        <f>IF(D965="","",TODAY()-D965)</f>
        <v/>
      </c>
      <c r="S965" s="111" t="n"/>
    </row>
    <row r="966" ht="18" customHeight="1">
      <c r="A966" s="110" t="n"/>
      <c r="B966" s="111" t="n"/>
      <c r="C966" s="111" t="n"/>
      <c r="D966" s="112" t="n"/>
      <c r="E966" s="111" t="n"/>
      <c r="F966" s="110" t="n"/>
      <c r="G966" s="113" t="n"/>
      <c r="H966" s="113" t="n"/>
      <c r="I966" s="111" t="n"/>
      <c r="J966" s="114" t="n"/>
      <c r="K966" s="114" t="n"/>
      <c r="L966" s="112" t="n"/>
      <c r="M966" s="112" t="n"/>
      <c r="N966" s="112" t="n"/>
      <c r="O966" s="115" t="str">
        <f>IF(OR(D966="",F966=""),"",D966+F966)</f>
        <v/>
      </c>
      <c r="P966" s="116" t="str">
        <f>IF(O966="","",IF(ISNUMBER(M966),O966-M966,IF(OR(H966="DECISÃO D.P",ISNUMBER(N966)),"",O966-TODAY())))</f>
        <v/>
      </c>
      <c r="Q966" s="117" t="str">
        <f>IF(B966="","",IF(ISNUMBER(N966),"DECIDIDO – ","")&amp;IF(ISNUMBER(M966),IF(P966="",IF(F966="","INFORMAR PRAZO","SEM DATA"),IF(P966&gt;=0,"DEFESA NO PRAZO","DEFESA FORA DO PRAZO")),IF(OR(H966="DECISÃO D.P",ISNUMBER(N966)),"SEM DEFESA",IF(H966="","SEM STATUS",IF(F966="","INFORMAR PRAZO",IF(P966="","SEM DATA",IF(P966&lt;0,"VENCIDO",IF(P966&lt;=DiasAlerta,"VENCE EM BREVE","NO PRAZO"))))))))</f>
        <v/>
      </c>
      <c r="R966" s="118" t="str">
        <f>IF(D966="","",TODAY()-D966)</f>
        <v/>
      </c>
      <c r="S966" s="111" t="n"/>
    </row>
    <row r="967" ht="18" customHeight="1">
      <c r="A967" s="110" t="n"/>
      <c r="B967" s="111" t="n"/>
      <c r="C967" s="111" t="n"/>
      <c r="D967" s="112" t="n"/>
      <c r="E967" s="111" t="n"/>
      <c r="F967" s="110" t="n"/>
      <c r="G967" s="113" t="n"/>
      <c r="H967" s="113" t="n"/>
      <c r="I967" s="111" t="n"/>
      <c r="J967" s="114" t="n"/>
      <c r="K967" s="114" t="n"/>
      <c r="L967" s="112" t="n"/>
      <c r="M967" s="112" t="n"/>
      <c r="N967" s="112" t="n"/>
      <c r="O967" s="115" t="str">
        <f>IF(OR(D967="",F967=""),"",D967+F967)</f>
        <v/>
      </c>
      <c r="P967" s="116" t="str">
        <f>IF(O967="","",IF(ISNUMBER(M967),O967-M967,IF(OR(H967="DECISÃO D.P",ISNUMBER(N967)),"",O967-TODAY())))</f>
        <v/>
      </c>
      <c r="Q967" s="117" t="str">
        <f>IF(B967="","",IF(ISNUMBER(N967),"DECIDIDO – ","")&amp;IF(ISNUMBER(M967),IF(P967="",IF(F967="","INFORMAR PRAZO","SEM DATA"),IF(P967&gt;=0,"DEFESA NO PRAZO","DEFESA FORA DO PRAZO")),IF(OR(H967="DECISÃO D.P",ISNUMBER(N967)),"SEM DEFESA",IF(H967="","SEM STATUS",IF(F967="","INFORMAR PRAZO",IF(P967="","SEM DATA",IF(P967&lt;0,"VENCIDO",IF(P967&lt;=DiasAlerta,"VENCE EM BREVE","NO PRAZO"))))))))</f>
        <v/>
      </c>
      <c r="R967" s="118" t="str">
        <f>IF(D967="","",TODAY()-D967)</f>
        <v/>
      </c>
      <c r="S967" s="111" t="n"/>
    </row>
    <row r="968" ht="18" customHeight="1">
      <c r="A968" s="110" t="n"/>
      <c r="B968" s="111" t="n"/>
      <c r="C968" s="111" t="n"/>
      <c r="D968" s="112" t="n"/>
      <c r="E968" s="111" t="n"/>
      <c r="F968" s="110" t="n"/>
      <c r="G968" s="113" t="n"/>
      <c r="H968" s="113" t="n"/>
      <c r="I968" s="111" t="n"/>
      <c r="J968" s="114" t="n"/>
      <c r="K968" s="114" t="n"/>
      <c r="L968" s="112" t="n"/>
      <c r="M968" s="112" t="n"/>
      <c r="N968" s="112" t="n"/>
      <c r="O968" s="115" t="str">
        <f>IF(OR(D968="",F968=""),"",D968+F968)</f>
        <v/>
      </c>
      <c r="P968" s="116" t="str">
        <f>IF(O968="","",IF(ISNUMBER(M968),O968-M968,IF(OR(H968="DECISÃO D.P",ISNUMBER(N968)),"",O968-TODAY())))</f>
        <v/>
      </c>
      <c r="Q968" s="117" t="str">
        <f>IF(B968="","",IF(ISNUMBER(N968),"DECIDIDO – ","")&amp;IF(ISNUMBER(M968),IF(P968="",IF(F968="","INFORMAR PRAZO","SEM DATA"),IF(P968&gt;=0,"DEFESA NO PRAZO","DEFESA FORA DO PRAZO")),IF(OR(H968="DECISÃO D.P",ISNUMBER(N968)),"SEM DEFESA",IF(H968="","SEM STATUS",IF(F968="","INFORMAR PRAZO",IF(P968="","SEM DATA",IF(P968&lt;0,"VENCIDO",IF(P968&lt;=DiasAlerta,"VENCE EM BREVE","NO PRAZO"))))))))</f>
        <v/>
      </c>
      <c r="R968" s="118" t="str">
        <f>IF(D968="","",TODAY()-D968)</f>
        <v/>
      </c>
      <c r="S968" s="111" t="n"/>
    </row>
    <row r="969" ht="18" customHeight="1">
      <c r="A969" s="110" t="n"/>
      <c r="B969" s="111" t="n"/>
      <c r="C969" s="111" t="n"/>
      <c r="D969" s="112" t="n"/>
      <c r="E969" s="111" t="n"/>
      <c r="F969" s="110" t="n"/>
      <c r="G969" s="113" t="n"/>
      <c r="H969" s="113" t="n"/>
      <c r="I969" s="111" t="n"/>
      <c r="J969" s="114" t="n"/>
      <c r="K969" s="114" t="n"/>
      <c r="L969" s="112" t="n"/>
      <c r="M969" s="112" t="n"/>
      <c r="N969" s="112" t="n"/>
      <c r="O969" s="115" t="str">
        <f>IF(OR(D969="",F969=""),"",D969+F969)</f>
        <v/>
      </c>
      <c r="P969" s="116" t="str">
        <f>IF(O969="","",IF(ISNUMBER(M969),O969-M969,IF(OR(H969="DECISÃO D.P",ISNUMBER(N969)),"",O969-TODAY())))</f>
        <v/>
      </c>
      <c r="Q969" s="117" t="str">
        <f>IF(B969="","",IF(ISNUMBER(N969),"DECIDIDO – ","")&amp;IF(ISNUMBER(M969),IF(P969="",IF(F969="","INFORMAR PRAZO","SEM DATA"),IF(P969&gt;=0,"DEFESA NO PRAZO","DEFESA FORA DO PRAZO")),IF(OR(H969="DECISÃO D.P",ISNUMBER(N969)),"SEM DEFESA",IF(H969="","SEM STATUS",IF(F969="","INFORMAR PRAZO",IF(P969="","SEM DATA",IF(P969&lt;0,"VENCIDO",IF(P969&lt;=DiasAlerta,"VENCE EM BREVE","NO PRAZO"))))))))</f>
        <v/>
      </c>
      <c r="R969" s="118" t="str">
        <f>IF(D969="","",TODAY()-D969)</f>
        <v/>
      </c>
      <c r="S969" s="111" t="n"/>
    </row>
    <row r="970" ht="18" customHeight="1">
      <c r="A970" s="110" t="n"/>
      <c r="B970" s="111" t="n"/>
      <c r="C970" s="111" t="n"/>
      <c r="D970" s="112" t="n"/>
      <c r="E970" s="111" t="n"/>
      <c r="F970" s="110" t="n"/>
      <c r="G970" s="113" t="n"/>
      <c r="H970" s="113" t="n"/>
      <c r="I970" s="111" t="n"/>
      <c r="J970" s="114" t="n"/>
      <c r="K970" s="114" t="n"/>
      <c r="L970" s="112" t="n"/>
      <c r="M970" s="112" t="n"/>
      <c r="N970" s="112" t="n"/>
      <c r="O970" s="115" t="str">
        <f>IF(OR(D970="",F970=""),"",D970+F970)</f>
        <v/>
      </c>
      <c r="P970" s="116" t="str">
        <f>IF(O970="","",IF(ISNUMBER(M970),O970-M970,IF(OR(H970="DECISÃO D.P",ISNUMBER(N970)),"",O970-TODAY())))</f>
        <v/>
      </c>
      <c r="Q970" s="117" t="str">
        <f>IF(B970="","",IF(ISNUMBER(N970),"DECIDIDO – ","")&amp;IF(ISNUMBER(M970),IF(P970="",IF(F970="","INFORMAR PRAZO","SEM DATA"),IF(P970&gt;=0,"DEFESA NO PRAZO","DEFESA FORA DO PRAZO")),IF(OR(H970="DECISÃO D.P",ISNUMBER(N970)),"SEM DEFESA",IF(H970="","SEM STATUS",IF(F970="","INFORMAR PRAZO",IF(P970="","SEM DATA",IF(P970&lt;0,"VENCIDO",IF(P970&lt;=DiasAlerta,"VENCE EM BREVE","NO PRAZO"))))))))</f>
        <v/>
      </c>
      <c r="R970" s="118" t="str">
        <f>IF(D970="","",TODAY()-D970)</f>
        <v/>
      </c>
      <c r="S970" s="111" t="n"/>
    </row>
    <row r="971" ht="18" customHeight="1">
      <c r="A971" s="110" t="n"/>
      <c r="B971" s="111" t="n"/>
      <c r="C971" s="111" t="n"/>
      <c r="D971" s="112" t="n"/>
      <c r="E971" s="111" t="n"/>
      <c r="F971" s="110" t="n"/>
      <c r="G971" s="113" t="n"/>
      <c r="H971" s="113" t="n"/>
      <c r="I971" s="111" t="n"/>
      <c r="J971" s="114" t="n"/>
      <c r="K971" s="114" t="n"/>
      <c r="L971" s="112" t="n"/>
      <c r="M971" s="112" t="n"/>
      <c r="N971" s="112" t="n"/>
      <c r="O971" s="115" t="str">
        <f>IF(OR(D971="",F971=""),"",D971+F971)</f>
        <v/>
      </c>
      <c r="P971" s="116" t="str">
        <f>IF(O971="","",IF(ISNUMBER(M971),O971-M971,IF(OR(H971="DECISÃO D.P",ISNUMBER(N971)),"",O971-TODAY())))</f>
        <v/>
      </c>
      <c r="Q971" s="117" t="str">
        <f>IF(B971="","",IF(ISNUMBER(N971),"DECIDIDO – ","")&amp;IF(ISNUMBER(M971),IF(P971="",IF(F971="","INFORMAR PRAZO","SEM DATA"),IF(P971&gt;=0,"DEFESA NO PRAZO","DEFESA FORA DO PRAZO")),IF(OR(H971="DECISÃO D.P",ISNUMBER(N971)),"SEM DEFESA",IF(H971="","SEM STATUS",IF(F971="","INFORMAR PRAZO",IF(P971="","SEM DATA",IF(P971&lt;0,"VENCIDO",IF(P971&lt;=DiasAlerta,"VENCE EM BREVE","NO PRAZO"))))))))</f>
        <v/>
      </c>
      <c r="R971" s="118" t="str">
        <f>IF(D971="","",TODAY()-D971)</f>
        <v/>
      </c>
      <c r="S971" s="111" t="n"/>
    </row>
    <row r="972" ht="18" customHeight="1">
      <c r="A972" s="110" t="n"/>
      <c r="B972" s="111" t="n"/>
      <c r="C972" s="111" t="n"/>
      <c r="D972" s="112" t="n"/>
      <c r="E972" s="111" t="n"/>
      <c r="F972" s="110" t="n"/>
      <c r="G972" s="113" t="n"/>
      <c r="H972" s="113" t="n"/>
      <c r="I972" s="111" t="n"/>
      <c r="J972" s="114" t="n"/>
      <c r="K972" s="114" t="n"/>
      <c r="L972" s="112" t="n"/>
      <c r="M972" s="112" t="n"/>
      <c r="N972" s="112" t="n"/>
      <c r="O972" s="115" t="str">
        <f>IF(OR(D972="",F972=""),"",D972+F972)</f>
        <v/>
      </c>
      <c r="P972" s="116" t="str">
        <f>IF(O972="","",IF(ISNUMBER(M972),O972-M972,IF(OR(H972="DECISÃO D.P",ISNUMBER(N972)),"",O972-TODAY())))</f>
        <v/>
      </c>
      <c r="Q972" s="117" t="str">
        <f>IF(B972="","",IF(ISNUMBER(N972),"DECIDIDO – ","")&amp;IF(ISNUMBER(M972),IF(P972="",IF(F972="","INFORMAR PRAZO","SEM DATA"),IF(P972&gt;=0,"DEFESA NO PRAZO","DEFESA FORA DO PRAZO")),IF(OR(H972="DECISÃO D.P",ISNUMBER(N972)),"SEM DEFESA",IF(H972="","SEM STATUS",IF(F972="","INFORMAR PRAZO",IF(P972="","SEM DATA",IF(P972&lt;0,"VENCIDO",IF(P972&lt;=DiasAlerta,"VENCE EM BREVE","NO PRAZO"))))))))</f>
        <v/>
      </c>
      <c r="R972" s="118" t="str">
        <f>IF(D972="","",TODAY()-D972)</f>
        <v/>
      </c>
      <c r="S972" s="111" t="n"/>
    </row>
    <row r="973" ht="18" customHeight="1">
      <c r="A973" s="110" t="n"/>
      <c r="B973" s="111" t="n"/>
      <c r="C973" s="111" t="n"/>
      <c r="D973" s="112" t="n"/>
      <c r="E973" s="111" t="n"/>
      <c r="F973" s="110" t="n"/>
      <c r="G973" s="113" t="n"/>
      <c r="H973" s="113" t="n"/>
      <c r="I973" s="111" t="n"/>
      <c r="J973" s="114" t="n"/>
      <c r="K973" s="114" t="n"/>
      <c r="L973" s="112" t="n"/>
      <c r="M973" s="112" t="n"/>
      <c r="N973" s="112" t="n"/>
      <c r="O973" s="115" t="str">
        <f>IF(OR(D973="",F973=""),"",D973+F973)</f>
        <v/>
      </c>
      <c r="P973" s="116" t="str">
        <f>IF(O973="","",IF(ISNUMBER(M973),O973-M973,IF(OR(H973="DECISÃO D.P",ISNUMBER(N973)),"",O973-TODAY())))</f>
        <v/>
      </c>
      <c r="Q973" s="117" t="str">
        <f>IF(B973="","",IF(ISNUMBER(N973),"DECIDIDO – ","")&amp;IF(ISNUMBER(M973),IF(P973="",IF(F973="","INFORMAR PRAZO","SEM DATA"),IF(P973&gt;=0,"DEFESA NO PRAZO","DEFESA FORA DO PRAZO")),IF(OR(H973="DECISÃO D.P",ISNUMBER(N973)),"SEM DEFESA",IF(H973="","SEM STATUS",IF(F973="","INFORMAR PRAZO",IF(P973="","SEM DATA",IF(P973&lt;0,"VENCIDO",IF(P973&lt;=DiasAlerta,"VENCE EM BREVE","NO PRAZO"))))))))</f>
        <v/>
      </c>
      <c r="R973" s="118" t="str">
        <f>IF(D973="","",TODAY()-D973)</f>
        <v/>
      </c>
      <c r="S973" s="111" t="n"/>
    </row>
    <row r="974" ht="18" customHeight="1">
      <c r="A974" s="110" t="n"/>
      <c r="B974" s="111" t="n"/>
      <c r="C974" s="111" t="n"/>
      <c r="D974" s="112" t="n"/>
      <c r="E974" s="111" t="n"/>
      <c r="F974" s="110" t="n"/>
      <c r="G974" s="113" t="n"/>
      <c r="H974" s="113" t="n"/>
      <c r="I974" s="111" t="n"/>
      <c r="J974" s="114" t="n"/>
      <c r="K974" s="114" t="n"/>
      <c r="L974" s="112" t="n"/>
      <c r="M974" s="112" t="n"/>
      <c r="N974" s="112" t="n"/>
      <c r="O974" s="115" t="str">
        <f>IF(OR(D974="",F974=""),"",D974+F974)</f>
        <v/>
      </c>
      <c r="P974" s="116" t="str">
        <f>IF(O974="","",IF(ISNUMBER(M974),O974-M974,IF(OR(H974="DECISÃO D.P",ISNUMBER(N974)),"",O974-TODAY())))</f>
        <v/>
      </c>
      <c r="Q974" s="117" t="str">
        <f>IF(B974="","",IF(ISNUMBER(N974),"DECIDIDO – ","")&amp;IF(ISNUMBER(M974),IF(P974="",IF(F974="","INFORMAR PRAZO","SEM DATA"),IF(P974&gt;=0,"DEFESA NO PRAZO","DEFESA FORA DO PRAZO")),IF(OR(H974="DECISÃO D.P",ISNUMBER(N974)),"SEM DEFESA",IF(H974="","SEM STATUS",IF(F974="","INFORMAR PRAZO",IF(P974="","SEM DATA",IF(P974&lt;0,"VENCIDO",IF(P974&lt;=DiasAlerta,"VENCE EM BREVE","NO PRAZO"))))))))</f>
        <v/>
      </c>
      <c r="R974" s="118" t="str">
        <f>IF(D974="","",TODAY()-D974)</f>
        <v/>
      </c>
      <c r="S974" s="111" t="n"/>
    </row>
    <row r="975" ht="18" customHeight="1">
      <c r="A975" s="110" t="n"/>
      <c r="B975" s="111" t="n"/>
      <c r="C975" s="111" t="n"/>
      <c r="D975" s="112" t="n"/>
      <c r="E975" s="111" t="n"/>
      <c r="F975" s="110" t="n"/>
      <c r="G975" s="113" t="n"/>
      <c r="H975" s="113" t="n"/>
      <c r="I975" s="111" t="n"/>
      <c r="J975" s="114" t="n"/>
      <c r="K975" s="114" t="n"/>
      <c r="L975" s="112" t="n"/>
      <c r="M975" s="112" t="n"/>
      <c r="N975" s="112" t="n"/>
      <c r="O975" s="115" t="str">
        <f>IF(OR(D975="",F975=""),"",D975+F975)</f>
        <v/>
      </c>
      <c r="P975" s="116" t="str">
        <f>IF(O975="","",IF(ISNUMBER(M975),O975-M975,IF(OR(H975="DECISÃO D.P",ISNUMBER(N975)),"",O975-TODAY())))</f>
        <v/>
      </c>
      <c r="Q975" s="117" t="str">
        <f>IF(B975="","",IF(ISNUMBER(N975),"DECIDIDO – ","")&amp;IF(ISNUMBER(M975),IF(P975="",IF(F975="","INFORMAR PRAZO","SEM DATA"),IF(P975&gt;=0,"DEFESA NO PRAZO","DEFESA FORA DO PRAZO")),IF(OR(H975="DECISÃO D.P",ISNUMBER(N975)),"SEM DEFESA",IF(H975="","SEM STATUS",IF(F975="","INFORMAR PRAZO",IF(P975="","SEM DATA",IF(P975&lt;0,"VENCIDO",IF(P975&lt;=DiasAlerta,"VENCE EM BREVE","NO PRAZO"))))))))</f>
        <v/>
      </c>
      <c r="R975" s="118" t="str">
        <f>IF(D975="","",TODAY()-D975)</f>
        <v/>
      </c>
      <c r="S975" s="111" t="n"/>
    </row>
    <row r="976" ht="18" customHeight="1">
      <c r="A976" s="110" t="n"/>
      <c r="B976" s="111" t="n"/>
      <c r="C976" s="111" t="n"/>
      <c r="D976" s="112" t="n"/>
      <c r="E976" s="111" t="n"/>
      <c r="F976" s="110" t="n"/>
      <c r="G976" s="113" t="n"/>
      <c r="H976" s="113" t="n"/>
      <c r="I976" s="111" t="n"/>
      <c r="J976" s="114" t="n"/>
      <c r="K976" s="114" t="n"/>
      <c r="L976" s="112" t="n"/>
      <c r="M976" s="112" t="n"/>
      <c r="N976" s="112" t="n"/>
      <c r="O976" s="115" t="str">
        <f>IF(OR(D976="",F976=""),"",D976+F976)</f>
        <v/>
      </c>
      <c r="P976" s="116" t="str">
        <f>IF(O976="","",IF(ISNUMBER(M976),O976-M976,IF(OR(H976="DECISÃO D.P",ISNUMBER(N976)),"",O976-TODAY())))</f>
        <v/>
      </c>
      <c r="Q976" s="117" t="str">
        <f>IF(B976="","",IF(ISNUMBER(N976),"DECIDIDO – ","")&amp;IF(ISNUMBER(M976),IF(P976="",IF(F976="","INFORMAR PRAZO","SEM DATA"),IF(P976&gt;=0,"DEFESA NO PRAZO","DEFESA FORA DO PRAZO")),IF(OR(H976="DECISÃO D.P",ISNUMBER(N976)),"SEM DEFESA",IF(H976="","SEM STATUS",IF(F976="","INFORMAR PRAZO",IF(P976="","SEM DATA",IF(P976&lt;0,"VENCIDO",IF(P976&lt;=DiasAlerta,"VENCE EM BREVE","NO PRAZO"))))))))</f>
        <v/>
      </c>
      <c r="R976" s="118" t="str">
        <f>IF(D976="","",TODAY()-D976)</f>
        <v/>
      </c>
      <c r="S976" s="111" t="n"/>
    </row>
    <row r="977" ht="18" customHeight="1">
      <c r="A977" s="110" t="n"/>
      <c r="B977" s="111" t="n"/>
      <c r="C977" s="111" t="n"/>
      <c r="D977" s="112" t="n"/>
      <c r="E977" s="111" t="n"/>
      <c r="F977" s="110" t="n"/>
      <c r="G977" s="113" t="n"/>
      <c r="H977" s="113" t="n"/>
      <c r="I977" s="111" t="n"/>
      <c r="J977" s="114" t="n"/>
      <c r="K977" s="114" t="n"/>
      <c r="L977" s="112" t="n"/>
      <c r="M977" s="112" t="n"/>
      <c r="N977" s="112" t="n"/>
      <c r="O977" s="115" t="str">
        <f>IF(OR(D977="",F977=""),"",D977+F977)</f>
        <v/>
      </c>
      <c r="P977" s="116" t="str">
        <f>IF(O977="","",IF(ISNUMBER(M977),O977-M977,IF(OR(H977="DECISÃO D.P",ISNUMBER(N977)),"",O977-TODAY())))</f>
        <v/>
      </c>
      <c r="Q977" s="117" t="str">
        <f>IF(B977="","",IF(ISNUMBER(N977),"DECIDIDO – ","")&amp;IF(ISNUMBER(M977),IF(P977="",IF(F977="","INFORMAR PRAZO","SEM DATA"),IF(P977&gt;=0,"DEFESA NO PRAZO","DEFESA FORA DO PRAZO")),IF(OR(H977="DECISÃO D.P",ISNUMBER(N977)),"SEM DEFESA",IF(H977="","SEM STATUS",IF(F977="","INFORMAR PRAZO",IF(P977="","SEM DATA",IF(P977&lt;0,"VENCIDO",IF(P977&lt;=DiasAlerta,"VENCE EM BREVE","NO PRAZO"))))))))</f>
        <v/>
      </c>
      <c r="R977" s="118" t="str">
        <f>IF(D977="","",TODAY()-D977)</f>
        <v/>
      </c>
      <c r="S977" s="111" t="n"/>
    </row>
    <row r="978" ht="18" customHeight="1">
      <c r="A978" s="110" t="n"/>
      <c r="B978" s="111" t="n"/>
      <c r="C978" s="111" t="n"/>
      <c r="D978" s="112" t="n"/>
      <c r="E978" s="111" t="n"/>
      <c r="F978" s="110" t="n"/>
      <c r="G978" s="113" t="n"/>
      <c r="H978" s="113" t="n"/>
      <c r="I978" s="111" t="n"/>
      <c r="J978" s="114" t="n"/>
      <c r="K978" s="114" t="n"/>
      <c r="L978" s="112" t="n"/>
      <c r="M978" s="112" t="n"/>
      <c r="N978" s="112" t="n"/>
      <c r="O978" s="115" t="str">
        <f>IF(OR(D978="",F978=""),"",D978+F978)</f>
        <v/>
      </c>
      <c r="P978" s="116" t="str">
        <f>IF(O978="","",IF(ISNUMBER(M978),O978-M978,IF(OR(H978="DECISÃO D.P",ISNUMBER(N978)),"",O978-TODAY())))</f>
        <v/>
      </c>
      <c r="Q978" s="117" t="str">
        <f>IF(B978="","",IF(ISNUMBER(N978),"DECIDIDO – ","")&amp;IF(ISNUMBER(M978),IF(P978="",IF(F978="","INFORMAR PRAZO","SEM DATA"),IF(P978&gt;=0,"DEFESA NO PRAZO","DEFESA FORA DO PRAZO")),IF(OR(H978="DECISÃO D.P",ISNUMBER(N978)),"SEM DEFESA",IF(H978="","SEM STATUS",IF(F978="","INFORMAR PRAZO",IF(P978="","SEM DATA",IF(P978&lt;0,"VENCIDO",IF(P978&lt;=DiasAlerta,"VENCE EM BREVE","NO PRAZO"))))))))</f>
        <v/>
      </c>
      <c r="R978" s="118" t="str">
        <f>IF(D978="","",TODAY()-D978)</f>
        <v/>
      </c>
      <c r="S978" s="111" t="n"/>
    </row>
    <row r="979" ht="18" customHeight="1">
      <c r="A979" s="110" t="n"/>
      <c r="B979" s="111" t="n"/>
      <c r="C979" s="111" t="n"/>
      <c r="D979" s="112" t="n"/>
      <c r="E979" s="111" t="n"/>
      <c r="F979" s="110" t="n"/>
      <c r="G979" s="113" t="n"/>
      <c r="H979" s="113" t="n"/>
      <c r="I979" s="111" t="n"/>
      <c r="J979" s="114" t="n"/>
      <c r="K979" s="114" t="n"/>
      <c r="L979" s="112" t="n"/>
      <c r="M979" s="112" t="n"/>
      <c r="N979" s="112" t="n"/>
      <c r="O979" s="115" t="str">
        <f>IF(OR(D979="",F979=""),"",D979+F979)</f>
        <v/>
      </c>
      <c r="P979" s="116" t="str">
        <f>IF(O979="","",IF(ISNUMBER(M979),O979-M979,IF(OR(H979="DECISÃO D.P",ISNUMBER(N979)),"",O979-TODAY())))</f>
        <v/>
      </c>
      <c r="Q979" s="117" t="str">
        <f>IF(B979="","",IF(ISNUMBER(N979),"DECIDIDO – ","")&amp;IF(ISNUMBER(M979),IF(P979="",IF(F979="","INFORMAR PRAZO","SEM DATA"),IF(P979&gt;=0,"DEFESA NO PRAZO","DEFESA FORA DO PRAZO")),IF(OR(H979="DECISÃO D.P",ISNUMBER(N979)),"SEM DEFESA",IF(H979="","SEM STATUS",IF(F979="","INFORMAR PRAZO",IF(P979="","SEM DATA",IF(P979&lt;0,"VENCIDO",IF(P979&lt;=DiasAlerta,"VENCE EM BREVE","NO PRAZO"))))))))</f>
        <v/>
      </c>
      <c r="R979" s="118" t="str">
        <f>IF(D979="","",TODAY()-D979)</f>
        <v/>
      </c>
      <c r="S979" s="111" t="n"/>
    </row>
    <row r="980" ht="18" customHeight="1">
      <c r="A980" s="110" t="n"/>
      <c r="B980" s="111" t="n"/>
      <c r="C980" s="111" t="n"/>
      <c r="D980" s="112" t="n"/>
      <c r="E980" s="111" t="n"/>
      <c r="F980" s="110" t="n"/>
      <c r="G980" s="113" t="n"/>
      <c r="H980" s="113" t="n"/>
      <c r="I980" s="111" t="n"/>
      <c r="J980" s="114" t="n"/>
      <c r="K980" s="114" t="n"/>
      <c r="L980" s="112" t="n"/>
      <c r="M980" s="112" t="n"/>
      <c r="N980" s="112" t="n"/>
      <c r="O980" s="115" t="str">
        <f>IF(OR(D980="",F980=""),"",D980+F980)</f>
        <v/>
      </c>
      <c r="P980" s="116" t="str">
        <f>IF(O980="","",IF(ISNUMBER(M980),O980-M980,IF(OR(H980="DECISÃO D.P",ISNUMBER(N980)),"",O980-TODAY())))</f>
        <v/>
      </c>
      <c r="Q980" s="117" t="str">
        <f>IF(B980="","",IF(ISNUMBER(N980),"DECIDIDO – ","")&amp;IF(ISNUMBER(M980),IF(P980="",IF(F980="","INFORMAR PRAZO","SEM DATA"),IF(P980&gt;=0,"DEFESA NO PRAZO","DEFESA FORA DO PRAZO")),IF(OR(H980="DECISÃO D.P",ISNUMBER(N980)),"SEM DEFESA",IF(H980="","SEM STATUS",IF(F980="","INFORMAR PRAZO",IF(P980="","SEM DATA",IF(P980&lt;0,"VENCIDO",IF(P980&lt;=DiasAlerta,"VENCE EM BREVE","NO PRAZO"))))))))</f>
        <v/>
      </c>
      <c r="R980" s="118" t="str">
        <f>IF(D980="","",TODAY()-D980)</f>
        <v/>
      </c>
      <c r="S980" s="111" t="n"/>
    </row>
    <row r="981" ht="18" customHeight="1">
      <c r="A981" s="110" t="n"/>
      <c r="B981" s="111" t="n"/>
      <c r="C981" s="111" t="n"/>
      <c r="D981" s="112" t="n"/>
      <c r="E981" s="111" t="n"/>
      <c r="F981" s="110" t="n"/>
      <c r="G981" s="113" t="n"/>
      <c r="H981" s="113" t="n"/>
      <c r="I981" s="111" t="n"/>
      <c r="J981" s="114" t="n"/>
      <c r="K981" s="114" t="n"/>
      <c r="L981" s="112" t="n"/>
      <c r="M981" s="112" t="n"/>
      <c r="N981" s="112" t="n"/>
      <c r="O981" s="115" t="str">
        <f>IF(OR(D981="",F981=""),"",D981+F981)</f>
        <v/>
      </c>
      <c r="P981" s="116" t="str">
        <f>IF(O981="","",IF(ISNUMBER(M981),O981-M981,IF(OR(H981="DECISÃO D.P",ISNUMBER(N981)),"",O981-TODAY())))</f>
        <v/>
      </c>
      <c r="Q981" s="117" t="str">
        <f>IF(B981="","",IF(ISNUMBER(N981),"DECIDIDO – ","")&amp;IF(ISNUMBER(M981),IF(P981="",IF(F981="","INFORMAR PRAZO","SEM DATA"),IF(P981&gt;=0,"DEFESA NO PRAZO","DEFESA FORA DO PRAZO")),IF(OR(H981="DECISÃO D.P",ISNUMBER(N981)),"SEM DEFESA",IF(H981="","SEM STATUS",IF(F981="","INFORMAR PRAZO",IF(P981="","SEM DATA",IF(P981&lt;0,"VENCIDO",IF(P981&lt;=DiasAlerta,"VENCE EM BREVE","NO PRAZO"))))))))</f>
        <v/>
      </c>
      <c r="R981" s="118" t="str">
        <f>IF(D981="","",TODAY()-D981)</f>
        <v/>
      </c>
      <c r="S981" s="111" t="n"/>
    </row>
    <row r="982" ht="18" customHeight="1">
      <c r="A982" s="110" t="n"/>
      <c r="B982" s="111" t="n"/>
      <c r="C982" s="111" t="n"/>
      <c r="D982" s="112" t="n"/>
      <c r="E982" s="111" t="n"/>
      <c r="F982" s="110" t="n"/>
      <c r="G982" s="113" t="n"/>
      <c r="H982" s="113" t="n"/>
      <c r="I982" s="111" t="n"/>
      <c r="J982" s="114" t="n"/>
      <c r="K982" s="114" t="n"/>
      <c r="L982" s="112" t="n"/>
      <c r="M982" s="112" t="n"/>
      <c r="N982" s="112" t="n"/>
      <c r="O982" s="115" t="str">
        <f>IF(OR(D982="",F982=""),"",D982+F982)</f>
        <v/>
      </c>
      <c r="P982" s="116" t="str">
        <f>IF(O982="","",IF(ISNUMBER(M982),O982-M982,IF(OR(H982="DECISÃO D.P",ISNUMBER(N982)),"",O982-TODAY())))</f>
        <v/>
      </c>
      <c r="Q982" s="117" t="str">
        <f>IF(B982="","",IF(ISNUMBER(N982),"DECIDIDO – ","")&amp;IF(ISNUMBER(M982),IF(P982="",IF(F982="","INFORMAR PRAZO","SEM DATA"),IF(P982&gt;=0,"DEFESA NO PRAZO","DEFESA FORA DO PRAZO")),IF(OR(H982="DECISÃO D.P",ISNUMBER(N982)),"SEM DEFESA",IF(H982="","SEM STATUS",IF(F982="","INFORMAR PRAZO",IF(P982="","SEM DATA",IF(P982&lt;0,"VENCIDO",IF(P982&lt;=DiasAlerta,"VENCE EM BREVE","NO PRAZO"))))))))</f>
        <v/>
      </c>
      <c r="R982" s="118" t="str">
        <f>IF(D982="","",TODAY()-D982)</f>
        <v/>
      </c>
      <c r="S982" s="111" t="n"/>
    </row>
    <row r="983" ht="18" customHeight="1">
      <c r="A983" s="110" t="n"/>
      <c r="B983" s="111" t="n"/>
      <c r="C983" s="111" t="n"/>
      <c r="D983" s="112" t="n"/>
      <c r="E983" s="111" t="n"/>
      <c r="F983" s="110" t="n"/>
      <c r="G983" s="113" t="n"/>
      <c r="H983" s="113" t="n"/>
      <c r="I983" s="111" t="n"/>
      <c r="J983" s="114" t="n"/>
      <c r="K983" s="114" t="n"/>
      <c r="L983" s="112" t="n"/>
      <c r="M983" s="112" t="n"/>
      <c r="N983" s="112" t="n"/>
      <c r="O983" s="115" t="str">
        <f>IF(OR(D983="",F983=""),"",D983+F983)</f>
        <v/>
      </c>
      <c r="P983" s="116" t="str">
        <f>IF(O983="","",IF(ISNUMBER(M983),O983-M983,IF(OR(H983="DECISÃO D.P",ISNUMBER(N983)),"",O983-TODAY())))</f>
        <v/>
      </c>
      <c r="Q983" s="117" t="str">
        <f>IF(B983="","",IF(ISNUMBER(N983),"DECIDIDO – ","")&amp;IF(ISNUMBER(M983),IF(P983="",IF(F983="","INFORMAR PRAZO","SEM DATA"),IF(P983&gt;=0,"DEFESA NO PRAZO","DEFESA FORA DO PRAZO")),IF(OR(H983="DECISÃO D.P",ISNUMBER(N983)),"SEM DEFESA",IF(H983="","SEM STATUS",IF(F983="","INFORMAR PRAZO",IF(P983="","SEM DATA",IF(P983&lt;0,"VENCIDO",IF(P983&lt;=DiasAlerta,"VENCE EM BREVE","NO PRAZO"))))))))</f>
        <v/>
      </c>
      <c r="R983" s="118" t="str">
        <f>IF(D983="","",TODAY()-D983)</f>
        <v/>
      </c>
      <c r="S983" s="111" t="n"/>
    </row>
    <row r="984" ht="18" customHeight="1">
      <c r="A984" s="110" t="n"/>
      <c r="B984" s="111" t="n"/>
      <c r="C984" s="111" t="n"/>
      <c r="D984" s="112" t="n"/>
      <c r="E984" s="111" t="n"/>
      <c r="F984" s="110" t="n"/>
      <c r="G984" s="113" t="n"/>
      <c r="H984" s="113" t="n"/>
      <c r="I984" s="111" t="n"/>
      <c r="J984" s="114" t="n"/>
      <c r="K984" s="114" t="n"/>
      <c r="L984" s="112" t="n"/>
      <c r="M984" s="112" t="n"/>
      <c r="N984" s="112" t="n"/>
      <c r="O984" s="115" t="str">
        <f>IF(OR(D984="",F984=""),"",D984+F984)</f>
        <v/>
      </c>
      <c r="P984" s="116" t="str">
        <f>IF(O984="","",IF(ISNUMBER(M984),O984-M984,IF(OR(H984="DECISÃO D.P",ISNUMBER(N984)),"",O984-TODAY())))</f>
        <v/>
      </c>
      <c r="Q984" s="117" t="str">
        <f>IF(B984="","",IF(ISNUMBER(N984),"DECIDIDO – ","")&amp;IF(ISNUMBER(M984),IF(P984="",IF(F984="","INFORMAR PRAZO","SEM DATA"),IF(P984&gt;=0,"DEFESA NO PRAZO","DEFESA FORA DO PRAZO")),IF(OR(H984="DECISÃO D.P",ISNUMBER(N984)),"SEM DEFESA",IF(H984="","SEM STATUS",IF(F984="","INFORMAR PRAZO",IF(P984="","SEM DATA",IF(P984&lt;0,"VENCIDO",IF(P984&lt;=DiasAlerta,"VENCE EM BREVE","NO PRAZO"))))))))</f>
        <v/>
      </c>
      <c r="R984" s="118" t="str">
        <f>IF(D984="","",TODAY()-D984)</f>
        <v/>
      </c>
      <c r="S984" s="111" t="n"/>
    </row>
    <row r="985" ht="18" customHeight="1">
      <c r="A985" s="110" t="n"/>
      <c r="B985" s="111" t="n"/>
      <c r="C985" s="111" t="n"/>
      <c r="D985" s="112" t="n"/>
      <c r="E985" s="111" t="n"/>
      <c r="F985" s="110" t="n"/>
      <c r="G985" s="113" t="n"/>
      <c r="H985" s="113" t="n"/>
      <c r="I985" s="111" t="n"/>
      <c r="J985" s="114" t="n"/>
      <c r="K985" s="114" t="n"/>
      <c r="L985" s="112" t="n"/>
      <c r="M985" s="112" t="n"/>
      <c r="N985" s="112" t="n"/>
      <c r="O985" s="115" t="str">
        <f>IF(OR(D985="",F985=""),"",D985+F985)</f>
        <v/>
      </c>
      <c r="P985" s="116" t="str">
        <f>IF(O985="","",IF(ISNUMBER(M985),O985-M985,IF(OR(H985="DECISÃO D.P",ISNUMBER(N985)),"",O985-TODAY())))</f>
        <v/>
      </c>
      <c r="Q985" s="117" t="str">
        <f>IF(B985="","",IF(ISNUMBER(N985),"DECIDIDO – ","")&amp;IF(ISNUMBER(M985),IF(P985="",IF(F985="","INFORMAR PRAZO","SEM DATA"),IF(P985&gt;=0,"DEFESA NO PRAZO","DEFESA FORA DO PRAZO")),IF(OR(H985="DECISÃO D.P",ISNUMBER(N985)),"SEM DEFESA",IF(H985="","SEM STATUS",IF(F985="","INFORMAR PRAZO",IF(P985="","SEM DATA",IF(P985&lt;0,"VENCIDO",IF(P985&lt;=DiasAlerta,"VENCE EM BREVE","NO PRAZO"))))))))</f>
        <v/>
      </c>
      <c r="R985" s="118" t="str">
        <f>IF(D985="","",TODAY()-D985)</f>
        <v/>
      </c>
      <c r="S985" s="111" t="n"/>
    </row>
    <row r="986" ht="18" customHeight="1">
      <c r="A986" s="110" t="n"/>
      <c r="B986" s="111" t="n"/>
      <c r="C986" s="111" t="n"/>
      <c r="D986" s="112" t="n"/>
      <c r="E986" s="111" t="n"/>
      <c r="F986" s="110" t="n"/>
      <c r="G986" s="113" t="n"/>
      <c r="H986" s="113" t="n"/>
      <c r="I986" s="111" t="n"/>
      <c r="J986" s="114" t="n"/>
      <c r="K986" s="114" t="n"/>
      <c r="L986" s="112" t="n"/>
      <c r="M986" s="112" t="n"/>
      <c r="N986" s="112" t="n"/>
      <c r="O986" s="115" t="str">
        <f>IF(OR(D986="",F986=""),"",D986+F986)</f>
        <v/>
      </c>
      <c r="P986" s="116" t="str">
        <f>IF(O986="","",IF(ISNUMBER(M986),O986-M986,IF(OR(H986="DECISÃO D.P",ISNUMBER(N986)),"",O986-TODAY())))</f>
        <v/>
      </c>
      <c r="Q986" s="117" t="str">
        <f>IF(B986="","",IF(ISNUMBER(N986),"DECIDIDO – ","")&amp;IF(ISNUMBER(M986),IF(P986="",IF(F986="","INFORMAR PRAZO","SEM DATA"),IF(P986&gt;=0,"DEFESA NO PRAZO","DEFESA FORA DO PRAZO")),IF(OR(H986="DECISÃO D.P",ISNUMBER(N986)),"SEM DEFESA",IF(H986="","SEM STATUS",IF(F986="","INFORMAR PRAZO",IF(P986="","SEM DATA",IF(P986&lt;0,"VENCIDO",IF(P986&lt;=DiasAlerta,"VENCE EM BREVE","NO PRAZO"))))))))</f>
        <v/>
      </c>
      <c r="R986" s="118" t="str">
        <f>IF(D986="","",TODAY()-D986)</f>
        <v/>
      </c>
      <c r="S986" s="111" t="n"/>
    </row>
    <row r="987" ht="18" customHeight="1">
      <c r="A987" s="110" t="n"/>
      <c r="B987" s="111" t="n"/>
      <c r="C987" s="111" t="n"/>
      <c r="D987" s="112" t="n"/>
      <c r="E987" s="111" t="n"/>
      <c r="F987" s="110" t="n"/>
      <c r="G987" s="113" t="n"/>
      <c r="H987" s="113" t="n"/>
      <c r="I987" s="111" t="n"/>
      <c r="J987" s="114" t="n"/>
      <c r="K987" s="114" t="n"/>
      <c r="L987" s="112" t="n"/>
      <c r="M987" s="112" t="n"/>
      <c r="N987" s="112" t="n"/>
      <c r="O987" s="115" t="str">
        <f>IF(OR(D987="",F987=""),"",D987+F987)</f>
        <v/>
      </c>
      <c r="P987" s="116" t="str">
        <f>IF(O987="","",IF(ISNUMBER(M987),O987-M987,IF(OR(H987="DECISÃO D.P",ISNUMBER(N987)),"",O987-TODAY())))</f>
        <v/>
      </c>
      <c r="Q987" s="117" t="str">
        <f>IF(B987="","",IF(ISNUMBER(N987),"DECIDIDO – ","")&amp;IF(ISNUMBER(M987),IF(P987="",IF(F987="","INFORMAR PRAZO","SEM DATA"),IF(P987&gt;=0,"DEFESA NO PRAZO","DEFESA FORA DO PRAZO")),IF(OR(H987="DECISÃO D.P",ISNUMBER(N987)),"SEM DEFESA",IF(H987="","SEM STATUS",IF(F987="","INFORMAR PRAZO",IF(P987="","SEM DATA",IF(P987&lt;0,"VENCIDO",IF(P987&lt;=DiasAlerta,"VENCE EM BREVE","NO PRAZO"))))))))</f>
        <v/>
      </c>
      <c r="R987" s="118" t="str">
        <f>IF(D987="","",TODAY()-D987)</f>
        <v/>
      </c>
      <c r="S987" s="111" t="n"/>
    </row>
    <row r="988" ht="18" customHeight="1">
      <c r="A988" s="110" t="n"/>
      <c r="B988" s="111" t="n"/>
      <c r="C988" s="111" t="n"/>
      <c r="D988" s="112" t="n"/>
      <c r="E988" s="111" t="n"/>
      <c r="F988" s="110" t="n"/>
      <c r="G988" s="113" t="n"/>
      <c r="H988" s="113" t="n"/>
      <c r="I988" s="111" t="n"/>
      <c r="J988" s="114" t="n"/>
      <c r="K988" s="114" t="n"/>
      <c r="L988" s="112" t="n"/>
      <c r="M988" s="112" t="n"/>
      <c r="N988" s="112" t="n"/>
      <c r="O988" s="115" t="str">
        <f>IF(OR(D988="",F988=""),"",D988+F988)</f>
        <v/>
      </c>
      <c r="P988" s="116" t="str">
        <f>IF(O988="","",IF(ISNUMBER(M988),O988-M988,IF(OR(H988="DECISÃO D.P",ISNUMBER(N988)),"",O988-TODAY())))</f>
        <v/>
      </c>
      <c r="Q988" s="117" t="str">
        <f>IF(B988="","",IF(ISNUMBER(N988),"DECIDIDO – ","")&amp;IF(ISNUMBER(M988),IF(P988="",IF(F988="","INFORMAR PRAZO","SEM DATA"),IF(P988&gt;=0,"DEFESA NO PRAZO","DEFESA FORA DO PRAZO")),IF(OR(H988="DECISÃO D.P",ISNUMBER(N988)),"SEM DEFESA",IF(H988="","SEM STATUS",IF(F988="","INFORMAR PRAZO",IF(P988="","SEM DATA",IF(P988&lt;0,"VENCIDO",IF(P988&lt;=DiasAlerta,"VENCE EM BREVE","NO PRAZO"))))))))</f>
        <v/>
      </c>
      <c r="R988" s="118" t="str">
        <f>IF(D988="","",TODAY()-D988)</f>
        <v/>
      </c>
      <c r="S988" s="111" t="n"/>
    </row>
    <row r="989" ht="18" customHeight="1">
      <c r="A989" s="110" t="n"/>
      <c r="B989" s="111" t="n"/>
      <c r="C989" s="111" t="n"/>
      <c r="D989" s="112" t="n"/>
      <c r="E989" s="111" t="n"/>
      <c r="F989" s="110" t="n"/>
      <c r="G989" s="113" t="n"/>
      <c r="H989" s="113" t="n"/>
      <c r="I989" s="111" t="n"/>
      <c r="J989" s="114" t="n"/>
      <c r="K989" s="114" t="n"/>
      <c r="L989" s="112" t="n"/>
      <c r="M989" s="112" t="n"/>
      <c r="N989" s="112" t="n"/>
      <c r="O989" s="115" t="str">
        <f>IF(OR(D989="",F989=""),"",D989+F989)</f>
        <v/>
      </c>
      <c r="P989" s="116" t="str">
        <f>IF(O989="","",IF(ISNUMBER(M989),O989-M989,IF(OR(H989="DECISÃO D.P",ISNUMBER(N989)),"",O989-TODAY())))</f>
        <v/>
      </c>
      <c r="Q989" s="117" t="str">
        <f>IF(B989="","",IF(ISNUMBER(N989),"DECIDIDO – ","")&amp;IF(ISNUMBER(M989),IF(P989="",IF(F989="","INFORMAR PRAZO","SEM DATA"),IF(P989&gt;=0,"DEFESA NO PRAZO","DEFESA FORA DO PRAZO")),IF(OR(H989="DECISÃO D.P",ISNUMBER(N989)),"SEM DEFESA",IF(H989="","SEM STATUS",IF(F989="","INFORMAR PRAZO",IF(P989="","SEM DATA",IF(P989&lt;0,"VENCIDO",IF(P989&lt;=DiasAlerta,"VENCE EM BREVE","NO PRAZO"))))))))</f>
        <v/>
      </c>
      <c r="R989" s="118" t="str">
        <f>IF(D989="","",TODAY()-D989)</f>
        <v/>
      </c>
      <c r="S989" s="111" t="n"/>
    </row>
    <row r="990" ht="18" customHeight="1">
      <c r="A990" s="110" t="n"/>
      <c r="B990" s="111" t="n"/>
      <c r="C990" s="111" t="n"/>
      <c r="D990" s="112" t="n"/>
      <c r="E990" s="111" t="n"/>
      <c r="F990" s="110" t="n"/>
      <c r="G990" s="113" t="n"/>
      <c r="H990" s="113" t="n"/>
      <c r="I990" s="111" t="n"/>
      <c r="J990" s="114" t="n"/>
      <c r="K990" s="114" t="n"/>
      <c r="L990" s="112" t="n"/>
      <c r="M990" s="112" t="n"/>
      <c r="N990" s="112" t="n"/>
      <c r="O990" s="115" t="str">
        <f>IF(OR(D990="",F990=""),"",D990+F990)</f>
        <v/>
      </c>
      <c r="P990" s="116" t="str">
        <f>IF(O990="","",IF(ISNUMBER(M990),O990-M990,IF(OR(H990="DECISÃO D.P",ISNUMBER(N990)),"",O990-TODAY())))</f>
        <v/>
      </c>
      <c r="Q990" s="117" t="str">
        <f>IF(B990="","",IF(ISNUMBER(N990),"DECIDIDO – ","")&amp;IF(ISNUMBER(M990),IF(P990="",IF(F990="","INFORMAR PRAZO","SEM DATA"),IF(P990&gt;=0,"DEFESA NO PRAZO","DEFESA FORA DO PRAZO")),IF(OR(H990="DECISÃO D.P",ISNUMBER(N990)),"SEM DEFESA",IF(H990="","SEM STATUS",IF(F990="","INFORMAR PRAZO",IF(P990="","SEM DATA",IF(P990&lt;0,"VENCIDO",IF(P990&lt;=DiasAlerta,"VENCE EM BREVE","NO PRAZO"))))))))</f>
        <v/>
      </c>
      <c r="R990" s="118" t="str">
        <f>IF(D990="","",TODAY()-D990)</f>
        <v/>
      </c>
      <c r="S990" s="111" t="n"/>
    </row>
    <row r="991" ht="18" customHeight="1">
      <c r="A991" s="110" t="n"/>
      <c r="B991" s="111" t="n"/>
      <c r="C991" s="111" t="n"/>
      <c r="D991" s="112" t="n"/>
      <c r="E991" s="111" t="n"/>
      <c r="F991" s="110" t="n"/>
      <c r="G991" s="113" t="n"/>
      <c r="H991" s="113" t="n"/>
      <c r="I991" s="111" t="n"/>
      <c r="J991" s="114" t="n"/>
      <c r="K991" s="114" t="n"/>
      <c r="L991" s="112" t="n"/>
      <c r="M991" s="112" t="n"/>
      <c r="N991" s="112" t="n"/>
      <c r="O991" s="115" t="str">
        <f>IF(OR(D991="",F991=""),"",D991+F991)</f>
        <v/>
      </c>
      <c r="P991" s="116" t="str">
        <f>IF(O991="","",IF(ISNUMBER(M991),O991-M991,IF(OR(H991="DECISÃO D.P",ISNUMBER(N991)),"",O991-TODAY())))</f>
        <v/>
      </c>
      <c r="Q991" s="117" t="str">
        <f>IF(B991="","",IF(ISNUMBER(N991),"DECIDIDO – ","")&amp;IF(ISNUMBER(M991),IF(P991="",IF(F991="","INFORMAR PRAZO","SEM DATA"),IF(P991&gt;=0,"DEFESA NO PRAZO","DEFESA FORA DO PRAZO")),IF(OR(H991="DECISÃO D.P",ISNUMBER(N991)),"SEM DEFESA",IF(H991="","SEM STATUS",IF(F991="","INFORMAR PRAZO",IF(P991="","SEM DATA",IF(P991&lt;0,"VENCIDO",IF(P991&lt;=DiasAlerta,"VENCE EM BREVE","NO PRAZO"))))))))</f>
        <v/>
      </c>
      <c r="R991" s="118" t="str">
        <f>IF(D991="","",TODAY()-D991)</f>
        <v/>
      </c>
      <c r="S991" s="111" t="n"/>
    </row>
    <row r="992" ht="18" customHeight="1">
      <c r="A992" s="110" t="n"/>
      <c r="B992" s="111" t="n"/>
      <c r="C992" s="111" t="n"/>
      <c r="D992" s="112" t="n"/>
      <c r="E992" s="111" t="n"/>
      <c r="F992" s="110" t="n"/>
      <c r="G992" s="113" t="n"/>
      <c r="H992" s="113" t="n"/>
      <c r="I992" s="111" t="n"/>
      <c r="J992" s="114" t="n"/>
      <c r="K992" s="114" t="n"/>
      <c r="L992" s="112" t="n"/>
      <c r="M992" s="112" t="n"/>
      <c r="N992" s="112" t="n"/>
      <c r="O992" s="115" t="str">
        <f>IF(OR(D992="",F992=""),"",D992+F992)</f>
        <v/>
      </c>
      <c r="P992" s="116" t="str">
        <f>IF(O992="","",IF(ISNUMBER(M992),O992-M992,IF(OR(H992="DECISÃO D.P",ISNUMBER(N992)),"",O992-TODAY())))</f>
        <v/>
      </c>
      <c r="Q992" s="117" t="str">
        <f>IF(B992="","",IF(ISNUMBER(N992),"DECIDIDO – ","")&amp;IF(ISNUMBER(M992),IF(P992="",IF(F992="","INFORMAR PRAZO","SEM DATA"),IF(P992&gt;=0,"DEFESA NO PRAZO","DEFESA FORA DO PRAZO")),IF(OR(H992="DECISÃO D.P",ISNUMBER(N992)),"SEM DEFESA",IF(H992="","SEM STATUS",IF(F992="","INFORMAR PRAZO",IF(P992="","SEM DATA",IF(P992&lt;0,"VENCIDO",IF(P992&lt;=DiasAlerta,"VENCE EM BREVE","NO PRAZO"))))))))</f>
        <v/>
      </c>
      <c r="R992" s="118" t="str">
        <f>IF(D992="","",TODAY()-D992)</f>
        <v/>
      </c>
      <c r="S992" s="111" t="n"/>
    </row>
    <row r="993" ht="18" customHeight="1">
      <c r="A993" s="110" t="n"/>
      <c r="B993" s="111" t="n"/>
      <c r="C993" s="111" t="n"/>
      <c r="D993" s="112" t="n"/>
      <c r="E993" s="111" t="n"/>
      <c r="F993" s="110" t="n"/>
      <c r="G993" s="113" t="n"/>
      <c r="H993" s="113" t="n"/>
      <c r="I993" s="111" t="n"/>
      <c r="J993" s="114" t="n"/>
      <c r="K993" s="114" t="n"/>
      <c r="L993" s="112" t="n"/>
      <c r="M993" s="112" t="n"/>
      <c r="N993" s="112" t="n"/>
      <c r="O993" s="115" t="str">
        <f>IF(OR(D993="",F993=""),"",D993+F993)</f>
        <v/>
      </c>
      <c r="P993" s="116" t="str">
        <f>IF(O993="","",IF(ISNUMBER(M993),O993-M993,IF(OR(H993="DECISÃO D.P",ISNUMBER(N993)),"",O993-TODAY())))</f>
        <v/>
      </c>
      <c r="Q993" s="117" t="str">
        <f>IF(B993="","",IF(ISNUMBER(N993),"DECIDIDO – ","")&amp;IF(ISNUMBER(M993),IF(P993="",IF(F993="","INFORMAR PRAZO","SEM DATA"),IF(P993&gt;=0,"DEFESA NO PRAZO","DEFESA FORA DO PRAZO")),IF(OR(H993="DECISÃO D.P",ISNUMBER(N993)),"SEM DEFESA",IF(H993="","SEM STATUS",IF(F993="","INFORMAR PRAZO",IF(P993="","SEM DATA",IF(P993&lt;0,"VENCIDO",IF(P993&lt;=DiasAlerta,"VENCE EM BREVE","NO PRAZO"))))))))</f>
        <v/>
      </c>
      <c r="R993" s="118" t="str">
        <f>IF(D993="","",TODAY()-D993)</f>
        <v/>
      </c>
      <c r="S993" s="111" t="n"/>
    </row>
    <row r="994" ht="18" customHeight="1">
      <c r="A994" s="110" t="n"/>
      <c r="B994" s="111" t="n"/>
      <c r="C994" s="111" t="n"/>
      <c r="D994" s="112" t="n"/>
      <c r="E994" s="111" t="n"/>
      <c r="F994" s="110" t="n"/>
      <c r="G994" s="113" t="n"/>
      <c r="H994" s="113" t="n"/>
      <c r="I994" s="111" t="n"/>
      <c r="J994" s="114" t="n"/>
      <c r="K994" s="114" t="n"/>
      <c r="L994" s="112" t="n"/>
      <c r="M994" s="112" t="n"/>
      <c r="N994" s="112" t="n"/>
      <c r="O994" s="115" t="str">
        <f>IF(OR(D994="",F994=""),"",D994+F994)</f>
        <v/>
      </c>
      <c r="P994" s="116" t="str">
        <f>IF(O994="","",IF(ISNUMBER(M994),O994-M994,IF(OR(H994="DECISÃO D.P",ISNUMBER(N994)),"",O994-TODAY())))</f>
        <v/>
      </c>
      <c r="Q994" s="117" t="str">
        <f>IF(B994="","",IF(ISNUMBER(N994),"DECIDIDO – ","")&amp;IF(ISNUMBER(M994),IF(P994="",IF(F994="","INFORMAR PRAZO","SEM DATA"),IF(P994&gt;=0,"DEFESA NO PRAZO","DEFESA FORA DO PRAZO")),IF(OR(H994="DECISÃO D.P",ISNUMBER(N994)),"SEM DEFESA",IF(H994="","SEM STATUS",IF(F994="","INFORMAR PRAZO",IF(P994="","SEM DATA",IF(P994&lt;0,"VENCIDO",IF(P994&lt;=DiasAlerta,"VENCE EM BREVE","NO PRAZO"))))))))</f>
        <v/>
      </c>
      <c r="R994" s="118" t="str">
        <f>IF(D994="","",TODAY()-D994)</f>
        <v/>
      </c>
      <c r="S994" s="111" t="n"/>
    </row>
    <row r="995" ht="18" customHeight="1">
      <c r="A995" s="110" t="n"/>
      <c r="B995" s="111" t="n"/>
      <c r="C995" s="111" t="n"/>
      <c r="D995" s="112" t="n"/>
      <c r="E995" s="111" t="n"/>
      <c r="F995" s="110" t="n"/>
      <c r="G995" s="113" t="n"/>
      <c r="H995" s="113" t="n"/>
      <c r="I995" s="111" t="n"/>
      <c r="J995" s="114" t="n"/>
      <c r="K995" s="114" t="n"/>
      <c r="L995" s="112" t="n"/>
      <c r="M995" s="112" t="n"/>
      <c r="N995" s="112" t="n"/>
      <c r="O995" s="115" t="str">
        <f>IF(OR(D995="",F995=""),"",D995+F995)</f>
        <v/>
      </c>
      <c r="P995" s="116" t="str">
        <f>IF(O995="","",IF(ISNUMBER(M995),O995-M995,IF(OR(H995="DECISÃO D.P",ISNUMBER(N995)),"",O995-TODAY())))</f>
        <v/>
      </c>
      <c r="Q995" s="117" t="str">
        <f>IF(B995="","",IF(ISNUMBER(N995),"DECIDIDO – ","")&amp;IF(ISNUMBER(M995),IF(P995="",IF(F995="","INFORMAR PRAZO","SEM DATA"),IF(P995&gt;=0,"DEFESA NO PRAZO","DEFESA FORA DO PRAZO")),IF(OR(H995="DECISÃO D.P",ISNUMBER(N995)),"SEM DEFESA",IF(H995="","SEM STATUS",IF(F995="","INFORMAR PRAZO",IF(P995="","SEM DATA",IF(P995&lt;0,"VENCIDO",IF(P995&lt;=DiasAlerta,"VENCE EM BREVE","NO PRAZO"))))))))</f>
        <v/>
      </c>
      <c r="R995" s="118" t="str">
        <f>IF(D995="","",TODAY()-D995)</f>
        <v/>
      </c>
      <c r="S995" s="111" t="n"/>
    </row>
    <row r="996" ht="18" customHeight="1">
      <c r="A996" s="110" t="n"/>
      <c r="B996" s="111" t="n"/>
      <c r="C996" s="111" t="n"/>
      <c r="D996" s="112" t="n"/>
      <c r="E996" s="111" t="n"/>
      <c r="F996" s="110" t="n"/>
      <c r="G996" s="113" t="n"/>
      <c r="H996" s="113" t="n"/>
      <c r="I996" s="111" t="n"/>
      <c r="J996" s="114" t="n"/>
      <c r="K996" s="114" t="n"/>
      <c r="L996" s="112" t="n"/>
      <c r="M996" s="112" t="n"/>
      <c r="N996" s="112" t="n"/>
      <c r="O996" s="115" t="str">
        <f>IF(OR(D996="",F996=""),"",D996+F996)</f>
        <v/>
      </c>
      <c r="P996" s="116" t="str">
        <f>IF(O996="","",IF(ISNUMBER(M996),O996-M996,IF(OR(H996="DECISÃO D.P",ISNUMBER(N996)),"",O996-TODAY())))</f>
        <v/>
      </c>
      <c r="Q996" s="117" t="str">
        <f>IF(B996="","",IF(ISNUMBER(N996),"DECIDIDO – ","")&amp;IF(ISNUMBER(M996),IF(P996="",IF(F996="","INFORMAR PRAZO","SEM DATA"),IF(P996&gt;=0,"DEFESA NO PRAZO","DEFESA FORA DO PRAZO")),IF(OR(H996="DECISÃO D.P",ISNUMBER(N996)),"SEM DEFESA",IF(H996="","SEM STATUS",IF(F996="","INFORMAR PRAZO",IF(P996="","SEM DATA",IF(P996&lt;0,"VENCIDO",IF(P996&lt;=DiasAlerta,"VENCE EM BREVE","NO PRAZO"))))))))</f>
        <v/>
      </c>
      <c r="R996" s="118" t="str">
        <f>IF(D996="","",TODAY()-D996)</f>
        <v/>
      </c>
      <c r="S996" s="111" t="n"/>
    </row>
    <row r="997" ht="18" customHeight="1">
      <c r="A997" s="110" t="n"/>
      <c r="B997" s="111" t="n"/>
      <c r="C997" s="111" t="n"/>
      <c r="D997" s="112" t="n"/>
      <c r="E997" s="111" t="n"/>
      <c r="F997" s="110" t="n"/>
      <c r="G997" s="113" t="n"/>
      <c r="H997" s="113" t="n"/>
      <c r="I997" s="111" t="n"/>
      <c r="J997" s="114" t="n"/>
      <c r="K997" s="114" t="n"/>
      <c r="L997" s="112" t="n"/>
      <c r="M997" s="112" t="n"/>
      <c r="N997" s="112" t="n"/>
      <c r="O997" s="115" t="str">
        <f>IF(OR(D997="",F997=""),"",D997+F997)</f>
        <v/>
      </c>
      <c r="P997" s="116" t="str">
        <f>IF(O997="","",IF(ISNUMBER(M997),O997-M997,IF(OR(H997="DECISÃO D.P",ISNUMBER(N997)),"",O997-TODAY())))</f>
        <v/>
      </c>
      <c r="Q997" s="117" t="str">
        <f>IF(B997="","",IF(ISNUMBER(N997),"DECIDIDO – ","")&amp;IF(ISNUMBER(M997),IF(P997="",IF(F997="","INFORMAR PRAZO","SEM DATA"),IF(P997&gt;=0,"DEFESA NO PRAZO","DEFESA FORA DO PRAZO")),IF(OR(H997="DECISÃO D.P",ISNUMBER(N997)),"SEM DEFESA",IF(H997="","SEM STATUS",IF(F997="","INFORMAR PRAZO",IF(P997="","SEM DATA",IF(P997&lt;0,"VENCIDO",IF(P997&lt;=DiasAlerta,"VENCE EM BREVE","NO PRAZO"))))))))</f>
        <v/>
      </c>
      <c r="R997" s="118" t="str">
        <f>IF(D997="","",TODAY()-D997)</f>
        <v/>
      </c>
      <c r="S997" s="111" t="n"/>
    </row>
    <row r="998" ht="18" customHeight="1">
      <c r="A998" s="110" t="n"/>
      <c r="B998" s="111" t="n"/>
      <c r="C998" s="111" t="n"/>
      <c r="D998" s="112" t="n"/>
      <c r="E998" s="111" t="n"/>
      <c r="F998" s="110" t="n"/>
      <c r="G998" s="113" t="n"/>
      <c r="H998" s="113" t="n"/>
      <c r="I998" s="111" t="n"/>
      <c r="J998" s="114" t="n"/>
      <c r="K998" s="114" t="n"/>
      <c r="L998" s="112" t="n"/>
      <c r="M998" s="112" t="n"/>
      <c r="N998" s="112" t="n"/>
      <c r="O998" s="115" t="str">
        <f>IF(OR(D998="",F998=""),"",D998+F998)</f>
        <v/>
      </c>
      <c r="P998" s="116" t="str">
        <f>IF(O998="","",IF(ISNUMBER(M998),O998-M998,IF(OR(H998="DECISÃO D.P",ISNUMBER(N998)),"",O998-TODAY())))</f>
        <v/>
      </c>
      <c r="Q998" s="117" t="str">
        <f>IF(B998="","",IF(ISNUMBER(N998),"DECIDIDO – ","")&amp;IF(ISNUMBER(M998),IF(P998="",IF(F998="","INFORMAR PRAZO","SEM DATA"),IF(P998&gt;=0,"DEFESA NO PRAZO","DEFESA FORA DO PRAZO")),IF(OR(H998="DECISÃO D.P",ISNUMBER(N998)),"SEM DEFESA",IF(H998="","SEM STATUS",IF(F998="","INFORMAR PRAZO",IF(P998="","SEM DATA",IF(P998&lt;0,"VENCIDO",IF(P998&lt;=DiasAlerta,"VENCE EM BREVE","NO PRAZO"))))))))</f>
        <v/>
      </c>
      <c r="R998" s="118" t="str">
        <f>IF(D998="","",TODAY()-D998)</f>
        <v/>
      </c>
      <c r="S998" s="111" t="n"/>
    </row>
    <row r="999" ht="18" customHeight="1">
      <c r="A999" s="110" t="n"/>
      <c r="B999" s="111" t="n"/>
      <c r="C999" s="111" t="n"/>
      <c r="D999" s="112" t="n"/>
      <c r="E999" s="111" t="n"/>
      <c r="F999" s="110" t="n"/>
      <c r="G999" s="113" t="n"/>
      <c r="H999" s="113" t="n"/>
      <c r="I999" s="111" t="n"/>
      <c r="J999" s="114" t="n"/>
      <c r="K999" s="114" t="n"/>
      <c r="L999" s="112" t="n"/>
      <c r="M999" s="112" t="n"/>
      <c r="N999" s="112" t="n"/>
      <c r="O999" s="115" t="str">
        <f>IF(OR(D999="",F999=""),"",D999+F999)</f>
        <v/>
      </c>
      <c r="P999" s="116" t="str">
        <f>IF(O999="","",IF(ISNUMBER(M999),O999-M999,IF(OR(H999="DECISÃO D.P",ISNUMBER(N999)),"",O999-TODAY())))</f>
        <v/>
      </c>
      <c r="Q999" s="117" t="str">
        <f>IF(B999="","",IF(ISNUMBER(N999),"DECIDIDO – ","")&amp;IF(ISNUMBER(M999),IF(P999="",IF(F999="","INFORMAR PRAZO","SEM DATA"),IF(P999&gt;=0,"DEFESA NO PRAZO","DEFESA FORA DO PRAZO")),IF(OR(H999="DECISÃO D.P",ISNUMBER(N999)),"SEM DEFESA",IF(H999="","SEM STATUS",IF(F999="","INFORMAR PRAZO",IF(P999="","SEM DATA",IF(P999&lt;0,"VENCIDO",IF(P999&lt;=DiasAlerta,"VENCE EM BREVE","NO PRAZO"))))))))</f>
        <v/>
      </c>
      <c r="R999" s="118" t="str">
        <f>IF(D999="","",TODAY()-D999)</f>
        <v/>
      </c>
      <c r="S999" s="111" t="n"/>
    </row>
    <row r="1000" ht="18" customHeight="1">
      <c r="A1000" s="110" t="n"/>
      <c r="B1000" s="111" t="n"/>
      <c r="C1000" s="111" t="n"/>
      <c r="D1000" s="112" t="n"/>
      <c r="E1000" s="111" t="n"/>
      <c r="F1000" s="110" t="n"/>
      <c r="G1000" s="113" t="n"/>
      <c r="H1000" s="113" t="n"/>
      <c r="I1000" s="111" t="n"/>
      <c r="J1000" s="114" t="n"/>
      <c r="K1000" s="114" t="n"/>
      <c r="L1000" s="112" t="n"/>
      <c r="M1000" s="112" t="n"/>
      <c r="N1000" s="112" t="n"/>
      <c r="O1000" s="115" t="str">
        <f>IF(OR(D1000="",F1000=""),"",D1000+F1000)</f>
        <v/>
      </c>
      <c r="P1000" s="116" t="str">
        <f>IF(O1000="","",IF(ISNUMBER(M1000),O1000-M1000,IF(OR(H1000="DECISÃO D.P",ISNUMBER(N1000)),"",O1000-TODAY())))</f>
        <v/>
      </c>
      <c r="Q1000" s="117" t="str">
        <f>IF(B1000="","",IF(ISNUMBER(N1000),"DECIDIDO – ","")&amp;IF(ISNUMBER(M1000),IF(P1000="",IF(F1000="","INFORMAR PRAZO","SEM DATA"),IF(P1000&gt;=0,"DEFESA NO PRAZO","DEFESA FORA DO PRAZO")),IF(OR(H1000="DECISÃO D.P",ISNUMBER(N1000)),"SEM DEFESA",IF(H1000="","SEM STATUS",IF(F1000="","INFORMAR PRAZO",IF(P1000="","SEM DATA",IF(P1000&lt;0,"VENCIDO",IF(P1000&lt;=DiasAlerta,"VENCE EM BREVE","NO PRAZO"))))))))</f>
        <v/>
      </c>
      <c r="R1000" s="118" t="str">
        <f>IF(D1000="","",TODAY()-D1000)</f>
        <v/>
      </c>
      <c r="S1000" s="111" t="n"/>
    </row>
    <row r="1001" ht="18" customHeight="1">
      <c r="A1001" s="110" t="n"/>
      <c r="B1001" s="111" t="n"/>
      <c r="C1001" s="111" t="n"/>
      <c r="D1001" s="112" t="n"/>
      <c r="E1001" s="111" t="n"/>
      <c r="F1001" s="110" t="n"/>
      <c r="G1001" s="113" t="n"/>
      <c r="H1001" s="113" t="n"/>
      <c r="I1001" s="111" t="n"/>
      <c r="J1001" s="114" t="n"/>
      <c r="K1001" s="114" t="n"/>
      <c r="L1001" s="112" t="n"/>
      <c r="M1001" s="112" t="n"/>
      <c r="N1001" s="112" t="n"/>
      <c r="O1001" s="115" t="str">
        <f>IF(OR(D1001="",F1001=""),"",D1001+F1001)</f>
        <v/>
      </c>
      <c r="P1001" s="116" t="str">
        <f>IF(O1001="","",IF(ISNUMBER(M1001),O1001-M1001,IF(OR(H1001="DECISÃO D.P",ISNUMBER(N1001)),"",O1001-TODAY())))</f>
        <v/>
      </c>
      <c r="Q1001" s="117" t="str">
        <f>IF(B1001="","",IF(ISNUMBER(N1001),"DECIDIDO – ","")&amp;IF(ISNUMBER(M1001),IF(P1001="",IF(F1001="","INFORMAR PRAZO","SEM DATA"),IF(P1001&gt;=0,"DEFESA NO PRAZO","DEFESA FORA DO PRAZO")),IF(OR(H1001="DECISÃO D.P",ISNUMBER(N1001)),"SEM DEFESA",IF(H1001="","SEM STATUS",IF(F1001="","INFORMAR PRAZO",IF(P1001="","SEM DATA",IF(P1001&lt;0,"VENCIDO",IF(P1001&lt;=DiasAlerta,"VENCE EM BREVE","NO PRAZO"))))))))</f>
        <v/>
      </c>
      <c r="R1001" s="118" t="str">
        <f>IF(D1001="","",TODAY()-D1001)</f>
        <v/>
      </c>
      <c r="S1001" s="111" t="n"/>
    </row>
    <row r="1002" ht="18" customHeight="1">
      <c r="A1002" s="110" t="n"/>
      <c r="B1002" s="111" t="n"/>
      <c r="C1002" s="111" t="n"/>
      <c r="D1002" s="112" t="n"/>
      <c r="E1002" s="111" t="n"/>
      <c r="F1002" s="110" t="n"/>
      <c r="G1002" s="113" t="n"/>
      <c r="H1002" s="113" t="n"/>
      <c r="I1002" s="111" t="n"/>
      <c r="J1002" s="114" t="n"/>
      <c r="K1002" s="114" t="n"/>
      <c r="L1002" s="112" t="n"/>
      <c r="M1002" s="112" t="n"/>
      <c r="N1002" s="112" t="n"/>
      <c r="O1002" s="115" t="str">
        <f>IF(OR(D1002="",F1002=""),"",D1002+F1002)</f>
        <v/>
      </c>
      <c r="P1002" s="116" t="str">
        <f>IF(O1002="","",IF(ISNUMBER(M1002),O1002-M1002,IF(OR(H1002="DECISÃO D.P",ISNUMBER(N1002)),"",O1002-TODAY())))</f>
        <v/>
      </c>
      <c r="Q1002" s="117" t="str">
        <f>IF(B1002="","",IF(ISNUMBER(N1002),"DECIDIDO – ","")&amp;IF(ISNUMBER(M1002),IF(P1002="",IF(F1002="","INFORMAR PRAZO","SEM DATA"),IF(P1002&gt;=0,"DEFESA NO PRAZO","DEFESA FORA DO PRAZO")),IF(OR(H1002="DECISÃO D.P",ISNUMBER(N1002)),"SEM DEFESA",IF(H1002="","SEM STATUS",IF(F1002="","INFORMAR PRAZO",IF(P1002="","SEM DATA",IF(P1002&lt;0,"VENCIDO",IF(P1002&lt;=DiasAlerta,"VENCE EM BREVE","NO PRAZO"))))))))</f>
        <v/>
      </c>
      <c r="R1002" s="118" t="str">
        <f>IF(D1002="","",TODAY()-D1002)</f>
        <v/>
      </c>
      <c r="S1002" s="111" t="n"/>
    </row>
    <row r="1003" ht="18" customHeight="1">
      <c r="A1003" s="110" t="n"/>
      <c r="B1003" s="111" t="n"/>
      <c r="C1003" s="111" t="n"/>
      <c r="D1003" s="112" t="n"/>
      <c r="E1003" s="111" t="n"/>
      <c r="F1003" s="110" t="n"/>
      <c r="G1003" s="113" t="n"/>
      <c r="H1003" s="113" t="n"/>
      <c r="I1003" s="111" t="n"/>
      <c r="J1003" s="114" t="n"/>
      <c r="K1003" s="114" t="n"/>
      <c r="L1003" s="112" t="n"/>
      <c r="M1003" s="112" t="n"/>
      <c r="N1003" s="112" t="n"/>
      <c r="O1003" s="115" t="str">
        <f>IF(OR(D1003="",F1003=""),"",D1003+F1003)</f>
        <v/>
      </c>
      <c r="P1003" s="116" t="str">
        <f>IF(O1003="","",IF(ISNUMBER(M1003),O1003-M1003,IF(OR(H1003="DECISÃO D.P",ISNUMBER(N1003)),"",O1003-TODAY())))</f>
        <v/>
      </c>
      <c r="Q1003" s="117" t="str">
        <f>IF(B1003="","",IF(ISNUMBER(N1003),"DECIDIDO – ","")&amp;IF(ISNUMBER(M1003),IF(P1003="",IF(F1003="","INFORMAR PRAZO","SEM DATA"),IF(P1003&gt;=0,"DEFESA NO PRAZO","DEFESA FORA DO PRAZO")),IF(OR(H1003="DECISÃO D.P",ISNUMBER(N1003)),"SEM DEFESA",IF(H1003="","SEM STATUS",IF(F1003="","INFORMAR PRAZO",IF(P1003="","SEM DATA",IF(P1003&lt;0,"VENCIDO",IF(P1003&lt;=DiasAlerta,"VENCE EM BREVE","NO PRAZO"))))))))</f>
        <v/>
      </c>
      <c r="R1003" s="118" t="str">
        <f>IF(D1003="","",TODAY()-D1003)</f>
        <v/>
      </c>
      <c r="S1003" s="111" t="n"/>
    </row>
    <row r="1004" ht="18" customHeight="1">
      <c r="A1004" s="110" t="n"/>
      <c r="B1004" s="111" t="n"/>
      <c r="C1004" s="111" t="n"/>
      <c r="D1004" s="112" t="n"/>
      <c r="E1004" s="111" t="n"/>
      <c r="F1004" s="110" t="n"/>
      <c r="G1004" s="113" t="n"/>
      <c r="H1004" s="113" t="n"/>
      <c r="I1004" s="111" t="n"/>
      <c r="J1004" s="114" t="n"/>
      <c r="K1004" s="114" t="n"/>
      <c r="L1004" s="112" t="n"/>
      <c r="M1004" s="112" t="n"/>
      <c r="N1004" s="112" t="n"/>
      <c r="O1004" s="115" t="str">
        <f>IF(OR(D1004="",F1004=""),"",D1004+F1004)</f>
        <v/>
      </c>
      <c r="P1004" s="116" t="str">
        <f>IF(O1004="","",IF(ISNUMBER(M1004),O1004-M1004,IF(OR(H1004="DECISÃO D.P",ISNUMBER(N1004)),"",O1004-TODAY())))</f>
        <v/>
      </c>
      <c r="Q1004" s="117" t="str">
        <f>IF(B1004="","",IF(ISNUMBER(N1004),"DECIDIDO – ","")&amp;IF(ISNUMBER(M1004),IF(P1004="",IF(F1004="","INFORMAR PRAZO","SEM DATA"),IF(P1004&gt;=0,"DEFESA NO PRAZO","DEFESA FORA DO PRAZO")),IF(OR(H1004="DECISÃO D.P",ISNUMBER(N1004)),"SEM DEFESA",IF(H1004="","SEM STATUS",IF(F1004="","INFORMAR PRAZO",IF(P1004="","SEM DATA",IF(P1004&lt;0,"VENCIDO",IF(P1004&lt;=DiasAlerta,"VENCE EM BREVE","NO PRAZO"))))))))</f>
        <v/>
      </c>
      <c r="R1004" s="118" t="str">
        <f>IF(D1004="","",TODAY()-D1004)</f>
        <v/>
      </c>
      <c r="S1004" s="111" t="n"/>
    </row>
  </sheetData>
  <autoFilter ref="A4:S1004"/>
  <mergeCells count="3">
    <mergeCell ref="A3:S3"/>
    <mergeCell ref="A2:S2"/>
    <mergeCell ref="A1:S1"/>
  </mergeCells>
  <conditionalFormatting sqref="Q5:Q1004">
    <cfRule type="expression" priority="1" dxfId="1" stopIfTrue="1">
      <formula>AND($B5&lt;&gt;"",ISNUMBER($N5))</formula>
    </cfRule>
    <cfRule type="expression" priority="2" dxfId="2" stopIfTrue="1">
      <formula>AND($B5&lt;&gt;"",ISNUMBER($M5))</formula>
    </cfRule>
    <cfRule type="expression" priority="3" dxfId="3" stopIfTrue="1">
      <formula>AND($B5&lt;&gt;"",NOT(ISNUMBER($M5)),NOT(ISNUMBER($N5)),ISNUMBER($O5),$O5&lt;TODAY())</formula>
    </cfRule>
    <cfRule type="expression" priority="4" dxfId="0" stopIfTrue="1">
      <formula>AND($B5&lt;&gt;"",NOT(ISNUMBER($M5)),NOT(ISNUMBER($N5)),ISNUMBER($O5),$O5&gt;=TODAY())</formula>
    </cfRule>
  </conditionalFormatting>
  <conditionalFormatting sqref="F5:F1004">
    <cfRule type="expression" priority="5" dxfId="4">
      <formula>AND($B5&lt;&gt;"",$F5="")</formula>
    </cfRule>
  </conditionalFormatting>
  <conditionalFormatting sqref="N5:N1004">
    <cfRule type="expression" priority="6" dxfId="4">
      <formula>AND($B5&lt;&gt;"",$H5="DECISÃO D.P",$N5="")</formula>
    </cfRule>
  </conditionalFormatting>
  <conditionalFormatting sqref="P5:P1004">
    <cfRule type="expression" priority="7" dxfId="5">
      <formula>AND(ISNUMBER($P5),$P5&lt;0)</formula>
    </cfRule>
  </conditionalFormatting>
  <conditionalFormatting sqref="A5:S1004">
    <cfRule type="expression" priority="8" dxfId="6">
      <formula>AND($B5&lt;&gt;"",MOD(ROW(),2)=0)</formula>
    </cfRule>
  </conditionalFormatting>
  <dataValidations count="13">
    <dataValidation sqref="A5:A1004" showDropDown="0" showInputMessage="1" showErrorMessage="1" allowBlank="1" errorTitle="N° inválido" error="Digite apenas um NÚMERO INTEIRO positivo, sem letras, que ainda não exista na planilha." promptTitle="N°" prompt="Número inteiro sequencial do processo (ex.: 1, 2, 3...)." type="custom">
      <formula1>AND(ISNUMBER(A5),A5=INT(A5),A5&gt;0,COUNTIF($A$5:$A$1004,A5)=1)</formula1>
    </dataValidation>
    <dataValidation sqref="C5:C1004" showDropDown="0" showInputMessage="1" showErrorMessage="1" allowBlank="1" errorTitle="Ramo não cadastrado" error="Escolha um ramo da lista. Para incluir um novo ramo, cadastre-o na aba CADASTROS." promptTitle="RAMO" prompt="Selecione o ramo de atividade da empresa." type="list">
      <formula1>CADASTROS!$B$6:$B$35</formula1>
    </dataValidation>
    <dataValidation sqref="D5:D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DA FISCALIZAÇÃO" prompt="Digite a data no formato DD/MM/AAAA." type="date" operator="between">
      <formula1>36526</formula1>
      <formula2>73051</formula2>
    </dataValidation>
    <dataValidation sqref="L5:L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P. ORIGEM" prompt="Digite a data no formato DD/MM/AAAA." type="date" operator="between">
      <formula1>36526</formula1>
      <formula2>73051</formula2>
    </dataValidation>
    <dataValidation sqref="M5:M1004" showDropDown="0" showInputMessage="1" showErrorMessage="1" allowBlank="1" errorTitle="Data inválida" error="A DATA DA DEFESA aceita SOMENTE DATAS REAIS (DD/MM/AAAA) e não pode ser anterior à DATA DA FISCALIZAÇÃO." promptTitle="DATA DA DEFESA" prompt="Data em que a empresa apresentou a defesa prévia (DD/MM/AAAA). Deixe vazio se não apresentou." type="custom">
      <formula1>AND(ISNUMBER(M5),M5&gt;=36526,M5&lt;=73051,OR(D5="",M5&gt;=D5))</formula1>
    </dataValidation>
    <dataValidation sqref="N5:N1004" showDropDown="0" showInputMessage="1" showErrorMessage="1" allowBlank="1" errorTitle="Data inválida" error="A DATA DA DECISÃO aceita SOMENTE DATAS REAIS (DD/MM/AAAA) e não pode ser anterior à DATA DA FISCALIZAÇÃO." promptTitle="DATA DA DECISÃO" prompt="Data em que a decisão foi proferida (DD/MM/AAAA). Preencha ao mudar o STATUS para DECISÃO D.P." type="custom">
      <formula1>AND(ISNUMBER(N5),N5&gt;=36526,N5&lt;=73051,OR(D5="",N5&gt;=D5))</formula1>
    </dataValidation>
    <dataValidation sqref="E5:E1004" showDropDown="0" showInputMessage="1" showErrorMessage="1" allowBlank="1" errorTitle="Opção inválida" error="Selecione NOTIFICAÇÃO DE CONSTATAÇÃO ou NOTIFICAÇÃO DE ESCLARECIMENTO." promptTitle="NOTIFICAÇÃO" prompt="Selecione o tipo de notificação." type="list">
      <formula1>"NOTIFICAÇÃO DE CONSTATAÇÃO,NOTIFICAÇÃO DE ESCLARECIMENTO"</formula1>
    </dataValidation>
    <dataValidation sqref="F5:F1004" showDropDown="0" showInputMessage="1" showErrorMessage="1" allowBlank="1" errorTitle="Prazo não cadastrado" error="Escolha um prazo da lista. Para usar um prazo novo, inclua-o na aba CADASTROS (PRAZOS DISPONÍVEIS)." promptTitle="PRAZO (DIAS)" prompt="Selecione quantos dias a empresa tem para apresentar a defesa." type="list">
      <formula1>CADASTROS!$M$12:$M$31</formula1>
    </dataValidation>
    <dataValidation sqref="G5:G1004" showDropDown="0" showInputMessage="1" showErrorMessage="1" allowBlank="1" errorTitle="Opção inválida" error="Selecione PRESENCIAL ou ELETRÔNICA." promptTitle="TIPO" prompt="Selecione como a notificação foi entregue." type="list">
      <formula1>"PRESENCIAL,ELETRÔNICA"</formula1>
    </dataValidation>
    <dataValidation sqref="H5:H1004" showDropDown="0" showInputMessage="1" showErrorMessage="1" allowBlank="1" errorTitle="Opção inválida" error="Selecione DECISÃO D.P ou PRAZO D.P." promptTitle="STATUS" prompt="Selecione a fase atual do processo." type="list">
      <formula1>"DECISÃO D.P,PRAZO D.P"</formula1>
    </dataValidation>
    <dataValidation sqref="I5:I1004" showDropDown="0" showInputMessage="1" showErrorMessage="1" allowBlank="1" errorTitle="Responsável não cadastrado" error="Escolha um responsável da lista (cadastre novos na aba CADASTROS)." promptTitle="RESPONSÁVEL" prompt="Selecione o servidor responsável." type="list">
      <formula1>CADASTROS!$D$6:$D$20</formula1>
    </dataValidation>
    <dataValidation sqref="J5:J1004" showDropDown="0" showInputMessage="1" showErrorMessage="1" allowBlank="1" errorTitle="Caractere não permitido" error="O N° NOTIFICAÇÃO aceita SOMENTE números e a barra &quot;/&quot;. Ex.: 0123/2026" promptTitle="N° NOTIFICAÇÃO" prompt="Somente números e &quot;/&quot;. Ex.: 0123/2026" type="custom">
      <formula1>LEN(SUBSTITUTE(SUBSTITUTE(SUBSTITUTE(SUBSTITUTE(SUBSTITUTE(SUBSTITUTE(SUBSTITUTE(SUBSTITUTE(SUBSTITUTE(SUBSTITUTE(SUBSTITUTE(J5,"0",""),"1",""),"2",""),"3",""),"4",""),"5",""),"6",""),"7",""),"8",""),"9",""),"/",""))=0</formula1>
    </dataValidation>
    <dataValidation sqref="K5:K1004" showDropDown="0" showInputMessage="1" showErrorMessage="1" allowBlank="1" errorTitle="Caractere não permitido" error="O PROCESSO ORIGEM aceita SOMENTE números, a barra &quot;/&quot;, o ponto &quot;.&quot; e o hífen &quot;-&quot;. Ex.: 2026.004512-7/01" promptTitle="PROCESSO ORIGEM" prompt="Somente números, &quot;/&quot;, &quot;.&quot; e &quot;-&quot;. Ex.: 2026.004512-7/01" type="custom">
      <formula1>SUMPRODUCT(--ISERROR(FIND(MID(K5,ROW(INDIRECT("A1:A"&amp;LEN(K5))),1),"0123456789/.-")))=0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B08D57"/>
    <outlinePr summaryBelow="1" summaryRight="1"/>
    <pageSetUpPr/>
  </sheetPr>
  <dimension ref="A1:O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3" customWidth="1" min="3" max="3"/>
    <col width="30" customWidth="1" min="4" max="4"/>
    <col width="3" customWidth="1" min="5" max="5"/>
    <col width="34" customWidth="1" min="6" max="6"/>
    <col width="3" customWidth="1" min="7" max="7"/>
    <col width="16" customWidth="1" min="8" max="8"/>
    <col width="3" customWidth="1" min="9" max="9"/>
    <col width="16" customWidth="1" min="10" max="10"/>
    <col width="3" customWidth="1" min="11" max="11"/>
    <col width="48" customWidth="1" min="12" max="12"/>
    <col width="12" customWidth="1" min="13" max="13"/>
    <col width="3" customWidth="1" min="14" max="14"/>
    <col width="50" customWidth="1" min="15" max="15"/>
  </cols>
  <sheetData>
    <row r="1" ht="30" customHeight="1">
      <c r="A1" s="2" t="n"/>
      <c r="B1" s="106" t="inlineStr">
        <is>
          <t>CADASTROS E PARÂMETROS</t>
        </is>
      </c>
    </row>
    <row r="2" ht="20" customHeight="1">
      <c r="A2" s="2" t="n"/>
      <c r="B2" s="107" t="inlineStr">
        <is>
          <t>Listas que alimentam os menus suspensos e regras de prazo usadas em todo o arquivo</t>
        </is>
      </c>
    </row>
    <row r="3" ht="4" customHeight="1">
      <c r="A3" s="8" t="n"/>
    </row>
    <row r="5">
      <c r="B5" s="119" t="inlineStr">
        <is>
          <t>RAMOS DE ATIVIDADE</t>
        </is>
      </c>
      <c r="D5" s="119" t="inlineStr">
        <is>
          <t>RESPONSÁVEIS</t>
        </is>
      </c>
      <c r="F5" s="119" t="inlineStr">
        <is>
          <t>NOTIFICAÇÃO (fixo)</t>
        </is>
      </c>
      <c r="H5" s="119" t="inlineStr">
        <is>
          <t>TIPO (fixo)</t>
        </is>
      </c>
      <c r="J5" s="119" t="inlineStr">
        <is>
          <t>STATUS (fixo)</t>
        </is>
      </c>
      <c r="L5" s="120" t="inlineStr">
        <is>
          <t>PARÂMETROS DE PRAZO E METAS</t>
        </is>
      </c>
      <c r="M5" s="120" t="inlineStr">
        <is>
          <t>VALOR</t>
        </is>
      </c>
      <c r="O5" s="120" t="inlineStr">
        <is>
          <t>OBSERVAÇÃO</t>
        </is>
      </c>
    </row>
    <row r="6">
      <c r="B6" s="121" t="inlineStr">
        <is>
          <t>LOJA</t>
        </is>
      </c>
      <c r="D6" s="121" t="inlineStr">
        <is>
          <t>ANA PAULA SOUZA</t>
        </is>
      </c>
      <c r="F6" s="122" t="inlineStr">
        <is>
          <t>NOTIFICAÇÃO DE CONSTATAÇÃO</t>
        </is>
      </c>
      <c r="H6" s="122" t="inlineStr">
        <is>
          <t>PRESENCIAL</t>
        </is>
      </c>
      <c r="J6" s="122" t="inlineStr">
        <is>
          <t>PRAZO D.P</t>
        </is>
      </c>
      <c r="L6" s="123" t="inlineStr">
        <is>
          <t>Antecedência para alerta 'VENCE EM BREVE' (dias)</t>
        </is>
      </c>
      <c r="M6" s="124" t="n">
        <v>5</v>
      </c>
      <c r="O6" s="125" t="inlineStr">
        <is>
          <t>Processos com prazo a vencer em até N dias recebem alerta.</t>
        </is>
      </c>
    </row>
    <row r="7">
      <c r="B7" s="121" t="inlineStr">
        <is>
          <t>POSTO DE COMBUSTÍVEL</t>
        </is>
      </c>
      <c r="D7" s="121" t="inlineStr">
        <is>
          <t>BRUNO CARVALHO</t>
        </is>
      </c>
      <c r="F7" s="122" t="inlineStr">
        <is>
          <t>NOTIFICAÇÃO DE ESCLARECIMENTO</t>
        </is>
      </c>
      <c r="H7" s="122" t="inlineStr">
        <is>
          <t>ELETRÔNICA</t>
        </is>
      </c>
      <c r="J7" s="122" t="inlineStr">
        <is>
          <t>DECISÃO D.P</t>
        </is>
      </c>
      <c r="L7" s="123" t="inlineStr">
        <is>
          <t>Meta mensal de fiscalizações</t>
        </is>
      </c>
      <c r="M7" s="124" t="n">
        <v>12</v>
      </c>
      <c r="O7" s="125" t="inlineStr">
        <is>
          <t>Usada no painel e nos gráficos de atingimento de meta.</t>
        </is>
      </c>
    </row>
    <row r="8">
      <c r="B8" s="121" t="inlineStr">
        <is>
          <t>SAÚDE</t>
        </is>
      </c>
      <c r="D8" s="121" t="inlineStr">
        <is>
          <t>CARLA MENDES</t>
        </is>
      </c>
      <c r="L8" s="126" t="inlineStr">
        <is>
          <t>Células em dourado claro são editáveis.</t>
        </is>
      </c>
    </row>
    <row r="9">
      <c r="B9" s="121" t="inlineStr">
        <is>
          <t>ACADEMIA</t>
        </is>
      </c>
      <c r="D9" s="121" t="inlineStr">
        <is>
          <t>DIEGO RIBEIRO</t>
        </is>
      </c>
    </row>
    <row r="10">
      <c r="B10" s="121" t="inlineStr">
        <is>
          <t>SUPERMERCADO</t>
        </is>
      </c>
      <c r="D10" s="121" t="inlineStr">
        <is>
          <t>EDUARDA LIMA</t>
        </is>
      </c>
    </row>
    <row r="11">
      <c r="B11" s="121" t="inlineStr">
        <is>
          <t>RESTAURANTE</t>
        </is>
      </c>
      <c r="D11" s="121" t="inlineStr">
        <is>
          <t>FELIPE ARAÚJO</t>
        </is>
      </c>
      <c r="L11" s="120" t="inlineStr">
        <is>
          <t>PRAZOS DISPONÍVEIS PARA DEFESA (menu da coluna PRAZO)</t>
        </is>
      </c>
      <c r="M11" s="120" t="inlineStr">
        <is>
          <t>DIAS</t>
        </is>
      </c>
    </row>
    <row r="12">
      <c r="B12" s="121" t="inlineStr">
        <is>
          <t>FARMÁCIA</t>
        </is>
      </c>
      <c r="D12" s="121" t="inlineStr">
        <is>
          <t>GABRIELA NUNES</t>
        </is>
      </c>
      <c r="L12" s="127" t="inlineStr">
        <is>
          <t>Opção 1</t>
        </is>
      </c>
      <c r="M12" s="124" t="n">
        <v>5</v>
      </c>
      <c r="O12" s="128" t="inlineStr">
        <is>
          <t>Dias corridos contados a partir da DATA DA FISCALIZAÇÃO.</t>
        </is>
      </c>
    </row>
    <row r="13">
      <c r="B13" s="121" t="inlineStr">
        <is>
          <t>BANCO</t>
        </is>
      </c>
      <c r="D13" s="121" t="inlineStr">
        <is>
          <t>HENRIQUE COSTA</t>
        </is>
      </c>
      <c r="L13" s="127" t="inlineStr">
        <is>
          <t>Opção 2</t>
        </is>
      </c>
      <c r="M13" s="124" t="n">
        <v>10</v>
      </c>
      <c r="O13" s="128" t="inlineStr">
        <is>
          <t>Inclua novos prazos nas linhas em branco (até 20 opções).</t>
        </is>
      </c>
    </row>
    <row r="14">
      <c r="B14" s="121" t="inlineStr">
        <is>
          <t>ESCOLA</t>
        </is>
      </c>
      <c r="D14" s="121" t="n"/>
      <c r="L14" s="127" t="inlineStr">
        <is>
          <t>Opção 3</t>
        </is>
      </c>
      <c r="M14" s="124" t="n">
        <v>15</v>
      </c>
    </row>
    <row r="15">
      <c r="B15" s="121" t="inlineStr">
        <is>
          <t>TELEFONIA</t>
        </is>
      </c>
      <c r="D15" s="121" t="n"/>
      <c r="L15" s="127" t="inlineStr">
        <is>
          <t>Opção 4</t>
        </is>
      </c>
      <c r="M15" s="124" t="n">
        <v>20</v>
      </c>
    </row>
    <row r="16">
      <c r="B16" s="121" t="inlineStr">
        <is>
          <t>CONCESSIONÁRIA</t>
        </is>
      </c>
      <c r="D16" s="121" t="n"/>
      <c r="L16" s="127" t="inlineStr">
        <is>
          <t>Opção 5</t>
        </is>
      </c>
      <c r="M16" s="124" t="n">
        <v>30</v>
      </c>
    </row>
    <row r="17">
      <c r="B17" s="121" t="inlineStr">
        <is>
          <t>OUTROS</t>
        </is>
      </c>
      <c r="D17" s="121" t="n"/>
      <c r="L17" s="127" t="inlineStr">
        <is>
          <t>Opção 6</t>
        </is>
      </c>
      <c r="M17" s="124" t="n">
        <v>45</v>
      </c>
    </row>
    <row r="18">
      <c r="B18" s="121" t="n"/>
      <c r="D18" s="121" t="n"/>
      <c r="L18" s="127" t="inlineStr">
        <is>
          <t>Opção 7</t>
        </is>
      </c>
      <c r="M18" s="124" t="n">
        <v>60</v>
      </c>
    </row>
    <row r="19">
      <c r="B19" s="121" t="n"/>
      <c r="D19" s="121" t="n"/>
      <c r="L19" s="127" t="inlineStr">
        <is>
          <t>Opção 8</t>
        </is>
      </c>
      <c r="M19" s="124" t="n"/>
    </row>
    <row r="20">
      <c r="B20" s="121" t="n"/>
      <c r="D20" s="121" t="n"/>
      <c r="L20" s="127" t="inlineStr">
        <is>
          <t>Opção 9</t>
        </is>
      </c>
      <c r="M20" s="124" t="n"/>
    </row>
    <row r="21">
      <c r="B21" s="121" t="n"/>
      <c r="L21" s="127" t="inlineStr">
        <is>
          <t>Opção 10</t>
        </is>
      </c>
      <c r="M21" s="124" t="n"/>
    </row>
    <row r="22">
      <c r="B22" s="121" t="n"/>
      <c r="D22" s="126" t="inlineStr">
        <is>
          <t>↑ Inclua novos responsáveis nas linhas em branco (até 15).</t>
        </is>
      </c>
      <c r="L22" s="127" t="inlineStr">
        <is>
          <t>Opção 11</t>
        </is>
      </c>
      <c r="M22" s="124" t="n"/>
    </row>
    <row r="23">
      <c r="B23" s="121" t="n"/>
      <c r="L23" s="127" t="inlineStr">
        <is>
          <t>Opção 12</t>
        </is>
      </c>
      <c r="M23" s="124" t="n"/>
    </row>
    <row r="24">
      <c r="B24" s="121" t="n"/>
      <c r="L24" s="127" t="inlineStr">
        <is>
          <t>Opção 13</t>
        </is>
      </c>
      <c r="M24" s="124" t="n"/>
    </row>
    <row r="25">
      <c r="B25" s="121" t="n"/>
      <c r="L25" s="127" t="inlineStr">
        <is>
          <t>Opção 14</t>
        </is>
      </c>
      <c r="M25" s="124" t="n"/>
    </row>
    <row r="26">
      <c r="B26" s="121" t="n"/>
      <c r="L26" s="127" t="inlineStr">
        <is>
          <t>Opção 15</t>
        </is>
      </c>
      <c r="M26" s="124" t="n"/>
    </row>
    <row r="27">
      <c r="B27" s="121" t="n"/>
      <c r="L27" s="127" t="inlineStr">
        <is>
          <t>Opção 16</t>
        </is>
      </c>
      <c r="M27" s="124" t="n"/>
    </row>
    <row r="28">
      <c r="B28" s="121" t="n"/>
      <c r="L28" s="127" t="inlineStr">
        <is>
          <t>Opção 17</t>
        </is>
      </c>
      <c r="M28" s="124" t="n"/>
    </row>
    <row r="29">
      <c r="B29" s="121" t="n"/>
      <c r="L29" s="127" t="inlineStr">
        <is>
          <t>Opção 18</t>
        </is>
      </c>
      <c r="M29" s="124" t="n"/>
    </row>
    <row r="30">
      <c r="B30" s="121" t="n"/>
      <c r="L30" s="127" t="inlineStr">
        <is>
          <t>Opção 19</t>
        </is>
      </c>
      <c r="M30" s="124" t="n"/>
    </row>
    <row r="31">
      <c r="B31" s="121" t="n"/>
      <c r="L31" s="127" t="inlineStr">
        <is>
          <t>Opção 20</t>
        </is>
      </c>
      <c r="M31" s="124" t="n"/>
    </row>
    <row r="32">
      <c r="B32" s="121" t="n"/>
    </row>
    <row r="33">
      <c r="B33" s="121" t="n"/>
    </row>
    <row r="34">
      <c r="B34" s="121" t="n"/>
    </row>
    <row r="35">
      <c r="B35" s="121" t="n"/>
    </row>
    <row r="37">
      <c r="B37" s="126" t="inlineStr">
        <is>
          <t>↑ Inclua novos ramos nas linhas em branco (até 30).</t>
        </is>
      </c>
    </row>
  </sheetData>
  <mergeCells count="3">
    <mergeCell ref="B1:O1"/>
    <mergeCell ref="B2:O2"/>
    <mergeCell ref="A3:O3"/>
  </mergeCells>
  <dataValidations count="2">
    <dataValidation sqref="M6:M7" showDropDown="0" showInputMessage="0" showErrorMessage="1" allowBlank="0" errorTitle="Valor inválido" error="Informe um número inteiro de 0 a 365." type="whole" operator="between">
      <formula1>0</formula1>
      <formula2>365</formula2>
    </dataValidation>
    <dataValidation sqref="M12:M31" showDropDown="0" showInputMessage="0" showErrorMessage="1" allowBlank="0" errorTitle="Valor inválido" error="Informe um número inteiro de 1 a 365 (dias)." type="whole" operator="between">
      <formula1>1</formula1>
      <formula2>365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C96A5"/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80" customWidth="1" min="4" max="4"/>
  </cols>
  <sheetData>
    <row r="1" ht="30" customHeight="1">
      <c r="A1" s="106" t="inlineStr">
        <is>
          <t>GUIA DE USO DA PLANILHA</t>
        </is>
      </c>
    </row>
    <row r="2">
      <c r="A2" s="107" t="inlineStr">
        <is>
          <t>Como registrar processos e interpretar os indicadores</t>
        </is>
      </c>
    </row>
    <row r="3" ht="4" customHeight="1">
      <c r="A3" s="8" t="n"/>
    </row>
    <row r="5" ht="22" customHeight="1">
      <c r="B5" s="129" t="inlineStr">
        <is>
          <t>1. ESTRUTURA DAS ABAS</t>
        </is>
      </c>
      <c r="C5" s="19" t="n"/>
      <c r="D5" s="19" t="n"/>
    </row>
    <row r="6">
      <c r="B6" s="130" t="inlineStr">
        <is>
          <t>ABA</t>
        </is>
      </c>
      <c r="C6" s="130" t="inlineStr">
        <is>
          <t>FINALIDADE</t>
        </is>
      </c>
      <c r="D6" s="130" t="inlineStr">
        <is>
          <t>DETALHES</t>
        </is>
      </c>
    </row>
    <row r="7">
      <c r="B7" s="131" t="inlineStr">
        <is>
          <t>PAINEL</t>
        </is>
      </c>
      <c r="C7" s="132" t="inlineStr">
        <is>
          <t>Visão diária do Gerente</t>
        </is>
      </c>
      <c r="D7" s="132" t="inlineStr">
        <is>
          <t>Indicadores, alertas de prazo, carga da equipe, ramos e evolução mensal. Filtros por responsável e ano.</t>
        </is>
      </c>
    </row>
    <row r="8">
      <c r="B8" s="133" t="inlineStr">
        <is>
          <t>GRÁFICOS</t>
        </is>
      </c>
      <c r="C8" s="134" t="inlineStr">
        <is>
          <t>Dashboard analítico</t>
        </is>
      </c>
      <c r="D8" s="134" t="inlineStr">
        <is>
          <t>8 gráficos dinâmicos que acompanham os filtros definidos no PAINEL.</t>
        </is>
      </c>
    </row>
    <row r="9">
      <c r="B9" s="131" t="inlineStr">
        <is>
          <t>PROCESSOS</t>
        </is>
      </c>
      <c r="C9" s="132" t="inlineStr">
        <is>
          <t>Base de registros</t>
        </is>
      </c>
      <c r="D9" s="132" t="inlineStr">
        <is>
          <t>Única aba onde os processos são cadastrados (até 1.000 linhas formatadas e validadas).</t>
        </is>
      </c>
    </row>
    <row r="10">
      <c r="B10" s="133" t="inlineStr">
        <is>
          <t>CADASTROS</t>
        </is>
      </c>
      <c r="C10" s="134" t="inlineStr">
        <is>
          <t>Listas e parâmetros</t>
        </is>
      </c>
      <c r="D10" s="134" t="inlineStr">
        <is>
          <t>Ramos, responsáveis, prazos de resposta (dias), antecedência de alerta e meta mensal.</t>
        </is>
      </c>
    </row>
    <row r="11">
      <c r="B11" s="131" t="inlineStr">
        <is>
          <t>INSTRUÇÕES</t>
        </is>
      </c>
      <c r="C11" s="132" t="inlineStr">
        <is>
          <t>Este guia</t>
        </is>
      </c>
      <c r="D11" s="132" t="inlineStr">
        <is>
          <t>Regras de preenchimento e definição de cada indicador.</t>
        </is>
      </c>
    </row>
    <row r="13" ht="22" customHeight="1">
      <c r="B13" s="129" t="inlineStr">
        <is>
          <t>2. COMO CADASTRAR UM PROCESSO (aba PROCESSOS)</t>
        </is>
      </c>
      <c r="C13" s="19" t="n"/>
      <c r="D13" s="19" t="n"/>
    </row>
    <row r="14">
      <c r="B14" s="135" t="inlineStr">
        <is>
          <t>1) Vá até a primeira linha vazia e informe o N° (inteiro, sequencial e sem repetição).</t>
        </is>
      </c>
    </row>
    <row r="15">
      <c r="B15" s="135" t="inlineStr">
        <is>
          <t>2) Preencha EMPRESA (nome fantasia — texto livre) e selecione o RAMO no menu suspenso.</t>
        </is>
      </c>
    </row>
    <row r="16">
      <c r="B16" s="135" t="inlineStr">
        <is>
          <t>3) Digite a DATA DA FISCALIZAÇÃO no formato DD/MM/AAAA.</t>
        </is>
      </c>
    </row>
    <row r="17">
      <c r="B17" s="135" t="inlineStr">
        <is>
          <t>4) Selecione NOTIFICAÇÃO, PRAZO (DIAS), TIPO, STATUS e RESPONSÁVEL nos menus suspensos. Sem o PRAZO, a situação mostra INFORMAR PRAZO.</t>
        </is>
      </c>
    </row>
    <row r="18">
      <c r="B18" s="135" t="inlineStr">
        <is>
          <t>5) Informe N° NOTIFICAÇÃO, PROCESSO ORIGEM e DATA P. ORIGEM.</t>
        </is>
      </c>
    </row>
    <row r="19">
      <c r="B19" s="135" t="inlineStr">
        <is>
          <t>6) Quando a empresa apresentar a DEFESA PRÉVIA, informe a DATA DA DEFESA: a contagem de DIAS RESTANTES congela e a SITUAÇÃO mostra se a defesa foi entregue no prazo ou fora do prazo.</t>
        </is>
      </c>
    </row>
    <row r="20">
      <c r="B20" s="135" t="inlineStr">
        <is>
          <t>7) Ao encaminhar o processo para decisão, altere o STATUS para DECISÃO D.P e informe a DATA DA DECISÃO (a célula fica destacada em dourado enquanto estiver vazia). Sem DATA DA DEFESA, o processo aparece como SEM DEFESA.</t>
        </is>
      </c>
    </row>
    <row r="21">
      <c r="B21" s="135" t="inlineStr">
        <is>
          <t>8) As colunas PRAZO FINAL, DIAS RESTANTES, SITUAÇÃO DO PRAZO e DIAS DESDE A FISCALIZAÇÃO são automáticas — não digite nelas.</t>
        </is>
      </c>
    </row>
    <row r="23" ht="22" customHeight="1">
      <c r="B23" s="129" t="inlineStr">
        <is>
          <t>3. REGRAS DE VALIDAÇÃO (bloqueios de digitação)</t>
        </is>
      </c>
      <c r="C23" s="19" t="n"/>
      <c r="D23" s="19" t="n"/>
    </row>
    <row r="24">
      <c r="B24" s="130" t="inlineStr">
        <is>
          <t>COLUNA</t>
        </is>
      </c>
      <c r="C24" s="130" t="inlineStr">
        <is>
          <t>TIPO DE CAMPO</t>
        </is>
      </c>
      <c r="D24" s="130" t="inlineStr">
        <is>
          <t>REGRA APLICADA</t>
        </is>
      </c>
    </row>
    <row r="25">
      <c r="B25" s="131" t="inlineStr">
        <is>
          <t>N°</t>
        </is>
      </c>
      <c r="C25" s="132" t="inlineStr">
        <is>
          <t>Número inteiro</t>
        </is>
      </c>
      <c r="D25" s="132" t="inlineStr">
        <is>
          <t>Aceita apenas inteiros positivos; letras, decimais e números repetidos são bloqueados.</t>
        </is>
      </c>
    </row>
    <row r="26">
      <c r="B26" s="133" t="inlineStr">
        <is>
          <t>EMPRESA</t>
        </is>
      </c>
      <c r="C26" s="134" t="inlineStr">
        <is>
          <t>Texto livre</t>
        </is>
      </c>
      <c r="D26" s="134" t="inlineStr">
        <is>
          <t>Sem bloqueio (aceita letras e números).</t>
        </is>
      </c>
    </row>
    <row r="27">
      <c r="B27" s="131" t="inlineStr">
        <is>
          <t>RAMO</t>
        </is>
      </c>
      <c r="C27" s="132" t="inlineStr">
        <is>
          <t>Menu suspenso</t>
        </is>
      </c>
      <c r="D27" s="132" t="inlineStr">
        <is>
          <t>Lista da aba CADASTROS (pode ser ampliada).</t>
        </is>
      </c>
    </row>
    <row r="28">
      <c r="B28" s="133" t="inlineStr">
        <is>
          <t>DATA DA FISCALIZAÇÃO</t>
        </is>
      </c>
      <c r="C28" s="134" t="inlineStr">
        <is>
          <t>Data</t>
        </is>
      </c>
      <c r="D28" s="134" t="inlineStr">
        <is>
          <t>Somente datas reais entre 01/01/2000 e 31/12/2099; textos são bloqueados.</t>
        </is>
      </c>
    </row>
    <row r="29">
      <c r="B29" s="131" t="inlineStr">
        <is>
          <t>NOTIFICAÇÃO</t>
        </is>
      </c>
      <c r="C29" s="132" t="inlineStr">
        <is>
          <t>Menu suspenso</t>
        </is>
      </c>
      <c r="D29" s="132" t="inlineStr">
        <is>
          <t>NOTIFICAÇÃO DE CONSTATAÇÃO | NOTIFICAÇÃO DE ESCLARECIMENTO.</t>
        </is>
      </c>
    </row>
    <row r="30">
      <c r="B30" s="133" t="inlineStr">
        <is>
          <t>PRAZO (DIAS)</t>
        </is>
      </c>
      <c r="C30" s="134" t="inlineStr">
        <is>
          <t>Menu suspenso</t>
        </is>
      </c>
      <c r="D30" s="134" t="inlineStr">
        <is>
          <t>Dias para apresentar a defesa, de qualquer notificação. Lista editável na aba CADASTROS.</t>
        </is>
      </c>
    </row>
    <row r="31">
      <c r="B31" s="131" t="inlineStr">
        <is>
          <t>TIPO</t>
        </is>
      </c>
      <c r="C31" s="132" t="inlineStr">
        <is>
          <t>Menu suspenso</t>
        </is>
      </c>
      <c r="D31" s="132" t="inlineStr">
        <is>
          <t>PRESENCIAL | ELETRÔNICA.</t>
        </is>
      </c>
    </row>
    <row r="32">
      <c r="B32" s="133" t="inlineStr">
        <is>
          <t>STATUS</t>
        </is>
      </c>
      <c r="C32" s="134" t="inlineStr">
        <is>
          <t>Menu suspenso</t>
        </is>
      </c>
      <c r="D32" s="134" t="inlineStr">
        <is>
          <t>DECISÃO D.P | PRAZO D.P.</t>
        </is>
      </c>
    </row>
    <row r="33">
      <c r="B33" s="131" t="inlineStr">
        <is>
          <t>RESPONSÁVEL</t>
        </is>
      </c>
      <c r="C33" s="132" t="inlineStr">
        <is>
          <t>Menu suspenso</t>
        </is>
      </c>
      <c r="D33" s="132" t="inlineStr">
        <is>
          <t>Lista da aba CADASTROS (pode ser ampliada).</t>
        </is>
      </c>
    </row>
    <row r="34">
      <c r="B34" s="133" t="inlineStr">
        <is>
          <t>N° NOTIFICAÇÃO</t>
        </is>
      </c>
      <c r="C34" s="134" t="inlineStr">
        <is>
          <t>Números e "/"</t>
        </is>
      </c>
      <c r="D34" s="134" t="inlineStr">
        <is>
          <t>Qualquer outro caractere é bloqueado. Ex.: 0123/2026.</t>
        </is>
      </c>
    </row>
    <row r="35">
      <c r="B35" s="131" t="inlineStr">
        <is>
          <t>PROCESSO ORIGEM</t>
        </is>
      </c>
      <c r="C35" s="132" t="inlineStr">
        <is>
          <t>Números, "/", "." e "-"</t>
        </is>
      </c>
      <c r="D35" s="132" t="inlineStr">
        <is>
          <t>Qualquer outro caractere é bloqueado. Ex.: 2026.004512-7/01.</t>
        </is>
      </c>
    </row>
    <row r="36">
      <c r="B36" s="133" t="inlineStr">
        <is>
          <t>DATA P. ORIGEM</t>
        </is>
      </c>
      <c r="C36" s="134" t="inlineStr">
        <is>
          <t>Data</t>
        </is>
      </c>
      <c r="D36" s="134" t="inlineStr">
        <is>
          <t>Somente datas reais entre 01/01/2000 e 31/12/2099; textos são bloqueados.</t>
        </is>
      </c>
    </row>
    <row r="37">
      <c r="B37" s="131" t="inlineStr">
        <is>
          <t>DATA DA DEFESA</t>
        </is>
      </c>
      <c r="C37" s="132" t="inlineStr">
        <is>
          <t>Data</t>
        </is>
      </c>
      <c r="D37" s="132" t="inlineStr">
        <is>
          <t>Somente datas reais, não anteriores à DATA DA FISCALIZAÇÃO; textos são bloqueados.</t>
        </is>
      </c>
    </row>
    <row r="38">
      <c r="B38" s="133" t="inlineStr">
        <is>
          <t>DATA DA DECISÃO</t>
        </is>
      </c>
      <c r="C38" s="134" t="inlineStr">
        <is>
          <t>Data</t>
        </is>
      </c>
      <c r="D38" s="134" t="inlineStr">
        <is>
          <t>Somente datas reais, não anteriores à DATA DA FISCALIZAÇÃO; textos são bloqueados.</t>
        </is>
      </c>
    </row>
    <row r="39">
      <c r="B39" s="131" t="inlineStr">
        <is>
          <t>OBSERVAÇÕES</t>
        </is>
      </c>
      <c r="C39" s="132" t="inlineStr">
        <is>
          <t>Texto livre</t>
        </is>
      </c>
      <c r="D39" s="132" t="inlineStr">
        <is>
          <t>Campo opcional para anotações.</t>
        </is>
      </c>
    </row>
    <row r="41" ht="22" customHeight="1">
      <c r="B41" s="129" t="inlineStr">
        <is>
          <t>4. DEFINIÇÃO DOS INDICADORES</t>
        </is>
      </c>
      <c r="C41" s="19" t="n"/>
      <c r="D41" s="19" t="n"/>
    </row>
    <row r="42">
      <c r="B42" s="130" t="inlineStr">
        <is>
          <t>INDICADOR</t>
        </is>
      </c>
      <c r="C42" s="130" t="inlineStr">
        <is>
          <t>CÁLCULO</t>
        </is>
      </c>
      <c r="D42" s="130" t="inlineStr">
        <is>
          <t>LEITURA</t>
        </is>
      </c>
    </row>
    <row r="43">
      <c r="B43" s="131" t="inlineStr">
        <is>
          <t>Prazo final</t>
        </is>
      </c>
      <c r="C43" s="132" t="inlineStr">
        <is>
          <t>Data da fiscalização + PRAZO (DIAS)</t>
        </is>
      </c>
      <c r="D43" s="132" t="inlineStr">
        <is>
          <t>Data-limite para a empresa apresentar a defesa prévia.</t>
        </is>
      </c>
    </row>
    <row r="44">
      <c r="B44" s="133" t="inlineStr">
        <is>
          <t>Dias restantes</t>
        </is>
      </c>
      <c r="C44" s="134" t="inlineStr">
        <is>
          <t>Prazo final − hoje (sem defesa) ou − data da defesa</t>
        </is>
      </c>
      <c r="D44" s="134" t="inlineStr">
        <is>
          <t>Congela quando a DATA DA DEFESA é informada; negativo = defesa entregue com atraso.</t>
        </is>
      </c>
    </row>
    <row r="45">
      <c r="B45" s="131" t="inlineStr">
        <is>
          <t>Vence em breve</t>
        </is>
      </c>
      <c r="C45" s="132" t="inlineStr">
        <is>
          <t>Prazo final em até N dias (CADASTROS)</t>
        </is>
      </c>
      <c r="D45" s="132" t="inlineStr">
        <is>
          <t>Alerta preventivo para a equipe.</t>
        </is>
      </c>
    </row>
    <row r="46">
      <c r="B46" s="133" t="inlineStr">
        <is>
          <t>Vencido</t>
        </is>
      </c>
      <c r="C46" s="134" t="inlineStr">
        <is>
          <t>PRAZO D.P, sem defesa e prazo final &lt; hoje</t>
        </is>
      </c>
      <c r="D46" s="134" t="inlineStr">
        <is>
          <t>A empresa não apresentou a defesa prévia no prazo estipulado.</t>
        </is>
      </c>
    </row>
    <row r="47">
      <c r="B47" s="131" t="inlineStr">
        <is>
          <t>Defesa no prazo / fora do prazo</t>
        </is>
      </c>
      <c r="C47" s="132" t="inlineStr">
        <is>
          <t>Data da defesa ≤ / &gt; prazo final</t>
        </is>
      </c>
      <c r="D47" s="132" t="inlineStr">
        <is>
          <t>Resultado congelado da entrega da defesa prévia.</t>
        </is>
      </c>
    </row>
    <row r="48">
      <c r="B48" s="133" t="inlineStr">
        <is>
          <t>Sem defesa</t>
        </is>
      </c>
      <c r="C48" s="134" t="inlineStr">
        <is>
          <t>DECISÃO D.P sem DATA DA DEFESA</t>
        </is>
      </c>
      <c r="D48" s="134" t="inlineStr">
        <is>
          <t>Processo seguiu para decisão sem defesa apresentada.</t>
        </is>
      </c>
    </row>
    <row r="49">
      <c r="B49" s="131" t="inlineStr">
        <is>
          <t>Cores da SITUAÇÃO DO PRAZO</t>
        </is>
      </c>
      <c r="C49" s="132" t="inlineStr">
        <is>
          <t>Conforme a fase do processo</t>
        </is>
      </c>
      <c r="D49" s="132" t="inlineStr">
        <is>
          <t>VERDE: decisão realizada • AZUL: defesa apresentada, aguardando decisão • AMARELO: sem defesa, ainda no prazo • VERMELHO: sem defesa e prazo vencido.</t>
        </is>
      </c>
    </row>
    <row r="50">
      <c r="B50" s="133" t="inlineStr">
        <is>
          <t>DECIDIDO – ...</t>
        </is>
      </c>
      <c r="C50" s="134" t="inlineStr">
        <is>
          <t>DATA DA DECISÃO preenchida</t>
        </is>
      </c>
      <c r="D50" s="134" t="inlineStr">
        <is>
          <t>Decisão já proferida; mantém o resultado da defesa (ex.: DECIDIDO – DEFESA NO PRAZO, DECIDIDO – SEM DEFESA).</t>
        </is>
      </c>
    </row>
    <row r="51">
      <c r="B51" s="131" t="inlineStr">
        <is>
          <t>Tempo médio p/ entrega da defesa</t>
        </is>
      </c>
      <c r="C51" s="132" t="inlineStr">
        <is>
          <t>Média de (Data da defesa − Data da fiscalização)</t>
        </is>
      </c>
      <c r="D51" s="132" t="inlineStr">
        <is>
          <t>Calculado no PAINEL; respeita o filtro de responsável.</t>
        </is>
      </c>
    </row>
    <row r="52">
      <c r="B52" s="133" t="inlineStr">
        <is>
          <t>Tempo médio até a decisão</t>
        </is>
      </c>
      <c r="C52" s="134" t="inlineStr">
        <is>
          <t>Média de (Data da decisão − Data da fiscalização)</t>
        </is>
      </c>
      <c r="D52" s="134" t="inlineStr">
        <is>
          <t>Calculado no PAINEL; respeita o filtro de responsável.</t>
        </is>
      </c>
    </row>
    <row r="53">
      <c r="B53" s="131" t="inlineStr">
        <is>
          <t>Processos com decisão realizada</t>
        </is>
      </c>
      <c r="C53" s="132" t="inlineStr">
        <is>
          <t>Quantidade com DATA DA DECISÃO preenchida</t>
        </is>
      </c>
      <c r="D53" s="132" t="inlineStr">
        <is>
          <t>Mostra também o % do total e quantos estão em DECISÃO D.P aguardando a data da decisão.</t>
        </is>
      </c>
    </row>
    <row r="54">
      <c r="B54" s="133" t="inlineStr">
        <is>
          <t>Em decisão</t>
        </is>
      </c>
      <c r="C54" s="134" t="inlineStr">
        <is>
          <t>STATUS = DECISÃO D.P</t>
        </is>
      </c>
      <c r="D54" s="134" t="inlineStr">
        <is>
          <t>Processo aguardando decisão; fora do controle de prazo.</t>
        </is>
      </c>
    </row>
    <row r="55">
      <c r="B55" s="131" t="inlineStr">
        <is>
          <t>Idade média</t>
        </is>
      </c>
      <c r="C55" s="132" t="inlineStr">
        <is>
          <t>Média de dias desde a fiscalização</t>
        </is>
      </c>
      <c r="D55" s="132" t="inlineStr">
        <is>
          <t>Mede o tempo de permanência dos processos na base.</t>
        </is>
      </c>
    </row>
    <row r="56">
      <c r="B56" s="133" t="inlineStr">
        <is>
          <t>Atingimento da meta</t>
        </is>
      </c>
      <c r="C56" s="134" t="inlineStr">
        <is>
          <t>Fiscalizações do mês ÷ meta mensal</t>
        </is>
      </c>
      <c r="D56" s="134" t="inlineStr">
        <is>
          <t>Meta definida na aba CADASTROS.</t>
        </is>
      </c>
    </row>
    <row r="57">
      <c r="B57" s="131" t="inlineStr">
        <is>
          <t>% equipe</t>
        </is>
      </c>
      <c r="C57" s="132" t="inlineStr">
        <is>
          <t>Processos do responsável ÷ total</t>
        </is>
      </c>
      <c r="D57" s="132" t="inlineStr">
        <is>
          <t>Equilíbrio da distribuição de carga.</t>
        </is>
      </c>
    </row>
    <row r="59" ht="22" customHeight="1">
      <c r="B59" s="129" t="inlineStr">
        <is>
          <t>5. OBSERVAÇÕES</t>
        </is>
      </c>
      <c r="C59" s="19" t="n"/>
      <c r="D59" s="19" t="n"/>
    </row>
    <row r="60" ht="30" customHeight="1">
      <c r="B60" s="135" t="inlineStr">
        <is>
          <t>• A planilha vem com 96 registros FICTÍCIOS de exemplo para demonstrar o painel. Para começar a usar, apague o conteúdo das colunas A–N e S da aba PROCESSOS (não apague as colunas O–R, que contêm fórmulas).</t>
        </is>
      </c>
    </row>
    <row r="61" ht="30" customHeight="1">
      <c r="B61" s="135" t="inlineStr">
        <is>
          <t>• Os filtros (Responsável e Ano) ficam no topo do PAINEL e se aplicam também à aba GRÁFICOS.</t>
        </is>
      </c>
    </row>
    <row r="62" ht="30" customHeight="1">
      <c r="B62" s="135" t="inlineStr">
        <is>
          <t>• A tabela 'Carga por responsável' mostra sempre a equipe inteira, independentemente do filtro.</t>
        </is>
      </c>
    </row>
    <row r="63" ht="30" customHeight="1">
      <c r="B63" s="135" t="inlineStr">
        <is>
          <t>• Os indicadores usam a data de HOJE e são recalculados automaticamente ao abrir o arquivo.</t>
        </is>
      </c>
    </row>
    <row r="64" ht="30" customHeight="1">
      <c r="B64" s="135" t="inlineStr">
        <is>
          <t>• Ao colar dados de outra planilha, use 'Colar especial › Valores' para não remover as validações.</t>
        </is>
      </c>
    </row>
  </sheetData>
  <mergeCells count="21">
    <mergeCell ref="B14:D14"/>
    <mergeCell ref="B60:D60"/>
    <mergeCell ref="B23:D23"/>
    <mergeCell ref="B61:D61"/>
    <mergeCell ref="B17:D17"/>
    <mergeCell ref="B13:D13"/>
    <mergeCell ref="B19:D19"/>
    <mergeCell ref="B15:D15"/>
    <mergeCell ref="B20:D20"/>
    <mergeCell ref="B64:D64"/>
    <mergeCell ref="A1:D1"/>
    <mergeCell ref="B5:D5"/>
    <mergeCell ref="B63:D63"/>
    <mergeCell ref="B41:D41"/>
    <mergeCell ref="B62:D62"/>
    <mergeCell ref="B16:D16"/>
    <mergeCell ref="B59:D59"/>
    <mergeCell ref="A3:D3"/>
    <mergeCell ref="B18:D18"/>
    <mergeCell ref="B21:D21"/>
    <mergeCell ref="A2:D2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1004"/>
  <sheetViews>
    <sheetView workbookViewId="0">
      <selection activeCell="A1" sqref="A1"/>
    </sheetView>
  </sheetViews>
  <sheetFormatPr baseColWidth="8" defaultRowHeight="15"/>
  <sheetData>
    <row r="1">
      <c r="A1" s="136" t="inlineStr">
        <is>
          <t>CÁLCULOS AUXILIARES — não editar (alimenta PAINEL e GRÁFICOS)</t>
        </is>
      </c>
    </row>
    <row r="3">
      <c r="B3" t="inlineStr">
        <is>
          <t>Critério responsável</t>
        </is>
      </c>
      <c r="C3" t="str">
        <f>IF(OR(FiltroResp="",FiltroResp="TODOS"),"&lt;&gt;§§",FiltroResp)</f>
        <v>&lt;&gt;§§</v>
      </c>
    </row>
    <row r="4">
      <c r="E4" t="inlineStr">
        <is>
          <t>Lista filtro resp.</t>
        </is>
      </c>
      <c r="G4" t="inlineStr">
        <is>
          <t>Anos</t>
        </is>
      </c>
      <c r="BF4" t="inlineStr">
        <is>
          <t>chave próx.</t>
        </is>
      </c>
      <c r="BG4" t="inlineStr">
        <is>
          <t>chave últ. fiscalização</t>
        </is>
      </c>
      <c r="BI4" t="inlineStr">
        <is>
          <t>k</t>
        </is>
      </c>
      <c r="BJ4" t="inlineStr">
        <is>
          <t>idx próx.</t>
        </is>
      </c>
      <c r="BK4" t="inlineStr">
        <is>
          <t>idx últ.</t>
        </is>
      </c>
    </row>
    <row r="5">
      <c r="E5" t="inlineStr">
        <is>
          <t>TODOS</t>
        </is>
      </c>
      <c r="G5" t="n">
        <v>2024</v>
      </c>
      <c r="I5" s="137" t="inlineStr">
        <is>
          <t>STATUS</t>
        </is>
      </c>
      <c r="L5" t="inlineStr">
        <is>
          <t>Nº</t>
        </is>
      </c>
      <c r="M5" t="inlineStr">
        <is>
          <t>Mês</t>
        </is>
      </c>
      <c r="N5" t="inlineStr">
        <is>
          <t>Fiscalizações</t>
        </is>
      </c>
      <c r="O5" t="inlineStr">
        <is>
          <t>Constatação</t>
        </is>
      </c>
      <c r="P5" t="inlineStr">
        <is>
          <t>Esclarecimento</t>
        </is>
      </c>
      <c r="Q5" t="inlineStr">
        <is>
          <t>Presencial</t>
        </is>
      </c>
      <c r="R5" t="inlineStr">
        <is>
          <t>Eletrônica</t>
        </is>
      </c>
      <c r="S5" t="inlineStr">
        <is>
          <t>Meta</t>
        </is>
      </c>
      <c r="T5" t="inlineStr">
        <is>
          <t>Realizado acumulado</t>
        </is>
      </c>
      <c r="U5" t="inlineStr">
        <is>
          <t>Meta acumulada</t>
        </is>
      </c>
      <c r="W5" t="inlineStr">
        <is>
          <t>Responsável</t>
        </is>
      </c>
      <c r="X5" t="inlineStr">
        <is>
          <t>Total</t>
        </is>
      </c>
      <c r="Y5" t="inlineStr">
        <is>
          <t>Prazo D.P</t>
        </is>
      </c>
      <c r="Z5" t="inlineStr">
        <is>
          <t>Decisão D.P</t>
        </is>
      </c>
      <c r="AA5" t="inlineStr">
        <is>
          <t>No prazo</t>
        </is>
      </c>
      <c r="AB5" t="inlineStr">
        <is>
          <t>Vence breve</t>
        </is>
      </c>
      <c r="AC5" t="inlineStr">
        <is>
          <t>Score</t>
        </is>
      </c>
      <c r="AE5" t="inlineStr">
        <is>
          <t>Pos.</t>
        </is>
      </c>
      <c r="AF5" t="inlineStr">
        <is>
          <t>Responsável</t>
        </is>
      </c>
      <c r="AG5" t="inlineStr">
        <is>
          <t>Total</t>
        </is>
      </c>
      <c r="AH5" t="inlineStr">
        <is>
          <t>Prazo D.P</t>
        </is>
      </c>
      <c r="AI5" t="inlineStr">
        <is>
          <t>Decisão D.P</t>
        </is>
      </c>
      <c r="AJ5" t="inlineStr">
        <is>
          <t>No prazo</t>
        </is>
      </c>
      <c r="AK5" t="inlineStr">
        <is>
          <t>Vence breve</t>
        </is>
      </c>
      <c r="AL5" t="inlineStr">
        <is>
          <t>% equipe</t>
        </is>
      </c>
      <c r="AM5" t="inlineStr">
        <is>
          <t>idx</t>
        </is>
      </c>
      <c r="AO5" t="inlineStr">
        <is>
          <t>Ramo</t>
        </is>
      </c>
      <c r="AP5" t="inlineStr">
        <is>
          <t>Total</t>
        </is>
      </c>
      <c r="AQ5" t="inlineStr">
        <is>
          <t>Constatação</t>
        </is>
      </c>
      <c r="AR5" t="inlineStr">
        <is>
          <t>Esclarecimento</t>
        </is>
      </c>
      <c r="AS5" t="inlineStr">
        <is>
          <t>Prazo D.P</t>
        </is>
      </c>
      <c r="AT5" t="inlineStr">
        <is>
          <t>Score</t>
        </is>
      </c>
      <c r="AV5" t="inlineStr">
        <is>
          <t>Pos.</t>
        </is>
      </c>
      <c r="AW5" t="inlineStr">
        <is>
          <t>Ramo</t>
        </is>
      </c>
      <c r="AX5" t="inlineStr">
        <is>
          <t>Total</t>
        </is>
      </c>
      <c r="AY5" t="inlineStr">
        <is>
          <t>Constatação</t>
        </is>
      </c>
      <c r="AZ5" t="inlineStr">
        <is>
          <t>Esclarecimento</t>
        </is>
      </c>
      <c r="BA5" t="inlineStr">
        <is>
          <t>Prazo D.P</t>
        </is>
      </c>
      <c r="BB5" t="inlineStr">
        <is>
          <t>%</t>
        </is>
      </c>
      <c r="BC5" t="inlineStr">
        <is>
          <t>idx</t>
        </is>
      </c>
      <c r="BF5" t="str">
        <f>IF(AND(OR(PROCESSOS!Q5="NO PRAZO",PROCESSOS!Q5="VENCE EM BREVE"),OR(FiltroResp="TODOS",FiltroResp="",PROCESSOS!I5=FiltroResp)),PROCESSOS!O5+ROW()/1000000,"")</f>
        <v/>
      </c>
      <c r="BG5">
        <f>IF(AND(PROCESSOS!B5&lt;&gt;"",ISNUMBER(PROCESSOS!D5),OR(FiltroResp="TODOS",FiltroResp="",PROCESSOS!I5=FiltroResp)),PROCESSOS!D5+ROW()/1000000,"")</f>
        <v>46043.000005</v>
      </c>
      <c r="BI5" t="n">
        <v>1</v>
      </c>
      <c r="BJ5">
        <f>IFERROR(MATCH(SMALL(hProx,BI5),hProx,0),"")</f>
        <v>74</v>
      </c>
      <c r="BK5">
        <f>IFERROR(MATCH(LARGE(hUlt,BI5),hUlt,0),"")</f>
        <v>96</v>
      </c>
    </row>
    <row r="6">
      <c r="E6" t="str">
        <f>IF(CADASTROS!$D$6="","",CADASTROS!$D$6)</f>
        <v>ANA PAULA SOUZA</v>
      </c>
      <c r="G6" t="n">
        <v>2025</v>
      </c>
      <c r="I6" t="inlineStr">
        <is>
          <t>Prazo D.P</t>
        </is>
      </c>
      <c r="J6">
        <f>COUNTIFS(rEmpresa,"&lt;&gt;",rResp,critResp,rStatus,"PRAZO D.P")</f>
        <v>33</v>
      </c>
      <c r="L6" t="n">
        <v>1</v>
      </c>
      <c r="M6" t="inlineStr">
        <is>
          <t>JAN</t>
        </is>
      </c>
      <c r="N6">
        <f>COUNTIFS(rEmpresa,"&lt;&gt;",rResp,critResp,rDataFisc,"&gt;="&amp;DATE(FiltroAno,L6,1),rDataFisc,"&lt;"&amp;DATE(FiltroAno,L6+1,1))</f>
        <v>1</v>
      </c>
      <c r="O6">
        <f>COUNTIFS(rEmpresa,"&lt;&gt;",rResp,critResp,rDataFisc,"&gt;="&amp;DATE(FiltroAno,L6,1),rDataFisc,"&lt;"&amp;DATE(FiltroAno,L6+1,1),rNotif,"NOTIFICAÇÃO DE CONSTATAÇÃO")</f>
        <v>1</v>
      </c>
      <c r="P6">
        <f>COUNTIFS(rEmpresa,"&lt;&gt;",rResp,critResp,rDataFisc,"&gt;="&amp;DATE(FiltroAno,L6,1),rDataFisc,"&lt;"&amp;DATE(FiltroAno,L6+1,1),rNotif,"NOTIFICAÇÃO DE ESCLARECIMENTO")</f>
        <v>0</v>
      </c>
      <c r="Q6">
        <f>COUNTIFS(rEmpresa,"&lt;&gt;",rResp,critResp,rDataFisc,"&gt;="&amp;DATE(FiltroAno,L6,1),rDataFisc,"&lt;"&amp;DATE(FiltroAno,L6+1,1),rTipo,"PRESENCIAL")</f>
        <v>1</v>
      </c>
      <c r="R6">
        <f>COUNTIFS(rEmpresa,"&lt;&gt;",rResp,critResp,rDataFisc,"&gt;="&amp;DATE(FiltroAno,L6,1),rDataFisc,"&lt;"&amp;DATE(FiltroAno,L6+1,1),rTipo,"ELETRÔNICA")</f>
        <v>0</v>
      </c>
      <c r="S6">
        <f>MetaMensal</f>
        <v>12</v>
      </c>
      <c r="T6">
        <f>SUM($N$6:N6)</f>
        <v>1</v>
      </c>
      <c r="U6">
        <f>SUM($S$6:S6)</f>
        <v>12</v>
      </c>
      <c r="W6" t="str">
        <f>IF(CADASTROS!$D$6="","",CADASTROS!$D$6)</f>
        <v>ANA PAULA SOUZA</v>
      </c>
      <c r="X6">
        <f>IF(W6="",0,COUNTIFS(rResp,W6,rEmpresa,"&lt;&gt;"))</f>
        <v>15</v>
      </c>
      <c r="Y6">
        <f>IF(W6="",0,COUNTIFS(rResp,W6,rEmpresa,"&lt;&gt;",rStatus,"PRAZO D.P"))</f>
        <v>5</v>
      </c>
      <c r="Z6">
        <f>IF(W6="",0,COUNTIFS(rResp,W6,rEmpresa,"&lt;&gt;",rStatus,"DECISÃO D.P"))</f>
        <v>10</v>
      </c>
      <c r="AA6">
        <f>IF(W6="",0,COUNTIFS(rResp,W6,rEmpresa,"&lt;&gt;",rSit,"NO PRAZO"))</f>
        <v>1</v>
      </c>
      <c r="AB6">
        <f>IF(W6="",0,COUNTIFS(rResp,W6,rEmpresa,"&lt;&gt;",rSit,"VENCE EM BREVE"))</f>
        <v>1</v>
      </c>
      <c r="AC6">
        <f>IF(W6="",-1,X6+(100-ROW())/1000)</f>
        <v>15.094</v>
      </c>
      <c r="AE6" t="n">
        <v>1</v>
      </c>
      <c r="AF6" t="str">
        <f>IF(AM6="","",INDEX($W$6:$W$20,AM6))</f>
        <v>CARLA MENDES</v>
      </c>
      <c r="AG6">
        <f>IF(AM6="","",INDEX($X$6:$X$20,AM6))</f>
        <v>16</v>
      </c>
      <c r="AH6">
        <f>IF(AM6="","",INDEX($Y$6:$Y$20,AM6))</f>
        <v>6</v>
      </c>
      <c r="AI6">
        <f>IF(AM6="","",INDEX($Z$6:$Z$20,AM6))</f>
        <v>10</v>
      </c>
      <c r="AJ6">
        <f>IF(AM6="","",INDEX($AA$6:$AA$20,AM6))</f>
        <v>2</v>
      </c>
      <c r="AK6">
        <f>IF(AM6="","",INDEX($AB$6:$AB$20,AM6))</f>
        <v>2</v>
      </c>
      <c r="AL6">
        <f>IF(AM6="","",IFERROR(AG6/SUM($X$6:$X$20),0))</f>
        <v>0.166666666666667</v>
      </c>
      <c r="AM6">
        <f>IF(LARGE($AC$6:$AC$20,AE6)&lt;0,"",MATCH(LARGE($AC$6:$AC$20,AE6),$AC$6:$AC$20,0))</f>
        <v>3</v>
      </c>
      <c r="AO6" t="str">
        <f>IF(CADASTROS!$B$6="","",CADASTROS!$B$6)</f>
        <v>LOJA</v>
      </c>
      <c r="AP6">
        <f>IF(AO6="",0,COUNTIFS(rEmpresa,"&lt;&gt;",rResp,critResp,rRamo,AO6))</f>
        <v>15</v>
      </c>
      <c r="AQ6">
        <f>IF(AO6="",0,COUNTIFS(rEmpresa,"&lt;&gt;",rResp,critResp,rRamo,AO6,rNotif,"NOTIFICAÇÃO DE CONSTATAÇÃO"))</f>
        <v>7</v>
      </c>
      <c r="AR6">
        <f>IF(AO6="",0,COUNTIFS(rEmpresa,"&lt;&gt;",rResp,critResp,rRamo,AO6,rNotif,"NOTIFICAÇÃO DE ESCLARECIMENTO"))</f>
        <v>8</v>
      </c>
      <c r="AS6">
        <f>IF(AO6="",0,COUNTIFS(rEmpresa,"&lt;&gt;",rResp,critResp,rRamo,AO6,rStatus,"PRAZO D.P"))</f>
        <v>5</v>
      </c>
      <c r="AT6">
        <f>IF(AO6="",-1,AP6+(100-ROW())/1000)</f>
        <v>15.094</v>
      </c>
      <c r="AV6" t="n">
        <v>1</v>
      </c>
      <c r="AW6" t="str">
        <f>IF(BC6="","",INDEX($AO$6:$AO$35,BC6))</f>
        <v>SAÚDE</v>
      </c>
      <c r="AX6">
        <f>IF(BC6="","",INDEX($AP$6:$AP$35,BC6))</f>
        <v>17</v>
      </c>
      <c r="AY6">
        <f>IF(BC6="","",INDEX($AQ$6:$AQ$35,BC6))</f>
        <v>11</v>
      </c>
      <c r="AZ6">
        <f>IF(BC6="","",INDEX($AR$6:$AR$35,BC6))</f>
        <v>6</v>
      </c>
      <c r="BA6">
        <f>IF(BC6="","",INDEX($AS$6:$AS$35,BC6))</f>
        <v>6</v>
      </c>
      <c r="BB6">
        <f>IF(BC6="","",IFERROR(AX6/SUM($AP$6:$AP$35),0))</f>
        <v>0.177083333333333</v>
      </c>
      <c r="BC6">
        <f>IF(LARGE($AT$6:$AT$35,AV6)&lt;0,"",MATCH(LARGE($AT$6:$AT$35,AV6),$AT$6:$AT$35,0))</f>
        <v>3</v>
      </c>
      <c r="BF6" t="str">
        <f>IF(AND(OR(PROCESSOS!Q6="NO PRAZO",PROCESSOS!Q6="VENCE EM BREVE"),OR(FiltroResp="TODOS",FiltroResp="",PROCESSOS!I6=FiltroResp)),PROCESSOS!O6+ROW()/1000000,"")</f>
        <v/>
      </c>
      <c r="BG6">
        <f>IF(AND(PROCESSOS!B6&lt;&gt;"",ISNUMBER(PROCESSOS!D6),OR(FiltroResp="TODOS",FiltroResp="",PROCESSOS!I6=FiltroResp)),PROCESSOS!D6+ROW()/1000000,"")</f>
        <v>46072.00000599537</v>
      </c>
      <c r="BI6" t="n">
        <v>2</v>
      </c>
      <c r="BJ6">
        <f>IFERROR(MATCH(SMALL(hProx,BI6),hProx,0),"")</f>
        <v>84</v>
      </c>
      <c r="BK6">
        <f>IFERROR(MATCH(LARGE(hUlt,BI6),hUlt,0),"")</f>
        <v>95</v>
      </c>
    </row>
    <row r="7">
      <c r="E7" t="str">
        <f>IF(CADASTROS!$D$7="","",CADASTROS!$D$7)</f>
        <v>BRUNO CARVALHO</v>
      </c>
      <c r="G7" t="n">
        <v>2026</v>
      </c>
      <c r="I7" t="inlineStr">
        <is>
          <t>Decisão D.P</t>
        </is>
      </c>
      <c r="J7">
        <f>COUNTIFS(rEmpresa,"&lt;&gt;",rResp,critResp,rStatus,"DECISÃO D.P")</f>
        <v>63</v>
      </c>
      <c r="L7" t="n">
        <v>2</v>
      </c>
      <c r="M7" t="inlineStr">
        <is>
          <t>FEV</t>
        </is>
      </c>
      <c r="N7">
        <f>COUNTIFS(rEmpresa,"&lt;&gt;",rResp,critResp,rDataFisc,"&gt;="&amp;DATE(FiltroAno,L7,1),rDataFisc,"&lt;"&amp;DATE(FiltroAno,L7+1,1))</f>
        <v>3</v>
      </c>
      <c r="O7">
        <f>COUNTIFS(rEmpresa,"&lt;&gt;",rResp,critResp,rDataFisc,"&gt;="&amp;DATE(FiltroAno,L7,1),rDataFisc,"&lt;"&amp;DATE(FiltroAno,L7+1,1),rNotif,"NOTIFICAÇÃO DE CONSTATAÇÃO")</f>
        <v>2</v>
      </c>
      <c r="P7">
        <f>COUNTIFS(rEmpresa,"&lt;&gt;",rResp,critResp,rDataFisc,"&gt;="&amp;DATE(FiltroAno,L7,1),rDataFisc,"&lt;"&amp;DATE(FiltroAno,L7+1,1),rNotif,"NOTIFICAÇÃO DE ESCLARECIMENTO")</f>
        <v>1</v>
      </c>
      <c r="Q7">
        <f>COUNTIFS(rEmpresa,"&lt;&gt;",rResp,critResp,rDataFisc,"&gt;="&amp;DATE(FiltroAno,L7,1),rDataFisc,"&lt;"&amp;DATE(FiltroAno,L7+1,1),rTipo,"PRESENCIAL")</f>
        <v>1</v>
      </c>
      <c r="R7">
        <f>COUNTIFS(rEmpresa,"&lt;&gt;",rResp,critResp,rDataFisc,"&gt;="&amp;DATE(FiltroAno,L7,1),rDataFisc,"&lt;"&amp;DATE(FiltroAno,L7+1,1),rTipo,"ELETRÔNICA")</f>
        <v>2</v>
      </c>
      <c r="S7">
        <f>MetaMensal</f>
        <v>12</v>
      </c>
      <c r="T7">
        <f>SUM($N$6:N7)</f>
        <v>4</v>
      </c>
      <c r="U7">
        <f>SUM($S$6:S7)</f>
        <v>24</v>
      </c>
      <c r="W7" t="str">
        <f>IF(CADASTROS!$D$7="","",CADASTROS!$D$7)</f>
        <v>BRUNO CARVALHO</v>
      </c>
      <c r="X7">
        <f>IF(W7="",0,COUNTIFS(rResp,W7,rEmpresa,"&lt;&gt;"))</f>
        <v>14</v>
      </c>
      <c r="Y7">
        <f>IF(W7="",0,COUNTIFS(rResp,W7,rEmpresa,"&lt;&gt;",rStatus,"PRAZO D.P"))</f>
        <v>6</v>
      </c>
      <c r="Z7">
        <f>IF(W7="",0,COUNTIFS(rResp,W7,rEmpresa,"&lt;&gt;",rStatus,"DECISÃO D.P"))</f>
        <v>8</v>
      </c>
      <c r="AA7">
        <f>IF(W7="",0,COUNTIFS(rResp,W7,rEmpresa,"&lt;&gt;",rSit,"NO PRAZO"))</f>
        <v>4</v>
      </c>
      <c r="AB7">
        <f>IF(W7="",0,COUNTIFS(rResp,W7,rEmpresa,"&lt;&gt;",rSit,"VENCE EM BREVE"))</f>
        <v>0</v>
      </c>
      <c r="AC7">
        <f>IF(W7="",-1,X7+(100-ROW())/1000)</f>
        <v>14.093</v>
      </c>
      <c r="AE7" t="n">
        <v>2</v>
      </c>
      <c r="AF7" t="str">
        <f>IF(AM7="","",INDEX($W$6:$W$20,AM7))</f>
        <v>ANA PAULA SOUZA</v>
      </c>
      <c r="AG7">
        <f>IF(AM7="","",INDEX($X$6:$X$20,AM7))</f>
        <v>15</v>
      </c>
      <c r="AH7">
        <f>IF(AM7="","",INDEX($Y$6:$Y$20,AM7))</f>
        <v>5</v>
      </c>
      <c r="AI7">
        <f>IF(AM7="","",INDEX($Z$6:$Z$20,AM7))</f>
        <v>10</v>
      </c>
      <c r="AJ7">
        <f>IF(AM7="","",INDEX($AA$6:$AA$20,AM7))</f>
        <v>1</v>
      </c>
      <c r="AK7">
        <f>IF(AM7="","",INDEX($AB$6:$AB$20,AM7))</f>
        <v>1</v>
      </c>
      <c r="AL7">
        <f>IF(AM7="","",IFERROR(AG7/SUM($X$6:$X$20),0))</f>
        <v>0.15625</v>
      </c>
      <c r="AM7">
        <f>IF(LARGE($AC$6:$AC$20,AE7)&lt;0,"",MATCH(LARGE($AC$6:$AC$20,AE7),$AC$6:$AC$20,0))</f>
        <v>1</v>
      </c>
      <c r="AO7" t="str">
        <f>IF(CADASTROS!$B$7="","",CADASTROS!$B$7)</f>
        <v>POSTO DE COMBUSTÍVEL</v>
      </c>
      <c r="AP7">
        <f>IF(AO7="",0,COUNTIFS(rEmpresa,"&lt;&gt;",rResp,critResp,rRamo,AO7))</f>
        <v>8</v>
      </c>
      <c r="AQ7">
        <f>IF(AO7="",0,COUNTIFS(rEmpresa,"&lt;&gt;",rResp,critResp,rRamo,AO7,rNotif,"NOTIFICAÇÃO DE CONSTATAÇÃO"))</f>
        <v>8</v>
      </c>
      <c r="AR7">
        <f>IF(AO7="",0,COUNTIFS(rEmpresa,"&lt;&gt;",rResp,critResp,rRamo,AO7,rNotif,"NOTIFICAÇÃO DE ESCLARECIMENTO"))</f>
        <v>0</v>
      </c>
      <c r="AS7">
        <f>IF(AO7="",0,COUNTIFS(rEmpresa,"&lt;&gt;",rResp,critResp,rRamo,AO7,rStatus,"PRAZO D.P"))</f>
        <v>5</v>
      </c>
      <c r="AT7">
        <f>IF(AO7="",-1,AP7+(100-ROW())/1000)</f>
        <v>8.093</v>
      </c>
      <c r="AV7" t="n">
        <v>2</v>
      </c>
      <c r="AW7" t="str">
        <f>IF(BC7="","",INDEX($AO$6:$AO$35,BC7))</f>
        <v>LOJA</v>
      </c>
      <c r="AX7">
        <f>IF(BC7="","",INDEX($AP$6:$AP$35,BC7))</f>
        <v>15</v>
      </c>
      <c r="AY7">
        <f>IF(BC7="","",INDEX($AQ$6:$AQ$35,BC7))</f>
        <v>7</v>
      </c>
      <c r="AZ7">
        <f>IF(BC7="","",INDEX($AR$6:$AR$35,BC7))</f>
        <v>8</v>
      </c>
      <c r="BA7">
        <f>IF(BC7="","",INDEX($AS$6:$AS$35,BC7))</f>
        <v>5</v>
      </c>
      <c r="BB7">
        <f>IF(BC7="","",IFERROR(AX7/SUM($AP$6:$AP$35),0))</f>
        <v>0.15625</v>
      </c>
      <c r="BC7">
        <f>IF(LARGE($AT$6:$AT$35,AV7)&lt;0,"",MATCH(LARGE($AT$6:$AT$35,AV7),$AT$6:$AT$35,0))</f>
        <v>1</v>
      </c>
      <c r="BF7" t="str">
        <f>IF(AND(OR(PROCESSOS!Q7="NO PRAZO",PROCESSOS!Q7="VENCE EM BREVE"),OR(FiltroResp="TODOS",FiltroResp="",PROCESSOS!I7=FiltroResp)),PROCESSOS!O7+ROW()/1000000,"")</f>
        <v/>
      </c>
      <c r="BG7">
        <f>IF(AND(PROCESSOS!B7&lt;&gt;"",ISNUMBER(PROCESSOS!D7),OR(FiltroResp="TODOS",FiltroResp="",PROCESSOS!I7=FiltroResp)),PROCESSOS!D7+ROW()/1000000,"")</f>
        <v>46073.000007002316</v>
      </c>
      <c r="BI7" t="n">
        <v>3</v>
      </c>
      <c r="BJ7">
        <f>IFERROR(MATCH(SMALL(hProx,BI7),hProx,0),"")</f>
        <v>85</v>
      </c>
      <c r="BK7">
        <f>IFERROR(MATCH(LARGE(hUlt,BI7),hUlt,0),"")</f>
        <v>94</v>
      </c>
    </row>
    <row r="8">
      <c r="E8" t="str">
        <f>IF(CADASTROS!$D$8="","",CADASTROS!$D$8)</f>
        <v>CARLA MENDES</v>
      </c>
      <c r="G8" t="n">
        <v>2027</v>
      </c>
      <c r="L8" t="n">
        <v>3</v>
      </c>
      <c r="M8" t="inlineStr">
        <is>
          <t>MAR</t>
        </is>
      </c>
      <c r="N8">
        <f>COUNTIFS(rEmpresa,"&lt;&gt;",rResp,critResp,rDataFisc,"&gt;="&amp;DATE(FiltroAno,L8,1),rDataFisc,"&lt;"&amp;DATE(FiltroAno,L8+1,1))</f>
        <v>4</v>
      </c>
      <c r="O8">
        <f>COUNTIFS(rEmpresa,"&lt;&gt;",rResp,critResp,rDataFisc,"&gt;="&amp;DATE(FiltroAno,L8,1),rDataFisc,"&lt;"&amp;DATE(FiltroAno,L8+1,1),rNotif,"NOTIFICAÇÃO DE CONSTATAÇÃO")</f>
        <v>3</v>
      </c>
      <c r="P8">
        <f>COUNTIFS(rEmpresa,"&lt;&gt;",rResp,critResp,rDataFisc,"&gt;="&amp;DATE(FiltroAno,L8,1),rDataFisc,"&lt;"&amp;DATE(FiltroAno,L8+1,1),rNotif,"NOTIFICAÇÃO DE ESCLARECIMENTO")</f>
        <v>1</v>
      </c>
      <c r="Q8">
        <f>COUNTIFS(rEmpresa,"&lt;&gt;",rResp,critResp,rDataFisc,"&gt;="&amp;DATE(FiltroAno,L8,1),rDataFisc,"&lt;"&amp;DATE(FiltroAno,L8+1,1),rTipo,"PRESENCIAL")</f>
        <v>2</v>
      </c>
      <c r="R8">
        <f>COUNTIFS(rEmpresa,"&lt;&gt;",rResp,critResp,rDataFisc,"&gt;="&amp;DATE(FiltroAno,L8,1),rDataFisc,"&lt;"&amp;DATE(FiltroAno,L8+1,1),rTipo,"ELETRÔNICA")</f>
        <v>2</v>
      </c>
      <c r="S8">
        <f>MetaMensal</f>
        <v>12</v>
      </c>
      <c r="T8">
        <f>SUM($N$6:N8)</f>
        <v>8</v>
      </c>
      <c r="U8">
        <f>SUM($S$6:S8)</f>
        <v>36</v>
      </c>
      <c r="W8" t="str">
        <f>IF(CADASTROS!$D$8="","",CADASTROS!$D$8)</f>
        <v>CARLA MENDES</v>
      </c>
      <c r="X8">
        <f>IF(W8="",0,COUNTIFS(rResp,W8,rEmpresa,"&lt;&gt;"))</f>
        <v>16</v>
      </c>
      <c r="Y8">
        <f>IF(W8="",0,COUNTIFS(rResp,W8,rEmpresa,"&lt;&gt;",rStatus,"PRAZO D.P"))</f>
        <v>6</v>
      </c>
      <c r="Z8">
        <f>IF(W8="",0,COUNTIFS(rResp,W8,rEmpresa,"&lt;&gt;",rStatus,"DECISÃO D.P"))</f>
        <v>10</v>
      </c>
      <c r="AA8">
        <f>IF(W8="",0,COUNTIFS(rResp,W8,rEmpresa,"&lt;&gt;",rSit,"NO PRAZO"))</f>
        <v>2</v>
      </c>
      <c r="AB8">
        <f>IF(W8="",0,COUNTIFS(rResp,W8,rEmpresa,"&lt;&gt;",rSit,"VENCE EM BREVE"))</f>
        <v>2</v>
      </c>
      <c r="AC8">
        <f>IF(W8="",-1,X8+(100-ROW())/1000)</f>
        <v>16.092</v>
      </c>
      <c r="AE8" t="n">
        <v>3</v>
      </c>
      <c r="AF8" t="str">
        <f>IF(AM8="","",INDEX($W$6:$W$20,AM8))</f>
        <v>BRUNO CARVALHO</v>
      </c>
      <c r="AG8">
        <f>IF(AM8="","",INDEX($X$6:$X$20,AM8))</f>
        <v>14</v>
      </c>
      <c r="AH8">
        <f>IF(AM8="","",INDEX($Y$6:$Y$20,AM8))</f>
        <v>6</v>
      </c>
      <c r="AI8">
        <f>IF(AM8="","",INDEX($Z$6:$Z$20,AM8))</f>
        <v>8</v>
      </c>
      <c r="AJ8">
        <f>IF(AM8="","",INDEX($AA$6:$AA$20,AM8))</f>
        <v>4</v>
      </c>
      <c r="AK8">
        <f>IF(AM8="","",INDEX($AB$6:$AB$20,AM8))</f>
        <v>0</v>
      </c>
      <c r="AL8">
        <f>IF(AM8="","",IFERROR(AG8/SUM($X$6:$X$20),0))</f>
        <v>0.145833333333333</v>
      </c>
      <c r="AM8">
        <f>IF(LARGE($AC$6:$AC$20,AE8)&lt;0,"",MATCH(LARGE($AC$6:$AC$20,AE8),$AC$6:$AC$20,0))</f>
        <v>2</v>
      </c>
      <c r="AO8" t="str">
        <f>IF(CADASTROS!$B$8="","",CADASTROS!$B$8)</f>
        <v>SAÚDE</v>
      </c>
      <c r="AP8">
        <f>IF(AO8="",0,COUNTIFS(rEmpresa,"&lt;&gt;",rResp,critResp,rRamo,AO8))</f>
        <v>17</v>
      </c>
      <c r="AQ8">
        <f>IF(AO8="",0,COUNTIFS(rEmpresa,"&lt;&gt;",rResp,critResp,rRamo,AO8,rNotif,"NOTIFICAÇÃO DE CONSTATAÇÃO"))</f>
        <v>11</v>
      </c>
      <c r="AR8">
        <f>IF(AO8="",0,COUNTIFS(rEmpresa,"&lt;&gt;",rResp,critResp,rRamo,AO8,rNotif,"NOTIFICAÇÃO DE ESCLARECIMENTO"))</f>
        <v>6</v>
      </c>
      <c r="AS8">
        <f>IF(AO8="",0,COUNTIFS(rEmpresa,"&lt;&gt;",rResp,critResp,rRamo,AO8,rStatus,"PRAZO D.P"))</f>
        <v>6</v>
      </c>
      <c r="AT8">
        <f>IF(AO8="",-1,AP8+(100-ROW())/1000)</f>
        <v>17.092</v>
      </c>
      <c r="AV8" t="n">
        <v>3</v>
      </c>
      <c r="AW8" t="str">
        <f>IF(BC8="","",INDEX($AO$6:$AO$35,BC8))</f>
        <v>FARMÁCIA</v>
      </c>
      <c r="AX8">
        <f>IF(BC8="","",INDEX($AP$6:$AP$35,BC8))</f>
        <v>13</v>
      </c>
      <c r="AY8">
        <f>IF(BC8="","",INDEX($AQ$6:$AQ$35,BC8))</f>
        <v>6</v>
      </c>
      <c r="AZ8">
        <f>IF(BC8="","",INDEX($AR$6:$AR$35,BC8))</f>
        <v>7</v>
      </c>
      <c r="BA8">
        <f>IF(BC8="","",INDEX($AS$6:$AS$35,BC8))</f>
        <v>3</v>
      </c>
      <c r="BB8">
        <f>IF(BC8="","",IFERROR(AX8/SUM($AP$6:$AP$35),0))</f>
        <v>0.135416666666667</v>
      </c>
      <c r="BC8">
        <f>IF(LARGE($AT$6:$AT$35,AV8)&lt;0,"",MATCH(LARGE($AT$6:$AT$35,AV8),$AT$6:$AT$35,0))</f>
        <v>7</v>
      </c>
      <c r="BF8" t="str">
        <f>IF(AND(OR(PROCESSOS!Q8="NO PRAZO",PROCESSOS!Q8="VENCE EM BREVE"),OR(FiltroResp="TODOS",FiltroResp="",PROCESSOS!I8=FiltroResp)),PROCESSOS!O8+ROW()/1000000,"")</f>
        <v/>
      </c>
      <c r="BG8">
        <f>IF(AND(PROCESSOS!B8&lt;&gt;"",ISNUMBER(PROCESSOS!D8),OR(FiltroResp="TODOS",FiltroResp="",PROCESSOS!I8=FiltroResp)),PROCESSOS!D8+ROW()/1000000,"")</f>
        <v>46079.00000799768</v>
      </c>
      <c r="BI8" t="n">
        <v>4</v>
      </c>
      <c r="BJ8">
        <f>IFERROR(MATCH(SMALL(hProx,BI8),hProx,0),"")</f>
        <v>58</v>
      </c>
      <c r="BK8">
        <f>IFERROR(MATCH(LARGE(hUlt,BI8),hUlt,0),"")</f>
        <v>93</v>
      </c>
    </row>
    <row r="9">
      <c r="E9" t="str">
        <f>IF(CADASTROS!$D$9="","",CADASTROS!$D$9)</f>
        <v>DIEGO RIBEIRO</v>
      </c>
      <c r="G9" t="n">
        <v>2028</v>
      </c>
      <c r="L9" t="n">
        <v>4</v>
      </c>
      <c r="M9" t="inlineStr">
        <is>
          <t>ABR</t>
        </is>
      </c>
      <c r="N9">
        <f>COUNTIFS(rEmpresa,"&lt;&gt;",rResp,critResp,rDataFisc,"&gt;="&amp;DATE(FiltroAno,L9,1),rDataFisc,"&lt;"&amp;DATE(FiltroAno,L9+1,1))</f>
        <v>9</v>
      </c>
      <c r="O9">
        <f>COUNTIFS(rEmpresa,"&lt;&gt;",rResp,critResp,rDataFisc,"&gt;="&amp;DATE(FiltroAno,L9,1),rDataFisc,"&lt;"&amp;DATE(FiltroAno,L9+1,1),rNotif,"NOTIFICAÇÃO DE CONSTATAÇÃO")</f>
        <v>4</v>
      </c>
      <c r="P9">
        <f>COUNTIFS(rEmpresa,"&lt;&gt;",rResp,critResp,rDataFisc,"&gt;="&amp;DATE(FiltroAno,L9,1),rDataFisc,"&lt;"&amp;DATE(FiltroAno,L9+1,1),rNotif,"NOTIFICAÇÃO DE ESCLARECIMENTO")</f>
        <v>5</v>
      </c>
      <c r="Q9">
        <f>COUNTIFS(rEmpresa,"&lt;&gt;",rResp,critResp,rDataFisc,"&gt;="&amp;DATE(FiltroAno,L9,1),rDataFisc,"&lt;"&amp;DATE(FiltroAno,L9+1,1),rTipo,"PRESENCIAL")</f>
        <v>5</v>
      </c>
      <c r="R9">
        <f>COUNTIFS(rEmpresa,"&lt;&gt;",rResp,critResp,rDataFisc,"&gt;="&amp;DATE(FiltroAno,L9,1),rDataFisc,"&lt;"&amp;DATE(FiltroAno,L9+1,1),rTipo,"ELETRÔNICA")</f>
        <v>4</v>
      </c>
      <c r="S9">
        <f>MetaMensal</f>
        <v>12</v>
      </c>
      <c r="T9">
        <f>SUM($N$6:N9)</f>
        <v>17</v>
      </c>
      <c r="U9">
        <f>SUM($S$6:S9)</f>
        <v>48</v>
      </c>
      <c r="W9" t="str">
        <f>IF(CADASTROS!$D$9="","",CADASTROS!$D$9)</f>
        <v>DIEGO RIBEIRO</v>
      </c>
      <c r="X9">
        <f>IF(W9="",0,COUNTIFS(rResp,W9,rEmpresa,"&lt;&gt;"))</f>
        <v>14</v>
      </c>
      <c r="Y9">
        <f>IF(W9="",0,COUNTIFS(rResp,W9,rEmpresa,"&lt;&gt;",rStatus,"PRAZO D.P"))</f>
        <v>6</v>
      </c>
      <c r="Z9">
        <f>IF(W9="",0,COUNTIFS(rResp,W9,rEmpresa,"&lt;&gt;",rStatus,"DECISÃO D.P"))</f>
        <v>8</v>
      </c>
      <c r="AA9">
        <f>IF(W9="",0,COUNTIFS(rResp,W9,rEmpresa,"&lt;&gt;",rSit,"NO PRAZO"))</f>
        <v>1</v>
      </c>
      <c r="AB9">
        <f>IF(W9="",0,COUNTIFS(rResp,W9,rEmpresa,"&lt;&gt;",rSit,"VENCE EM BREVE"))</f>
        <v>0</v>
      </c>
      <c r="AC9">
        <f>IF(W9="",-1,X9+(100-ROW())/1000)</f>
        <v>14.091</v>
      </c>
      <c r="AE9" t="n">
        <v>4</v>
      </c>
      <c r="AF9" t="str">
        <f>IF(AM9="","",INDEX($W$6:$W$20,AM9))</f>
        <v>DIEGO RIBEIRO</v>
      </c>
      <c r="AG9">
        <f>IF(AM9="","",INDEX($X$6:$X$20,AM9))</f>
        <v>14</v>
      </c>
      <c r="AH9">
        <f>IF(AM9="","",INDEX($Y$6:$Y$20,AM9))</f>
        <v>6</v>
      </c>
      <c r="AI9">
        <f>IF(AM9="","",INDEX($Z$6:$Z$20,AM9))</f>
        <v>8</v>
      </c>
      <c r="AJ9">
        <f>IF(AM9="","",INDEX($AA$6:$AA$20,AM9))</f>
        <v>1</v>
      </c>
      <c r="AK9">
        <f>IF(AM9="","",INDEX($AB$6:$AB$20,AM9))</f>
        <v>0</v>
      </c>
      <c r="AL9">
        <f>IF(AM9="","",IFERROR(AG9/SUM($X$6:$X$20),0))</f>
        <v>0.145833333333333</v>
      </c>
      <c r="AM9">
        <f>IF(LARGE($AC$6:$AC$20,AE9)&lt;0,"",MATCH(LARGE($AC$6:$AC$20,AE9),$AC$6:$AC$20,0))</f>
        <v>4</v>
      </c>
      <c r="AO9" t="str">
        <f>IF(CADASTROS!$B$9="","",CADASTROS!$B$9)</f>
        <v>ACADEMIA</v>
      </c>
      <c r="AP9">
        <f>IF(AO9="",0,COUNTIFS(rEmpresa,"&lt;&gt;",rResp,critResp,rRamo,AO9))</f>
        <v>11</v>
      </c>
      <c r="AQ9">
        <f>IF(AO9="",0,COUNTIFS(rEmpresa,"&lt;&gt;",rResp,critResp,rRamo,AO9,rNotif,"NOTIFICAÇÃO DE CONSTATAÇÃO"))</f>
        <v>7</v>
      </c>
      <c r="AR9">
        <f>IF(AO9="",0,COUNTIFS(rEmpresa,"&lt;&gt;",rResp,critResp,rRamo,AO9,rNotif,"NOTIFICAÇÃO DE ESCLARECIMENTO"))</f>
        <v>4</v>
      </c>
      <c r="AS9">
        <f>IF(AO9="",0,COUNTIFS(rEmpresa,"&lt;&gt;",rResp,critResp,rRamo,AO9,rStatus,"PRAZO D.P"))</f>
        <v>4</v>
      </c>
      <c r="AT9">
        <f>IF(AO9="",-1,AP9+(100-ROW())/1000)</f>
        <v>11.091</v>
      </c>
      <c r="AV9" t="n">
        <v>4</v>
      </c>
      <c r="AW9" t="str">
        <f>IF(BC9="","",INDEX($AO$6:$AO$35,BC9))</f>
        <v>ACADEMIA</v>
      </c>
      <c r="AX9">
        <f>IF(BC9="","",INDEX($AP$6:$AP$35,BC9))</f>
        <v>11</v>
      </c>
      <c r="AY9">
        <f>IF(BC9="","",INDEX($AQ$6:$AQ$35,BC9))</f>
        <v>7</v>
      </c>
      <c r="AZ9">
        <f>IF(BC9="","",INDEX($AR$6:$AR$35,BC9))</f>
        <v>4</v>
      </c>
      <c r="BA9">
        <f>IF(BC9="","",INDEX($AS$6:$AS$35,BC9))</f>
        <v>4</v>
      </c>
      <c r="BB9">
        <f>IF(BC9="","",IFERROR(AX9/SUM($AP$6:$AP$35),0))</f>
        <v>0.114583333333333</v>
      </c>
      <c r="BC9">
        <f>IF(LARGE($AT$6:$AT$35,AV9)&lt;0,"",MATCH(LARGE($AT$6:$AT$35,AV9),$AT$6:$AT$35,0))</f>
        <v>4</v>
      </c>
      <c r="BF9" t="str">
        <f>IF(AND(OR(PROCESSOS!Q9="NO PRAZO",PROCESSOS!Q9="VENCE EM BREVE"),OR(FiltroResp="TODOS",FiltroResp="",PROCESSOS!I9=FiltroResp)),PROCESSOS!O9+ROW()/1000000,"")</f>
        <v/>
      </c>
      <c r="BG9">
        <f>IF(AND(PROCESSOS!B9&lt;&gt;"",ISNUMBER(PROCESSOS!D9),OR(FiltroResp="TODOS",FiltroResp="",PROCESSOS!I9=FiltroResp)),PROCESSOS!D9+ROW()/1000000,"")</f>
        <v>46096.00000900463</v>
      </c>
      <c r="BI9" t="n">
        <v>5</v>
      </c>
      <c r="BJ9">
        <f>IFERROR(MATCH(SMALL(hProx,BI9),hProx,0),"")</f>
        <v>82</v>
      </c>
      <c r="BK9">
        <f>IFERROR(MATCH(LARGE(hUlt,BI9),hUlt,0),"")</f>
        <v>92</v>
      </c>
    </row>
    <row r="10">
      <c r="E10" t="str">
        <f>IF(CADASTROS!$D$10="","",CADASTROS!$D$10)</f>
        <v>EDUARDA LIMA</v>
      </c>
      <c r="G10" t="n">
        <v>2029</v>
      </c>
      <c r="I10" s="137" t="inlineStr">
        <is>
          <t>SITUAÇÃO</t>
        </is>
      </c>
      <c r="L10" t="n">
        <v>5</v>
      </c>
      <c r="M10" t="inlineStr">
        <is>
          <t>MAI</t>
        </is>
      </c>
      <c r="N10">
        <f>COUNTIFS(rEmpresa,"&lt;&gt;",rResp,critResp,rDataFisc,"&gt;="&amp;DATE(FiltroAno,L10,1),rDataFisc,"&lt;"&amp;DATE(FiltroAno,L10+1,1))</f>
        <v>6</v>
      </c>
      <c r="O10">
        <f>COUNTIFS(rEmpresa,"&lt;&gt;",rResp,critResp,rDataFisc,"&gt;="&amp;DATE(FiltroAno,L10,1),rDataFisc,"&lt;"&amp;DATE(FiltroAno,L10+1,1),rNotif,"NOTIFICAÇÃO DE CONSTATAÇÃO")</f>
        <v>3</v>
      </c>
      <c r="P10">
        <f>COUNTIFS(rEmpresa,"&lt;&gt;",rResp,critResp,rDataFisc,"&gt;="&amp;DATE(FiltroAno,L10,1),rDataFisc,"&lt;"&amp;DATE(FiltroAno,L10+1,1),rNotif,"NOTIFICAÇÃO DE ESCLARECIMENTO")</f>
        <v>3</v>
      </c>
      <c r="Q10">
        <f>COUNTIFS(rEmpresa,"&lt;&gt;",rResp,critResp,rDataFisc,"&gt;="&amp;DATE(FiltroAno,L10,1),rDataFisc,"&lt;"&amp;DATE(FiltroAno,L10+1,1),rTipo,"PRESENCIAL")</f>
        <v>4</v>
      </c>
      <c r="R10">
        <f>COUNTIFS(rEmpresa,"&lt;&gt;",rResp,critResp,rDataFisc,"&gt;="&amp;DATE(FiltroAno,L10,1),rDataFisc,"&lt;"&amp;DATE(FiltroAno,L10+1,1),rTipo,"ELETRÔNICA")</f>
        <v>2</v>
      </c>
      <c r="S10">
        <f>MetaMensal</f>
        <v>12</v>
      </c>
      <c r="T10">
        <f>SUM($N$6:N10)</f>
        <v>23</v>
      </c>
      <c r="U10">
        <f>SUM($S$6:S10)</f>
        <v>60</v>
      </c>
      <c r="W10" t="str">
        <f>IF(CADASTROS!$D$10="","",CADASTROS!$D$10)</f>
        <v>EDUARDA LIMA</v>
      </c>
      <c r="X10">
        <f>IF(W10="",0,COUNTIFS(rResp,W10,rEmpresa,"&lt;&gt;"))</f>
        <v>9</v>
      </c>
      <c r="Y10">
        <f>IF(W10="",0,COUNTIFS(rResp,W10,rEmpresa,"&lt;&gt;",rStatus,"PRAZO D.P"))</f>
        <v>1</v>
      </c>
      <c r="Z10">
        <f>IF(W10="",0,COUNTIFS(rResp,W10,rEmpresa,"&lt;&gt;",rStatus,"DECISÃO D.P"))</f>
        <v>8</v>
      </c>
      <c r="AA10">
        <f>IF(W10="",0,COUNTIFS(rResp,W10,rEmpresa,"&lt;&gt;",rSit,"NO PRAZO"))</f>
        <v>1</v>
      </c>
      <c r="AB10">
        <f>IF(W10="",0,COUNTIFS(rResp,W10,rEmpresa,"&lt;&gt;",rSit,"VENCE EM BREVE"))</f>
        <v>0</v>
      </c>
      <c r="AC10">
        <f>IF(W10="",-1,X10+(100-ROW())/1000)</f>
        <v>9.09</v>
      </c>
      <c r="AE10" t="n">
        <v>5</v>
      </c>
      <c r="AF10" t="str">
        <f>IF(AM10="","",INDEX($W$6:$W$20,AM10))</f>
        <v>HENRIQUE COSTA</v>
      </c>
      <c r="AG10">
        <f>IF(AM10="","",INDEX($X$6:$X$20,AM10))</f>
        <v>10</v>
      </c>
      <c r="AH10">
        <f>IF(AM10="","",INDEX($Y$6:$Y$20,AM10))</f>
        <v>4</v>
      </c>
      <c r="AI10">
        <f>IF(AM10="","",INDEX($Z$6:$Z$20,AM10))</f>
        <v>6</v>
      </c>
      <c r="AJ10">
        <f>IF(AM10="","",INDEX($AA$6:$AA$20,AM10))</f>
        <v>2</v>
      </c>
      <c r="AK10">
        <f>IF(AM10="","",INDEX($AB$6:$AB$20,AM10))</f>
        <v>0</v>
      </c>
      <c r="AL10">
        <f>IF(AM10="","",IFERROR(AG10/SUM($X$6:$X$20),0))</f>
        <v>0.104166666666667</v>
      </c>
      <c r="AM10">
        <f>IF(LARGE($AC$6:$AC$20,AE10)&lt;0,"",MATCH(LARGE($AC$6:$AC$20,AE10),$AC$6:$AC$20,0))</f>
        <v>8</v>
      </c>
      <c r="AO10" t="str">
        <f>IF(CADASTROS!$B$10="","",CADASTROS!$B$10)</f>
        <v>SUPERMERCADO</v>
      </c>
      <c r="AP10">
        <f>IF(AO10="",0,COUNTIFS(rEmpresa,"&lt;&gt;",rResp,critResp,rRamo,AO10))</f>
        <v>8</v>
      </c>
      <c r="AQ10">
        <f>IF(AO10="",0,COUNTIFS(rEmpresa,"&lt;&gt;",rResp,critResp,rRamo,AO10,rNotif,"NOTIFICAÇÃO DE CONSTATAÇÃO"))</f>
        <v>6</v>
      </c>
      <c r="AR10">
        <f>IF(AO10="",0,COUNTIFS(rEmpresa,"&lt;&gt;",rResp,critResp,rRamo,AO10,rNotif,"NOTIFICAÇÃO DE ESCLARECIMENTO"))</f>
        <v>2</v>
      </c>
      <c r="AS10">
        <f>IF(AO10="",0,COUNTIFS(rEmpresa,"&lt;&gt;",rResp,critResp,rRamo,AO10,rStatus,"PRAZO D.P"))</f>
        <v>3</v>
      </c>
      <c r="AT10">
        <f>IF(AO10="",-1,AP10+(100-ROW())/1000)</f>
        <v>8.09</v>
      </c>
      <c r="AV10" t="n">
        <v>5</v>
      </c>
      <c r="AW10" t="str">
        <f>IF(BC10="","",INDEX($AO$6:$AO$35,BC10))</f>
        <v>POSTO DE COMBUSTÍVEL</v>
      </c>
      <c r="AX10">
        <f>IF(BC10="","",INDEX($AP$6:$AP$35,BC10))</f>
        <v>8</v>
      </c>
      <c r="AY10">
        <f>IF(BC10="","",INDEX($AQ$6:$AQ$35,BC10))</f>
        <v>8</v>
      </c>
      <c r="AZ10">
        <f>IF(BC10="","",INDEX($AR$6:$AR$35,BC10))</f>
        <v>0</v>
      </c>
      <c r="BA10">
        <f>IF(BC10="","",INDEX($AS$6:$AS$35,BC10))</f>
        <v>5</v>
      </c>
      <c r="BB10">
        <f>IF(BC10="","",IFERROR(AX10/SUM($AP$6:$AP$35),0))</f>
        <v>0.0833333333333333</v>
      </c>
      <c r="BC10">
        <f>IF(LARGE($AT$6:$AT$35,AV10)&lt;0,"",MATCH(LARGE($AT$6:$AT$35,AV10),$AT$6:$AT$35,0))</f>
        <v>2</v>
      </c>
      <c r="BF10" t="str">
        <f>IF(AND(OR(PROCESSOS!Q10="NO PRAZO",PROCESSOS!Q10="VENCE EM BREVE"),OR(FiltroResp="TODOS",FiltroResp="",PROCESSOS!I10=FiltroResp)),PROCESSOS!O10+ROW()/1000000,"")</f>
        <v/>
      </c>
      <c r="BG10">
        <f>IF(AND(PROCESSOS!B10&lt;&gt;"",ISNUMBER(PROCESSOS!D10),OR(FiltroResp="TODOS",FiltroResp="",PROCESSOS!I10=FiltroResp)),PROCESSOS!D10+ROW()/1000000,"")</f>
        <v>46099.00001</v>
      </c>
      <c r="BI10" t="n">
        <v>6</v>
      </c>
      <c r="BJ10">
        <f>IFERROR(MATCH(SMALL(hProx,BI10),hProx,0),"")</f>
        <v>96</v>
      </c>
      <c r="BK10">
        <f>IFERROR(MATCH(LARGE(hUlt,BI10),hUlt,0),"")</f>
        <v>91</v>
      </c>
    </row>
    <row r="11">
      <c r="E11" t="str">
        <f>IF(CADASTROS!$D$11="","",CADASTROS!$D$11)</f>
        <v>FELIPE ARAÚJO</v>
      </c>
      <c r="G11" t="n">
        <v>2030</v>
      </c>
      <c r="I11" t="inlineStr">
        <is>
          <t>No prazo</t>
        </is>
      </c>
      <c r="J11">
        <f>COUNTIFS(rEmpresa,"&lt;&gt;",rResp,critResp,rSit,"NO PRAZO")</f>
        <v>13</v>
      </c>
      <c r="L11" t="n">
        <v>6</v>
      </c>
      <c r="M11" t="inlineStr">
        <is>
          <t>JUN</t>
        </is>
      </c>
      <c r="N11">
        <f>COUNTIFS(rEmpresa,"&lt;&gt;",rResp,critResp,rDataFisc,"&gt;="&amp;DATE(FiltroAno,L11,1),rDataFisc,"&lt;"&amp;DATE(FiltroAno,L11+1,1))</f>
        <v>9</v>
      </c>
      <c r="O11">
        <f>COUNTIFS(rEmpresa,"&lt;&gt;",rResp,critResp,rDataFisc,"&gt;="&amp;DATE(FiltroAno,L11,1),rDataFisc,"&lt;"&amp;DATE(FiltroAno,L11+1,1),rNotif,"NOTIFICAÇÃO DE CONSTATAÇÃO")</f>
        <v>8</v>
      </c>
      <c r="P11">
        <f>COUNTIFS(rEmpresa,"&lt;&gt;",rResp,critResp,rDataFisc,"&gt;="&amp;DATE(FiltroAno,L11,1),rDataFisc,"&lt;"&amp;DATE(FiltroAno,L11+1,1),rNotif,"NOTIFICAÇÃO DE ESCLARECIMENTO")</f>
        <v>1</v>
      </c>
      <c r="Q11">
        <f>COUNTIFS(rEmpresa,"&lt;&gt;",rResp,critResp,rDataFisc,"&gt;="&amp;DATE(FiltroAno,L11,1),rDataFisc,"&lt;"&amp;DATE(FiltroAno,L11+1,1),rTipo,"PRESENCIAL")</f>
        <v>6</v>
      </c>
      <c r="R11">
        <f>COUNTIFS(rEmpresa,"&lt;&gt;",rResp,critResp,rDataFisc,"&gt;="&amp;DATE(FiltroAno,L11,1),rDataFisc,"&lt;"&amp;DATE(FiltroAno,L11+1,1),rTipo,"ELETRÔNICA")</f>
        <v>3</v>
      </c>
      <c r="S11">
        <f>MetaMensal</f>
        <v>12</v>
      </c>
      <c r="T11">
        <f>SUM($N$6:N11)</f>
        <v>32</v>
      </c>
      <c r="U11">
        <f>SUM($S$6:S11)</f>
        <v>72</v>
      </c>
      <c r="W11" t="str">
        <f>IF(CADASTROS!$D$11="","",CADASTROS!$D$11)</f>
        <v>FELIPE ARAÚJO</v>
      </c>
      <c r="X11">
        <f>IF(W11="",0,COUNTIFS(rResp,W11,rEmpresa,"&lt;&gt;"))</f>
        <v>9</v>
      </c>
      <c r="Y11">
        <f>IF(W11="",0,COUNTIFS(rResp,W11,rEmpresa,"&lt;&gt;",rStatus,"PRAZO D.P"))</f>
        <v>3</v>
      </c>
      <c r="Z11">
        <f>IF(W11="",0,COUNTIFS(rResp,W11,rEmpresa,"&lt;&gt;",rStatus,"DECISÃO D.P"))</f>
        <v>6</v>
      </c>
      <c r="AA11">
        <f>IF(W11="",0,COUNTIFS(rResp,W11,rEmpresa,"&lt;&gt;",rSit,"NO PRAZO"))</f>
        <v>1</v>
      </c>
      <c r="AB11">
        <f>IF(W11="",0,COUNTIFS(rResp,W11,rEmpresa,"&lt;&gt;",rSit,"VENCE EM BREVE"))</f>
        <v>0</v>
      </c>
      <c r="AC11">
        <f>IF(W11="",-1,X11+(100-ROW())/1000)</f>
        <v>9.089</v>
      </c>
      <c r="AE11" t="n">
        <v>6</v>
      </c>
      <c r="AF11" t="str">
        <f>IF(AM11="","",INDEX($W$6:$W$20,AM11))</f>
        <v>EDUARDA LIMA</v>
      </c>
      <c r="AG11">
        <f>IF(AM11="","",INDEX($X$6:$X$20,AM11))</f>
        <v>9</v>
      </c>
      <c r="AH11">
        <f>IF(AM11="","",INDEX($Y$6:$Y$20,AM11))</f>
        <v>1</v>
      </c>
      <c r="AI11">
        <f>IF(AM11="","",INDEX($Z$6:$Z$20,AM11))</f>
        <v>8</v>
      </c>
      <c r="AJ11">
        <f>IF(AM11="","",INDEX($AA$6:$AA$20,AM11))</f>
        <v>1</v>
      </c>
      <c r="AK11">
        <f>IF(AM11="","",INDEX($AB$6:$AB$20,AM11))</f>
        <v>0</v>
      </c>
      <c r="AL11">
        <f>IF(AM11="","",IFERROR(AG11/SUM($X$6:$X$20),0))</f>
        <v>0.09375</v>
      </c>
      <c r="AM11">
        <f>IF(LARGE($AC$6:$AC$20,AE11)&lt;0,"",MATCH(LARGE($AC$6:$AC$20,AE11),$AC$6:$AC$20,0))</f>
        <v>5</v>
      </c>
      <c r="AO11" t="str">
        <f>IF(CADASTROS!$B$11="","",CADASTROS!$B$11)</f>
        <v>RESTAURANTE</v>
      </c>
      <c r="AP11">
        <f>IF(AO11="",0,COUNTIFS(rEmpresa,"&lt;&gt;",rResp,critResp,rRamo,AO11))</f>
        <v>6</v>
      </c>
      <c r="AQ11">
        <f>IF(AO11="",0,COUNTIFS(rEmpresa,"&lt;&gt;",rResp,critResp,rRamo,AO11,rNotif,"NOTIFICAÇÃO DE CONSTATAÇÃO"))</f>
        <v>3</v>
      </c>
      <c r="AR11">
        <f>IF(AO11="",0,COUNTIFS(rEmpresa,"&lt;&gt;",rResp,critResp,rRamo,AO11,rNotif,"NOTIFICAÇÃO DE ESCLARECIMENTO"))</f>
        <v>3</v>
      </c>
      <c r="AS11">
        <f>IF(AO11="",0,COUNTIFS(rEmpresa,"&lt;&gt;",rResp,critResp,rRamo,AO11,rStatus,"PRAZO D.P"))</f>
        <v>4</v>
      </c>
      <c r="AT11">
        <f>IF(AO11="",-1,AP11+(100-ROW())/1000)</f>
        <v>6.089</v>
      </c>
      <c r="AV11" t="n">
        <v>6</v>
      </c>
      <c r="AW11" t="str">
        <f>IF(BC11="","",INDEX($AO$6:$AO$35,BC11))</f>
        <v>SUPERMERCADO</v>
      </c>
      <c r="AX11">
        <f>IF(BC11="","",INDEX($AP$6:$AP$35,BC11))</f>
        <v>8</v>
      </c>
      <c r="AY11">
        <f>IF(BC11="","",INDEX($AQ$6:$AQ$35,BC11))</f>
        <v>6</v>
      </c>
      <c r="AZ11">
        <f>IF(BC11="","",INDEX($AR$6:$AR$35,BC11))</f>
        <v>2</v>
      </c>
      <c r="BA11">
        <f>IF(BC11="","",INDEX($AS$6:$AS$35,BC11))</f>
        <v>3</v>
      </c>
      <c r="BB11">
        <f>IF(BC11="","",IFERROR(AX11/SUM($AP$6:$AP$35),0))</f>
        <v>0.0833333333333333</v>
      </c>
      <c r="BC11">
        <f>IF(LARGE($AT$6:$AT$35,AV11)&lt;0,"",MATCH(LARGE($AT$6:$AT$35,AV11),$AT$6:$AT$35,0))</f>
        <v>5</v>
      </c>
      <c r="BF11" t="str">
        <f>IF(AND(OR(PROCESSOS!Q11="NO PRAZO",PROCESSOS!Q11="VENCE EM BREVE"),OR(FiltroResp="TODOS",FiltroResp="",PROCESSOS!I11=FiltroResp)),PROCESSOS!O11+ROW()/1000000,"")</f>
        <v/>
      </c>
      <c r="BG11">
        <f>IF(AND(PROCESSOS!B11&lt;&gt;"",ISNUMBER(PROCESSOS!D11),OR(FiltroResp="TODOS",FiltroResp="",PROCESSOS!I11=FiltroResp)),PROCESSOS!D11+ROW()/1000000,"")</f>
        <v>46100.00001099537</v>
      </c>
      <c r="BI11" t="n">
        <v>7</v>
      </c>
      <c r="BJ11">
        <f>IFERROR(MATCH(SMALL(hProx,BI11),hProx,0),"")</f>
        <v>91</v>
      </c>
      <c r="BK11">
        <f>IFERROR(MATCH(LARGE(hUlt,BI11),hUlt,0),"")</f>
        <v>90</v>
      </c>
    </row>
    <row r="12">
      <c r="E12" t="str">
        <f>IF(CADASTROS!$D$12="","",CADASTROS!$D$12)</f>
        <v>GABRIELA NUNES</v>
      </c>
      <c r="G12" t="n">
        <v>2031</v>
      </c>
      <c r="I12" t="inlineStr">
        <is>
          <t>Vence em breve</t>
        </is>
      </c>
      <c r="J12">
        <f>COUNTIFS(rEmpresa,"&lt;&gt;",rResp,critResp,rSit,"VENCE EM BREVE")</f>
        <v>3</v>
      </c>
      <c r="L12" t="n">
        <v>7</v>
      </c>
      <c r="M12" t="inlineStr">
        <is>
          <t>JUL</t>
        </is>
      </c>
      <c r="N12">
        <f>COUNTIFS(rEmpresa,"&lt;&gt;",rResp,critResp,rDataFisc,"&gt;="&amp;DATE(FiltroAno,L12,1),rDataFisc,"&lt;"&amp;DATE(FiltroAno,L12+1,1))</f>
        <v>20</v>
      </c>
      <c r="O12">
        <f>COUNTIFS(rEmpresa,"&lt;&gt;",rResp,critResp,rDataFisc,"&gt;="&amp;DATE(FiltroAno,L12,1),rDataFisc,"&lt;"&amp;DATE(FiltroAno,L12+1,1),rNotif,"NOTIFICAÇÃO DE CONSTATAÇÃO")</f>
        <v>13</v>
      </c>
      <c r="P12">
        <f>COUNTIFS(rEmpresa,"&lt;&gt;",rResp,critResp,rDataFisc,"&gt;="&amp;DATE(FiltroAno,L12,1),rDataFisc,"&lt;"&amp;DATE(FiltroAno,L12+1,1),rNotif,"NOTIFICAÇÃO DE ESCLARECIMENTO")</f>
        <v>7</v>
      </c>
      <c r="Q12">
        <f>COUNTIFS(rEmpresa,"&lt;&gt;",rResp,critResp,rDataFisc,"&gt;="&amp;DATE(FiltroAno,L12,1),rDataFisc,"&lt;"&amp;DATE(FiltroAno,L12+1,1),rTipo,"PRESENCIAL")</f>
        <v>14</v>
      </c>
      <c r="R12">
        <f>COUNTIFS(rEmpresa,"&lt;&gt;",rResp,critResp,rDataFisc,"&gt;="&amp;DATE(FiltroAno,L12,1),rDataFisc,"&lt;"&amp;DATE(FiltroAno,L12+1,1),rTipo,"ELETRÔNICA")</f>
        <v>6</v>
      </c>
      <c r="S12">
        <f>MetaMensal</f>
        <v>12</v>
      </c>
      <c r="T12">
        <f>SUM($N$6:N12)</f>
        <v>52</v>
      </c>
      <c r="U12">
        <f>SUM($S$6:S12)</f>
        <v>84</v>
      </c>
      <c r="W12" t="str">
        <f>IF(CADASTROS!$D$12="","",CADASTROS!$D$12)</f>
        <v>GABRIELA NUNES</v>
      </c>
      <c r="X12">
        <f>IF(W12="",0,COUNTIFS(rResp,W12,rEmpresa,"&lt;&gt;"))</f>
        <v>9</v>
      </c>
      <c r="Y12">
        <f>IF(W12="",0,COUNTIFS(rResp,W12,rEmpresa,"&lt;&gt;",rStatus,"PRAZO D.P"))</f>
        <v>2</v>
      </c>
      <c r="Z12">
        <f>IF(W12="",0,COUNTIFS(rResp,W12,rEmpresa,"&lt;&gt;",rStatus,"DECISÃO D.P"))</f>
        <v>7</v>
      </c>
      <c r="AA12">
        <f>IF(W12="",0,COUNTIFS(rResp,W12,rEmpresa,"&lt;&gt;",rSit,"NO PRAZO"))</f>
        <v>1</v>
      </c>
      <c r="AB12">
        <f>IF(W12="",0,COUNTIFS(rResp,W12,rEmpresa,"&lt;&gt;",rSit,"VENCE EM BREVE"))</f>
        <v>0</v>
      </c>
      <c r="AC12">
        <f>IF(W12="",-1,X12+(100-ROW())/1000)</f>
        <v>9.088</v>
      </c>
      <c r="AE12" t="n">
        <v>7</v>
      </c>
      <c r="AF12" t="str">
        <f>IF(AM12="","",INDEX($W$6:$W$20,AM12))</f>
        <v>FELIPE ARAÚJO</v>
      </c>
      <c r="AG12">
        <f>IF(AM12="","",INDEX($X$6:$X$20,AM12))</f>
        <v>9</v>
      </c>
      <c r="AH12">
        <f>IF(AM12="","",INDEX($Y$6:$Y$20,AM12))</f>
        <v>3</v>
      </c>
      <c r="AI12">
        <f>IF(AM12="","",INDEX($Z$6:$Z$20,AM12))</f>
        <v>6</v>
      </c>
      <c r="AJ12">
        <f>IF(AM12="","",INDEX($AA$6:$AA$20,AM12))</f>
        <v>1</v>
      </c>
      <c r="AK12">
        <f>IF(AM12="","",INDEX($AB$6:$AB$20,AM12))</f>
        <v>0</v>
      </c>
      <c r="AL12">
        <f>IF(AM12="","",IFERROR(AG12/SUM($X$6:$X$20),0))</f>
        <v>0.09375</v>
      </c>
      <c r="AM12">
        <f>IF(LARGE($AC$6:$AC$20,AE12)&lt;0,"",MATCH(LARGE($AC$6:$AC$20,AE12),$AC$6:$AC$20,0))</f>
        <v>6</v>
      </c>
      <c r="AO12" t="str">
        <f>IF(CADASTROS!$B$12="","",CADASTROS!$B$12)</f>
        <v>FARMÁCIA</v>
      </c>
      <c r="AP12">
        <f>IF(AO12="",0,COUNTIFS(rEmpresa,"&lt;&gt;",rResp,critResp,rRamo,AO12))</f>
        <v>13</v>
      </c>
      <c r="AQ12">
        <f>IF(AO12="",0,COUNTIFS(rEmpresa,"&lt;&gt;",rResp,critResp,rRamo,AO12,rNotif,"NOTIFICAÇÃO DE CONSTATAÇÃO"))</f>
        <v>6</v>
      </c>
      <c r="AR12">
        <f>IF(AO12="",0,COUNTIFS(rEmpresa,"&lt;&gt;",rResp,critResp,rRamo,AO12,rNotif,"NOTIFICAÇÃO DE ESCLARECIMENTO"))</f>
        <v>7</v>
      </c>
      <c r="AS12">
        <f>IF(AO12="",0,COUNTIFS(rEmpresa,"&lt;&gt;",rResp,critResp,rRamo,AO12,rStatus,"PRAZO D.P"))</f>
        <v>3</v>
      </c>
      <c r="AT12">
        <f>IF(AO12="",-1,AP12+(100-ROW())/1000)</f>
        <v>13.088</v>
      </c>
      <c r="AV12" t="n">
        <v>7</v>
      </c>
      <c r="AW12" t="str">
        <f>IF(BC12="","",INDEX($AO$6:$AO$35,BC12))</f>
        <v>RESTAURANTE</v>
      </c>
      <c r="AX12">
        <f>IF(BC12="","",INDEX($AP$6:$AP$35,BC12))</f>
        <v>6</v>
      </c>
      <c r="AY12">
        <f>IF(BC12="","",INDEX($AQ$6:$AQ$35,BC12))</f>
        <v>3</v>
      </c>
      <c r="AZ12">
        <f>IF(BC12="","",INDEX($AR$6:$AR$35,BC12))</f>
        <v>3</v>
      </c>
      <c r="BA12">
        <f>IF(BC12="","",INDEX($AS$6:$AS$35,BC12))</f>
        <v>4</v>
      </c>
      <c r="BB12">
        <f>IF(BC12="","",IFERROR(AX12/SUM($AP$6:$AP$35),0))</f>
        <v>0.0625</v>
      </c>
      <c r="BC12">
        <f>IF(LARGE($AT$6:$AT$35,AV12)&lt;0,"",MATCH(LARGE($AT$6:$AT$35,AV12),$AT$6:$AT$35,0))</f>
        <v>6</v>
      </c>
      <c r="BF12" t="str">
        <f>IF(AND(OR(PROCESSOS!Q12="NO PRAZO",PROCESSOS!Q12="VENCE EM BREVE"),OR(FiltroResp="TODOS",FiltroResp="",PROCESSOS!I12=FiltroResp)),PROCESSOS!O12+ROW()/1000000,"")</f>
        <v/>
      </c>
      <c r="BG12">
        <f>IF(AND(PROCESSOS!B12&lt;&gt;"",ISNUMBER(PROCESSOS!D12),OR(FiltroResp="TODOS",FiltroResp="",PROCESSOS!I12=FiltroResp)),PROCESSOS!D12+ROW()/1000000,"")</f>
        <v>46112.00001200232</v>
      </c>
      <c r="BI12" t="n">
        <v>8</v>
      </c>
      <c r="BJ12">
        <f>IFERROR(MATCH(SMALL(hProx,BI12),hProx,0),"")</f>
        <v>93</v>
      </c>
      <c r="BK12">
        <f>IFERROR(MATCH(LARGE(hUlt,BI12),hUlt,0),"")</f>
        <v>89</v>
      </c>
    </row>
    <row r="13">
      <c r="E13" t="str">
        <f>IF(CADASTROS!$D$13="","",CADASTROS!$D$13)</f>
        <v>HENRIQUE COSTA</v>
      </c>
      <c r="G13" t="n">
        <v>2032</v>
      </c>
      <c r="I13" t="inlineStr">
        <is>
          <t>Em decisão</t>
        </is>
      </c>
      <c r="J13">
        <f>COUNTIFS(rEmpresa,"&lt;&gt;",rResp,critResp,rStatus,"DECISÃO D.P")</f>
        <v>63</v>
      </c>
      <c r="L13" t="n">
        <v>8</v>
      </c>
      <c r="M13" t="inlineStr">
        <is>
          <t>AGO</t>
        </is>
      </c>
      <c r="N13">
        <f>COUNTIFS(rEmpresa,"&lt;&gt;",rResp,critResp,rDataFisc,"&gt;="&amp;DATE(FiltroAno,L13,1),rDataFisc,"&lt;"&amp;DATE(FiltroAno,L13+1,1))</f>
        <v>14</v>
      </c>
      <c r="O13">
        <f>COUNTIFS(rEmpresa,"&lt;&gt;",rResp,critResp,rDataFisc,"&gt;="&amp;DATE(FiltroAno,L13,1),rDataFisc,"&lt;"&amp;DATE(FiltroAno,L13+1,1),rNotif,"NOTIFICAÇÃO DE CONSTATAÇÃO")</f>
        <v>10</v>
      </c>
      <c r="P13">
        <f>COUNTIFS(rEmpresa,"&lt;&gt;",rResp,critResp,rDataFisc,"&gt;="&amp;DATE(FiltroAno,L13,1),rDataFisc,"&lt;"&amp;DATE(FiltroAno,L13+1,1),rNotif,"NOTIFICAÇÃO DE ESCLARECIMENTO")</f>
        <v>4</v>
      </c>
      <c r="Q13">
        <f>COUNTIFS(rEmpresa,"&lt;&gt;",rResp,critResp,rDataFisc,"&gt;="&amp;DATE(FiltroAno,L13,1),rDataFisc,"&lt;"&amp;DATE(FiltroAno,L13+1,1),rTipo,"PRESENCIAL")</f>
        <v>9</v>
      </c>
      <c r="R13">
        <f>COUNTIFS(rEmpresa,"&lt;&gt;",rResp,critResp,rDataFisc,"&gt;="&amp;DATE(FiltroAno,L13,1),rDataFisc,"&lt;"&amp;DATE(FiltroAno,L13+1,1),rTipo,"ELETRÔNICA")</f>
        <v>5</v>
      </c>
      <c r="S13">
        <f>MetaMensal</f>
        <v>12</v>
      </c>
      <c r="T13">
        <f>SUM($N$6:N13)</f>
        <v>66</v>
      </c>
      <c r="U13">
        <f>SUM($S$6:S13)</f>
        <v>96</v>
      </c>
      <c r="W13" t="str">
        <f>IF(CADASTROS!$D$13="","",CADASTROS!$D$13)</f>
        <v>HENRIQUE COSTA</v>
      </c>
      <c r="X13">
        <f>IF(W13="",0,COUNTIFS(rResp,W13,rEmpresa,"&lt;&gt;"))</f>
        <v>10</v>
      </c>
      <c r="Y13">
        <f>IF(W13="",0,COUNTIFS(rResp,W13,rEmpresa,"&lt;&gt;",rStatus,"PRAZO D.P"))</f>
        <v>4</v>
      </c>
      <c r="Z13">
        <f>IF(W13="",0,COUNTIFS(rResp,W13,rEmpresa,"&lt;&gt;",rStatus,"DECISÃO D.P"))</f>
        <v>6</v>
      </c>
      <c r="AA13">
        <f>IF(W13="",0,COUNTIFS(rResp,W13,rEmpresa,"&lt;&gt;",rSit,"NO PRAZO"))</f>
        <v>2</v>
      </c>
      <c r="AB13">
        <f>IF(W13="",0,COUNTIFS(rResp,W13,rEmpresa,"&lt;&gt;",rSit,"VENCE EM BREVE"))</f>
        <v>0</v>
      </c>
      <c r="AC13">
        <f>IF(W13="",-1,X13+(100-ROW())/1000)</f>
        <v>10.087</v>
      </c>
      <c r="AE13" t="n">
        <v>8</v>
      </c>
      <c r="AF13" t="str">
        <f>IF(AM13="","",INDEX($W$6:$W$20,AM13))</f>
        <v>GABRIELA NUNES</v>
      </c>
      <c r="AG13">
        <f>IF(AM13="","",INDEX($X$6:$X$20,AM13))</f>
        <v>9</v>
      </c>
      <c r="AH13">
        <f>IF(AM13="","",INDEX($Y$6:$Y$20,AM13))</f>
        <v>2</v>
      </c>
      <c r="AI13">
        <f>IF(AM13="","",INDEX($Z$6:$Z$20,AM13))</f>
        <v>7</v>
      </c>
      <c r="AJ13">
        <f>IF(AM13="","",INDEX($AA$6:$AA$20,AM13))</f>
        <v>1</v>
      </c>
      <c r="AK13">
        <f>IF(AM13="","",INDEX($AB$6:$AB$20,AM13))</f>
        <v>0</v>
      </c>
      <c r="AL13">
        <f>IF(AM13="","",IFERROR(AG13/SUM($X$6:$X$20),0))</f>
        <v>0.09375</v>
      </c>
      <c r="AM13">
        <f>IF(LARGE($AC$6:$AC$20,AE13)&lt;0,"",MATCH(LARGE($AC$6:$AC$20,AE13),$AC$6:$AC$20,0))</f>
        <v>7</v>
      </c>
      <c r="AO13" t="str">
        <f>IF(CADASTROS!$B$13="","",CADASTROS!$B$13)</f>
        <v>BANCO</v>
      </c>
      <c r="AP13">
        <f>IF(AO13="",0,COUNTIFS(rEmpresa,"&lt;&gt;",rResp,critResp,rRamo,AO13))</f>
        <v>3</v>
      </c>
      <c r="AQ13">
        <f>IF(AO13="",0,COUNTIFS(rEmpresa,"&lt;&gt;",rResp,critResp,rRamo,AO13,rNotif,"NOTIFICAÇÃO DE CONSTATAÇÃO"))</f>
        <v>2</v>
      </c>
      <c r="AR13">
        <f>IF(AO13="",0,COUNTIFS(rEmpresa,"&lt;&gt;",rResp,critResp,rRamo,AO13,rNotif,"NOTIFICAÇÃO DE ESCLARECIMENTO"))</f>
        <v>1</v>
      </c>
      <c r="AS13">
        <f>IF(AO13="",0,COUNTIFS(rEmpresa,"&lt;&gt;",rResp,critResp,rRamo,AO13,rStatus,"PRAZO D.P"))</f>
        <v>1</v>
      </c>
      <c r="AT13">
        <f>IF(AO13="",-1,AP13+(100-ROW())/1000)</f>
        <v>3.087</v>
      </c>
      <c r="AV13" t="n">
        <v>8</v>
      </c>
      <c r="AW13" t="str">
        <f>IF(BC13="","",INDEX($AO$6:$AO$35,BC13))</f>
        <v>ESCOLA</v>
      </c>
      <c r="AX13">
        <f>IF(BC13="","",INDEX($AP$6:$AP$35,BC13))</f>
        <v>4</v>
      </c>
      <c r="AY13">
        <f>IF(BC13="","",INDEX($AQ$6:$AQ$35,BC13))</f>
        <v>2</v>
      </c>
      <c r="AZ13">
        <f>IF(BC13="","",INDEX($AR$6:$AR$35,BC13))</f>
        <v>2</v>
      </c>
      <c r="BA13">
        <f>IF(BC13="","",INDEX($AS$6:$AS$35,BC13))</f>
        <v>1</v>
      </c>
      <c r="BB13">
        <f>IF(BC13="","",IFERROR(AX13/SUM($AP$6:$AP$35),0))</f>
        <v>0.0416666666666667</v>
      </c>
      <c r="BC13">
        <f>IF(LARGE($AT$6:$AT$35,AV13)&lt;0,"",MATCH(LARGE($AT$6:$AT$35,AV13),$AT$6:$AT$35,0))</f>
        <v>9</v>
      </c>
      <c r="BF13" t="str">
        <f>IF(AND(OR(PROCESSOS!Q13="NO PRAZO",PROCESSOS!Q13="VENCE EM BREVE"),OR(FiltroResp="TODOS",FiltroResp="",PROCESSOS!I13=FiltroResp)),PROCESSOS!O13+ROW()/1000000,"")</f>
        <v/>
      </c>
      <c r="BG13">
        <f>IF(AND(PROCESSOS!B13&lt;&gt;"",ISNUMBER(PROCESSOS!D13),OR(FiltroResp="TODOS",FiltroResp="",PROCESSOS!I13=FiltroResp)),PROCESSOS!D13+ROW()/1000000,"")</f>
        <v>46113.00001299768</v>
      </c>
      <c r="BI13" t="n">
        <v>9</v>
      </c>
      <c r="BJ13">
        <f>IFERROR(MATCH(SMALL(hProx,BI13),hProx,0),"")</f>
        <v>94</v>
      </c>
      <c r="BK13">
        <f>IFERROR(MATCH(LARGE(hUlt,BI13),hUlt,0),"")</f>
        <v>88</v>
      </c>
    </row>
    <row r="14">
      <c r="E14" t="str">
        <f>IF(CADASTROS!$D$14="","",CADASTROS!$D$14)</f>
        <v/>
      </c>
      <c r="L14" t="n">
        <v>9</v>
      </c>
      <c r="M14" t="inlineStr">
        <is>
          <t>SET</t>
        </is>
      </c>
      <c r="N14">
        <f>COUNTIFS(rEmpresa,"&lt;&gt;",rResp,critResp,rDataFisc,"&gt;="&amp;DATE(FiltroAno,L14,1),rDataFisc,"&lt;"&amp;DATE(FiltroAno,L14+1,1))</f>
        <v>16</v>
      </c>
      <c r="O14">
        <f>COUNTIFS(rEmpresa,"&lt;&gt;",rResp,critResp,rDataFisc,"&gt;="&amp;DATE(FiltroAno,L14,1),rDataFisc,"&lt;"&amp;DATE(FiltroAno,L14+1,1),rNotif,"NOTIFICAÇÃO DE CONSTATAÇÃO")</f>
        <v>8</v>
      </c>
      <c r="P14">
        <f>COUNTIFS(rEmpresa,"&lt;&gt;",rResp,critResp,rDataFisc,"&gt;="&amp;DATE(FiltroAno,L14,1),rDataFisc,"&lt;"&amp;DATE(FiltroAno,L14+1,1),rNotif,"NOTIFICAÇÃO DE ESCLARECIMENTO")</f>
        <v>8</v>
      </c>
      <c r="Q14">
        <f>COUNTIFS(rEmpresa,"&lt;&gt;",rResp,critResp,rDataFisc,"&gt;="&amp;DATE(FiltroAno,L14,1),rDataFisc,"&lt;"&amp;DATE(FiltroAno,L14+1,1),rTipo,"PRESENCIAL")</f>
        <v>12</v>
      </c>
      <c r="R14">
        <f>COUNTIFS(rEmpresa,"&lt;&gt;",rResp,critResp,rDataFisc,"&gt;="&amp;DATE(FiltroAno,L14,1),rDataFisc,"&lt;"&amp;DATE(FiltroAno,L14+1,1),rTipo,"ELETRÔNICA")</f>
        <v>4</v>
      </c>
      <c r="S14">
        <f>MetaMensal</f>
        <v>12</v>
      </c>
      <c r="T14">
        <f>SUM($N$6:N14)</f>
        <v>82</v>
      </c>
      <c r="U14">
        <f>SUM($S$6:S14)</f>
        <v>108</v>
      </c>
      <c r="W14" t="str">
        <f>IF(CADASTROS!$D$14="","",CADASTROS!$D$14)</f>
        <v/>
      </c>
      <c r="X14">
        <f>IF(W14="",0,COUNTIFS(rResp,W14,rEmpresa,"&lt;&gt;"))</f>
        <v>0</v>
      </c>
      <c r="Y14">
        <f>IF(W14="",0,COUNTIFS(rResp,W14,rEmpresa,"&lt;&gt;",rStatus,"PRAZO D.P"))</f>
        <v>0</v>
      </c>
      <c r="Z14">
        <f>IF(W14="",0,COUNTIFS(rResp,W14,rEmpresa,"&lt;&gt;",rStatus,"DECISÃO D.P"))</f>
        <v>0</v>
      </c>
      <c r="AA14">
        <f>IF(W14="",0,COUNTIFS(rResp,W14,rEmpresa,"&lt;&gt;",rSit,"NO PRAZO"))</f>
        <v>0</v>
      </c>
      <c r="AB14">
        <f>IF(W14="",0,COUNTIFS(rResp,W14,rEmpresa,"&lt;&gt;",rSit,"VENCE EM BREVE"))</f>
        <v>0</v>
      </c>
      <c r="AC14">
        <f>IF(W14="",-1,X14+(100-ROW())/1000)</f>
        <v>-1</v>
      </c>
      <c r="AE14" t="n">
        <v>9</v>
      </c>
      <c r="AF14" t="str">
        <f>IF(AM14="","",INDEX($W$6:$W$20,AM14))</f>
        <v/>
      </c>
      <c r="AG14" t="str">
        <f>IF(AM14="","",INDEX($X$6:$X$20,AM14))</f>
        <v/>
      </c>
      <c r="AH14" t="str">
        <f>IF(AM14="","",INDEX($Y$6:$Y$20,AM14))</f>
        <v/>
      </c>
      <c r="AI14" t="str">
        <f>IF(AM14="","",INDEX($Z$6:$Z$20,AM14))</f>
        <v/>
      </c>
      <c r="AJ14" t="str">
        <f>IF(AM14="","",INDEX($AA$6:$AA$20,AM14))</f>
        <v/>
      </c>
      <c r="AK14" t="str">
        <f>IF(AM14="","",INDEX($AB$6:$AB$20,AM14))</f>
        <v/>
      </c>
      <c r="AL14" t="str">
        <f>IF(AM14="","",IFERROR(AG14/SUM($X$6:$X$20),0))</f>
        <v/>
      </c>
      <c r="AM14" t="str">
        <f>IF(LARGE($AC$6:$AC$20,AE14)&lt;0,"",MATCH(LARGE($AC$6:$AC$20,AE14),$AC$6:$AC$20,0))</f>
        <v/>
      </c>
      <c r="AO14" t="str">
        <f>IF(CADASTROS!$B$14="","",CADASTROS!$B$14)</f>
        <v>ESCOLA</v>
      </c>
      <c r="AP14">
        <f>IF(AO14="",0,COUNTIFS(rEmpresa,"&lt;&gt;",rResp,critResp,rRamo,AO14))</f>
        <v>4</v>
      </c>
      <c r="AQ14">
        <f>IF(AO14="",0,COUNTIFS(rEmpresa,"&lt;&gt;",rResp,critResp,rRamo,AO14,rNotif,"NOTIFICAÇÃO DE CONSTATAÇÃO"))</f>
        <v>2</v>
      </c>
      <c r="AR14">
        <f>IF(AO14="",0,COUNTIFS(rEmpresa,"&lt;&gt;",rResp,critResp,rRamo,AO14,rNotif,"NOTIFICAÇÃO DE ESCLARECIMENTO"))</f>
        <v>2</v>
      </c>
      <c r="AS14">
        <f>IF(AO14="",0,COUNTIFS(rEmpresa,"&lt;&gt;",rResp,critResp,rRamo,AO14,rStatus,"PRAZO D.P"))</f>
        <v>1</v>
      </c>
      <c r="AT14">
        <f>IF(AO14="",-1,AP14+(100-ROW())/1000)</f>
        <v>4.086</v>
      </c>
      <c r="AV14" t="n">
        <v>9</v>
      </c>
      <c r="AW14" t="str">
        <f>IF(BC14="","",INDEX($AO$6:$AO$35,BC14))</f>
        <v>TELEFONIA</v>
      </c>
      <c r="AX14">
        <f>IF(BC14="","",INDEX($AP$6:$AP$35,BC14))</f>
        <v>4</v>
      </c>
      <c r="AY14">
        <f>IF(BC14="","",INDEX($AQ$6:$AQ$35,BC14))</f>
        <v>2</v>
      </c>
      <c r="AZ14">
        <f>IF(BC14="","",INDEX($AR$6:$AR$35,BC14))</f>
        <v>2</v>
      </c>
      <c r="BA14">
        <f>IF(BC14="","",INDEX($AS$6:$AS$35,BC14))</f>
        <v>1</v>
      </c>
      <c r="BB14">
        <f>IF(BC14="","",IFERROR(AX14/SUM($AP$6:$AP$35),0))</f>
        <v>0.0416666666666667</v>
      </c>
      <c r="BC14">
        <f>IF(LARGE($AT$6:$AT$35,AV14)&lt;0,"",MATCH(LARGE($AT$6:$AT$35,AV14),$AT$6:$AT$35,0))</f>
        <v>10</v>
      </c>
      <c r="BF14" t="str">
        <f>IF(AND(OR(PROCESSOS!Q14="NO PRAZO",PROCESSOS!Q14="VENCE EM BREVE"),OR(FiltroResp="TODOS",FiltroResp="",PROCESSOS!I14=FiltroResp)),PROCESSOS!O14+ROW()/1000000,"")</f>
        <v/>
      </c>
      <c r="BG14">
        <f>IF(AND(PROCESSOS!B14&lt;&gt;"",ISNUMBER(PROCESSOS!D14),OR(FiltroResp="TODOS",FiltroResp="",PROCESSOS!I14=FiltroResp)),PROCESSOS!D14+ROW()/1000000,"")</f>
        <v>46116.00001400463</v>
      </c>
      <c r="BI14" t="n">
        <v>10</v>
      </c>
      <c r="BJ14">
        <f>IFERROR(MATCH(SMALL(hProx,BI14),hProx,0),"")</f>
        <v>89</v>
      </c>
      <c r="BK14">
        <f>IFERROR(MATCH(LARGE(hUlt,BI14),hUlt,0),"")</f>
        <v>87</v>
      </c>
    </row>
    <row r="15">
      <c r="E15" t="str">
        <f>IF(CADASTROS!$D$15="","",CADASTROS!$D$15)</f>
        <v/>
      </c>
      <c r="L15" t="n">
        <v>10</v>
      </c>
      <c r="M15" t="inlineStr">
        <is>
          <t>OUT</t>
        </is>
      </c>
      <c r="N15">
        <f>COUNTIFS(rEmpresa,"&lt;&gt;",rResp,critResp,rDataFisc,"&gt;="&amp;DATE(FiltroAno,L15,1),rDataFisc,"&lt;"&amp;DATE(FiltroAno,L15+1,1))</f>
        <v>14</v>
      </c>
      <c r="O15">
        <f>COUNTIFS(rEmpresa,"&lt;&gt;",rResp,critResp,rDataFisc,"&gt;="&amp;DATE(FiltroAno,L15,1),rDataFisc,"&lt;"&amp;DATE(FiltroAno,L15+1,1),rNotif,"NOTIFICAÇÃO DE CONSTATAÇÃO")</f>
        <v>9</v>
      </c>
      <c r="P15">
        <f>COUNTIFS(rEmpresa,"&lt;&gt;",rResp,critResp,rDataFisc,"&gt;="&amp;DATE(FiltroAno,L15,1),rDataFisc,"&lt;"&amp;DATE(FiltroAno,L15+1,1),rNotif,"NOTIFICAÇÃO DE ESCLARECIMENTO")</f>
        <v>5</v>
      </c>
      <c r="Q15">
        <f>COUNTIFS(rEmpresa,"&lt;&gt;",rResp,critResp,rDataFisc,"&gt;="&amp;DATE(FiltroAno,L15,1),rDataFisc,"&lt;"&amp;DATE(FiltroAno,L15+1,1),rTipo,"PRESENCIAL")</f>
        <v>6</v>
      </c>
      <c r="R15">
        <f>COUNTIFS(rEmpresa,"&lt;&gt;",rResp,critResp,rDataFisc,"&gt;="&amp;DATE(FiltroAno,L15,1),rDataFisc,"&lt;"&amp;DATE(FiltroAno,L15+1,1),rTipo,"ELETRÔNICA")</f>
        <v>8</v>
      </c>
      <c r="S15">
        <f>MetaMensal</f>
        <v>12</v>
      </c>
      <c r="T15">
        <f>SUM($N$6:N15)</f>
        <v>96</v>
      </c>
      <c r="U15">
        <f>SUM($S$6:S15)</f>
        <v>120</v>
      </c>
      <c r="W15" t="str">
        <f>IF(CADASTROS!$D$15="","",CADASTROS!$D$15)</f>
        <v/>
      </c>
      <c r="X15">
        <f>IF(W15="",0,COUNTIFS(rResp,W15,rEmpresa,"&lt;&gt;"))</f>
        <v>0</v>
      </c>
      <c r="Y15">
        <f>IF(W15="",0,COUNTIFS(rResp,W15,rEmpresa,"&lt;&gt;",rStatus,"PRAZO D.P"))</f>
        <v>0</v>
      </c>
      <c r="Z15">
        <f>IF(W15="",0,COUNTIFS(rResp,W15,rEmpresa,"&lt;&gt;",rStatus,"DECISÃO D.P"))</f>
        <v>0</v>
      </c>
      <c r="AA15">
        <f>IF(W15="",0,COUNTIFS(rResp,W15,rEmpresa,"&lt;&gt;",rSit,"NO PRAZO"))</f>
        <v>0</v>
      </c>
      <c r="AB15">
        <f>IF(W15="",0,COUNTIFS(rResp,W15,rEmpresa,"&lt;&gt;",rSit,"VENCE EM BREVE"))</f>
        <v>0</v>
      </c>
      <c r="AC15">
        <f>IF(W15="",-1,X15+(100-ROW())/1000)</f>
        <v>-1</v>
      </c>
      <c r="AE15" t="n">
        <v>10</v>
      </c>
      <c r="AF15" t="str">
        <f>IF(AM15="","",INDEX($W$6:$W$20,AM15))</f>
        <v/>
      </c>
      <c r="AG15" t="str">
        <f>IF(AM15="","",INDEX($X$6:$X$20,AM15))</f>
        <v/>
      </c>
      <c r="AH15" t="str">
        <f>IF(AM15="","",INDEX($Y$6:$Y$20,AM15))</f>
        <v/>
      </c>
      <c r="AI15" t="str">
        <f>IF(AM15="","",INDEX($Z$6:$Z$20,AM15))</f>
        <v/>
      </c>
      <c r="AJ15" t="str">
        <f>IF(AM15="","",INDEX($AA$6:$AA$20,AM15))</f>
        <v/>
      </c>
      <c r="AK15" t="str">
        <f>IF(AM15="","",INDEX($AB$6:$AB$20,AM15))</f>
        <v/>
      </c>
      <c r="AL15" t="str">
        <f>IF(AM15="","",IFERROR(AG15/SUM($X$6:$X$20),0))</f>
        <v/>
      </c>
      <c r="AM15" t="str">
        <f>IF(LARGE($AC$6:$AC$20,AE15)&lt;0,"",MATCH(LARGE($AC$6:$AC$20,AE15),$AC$6:$AC$20,0))</f>
        <v/>
      </c>
      <c r="AO15" t="str">
        <f>IF(CADASTROS!$B$15="","",CADASTROS!$B$15)</f>
        <v>TELEFONIA</v>
      </c>
      <c r="AP15">
        <f>IF(AO15="",0,COUNTIFS(rEmpresa,"&lt;&gt;",rResp,critResp,rRamo,AO15))</f>
        <v>4</v>
      </c>
      <c r="AQ15">
        <f>IF(AO15="",0,COUNTIFS(rEmpresa,"&lt;&gt;",rResp,critResp,rRamo,AO15,rNotif,"NOTIFICAÇÃO DE CONSTATAÇÃO"))</f>
        <v>2</v>
      </c>
      <c r="AR15">
        <f>IF(AO15="",0,COUNTIFS(rEmpresa,"&lt;&gt;",rResp,critResp,rRamo,AO15,rNotif,"NOTIFICAÇÃO DE ESCLARECIMENTO"))</f>
        <v>2</v>
      </c>
      <c r="AS15">
        <f>IF(AO15="",0,COUNTIFS(rEmpresa,"&lt;&gt;",rResp,critResp,rRamo,AO15,rStatus,"PRAZO D.P"))</f>
        <v>1</v>
      </c>
      <c r="AT15">
        <f>IF(AO15="",-1,AP15+(100-ROW())/1000)</f>
        <v>4.085</v>
      </c>
      <c r="AV15" t="n">
        <v>10</v>
      </c>
      <c r="AW15" t="str">
        <f>IF(BC15="","",INDEX($AO$6:$AO$35,BC15))</f>
        <v>OUTROS</v>
      </c>
      <c r="AX15">
        <f>IF(BC15="","",INDEX($AP$6:$AP$35,BC15))</f>
        <v>4</v>
      </c>
      <c r="AY15">
        <f>IF(BC15="","",INDEX($AQ$6:$AQ$35,BC15))</f>
        <v>4</v>
      </c>
      <c r="AZ15">
        <f>IF(BC15="","",INDEX($AR$6:$AR$35,BC15))</f>
        <v>0</v>
      </c>
      <c r="BA15">
        <f>IF(BC15="","",INDEX($AS$6:$AS$35,BC15))</f>
        <v>0</v>
      </c>
      <c r="BB15">
        <f>IF(BC15="","",IFERROR(AX15/SUM($AP$6:$AP$35),0))</f>
        <v>0.0416666666666667</v>
      </c>
      <c r="BC15">
        <f>IF(LARGE($AT$6:$AT$35,AV15)&lt;0,"",MATCH(LARGE($AT$6:$AT$35,AV15),$AT$6:$AT$35,0))</f>
        <v>12</v>
      </c>
      <c r="BF15" t="str">
        <f>IF(AND(OR(PROCESSOS!Q15="NO PRAZO",PROCESSOS!Q15="VENCE EM BREVE"),OR(FiltroResp="TODOS",FiltroResp="",PROCESSOS!I15=FiltroResp)),PROCESSOS!O15+ROW()/1000000,"")</f>
        <v/>
      </c>
      <c r="BG15">
        <f>IF(AND(PROCESSOS!B15&lt;&gt;"",ISNUMBER(PROCESSOS!D15),OR(FiltroResp="TODOS",FiltroResp="",PROCESSOS!I15=FiltroResp)),PROCESSOS!D15+ROW()/1000000,"")</f>
        <v>46118.000015</v>
      </c>
    </row>
    <row r="16">
      <c r="E16" t="str">
        <f>IF(CADASTROS!$D$16="","",CADASTROS!$D$16)</f>
        <v/>
      </c>
      <c r="L16" t="n">
        <v>11</v>
      </c>
      <c r="M16" t="inlineStr">
        <is>
          <t>NOV</t>
        </is>
      </c>
      <c r="N16">
        <f>COUNTIFS(rEmpresa,"&lt;&gt;",rResp,critResp,rDataFisc,"&gt;="&amp;DATE(FiltroAno,L16,1),rDataFisc,"&lt;"&amp;DATE(FiltroAno,L16+1,1))</f>
        <v>0</v>
      </c>
      <c r="O16">
        <f>COUNTIFS(rEmpresa,"&lt;&gt;",rResp,critResp,rDataFisc,"&gt;="&amp;DATE(FiltroAno,L16,1),rDataFisc,"&lt;"&amp;DATE(FiltroAno,L16+1,1),rNotif,"NOTIFICAÇÃO DE CONSTATAÇÃO")</f>
        <v>0</v>
      </c>
      <c r="P16">
        <f>COUNTIFS(rEmpresa,"&lt;&gt;",rResp,critResp,rDataFisc,"&gt;="&amp;DATE(FiltroAno,L16,1),rDataFisc,"&lt;"&amp;DATE(FiltroAno,L16+1,1),rNotif,"NOTIFICAÇÃO DE ESCLARECIMENTO")</f>
        <v>0</v>
      </c>
      <c r="Q16">
        <f>COUNTIFS(rEmpresa,"&lt;&gt;",rResp,critResp,rDataFisc,"&gt;="&amp;DATE(FiltroAno,L16,1),rDataFisc,"&lt;"&amp;DATE(FiltroAno,L16+1,1),rTipo,"PRESENCIAL")</f>
        <v>0</v>
      </c>
      <c r="R16">
        <f>COUNTIFS(rEmpresa,"&lt;&gt;",rResp,critResp,rDataFisc,"&gt;="&amp;DATE(FiltroAno,L16,1),rDataFisc,"&lt;"&amp;DATE(FiltroAno,L16+1,1),rTipo,"ELETRÔNICA")</f>
        <v>0</v>
      </c>
      <c r="S16">
        <f>MetaMensal</f>
        <v>12</v>
      </c>
      <c r="T16">
        <f>SUM($N$6:N16)</f>
        <v>96</v>
      </c>
      <c r="U16">
        <f>SUM($S$6:S16)</f>
        <v>132</v>
      </c>
      <c r="W16" t="str">
        <f>IF(CADASTROS!$D$16="","",CADASTROS!$D$16)</f>
        <v/>
      </c>
      <c r="X16">
        <f>IF(W16="",0,COUNTIFS(rResp,W16,rEmpresa,"&lt;&gt;"))</f>
        <v>0</v>
      </c>
      <c r="Y16">
        <f>IF(W16="",0,COUNTIFS(rResp,W16,rEmpresa,"&lt;&gt;",rStatus,"PRAZO D.P"))</f>
        <v>0</v>
      </c>
      <c r="Z16">
        <f>IF(W16="",0,COUNTIFS(rResp,W16,rEmpresa,"&lt;&gt;",rStatus,"DECISÃO D.P"))</f>
        <v>0</v>
      </c>
      <c r="AA16">
        <f>IF(W16="",0,COUNTIFS(rResp,W16,rEmpresa,"&lt;&gt;",rSit,"NO PRAZO"))</f>
        <v>0</v>
      </c>
      <c r="AB16">
        <f>IF(W16="",0,COUNTIFS(rResp,W16,rEmpresa,"&lt;&gt;",rSit,"VENCE EM BREVE"))</f>
        <v>0</v>
      </c>
      <c r="AC16">
        <f>IF(W16="",-1,X16+(100-ROW())/1000)</f>
        <v>-1</v>
      </c>
      <c r="AE16" t="n">
        <v>11</v>
      </c>
      <c r="AF16" t="str">
        <f>IF(AM16="","",INDEX($W$6:$W$20,AM16))</f>
        <v/>
      </c>
      <c r="AG16" t="str">
        <f>IF(AM16="","",INDEX($X$6:$X$20,AM16))</f>
        <v/>
      </c>
      <c r="AH16" t="str">
        <f>IF(AM16="","",INDEX($Y$6:$Y$20,AM16))</f>
        <v/>
      </c>
      <c r="AI16" t="str">
        <f>IF(AM16="","",INDEX($Z$6:$Z$20,AM16))</f>
        <v/>
      </c>
      <c r="AJ16" t="str">
        <f>IF(AM16="","",INDEX($AA$6:$AA$20,AM16))</f>
        <v/>
      </c>
      <c r="AK16" t="str">
        <f>IF(AM16="","",INDEX($AB$6:$AB$20,AM16))</f>
        <v/>
      </c>
      <c r="AL16" t="str">
        <f>IF(AM16="","",IFERROR(AG16/SUM($X$6:$X$20),0))</f>
        <v/>
      </c>
      <c r="AM16" t="str">
        <f>IF(LARGE($AC$6:$AC$20,AE16)&lt;0,"",MATCH(LARGE($AC$6:$AC$20,AE16),$AC$6:$AC$20,0))</f>
        <v/>
      </c>
      <c r="AO16" t="str">
        <f>IF(CADASTROS!$B$16="","",CADASTROS!$B$16)</f>
        <v>CONCESSIONÁRIA</v>
      </c>
      <c r="AP16">
        <f>IF(AO16="",0,COUNTIFS(rEmpresa,"&lt;&gt;",rResp,critResp,rRamo,AO16))</f>
        <v>3</v>
      </c>
      <c r="AQ16">
        <f>IF(AO16="",0,COUNTIFS(rEmpresa,"&lt;&gt;",rResp,critResp,rRamo,AO16,rNotif,"NOTIFICAÇÃO DE CONSTATAÇÃO"))</f>
        <v>3</v>
      </c>
      <c r="AR16">
        <f>IF(AO16="",0,COUNTIFS(rEmpresa,"&lt;&gt;",rResp,critResp,rRamo,AO16,rNotif,"NOTIFICAÇÃO DE ESCLARECIMENTO"))</f>
        <v>0</v>
      </c>
      <c r="AS16">
        <f>IF(AO16="",0,COUNTIFS(rEmpresa,"&lt;&gt;",rResp,critResp,rRamo,AO16,rStatus,"PRAZO D.P"))</f>
        <v>0</v>
      </c>
      <c r="AT16">
        <f>IF(AO16="",-1,AP16+(100-ROW())/1000)</f>
        <v>3.084</v>
      </c>
      <c r="AV16" t="n">
        <v>11</v>
      </c>
      <c r="AW16" t="str">
        <f>IF(BC16="","",INDEX($AO$6:$AO$35,BC16))</f>
        <v>BANCO</v>
      </c>
      <c r="AX16">
        <f>IF(BC16="","",INDEX($AP$6:$AP$35,BC16))</f>
        <v>3</v>
      </c>
      <c r="AY16">
        <f>IF(BC16="","",INDEX($AQ$6:$AQ$35,BC16))</f>
        <v>2</v>
      </c>
      <c r="AZ16">
        <f>IF(BC16="","",INDEX($AR$6:$AR$35,BC16))</f>
        <v>1</v>
      </c>
      <c r="BA16">
        <f>IF(BC16="","",INDEX($AS$6:$AS$35,BC16))</f>
        <v>1</v>
      </c>
      <c r="BB16">
        <f>IF(BC16="","",IFERROR(AX16/SUM($AP$6:$AP$35),0))</f>
        <v>0.03125</v>
      </c>
      <c r="BC16">
        <f>IF(LARGE($AT$6:$AT$35,AV16)&lt;0,"",MATCH(LARGE($AT$6:$AT$35,AV16),$AT$6:$AT$35,0))</f>
        <v>8</v>
      </c>
      <c r="BF16" t="str">
        <f>IF(AND(OR(PROCESSOS!Q16="NO PRAZO",PROCESSOS!Q16="VENCE EM BREVE"),OR(FiltroResp="TODOS",FiltroResp="",PROCESSOS!I16=FiltroResp)),PROCESSOS!O16+ROW()/1000000,"")</f>
        <v/>
      </c>
      <c r="BG16">
        <f>IF(AND(PROCESSOS!B16&lt;&gt;"",ISNUMBER(PROCESSOS!D16),OR(FiltroResp="TODOS",FiltroResp="",PROCESSOS!I16=FiltroResp)),PROCESSOS!D16+ROW()/1000000,"")</f>
        <v>46128.00001599537</v>
      </c>
    </row>
    <row r="17">
      <c r="E17" t="str">
        <f>IF(CADASTROS!$D$17="","",CADASTROS!$D$17)</f>
        <v/>
      </c>
      <c r="I17" s="137" t="inlineStr">
        <is>
          <t>NOTIFICAÇÃO</t>
        </is>
      </c>
      <c r="L17" t="n">
        <v>12</v>
      </c>
      <c r="M17" t="inlineStr">
        <is>
          <t>DEZ</t>
        </is>
      </c>
      <c r="N17">
        <f>COUNTIFS(rEmpresa,"&lt;&gt;",rResp,critResp,rDataFisc,"&gt;="&amp;DATE(FiltroAno,L17,1),rDataFisc,"&lt;"&amp;DATE(FiltroAno,L17+1,1))</f>
        <v>0</v>
      </c>
      <c r="O17">
        <f>COUNTIFS(rEmpresa,"&lt;&gt;",rResp,critResp,rDataFisc,"&gt;="&amp;DATE(FiltroAno,L17,1),rDataFisc,"&lt;"&amp;DATE(FiltroAno,L17+1,1),rNotif,"NOTIFICAÇÃO DE CONSTATAÇÃO")</f>
        <v>0</v>
      </c>
      <c r="P17">
        <f>COUNTIFS(rEmpresa,"&lt;&gt;",rResp,critResp,rDataFisc,"&gt;="&amp;DATE(FiltroAno,L17,1),rDataFisc,"&lt;"&amp;DATE(FiltroAno,L17+1,1),rNotif,"NOTIFICAÇÃO DE ESCLARECIMENTO")</f>
        <v>0</v>
      </c>
      <c r="Q17">
        <f>COUNTIFS(rEmpresa,"&lt;&gt;",rResp,critResp,rDataFisc,"&gt;="&amp;DATE(FiltroAno,L17,1),rDataFisc,"&lt;"&amp;DATE(FiltroAno,L17+1,1),rTipo,"PRESENCIAL")</f>
        <v>0</v>
      </c>
      <c r="R17">
        <f>COUNTIFS(rEmpresa,"&lt;&gt;",rResp,critResp,rDataFisc,"&gt;="&amp;DATE(FiltroAno,L17,1),rDataFisc,"&lt;"&amp;DATE(FiltroAno,L17+1,1),rTipo,"ELETRÔNICA")</f>
        <v>0</v>
      </c>
      <c r="S17">
        <f>MetaMensal</f>
        <v>12</v>
      </c>
      <c r="T17">
        <f>SUM($N$6:N17)</f>
        <v>96</v>
      </c>
      <c r="U17">
        <f>SUM($S$6:S17)</f>
        <v>144</v>
      </c>
      <c r="W17" t="str">
        <f>IF(CADASTROS!$D$17="","",CADASTROS!$D$17)</f>
        <v/>
      </c>
      <c r="X17">
        <f>IF(W17="",0,COUNTIFS(rResp,W17,rEmpresa,"&lt;&gt;"))</f>
        <v>0</v>
      </c>
      <c r="Y17">
        <f>IF(W17="",0,COUNTIFS(rResp,W17,rEmpresa,"&lt;&gt;",rStatus,"PRAZO D.P"))</f>
        <v>0</v>
      </c>
      <c r="Z17">
        <f>IF(W17="",0,COUNTIFS(rResp,W17,rEmpresa,"&lt;&gt;",rStatus,"DECISÃO D.P"))</f>
        <v>0</v>
      </c>
      <c r="AA17">
        <f>IF(W17="",0,COUNTIFS(rResp,W17,rEmpresa,"&lt;&gt;",rSit,"NO PRAZO"))</f>
        <v>0</v>
      </c>
      <c r="AB17">
        <f>IF(W17="",0,COUNTIFS(rResp,W17,rEmpresa,"&lt;&gt;",rSit,"VENCE EM BREVE"))</f>
        <v>0</v>
      </c>
      <c r="AC17">
        <f>IF(W17="",-1,X17+(100-ROW())/1000)</f>
        <v>-1</v>
      </c>
      <c r="AE17" t="n">
        <v>12</v>
      </c>
      <c r="AF17" t="str">
        <f>IF(AM17="","",INDEX($W$6:$W$20,AM17))</f>
        <v/>
      </c>
      <c r="AG17" t="str">
        <f>IF(AM17="","",INDEX($X$6:$X$20,AM17))</f>
        <v/>
      </c>
      <c r="AH17" t="str">
        <f>IF(AM17="","",INDEX($Y$6:$Y$20,AM17))</f>
        <v/>
      </c>
      <c r="AI17" t="str">
        <f>IF(AM17="","",INDEX($Z$6:$Z$20,AM17))</f>
        <v/>
      </c>
      <c r="AJ17" t="str">
        <f>IF(AM17="","",INDEX($AA$6:$AA$20,AM17))</f>
        <v/>
      </c>
      <c r="AK17" t="str">
        <f>IF(AM17="","",INDEX($AB$6:$AB$20,AM17))</f>
        <v/>
      </c>
      <c r="AL17" t="str">
        <f>IF(AM17="","",IFERROR(AG17/SUM($X$6:$X$20),0))</f>
        <v/>
      </c>
      <c r="AM17" t="str">
        <f>IF(LARGE($AC$6:$AC$20,AE17)&lt;0,"",MATCH(LARGE($AC$6:$AC$20,AE17),$AC$6:$AC$20,0))</f>
        <v/>
      </c>
      <c r="AO17" t="str">
        <f>IF(CADASTROS!$B$17="","",CADASTROS!$B$17)</f>
        <v>OUTROS</v>
      </c>
      <c r="AP17">
        <f>IF(AO17="",0,COUNTIFS(rEmpresa,"&lt;&gt;",rResp,critResp,rRamo,AO17))</f>
        <v>4</v>
      </c>
      <c r="AQ17">
        <f>IF(AO17="",0,COUNTIFS(rEmpresa,"&lt;&gt;",rResp,critResp,rRamo,AO17,rNotif,"NOTIFICAÇÃO DE CONSTATAÇÃO"))</f>
        <v>4</v>
      </c>
      <c r="AR17">
        <f>IF(AO17="",0,COUNTIFS(rEmpresa,"&lt;&gt;",rResp,critResp,rRamo,AO17,rNotif,"NOTIFICAÇÃO DE ESCLARECIMENTO"))</f>
        <v>0</v>
      </c>
      <c r="AS17">
        <f>IF(AO17="",0,COUNTIFS(rEmpresa,"&lt;&gt;",rResp,critResp,rRamo,AO17,rStatus,"PRAZO D.P"))</f>
        <v>0</v>
      </c>
      <c r="AT17">
        <f>IF(AO17="",-1,AP17+(100-ROW())/1000)</f>
        <v>4.083</v>
      </c>
      <c r="AV17" t="n">
        <v>12</v>
      </c>
      <c r="AW17" t="str">
        <f>IF(BC17="","",INDEX($AO$6:$AO$35,BC17))</f>
        <v>CONCESSIONÁRIA</v>
      </c>
      <c r="AX17">
        <f>IF(BC17="","",INDEX($AP$6:$AP$35,BC17))</f>
        <v>3</v>
      </c>
      <c r="AY17">
        <f>IF(BC17="","",INDEX($AQ$6:$AQ$35,BC17))</f>
        <v>3</v>
      </c>
      <c r="AZ17">
        <f>IF(BC17="","",INDEX($AR$6:$AR$35,BC17))</f>
        <v>0</v>
      </c>
      <c r="BA17">
        <f>IF(BC17="","",INDEX($AS$6:$AS$35,BC17))</f>
        <v>0</v>
      </c>
      <c r="BB17">
        <f>IF(BC17="","",IFERROR(AX17/SUM($AP$6:$AP$35),0))</f>
        <v>0.03125</v>
      </c>
      <c r="BC17">
        <f>IF(LARGE($AT$6:$AT$35,AV17)&lt;0,"",MATCH(LARGE($AT$6:$AT$35,AV17),$AT$6:$AT$35,0))</f>
        <v>11</v>
      </c>
      <c r="BF17" t="str">
        <f>IF(AND(OR(PROCESSOS!Q17="NO PRAZO",PROCESSOS!Q17="VENCE EM BREVE"),OR(FiltroResp="TODOS",FiltroResp="",PROCESSOS!I17=FiltroResp)),PROCESSOS!O17+ROW()/1000000,"")</f>
        <v/>
      </c>
      <c r="BG17">
        <f>IF(AND(PROCESSOS!B17&lt;&gt;"",ISNUMBER(PROCESSOS!D17),OR(FiltroResp="TODOS",FiltroResp="",PROCESSOS!I17=FiltroResp)),PROCESSOS!D17+ROW()/1000000,"")</f>
        <v>46134.00001700231</v>
      </c>
    </row>
    <row r="18">
      <c r="E18" t="str">
        <f>IF(CADASTROS!$D$18="","",CADASTROS!$D$18)</f>
        <v/>
      </c>
      <c r="I18" t="inlineStr">
        <is>
          <t>Constatação</t>
        </is>
      </c>
      <c r="J18">
        <f>COUNTIFS(rEmpresa,"&lt;&gt;",rResp,critResp,rNotif,"NOTIFICAÇÃO DE CONSTATAÇÃO")</f>
        <v>61</v>
      </c>
      <c r="W18" t="str">
        <f>IF(CADASTROS!$D$18="","",CADASTROS!$D$18)</f>
        <v/>
      </c>
      <c r="X18">
        <f>IF(W18="",0,COUNTIFS(rResp,W18,rEmpresa,"&lt;&gt;"))</f>
        <v>0</v>
      </c>
      <c r="Y18">
        <f>IF(W18="",0,COUNTIFS(rResp,W18,rEmpresa,"&lt;&gt;",rStatus,"PRAZO D.P"))</f>
        <v>0</v>
      </c>
      <c r="Z18">
        <f>IF(W18="",0,COUNTIFS(rResp,W18,rEmpresa,"&lt;&gt;",rStatus,"DECISÃO D.P"))</f>
        <v>0</v>
      </c>
      <c r="AA18">
        <f>IF(W18="",0,COUNTIFS(rResp,W18,rEmpresa,"&lt;&gt;",rSit,"NO PRAZO"))</f>
        <v>0</v>
      </c>
      <c r="AB18">
        <f>IF(W18="",0,COUNTIFS(rResp,W18,rEmpresa,"&lt;&gt;",rSit,"VENCE EM BREVE"))</f>
        <v>0</v>
      </c>
      <c r="AC18">
        <f>IF(W18="",-1,X18+(100-ROW())/1000)</f>
        <v>-1</v>
      </c>
      <c r="AE18" t="n">
        <v>13</v>
      </c>
      <c r="AF18" t="str">
        <f>IF(AM18="","",INDEX($W$6:$W$20,AM18))</f>
        <v/>
      </c>
      <c r="AG18" t="str">
        <f>IF(AM18="","",INDEX($X$6:$X$20,AM18))</f>
        <v/>
      </c>
      <c r="AH18" t="str">
        <f>IF(AM18="","",INDEX($Y$6:$Y$20,AM18))</f>
        <v/>
      </c>
      <c r="AI18" t="str">
        <f>IF(AM18="","",INDEX($Z$6:$Z$20,AM18))</f>
        <v/>
      </c>
      <c r="AJ18" t="str">
        <f>IF(AM18="","",INDEX($AA$6:$AA$20,AM18))</f>
        <v/>
      </c>
      <c r="AK18" t="str">
        <f>IF(AM18="","",INDEX($AB$6:$AB$20,AM18))</f>
        <v/>
      </c>
      <c r="AL18" t="str">
        <f>IF(AM18="","",IFERROR(AG18/SUM($X$6:$X$20),0))</f>
        <v/>
      </c>
      <c r="AM18" t="str">
        <f>IF(LARGE($AC$6:$AC$20,AE18)&lt;0,"",MATCH(LARGE($AC$6:$AC$20,AE18),$AC$6:$AC$20,0))</f>
        <v/>
      </c>
      <c r="AO18" t="str">
        <f>IF(CADASTROS!$B$18="","",CADASTROS!$B$18)</f>
        <v/>
      </c>
      <c r="AP18">
        <f>IF(AO18="",0,COUNTIFS(rEmpresa,"&lt;&gt;",rResp,critResp,rRamo,AO18))</f>
        <v>0</v>
      </c>
      <c r="AQ18">
        <f>IF(AO18="",0,COUNTIFS(rEmpresa,"&lt;&gt;",rResp,critResp,rRamo,AO18,rNotif,"NOTIFICAÇÃO DE CONSTATAÇÃO"))</f>
        <v>0</v>
      </c>
      <c r="AR18">
        <f>IF(AO18="",0,COUNTIFS(rEmpresa,"&lt;&gt;",rResp,critResp,rRamo,AO18,rNotif,"NOTIFICAÇÃO DE ESCLARECIMENTO"))</f>
        <v>0</v>
      </c>
      <c r="AS18">
        <f>IF(AO18="",0,COUNTIFS(rEmpresa,"&lt;&gt;",rResp,critResp,rRamo,AO18,rStatus,"PRAZO D.P"))</f>
        <v>0</v>
      </c>
      <c r="AT18">
        <f>IF(AO18="",-1,AP18+(100-ROW())/1000)</f>
        <v>-1</v>
      </c>
      <c r="AV18" t="n">
        <v>13</v>
      </c>
      <c r="AW18" t="str">
        <f>IF(BC18="","",INDEX($AO$6:$AO$35,BC18))</f>
        <v/>
      </c>
      <c r="AX18" t="str">
        <f>IF(BC18="","",INDEX($AP$6:$AP$35,BC18))</f>
        <v/>
      </c>
      <c r="AY18" t="str">
        <f>IF(BC18="","",INDEX($AQ$6:$AQ$35,BC18))</f>
        <v/>
      </c>
      <c r="AZ18" t="str">
        <f>IF(BC18="","",INDEX($AR$6:$AR$35,BC18))</f>
        <v/>
      </c>
      <c r="BA18" t="str">
        <f>IF(BC18="","",INDEX($AS$6:$AS$35,BC18))</f>
        <v/>
      </c>
      <c r="BB18" t="str">
        <f>IF(BC18="","",IFERROR(AX18/SUM($AP$6:$AP$35),0))</f>
        <v/>
      </c>
      <c r="BC18" t="str">
        <f>IF(LARGE($AT$6:$AT$35,AV18)&lt;0,"",MATCH(LARGE($AT$6:$AT$35,AV18),$AT$6:$AT$35,0))</f>
        <v/>
      </c>
      <c r="BF18" t="str">
        <f>IF(AND(OR(PROCESSOS!Q18="NO PRAZO",PROCESSOS!Q18="VENCE EM BREVE"),OR(FiltroResp="TODOS",FiltroResp="",PROCESSOS!I18=FiltroResp)),PROCESSOS!O18+ROW()/1000000,"")</f>
        <v/>
      </c>
      <c r="BG18">
        <f>IF(AND(PROCESSOS!B18&lt;&gt;"",ISNUMBER(PROCESSOS!D18),OR(FiltroResp="TODOS",FiltroResp="",PROCESSOS!I18=FiltroResp)),PROCESSOS!D18+ROW()/1000000,"")</f>
        <v>46138.000017997685</v>
      </c>
    </row>
    <row r="19">
      <c r="E19" t="str">
        <f>IF(CADASTROS!$D$19="","",CADASTROS!$D$19)</f>
        <v/>
      </c>
      <c r="I19" t="inlineStr">
        <is>
          <t>Esclarecimento</t>
        </is>
      </c>
      <c r="J19">
        <f>COUNTIFS(rEmpresa,"&lt;&gt;",rResp,critResp,rNotif,"NOTIFICAÇÃO DE ESCLARECIMENTO")</f>
        <v>35</v>
      </c>
      <c r="W19" t="str">
        <f>IF(CADASTROS!$D$19="","",CADASTROS!$D$19)</f>
        <v/>
      </c>
      <c r="X19">
        <f>IF(W19="",0,COUNTIFS(rResp,W19,rEmpresa,"&lt;&gt;"))</f>
        <v>0</v>
      </c>
      <c r="Y19">
        <f>IF(W19="",0,COUNTIFS(rResp,W19,rEmpresa,"&lt;&gt;",rStatus,"PRAZO D.P"))</f>
        <v>0</v>
      </c>
      <c r="Z19">
        <f>IF(W19="",0,COUNTIFS(rResp,W19,rEmpresa,"&lt;&gt;",rStatus,"DECISÃO D.P"))</f>
        <v>0</v>
      </c>
      <c r="AA19">
        <f>IF(W19="",0,COUNTIFS(rResp,W19,rEmpresa,"&lt;&gt;",rSit,"NO PRAZO"))</f>
        <v>0</v>
      </c>
      <c r="AB19">
        <f>IF(W19="",0,COUNTIFS(rResp,W19,rEmpresa,"&lt;&gt;",rSit,"VENCE EM BREVE"))</f>
        <v>0</v>
      </c>
      <c r="AC19">
        <f>IF(W19="",-1,X19+(100-ROW())/1000)</f>
        <v>-1</v>
      </c>
      <c r="AE19" t="n">
        <v>14</v>
      </c>
      <c r="AF19" t="str">
        <f>IF(AM19="","",INDEX($W$6:$W$20,AM19))</f>
        <v/>
      </c>
      <c r="AG19" t="str">
        <f>IF(AM19="","",INDEX($X$6:$X$20,AM19))</f>
        <v/>
      </c>
      <c r="AH19" t="str">
        <f>IF(AM19="","",INDEX($Y$6:$Y$20,AM19))</f>
        <v/>
      </c>
      <c r="AI19" t="str">
        <f>IF(AM19="","",INDEX($Z$6:$Z$20,AM19))</f>
        <v/>
      </c>
      <c r="AJ19" t="str">
        <f>IF(AM19="","",INDEX($AA$6:$AA$20,AM19))</f>
        <v/>
      </c>
      <c r="AK19" t="str">
        <f>IF(AM19="","",INDEX($AB$6:$AB$20,AM19))</f>
        <v/>
      </c>
      <c r="AL19" t="str">
        <f>IF(AM19="","",IFERROR(AG19/SUM($X$6:$X$20),0))</f>
        <v/>
      </c>
      <c r="AM19" t="str">
        <f>IF(LARGE($AC$6:$AC$20,AE19)&lt;0,"",MATCH(LARGE($AC$6:$AC$20,AE19),$AC$6:$AC$20,0))</f>
        <v/>
      </c>
      <c r="AO19" t="str">
        <f>IF(CADASTROS!$B$19="","",CADASTROS!$B$19)</f>
        <v/>
      </c>
      <c r="AP19">
        <f>IF(AO19="",0,COUNTIFS(rEmpresa,"&lt;&gt;",rResp,critResp,rRamo,AO19))</f>
        <v>0</v>
      </c>
      <c r="AQ19">
        <f>IF(AO19="",0,COUNTIFS(rEmpresa,"&lt;&gt;",rResp,critResp,rRamo,AO19,rNotif,"NOTIFICAÇÃO DE CONSTATAÇÃO"))</f>
        <v>0</v>
      </c>
      <c r="AR19">
        <f>IF(AO19="",0,COUNTIFS(rEmpresa,"&lt;&gt;",rResp,critResp,rRamo,AO19,rNotif,"NOTIFICAÇÃO DE ESCLARECIMENTO"))</f>
        <v>0</v>
      </c>
      <c r="AS19">
        <f>IF(AO19="",0,COUNTIFS(rEmpresa,"&lt;&gt;",rResp,critResp,rRamo,AO19,rStatus,"PRAZO D.P"))</f>
        <v>0</v>
      </c>
      <c r="AT19">
        <f>IF(AO19="",-1,AP19+(100-ROW())/1000)</f>
        <v>-1</v>
      </c>
      <c r="AV19" t="n">
        <v>14</v>
      </c>
      <c r="AW19" t="str">
        <f>IF(BC19="","",INDEX($AO$6:$AO$35,BC19))</f>
        <v/>
      </c>
      <c r="AX19" t="str">
        <f>IF(BC19="","",INDEX($AP$6:$AP$35,BC19))</f>
        <v/>
      </c>
      <c r="AY19" t="str">
        <f>IF(BC19="","",INDEX($AQ$6:$AQ$35,BC19))</f>
        <v/>
      </c>
      <c r="AZ19" t="str">
        <f>IF(BC19="","",INDEX($AR$6:$AR$35,BC19))</f>
        <v/>
      </c>
      <c r="BA19" t="str">
        <f>IF(BC19="","",INDEX($AS$6:$AS$35,BC19))</f>
        <v/>
      </c>
      <c r="BB19" t="str">
        <f>IF(BC19="","",IFERROR(AX19/SUM($AP$6:$AP$35),0))</f>
        <v/>
      </c>
      <c r="BC19" t="str">
        <f>IF(LARGE($AT$6:$AT$35,AV19)&lt;0,"",MATCH(LARGE($AT$6:$AT$35,AV19),$AT$6:$AT$35,0))</f>
        <v/>
      </c>
      <c r="BF19" t="str">
        <f>IF(AND(OR(PROCESSOS!Q19="NO PRAZO",PROCESSOS!Q19="VENCE EM BREVE"),OR(FiltroResp="TODOS",FiltroResp="",PROCESSOS!I19=FiltroResp)),PROCESSOS!O19+ROW()/1000000,"")</f>
        <v/>
      </c>
      <c r="BG19">
        <f>IF(AND(PROCESSOS!B19&lt;&gt;"",ISNUMBER(PROCESSOS!D19),OR(FiltroResp="TODOS",FiltroResp="",PROCESSOS!I19=FiltroResp)),PROCESSOS!D19+ROW()/1000000,"")</f>
        <v>46138.00001900463</v>
      </c>
    </row>
    <row r="20">
      <c r="E20" t="str">
        <f>IF(CADASTROS!$D$20="","",CADASTROS!$D$20)</f>
        <v/>
      </c>
      <c r="W20" t="str">
        <f>IF(CADASTROS!$D$20="","",CADASTROS!$D$20)</f>
        <v/>
      </c>
      <c r="X20">
        <f>IF(W20="",0,COUNTIFS(rResp,W20,rEmpresa,"&lt;&gt;"))</f>
        <v>0</v>
      </c>
      <c r="Y20">
        <f>IF(W20="",0,COUNTIFS(rResp,W20,rEmpresa,"&lt;&gt;",rStatus,"PRAZO D.P"))</f>
        <v>0</v>
      </c>
      <c r="Z20">
        <f>IF(W20="",0,COUNTIFS(rResp,W20,rEmpresa,"&lt;&gt;",rStatus,"DECISÃO D.P"))</f>
        <v>0</v>
      </c>
      <c r="AA20">
        <f>IF(W20="",0,COUNTIFS(rResp,W20,rEmpresa,"&lt;&gt;",rSit,"NO PRAZO"))</f>
        <v>0</v>
      </c>
      <c r="AB20">
        <f>IF(W20="",0,COUNTIFS(rResp,W20,rEmpresa,"&lt;&gt;",rSit,"VENCE EM BREVE"))</f>
        <v>0</v>
      </c>
      <c r="AC20">
        <f>IF(W20="",-1,X20+(100-ROW())/1000)</f>
        <v>-1</v>
      </c>
      <c r="AE20" t="n">
        <v>15</v>
      </c>
      <c r="AF20" t="str">
        <f>IF(AM20="","",INDEX($W$6:$W$20,AM20))</f>
        <v/>
      </c>
      <c r="AG20" t="str">
        <f>IF(AM20="","",INDEX($X$6:$X$20,AM20))</f>
        <v/>
      </c>
      <c r="AH20" t="str">
        <f>IF(AM20="","",INDEX($Y$6:$Y$20,AM20))</f>
        <v/>
      </c>
      <c r="AI20" t="str">
        <f>IF(AM20="","",INDEX($Z$6:$Z$20,AM20))</f>
        <v/>
      </c>
      <c r="AJ20" t="str">
        <f>IF(AM20="","",INDEX($AA$6:$AA$20,AM20))</f>
        <v/>
      </c>
      <c r="AK20" t="str">
        <f>IF(AM20="","",INDEX($AB$6:$AB$20,AM20))</f>
        <v/>
      </c>
      <c r="AL20" t="str">
        <f>IF(AM20="","",IFERROR(AG20/SUM($X$6:$X$20),0))</f>
        <v/>
      </c>
      <c r="AM20" t="str">
        <f>IF(LARGE($AC$6:$AC$20,AE20)&lt;0,"",MATCH(LARGE($AC$6:$AC$20,AE20),$AC$6:$AC$20,0))</f>
        <v/>
      </c>
      <c r="AO20" t="str">
        <f>IF(CADASTROS!$B$20="","",CADASTROS!$B$20)</f>
        <v/>
      </c>
      <c r="AP20">
        <f>IF(AO20="",0,COUNTIFS(rEmpresa,"&lt;&gt;",rResp,critResp,rRamo,AO20))</f>
        <v>0</v>
      </c>
      <c r="AQ20">
        <f>IF(AO20="",0,COUNTIFS(rEmpresa,"&lt;&gt;",rResp,critResp,rRamo,AO20,rNotif,"NOTIFICAÇÃO DE CONSTATAÇÃO"))</f>
        <v>0</v>
      </c>
      <c r="AR20">
        <f>IF(AO20="",0,COUNTIFS(rEmpresa,"&lt;&gt;",rResp,critResp,rRamo,AO20,rNotif,"NOTIFICAÇÃO DE ESCLARECIMENTO"))</f>
        <v>0</v>
      </c>
      <c r="AS20">
        <f>IF(AO20="",0,COUNTIFS(rEmpresa,"&lt;&gt;",rResp,critResp,rRamo,AO20,rStatus,"PRAZO D.P"))</f>
        <v>0</v>
      </c>
      <c r="AT20">
        <f>IF(AO20="",-1,AP20+(100-ROW())/1000)</f>
        <v>-1</v>
      </c>
      <c r="AV20" t="n">
        <v>15</v>
      </c>
      <c r="AW20" t="str">
        <f>IF(BC20="","",INDEX($AO$6:$AO$35,BC20))</f>
        <v/>
      </c>
      <c r="AX20" t="str">
        <f>IF(BC20="","",INDEX($AP$6:$AP$35,BC20))</f>
        <v/>
      </c>
      <c r="AY20" t="str">
        <f>IF(BC20="","",INDEX($AQ$6:$AQ$35,BC20))</f>
        <v/>
      </c>
      <c r="AZ20" t="str">
        <f>IF(BC20="","",INDEX($AR$6:$AR$35,BC20))</f>
        <v/>
      </c>
      <c r="BA20" t="str">
        <f>IF(BC20="","",INDEX($AS$6:$AS$35,BC20))</f>
        <v/>
      </c>
      <c r="BB20" t="str">
        <f>IF(BC20="","",IFERROR(AX20/SUM($AP$6:$AP$35),0))</f>
        <v/>
      </c>
      <c r="BC20" t="str">
        <f>IF(LARGE($AT$6:$AT$35,AV20)&lt;0,"",MATCH(LARGE($AT$6:$AT$35,AV20),$AT$6:$AT$35,0))</f>
        <v/>
      </c>
      <c r="BF20" t="str">
        <f>IF(AND(OR(PROCESSOS!Q20="NO PRAZO",PROCESSOS!Q20="VENCE EM BREVE"),OR(FiltroResp="TODOS",FiltroResp="",PROCESSOS!I20=FiltroResp)),PROCESSOS!O20+ROW()/1000000,"")</f>
        <v/>
      </c>
      <c r="BG20">
        <f>IF(AND(PROCESSOS!B20&lt;&gt;"",ISNUMBER(PROCESSOS!D20),OR(FiltroResp="TODOS",FiltroResp="",PROCESSOS!I20=FiltroResp)),PROCESSOS!D20+ROW()/1000000,"")</f>
        <v>46138.00002</v>
      </c>
    </row>
    <row r="21">
      <c r="AO21" t="str">
        <f>IF(CADASTROS!$B$21="","",CADASTROS!$B$21)</f>
        <v/>
      </c>
      <c r="AP21">
        <f>IF(AO21="",0,COUNTIFS(rEmpresa,"&lt;&gt;",rResp,critResp,rRamo,AO21))</f>
        <v>0</v>
      </c>
      <c r="AQ21">
        <f>IF(AO21="",0,COUNTIFS(rEmpresa,"&lt;&gt;",rResp,critResp,rRamo,AO21,rNotif,"NOTIFICAÇÃO DE CONSTATAÇÃO"))</f>
        <v>0</v>
      </c>
      <c r="AR21">
        <f>IF(AO21="",0,COUNTIFS(rEmpresa,"&lt;&gt;",rResp,critResp,rRamo,AO21,rNotif,"NOTIFICAÇÃO DE ESCLARECIMENTO"))</f>
        <v>0</v>
      </c>
      <c r="AS21">
        <f>IF(AO21="",0,COUNTIFS(rEmpresa,"&lt;&gt;",rResp,critResp,rRamo,AO21,rStatus,"PRAZO D.P"))</f>
        <v>0</v>
      </c>
      <c r="AT21">
        <f>IF(AO21="",-1,AP21+(100-ROW())/1000)</f>
        <v>-1</v>
      </c>
      <c r="AV21" t="n">
        <v>16</v>
      </c>
      <c r="AW21" t="str">
        <f>IF(BC21="","",INDEX($AO$6:$AO$35,BC21))</f>
        <v/>
      </c>
      <c r="AX21" t="str">
        <f>IF(BC21="","",INDEX($AP$6:$AP$35,BC21))</f>
        <v/>
      </c>
      <c r="AY21" t="str">
        <f>IF(BC21="","",INDEX($AQ$6:$AQ$35,BC21))</f>
        <v/>
      </c>
      <c r="AZ21" t="str">
        <f>IF(BC21="","",INDEX($AR$6:$AR$35,BC21))</f>
        <v/>
      </c>
      <c r="BA21" t="str">
        <f>IF(BC21="","",INDEX($AS$6:$AS$35,BC21))</f>
        <v/>
      </c>
      <c r="BB21" t="str">
        <f>IF(BC21="","",IFERROR(AX21/SUM($AP$6:$AP$35),0))</f>
        <v/>
      </c>
      <c r="BC21" t="str">
        <f>IF(LARGE($AT$6:$AT$35,AV21)&lt;0,"",MATCH(LARGE($AT$6:$AT$35,AV21),$AT$6:$AT$35,0))</f>
        <v/>
      </c>
      <c r="BF21" t="str">
        <f>IF(AND(OR(PROCESSOS!Q21="NO PRAZO",PROCESSOS!Q21="VENCE EM BREVE"),OR(FiltroResp="TODOS",FiltroResp="",PROCESSOS!I21=FiltroResp)),PROCESSOS!O21+ROW()/1000000,"")</f>
        <v/>
      </c>
      <c r="BG21">
        <f>IF(AND(PROCESSOS!B21&lt;&gt;"",ISNUMBER(PROCESSOS!D21),OR(FiltroResp="TODOS",FiltroResp="",PROCESSOS!I21=FiltroResp)),PROCESSOS!D21+ROW()/1000000,"")</f>
        <v>46139.00002099537</v>
      </c>
    </row>
    <row r="22">
      <c r="I22" s="137" t="inlineStr">
        <is>
          <t>TIPO</t>
        </is>
      </c>
      <c r="AO22" t="str">
        <f>IF(CADASTROS!$B$22="","",CADASTROS!$B$22)</f>
        <v/>
      </c>
      <c r="AP22">
        <f>IF(AO22="",0,COUNTIFS(rEmpresa,"&lt;&gt;",rResp,critResp,rRamo,AO22))</f>
        <v>0</v>
      </c>
      <c r="AQ22">
        <f>IF(AO22="",0,COUNTIFS(rEmpresa,"&lt;&gt;",rResp,critResp,rRamo,AO22,rNotif,"NOTIFICAÇÃO DE CONSTATAÇÃO"))</f>
        <v>0</v>
      </c>
      <c r="AR22">
        <f>IF(AO22="",0,COUNTIFS(rEmpresa,"&lt;&gt;",rResp,critResp,rRamo,AO22,rNotif,"NOTIFICAÇÃO DE ESCLARECIMENTO"))</f>
        <v>0</v>
      </c>
      <c r="AS22">
        <f>IF(AO22="",0,COUNTIFS(rEmpresa,"&lt;&gt;",rResp,critResp,rRamo,AO22,rStatus,"PRAZO D.P"))</f>
        <v>0</v>
      </c>
      <c r="AT22">
        <f>IF(AO22="",-1,AP22+(100-ROW())/1000)</f>
        <v>-1</v>
      </c>
      <c r="AV22" t="n">
        <v>17</v>
      </c>
      <c r="AW22" t="str">
        <f>IF(BC22="","",INDEX($AO$6:$AO$35,BC22))</f>
        <v/>
      </c>
      <c r="AX22" t="str">
        <f>IF(BC22="","",INDEX($AP$6:$AP$35,BC22))</f>
        <v/>
      </c>
      <c r="AY22" t="str">
        <f>IF(BC22="","",INDEX($AQ$6:$AQ$35,BC22))</f>
        <v/>
      </c>
      <c r="AZ22" t="str">
        <f>IF(BC22="","",INDEX($AR$6:$AR$35,BC22))</f>
        <v/>
      </c>
      <c r="BA22" t="str">
        <f>IF(BC22="","",INDEX($AS$6:$AS$35,BC22))</f>
        <v/>
      </c>
      <c r="BB22" t="str">
        <f>IF(BC22="","",IFERROR(AX22/SUM($AP$6:$AP$35),0))</f>
        <v/>
      </c>
      <c r="BC22" t="str">
        <f>IF(LARGE($AT$6:$AT$35,AV22)&lt;0,"",MATCH(LARGE($AT$6:$AT$35,AV22),$AT$6:$AT$35,0))</f>
        <v/>
      </c>
      <c r="BF22" t="str">
        <f>IF(AND(OR(PROCESSOS!Q22="NO PRAZO",PROCESSOS!Q22="VENCE EM BREVE"),OR(FiltroResp="TODOS",FiltroResp="",PROCESSOS!I22=FiltroResp)),PROCESSOS!O22+ROW()/1000000,"")</f>
        <v/>
      </c>
      <c r="BG22">
        <f>IF(AND(PROCESSOS!B22&lt;&gt;"",ISNUMBER(PROCESSOS!D22),OR(FiltroResp="TODOS",FiltroResp="",PROCESSOS!I22=FiltroResp)),PROCESSOS!D22+ROW()/1000000,"")</f>
        <v>46143.000022002314</v>
      </c>
    </row>
    <row r="23">
      <c r="I23" t="inlineStr">
        <is>
          <t>Presencial</t>
        </is>
      </c>
      <c r="J23">
        <f>COUNTIFS(rEmpresa,"&lt;&gt;",rResp,critResp,rTipo,"PRESENCIAL")</f>
        <v>60</v>
      </c>
      <c r="AO23" t="str">
        <f>IF(CADASTROS!$B$23="","",CADASTROS!$B$23)</f>
        <v/>
      </c>
      <c r="AP23">
        <f>IF(AO23="",0,COUNTIFS(rEmpresa,"&lt;&gt;",rResp,critResp,rRamo,AO23))</f>
        <v>0</v>
      </c>
      <c r="AQ23">
        <f>IF(AO23="",0,COUNTIFS(rEmpresa,"&lt;&gt;",rResp,critResp,rRamo,AO23,rNotif,"NOTIFICAÇÃO DE CONSTATAÇÃO"))</f>
        <v>0</v>
      </c>
      <c r="AR23">
        <f>IF(AO23="",0,COUNTIFS(rEmpresa,"&lt;&gt;",rResp,critResp,rRamo,AO23,rNotif,"NOTIFICAÇÃO DE ESCLARECIMENTO"))</f>
        <v>0</v>
      </c>
      <c r="AS23">
        <f>IF(AO23="",0,COUNTIFS(rEmpresa,"&lt;&gt;",rResp,critResp,rRamo,AO23,rStatus,"PRAZO D.P"))</f>
        <v>0</v>
      </c>
      <c r="AT23">
        <f>IF(AO23="",-1,AP23+(100-ROW())/1000)</f>
        <v>-1</v>
      </c>
      <c r="AV23" t="n">
        <v>18</v>
      </c>
      <c r="AW23" t="str">
        <f>IF(BC23="","",INDEX($AO$6:$AO$35,BC23))</f>
        <v/>
      </c>
      <c r="AX23" t="str">
        <f>IF(BC23="","",INDEX($AP$6:$AP$35,BC23))</f>
        <v/>
      </c>
      <c r="AY23" t="str">
        <f>IF(BC23="","",INDEX($AQ$6:$AQ$35,BC23))</f>
        <v/>
      </c>
      <c r="AZ23" t="str">
        <f>IF(BC23="","",INDEX($AR$6:$AR$35,BC23))</f>
        <v/>
      </c>
      <c r="BA23" t="str">
        <f>IF(BC23="","",INDEX($AS$6:$AS$35,BC23))</f>
        <v/>
      </c>
      <c r="BB23" t="str">
        <f>IF(BC23="","",IFERROR(AX23/SUM($AP$6:$AP$35),0))</f>
        <v/>
      </c>
      <c r="BC23" t="str">
        <f>IF(LARGE($AT$6:$AT$35,AV23)&lt;0,"",MATCH(LARGE($AT$6:$AT$35,AV23),$AT$6:$AT$35,0))</f>
        <v/>
      </c>
      <c r="BF23" t="str">
        <f>IF(AND(OR(PROCESSOS!Q23="NO PRAZO",PROCESSOS!Q23="VENCE EM BREVE"),OR(FiltroResp="TODOS",FiltroResp="",PROCESSOS!I23=FiltroResp)),PROCESSOS!O23+ROW()/1000000,"")</f>
        <v/>
      </c>
      <c r="BG23">
        <f>IF(AND(PROCESSOS!B23&lt;&gt;"",ISNUMBER(PROCESSOS!D23),OR(FiltroResp="TODOS",FiltroResp="",PROCESSOS!I23=FiltroResp)),PROCESSOS!D23+ROW()/1000000,"")</f>
        <v>46148.00002299769</v>
      </c>
    </row>
    <row r="24">
      <c r="I24" t="inlineStr">
        <is>
          <t>Eletrônica</t>
        </is>
      </c>
      <c r="J24">
        <f>COUNTIFS(rEmpresa,"&lt;&gt;",rResp,critResp,rTipo,"ELETRÔNICA")</f>
        <v>36</v>
      </c>
      <c r="AO24" t="str">
        <f>IF(CADASTROS!$B$24="","",CADASTROS!$B$24)</f>
        <v/>
      </c>
      <c r="AP24">
        <f>IF(AO24="",0,COUNTIFS(rEmpresa,"&lt;&gt;",rResp,critResp,rRamo,AO24))</f>
        <v>0</v>
      </c>
      <c r="AQ24">
        <f>IF(AO24="",0,COUNTIFS(rEmpresa,"&lt;&gt;",rResp,critResp,rRamo,AO24,rNotif,"NOTIFICAÇÃO DE CONSTATAÇÃO"))</f>
        <v>0</v>
      </c>
      <c r="AR24">
        <f>IF(AO24="",0,COUNTIFS(rEmpresa,"&lt;&gt;",rResp,critResp,rRamo,AO24,rNotif,"NOTIFICAÇÃO DE ESCLARECIMENTO"))</f>
        <v>0</v>
      </c>
      <c r="AS24">
        <f>IF(AO24="",0,COUNTIFS(rEmpresa,"&lt;&gt;",rResp,critResp,rRamo,AO24,rStatus,"PRAZO D.P"))</f>
        <v>0</v>
      </c>
      <c r="AT24">
        <f>IF(AO24="",-1,AP24+(100-ROW())/1000)</f>
        <v>-1</v>
      </c>
      <c r="AV24" t="n">
        <v>19</v>
      </c>
      <c r="AW24" t="str">
        <f>IF(BC24="","",INDEX($AO$6:$AO$35,BC24))</f>
        <v/>
      </c>
      <c r="AX24" t="str">
        <f>IF(BC24="","",INDEX($AP$6:$AP$35,BC24))</f>
        <v/>
      </c>
      <c r="AY24" t="str">
        <f>IF(BC24="","",INDEX($AQ$6:$AQ$35,BC24))</f>
        <v/>
      </c>
      <c r="AZ24" t="str">
        <f>IF(BC24="","",INDEX($AR$6:$AR$35,BC24))</f>
        <v/>
      </c>
      <c r="BA24" t="str">
        <f>IF(BC24="","",INDEX($AS$6:$AS$35,BC24))</f>
        <v/>
      </c>
      <c r="BB24" t="str">
        <f>IF(BC24="","",IFERROR(AX24/SUM($AP$6:$AP$35),0))</f>
        <v/>
      </c>
      <c r="BC24" t="str">
        <f>IF(LARGE($AT$6:$AT$35,AV24)&lt;0,"",MATCH(LARGE($AT$6:$AT$35,AV24),$AT$6:$AT$35,0))</f>
        <v/>
      </c>
      <c r="BF24" t="str">
        <f>IF(AND(OR(PROCESSOS!Q24="NO PRAZO",PROCESSOS!Q24="VENCE EM BREVE"),OR(FiltroResp="TODOS",FiltroResp="",PROCESSOS!I24=FiltroResp)),PROCESSOS!O24+ROW()/1000000,"")</f>
        <v/>
      </c>
      <c r="BG24">
        <f>IF(AND(PROCESSOS!B24&lt;&gt;"",ISNUMBER(PROCESSOS!D24),OR(FiltroResp="TODOS",FiltroResp="",PROCESSOS!I24=FiltroResp)),PROCESSOS!D24+ROW()/1000000,"")</f>
        <v>46162.00002400463</v>
      </c>
    </row>
    <row r="25">
      <c r="AO25" t="str">
        <f>IF(CADASTROS!$B$25="","",CADASTROS!$B$25)</f>
        <v/>
      </c>
      <c r="AP25">
        <f>IF(AO25="",0,COUNTIFS(rEmpresa,"&lt;&gt;",rResp,critResp,rRamo,AO25))</f>
        <v>0</v>
      </c>
      <c r="AQ25">
        <f>IF(AO25="",0,COUNTIFS(rEmpresa,"&lt;&gt;",rResp,critResp,rRamo,AO25,rNotif,"NOTIFICAÇÃO DE CONSTATAÇÃO"))</f>
        <v>0</v>
      </c>
      <c r="AR25">
        <f>IF(AO25="",0,COUNTIFS(rEmpresa,"&lt;&gt;",rResp,critResp,rRamo,AO25,rNotif,"NOTIFICAÇÃO DE ESCLARECIMENTO"))</f>
        <v>0</v>
      </c>
      <c r="AS25">
        <f>IF(AO25="",0,COUNTIFS(rEmpresa,"&lt;&gt;",rResp,critResp,rRamo,AO25,rStatus,"PRAZO D.P"))</f>
        <v>0</v>
      </c>
      <c r="AT25">
        <f>IF(AO25="",-1,AP25+(100-ROW())/1000)</f>
        <v>-1</v>
      </c>
      <c r="AV25" t="n">
        <v>20</v>
      </c>
      <c r="AW25" t="str">
        <f>IF(BC25="","",INDEX($AO$6:$AO$35,BC25))</f>
        <v/>
      </c>
      <c r="AX25" t="str">
        <f>IF(BC25="","",INDEX($AP$6:$AP$35,BC25))</f>
        <v/>
      </c>
      <c r="AY25" t="str">
        <f>IF(BC25="","",INDEX($AQ$6:$AQ$35,BC25))</f>
        <v/>
      </c>
      <c r="AZ25" t="str">
        <f>IF(BC25="","",INDEX($AR$6:$AR$35,BC25))</f>
        <v/>
      </c>
      <c r="BA25" t="str">
        <f>IF(BC25="","",INDEX($AS$6:$AS$35,BC25))</f>
        <v/>
      </c>
      <c r="BB25" t="str">
        <f>IF(BC25="","",IFERROR(AX25/SUM($AP$6:$AP$35),0))</f>
        <v/>
      </c>
      <c r="BC25" t="str">
        <f>IF(LARGE($AT$6:$AT$35,AV25)&lt;0,"",MATCH(LARGE($AT$6:$AT$35,AV25),$AT$6:$AT$35,0))</f>
        <v/>
      </c>
      <c r="BF25" t="str">
        <f>IF(AND(OR(PROCESSOS!Q25="NO PRAZO",PROCESSOS!Q25="VENCE EM BREVE"),OR(FiltroResp="TODOS",FiltroResp="",PROCESSOS!I25=FiltroResp)),PROCESSOS!O25+ROW()/1000000,"")</f>
        <v/>
      </c>
      <c r="BG25">
        <f>IF(AND(PROCESSOS!B25&lt;&gt;"",ISNUMBER(PROCESSOS!D25),OR(FiltroResp="TODOS",FiltroResp="",PROCESSOS!I25=FiltroResp)),PROCESSOS!D25+ROW()/1000000,"")</f>
        <v>46163.000025</v>
      </c>
    </row>
    <row r="26">
      <c r="AO26" t="str">
        <f>IF(CADASTROS!$B$26="","",CADASTROS!$B$26)</f>
        <v/>
      </c>
      <c r="AP26">
        <f>IF(AO26="",0,COUNTIFS(rEmpresa,"&lt;&gt;",rResp,critResp,rRamo,AO26))</f>
        <v>0</v>
      </c>
      <c r="AQ26">
        <f>IF(AO26="",0,COUNTIFS(rEmpresa,"&lt;&gt;",rResp,critResp,rRamo,AO26,rNotif,"NOTIFICAÇÃO DE CONSTATAÇÃO"))</f>
        <v>0</v>
      </c>
      <c r="AR26">
        <f>IF(AO26="",0,COUNTIFS(rEmpresa,"&lt;&gt;",rResp,critResp,rRamo,AO26,rNotif,"NOTIFICAÇÃO DE ESCLARECIMENTO"))</f>
        <v>0</v>
      </c>
      <c r="AS26">
        <f>IF(AO26="",0,COUNTIFS(rEmpresa,"&lt;&gt;",rResp,critResp,rRamo,AO26,rStatus,"PRAZO D.P"))</f>
        <v>0</v>
      </c>
      <c r="AT26">
        <f>IF(AO26="",-1,AP26+(100-ROW())/1000)</f>
        <v>-1</v>
      </c>
      <c r="AV26" t="n">
        <v>21</v>
      </c>
      <c r="AW26" t="str">
        <f>IF(BC26="","",INDEX($AO$6:$AO$35,BC26))</f>
        <v/>
      </c>
      <c r="AX26" t="str">
        <f>IF(BC26="","",INDEX($AP$6:$AP$35,BC26))</f>
        <v/>
      </c>
      <c r="AY26" t="str">
        <f>IF(BC26="","",INDEX($AQ$6:$AQ$35,BC26))</f>
        <v/>
      </c>
      <c r="AZ26" t="str">
        <f>IF(BC26="","",INDEX($AR$6:$AR$35,BC26))</f>
        <v/>
      </c>
      <c r="BA26" t="str">
        <f>IF(BC26="","",INDEX($AS$6:$AS$35,BC26))</f>
        <v/>
      </c>
      <c r="BB26" t="str">
        <f>IF(BC26="","",IFERROR(AX26/SUM($AP$6:$AP$35),0))</f>
        <v/>
      </c>
      <c r="BC26" t="str">
        <f>IF(LARGE($AT$6:$AT$35,AV26)&lt;0,"",MATCH(LARGE($AT$6:$AT$35,AV26),$AT$6:$AT$35,0))</f>
        <v/>
      </c>
      <c r="BF26" t="str">
        <f>IF(AND(OR(PROCESSOS!Q26="NO PRAZO",PROCESSOS!Q26="VENCE EM BREVE"),OR(FiltroResp="TODOS",FiltroResp="",PROCESSOS!I26=FiltroResp)),PROCESSOS!O26+ROW()/1000000,"")</f>
        <v/>
      </c>
      <c r="BG26">
        <f>IF(AND(PROCESSOS!B26&lt;&gt;"",ISNUMBER(PROCESSOS!D26),OR(FiltroResp="TODOS",FiltroResp="",PROCESSOS!I26=FiltroResp)),PROCESSOS!D26+ROW()/1000000,"")</f>
        <v>46163.00002599537</v>
      </c>
    </row>
    <row r="27">
      <c r="I27" t="inlineStr">
        <is>
          <t>MATRIZ</t>
        </is>
      </c>
      <c r="J27" t="inlineStr">
        <is>
          <t>Presencial</t>
        </is>
      </c>
      <c r="K27" t="inlineStr">
        <is>
          <t>Eletrônica</t>
        </is>
      </c>
      <c r="AO27" t="str">
        <f>IF(CADASTROS!$B$27="","",CADASTROS!$B$27)</f>
        <v/>
      </c>
      <c r="AP27">
        <f>IF(AO27="",0,COUNTIFS(rEmpresa,"&lt;&gt;",rResp,critResp,rRamo,AO27))</f>
        <v>0</v>
      </c>
      <c r="AQ27">
        <f>IF(AO27="",0,COUNTIFS(rEmpresa,"&lt;&gt;",rResp,critResp,rRamo,AO27,rNotif,"NOTIFICAÇÃO DE CONSTATAÇÃO"))</f>
        <v>0</v>
      </c>
      <c r="AR27">
        <f>IF(AO27="",0,COUNTIFS(rEmpresa,"&lt;&gt;",rResp,critResp,rRamo,AO27,rNotif,"NOTIFICAÇÃO DE ESCLARECIMENTO"))</f>
        <v>0</v>
      </c>
      <c r="AS27">
        <f>IF(AO27="",0,COUNTIFS(rEmpresa,"&lt;&gt;",rResp,critResp,rRamo,AO27,rStatus,"PRAZO D.P"))</f>
        <v>0</v>
      </c>
      <c r="AT27">
        <f>IF(AO27="",-1,AP27+(100-ROW())/1000)</f>
        <v>-1</v>
      </c>
      <c r="AV27" t="n">
        <v>22</v>
      </c>
      <c r="AW27" t="str">
        <f>IF(BC27="","",INDEX($AO$6:$AO$35,BC27))</f>
        <v/>
      </c>
      <c r="AX27" t="str">
        <f>IF(BC27="","",INDEX($AP$6:$AP$35,BC27))</f>
        <v/>
      </c>
      <c r="AY27" t="str">
        <f>IF(BC27="","",INDEX($AQ$6:$AQ$35,BC27))</f>
        <v/>
      </c>
      <c r="AZ27" t="str">
        <f>IF(BC27="","",INDEX($AR$6:$AR$35,BC27))</f>
        <v/>
      </c>
      <c r="BA27" t="str">
        <f>IF(BC27="","",INDEX($AS$6:$AS$35,BC27))</f>
        <v/>
      </c>
      <c r="BB27" t="str">
        <f>IF(BC27="","",IFERROR(AX27/SUM($AP$6:$AP$35),0))</f>
        <v/>
      </c>
      <c r="BC27" t="str">
        <f>IF(LARGE($AT$6:$AT$35,AV27)&lt;0,"",MATCH(LARGE($AT$6:$AT$35,AV27),$AT$6:$AT$35,0))</f>
        <v/>
      </c>
      <c r="BF27" t="str">
        <f>IF(AND(OR(PROCESSOS!Q27="NO PRAZO",PROCESSOS!Q27="VENCE EM BREVE"),OR(FiltroResp="TODOS",FiltroResp="",PROCESSOS!I27=FiltroResp)),PROCESSOS!O27+ROW()/1000000,"")</f>
        <v/>
      </c>
      <c r="BG27">
        <f>IF(AND(PROCESSOS!B27&lt;&gt;"",ISNUMBER(PROCESSOS!D27),OR(FiltroResp="TODOS",FiltroResp="",PROCESSOS!I27=FiltroResp)),PROCESSOS!D27+ROW()/1000000,"")</f>
        <v>46171.000027002316</v>
      </c>
    </row>
    <row r="28">
      <c r="I28" t="inlineStr">
        <is>
          <t>Constatação</t>
        </is>
      </c>
      <c r="J28">
        <f>COUNTIFS(rEmpresa,"&lt;&gt;",rResp,critResp,rNotif,"NOTIFICAÇÃO DE CONSTATAÇÃO",rTipo,"PRESENCIAL")</f>
        <v>40</v>
      </c>
      <c r="K28">
        <f>COUNTIFS(rEmpresa,"&lt;&gt;",rResp,critResp,rNotif,"NOTIFICAÇÃO DE CONSTATAÇÃO",rTipo,"ELETRÔNICA")</f>
        <v>21</v>
      </c>
      <c r="AO28" t="str">
        <f>IF(CADASTROS!$B$28="","",CADASTROS!$B$28)</f>
        <v/>
      </c>
      <c r="AP28">
        <f>IF(AO28="",0,COUNTIFS(rEmpresa,"&lt;&gt;",rResp,critResp,rRamo,AO28))</f>
        <v>0</v>
      </c>
      <c r="AQ28">
        <f>IF(AO28="",0,COUNTIFS(rEmpresa,"&lt;&gt;",rResp,critResp,rRamo,AO28,rNotif,"NOTIFICAÇÃO DE CONSTATAÇÃO"))</f>
        <v>0</v>
      </c>
      <c r="AR28">
        <f>IF(AO28="",0,COUNTIFS(rEmpresa,"&lt;&gt;",rResp,critResp,rRamo,AO28,rNotif,"NOTIFICAÇÃO DE ESCLARECIMENTO"))</f>
        <v>0</v>
      </c>
      <c r="AS28">
        <f>IF(AO28="",0,COUNTIFS(rEmpresa,"&lt;&gt;",rResp,critResp,rRamo,AO28,rStatus,"PRAZO D.P"))</f>
        <v>0</v>
      </c>
      <c r="AT28">
        <f>IF(AO28="",-1,AP28+(100-ROW())/1000)</f>
        <v>-1</v>
      </c>
      <c r="AV28" t="n">
        <v>23</v>
      </c>
      <c r="AW28" t="str">
        <f>IF(BC28="","",INDEX($AO$6:$AO$35,BC28))</f>
        <v/>
      </c>
      <c r="AX28" t="str">
        <f>IF(BC28="","",INDEX($AP$6:$AP$35,BC28))</f>
        <v/>
      </c>
      <c r="AY28" t="str">
        <f>IF(BC28="","",INDEX($AQ$6:$AQ$35,BC28))</f>
        <v/>
      </c>
      <c r="AZ28" t="str">
        <f>IF(BC28="","",INDEX($AR$6:$AR$35,BC28))</f>
        <v/>
      </c>
      <c r="BA28" t="str">
        <f>IF(BC28="","",INDEX($AS$6:$AS$35,BC28))</f>
        <v/>
      </c>
      <c r="BB28" t="str">
        <f>IF(BC28="","",IFERROR(AX28/SUM($AP$6:$AP$35),0))</f>
        <v/>
      </c>
      <c r="BC28" t="str">
        <f>IF(LARGE($AT$6:$AT$35,AV28)&lt;0,"",MATCH(LARGE($AT$6:$AT$35,AV28),$AT$6:$AT$35,0))</f>
        <v/>
      </c>
      <c r="BF28" t="str">
        <f>IF(AND(OR(PROCESSOS!Q28="NO PRAZO",PROCESSOS!Q28="VENCE EM BREVE"),OR(FiltroResp="TODOS",FiltroResp="",PROCESSOS!I28=FiltroResp)),PROCESSOS!O28+ROW()/1000000,"")</f>
        <v/>
      </c>
      <c r="BG28">
        <f>IF(AND(PROCESSOS!B28&lt;&gt;"",ISNUMBER(PROCESSOS!D28),OR(FiltroResp="TODOS",FiltroResp="",PROCESSOS!I28=FiltroResp)),PROCESSOS!D28+ROW()/1000000,"")</f>
        <v>46176.00002799769</v>
      </c>
    </row>
    <row r="29">
      <c r="I29" t="inlineStr">
        <is>
          <t>Esclarecimento</t>
        </is>
      </c>
      <c r="J29">
        <f>COUNTIFS(rEmpresa,"&lt;&gt;",rResp,critResp,rNotif,"NOTIFICAÇÃO DE ESCLARECIMENTO",rTipo,"PRESENCIAL")</f>
        <v>20</v>
      </c>
      <c r="K29">
        <f>COUNTIFS(rEmpresa,"&lt;&gt;",rResp,critResp,rNotif,"NOTIFICAÇÃO DE ESCLARECIMENTO",rTipo,"ELETRÔNICA")</f>
        <v>15</v>
      </c>
      <c r="AO29" t="str">
        <f>IF(CADASTROS!$B$29="","",CADASTROS!$B$29)</f>
        <v/>
      </c>
      <c r="AP29">
        <f>IF(AO29="",0,COUNTIFS(rEmpresa,"&lt;&gt;",rResp,critResp,rRamo,AO29))</f>
        <v>0</v>
      </c>
      <c r="AQ29">
        <f>IF(AO29="",0,COUNTIFS(rEmpresa,"&lt;&gt;",rResp,critResp,rRamo,AO29,rNotif,"NOTIFICAÇÃO DE CONSTATAÇÃO"))</f>
        <v>0</v>
      </c>
      <c r="AR29">
        <f>IF(AO29="",0,COUNTIFS(rEmpresa,"&lt;&gt;",rResp,critResp,rRamo,AO29,rNotif,"NOTIFICAÇÃO DE ESCLARECIMENTO"))</f>
        <v>0</v>
      </c>
      <c r="AS29">
        <f>IF(AO29="",0,COUNTIFS(rEmpresa,"&lt;&gt;",rResp,critResp,rRamo,AO29,rStatus,"PRAZO D.P"))</f>
        <v>0</v>
      </c>
      <c r="AT29">
        <f>IF(AO29="",-1,AP29+(100-ROW())/1000)</f>
        <v>-1</v>
      </c>
      <c r="AV29" t="n">
        <v>24</v>
      </c>
      <c r="AW29" t="str">
        <f>IF(BC29="","",INDEX($AO$6:$AO$35,BC29))</f>
        <v/>
      </c>
      <c r="AX29" t="str">
        <f>IF(BC29="","",INDEX($AP$6:$AP$35,BC29))</f>
        <v/>
      </c>
      <c r="AY29" t="str">
        <f>IF(BC29="","",INDEX($AQ$6:$AQ$35,BC29))</f>
        <v/>
      </c>
      <c r="AZ29" t="str">
        <f>IF(BC29="","",INDEX($AR$6:$AR$35,BC29))</f>
        <v/>
      </c>
      <c r="BA29" t="str">
        <f>IF(BC29="","",INDEX($AS$6:$AS$35,BC29))</f>
        <v/>
      </c>
      <c r="BB29" t="str">
        <f>IF(BC29="","",IFERROR(AX29/SUM($AP$6:$AP$35),0))</f>
        <v/>
      </c>
      <c r="BC29" t="str">
        <f>IF(LARGE($AT$6:$AT$35,AV29)&lt;0,"",MATCH(LARGE($AT$6:$AT$35,AV29),$AT$6:$AT$35,0))</f>
        <v/>
      </c>
      <c r="BF29" t="str">
        <f>IF(AND(OR(PROCESSOS!Q29="NO PRAZO",PROCESSOS!Q29="VENCE EM BREVE"),OR(FiltroResp="TODOS",FiltroResp="",PROCESSOS!I29=FiltroResp)),PROCESSOS!O29+ROW()/1000000,"")</f>
        <v/>
      </c>
      <c r="BG29">
        <f>IF(AND(PROCESSOS!B29&lt;&gt;"",ISNUMBER(PROCESSOS!D29),OR(FiltroResp="TODOS",FiltroResp="",PROCESSOS!I29=FiltroResp)),PROCESSOS!D29+ROW()/1000000,"")</f>
        <v>46177.00002900463</v>
      </c>
    </row>
    <row r="30">
      <c r="AO30" t="str">
        <f>IF(CADASTROS!$B$30="","",CADASTROS!$B$30)</f>
        <v/>
      </c>
      <c r="AP30">
        <f>IF(AO30="",0,COUNTIFS(rEmpresa,"&lt;&gt;",rResp,critResp,rRamo,AO30))</f>
        <v>0</v>
      </c>
      <c r="AQ30">
        <f>IF(AO30="",0,COUNTIFS(rEmpresa,"&lt;&gt;",rResp,critResp,rRamo,AO30,rNotif,"NOTIFICAÇÃO DE CONSTATAÇÃO"))</f>
        <v>0</v>
      </c>
      <c r="AR30">
        <f>IF(AO30="",0,COUNTIFS(rEmpresa,"&lt;&gt;",rResp,critResp,rRamo,AO30,rNotif,"NOTIFICAÇÃO DE ESCLARECIMENTO"))</f>
        <v>0</v>
      </c>
      <c r="AS30">
        <f>IF(AO30="",0,COUNTIFS(rEmpresa,"&lt;&gt;",rResp,critResp,rRamo,AO30,rStatus,"PRAZO D.P"))</f>
        <v>0</v>
      </c>
      <c r="AT30">
        <f>IF(AO30="",-1,AP30+(100-ROW())/1000)</f>
        <v>-1</v>
      </c>
      <c r="AV30" t="n">
        <v>25</v>
      </c>
      <c r="AW30" t="str">
        <f>IF(BC30="","",INDEX($AO$6:$AO$35,BC30))</f>
        <v/>
      </c>
      <c r="AX30" t="str">
        <f>IF(BC30="","",INDEX($AP$6:$AP$35,BC30))</f>
        <v/>
      </c>
      <c r="AY30" t="str">
        <f>IF(BC30="","",INDEX($AQ$6:$AQ$35,BC30))</f>
        <v/>
      </c>
      <c r="AZ30" t="str">
        <f>IF(BC30="","",INDEX($AR$6:$AR$35,BC30))</f>
        <v/>
      </c>
      <c r="BA30" t="str">
        <f>IF(BC30="","",INDEX($AS$6:$AS$35,BC30))</f>
        <v/>
      </c>
      <c r="BB30" t="str">
        <f>IF(BC30="","",IFERROR(AX30/SUM($AP$6:$AP$35),0))</f>
        <v/>
      </c>
      <c r="BC30" t="str">
        <f>IF(LARGE($AT$6:$AT$35,AV30)&lt;0,"",MATCH(LARGE($AT$6:$AT$35,AV30),$AT$6:$AT$35,0))</f>
        <v/>
      </c>
      <c r="BF30" t="str">
        <f>IF(AND(OR(PROCESSOS!Q30="NO PRAZO",PROCESSOS!Q30="VENCE EM BREVE"),OR(FiltroResp="TODOS",FiltroResp="",PROCESSOS!I30=FiltroResp)),PROCESSOS!O30+ROW()/1000000,"")</f>
        <v/>
      </c>
      <c r="BG30">
        <f>IF(AND(PROCESSOS!B30&lt;&gt;"",ISNUMBER(PROCESSOS!D30),OR(FiltroResp="TODOS",FiltroResp="",PROCESSOS!I30=FiltroResp)),PROCESSOS!D30+ROW()/1000000,"")</f>
        <v>46182.00003</v>
      </c>
    </row>
    <row r="31">
      <c r="AO31" t="str">
        <f>IF(CADASTROS!$B$31="","",CADASTROS!$B$31)</f>
        <v/>
      </c>
      <c r="AP31">
        <f>IF(AO31="",0,COUNTIFS(rEmpresa,"&lt;&gt;",rResp,critResp,rRamo,AO31))</f>
        <v>0</v>
      </c>
      <c r="AQ31">
        <f>IF(AO31="",0,COUNTIFS(rEmpresa,"&lt;&gt;",rResp,critResp,rRamo,AO31,rNotif,"NOTIFICAÇÃO DE CONSTATAÇÃO"))</f>
        <v>0</v>
      </c>
      <c r="AR31">
        <f>IF(AO31="",0,COUNTIFS(rEmpresa,"&lt;&gt;",rResp,critResp,rRamo,AO31,rNotif,"NOTIFICAÇÃO DE ESCLARECIMENTO"))</f>
        <v>0</v>
      </c>
      <c r="AS31">
        <f>IF(AO31="",0,COUNTIFS(rEmpresa,"&lt;&gt;",rResp,critResp,rRamo,AO31,rStatus,"PRAZO D.P"))</f>
        <v>0</v>
      </c>
      <c r="AT31">
        <f>IF(AO31="",-1,AP31+(100-ROW())/1000)</f>
        <v>-1</v>
      </c>
      <c r="AV31" t="n">
        <v>26</v>
      </c>
      <c r="AW31" t="str">
        <f>IF(BC31="","",INDEX($AO$6:$AO$35,BC31))</f>
        <v/>
      </c>
      <c r="AX31" t="str">
        <f>IF(BC31="","",INDEX($AP$6:$AP$35,BC31))</f>
        <v/>
      </c>
      <c r="AY31" t="str">
        <f>IF(BC31="","",INDEX($AQ$6:$AQ$35,BC31))</f>
        <v/>
      </c>
      <c r="AZ31" t="str">
        <f>IF(BC31="","",INDEX($AR$6:$AR$35,BC31))</f>
        <v/>
      </c>
      <c r="BA31" t="str">
        <f>IF(BC31="","",INDEX($AS$6:$AS$35,BC31))</f>
        <v/>
      </c>
      <c r="BB31" t="str">
        <f>IF(BC31="","",IFERROR(AX31/SUM($AP$6:$AP$35),0))</f>
        <v/>
      </c>
      <c r="BC31" t="str">
        <f>IF(LARGE($AT$6:$AT$35,AV31)&lt;0,"",MATCH(LARGE($AT$6:$AT$35,AV31),$AT$6:$AT$35,0))</f>
        <v/>
      </c>
      <c r="BF31" t="str">
        <f>IF(AND(OR(PROCESSOS!Q31="NO PRAZO",PROCESSOS!Q31="VENCE EM BREVE"),OR(FiltroResp="TODOS",FiltroResp="",PROCESSOS!I31=FiltroResp)),PROCESSOS!O31+ROW()/1000000,"")</f>
        <v/>
      </c>
      <c r="BG31">
        <f>IF(AND(PROCESSOS!B31&lt;&gt;"",ISNUMBER(PROCESSOS!D31),OR(FiltroResp="TODOS",FiltroResp="",PROCESSOS!I31=FiltroResp)),PROCESSOS!D31+ROW()/1000000,"")</f>
        <v>46185.00003099537</v>
      </c>
    </row>
    <row r="32">
      <c r="AO32" t="str">
        <f>IF(CADASTROS!$B$32="","",CADASTROS!$B$32)</f>
        <v/>
      </c>
      <c r="AP32">
        <f>IF(AO32="",0,COUNTIFS(rEmpresa,"&lt;&gt;",rResp,critResp,rRamo,AO32))</f>
        <v>0</v>
      </c>
      <c r="AQ32">
        <f>IF(AO32="",0,COUNTIFS(rEmpresa,"&lt;&gt;",rResp,critResp,rRamo,AO32,rNotif,"NOTIFICAÇÃO DE CONSTATAÇÃO"))</f>
        <v>0</v>
      </c>
      <c r="AR32">
        <f>IF(AO32="",0,COUNTIFS(rEmpresa,"&lt;&gt;",rResp,critResp,rRamo,AO32,rNotif,"NOTIFICAÇÃO DE ESCLARECIMENTO"))</f>
        <v>0</v>
      </c>
      <c r="AS32">
        <f>IF(AO32="",0,COUNTIFS(rEmpresa,"&lt;&gt;",rResp,critResp,rRamo,AO32,rStatus,"PRAZO D.P"))</f>
        <v>0</v>
      </c>
      <c r="AT32">
        <f>IF(AO32="",-1,AP32+(100-ROW())/1000)</f>
        <v>-1</v>
      </c>
      <c r="AV32" t="n">
        <v>27</v>
      </c>
      <c r="AW32" t="str">
        <f>IF(BC32="","",INDEX($AO$6:$AO$35,BC32))</f>
        <v/>
      </c>
      <c r="AX32" t="str">
        <f>IF(BC32="","",INDEX($AP$6:$AP$35,BC32))</f>
        <v/>
      </c>
      <c r="AY32" t="str">
        <f>IF(BC32="","",INDEX($AQ$6:$AQ$35,BC32))</f>
        <v/>
      </c>
      <c r="AZ32" t="str">
        <f>IF(BC32="","",INDEX($AR$6:$AR$35,BC32))</f>
        <v/>
      </c>
      <c r="BA32" t="str">
        <f>IF(BC32="","",INDEX($AS$6:$AS$35,BC32))</f>
        <v/>
      </c>
      <c r="BB32" t="str">
        <f>IF(BC32="","",IFERROR(AX32/SUM($AP$6:$AP$35),0))</f>
        <v/>
      </c>
      <c r="BC32" t="str">
        <f>IF(LARGE($AT$6:$AT$35,AV32)&lt;0,"",MATCH(LARGE($AT$6:$AT$35,AV32),$AT$6:$AT$35,0))</f>
        <v/>
      </c>
      <c r="BF32" t="str">
        <f>IF(AND(OR(PROCESSOS!Q32="NO PRAZO",PROCESSOS!Q32="VENCE EM BREVE"),OR(FiltroResp="TODOS",FiltroResp="",PROCESSOS!I32=FiltroResp)),PROCESSOS!O32+ROW()/1000000,"")</f>
        <v/>
      </c>
      <c r="BG32">
        <f>IF(AND(PROCESSOS!B32&lt;&gt;"",ISNUMBER(PROCESSOS!D32),OR(FiltroResp="TODOS",FiltroResp="",PROCESSOS!I32=FiltroResp)),PROCESSOS!D32+ROW()/1000000,"")</f>
        <v>46187.00003200232</v>
      </c>
    </row>
    <row r="33">
      <c r="AO33" t="str">
        <f>IF(CADASTROS!$B$33="","",CADASTROS!$B$33)</f>
        <v/>
      </c>
      <c r="AP33">
        <f>IF(AO33="",0,COUNTIFS(rEmpresa,"&lt;&gt;",rResp,critResp,rRamo,AO33))</f>
        <v>0</v>
      </c>
      <c r="AQ33">
        <f>IF(AO33="",0,COUNTIFS(rEmpresa,"&lt;&gt;",rResp,critResp,rRamo,AO33,rNotif,"NOTIFICAÇÃO DE CONSTATAÇÃO"))</f>
        <v>0</v>
      </c>
      <c r="AR33">
        <f>IF(AO33="",0,COUNTIFS(rEmpresa,"&lt;&gt;",rResp,critResp,rRamo,AO33,rNotif,"NOTIFICAÇÃO DE ESCLARECIMENTO"))</f>
        <v>0</v>
      </c>
      <c r="AS33">
        <f>IF(AO33="",0,COUNTIFS(rEmpresa,"&lt;&gt;",rResp,critResp,rRamo,AO33,rStatus,"PRAZO D.P"))</f>
        <v>0</v>
      </c>
      <c r="AT33">
        <f>IF(AO33="",-1,AP33+(100-ROW())/1000)</f>
        <v>-1</v>
      </c>
      <c r="AV33" t="n">
        <v>28</v>
      </c>
      <c r="AW33" t="str">
        <f>IF(BC33="","",INDEX($AO$6:$AO$35,BC33))</f>
        <v/>
      </c>
      <c r="AX33" t="str">
        <f>IF(BC33="","",INDEX($AP$6:$AP$35,BC33))</f>
        <v/>
      </c>
      <c r="AY33" t="str">
        <f>IF(BC33="","",INDEX($AQ$6:$AQ$35,BC33))</f>
        <v/>
      </c>
      <c r="AZ33" t="str">
        <f>IF(BC33="","",INDEX($AR$6:$AR$35,BC33))</f>
        <v/>
      </c>
      <c r="BA33" t="str">
        <f>IF(BC33="","",INDEX($AS$6:$AS$35,BC33))</f>
        <v/>
      </c>
      <c r="BB33" t="str">
        <f>IF(BC33="","",IFERROR(AX33/SUM($AP$6:$AP$35),0))</f>
        <v/>
      </c>
      <c r="BC33" t="str">
        <f>IF(LARGE($AT$6:$AT$35,AV33)&lt;0,"",MATCH(LARGE($AT$6:$AT$35,AV33),$AT$6:$AT$35,0))</f>
        <v/>
      </c>
      <c r="BF33" t="str">
        <f>IF(AND(OR(PROCESSOS!Q33="NO PRAZO",PROCESSOS!Q33="VENCE EM BREVE"),OR(FiltroResp="TODOS",FiltroResp="",PROCESSOS!I33=FiltroResp)),PROCESSOS!O33+ROW()/1000000,"")</f>
        <v/>
      </c>
      <c r="BG33">
        <f>IF(AND(PROCESSOS!B33&lt;&gt;"",ISNUMBER(PROCESSOS!D33),OR(FiltroResp="TODOS",FiltroResp="",PROCESSOS!I33=FiltroResp)),PROCESSOS!D33+ROW()/1000000,"")</f>
        <v>46192.00003299768</v>
      </c>
    </row>
    <row r="34">
      <c r="AO34" t="str">
        <f>IF(CADASTROS!$B$34="","",CADASTROS!$B$34)</f>
        <v/>
      </c>
      <c r="AP34">
        <f>IF(AO34="",0,COUNTIFS(rEmpresa,"&lt;&gt;",rResp,critResp,rRamo,AO34))</f>
        <v>0</v>
      </c>
      <c r="AQ34">
        <f>IF(AO34="",0,COUNTIFS(rEmpresa,"&lt;&gt;",rResp,critResp,rRamo,AO34,rNotif,"NOTIFICAÇÃO DE CONSTATAÇÃO"))</f>
        <v>0</v>
      </c>
      <c r="AR34">
        <f>IF(AO34="",0,COUNTIFS(rEmpresa,"&lt;&gt;",rResp,critResp,rRamo,AO34,rNotif,"NOTIFICAÇÃO DE ESCLARECIMENTO"))</f>
        <v>0</v>
      </c>
      <c r="AS34">
        <f>IF(AO34="",0,COUNTIFS(rEmpresa,"&lt;&gt;",rResp,critResp,rRamo,AO34,rStatus,"PRAZO D.P"))</f>
        <v>0</v>
      </c>
      <c r="AT34">
        <f>IF(AO34="",-1,AP34+(100-ROW())/1000)</f>
        <v>-1</v>
      </c>
      <c r="AV34" t="n">
        <v>29</v>
      </c>
      <c r="AW34" t="str">
        <f>IF(BC34="","",INDEX($AO$6:$AO$35,BC34))</f>
        <v/>
      </c>
      <c r="AX34" t="str">
        <f>IF(BC34="","",INDEX($AP$6:$AP$35,BC34))</f>
        <v/>
      </c>
      <c r="AY34" t="str">
        <f>IF(BC34="","",INDEX($AQ$6:$AQ$35,BC34))</f>
        <v/>
      </c>
      <c r="AZ34" t="str">
        <f>IF(BC34="","",INDEX($AR$6:$AR$35,BC34))</f>
        <v/>
      </c>
      <c r="BA34" t="str">
        <f>IF(BC34="","",INDEX($AS$6:$AS$35,BC34))</f>
        <v/>
      </c>
      <c r="BB34" t="str">
        <f>IF(BC34="","",IFERROR(AX34/SUM($AP$6:$AP$35),0))</f>
        <v/>
      </c>
      <c r="BC34" t="str">
        <f>IF(LARGE($AT$6:$AT$35,AV34)&lt;0,"",MATCH(LARGE($AT$6:$AT$35,AV34),$AT$6:$AT$35,0))</f>
        <v/>
      </c>
      <c r="BF34" t="str">
        <f>IF(AND(OR(PROCESSOS!Q34="NO PRAZO",PROCESSOS!Q34="VENCE EM BREVE"),OR(FiltroResp="TODOS",FiltroResp="",PROCESSOS!I34=FiltroResp)),PROCESSOS!O34+ROW()/1000000,"")</f>
        <v/>
      </c>
      <c r="BG34">
        <f>IF(AND(PROCESSOS!B34&lt;&gt;"",ISNUMBER(PROCESSOS!D34),OR(FiltroResp="TODOS",FiltroResp="",PROCESSOS!I34=FiltroResp)),PROCESSOS!D34+ROW()/1000000,"")</f>
        <v>46196.00003400463</v>
      </c>
    </row>
    <row r="35">
      <c r="AO35" t="str">
        <f>IF(CADASTROS!$B$35="","",CADASTROS!$B$35)</f>
        <v/>
      </c>
      <c r="AP35">
        <f>IF(AO35="",0,COUNTIFS(rEmpresa,"&lt;&gt;",rResp,critResp,rRamo,AO35))</f>
        <v>0</v>
      </c>
      <c r="AQ35">
        <f>IF(AO35="",0,COUNTIFS(rEmpresa,"&lt;&gt;",rResp,critResp,rRamo,AO35,rNotif,"NOTIFICAÇÃO DE CONSTATAÇÃO"))</f>
        <v>0</v>
      </c>
      <c r="AR35">
        <f>IF(AO35="",0,COUNTIFS(rEmpresa,"&lt;&gt;",rResp,critResp,rRamo,AO35,rNotif,"NOTIFICAÇÃO DE ESCLARECIMENTO"))</f>
        <v>0</v>
      </c>
      <c r="AS35">
        <f>IF(AO35="",0,COUNTIFS(rEmpresa,"&lt;&gt;",rResp,critResp,rRamo,AO35,rStatus,"PRAZO D.P"))</f>
        <v>0</v>
      </c>
      <c r="AT35">
        <f>IF(AO35="",-1,AP35+(100-ROW())/1000)</f>
        <v>-1</v>
      </c>
      <c r="AV35" t="n">
        <v>30</v>
      </c>
      <c r="AW35" t="str">
        <f>IF(BC35="","",INDEX($AO$6:$AO$35,BC35))</f>
        <v/>
      </c>
      <c r="AX35" t="str">
        <f>IF(BC35="","",INDEX($AP$6:$AP$35,BC35))</f>
        <v/>
      </c>
      <c r="AY35" t="str">
        <f>IF(BC35="","",INDEX($AQ$6:$AQ$35,BC35))</f>
        <v/>
      </c>
      <c r="AZ35" t="str">
        <f>IF(BC35="","",INDEX($AR$6:$AR$35,BC35))</f>
        <v/>
      </c>
      <c r="BA35" t="str">
        <f>IF(BC35="","",INDEX($AS$6:$AS$35,BC35))</f>
        <v/>
      </c>
      <c r="BB35" t="str">
        <f>IF(BC35="","",IFERROR(AX35/SUM($AP$6:$AP$35),0))</f>
        <v/>
      </c>
      <c r="BC35" t="str">
        <f>IF(LARGE($AT$6:$AT$35,AV35)&lt;0,"",MATCH(LARGE($AT$6:$AT$35,AV35),$AT$6:$AT$35,0))</f>
        <v/>
      </c>
      <c r="BF35" t="str">
        <f>IF(AND(OR(PROCESSOS!Q35="NO PRAZO",PROCESSOS!Q35="VENCE EM BREVE"),OR(FiltroResp="TODOS",FiltroResp="",PROCESSOS!I35=FiltroResp)),PROCESSOS!O35+ROW()/1000000,"")</f>
        <v/>
      </c>
      <c r="BG35">
        <f>IF(AND(PROCESSOS!B35&lt;&gt;"",ISNUMBER(PROCESSOS!D35),OR(FiltroResp="TODOS",FiltroResp="",PROCESSOS!I35=FiltroResp)),PROCESSOS!D35+ROW()/1000000,"")</f>
        <v>46196.000035</v>
      </c>
    </row>
    <row r="36">
      <c r="BF36" t="str">
        <f>IF(AND(OR(PROCESSOS!Q36="NO PRAZO",PROCESSOS!Q36="VENCE EM BREVE"),OR(FiltroResp="TODOS",FiltroResp="",PROCESSOS!I36=FiltroResp)),PROCESSOS!O36+ROW()/1000000,"")</f>
        <v/>
      </c>
      <c r="BG36">
        <f>IF(AND(PROCESSOS!B36&lt;&gt;"",ISNUMBER(PROCESSOS!D36),OR(FiltroResp="TODOS",FiltroResp="",PROCESSOS!I36=FiltroResp)),PROCESSOS!D36+ROW()/1000000,"")</f>
        <v>46196.00003599537</v>
      </c>
    </row>
    <row r="37">
      <c r="BF37" t="str">
        <f>IF(AND(OR(PROCESSOS!Q37="NO PRAZO",PROCESSOS!Q37="VENCE EM BREVE"),OR(FiltroResp="TODOS",FiltroResp="",PROCESSOS!I37=FiltroResp)),PROCESSOS!O37+ROW()/1000000,"")</f>
        <v/>
      </c>
      <c r="BG37">
        <f>IF(AND(PROCESSOS!B37&lt;&gt;"",ISNUMBER(PROCESSOS!D37),OR(FiltroResp="TODOS",FiltroResp="",PROCESSOS!I37=FiltroResp)),PROCESSOS!D37+ROW()/1000000,"")</f>
        <v>46204.00003700231</v>
      </c>
    </row>
    <row r="38">
      <c r="BF38" t="str">
        <f>IF(AND(OR(PROCESSOS!Q38="NO PRAZO",PROCESSOS!Q38="VENCE EM BREVE"),OR(FiltroResp="TODOS",FiltroResp="",PROCESSOS!I38=FiltroResp)),PROCESSOS!O38+ROW()/1000000,"")</f>
        <v/>
      </c>
      <c r="BG38">
        <f>IF(AND(PROCESSOS!B38&lt;&gt;"",ISNUMBER(PROCESSOS!D38),OR(FiltroResp="TODOS",FiltroResp="",PROCESSOS!I38=FiltroResp)),PROCESSOS!D38+ROW()/1000000,"")</f>
        <v>46206.000037997685</v>
      </c>
    </row>
    <row r="39">
      <c r="BF39" t="str">
        <f>IF(AND(OR(PROCESSOS!Q39="NO PRAZO",PROCESSOS!Q39="VENCE EM BREVE"),OR(FiltroResp="TODOS",FiltroResp="",PROCESSOS!I39=FiltroResp)),PROCESSOS!O39+ROW()/1000000,"")</f>
        <v/>
      </c>
      <c r="BG39">
        <f>IF(AND(PROCESSOS!B39&lt;&gt;"",ISNUMBER(PROCESSOS!D39),OR(FiltroResp="TODOS",FiltroResp="",PROCESSOS!I39=FiltroResp)),PROCESSOS!D39+ROW()/1000000,"")</f>
        <v>46210.000039004626</v>
      </c>
    </row>
    <row r="40">
      <c r="BF40" t="str">
        <f>IF(AND(OR(PROCESSOS!Q40="NO PRAZO",PROCESSOS!Q40="VENCE EM BREVE"),OR(FiltroResp="TODOS",FiltroResp="",PROCESSOS!I40=FiltroResp)),PROCESSOS!O40+ROW()/1000000,"")</f>
        <v/>
      </c>
      <c r="BG40">
        <f>IF(AND(PROCESSOS!B40&lt;&gt;"",ISNUMBER(PROCESSOS!D40),OR(FiltroResp="TODOS",FiltroResp="",PROCESSOS!I40=FiltroResp)),PROCESSOS!D40+ROW()/1000000,"")</f>
        <v>46210.00004</v>
      </c>
    </row>
    <row r="41">
      <c r="BF41" t="str">
        <f>IF(AND(OR(PROCESSOS!Q41="NO PRAZO",PROCESSOS!Q41="VENCE EM BREVE"),OR(FiltroResp="TODOS",FiltroResp="",PROCESSOS!I41=FiltroResp)),PROCESSOS!O41+ROW()/1000000,"")</f>
        <v/>
      </c>
      <c r="BG41">
        <f>IF(AND(PROCESSOS!B41&lt;&gt;"",ISNUMBER(PROCESSOS!D41),OR(FiltroResp="TODOS",FiltroResp="",PROCESSOS!I41=FiltroResp)),PROCESSOS!D41+ROW()/1000000,"")</f>
        <v>46213.00004099537</v>
      </c>
    </row>
    <row r="42">
      <c r="BF42" t="str">
        <f>IF(AND(OR(PROCESSOS!Q42="NO PRAZO",PROCESSOS!Q42="VENCE EM BREVE"),OR(FiltroResp="TODOS",FiltroResp="",PROCESSOS!I42=FiltroResp)),PROCESSOS!O42+ROW()/1000000,"")</f>
        <v/>
      </c>
      <c r="BG42">
        <f>IF(AND(PROCESSOS!B42&lt;&gt;"",ISNUMBER(PROCESSOS!D42),OR(FiltroResp="TODOS",FiltroResp="",PROCESSOS!I42=FiltroResp)),PROCESSOS!D42+ROW()/1000000,"")</f>
        <v>46213.00004200231</v>
      </c>
    </row>
    <row r="43">
      <c r="BF43" t="str">
        <f>IF(AND(OR(PROCESSOS!Q43="NO PRAZO",PROCESSOS!Q43="VENCE EM BREVE"),OR(FiltroResp="TODOS",FiltroResp="",PROCESSOS!I43=FiltroResp)),PROCESSOS!O43+ROW()/1000000,"")</f>
        <v/>
      </c>
      <c r="BG43">
        <f>IF(AND(PROCESSOS!B43&lt;&gt;"",ISNUMBER(PROCESSOS!D43),OR(FiltroResp="TODOS",FiltroResp="",PROCESSOS!I43=FiltroResp)),PROCESSOS!D43+ROW()/1000000,"")</f>
        <v>46215.000042997686</v>
      </c>
    </row>
    <row r="44">
      <c r="BF44" t="str">
        <f>IF(AND(OR(PROCESSOS!Q44="NO PRAZO",PROCESSOS!Q44="VENCE EM BREVE"),OR(FiltroResp="TODOS",FiltroResp="",PROCESSOS!I44=FiltroResp)),PROCESSOS!O44+ROW()/1000000,"")</f>
        <v/>
      </c>
      <c r="BG44">
        <f>IF(AND(PROCESSOS!B44&lt;&gt;"",ISNUMBER(PROCESSOS!D44),OR(FiltroResp="TODOS",FiltroResp="",PROCESSOS!I44=FiltroResp)),PROCESSOS!D44+ROW()/1000000,"")</f>
        <v>46216.00004400463</v>
      </c>
    </row>
    <row r="45">
      <c r="BF45" t="str">
        <f>IF(AND(OR(PROCESSOS!Q45="NO PRAZO",PROCESSOS!Q45="VENCE EM BREVE"),OR(FiltroResp="TODOS",FiltroResp="",PROCESSOS!I45=FiltroResp)),PROCESSOS!O45+ROW()/1000000,"")</f>
        <v/>
      </c>
      <c r="BG45">
        <f>IF(AND(PROCESSOS!B45&lt;&gt;"",ISNUMBER(PROCESSOS!D45),OR(FiltroResp="TODOS",FiltroResp="",PROCESSOS!I45=FiltroResp)),PROCESSOS!D45+ROW()/1000000,"")</f>
        <v>46216.000045</v>
      </c>
    </row>
    <row r="46">
      <c r="BF46" t="str">
        <f>IF(AND(OR(PROCESSOS!Q46="NO PRAZO",PROCESSOS!Q46="VENCE EM BREVE"),OR(FiltroResp="TODOS",FiltroResp="",PROCESSOS!I46=FiltroResp)),PROCESSOS!O46+ROW()/1000000,"")</f>
        <v/>
      </c>
      <c r="BG46">
        <f>IF(AND(PROCESSOS!B46&lt;&gt;"",ISNUMBER(PROCESSOS!D46),OR(FiltroResp="TODOS",FiltroResp="",PROCESSOS!I46=FiltroResp)),PROCESSOS!D46+ROW()/1000000,"")</f>
        <v>46217.00004599537</v>
      </c>
    </row>
    <row r="47">
      <c r="BF47" t="str">
        <f>IF(AND(OR(PROCESSOS!Q47="NO PRAZO",PROCESSOS!Q47="VENCE EM BREVE"),OR(FiltroResp="TODOS",FiltroResp="",PROCESSOS!I47=FiltroResp)),PROCESSOS!O47+ROW()/1000000,"")</f>
        <v/>
      </c>
      <c r="BG47">
        <f>IF(AND(PROCESSOS!B47&lt;&gt;"",ISNUMBER(PROCESSOS!D47),OR(FiltroResp="TODOS",FiltroResp="",PROCESSOS!I47=FiltroResp)),PROCESSOS!D47+ROW()/1000000,"")</f>
        <v>46222.000047002315</v>
      </c>
    </row>
    <row r="48">
      <c r="BF48" t="str">
        <f>IF(AND(OR(PROCESSOS!Q48="NO PRAZO",PROCESSOS!Q48="VENCE EM BREVE"),OR(FiltroResp="TODOS",FiltroResp="",PROCESSOS!I48=FiltroResp)),PROCESSOS!O48+ROW()/1000000,"")</f>
        <v/>
      </c>
      <c r="BG48">
        <f>IF(AND(PROCESSOS!B48&lt;&gt;"",ISNUMBER(PROCESSOS!D48),OR(FiltroResp="TODOS",FiltroResp="",PROCESSOS!I48=FiltroResp)),PROCESSOS!D48+ROW()/1000000,"")</f>
        <v>46223.00004799769</v>
      </c>
    </row>
    <row r="49">
      <c r="BF49" t="str">
        <f>IF(AND(OR(PROCESSOS!Q49="NO PRAZO",PROCESSOS!Q49="VENCE EM BREVE"),OR(FiltroResp="TODOS",FiltroResp="",PROCESSOS!I49=FiltroResp)),PROCESSOS!O49+ROW()/1000000,"")</f>
        <v/>
      </c>
      <c r="BG49">
        <f>IF(AND(PROCESSOS!B49&lt;&gt;"",ISNUMBER(PROCESSOS!D49),OR(FiltroResp="TODOS",FiltroResp="",PROCESSOS!I49=FiltroResp)),PROCESSOS!D49+ROW()/1000000,"")</f>
        <v>46224.00004900463</v>
      </c>
    </row>
    <row r="50">
      <c r="BF50" t="str">
        <f>IF(AND(OR(PROCESSOS!Q50="NO PRAZO",PROCESSOS!Q50="VENCE EM BREVE"),OR(FiltroResp="TODOS",FiltroResp="",PROCESSOS!I50=FiltroResp)),PROCESSOS!O50+ROW()/1000000,"")</f>
        <v/>
      </c>
      <c r="BG50">
        <f>IF(AND(PROCESSOS!B50&lt;&gt;"",ISNUMBER(PROCESSOS!D50),OR(FiltroResp="TODOS",FiltroResp="",PROCESSOS!I50=FiltroResp)),PROCESSOS!D50+ROW()/1000000,"")</f>
        <v>46226.00005</v>
      </c>
    </row>
    <row r="51">
      <c r="BF51" t="str">
        <f>IF(AND(OR(PROCESSOS!Q51="NO PRAZO",PROCESSOS!Q51="VENCE EM BREVE"),OR(FiltroResp="TODOS",FiltroResp="",PROCESSOS!I51=FiltroResp)),PROCESSOS!O51+ROW()/1000000,"")</f>
        <v/>
      </c>
      <c r="BG51">
        <f>IF(AND(PROCESSOS!B51&lt;&gt;"",ISNUMBER(PROCESSOS!D51),OR(FiltroResp="TODOS",FiltroResp="",PROCESSOS!I51=FiltroResp)),PROCESSOS!D51+ROW()/1000000,"")</f>
        <v>46227.00005099537</v>
      </c>
    </row>
    <row r="52">
      <c r="BF52" t="str">
        <f>IF(AND(OR(PROCESSOS!Q52="NO PRAZO",PROCESSOS!Q52="VENCE EM BREVE"),OR(FiltroResp="TODOS",FiltroResp="",PROCESSOS!I52=FiltroResp)),PROCESSOS!O52+ROW()/1000000,"")</f>
        <v/>
      </c>
      <c r="BG52">
        <f>IF(AND(PROCESSOS!B52&lt;&gt;"",ISNUMBER(PROCESSOS!D52),OR(FiltroResp="TODOS",FiltroResp="",PROCESSOS!I52=FiltroResp)),PROCESSOS!D52+ROW()/1000000,"")</f>
        <v>46228.00005200232</v>
      </c>
    </row>
    <row r="53">
      <c r="BF53" t="str">
        <f>IF(AND(OR(PROCESSOS!Q53="NO PRAZO",PROCESSOS!Q53="VENCE EM BREVE"),OR(FiltroResp="TODOS",FiltroResp="",PROCESSOS!I53=FiltroResp)),PROCESSOS!O53+ROW()/1000000,"")</f>
        <v/>
      </c>
      <c r="BG53">
        <f>IF(AND(PROCESSOS!B53&lt;&gt;"",ISNUMBER(PROCESSOS!D53),OR(FiltroResp="TODOS",FiltroResp="",PROCESSOS!I53=FiltroResp)),PROCESSOS!D53+ROW()/1000000,"")</f>
        <v>46229.00005299768</v>
      </c>
    </row>
    <row r="54">
      <c r="BF54" t="str">
        <f>IF(AND(OR(PROCESSOS!Q54="NO PRAZO",PROCESSOS!Q54="VENCE EM BREVE"),OR(FiltroResp="TODOS",FiltroResp="",PROCESSOS!I54=FiltroResp)),PROCESSOS!O54+ROW()/1000000,"")</f>
        <v/>
      </c>
      <c r="BG54">
        <f>IF(AND(PROCESSOS!B54&lt;&gt;"",ISNUMBER(PROCESSOS!D54),OR(FiltroResp="TODOS",FiltroResp="",PROCESSOS!I54=FiltroResp)),PROCESSOS!D54+ROW()/1000000,"")</f>
        <v>46230.00005400463</v>
      </c>
    </row>
    <row r="55">
      <c r="BF55" t="str">
        <f>IF(AND(OR(PROCESSOS!Q55="NO PRAZO",PROCESSOS!Q55="VENCE EM BREVE"),OR(FiltroResp="TODOS",FiltroResp="",PROCESSOS!I55=FiltroResp)),PROCESSOS!O55+ROW()/1000000,"")</f>
        <v/>
      </c>
      <c r="BG55">
        <f>IF(AND(PROCESSOS!B55&lt;&gt;"",ISNUMBER(PROCESSOS!D55),OR(FiltroResp="TODOS",FiltroResp="",PROCESSOS!I55=FiltroResp)),PROCESSOS!D55+ROW()/1000000,"")</f>
        <v>46230.000055</v>
      </c>
    </row>
    <row r="56">
      <c r="BF56" t="str">
        <f>IF(AND(OR(PROCESSOS!Q56="NO PRAZO",PROCESSOS!Q56="VENCE EM BREVE"),OR(FiltroResp="TODOS",FiltroResp="",PROCESSOS!I56=FiltroResp)),PROCESSOS!O56+ROW()/1000000,"")</f>
        <v/>
      </c>
      <c r="BG56">
        <f>IF(AND(PROCESSOS!B56&lt;&gt;"",ISNUMBER(PROCESSOS!D56),OR(FiltroResp="TODOS",FiltroResp="",PROCESSOS!I56=FiltroResp)),PROCESSOS!D56+ROW()/1000000,"")</f>
        <v>46233.00005599537</v>
      </c>
    </row>
    <row r="57">
      <c r="BF57" t="str">
        <f>IF(AND(OR(PROCESSOS!Q57="NO PRAZO",PROCESSOS!Q57="VENCE EM BREVE"),OR(FiltroResp="TODOS",FiltroResp="",PROCESSOS!I57=FiltroResp)),PROCESSOS!O57+ROW()/1000000,"")</f>
        <v/>
      </c>
      <c r="BG57">
        <f>IF(AND(PROCESSOS!B57&lt;&gt;"",ISNUMBER(PROCESSOS!D57),OR(FiltroResp="TODOS",FiltroResp="",PROCESSOS!I57=FiltroResp)),PROCESSOS!D57+ROW()/1000000,"")</f>
        <v>46236.00005700231</v>
      </c>
    </row>
    <row r="58">
      <c r="BF58" t="str">
        <f>IF(AND(OR(PROCESSOS!Q58="NO PRAZO",PROCESSOS!Q58="VENCE EM BREVE"),OR(FiltroResp="TODOS",FiltroResp="",PROCESSOS!I58=FiltroResp)),PROCESSOS!O58+ROW()/1000000,"")</f>
        <v/>
      </c>
      <c r="BG58">
        <f>IF(AND(PROCESSOS!B58&lt;&gt;"",ISNUMBER(PROCESSOS!D58),OR(FiltroResp="TODOS",FiltroResp="",PROCESSOS!I58=FiltroResp)),PROCESSOS!D58+ROW()/1000000,"")</f>
        <v>46237.000057997684</v>
      </c>
    </row>
    <row r="59">
      <c r="BF59" t="str">
        <f>IF(AND(OR(PROCESSOS!Q59="NO PRAZO",PROCESSOS!Q59="VENCE EM BREVE"),OR(FiltroResp="TODOS",FiltroResp="",PROCESSOS!I59=FiltroResp)),PROCESSOS!O59+ROW()/1000000,"")</f>
        <v/>
      </c>
      <c r="BG59">
        <f>IF(AND(PROCESSOS!B59&lt;&gt;"",ISNUMBER(PROCESSOS!D59),OR(FiltroResp="TODOS",FiltroResp="",PROCESSOS!I59=FiltroResp)),PROCESSOS!D59+ROW()/1000000,"")</f>
        <v>46241.00005900463</v>
      </c>
    </row>
    <row r="60">
      <c r="BF60" t="str">
        <f>IF(AND(OR(PROCESSOS!Q60="NO PRAZO",PROCESSOS!Q60="VENCE EM BREVE"),OR(FiltroResp="TODOS",FiltroResp="",PROCESSOS!I60=FiltroResp)),PROCESSOS!O60+ROW()/1000000,"")</f>
        <v/>
      </c>
      <c r="BG60">
        <f>IF(AND(PROCESSOS!B60&lt;&gt;"",ISNUMBER(PROCESSOS!D60),OR(FiltroResp="TODOS",FiltroResp="",PROCESSOS!I60=FiltroResp)),PROCESSOS!D60+ROW()/1000000,"")</f>
        <v>46245.00006</v>
      </c>
    </row>
    <row r="61">
      <c r="BF61" t="str">
        <f>IF(AND(OR(PROCESSOS!Q61="NO PRAZO",PROCESSOS!Q61="VENCE EM BREVE"),OR(FiltroResp="TODOS",FiltroResp="",PROCESSOS!I61=FiltroResp)),PROCESSOS!O61+ROW()/1000000,"")</f>
        <v/>
      </c>
      <c r="BG61">
        <f>IF(AND(PROCESSOS!B61&lt;&gt;"",ISNUMBER(PROCESSOS!D61),OR(FiltroResp="TODOS",FiltroResp="",PROCESSOS!I61=FiltroResp)),PROCESSOS!D61+ROW()/1000000,"")</f>
        <v>46249.00006099537</v>
      </c>
    </row>
    <row r="62">
      <c r="BF62">
        <f>IF(AND(OR(PROCESSOS!Q62="NO PRAZO",PROCESSOS!Q62="VENCE EM BREVE"),OR(FiltroResp="TODOS",FiltroResp="",PROCESSOS!I62=FiltroResp)),PROCESSOS!O62+ROW()/1000000,"")</f>
        <v>46310.00006200231</v>
      </c>
      <c r="BG62">
        <f>IF(AND(PROCESSOS!B62&lt;&gt;"",ISNUMBER(PROCESSOS!D62),OR(FiltroResp="TODOS",FiltroResp="",PROCESSOS!I62=FiltroResp)),PROCESSOS!D62+ROW()/1000000,"")</f>
        <v>46250.00006200231</v>
      </c>
    </row>
    <row r="63">
      <c r="BF63" t="str">
        <f>IF(AND(OR(PROCESSOS!Q63="NO PRAZO",PROCESSOS!Q63="VENCE EM BREVE"),OR(FiltroResp="TODOS",FiltroResp="",PROCESSOS!I63=FiltroResp)),PROCESSOS!O63+ROW()/1000000,"")</f>
        <v/>
      </c>
      <c r="BG63">
        <f>IF(AND(PROCESSOS!B63&lt;&gt;"",ISNUMBER(PROCESSOS!D63),OR(FiltroResp="TODOS",FiltroResp="",PROCESSOS!I63=FiltroResp)),PROCESSOS!D63+ROW()/1000000,"")</f>
        <v>46250.000062997686</v>
      </c>
    </row>
    <row r="64">
      <c r="BF64" t="str">
        <f>IF(AND(OR(PROCESSOS!Q64="NO PRAZO",PROCESSOS!Q64="VENCE EM BREVE"),OR(FiltroResp="TODOS",FiltroResp="",PROCESSOS!I64=FiltroResp)),PROCESSOS!O64+ROW()/1000000,"")</f>
        <v/>
      </c>
      <c r="BG64">
        <f>IF(AND(PROCESSOS!B64&lt;&gt;"",ISNUMBER(PROCESSOS!D64),OR(FiltroResp="TODOS",FiltroResp="",PROCESSOS!I64=FiltroResp)),PROCESSOS!D64+ROW()/1000000,"")</f>
        <v>46257.00006400463</v>
      </c>
    </row>
    <row r="65">
      <c r="BF65" t="str">
        <f>IF(AND(OR(PROCESSOS!Q65="NO PRAZO",PROCESSOS!Q65="VENCE EM BREVE"),OR(FiltroResp="TODOS",FiltroResp="",PROCESSOS!I65=FiltroResp)),PROCESSOS!O65+ROW()/1000000,"")</f>
        <v/>
      </c>
      <c r="BG65">
        <f>IF(AND(PROCESSOS!B65&lt;&gt;"",ISNUMBER(PROCESSOS!D65),OR(FiltroResp="TODOS",FiltroResp="",PROCESSOS!I65=FiltroResp)),PROCESSOS!D65+ROW()/1000000,"")</f>
        <v>46258.000065</v>
      </c>
    </row>
    <row r="66">
      <c r="BF66" t="str">
        <f>IF(AND(OR(PROCESSOS!Q66="NO PRAZO",PROCESSOS!Q66="VENCE EM BREVE"),OR(FiltroResp="TODOS",FiltroResp="",PROCESSOS!I66=FiltroResp)),PROCESSOS!O66+ROW()/1000000,"")</f>
        <v/>
      </c>
      <c r="BG66">
        <f>IF(AND(PROCESSOS!B66&lt;&gt;"",ISNUMBER(PROCESSOS!D66),OR(FiltroResp="TODOS",FiltroResp="",PROCESSOS!I66=FiltroResp)),PROCESSOS!D66+ROW()/1000000,"")</f>
        <v>46259.00006599537</v>
      </c>
    </row>
    <row r="67">
      <c r="BF67" t="str">
        <f>IF(AND(OR(PROCESSOS!Q67="NO PRAZO",PROCESSOS!Q67="VENCE EM BREVE"),OR(FiltroResp="TODOS",FiltroResp="",PROCESSOS!I67=FiltroResp)),PROCESSOS!O67+ROW()/1000000,"")</f>
        <v/>
      </c>
      <c r="BG67">
        <f>IF(AND(PROCESSOS!B67&lt;&gt;"",ISNUMBER(PROCESSOS!D67),OR(FiltroResp="TODOS",FiltroResp="",PROCESSOS!I67=FiltroResp)),PROCESSOS!D67+ROW()/1000000,"")</f>
        <v>46261.000067002315</v>
      </c>
    </row>
    <row r="68">
      <c r="BF68" t="str">
        <f>IF(AND(OR(PROCESSOS!Q68="NO PRAZO",PROCESSOS!Q68="VENCE EM BREVE"),OR(FiltroResp="TODOS",FiltroResp="",PROCESSOS!I68=FiltroResp)),PROCESSOS!O68+ROW()/1000000,"")</f>
        <v/>
      </c>
      <c r="BG68">
        <f>IF(AND(PROCESSOS!B68&lt;&gt;"",ISNUMBER(PROCESSOS!D68),OR(FiltroResp="TODOS",FiltroResp="",PROCESSOS!I68=FiltroResp)),PROCESSOS!D68+ROW()/1000000,"")</f>
        <v>46261.00006799769</v>
      </c>
    </row>
    <row r="69">
      <c r="BF69">
        <f>IF(AND(OR(PROCESSOS!Q69="NO PRAZO",PROCESSOS!Q69="VENCE EM BREVE"),OR(FiltroResp="TODOS",FiltroResp="",PROCESSOS!I69=FiltroResp)),PROCESSOS!O69+ROW()/1000000,"")</f>
        <v>46321.00006900463</v>
      </c>
      <c r="BG69">
        <f>IF(AND(PROCESSOS!B69&lt;&gt;"",ISNUMBER(PROCESSOS!D69),OR(FiltroResp="TODOS",FiltroResp="",PROCESSOS!I69=FiltroResp)),PROCESSOS!D69+ROW()/1000000,"")</f>
        <v>46261.00006900463</v>
      </c>
    </row>
    <row r="70">
      <c r="BF70" t="str">
        <f>IF(AND(OR(PROCESSOS!Q70="NO PRAZO",PROCESSOS!Q70="VENCE EM BREVE"),OR(FiltroResp="TODOS",FiltroResp="",PROCESSOS!I70=FiltroResp)),PROCESSOS!O70+ROW()/1000000,"")</f>
        <v/>
      </c>
      <c r="BG70">
        <f>IF(AND(PROCESSOS!B70&lt;&gt;"",ISNUMBER(PROCESSOS!D70),OR(FiltroResp="TODOS",FiltroResp="",PROCESSOS!I70=FiltroResp)),PROCESSOS!D70+ROW()/1000000,"")</f>
        <v>46265.00007</v>
      </c>
    </row>
    <row r="71">
      <c r="BF71" t="str">
        <f>IF(AND(OR(PROCESSOS!Q71="NO PRAZO",PROCESSOS!Q71="VENCE EM BREVE"),OR(FiltroResp="TODOS",FiltroResp="",PROCESSOS!I71=FiltroResp)),PROCESSOS!O71+ROW()/1000000,"")</f>
        <v/>
      </c>
      <c r="BG71">
        <f>IF(AND(PROCESSOS!B71&lt;&gt;"",ISNUMBER(PROCESSOS!D71),OR(FiltroResp="TODOS",FiltroResp="",PROCESSOS!I71=FiltroResp)),PROCESSOS!D71+ROW()/1000000,"")</f>
        <v>46267.00007099537</v>
      </c>
    </row>
    <row r="72">
      <c r="BF72" t="str">
        <f>IF(AND(OR(PROCESSOS!Q72="NO PRAZO",PROCESSOS!Q72="VENCE EM BREVE"),OR(FiltroResp="TODOS",FiltroResp="",PROCESSOS!I72=FiltroResp)),PROCESSOS!O72+ROW()/1000000,"")</f>
        <v/>
      </c>
      <c r="BG72">
        <f>IF(AND(PROCESSOS!B72&lt;&gt;"",ISNUMBER(PROCESSOS!D72),OR(FiltroResp="TODOS",FiltroResp="",PROCESSOS!I72=FiltroResp)),PROCESSOS!D72+ROW()/1000000,"")</f>
        <v>46267.000072002316</v>
      </c>
    </row>
    <row r="73">
      <c r="BF73" t="str">
        <f>IF(AND(OR(PROCESSOS!Q73="NO PRAZO",PROCESSOS!Q73="VENCE EM BREVE"),OR(FiltroResp="TODOS",FiltroResp="",PROCESSOS!I73=FiltroResp)),PROCESSOS!O73+ROW()/1000000,"")</f>
        <v/>
      </c>
      <c r="BG73">
        <f>IF(AND(PROCESSOS!B73&lt;&gt;"",ISNUMBER(PROCESSOS!D73),OR(FiltroResp="TODOS",FiltroResp="",PROCESSOS!I73=FiltroResp)),PROCESSOS!D73+ROW()/1000000,"")</f>
        <v>46268.00007299768</v>
      </c>
    </row>
    <row r="74">
      <c r="BF74" t="str">
        <f>IF(AND(OR(PROCESSOS!Q74="NO PRAZO",PROCESSOS!Q74="VENCE EM BREVE"),OR(FiltroResp="TODOS",FiltroResp="",PROCESSOS!I74=FiltroResp)),PROCESSOS!O74+ROW()/1000000,"")</f>
        <v/>
      </c>
      <c r="BG74">
        <f>IF(AND(PROCESSOS!B74&lt;&gt;"",ISNUMBER(PROCESSOS!D74),OR(FiltroResp="TODOS",FiltroResp="",PROCESSOS!I74=FiltroResp)),PROCESSOS!D74+ROW()/1000000,"")</f>
        <v>46269.00007400463</v>
      </c>
    </row>
    <row r="75">
      <c r="BF75" t="str">
        <f>IF(AND(OR(PROCESSOS!Q75="NO PRAZO",PROCESSOS!Q75="VENCE EM BREVE"),OR(FiltroResp="TODOS",FiltroResp="",PROCESSOS!I75=FiltroResp)),PROCESSOS!O75+ROW()/1000000,"")</f>
        <v/>
      </c>
      <c r="BG75">
        <f>IF(AND(PROCESSOS!B75&lt;&gt;"",ISNUMBER(PROCESSOS!D75),OR(FiltroResp="TODOS",FiltroResp="",PROCESSOS!I75=FiltroResp)),PROCESSOS!D75+ROW()/1000000,"")</f>
        <v>46273.000075</v>
      </c>
    </row>
    <row r="76">
      <c r="BF76" t="str">
        <f>IF(AND(OR(PROCESSOS!Q76="NO PRAZO",PROCESSOS!Q76="VENCE EM BREVE"),OR(FiltroResp="TODOS",FiltroResp="",PROCESSOS!I76=FiltroResp)),PROCESSOS!O76+ROW()/1000000,"")</f>
        <v/>
      </c>
      <c r="BG76">
        <f>IF(AND(PROCESSOS!B76&lt;&gt;"",ISNUMBER(PROCESSOS!D76),OR(FiltroResp="TODOS",FiltroResp="",PROCESSOS!I76=FiltroResp)),PROCESSOS!D76+ROW()/1000000,"")</f>
        <v>46274.00007599537</v>
      </c>
    </row>
    <row r="77">
      <c r="BF77" t="str">
        <f>IF(AND(OR(PROCESSOS!Q77="NO PRAZO",PROCESSOS!Q77="VENCE EM BREVE"),OR(FiltroResp="TODOS",FiltroResp="",PROCESSOS!I77=FiltroResp)),PROCESSOS!O77+ROW()/1000000,"")</f>
        <v/>
      </c>
      <c r="BG77">
        <f>IF(AND(PROCESSOS!B77&lt;&gt;"",ISNUMBER(PROCESSOS!D77),OR(FiltroResp="TODOS",FiltroResp="",PROCESSOS!I77=FiltroResp)),PROCESSOS!D77+ROW()/1000000,"")</f>
        <v>46277.00007700232</v>
      </c>
    </row>
    <row r="78">
      <c r="BF78">
        <f>IF(AND(OR(PROCESSOS!Q78="NO PRAZO",PROCESSOS!Q78="VENCE EM BREVE"),OR(FiltroResp="TODOS",FiltroResp="",PROCESSOS!I78=FiltroResp)),PROCESSOS!O78+ROW()/1000000,"")</f>
        <v>46307.00007799768</v>
      </c>
      <c r="BG78">
        <f>IF(AND(PROCESSOS!B78&lt;&gt;"",ISNUMBER(PROCESSOS!D78),OR(FiltroResp="TODOS",FiltroResp="",PROCESSOS!I78=FiltroResp)),PROCESSOS!D78+ROW()/1000000,"")</f>
        <v>46277.00007799768</v>
      </c>
    </row>
    <row r="79">
      <c r="BF79" t="str">
        <f>IF(AND(OR(PROCESSOS!Q79="NO PRAZO",PROCESSOS!Q79="VENCE EM BREVE"),OR(FiltroResp="TODOS",FiltroResp="",PROCESSOS!I79=FiltroResp)),PROCESSOS!O79+ROW()/1000000,"")</f>
        <v/>
      </c>
      <c r="BG79">
        <f>IF(AND(PROCESSOS!B79&lt;&gt;"",ISNUMBER(PROCESSOS!D79),OR(FiltroResp="TODOS",FiltroResp="",PROCESSOS!I79=FiltroResp)),PROCESSOS!D79+ROW()/1000000,"")</f>
        <v>46282.00007900463</v>
      </c>
    </row>
    <row r="80">
      <c r="BF80" t="str">
        <f>IF(AND(OR(PROCESSOS!Q80="NO PRAZO",PROCESSOS!Q80="VENCE EM BREVE"),OR(FiltroResp="TODOS",FiltroResp="",PROCESSOS!I80=FiltroResp)),PROCESSOS!O80+ROW()/1000000,"")</f>
        <v/>
      </c>
      <c r="BG80">
        <f>IF(AND(PROCESSOS!B80&lt;&gt;"",ISNUMBER(PROCESSOS!D80),OR(FiltroResp="TODOS",FiltroResp="",PROCESSOS!I80=FiltroResp)),PROCESSOS!D80+ROW()/1000000,"")</f>
        <v>46284.00008</v>
      </c>
    </row>
    <row r="81">
      <c r="BF81" t="str">
        <f>IF(AND(OR(PROCESSOS!Q81="NO PRAZO",PROCESSOS!Q81="VENCE EM BREVE"),OR(FiltroResp="TODOS",FiltroResp="",PROCESSOS!I81=FiltroResp)),PROCESSOS!O81+ROW()/1000000,"")</f>
        <v/>
      </c>
      <c r="BG81">
        <f>IF(AND(PROCESSOS!B81&lt;&gt;"",ISNUMBER(PROCESSOS!D81),OR(FiltroResp="TODOS",FiltroResp="",PROCESSOS!I81=FiltroResp)),PROCESSOS!D81+ROW()/1000000,"")</f>
        <v>46289.00008099537</v>
      </c>
    </row>
    <row r="82">
      <c r="BF82" t="str">
        <f>IF(AND(OR(PROCESSOS!Q82="NO PRAZO",PROCESSOS!Q82="VENCE EM BREVE"),OR(FiltroResp="TODOS",FiltroResp="",PROCESSOS!I82=FiltroResp)),PROCESSOS!O82+ROW()/1000000,"")</f>
        <v/>
      </c>
      <c r="BG82">
        <f>IF(AND(PROCESSOS!B82&lt;&gt;"",ISNUMBER(PROCESSOS!D82),OR(FiltroResp="TODOS",FiltroResp="",PROCESSOS!I82=FiltroResp)),PROCESSOS!D82+ROW()/1000000,"")</f>
        <v>46290.00008200231</v>
      </c>
    </row>
    <row r="83">
      <c r="BF83" t="str">
        <f>IF(AND(OR(PROCESSOS!Q83="NO PRAZO",PROCESSOS!Q83="VENCE EM BREVE"),OR(FiltroResp="TODOS",FiltroResp="",PROCESSOS!I83=FiltroResp)),PROCESSOS!O83+ROW()/1000000,"")</f>
        <v/>
      </c>
      <c r="BG83">
        <f>IF(AND(PROCESSOS!B83&lt;&gt;"",ISNUMBER(PROCESSOS!D83),OR(FiltroResp="TODOS",FiltroResp="",PROCESSOS!I83=FiltroResp)),PROCESSOS!D83+ROW()/1000000,"")</f>
        <v>46290.000082997685</v>
      </c>
    </row>
    <row r="84">
      <c r="BF84" t="str">
        <f>IF(AND(OR(PROCESSOS!Q84="NO PRAZO",PROCESSOS!Q84="VENCE EM BREVE"),OR(FiltroResp="TODOS",FiltroResp="",PROCESSOS!I84=FiltroResp)),PROCESSOS!O84+ROW()/1000000,"")</f>
        <v/>
      </c>
      <c r="BG84">
        <f>IF(AND(PROCESSOS!B84&lt;&gt;"",ISNUMBER(PROCESSOS!D84),OR(FiltroResp="TODOS",FiltroResp="",PROCESSOS!I84=FiltroResp)),PROCESSOS!D84+ROW()/1000000,"")</f>
        <v>46291.00008400463</v>
      </c>
    </row>
    <row r="85">
      <c r="BF85" t="str">
        <f>IF(AND(OR(PROCESSOS!Q85="NO PRAZO",PROCESSOS!Q85="VENCE EM BREVE"),OR(FiltroResp="TODOS",FiltroResp="",PROCESSOS!I85=FiltroResp)),PROCESSOS!O85+ROW()/1000000,"")</f>
        <v/>
      </c>
      <c r="BG85">
        <f>IF(AND(PROCESSOS!B85&lt;&gt;"",ISNUMBER(PROCESSOS!D85),OR(FiltroResp="TODOS",FiltroResp="",PROCESSOS!I85=FiltroResp)),PROCESSOS!D85+ROW()/1000000,"")</f>
        <v>46291.000085</v>
      </c>
    </row>
    <row r="86">
      <c r="BF86">
        <f>IF(AND(OR(PROCESSOS!Q86="NO PRAZO",PROCESSOS!Q86="VENCE EM BREVE"),OR(FiltroResp="TODOS",FiltroResp="",PROCESSOS!I86=FiltroResp)),PROCESSOS!O86+ROW()/1000000,"")</f>
        <v>46310.00008599537</v>
      </c>
      <c r="BG86">
        <f>IF(AND(PROCESSOS!B86&lt;&gt;"",ISNUMBER(PROCESSOS!D86),OR(FiltroResp="TODOS",FiltroResp="",PROCESSOS!I86=FiltroResp)),PROCESSOS!D86+ROW()/1000000,"")</f>
        <v>46295.00008599537</v>
      </c>
    </row>
    <row r="87">
      <c r="BF87">
        <f>IF(AND(OR(PROCESSOS!Q87="NO PRAZO",PROCESSOS!Q87="VENCE EM BREVE"),OR(FiltroResp="TODOS",FiltroResp="",PROCESSOS!I87=FiltroResp)),PROCESSOS!O87+ROW()/1000000,"")</f>
        <v>46327.000087002314</v>
      </c>
      <c r="BG87">
        <f>IF(AND(PROCESSOS!B87&lt;&gt;"",ISNUMBER(PROCESSOS!D87),OR(FiltroResp="TODOS",FiltroResp="",PROCESSOS!I87=FiltroResp)),PROCESSOS!D87+ROW()/1000000,"")</f>
        <v>46297.000087002314</v>
      </c>
    </row>
    <row r="88">
      <c r="BF88">
        <f>IF(AND(OR(PROCESSOS!Q88="NO PRAZO",PROCESSOS!Q88="VENCE EM BREVE"),OR(FiltroResp="TODOS",FiltroResp="",PROCESSOS!I88=FiltroResp)),PROCESSOS!O88+ROW()/1000000,"")</f>
        <v>46307.00008799769</v>
      </c>
      <c r="BG88">
        <f>IF(AND(PROCESSOS!B88&lt;&gt;"",ISNUMBER(PROCESSOS!D88),OR(FiltroResp="TODOS",FiltroResp="",PROCESSOS!I88=FiltroResp)),PROCESSOS!D88+ROW()/1000000,"")</f>
        <v>46297.00008799769</v>
      </c>
    </row>
    <row r="89">
      <c r="BF89">
        <f>IF(AND(OR(PROCESSOS!Q89="NO PRAZO",PROCESSOS!Q89="VENCE EM BREVE"),OR(FiltroResp="TODOS",FiltroResp="",PROCESSOS!I89=FiltroResp)),PROCESSOS!O89+ROW()/1000000,"")</f>
        <v>46307.00008900463</v>
      </c>
      <c r="BG89">
        <f>IF(AND(PROCESSOS!B89&lt;&gt;"",ISNUMBER(PROCESSOS!D89),OR(FiltroResp="TODOS",FiltroResp="",PROCESSOS!I89=FiltroResp)),PROCESSOS!D89+ROW()/1000000,"")</f>
        <v>46297.00008900463</v>
      </c>
    </row>
    <row r="90">
      <c r="BF90">
        <f>IF(AND(OR(PROCESSOS!Q90="NO PRAZO",PROCESSOS!Q90="VENCE EM BREVE"),OR(FiltroResp="TODOS",FiltroResp="",PROCESSOS!I90=FiltroResp)),PROCESSOS!O90+ROW()/1000000,"")</f>
        <v>46328.00009</v>
      </c>
      <c r="BG90">
        <f>IF(AND(PROCESSOS!B90&lt;&gt;"",ISNUMBER(PROCESSOS!D90),OR(FiltroResp="TODOS",FiltroResp="",PROCESSOS!I90=FiltroResp)),PROCESSOS!D90+ROW()/1000000,"")</f>
        <v>46298.00009</v>
      </c>
    </row>
    <row r="91">
      <c r="BF91" t="str">
        <f>IF(AND(OR(PROCESSOS!Q91="NO PRAZO",PROCESSOS!Q91="VENCE EM BREVE"),OR(FiltroResp="TODOS",FiltroResp="",PROCESSOS!I91=FiltroResp)),PROCESSOS!O91+ROW()/1000000,"")</f>
        <v/>
      </c>
      <c r="BG91">
        <f>IF(AND(PROCESSOS!B91&lt;&gt;"",ISNUMBER(PROCESSOS!D91),OR(FiltroResp="TODOS",FiltroResp="",PROCESSOS!I91=FiltroResp)),PROCESSOS!D91+ROW()/1000000,"")</f>
        <v>46300.00009099537</v>
      </c>
    </row>
    <row r="92">
      <c r="BF92" t="str">
        <f>IF(AND(OR(PROCESSOS!Q92="NO PRAZO",PROCESSOS!Q92="VENCE EM BREVE"),OR(FiltroResp="TODOS",FiltroResp="",PROCESSOS!I92=FiltroResp)),PROCESSOS!O92+ROW()/1000000,"")</f>
        <v/>
      </c>
      <c r="BG92">
        <f>IF(AND(PROCESSOS!B92&lt;&gt;"",ISNUMBER(PROCESSOS!D92),OR(FiltroResp="TODOS",FiltroResp="",PROCESSOS!I92=FiltroResp)),PROCESSOS!D92+ROW()/1000000,"")</f>
        <v>46300.000092002316</v>
      </c>
    </row>
    <row r="93">
      <c r="BF93">
        <f>IF(AND(OR(PROCESSOS!Q93="NO PRAZO",PROCESSOS!Q93="VENCE EM BREVE"),OR(FiltroResp="TODOS",FiltroResp="",PROCESSOS!I93=FiltroResp)),PROCESSOS!O93+ROW()/1000000,"")</f>
        <v>46320.00009299769</v>
      </c>
      <c r="BG93">
        <f>IF(AND(PROCESSOS!B93&lt;&gt;"",ISNUMBER(PROCESSOS!D93),OR(FiltroResp="TODOS",FiltroResp="",PROCESSOS!I93=FiltroResp)),PROCESSOS!D93+ROW()/1000000,"")</f>
        <v>46300.00009299769</v>
      </c>
    </row>
    <row r="94">
      <c r="BF94">
        <f>IF(AND(OR(PROCESSOS!Q94="NO PRAZO",PROCESSOS!Q94="VENCE EM BREVE"),OR(FiltroResp="TODOS",FiltroResp="",PROCESSOS!I94=FiltroResp)),PROCESSOS!O94+ROW()/1000000,"")</f>
        <v>46321.00009400463</v>
      </c>
      <c r="BG94">
        <f>IF(AND(PROCESSOS!B94&lt;&gt;"",ISNUMBER(PROCESSOS!D94),OR(FiltroResp="TODOS",FiltroResp="",PROCESSOS!I94=FiltroResp)),PROCESSOS!D94+ROW()/1000000,"")</f>
        <v>46301.00009400463</v>
      </c>
    </row>
    <row r="95">
      <c r="BF95">
        <f>IF(AND(OR(PROCESSOS!Q95="NO PRAZO",PROCESSOS!Q95="VENCE EM BREVE"),OR(FiltroResp="TODOS",FiltroResp="",PROCESSOS!I95=FiltroResp)),PROCESSOS!O95+ROW()/1000000,"")</f>
        <v>46317.000095</v>
      </c>
      <c r="BG95">
        <f>IF(AND(PROCESSOS!B95&lt;&gt;"",ISNUMBER(PROCESSOS!D95),OR(FiltroResp="TODOS",FiltroResp="",PROCESSOS!I95=FiltroResp)),PROCESSOS!D95+ROW()/1000000,"")</f>
        <v>46302.000095</v>
      </c>
    </row>
    <row r="96">
      <c r="BF96">
        <f>IF(AND(OR(PROCESSOS!Q96="NO PRAZO",PROCESSOS!Q96="VENCE EM BREVE"),OR(FiltroResp="TODOS",FiltroResp="",PROCESSOS!I96=FiltroResp)),PROCESSOS!O96+ROW()/1000000,"")</f>
        <v>46332.00009599537</v>
      </c>
      <c r="BG96">
        <f>IF(AND(PROCESSOS!B96&lt;&gt;"",ISNUMBER(PROCESSOS!D96),OR(FiltroResp="TODOS",FiltroResp="",PROCESSOS!I96=FiltroResp)),PROCESSOS!D96+ROW()/1000000,"")</f>
        <v>46302.00009599537</v>
      </c>
    </row>
    <row r="97">
      <c r="BF97">
        <f>IF(AND(OR(PROCESSOS!Q97="NO PRAZO",PROCESSOS!Q97="VENCE EM BREVE"),OR(FiltroResp="TODOS",FiltroResp="",PROCESSOS!I97=FiltroResp)),PROCESSOS!O97+ROW()/1000000,"")</f>
        <v>46317.00009700232</v>
      </c>
      <c r="BG97">
        <f>IF(AND(PROCESSOS!B97&lt;&gt;"",ISNUMBER(PROCESSOS!D97),OR(FiltroResp="TODOS",FiltroResp="",PROCESSOS!I97=FiltroResp)),PROCESSOS!D97+ROW()/1000000,"")</f>
        <v>46302.00009700232</v>
      </c>
    </row>
    <row r="98">
      <c r="BF98">
        <f>IF(AND(OR(PROCESSOS!Q98="NO PRAZO",PROCESSOS!Q98="VENCE EM BREVE"),OR(FiltroResp="TODOS",FiltroResp="",PROCESSOS!I98=FiltroResp)),PROCESSOS!O98+ROW()/1000000,"")</f>
        <v>46318.00009799768</v>
      </c>
      <c r="BG98">
        <f>IF(AND(PROCESSOS!B98&lt;&gt;"",ISNUMBER(PROCESSOS!D98),OR(FiltroResp="TODOS",FiltroResp="",PROCESSOS!I98=FiltroResp)),PROCESSOS!D98+ROW()/1000000,"")</f>
        <v>46303.00009799768</v>
      </c>
    </row>
    <row r="99">
      <c r="BF99">
        <f>IF(AND(OR(PROCESSOS!Q99="NO PRAZO",PROCESSOS!Q99="VENCE EM BREVE"),OR(FiltroResp="TODOS",FiltroResp="",PROCESSOS!I99=FiltroResp)),PROCESSOS!O99+ROW()/1000000,"")</f>
        <v>46323.00009900463</v>
      </c>
      <c r="BG99">
        <f>IF(AND(PROCESSOS!B99&lt;&gt;"",ISNUMBER(PROCESSOS!D99),OR(FiltroResp="TODOS",FiltroResp="",PROCESSOS!I99=FiltroResp)),PROCESSOS!D99+ROW()/1000000,"")</f>
        <v>46303.00009900463</v>
      </c>
    </row>
    <row r="100">
      <c r="BF100">
        <f>IF(AND(OR(PROCESSOS!Q100="NO PRAZO",PROCESSOS!Q100="VENCE EM BREVE"),OR(FiltroResp="TODOS",FiltroResp="",PROCESSOS!I100=FiltroResp)),PROCESSOS!O100+ROW()/1000000,"")</f>
        <v>46313.0001</v>
      </c>
      <c r="BG100">
        <f>IF(AND(PROCESSOS!B100&lt;&gt;"",ISNUMBER(PROCESSOS!D100),OR(FiltroResp="TODOS",FiltroResp="",PROCESSOS!I100=FiltroResp)),PROCESSOS!D100+ROW()/1000000,"")</f>
        <v>46303.0001</v>
      </c>
    </row>
    <row r="101">
      <c r="BF101" t="str">
        <f>IF(AND(OR(PROCESSOS!Q101="NO PRAZO",PROCESSOS!Q101="VENCE EM BREVE"),OR(FiltroResp="TODOS",FiltroResp="",PROCESSOS!I101=FiltroResp)),PROCESSOS!O101+ROW()/1000000,"")</f>
        <v/>
      </c>
      <c r="BG101" t="str">
        <f>IF(AND(PROCESSOS!B101&lt;&gt;"",ISNUMBER(PROCESSOS!D101),OR(FiltroResp="TODOS",FiltroResp="",PROCESSOS!I101=FiltroResp)),PROCESSOS!D101+ROW()/1000000,"")</f>
        <v/>
      </c>
    </row>
    <row r="102">
      <c r="BF102" t="str">
        <f>IF(AND(OR(PROCESSOS!Q102="NO PRAZO",PROCESSOS!Q102="VENCE EM BREVE"),OR(FiltroResp="TODOS",FiltroResp="",PROCESSOS!I102=FiltroResp)),PROCESSOS!O102+ROW()/1000000,"")</f>
        <v/>
      </c>
      <c r="BG102" t="str">
        <f>IF(AND(PROCESSOS!B102&lt;&gt;"",ISNUMBER(PROCESSOS!D102),OR(FiltroResp="TODOS",FiltroResp="",PROCESSOS!I102=FiltroResp)),PROCESSOS!D102+ROW()/1000000,"")</f>
        <v/>
      </c>
    </row>
    <row r="103">
      <c r="BF103" t="str">
        <f>IF(AND(OR(PROCESSOS!Q103="NO PRAZO",PROCESSOS!Q103="VENCE EM BREVE"),OR(FiltroResp="TODOS",FiltroResp="",PROCESSOS!I103=FiltroResp)),PROCESSOS!O103+ROW()/1000000,"")</f>
        <v/>
      </c>
      <c r="BG103" t="str">
        <f>IF(AND(PROCESSOS!B103&lt;&gt;"",ISNUMBER(PROCESSOS!D103),OR(FiltroResp="TODOS",FiltroResp="",PROCESSOS!I103=FiltroResp)),PROCESSOS!D103+ROW()/1000000,"")</f>
        <v/>
      </c>
    </row>
    <row r="104">
      <c r="BF104" t="str">
        <f>IF(AND(OR(PROCESSOS!Q104="NO PRAZO",PROCESSOS!Q104="VENCE EM BREVE"),OR(FiltroResp="TODOS",FiltroResp="",PROCESSOS!I104=FiltroResp)),PROCESSOS!O104+ROW()/1000000,"")</f>
        <v/>
      </c>
      <c r="BG104" t="str">
        <f>IF(AND(PROCESSOS!B104&lt;&gt;"",ISNUMBER(PROCESSOS!D104),OR(FiltroResp="TODOS",FiltroResp="",PROCESSOS!I104=FiltroResp)),PROCESSOS!D104+ROW()/1000000,"")</f>
        <v/>
      </c>
    </row>
    <row r="105">
      <c r="BF105" t="str">
        <f>IF(AND(OR(PROCESSOS!Q105="NO PRAZO",PROCESSOS!Q105="VENCE EM BREVE"),OR(FiltroResp="TODOS",FiltroResp="",PROCESSOS!I105=FiltroResp)),PROCESSOS!O105+ROW()/1000000,"")</f>
        <v/>
      </c>
      <c r="BG105" t="str">
        <f>IF(AND(PROCESSOS!B105&lt;&gt;"",ISNUMBER(PROCESSOS!D105),OR(FiltroResp="TODOS",FiltroResp="",PROCESSOS!I105=FiltroResp)),PROCESSOS!D105+ROW()/1000000,"")</f>
        <v/>
      </c>
    </row>
    <row r="106">
      <c r="BF106" t="str">
        <f>IF(AND(OR(PROCESSOS!Q106="NO PRAZO",PROCESSOS!Q106="VENCE EM BREVE"),OR(FiltroResp="TODOS",FiltroResp="",PROCESSOS!I106=FiltroResp)),PROCESSOS!O106+ROW()/1000000,"")</f>
        <v/>
      </c>
      <c r="BG106" t="str">
        <f>IF(AND(PROCESSOS!B106&lt;&gt;"",ISNUMBER(PROCESSOS!D106),OR(FiltroResp="TODOS",FiltroResp="",PROCESSOS!I106=FiltroResp)),PROCESSOS!D106+ROW()/1000000,"")</f>
        <v/>
      </c>
    </row>
    <row r="107">
      <c r="BF107" t="str">
        <f>IF(AND(OR(PROCESSOS!Q107="NO PRAZO",PROCESSOS!Q107="VENCE EM BREVE"),OR(FiltroResp="TODOS",FiltroResp="",PROCESSOS!I107=FiltroResp)),PROCESSOS!O107+ROW()/1000000,"")</f>
        <v/>
      </c>
      <c r="BG107" t="str">
        <f>IF(AND(PROCESSOS!B107&lt;&gt;"",ISNUMBER(PROCESSOS!D107),OR(FiltroResp="TODOS",FiltroResp="",PROCESSOS!I107=FiltroResp)),PROCESSOS!D107+ROW()/1000000,"")</f>
        <v/>
      </c>
    </row>
    <row r="108">
      <c r="BF108" t="str">
        <f>IF(AND(OR(PROCESSOS!Q108="NO PRAZO",PROCESSOS!Q108="VENCE EM BREVE"),OR(FiltroResp="TODOS",FiltroResp="",PROCESSOS!I108=FiltroResp)),PROCESSOS!O108+ROW()/1000000,"")</f>
        <v/>
      </c>
      <c r="BG108" t="str">
        <f>IF(AND(PROCESSOS!B108&lt;&gt;"",ISNUMBER(PROCESSOS!D108),OR(FiltroResp="TODOS",FiltroResp="",PROCESSOS!I108=FiltroResp)),PROCESSOS!D108+ROW()/1000000,"")</f>
        <v/>
      </c>
    </row>
    <row r="109">
      <c r="BF109" t="str">
        <f>IF(AND(OR(PROCESSOS!Q109="NO PRAZO",PROCESSOS!Q109="VENCE EM BREVE"),OR(FiltroResp="TODOS",FiltroResp="",PROCESSOS!I109=FiltroResp)),PROCESSOS!O109+ROW()/1000000,"")</f>
        <v/>
      </c>
      <c r="BG109" t="str">
        <f>IF(AND(PROCESSOS!B109&lt;&gt;"",ISNUMBER(PROCESSOS!D109),OR(FiltroResp="TODOS",FiltroResp="",PROCESSOS!I109=FiltroResp)),PROCESSOS!D109+ROW()/1000000,"")</f>
        <v/>
      </c>
    </row>
    <row r="110">
      <c r="BF110" t="str">
        <f>IF(AND(OR(PROCESSOS!Q110="NO PRAZO",PROCESSOS!Q110="VENCE EM BREVE"),OR(FiltroResp="TODOS",FiltroResp="",PROCESSOS!I110=FiltroResp)),PROCESSOS!O110+ROW()/1000000,"")</f>
        <v/>
      </c>
      <c r="BG110" t="str">
        <f>IF(AND(PROCESSOS!B110&lt;&gt;"",ISNUMBER(PROCESSOS!D110),OR(FiltroResp="TODOS",FiltroResp="",PROCESSOS!I110=FiltroResp)),PROCESSOS!D110+ROW()/1000000,"")</f>
        <v/>
      </c>
    </row>
    <row r="111">
      <c r="BF111" t="str">
        <f>IF(AND(OR(PROCESSOS!Q111="NO PRAZO",PROCESSOS!Q111="VENCE EM BREVE"),OR(FiltroResp="TODOS",FiltroResp="",PROCESSOS!I111=FiltroResp)),PROCESSOS!O111+ROW()/1000000,"")</f>
        <v/>
      </c>
      <c r="BG111" t="str">
        <f>IF(AND(PROCESSOS!B111&lt;&gt;"",ISNUMBER(PROCESSOS!D111),OR(FiltroResp="TODOS",FiltroResp="",PROCESSOS!I111=FiltroResp)),PROCESSOS!D111+ROW()/1000000,"")</f>
        <v/>
      </c>
    </row>
    <row r="112">
      <c r="BF112" t="str">
        <f>IF(AND(OR(PROCESSOS!Q112="NO PRAZO",PROCESSOS!Q112="VENCE EM BREVE"),OR(FiltroResp="TODOS",FiltroResp="",PROCESSOS!I112=FiltroResp)),PROCESSOS!O112+ROW()/1000000,"")</f>
        <v/>
      </c>
      <c r="BG112" t="str">
        <f>IF(AND(PROCESSOS!B112&lt;&gt;"",ISNUMBER(PROCESSOS!D112),OR(FiltroResp="TODOS",FiltroResp="",PROCESSOS!I112=FiltroResp)),PROCESSOS!D112+ROW()/1000000,"")</f>
        <v/>
      </c>
    </row>
    <row r="113">
      <c r="BF113" t="str">
        <f>IF(AND(OR(PROCESSOS!Q113="NO PRAZO",PROCESSOS!Q113="VENCE EM BREVE"),OR(FiltroResp="TODOS",FiltroResp="",PROCESSOS!I113=FiltroResp)),PROCESSOS!O113+ROW()/1000000,"")</f>
        <v/>
      </c>
      <c r="BG113" t="str">
        <f>IF(AND(PROCESSOS!B113&lt;&gt;"",ISNUMBER(PROCESSOS!D113),OR(FiltroResp="TODOS",FiltroResp="",PROCESSOS!I113=FiltroResp)),PROCESSOS!D113+ROW()/1000000,"")</f>
        <v/>
      </c>
    </row>
    <row r="114">
      <c r="BF114" t="str">
        <f>IF(AND(OR(PROCESSOS!Q114="NO PRAZO",PROCESSOS!Q114="VENCE EM BREVE"),OR(FiltroResp="TODOS",FiltroResp="",PROCESSOS!I114=FiltroResp)),PROCESSOS!O114+ROW()/1000000,"")</f>
        <v/>
      </c>
      <c r="BG114" t="str">
        <f>IF(AND(PROCESSOS!B114&lt;&gt;"",ISNUMBER(PROCESSOS!D114),OR(FiltroResp="TODOS",FiltroResp="",PROCESSOS!I114=FiltroResp)),PROCESSOS!D114+ROW()/1000000,"")</f>
        <v/>
      </c>
    </row>
    <row r="115">
      <c r="BF115" t="str">
        <f>IF(AND(OR(PROCESSOS!Q115="NO PRAZO",PROCESSOS!Q115="VENCE EM BREVE"),OR(FiltroResp="TODOS",FiltroResp="",PROCESSOS!I115=FiltroResp)),PROCESSOS!O115+ROW()/1000000,"")</f>
        <v/>
      </c>
      <c r="BG115" t="str">
        <f>IF(AND(PROCESSOS!B115&lt;&gt;"",ISNUMBER(PROCESSOS!D115),OR(FiltroResp="TODOS",FiltroResp="",PROCESSOS!I115=FiltroResp)),PROCESSOS!D115+ROW()/1000000,"")</f>
        <v/>
      </c>
    </row>
    <row r="116">
      <c r="BF116" t="str">
        <f>IF(AND(OR(PROCESSOS!Q116="NO PRAZO",PROCESSOS!Q116="VENCE EM BREVE"),OR(FiltroResp="TODOS",FiltroResp="",PROCESSOS!I116=FiltroResp)),PROCESSOS!O116+ROW()/1000000,"")</f>
        <v/>
      </c>
      <c r="BG116" t="str">
        <f>IF(AND(PROCESSOS!B116&lt;&gt;"",ISNUMBER(PROCESSOS!D116),OR(FiltroResp="TODOS",FiltroResp="",PROCESSOS!I116=FiltroResp)),PROCESSOS!D116+ROW()/1000000,"")</f>
        <v/>
      </c>
    </row>
    <row r="117">
      <c r="BF117" t="str">
        <f>IF(AND(OR(PROCESSOS!Q117="NO PRAZO",PROCESSOS!Q117="VENCE EM BREVE"),OR(FiltroResp="TODOS",FiltroResp="",PROCESSOS!I117=FiltroResp)),PROCESSOS!O117+ROW()/1000000,"")</f>
        <v/>
      </c>
      <c r="BG117" t="str">
        <f>IF(AND(PROCESSOS!B117&lt;&gt;"",ISNUMBER(PROCESSOS!D117),OR(FiltroResp="TODOS",FiltroResp="",PROCESSOS!I117=FiltroResp)),PROCESSOS!D117+ROW()/1000000,"")</f>
        <v/>
      </c>
    </row>
    <row r="118">
      <c r="BF118" t="str">
        <f>IF(AND(OR(PROCESSOS!Q118="NO PRAZO",PROCESSOS!Q118="VENCE EM BREVE"),OR(FiltroResp="TODOS",FiltroResp="",PROCESSOS!I118=FiltroResp)),PROCESSOS!O118+ROW()/1000000,"")</f>
        <v/>
      </c>
      <c r="BG118" t="str">
        <f>IF(AND(PROCESSOS!B118&lt;&gt;"",ISNUMBER(PROCESSOS!D118),OR(FiltroResp="TODOS",FiltroResp="",PROCESSOS!I118=FiltroResp)),PROCESSOS!D118+ROW()/1000000,"")</f>
        <v/>
      </c>
    </row>
    <row r="119">
      <c r="BF119" t="str">
        <f>IF(AND(OR(PROCESSOS!Q119="NO PRAZO",PROCESSOS!Q119="VENCE EM BREVE"),OR(FiltroResp="TODOS",FiltroResp="",PROCESSOS!I119=FiltroResp)),PROCESSOS!O119+ROW()/1000000,"")</f>
        <v/>
      </c>
      <c r="BG119" t="str">
        <f>IF(AND(PROCESSOS!B119&lt;&gt;"",ISNUMBER(PROCESSOS!D119),OR(FiltroResp="TODOS",FiltroResp="",PROCESSOS!I119=FiltroResp)),PROCESSOS!D119+ROW()/1000000,"")</f>
        <v/>
      </c>
    </row>
    <row r="120">
      <c r="BF120" t="str">
        <f>IF(AND(OR(PROCESSOS!Q120="NO PRAZO",PROCESSOS!Q120="VENCE EM BREVE"),OR(FiltroResp="TODOS",FiltroResp="",PROCESSOS!I120=FiltroResp)),PROCESSOS!O120+ROW()/1000000,"")</f>
        <v/>
      </c>
      <c r="BG120" t="str">
        <f>IF(AND(PROCESSOS!B120&lt;&gt;"",ISNUMBER(PROCESSOS!D120),OR(FiltroResp="TODOS",FiltroResp="",PROCESSOS!I120=FiltroResp)),PROCESSOS!D120+ROW()/1000000,"")</f>
        <v/>
      </c>
    </row>
    <row r="121">
      <c r="BF121" t="str">
        <f>IF(AND(OR(PROCESSOS!Q121="NO PRAZO",PROCESSOS!Q121="VENCE EM BREVE"),OR(FiltroResp="TODOS",FiltroResp="",PROCESSOS!I121=FiltroResp)),PROCESSOS!O121+ROW()/1000000,"")</f>
        <v/>
      </c>
      <c r="BG121" t="str">
        <f>IF(AND(PROCESSOS!B121&lt;&gt;"",ISNUMBER(PROCESSOS!D121),OR(FiltroResp="TODOS",FiltroResp="",PROCESSOS!I121=FiltroResp)),PROCESSOS!D121+ROW()/1000000,"")</f>
        <v/>
      </c>
    </row>
    <row r="122">
      <c r="BF122" t="str">
        <f>IF(AND(OR(PROCESSOS!Q122="NO PRAZO",PROCESSOS!Q122="VENCE EM BREVE"),OR(FiltroResp="TODOS",FiltroResp="",PROCESSOS!I122=FiltroResp)),PROCESSOS!O122+ROW()/1000000,"")</f>
        <v/>
      </c>
      <c r="BG122" t="str">
        <f>IF(AND(PROCESSOS!B122&lt;&gt;"",ISNUMBER(PROCESSOS!D122),OR(FiltroResp="TODOS",FiltroResp="",PROCESSOS!I122=FiltroResp)),PROCESSOS!D122+ROW()/1000000,"")</f>
        <v/>
      </c>
    </row>
    <row r="123">
      <c r="BF123" t="str">
        <f>IF(AND(OR(PROCESSOS!Q123="NO PRAZO",PROCESSOS!Q123="VENCE EM BREVE"),OR(FiltroResp="TODOS",FiltroResp="",PROCESSOS!I123=FiltroResp)),PROCESSOS!O123+ROW()/1000000,"")</f>
        <v/>
      </c>
      <c r="BG123" t="str">
        <f>IF(AND(PROCESSOS!B123&lt;&gt;"",ISNUMBER(PROCESSOS!D123),OR(FiltroResp="TODOS",FiltroResp="",PROCESSOS!I123=FiltroResp)),PROCESSOS!D123+ROW()/1000000,"")</f>
        <v/>
      </c>
    </row>
    <row r="124">
      <c r="BF124" t="str">
        <f>IF(AND(OR(PROCESSOS!Q124="NO PRAZO",PROCESSOS!Q124="VENCE EM BREVE"),OR(FiltroResp="TODOS",FiltroResp="",PROCESSOS!I124=FiltroResp)),PROCESSOS!O124+ROW()/1000000,"")</f>
        <v/>
      </c>
      <c r="BG124" t="str">
        <f>IF(AND(PROCESSOS!B124&lt;&gt;"",ISNUMBER(PROCESSOS!D124),OR(FiltroResp="TODOS",FiltroResp="",PROCESSOS!I124=FiltroResp)),PROCESSOS!D124+ROW()/1000000,"")</f>
        <v/>
      </c>
    </row>
    <row r="125">
      <c r="BF125" t="str">
        <f>IF(AND(OR(PROCESSOS!Q125="NO PRAZO",PROCESSOS!Q125="VENCE EM BREVE"),OR(FiltroResp="TODOS",FiltroResp="",PROCESSOS!I125=FiltroResp)),PROCESSOS!O125+ROW()/1000000,"")</f>
        <v/>
      </c>
      <c r="BG125" t="str">
        <f>IF(AND(PROCESSOS!B125&lt;&gt;"",ISNUMBER(PROCESSOS!D125),OR(FiltroResp="TODOS",FiltroResp="",PROCESSOS!I125=FiltroResp)),PROCESSOS!D125+ROW()/1000000,"")</f>
        <v/>
      </c>
    </row>
    <row r="126">
      <c r="BF126" t="str">
        <f>IF(AND(OR(PROCESSOS!Q126="NO PRAZO",PROCESSOS!Q126="VENCE EM BREVE"),OR(FiltroResp="TODOS",FiltroResp="",PROCESSOS!I126=FiltroResp)),PROCESSOS!O126+ROW()/1000000,"")</f>
        <v/>
      </c>
      <c r="BG126" t="str">
        <f>IF(AND(PROCESSOS!B126&lt;&gt;"",ISNUMBER(PROCESSOS!D126),OR(FiltroResp="TODOS",FiltroResp="",PROCESSOS!I126=FiltroResp)),PROCESSOS!D126+ROW()/1000000,"")</f>
        <v/>
      </c>
    </row>
    <row r="127">
      <c r="BF127" t="str">
        <f>IF(AND(OR(PROCESSOS!Q127="NO PRAZO",PROCESSOS!Q127="VENCE EM BREVE"),OR(FiltroResp="TODOS",FiltroResp="",PROCESSOS!I127=FiltroResp)),PROCESSOS!O127+ROW()/1000000,"")</f>
        <v/>
      </c>
      <c r="BG127" t="str">
        <f>IF(AND(PROCESSOS!B127&lt;&gt;"",ISNUMBER(PROCESSOS!D127),OR(FiltroResp="TODOS",FiltroResp="",PROCESSOS!I127=FiltroResp)),PROCESSOS!D127+ROW()/1000000,"")</f>
        <v/>
      </c>
    </row>
    <row r="128">
      <c r="BF128" t="str">
        <f>IF(AND(OR(PROCESSOS!Q128="NO PRAZO",PROCESSOS!Q128="VENCE EM BREVE"),OR(FiltroResp="TODOS",FiltroResp="",PROCESSOS!I128=FiltroResp)),PROCESSOS!O128+ROW()/1000000,"")</f>
        <v/>
      </c>
      <c r="BG128" t="str">
        <f>IF(AND(PROCESSOS!B128&lt;&gt;"",ISNUMBER(PROCESSOS!D128),OR(FiltroResp="TODOS",FiltroResp="",PROCESSOS!I128=FiltroResp)),PROCESSOS!D128+ROW()/1000000,"")</f>
        <v/>
      </c>
    </row>
    <row r="129">
      <c r="BF129" t="str">
        <f>IF(AND(OR(PROCESSOS!Q129="NO PRAZO",PROCESSOS!Q129="VENCE EM BREVE"),OR(FiltroResp="TODOS",FiltroResp="",PROCESSOS!I129=FiltroResp)),PROCESSOS!O129+ROW()/1000000,"")</f>
        <v/>
      </c>
      <c r="BG129" t="str">
        <f>IF(AND(PROCESSOS!B129&lt;&gt;"",ISNUMBER(PROCESSOS!D129),OR(FiltroResp="TODOS",FiltroResp="",PROCESSOS!I129=FiltroResp)),PROCESSOS!D129+ROW()/1000000,"")</f>
        <v/>
      </c>
    </row>
    <row r="130">
      <c r="BF130" t="str">
        <f>IF(AND(OR(PROCESSOS!Q130="NO PRAZO",PROCESSOS!Q130="VENCE EM BREVE"),OR(FiltroResp="TODOS",FiltroResp="",PROCESSOS!I130=FiltroResp)),PROCESSOS!O130+ROW()/1000000,"")</f>
        <v/>
      </c>
      <c r="BG130" t="str">
        <f>IF(AND(PROCESSOS!B130&lt;&gt;"",ISNUMBER(PROCESSOS!D130),OR(FiltroResp="TODOS",FiltroResp="",PROCESSOS!I130=FiltroResp)),PROCESSOS!D130+ROW()/1000000,"")</f>
        <v/>
      </c>
    </row>
    <row r="131">
      <c r="BF131" t="str">
        <f>IF(AND(OR(PROCESSOS!Q131="NO PRAZO",PROCESSOS!Q131="VENCE EM BREVE"),OR(FiltroResp="TODOS",FiltroResp="",PROCESSOS!I131=FiltroResp)),PROCESSOS!O131+ROW()/1000000,"")</f>
        <v/>
      </c>
      <c r="BG131" t="str">
        <f>IF(AND(PROCESSOS!B131&lt;&gt;"",ISNUMBER(PROCESSOS!D131),OR(FiltroResp="TODOS",FiltroResp="",PROCESSOS!I131=FiltroResp)),PROCESSOS!D131+ROW()/1000000,"")</f>
        <v/>
      </c>
    </row>
    <row r="132">
      <c r="BF132" t="str">
        <f>IF(AND(OR(PROCESSOS!Q132="NO PRAZO",PROCESSOS!Q132="VENCE EM BREVE"),OR(FiltroResp="TODOS",FiltroResp="",PROCESSOS!I132=FiltroResp)),PROCESSOS!O132+ROW()/1000000,"")</f>
        <v/>
      </c>
      <c r="BG132" t="str">
        <f>IF(AND(PROCESSOS!B132&lt;&gt;"",ISNUMBER(PROCESSOS!D132),OR(FiltroResp="TODOS",FiltroResp="",PROCESSOS!I132=FiltroResp)),PROCESSOS!D132+ROW()/1000000,"")</f>
        <v/>
      </c>
    </row>
    <row r="133">
      <c r="BF133" t="str">
        <f>IF(AND(OR(PROCESSOS!Q133="NO PRAZO",PROCESSOS!Q133="VENCE EM BREVE"),OR(FiltroResp="TODOS",FiltroResp="",PROCESSOS!I133=FiltroResp)),PROCESSOS!O133+ROW()/1000000,"")</f>
        <v/>
      </c>
      <c r="BG133" t="str">
        <f>IF(AND(PROCESSOS!B133&lt;&gt;"",ISNUMBER(PROCESSOS!D133),OR(FiltroResp="TODOS",FiltroResp="",PROCESSOS!I133=FiltroResp)),PROCESSOS!D133+ROW()/1000000,"")</f>
        <v/>
      </c>
    </row>
    <row r="134">
      <c r="BF134" t="str">
        <f>IF(AND(OR(PROCESSOS!Q134="NO PRAZO",PROCESSOS!Q134="VENCE EM BREVE"),OR(FiltroResp="TODOS",FiltroResp="",PROCESSOS!I134=FiltroResp)),PROCESSOS!O134+ROW()/1000000,"")</f>
        <v/>
      </c>
      <c r="BG134" t="str">
        <f>IF(AND(PROCESSOS!B134&lt;&gt;"",ISNUMBER(PROCESSOS!D134),OR(FiltroResp="TODOS",FiltroResp="",PROCESSOS!I134=FiltroResp)),PROCESSOS!D134+ROW()/1000000,"")</f>
        <v/>
      </c>
    </row>
    <row r="135">
      <c r="BF135" t="str">
        <f>IF(AND(OR(PROCESSOS!Q135="NO PRAZO",PROCESSOS!Q135="VENCE EM BREVE"),OR(FiltroResp="TODOS",FiltroResp="",PROCESSOS!I135=FiltroResp)),PROCESSOS!O135+ROW()/1000000,"")</f>
        <v/>
      </c>
      <c r="BG135" t="str">
        <f>IF(AND(PROCESSOS!B135&lt;&gt;"",ISNUMBER(PROCESSOS!D135),OR(FiltroResp="TODOS",FiltroResp="",PROCESSOS!I135=FiltroResp)),PROCESSOS!D135+ROW()/1000000,"")</f>
        <v/>
      </c>
    </row>
    <row r="136">
      <c r="BF136" t="str">
        <f>IF(AND(OR(PROCESSOS!Q136="NO PRAZO",PROCESSOS!Q136="VENCE EM BREVE"),OR(FiltroResp="TODOS",FiltroResp="",PROCESSOS!I136=FiltroResp)),PROCESSOS!O136+ROW()/1000000,"")</f>
        <v/>
      </c>
      <c r="BG136" t="str">
        <f>IF(AND(PROCESSOS!B136&lt;&gt;"",ISNUMBER(PROCESSOS!D136),OR(FiltroResp="TODOS",FiltroResp="",PROCESSOS!I136=FiltroResp)),PROCESSOS!D136+ROW()/1000000,"")</f>
        <v/>
      </c>
    </row>
    <row r="137">
      <c r="BF137" t="str">
        <f>IF(AND(OR(PROCESSOS!Q137="NO PRAZO",PROCESSOS!Q137="VENCE EM BREVE"),OR(FiltroResp="TODOS",FiltroResp="",PROCESSOS!I137=FiltroResp)),PROCESSOS!O137+ROW()/1000000,"")</f>
        <v/>
      </c>
      <c r="BG137" t="str">
        <f>IF(AND(PROCESSOS!B137&lt;&gt;"",ISNUMBER(PROCESSOS!D137),OR(FiltroResp="TODOS",FiltroResp="",PROCESSOS!I137=FiltroResp)),PROCESSOS!D137+ROW()/1000000,"")</f>
        <v/>
      </c>
    </row>
    <row r="138">
      <c r="BF138" t="str">
        <f>IF(AND(OR(PROCESSOS!Q138="NO PRAZO",PROCESSOS!Q138="VENCE EM BREVE"),OR(FiltroResp="TODOS",FiltroResp="",PROCESSOS!I138=FiltroResp)),PROCESSOS!O138+ROW()/1000000,"")</f>
        <v/>
      </c>
      <c r="BG138" t="str">
        <f>IF(AND(PROCESSOS!B138&lt;&gt;"",ISNUMBER(PROCESSOS!D138),OR(FiltroResp="TODOS",FiltroResp="",PROCESSOS!I138=FiltroResp)),PROCESSOS!D138+ROW()/1000000,"")</f>
        <v/>
      </c>
    </row>
    <row r="139">
      <c r="BF139" t="str">
        <f>IF(AND(OR(PROCESSOS!Q139="NO PRAZO",PROCESSOS!Q139="VENCE EM BREVE"),OR(FiltroResp="TODOS",FiltroResp="",PROCESSOS!I139=FiltroResp)),PROCESSOS!O139+ROW()/1000000,"")</f>
        <v/>
      </c>
      <c r="BG139" t="str">
        <f>IF(AND(PROCESSOS!B139&lt;&gt;"",ISNUMBER(PROCESSOS!D139),OR(FiltroResp="TODOS",FiltroResp="",PROCESSOS!I139=FiltroResp)),PROCESSOS!D139+ROW()/1000000,"")</f>
        <v/>
      </c>
    </row>
    <row r="140">
      <c r="BF140" t="str">
        <f>IF(AND(OR(PROCESSOS!Q140="NO PRAZO",PROCESSOS!Q140="VENCE EM BREVE"),OR(FiltroResp="TODOS",FiltroResp="",PROCESSOS!I140=FiltroResp)),PROCESSOS!O140+ROW()/1000000,"")</f>
        <v/>
      </c>
      <c r="BG140" t="str">
        <f>IF(AND(PROCESSOS!B140&lt;&gt;"",ISNUMBER(PROCESSOS!D140),OR(FiltroResp="TODOS",FiltroResp="",PROCESSOS!I140=FiltroResp)),PROCESSOS!D140+ROW()/1000000,"")</f>
        <v/>
      </c>
    </row>
    <row r="141">
      <c r="BF141" t="str">
        <f>IF(AND(OR(PROCESSOS!Q141="NO PRAZO",PROCESSOS!Q141="VENCE EM BREVE"),OR(FiltroResp="TODOS",FiltroResp="",PROCESSOS!I141=FiltroResp)),PROCESSOS!O141+ROW()/1000000,"")</f>
        <v/>
      </c>
      <c r="BG141" t="str">
        <f>IF(AND(PROCESSOS!B141&lt;&gt;"",ISNUMBER(PROCESSOS!D141),OR(FiltroResp="TODOS",FiltroResp="",PROCESSOS!I141=FiltroResp)),PROCESSOS!D141+ROW()/1000000,"")</f>
        <v/>
      </c>
    </row>
    <row r="142">
      <c r="BF142" t="str">
        <f>IF(AND(OR(PROCESSOS!Q142="NO PRAZO",PROCESSOS!Q142="VENCE EM BREVE"),OR(FiltroResp="TODOS",FiltroResp="",PROCESSOS!I142=FiltroResp)),PROCESSOS!O142+ROW()/1000000,"")</f>
        <v/>
      </c>
      <c r="BG142" t="str">
        <f>IF(AND(PROCESSOS!B142&lt;&gt;"",ISNUMBER(PROCESSOS!D142),OR(FiltroResp="TODOS",FiltroResp="",PROCESSOS!I142=FiltroResp)),PROCESSOS!D142+ROW()/1000000,"")</f>
        <v/>
      </c>
    </row>
    <row r="143">
      <c r="BF143" t="str">
        <f>IF(AND(OR(PROCESSOS!Q143="NO PRAZO",PROCESSOS!Q143="VENCE EM BREVE"),OR(FiltroResp="TODOS",FiltroResp="",PROCESSOS!I143=FiltroResp)),PROCESSOS!O143+ROW()/1000000,"")</f>
        <v/>
      </c>
      <c r="BG143" t="str">
        <f>IF(AND(PROCESSOS!B143&lt;&gt;"",ISNUMBER(PROCESSOS!D143),OR(FiltroResp="TODOS",FiltroResp="",PROCESSOS!I143=FiltroResp)),PROCESSOS!D143+ROW()/1000000,"")</f>
        <v/>
      </c>
    </row>
    <row r="144">
      <c r="BF144" t="str">
        <f>IF(AND(OR(PROCESSOS!Q144="NO PRAZO",PROCESSOS!Q144="VENCE EM BREVE"),OR(FiltroResp="TODOS",FiltroResp="",PROCESSOS!I144=FiltroResp)),PROCESSOS!O144+ROW()/1000000,"")</f>
        <v/>
      </c>
      <c r="BG144" t="str">
        <f>IF(AND(PROCESSOS!B144&lt;&gt;"",ISNUMBER(PROCESSOS!D144),OR(FiltroResp="TODOS",FiltroResp="",PROCESSOS!I144=FiltroResp)),PROCESSOS!D144+ROW()/1000000,"")</f>
        <v/>
      </c>
    </row>
    <row r="145">
      <c r="BF145" t="str">
        <f>IF(AND(OR(PROCESSOS!Q145="NO PRAZO",PROCESSOS!Q145="VENCE EM BREVE"),OR(FiltroResp="TODOS",FiltroResp="",PROCESSOS!I145=FiltroResp)),PROCESSOS!O145+ROW()/1000000,"")</f>
        <v/>
      </c>
      <c r="BG145" t="str">
        <f>IF(AND(PROCESSOS!B145&lt;&gt;"",ISNUMBER(PROCESSOS!D145),OR(FiltroResp="TODOS",FiltroResp="",PROCESSOS!I145=FiltroResp)),PROCESSOS!D145+ROW()/1000000,"")</f>
        <v/>
      </c>
    </row>
    <row r="146">
      <c r="BF146" t="str">
        <f>IF(AND(OR(PROCESSOS!Q146="NO PRAZO",PROCESSOS!Q146="VENCE EM BREVE"),OR(FiltroResp="TODOS",FiltroResp="",PROCESSOS!I146=FiltroResp)),PROCESSOS!O146+ROW()/1000000,"")</f>
        <v/>
      </c>
      <c r="BG146" t="str">
        <f>IF(AND(PROCESSOS!B146&lt;&gt;"",ISNUMBER(PROCESSOS!D146),OR(FiltroResp="TODOS",FiltroResp="",PROCESSOS!I146=FiltroResp)),PROCESSOS!D146+ROW()/1000000,"")</f>
        <v/>
      </c>
    </row>
    <row r="147">
      <c r="BF147" t="str">
        <f>IF(AND(OR(PROCESSOS!Q147="NO PRAZO",PROCESSOS!Q147="VENCE EM BREVE"),OR(FiltroResp="TODOS",FiltroResp="",PROCESSOS!I147=FiltroResp)),PROCESSOS!O147+ROW()/1000000,"")</f>
        <v/>
      </c>
      <c r="BG147" t="str">
        <f>IF(AND(PROCESSOS!B147&lt;&gt;"",ISNUMBER(PROCESSOS!D147),OR(FiltroResp="TODOS",FiltroResp="",PROCESSOS!I147=FiltroResp)),PROCESSOS!D147+ROW()/1000000,"")</f>
        <v/>
      </c>
    </row>
    <row r="148">
      <c r="BF148" t="str">
        <f>IF(AND(OR(PROCESSOS!Q148="NO PRAZO",PROCESSOS!Q148="VENCE EM BREVE"),OR(FiltroResp="TODOS",FiltroResp="",PROCESSOS!I148=FiltroResp)),PROCESSOS!O148+ROW()/1000000,"")</f>
        <v/>
      </c>
      <c r="BG148" t="str">
        <f>IF(AND(PROCESSOS!B148&lt;&gt;"",ISNUMBER(PROCESSOS!D148),OR(FiltroResp="TODOS",FiltroResp="",PROCESSOS!I148=FiltroResp)),PROCESSOS!D148+ROW()/1000000,"")</f>
        <v/>
      </c>
    </row>
    <row r="149">
      <c r="BF149" t="str">
        <f>IF(AND(OR(PROCESSOS!Q149="NO PRAZO",PROCESSOS!Q149="VENCE EM BREVE"),OR(FiltroResp="TODOS",FiltroResp="",PROCESSOS!I149=FiltroResp)),PROCESSOS!O149+ROW()/1000000,"")</f>
        <v/>
      </c>
      <c r="BG149" t="str">
        <f>IF(AND(PROCESSOS!B149&lt;&gt;"",ISNUMBER(PROCESSOS!D149),OR(FiltroResp="TODOS",FiltroResp="",PROCESSOS!I149=FiltroResp)),PROCESSOS!D149+ROW()/1000000,"")</f>
        <v/>
      </c>
    </row>
    <row r="150">
      <c r="BF150" t="str">
        <f>IF(AND(OR(PROCESSOS!Q150="NO PRAZO",PROCESSOS!Q150="VENCE EM BREVE"),OR(FiltroResp="TODOS",FiltroResp="",PROCESSOS!I150=FiltroResp)),PROCESSOS!O150+ROW()/1000000,"")</f>
        <v/>
      </c>
      <c r="BG150" t="str">
        <f>IF(AND(PROCESSOS!B150&lt;&gt;"",ISNUMBER(PROCESSOS!D150),OR(FiltroResp="TODOS",FiltroResp="",PROCESSOS!I150=FiltroResp)),PROCESSOS!D150+ROW()/1000000,"")</f>
        <v/>
      </c>
    </row>
    <row r="151">
      <c r="BF151" t="str">
        <f>IF(AND(OR(PROCESSOS!Q151="NO PRAZO",PROCESSOS!Q151="VENCE EM BREVE"),OR(FiltroResp="TODOS",FiltroResp="",PROCESSOS!I151=FiltroResp)),PROCESSOS!O151+ROW()/1000000,"")</f>
        <v/>
      </c>
      <c r="BG151" t="str">
        <f>IF(AND(PROCESSOS!B151&lt;&gt;"",ISNUMBER(PROCESSOS!D151),OR(FiltroResp="TODOS",FiltroResp="",PROCESSOS!I151=FiltroResp)),PROCESSOS!D151+ROW()/1000000,"")</f>
        <v/>
      </c>
    </row>
    <row r="152">
      <c r="BF152" t="str">
        <f>IF(AND(OR(PROCESSOS!Q152="NO PRAZO",PROCESSOS!Q152="VENCE EM BREVE"),OR(FiltroResp="TODOS",FiltroResp="",PROCESSOS!I152=FiltroResp)),PROCESSOS!O152+ROW()/1000000,"")</f>
        <v/>
      </c>
      <c r="BG152" t="str">
        <f>IF(AND(PROCESSOS!B152&lt;&gt;"",ISNUMBER(PROCESSOS!D152),OR(FiltroResp="TODOS",FiltroResp="",PROCESSOS!I152=FiltroResp)),PROCESSOS!D152+ROW()/1000000,"")</f>
        <v/>
      </c>
    </row>
    <row r="153">
      <c r="BF153" t="str">
        <f>IF(AND(OR(PROCESSOS!Q153="NO PRAZO",PROCESSOS!Q153="VENCE EM BREVE"),OR(FiltroResp="TODOS",FiltroResp="",PROCESSOS!I153=FiltroResp)),PROCESSOS!O153+ROW()/1000000,"")</f>
        <v/>
      </c>
      <c r="BG153" t="str">
        <f>IF(AND(PROCESSOS!B153&lt;&gt;"",ISNUMBER(PROCESSOS!D153),OR(FiltroResp="TODOS",FiltroResp="",PROCESSOS!I153=FiltroResp)),PROCESSOS!D153+ROW()/1000000,"")</f>
        <v/>
      </c>
    </row>
    <row r="154">
      <c r="BF154" t="str">
        <f>IF(AND(OR(PROCESSOS!Q154="NO PRAZO",PROCESSOS!Q154="VENCE EM BREVE"),OR(FiltroResp="TODOS",FiltroResp="",PROCESSOS!I154=FiltroResp)),PROCESSOS!O154+ROW()/1000000,"")</f>
        <v/>
      </c>
      <c r="BG154" t="str">
        <f>IF(AND(PROCESSOS!B154&lt;&gt;"",ISNUMBER(PROCESSOS!D154),OR(FiltroResp="TODOS",FiltroResp="",PROCESSOS!I154=FiltroResp)),PROCESSOS!D154+ROW()/1000000,"")</f>
        <v/>
      </c>
    </row>
    <row r="155">
      <c r="BF155" t="str">
        <f>IF(AND(OR(PROCESSOS!Q155="NO PRAZO",PROCESSOS!Q155="VENCE EM BREVE"),OR(FiltroResp="TODOS",FiltroResp="",PROCESSOS!I155=FiltroResp)),PROCESSOS!O155+ROW()/1000000,"")</f>
        <v/>
      </c>
      <c r="BG155" t="str">
        <f>IF(AND(PROCESSOS!B155&lt;&gt;"",ISNUMBER(PROCESSOS!D155),OR(FiltroResp="TODOS",FiltroResp="",PROCESSOS!I155=FiltroResp)),PROCESSOS!D155+ROW()/1000000,"")</f>
        <v/>
      </c>
    </row>
    <row r="156">
      <c r="BF156" t="str">
        <f>IF(AND(OR(PROCESSOS!Q156="NO PRAZO",PROCESSOS!Q156="VENCE EM BREVE"),OR(FiltroResp="TODOS",FiltroResp="",PROCESSOS!I156=FiltroResp)),PROCESSOS!O156+ROW()/1000000,"")</f>
        <v/>
      </c>
      <c r="BG156" t="str">
        <f>IF(AND(PROCESSOS!B156&lt;&gt;"",ISNUMBER(PROCESSOS!D156),OR(FiltroResp="TODOS",FiltroResp="",PROCESSOS!I156=FiltroResp)),PROCESSOS!D156+ROW()/1000000,"")</f>
        <v/>
      </c>
    </row>
    <row r="157">
      <c r="BF157" t="str">
        <f>IF(AND(OR(PROCESSOS!Q157="NO PRAZO",PROCESSOS!Q157="VENCE EM BREVE"),OR(FiltroResp="TODOS",FiltroResp="",PROCESSOS!I157=FiltroResp)),PROCESSOS!O157+ROW()/1000000,"")</f>
        <v/>
      </c>
      <c r="BG157" t="str">
        <f>IF(AND(PROCESSOS!B157&lt;&gt;"",ISNUMBER(PROCESSOS!D157),OR(FiltroResp="TODOS",FiltroResp="",PROCESSOS!I157=FiltroResp)),PROCESSOS!D157+ROW()/1000000,"")</f>
        <v/>
      </c>
    </row>
    <row r="158">
      <c r="BF158" t="str">
        <f>IF(AND(OR(PROCESSOS!Q158="NO PRAZO",PROCESSOS!Q158="VENCE EM BREVE"),OR(FiltroResp="TODOS",FiltroResp="",PROCESSOS!I158=FiltroResp)),PROCESSOS!O158+ROW()/1000000,"")</f>
        <v/>
      </c>
      <c r="BG158" t="str">
        <f>IF(AND(PROCESSOS!B158&lt;&gt;"",ISNUMBER(PROCESSOS!D158),OR(FiltroResp="TODOS",FiltroResp="",PROCESSOS!I158=FiltroResp)),PROCESSOS!D158+ROW()/1000000,"")</f>
        <v/>
      </c>
    </row>
    <row r="159">
      <c r="BF159" t="str">
        <f>IF(AND(OR(PROCESSOS!Q159="NO PRAZO",PROCESSOS!Q159="VENCE EM BREVE"),OR(FiltroResp="TODOS",FiltroResp="",PROCESSOS!I159=FiltroResp)),PROCESSOS!O159+ROW()/1000000,"")</f>
        <v/>
      </c>
      <c r="BG159" t="str">
        <f>IF(AND(PROCESSOS!B159&lt;&gt;"",ISNUMBER(PROCESSOS!D159),OR(FiltroResp="TODOS",FiltroResp="",PROCESSOS!I159=FiltroResp)),PROCESSOS!D159+ROW()/1000000,"")</f>
        <v/>
      </c>
    </row>
    <row r="160">
      <c r="BF160" t="str">
        <f>IF(AND(OR(PROCESSOS!Q160="NO PRAZO",PROCESSOS!Q160="VENCE EM BREVE"),OR(FiltroResp="TODOS",FiltroResp="",PROCESSOS!I160=FiltroResp)),PROCESSOS!O160+ROW()/1000000,"")</f>
        <v/>
      </c>
      <c r="BG160" t="str">
        <f>IF(AND(PROCESSOS!B160&lt;&gt;"",ISNUMBER(PROCESSOS!D160),OR(FiltroResp="TODOS",FiltroResp="",PROCESSOS!I160=FiltroResp)),PROCESSOS!D160+ROW()/1000000,"")</f>
        <v/>
      </c>
    </row>
    <row r="161">
      <c r="BF161" t="str">
        <f>IF(AND(OR(PROCESSOS!Q161="NO PRAZO",PROCESSOS!Q161="VENCE EM BREVE"),OR(FiltroResp="TODOS",FiltroResp="",PROCESSOS!I161=FiltroResp)),PROCESSOS!O161+ROW()/1000000,"")</f>
        <v/>
      </c>
      <c r="BG161" t="str">
        <f>IF(AND(PROCESSOS!B161&lt;&gt;"",ISNUMBER(PROCESSOS!D161),OR(FiltroResp="TODOS",FiltroResp="",PROCESSOS!I161=FiltroResp)),PROCESSOS!D161+ROW()/1000000,"")</f>
        <v/>
      </c>
    </row>
    <row r="162">
      <c r="BF162" t="str">
        <f>IF(AND(OR(PROCESSOS!Q162="NO PRAZO",PROCESSOS!Q162="VENCE EM BREVE"),OR(FiltroResp="TODOS",FiltroResp="",PROCESSOS!I162=FiltroResp)),PROCESSOS!O162+ROW()/1000000,"")</f>
        <v/>
      </c>
      <c r="BG162" t="str">
        <f>IF(AND(PROCESSOS!B162&lt;&gt;"",ISNUMBER(PROCESSOS!D162),OR(FiltroResp="TODOS",FiltroResp="",PROCESSOS!I162=FiltroResp)),PROCESSOS!D162+ROW()/1000000,"")</f>
        <v/>
      </c>
    </row>
    <row r="163">
      <c r="BF163" t="str">
        <f>IF(AND(OR(PROCESSOS!Q163="NO PRAZO",PROCESSOS!Q163="VENCE EM BREVE"),OR(FiltroResp="TODOS",FiltroResp="",PROCESSOS!I163=FiltroResp)),PROCESSOS!O163+ROW()/1000000,"")</f>
        <v/>
      </c>
      <c r="BG163" t="str">
        <f>IF(AND(PROCESSOS!B163&lt;&gt;"",ISNUMBER(PROCESSOS!D163),OR(FiltroResp="TODOS",FiltroResp="",PROCESSOS!I163=FiltroResp)),PROCESSOS!D163+ROW()/1000000,"")</f>
        <v/>
      </c>
    </row>
    <row r="164">
      <c r="BF164" t="str">
        <f>IF(AND(OR(PROCESSOS!Q164="NO PRAZO",PROCESSOS!Q164="VENCE EM BREVE"),OR(FiltroResp="TODOS",FiltroResp="",PROCESSOS!I164=FiltroResp)),PROCESSOS!O164+ROW()/1000000,"")</f>
        <v/>
      </c>
      <c r="BG164" t="str">
        <f>IF(AND(PROCESSOS!B164&lt;&gt;"",ISNUMBER(PROCESSOS!D164),OR(FiltroResp="TODOS",FiltroResp="",PROCESSOS!I164=FiltroResp)),PROCESSOS!D164+ROW()/1000000,"")</f>
        <v/>
      </c>
    </row>
    <row r="165">
      <c r="BF165" t="str">
        <f>IF(AND(OR(PROCESSOS!Q165="NO PRAZO",PROCESSOS!Q165="VENCE EM BREVE"),OR(FiltroResp="TODOS",FiltroResp="",PROCESSOS!I165=FiltroResp)),PROCESSOS!O165+ROW()/1000000,"")</f>
        <v/>
      </c>
      <c r="BG165" t="str">
        <f>IF(AND(PROCESSOS!B165&lt;&gt;"",ISNUMBER(PROCESSOS!D165),OR(FiltroResp="TODOS",FiltroResp="",PROCESSOS!I165=FiltroResp)),PROCESSOS!D165+ROW()/1000000,"")</f>
        <v/>
      </c>
    </row>
    <row r="166">
      <c r="BF166" t="str">
        <f>IF(AND(OR(PROCESSOS!Q166="NO PRAZO",PROCESSOS!Q166="VENCE EM BREVE"),OR(FiltroResp="TODOS",FiltroResp="",PROCESSOS!I166=FiltroResp)),PROCESSOS!O166+ROW()/1000000,"")</f>
        <v/>
      </c>
      <c r="BG166" t="str">
        <f>IF(AND(PROCESSOS!B166&lt;&gt;"",ISNUMBER(PROCESSOS!D166),OR(FiltroResp="TODOS",FiltroResp="",PROCESSOS!I166=FiltroResp)),PROCESSOS!D166+ROW()/1000000,"")</f>
        <v/>
      </c>
    </row>
    <row r="167">
      <c r="BF167" t="str">
        <f>IF(AND(OR(PROCESSOS!Q167="NO PRAZO",PROCESSOS!Q167="VENCE EM BREVE"),OR(FiltroResp="TODOS",FiltroResp="",PROCESSOS!I167=FiltroResp)),PROCESSOS!O167+ROW()/1000000,"")</f>
        <v/>
      </c>
      <c r="BG167" t="str">
        <f>IF(AND(PROCESSOS!B167&lt;&gt;"",ISNUMBER(PROCESSOS!D167),OR(FiltroResp="TODOS",FiltroResp="",PROCESSOS!I167=FiltroResp)),PROCESSOS!D167+ROW()/1000000,"")</f>
        <v/>
      </c>
    </row>
    <row r="168">
      <c r="BF168" t="str">
        <f>IF(AND(OR(PROCESSOS!Q168="NO PRAZO",PROCESSOS!Q168="VENCE EM BREVE"),OR(FiltroResp="TODOS",FiltroResp="",PROCESSOS!I168=FiltroResp)),PROCESSOS!O168+ROW()/1000000,"")</f>
        <v/>
      </c>
      <c r="BG168" t="str">
        <f>IF(AND(PROCESSOS!B168&lt;&gt;"",ISNUMBER(PROCESSOS!D168),OR(FiltroResp="TODOS",FiltroResp="",PROCESSOS!I168=FiltroResp)),PROCESSOS!D168+ROW()/1000000,"")</f>
        <v/>
      </c>
    </row>
    <row r="169">
      <c r="BF169" t="str">
        <f>IF(AND(OR(PROCESSOS!Q169="NO PRAZO",PROCESSOS!Q169="VENCE EM BREVE"),OR(FiltroResp="TODOS",FiltroResp="",PROCESSOS!I169=FiltroResp)),PROCESSOS!O169+ROW()/1000000,"")</f>
        <v/>
      </c>
      <c r="BG169" t="str">
        <f>IF(AND(PROCESSOS!B169&lt;&gt;"",ISNUMBER(PROCESSOS!D169),OR(FiltroResp="TODOS",FiltroResp="",PROCESSOS!I169=FiltroResp)),PROCESSOS!D169+ROW()/1000000,"")</f>
        <v/>
      </c>
    </row>
    <row r="170">
      <c r="BF170" t="str">
        <f>IF(AND(OR(PROCESSOS!Q170="NO PRAZO",PROCESSOS!Q170="VENCE EM BREVE"),OR(FiltroResp="TODOS",FiltroResp="",PROCESSOS!I170=FiltroResp)),PROCESSOS!O170+ROW()/1000000,"")</f>
        <v/>
      </c>
      <c r="BG170" t="str">
        <f>IF(AND(PROCESSOS!B170&lt;&gt;"",ISNUMBER(PROCESSOS!D170),OR(FiltroResp="TODOS",FiltroResp="",PROCESSOS!I170=FiltroResp)),PROCESSOS!D170+ROW()/1000000,"")</f>
        <v/>
      </c>
    </row>
    <row r="171">
      <c r="BF171" t="str">
        <f>IF(AND(OR(PROCESSOS!Q171="NO PRAZO",PROCESSOS!Q171="VENCE EM BREVE"),OR(FiltroResp="TODOS",FiltroResp="",PROCESSOS!I171=FiltroResp)),PROCESSOS!O171+ROW()/1000000,"")</f>
        <v/>
      </c>
      <c r="BG171" t="str">
        <f>IF(AND(PROCESSOS!B171&lt;&gt;"",ISNUMBER(PROCESSOS!D171),OR(FiltroResp="TODOS",FiltroResp="",PROCESSOS!I171=FiltroResp)),PROCESSOS!D171+ROW()/1000000,"")</f>
        <v/>
      </c>
    </row>
    <row r="172">
      <c r="BF172" t="str">
        <f>IF(AND(OR(PROCESSOS!Q172="NO PRAZO",PROCESSOS!Q172="VENCE EM BREVE"),OR(FiltroResp="TODOS",FiltroResp="",PROCESSOS!I172=FiltroResp)),PROCESSOS!O172+ROW()/1000000,"")</f>
        <v/>
      </c>
      <c r="BG172" t="str">
        <f>IF(AND(PROCESSOS!B172&lt;&gt;"",ISNUMBER(PROCESSOS!D172),OR(FiltroResp="TODOS",FiltroResp="",PROCESSOS!I172=FiltroResp)),PROCESSOS!D172+ROW()/1000000,"")</f>
        <v/>
      </c>
    </row>
    <row r="173">
      <c r="BF173" t="str">
        <f>IF(AND(OR(PROCESSOS!Q173="NO PRAZO",PROCESSOS!Q173="VENCE EM BREVE"),OR(FiltroResp="TODOS",FiltroResp="",PROCESSOS!I173=FiltroResp)),PROCESSOS!O173+ROW()/1000000,"")</f>
        <v/>
      </c>
      <c r="BG173" t="str">
        <f>IF(AND(PROCESSOS!B173&lt;&gt;"",ISNUMBER(PROCESSOS!D173),OR(FiltroResp="TODOS",FiltroResp="",PROCESSOS!I173=FiltroResp)),PROCESSOS!D173+ROW()/1000000,"")</f>
        <v/>
      </c>
    </row>
    <row r="174">
      <c r="BF174" t="str">
        <f>IF(AND(OR(PROCESSOS!Q174="NO PRAZO",PROCESSOS!Q174="VENCE EM BREVE"),OR(FiltroResp="TODOS",FiltroResp="",PROCESSOS!I174=FiltroResp)),PROCESSOS!O174+ROW()/1000000,"")</f>
        <v/>
      </c>
      <c r="BG174" t="str">
        <f>IF(AND(PROCESSOS!B174&lt;&gt;"",ISNUMBER(PROCESSOS!D174),OR(FiltroResp="TODOS",FiltroResp="",PROCESSOS!I174=FiltroResp)),PROCESSOS!D174+ROW()/1000000,"")</f>
        <v/>
      </c>
    </row>
    <row r="175">
      <c r="BF175" t="str">
        <f>IF(AND(OR(PROCESSOS!Q175="NO PRAZO",PROCESSOS!Q175="VENCE EM BREVE"),OR(FiltroResp="TODOS",FiltroResp="",PROCESSOS!I175=FiltroResp)),PROCESSOS!O175+ROW()/1000000,"")</f>
        <v/>
      </c>
      <c r="BG175" t="str">
        <f>IF(AND(PROCESSOS!B175&lt;&gt;"",ISNUMBER(PROCESSOS!D175),OR(FiltroResp="TODOS",FiltroResp="",PROCESSOS!I175=FiltroResp)),PROCESSOS!D175+ROW()/1000000,"")</f>
        <v/>
      </c>
    </row>
    <row r="176">
      <c r="BF176" t="str">
        <f>IF(AND(OR(PROCESSOS!Q176="NO PRAZO",PROCESSOS!Q176="VENCE EM BREVE"),OR(FiltroResp="TODOS",FiltroResp="",PROCESSOS!I176=FiltroResp)),PROCESSOS!O176+ROW()/1000000,"")</f>
        <v/>
      </c>
      <c r="BG176" t="str">
        <f>IF(AND(PROCESSOS!B176&lt;&gt;"",ISNUMBER(PROCESSOS!D176),OR(FiltroResp="TODOS",FiltroResp="",PROCESSOS!I176=FiltroResp)),PROCESSOS!D176+ROW()/1000000,"")</f>
        <v/>
      </c>
    </row>
    <row r="177">
      <c r="BF177" t="str">
        <f>IF(AND(OR(PROCESSOS!Q177="NO PRAZO",PROCESSOS!Q177="VENCE EM BREVE"),OR(FiltroResp="TODOS",FiltroResp="",PROCESSOS!I177=FiltroResp)),PROCESSOS!O177+ROW()/1000000,"")</f>
        <v/>
      </c>
      <c r="BG177" t="str">
        <f>IF(AND(PROCESSOS!B177&lt;&gt;"",ISNUMBER(PROCESSOS!D177),OR(FiltroResp="TODOS",FiltroResp="",PROCESSOS!I177=FiltroResp)),PROCESSOS!D177+ROW()/1000000,"")</f>
        <v/>
      </c>
    </row>
    <row r="178">
      <c r="BF178" t="str">
        <f>IF(AND(OR(PROCESSOS!Q178="NO PRAZO",PROCESSOS!Q178="VENCE EM BREVE"),OR(FiltroResp="TODOS",FiltroResp="",PROCESSOS!I178=FiltroResp)),PROCESSOS!O178+ROW()/1000000,"")</f>
        <v/>
      </c>
      <c r="BG178" t="str">
        <f>IF(AND(PROCESSOS!B178&lt;&gt;"",ISNUMBER(PROCESSOS!D178),OR(FiltroResp="TODOS",FiltroResp="",PROCESSOS!I178=FiltroResp)),PROCESSOS!D178+ROW()/1000000,"")</f>
        <v/>
      </c>
    </row>
    <row r="179">
      <c r="BF179" t="str">
        <f>IF(AND(OR(PROCESSOS!Q179="NO PRAZO",PROCESSOS!Q179="VENCE EM BREVE"),OR(FiltroResp="TODOS",FiltroResp="",PROCESSOS!I179=FiltroResp)),PROCESSOS!O179+ROW()/1000000,"")</f>
        <v/>
      </c>
      <c r="BG179" t="str">
        <f>IF(AND(PROCESSOS!B179&lt;&gt;"",ISNUMBER(PROCESSOS!D179),OR(FiltroResp="TODOS",FiltroResp="",PROCESSOS!I179=FiltroResp)),PROCESSOS!D179+ROW()/1000000,"")</f>
        <v/>
      </c>
    </row>
    <row r="180">
      <c r="BF180" t="str">
        <f>IF(AND(OR(PROCESSOS!Q180="NO PRAZO",PROCESSOS!Q180="VENCE EM BREVE"),OR(FiltroResp="TODOS",FiltroResp="",PROCESSOS!I180=FiltroResp)),PROCESSOS!O180+ROW()/1000000,"")</f>
        <v/>
      </c>
      <c r="BG180" t="str">
        <f>IF(AND(PROCESSOS!B180&lt;&gt;"",ISNUMBER(PROCESSOS!D180),OR(FiltroResp="TODOS",FiltroResp="",PROCESSOS!I180=FiltroResp)),PROCESSOS!D180+ROW()/1000000,"")</f>
        <v/>
      </c>
    </row>
    <row r="181">
      <c r="BF181" t="str">
        <f>IF(AND(OR(PROCESSOS!Q181="NO PRAZO",PROCESSOS!Q181="VENCE EM BREVE"),OR(FiltroResp="TODOS",FiltroResp="",PROCESSOS!I181=FiltroResp)),PROCESSOS!O181+ROW()/1000000,"")</f>
        <v/>
      </c>
      <c r="BG181" t="str">
        <f>IF(AND(PROCESSOS!B181&lt;&gt;"",ISNUMBER(PROCESSOS!D181),OR(FiltroResp="TODOS",FiltroResp="",PROCESSOS!I181=FiltroResp)),PROCESSOS!D181+ROW()/1000000,"")</f>
        <v/>
      </c>
    </row>
    <row r="182">
      <c r="BF182" t="str">
        <f>IF(AND(OR(PROCESSOS!Q182="NO PRAZO",PROCESSOS!Q182="VENCE EM BREVE"),OR(FiltroResp="TODOS",FiltroResp="",PROCESSOS!I182=FiltroResp)),PROCESSOS!O182+ROW()/1000000,"")</f>
        <v/>
      </c>
      <c r="BG182" t="str">
        <f>IF(AND(PROCESSOS!B182&lt;&gt;"",ISNUMBER(PROCESSOS!D182),OR(FiltroResp="TODOS",FiltroResp="",PROCESSOS!I182=FiltroResp)),PROCESSOS!D182+ROW()/1000000,"")</f>
        <v/>
      </c>
    </row>
    <row r="183">
      <c r="BF183" t="str">
        <f>IF(AND(OR(PROCESSOS!Q183="NO PRAZO",PROCESSOS!Q183="VENCE EM BREVE"),OR(FiltroResp="TODOS",FiltroResp="",PROCESSOS!I183=FiltroResp)),PROCESSOS!O183+ROW()/1000000,"")</f>
        <v/>
      </c>
      <c r="BG183" t="str">
        <f>IF(AND(PROCESSOS!B183&lt;&gt;"",ISNUMBER(PROCESSOS!D183),OR(FiltroResp="TODOS",FiltroResp="",PROCESSOS!I183=FiltroResp)),PROCESSOS!D183+ROW()/1000000,"")</f>
        <v/>
      </c>
    </row>
    <row r="184">
      <c r="BF184" t="str">
        <f>IF(AND(OR(PROCESSOS!Q184="NO PRAZO",PROCESSOS!Q184="VENCE EM BREVE"),OR(FiltroResp="TODOS",FiltroResp="",PROCESSOS!I184=FiltroResp)),PROCESSOS!O184+ROW()/1000000,"")</f>
        <v/>
      </c>
      <c r="BG184" t="str">
        <f>IF(AND(PROCESSOS!B184&lt;&gt;"",ISNUMBER(PROCESSOS!D184),OR(FiltroResp="TODOS",FiltroResp="",PROCESSOS!I184=FiltroResp)),PROCESSOS!D184+ROW()/1000000,"")</f>
        <v/>
      </c>
    </row>
    <row r="185">
      <c r="BF185" t="str">
        <f>IF(AND(OR(PROCESSOS!Q185="NO PRAZO",PROCESSOS!Q185="VENCE EM BREVE"),OR(FiltroResp="TODOS",FiltroResp="",PROCESSOS!I185=FiltroResp)),PROCESSOS!O185+ROW()/1000000,"")</f>
        <v/>
      </c>
      <c r="BG185" t="str">
        <f>IF(AND(PROCESSOS!B185&lt;&gt;"",ISNUMBER(PROCESSOS!D185),OR(FiltroResp="TODOS",FiltroResp="",PROCESSOS!I185=FiltroResp)),PROCESSOS!D185+ROW()/1000000,"")</f>
        <v/>
      </c>
    </row>
    <row r="186">
      <c r="BF186" t="str">
        <f>IF(AND(OR(PROCESSOS!Q186="NO PRAZO",PROCESSOS!Q186="VENCE EM BREVE"),OR(FiltroResp="TODOS",FiltroResp="",PROCESSOS!I186=FiltroResp)),PROCESSOS!O186+ROW()/1000000,"")</f>
        <v/>
      </c>
      <c r="BG186" t="str">
        <f>IF(AND(PROCESSOS!B186&lt;&gt;"",ISNUMBER(PROCESSOS!D186),OR(FiltroResp="TODOS",FiltroResp="",PROCESSOS!I186=FiltroResp)),PROCESSOS!D186+ROW()/1000000,"")</f>
        <v/>
      </c>
    </row>
    <row r="187">
      <c r="BF187" t="str">
        <f>IF(AND(OR(PROCESSOS!Q187="NO PRAZO",PROCESSOS!Q187="VENCE EM BREVE"),OR(FiltroResp="TODOS",FiltroResp="",PROCESSOS!I187=FiltroResp)),PROCESSOS!O187+ROW()/1000000,"")</f>
        <v/>
      </c>
      <c r="BG187" t="str">
        <f>IF(AND(PROCESSOS!B187&lt;&gt;"",ISNUMBER(PROCESSOS!D187),OR(FiltroResp="TODOS",FiltroResp="",PROCESSOS!I187=FiltroResp)),PROCESSOS!D187+ROW()/1000000,"")</f>
        <v/>
      </c>
    </row>
    <row r="188">
      <c r="BF188" t="str">
        <f>IF(AND(OR(PROCESSOS!Q188="NO PRAZO",PROCESSOS!Q188="VENCE EM BREVE"),OR(FiltroResp="TODOS",FiltroResp="",PROCESSOS!I188=FiltroResp)),PROCESSOS!O188+ROW()/1000000,"")</f>
        <v/>
      </c>
      <c r="BG188" t="str">
        <f>IF(AND(PROCESSOS!B188&lt;&gt;"",ISNUMBER(PROCESSOS!D188),OR(FiltroResp="TODOS",FiltroResp="",PROCESSOS!I188=FiltroResp)),PROCESSOS!D188+ROW()/1000000,"")</f>
        <v/>
      </c>
    </row>
    <row r="189">
      <c r="BF189" t="str">
        <f>IF(AND(OR(PROCESSOS!Q189="NO PRAZO",PROCESSOS!Q189="VENCE EM BREVE"),OR(FiltroResp="TODOS",FiltroResp="",PROCESSOS!I189=FiltroResp)),PROCESSOS!O189+ROW()/1000000,"")</f>
        <v/>
      </c>
      <c r="BG189" t="str">
        <f>IF(AND(PROCESSOS!B189&lt;&gt;"",ISNUMBER(PROCESSOS!D189),OR(FiltroResp="TODOS",FiltroResp="",PROCESSOS!I189=FiltroResp)),PROCESSOS!D189+ROW()/1000000,"")</f>
        <v/>
      </c>
    </row>
    <row r="190">
      <c r="BF190" t="str">
        <f>IF(AND(OR(PROCESSOS!Q190="NO PRAZO",PROCESSOS!Q190="VENCE EM BREVE"),OR(FiltroResp="TODOS",FiltroResp="",PROCESSOS!I190=FiltroResp)),PROCESSOS!O190+ROW()/1000000,"")</f>
        <v/>
      </c>
      <c r="BG190" t="str">
        <f>IF(AND(PROCESSOS!B190&lt;&gt;"",ISNUMBER(PROCESSOS!D190),OR(FiltroResp="TODOS",FiltroResp="",PROCESSOS!I190=FiltroResp)),PROCESSOS!D190+ROW()/1000000,"")</f>
        <v/>
      </c>
    </row>
    <row r="191">
      <c r="BF191" t="str">
        <f>IF(AND(OR(PROCESSOS!Q191="NO PRAZO",PROCESSOS!Q191="VENCE EM BREVE"),OR(FiltroResp="TODOS",FiltroResp="",PROCESSOS!I191=FiltroResp)),PROCESSOS!O191+ROW()/1000000,"")</f>
        <v/>
      </c>
      <c r="BG191" t="str">
        <f>IF(AND(PROCESSOS!B191&lt;&gt;"",ISNUMBER(PROCESSOS!D191),OR(FiltroResp="TODOS",FiltroResp="",PROCESSOS!I191=FiltroResp)),PROCESSOS!D191+ROW()/1000000,"")</f>
        <v/>
      </c>
    </row>
    <row r="192">
      <c r="BF192" t="str">
        <f>IF(AND(OR(PROCESSOS!Q192="NO PRAZO",PROCESSOS!Q192="VENCE EM BREVE"),OR(FiltroResp="TODOS",FiltroResp="",PROCESSOS!I192=FiltroResp)),PROCESSOS!O192+ROW()/1000000,"")</f>
        <v/>
      </c>
      <c r="BG192" t="str">
        <f>IF(AND(PROCESSOS!B192&lt;&gt;"",ISNUMBER(PROCESSOS!D192),OR(FiltroResp="TODOS",FiltroResp="",PROCESSOS!I192=FiltroResp)),PROCESSOS!D192+ROW()/1000000,"")</f>
        <v/>
      </c>
    </row>
    <row r="193">
      <c r="BF193" t="str">
        <f>IF(AND(OR(PROCESSOS!Q193="NO PRAZO",PROCESSOS!Q193="VENCE EM BREVE"),OR(FiltroResp="TODOS",FiltroResp="",PROCESSOS!I193=FiltroResp)),PROCESSOS!O193+ROW()/1000000,"")</f>
        <v/>
      </c>
      <c r="BG193" t="str">
        <f>IF(AND(PROCESSOS!B193&lt;&gt;"",ISNUMBER(PROCESSOS!D193),OR(FiltroResp="TODOS",FiltroResp="",PROCESSOS!I193=FiltroResp)),PROCESSOS!D193+ROW()/1000000,"")</f>
        <v/>
      </c>
    </row>
    <row r="194">
      <c r="BF194" t="str">
        <f>IF(AND(OR(PROCESSOS!Q194="NO PRAZO",PROCESSOS!Q194="VENCE EM BREVE"),OR(FiltroResp="TODOS",FiltroResp="",PROCESSOS!I194=FiltroResp)),PROCESSOS!O194+ROW()/1000000,"")</f>
        <v/>
      </c>
      <c r="BG194" t="str">
        <f>IF(AND(PROCESSOS!B194&lt;&gt;"",ISNUMBER(PROCESSOS!D194),OR(FiltroResp="TODOS",FiltroResp="",PROCESSOS!I194=FiltroResp)),PROCESSOS!D194+ROW()/1000000,"")</f>
        <v/>
      </c>
    </row>
    <row r="195">
      <c r="BF195" t="str">
        <f>IF(AND(OR(PROCESSOS!Q195="NO PRAZO",PROCESSOS!Q195="VENCE EM BREVE"),OR(FiltroResp="TODOS",FiltroResp="",PROCESSOS!I195=FiltroResp)),PROCESSOS!O195+ROW()/1000000,"")</f>
        <v/>
      </c>
      <c r="BG195" t="str">
        <f>IF(AND(PROCESSOS!B195&lt;&gt;"",ISNUMBER(PROCESSOS!D195),OR(FiltroResp="TODOS",FiltroResp="",PROCESSOS!I195=FiltroResp)),PROCESSOS!D195+ROW()/1000000,"")</f>
        <v/>
      </c>
    </row>
    <row r="196">
      <c r="BF196" t="str">
        <f>IF(AND(OR(PROCESSOS!Q196="NO PRAZO",PROCESSOS!Q196="VENCE EM BREVE"),OR(FiltroResp="TODOS",FiltroResp="",PROCESSOS!I196=FiltroResp)),PROCESSOS!O196+ROW()/1000000,"")</f>
        <v/>
      </c>
      <c r="BG196" t="str">
        <f>IF(AND(PROCESSOS!B196&lt;&gt;"",ISNUMBER(PROCESSOS!D196),OR(FiltroResp="TODOS",FiltroResp="",PROCESSOS!I196=FiltroResp)),PROCESSOS!D196+ROW()/1000000,"")</f>
        <v/>
      </c>
    </row>
    <row r="197">
      <c r="BF197" t="str">
        <f>IF(AND(OR(PROCESSOS!Q197="NO PRAZO",PROCESSOS!Q197="VENCE EM BREVE"),OR(FiltroResp="TODOS",FiltroResp="",PROCESSOS!I197=FiltroResp)),PROCESSOS!O197+ROW()/1000000,"")</f>
        <v/>
      </c>
      <c r="BG197" t="str">
        <f>IF(AND(PROCESSOS!B197&lt;&gt;"",ISNUMBER(PROCESSOS!D197),OR(FiltroResp="TODOS",FiltroResp="",PROCESSOS!I197=FiltroResp)),PROCESSOS!D197+ROW()/1000000,"")</f>
        <v/>
      </c>
    </row>
    <row r="198">
      <c r="BF198" t="str">
        <f>IF(AND(OR(PROCESSOS!Q198="NO PRAZO",PROCESSOS!Q198="VENCE EM BREVE"),OR(FiltroResp="TODOS",FiltroResp="",PROCESSOS!I198=FiltroResp)),PROCESSOS!O198+ROW()/1000000,"")</f>
        <v/>
      </c>
      <c r="BG198" t="str">
        <f>IF(AND(PROCESSOS!B198&lt;&gt;"",ISNUMBER(PROCESSOS!D198),OR(FiltroResp="TODOS",FiltroResp="",PROCESSOS!I198=FiltroResp)),PROCESSOS!D198+ROW()/1000000,"")</f>
        <v/>
      </c>
    </row>
    <row r="199">
      <c r="BF199" t="str">
        <f>IF(AND(OR(PROCESSOS!Q199="NO PRAZO",PROCESSOS!Q199="VENCE EM BREVE"),OR(FiltroResp="TODOS",FiltroResp="",PROCESSOS!I199=FiltroResp)),PROCESSOS!O199+ROW()/1000000,"")</f>
        <v/>
      </c>
      <c r="BG199" t="str">
        <f>IF(AND(PROCESSOS!B199&lt;&gt;"",ISNUMBER(PROCESSOS!D199),OR(FiltroResp="TODOS",FiltroResp="",PROCESSOS!I199=FiltroResp)),PROCESSOS!D199+ROW()/1000000,"")</f>
        <v/>
      </c>
    </row>
    <row r="200">
      <c r="BF200" t="str">
        <f>IF(AND(OR(PROCESSOS!Q200="NO PRAZO",PROCESSOS!Q200="VENCE EM BREVE"),OR(FiltroResp="TODOS",FiltroResp="",PROCESSOS!I200=FiltroResp)),PROCESSOS!O200+ROW()/1000000,"")</f>
        <v/>
      </c>
      <c r="BG200" t="str">
        <f>IF(AND(PROCESSOS!B200&lt;&gt;"",ISNUMBER(PROCESSOS!D200),OR(FiltroResp="TODOS",FiltroResp="",PROCESSOS!I200=FiltroResp)),PROCESSOS!D200+ROW()/1000000,"")</f>
        <v/>
      </c>
    </row>
    <row r="201">
      <c r="BF201" t="str">
        <f>IF(AND(OR(PROCESSOS!Q201="NO PRAZO",PROCESSOS!Q201="VENCE EM BREVE"),OR(FiltroResp="TODOS",FiltroResp="",PROCESSOS!I201=FiltroResp)),PROCESSOS!O201+ROW()/1000000,"")</f>
        <v/>
      </c>
      <c r="BG201" t="str">
        <f>IF(AND(PROCESSOS!B201&lt;&gt;"",ISNUMBER(PROCESSOS!D201),OR(FiltroResp="TODOS",FiltroResp="",PROCESSOS!I201=FiltroResp)),PROCESSOS!D201+ROW()/1000000,"")</f>
        <v/>
      </c>
    </row>
    <row r="202">
      <c r="BF202" t="str">
        <f>IF(AND(OR(PROCESSOS!Q202="NO PRAZO",PROCESSOS!Q202="VENCE EM BREVE"),OR(FiltroResp="TODOS",FiltroResp="",PROCESSOS!I202=FiltroResp)),PROCESSOS!O202+ROW()/1000000,"")</f>
        <v/>
      </c>
      <c r="BG202" t="str">
        <f>IF(AND(PROCESSOS!B202&lt;&gt;"",ISNUMBER(PROCESSOS!D202),OR(FiltroResp="TODOS",FiltroResp="",PROCESSOS!I202=FiltroResp)),PROCESSOS!D202+ROW()/1000000,"")</f>
        <v/>
      </c>
    </row>
    <row r="203">
      <c r="BF203" t="str">
        <f>IF(AND(OR(PROCESSOS!Q203="NO PRAZO",PROCESSOS!Q203="VENCE EM BREVE"),OR(FiltroResp="TODOS",FiltroResp="",PROCESSOS!I203=FiltroResp)),PROCESSOS!O203+ROW()/1000000,"")</f>
        <v/>
      </c>
      <c r="BG203" t="str">
        <f>IF(AND(PROCESSOS!B203&lt;&gt;"",ISNUMBER(PROCESSOS!D203),OR(FiltroResp="TODOS",FiltroResp="",PROCESSOS!I203=FiltroResp)),PROCESSOS!D203+ROW()/1000000,"")</f>
        <v/>
      </c>
    </row>
    <row r="204">
      <c r="BF204" t="str">
        <f>IF(AND(OR(PROCESSOS!Q204="NO PRAZO",PROCESSOS!Q204="VENCE EM BREVE"),OR(FiltroResp="TODOS",FiltroResp="",PROCESSOS!I204=FiltroResp)),PROCESSOS!O204+ROW()/1000000,"")</f>
        <v/>
      </c>
      <c r="BG204" t="str">
        <f>IF(AND(PROCESSOS!B204&lt;&gt;"",ISNUMBER(PROCESSOS!D204),OR(FiltroResp="TODOS",FiltroResp="",PROCESSOS!I204=FiltroResp)),PROCESSOS!D204+ROW()/1000000,"")</f>
        <v/>
      </c>
    </row>
    <row r="205">
      <c r="BF205" t="str">
        <f>IF(AND(OR(PROCESSOS!Q205="NO PRAZO",PROCESSOS!Q205="VENCE EM BREVE"),OR(FiltroResp="TODOS",FiltroResp="",PROCESSOS!I205=FiltroResp)),PROCESSOS!O205+ROW()/1000000,"")</f>
        <v/>
      </c>
      <c r="BG205" t="str">
        <f>IF(AND(PROCESSOS!B205&lt;&gt;"",ISNUMBER(PROCESSOS!D205),OR(FiltroResp="TODOS",FiltroResp="",PROCESSOS!I205=FiltroResp)),PROCESSOS!D205+ROW()/1000000,"")</f>
        <v/>
      </c>
    </row>
    <row r="206">
      <c r="BF206" t="str">
        <f>IF(AND(OR(PROCESSOS!Q206="NO PRAZO",PROCESSOS!Q206="VENCE EM BREVE"),OR(FiltroResp="TODOS",FiltroResp="",PROCESSOS!I206=FiltroResp)),PROCESSOS!O206+ROW()/1000000,"")</f>
        <v/>
      </c>
      <c r="BG206" t="str">
        <f>IF(AND(PROCESSOS!B206&lt;&gt;"",ISNUMBER(PROCESSOS!D206),OR(FiltroResp="TODOS",FiltroResp="",PROCESSOS!I206=FiltroResp)),PROCESSOS!D206+ROW()/1000000,"")</f>
        <v/>
      </c>
    </row>
    <row r="207">
      <c r="BF207" t="str">
        <f>IF(AND(OR(PROCESSOS!Q207="NO PRAZO",PROCESSOS!Q207="VENCE EM BREVE"),OR(FiltroResp="TODOS",FiltroResp="",PROCESSOS!I207=FiltroResp)),PROCESSOS!O207+ROW()/1000000,"")</f>
        <v/>
      </c>
      <c r="BG207" t="str">
        <f>IF(AND(PROCESSOS!B207&lt;&gt;"",ISNUMBER(PROCESSOS!D207),OR(FiltroResp="TODOS",FiltroResp="",PROCESSOS!I207=FiltroResp)),PROCESSOS!D207+ROW()/1000000,"")</f>
        <v/>
      </c>
    </row>
    <row r="208">
      <c r="BF208" t="str">
        <f>IF(AND(OR(PROCESSOS!Q208="NO PRAZO",PROCESSOS!Q208="VENCE EM BREVE"),OR(FiltroResp="TODOS",FiltroResp="",PROCESSOS!I208=FiltroResp)),PROCESSOS!O208+ROW()/1000000,"")</f>
        <v/>
      </c>
      <c r="BG208" t="str">
        <f>IF(AND(PROCESSOS!B208&lt;&gt;"",ISNUMBER(PROCESSOS!D208),OR(FiltroResp="TODOS",FiltroResp="",PROCESSOS!I208=FiltroResp)),PROCESSOS!D208+ROW()/1000000,"")</f>
        <v/>
      </c>
    </row>
    <row r="209">
      <c r="BF209" t="str">
        <f>IF(AND(OR(PROCESSOS!Q209="NO PRAZO",PROCESSOS!Q209="VENCE EM BREVE"),OR(FiltroResp="TODOS",FiltroResp="",PROCESSOS!I209=FiltroResp)),PROCESSOS!O209+ROW()/1000000,"")</f>
        <v/>
      </c>
      <c r="BG209" t="str">
        <f>IF(AND(PROCESSOS!B209&lt;&gt;"",ISNUMBER(PROCESSOS!D209),OR(FiltroResp="TODOS",FiltroResp="",PROCESSOS!I209=FiltroResp)),PROCESSOS!D209+ROW()/1000000,"")</f>
        <v/>
      </c>
    </row>
    <row r="210">
      <c r="BF210" t="str">
        <f>IF(AND(OR(PROCESSOS!Q210="NO PRAZO",PROCESSOS!Q210="VENCE EM BREVE"),OR(FiltroResp="TODOS",FiltroResp="",PROCESSOS!I210=FiltroResp)),PROCESSOS!O210+ROW()/1000000,"")</f>
        <v/>
      </c>
      <c r="BG210" t="str">
        <f>IF(AND(PROCESSOS!B210&lt;&gt;"",ISNUMBER(PROCESSOS!D210),OR(FiltroResp="TODOS",FiltroResp="",PROCESSOS!I210=FiltroResp)),PROCESSOS!D210+ROW()/1000000,"")</f>
        <v/>
      </c>
    </row>
    <row r="211">
      <c r="BF211" t="str">
        <f>IF(AND(OR(PROCESSOS!Q211="NO PRAZO",PROCESSOS!Q211="VENCE EM BREVE"),OR(FiltroResp="TODOS",FiltroResp="",PROCESSOS!I211=FiltroResp)),PROCESSOS!O211+ROW()/1000000,"")</f>
        <v/>
      </c>
      <c r="BG211" t="str">
        <f>IF(AND(PROCESSOS!B211&lt;&gt;"",ISNUMBER(PROCESSOS!D211),OR(FiltroResp="TODOS",FiltroResp="",PROCESSOS!I211=FiltroResp)),PROCESSOS!D211+ROW()/1000000,"")</f>
        <v/>
      </c>
    </row>
    <row r="212">
      <c r="BF212" t="str">
        <f>IF(AND(OR(PROCESSOS!Q212="NO PRAZO",PROCESSOS!Q212="VENCE EM BREVE"),OR(FiltroResp="TODOS",FiltroResp="",PROCESSOS!I212=FiltroResp)),PROCESSOS!O212+ROW()/1000000,"")</f>
        <v/>
      </c>
      <c r="BG212" t="str">
        <f>IF(AND(PROCESSOS!B212&lt;&gt;"",ISNUMBER(PROCESSOS!D212),OR(FiltroResp="TODOS",FiltroResp="",PROCESSOS!I212=FiltroResp)),PROCESSOS!D212+ROW()/1000000,"")</f>
        <v/>
      </c>
    </row>
    <row r="213">
      <c r="BF213" t="str">
        <f>IF(AND(OR(PROCESSOS!Q213="NO PRAZO",PROCESSOS!Q213="VENCE EM BREVE"),OR(FiltroResp="TODOS",FiltroResp="",PROCESSOS!I213=FiltroResp)),PROCESSOS!O213+ROW()/1000000,"")</f>
        <v/>
      </c>
      <c r="BG213" t="str">
        <f>IF(AND(PROCESSOS!B213&lt;&gt;"",ISNUMBER(PROCESSOS!D213),OR(FiltroResp="TODOS",FiltroResp="",PROCESSOS!I213=FiltroResp)),PROCESSOS!D213+ROW()/1000000,"")</f>
        <v/>
      </c>
    </row>
    <row r="214">
      <c r="BF214" t="str">
        <f>IF(AND(OR(PROCESSOS!Q214="NO PRAZO",PROCESSOS!Q214="VENCE EM BREVE"),OR(FiltroResp="TODOS",FiltroResp="",PROCESSOS!I214=FiltroResp)),PROCESSOS!O214+ROW()/1000000,"")</f>
        <v/>
      </c>
      <c r="BG214" t="str">
        <f>IF(AND(PROCESSOS!B214&lt;&gt;"",ISNUMBER(PROCESSOS!D214),OR(FiltroResp="TODOS",FiltroResp="",PROCESSOS!I214=FiltroResp)),PROCESSOS!D214+ROW()/1000000,"")</f>
        <v/>
      </c>
    </row>
    <row r="215">
      <c r="BF215" t="str">
        <f>IF(AND(OR(PROCESSOS!Q215="NO PRAZO",PROCESSOS!Q215="VENCE EM BREVE"),OR(FiltroResp="TODOS",FiltroResp="",PROCESSOS!I215=FiltroResp)),PROCESSOS!O215+ROW()/1000000,"")</f>
        <v/>
      </c>
      <c r="BG215" t="str">
        <f>IF(AND(PROCESSOS!B215&lt;&gt;"",ISNUMBER(PROCESSOS!D215),OR(FiltroResp="TODOS",FiltroResp="",PROCESSOS!I215=FiltroResp)),PROCESSOS!D215+ROW()/1000000,"")</f>
        <v/>
      </c>
    </row>
    <row r="216">
      <c r="BF216" t="str">
        <f>IF(AND(OR(PROCESSOS!Q216="NO PRAZO",PROCESSOS!Q216="VENCE EM BREVE"),OR(FiltroResp="TODOS",FiltroResp="",PROCESSOS!I216=FiltroResp)),PROCESSOS!O216+ROW()/1000000,"")</f>
        <v/>
      </c>
      <c r="BG216" t="str">
        <f>IF(AND(PROCESSOS!B216&lt;&gt;"",ISNUMBER(PROCESSOS!D216),OR(FiltroResp="TODOS",FiltroResp="",PROCESSOS!I216=FiltroResp)),PROCESSOS!D216+ROW()/1000000,"")</f>
        <v/>
      </c>
    </row>
    <row r="217">
      <c r="BF217" t="str">
        <f>IF(AND(OR(PROCESSOS!Q217="NO PRAZO",PROCESSOS!Q217="VENCE EM BREVE"),OR(FiltroResp="TODOS",FiltroResp="",PROCESSOS!I217=FiltroResp)),PROCESSOS!O217+ROW()/1000000,"")</f>
        <v/>
      </c>
      <c r="BG217" t="str">
        <f>IF(AND(PROCESSOS!B217&lt;&gt;"",ISNUMBER(PROCESSOS!D217),OR(FiltroResp="TODOS",FiltroResp="",PROCESSOS!I217=FiltroResp)),PROCESSOS!D217+ROW()/1000000,"")</f>
        <v/>
      </c>
    </row>
    <row r="218">
      <c r="BF218" t="str">
        <f>IF(AND(OR(PROCESSOS!Q218="NO PRAZO",PROCESSOS!Q218="VENCE EM BREVE"),OR(FiltroResp="TODOS",FiltroResp="",PROCESSOS!I218=FiltroResp)),PROCESSOS!O218+ROW()/1000000,"")</f>
        <v/>
      </c>
      <c r="BG218" t="str">
        <f>IF(AND(PROCESSOS!B218&lt;&gt;"",ISNUMBER(PROCESSOS!D218),OR(FiltroResp="TODOS",FiltroResp="",PROCESSOS!I218=FiltroResp)),PROCESSOS!D218+ROW()/1000000,"")</f>
        <v/>
      </c>
    </row>
    <row r="219">
      <c r="BF219" t="str">
        <f>IF(AND(OR(PROCESSOS!Q219="NO PRAZO",PROCESSOS!Q219="VENCE EM BREVE"),OR(FiltroResp="TODOS",FiltroResp="",PROCESSOS!I219=FiltroResp)),PROCESSOS!O219+ROW()/1000000,"")</f>
        <v/>
      </c>
      <c r="BG219" t="str">
        <f>IF(AND(PROCESSOS!B219&lt;&gt;"",ISNUMBER(PROCESSOS!D219),OR(FiltroResp="TODOS",FiltroResp="",PROCESSOS!I219=FiltroResp)),PROCESSOS!D219+ROW()/1000000,"")</f>
        <v/>
      </c>
    </row>
    <row r="220">
      <c r="BF220" t="str">
        <f>IF(AND(OR(PROCESSOS!Q220="NO PRAZO",PROCESSOS!Q220="VENCE EM BREVE"),OR(FiltroResp="TODOS",FiltroResp="",PROCESSOS!I220=FiltroResp)),PROCESSOS!O220+ROW()/1000000,"")</f>
        <v/>
      </c>
      <c r="BG220" t="str">
        <f>IF(AND(PROCESSOS!B220&lt;&gt;"",ISNUMBER(PROCESSOS!D220),OR(FiltroResp="TODOS",FiltroResp="",PROCESSOS!I220=FiltroResp)),PROCESSOS!D220+ROW()/1000000,"")</f>
        <v/>
      </c>
    </row>
    <row r="221">
      <c r="BF221" t="str">
        <f>IF(AND(OR(PROCESSOS!Q221="NO PRAZO",PROCESSOS!Q221="VENCE EM BREVE"),OR(FiltroResp="TODOS",FiltroResp="",PROCESSOS!I221=FiltroResp)),PROCESSOS!O221+ROW()/1000000,"")</f>
        <v/>
      </c>
      <c r="BG221" t="str">
        <f>IF(AND(PROCESSOS!B221&lt;&gt;"",ISNUMBER(PROCESSOS!D221),OR(FiltroResp="TODOS",FiltroResp="",PROCESSOS!I221=FiltroResp)),PROCESSOS!D221+ROW()/1000000,"")</f>
        <v/>
      </c>
    </row>
    <row r="222">
      <c r="BF222" t="str">
        <f>IF(AND(OR(PROCESSOS!Q222="NO PRAZO",PROCESSOS!Q222="VENCE EM BREVE"),OR(FiltroResp="TODOS",FiltroResp="",PROCESSOS!I222=FiltroResp)),PROCESSOS!O222+ROW()/1000000,"")</f>
        <v/>
      </c>
      <c r="BG222" t="str">
        <f>IF(AND(PROCESSOS!B222&lt;&gt;"",ISNUMBER(PROCESSOS!D222),OR(FiltroResp="TODOS",FiltroResp="",PROCESSOS!I222=FiltroResp)),PROCESSOS!D222+ROW()/1000000,"")</f>
        <v/>
      </c>
    </row>
    <row r="223">
      <c r="BF223" t="str">
        <f>IF(AND(OR(PROCESSOS!Q223="NO PRAZO",PROCESSOS!Q223="VENCE EM BREVE"),OR(FiltroResp="TODOS",FiltroResp="",PROCESSOS!I223=FiltroResp)),PROCESSOS!O223+ROW()/1000000,"")</f>
        <v/>
      </c>
      <c r="BG223" t="str">
        <f>IF(AND(PROCESSOS!B223&lt;&gt;"",ISNUMBER(PROCESSOS!D223),OR(FiltroResp="TODOS",FiltroResp="",PROCESSOS!I223=FiltroResp)),PROCESSOS!D223+ROW()/1000000,"")</f>
        <v/>
      </c>
    </row>
    <row r="224">
      <c r="BF224" t="str">
        <f>IF(AND(OR(PROCESSOS!Q224="NO PRAZO",PROCESSOS!Q224="VENCE EM BREVE"),OR(FiltroResp="TODOS",FiltroResp="",PROCESSOS!I224=FiltroResp)),PROCESSOS!O224+ROW()/1000000,"")</f>
        <v/>
      </c>
      <c r="BG224" t="str">
        <f>IF(AND(PROCESSOS!B224&lt;&gt;"",ISNUMBER(PROCESSOS!D224),OR(FiltroResp="TODOS",FiltroResp="",PROCESSOS!I224=FiltroResp)),PROCESSOS!D224+ROW()/1000000,"")</f>
        <v/>
      </c>
    </row>
    <row r="225">
      <c r="BF225" t="str">
        <f>IF(AND(OR(PROCESSOS!Q225="NO PRAZO",PROCESSOS!Q225="VENCE EM BREVE"),OR(FiltroResp="TODOS",FiltroResp="",PROCESSOS!I225=FiltroResp)),PROCESSOS!O225+ROW()/1000000,"")</f>
        <v/>
      </c>
      <c r="BG225" t="str">
        <f>IF(AND(PROCESSOS!B225&lt;&gt;"",ISNUMBER(PROCESSOS!D225),OR(FiltroResp="TODOS",FiltroResp="",PROCESSOS!I225=FiltroResp)),PROCESSOS!D225+ROW()/1000000,"")</f>
        <v/>
      </c>
    </row>
    <row r="226">
      <c r="BF226" t="str">
        <f>IF(AND(OR(PROCESSOS!Q226="NO PRAZO",PROCESSOS!Q226="VENCE EM BREVE"),OR(FiltroResp="TODOS",FiltroResp="",PROCESSOS!I226=FiltroResp)),PROCESSOS!O226+ROW()/1000000,"")</f>
        <v/>
      </c>
      <c r="BG226" t="str">
        <f>IF(AND(PROCESSOS!B226&lt;&gt;"",ISNUMBER(PROCESSOS!D226),OR(FiltroResp="TODOS",FiltroResp="",PROCESSOS!I226=FiltroResp)),PROCESSOS!D226+ROW()/1000000,"")</f>
        <v/>
      </c>
    </row>
    <row r="227">
      <c r="BF227" t="str">
        <f>IF(AND(OR(PROCESSOS!Q227="NO PRAZO",PROCESSOS!Q227="VENCE EM BREVE"),OR(FiltroResp="TODOS",FiltroResp="",PROCESSOS!I227=FiltroResp)),PROCESSOS!O227+ROW()/1000000,"")</f>
        <v/>
      </c>
      <c r="BG227" t="str">
        <f>IF(AND(PROCESSOS!B227&lt;&gt;"",ISNUMBER(PROCESSOS!D227),OR(FiltroResp="TODOS",FiltroResp="",PROCESSOS!I227=FiltroResp)),PROCESSOS!D227+ROW()/1000000,"")</f>
        <v/>
      </c>
    </row>
    <row r="228">
      <c r="BF228" t="str">
        <f>IF(AND(OR(PROCESSOS!Q228="NO PRAZO",PROCESSOS!Q228="VENCE EM BREVE"),OR(FiltroResp="TODOS",FiltroResp="",PROCESSOS!I228=FiltroResp)),PROCESSOS!O228+ROW()/1000000,"")</f>
        <v/>
      </c>
      <c r="BG228" t="str">
        <f>IF(AND(PROCESSOS!B228&lt;&gt;"",ISNUMBER(PROCESSOS!D228),OR(FiltroResp="TODOS",FiltroResp="",PROCESSOS!I228=FiltroResp)),PROCESSOS!D228+ROW()/1000000,"")</f>
        <v/>
      </c>
    </row>
    <row r="229">
      <c r="BF229" t="str">
        <f>IF(AND(OR(PROCESSOS!Q229="NO PRAZO",PROCESSOS!Q229="VENCE EM BREVE"),OR(FiltroResp="TODOS",FiltroResp="",PROCESSOS!I229=FiltroResp)),PROCESSOS!O229+ROW()/1000000,"")</f>
        <v/>
      </c>
      <c r="BG229" t="str">
        <f>IF(AND(PROCESSOS!B229&lt;&gt;"",ISNUMBER(PROCESSOS!D229),OR(FiltroResp="TODOS",FiltroResp="",PROCESSOS!I229=FiltroResp)),PROCESSOS!D229+ROW()/1000000,"")</f>
        <v/>
      </c>
    </row>
    <row r="230">
      <c r="BF230" t="str">
        <f>IF(AND(OR(PROCESSOS!Q230="NO PRAZO",PROCESSOS!Q230="VENCE EM BREVE"),OR(FiltroResp="TODOS",FiltroResp="",PROCESSOS!I230=FiltroResp)),PROCESSOS!O230+ROW()/1000000,"")</f>
        <v/>
      </c>
      <c r="BG230" t="str">
        <f>IF(AND(PROCESSOS!B230&lt;&gt;"",ISNUMBER(PROCESSOS!D230),OR(FiltroResp="TODOS",FiltroResp="",PROCESSOS!I230=FiltroResp)),PROCESSOS!D230+ROW()/1000000,"")</f>
        <v/>
      </c>
    </row>
    <row r="231">
      <c r="BF231" t="str">
        <f>IF(AND(OR(PROCESSOS!Q231="NO PRAZO",PROCESSOS!Q231="VENCE EM BREVE"),OR(FiltroResp="TODOS",FiltroResp="",PROCESSOS!I231=FiltroResp)),PROCESSOS!O231+ROW()/1000000,"")</f>
        <v/>
      </c>
      <c r="BG231" t="str">
        <f>IF(AND(PROCESSOS!B231&lt;&gt;"",ISNUMBER(PROCESSOS!D231),OR(FiltroResp="TODOS",FiltroResp="",PROCESSOS!I231=FiltroResp)),PROCESSOS!D231+ROW()/1000000,"")</f>
        <v/>
      </c>
    </row>
    <row r="232">
      <c r="BF232" t="str">
        <f>IF(AND(OR(PROCESSOS!Q232="NO PRAZO",PROCESSOS!Q232="VENCE EM BREVE"),OR(FiltroResp="TODOS",FiltroResp="",PROCESSOS!I232=FiltroResp)),PROCESSOS!O232+ROW()/1000000,"")</f>
        <v/>
      </c>
      <c r="BG232" t="str">
        <f>IF(AND(PROCESSOS!B232&lt;&gt;"",ISNUMBER(PROCESSOS!D232),OR(FiltroResp="TODOS",FiltroResp="",PROCESSOS!I232=FiltroResp)),PROCESSOS!D232+ROW()/1000000,"")</f>
        <v/>
      </c>
    </row>
    <row r="233">
      <c r="BF233" t="str">
        <f>IF(AND(OR(PROCESSOS!Q233="NO PRAZO",PROCESSOS!Q233="VENCE EM BREVE"),OR(FiltroResp="TODOS",FiltroResp="",PROCESSOS!I233=FiltroResp)),PROCESSOS!O233+ROW()/1000000,"")</f>
        <v/>
      </c>
      <c r="BG233" t="str">
        <f>IF(AND(PROCESSOS!B233&lt;&gt;"",ISNUMBER(PROCESSOS!D233),OR(FiltroResp="TODOS",FiltroResp="",PROCESSOS!I233=FiltroResp)),PROCESSOS!D233+ROW()/1000000,"")</f>
        <v/>
      </c>
    </row>
    <row r="234">
      <c r="BF234" t="str">
        <f>IF(AND(OR(PROCESSOS!Q234="NO PRAZO",PROCESSOS!Q234="VENCE EM BREVE"),OR(FiltroResp="TODOS",FiltroResp="",PROCESSOS!I234=FiltroResp)),PROCESSOS!O234+ROW()/1000000,"")</f>
        <v/>
      </c>
      <c r="BG234" t="str">
        <f>IF(AND(PROCESSOS!B234&lt;&gt;"",ISNUMBER(PROCESSOS!D234),OR(FiltroResp="TODOS",FiltroResp="",PROCESSOS!I234=FiltroResp)),PROCESSOS!D234+ROW()/1000000,"")</f>
        <v/>
      </c>
    </row>
    <row r="235">
      <c r="BF235" t="str">
        <f>IF(AND(OR(PROCESSOS!Q235="NO PRAZO",PROCESSOS!Q235="VENCE EM BREVE"),OR(FiltroResp="TODOS",FiltroResp="",PROCESSOS!I235=FiltroResp)),PROCESSOS!O235+ROW()/1000000,"")</f>
        <v/>
      </c>
      <c r="BG235" t="str">
        <f>IF(AND(PROCESSOS!B235&lt;&gt;"",ISNUMBER(PROCESSOS!D235),OR(FiltroResp="TODOS",FiltroResp="",PROCESSOS!I235=FiltroResp)),PROCESSOS!D235+ROW()/1000000,"")</f>
        <v/>
      </c>
    </row>
    <row r="236">
      <c r="BF236" t="str">
        <f>IF(AND(OR(PROCESSOS!Q236="NO PRAZO",PROCESSOS!Q236="VENCE EM BREVE"),OR(FiltroResp="TODOS",FiltroResp="",PROCESSOS!I236=FiltroResp)),PROCESSOS!O236+ROW()/1000000,"")</f>
        <v/>
      </c>
      <c r="BG236" t="str">
        <f>IF(AND(PROCESSOS!B236&lt;&gt;"",ISNUMBER(PROCESSOS!D236),OR(FiltroResp="TODOS",FiltroResp="",PROCESSOS!I236=FiltroResp)),PROCESSOS!D236+ROW()/1000000,"")</f>
        <v/>
      </c>
    </row>
    <row r="237">
      <c r="BF237" t="str">
        <f>IF(AND(OR(PROCESSOS!Q237="NO PRAZO",PROCESSOS!Q237="VENCE EM BREVE"),OR(FiltroResp="TODOS",FiltroResp="",PROCESSOS!I237=FiltroResp)),PROCESSOS!O237+ROW()/1000000,"")</f>
        <v/>
      </c>
      <c r="BG237" t="str">
        <f>IF(AND(PROCESSOS!B237&lt;&gt;"",ISNUMBER(PROCESSOS!D237),OR(FiltroResp="TODOS",FiltroResp="",PROCESSOS!I237=FiltroResp)),PROCESSOS!D237+ROW()/1000000,"")</f>
        <v/>
      </c>
    </row>
    <row r="238">
      <c r="BF238" t="str">
        <f>IF(AND(OR(PROCESSOS!Q238="NO PRAZO",PROCESSOS!Q238="VENCE EM BREVE"),OR(FiltroResp="TODOS",FiltroResp="",PROCESSOS!I238=FiltroResp)),PROCESSOS!O238+ROW()/1000000,"")</f>
        <v/>
      </c>
      <c r="BG238" t="str">
        <f>IF(AND(PROCESSOS!B238&lt;&gt;"",ISNUMBER(PROCESSOS!D238),OR(FiltroResp="TODOS",FiltroResp="",PROCESSOS!I238=FiltroResp)),PROCESSOS!D238+ROW()/1000000,"")</f>
        <v/>
      </c>
    </row>
    <row r="239">
      <c r="BF239" t="str">
        <f>IF(AND(OR(PROCESSOS!Q239="NO PRAZO",PROCESSOS!Q239="VENCE EM BREVE"),OR(FiltroResp="TODOS",FiltroResp="",PROCESSOS!I239=FiltroResp)),PROCESSOS!O239+ROW()/1000000,"")</f>
        <v/>
      </c>
      <c r="BG239" t="str">
        <f>IF(AND(PROCESSOS!B239&lt;&gt;"",ISNUMBER(PROCESSOS!D239),OR(FiltroResp="TODOS",FiltroResp="",PROCESSOS!I239=FiltroResp)),PROCESSOS!D239+ROW()/1000000,"")</f>
        <v/>
      </c>
    </row>
    <row r="240">
      <c r="BF240" t="str">
        <f>IF(AND(OR(PROCESSOS!Q240="NO PRAZO",PROCESSOS!Q240="VENCE EM BREVE"),OR(FiltroResp="TODOS",FiltroResp="",PROCESSOS!I240=FiltroResp)),PROCESSOS!O240+ROW()/1000000,"")</f>
        <v/>
      </c>
      <c r="BG240" t="str">
        <f>IF(AND(PROCESSOS!B240&lt;&gt;"",ISNUMBER(PROCESSOS!D240),OR(FiltroResp="TODOS",FiltroResp="",PROCESSOS!I240=FiltroResp)),PROCESSOS!D240+ROW()/1000000,"")</f>
        <v/>
      </c>
    </row>
    <row r="241">
      <c r="BF241" t="str">
        <f>IF(AND(OR(PROCESSOS!Q241="NO PRAZO",PROCESSOS!Q241="VENCE EM BREVE"),OR(FiltroResp="TODOS",FiltroResp="",PROCESSOS!I241=FiltroResp)),PROCESSOS!O241+ROW()/1000000,"")</f>
        <v/>
      </c>
      <c r="BG241" t="str">
        <f>IF(AND(PROCESSOS!B241&lt;&gt;"",ISNUMBER(PROCESSOS!D241),OR(FiltroResp="TODOS",FiltroResp="",PROCESSOS!I241=FiltroResp)),PROCESSOS!D241+ROW()/1000000,"")</f>
        <v/>
      </c>
    </row>
    <row r="242">
      <c r="BF242" t="str">
        <f>IF(AND(OR(PROCESSOS!Q242="NO PRAZO",PROCESSOS!Q242="VENCE EM BREVE"),OR(FiltroResp="TODOS",FiltroResp="",PROCESSOS!I242=FiltroResp)),PROCESSOS!O242+ROW()/1000000,"")</f>
        <v/>
      </c>
      <c r="BG242" t="str">
        <f>IF(AND(PROCESSOS!B242&lt;&gt;"",ISNUMBER(PROCESSOS!D242),OR(FiltroResp="TODOS",FiltroResp="",PROCESSOS!I242=FiltroResp)),PROCESSOS!D242+ROW()/1000000,"")</f>
        <v/>
      </c>
    </row>
    <row r="243">
      <c r="BF243" t="str">
        <f>IF(AND(OR(PROCESSOS!Q243="NO PRAZO",PROCESSOS!Q243="VENCE EM BREVE"),OR(FiltroResp="TODOS",FiltroResp="",PROCESSOS!I243=FiltroResp)),PROCESSOS!O243+ROW()/1000000,"")</f>
        <v/>
      </c>
      <c r="BG243" t="str">
        <f>IF(AND(PROCESSOS!B243&lt;&gt;"",ISNUMBER(PROCESSOS!D243),OR(FiltroResp="TODOS",FiltroResp="",PROCESSOS!I243=FiltroResp)),PROCESSOS!D243+ROW()/1000000,"")</f>
        <v/>
      </c>
    </row>
    <row r="244">
      <c r="BF244" t="str">
        <f>IF(AND(OR(PROCESSOS!Q244="NO PRAZO",PROCESSOS!Q244="VENCE EM BREVE"),OR(FiltroResp="TODOS",FiltroResp="",PROCESSOS!I244=FiltroResp)),PROCESSOS!O244+ROW()/1000000,"")</f>
        <v/>
      </c>
      <c r="BG244" t="str">
        <f>IF(AND(PROCESSOS!B244&lt;&gt;"",ISNUMBER(PROCESSOS!D244),OR(FiltroResp="TODOS",FiltroResp="",PROCESSOS!I244=FiltroResp)),PROCESSOS!D244+ROW()/1000000,"")</f>
        <v/>
      </c>
    </row>
    <row r="245">
      <c r="BF245" t="str">
        <f>IF(AND(OR(PROCESSOS!Q245="NO PRAZO",PROCESSOS!Q245="VENCE EM BREVE"),OR(FiltroResp="TODOS",FiltroResp="",PROCESSOS!I245=FiltroResp)),PROCESSOS!O245+ROW()/1000000,"")</f>
        <v/>
      </c>
      <c r="BG245" t="str">
        <f>IF(AND(PROCESSOS!B245&lt;&gt;"",ISNUMBER(PROCESSOS!D245),OR(FiltroResp="TODOS",FiltroResp="",PROCESSOS!I245=FiltroResp)),PROCESSOS!D245+ROW()/1000000,"")</f>
        <v/>
      </c>
    </row>
    <row r="246">
      <c r="BF246" t="str">
        <f>IF(AND(OR(PROCESSOS!Q246="NO PRAZO",PROCESSOS!Q246="VENCE EM BREVE"),OR(FiltroResp="TODOS",FiltroResp="",PROCESSOS!I246=FiltroResp)),PROCESSOS!O246+ROW()/1000000,"")</f>
        <v/>
      </c>
      <c r="BG246" t="str">
        <f>IF(AND(PROCESSOS!B246&lt;&gt;"",ISNUMBER(PROCESSOS!D246),OR(FiltroResp="TODOS",FiltroResp="",PROCESSOS!I246=FiltroResp)),PROCESSOS!D246+ROW()/1000000,"")</f>
        <v/>
      </c>
    </row>
    <row r="247">
      <c r="BF247" t="str">
        <f>IF(AND(OR(PROCESSOS!Q247="NO PRAZO",PROCESSOS!Q247="VENCE EM BREVE"),OR(FiltroResp="TODOS",FiltroResp="",PROCESSOS!I247=FiltroResp)),PROCESSOS!O247+ROW()/1000000,"")</f>
        <v/>
      </c>
      <c r="BG247" t="str">
        <f>IF(AND(PROCESSOS!B247&lt;&gt;"",ISNUMBER(PROCESSOS!D247),OR(FiltroResp="TODOS",FiltroResp="",PROCESSOS!I247=FiltroResp)),PROCESSOS!D247+ROW()/1000000,"")</f>
        <v/>
      </c>
    </row>
    <row r="248">
      <c r="BF248" t="str">
        <f>IF(AND(OR(PROCESSOS!Q248="NO PRAZO",PROCESSOS!Q248="VENCE EM BREVE"),OR(FiltroResp="TODOS",FiltroResp="",PROCESSOS!I248=FiltroResp)),PROCESSOS!O248+ROW()/1000000,"")</f>
        <v/>
      </c>
      <c r="BG248" t="str">
        <f>IF(AND(PROCESSOS!B248&lt;&gt;"",ISNUMBER(PROCESSOS!D248),OR(FiltroResp="TODOS",FiltroResp="",PROCESSOS!I248=FiltroResp)),PROCESSOS!D248+ROW()/1000000,"")</f>
        <v/>
      </c>
    </row>
    <row r="249">
      <c r="BF249" t="str">
        <f>IF(AND(OR(PROCESSOS!Q249="NO PRAZO",PROCESSOS!Q249="VENCE EM BREVE"),OR(FiltroResp="TODOS",FiltroResp="",PROCESSOS!I249=FiltroResp)),PROCESSOS!O249+ROW()/1000000,"")</f>
        <v/>
      </c>
      <c r="BG249" t="str">
        <f>IF(AND(PROCESSOS!B249&lt;&gt;"",ISNUMBER(PROCESSOS!D249),OR(FiltroResp="TODOS",FiltroResp="",PROCESSOS!I249=FiltroResp)),PROCESSOS!D249+ROW()/1000000,"")</f>
        <v/>
      </c>
    </row>
    <row r="250">
      <c r="BF250" t="str">
        <f>IF(AND(OR(PROCESSOS!Q250="NO PRAZO",PROCESSOS!Q250="VENCE EM BREVE"),OR(FiltroResp="TODOS",FiltroResp="",PROCESSOS!I250=FiltroResp)),PROCESSOS!O250+ROW()/1000000,"")</f>
        <v/>
      </c>
      <c r="BG250" t="str">
        <f>IF(AND(PROCESSOS!B250&lt;&gt;"",ISNUMBER(PROCESSOS!D250),OR(FiltroResp="TODOS",FiltroResp="",PROCESSOS!I250=FiltroResp)),PROCESSOS!D250+ROW()/1000000,"")</f>
        <v/>
      </c>
    </row>
    <row r="251">
      <c r="BF251" t="str">
        <f>IF(AND(OR(PROCESSOS!Q251="NO PRAZO",PROCESSOS!Q251="VENCE EM BREVE"),OR(FiltroResp="TODOS",FiltroResp="",PROCESSOS!I251=FiltroResp)),PROCESSOS!O251+ROW()/1000000,"")</f>
        <v/>
      </c>
      <c r="BG251" t="str">
        <f>IF(AND(PROCESSOS!B251&lt;&gt;"",ISNUMBER(PROCESSOS!D251),OR(FiltroResp="TODOS",FiltroResp="",PROCESSOS!I251=FiltroResp)),PROCESSOS!D251+ROW()/1000000,"")</f>
        <v/>
      </c>
    </row>
    <row r="252">
      <c r="BF252" t="str">
        <f>IF(AND(OR(PROCESSOS!Q252="NO PRAZO",PROCESSOS!Q252="VENCE EM BREVE"),OR(FiltroResp="TODOS",FiltroResp="",PROCESSOS!I252=FiltroResp)),PROCESSOS!O252+ROW()/1000000,"")</f>
        <v/>
      </c>
      <c r="BG252" t="str">
        <f>IF(AND(PROCESSOS!B252&lt;&gt;"",ISNUMBER(PROCESSOS!D252),OR(FiltroResp="TODOS",FiltroResp="",PROCESSOS!I252=FiltroResp)),PROCESSOS!D252+ROW()/1000000,"")</f>
        <v/>
      </c>
    </row>
    <row r="253">
      <c r="BF253" t="str">
        <f>IF(AND(OR(PROCESSOS!Q253="NO PRAZO",PROCESSOS!Q253="VENCE EM BREVE"),OR(FiltroResp="TODOS",FiltroResp="",PROCESSOS!I253=FiltroResp)),PROCESSOS!O253+ROW()/1000000,"")</f>
        <v/>
      </c>
      <c r="BG253" t="str">
        <f>IF(AND(PROCESSOS!B253&lt;&gt;"",ISNUMBER(PROCESSOS!D253),OR(FiltroResp="TODOS",FiltroResp="",PROCESSOS!I253=FiltroResp)),PROCESSOS!D253+ROW()/1000000,"")</f>
        <v/>
      </c>
    </row>
    <row r="254">
      <c r="BF254" t="str">
        <f>IF(AND(OR(PROCESSOS!Q254="NO PRAZO",PROCESSOS!Q254="VENCE EM BREVE"),OR(FiltroResp="TODOS",FiltroResp="",PROCESSOS!I254=FiltroResp)),PROCESSOS!O254+ROW()/1000000,"")</f>
        <v/>
      </c>
      <c r="BG254" t="str">
        <f>IF(AND(PROCESSOS!B254&lt;&gt;"",ISNUMBER(PROCESSOS!D254),OR(FiltroResp="TODOS",FiltroResp="",PROCESSOS!I254=FiltroResp)),PROCESSOS!D254+ROW()/1000000,"")</f>
        <v/>
      </c>
    </row>
    <row r="255">
      <c r="BF255" t="str">
        <f>IF(AND(OR(PROCESSOS!Q255="NO PRAZO",PROCESSOS!Q255="VENCE EM BREVE"),OR(FiltroResp="TODOS",FiltroResp="",PROCESSOS!I255=FiltroResp)),PROCESSOS!O255+ROW()/1000000,"")</f>
        <v/>
      </c>
      <c r="BG255" t="str">
        <f>IF(AND(PROCESSOS!B255&lt;&gt;"",ISNUMBER(PROCESSOS!D255),OR(FiltroResp="TODOS",FiltroResp="",PROCESSOS!I255=FiltroResp)),PROCESSOS!D255+ROW()/1000000,"")</f>
        <v/>
      </c>
    </row>
    <row r="256">
      <c r="BF256" t="str">
        <f>IF(AND(OR(PROCESSOS!Q256="NO PRAZO",PROCESSOS!Q256="VENCE EM BREVE"),OR(FiltroResp="TODOS",FiltroResp="",PROCESSOS!I256=FiltroResp)),PROCESSOS!O256+ROW()/1000000,"")</f>
        <v/>
      </c>
      <c r="BG256" t="str">
        <f>IF(AND(PROCESSOS!B256&lt;&gt;"",ISNUMBER(PROCESSOS!D256),OR(FiltroResp="TODOS",FiltroResp="",PROCESSOS!I256=FiltroResp)),PROCESSOS!D256+ROW()/1000000,"")</f>
        <v/>
      </c>
    </row>
    <row r="257">
      <c r="BF257" t="str">
        <f>IF(AND(OR(PROCESSOS!Q257="NO PRAZO",PROCESSOS!Q257="VENCE EM BREVE"),OR(FiltroResp="TODOS",FiltroResp="",PROCESSOS!I257=FiltroResp)),PROCESSOS!O257+ROW()/1000000,"")</f>
        <v/>
      </c>
      <c r="BG257" t="str">
        <f>IF(AND(PROCESSOS!B257&lt;&gt;"",ISNUMBER(PROCESSOS!D257),OR(FiltroResp="TODOS",FiltroResp="",PROCESSOS!I257=FiltroResp)),PROCESSOS!D257+ROW()/1000000,"")</f>
        <v/>
      </c>
    </row>
    <row r="258">
      <c r="BF258" t="str">
        <f>IF(AND(OR(PROCESSOS!Q258="NO PRAZO",PROCESSOS!Q258="VENCE EM BREVE"),OR(FiltroResp="TODOS",FiltroResp="",PROCESSOS!I258=FiltroResp)),PROCESSOS!O258+ROW()/1000000,"")</f>
        <v/>
      </c>
      <c r="BG258" t="str">
        <f>IF(AND(PROCESSOS!B258&lt;&gt;"",ISNUMBER(PROCESSOS!D258),OR(FiltroResp="TODOS",FiltroResp="",PROCESSOS!I258=FiltroResp)),PROCESSOS!D258+ROW()/1000000,"")</f>
        <v/>
      </c>
    </row>
    <row r="259">
      <c r="BF259" t="str">
        <f>IF(AND(OR(PROCESSOS!Q259="NO PRAZO",PROCESSOS!Q259="VENCE EM BREVE"),OR(FiltroResp="TODOS",FiltroResp="",PROCESSOS!I259=FiltroResp)),PROCESSOS!O259+ROW()/1000000,"")</f>
        <v/>
      </c>
      <c r="BG259" t="str">
        <f>IF(AND(PROCESSOS!B259&lt;&gt;"",ISNUMBER(PROCESSOS!D259),OR(FiltroResp="TODOS",FiltroResp="",PROCESSOS!I259=FiltroResp)),PROCESSOS!D259+ROW()/1000000,"")</f>
        <v/>
      </c>
    </row>
    <row r="260">
      <c r="BF260" t="str">
        <f>IF(AND(OR(PROCESSOS!Q260="NO PRAZO",PROCESSOS!Q260="VENCE EM BREVE"),OR(FiltroResp="TODOS",FiltroResp="",PROCESSOS!I260=FiltroResp)),PROCESSOS!O260+ROW()/1000000,"")</f>
        <v/>
      </c>
      <c r="BG260" t="str">
        <f>IF(AND(PROCESSOS!B260&lt;&gt;"",ISNUMBER(PROCESSOS!D260),OR(FiltroResp="TODOS",FiltroResp="",PROCESSOS!I260=FiltroResp)),PROCESSOS!D260+ROW()/1000000,"")</f>
        <v/>
      </c>
    </row>
    <row r="261">
      <c r="BF261" t="str">
        <f>IF(AND(OR(PROCESSOS!Q261="NO PRAZO",PROCESSOS!Q261="VENCE EM BREVE"),OR(FiltroResp="TODOS",FiltroResp="",PROCESSOS!I261=FiltroResp)),PROCESSOS!O261+ROW()/1000000,"")</f>
        <v/>
      </c>
      <c r="BG261" t="str">
        <f>IF(AND(PROCESSOS!B261&lt;&gt;"",ISNUMBER(PROCESSOS!D261),OR(FiltroResp="TODOS",FiltroResp="",PROCESSOS!I261=FiltroResp)),PROCESSOS!D261+ROW()/1000000,"")</f>
        <v/>
      </c>
    </row>
    <row r="262">
      <c r="BF262" t="str">
        <f>IF(AND(OR(PROCESSOS!Q262="NO PRAZO",PROCESSOS!Q262="VENCE EM BREVE"),OR(FiltroResp="TODOS",FiltroResp="",PROCESSOS!I262=FiltroResp)),PROCESSOS!O262+ROW()/1000000,"")</f>
        <v/>
      </c>
      <c r="BG262" t="str">
        <f>IF(AND(PROCESSOS!B262&lt;&gt;"",ISNUMBER(PROCESSOS!D262),OR(FiltroResp="TODOS",FiltroResp="",PROCESSOS!I262=FiltroResp)),PROCESSOS!D262+ROW()/1000000,"")</f>
        <v/>
      </c>
    </row>
    <row r="263">
      <c r="BF263" t="str">
        <f>IF(AND(OR(PROCESSOS!Q263="NO PRAZO",PROCESSOS!Q263="VENCE EM BREVE"),OR(FiltroResp="TODOS",FiltroResp="",PROCESSOS!I263=FiltroResp)),PROCESSOS!O263+ROW()/1000000,"")</f>
        <v/>
      </c>
      <c r="BG263" t="str">
        <f>IF(AND(PROCESSOS!B263&lt;&gt;"",ISNUMBER(PROCESSOS!D263),OR(FiltroResp="TODOS",FiltroResp="",PROCESSOS!I263=FiltroResp)),PROCESSOS!D263+ROW()/1000000,"")</f>
        <v/>
      </c>
    </row>
    <row r="264">
      <c r="BF264" t="str">
        <f>IF(AND(OR(PROCESSOS!Q264="NO PRAZO",PROCESSOS!Q264="VENCE EM BREVE"),OR(FiltroResp="TODOS",FiltroResp="",PROCESSOS!I264=FiltroResp)),PROCESSOS!O264+ROW()/1000000,"")</f>
        <v/>
      </c>
      <c r="BG264" t="str">
        <f>IF(AND(PROCESSOS!B264&lt;&gt;"",ISNUMBER(PROCESSOS!D264),OR(FiltroResp="TODOS",FiltroResp="",PROCESSOS!I264=FiltroResp)),PROCESSOS!D264+ROW()/1000000,"")</f>
        <v/>
      </c>
    </row>
    <row r="265">
      <c r="BF265" t="str">
        <f>IF(AND(OR(PROCESSOS!Q265="NO PRAZO",PROCESSOS!Q265="VENCE EM BREVE"),OR(FiltroResp="TODOS",FiltroResp="",PROCESSOS!I265=FiltroResp)),PROCESSOS!O265+ROW()/1000000,"")</f>
        <v/>
      </c>
      <c r="BG265" t="str">
        <f>IF(AND(PROCESSOS!B265&lt;&gt;"",ISNUMBER(PROCESSOS!D265),OR(FiltroResp="TODOS",FiltroResp="",PROCESSOS!I265=FiltroResp)),PROCESSOS!D265+ROW()/1000000,"")</f>
        <v/>
      </c>
    </row>
    <row r="266">
      <c r="BF266" t="str">
        <f>IF(AND(OR(PROCESSOS!Q266="NO PRAZO",PROCESSOS!Q266="VENCE EM BREVE"),OR(FiltroResp="TODOS",FiltroResp="",PROCESSOS!I266=FiltroResp)),PROCESSOS!O266+ROW()/1000000,"")</f>
        <v/>
      </c>
      <c r="BG266" t="str">
        <f>IF(AND(PROCESSOS!B266&lt;&gt;"",ISNUMBER(PROCESSOS!D266),OR(FiltroResp="TODOS",FiltroResp="",PROCESSOS!I266=FiltroResp)),PROCESSOS!D266+ROW()/1000000,"")</f>
        <v/>
      </c>
    </row>
    <row r="267">
      <c r="BF267" t="str">
        <f>IF(AND(OR(PROCESSOS!Q267="NO PRAZO",PROCESSOS!Q267="VENCE EM BREVE"),OR(FiltroResp="TODOS",FiltroResp="",PROCESSOS!I267=FiltroResp)),PROCESSOS!O267+ROW()/1000000,"")</f>
        <v/>
      </c>
      <c r="BG267" t="str">
        <f>IF(AND(PROCESSOS!B267&lt;&gt;"",ISNUMBER(PROCESSOS!D267),OR(FiltroResp="TODOS",FiltroResp="",PROCESSOS!I267=FiltroResp)),PROCESSOS!D267+ROW()/1000000,"")</f>
        <v/>
      </c>
    </row>
    <row r="268">
      <c r="BF268" t="str">
        <f>IF(AND(OR(PROCESSOS!Q268="NO PRAZO",PROCESSOS!Q268="VENCE EM BREVE"),OR(FiltroResp="TODOS",FiltroResp="",PROCESSOS!I268=FiltroResp)),PROCESSOS!O268+ROW()/1000000,"")</f>
        <v/>
      </c>
      <c r="BG268" t="str">
        <f>IF(AND(PROCESSOS!B268&lt;&gt;"",ISNUMBER(PROCESSOS!D268),OR(FiltroResp="TODOS",FiltroResp="",PROCESSOS!I268=FiltroResp)),PROCESSOS!D268+ROW()/1000000,"")</f>
        <v/>
      </c>
    </row>
    <row r="269">
      <c r="BF269" t="str">
        <f>IF(AND(OR(PROCESSOS!Q269="NO PRAZO",PROCESSOS!Q269="VENCE EM BREVE"),OR(FiltroResp="TODOS",FiltroResp="",PROCESSOS!I269=FiltroResp)),PROCESSOS!O269+ROW()/1000000,"")</f>
        <v/>
      </c>
      <c r="BG269" t="str">
        <f>IF(AND(PROCESSOS!B269&lt;&gt;"",ISNUMBER(PROCESSOS!D269),OR(FiltroResp="TODOS",FiltroResp="",PROCESSOS!I269=FiltroResp)),PROCESSOS!D269+ROW()/1000000,"")</f>
        <v/>
      </c>
    </row>
    <row r="270">
      <c r="BF270" t="str">
        <f>IF(AND(OR(PROCESSOS!Q270="NO PRAZO",PROCESSOS!Q270="VENCE EM BREVE"),OR(FiltroResp="TODOS",FiltroResp="",PROCESSOS!I270=FiltroResp)),PROCESSOS!O270+ROW()/1000000,"")</f>
        <v/>
      </c>
      <c r="BG270" t="str">
        <f>IF(AND(PROCESSOS!B270&lt;&gt;"",ISNUMBER(PROCESSOS!D270),OR(FiltroResp="TODOS",FiltroResp="",PROCESSOS!I270=FiltroResp)),PROCESSOS!D270+ROW()/1000000,"")</f>
        <v/>
      </c>
    </row>
    <row r="271">
      <c r="BF271" t="str">
        <f>IF(AND(OR(PROCESSOS!Q271="NO PRAZO",PROCESSOS!Q271="VENCE EM BREVE"),OR(FiltroResp="TODOS",FiltroResp="",PROCESSOS!I271=FiltroResp)),PROCESSOS!O271+ROW()/1000000,"")</f>
        <v/>
      </c>
      <c r="BG271" t="str">
        <f>IF(AND(PROCESSOS!B271&lt;&gt;"",ISNUMBER(PROCESSOS!D271),OR(FiltroResp="TODOS",FiltroResp="",PROCESSOS!I271=FiltroResp)),PROCESSOS!D271+ROW()/1000000,"")</f>
        <v/>
      </c>
    </row>
    <row r="272">
      <c r="BF272" t="str">
        <f>IF(AND(OR(PROCESSOS!Q272="NO PRAZO",PROCESSOS!Q272="VENCE EM BREVE"),OR(FiltroResp="TODOS",FiltroResp="",PROCESSOS!I272=FiltroResp)),PROCESSOS!O272+ROW()/1000000,"")</f>
        <v/>
      </c>
      <c r="BG272" t="str">
        <f>IF(AND(PROCESSOS!B272&lt;&gt;"",ISNUMBER(PROCESSOS!D272),OR(FiltroResp="TODOS",FiltroResp="",PROCESSOS!I272=FiltroResp)),PROCESSOS!D272+ROW()/1000000,"")</f>
        <v/>
      </c>
    </row>
    <row r="273">
      <c r="BF273" t="str">
        <f>IF(AND(OR(PROCESSOS!Q273="NO PRAZO",PROCESSOS!Q273="VENCE EM BREVE"),OR(FiltroResp="TODOS",FiltroResp="",PROCESSOS!I273=FiltroResp)),PROCESSOS!O273+ROW()/1000000,"")</f>
        <v/>
      </c>
      <c r="BG273" t="str">
        <f>IF(AND(PROCESSOS!B273&lt;&gt;"",ISNUMBER(PROCESSOS!D273),OR(FiltroResp="TODOS",FiltroResp="",PROCESSOS!I273=FiltroResp)),PROCESSOS!D273+ROW()/1000000,"")</f>
        <v/>
      </c>
    </row>
    <row r="274">
      <c r="BF274" t="str">
        <f>IF(AND(OR(PROCESSOS!Q274="NO PRAZO",PROCESSOS!Q274="VENCE EM BREVE"),OR(FiltroResp="TODOS",FiltroResp="",PROCESSOS!I274=FiltroResp)),PROCESSOS!O274+ROW()/1000000,"")</f>
        <v/>
      </c>
      <c r="BG274" t="str">
        <f>IF(AND(PROCESSOS!B274&lt;&gt;"",ISNUMBER(PROCESSOS!D274),OR(FiltroResp="TODOS",FiltroResp="",PROCESSOS!I274=FiltroResp)),PROCESSOS!D274+ROW()/1000000,"")</f>
        <v/>
      </c>
    </row>
    <row r="275">
      <c r="BF275" t="str">
        <f>IF(AND(OR(PROCESSOS!Q275="NO PRAZO",PROCESSOS!Q275="VENCE EM BREVE"),OR(FiltroResp="TODOS",FiltroResp="",PROCESSOS!I275=FiltroResp)),PROCESSOS!O275+ROW()/1000000,"")</f>
        <v/>
      </c>
      <c r="BG275" t="str">
        <f>IF(AND(PROCESSOS!B275&lt;&gt;"",ISNUMBER(PROCESSOS!D275),OR(FiltroResp="TODOS",FiltroResp="",PROCESSOS!I275=FiltroResp)),PROCESSOS!D275+ROW()/1000000,"")</f>
        <v/>
      </c>
    </row>
    <row r="276">
      <c r="BF276" t="str">
        <f>IF(AND(OR(PROCESSOS!Q276="NO PRAZO",PROCESSOS!Q276="VENCE EM BREVE"),OR(FiltroResp="TODOS",FiltroResp="",PROCESSOS!I276=FiltroResp)),PROCESSOS!O276+ROW()/1000000,"")</f>
        <v/>
      </c>
      <c r="BG276" t="str">
        <f>IF(AND(PROCESSOS!B276&lt;&gt;"",ISNUMBER(PROCESSOS!D276),OR(FiltroResp="TODOS",FiltroResp="",PROCESSOS!I276=FiltroResp)),PROCESSOS!D276+ROW()/1000000,"")</f>
        <v/>
      </c>
    </row>
    <row r="277">
      <c r="BF277" t="str">
        <f>IF(AND(OR(PROCESSOS!Q277="NO PRAZO",PROCESSOS!Q277="VENCE EM BREVE"),OR(FiltroResp="TODOS",FiltroResp="",PROCESSOS!I277=FiltroResp)),PROCESSOS!O277+ROW()/1000000,"")</f>
        <v/>
      </c>
      <c r="BG277" t="str">
        <f>IF(AND(PROCESSOS!B277&lt;&gt;"",ISNUMBER(PROCESSOS!D277),OR(FiltroResp="TODOS",FiltroResp="",PROCESSOS!I277=FiltroResp)),PROCESSOS!D277+ROW()/1000000,"")</f>
        <v/>
      </c>
    </row>
    <row r="278">
      <c r="BF278" t="str">
        <f>IF(AND(OR(PROCESSOS!Q278="NO PRAZO",PROCESSOS!Q278="VENCE EM BREVE"),OR(FiltroResp="TODOS",FiltroResp="",PROCESSOS!I278=FiltroResp)),PROCESSOS!O278+ROW()/1000000,"")</f>
        <v/>
      </c>
      <c r="BG278" t="str">
        <f>IF(AND(PROCESSOS!B278&lt;&gt;"",ISNUMBER(PROCESSOS!D278),OR(FiltroResp="TODOS",FiltroResp="",PROCESSOS!I278=FiltroResp)),PROCESSOS!D278+ROW()/1000000,"")</f>
        <v/>
      </c>
    </row>
    <row r="279">
      <c r="BF279" t="str">
        <f>IF(AND(OR(PROCESSOS!Q279="NO PRAZO",PROCESSOS!Q279="VENCE EM BREVE"),OR(FiltroResp="TODOS",FiltroResp="",PROCESSOS!I279=FiltroResp)),PROCESSOS!O279+ROW()/1000000,"")</f>
        <v/>
      </c>
      <c r="BG279" t="str">
        <f>IF(AND(PROCESSOS!B279&lt;&gt;"",ISNUMBER(PROCESSOS!D279),OR(FiltroResp="TODOS",FiltroResp="",PROCESSOS!I279=FiltroResp)),PROCESSOS!D279+ROW()/1000000,"")</f>
        <v/>
      </c>
    </row>
    <row r="280">
      <c r="BF280" t="str">
        <f>IF(AND(OR(PROCESSOS!Q280="NO PRAZO",PROCESSOS!Q280="VENCE EM BREVE"),OR(FiltroResp="TODOS",FiltroResp="",PROCESSOS!I280=FiltroResp)),PROCESSOS!O280+ROW()/1000000,"")</f>
        <v/>
      </c>
      <c r="BG280" t="str">
        <f>IF(AND(PROCESSOS!B280&lt;&gt;"",ISNUMBER(PROCESSOS!D280),OR(FiltroResp="TODOS",FiltroResp="",PROCESSOS!I280=FiltroResp)),PROCESSOS!D280+ROW()/1000000,"")</f>
        <v/>
      </c>
    </row>
    <row r="281">
      <c r="BF281" t="str">
        <f>IF(AND(OR(PROCESSOS!Q281="NO PRAZO",PROCESSOS!Q281="VENCE EM BREVE"),OR(FiltroResp="TODOS",FiltroResp="",PROCESSOS!I281=FiltroResp)),PROCESSOS!O281+ROW()/1000000,"")</f>
        <v/>
      </c>
      <c r="BG281" t="str">
        <f>IF(AND(PROCESSOS!B281&lt;&gt;"",ISNUMBER(PROCESSOS!D281),OR(FiltroResp="TODOS",FiltroResp="",PROCESSOS!I281=FiltroResp)),PROCESSOS!D281+ROW()/1000000,"")</f>
        <v/>
      </c>
    </row>
    <row r="282">
      <c r="BF282" t="str">
        <f>IF(AND(OR(PROCESSOS!Q282="NO PRAZO",PROCESSOS!Q282="VENCE EM BREVE"),OR(FiltroResp="TODOS",FiltroResp="",PROCESSOS!I282=FiltroResp)),PROCESSOS!O282+ROW()/1000000,"")</f>
        <v/>
      </c>
      <c r="BG282" t="str">
        <f>IF(AND(PROCESSOS!B282&lt;&gt;"",ISNUMBER(PROCESSOS!D282),OR(FiltroResp="TODOS",FiltroResp="",PROCESSOS!I282=FiltroResp)),PROCESSOS!D282+ROW()/1000000,"")</f>
        <v/>
      </c>
    </row>
    <row r="283">
      <c r="BF283" t="str">
        <f>IF(AND(OR(PROCESSOS!Q283="NO PRAZO",PROCESSOS!Q283="VENCE EM BREVE"),OR(FiltroResp="TODOS",FiltroResp="",PROCESSOS!I283=FiltroResp)),PROCESSOS!O283+ROW()/1000000,"")</f>
        <v/>
      </c>
      <c r="BG283" t="str">
        <f>IF(AND(PROCESSOS!B283&lt;&gt;"",ISNUMBER(PROCESSOS!D283),OR(FiltroResp="TODOS",FiltroResp="",PROCESSOS!I283=FiltroResp)),PROCESSOS!D283+ROW()/1000000,"")</f>
        <v/>
      </c>
    </row>
    <row r="284">
      <c r="BF284" t="str">
        <f>IF(AND(OR(PROCESSOS!Q284="NO PRAZO",PROCESSOS!Q284="VENCE EM BREVE"),OR(FiltroResp="TODOS",FiltroResp="",PROCESSOS!I284=FiltroResp)),PROCESSOS!O284+ROW()/1000000,"")</f>
        <v/>
      </c>
      <c r="BG284" t="str">
        <f>IF(AND(PROCESSOS!B284&lt;&gt;"",ISNUMBER(PROCESSOS!D284),OR(FiltroResp="TODOS",FiltroResp="",PROCESSOS!I284=FiltroResp)),PROCESSOS!D284+ROW()/1000000,"")</f>
        <v/>
      </c>
    </row>
    <row r="285">
      <c r="BF285" t="str">
        <f>IF(AND(OR(PROCESSOS!Q285="NO PRAZO",PROCESSOS!Q285="VENCE EM BREVE"),OR(FiltroResp="TODOS",FiltroResp="",PROCESSOS!I285=FiltroResp)),PROCESSOS!O285+ROW()/1000000,"")</f>
        <v/>
      </c>
      <c r="BG285" t="str">
        <f>IF(AND(PROCESSOS!B285&lt;&gt;"",ISNUMBER(PROCESSOS!D285),OR(FiltroResp="TODOS",FiltroResp="",PROCESSOS!I285=FiltroResp)),PROCESSOS!D285+ROW()/1000000,"")</f>
        <v/>
      </c>
    </row>
    <row r="286">
      <c r="BF286" t="str">
        <f>IF(AND(OR(PROCESSOS!Q286="NO PRAZO",PROCESSOS!Q286="VENCE EM BREVE"),OR(FiltroResp="TODOS",FiltroResp="",PROCESSOS!I286=FiltroResp)),PROCESSOS!O286+ROW()/1000000,"")</f>
        <v/>
      </c>
      <c r="BG286" t="str">
        <f>IF(AND(PROCESSOS!B286&lt;&gt;"",ISNUMBER(PROCESSOS!D286),OR(FiltroResp="TODOS",FiltroResp="",PROCESSOS!I286=FiltroResp)),PROCESSOS!D286+ROW()/1000000,"")</f>
        <v/>
      </c>
    </row>
    <row r="287">
      <c r="BF287" t="str">
        <f>IF(AND(OR(PROCESSOS!Q287="NO PRAZO",PROCESSOS!Q287="VENCE EM BREVE"),OR(FiltroResp="TODOS",FiltroResp="",PROCESSOS!I287=FiltroResp)),PROCESSOS!O287+ROW()/1000000,"")</f>
        <v/>
      </c>
      <c r="BG287" t="str">
        <f>IF(AND(PROCESSOS!B287&lt;&gt;"",ISNUMBER(PROCESSOS!D287),OR(FiltroResp="TODOS",FiltroResp="",PROCESSOS!I287=FiltroResp)),PROCESSOS!D287+ROW()/1000000,"")</f>
        <v/>
      </c>
    </row>
    <row r="288">
      <c r="BF288" t="str">
        <f>IF(AND(OR(PROCESSOS!Q288="NO PRAZO",PROCESSOS!Q288="VENCE EM BREVE"),OR(FiltroResp="TODOS",FiltroResp="",PROCESSOS!I288=FiltroResp)),PROCESSOS!O288+ROW()/1000000,"")</f>
        <v/>
      </c>
      <c r="BG288" t="str">
        <f>IF(AND(PROCESSOS!B288&lt;&gt;"",ISNUMBER(PROCESSOS!D288),OR(FiltroResp="TODOS",FiltroResp="",PROCESSOS!I288=FiltroResp)),PROCESSOS!D288+ROW()/1000000,"")</f>
        <v/>
      </c>
    </row>
    <row r="289">
      <c r="BF289" t="str">
        <f>IF(AND(OR(PROCESSOS!Q289="NO PRAZO",PROCESSOS!Q289="VENCE EM BREVE"),OR(FiltroResp="TODOS",FiltroResp="",PROCESSOS!I289=FiltroResp)),PROCESSOS!O289+ROW()/1000000,"")</f>
        <v/>
      </c>
      <c r="BG289" t="str">
        <f>IF(AND(PROCESSOS!B289&lt;&gt;"",ISNUMBER(PROCESSOS!D289),OR(FiltroResp="TODOS",FiltroResp="",PROCESSOS!I289=FiltroResp)),PROCESSOS!D289+ROW()/1000000,"")</f>
        <v/>
      </c>
    </row>
    <row r="290">
      <c r="BF290" t="str">
        <f>IF(AND(OR(PROCESSOS!Q290="NO PRAZO",PROCESSOS!Q290="VENCE EM BREVE"),OR(FiltroResp="TODOS",FiltroResp="",PROCESSOS!I290=FiltroResp)),PROCESSOS!O290+ROW()/1000000,"")</f>
        <v/>
      </c>
      <c r="BG290" t="str">
        <f>IF(AND(PROCESSOS!B290&lt;&gt;"",ISNUMBER(PROCESSOS!D290),OR(FiltroResp="TODOS",FiltroResp="",PROCESSOS!I290=FiltroResp)),PROCESSOS!D290+ROW()/1000000,"")</f>
        <v/>
      </c>
    </row>
    <row r="291">
      <c r="BF291" t="str">
        <f>IF(AND(OR(PROCESSOS!Q291="NO PRAZO",PROCESSOS!Q291="VENCE EM BREVE"),OR(FiltroResp="TODOS",FiltroResp="",PROCESSOS!I291=FiltroResp)),PROCESSOS!O291+ROW()/1000000,"")</f>
        <v/>
      </c>
      <c r="BG291" t="str">
        <f>IF(AND(PROCESSOS!B291&lt;&gt;"",ISNUMBER(PROCESSOS!D291),OR(FiltroResp="TODOS",FiltroResp="",PROCESSOS!I291=FiltroResp)),PROCESSOS!D291+ROW()/1000000,"")</f>
        <v/>
      </c>
    </row>
    <row r="292">
      <c r="BF292" t="str">
        <f>IF(AND(OR(PROCESSOS!Q292="NO PRAZO",PROCESSOS!Q292="VENCE EM BREVE"),OR(FiltroResp="TODOS",FiltroResp="",PROCESSOS!I292=FiltroResp)),PROCESSOS!O292+ROW()/1000000,"")</f>
        <v/>
      </c>
      <c r="BG292" t="str">
        <f>IF(AND(PROCESSOS!B292&lt;&gt;"",ISNUMBER(PROCESSOS!D292),OR(FiltroResp="TODOS",FiltroResp="",PROCESSOS!I292=FiltroResp)),PROCESSOS!D292+ROW()/1000000,"")</f>
        <v/>
      </c>
    </row>
    <row r="293">
      <c r="BF293" t="str">
        <f>IF(AND(OR(PROCESSOS!Q293="NO PRAZO",PROCESSOS!Q293="VENCE EM BREVE"),OR(FiltroResp="TODOS",FiltroResp="",PROCESSOS!I293=FiltroResp)),PROCESSOS!O293+ROW()/1000000,"")</f>
        <v/>
      </c>
      <c r="BG293" t="str">
        <f>IF(AND(PROCESSOS!B293&lt;&gt;"",ISNUMBER(PROCESSOS!D293),OR(FiltroResp="TODOS",FiltroResp="",PROCESSOS!I293=FiltroResp)),PROCESSOS!D293+ROW()/1000000,"")</f>
        <v/>
      </c>
    </row>
    <row r="294">
      <c r="BF294" t="str">
        <f>IF(AND(OR(PROCESSOS!Q294="NO PRAZO",PROCESSOS!Q294="VENCE EM BREVE"),OR(FiltroResp="TODOS",FiltroResp="",PROCESSOS!I294=FiltroResp)),PROCESSOS!O294+ROW()/1000000,"")</f>
        <v/>
      </c>
      <c r="BG294" t="str">
        <f>IF(AND(PROCESSOS!B294&lt;&gt;"",ISNUMBER(PROCESSOS!D294),OR(FiltroResp="TODOS",FiltroResp="",PROCESSOS!I294=FiltroResp)),PROCESSOS!D294+ROW()/1000000,"")</f>
        <v/>
      </c>
    </row>
    <row r="295">
      <c r="BF295" t="str">
        <f>IF(AND(OR(PROCESSOS!Q295="NO PRAZO",PROCESSOS!Q295="VENCE EM BREVE"),OR(FiltroResp="TODOS",FiltroResp="",PROCESSOS!I295=FiltroResp)),PROCESSOS!O295+ROW()/1000000,"")</f>
        <v/>
      </c>
      <c r="BG295" t="str">
        <f>IF(AND(PROCESSOS!B295&lt;&gt;"",ISNUMBER(PROCESSOS!D295),OR(FiltroResp="TODOS",FiltroResp="",PROCESSOS!I295=FiltroResp)),PROCESSOS!D295+ROW()/1000000,"")</f>
        <v/>
      </c>
    </row>
    <row r="296">
      <c r="BF296" t="str">
        <f>IF(AND(OR(PROCESSOS!Q296="NO PRAZO",PROCESSOS!Q296="VENCE EM BREVE"),OR(FiltroResp="TODOS",FiltroResp="",PROCESSOS!I296=FiltroResp)),PROCESSOS!O296+ROW()/1000000,"")</f>
        <v/>
      </c>
      <c r="BG296" t="str">
        <f>IF(AND(PROCESSOS!B296&lt;&gt;"",ISNUMBER(PROCESSOS!D296),OR(FiltroResp="TODOS",FiltroResp="",PROCESSOS!I296=FiltroResp)),PROCESSOS!D296+ROW()/1000000,"")</f>
        <v/>
      </c>
    </row>
    <row r="297">
      <c r="BF297" t="str">
        <f>IF(AND(OR(PROCESSOS!Q297="NO PRAZO",PROCESSOS!Q297="VENCE EM BREVE"),OR(FiltroResp="TODOS",FiltroResp="",PROCESSOS!I297=FiltroResp)),PROCESSOS!O297+ROW()/1000000,"")</f>
        <v/>
      </c>
      <c r="BG297" t="str">
        <f>IF(AND(PROCESSOS!B297&lt;&gt;"",ISNUMBER(PROCESSOS!D297),OR(FiltroResp="TODOS",FiltroResp="",PROCESSOS!I297=FiltroResp)),PROCESSOS!D297+ROW()/1000000,"")</f>
        <v/>
      </c>
    </row>
    <row r="298">
      <c r="BF298" t="str">
        <f>IF(AND(OR(PROCESSOS!Q298="NO PRAZO",PROCESSOS!Q298="VENCE EM BREVE"),OR(FiltroResp="TODOS",FiltroResp="",PROCESSOS!I298=FiltroResp)),PROCESSOS!O298+ROW()/1000000,"")</f>
        <v/>
      </c>
      <c r="BG298" t="str">
        <f>IF(AND(PROCESSOS!B298&lt;&gt;"",ISNUMBER(PROCESSOS!D298),OR(FiltroResp="TODOS",FiltroResp="",PROCESSOS!I298=FiltroResp)),PROCESSOS!D298+ROW()/1000000,"")</f>
        <v/>
      </c>
    </row>
    <row r="299">
      <c r="BF299" t="str">
        <f>IF(AND(OR(PROCESSOS!Q299="NO PRAZO",PROCESSOS!Q299="VENCE EM BREVE"),OR(FiltroResp="TODOS",FiltroResp="",PROCESSOS!I299=FiltroResp)),PROCESSOS!O299+ROW()/1000000,"")</f>
        <v/>
      </c>
      <c r="BG299" t="str">
        <f>IF(AND(PROCESSOS!B299&lt;&gt;"",ISNUMBER(PROCESSOS!D299),OR(FiltroResp="TODOS",FiltroResp="",PROCESSOS!I299=FiltroResp)),PROCESSOS!D299+ROW()/1000000,"")</f>
        <v/>
      </c>
    </row>
    <row r="300">
      <c r="BF300" t="str">
        <f>IF(AND(OR(PROCESSOS!Q300="NO PRAZO",PROCESSOS!Q300="VENCE EM BREVE"),OR(FiltroResp="TODOS",FiltroResp="",PROCESSOS!I300=FiltroResp)),PROCESSOS!O300+ROW()/1000000,"")</f>
        <v/>
      </c>
      <c r="BG300" t="str">
        <f>IF(AND(PROCESSOS!B300&lt;&gt;"",ISNUMBER(PROCESSOS!D300),OR(FiltroResp="TODOS",FiltroResp="",PROCESSOS!I300=FiltroResp)),PROCESSOS!D300+ROW()/1000000,"")</f>
        <v/>
      </c>
    </row>
    <row r="301">
      <c r="BF301" t="str">
        <f>IF(AND(OR(PROCESSOS!Q301="NO PRAZO",PROCESSOS!Q301="VENCE EM BREVE"),OR(FiltroResp="TODOS",FiltroResp="",PROCESSOS!I301=FiltroResp)),PROCESSOS!O301+ROW()/1000000,"")</f>
        <v/>
      </c>
      <c r="BG301" t="str">
        <f>IF(AND(PROCESSOS!B301&lt;&gt;"",ISNUMBER(PROCESSOS!D301),OR(FiltroResp="TODOS",FiltroResp="",PROCESSOS!I301=FiltroResp)),PROCESSOS!D301+ROW()/1000000,"")</f>
        <v/>
      </c>
    </row>
    <row r="302">
      <c r="BF302" t="str">
        <f>IF(AND(OR(PROCESSOS!Q302="NO PRAZO",PROCESSOS!Q302="VENCE EM BREVE"),OR(FiltroResp="TODOS",FiltroResp="",PROCESSOS!I302=FiltroResp)),PROCESSOS!O302+ROW()/1000000,"")</f>
        <v/>
      </c>
      <c r="BG302" t="str">
        <f>IF(AND(PROCESSOS!B302&lt;&gt;"",ISNUMBER(PROCESSOS!D302),OR(FiltroResp="TODOS",FiltroResp="",PROCESSOS!I302=FiltroResp)),PROCESSOS!D302+ROW()/1000000,"")</f>
        <v/>
      </c>
    </row>
    <row r="303">
      <c r="BF303" t="str">
        <f>IF(AND(OR(PROCESSOS!Q303="NO PRAZO",PROCESSOS!Q303="VENCE EM BREVE"),OR(FiltroResp="TODOS",FiltroResp="",PROCESSOS!I303=FiltroResp)),PROCESSOS!O303+ROW()/1000000,"")</f>
        <v/>
      </c>
      <c r="BG303" t="str">
        <f>IF(AND(PROCESSOS!B303&lt;&gt;"",ISNUMBER(PROCESSOS!D303),OR(FiltroResp="TODOS",FiltroResp="",PROCESSOS!I303=FiltroResp)),PROCESSOS!D303+ROW()/1000000,"")</f>
        <v/>
      </c>
    </row>
    <row r="304">
      <c r="BF304" t="str">
        <f>IF(AND(OR(PROCESSOS!Q304="NO PRAZO",PROCESSOS!Q304="VENCE EM BREVE"),OR(FiltroResp="TODOS",FiltroResp="",PROCESSOS!I304=FiltroResp)),PROCESSOS!O304+ROW()/1000000,"")</f>
        <v/>
      </c>
      <c r="BG304" t="str">
        <f>IF(AND(PROCESSOS!B304&lt;&gt;"",ISNUMBER(PROCESSOS!D304),OR(FiltroResp="TODOS",FiltroResp="",PROCESSOS!I304=FiltroResp)),PROCESSOS!D304+ROW()/1000000,"")</f>
        <v/>
      </c>
    </row>
    <row r="305">
      <c r="BF305" t="str">
        <f>IF(AND(OR(PROCESSOS!Q305="NO PRAZO",PROCESSOS!Q305="VENCE EM BREVE"),OR(FiltroResp="TODOS",FiltroResp="",PROCESSOS!I305=FiltroResp)),PROCESSOS!O305+ROW()/1000000,"")</f>
        <v/>
      </c>
      <c r="BG305" t="str">
        <f>IF(AND(PROCESSOS!B305&lt;&gt;"",ISNUMBER(PROCESSOS!D305),OR(FiltroResp="TODOS",FiltroResp="",PROCESSOS!I305=FiltroResp)),PROCESSOS!D305+ROW()/1000000,"")</f>
        <v/>
      </c>
    </row>
    <row r="306">
      <c r="BF306" t="str">
        <f>IF(AND(OR(PROCESSOS!Q306="NO PRAZO",PROCESSOS!Q306="VENCE EM BREVE"),OR(FiltroResp="TODOS",FiltroResp="",PROCESSOS!I306=FiltroResp)),PROCESSOS!O306+ROW()/1000000,"")</f>
        <v/>
      </c>
      <c r="BG306" t="str">
        <f>IF(AND(PROCESSOS!B306&lt;&gt;"",ISNUMBER(PROCESSOS!D306),OR(FiltroResp="TODOS",FiltroResp="",PROCESSOS!I306=FiltroResp)),PROCESSOS!D306+ROW()/1000000,"")</f>
        <v/>
      </c>
    </row>
    <row r="307">
      <c r="BF307" t="str">
        <f>IF(AND(OR(PROCESSOS!Q307="NO PRAZO",PROCESSOS!Q307="VENCE EM BREVE"),OR(FiltroResp="TODOS",FiltroResp="",PROCESSOS!I307=FiltroResp)),PROCESSOS!O307+ROW()/1000000,"")</f>
        <v/>
      </c>
      <c r="BG307" t="str">
        <f>IF(AND(PROCESSOS!B307&lt;&gt;"",ISNUMBER(PROCESSOS!D307),OR(FiltroResp="TODOS",FiltroResp="",PROCESSOS!I307=FiltroResp)),PROCESSOS!D307+ROW()/1000000,"")</f>
        <v/>
      </c>
    </row>
    <row r="308">
      <c r="BF308" t="str">
        <f>IF(AND(OR(PROCESSOS!Q308="NO PRAZO",PROCESSOS!Q308="VENCE EM BREVE"),OR(FiltroResp="TODOS",FiltroResp="",PROCESSOS!I308=FiltroResp)),PROCESSOS!O308+ROW()/1000000,"")</f>
        <v/>
      </c>
      <c r="BG308" t="str">
        <f>IF(AND(PROCESSOS!B308&lt;&gt;"",ISNUMBER(PROCESSOS!D308),OR(FiltroResp="TODOS",FiltroResp="",PROCESSOS!I308=FiltroResp)),PROCESSOS!D308+ROW()/1000000,"")</f>
        <v/>
      </c>
    </row>
    <row r="309">
      <c r="BF309" t="str">
        <f>IF(AND(OR(PROCESSOS!Q309="NO PRAZO",PROCESSOS!Q309="VENCE EM BREVE"),OR(FiltroResp="TODOS",FiltroResp="",PROCESSOS!I309=FiltroResp)),PROCESSOS!O309+ROW()/1000000,"")</f>
        <v/>
      </c>
      <c r="BG309" t="str">
        <f>IF(AND(PROCESSOS!B309&lt;&gt;"",ISNUMBER(PROCESSOS!D309),OR(FiltroResp="TODOS",FiltroResp="",PROCESSOS!I309=FiltroResp)),PROCESSOS!D309+ROW()/1000000,"")</f>
        <v/>
      </c>
    </row>
    <row r="310">
      <c r="BF310" t="str">
        <f>IF(AND(OR(PROCESSOS!Q310="NO PRAZO",PROCESSOS!Q310="VENCE EM BREVE"),OR(FiltroResp="TODOS",FiltroResp="",PROCESSOS!I310=FiltroResp)),PROCESSOS!O310+ROW()/1000000,"")</f>
        <v/>
      </c>
      <c r="BG310" t="str">
        <f>IF(AND(PROCESSOS!B310&lt;&gt;"",ISNUMBER(PROCESSOS!D310),OR(FiltroResp="TODOS",FiltroResp="",PROCESSOS!I310=FiltroResp)),PROCESSOS!D310+ROW()/1000000,"")</f>
        <v/>
      </c>
    </row>
    <row r="311">
      <c r="BF311" t="str">
        <f>IF(AND(OR(PROCESSOS!Q311="NO PRAZO",PROCESSOS!Q311="VENCE EM BREVE"),OR(FiltroResp="TODOS",FiltroResp="",PROCESSOS!I311=FiltroResp)),PROCESSOS!O311+ROW()/1000000,"")</f>
        <v/>
      </c>
      <c r="BG311" t="str">
        <f>IF(AND(PROCESSOS!B311&lt;&gt;"",ISNUMBER(PROCESSOS!D311),OR(FiltroResp="TODOS",FiltroResp="",PROCESSOS!I311=FiltroResp)),PROCESSOS!D311+ROW()/1000000,"")</f>
        <v/>
      </c>
    </row>
    <row r="312">
      <c r="BF312" t="str">
        <f>IF(AND(OR(PROCESSOS!Q312="NO PRAZO",PROCESSOS!Q312="VENCE EM BREVE"),OR(FiltroResp="TODOS",FiltroResp="",PROCESSOS!I312=FiltroResp)),PROCESSOS!O312+ROW()/1000000,"")</f>
        <v/>
      </c>
      <c r="BG312" t="str">
        <f>IF(AND(PROCESSOS!B312&lt;&gt;"",ISNUMBER(PROCESSOS!D312),OR(FiltroResp="TODOS",FiltroResp="",PROCESSOS!I312=FiltroResp)),PROCESSOS!D312+ROW()/1000000,"")</f>
        <v/>
      </c>
    </row>
    <row r="313">
      <c r="BF313" t="str">
        <f>IF(AND(OR(PROCESSOS!Q313="NO PRAZO",PROCESSOS!Q313="VENCE EM BREVE"),OR(FiltroResp="TODOS",FiltroResp="",PROCESSOS!I313=FiltroResp)),PROCESSOS!O313+ROW()/1000000,"")</f>
        <v/>
      </c>
      <c r="BG313" t="str">
        <f>IF(AND(PROCESSOS!B313&lt;&gt;"",ISNUMBER(PROCESSOS!D313),OR(FiltroResp="TODOS",FiltroResp="",PROCESSOS!I313=FiltroResp)),PROCESSOS!D313+ROW()/1000000,"")</f>
        <v/>
      </c>
    </row>
    <row r="314">
      <c r="BF314" t="str">
        <f>IF(AND(OR(PROCESSOS!Q314="NO PRAZO",PROCESSOS!Q314="VENCE EM BREVE"),OR(FiltroResp="TODOS",FiltroResp="",PROCESSOS!I314=FiltroResp)),PROCESSOS!O314+ROW()/1000000,"")</f>
        <v/>
      </c>
      <c r="BG314" t="str">
        <f>IF(AND(PROCESSOS!B314&lt;&gt;"",ISNUMBER(PROCESSOS!D314),OR(FiltroResp="TODOS",FiltroResp="",PROCESSOS!I314=FiltroResp)),PROCESSOS!D314+ROW()/1000000,"")</f>
        <v/>
      </c>
    </row>
    <row r="315">
      <c r="BF315" t="str">
        <f>IF(AND(OR(PROCESSOS!Q315="NO PRAZO",PROCESSOS!Q315="VENCE EM BREVE"),OR(FiltroResp="TODOS",FiltroResp="",PROCESSOS!I315=FiltroResp)),PROCESSOS!O315+ROW()/1000000,"")</f>
        <v/>
      </c>
      <c r="BG315" t="str">
        <f>IF(AND(PROCESSOS!B315&lt;&gt;"",ISNUMBER(PROCESSOS!D315),OR(FiltroResp="TODOS",FiltroResp="",PROCESSOS!I315=FiltroResp)),PROCESSOS!D315+ROW()/1000000,"")</f>
        <v/>
      </c>
    </row>
    <row r="316">
      <c r="BF316" t="str">
        <f>IF(AND(OR(PROCESSOS!Q316="NO PRAZO",PROCESSOS!Q316="VENCE EM BREVE"),OR(FiltroResp="TODOS",FiltroResp="",PROCESSOS!I316=FiltroResp)),PROCESSOS!O316+ROW()/1000000,"")</f>
        <v/>
      </c>
      <c r="BG316" t="str">
        <f>IF(AND(PROCESSOS!B316&lt;&gt;"",ISNUMBER(PROCESSOS!D316),OR(FiltroResp="TODOS",FiltroResp="",PROCESSOS!I316=FiltroResp)),PROCESSOS!D316+ROW()/1000000,"")</f>
        <v/>
      </c>
    </row>
    <row r="317">
      <c r="BF317" t="str">
        <f>IF(AND(OR(PROCESSOS!Q317="NO PRAZO",PROCESSOS!Q317="VENCE EM BREVE"),OR(FiltroResp="TODOS",FiltroResp="",PROCESSOS!I317=FiltroResp)),PROCESSOS!O317+ROW()/1000000,"")</f>
        <v/>
      </c>
      <c r="BG317" t="str">
        <f>IF(AND(PROCESSOS!B317&lt;&gt;"",ISNUMBER(PROCESSOS!D317),OR(FiltroResp="TODOS",FiltroResp="",PROCESSOS!I317=FiltroResp)),PROCESSOS!D317+ROW()/1000000,"")</f>
        <v/>
      </c>
    </row>
    <row r="318">
      <c r="BF318" t="str">
        <f>IF(AND(OR(PROCESSOS!Q318="NO PRAZO",PROCESSOS!Q318="VENCE EM BREVE"),OR(FiltroResp="TODOS",FiltroResp="",PROCESSOS!I318=FiltroResp)),PROCESSOS!O318+ROW()/1000000,"")</f>
        <v/>
      </c>
      <c r="BG318" t="str">
        <f>IF(AND(PROCESSOS!B318&lt;&gt;"",ISNUMBER(PROCESSOS!D318),OR(FiltroResp="TODOS",FiltroResp="",PROCESSOS!I318=FiltroResp)),PROCESSOS!D318+ROW()/1000000,"")</f>
        <v/>
      </c>
    </row>
    <row r="319">
      <c r="BF319" t="str">
        <f>IF(AND(OR(PROCESSOS!Q319="NO PRAZO",PROCESSOS!Q319="VENCE EM BREVE"),OR(FiltroResp="TODOS",FiltroResp="",PROCESSOS!I319=FiltroResp)),PROCESSOS!O319+ROW()/1000000,"")</f>
        <v/>
      </c>
      <c r="BG319" t="str">
        <f>IF(AND(PROCESSOS!B319&lt;&gt;"",ISNUMBER(PROCESSOS!D319),OR(FiltroResp="TODOS",FiltroResp="",PROCESSOS!I319=FiltroResp)),PROCESSOS!D319+ROW()/1000000,"")</f>
        <v/>
      </c>
    </row>
    <row r="320">
      <c r="BF320" t="str">
        <f>IF(AND(OR(PROCESSOS!Q320="NO PRAZO",PROCESSOS!Q320="VENCE EM BREVE"),OR(FiltroResp="TODOS",FiltroResp="",PROCESSOS!I320=FiltroResp)),PROCESSOS!O320+ROW()/1000000,"")</f>
        <v/>
      </c>
      <c r="BG320" t="str">
        <f>IF(AND(PROCESSOS!B320&lt;&gt;"",ISNUMBER(PROCESSOS!D320),OR(FiltroResp="TODOS",FiltroResp="",PROCESSOS!I320=FiltroResp)),PROCESSOS!D320+ROW()/1000000,"")</f>
        <v/>
      </c>
    </row>
    <row r="321">
      <c r="BF321" t="str">
        <f>IF(AND(OR(PROCESSOS!Q321="NO PRAZO",PROCESSOS!Q321="VENCE EM BREVE"),OR(FiltroResp="TODOS",FiltroResp="",PROCESSOS!I321=FiltroResp)),PROCESSOS!O321+ROW()/1000000,"")</f>
        <v/>
      </c>
      <c r="BG321" t="str">
        <f>IF(AND(PROCESSOS!B321&lt;&gt;"",ISNUMBER(PROCESSOS!D321),OR(FiltroResp="TODOS",FiltroResp="",PROCESSOS!I321=FiltroResp)),PROCESSOS!D321+ROW()/1000000,"")</f>
        <v/>
      </c>
    </row>
    <row r="322">
      <c r="BF322" t="str">
        <f>IF(AND(OR(PROCESSOS!Q322="NO PRAZO",PROCESSOS!Q322="VENCE EM BREVE"),OR(FiltroResp="TODOS",FiltroResp="",PROCESSOS!I322=FiltroResp)),PROCESSOS!O322+ROW()/1000000,"")</f>
        <v/>
      </c>
      <c r="BG322" t="str">
        <f>IF(AND(PROCESSOS!B322&lt;&gt;"",ISNUMBER(PROCESSOS!D322),OR(FiltroResp="TODOS",FiltroResp="",PROCESSOS!I322=FiltroResp)),PROCESSOS!D322+ROW()/1000000,"")</f>
        <v/>
      </c>
    </row>
    <row r="323">
      <c r="BF323" t="str">
        <f>IF(AND(OR(PROCESSOS!Q323="NO PRAZO",PROCESSOS!Q323="VENCE EM BREVE"),OR(FiltroResp="TODOS",FiltroResp="",PROCESSOS!I323=FiltroResp)),PROCESSOS!O323+ROW()/1000000,"")</f>
        <v/>
      </c>
      <c r="BG323" t="str">
        <f>IF(AND(PROCESSOS!B323&lt;&gt;"",ISNUMBER(PROCESSOS!D323),OR(FiltroResp="TODOS",FiltroResp="",PROCESSOS!I323=FiltroResp)),PROCESSOS!D323+ROW()/1000000,"")</f>
        <v/>
      </c>
    </row>
    <row r="324">
      <c r="BF324" t="str">
        <f>IF(AND(OR(PROCESSOS!Q324="NO PRAZO",PROCESSOS!Q324="VENCE EM BREVE"),OR(FiltroResp="TODOS",FiltroResp="",PROCESSOS!I324=FiltroResp)),PROCESSOS!O324+ROW()/1000000,"")</f>
        <v/>
      </c>
      <c r="BG324" t="str">
        <f>IF(AND(PROCESSOS!B324&lt;&gt;"",ISNUMBER(PROCESSOS!D324),OR(FiltroResp="TODOS",FiltroResp="",PROCESSOS!I324=FiltroResp)),PROCESSOS!D324+ROW()/1000000,"")</f>
        <v/>
      </c>
    </row>
    <row r="325">
      <c r="BF325" t="str">
        <f>IF(AND(OR(PROCESSOS!Q325="NO PRAZO",PROCESSOS!Q325="VENCE EM BREVE"),OR(FiltroResp="TODOS",FiltroResp="",PROCESSOS!I325=FiltroResp)),PROCESSOS!O325+ROW()/1000000,"")</f>
        <v/>
      </c>
      <c r="BG325" t="str">
        <f>IF(AND(PROCESSOS!B325&lt;&gt;"",ISNUMBER(PROCESSOS!D325),OR(FiltroResp="TODOS",FiltroResp="",PROCESSOS!I325=FiltroResp)),PROCESSOS!D325+ROW()/1000000,"")</f>
        <v/>
      </c>
    </row>
    <row r="326">
      <c r="BF326" t="str">
        <f>IF(AND(OR(PROCESSOS!Q326="NO PRAZO",PROCESSOS!Q326="VENCE EM BREVE"),OR(FiltroResp="TODOS",FiltroResp="",PROCESSOS!I326=FiltroResp)),PROCESSOS!O326+ROW()/1000000,"")</f>
        <v/>
      </c>
      <c r="BG326" t="str">
        <f>IF(AND(PROCESSOS!B326&lt;&gt;"",ISNUMBER(PROCESSOS!D326),OR(FiltroResp="TODOS",FiltroResp="",PROCESSOS!I326=FiltroResp)),PROCESSOS!D326+ROW()/1000000,"")</f>
        <v/>
      </c>
    </row>
    <row r="327">
      <c r="BF327" t="str">
        <f>IF(AND(OR(PROCESSOS!Q327="NO PRAZO",PROCESSOS!Q327="VENCE EM BREVE"),OR(FiltroResp="TODOS",FiltroResp="",PROCESSOS!I327=FiltroResp)),PROCESSOS!O327+ROW()/1000000,"")</f>
        <v/>
      </c>
      <c r="BG327" t="str">
        <f>IF(AND(PROCESSOS!B327&lt;&gt;"",ISNUMBER(PROCESSOS!D327),OR(FiltroResp="TODOS",FiltroResp="",PROCESSOS!I327=FiltroResp)),PROCESSOS!D327+ROW()/1000000,"")</f>
        <v/>
      </c>
    </row>
    <row r="328">
      <c r="BF328" t="str">
        <f>IF(AND(OR(PROCESSOS!Q328="NO PRAZO",PROCESSOS!Q328="VENCE EM BREVE"),OR(FiltroResp="TODOS",FiltroResp="",PROCESSOS!I328=FiltroResp)),PROCESSOS!O328+ROW()/1000000,"")</f>
        <v/>
      </c>
      <c r="BG328" t="str">
        <f>IF(AND(PROCESSOS!B328&lt;&gt;"",ISNUMBER(PROCESSOS!D328),OR(FiltroResp="TODOS",FiltroResp="",PROCESSOS!I328=FiltroResp)),PROCESSOS!D328+ROW()/1000000,"")</f>
        <v/>
      </c>
    </row>
    <row r="329">
      <c r="BF329" t="str">
        <f>IF(AND(OR(PROCESSOS!Q329="NO PRAZO",PROCESSOS!Q329="VENCE EM BREVE"),OR(FiltroResp="TODOS",FiltroResp="",PROCESSOS!I329=FiltroResp)),PROCESSOS!O329+ROW()/1000000,"")</f>
        <v/>
      </c>
      <c r="BG329" t="str">
        <f>IF(AND(PROCESSOS!B329&lt;&gt;"",ISNUMBER(PROCESSOS!D329),OR(FiltroResp="TODOS",FiltroResp="",PROCESSOS!I329=FiltroResp)),PROCESSOS!D329+ROW()/1000000,"")</f>
        <v/>
      </c>
    </row>
    <row r="330">
      <c r="BF330" t="str">
        <f>IF(AND(OR(PROCESSOS!Q330="NO PRAZO",PROCESSOS!Q330="VENCE EM BREVE"),OR(FiltroResp="TODOS",FiltroResp="",PROCESSOS!I330=FiltroResp)),PROCESSOS!O330+ROW()/1000000,"")</f>
        <v/>
      </c>
      <c r="BG330" t="str">
        <f>IF(AND(PROCESSOS!B330&lt;&gt;"",ISNUMBER(PROCESSOS!D330),OR(FiltroResp="TODOS",FiltroResp="",PROCESSOS!I330=FiltroResp)),PROCESSOS!D330+ROW()/1000000,"")</f>
        <v/>
      </c>
    </row>
    <row r="331">
      <c r="BF331" t="str">
        <f>IF(AND(OR(PROCESSOS!Q331="NO PRAZO",PROCESSOS!Q331="VENCE EM BREVE"),OR(FiltroResp="TODOS",FiltroResp="",PROCESSOS!I331=FiltroResp)),PROCESSOS!O331+ROW()/1000000,"")</f>
        <v/>
      </c>
      <c r="BG331" t="str">
        <f>IF(AND(PROCESSOS!B331&lt;&gt;"",ISNUMBER(PROCESSOS!D331),OR(FiltroResp="TODOS",FiltroResp="",PROCESSOS!I331=FiltroResp)),PROCESSOS!D331+ROW()/1000000,"")</f>
        <v/>
      </c>
    </row>
    <row r="332">
      <c r="BF332" t="str">
        <f>IF(AND(OR(PROCESSOS!Q332="NO PRAZO",PROCESSOS!Q332="VENCE EM BREVE"),OR(FiltroResp="TODOS",FiltroResp="",PROCESSOS!I332=FiltroResp)),PROCESSOS!O332+ROW()/1000000,"")</f>
        <v/>
      </c>
      <c r="BG332" t="str">
        <f>IF(AND(PROCESSOS!B332&lt;&gt;"",ISNUMBER(PROCESSOS!D332),OR(FiltroResp="TODOS",FiltroResp="",PROCESSOS!I332=FiltroResp)),PROCESSOS!D332+ROW()/1000000,"")</f>
        <v/>
      </c>
    </row>
    <row r="333">
      <c r="BF333" t="str">
        <f>IF(AND(OR(PROCESSOS!Q333="NO PRAZO",PROCESSOS!Q333="VENCE EM BREVE"),OR(FiltroResp="TODOS",FiltroResp="",PROCESSOS!I333=FiltroResp)),PROCESSOS!O333+ROW()/1000000,"")</f>
        <v/>
      </c>
      <c r="BG333" t="str">
        <f>IF(AND(PROCESSOS!B333&lt;&gt;"",ISNUMBER(PROCESSOS!D333),OR(FiltroResp="TODOS",FiltroResp="",PROCESSOS!I333=FiltroResp)),PROCESSOS!D333+ROW()/1000000,"")</f>
        <v/>
      </c>
    </row>
    <row r="334">
      <c r="BF334" t="str">
        <f>IF(AND(OR(PROCESSOS!Q334="NO PRAZO",PROCESSOS!Q334="VENCE EM BREVE"),OR(FiltroResp="TODOS",FiltroResp="",PROCESSOS!I334=FiltroResp)),PROCESSOS!O334+ROW()/1000000,"")</f>
        <v/>
      </c>
      <c r="BG334" t="str">
        <f>IF(AND(PROCESSOS!B334&lt;&gt;"",ISNUMBER(PROCESSOS!D334),OR(FiltroResp="TODOS",FiltroResp="",PROCESSOS!I334=FiltroResp)),PROCESSOS!D334+ROW()/1000000,"")</f>
        <v/>
      </c>
    </row>
    <row r="335">
      <c r="BF335" t="str">
        <f>IF(AND(OR(PROCESSOS!Q335="NO PRAZO",PROCESSOS!Q335="VENCE EM BREVE"),OR(FiltroResp="TODOS",FiltroResp="",PROCESSOS!I335=FiltroResp)),PROCESSOS!O335+ROW()/1000000,"")</f>
        <v/>
      </c>
      <c r="BG335" t="str">
        <f>IF(AND(PROCESSOS!B335&lt;&gt;"",ISNUMBER(PROCESSOS!D335),OR(FiltroResp="TODOS",FiltroResp="",PROCESSOS!I335=FiltroResp)),PROCESSOS!D335+ROW()/1000000,"")</f>
        <v/>
      </c>
    </row>
    <row r="336">
      <c r="BF336" t="str">
        <f>IF(AND(OR(PROCESSOS!Q336="NO PRAZO",PROCESSOS!Q336="VENCE EM BREVE"),OR(FiltroResp="TODOS",FiltroResp="",PROCESSOS!I336=FiltroResp)),PROCESSOS!O336+ROW()/1000000,"")</f>
        <v/>
      </c>
      <c r="BG336" t="str">
        <f>IF(AND(PROCESSOS!B336&lt;&gt;"",ISNUMBER(PROCESSOS!D336),OR(FiltroResp="TODOS",FiltroResp="",PROCESSOS!I336=FiltroResp)),PROCESSOS!D336+ROW()/1000000,"")</f>
        <v/>
      </c>
    </row>
    <row r="337">
      <c r="BF337" t="str">
        <f>IF(AND(OR(PROCESSOS!Q337="NO PRAZO",PROCESSOS!Q337="VENCE EM BREVE"),OR(FiltroResp="TODOS",FiltroResp="",PROCESSOS!I337=FiltroResp)),PROCESSOS!O337+ROW()/1000000,"")</f>
        <v/>
      </c>
      <c r="BG337" t="str">
        <f>IF(AND(PROCESSOS!B337&lt;&gt;"",ISNUMBER(PROCESSOS!D337),OR(FiltroResp="TODOS",FiltroResp="",PROCESSOS!I337=FiltroResp)),PROCESSOS!D337+ROW()/1000000,"")</f>
        <v/>
      </c>
    </row>
    <row r="338">
      <c r="BF338" t="str">
        <f>IF(AND(OR(PROCESSOS!Q338="NO PRAZO",PROCESSOS!Q338="VENCE EM BREVE"),OR(FiltroResp="TODOS",FiltroResp="",PROCESSOS!I338=FiltroResp)),PROCESSOS!O338+ROW()/1000000,"")</f>
        <v/>
      </c>
      <c r="BG338" t="str">
        <f>IF(AND(PROCESSOS!B338&lt;&gt;"",ISNUMBER(PROCESSOS!D338),OR(FiltroResp="TODOS",FiltroResp="",PROCESSOS!I338=FiltroResp)),PROCESSOS!D338+ROW()/1000000,"")</f>
        <v/>
      </c>
    </row>
    <row r="339">
      <c r="BF339" t="str">
        <f>IF(AND(OR(PROCESSOS!Q339="NO PRAZO",PROCESSOS!Q339="VENCE EM BREVE"),OR(FiltroResp="TODOS",FiltroResp="",PROCESSOS!I339=FiltroResp)),PROCESSOS!O339+ROW()/1000000,"")</f>
        <v/>
      </c>
      <c r="BG339" t="str">
        <f>IF(AND(PROCESSOS!B339&lt;&gt;"",ISNUMBER(PROCESSOS!D339),OR(FiltroResp="TODOS",FiltroResp="",PROCESSOS!I339=FiltroResp)),PROCESSOS!D339+ROW()/1000000,"")</f>
        <v/>
      </c>
    </row>
    <row r="340">
      <c r="BF340" t="str">
        <f>IF(AND(OR(PROCESSOS!Q340="NO PRAZO",PROCESSOS!Q340="VENCE EM BREVE"),OR(FiltroResp="TODOS",FiltroResp="",PROCESSOS!I340=FiltroResp)),PROCESSOS!O340+ROW()/1000000,"")</f>
        <v/>
      </c>
      <c r="BG340" t="str">
        <f>IF(AND(PROCESSOS!B340&lt;&gt;"",ISNUMBER(PROCESSOS!D340),OR(FiltroResp="TODOS",FiltroResp="",PROCESSOS!I340=FiltroResp)),PROCESSOS!D340+ROW()/1000000,"")</f>
        <v/>
      </c>
    </row>
    <row r="341">
      <c r="BF341" t="str">
        <f>IF(AND(OR(PROCESSOS!Q341="NO PRAZO",PROCESSOS!Q341="VENCE EM BREVE"),OR(FiltroResp="TODOS",FiltroResp="",PROCESSOS!I341=FiltroResp)),PROCESSOS!O341+ROW()/1000000,"")</f>
        <v/>
      </c>
      <c r="BG341" t="str">
        <f>IF(AND(PROCESSOS!B341&lt;&gt;"",ISNUMBER(PROCESSOS!D341),OR(FiltroResp="TODOS",FiltroResp="",PROCESSOS!I341=FiltroResp)),PROCESSOS!D341+ROW()/1000000,"")</f>
        <v/>
      </c>
    </row>
    <row r="342">
      <c r="BF342" t="str">
        <f>IF(AND(OR(PROCESSOS!Q342="NO PRAZO",PROCESSOS!Q342="VENCE EM BREVE"),OR(FiltroResp="TODOS",FiltroResp="",PROCESSOS!I342=FiltroResp)),PROCESSOS!O342+ROW()/1000000,"")</f>
        <v/>
      </c>
      <c r="BG342" t="str">
        <f>IF(AND(PROCESSOS!B342&lt;&gt;"",ISNUMBER(PROCESSOS!D342),OR(FiltroResp="TODOS",FiltroResp="",PROCESSOS!I342=FiltroResp)),PROCESSOS!D342+ROW()/1000000,"")</f>
        <v/>
      </c>
    </row>
    <row r="343">
      <c r="BF343" t="str">
        <f>IF(AND(OR(PROCESSOS!Q343="NO PRAZO",PROCESSOS!Q343="VENCE EM BREVE"),OR(FiltroResp="TODOS",FiltroResp="",PROCESSOS!I343=FiltroResp)),PROCESSOS!O343+ROW()/1000000,"")</f>
        <v/>
      </c>
      <c r="BG343" t="str">
        <f>IF(AND(PROCESSOS!B343&lt;&gt;"",ISNUMBER(PROCESSOS!D343),OR(FiltroResp="TODOS",FiltroResp="",PROCESSOS!I343=FiltroResp)),PROCESSOS!D343+ROW()/1000000,"")</f>
        <v/>
      </c>
    </row>
    <row r="344">
      <c r="BF344" t="str">
        <f>IF(AND(OR(PROCESSOS!Q344="NO PRAZO",PROCESSOS!Q344="VENCE EM BREVE"),OR(FiltroResp="TODOS",FiltroResp="",PROCESSOS!I344=FiltroResp)),PROCESSOS!O344+ROW()/1000000,"")</f>
        <v/>
      </c>
      <c r="BG344" t="str">
        <f>IF(AND(PROCESSOS!B344&lt;&gt;"",ISNUMBER(PROCESSOS!D344),OR(FiltroResp="TODOS",FiltroResp="",PROCESSOS!I344=FiltroResp)),PROCESSOS!D344+ROW()/1000000,"")</f>
        <v/>
      </c>
    </row>
    <row r="345">
      <c r="BF345" t="str">
        <f>IF(AND(OR(PROCESSOS!Q345="NO PRAZO",PROCESSOS!Q345="VENCE EM BREVE"),OR(FiltroResp="TODOS",FiltroResp="",PROCESSOS!I345=FiltroResp)),PROCESSOS!O345+ROW()/1000000,"")</f>
        <v/>
      </c>
      <c r="BG345" t="str">
        <f>IF(AND(PROCESSOS!B345&lt;&gt;"",ISNUMBER(PROCESSOS!D345),OR(FiltroResp="TODOS",FiltroResp="",PROCESSOS!I345=FiltroResp)),PROCESSOS!D345+ROW()/1000000,"")</f>
        <v/>
      </c>
    </row>
    <row r="346">
      <c r="BF346" t="str">
        <f>IF(AND(OR(PROCESSOS!Q346="NO PRAZO",PROCESSOS!Q346="VENCE EM BREVE"),OR(FiltroResp="TODOS",FiltroResp="",PROCESSOS!I346=FiltroResp)),PROCESSOS!O346+ROW()/1000000,"")</f>
        <v/>
      </c>
      <c r="BG346" t="str">
        <f>IF(AND(PROCESSOS!B346&lt;&gt;"",ISNUMBER(PROCESSOS!D346),OR(FiltroResp="TODOS",FiltroResp="",PROCESSOS!I346=FiltroResp)),PROCESSOS!D346+ROW()/1000000,"")</f>
        <v/>
      </c>
    </row>
    <row r="347">
      <c r="BF347" t="str">
        <f>IF(AND(OR(PROCESSOS!Q347="NO PRAZO",PROCESSOS!Q347="VENCE EM BREVE"),OR(FiltroResp="TODOS",FiltroResp="",PROCESSOS!I347=FiltroResp)),PROCESSOS!O347+ROW()/1000000,"")</f>
        <v/>
      </c>
      <c r="BG347" t="str">
        <f>IF(AND(PROCESSOS!B347&lt;&gt;"",ISNUMBER(PROCESSOS!D347),OR(FiltroResp="TODOS",FiltroResp="",PROCESSOS!I347=FiltroResp)),PROCESSOS!D347+ROW()/1000000,"")</f>
        <v/>
      </c>
    </row>
    <row r="348">
      <c r="BF348" t="str">
        <f>IF(AND(OR(PROCESSOS!Q348="NO PRAZO",PROCESSOS!Q348="VENCE EM BREVE"),OR(FiltroResp="TODOS",FiltroResp="",PROCESSOS!I348=FiltroResp)),PROCESSOS!O348+ROW()/1000000,"")</f>
        <v/>
      </c>
      <c r="BG348" t="str">
        <f>IF(AND(PROCESSOS!B348&lt;&gt;"",ISNUMBER(PROCESSOS!D348),OR(FiltroResp="TODOS",FiltroResp="",PROCESSOS!I348=FiltroResp)),PROCESSOS!D348+ROW()/1000000,"")</f>
        <v/>
      </c>
    </row>
    <row r="349">
      <c r="BF349" t="str">
        <f>IF(AND(OR(PROCESSOS!Q349="NO PRAZO",PROCESSOS!Q349="VENCE EM BREVE"),OR(FiltroResp="TODOS",FiltroResp="",PROCESSOS!I349=FiltroResp)),PROCESSOS!O349+ROW()/1000000,"")</f>
        <v/>
      </c>
      <c r="BG349" t="str">
        <f>IF(AND(PROCESSOS!B349&lt;&gt;"",ISNUMBER(PROCESSOS!D349),OR(FiltroResp="TODOS",FiltroResp="",PROCESSOS!I349=FiltroResp)),PROCESSOS!D349+ROW()/1000000,"")</f>
        <v/>
      </c>
    </row>
    <row r="350">
      <c r="BF350" t="str">
        <f>IF(AND(OR(PROCESSOS!Q350="NO PRAZO",PROCESSOS!Q350="VENCE EM BREVE"),OR(FiltroResp="TODOS",FiltroResp="",PROCESSOS!I350=FiltroResp)),PROCESSOS!O350+ROW()/1000000,"")</f>
        <v/>
      </c>
      <c r="BG350" t="str">
        <f>IF(AND(PROCESSOS!B350&lt;&gt;"",ISNUMBER(PROCESSOS!D350),OR(FiltroResp="TODOS",FiltroResp="",PROCESSOS!I350=FiltroResp)),PROCESSOS!D350+ROW()/1000000,"")</f>
        <v/>
      </c>
    </row>
    <row r="351">
      <c r="BF351" t="str">
        <f>IF(AND(OR(PROCESSOS!Q351="NO PRAZO",PROCESSOS!Q351="VENCE EM BREVE"),OR(FiltroResp="TODOS",FiltroResp="",PROCESSOS!I351=FiltroResp)),PROCESSOS!O351+ROW()/1000000,"")</f>
        <v/>
      </c>
      <c r="BG351" t="str">
        <f>IF(AND(PROCESSOS!B351&lt;&gt;"",ISNUMBER(PROCESSOS!D351),OR(FiltroResp="TODOS",FiltroResp="",PROCESSOS!I351=FiltroResp)),PROCESSOS!D351+ROW()/1000000,"")</f>
        <v/>
      </c>
    </row>
    <row r="352">
      <c r="BF352" t="str">
        <f>IF(AND(OR(PROCESSOS!Q352="NO PRAZO",PROCESSOS!Q352="VENCE EM BREVE"),OR(FiltroResp="TODOS",FiltroResp="",PROCESSOS!I352=FiltroResp)),PROCESSOS!O352+ROW()/1000000,"")</f>
        <v/>
      </c>
      <c r="BG352" t="str">
        <f>IF(AND(PROCESSOS!B352&lt;&gt;"",ISNUMBER(PROCESSOS!D352),OR(FiltroResp="TODOS",FiltroResp="",PROCESSOS!I352=FiltroResp)),PROCESSOS!D352+ROW()/1000000,"")</f>
        <v/>
      </c>
    </row>
    <row r="353">
      <c r="BF353" t="str">
        <f>IF(AND(OR(PROCESSOS!Q353="NO PRAZO",PROCESSOS!Q353="VENCE EM BREVE"),OR(FiltroResp="TODOS",FiltroResp="",PROCESSOS!I353=FiltroResp)),PROCESSOS!O353+ROW()/1000000,"")</f>
        <v/>
      </c>
      <c r="BG353" t="str">
        <f>IF(AND(PROCESSOS!B353&lt;&gt;"",ISNUMBER(PROCESSOS!D353),OR(FiltroResp="TODOS",FiltroResp="",PROCESSOS!I353=FiltroResp)),PROCESSOS!D353+ROW()/1000000,"")</f>
        <v/>
      </c>
    </row>
    <row r="354">
      <c r="BF354" t="str">
        <f>IF(AND(OR(PROCESSOS!Q354="NO PRAZO",PROCESSOS!Q354="VENCE EM BREVE"),OR(FiltroResp="TODOS",FiltroResp="",PROCESSOS!I354=FiltroResp)),PROCESSOS!O354+ROW()/1000000,"")</f>
        <v/>
      </c>
      <c r="BG354" t="str">
        <f>IF(AND(PROCESSOS!B354&lt;&gt;"",ISNUMBER(PROCESSOS!D354),OR(FiltroResp="TODOS",FiltroResp="",PROCESSOS!I354=FiltroResp)),PROCESSOS!D354+ROW()/1000000,"")</f>
        <v/>
      </c>
    </row>
    <row r="355">
      <c r="BF355" t="str">
        <f>IF(AND(OR(PROCESSOS!Q355="NO PRAZO",PROCESSOS!Q355="VENCE EM BREVE"),OR(FiltroResp="TODOS",FiltroResp="",PROCESSOS!I355=FiltroResp)),PROCESSOS!O355+ROW()/1000000,"")</f>
        <v/>
      </c>
      <c r="BG355" t="str">
        <f>IF(AND(PROCESSOS!B355&lt;&gt;"",ISNUMBER(PROCESSOS!D355),OR(FiltroResp="TODOS",FiltroResp="",PROCESSOS!I355=FiltroResp)),PROCESSOS!D355+ROW()/1000000,"")</f>
        <v/>
      </c>
    </row>
    <row r="356">
      <c r="BF356" t="str">
        <f>IF(AND(OR(PROCESSOS!Q356="NO PRAZO",PROCESSOS!Q356="VENCE EM BREVE"),OR(FiltroResp="TODOS",FiltroResp="",PROCESSOS!I356=FiltroResp)),PROCESSOS!O356+ROW()/1000000,"")</f>
        <v/>
      </c>
      <c r="BG356" t="str">
        <f>IF(AND(PROCESSOS!B356&lt;&gt;"",ISNUMBER(PROCESSOS!D356),OR(FiltroResp="TODOS",FiltroResp="",PROCESSOS!I356=FiltroResp)),PROCESSOS!D356+ROW()/1000000,"")</f>
        <v/>
      </c>
    </row>
    <row r="357">
      <c r="BF357" t="str">
        <f>IF(AND(OR(PROCESSOS!Q357="NO PRAZO",PROCESSOS!Q357="VENCE EM BREVE"),OR(FiltroResp="TODOS",FiltroResp="",PROCESSOS!I357=FiltroResp)),PROCESSOS!O357+ROW()/1000000,"")</f>
        <v/>
      </c>
      <c r="BG357" t="str">
        <f>IF(AND(PROCESSOS!B357&lt;&gt;"",ISNUMBER(PROCESSOS!D357),OR(FiltroResp="TODOS",FiltroResp="",PROCESSOS!I357=FiltroResp)),PROCESSOS!D357+ROW()/1000000,"")</f>
        <v/>
      </c>
    </row>
    <row r="358">
      <c r="BF358" t="str">
        <f>IF(AND(OR(PROCESSOS!Q358="NO PRAZO",PROCESSOS!Q358="VENCE EM BREVE"),OR(FiltroResp="TODOS",FiltroResp="",PROCESSOS!I358=FiltroResp)),PROCESSOS!O358+ROW()/1000000,"")</f>
        <v/>
      </c>
      <c r="BG358" t="str">
        <f>IF(AND(PROCESSOS!B358&lt;&gt;"",ISNUMBER(PROCESSOS!D358),OR(FiltroResp="TODOS",FiltroResp="",PROCESSOS!I358=FiltroResp)),PROCESSOS!D358+ROW()/1000000,"")</f>
        <v/>
      </c>
    </row>
    <row r="359">
      <c r="BF359" t="str">
        <f>IF(AND(OR(PROCESSOS!Q359="NO PRAZO",PROCESSOS!Q359="VENCE EM BREVE"),OR(FiltroResp="TODOS",FiltroResp="",PROCESSOS!I359=FiltroResp)),PROCESSOS!O359+ROW()/1000000,"")</f>
        <v/>
      </c>
      <c r="BG359" t="str">
        <f>IF(AND(PROCESSOS!B359&lt;&gt;"",ISNUMBER(PROCESSOS!D359),OR(FiltroResp="TODOS",FiltroResp="",PROCESSOS!I359=FiltroResp)),PROCESSOS!D359+ROW()/1000000,"")</f>
        <v/>
      </c>
    </row>
    <row r="360">
      <c r="BF360" t="str">
        <f>IF(AND(OR(PROCESSOS!Q360="NO PRAZO",PROCESSOS!Q360="VENCE EM BREVE"),OR(FiltroResp="TODOS",FiltroResp="",PROCESSOS!I360=FiltroResp)),PROCESSOS!O360+ROW()/1000000,"")</f>
        <v/>
      </c>
      <c r="BG360" t="str">
        <f>IF(AND(PROCESSOS!B360&lt;&gt;"",ISNUMBER(PROCESSOS!D360),OR(FiltroResp="TODOS",FiltroResp="",PROCESSOS!I360=FiltroResp)),PROCESSOS!D360+ROW()/1000000,"")</f>
        <v/>
      </c>
    </row>
    <row r="361">
      <c r="BF361" t="str">
        <f>IF(AND(OR(PROCESSOS!Q361="NO PRAZO",PROCESSOS!Q361="VENCE EM BREVE"),OR(FiltroResp="TODOS",FiltroResp="",PROCESSOS!I361=FiltroResp)),PROCESSOS!O361+ROW()/1000000,"")</f>
        <v/>
      </c>
      <c r="BG361" t="str">
        <f>IF(AND(PROCESSOS!B361&lt;&gt;"",ISNUMBER(PROCESSOS!D361),OR(FiltroResp="TODOS",FiltroResp="",PROCESSOS!I361=FiltroResp)),PROCESSOS!D361+ROW()/1000000,"")</f>
        <v/>
      </c>
    </row>
    <row r="362">
      <c r="BF362" t="str">
        <f>IF(AND(OR(PROCESSOS!Q362="NO PRAZO",PROCESSOS!Q362="VENCE EM BREVE"),OR(FiltroResp="TODOS",FiltroResp="",PROCESSOS!I362=FiltroResp)),PROCESSOS!O362+ROW()/1000000,"")</f>
        <v/>
      </c>
      <c r="BG362" t="str">
        <f>IF(AND(PROCESSOS!B362&lt;&gt;"",ISNUMBER(PROCESSOS!D362),OR(FiltroResp="TODOS",FiltroResp="",PROCESSOS!I362=FiltroResp)),PROCESSOS!D362+ROW()/1000000,"")</f>
        <v/>
      </c>
    </row>
    <row r="363">
      <c r="BF363" t="str">
        <f>IF(AND(OR(PROCESSOS!Q363="NO PRAZO",PROCESSOS!Q363="VENCE EM BREVE"),OR(FiltroResp="TODOS",FiltroResp="",PROCESSOS!I363=FiltroResp)),PROCESSOS!O363+ROW()/1000000,"")</f>
        <v/>
      </c>
      <c r="BG363" t="str">
        <f>IF(AND(PROCESSOS!B363&lt;&gt;"",ISNUMBER(PROCESSOS!D363),OR(FiltroResp="TODOS",FiltroResp="",PROCESSOS!I363=FiltroResp)),PROCESSOS!D363+ROW()/1000000,"")</f>
        <v/>
      </c>
    </row>
    <row r="364">
      <c r="BF364" t="str">
        <f>IF(AND(OR(PROCESSOS!Q364="NO PRAZO",PROCESSOS!Q364="VENCE EM BREVE"),OR(FiltroResp="TODOS",FiltroResp="",PROCESSOS!I364=FiltroResp)),PROCESSOS!O364+ROW()/1000000,"")</f>
        <v/>
      </c>
      <c r="BG364" t="str">
        <f>IF(AND(PROCESSOS!B364&lt;&gt;"",ISNUMBER(PROCESSOS!D364),OR(FiltroResp="TODOS",FiltroResp="",PROCESSOS!I364=FiltroResp)),PROCESSOS!D364+ROW()/1000000,"")</f>
        <v/>
      </c>
    </row>
    <row r="365">
      <c r="BF365" t="str">
        <f>IF(AND(OR(PROCESSOS!Q365="NO PRAZO",PROCESSOS!Q365="VENCE EM BREVE"),OR(FiltroResp="TODOS",FiltroResp="",PROCESSOS!I365=FiltroResp)),PROCESSOS!O365+ROW()/1000000,"")</f>
        <v/>
      </c>
      <c r="BG365" t="str">
        <f>IF(AND(PROCESSOS!B365&lt;&gt;"",ISNUMBER(PROCESSOS!D365),OR(FiltroResp="TODOS",FiltroResp="",PROCESSOS!I365=FiltroResp)),PROCESSOS!D365+ROW()/1000000,"")</f>
        <v/>
      </c>
    </row>
    <row r="366">
      <c r="BF366" t="str">
        <f>IF(AND(OR(PROCESSOS!Q366="NO PRAZO",PROCESSOS!Q366="VENCE EM BREVE"),OR(FiltroResp="TODOS",FiltroResp="",PROCESSOS!I366=FiltroResp)),PROCESSOS!O366+ROW()/1000000,"")</f>
        <v/>
      </c>
      <c r="BG366" t="str">
        <f>IF(AND(PROCESSOS!B366&lt;&gt;"",ISNUMBER(PROCESSOS!D366),OR(FiltroResp="TODOS",FiltroResp="",PROCESSOS!I366=FiltroResp)),PROCESSOS!D366+ROW()/1000000,"")</f>
        <v/>
      </c>
    </row>
    <row r="367">
      <c r="BF367" t="str">
        <f>IF(AND(OR(PROCESSOS!Q367="NO PRAZO",PROCESSOS!Q367="VENCE EM BREVE"),OR(FiltroResp="TODOS",FiltroResp="",PROCESSOS!I367=FiltroResp)),PROCESSOS!O367+ROW()/1000000,"")</f>
        <v/>
      </c>
      <c r="BG367" t="str">
        <f>IF(AND(PROCESSOS!B367&lt;&gt;"",ISNUMBER(PROCESSOS!D367),OR(FiltroResp="TODOS",FiltroResp="",PROCESSOS!I367=FiltroResp)),PROCESSOS!D367+ROW()/1000000,"")</f>
        <v/>
      </c>
    </row>
    <row r="368">
      <c r="BF368" t="str">
        <f>IF(AND(OR(PROCESSOS!Q368="NO PRAZO",PROCESSOS!Q368="VENCE EM BREVE"),OR(FiltroResp="TODOS",FiltroResp="",PROCESSOS!I368=FiltroResp)),PROCESSOS!O368+ROW()/1000000,"")</f>
        <v/>
      </c>
      <c r="BG368" t="str">
        <f>IF(AND(PROCESSOS!B368&lt;&gt;"",ISNUMBER(PROCESSOS!D368),OR(FiltroResp="TODOS",FiltroResp="",PROCESSOS!I368=FiltroResp)),PROCESSOS!D368+ROW()/1000000,"")</f>
        <v/>
      </c>
    </row>
    <row r="369">
      <c r="BF369" t="str">
        <f>IF(AND(OR(PROCESSOS!Q369="NO PRAZO",PROCESSOS!Q369="VENCE EM BREVE"),OR(FiltroResp="TODOS",FiltroResp="",PROCESSOS!I369=FiltroResp)),PROCESSOS!O369+ROW()/1000000,"")</f>
        <v/>
      </c>
      <c r="BG369" t="str">
        <f>IF(AND(PROCESSOS!B369&lt;&gt;"",ISNUMBER(PROCESSOS!D369),OR(FiltroResp="TODOS",FiltroResp="",PROCESSOS!I369=FiltroResp)),PROCESSOS!D369+ROW()/1000000,"")</f>
        <v/>
      </c>
    </row>
    <row r="370">
      <c r="BF370" t="str">
        <f>IF(AND(OR(PROCESSOS!Q370="NO PRAZO",PROCESSOS!Q370="VENCE EM BREVE"),OR(FiltroResp="TODOS",FiltroResp="",PROCESSOS!I370=FiltroResp)),PROCESSOS!O370+ROW()/1000000,"")</f>
        <v/>
      </c>
      <c r="BG370" t="str">
        <f>IF(AND(PROCESSOS!B370&lt;&gt;"",ISNUMBER(PROCESSOS!D370),OR(FiltroResp="TODOS",FiltroResp="",PROCESSOS!I370=FiltroResp)),PROCESSOS!D370+ROW()/1000000,"")</f>
        <v/>
      </c>
    </row>
    <row r="371">
      <c r="BF371" t="str">
        <f>IF(AND(OR(PROCESSOS!Q371="NO PRAZO",PROCESSOS!Q371="VENCE EM BREVE"),OR(FiltroResp="TODOS",FiltroResp="",PROCESSOS!I371=FiltroResp)),PROCESSOS!O371+ROW()/1000000,"")</f>
        <v/>
      </c>
      <c r="BG371" t="str">
        <f>IF(AND(PROCESSOS!B371&lt;&gt;"",ISNUMBER(PROCESSOS!D371),OR(FiltroResp="TODOS",FiltroResp="",PROCESSOS!I371=FiltroResp)),PROCESSOS!D371+ROW()/1000000,"")</f>
        <v/>
      </c>
    </row>
    <row r="372">
      <c r="BF372" t="str">
        <f>IF(AND(OR(PROCESSOS!Q372="NO PRAZO",PROCESSOS!Q372="VENCE EM BREVE"),OR(FiltroResp="TODOS",FiltroResp="",PROCESSOS!I372=FiltroResp)),PROCESSOS!O372+ROW()/1000000,"")</f>
        <v/>
      </c>
      <c r="BG372" t="str">
        <f>IF(AND(PROCESSOS!B372&lt;&gt;"",ISNUMBER(PROCESSOS!D372),OR(FiltroResp="TODOS",FiltroResp="",PROCESSOS!I372=FiltroResp)),PROCESSOS!D372+ROW()/1000000,"")</f>
        <v/>
      </c>
    </row>
    <row r="373">
      <c r="BF373" t="str">
        <f>IF(AND(OR(PROCESSOS!Q373="NO PRAZO",PROCESSOS!Q373="VENCE EM BREVE"),OR(FiltroResp="TODOS",FiltroResp="",PROCESSOS!I373=FiltroResp)),PROCESSOS!O373+ROW()/1000000,"")</f>
        <v/>
      </c>
      <c r="BG373" t="str">
        <f>IF(AND(PROCESSOS!B373&lt;&gt;"",ISNUMBER(PROCESSOS!D373),OR(FiltroResp="TODOS",FiltroResp="",PROCESSOS!I373=FiltroResp)),PROCESSOS!D373+ROW()/1000000,"")</f>
        <v/>
      </c>
    </row>
    <row r="374">
      <c r="BF374" t="str">
        <f>IF(AND(OR(PROCESSOS!Q374="NO PRAZO",PROCESSOS!Q374="VENCE EM BREVE"),OR(FiltroResp="TODOS",FiltroResp="",PROCESSOS!I374=FiltroResp)),PROCESSOS!O374+ROW()/1000000,"")</f>
        <v/>
      </c>
      <c r="BG374" t="str">
        <f>IF(AND(PROCESSOS!B374&lt;&gt;"",ISNUMBER(PROCESSOS!D374),OR(FiltroResp="TODOS",FiltroResp="",PROCESSOS!I374=FiltroResp)),PROCESSOS!D374+ROW()/1000000,"")</f>
        <v/>
      </c>
    </row>
    <row r="375">
      <c r="BF375" t="str">
        <f>IF(AND(OR(PROCESSOS!Q375="NO PRAZO",PROCESSOS!Q375="VENCE EM BREVE"),OR(FiltroResp="TODOS",FiltroResp="",PROCESSOS!I375=FiltroResp)),PROCESSOS!O375+ROW()/1000000,"")</f>
        <v/>
      </c>
      <c r="BG375" t="str">
        <f>IF(AND(PROCESSOS!B375&lt;&gt;"",ISNUMBER(PROCESSOS!D375),OR(FiltroResp="TODOS",FiltroResp="",PROCESSOS!I375=FiltroResp)),PROCESSOS!D375+ROW()/1000000,"")</f>
        <v/>
      </c>
    </row>
    <row r="376">
      <c r="BF376" t="str">
        <f>IF(AND(OR(PROCESSOS!Q376="NO PRAZO",PROCESSOS!Q376="VENCE EM BREVE"),OR(FiltroResp="TODOS",FiltroResp="",PROCESSOS!I376=FiltroResp)),PROCESSOS!O376+ROW()/1000000,"")</f>
        <v/>
      </c>
      <c r="BG376" t="str">
        <f>IF(AND(PROCESSOS!B376&lt;&gt;"",ISNUMBER(PROCESSOS!D376),OR(FiltroResp="TODOS",FiltroResp="",PROCESSOS!I376=FiltroResp)),PROCESSOS!D376+ROW()/1000000,"")</f>
        <v/>
      </c>
    </row>
    <row r="377">
      <c r="BF377" t="str">
        <f>IF(AND(OR(PROCESSOS!Q377="NO PRAZO",PROCESSOS!Q377="VENCE EM BREVE"),OR(FiltroResp="TODOS",FiltroResp="",PROCESSOS!I377=FiltroResp)),PROCESSOS!O377+ROW()/1000000,"")</f>
        <v/>
      </c>
      <c r="BG377" t="str">
        <f>IF(AND(PROCESSOS!B377&lt;&gt;"",ISNUMBER(PROCESSOS!D377),OR(FiltroResp="TODOS",FiltroResp="",PROCESSOS!I377=FiltroResp)),PROCESSOS!D377+ROW()/1000000,"")</f>
        <v/>
      </c>
    </row>
    <row r="378">
      <c r="BF378" t="str">
        <f>IF(AND(OR(PROCESSOS!Q378="NO PRAZO",PROCESSOS!Q378="VENCE EM BREVE"),OR(FiltroResp="TODOS",FiltroResp="",PROCESSOS!I378=FiltroResp)),PROCESSOS!O378+ROW()/1000000,"")</f>
        <v/>
      </c>
      <c r="BG378" t="str">
        <f>IF(AND(PROCESSOS!B378&lt;&gt;"",ISNUMBER(PROCESSOS!D378),OR(FiltroResp="TODOS",FiltroResp="",PROCESSOS!I378=FiltroResp)),PROCESSOS!D378+ROW()/1000000,"")</f>
        <v/>
      </c>
    </row>
    <row r="379">
      <c r="BF379" t="str">
        <f>IF(AND(OR(PROCESSOS!Q379="NO PRAZO",PROCESSOS!Q379="VENCE EM BREVE"),OR(FiltroResp="TODOS",FiltroResp="",PROCESSOS!I379=FiltroResp)),PROCESSOS!O379+ROW()/1000000,"")</f>
        <v/>
      </c>
      <c r="BG379" t="str">
        <f>IF(AND(PROCESSOS!B379&lt;&gt;"",ISNUMBER(PROCESSOS!D379),OR(FiltroResp="TODOS",FiltroResp="",PROCESSOS!I379=FiltroResp)),PROCESSOS!D379+ROW()/1000000,"")</f>
        <v/>
      </c>
    </row>
    <row r="380">
      <c r="BF380" t="str">
        <f>IF(AND(OR(PROCESSOS!Q380="NO PRAZO",PROCESSOS!Q380="VENCE EM BREVE"),OR(FiltroResp="TODOS",FiltroResp="",PROCESSOS!I380=FiltroResp)),PROCESSOS!O380+ROW()/1000000,"")</f>
        <v/>
      </c>
      <c r="BG380" t="str">
        <f>IF(AND(PROCESSOS!B380&lt;&gt;"",ISNUMBER(PROCESSOS!D380),OR(FiltroResp="TODOS",FiltroResp="",PROCESSOS!I380=FiltroResp)),PROCESSOS!D380+ROW()/1000000,"")</f>
        <v/>
      </c>
    </row>
    <row r="381">
      <c r="BF381" t="str">
        <f>IF(AND(OR(PROCESSOS!Q381="NO PRAZO",PROCESSOS!Q381="VENCE EM BREVE"),OR(FiltroResp="TODOS",FiltroResp="",PROCESSOS!I381=FiltroResp)),PROCESSOS!O381+ROW()/1000000,"")</f>
        <v/>
      </c>
      <c r="BG381" t="str">
        <f>IF(AND(PROCESSOS!B381&lt;&gt;"",ISNUMBER(PROCESSOS!D381),OR(FiltroResp="TODOS",FiltroResp="",PROCESSOS!I381=FiltroResp)),PROCESSOS!D381+ROW()/1000000,"")</f>
        <v/>
      </c>
    </row>
    <row r="382">
      <c r="BF382" t="str">
        <f>IF(AND(OR(PROCESSOS!Q382="NO PRAZO",PROCESSOS!Q382="VENCE EM BREVE"),OR(FiltroResp="TODOS",FiltroResp="",PROCESSOS!I382=FiltroResp)),PROCESSOS!O382+ROW()/1000000,"")</f>
        <v/>
      </c>
      <c r="BG382" t="str">
        <f>IF(AND(PROCESSOS!B382&lt;&gt;"",ISNUMBER(PROCESSOS!D382),OR(FiltroResp="TODOS",FiltroResp="",PROCESSOS!I382=FiltroResp)),PROCESSOS!D382+ROW()/1000000,"")</f>
        <v/>
      </c>
    </row>
    <row r="383">
      <c r="BF383" t="str">
        <f>IF(AND(OR(PROCESSOS!Q383="NO PRAZO",PROCESSOS!Q383="VENCE EM BREVE"),OR(FiltroResp="TODOS",FiltroResp="",PROCESSOS!I383=FiltroResp)),PROCESSOS!O383+ROW()/1000000,"")</f>
        <v/>
      </c>
      <c r="BG383" t="str">
        <f>IF(AND(PROCESSOS!B383&lt;&gt;"",ISNUMBER(PROCESSOS!D383),OR(FiltroResp="TODOS",FiltroResp="",PROCESSOS!I383=FiltroResp)),PROCESSOS!D383+ROW()/1000000,"")</f>
        <v/>
      </c>
    </row>
    <row r="384">
      <c r="BF384" t="str">
        <f>IF(AND(OR(PROCESSOS!Q384="NO PRAZO",PROCESSOS!Q384="VENCE EM BREVE"),OR(FiltroResp="TODOS",FiltroResp="",PROCESSOS!I384=FiltroResp)),PROCESSOS!O384+ROW()/1000000,"")</f>
        <v/>
      </c>
      <c r="BG384" t="str">
        <f>IF(AND(PROCESSOS!B384&lt;&gt;"",ISNUMBER(PROCESSOS!D384),OR(FiltroResp="TODOS",FiltroResp="",PROCESSOS!I384=FiltroResp)),PROCESSOS!D384+ROW()/1000000,"")</f>
        <v/>
      </c>
    </row>
    <row r="385">
      <c r="BF385" t="str">
        <f>IF(AND(OR(PROCESSOS!Q385="NO PRAZO",PROCESSOS!Q385="VENCE EM BREVE"),OR(FiltroResp="TODOS",FiltroResp="",PROCESSOS!I385=FiltroResp)),PROCESSOS!O385+ROW()/1000000,"")</f>
        <v/>
      </c>
      <c r="BG385" t="str">
        <f>IF(AND(PROCESSOS!B385&lt;&gt;"",ISNUMBER(PROCESSOS!D385),OR(FiltroResp="TODOS",FiltroResp="",PROCESSOS!I385=FiltroResp)),PROCESSOS!D385+ROW()/1000000,"")</f>
        <v/>
      </c>
    </row>
    <row r="386">
      <c r="BF386" t="str">
        <f>IF(AND(OR(PROCESSOS!Q386="NO PRAZO",PROCESSOS!Q386="VENCE EM BREVE"),OR(FiltroResp="TODOS",FiltroResp="",PROCESSOS!I386=FiltroResp)),PROCESSOS!O386+ROW()/1000000,"")</f>
        <v/>
      </c>
      <c r="BG386" t="str">
        <f>IF(AND(PROCESSOS!B386&lt;&gt;"",ISNUMBER(PROCESSOS!D386),OR(FiltroResp="TODOS",FiltroResp="",PROCESSOS!I386=FiltroResp)),PROCESSOS!D386+ROW()/1000000,"")</f>
        <v/>
      </c>
    </row>
    <row r="387">
      <c r="BF387" t="str">
        <f>IF(AND(OR(PROCESSOS!Q387="NO PRAZO",PROCESSOS!Q387="VENCE EM BREVE"),OR(FiltroResp="TODOS",FiltroResp="",PROCESSOS!I387=FiltroResp)),PROCESSOS!O387+ROW()/1000000,"")</f>
        <v/>
      </c>
      <c r="BG387" t="str">
        <f>IF(AND(PROCESSOS!B387&lt;&gt;"",ISNUMBER(PROCESSOS!D387),OR(FiltroResp="TODOS",FiltroResp="",PROCESSOS!I387=FiltroResp)),PROCESSOS!D387+ROW()/1000000,"")</f>
        <v/>
      </c>
    </row>
    <row r="388">
      <c r="BF388" t="str">
        <f>IF(AND(OR(PROCESSOS!Q388="NO PRAZO",PROCESSOS!Q388="VENCE EM BREVE"),OR(FiltroResp="TODOS",FiltroResp="",PROCESSOS!I388=FiltroResp)),PROCESSOS!O388+ROW()/1000000,"")</f>
        <v/>
      </c>
      <c r="BG388" t="str">
        <f>IF(AND(PROCESSOS!B388&lt;&gt;"",ISNUMBER(PROCESSOS!D388),OR(FiltroResp="TODOS",FiltroResp="",PROCESSOS!I388=FiltroResp)),PROCESSOS!D388+ROW()/1000000,"")</f>
        <v/>
      </c>
    </row>
    <row r="389">
      <c r="BF389" t="str">
        <f>IF(AND(OR(PROCESSOS!Q389="NO PRAZO",PROCESSOS!Q389="VENCE EM BREVE"),OR(FiltroResp="TODOS",FiltroResp="",PROCESSOS!I389=FiltroResp)),PROCESSOS!O389+ROW()/1000000,"")</f>
        <v/>
      </c>
      <c r="BG389" t="str">
        <f>IF(AND(PROCESSOS!B389&lt;&gt;"",ISNUMBER(PROCESSOS!D389),OR(FiltroResp="TODOS",FiltroResp="",PROCESSOS!I389=FiltroResp)),PROCESSOS!D389+ROW()/1000000,"")</f>
        <v/>
      </c>
    </row>
    <row r="390">
      <c r="BF390" t="str">
        <f>IF(AND(OR(PROCESSOS!Q390="NO PRAZO",PROCESSOS!Q390="VENCE EM BREVE"),OR(FiltroResp="TODOS",FiltroResp="",PROCESSOS!I390=FiltroResp)),PROCESSOS!O390+ROW()/1000000,"")</f>
        <v/>
      </c>
      <c r="BG390" t="str">
        <f>IF(AND(PROCESSOS!B390&lt;&gt;"",ISNUMBER(PROCESSOS!D390),OR(FiltroResp="TODOS",FiltroResp="",PROCESSOS!I390=FiltroResp)),PROCESSOS!D390+ROW()/1000000,"")</f>
        <v/>
      </c>
    </row>
    <row r="391">
      <c r="BF391" t="str">
        <f>IF(AND(OR(PROCESSOS!Q391="NO PRAZO",PROCESSOS!Q391="VENCE EM BREVE"),OR(FiltroResp="TODOS",FiltroResp="",PROCESSOS!I391=FiltroResp)),PROCESSOS!O391+ROW()/1000000,"")</f>
        <v/>
      </c>
      <c r="BG391" t="str">
        <f>IF(AND(PROCESSOS!B391&lt;&gt;"",ISNUMBER(PROCESSOS!D391),OR(FiltroResp="TODOS",FiltroResp="",PROCESSOS!I391=FiltroResp)),PROCESSOS!D391+ROW()/1000000,"")</f>
        <v/>
      </c>
    </row>
    <row r="392">
      <c r="BF392" t="str">
        <f>IF(AND(OR(PROCESSOS!Q392="NO PRAZO",PROCESSOS!Q392="VENCE EM BREVE"),OR(FiltroResp="TODOS",FiltroResp="",PROCESSOS!I392=FiltroResp)),PROCESSOS!O392+ROW()/1000000,"")</f>
        <v/>
      </c>
      <c r="BG392" t="str">
        <f>IF(AND(PROCESSOS!B392&lt;&gt;"",ISNUMBER(PROCESSOS!D392),OR(FiltroResp="TODOS",FiltroResp="",PROCESSOS!I392=FiltroResp)),PROCESSOS!D392+ROW()/1000000,"")</f>
        <v/>
      </c>
    </row>
    <row r="393">
      <c r="BF393" t="str">
        <f>IF(AND(OR(PROCESSOS!Q393="NO PRAZO",PROCESSOS!Q393="VENCE EM BREVE"),OR(FiltroResp="TODOS",FiltroResp="",PROCESSOS!I393=FiltroResp)),PROCESSOS!O393+ROW()/1000000,"")</f>
        <v/>
      </c>
      <c r="BG393" t="str">
        <f>IF(AND(PROCESSOS!B393&lt;&gt;"",ISNUMBER(PROCESSOS!D393),OR(FiltroResp="TODOS",FiltroResp="",PROCESSOS!I393=FiltroResp)),PROCESSOS!D393+ROW()/1000000,"")</f>
        <v/>
      </c>
    </row>
    <row r="394">
      <c r="BF394" t="str">
        <f>IF(AND(OR(PROCESSOS!Q394="NO PRAZO",PROCESSOS!Q394="VENCE EM BREVE"),OR(FiltroResp="TODOS",FiltroResp="",PROCESSOS!I394=FiltroResp)),PROCESSOS!O394+ROW()/1000000,"")</f>
        <v/>
      </c>
      <c r="BG394" t="str">
        <f>IF(AND(PROCESSOS!B394&lt;&gt;"",ISNUMBER(PROCESSOS!D394),OR(FiltroResp="TODOS",FiltroResp="",PROCESSOS!I394=FiltroResp)),PROCESSOS!D394+ROW()/1000000,"")</f>
        <v/>
      </c>
    </row>
    <row r="395">
      <c r="BF395" t="str">
        <f>IF(AND(OR(PROCESSOS!Q395="NO PRAZO",PROCESSOS!Q395="VENCE EM BREVE"),OR(FiltroResp="TODOS",FiltroResp="",PROCESSOS!I395=FiltroResp)),PROCESSOS!O395+ROW()/1000000,"")</f>
        <v/>
      </c>
      <c r="BG395" t="str">
        <f>IF(AND(PROCESSOS!B395&lt;&gt;"",ISNUMBER(PROCESSOS!D395),OR(FiltroResp="TODOS",FiltroResp="",PROCESSOS!I395=FiltroResp)),PROCESSOS!D395+ROW()/1000000,"")</f>
        <v/>
      </c>
    </row>
    <row r="396">
      <c r="BF396" t="str">
        <f>IF(AND(OR(PROCESSOS!Q396="NO PRAZO",PROCESSOS!Q396="VENCE EM BREVE"),OR(FiltroResp="TODOS",FiltroResp="",PROCESSOS!I396=FiltroResp)),PROCESSOS!O396+ROW()/1000000,"")</f>
        <v/>
      </c>
      <c r="BG396" t="str">
        <f>IF(AND(PROCESSOS!B396&lt;&gt;"",ISNUMBER(PROCESSOS!D396),OR(FiltroResp="TODOS",FiltroResp="",PROCESSOS!I396=FiltroResp)),PROCESSOS!D396+ROW()/1000000,"")</f>
        <v/>
      </c>
    </row>
    <row r="397">
      <c r="BF397" t="str">
        <f>IF(AND(OR(PROCESSOS!Q397="NO PRAZO",PROCESSOS!Q397="VENCE EM BREVE"),OR(FiltroResp="TODOS",FiltroResp="",PROCESSOS!I397=FiltroResp)),PROCESSOS!O397+ROW()/1000000,"")</f>
        <v/>
      </c>
      <c r="BG397" t="str">
        <f>IF(AND(PROCESSOS!B397&lt;&gt;"",ISNUMBER(PROCESSOS!D397),OR(FiltroResp="TODOS",FiltroResp="",PROCESSOS!I397=FiltroResp)),PROCESSOS!D397+ROW()/1000000,"")</f>
        <v/>
      </c>
    </row>
    <row r="398">
      <c r="BF398" t="str">
        <f>IF(AND(OR(PROCESSOS!Q398="NO PRAZO",PROCESSOS!Q398="VENCE EM BREVE"),OR(FiltroResp="TODOS",FiltroResp="",PROCESSOS!I398=FiltroResp)),PROCESSOS!O398+ROW()/1000000,"")</f>
        <v/>
      </c>
      <c r="BG398" t="str">
        <f>IF(AND(PROCESSOS!B398&lt;&gt;"",ISNUMBER(PROCESSOS!D398),OR(FiltroResp="TODOS",FiltroResp="",PROCESSOS!I398=FiltroResp)),PROCESSOS!D398+ROW()/1000000,"")</f>
        <v/>
      </c>
    </row>
    <row r="399">
      <c r="BF399" t="str">
        <f>IF(AND(OR(PROCESSOS!Q399="NO PRAZO",PROCESSOS!Q399="VENCE EM BREVE"),OR(FiltroResp="TODOS",FiltroResp="",PROCESSOS!I399=FiltroResp)),PROCESSOS!O399+ROW()/1000000,"")</f>
        <v/>
      </c>
      <c r="BG399" t="str">
        <f>IF(AND(PROCESSOS!B399&lt;&gt;"",ISNUMBER(PROCESSOS!D399),OR(FiltroResp="TODOS",FiltroResp="",PROCESSOS!I399=FiltroResp)),PROCESSOS!D399+ROW()/1000000,"")</f>
        <v/>
      </c>
    </row>
    <row r="400">
      <c r="BF400" t="str">
        <f>IF(AND(OR(PROCESSOS!Q400="NO PRAZO",PROCESSOS!Q400="VENCE EM BREVE"),OR(FiltroResp="TODOS",FiltroResp="",PROCESSOS!I400=FiltroResp)),PROCESSOS!O400+ROW()/1000000,"")</f>
        <v/>
      </c>
      <c r="BG400" t="str">
        <f>IF(AND(PROCESSOS!B400&lt;&gt;"",ISNUMBER(PROCESSOS!D400),OR(FiltroResp="TODOS",FiltroResp="",PROCESSOS!I400=FiltroResp)),PROCESSOS!D400+ROW()/1000000,"")</f>
        <v/>
      </c>
    </row>
    <row r="401">
      <c r="BF401" t="str">
        <f>IF(AND(OR(PROCESSOS!Q401="NO PRAZO",PROCESSOS!Q401="VENCE EM BREVE"),OR(FiltroResp="TODOS",FiltroResp="",PROCESSOS!I401=FiltroResp)),PROCESSOS!O401+ROW()/1000000,"")</f>
        <v/>
      </c>
      <c r="BG401" t="str">
        <f>IF(AND(PROCESSOS!B401&lt;&gt;"",ISNUMBER(PROCESSOS!D401),OR(FiltroResp="TODOS",FiltroResp="",PROCESSOS!I401=FiltroResp)),PROCESSOS!D401+ROW()/1000000,"")</f>
        <v/>
      </c>
    </row>
    <row r="402">
      <c r="BF402" t="str">
        <f>IF(AND(OR(PROCESSOS!Q402="NO PRAZO",PROCESSOS!Q402="VENCE EM BREVE"),OR(FiltroResp="TODOS",FiltroResp="",PROCESSOS!I402=FiltroResp)),PROCESSOS!O402+ROW()/1000000,"")</f>
        <v/>
      </c>
      <c r="BG402" t="str">
        <f>IF(AND(PROCESSOS!B402&lt;&gt;"",ISNUMBER(PROCESSOS!D402),OR(FiltroResp="TODOS",FiltroResp="",PROCESSOS!I402=FiltroResp)),PROCESSOS!D402+ROW()/1000000,"")</f>
        <v/>
      </c>
    </row>
    <row r="403">
      <c r="BF403" t="str">
        <f>IF(AND(OR(PROCESSOS!Q403="NO PRAZO",PROCESSOS!Q403="VENCE EM BREVE"),OR(FiltroResp="TODOS",FiltroResp="",PROCESSOS!I403=FiltroResp)),PROCESSOS!O403+ROW()/1000000,"")</f>
        <v/>
      </c>
      <c r="BG403" t="str">
        <f>IF(AND(PROCESSOS!B403&lt;&gt;"",ISNUMBER(PROCESSOS!D403),OR(FiltroResp="TODOS",FiltroResp="",PROCESSOS!I403=FiltroResp)),PROCESSOS!D403+ROW()/1000000,"")</f>
        <v/>
      </c>
    </row>
    <row r="404">
      <c r="BF404" t="str">
        <f>IF(AND(OR(PROCESSOS!Q404="NO PRAZO",PROCESSOS!Q404="VENCE EM BREVE"),OR(FiltroResp="TODOS",FiltroResp="",PROCESSOS!I404=FiltroResp)),PROCESSOS!O404+ROW()/1000000,"")</f>
        <v/>
      </c>
      <c r="BG404" t="str">
        <f>IF(AND(PROCESSOS!B404&lt;&gt;"",ISNUMBER(PROCESSOS!D404),OR(FiltroResp="TODOS",FiltroResp="",PROCESSOS!I404=FiltroResp)),PROCESSOS!D404+ROW()/1000000,"")</f>
        <v/>
      </c>
    </row>
    <row r="405">
      <c r="BF405" t="str">
        <f>IF(AND(OR(PROCESSOS!Q405="NO PRAZO",PROCESSOS!Q405="VENCE EM BREVE"),OR(FiltroResp="TODOS",FiltroResp="",PROCESSOS!I405=FiltroResp)),PROCESSOS!O405+ROW()/1000000,"")</f>
        <v/>
      </c>
      <c r="BG405" t="str">
        <f>IF(AND(PROCESSOS!B405&lt;&gt;"",ISNUMBER(PROCESSOS!D405),OR(FiltroResp="TODOS",FiltroResp="",PROCESSOS!I405=FiltroResp)),PROCESSOS!D405+ROW()/1000000,"")</f>
        <v/>
      </c>
    </row>
    <row r="406">
      <c r="BF406" t="str">
        <f>IF(AND(OR(PROCESSOS!Q406="NO PRAZO",PROCESSOS!Q406="VENCE EM BREVE"),OR(FiltroResp="TODOS",FiltroResp="",PROCESSOS!I406=FiltroResp)),PROCESSOS!O406+ROW()/1000000,"")</f>
        <v/>
      </c>
      <c r="BG406" t="str">
        <f>IF(AND(PROCESSOS!B406&lt;&gt;"",ISNUMBER(PROCESSOS!D406),OR(FiltroResp="TODOS",FiltroResp="",PROCESSOS!I406=FiltroResp)),PROCESSOS!D406+ROW()/1000000,"")</f>
        <v/>
      </c>
    </row>
    <row r="407">
      <c r="BF407" t="str">
        <f>IF(AND(OR(PROCESSOS!Q407="NO PRAZO",PROCESSOS!Q407="VENCE EM BREVE"),OR(FiltroResp="TODOS",FiltroResp="",PROCESSOS!I407=FiltroResp)),PROCESSOS!O407+ROW()/1000000,"")</f>
        <v/>
      </c>
      <c r="BG407" t="str">
        <f>IF(AND(PROCESSOS!B407&lt;&gt;"",ISNUMBER(PROCESSOS!D407),OR(FiltroResp="TODOS",FiltroResp="",PROCESSOS!I407=FiltroResp)),PROCESSOS!D407+ROW()/1000000,"")</f>
        <v/>
      </c>
    </row>
    <row r="408">
      <c r="BF408" t="str">
        <f>IF(AND(OR(PROCESSOS!Q408="NO PRAZO",PROCESSOS!Q408="VENCE EM BREVE"),OR(FiltroResp="TODOS",FiltroResp="",PROCESSOS!I408=FiltroResp)),PROCESSOS!O408+ROW()/1000000,"")</f>
        <v/>
      </c>
      <c r="BG408" t="str">
        <f>IF(AND(PROCESSOS!B408&lt;&gt;"",ISNUMBER(PROCESSOS!D408),OR(FiltroResp="TODOS",FiltroResp="",PROCESSOS!I408=FiltroResp)),PROCESSOS!D408+ROW()/1000000,"")</f>
        <v/>
      </c>
    </row>
    <row r="409">
      <c r="BF409" t="str">
        <f>IF(AND(OR(PROCESSOS!Q409="NO PRAZO",PROCESSOS!Q409="VENCE EM BREVE"),OR(FiltroResp="TODOS",FiltroResp="",PROCESSOS!I409=FiltroResp)),PROCESSOS!O409+ROW()/1000000,"")</f>
        <v/>
      </c>
      <c r="BG409" t="str">
        <f>IF(AND(PROCESSOS!B409&lt;&gt;"",ISNUMBER(PROCESSOS!D409),OR(FiltroResp="TODOS",FiltroResp="",PROCESSOS!I409=FiltroResp)),PROCESSOS!D409+ROW()/1000000,"")</f>
        <v/>
      </c>
    </row>
    <row r="410">
      <c r="BF410" t="str">
        <f>IF(AND(OR(PROCESSOS!Q410="NO PRAZO",PROCESSOS!Q410="VENCE EM BREVE"),OR(FiltroResp="TODOS",FiltroResp="",PROCESSOS!I410=FiltroResp)),PROCESSOS!O410+ROW()/1000000,"")</f>
        <v/>
      </c>
      <c r="BG410" t="str">
        <f>IF(AND(PROCESSOS!B410&lt;&gt;"",ISNUMBER(PROCESSOS!D410),OR(FiltroResp="TODOS",FiltroResp="",PROCESSOS!I410=FiltroResp)),PROCESSOS!D410+ROW()/1000000,"")</f>
        <v/>
      </c>
    </row>
    <row r="411">
      <c r="BF411" t="str">
        <f>IF(AND(OR(PROCESSOS!Q411="NO PRAZO",PROCESSOS!Q411="VENCE EM BREVE"),OR(FiltroResp="TODOS",FiltroResp="",PROCESSOS!I411=FiltroResp)),PROCESSOS!O411+ROW()/1000000,"")</f>
        <v/>
      </c>
      <c r="BG411" t="str">
        <f>IF(AND(PROCESSOS!B411&lt;&gt;"",ISNUMBER(PROCESSOS!D411),OR(FiltroResp="TODOS",FiltroResp="",PROCESSOS!I411=FiltroResp)),PROCESSOS!D411+ROW()/1000000,"")</f>
        <v/>
      </c>
    </row>
    <row r="412">
      <c r="BF412" t="str">
        <f>IF(AND(OR(PROCESSOS!Q412="NO PRAZO",PROCESSOS!Q412="VENCE EM BREVE"),OR(FiltroResp="TODOS",FiltroResp="",PROCESSOS!I412=FiltroResp)),PROCESSOS!O412+ROW()/1000000,"")</f>
        <v/>
      </c>
      <c r="BG412" t="str">
        <f>IF(AND(PROCESSOS!B412&lt;&gt;"",ISNUMBER(PROCESSOS!D412),OR(FiltroResp="TODOS",FiltroResp="",PROCESSOS!I412=FiltroResp)),PROCESSOS!D412+ROW()/1000000,"")</f>
        <v/>
      </c>
    </row>
    <row r="413">
      <c r="BF413" t="str">
        <f>IF(AND(OR(PROCESSOS!Q413="NO PRAZO",PROCESSOS!Q413="VENCE EM BREVE"),OR(FiltroResp="TODOS",FiltroResp="",PROCESSOS!I413=FiltroResp)),PROCESSOS!O413+ROW()/1000000,"")</f>
        <v/>
      </c>
      <c r="BG413" t="str">
        <f>IF(AND(PROCESSOS!B413&lt;&gt;"",ISNUMBER(PROCESSOS!D413),OR(FiltroResp="TODOS",FiltroResp="",PROCESSOS!I413=FiltroResp)),PROCESSOS!D413+ROW()/1000000,"")</f>
        <v/>
      </c>
    </row>
    <row r="414">
      <c r="BF414" t="str">
        <f>IF(AND(OR(PROCESSOS!Q414="NO PRAZO",PROCESSOS!Q414="VENCE EM BREVE"),OR(FiltroResp="TODOS",FiltroResp="",PROCESSOS!I414=FiltroResp)),PROCESSOS!O414+ROW()/1000000,"")</f>
        <v/>
      </c>
      <c r="BG414" t="str">
        <f>IF(AND(PROCESSOS!B414&lt;&gt;"",ISNUMBER(PROCESSOS!D414),OR(FiltroResp="TODOS",FiltroResp="",PROCESSOS!I414=FiltroResp)),PROCESSOS!D414+ROW()/1000000,"")</f>
        <v/>
      </c>
    </row>
    <row r="415">
      <c r="BF415" t="str">
        <f>IF(AND(OR(PROCESSOS!Q415="NO PRAZO",PROCESSOS!Q415="VENCE EM BREVE"),OR(FiltroResp="TODOS",FiltroResp="",PROCESSOS!I415=FiltroResp)),PROCESSOS!O415+ROW()/1000000,"")</f>
        <v/>
      </c>
      <c r="BG415" t="str">
        <f>IF(AND(PROCESSOS!B415&lt;&gt;"",ISNUMBER(PROCESSOS!D415),OR(FiltroResp="TODOS",FiltroResp="",PROCESSOS!I415=FiltroResp)),PROCESSOS!D415+ROW()/1000000,"")</f>
        <v/>
      </c>
    </row>
    <row r="416">
      <c r="BF416" t="str">
        <f>IF(AND(OR(PROCESSOS!Q416="NO PRAZO",PROCESSOS!Q416="VENCE EM BREVE"),OR(FiltroResp="TODOS",FiltroResp="",PROCESSOS!I416=FiltroResp)),PROCESSOS!O416+ROW()/1000000,"")</f>
        <v/>
      </c>
      <c r="BG416" t="str">
        <f>IF(AND(PROCESSOS!B416&lt;&gt;"",ISNUMBER(PROCESSOS!D416),OR(FiltroResp="TODOS",FiltroResp="",PROCESSOS!I416=FiltroResp)),PROCESSOS!D416+ROW()/1000000,"")</f>
        <v/>
      </c>
    </row>
    <row r="417">
      <c r="BF417" t="str">
        <f>IF(AND(OR(PROCESSOS!Q417="NO PRAZO",PROCESSOS!Q417="VENCE EM BREVE"),OR(FiltroResp="TODOS",FiltroResp="",PROCESSOS!I417=FiltroResp)),PROCESSOS!O417+ROW()/1000000,"")</f>
        <v/>
      </c>
      <c r="BG417" t="str">
        <f>IF(AND(PROCESSOS!B417&lt;&gt;"",ISNUMBER(PROCESSOS!D417),OR(FiltroResp="TODOS",FiltroResp="",PROCESSOS!I417=FiltroResp)),PROCESSOS!D417+ROW()/1000000,"")</f>
        <v/>
      </c>
    </row>
    <row r="418">
      <c r="BF418" t="str">
        <f>IF(AND(OR(PROCESSOS!Q418="NO PRAZO",PROCESSOS!Q418="VENCE EM BREVE"),OR(FiltroResp="TODOS",FiltroResp="",PROCESSOS!I418=FiltroResp)),PROCESSOS!O418+ROW()/1000000,"")</f>
        <v/>
      </c>
      <c r="BG418" t="str">
        <f>IF(AND(PROCESSOS!B418&lt;&gt;"",ISNUMBER(PROCESSOS!D418),OR(FiltroResp="TODOS",FiltroResp="",PROCESSOS!I418=FiltroResp)),PROCESSOS!D418+ROW()/1000000,"")</f>
        <v/>
      </c>
    </row>
    <row r="419">
      <c r="BF419" t="str">
        <f>IF(AND(OR(PROCESSOS!Q419="NO PRAZO",PROCESSOS!Q419="VENCE EM BREVE"),OR(FiltroResp="TODOS",FiltroResp="",PROCESSOS!I419=FiltroResp)),PROCESSOS!O419+ROW()/1000000,"")</f>
        <v/>
      </c>
      <c r="BG419" t="str">
        <f>IF(AND(PROCESSOS!B419&lt;&gt;"",ISNUMBER(PROCESSOS!D419),OR(FiltroResp="TODOS",FiltroResp="",PROCESSOS!I419=FiltroResp)),PROCESSOS!D419+ROW()/1000000,"")</f>
        <v/>
      </c>
    </row>
    <row r="420">
      <c r="BF420" t="str">
        <f>IF(AND(OR(PROCESSOS!Q420="NO PRAZO",PROCESSOS!Q420="VENCE EM BREVE"),OR(FiltroResp="TODOS",FiltroResp="",PROCESSOS!I420=FiltroResp)),PROCESSOS!O420+ROW()/1000000,"")</f>
        <v/>
      </c>
      <c r="BG420" t="str">
        <f>IF(AND(PROCESSOS!B420&lt;&gt;"",ISNUMBER(PROCESSOS!D420),OR(FiltroResp="TODOS",FiltroResp="",PROCESSOS!I420=FiltroResp)),PROCESSOS!D420+ROW()/1000000,"")</f>
        <v/>
      </c>
    </row>
    <row r="421">
      <c r="BF421" t="str">
        <f>IF(AND(OR(PROCESSOS!Q421="NO PRAZO",PROCESSOS!Q421="VENCE EM BREVE"),OR(FiltroResp="TODOS",FiltroResp="",PROCESSOS!I421=FiltroResp)),PROCESSOS!O421+ROW()/1000000,"")</f>
        <v/>
      </c>
      <c r="BG421" t="str">
        <f>IF(AND(PROCESSOS!B421&lt;&gt;"",ISNUMBER(PROCESSOS!D421),OR(FiltroResp="TODOS",FiltroResp="",PROCESSOS!I421=FiltroResp)),PROCESSOS!D421+ROW()/1000000,"")</f>
        <v/>
      </c>
    </row>
    <row r="422">
      <c r="BF422" t="str">
        <f>IF(AND(OR(PROCESSOS!Q422="NO PRAZO",PROCESSOS!Q422="VENCE EM BREVE"),OR(FiltroResp="TODOS",FiltroResp="",PROCESSOS!I422=FiltroResp)),PROCESSOS!O422+ROW()/1000000,"")</f>
        <v/>
      </c>
      <c r="BG422" t="str">
        <f>IF(AND(PROCESSOS!B422&lt;&gt;"",ISNUMBER(PROCESSOS!D422),OR(FiltroResp="TODOS",FiltroResp="",PROCESSOS!I422=FiltroResp)),PROCESSOS!D422+ROW()/1000000,"")</f>
        <v/>
      </c>
    </row>
    <row r="423">
      <c r="BF423" t="str">
        <f>IF(AND(OR(PROCESSOS!Q423="NO PRAZO",PROCESSOS!Q423="VENCE EM BREVE"),OR(FiltroResp="TODOS",FiltroResp="",PROCESSOS!I423=FiltroResp)),PROCESSOS!O423+ROW()/1000000,"")</f>
        <v/>
      </c>
      <c r="BG423" t="str">
        <f>IF(AND(PROCESSOS!B423&lt;&gt;"",ISNUMBER(PROCESSOS!D423),OR(FiltroResp="TODOS",FiltroResp="",PROCESSOS!I423=FiltroResp)),PROCESSOS!D423+ROW()/1000000,"")</f>
        <v/>
      </c>
    </row>
    <row r="424">
      <c r="BF424" t="str">
        <f>IF(AND(OR(PROCESSOS!Q424="NO PRAZO",PROCESSOS!Q424="VENCE EM BREVE"),OR(FiltroResp="TODOS",FiltroResp="",PROCESSOS!I424=FiltroResp)),PROCESSOS!O424+ROW()/1000000,"")</f>
        <v/>
      </c>
      <c r="BG424" t="str">
        <f>IF(AND(PROCESSOS!B424&lt;&gt;"",ISNUMBER(PROCESSOS!D424),OR(FiltroResp="TODOS",FiltroResp="",PROCESSOS!I424=FiltroResp)),PROCESSOS!D424+ROW()/1000000,"")</f>
        <v/>
      </c>
    </row>
    <row r="425">
      <c r="BF425" t="str">
        <f>IF(AND(OR(PROCESSOS!Q425="NO PRAZO",PROCESSOS!Q425="VENCE EM BREVE"),OR(FiltroResp="TODOS",FiltroResp="",PROCESSOS!I425=FiltroResp)),PROCESSOS!O425+ROW()/1000000,"")</f>
        <v/>
      </c>
      <c r="BG425" t="str">
        <f>IF(AND(PROCESSOS!B425&lt;&gt;"",ISNUMBER(PROCESSOS!D425),OR(FiltroResp="TODOS",FiltroResp="",PROCESSOS!I425=FiltroResp)),PROCESSOS!D425+ROW()/1000000,"")</f>
        <v/>
      </c>
    </row>
    <row r="426">
      <c r="BF426" t="str">
        <f>IF(AND(OR(PROCESSOS!Q426="NO PRAZO",PROCESSOS!Q426="VENCE EM BREVE"),OR(FiltroResp="TODOS",FiltroResp="",PROCESSOS!I426=FiltroResp)),PROCESSOS!O426+ROW()/1000000,"")</f>
        <v/>
      </c>
      <c r="BG426" t="str">
        <f>IF(AND(PROCESSOS!B426&lt;&gt;"",ISNUMBER(PROCESSOS!D426),OR(FiltroResp="TODOS",FiltroResp="",PROCESSOS!I426=FiltroResp)),PROCESSOS!D426+ROW()/1000000,"")</f>
        <v/>
      </c>
    </row>
    <row r="427">
      <c r="BF427" t="str">
        <f>IF(AND(OR(PROCESSOS!Q427="NO PRAZO",PROCESSOS!Q427="VENCE EM BREVE"),OR(FiltroResp="TODOS",FiltroResp="",PROCESSOS!I427=FiltroResp)),PROCESSOS!O427+ROW()/1000000,"")</f>
        <v/>
      </c>
      <c r="BG427" t="str">
        <f>IF(AND(PROCESSOS!B427&lt;&gt;"",ISNUMBER(PROCESSOS!D427),OR(FiltroResp="TODOS",FiltroResp="",PROCESSOS!I427=FiltroResp)),PROCESSOS!D427+ROW()/1000000,"")</f>
        <v/>
      </c>
    </row>
    <row r="428">
      <c r="BF428" t="str">
        <f>IF(AND(OR(PROCESSOS!Q428="NO PRAZO",PROCESSOS!Q428="VENCE EM BREVE"),OR(FiltroResp="TODOS",FiltroResp="",PROCESSOS!I428=FiltroResp)),PROCESSOS!O428+ROW()/1000000,"")</f>
        <v/>
      </c>
      <c r="BG428" t="str">
        <f>IF(AND(PROCESSOS!B428&lt;&gt;"",ISNUMBER(PROCESSOS!D428),OR(FiltroResp="TODOS",FiltroResp="",PROCESSOS!I428=FiltroResp)),PROCESSOS!D428+ROW()/1000000,"")</f>
        <v/>
      </c>
    </row>
    <row r="429">
      <c r="BF429" t="str">
        <f>IF(AND(OR(PROCESSOS!Q429="NO PRAZO",PROCESSOS!Q429="VENCE EM BREVE"),OR(FiltroResp="TODOS",FiltroResp="",PROCESSOS!I429=FiltroResp)),PROCESSOS!O429+ROW()/1000000,"")</f>
        <v/>
      </c>
      <c r="BG429" t="str">
        <f>IF(AND(PROCESSOS!B429&lt;&gt;"",ISNUMBER(PROCESSOS!D429),OR(FiltroResp="TODOS",FiltroResp="",PROCESSOS!I429=FiltroResp)),PROCESSOS!D429+ROW()/1000000,"")</f>
        <v/>
      </c>
    </row>
    <row r="430">
      <c r="BF430" t="str">
        <f>IF(AND(OR(PROCESSOS!Q430="NO PRAZO",PROCESSOS!Q430="VENCE EM BREVE"),OR(FiltroResp="TODOS",FiltroResp="",PROCESSOS!I430=FiltroResp)),PROCESSOS!O430+ROW()/1000000,"")</f>
        <v/>
      </c>
      <c r="BG430" t="str">
        <f>IF(AND(PROCESSOS!B430&lt;&gt;"",ISNUMBER(PROCESSOS!D430),OR(FiltroResp="TODOS",FiltroResp="",PROCESSOS!I430=FiltroResp)),PROCESSOS!D430+ROW()/1000000,"")</f>
        <v/>
      </c>
    </row>
    <row r="431">
      <c r="BF431" t="str">
        <f>IF(AND(OR(PROCESSOS!Q431="NO PRAZO",PROCESSOS!Q431="VENCE EM BREVE"),OR(FiltroResp="TODOS",FiltroResp="",PROCESSOS!I431=FiltroResp)),PROCESSOS!O431+ROW()/1000000,"")</f>
        <v/>
      </c>
      <c r="BG431" t="str">
        <f>IF(AND(PROCESSOS!B431&lt;&gt;"",ISNUMBER(PROCESSOS!D431),OR(FiltroResp="TODOS",FiltroResp="",PROCESSOS!I431=FiltroResp)),PROCESSOS!D431+ROW()/1000000,"")</f>
        <v/>
      </c>
    </row>
    <row r="432">
      <c r="BF432" t="str">
        <f>IF(AND(OR(PROCESSOS!Q432="NO PRAZO",PROCESSOS!Q432="VENCE EM BREVE"),OR(FiltroResp="TODOS",FiltroResp="",PROCESSOS!I432=FiltroResp)),PROCESSOS!O432+ROW()/1000000,"")</f>
        <v/>
      </c>
      <c r="BG432" t="str">
        <f>IF(AND(PROCESSOS!B432&lt;&gt;"",ISNUMBER(PROCESSOS!D432),OR(FiltroResp="TODOS",FiltroResp="",PROCESSOS!I432=FiltroResp)),PROCESSOS!D432+ROW()/1000000,"")</f>
        <v/>
      </c>
    </row>
    <row r="433">
      <c r="BF433" t="str">
        <f>IF(AND(OR(PROCESSOS!Q433="NO PRAZO",PROCESSOS!Q433="VENCE EM BREVE"),OR(FiltroResp="TODOS",FiltroResp="",PROCESSOS!I433=FiltroResp)),PROCESSOS!O433+ROW()/1000000,"")</f>
        <v/>
      </c>
      <c r="BG433" t="str">
        <f>IF(AND(PROCESSOS!B433&lt;&gt;"",ISNUMBER(PROCESSOS!D433),OR(FiltroResp="TODOS",FiltroResp="",PROCESSOS!I433=FiltroResp)),PROCESSOS!D433+ROW()/1000000,"")</f>
        <v/>
      </c>
    </row>
    <row r="434">
      <c r="BF434" t="str">
        <f>IF(AND(OR(PROCESSOS!Q434="NO PRAZO",PROCESSOS!Q434="VENCE EM BREVE"),OR(FiltroResp="TODOS",FiltroResp="",PROCESSOS!I434=FiltroResp)),PROCESSOS!O434+ROW()/1000000,"")</f>
        <v/>
      </c>
      <c r="BG434" t="str">
        <f>IF(AND(PROCESSOS!B434&lt;&gt;"",ISNUMBER(PROCESSOS!D434),OR(FiltroResp="TODOS",FiltroResp="",PROCESSOS!I434=FiltroResp)),PROCESSOS!D434+ROW()/1000000,"")</f>
        <v/>
      </c>
    </row>
    <row r="435">
      <c r="BF435" t="str">
        <f>IF(AND(OR(PROCESSOS!Q435="NO PRAZO",PROCESSOS!Q435="VENCE EM BREVE"),OR(FiltroResp="TODOS",FiltroResp="",PROCESSOS!I435=FiltroResp)),PROCESSOS!O435+ROW()/1000000,"")</f>
        <v/>
      </c>
      <c r="BG435" t="str">
        <f>IF(AND(PROCESSOS!B435&lt;&gt;"",ISNUMBER(PROCESSOS!D435),OR(FiltroResp="TODOS",FiltroResp="",PROCESSOS!I435=FiltroResp)),PROCESSOS!D435+ROW()/1000000,"")</f>
        <v/>
      </c>
    </row>
    <row r="436">
      <c r="BF436" t="str">
        <f>IF(AND(OR(PROCESSOS!Q436="NO PRAZO",PROCESSOS!Q436="VENCE EM BREVE"),OR(FiltroResp="TODOS",FiltroResp="",PROCESSOS!I436=FiltroResp)),PROCESSOS!O436+ROW()/1000000,"")</f>
        <v/>
      </c>
      <c r="BG436" t="str">
        <f>IF(AND(PROCESSOS!B436&lt;&gt;"",ISNUMBER(PROCESSOS!D436),OR(FiltroResp="TODOS",FiltroResp="",PROCESSOS!I436=FiltroResp)),PROCESSOS!D436+ROW()/1000000,"")</f>
        <v/>
      </c>
    </row>
    <row r="437">
      <c r="BF437" t="str">
        <f>IF(AND(OR(PROCESSOS!Q437="NO PRAZO",PROCESSOS!Q437="VENCE EM BREVE"),OR(FiltroResp="TODOS",FiltroResp="",PROCESSOS!I437=FiltroResp)),PROCESSOS!O437+ROW()/1000000,"")</f>
        <v/>
      </c>
      <c r="BG437" t="str">
        <f>IF(AND(PROCESSOS!B437&lt;&gt;"",ISNUMBER(PROCESSOS!D437),OR(FiltroResp="TODOS",FiltroResp="",PROCESSOS!I437=FiltroResp)),PROCESSOS!D437+ROW()/1000000,"")</f>
        <v/>
      </c>
    </row>
    <row r="438">
      <c r="BF438" t="str">
        <f>IF(AND(OR(PROCESSOS!Q438="NO PRAZO",PROCESSOS!Q438="VENCE EM BREVE"),OR(FiltroResp="TODOS",FiltroResp="",PROCESSOS!I438=FiltroResp)),PROCESSOS!O438+ROW()/1000000,"")</f>
        <v/>
      </c>
      <c r="BG438" t="str">
        <f>IF(AND(PROCESSOS!B438&lt;&gt;"",ISNUMBER(PROCESSOS!D438),OR(FiltroResp="TODOS",FiltroResp="",PROCESSOS!I438=FiltroResp)),PROCESSOS!D438+ROW()/1000000,"")</f>
        <v/>
      </c>
    </row>
    <row r="439">
      <c r="BF439" t="str">
        <f>IF(AND(OR(PROCESSOS!Q439="NO PRAZO",PROCESSOS!Q439="VENCE EM BREVE"),OR(FiltroResp="TODOS",FiltroResp="",PROCESSOS!I439=FiltroResp)),PROCESSOS!O439+ROW()/1000000,"")</f>
        <v/>
      </c>
      <c r="BG439" t="str">
        <f>IF(AND(PROCESSOS!B439&lt;&gt;"",ISNUMBER(PROCESSOS!D439),OR(FiltroResp="TODOS",FiltroResp="",PROCESSOS!I439=FiltroResp)),PROCESSOS!D439+ROW()/1000000,"")</f>
        <v/>
      </c>
    </row>
    <row r="440">
      <c r="BF440" t="str">
        <f>IF(AND(OR(PROCESSOS!Q440="NO PRAZO",PROCESSOS!Q440="VENCE EM BREVE"),OR(FiltroResp="TODOS",FiltroResp="",PROCESSOS!I440=FiltroResp)),PROCESSOS!O440+ROW()/1000000,"")</f>
        <v/>
      </c>
      <c r="BG440" t="str">
        <f>IF(AND(PROCESSOS!B440&lt;&gt;"",ISNUMBER(PROCESSOS!D440),OR(FiltroResp="TODOS",FiltroResp="",PROCESSOS!I440=FiltroResp)),PROCESSOS!D440+ROW()/1000000,"")</f>
        <v/>
      </c>
    </row>
    <row r="441">
      <c r="BF441" t="str">
        <f>IF(AND(OR(PROCESSOS!Q441="NO PRAZO",PROCESSOS!Q441="VENCE EM BREVE"),OR(FiltroResp="TODOS",FiltroResp="",PROCESSOS!I441=FiltroResp)),PROCESSOS!O441+ROW()/1000000,"")</f>
        <v/>
      </c>
      <c r="BG441" t="str">
        <f>IF(AND(PROCESSOS!B441&lt;&gt;"",ISNUMBER(PROCESSOS!D441),OR(FiltroResp="TODOS",FiltroResp="",PROCESSOS!I441=FiltroResp)),PROCESSOS!D441+ROW()/1000000,"")</f>
        <v/>
      </c>
    </row>
    <row r="442">
      <c r="BF442" t="str">
        <f>IF(AND(OR(PROCESSOS!Q442="NO PRAZO",PROCESSOS!Q442="VENCE EM BREVE"),OR(FiltroResp="TODOS",FiltroResp="",PROCESSOS!I442=FiltroResp)),PROCESSOS!O442+ROW()/1000000,"")</f>
        <v/>
      </c>
      <c r="BG442" t="str">
        <f>IF(AND(PROCESSOS!B442&lt;&gt;"",ISNUMBER(PROCESSOS!D442),OR(FiltroResp="TODOS",FiltroResp="",PROCESSOS!I442=FiltroResp)),PROCESSOS!D442+ROW()/1000000,"")</f>
        <v/>
      </c>
    </row>
    <row r="443">
      <c r="BF443" t="str">
        <f>IF(AND(OR(PROCESSOS!Q443="NO PRAZO",PROCESSOS!Q443="VENCE EM BREVE"),OR(FiltroResp="TODOS",FiltroResp="",PROCESSOS!I443=FiltroResp)),PROCESSOS!O443+ROW()/1000000,"")</f>
        <v/>
      </c>
      <c r="BG443" t="str">
        <f>IF(AND(PROCESSOS!B443&lt;&gt;"",ISNUMBER(PROCESSOS!D443),OR(FiltroResp="TODOS",FiltroResp="",PROCESSOS!I443=FiltroResp)),PROCESSOS!D443+ROW()/1000000,"")</f>
        <v/>
      </c>
    </row>
    <row r="444">
      <c r="BF444" t="str">
        <f>IF(AND(OR(PROCESSOS!Q444="NO PRAZO",PROCESSOS!Q444="VENCE EM BREVE"),OR(FiltroResp="TODOS",FiltroResp="",PROCESSOS!I444=FiltroResp)),PROCESSOS!O444+ROW()/1000000,"")</f>
        <v/>
      </c>
      <c r="BG444" t="str">
        <f>IF(AND(PROCESSOS!B444&lt;&gt;"",ISNUMBER(PROCESSOS!D444),OR(FiltroResp="TODOS",FiltroResp="",PROCESSOS!I444=FiltroResp)),PROCESSOS!D444+ROW()/1000000,"")</f>
        <v/>
      </c>
    </row>
    <row r="445">
      <c r="BF445" t="str">
        <f>IF(AND(OR(PROCESSOS!Q445="NO PRAZO",PROCESSOS!Q445="VENCE EM BREVE"),OR(FiltroResp="TODOS",FiltroResp="",PROCESSOS!I445=FiltroResp)),PROCESSOS!O445+ROW()/1000000,"")</f>
        <v/>
      </c>
      <c r="BG445" t="str">
        <f>IF(AND(PROCESSOS!B445&lt;&gt;"",ISNUMBER(PROCESSOS!D445),OR(FiltroResp="TODOS",FiltroResp="",PROCESSOS!I445=FiltroResp)),PROCESSOS!D445+ROW()/1000000,"")</f>
        <v/>
      </c>
    </row>
    <row r="446">
      <c r="BF446" t="str">
        <f>IF(AND(OR(PROCESSOS!Q446="NO PRAZO",PROCESSOS!Q446="VENCE EM BREVE"),OR(FiltroResp="TODOS",FiltroResp="",PROCESSOS!I446=FiltroResp)),PROCESSOS!O446+ROW()/1000000,"")</f>
        <v/>
      </c>
      <c r="BG446" t="str">
        <f>IF(AND(PROCESSOS!B446&lt;&gt;"",ISNUMBER(PROCESSOS!D446),OR(FiltroResp="TODOS",FiltroResp="",PROCESSOS!I446=FiltroResp)),PROCESSOS!D446+ROW()/1000000,"")</f>
        <v/>
      </c>
    </row>
    <row r="447">
      <c r="BF447" t="str">
        <f>IF(AND(OR(PROCESSOS!Q447="NO PRAZO",PROCESSOS!Q447="VENCE EM BREVE"),OR(FiltroResp="TODOS",FiltroResp="",PROCESSOS!I447=FiltroResp)),PROCESSOS!O447+ROW()/1000000,"")</f>
        <v/>
      </c>
      <c r="BG447" t="str">
        <f>IF(AND(PROCESSOS!B447&lt;&gt;"",ISNUMBER(PROCESSOS!D447),OR(FiltroResp="TODOS",FiltroResp="",PROCESSOS!I447=FiltroResp)),PROCESSOS!D447+ROW()/1000000,"")</f>
        <v/>
      </c>
    </row>
    <row r="448">
      <c r="BF448" t="str">
        <f>IF(AND(OR(PROCESSOS!Q448="NO PRAZO",PROCESSOS!Q448="VENCE EM BREVE"),OR(FiltroResp="TODOS",FiltroResp="",PROCESSOS!I448=FiltroResp)),PROCESSOS!O448+ROW()/1000000,"")</f>
        <v/>
      </c>
      <c r="BG448" t="str">
        <f>IF(AND(PROCESSOS!B448&lt;&gt;"",ISNUMBER(PROCESSOS!D448),OR(FiltroResp="TODOS",FiltroResp="",PROCESSOS!I448=FiltroResp)),PROCESSOS!D448+ROW()/1000000,"")</f>
        <v/>
      </c>
    </row>
    <row r="449">
      <c r="BF449" t="str">
        <f>IF(AND(OR(PROCESSOS!Q449="NO PRAZO",PROCESSOS!Q449="VENCE EM BREVE"),OR(FiltroResp="TODOS",FiltroResp="",PROCESSOS!I449=FiltroResp)),PROCESSOS!O449+ROW()/1000000,"")</f>
        <v/>
      </c>
      <c r="BG449" t="str">
        <f>IF(AND(PROCESSOS!B449&lt;&gt;"",ISNUMBER(PROCESSOS!D449),OR(FiltroResp="TODOS",FiltroResp="",PROCESSOS!I449=FiltroResp)),PROCESSOS!D449+ROW()/1000000,"")</f>
        <v/>
      </c>
    </row>
    <row r="450">
      <c r="BF450" t="str">
        <f>IF(AND(OR(PROCESSOS!Q450="NO PRAZO",PROCESSOS!Q450="VENCE EM BREVE"),OR(FiltroResp="TODOS",FiltroResp="",PROCESSOS!I450=FiltroResp)),PROCESSOS!O450+ROW()/1000000,"")</f>
        <v/>
      </c>
      <c r="BG450" t="str">
        <f>IF(AND(PROCESSOS!B450&lt;&gt;"",ISNUMBER(PROCESSOS!D450),OR(FiltroResp="TODOS",FiltroResp="",PROCESSOS!I450=FiltroResp)),PROCESSOS!D450+ROW()/1000000,"")</f>
        <v/>
      </c>
    </row>
    <row r="451">
      <c r="BF451" t="str">
        <f>IF(AND(OR(PROCESSOS!Q451="NO PRAZO",PROCESSOS!Q451="VENCE EM BREVE"),OR(FiltroResp="TODOS",FiltroResp="",PROCESSOS!I451=FiltroResp)),PROCESSOS!O451+ROW()/1000000,"")</f>
        <v/>
      </c>
      <c r="BG451" t="str">
        <f>IF(AND(PROCESSOS!B451&lt;&gt;"",ISNUMBER(PROCESSOS!D451),OR(FiltroResp="TODOS",FiltroResp="",PROCESSOS!I451=FiltroResp)),PROCESSOS!D451+ROW()/1000000,"")</f>
        <v/>
      </c>
    </row>
    <row r="452">
      <c r="BF452" t="str">
        <f>IF(AND(OR(PROCESSOS!Q452="NO PRAZO",PROCESSOS!Q452="VENCE EM BREVE"),OR(FiltroResp="TODOS",FiltroResp="",PROCESSOS!I452=FiltroResp)),PROCESSOS!O452+ROW()/1000000,"")</f>
        <v/>
      </c>
      <c r="BG452" t="str">
        <f>IF(AND(PROCESSOS!B452&lt;&gt;"",ISNUMBER(PROCESSOS!D452),OR(FiltroResp="TODOS",FiltroResp="",PROCESSOS!I452=FiltroResp)),PROCESSOS!D452+ROW()/1000000,"")</f>
        <v/>
      </c>
    </row>
    <row r="453">
      <c r="BF453" t="str">
        <f>IF(AND(OR(PROCESSOS!Q453="NO PRAZO",PROCESSOS!Q453="VENCE EM BREVE"),OR(FiltroResp="TODOS",FiltroResp="",PROCESSOS!I453=FiltroResp)),PROCESSOS!O453+ROW()/1000000,"")</f>
        <v/>
      </c>
      <c r="BG453" t="str">
        <f>IF(AND(PROCESSOS!B453&lt;&gt;"",ISNUMBER(PROCESSOS!D453),OR(FiltroResp="TODOS",FiltroResp="",PROCESSOS!I453=FiltroResp)),PROCESSOS!D453+ROW()/1000000,"")</f>
        <v/>
      </c>
    </row>
    <row r="454">
      <c r="BF454" t="str">
        <f>IF(AND(OR(PROCESSOS!Q454="NO PRAZO",PROCESSOS!Q454="VENCE EM BREVE"),OR(FiltroResp="TODOS",FiltroResp="",PROCESSOS!I454=FiltroResp)),PROCESSOS!O454+ROW()/1000000,"")</f>
        <v/>
      </c>
      <c r="BG454" t="str">
        <f>IF(AND(PROCESSOS!B454&lt;&gt;"",ISNUMBER(PROCESSOS!D454),OR(FiltroResp="TODOS",FiltroResp="",PROCESSOS!I454=FiltroResp)),PROCESSOS!D454+ROW()/1000000,"")</f>
        <v/>
      </c>
    </row>
    <row r="455">
      <c r="BF455" t="str">
        <f>IF(AND(OR(PROCESSOS!Q455="NO PRAZO",PROCESSOS!Q455="VENCE EM BREVE"),OR(FiltroResp="TODOS",FiltroResp="",PROCESSOS!I455=FiltroResp)),PROCESSOS!O455+ROW()/1000000,"")</f>
        <v/>
      </c>
      <c r="BG455" t="str">
        <f>IF(AND(PROCESSOS!B455&lt;&gt;"",ISNUMBER(PROCESSOS!D455),OR(FiltroResp="TODOS",FiltroResp="",PROCESSOS!I455=FiltroResp)),PROCESSOS!D455+ROW()/1000000,"")</f>
        <v/>
      </c>
    </row>
    <row r="456">
      <c r="BF456" t="str">
        <f>IF(AND(OR(PROCESSOS!Q456="NO PRAZO",PROCESSOS!Q456="VENCE EM BREVE"),OR(FiltroResp="TODOS",FiltroResp="",PROCESSOS!I456=FiltroResp)),PROCESSOS!O456+ROW()/1000000,"")</f>
        <v/>
      </c>
      <c r="BG456" t="str">
        <f>IF(AND(PROCESSOS!B456&lt;&gt;"",ISNUMBER(PROCESSOS!D456),OR(FiltroResp="TODOS",FiltroResp="",PROCESSOS!I456=FiltroResp)),PROCESSOS!D456+ROW()/1000000,"")</f>
        <v/>
      </c>
    </row>
    <row r="457">
      <c r="BF457" t="str">
        <f>IF(AND(OR(PROCESSOS!Q457="NO PRAZO",PROCESSOS!Q457="VENCE EM BREVE"),OR(FiltroResp="TODOS",FiltroResp="",PROCESSOS!I457=FiltroResp)),PROCESSOS!O457+ROW()/1000000,"")</f>
        <v/>
      </c>
      <c r="BG457" t="str">
        <f>IF(AND(PROCESSOS!B457&lt;&gt;"",ISNUMBER(PROCESSOS!D457),OR(FiltroResp="TODOS",FiltroResp="",PROCESSOS!I457=FiltroResp)),PROCESSOS!D457+ROW()/1000000,"")</f>
        <v/>
      </c>
    </row>
    <row r="458">
      <c r="BF458" t="str">
        <f>IF(AND(OR(PROCESSOS!Q458="NO PRAZO",PROCESSOS!Q458="VENCE EM BREVE"),OR(FiltroResp="TODOS",FiltroResp="",PROCESSOS!I458=FiltroResp)),PROCESSOS!O458+ROW()/1000000,"")</f>
        <v/>
      </c>
      <c r="BG458" t="str">
        <f>IF(AND(PROCESSOS!B458&lt;&gt;"",ISNUMBER(PROCESSOS!D458),OR(FiltroResp="TODOS",FiltroResp="",PROCESSOS!I458=FiltroResp)),PROCESSOS!D458+ROW()/1000000,"")</f>
        <v/>
      </c>
    </row>
    <row r="459">
      <c r="BF459" t="str">
        <f>IF(AND(OR(PROCESSOS!Q459="NO PRAZO",PROCESSOS!Q459="VENCE EM BREVE"),OR(FiltroResp="TODOS",FiltroResp="",PROCESSOS!I459=FiltroResp)),PROCESSOS!O459+ROW()/1000000,"")</f>
        <v/>
      </c>
      <c r="BG459" t="str">
        <f>IF(AND(PROCESSOS!B459&lt;&gt;"",ISNUMBER(PROCESSOS!D459),OR(FiltroResp="TODOS",FiltroResp="",PROCESSOS!I459=FiltroResp)),PROCESSOS!D459+ROW()/1000000,"")</f>
        <v/>
      </c>
    </row>
    <row r="460">
      <c r="BF460" t="str">
        <f>IF(AND(OR(PROCESSOS!Q460="NO PRAZO",PROCESSOS!Q460="VENCE EM BREVE"),OR(FiltroResp="TODOS",FiltroResp="",PROCESSOS!I460=FiltroResp)),PROCESSOS!O460+ROW()/1000000,"")</f>
        <v/>
      </c>
      <c r="BG460" t="str">
        <f>IF(AND(PROCESSOS!B460&lt;&gt;"",ISNUMBER(PROCESSOS!D460),OR(FiltroResp="TODOS",FiltroResp="",PROCESSOS!I460=FiltroResp)),PROCESSOS!D460+ROW()/1000000,"")</f>
        <v/>
      </c>
    </row>
    <row r="461">
      <c r="BF461" t="str">
        <f>IF(AND(OR(PROCESSOS!Q461="NO PRAZO",PROCESSOS!Q461="VENCE EM BREVE"),OR(FiltroResp="TODOS",FiltroResp="",PROCESSOS!I461=FiltroResp)),PROCESSOS!O461+ROW()/1000000,"")</f>
        <v/>
      </c>
      <c r="BG461" t="str">
        <f>IF(AND(PROCESSOS!B461&lt;&gt;"",ISNUMBER(PROCESSOS!D461),OR(FiltroResp="TODOS",FiltroResp="",PROCESSOS!I461=FiltroResp)),PROCESSOS!D461+ROW()/1000000,"")</f>
        <v/>
      </c>
    </row>
    <row r="462">
      <c r="BF462" t="str">
        <f>IF(AND(OR(PROCESSOS!Q462="NO PRAZO",PROCESSOS!Q462="VENCE EM BREVE"),OR(FiltroResp="TODOS",FiltroResp="",PROCESSOS!I462=FiltroResp)),PROCESSOS!O462+ROW()/1000000,"")</f>
        <v/>
      </c>
      <c r="BG462" t="str">
        <f>IF(AND(PROCESSOS!B462&lt;&gt;"",ISNUMBER(PROCESSOS!D462),OR(FiltroResp="TODOS",FiltroResp="",PROCESSOS!I462=FiltroResp)),PROCESSOS!D462+ROW()/1000000,"")</f>
        <v/>
      </c>
    </row>
    <row r="463">
      <c r="BF463" t="str">
        <f>IF(AND(OR(PROCESSOS!Q463="NO PRAZO",PROCESSOS!Q463="VENCE EM BREVE"),OR(FiltroResp="TODOS",FiltroResp="",PROCESSOS!I463=FiltroResp)),PROCESSOS!O463+ROW()/1000000,"")</f>
        <v/>
      </c>
      <c r="BG463" t="str">
        <f>IF(AND(PROCESSOS!B463&lt;&gt;"",ISNUMBER(PROCESSOS!D463),OR(FiltroResp="TODOS",FiltroResp="",PROCESSOS!I463=FiltroResp)),PROCESSOS!D463+ROW()/1000000,"")</f>
        <v/>
      </c>
    </row>
    <row r="464">
      <c r="BF464" t="str">
        <f>IF(AND(OR(PROCESSOS!Q464="NO PRAZO",PROCESSOS!Q464="VENCE EM BREVE"),OR(FiltroResp="TODOS",FiltroResp="",PROCESSOS!I464=FiltroResp)),PROCESSOS!O464+ROW()/1000000,"")</f>
        <v/>
      </c>
      <c r="BG464" t="str">
        <f>IF(AND(PROCESSOS!B464&lt;&gt;"",ISNUMBER(PROCESSOS!D464),OR(FiltroResp="TODOS",FiltroResp="",PROCESSOS!I464=FiltroResp)),PROCESSOS!D464+ROW()/1000000,"")</f>
        <v/>
      </c>
    </row>
    <row r="465">
      <c r="BF465" t="str">
        <f>IF(AND(OR(PROCESSOS!Q465="NO PRAZO",PROCESSOS!Q465="VENCE EM BREVE"),OR(FiltroResp="TODOS",FiltroResp="",PROCESSOS!I465=FiltroResp)),PROCESSOS!O465+ROW()/1000000,"")</f>
        <v/>
      </c>
      <c r="BG465" t="str">
        <f>IF(AND(PROCESSOS!B465&lt;&gt;"",ISNUMBER(PROCESSOS!D465),OR(FiltroResp="TODOS",FiltroResp="",PROCESSOS!I465=FiltroResp)),PROCESSOS!D465+ROW()/1000000,"")</f>
        <v/>
      </c>
    </row>
    <row r="466">
      <c r="BF466" t="str">
        <f>IF(AND(OR(PROCESSOS!Q466="NO PRAZO",PROCESSOS!Q466="VENCE EM BREVE"),OR(FiltroResp="TODOS",FiltroResp="",PROCESSOS!I466=FiltroResp)),PROCESSOS!O466+ROW()/1000000,"")</f>
        <v/>
      </c>
      <c r="BG466" t="str">
        <f>IF(AND(PROCESSOS!B466&lt;&gt;"",ISNUMBER(PROCESSOS!D466),OR(FiltroResp="TODOS",FiltroResp="",PROCESSOS!I466=FiltroResp)),PROCESSOS!D466+ROW()/1000000,"")</f>
        <v/>
      </c>
    </row>
    <row r="467">
      <c r="BF467" t="str">
        <f>IF(AND(OR(PROCESSOS!Q467="NO PRAZO",PROCESSOS!Q467="VENCE EM BREVE"),OR(FiltroResp="TODOS",FiltroResp="",PROCESSOS!I467=FiltroResp)),PROCESSOS!O467+ROW()/1000000,"")</f>
        <v/>
      </c>
      <c r="BG467" t="str">
        <f>IF(AND(PROCESSOS!B467&lt;&gt;"",ISNUMBER(PROCESSOS!D467),OR(FiltroResp="TODOS",FiltroResp="",PROCESSOS!I467=FiltroResp)),PROCESSOS!D467+ROW()/1000000,"")</f>
        <v/>
      </c>
    </row>
    <row r="468">
      <c r="BF468" t="str">
        <f>IF(AND(OR(PROCESSOS!Q468="NO PRAZO",PROCESSOS!Q468="VENCE EM BREVE"),OR(FiltroResp="TODOS",FiltroResp="",PROCESSOS!I468=FiltroResp)),PROCESSOS!O468+ROW()/1000000,"")</f>
        <v/>
      </c>
      <c r="BG468" t="str">
        <f>IF(AND(PROCESSOS!B468&lt;&gt;"",ISNUMBER(PROCESSOS!D468),OR(FiltroResp="TODOS",FiltroResp="",PROCESSOS!I468=FiltroResp)),PROCESSOS!D468+ROW()/1000000,"")</f>
        <v/>
      </c>
    </row>
    <row r="469">
      <c r="BF469" t="str">
        <f>IF(AND(OR(PROCESSOS!Q469="NO PRAZO",PROCESSOS!Q469="VENCE EM BREVE"),OR(FiltroResp="TODOS",FiltroResp="",PROCESSOS!I469=FiltroResp)),PROCESSOS!O469+ROW()/1000000,"")</f>
        <v/>
      </c>
      <c r="BG469" t="str">
        <f>IF(AND(PROCESSOS!B469&lt;&gt;"",ISNUMBER(PROCESSOS!D469),OR(FiltroResp="TODOS",FiltroResp="",PROCESSOS!I469=FiltroResp)),PROCESSOS!D469+ROW()/1000000,"")</f>
        <v/>
      </c>
    </row>
    <row r="470">
      <c r="BF470" t="str">
        <f>IF(AND(OR(PROCESSOS!Q470="NO PRAZO",PROCESSOS!Q470="VENCE EM BREVE"),OR(FiltroResp="TODOS",FiltroResp="",PROCESSOS!I470=FiltroResp)),PROCESSOS!O470+ROW()/1000000,"")</f>
        <v/>
      </c>
      <c r="BG470" t="str">
        <f>IF(AND(PROCESSOS!B470&lt;&gt;"",ISNUMBER(PROCESSOS!D470),OR(FiltroResp="TODOS",FiltroResp="",PROCESSOS!I470=FiltroResp)),PROCESSOS!D470+ROW()/1000000,"")</f>
        <v/>
      </c>
    </row>
    <row r="471">
      <c r="BF471" t="str">
        <f>IF(AND(OR(PROCESSOS!Q471="NO PRAZO",PROCESSOS!Q471="VENCE EM BREVE"),OR(FiltroResp="TODOS",FiltroResp="",PROCESSOS!I471=FiltroResp)),PROCESSOS!O471+ROW()/1000000,"")</f>
        <v/>
      </c>
      <c r="BG471" t="str">
        <f>IF(AND(PROCESSOS!B471&lt;&gt;"",ISNUMBER(PROCESSOS!D471),OR(FiltroResp="TODOS",FiltroResp="",PROCESSOS!I471=FiltroResp)),PROCESSOS!D471+ROW()/1000000,"")</f>
        <v/>
      </c>
    </row>
    <row r="472">
      <c r="BF472" t="str">
        <f>IF(AND(OR(PROCESSOS!Q472="NO PRAZO",PROCESSOS!Q472="VENCE EM BREVE"),OR(FiltroResp="TODOS",FiltroResp="",PROCESSOS!I472=FiltroResp)),PROCESSOS!O472+ROW()/1000000,"")</f>
        <v/>
      </c>
      <c r="BG472" t="str">
        <f>IF(AND(PROCESSOS!B472&lt;&gt;"",ISNUMBER(PROCESSOS!D472),OR(FiltroResp="TODOS",FiltroResp="",PROCESSOS!I472=FiltroResp)),PROCESSOS!D472+ROW()/1000000,"")</f>
        <v/>
      </c>
    </row>
    <row r="473">
      <c r="BF473" t="str">
        <f>IF(AND(OR(PROCESSOS!Q473="NO PRAZO",PROCESSOS!Q473="VENCE EM BREVE"),OR(FiltroResp="TODOS",FiltroResp="",PROCESSOS!I473=FiltroResp)),PROCESSOS!O473+ROW()/1000000,"")</f>
        <v/>
      </c>
      <c r="BG473" t="str">
        <f>IF(AND(PROCESSOS!B473&lt;&gt;"",ISNUMBER(PROCESSOS!D473),OR(FiltroResp="TODOS",FiltroResp="",PROCESSOS!I473=FiltroResp)),PROCESSOS!D473+ROW()/1000000,"")</f>
        <v/>
      </c>
    </row>
    <row r="474">
      <c r="BF474" t="str">
        <f>IF(AND(OR(PROCESSOS!Q474="NO PRAZO",PROCESSOS!Q474="VENCE EM BREVE"),OR(FiltroResp="TODOS",FiltroResp="",PROCESSOS!I474=FiltroResp)),PROCESSOS!O474+ROW()/1000000,"")</f>
        <v/>
      </c>
      <c r="BG474" t="str">
        <f>IF(AND(PROCESSOS!B474&lt;&gt;"",ISNUMBER(PROCESSOS!D474),OR(FiltroResp="TODOS",FiltroResp="",PROCESSOS!I474=FiltroResp)),PROCESSOS!D474+ROW()/1000000,"")</f>
        <v/>
      </c>
    </row>
    <row r="475">
      <c r="BF475" t="str">
        <f>IF(AND(OR(PROCESSOS!Q475="NO PRAZO",PROCESSOS!Q475="VENCE EM BREVE"),OR(FiltroResp="TODOS",FiltroResp="",PROCESSOS!I475=FiltroResp)),PROCESSOS!O475+ROW()/1000000,"")</f>
        <v/>
      </c>
      <c r="BG475" t="str">
        <f>IF(AND(PROCESSOS!B475&lt;&gt;"",ISNUMBER(PROCESSOS!D475),OR(FiltroResp="TODOS",FiltroResp="",PROCESSOS!I475=FiltroResp)),PROCESSOS!D475+ROW()/1000000,"")</f>
        <v/>
      </c>
    </row>
    <row r="476">
      <c r="BF476" t="str">
        <f>IF(AND(OR(PROCESSOS!Q476="NO PRAZO",PROCESSOS!Q476="VENCE EM BREVE"),OR(FiltroResp="TODOS",FiltroResp="",PROCESSOS!I476=FiltroResp)),PROCESSOS!O476+ROW()/1000000,"")</f>
        <v/>
      </c>
      <c r="BG476" t="str">
        <f>IF(AND(PROCESSOS!B476&lt;&gt;"",ISNUMBER(PROCESSOS!D476),OR(FiltroResp="TODOS",FiltroResp="",PROCESSOS!I476=FiltroResp)),PROCESSOS!D476+ROW()/1000000,"")</f>
        <v/>
      </c>
    </row>
    <row r="477">
      <c r="BF477" t="str">
        <f>IF(AND(OR(PROCESSOS!Q477="NO PRAZO",PROCESSOS!Q477="VENCE EM BREVE"),OR(FiltroResp="TODOS",FiltroResp="",PROCESSOS!I477=FiltroResp)),PROCESSOS!O477+ROW()/1000000,"")</f>
        <v/>
      </c>
      <c r="BG477" t="str">
        <f>IF(AND(PROCESSOS!B477&lt;&gt;"",ISNUMBER(PROCESSOS!D477),OR(FiltroResp="TODOS",FiltroResp="",PROCESSOS!I477=FiltroResp)),PROCESSOS!D477+ROW()/1000000,"")</f>
        <v/>
      </c>
    </row>
    <row r="478">
      <c r="BF478" t="str">
        <f>IF(AND(OR(PROCESSOS!Q478="NO PRAZO",PROCESSOS!Q478="VENCE EM BREVE"),OR(FiltroResp="TODOS",FiltroResp="",PROCESSOS!I478=FiltroResp)),PROCESSOS!O478+ROW()/1000000,"")</f>
        <v/>
      </c>
      <c r="BG478" t="str">
        <f>IF(AND(PROCESSOS!B478&lt;&gt;"",ISNUMBER(PROCESSOS!D478),OR(FiltroResp="TODOS",FiltroResp="",PROCESSOS!I478=FiltroResp)),PROCESSOS!D478+ROW()/1000000,"")</f>
        <v/>
      </c>
    </row>
    <row r="479">
      <c r="BF479" t="str">
        <f>IF(AND(OR(PROCESSOS!Q479="NO PRAZO",PROCESSOS!Q479="VENCE EM BREVE"),OR(FiltroResp="TODOS",FiltroResp="",PROCESSOS!I479=FiltroResp)),PROCESSOS!O479+ROW()/1000000,"")</f>
        <v/>
      </c>
      <c r="BG479" t="str">
        <f>IF(AND(PROCESSOS!B479&lt;&gt;"",ISNUMBER(PROCESSOS!D479),OR(FiltroResp="TODOS",FiltroResp="",PROCESSOS!I479=FiltroResp)),PROCESSOS!D479+ROW()/1000000,"")</f>
        <v/>
      </c>
    </row>
    <row r="480">
      <c r="BF480" t="str">
        <f>IF(AND(OR(PROCESSOS!Q480="NO PRAZO",PROCESSOS!Q480="VENCE EM BREVE"),OR(FiltroResp="TODOS",FiltroResp="",PROCESSOS!I480=FiltroResp)),PROCESSOS!O480+ROW()/1000000,"")</f>
        <v/>
      </c>
      <c r="BG480" t="str">
        <f>IF(AND(PROCESSOS!B480&lt;&gt;"",ISNUMBER(PROCESSOS!D480),OR(FiltroResp="TODOS",FiltroResp="",PROCESSOS!I480=FiltroResp)),PROCESSOS!D480+ROW()/1000000,"")</f>
        <v/>
      </c>
    </row>
    <row r="481">
      <c r="BF481" t="str">
        <f>IF(AND(OR(PROCESSOS!Q481="NO PRAZO",PROCESSOS!Q481="VENCE EM BREVE"),OR(FiltroResp="TODOS",FiltroResp="",PROCESSOS!I481=FiltroResp)),PROCESSOS!O481+ROW()/1000000,"")</f>
        <v/>
      </c>
      <c r="BG481" t="str">
        <f>IF(AND(PROCESSOS!B481&lt;&gt;"",ISNUMBER(PROCESSOS!D481),OR(FiltroResp="TODOS",FiltroResp="",PROCESSOS!I481=FiltroResp)),PROCESSOS!D481+ROW()/1000000,"")</f>
        <v/>
      </c>
    </row>
    <row r="482">
      <c r="BF482" t="str">
        <f>IF(AND(OR(PROCESSOS!Q482="NO PRAZO",PROCESSOS!Q482="VENCE EM BREVE"),OR(FiltroResp="TODOS",FiltroResp="",PROCESSOS!I482=FiltroResp)),PROCESSOS!O482+ROW()/1000000,"")</f>
        <v/>
      </c>
      <c r="BG482" t="str">
        <f>IF(AND(PROCESSOS!B482&lt;&gt;"",ISNUMBER(PROCESSOS!D482),OR(FiltroResp="TODOS",FiltroResp="",PROCESSOS!I482=FiltroResp)),PROCESSOS!D482+ROW()/1000000,"")</f>
        <v/>
      </c>
    </row>
    <row r="483">
      <c r="BF483" t="str">
        <f>IF(AND(OR(PROCESSOS!Q483="NO PRAZO",PROCESSOS!Q483="VENCE EM BREVE"),OR(FiltroResp="TODOS",FiltroResp="",PROCESSOS!I483=FiltroResp)),PROCESSOS!O483+ROW()/1000000,"")</f>
        <v/>
      </c>
      <c r="BG483" t="str">
        <f>IF(AND(PROCESSOS!B483&lt;&gt;"",ISNUMBER(PROCESSOS!D483),OR(FiltroResp="TODOS",FiltroResp="",PROCESSOS!I483=FiltroResp)),PROCESSOS!D483+ROW()/1000000,"")</f>
        <v/>
      </c>
    </row>
    <row r="484">
      <c r="BF484" t="str">
        <f>IF(AND(OR(PROCESSOS!Q484="NO PRAZO",PROCESSOS!Q484="VENCE EM BREVE"),OR(FiltroResp="TODOS",FiltroResp="",PROCESSOS!I484=FiltroResp)),PROCESSOS!O484+ROW()/1000000,"")</f>
        <v/>
      </c>
      <c r="BG484" t="str">
        <f>IF(AND(PROCESSOS!B484&lt;&gt;"",ISNUMBER(PROCESSOS!D484),OR(FiltroResp="TODOS",FiltroResp="",PROCESSOS!I484=FiltroResp)),PROCESSOS!D484+ROW()/1000000,"")</f>
        <v/>
      </c>
    </row>
    <row r="485">
      <c r="BF485" t="str">
        <f>IF(AND(OR(PROCESSOS!Q485="NO PRAZO",PROCESSOS!Q485="VENCE EM BREVE"),OR(FiltroResp="TODOS",FiltroResp="",PROCESSOS!I485=FiltroResp)),PROCESSOS!O485+ROW()/1000000,"")</f>
        <v/>
      </c>
      <c r="BG485" t="str">
        <f>IF(AND(PROCESSOS!B485&lt;&gt;"",ISNUMBER(PROCESSOS!D485),OR(FiltroResp="TODOS",FiltroResp="",PROCESSOS!I485=FiltroResp)),PROCESSOS!D485+ROW()/1000000,"")</f>
        <v/>
      </c>
    </row>
    <row r="486">
      <c r="BF486" t="str">
        <f>IF(AND(OR(PROCESSOS!Q486="NO PRAZO",PROCESSOS!Q486="VENCE EM BREVE"),OR(FiltroResp="TODOS",FiltroResp="",PROCESSOS!I486=FiltroResp)),PROCESSOS!O486+ROW()/1000000,"")</f>
        <v/>
      </c>
      <c r="BG486" t="str">
        <f>IF(AND(PROCESSOS!B486&lt;&gt;"",ISNUMBER(PROCESSOS!D486),OR(FiltroResp="TODOS",FiltroResp="",PROCESSOS!I486=FiltroResp)),PROCESSOS!D486+ROW()/1000000,"")</f>
        <v/>
      </c>
    </row>
    <row r="487">
      <c r="BF487" t="str">
        <f>IF(AND(OR(PROCESSOS!Q487="NO PRAZO",PROCESSOS!Q487="VENCE EM BREVE"),OR(FiltroResp="TODOS",FiltroResp="",PROCESSOS!I487=FiltroResp)),PROCESSOS!O487+ROW()/1000000,"")</f>
        <v/>
      </c>
      <c r="BG487" t="str">
        <f>IF(AND(PROCESSOS!B487&lt;&gt;"",ISNUMBER(PROCESSOS!D487),OR(FiltroResp="TODOS",FiltroResp="",PROCESSOS!I487=FiltroResp)),PROCESSOS!D487+ROW()/1000000,"")</f>
        <v/>
      </c>
    </row>
    <row r="488">
      <c r="BF488" t="str">
        <f>IF(AND(OR(PROCESSOS!Q488="NO PRAZO",PROCESSOS!Q488="VENCE EM BREVE"),OR(FiltroResp="TODOS",FiltroResp="",PROCESSOS!I488=FiltroResp)),PROCESSOS!O488+ROW()/1000000,"")</f>
        <v/>
      </c>
      <c r="BG488" t="str">
        <f>IF(AND(PROCESSOS!B488&lt;&gt;"",ISNUMBER(PROCESSOS!D488),OR(FiltroResp="TODOS",FiltroResp="",PROCESSOS!I488=FiltroResp)),PROCESSOS!D488+ROW()/1000000,"")</f>
        <v/>
      </c>
    </row>
    <row r="489">
      <c r="BF489" t="str">
        <f>IF(AND(OR(PROCESSOS!Q489="NO PRAZO",PROCESSOS!Q489="VENCE EM BREVE"),OR(FiltroResp="TODOS",FiltroResp="",PROCESSOS!I489=FiltroResp)),PROCESSOS!O489+ROW()/1000000,"")</f>
        <v/>
      </c>
      <c r="BG489" t="str">
        <f>IF(AND(PROCESSOS!B489&lt;&gt;"",ISNUMBER(PROCESSOS!D489),OR(FiltroResp="TODOS",FiltroResp="",PROCESSOS!I489=FiltroResp)),PROCESSOS!D489+ROW()/1000000,"")</f>
        <v/>
      </c>
    </row>
    <row r="490">
      <c r="BF490" t="str">
        <f>IF(AND(OR(PROCESSOS!Q490="NO PRAZO",PROCESSOS!Q490="VENCE EM BREVE"),OR(FiltroResp="TODOS",FiltroResp="",PROCESSOS!I490=FiltroResp)),PROCESSOS!O490+ROW()/1000000,"")</f>
        <v/>
      </c>
      <c r="BG490" t="str">
        <f>IF(AND(PROCESSOS!B490&lt;&gt;"",ISNUMBER(PROCESSOS!D490),OR(FiltroResp="TODOS",FiltroResp="",PROCESSOS!I490=FiltroResp)),PROCESSOS!D490+ROW()/1000000,"")</f>
        <v/>
      </c>
    </row>
    <row r="491">
      <c r="BF491" t="str">
        <f>IF(AND(OR(PROCESSOS!Q491="NO PRAZO",PROCESSOS!Q491="VENCE EM BREVE"),OR(FiltroResp="TODOS",FiltroResp="",PROCESSOS!I491=FiltroResp)),PROCESSOS!O491+ROW()/1000000,"")</f>
        <v/>
      </c>
      <c r="BG491" t="str">
        <f>IF(AND(PROCESSOS!B491&lt;&gt;"",ISNUMBER(PROCESSOS!D491),OR(FiltroResp="TODOS",FiltroResp="",PROCESSOS!I491=FiltroResp)),PROCESSOS!D491+ROW()/1000000,"")</f>
        <v/>
      </c>
    </row>
    <row r="492">
      <c r="BF492" t="str">
        <f>IF(AND(OR(PROCESSOS!Q492="NO PRAZO",PROCESSOS!Q492="VENCE EM BREVE"),OR(FiltroResp="TODOS",FiltroResp="",PROCESSOS!I492=FiltroResp)),PROCESSOS!O492+ROW()/1000000,"")</f>
        <v/>
      </c>
      <c r="BG492" t="str">
        <f>IF(AND(PROCESSOS!B492&lt;&gt;"",ISNUMBER(PROCESSOS!D492),OR(FiltroResp="TODOS",FiltroResp="",PROCESSOS!I492=FiltroResp)),PROCESSOS!D492+ROW()/1000000,"")</f>
        <v/>
      </c>
    </row>
    <row r="493">
      <c r="BF493" t="str">
        <f>IF(AND(OR(PROCESSOS!Q493="NO PRAZO",PROCESSOS!Q493="VENCE EM BREVE"),OR(FiltroResp="TODOS",FiltroResp="",PROCESSOS!I493=FiltroResp)),PROCESSOS!O493+ROW()/1000000,"")</f>
        <v/>
      </c>
      <c r="BG493" t="str">
        <f>IF(AND(PROCESSOS!B493&lt;&gt;"",ISNUMBER(PROCESSOS!D493),OR(FiltroResp="TODOS",FiltroResp="",PROCESSOS!I493=FiltroResp)),PROCESSOS!D493+ROW()/1000000,"")</f>
        <v/>
      </c>
    </row>
    <row r="494">
      <c r="BF494" t="str">
        <f>IF(AND(OR(PROCESSOS!Q494="NO PRAZO",PROCESSOS!Q494="VENCE EM BREVE"),OR(FiltroResp="TODOS",FiltroResp="",PROCESSOS!I494=FiltroResp)),PROCESSOS!O494+ROW()/1000000,"")</f>
        <v/>
      </c>
      <c r="BG494" t="str">
        <f>IF(AND(PROCESSOS!B494&lt;&gt;"",ISNUMBER(PROCESSOS!D494),OR(FiltroResp="TODOS",FiltroResp="",PROCESSOS!I494=FiltroResp)),PROCESSOS!D494+ROW()/1000000,"")</f>
        <v/>
      </c>
    </row>
    <row r="495">
      <c r="BF495" t="str">
        <f>IF(AND(OR(PROCESSOS!Q495="NO PRAZO",PROCESSOS!Q495="VENCE EM BREVE"),OR(FiltroResp="TODOS",FiltroResp="",PROCESSOS!I495=FiltroResp)),PROCESSOS!O495+ROW()/1000000,"")</f>
        <v/>
      </c>
      <c r="BG495" t="str">
        <f>IF(AND(PROCESSOS!B495&lt;&gt;"",ISNUMBER(PROCESSOS!D495),OR(FiltroResp="TODOS",FiltroResp="",PROCESSOS!I495=FiltroResp)),PROCESSOS!D495+ROW()/1000000,"")</f>
        <v/>
      </c>
    </row>
    <row r="496">
      <c r="BF496" t="str">
        <f>IF(AND(OR(PROCESSOS!Q496="NO PRAZO",PROCESSOS!Q496="VENCE EM BREVE"),OR(FiltroResp="TODOS",FiltroResp="",PROCESSOS!I496=FiltroResp)),PROCESSOS!O496+ROW()/1000000,"")</f>
        <v/>
      </c>
      <c r="BG496" t="str">
        <f>IF(AND(PROCESSOS!B496&lt;&gt;"",ISNUMBER(PROCESSOS!D496),OR(FiltroResp="TODOS",FiltroResp="",PROCESSOS!I496=FiltroResp)),PROCESSOS!D496+ROW()/1000000,"")</f>
        <v/>
      </c>
    </row>
    <row r="497">
      <c r="BF497" t="str">
        <f>IF(AND(OR(PROCESSOS!Q497="NO PRAZO",PROCESSOS!Q497="VENCE EM BREVE"),OR(FiltroResp="TODOS",FiltroResp="",PROCESSOS!I497=FiltroResp)),PROCESSOS!O497+ROW()/1000000,"")</f>
        <v/>
      </c>
      <c r="BG497" t="str">
        <f>IF(AND(PROCESSOS!B497&lt;&gt;"",ISNUMBER(PROCESSOS!D497),OR(FiltroResp="TODOS",FiltroResp="",PROCESSOS!I497=FiltroResp)),PROCESSOS!D497+ROW()/1000000,"")</f>
        <v/>
      </c>
    </row>
    <row r="498">
      <c r="BF498" t="str">
        <f>IF(AND(OR(PROCESSOS!Q498="NO PRAZO",PROCESSOS!Q498="VENCE EM BREVE"),OR(FiltroResp="TODOS",FiltroResp="",PROCESSOS!I498=FiltroResp)),PROCESSOS!O498+ROW()/1000000,"")</f>
        <v/>
      </c>
      <c r="BG498" t="str">
        <f>IF(AND(PROCESSOS!B498&lt;&gt;"",ISNUMBER(PROCESSOS!D498),OR(FiltroResp="TODOS",FiltroResp="",PROCESSOS!I498=FiltroResp)),PROCESSOS!D498+ROW()/1000000,"")</f>
        <v/>
      </c>
    </row>
    <row r="499">
      <c r="BF499" t="str">
        <f>IF(AND(OR(PROCESSOS!Q499="NO PRAZO",PROCESSOS!Q499="VENCE EM BREVE"),OR(FiltroResp="TODOS",FiltroResp="",PROCESSOS!I499=FiltroResp)),PROCESSOS!O499+ROW()/1000000,"")</f>
        <v/>
      </c>
      <c r="BG499" t="str">
        <f>IF(AND(PROCESSOS!B499&lt;&gt;"",ISNUMBER(PROCESSOS!D499),OR(FiltroResp="TODOS",FiltroResp="",PROCESSOS!I499=FiltroResp)),PROCESSOS!D499+ROW()/1000000,"")</f>
        <v/>
      </c>
    </row>
    <row r="500">
      <c r="BF500" t="str">
        <f>IF(AND(OR(PROCESSOS!Q500="NO PRAZO",PROCESSOS!Q500="VENCE EM BREVE"),OR(FiltroResp="TODOS",FiltroResp="",PROCESSOS!I500=FiltroResp)),PROCESSOS!O500+ROW()/1000000,"")</f>
        <v/>
      </c>
      <c r="BG500" t="str">
        <f>IF(AND(PROCESSOS!B500&lt;&gt;"",ISNUMBER(PROCESSOS!D500),OR(FiltroResp="TODOS",FiltroResp="",PROCESSOS!I500=FiltroResp)),PROCESSOS!D500+ROW()/1000000,"")</f>
        <v/>
      </c>
    </row>
    <row r="501">
      <c r="BF501" t="str">
        <f>IF(AND(OR(PROCESSOS!Q501="NO PRAZO",PROCESSOS!Q501="VENCE EM BREVE"),OR(FiltroResp="TODOS",FiltroResp="",PROCESSOS!I501=FiltroResp)),PROCESSOS!O501+ROW()/1000000,"")</f>
        <v/>
      </c>
      <c r="BG501" t="str">
        <f>IF(AND(PROCESSOS!B501&lt;&gt;"",ISNUMBER(PROCESSOS!D501),OR(FiltroResp="TODOS",FiltroResp="",PROCESSOS!I501=FiltroResp)),PROCESSOS!D501+ROW()/1000000,"")</f>
        <v/>
      </c>
    </row>
    <row r="502">
      <c r="BF502" t="str">
        <f>IF(AND(OR(PROCESSOS!Q502="NO PRAZO",PROCESSOS!Q502="VENCE EM BREVE"),OR(FiltroResp="TODOS",FiltroResp="",PROCESSOS!I502=FiltroResp)),PROCESSOS!O502+ROW()/1000000,"")</f>
        <v/>
      </c>
      <c r="BG502" t="str">
        <f>IF(AND(PROCESSOS!B502&lt;&gt;"",ISNUMBER(PROCESSOS!D502),OR(FiltroResp="TODOS",FiltroResp="",PROCESSOS!I502=FiltroResp)),PROCESSOS!D502+ROW()/1000000,"")</f>
        <v/>
      </c>
    </row>
    <row r="503">
      <c r="BF503" t="str">
        <f>IF(AND(OR(PROCESSOS!Q503="NO PRAZO",PROCESSOS!Q503="VENCE EM BREVE"),OR(FiltroResp="TODOS",FiltroResp="",PROCESSOS!I503=FiltroResp)),PROCESSOS!O503+ROW()/1000000,"")</f>
        <v/>
      </c>
      <c r="BG503" t="str">
        <f>IF(AND(PROCESSOS!B503&lt;&gt;"",ISNUMBER(PROCESSOS!D503),OR(FiltroResp="TODOS",FiltroResp="",PROCESSOS!I503=FiltroResp)),PROCESSOS!D503+ROW()/1000000,"")</f>
        <v/>
      </c>
    </row>
    <row r="504">
      <c r="BF504" t="str">
        <f>IF(AND(OR(PROCESSOS!Q504="NO PRAZO",PROCESSOS!Q504="VENCE EM BREVE"),OR(FiltroResp="TODOS",FiltroResp="",PROCESSOS!I504=FiltroResp)),PROCESSOS!O504+ROW()/1000000,"")</f>
        <v/>
      </c>
      <c r="BG504" t="str">
        <f>IF(AND(PROCESSOS!B504&lt;&gt;"",ISNUMBER(PROCESSOS!D504),OR(FiltroResp="TODOS",FiltroResp="",PROCESSOS!I504=FiltroResp)),PROCESSOS!D504+ROW()/1000000,"")</f>
        <v/>
      </c>
    </row>
    <row r="505">
      <c r="BF505" t="str">
        <f>IF(AND(OR(PROCESSOS!Q505="NO PRAZO",PROCESSOS!Q505="VENCE EM BREVE"),OR(FiltroResp="TODOS",FiltroResp="",PROCESSOS!I505=FiltroResp)),PROCESSOS!O505+ROW()/1000000,"")</f>
        <v/>
      </c>
      <c r="BG505" t="str">
        <f>IF(AND(PROCESSOS!B505&lt;&gt;"",ISNUMBER(PROCESSOS!D505),OR(FiltroResp="TODOS",FiltroResp="",PROCESSOS!I505=FiltroResp)),PROCESSOS!D505+ROW()/1000000,"")</f>
        <v/>
      </c>
    </row>
    <row r="506">
      <c r="BF506" t="str">
        <f>IF(AND(OR(PROCESSOS!Q506="NO PRAZO",PROCESSOS!Q506="VENCE EM BREVE"),OR(FiltroResp="TODOS",FiltroResp="",PROCESSOS!I506=FiltroResp)),PROCESSOS!O506+ROW()/1000000,"")</f>
        <v/>
      </c>
      <c r="BG506" t="str">
        <f>IF(AND(PROCESSOS!B506&lt;&gt;"",ISNUMBER(PROCESSOS!D506),OR(FiltroResp="TODOS",FiltroResp="",PROCESSOS!I506=FiltroResp)),PROCESSOS!D506+ROW()/1000000,"")</f>
        <v/>
      </c>
    </row>
    <row r="507">
      <c r="BF507" t="str">
        <f>IF(AND(OR(PROCESSOS!Q507="NO PRAZO",PROCESSOS!Q507="VENCE EM BREVE"),OR(FiltroResp="TODOS",FiltroResp="",PROCESSOS!I507=FiltroResp)),PROCESSOS!O507+ROW()/1000000,"")</f>
        <v/>
      </c>
      <c r="BG507" t="str">
        <f>IF(AND(PROCESSOS!B507&lt;&gt;"",ISNUMBER(PROCESSOS!D507),OR(FiltroResp="TODOS",FiltroResp="",PROCESSOS!I507=FiltroResp)),PROCESSOS!D507+ROW()/1000000,"")</f>
        <v/>
      </c>
    </row>
    <row r="508">
      <c r="BF508" t="str">
        <f>IF(AND(OR(PROCESSOS!Q508="NO PRAZO",PROCESSOS!Q508="VENCE EM BREVE"),OR(FiltroResp="TODOS",FiltroResp="",PROCESSOS!I508=FiltroResp)),PROCESSOS!O508+ROW()/1000000,"")</f>
        <v/>
      </c>
      <c r="BG508" t="str">
        <f>IF(AND(PROCESSOS!B508&lt;&gt;"",ISNUMBER(PROCESSOS!D508),OR(FiltroResp="TODOS",FiltroResp="",PROCESSOS!I508=FiltroResp)),PROCESSOS!D508+ROW()/1000000,"")</f>
        <v/>
      </c>
    </row>
    <row r="509">
      <c r="BF509" t="str">
        <f>IF(AND(OR(PROCESSOS!Q509="NO PRAZO",PROCESSOS!Q509="VENCE EM BREVE"),OR(FiltroResp="TODOS",FiltroResp="",PROCESSOS!I509=FiltroResp)),PROCESSOS!O509+ROW()/1000000,"")</f>
        <v/>
      </c>
      <c r="BG509" t="str">
        <f>IF(AND(PROCESSOS!B509&lt;&gt;"",ISNUMBER(PROCESSOS!D509),OR(FiltroResp="TODOS",FiltroResp="",PROCESSOS!I509=FiltroResp)),PROCESSOS!D509+ROW()/1000000,"")</f>
        <v/>
      </c>
    </row>
    <row r="510">
      <c r="BF510" t="str">
        <f>IF(AND(OR(PROCESSOS!Q510="NO PRAZO",PROCESSOS!Q510="VENCE EM BREVE"),OR(FiltroResp="TODOS",FiltroResp="",PROCESSOS!I510=FiltroResp)),PROCESSOS!O510+ROW()/1000000,"")</f>
        <v/>
      </c>
      <c r="BG510" t="str">
        <f>IF(AND(PROCESSOS!B510&lt;&gt;"",ISNUMBER(PROCESSOS!D510),OR(FiltroResp="TODOS",FiltroResp="",PROCESSOS!I510=FiltroResp)),PROCESSOS!D510+ROW()/1000000,"")</f>
        <v/>
      </c>
    </row>
    <row r="511">
      <c r="BF511" t="str">
        <f>IF(AND(OR(PROCESSOS!Q511="NO PRAZO",PROCESSOS!Q511="VENCE EM BREVE"),OR(FiltroResp="TODOS",FiltroResp="",PROCESSOS!I511=FiltroResp)),PROCESSOS!O511+ROW()/1000000,"")</f>
        <v/>
      </c>
      <c r="BG511" t="str">
        <f>IF(AND(PROCESSOS!B511&lt;&gt;"",ISNUMBER(PROCESSOS!D511),OR(FiltroResp="TODOS",FiltroResp="",PROCESSOS!I511=FiltroResp)),PROCESSOS!D511+ROW()/1000000,"")</f>
        <v/>
      </c>
    </row>
    <row r="512">
      <c r="BF512" t="str">
        <f>IF(AND(OR(PROCESSOS!Q512="NO PRAZO",PROCESSOS!Q512="VENCE EM BREVE"),OR(FiltroResp="TODOS",FiltroResp="",PROCESSOS!I512=FiltroResp)),PROCESSOS!O512+ROW()/1000000,"")</f>
        <v/>
      </c>
      <c r="BG512" t="str">
        <f>IF(AND(PROCESSOS!B512&lt;&gt;"",ISNUMBER(PROCESSOS!D512),OR(FiltroResp="TODOS",FiltroResp="",PROCESSOS!I512=FiltroResp)),PROCESSOS!D512+ROW()/1000000,"")</f>
        <v/>
      </c>
    </row>
    <row r="513">
      <c r="BF513" t="str">
        <f>IF(AND(OR(PROCESSOS!Q513="NO PRAZO",PROCESSOS!Q513="VENCE EM BREVE"),OR(FiltroResp="TODOS",FiltroResp="",PROCESSOS!I513=FiltroResp)),PROCESSOS!O513+ROW()/1000000,"")</f>
        <v/>
      </c>
      <c r="BG513" t="str">
        <f>IF(AND(PROCESSOS!B513&lt;&gt;"",ISNUMBER(PROCESSOS!D513),OR(FiltroResp="TODOS",FiltroResp="",PROCESSOS!I513=FiltroResp)),PROCESSOS!D513+ROW()/1000000,"")</f>
        <v/>
      </c>
    </row>
    <row r="514">
      <c r="BF514" t="str">
        <f>IF(AND(OR(PROCESSOS!Q514="NO PRAZO",PROCESSOS!Q514="VENCE EM BREVE"),OR(FiltroResp="TODOS",FiltroResp="",PROCESSOS!I514=FiltroResp)),PROCESSOS!O514+ROW()/1000000,"")</f>
        <v/>
      </c>
      <c r="BG514" t="str">
        <f>IF(AND(PROCESSOS!B514&lt;&gt;"",ISNUMBER(PROCESSOS!D514),OR(FiltroResp="TODOS",FiltroResp="",PROCESSOS!I514=FiltroResp)),PROCESSOS!D514+ROW()/1000000,"")</f>
        <v/>
      </c>
    </row>
    <row r="515">
      <c r="BF515" t="str">
        <f>IF(AND(OR(PROCESSOS!Q515="NO PRAZO",PROCESSOS!Q515="VENCE EM BREVE"),OR(FiltroResp="TODOS",FiltroResp="",PROCESSOS!I515=FiltroResp)),PROCESSOS!O515+ROW()/1000000,"")</f>
        <v/>
      </c>
      <c r="BG515" t="str">
        <f>IF(AND(PROCESSOS!B515&lt;&gt;"",ISNUMBER(PROCESSOS!D515),OR(FiltroResp="TODOS",FiltroResp="",PROCESSOS!I515=FiltroResp)),PROCESSOS!D515+ROW()/1000000,"")</f>
        <v/>
      </c>
    </row>
    <row r="516">
      <c r="BF516" t="str">
        <f>IF(AND(OR(PROCESSOS!Q516="NO PRAZO",PROCESSOS!Q516="VENCE EM BREVE"),OR(FiltroResp="TODOS",FiltroResp="",PROCESSOS!I516=FiltroResp)),PROCESSOS!O516+ROW()/1000000,"")</f>
        <v/>
      </c>
      <c r="BG516" t="str">
        <f>IF(AND(PROCESSOS!B516&lt;&gt;"",ISNUMBER(PROCESSOS!D516),OR(FiltroResp="TODOS",FiltroResp="",PROCESSOS!I516=FiltroResp)),PROCESSOS!D516+ROW()/1000000,"")</f>
        <v/>
      </c>
    </row>
    <row r="517">
      <c r="BF517" t="str">
        <f>IF(AND(OR(PROCESSOS!Q517="NO PRAZO",PROCESSOS!Q517="VENCE EM BREVE"),OR(FiltroResp="TODOS",FiltroResp="",PROCESSOS!I517=FiltroResp)),PROCESSOS!O517+ROW()/1000000,"")</f>
        <v/>
      </c>
      <c r="BG517" t="str">
        <f>IF(AND(PROCESSOS!B517&lt;&gt;"",ISNUMBER(PROCESSOS!D517),OR(FiltroResp="TODOS",FiltroResp="",PROCESSOS!I517=FiltroResp)),PROCESSOS!D517+ROW()/1000000,"")</f>
        <v/>
      </c>
    </row>
    <row r="518">
      <c r="BF518" t="str">
        <f>IF(AND(OR(PROCESSOS!Q518="NO PRAZO",PROCESSOS!Q518="VENCE EM BREVE"),OR(FiltroResp="TODOS",FiltroResp="",PROCESSOS!I518=FiltroResp)),PROCESSOS!O518+ROW()/1000000,"")</f>
        <v/>
      </c>
      <c r="BG518" t="str">
        <f>IF(AND(PROCESSOS!B518&lt;&gt;"",ISNUMBER(PROCESSOS!D518),OR(FiltroResp="TODOS",FiltroResp="",PROCESSOS!I518=FiltroResp)),PROCESSOS!D518+ROW()/1000000,"")</f>
        <v/>
      </c>
    </row>
    <row r="519">
      <c r="BF519" t="str">
        <f>IF(AND(OR(PROCESSOS!Q519="NO PRAZO",PROCESSOS!Q519="VENCE EM BREVE"),OR(FiltroResp="TODOS",FiltroResp="",PROCESSOS!I519=FiltroResp)),PROCESSOS!O519+ROW()/1000000,"")</f>
        <v/>
      </c>
      <c r="BG519" t="str">
        <f>IF(AND(PROCESSOS!B519&lt;&gt;"",ISNUMBER(PROCESSOS!D519),OR(FiltroResp="TODOS",FiltroResp="",PROCESSOS!I519=FiltroResp)),PROCESSOS!D519+ROW()/1000000,"")</f>
        <v/>
      </c>
    </row>
    <row r="520">
      <c r="BF520" t="str">
        <f>IF(AND(OR(PROCESSOS!Q520="NO PRAZO",PROCESSOS!Q520="VENCE EM BREVE"),OR(FiltroResp="TODOS",FiltroResp="",PROCESSOS!I520=FiltroResp)),PROCESSOS!O520+ROW()/1000000,"")</f>
        <v/>
      </c>
      <c r="BG520" t="str">
        <f>IF(AND(PROCESSOS!B520&lt;&gt;"",ISNUMBER(PROCESSOS!D520),OR(FiltroResp="TODOS",FiltroResp="",PROCESSOS!I520=FiltroResp)),PROCESSOS!D520+ROW()/1000000,"")</f>
        <v/>
      </c>
    </row>
    <row r="521">
      <c r="BF521" t="str">
        <f>IF(AND(OR(PROCESSOS!Q521="NO PRAZO",PROCESSOS!Q521="VENCE EM BREVE"),OR(FiltroResp="TODOS",FiltroResp="",PROCESSOS!I521=FiltroResp)),PROCESSOS!O521+ROW()/1000000,"")</f>
        <v/>
      </c>
      <c r="BG521" t="str">
        <f>IF(AND(PROCESSOS!B521&lt;&gt;"",ISNUMBER(PROCESSOS!D521),OR(FiltroResp="TODOS",FiltroResp="",PROCESSOS!I521=FiltroResp)),PROCESSOS!D521+ROW()/1000000,"")</f>
        <v/>
      </c>
    </row>
    <row r="522">
      <c r="BF522" t="str">
        <f>IF(AND(OR(PROCESSOS!Q522="NO PRAZO",PROCESSOS!Q522="VENCE EM BREVE"),OR(FiltroResp="TODOS",FiltroResp="",PROCESSOS!I522=FiltroResp)),PROCESSOS!O522+ROW()/1000000,"")</f>
        <v/>
      </c>
      <c r="BG522" t="str">
        <f>IF(AND(PROCESSOS!B522&lt;&gt;"",ISNUMBER(PROCESSOS!D522),OR(FiltroResp="TODOS",FiltroResp="",PROCESSOS!I522=FiltroResp)),PROCESSOS!D522+ROW()/1000000,"")</f>
        <v/>
      </c>
    </row>
    <row r="523">
      <c r="BF523" t="str">
        <f>IF(AND(OR(PROCESSOS!Q523="NO PRAZO",PROCESSOS!Q523="VENCE EM BREVE"),OR(FiltroResp="TODOS",FiltroResp="",PROCESSOS!I523=FiltroResp)),PROCESSOS!O523+ROW()/1000000,"")</f>
        <v/>
      </c>
      <c r="BG523" t="str">
        <f>IF(AND(PROCESSOS!B523&lt;&gt;"",ISNUMBER(PROCESSOS!D523),OR(FiltroResp="TODOS",FiltroResp="",PROCESSOS!I523=FiltroResp)),PROCESSOS!D523+ROW()/1000000,"")</f>
        <v/>
      </c>
    </row>
    <row r="524">
      <c r="BF524" t="str">
        <f>IF(AND(OR(PROCESSOS!Q524="NO PRAZO",PROCESSOS!Q524="VENCE EM BREVE"),OR(FiltroResp="TODOS",FiltroResp="",PROCESSOS!I524=FiltroResp)),PROCESSOS!O524+ROW()/1000000,"")</f>
        <v/>
      </c>
      <c r="BG524" t="str">
        <f>IF(AND(PROCESSOS!B524&lt;&gt;"",ISNUMBER(PROCESSOS!D524),OR(FiltroResp="TODOS",FiltroResp="",PROCESSOS!I524=FiltroResp)),PROCESSOS!D524+ROW()/1000000,"")</f>
        <v/>
      </c>
    </row>
    <row r="525">
      <c r="BF525" t="str">
        <f>IF(AND(OR(PROCESSOS!Q525="NO PRAZO",PROCESSOS!Q525="VENCE EM BREVE"),OR(FiltroResp="TODOS",FiltroResp="",PROCESSOS!I525=FiltroResp)),PROCESSOS!O525+ROW()/1000000,"")</f>
        <v/>
      </c>
      <c r="BG525" t="str">
        <f>IF(AND(PROCESSOS!B525&lt;&gt;"",ISNUMBER(PROCESSOS!D525),OR(FiltroResp="TODOS",FiltroResp="",PROCESSOS!I525=FiltroResp)),PROCESSOS!D525+ROW()/1000000,"")</f>
        <v/>
      </c>
    </row>
    <row r="526">
      <c r="BF526" t="str">
        <f>IF(AND(OR(PROCESSOS!Q526="NO PRAZO",PROCESSOS!Q526="VENCE EM BREVE"),OR(FiltroResp="TODOS",FiltroResp="",PROCESSOS!I526=FiltroResp)),PROCESSOS!O526+ROW()/1000000,"")</f>
        <v/>
      </c>
      <c r="BG526" t="str">
        <f>IF(AND(PROCESSOS!B526&lt;&gt;"",ISNUMBER(PROCESSOS!D526),OR(FiltroResp="TODOS",FiltroResp="",PROCESSOS!I526=FiltroResp)),PROCESSOS!D526+ROW()/1000000,"")</f>
        <v/>
      </c>
    </row>
    <row r="527">
      <c r="BF527" t="str">
        <f>IF(AND(OR(PROCESSOS!Q527="NO PRAZO",PROCESSOS!Q527="VENCE EM BREVE"),OR(FiltroResp="TODOS",FiltroResp="",PROCESSOS!I527=FiltroResp)),PROCESSOS!O527+ROW()/1000000,"")</f>
        <v/>
      </c>
      <c r="BG527" t="str">
        <f>IF(AND(PROCESSOS!B527&lt;&gt;"",ISNUMBER(PROCESSOS!D527),OR(FiltroResp="TODOS",FiltroResp="",PROCESSOS!I527=FiltroResp)),PROCESSOS!D527+ROW()/1000000,"")</f>
        <v/>
      </c>
    </row>
    <row r="528">
      <c r="BF528" t="str">
        <f>IF(AND(OR(PROCESSOS!Q528="NO PRAZO",PROCESSOS!Q528="VENCE EM BREVE"),OR(FiltroResp="TODOS",FiltroResp="",PROCESSOS!I528=FiltroResp)),PROCESSOS!O528+ROW()/1000000,"")</f>
        <v/>
      </c>
      <c r="BG528" t="str">
        <f>IF(AND(PROCESSOS!B528&lt;&gt;"",ISNUMBER(PROCESSOS!D528),OR(FiltroResp="TODOS",FiltroResp="",PROCESSOS!I528=FiltroResp)),PROCESSOS!D528+ROW()/1000000,"")</f>
        <v/>
      </c>
    </row>
    <row r="529">
      <c r="BF529" t="str">
        <f>IF(AND(OR(PROCESSOS!Q529="NO PRAZO",PROCESSOS!Q529="VENCE EM BREVE"),OR(FiltroResp="TODOS",FiltroResp="",PROCESSOS!I529=FiltroResp)),PROCESSOS!O529+ROW()/1000000,"")</f>
        <v/>
      </c>
      <c r="BG529" t="str">
        <f>IF(AND(PROCESSOS!B529&lt;&gt;"",ISNUMBER(PROCESSOS!D529),OR(FiltroResp="TODOS",FiltroResp="",PROCESSOS!I529=FiltroResp)),PROCESSOS!D529+ROW()/1000000,"")</f>
        <v/>
      </c>
    </row>
    <row r="530">
      <c r="BF530" t="str">
        <f>IF(AND(OR(PROCESSOS!Q530="NO PRAZO",PROCESSOS!Q530="VENCE EM BREVE"),OR(FiltroResp="TODOS",FiltroResp="",PROCESSOS!I530=FiltroResp)),PROCESSOS!O530+ROW()/1000000,"")</f>
        <v/>
      </c>
      <c r="BG530" t="str">
        <f>IF(AND(PROCESSOS!B530&lt;&gt;"",ISNUMBER(PROCESSOS!D530),OR(FiltroResp="TODOS",FiltroResp="",PROCESSOS!I530=FiltroResp)),PROCESSOS!D530+ROW()/1000000,"")</f>
        <v/>
      </c>
    </row>
    <row r="531">
      <c r="BF531" t="str">
        <f>IF(AND(OR(PROCESSOS!Q531="NO PRAZO",PROCESSOS!Q531="VENCE EM BREVE"),OR(FiltroResp="TODOS",FiltroResp="",PROCESSOS!I531=FiltroResp)),PROCESSOS!O531+ROW()/1000000,"")</f>
        <v/>
      </c>
      <c r="BG531" t="str">
        <f>IF(AND(PROCESSOS!B531&lt;&gt;"",ISNUMBER(PROCESSOS!D531),OR(FiltroResp="TODOS",FiltroResp="",PROCESSOS!I531=FiltroResp)),PROCESSOS!D531+ROW()/1000000,"")</f>
        <v/>
      </c>
    </row>
    <row r="532">
      <c r="BF532" t="str">
        <f>IF(AND(OR(PROCESSOS!Q532="NO PRAZO",PROCESSOS!Q532="VENCE EM BREVE"),OR(FiltroResp="TODOS",FiltroResp="",PROCESSOS!I532=FiltroResp)),PROCESSOS!O532+ROW()/1000000,"")</f>
        <v/>
      </c>
      <c r="BG532" t="str">
        <f>IF(AND(PROCESSOS!B532&lt;&gt;"",ISNUMBER(PROCESSOS!D532),OR(FiltroResp="TODOS",FiltroResp="",PROCESSOS!I532=FiltroResp)),PROCESSOS!D532+ROW()/1000000,"")</f>
        <v/>
      </c>
    </row>
    <row r="533">
      <c r="BF533" t="str">
        <f>IF(AND(OR(PROCESSOS!Q533="NO PRAZO",PROCESSOS!Q533="VENCE EM BREVE"),OR(FiltroResp="TODOS",FiltroResp="",PROCESSOS!I533=FiltroResp)),PROCESSOS!O533+ROW()/1000000,"")</f>
        <v/>
      </c>
      <c r="BG533" t="str">
        <f>IF(AND(PROCESSOS!B533&lt;&gt;"",ISNUMBER(PROCESSOS!D533),OR(FiltroResp="TODOS",FiltroResp="",PROCESSOS!I533=FiltroResp)),PROCESSOS!D533+ROW()/1000000,"")</f>
        <v/>
      </c>
    </row>
    <row r="534">
      <c r="BF534" t="str">
        <f>IF(AND(OR(PROCESSOS!Q534="NO PRAZO",PROCESSOS!Q534="VENCE EM BREVE"),OR(FiltroResp="TODOS",FiltroResp="",PROCESSOS!I534=FiltroResp)),PROCESSOS!O534+ROW()/1000000,"")</f>
        <v/>
      </c>
      <c r="BG534" t="str">
        <f>IF(AND(PROCESSOS!B534&lt;&gt;"",ISNUMBER(PROCESSOS!D534),OR(FiltroResp="TODOS",FiltroResp="",PROCESSOS!I534=FiltroResp)),PROCESSOS!D534+ROW()/1000000,"")</f>
        <v/>
      </c>
    </row>
    <row r="535">
      <c r="BF535" t="str">
        <f>IF(AND(OR(PROCESSOS!Q535="NO PRAZO",PROCESSOS!Q535="VENCE EM BREVE"),OR(FiltroResp="TODOS",FiltroResp="",PROCESSOS!I535=FiltroResp)),PROCESSOS!O535+ROW()/1000000,"")</f>
        <v/>
      </c>
      <c r="BG535" t="str">
        <f>IF(AND(PROCESSOS!B535&lt;&gt;"",ISNUMBER(PROCESSOS!D535),OR(FiltroResp="TODOS",FiltroResp="",PROCESSOS!I535=FiltroResp)),PROCESSOS!D535+ROW()/1000000,"")</f>
        <v/>
      </c>
    </row>
    <row r="536">
      <c r="BF536" t="str">
        <f>IF(AND(OR(PROCESSOS!Q536="NO PRAZO",PROCESSOS!Q536="VENCE EM BREVE"),OR(FiltroResp="TODOS",FiltroResp="",PROCESSOS!I536=FiltroResp)),PROCESSOS!O536+ROW()/1000000,"")</f>
        <v/>
      </c>
      <c r="BG536" t="str">
        <f>IF(AND(PROCESSOS!B536&lt;&gt;"",ISNUMBER(PROCESSOS!D536),OR(FiltroResp="TODOS",FiltroResp="",PROCESSOS!I536=FiltroResp)),PROCESSOS!D536+ROW()/1000000,"")</f>
        <v/>
      </c>
    </row>
    <row r="537">
      <c r="BF537" t="str">
        <f>IF(AND(OR(PROCESSOS!Q537="NO PRAZO",PROCESSOS!Q537="VENCE EM BREVE"),OR(FiltroResp="TODOS",FiltroResp="",PROCESSOS!I537=FiltroResp)),PROCESSOS!O537+ROW()/1000000,"")</f>
        <v/>
      </c>
      <c r="BG537" t="str">
        <f>IF(AND(PROCESSOS!B537&lt;&gt;"",ISNUMBER(PROCESSOS!D537),OR(FiltroResp="TODOS",FiltroResp="",PROCESSOS!I537=FiltroResp)),PROCESSOS!D537+ROW()/1000000,"")</f>
        <v/>
      </c>
    </row>
    <row r="538">
      <c r="BF538" t="str">
        <f>IF(AND(OR(PROCESSOS!Q538="NO PRAZO",PROCESSOS!Q538="VENCE EM BREVE"),OR(FiltroResp="TODOS",FiltroResp="",PROCESSOS!I538=FiltroResp)),PROCESSOS!O538+ROW()/1000000,"")</f>
        <v/>
      </c>
      <c r="BG538" t="str">
        <f>IF(AND(PROCESSOS!B538&lt;&gt;"",ISNUMBER(PROCESSOS!D538),OR(FiltroResp="TODOS",FiltroResp="",PROCESSOS!I538=FiltroResp)),PROCESSOS!D538+ROW()/1000000,"")</f>
        <v/>
      </c>
    </row>
    <row r="539">
      <c r="BF539" t="str">
        <f>IF(AND(OR(PROCESSOS!Q539="NO PRAZO",PROCESSOS!Q539="VENCE EM BREVE"),OR(FiltroResp="TODOS",FiltroResp="",PROCESSOS!I539=FiltroResp)),PROCESSOS!O539+ROW()/1000000,"")</f>
        <v/>
      </c>
      <c r="BG539" t="str">
        <f>IF(AND(PROCESSOS!B539&lt;&gt;"",ISNUMBER(PROCESSOS!D539),OR(FiltroResp="TODOS",FiltroResp="",PROCESSOS!I539=FiltroResp)),PROCESSOS!D539+ROW()/1000000,"")</f>
        <v/>
      </c>
    </row>
    <row r="540">
      <c r="BF540" t="str">
        <f>IF(AND(OR(PROCESSOS!Q540="NO PRAZO",PROCESSOS!Q540="VENCE EM BREVE"),OR(FiltroResp="TODOS",FiltroResp="",PROCESSOS!I540=FiltroResp)),PROCESSOS!O540+ROW()/1000000,"")</f>
        <v/>
      </c>
      <c r="BG540" t="str">
        <f>IF(AND(PROCESSOS!B540&lt;&gt;"",ISNUMBER(PROCESSOS!D540),OR(FiltroResp="TODOS",FiltroResp="",PROCESSOS!I540=FiltroResp)),PROCESSOS!D540+ROW()/1000000,"")</f>
        <v/>
      </c>
    </row>
    <row r="541">
      <c r="BF541" t="str">
        <f>IF(AND(OR(PROCESSOS!Q541="NO PRAZO",PROCESSOS!Q541="VENCE EM BREVE"),OR(FiltroResp="TODOS",FiltroResp="",PROCESSOS!I541=FiltroResp)),PROCESSOS!O541+ROW()/1000000,"")</f>
        <v/>
      </c>
      <c r="BG541" t="str">
        <f>IF(AND(PROCESSOS!B541&lt;&gt;"",ISNUMBER(PROCESSOS!D541),OR(FiltroResp="TODOS",FiltroResp="",PROCESSOS!I541=FiltroResp)),PROCESSOS!D541+ROW()/1000000,"")</f>
        <v/>
      </c>
    </row>
    <row r="542">
      <c r="BF542" t="str">
        <f>IF(AND(OR(PROCESSOS!Q542="NO PRAZO",PROCESSOS!Q542="VENCE EM BREVE"),OR(FiltroResp="TODOS",FiltroResp="",PROCESSOS!I542=FiltroResp)),PROCESSOS!O542+ROW()/1000000,"")</f>
        <v/>
      </c>
      <c r="BG542" t="str">
        <f>IF(AND(PROCESSOS!B542&lt;&gt;"",ISNUMBER(PROCESSOS!D542),OR(FiltroResp="TODOS",FiltroResp="",PROCESSOS!I542=FiltroResp)),PROCESSOS!D542+ROW()/1000000,"")</f>
        <v/>
      </c>
    </row>
    <row r="543">
      <c r="BF543" t="str">
        <f>IF(AND(OR(PROCESSOS!Q543="NO PRAZO",PROCESSOS!Q543="VENCE EM BREVE"),OR(FiltroResp="TODOS",FiltroResp="",PROCESSOS!I543=FiltroResp)),PROCESSOS!O543+ROW()/1000000,"")</f>
        <v/>
      </c>
      <c r="BG543" t="str">
        <f>IF(AND(PROCESSOS!B543&lt;&gt;"",ISNUMBER(PROCESSOS!D543),OR(FiltroResp="TODOS",FiltroResp="",PROCESSOS!I543=FiltroResp)),PROCESSOS!D543+ROW()/1000000,"")</f>
        <v/>
      </c>
    </row>
    <row r="544">
      <c r="BF544" t="str">
        <f>IF(AND(OR(PROCESSOS!Q544="NO PRAZO",PROCESSOS!Q544="VENCE EM BREVE"),OR(FiltroResp="TODOS",FiltroResp="",PROCESSOS!I544=FiltroResp)),PROCESSOS!O544+ROW()/1000000,"")</f>
        <v/>
      </c>
      <c r="BG544" t="str">
        <f>IF(AND(PROCESSOS!B544&lt;&gt;"",ISNUMBER(PROCESSOS!D544),OR(FiltroResp="TODOS",FiltroResp="",PROCESSOS!I544=FiltroResp)),PROCESSOS!D544+ROW()/1000000,"")</f>
        <v/>
      </c>
    </row>
    <row r="545">
      <c r="BF545" t="str">
        <f>IF(AND(OR(PROCESSOS!Q545="NO PRAZO",PROCESSOS!Q545="VENCE EM BREVE"),OR(FiltroResp="TODOS",FiltroResp="",PROCESSOS!I545=FiltroResp)),PROCESSOS!O545+ROW()/1000000,"")</f>
        <v/>
      </c>
      <c r="BG545" t="str">
        <f>IF(AND(PROCESSOS!B545&lt;&gt;"",ISNUMBER(PROCESSOS!D545),OR(FiltroResp="TODOS",FiltroResp="",PROCESSOS!I545=FiltroResp)),PROCESSOS!D545+ROW()/1000000,"")</f>
        <v/>
      </c>
    </row>
    <row r="546">
      <c r="BF546" t="str">
        <f>IF(AND(OR(PROCESSOS!Q546="NO PRAZO",PROCESSOS!Q546="VENCE EM BREVE"),OR(FiltroResp="TODOS",FiltroResp="",PROCESSOS!I546=FiltroResp)),PROCESSOS!O546+ROW()/1000000,"")</f>
        <v/>
      </c>
      <c r="BG546" t="str">
        <f>IF(AND(PROCESSOS!B546&lt;&gt;"",ISNUMBER(PROCESSOS!D546),OR(FiltroResp="TODOS",FiltroResp="",PROCESSOS!I546=FiltroResp)),PROCESSOS!D546+ROW()/1000000,"")</f>
        <v/>
      </c>
    </row>
    <row r="547">
      <c r="BF547" t="str">
        <f>IF(AND(OR(PROCESSOS!Q547="NO PRAZO",PROCESSOS!Q547="VENCE EM BREVE"),OR(FiltroResp="TODOS",FiltroResp="",PROCESSOS!I547=FiltroResp)),PROCESSOS!O547+ROW()/1000000,"")</f>
        <v/>
      </c>
      <c r="BG547" t="str">
        <f>IF(AND(PROCESSOS!B547&lt;&gt;"",ISNUMBER(PROCESSOS!D547),OR(FiltroResp="TODOS",FiltroResp="",PROCESSOS!I547=FiltroResp)),PROCESSOS!D547+ROW()/1000000,"")</f>
        <v/>
      </c>
    </row>
    <row r="548">
      <c r="BF548" t="str">
        <f>IF(AND(OR(PROCESSOS!Q548="NO PRAZO",PROCESSOS!Q548="VENCE EM BREVE"),OR(FiltroResp="TODOS",FiltroResp="",PROCESSOS!I548=FiltroResp)),PROCESSOS!O548+ROW()/1000000,"")</f>
        <v/>
      </c>
      <c r="BG548" t="str">
        <f>IF(AND(PROCESSOS!B548&lt;&gt;"",ISNUMBER(PROCESSOS!D548),OR(FiltroResp="TODOS",FiltroResp="",PROCESSOS!I548=FiltroResp)),PROCESSOS!D548+ROW()/1000000,"")</f>
        <v/>
      </c>
    </row>
    <row r="549">
      <c r="BF549" t="str">
        <f>IF(AND(OR(PROCESSOS!Q549="NO PRAZO",PROCESSOS!Q549="VENCE EM BREVE"),OR(FiltroResp="TODOS",FiltroResp="",PROCESSOS!I549=FiltroResp)),PROCESSOS!O549+ROW()/1000000,"")</f>
        <v/>
      </c>
      <c r="BG549" t="str">
        <f>IF(AND(PROCESSOS!B549&lt;&gt;"",ISNUMBER(PROCESSOS!D549),OR(FiltroResp="TODOS",FiltroResp="",PROCESSOS!I549=FiltroResp)),PROCESSOS!D549+ROW()/1000000,"")</f>
        <v/>
      </c>
    </row>
    <row r="550">
      <c r="BF550" t="str">
        <f>IF(AND(OR(PROCESSOS!Q550="NO PRAZO",PROCESSOS!Q550="VENCE EM BREVE"),OR(FiltroResp="TODOS",FiltroResp="",PROCESSOS!I550=FiltroResp)),PROCESSOS!O550+ROW()/1000000,"")</f>
        <v/>
      </c>
      <c r="BG550" t="str">
        <f>IF(AND(PROCESSOS!B550&lt;&gt;"",ISNUMBER(PROCESSOS!D550),OR(FiltroResp="TODOS",FiltroResp="",PROCESSOS!I550=FiltroResp)),PROCESSOS!D550+ROW()/1000000,"")</f>
        <v/>
      </c>
    </row>
    <row r="551">
      <c r="BF551" t="str">
        <f>IF(AND(OR(PROCESSOS!Q551="NO PRAZO",PROCESSOS!Q551="VENCE EM BREVE"),OR(FiltroResp="TODOS",FiltroResp="",PROCESSOS!I551=FiltroResp)),PROCESSOS!O551+ROW()/1000000,"")</f>
        <v/>
      </c>
      <c r="BG551" t="str">
        <f>IF(AND(PROCESSOS!B551&lt;&gt;"",ISNUMBER(PROCESSOS!D551),OR(FiltroResp="TODOS",FiltroResp="",PROCESSOS!I551=FiltroResp)),PROCESSOS!D551+ROW()/1000000,"")</f>
        <v/>
      </c>
    </row>
    <row r="552">
      <c r="BF552" t="str">
        <f>IF(AND(OR(PROCESSOS!Q552="NO PRAZO",PROCESSOS!Q552="VENCE EM BREVE"),OR(FiltroResp="TODOS",FiltroResp="",PROCESSOS!I552=FiltroResp)),PROCESSOS!O552+ROW()/1000000,"")</f>
        <v/>
      </c>
      <c r="BG552" t="str">
        <f>IF(AND(PROCESSOS!B552&lt;&gt;"",ISNUMBER(PROCESSOS!D552),OR(FiltroResp="TODOS",FiltroResp="",PROCESSOS!I552=FiltroResp)),PROCESSOS!D552+ROW()/1000000,"")</f>
        <v/>
      </c>
    </row>
    <row r="553">
      <c r="BF553" t="str">
        <f>IF(AND(OR(PROCESSOS!Q553="NO PRAZO",PROCESSOS!Q553="VENCE EM BREVE"),OR(FiltroResp="TODOS",FiltroResp="",PROCESSOS!I553=FiltroResp)),PROCESSOS!O553+ROW()/1000000,"")</f>
        <v/>
      </c>
      <c r="BG553" t="str">
        <f>IF(AND(PROCESSOS!B553&lt;&gt;"",ISNUMBER(PROCESSOS!D553),OR(FiltroResp="TODOS",FiltroResp="",PROCESSOS!I553=FiltroResp)),PROCESSOS!D553+ROW()/1000000,"")</f>
        <v/>
      </c>
    </row>
    <row r="554">
      <c r="BF554" t="str">
        <f>IF(AND(OR(PROCESSOS!Q554="NO PRAZO",PROCESSOS!Q554="VENCE EM BREVE"),OR(FiltroResp="TODOS",FiltroResp="",PROCESSOS!I554=FiltroResp)),PROCESSOS!O554+ROW()/1000000,"")</f>
        <v/>
      </c>
      <c r="BG554" t="str">
        <f>IF(AND(PROCESSOS!B554&lt;&gt;"",ISNUMBER(PROCESSOS!D554),OR(FiltroResp="TODOS",FiltroResp="",PROCESSOS!I554=FiltroResp)),PROCESSOS!D554+ROW()/1000000,"")</f>
        <v/>
      </c>
    </row>
    <row r="555">
      <c r="BF555" t="str">
        <f>IF(AND(OR(PROCESSOS!Q555="NO PRAZO",PROCESSOS!Q555="VENCE EM BREVE"),OR(FiltroResp="TODOS",FiltroResp="",PROCESSOS!I555=FiltroResp)),PROCESSOS!O555+ROW()/1000000,"")</f>
        <v/>
      </c>
      <c r="BG555" t="str">
        <f>IF(AND(PROCESSOS!B555&lt;&gt;"",ISNUMBER(PROCESSOS!D555),OR(FiltroResp="TODOS",FiltroResp="",PROCESSOS!I555=FiltroResp)),PROCESSOS!D555+ROW()/1000000,"")</f>
        <v/>
      </c>
    </row>
    <row r="556">
      <c r="BF556" t="str">
        <f>IF(AND(OR(PROCESSOS!Q556="NO PRAZO",PROCESSOS!Q556="VENCE EM BREVE"),OR(FiltroResp="TODOS",FiltroResp="",PROCESSOS!I556=FiltroResp)),PROCESSOS!O556+ROW()/1000000,"")</f>
        <v/>
      </c>
      <c r="BG556" t="str">
        <f>IF(AND(PROCESSOS!B556&lt;&gt;"",ISNUMBER(PROCESSOS!D556),OR(FiltroResp="TODOS",FiltroResp="",PROCESSOS!I556=FiltroResp)),PROCESSOS!D556+ROW()/1000000,"")</f>
        <v/>
      </c>
    </row>
    <row r="557">
      <c r="BF557" t="str">
        <f>IF(AND(OR(PROCESSOS!Q557="NO PRAZO",PROCESSOS!Q557="VENCE EM BREVE"),OR(FiltroResp="TODOS",FiltroResp="",PROCESSOS!I557=FiltroResp)),PROCESSOS!O557+ROW()/1000000,"")</f>
        <v/>
      </c>
      <c r="BG557" t="str">
        <f>IF(AND(PROCESSOS!B557&lt;&gt;"",ISNUMBER(PROCESSOS!D557),OR(FiltroResp="TODOS",FiltroResp="",PROCESSOS!I557=FiltroResp)),PROCESSOS!D557+ROW()/1000000,"")</f>
        <v/>
      </c>
    </row>
    <row r="558">
      <c r="BF558" t="str">
        <f>IF(AND(OR(PROCESSOS!Q558="NO PRAZO",PROCESSOS!Q558="VENCE EM BREVE"),OR(FiltroResp="TODOS",FiltroResp="",PROCESSOS!I558=FiltroResp)),PROCESSOS!O558+ROW()/1000000,"")</f>
        <v/>
      </c>
      <c r="BG558" t="str">
        <f>IF(AND(PROCESSOS!B558&lt;&gt;"",ISNUMBER(PROCESSOS!D558),OR(FiltroResp="TODOS",FiltroResp="",PROCESSOS!I558=FiltroResp)),PROCESSOS!D558+ROW()/1000000,"")</f>
        <v/>
      </c>
    </row>
    <row r="559">
      <c r="BF559" t="str">
        <f>IF(AND(OR(PROCESSOS!Q559="NO PRAZO",PROCESSOS!Q559="VENCE EM BREVE"),OR(FiltroResp="TODOS",FiltroResp="",PROCESSOS!I559=FiltroResp)),PROCESSOS!O559+ROW()/1000000,"")</f>
        <v/>
      </c>
      <c r="BG559" t="str">
        <f>IF(AND(PROCESSOS!B559&lt;&gt;"",ISNUMBER(PROCESSOS!D559),OR(FiltroResp="TODOS",FiltroResp="",PROCESSOS!I559=FiltroResp)),PROCESSOS!D559+ROW()/1000000,"")</f>
        <v/>
      </c>
    </row>
    <row r="560">
      <c r="BF560" t="str">
        <f>IF(AND(OR(PROCESSOS!Q560="NO PRAZO",PROCESSOS!Q560="VENCE EM BREVE"),OR(FiltroResp="TODOS",FiltroResp="",PROCESSOS!I560=FiltroResp)),PROCESSOS!O560+ROW()/1000000,"")</f>
        <v/>
      </c>
      <c r="BG560" t="str">
        <f>IF(AND(PROCESSOS!B560&lt;&gt;"",ISNUMBER(PROCESSOS!D560),OR(FiltroResp="TODOS",FiltroResp="",PROCESSOS!I560=FiltroResp)),PROCESSOS!D560+ROW()/1000000,"")</f>
        <v/>
      </c>
    </row>
    <row r="561">
      <c r="BF561" t="str">
        <f>IF(AND(OR(PROCESSOS!Q561="NO PRAZO",PROCESSOS!Q561="VENCE EM BREVE"),OR(FiltroResp="TODOS",FiltroResp="",PROCESSOS!I561=FiltroResp)),PROCESSOS!O561+ROW()/1000000,"")</f>
        <v/>
      </c>
      <c r="BG561" t="str">
        <f>IF(AND(PROCESSOS!B561&lt;&gt;"",ISNUMBER(PROCESSOS!D561),OR(FiltroResp="TODOS",FiltroResp="",PROCESSOS!I561=FiltroResp)),PROCESSOS!D561+ROW()/1000000,"")</f>
        <v/>
      </c>
    </row>
    <row r="562">
      <c r="BF562" t="str">
        <f>IF(AND(OR(PROCESSOS!Q562="NO PRAZO",PROCESSOS!Q562="VENCE EM BREVE"),OR(FiltroResp="TODOS",FiltroResp="",PROCESSOS!I562=FiltroResp)),PROCESSOS!O562+ROW()/1000000,"")</f>
        <v/>
      </c>
      <c r="BG562" t="str">
        <f>IF(AND(PROCESSOS!B562&lt;&gt;"",ISNUMBER(PROCESSOS!D562),OR(FiltroResp="TODOS",FiltroResp="",PROCESSOS!I562=FiltroResp)),PROCESSOS!D562+ROW()/1000000,"")</f>
        <v/>
      </c>
    </row>
    <row r="563">
      <c r="BF563" t="str">
        <f>IF(AND(OR(PROCESSOS!Q563="NO PRAZO",PROCESSOS!Q563="VENCE EM BREVE"),OR(FiltroResp="TODOS",FiltroResp="",PROCESSOS!I563=FiltroResp)),PROCESSOS!O563+ROW()/1000000,"")</f>
        <v/>
      </c>
      <c r="BG563" t="str">
        <f>IF(AND(PROCESSOS!B563&lt;&gt;"",ISNUMBER(PROCESSOS!D563),OR(FiltroResp="TODOS",FiltroResp="",PROCESSOS!I563=FiltroResp)),PROCESSOS!D563+ROW()/1000000,"")</f>
        <v/>
      </c>
    </row>
    <row r="564">
      <c r="BF564" t="str">
        <f>IF(AND(OR(PROCESSOS!Q564="NO PRAZO",PROCESSOS!Q564="VENCE EM BREVE"),OR(FiltroResp="TODOS",FiltroResp="",PROCESSOS!I564=FiltroResp)),PROCESSOS!O564+ROW()/1000000,"")</f>
        <v/>
      </c>
      <c r="BG564" t="str">
        <f>IF(AND(PROCESSOS!B564&lt;&gt;"",ISNUMBER(PROCESSOS!D564),OR(FiltroResp="TODOS",FiltroResp="",PROCESSOS!I564=FiltroResp)),PROCESSOS!D564+ROW()/1000000,"")</f>
        <v/>
      </c>
    </row>
    <row r="565">
      <c r="BF565" t="str">
        <f>IF(AND(OR(PROCESSOS!Q565="NO PRAZO",PROCESSOS!Q565="VENCE EM BREVE"),OR(FiltroResp="TODOS",FiltroResp="",PROCESSOS!I565=FiltroResp)),PROCESSOS!O565+ROW()/1000000,"")</f>
        <v/>
      </c>
      <c r="BG565" t="str">
        <f>IF(AND(PROCESSOS!B565&lt;&gt;"",ISNUMBER(PROCESSOS!D565),OR(FiltroResp="TODOS",FiltroResp="",PROCESSOS!I565=FiltroResp)),PROCESSOS!D565+ROW()/1000000,"")</f>
        <v/>
      </c>
    </row>
    <row r="566">
      <c r="BF566" t="str">
        <f>IF(AND(OR(PROCESSOS!Q566="NO PRAZO",PROCESSOS!Q566="VENCE EM BREVE"),OR(FiltroResp="TODOS",FiltroResp="",PROCESSOS!I566=FiltroResp)),PROCESSOS!O566+ROW()/1000000,"")</f>
        <v/>
      </c>
      <c r="BG566" t="str">
        <f>IF(AND(PROCESSOS!B566&lt;&gt;"",ISNUMBER(PROCESSOS!D566),OR(FiltroResp="TODOS",FiltroResp="",PROCESSOS!I566=FiltroResp)),PROCESSOS!D566+ROW()/1000000,"")</f>
        <v/>
      </c>
    </row>
    <row r="567">
      <c r="BF567" t="str">
        <f>IF(AND(OR(PROCESSOS!Q567="NO PRAZO",PROCESSOS!Q567="VENCE EM BREVE"),OR(FiltroResp="TODOS",FiltroResp="",PROCESSOS!I567=FiltroResp)),PROCESSOS!O567+ROW()/1000000,"")</f>
        <v/>
      </c>
      <c r="BG567" t="str">
        <f>IF(AND(PROCESSOS!B567&lt;&gt;"",ISNUMBER(PROCESSOS!D567),OR(FiltroResp="TODOS",FiltroResp="",PROCESSOS!I567=FiltroResp)),PROCESSOS!D567+ROW()/1000000,"")</f>
        <v/>
      </c>
    </row>
    <row r="568">
      <c r="BF568" t="str">
        <f>IF(AND(OR(PROCESSOS!Q568="NO PRAZO",PROCESSOS!Q568="VENCE EM BREVE"),OR(FiltroResp="TODOS",FiltroResp="",PROCESSOS!I568=FiltroResp)),PROCESSOS!O568+ROW()/1000000,"")</f>
        <v/>
      </c>
      <c r="BG568" t="str">
        <f>IF(AND(PROCESSOS!B568&lt;&gt;"",ISNUMBER(PROCESSOS!D568),OR(FiltroResp="TODOS",FiltroResp="",PROCESSOS!I568=FiltroResp)),PROCESSOS!D568+ROW()/1000000,"")</f>
        <v/>
      </c>
    </row>
    <row r="569">
      <c r="BF569" t="str">
        <f>IF(AND(OR(PROCESSOS!Q569="NO PRAZO",PROCESSOS!Q569="VENCE EM BREVE"),OR(FiltroResp="TODOS",FiltroResp="",PROCESSOS!I569=FiltroResp)),PROCESSOS!O569+ROW()/1000000,"")</f>
        <v/>
      </c>
      <c r="BG569" t="str">
        <f>IF(AND(PROCESSOS!B569&lt;&gt;"",ISNUMBER(PROCESSOS!D569),OR(FiltroResp="TODOS",FiltroResp="",PROCESSOS!I569=FiltroResp)),PROCESSOS!D569+ROW()/1000000,"")</f>
        <v/>
      </c>
    </row>
    <row r="570">
      <c r="BF570" t="str">
        <f>IF(AND(OR(PROCESSOS!Q570="NO PRAZO",PROCESSOS!Q570="VENCE EM BREVE"),OR(FiltroResp="TODOS",FiltroResp="",PROCESSOS!I570=FiltroResp)),PROCESSOS!O570+ROW()/1000000,"")</f>
        <v/>
      </c>
      <c r="BG570" t="str">
        <f>IF(AND(PROCESSOS!B570&lt;&gt;"",ISNUMBER(PROCESSOS!D570),OR(FiltroResp="TODOS",FiltroResp="",PROCESSOS!I570=FiltroResp)),PROCESSOS!D570+ROW()/1000000,"")</f>
        <v/>
      </c>
    </row>
    <row r="571">
      <c r="BF571" t="str">
        <f>IF(AND(OR(PROCESSOS!Q571="NO PRAZO",PROCESSOS!Q571="VENCE EM BREVE"),OR(FiltroResp="TODOS",FiltroResp="",PROCESSOS!I571=FiltroResp)),PROCESSOS!O571+ROW()/1000000,"")</f>
        <v/>
      </c>
      <c r="BG571" t="str">
        <f>IF(AND(PROCESSOS!B571&lt;&gt;"",ISNUMBER(PROCESSOS!D571),OR(FiltroResp="TODOS",FiltroResp="",PROCESSOS!I571=FiltroResp)),PROCESSOS!D571+ROW()/1000000,"")</f>
        <v/>
      </c>
    </row>
    <row r="572">
      <c r="BF572" t="str">
        <f>IF(AND(OR(PROCESSOS!Q572="NO PRAZO",PROCESSOS!Q572="VENCE EM BREVE"),OR(FiltroResp="TODOS",FiltroResp="",PROCESSOS!I572=FiltroResp)),PROCESSOS!O572+ROW()/1000000,"")</f>
        <v/>
      </c>
      <c r="BG572" t="str">
        <f>IF(AND(PROCESSOS!B572&lt;&gt;"",ISNUMBER(PROCESSOS!D572),OR(FiltroResp="TODOS",FiltroResp="",PROCESSOS!I572=FiltroResp)),PROCESSOS!D572+ROW()/1000000,"")</f>
        <v/>
      </c>
    </row>
    <row r="573">
      <c r="BF573" t="str">
        <f>IF(AND(OR(PROCESSOS!Q573="NO PRAZO",PROCESSOS!Q573="VENCE EM BREVE"),OR(FiltroResp="TODOS",FiltroResp="",PROCESSOS!I573=FiltroResp)),PROCESSOS!O573+ROW()/1000000,"")</f>
        <v/>
      </c>
      <c r="BG573" t="str">
        <f>IF(AND(PROCESSOS!B573&lt;&gt;"",ISNUMBER(PROCESSOS!D573),OR(FiltroResp="TODOS",FiltroResp="",PROCESSOS!I573=FiltroResp)),PROCESSOS!D573+ROW()/1000000,"")</f>
        <v/>
      </c>
    </row>
    <row r="574">
      <c r="BF574" t="str">
        <f>IF(AND(OR(PROCESSOS!Q574="NO PRAZO",PROCESSOS!Q574="VENCE EM BREVE"),OR(FiltroResp="TODOS",FiltroResp="",PROCESSOS!I574=FiltroResp)),PROCESSOS!O574+ROW()/1000000,"")</f>
        <v/>
      </c>
      <c r="BG574" t="str">
        <f>IF(AND(PROCESSOS!B574&lt;&gt;"",ISNUMBER(PROCESSOS!D574),OR(FiltroResp="TODOS",FiltroResp="",PROCESSOS!I574=FiltroResp)),PROCESSOS!D574+ROW()/1000000,"")</f>
        <v/>
      </c>
    </row>
    <row r="575">
      <c r="BF575" t="str">
        <f>IF(AND(OR(PROCESSOS!Q575="NO PRAZO",PROCESSOS!Q575="VENCE EM BREVE"),OR(FiltroResp="TODOS",FiltroResp="",PROCESSOS!I575=FiltroResp)),PROCESSOS!O575+ROW()/1000000,"")</f>
        <v/>
      </c>
      <c r="BG575" t="str">
        <f>IF(AND(PROCESSOS!B575&lt;&gt;"",ISNUMBER(PROCESSOS!D575),OR(FiltroResp="TODOS",FiltroResp="",PROCESSOS!I575=FiltroResp)),PROCESSOS!D575+ROW()/1000000,"")</f>
        <v/>
      </c>
    </row>
    <row r="576">
      <c r="BF576" t="str">
        <f>IF(AND(OR(PROCESSOS!Q576="NO PRAZO",PROCESSOS!Q576="VENCE EM BREVE"),OR(FiltroResp="TODOS",FiltroResp="",PROCESSOS!I576=FiltroResp)),PROCESSOS!O576+ROW()/1000000,"")</f>
        <v/>
      </c>
      <c r="BG576" t="str">
        <f>IF(AND(PROCESSOS!B576&lt;&gt;"",ISNUMBER(PROCESSOS!D576),OR(FiltroResp="TODOS",FiltroResp="",PROCESSOS!I576=FiltroResp)),PROCESSOS!D576+ROW()/1000000,"")</f>
        <v/>
      </c>
    </row>
    <row r="577">
      <c r="BF577" t="str">
        <f>IF(AND(OR(PROCESSOS!Q577="NO PRAZO",PROCESSOS!Q577="VENCE EM BREVE"),OR(FiltroResp="TODOS",FiltroResp="",PROCESSOS!I577=FiltroResp)),PROCESSOS!O577+ROW()/1000000,"")</f>
        <v/>
      </c>
      <c r="BG577" t="str">
        <f>IF(AND(PROCESSOS!B577&lt;&gt;"",ISNUMBER(PROCESSOS!D577),OR(FiltroResp="TODOS",FiltroResp="",PROCESSOS!I577=FiltroResp)),PROCESSOS!D577+ROW()/1000000,"")</f>
        <v/>
      </c>
    </row>
    <row r="578">
      <c r="BF578" t="str">
        <f>IF(AND(OR(PROCESSOS!Q578="NO PRAZO",PROCESSOS!Q578="VENCE EM BREVE"),OR(FiltroResp="TODOS",FiltroResp="",PROCESSOS!I578=FiltroResp)),PROCESSOS!O578+ROW()/1000000,"")</f>
        <v/>
      </c>
      <c r="BG578" t="str">
        <f>IF(AND(PROCESSOS!B578&lt;&gt;"",ISNUMBER(PROCESSOS!D578),OR(FiltroResp="TODOS",FiltroResp="",PROCESSOS!I578=FiltroResp)),PROCESSOS!D578+ROW()/1000000,"")</f>
        <v/>
      </c>
    </row>
    <row r="579">
      <c r="BF579" t="str">
        <f>IF(AND(OR(PROCESSOS!Q579="NO PRAZO",PROCESSOS!Q579="VENCE EM BREVE"),OR(FiltroResp="TODOS",FiltroResp="",PROCESSOS!I579=FiltroResp)),PROCESSOS!O579+ROW()/1000000,"")</f>
        <v/>
      </c>
      <c r="BG579" t="str">
        <f>IF(AND(PROCESSOS!B579&lt;&gt;"",ISNUMBER(PROCESSOS!D579),OR(FiltroResp="TODOS",FiltroResp="",PROCESSOS!I579=FiltroResp)),PROCESSOS!D579+ROW()/1000000,"")</f>
        <v/>
      </c>
    </row>
    <row r="580">
      <c r="BF580" t="str">
        <f>IF(AND(OR(PROCESSOS!Q580="NO PRAZO",PROCESSOS!Q580="VENCE EM BREVE"),OR(FiltroResp="TODOS",FiltroResp="",PROCESSOS!I580=FiltroResp)),PROCESSOS!O580+ROW()/1000000,"")</f>
        <v/>
      </c>
      <c r="BG580" t="str">
        <f>IF(AND(PROCESSOS!B580&lt;&gt;"",ISNUMBER(PROCESSOS!D580),OR(FiltroResp="TODOS",FiltroResp="",PROCESSOS!I580=FiltroResp)),PROCESSOS!D580+ROW()/1000000,"")</f>
        <v/>
      </c>
    </row>
    <row r="581">
      <c r="BF581" t="str">
        <f>IF(AND(OR(PROCESSOS!Q581="NO PRAZO",PROCESSOS!Q581="VENCE EM BREVE"),OR(FiltroResp="TODOS",FiltroResp="",PROCESSOS!I581=FiltroResp)),PROCESSOS!O581+ROW()/1000000,"")</f>
        <v/>
      </c>
      <c r="BG581" t="str">
        <f>IF(AND(PROCESSOS!B581&lt;&gt;"",ISNUMBER(PROCESSOS!D581),OR(FiltroResp="TODOS",FiltroResp="",PROCESSOS!I581=FiltroResp)),PROCESSOS!D581+ROW()/1000000,"")</f>
        <v/>
      </c>
    </row>
    <row r="582">
      <c r="BF582" t="str">
        <f>IF(AND(OR(PROCESSOS!Q582="NO PRAZO",PROCESSOS!Q582="VENCE EM BREVE"),OR(FiltroResp="TODOS",FiltroResp="",PROCESSOS!I582=FiltroResp)),PROCESSOS!O582+ROW()/1000000,"")</f>
        <v/>
      </c>
      <c r="BG582" t="str">
        <f>IF(AND(PROCESSOS!B582&lt;&gt;"",ISNUMBER(PROCESSOS!D582),OR(FiltroResp="TODOS",FiltroResp="",PROCESSOS!I582=FiltroResp)),PROCESSOS!D582+ROW()/1000000,"")</f>
        <v/>
      </c>
    </row>
    <row r="583">
      <c r="BF583" t="str">
        <f>IF(AND(OR(PROCESSOS!Q583="NO PRAZO",PROCESSOS!Q583="VENCE EM BREVE"),OR(FiltroResp="TODOS",FiltroResp="",PROCESSOS!I583=FiltroResp)),PROCESSOS!O583+ROW()/1000000,"")</f>
        <v/>
      </c>
      <c r="BG583" t="str">
        <f>IF(AND(PROCESSOS!B583&lt;&gt;"",ISNUMBER(PROCESSOS!D583),OR(FiltroResp="TODOS",FiltroResp="",PROCESSOS!I583=FiltroResp)),PROCESSOS!D583+ROW()/1000000,"")</f>
        <v/>
      </c>
    </row>
    <row r="584">
      <c r="BF584" t="str">
        <f>IF(AND(OR(PROCESSOS!Q584="NO PRAZO",PROCESSOS!Q584="VENCE EM BREVE"),OR(FiltroResp="TODOS",FiltroResp="",PROCESSOS!I584=FiltroResp)),PROCESSOS!O584+ROW()/1000000,"")</f>
        <v/>
      </c>
      <c r="BG584" t="str">
        <f>IF(AND(PROCESSOS!B584&lt;&gt;"",ISNUMBER(PROCESSOS!D584),OR(FiltroResp="TODOS",FiltroResp="",PROCESSOS!I584=FiltroResp)),PROCESSOS!D584+ROW()/1000000,"")</f>
        <v/>
      </c>
    </row>
    <row r="585">
      <c r="BF585" t="str">
        <f>IF(AND(OR(PROCESSOS!Q585="NO PRAZO",PROCESSOS!Q585="VENCE EM BREVE"),OR(FiltroResp="TODOS",FiltroResp="",PROCESSOS!I585=FiltroResp)),PROCESSOS!O585+ROW()/1000000,"")</f>
        <v/>
      </c>
      <c r="BG585" t="str">
        <f>IF(AND(PROCESSOS!B585&lt;&gt;"",ISNUMBER(PROCESSOS!D585),OR(FiltroResp="TODOS",FiltroResp="",PROCESSOS!I585=FiltroResp)),PROCESSOS!D585+ROW()/1000000,"")</f>
        <v/>
      </c>
    </row>
    <row r="586">
      <c r="BF586" t="str">
        <f>IF(AND(OR(PROCESSOS!Q586="NO PRAZO",PROCESSOS!Q586="VENCE EM BREVE"),OR(FiltroResp="TODOS",FiltroResp="",PROCESSOS!I586=FiltroResp)),PROCESSOS!O586+ROW()/1000000,"")</f>
        <v/>
      </c>
      <c r="BG586" t="str">
        <f>IF(AND(PROCESSOS!B586&lt;&gt;"",ISNUMBER(PROCESSOS!D586),OR(FiltroResp="TODOS",FiltroResp="",PROCESSOS!I586=FiltroResp)),PROCESSOS!D586+ROW()/1000000,"")</f>
        <v/>
      </c>
    </row>
    <row r="587">
      <c r="BF587" t="str">
        <f>IF(AND(OR(PROCESSOS!Q587="NO PRAZO",PROCESSOS!Q587="VENCE EM BREVE"),OR(FiltroResp="TODOS",FiltroResp="",PROCESSOS!I587=FiltroResp)),PROCESSOS!O587+ROW()/1000000,"")</f>
        <v/>
      </c>
      <c r="BG587" t="str">
        <f>IF(AND(PROCESSOS!B587&lt;&gt;"",ISNUMBER(PROCESSOS!D587),OR(FiltroResp="TODOS",FiltroResp="",PROCESSOS!I587=FiltroResp)),PROCESSOS!D587+ROW()/1000000,"")</f>
        <v/>
      </c>
    </row>
    <row r="588">
      <c r="BF588" t="str">
        <f>IF(AND(OR(PROCESSOS!Q588="NO PRAZO",PROCESSOS!Q588="VENCE EM BREVE"),OR(FiltroResp="TODOS",FiltroResp="",PROCESSOS!I588=FiltroResp)),PROCESSOS!O588+ROW()/1000000,"")</f>
        <v/>
      </c>
      <c r="BG588" t="str">
        <f>IF(AND(PROCESSOS!B588&lt;&gt;"",ISNUMBER(PROCESSOS!D588),OR(FiltroResp="TODOS",FiltroResp="",PROCESSOS!I588=FiltroResp)),PROCESSOS!D588+ROW()/1000000,"")</f>
        <v/>
      </c>
    </row>
    <row r="589">
      <c r="BF589" t="str">
        <f>IF(AND(OR(PROCESSOS!Q589="NO PRAZO",PROCESSOS!Q589="VENCE EM BREVE"),OR(FiltroResp="TODOS",FiltroResp="",PROCESSOS!I589=FiltroResp)),PROCESSOS!O589+ROW()/1000000,"")</f>
        <v/>
      </c>
      <c r="BG589" t="str">
        <f>IF(AND(PROCESSOS!B589&lt;&gt;"",ISNUMBER(PROCESSOS!D589),OR(FiltroResp="TODOS",FiltroResp="",PROCESSOS!I589=FiltroResp)),PROCESSOS!D589+ROW()/1000000,"")</f>
        <v/>
      </c>
    </row>
    <row r="590">
      <c r="BF590" t="str">
        <f>IF(AND(OR(PROCESSOS!Q590="NO PRAZO",PROCESSOS!Q590="VENCE EM BREVE"),OR(FiltroResp="TODOS",FiltroResp="",PROCESSOS!I590=FiltroResp)),PROCESSOS!O590+ROW()/1000000,"")</f>
        <v/>
      </c>
      <c r="BG590" t="str">
        <f>IF(AND(PROCESSOS!B590&lt;&gt;"",ISNUMBER(PROCESSOS!D590),OR(FiltroResp="TODOS",FiltroResp="",PROCESSOS!I590=FiltroResp)),PROCESSOS!D590+ROW()/1000000,"")</f>
        <v/>
      </c>
    </row>
    <row r="591">
      <c r="BF591" t="str">
        <f>IF(AND(OR(PROCESSOS!Q591="NO PRAZO",PROCESSOS!Q591="VENCE EM BREVE"),OR(FiltroResp="TODOS",FiltroResp="",PROCESSOS!I591=FiltroResp)),PROCESSOS!O591+ROW()/1000000,"")</f>
        <v/>
      </c>
      <c r="BG591" t="str">
        <f>IF(AND(PROCESSOS!B591&lt;&gt;"",ISNUMBER(PROCESSOS!D591),OR(FiltroResp="TODOS",FiltroResp="",PROCESSOS!I591=FiltroResp)),PROCESSOS!D591+ROW()/1000000,"")</f>
        <v/>
      </c>
    </row>
    <row r="592">
      <c r="BF592" t="str">
        <f>IF(AND(OR(PROCESSOS!Q592="NO PRAZO",PROCESSOS!Q592="VENCE EM BREVE"),OR(FiltroResp="TODOS",FiltroResp="",PROCESSOS!I592=FiltroResp)),PROCESSOS!O592+ROW()/1000000,"")</f>
        <v/>
      </c>
      <c r="BG592" t="str">
        <f>IF(AND(PROCESSOS!B592&lt;&gt;"",ISNUMBER(PROCESSOS!D592),OR(FiltroResp="TODOS",FiltroResp="",PROCESSOS!I592=FiltroResp)),PROCESSOS!D592+ROW()/1000000,"")</f>
        <v/>
      </c>
    </row>
    <row r="593">
      <c r="BF593" t="str">
        <f>IF(AND(OR(PROCESSOS!Q593="NO PRAZO",PROCESSOS!Q593="VENCE EM BREVE"),OR(FiltroResp="TODOS",FiltroResp="",PROCESSOS!I593=FiltroResp)),PROCESSOS!O593+ROW()/1000000,"")</f>
        <v/>
      </c>
      <c r="BG593" t="str">
        <f>IF(AND(PROCESSOS!B593&lt;&gt;"",ISNUMBER(PROCESSOS!D593),OR(FiltroResp="TODOS",FiltroResp="",PROCESSOS!I593=FiltroResp)),PROCESSOS!D593+ROW()/1000000,"")</f>
        <v/>
      </c>
    </row>
    <row r="594">
      <c r="BF594" t="str">
        <f>IF(AND(OR(PROCESSOS!Q594="NO PRAZO",PROCESSOS!Q594="VENCE EM BREVE"),OR(FiltroResp="TODOS",FiltroResp="",PROCESSOS!I594=FiltroResp)),PROCESSOS!O594+ROW()/1000000,"")</f>
        <v/>
      </c>
      <c r="BG594" t="str">
        <f>IF(AND(PROCESSOS!B594&lt;&gt;"",ISNUMBER(PROCESSOS!D594),OR(FiltroResp="TODOS",FiltroResp="",PROCESSOS!I594=FiltroResp)),PROCESSOS!D594+ROW()/1000000,"")</f>
        <v/>
      </c>
    </row>
    <row r="595">
      <c r="BF595" t="str">
        <f>IF(AND(OR(PROCESSOS!Q595="NO PRAZO",PROCESSOS!Q595="VENCE EM BREVE"),OR(FiltroResp="TODOS",FiltroResp="",PROCESSOS!I595=FiltroResp)),PROCESSOS!O595+ROW()/1000000,"")</f>
        <v/>
      </c>
      <c r="BG595" t="str">
        <f>IF(AND(PROCESSOS!B595&lt;&gt;"",ISNUMBER(PROCESSOS!D595),OR(FiltroResp="TODOS",FiltroResp="",PROCESSOS!I595=FiltroResp)),PROCESSOS!D595+ROW()/1000000,"")</f>
        <v/>
      </c>
    </row>
    <row r="596">
      <c r="BF596" t="str">
        <f>IF(AND(OR(PROCESSOS!Q596="NO PRAZO",PROCESSOS!Q596="VENCE EM BREVE"),OR(FiltroResp="TODOS",FiltroResp="",PROCESSOS!I596=FiltroResp)),PROCESSOS!O596+ROW()/1000000,"")</f>
        <v/>
      </c>
      <c r="BG596" t="str">
        <f>IF(AND(PROCESSOS!B596&lt;&gt;"",ISNUMBER(PROCESSOS!D596),OR(FiltroResp="TODOS",FiltroResp="",PROCESSOS!I596=FiltroResp)),PROCESSOS!D596+ROW()/1000000,"")</f>
        <v/>
      </c>
    </row>
    <row r="597">
      <c r="BF597" t="str">
        <f>IF(AND(OR(PROCESSOS!Q597="NO PRAZO",PROCESSOS!Q597="VENCE EM BREVE"),OR(FiltroResp="TODOS",FiltroResp="",PROCESSOS!I597=FiltroResp)),PROCESSOS!O597+ROW()/1000000,"")</f>
        <v/>
      </c>
      <c r="BG597" t="str">
        <f>IF(AND(PROCESSOS!B597&lt;&gt;"",ISNUMBER(PROCESSOS!D597),OR(FiltroResp="TODOS",FiltroResp="",PROCESSOS!I597=FiltroResp)),PROCESSOS!D597+ROW()/1000000,"")</f>
        <v/>
      </c>
    </row>
    <row r="598">
      <c r="BF598" t="str">
        <f>IF(AND(OR(PROCESSOS!Q598="NO PRAZO",PROCESSOS!Q598="VENCE EM BREVE"),OR(FiltroResp="TODOS",FiltroResp="",PROCESSOS!I598=FiltroResp)),PROCESSOS!O598+ROW()/1000000,"")</f>
        <v/>
      </c>
      <c r="BG598" t="str">
        <f>IF(AND(PROCESSOS!B598&lt;&gt;"",ISNUMBER(PROCESSOS!D598),OR(FiltroResp="TODOS",FiltroResp="",PROCESSOS!I598=FiltroResp)),PROCESSOS!D598+ROW()/1000000,"")</f>
        <v/>
      </c>
    </row>
    <row r="599">
      <c r="BF599" t="str">
        <f>IF(AND(OR(PROCESSOS!Q599="NO PRAZO",PROCESSOS!Q599="VENCE EM BREVE"),OR(FiltroResp="TODOS",FiltroResp="",PROCESSOS!I599=FiltroResp)),PROCESSOS!O599+ROW()/1000000,"")</f>
        <v/>
      </c>
      <c r="BG599" t="str">
        <f>IF(AND(PROCESSOS!B599&lt;&gt;"",ISNUMBER(PROCESSOS!D599),OR(FiltroResp="TODOS",FiltroResp="",PROCESSOS!I599=FiltroResp)),PROCESSOS!D599+ROW()/1000000,"")</f>
        <v/>
      </c>
    </row>
    <row r="600">
      <c r="BF600" t="str">
        <f>IF(AND(OR(PROCESSOS!Q600="NO PRAZO",PROCESSOS!Q600="VENCE EM BREVE"),OR(FiltroResp="TODOS",FiltroResp="",PROCESSOS!I600=FiltroResp)),PROCESSOS!O600+ROW()/1000000,"")</f>
        <v/>
      </c>
      <c r="BG600" t="str">
        <f>IF(AND(PROCESSOS!B600&lt;&gt;"",ISNUMBER(PROCESSOS!D600),OR(FiltroResp="TODOS",FiltroResp="",PROCESSOS!I600=FiltroResp)),PROCESSOS!D600+ROW()/1000000,"")</f>
        <v/>
      </c>
    </row>
    <row r="601">
      <c r="BF601" t="str">
        <f>IF(AND(OR(PROCESSOS!Q601="NO PRAZO",PROCESSOS!Q601="VENCE EM BREVE"),OR(FiltroResp="TODOS",FiltroResp="",PROCESSOS!I601=FiltroResp)),PROCESSOS!O601+ROW()/1000000,"")</f>
        <v/>
      </c>
      <c r="BG601" t="str">
        <f>IF(AND(PROCESSOS!B601&lt;&gt;"",ISNUMBER(PROCESSOS!D601),OR(FiltroResp="TODOS",FiltroResp="",PROCESSOS!I601=FiltroResp)),PROCESSOS!D601+ROW()/1000000,"")</f>
        <v/>
      </c>
    </row>
    <row r="602">
      <c r="BF602" t="str">
        <f>IF(AND(OR(PROCESSOS!Q602="NO PRAZO",PROCESSOS!Q602="VENCE EM BREVE"),OR(FiltroResp="TODOS",FiltroResp="",PROCESSOS!I602=FiltroResp)),PROCESSOS!O602+ROW()/1000000,"")</f>
        <v/>
      </c>
      <c r="BG602" t="str">
        <f>IF(AND(PROCESSOS!B602&lt;&gt;"",ISNUMBER(PROCESSOS!D602),OR(FiltroResp="TODOS",FiltroResp="",PROCESSOS!I602=FiltroResp)),PROCESSOS!D602+ROW()/1000000,"")</f>
        <v/>
      </c>
    </row>
    <row r="603">
      <c r="BF603" t="str">
        <f>IF(AND(OR(PROCESSOS!Q603="NO PRAZO",PROCESSOS!Q603="VENCE EM BREVE"),OR(FiltroResp="TODOS",FiltroResp="",PROCESSOS!I603=FiltroResp)),PROCESSOS!O603+ROW()/1000000,"")</f>
        <v/>
      </c>
      <c r="BG603" t="str">
        <f>IF(AND(PROCESSOS!B603&lt;&gt;"",ISNUMBER(PROCESSOS!D603),OR(FiltroResp="TODOS",FiltroResp="",PROCESSOS!I603=FiltroResp)),PROCESSOS!D603+ROW()/1000000,"")</f>
        <v/>
      </c>
    </row>
    <row r="604">
      <c r="BF604" t="str">
        <f>IF(AND(OR(PROCESSOS!Q604="NO PRAZO",PROCESSOS!Q604="VENCE EM BREVE"),OR(FiltroResp="TODOS",FiltroResp="",PROCESSOS!I604=FiltroResp)),PROCESSOS!O604+ROW()/1000000,"")</f>
        <v/>
      </c>
      <c r="BG604" t="str">
        <f>IF(AND(PROCESSOS!B604&lt;&gt;"",ISNUMBER(PROCESSOS!D604),OR(FiltroResp="TODOS",FiltroResp="",PROCESSOS!I604=FiltroResp)),PROCESSOS!D604+ROW()/1000000,"")</f>
        <v/>
      </c>
    </row>
    <row r="605">
      <c r="BF605" t="str">
        <f>IF(AND(OR(PROCESSOS!Q605="NO PRAZO",PROCESSOS!Q605="VENCE EM BREVE"),OR(FiltroResp="TODOS",FiltroResp="",PROCESSOS!I605=FiltroResp)),PROCESSOS!O605+ROW()/1000000,"")</f>
        <v/>
      </c>
      <c r="BG605" t="str">
        <f>IF(AND(PROCESSOS!B605&lt;&gt;"",ISNUMBER(PROCESSOS!D605),OR(FiltroResp="TODOS",FiltroResp="",PROCESSOS!I605=FiltroResp)),PROCESSOS!D605+ROW()/1000000,"")</f>
        <v/>
      </c>
    </row>
    <row r="606">
      <c r="BF606" t="str">
        <f>IF(AND(OR(PROCESSOS!Q606="NO PRAZO",PROCESSOS!Q606="VENCE EM BREVE"),OR(FiltroResp="TODOS",FiltroResp="",PROCESSOS!I606=FiltroResp)),PROCESSOS!O606+ROW()/1000000,"")</f>
        <v/>
      </c>
      <c r="BG606" t="str">
        <f>IF(AND(PROCESSOS!B606&lt;&gt;"",ISNUMBER(PROCESSOS!D606),OR(FiltroResp="TODOS",FiltroResp="",PROCESSOS!I606=FiltroResp)),PROCESSOS!D606+ROW()/1000000,"")</f>
        <v/>
      </c>
    </row>
    <row r="607">
      <c r="BF607" t="str">
        <f>IF(AND(OR(PROCESSOS!Q607="NO PRAZO",PROCESSOS!Q607="VENCE EM BREVE"),OR(FiltroResp="TODOS",FiltroResp="",PROCESSOS!I607=FiltroResp)),PROCESSOS!O607+ROW()/1000000,"")</f>
        <v/>
      </c>
      <c r="BG607" t="str">
        <f>IF(AND(PROCESSOS!B607&lt;&gt;"",ISNUMBER(PROCESSOS!D607),OR(FiltroResp="TODOS",FiltroResp="",PROCESSOS!I607=FiltroResp)),PROCESSOS!D607+ROW()/1000000,"")</f>
        <v/>
      </c>
    </row>
    <row r="608">
      <c r="BF608" t="str">
        <f>IF(AND(OR(PROCESSOS!Q608="NO PRAZO",PROCESSOS!Q608="VENCE EM BREVE"),OR(FiltroResp="TODOS",FiltroResp="",PROCESSOS!I608=FiltroResp)),PROCESSOS!O608+ROW()/1000000,"")</f>
        <v/>
      </c>
      <c r="BG608" t="str">
        <f>IF(AND(PROCESSOS!B608&lt;&gt;"",ISNUMBER(PROCESSOS!D608),OR(FiltroResp="TODOS",FiltroResp="",PROCESSOS!I608=FiltroResp)),PROCESSOS!D608+ROW()/1000000,"")</f>
        <v/>
      </c>
    </row>
    <row r="609">
      <c r="BF609" t="str">
        <f>IF(AND(OR(PROCESSOS!Q609="NO PRAZO",PROCESSOS!Q609="VENCE EM BREVE"),OR(FiltroResp="TODOS",FiltroResp="",PROCESSOS!I609=FiltroResp)),PROCESSOS!O609+ROW()/1000000,"")</f>
        <v/>
      </c>
      <c r="BG609" t="str">
        <f>IF(AND(PROCESSOS!B609&lt;&gt;"",ISNUMBER(PROCESSOS!D609),OR(FiltroResp="TODOS",FiltroResp="",PROCESSOS!I609=FiltroResp)),PROCESSOS!D609+ROW()/1000000,"")</f>
        <v/>
      </c>
    </row>
    <row r="610">
      <c r="BF610" t="str">
        <f>IF(AND(OR(PROCESSOS!Q610="NO PRAZO",PROCESSOS!Q610="VENCE EM BREVE"),OR(FiltroResp="TODOS",FiltroResp="",PROCESSOS!I610=FiltroResp)),PROCESSOS!O610+ROW()/1000000,"")</f>
        <v/>
      </c>
      <c r="BG610" t="str">
        <f>IF(AND(PROCESSOS!B610&lt;&gt;"",ISNUMBER(PROCESSOS!D610),OR(FiltroResp="TODOS",FiltroResp="",PROCESSOS!I610=FiltroResp)),PROCESSOS!D610+ROW()/1000000,"")</f>
        <v/>
      </c>
    </row>
    <row r="611">
      <c r="BF611" t="str">
        <f>IF(AND(OR(PROCESSOS!Q611="NO PRAZO",PROCESSOS!Q611="VENCE EM BREVE"),OR(FiltroResp="TODOS",FiltroResp="",PROCESSOS!I611=FiltroResp)),PROCESSOS!O611+ROW()/1000000,"")</f>
        <v/>
      </c>
      <c r="BG611" t="str">
        <f>IF(AND(PROCESSOS!B611&lt;&gt;"",ISNUMBER(PROCESSOS!D611),OR(FiltroResp="TODOS",FiltroResp="",PROCESSOS!I611=FiltroResp)),PROCESSOS!D611+ROW()/1000000,"")</f>
        <v/>
      </c>
    </row>
    <row r="612">
      <c r="BF612" t="str">
        <f>IF(AND(OR(PROCESSOS!Q612="NO PRAZO",PROCESSOS!Q612="VENCE EM BREVE"),OR(FiltroResp="TODOS",FiltroResp="",PROCESSOS!I612=FiltroResp)),PROCESSOS!O612+ROW()/1000000,"")</f>
        <v/>
      </c>
      <c r="BG612" t="str">
        <f>IF(AND(PROCESSOS!B612&lt;&gt;"",ISNUMBER(PROCESSOS!D612),OR(FiltroResp="TODOS",FiltroResp="",PROCESSOS!I612=FiltroResp)),PROCESSOS!D612+ROW()/1000000,"")</f>
        <v/>
      </c>
    </row>
    <row r="613">
      <c r="BF613" t="str">
        <f>IF(AND(OR(PROCESSOS!Q613="NO PRAZO",PROCESSOS!Q613="VENCE EM BREVE"),OR(FiltroResp="TODOS",FiltroResp="",PROCESSOS!I613=FiltroResp)),PROCESSOS!O613+ROW()/1000000,"")</f>
        <v/>
      </c>
      <c r="BG613" t="str">
        <f>IF(AND(PROCESSOS!B613&lt;&gt;"",ISNUMBER(PROCESSOS!D613),OR(FiltroResp="TODOS",FiltroResp="",PROCESSOS!I613=FiltroResp)),PROCESSOS!D613+ROW()/1000000,"")</f>
        <v/>
      </c>
    </row>
    <row r="614">
      <c r="BF614" t="str">
        <f>IF(AND(OR(PROCESSOS!Q614="NO PRAZO",PROCESSOS!Q614="VENCE EM BREVE"),OR(FiltroResp="TODOS",FiltroResp="",PROCESSOS!I614=FiltroResp)),PROCESSOS!O614+ROW()/1000000,"")</f>
        <v/>
      </c>
      <c r="BG614" t="str">
        <f>IF(AND(PROCESSOS!B614&lt;&gt;"",ISNUMBER(PROCESSOS!D614),OR(FiltroResp="TODOS",FiltroResp="",PROCESSOS!I614=FiltroResp)),PROCESSOS!D614+ROW()/1000000,"")</f>
        <v/>
      </c>
    </row>
    <row r="615">
      <c r="BF615" t="str">
        <f>IF(AND(OR(PROCESSOS!Q615="NO PRAZO",PROCESSOS!Q615="VENCE EM BREVE"),OR(FiltroResp="TODOS",FiltroResp="",PROCESSOS!I615=FiltroResp)),PROCESSOS!O615+ROW()/1000000,"")</f>
        <v/>
      </c>
      <c r="BG615" t="str">
        <f>IF(AND(PROCESSOS!B615&lt;&gt;"",ISNUMBER(PROCESSOS!D615),OR(FiltroResp="TODOS",FiltroResp="",PROCESSOS!I615=FiltroResp)),PROCESSOS!D615+ROW()/1000000,"")</f>
        <v/>
      </c>
    </row>
    <row r="616">
      <c r="BF616" t="str">
        <f>IF(AND(OR(PROCESSOS!Q616="NO PRAZO",PROCESSOS!Q616="VENCE EM BREVE"),OR(FiltroResp="TODOS",FiltroResp="",PROCESSOS!I616=FiltroResp)),PROCESSOS!O616+ROW()/1000000,"")</f>
        <v/>
      </c>
      <c r="BG616" t="str">
        <f>IF(AND(PROCESSOS!B616&lt;&gt;"",ISNUMBER(PROCESSOS!D616),OR(FiltroResp="TODOS",FiltroResp="",PROCESSOS!I616=FiltroResp)),PROCESSOS!D616+ROW()/1000000,"")</f>
        <v/>
      </c>
    </row>
    <row r="617">
      <c r="BF617" t="str">
        <f>IF(AND(OR(PROCESSOS!Q617="NO PRAZO",PROCESSOS!Q617="VENCE EM BREVE"),OR(FiltroResp="TODOS",FiltroResp="",PROCESSOS!I617=FiltroResp)),PROCESSOS!O617+ROW()/1000000,"")</f>
        <v/>
      </c>
      <c r="BG617" t="str">
        <f>IF(AND(PROCESSOS!B617&lt;&gt;"",ISNUMBER(PROCESSOS!D617),OR(FiltroResp="TODOS",FiltroResp="",PROCESSOS!I617=FiltroResp)),PROCESSOS!D617+ROW()/1000000,"")</f>
        <v/>
      </c>
    </row>
    <row r="618">
      <c r="BF618" t="str">
        <f>IF(AND(OR(PROCESSOS!Q618="NO PRAZO",PROCESSOS!Q618="VENCE EM BREVE"),OR(FiltroResp="TODOS",FiltroResp="",PROCESSOS!I618=FiltroResp)),PROCESSOS!O618+ROW()/1000000,"")</f>
        <v/>
      </c>
      <c r="BG618" t="str">
        <f>IF(AND(PROCESSOS!B618&lt;&gt;"",ISNUMBER(PROCESSOS!D618),OR(FiltroResp="TODOS",FiltroResp="",PROCESSOS!I618=FiltroResp)),PROCESSOS!D618+ROW()/1000000,"")</f>
        <v/>
      </c>
    </row>
    <row r="619">
      <c r="BF619" t="str">
        <f>IF(AND(OR(PROCESSOS!Q619="NO PRAZO",PROCESSOS!Q619="VENCE EM BREVE"),OR(FiltroResp="TODOS",FiltroResp="",PROCESSOS!I619=FiltroResp)),PROCESSOS!O619+ROW()/1000000,"")</f>
        <v/>
      </c>
      <c r="BG619" t="str">
        <f>IF(AND(PROCESSOS!B619&lt;&gt;"",ISNUMBER(PROCESSOS!D619),OR(FiltroResp="TODOS",FiltroResp="",PROCESSOS!I619=FiltroResp)),PROCESSOS!D619+ROW()/1000000,"")</f>
        <v/>
      </c>
    </row>
    <row r="620">
      <c r="BF620" t="str">
        <f>IF(AND(OR(PROCESSOS!Q620="NO PRAZO",PROCESSOS!Q620="VENCE EM BREVE"),OR(FiltroResp="TODOS",FiltroResp="",PROCESSOS!I620=FiltroResp)),PROCESSOS!O620+ROW()/1000000,"")</f>
        <v/>
      </c>
      <c r="BG620" t="str">
        <f>IF(AND(PROCESSOS!B620&lt;&gt;"",ISNUMBER(PROCESSOS!D620),OR(FiltroResp="TODOS",FiltroResp="",PROCESSOS!I620=FiltroResp)),PROCESSOS!D620+ROW()/1000000,"")</f>
        <v/>
      </c>
    </row>
    <row r="621">
      <c r="BF621" t="str">
        <f>IF(AND(OR(PROCESSOS!Q621="NO PRAZO",PROCESSOS!Q621="VENCE EM BREVE"),OR(FiltroResp="TODOS",FiltroResp="",PROCESSOS!I621=FiltroResp)),PROCESSOS!O621+ROW()/1000000,"")</f>
        <v/>
      </c>
      <c r="BG621" t="str">
        <f>IF(AND(PROCESSOS!B621&lt;&gt;"",ISNUMBER(PROCESSOS!D621),OR(FiltroResp="TODOS",FiltroResp="",PROCESSOS!I621=FiltroResp)),PROCESSOS!D621+ROW()/1000000,"")</f>
        <v/>
      </c>
    </row>
    <row r="622">
      <c r="BF622" t="str">
        <f>IF(AND(OR(PROCESSOS!Q622="NO PRAZO",PROCESSOS!Q622="VENCE EM BREVE"),OR(FiltroResp="TODOS",FiltroResp="",PROCESSOS!I622=FiltroResp)),PROCESSOS!O622+ROW()/1000000,"")</f>
        <v/>
      </c>
      <c r="BG622" t="str">
        <f>IF(AND(PROCESSOS!B622&lt;&gt;"",ISNUMBER(PROCESSOS!D622),OR(FiltroResp="TODOS",FiltroResp="",PROCESSOS!I622=FiltroResp)),PROCESSOS!D622+ROW()/1000000,"")</f>
        <v/>
      </c>
    </row>
    <row r="623">
      <c r="BF623" t="str">
        <f>IF(AND(OR(PROCESSOS!Q623="NO PRAZO",PROCESSOS!Q623="VENCE EM BREVE"),OR(FiltroResp="TODOS",FiltroResp="",PROCESSOS!I623=FiltroResp)),PROCESSOS!O623+ROW()/1000000,"")</f>
        <v/>
      </c>
      <c r="BG623" t="str">
        <f>IF(AND(PROCESSOS!B623&lt;&gt;"",ISNUMBER(PROCESSOS!D623),OR(FiltroResp="TODOS",FiltroResp="",PROCESSOS!I623=FiltroResp)),PROCESSOS!D623+ROW()/1000000,"")</f>
        <v/>
      </c>
    </row>
    <row r="624">
      <c r="BF624" t="str">
        <f>IF(AND(OR(PROCESSOS!Q624="NO PRAZO",PROCESSOS!Q624="VENCE EM BREVE"),OR(FiltroResp="TODOS",FiltroResp="",PROCESSOS!I624=FiltroResp)),PROCESSOS!O624+ROW()/1000000,"")</f>
        <v/>
      </c>
      <c r="BG624" t="str">
        <f>IF(AND(PROCESSOS!B624&lt;&gt;"",ISNUMBER(PROCESSOS!D624),OR(FiltroResp="TODOS",FiltroResp="",PROCESSOS!I624=FiltroResp)),PROCESSOS!D624+ROW()/1000000,"")</f>
        <v/>
      </c>
    </row>
    <row r="625">
      <c r="BF625" t="str">
        <f>IF(AND(OR(PROCESSOS!Q625="NO PRAZO",PROCESSOS!Q625="VENCE EM BREVE"),OR(FiltroResp="TODOS",FiltroResp="",PROCESSOS!I625=FiltroResp)),PROCESSOS!O625+ROW()/1000000,"")</f>
        <v/>
      </c>
      <c r="BG625" t="str">
        <f>IF(AND(PROCESSOS!B625&lt;&gt;"",ISNUMBER(PROCESSOS!D625),OR(FiltroResp="TODOS",FiltroResp="",PROCESSOS!I625=FiltroResp)),PROCESSOS!D625+ROW()/1000000,"")</f>
        <v/>
      </c>
    </row>
    <row r="626">
      <c r="BF626" t="str">
        <f>IF(AND(OR(PROCESSOS!Q626="NO PRAZO",PROCESSOS!Q626="VENCE EM BREVE"),OR(FiltroResp="TODOS",FiltroResp="",PROCESSOS!I626=FiltroResp)),PROCESSOS!O626+ROW()/1000000,"")</f>
        <v/>
      </c>
      <c r="BG626" t="str">
        <f>IF(AND(PROCESSOS!B626&lt;&gt;"",ISNUMBER(PROCESSOS!D626),OR(FiltroResp="TODOS",FiltroResp="",PROCESSOS!I626=FiltroResp)),PROCESSOS!D626+ROW()/1000000,"")</f>
        <v/>
      </c>
    </row>
    <row r="627">
      <c r="BF627" t="str">
        <f>IF(AND(OR(PROCESSOS!Q627="NO PRAZO",PROCESSOS!Q627="VENCE EM BREVE"),OR(FiltroResp="TODOS",FiltroResp="",PROCESSOS!I627=FiltroResp)),PROCESSOS!O627+ROW()/1000000,"")</f>
        <v/>
      </c>
      <c r="BG627" t="str">
        <f>IF(AND(PROCESSOS!B627&lt;&gt;"",ISNUMBER(PROCESSOS!D627),OR(FiltroResp="TODOS",FiltroResp="",PROCESSOS!I627=FiltroResp)),PROCESSOS!D627+ROW()/1000000,"")</f>
        <v/>
      </c>
    </row>
    <row r="628">
      <c r="BF628" t="str">
        <f>IF(AND(OR(PROCESSOS!Q628="NO PRAZO",PROCESSOS!Q628="VENCE EM BREVE"),OR(FiltroResp="TODOS",FiltroResp="",PROCESSOS!I628=FiltroResp)),PROCESSOS!O628+ROW()/1000000,"")</f>
        <v/>
      </c>
      <c r="BG628" t="str">
        <f>IF(AND(PROCESSOS!B628&lt;&gt;"",ISNUMBER(PROCESSOS!D628),OR(FiltroResp="TODOS",FiltroResp="",PROCESSOS!I628=FiltroResp)),PROCESSOS!D628+ROW()/1000000,"")</f>
        <v/>
      </c>
    </row>
    <row r="629">
      <c r="BF629" t="str">
        <f>IF(AND(OR(PROCESSOS!Q629="NO PRAZO",PROCESSOS!Q629="VENCE EM BREVE"),OR(FiltroResp="TODOS",FiltroResp="",PROCESSOS!I629=FiltroResp)),PROCESSOS!O629+ROW()/1000000,"")</f>
        <v/>
      </c>
      <c r="BG629" t="str">
        <f>IF(AND(PROCESSOS!B629&lt;&gt;"",ISNUMBER(PROCESSOS!D629),OR(FiltroResp="TODOS",FiltroResp="",PROCESSOS!I629=FiltroResp)),PROCESSOS!D629+ROW()/1000000,"")</f>
        <v/>
      </c>
    </row>
    <row r="630">
      <c r="BF630" t="str">
        <f>IF(AND(OR(PROCESSOS!Q630="NO PRAZO",PROCESSOS!Q630="VENCE EM BREVE"),OR(FiltroResp="TODOS",FiltroResp="",PROCESSOS!I630=FiltroResp)),PROCESSOS!O630+ROW()/1000000,"")</f>
        <v/>
      </c>
      <c r="BG630" t="str">
        <f>IF(AND(PROCESSOS!B630&lt;&gt;"",ISNUMBER(PROCESSOS!D630),OR(FiltroResp="TODOS",FiltroResp="",PROCESSOS!I630=FiltroResp)),PROCESSOS!D630+ROW()/1000000,"")</f>
        <v/>
      </c>
    </row>
    <row r="631">
      <c r="BF631" t="str">
        <f>IF(AND(OR(PROCESSOS!Q631="NO PRAZO",PROCESSOS!Q631="VENCE EM BREVE"),OR(FiltroResp="TODOS",FiltroResp="",PROCESSOS!I631=FiltroResp)),PROCESSOS!O631+ROW()/1000000,"")</f>
        <v/>
      </c>
      <c r="BG631" t="str">
        <f>IF(AND(PROCESSOS!B631&lt;&gt;"",ISNUMBER(PROCESSOS!D631),OR(FiltroResp="TODOS",FiltroResp="",PROCESSOS!I631=FiltroResp)),PROCESSOS!D631+ROW()/1000000,"")</f>
        <v/>
      </c>
    </row>
    <row r="632">
      <c r="BF632" t="str">
        <f>IF(AND(OR(PROCESSOS!Q632="NO PRAZO",PROCESSOS!Q632="VENCE EM BREVE"),OR(FiltroResp="TODOS",FiltroResp="",PROCESSOS!I632=FiltroResp)),PROCESSOS!O632+ROW()/1000000,"")</f>
        <v/>
      </c>
      <c r="BG632" t="str">
        <f>IF(AND(PROCESSOS!B632&lt;&gt;"",ISNUMBER(PROCESSOS!D632),OR(FiltroResp="TODOS",FiltroResp="",PROCESSOS!I632=FiltroResp)),PROCESSOS!D632+ROW()/1000000,"")</f>
        <v/>
      </c>
    </row>
    <row r="633">
      <c r="BF633" t="str">
        <f>IF(AND(OR(PROCESSOS!Q633="NO PRAZO",PROCESSOS!Q633="VENCE EM BREVE"),OR(FiltroResp="TODOS",FiltroResp="",PROCESSOS!I633=FiltroResp)),PROCESSOS!O633+ROW()/1000000,"")</f>
        <v/>
      </c>
      <c r="BG633" t="str">
        <f>IF(AND(PROCESSOS!B633&lt;&gt;"",ISNUMBER(PROCESSOS!D633),OR(FiltroResp="TODOS",FiltroResp="",PROCESSOS!I633=FiltroResp)),PROCESSOS!D633+ROW()/1000000,"")</f>
        <v/>
      </c>
    </row>
    <row r="634">
      <c r="BF634" t="str">
        <f>IF(AND(OR(PROCESSOS!Q634="NO PRAZO",PROCESSOS!Q634="VENCE EM BREVE"),OR(FiltroResp="TODOS",FiltroResp="",PROCESSOS!I634=FiltroResp)),PROCESSOS!O634+ROW()/1000000,"")</f>
        <v/>
      </c>
      <c r="BG634" t="str">
        <f>IF(AND(PROCESSOS!B634&lt;&gt;"",ISNUMBER(PROCESSOS!D634),OR(FiltroResp="TODOS",FiltroResp="",PROCESSOS!I634=FiltroResp)),PROCESSOS!D634+ROW()/1000000,"")</f>
        <v/>
      </c>
    </row>
    <row r="635">
      <c r="BF635" t="str">
        <f>IF(AND(OR(PROCESSOS!Q635="NO PRAZO",PROCESSOS!Q635="VENCE EM BREVE"),OR(FiltroResp="TODOS",FiltroResp="",PROCESSOS!I635=FiltroResp)),PROCESSOS!O635+ROW()/1000000,"")</f>
        <v/>
      </c>
      <c r="BG635" t="str">
        <f>IF(AND(PROCESSOS!B635&lt;&gt;"",ISNUMBER(PROCESSOS!D635),OR(FiltroResp="TODOS",FiltroResp="",PROCESSOS!I635=FiltroResp)),PROCESSOS!D635+ROW()/1000000,"")</f>
        <v/>
      </c>
    </row>
    <row r="636">
      <c r="BF636" t="str">
        <f>IF(AND(OR(PROCESSOS!Q636="NO PRAZO",PROCESSOS!Q636="VENCE EM BREVE"),OR(FiltroResp="TODOS",FiltroResp="",PROCESSOS!I636=FiltroResp)),PROCESSOS!O636+ROW()/1000000,"")</f>
        <v/>
      </c>
      <c r="BG636" t="str">
        <f>IF(AND(PROCESSOS!B636&lt;&gt;"",ISNUMBER(PROCESSOS!D636),OR(FiltroResp="TODOS",FiltroResp="",PROCESSOS!I636=FiltroResp)),PROCESSOS!D636+ROW()/1000000,"")</f>
        <v/>
      </c>
    </row>
    <row r="637">
      <c r="BF637" t="str">
        <f>IF(AND(OR(PROCESSOS!Q637="NO PRAZO",PROCESSOS!Q637="VENCE EM BREVE"),OR(FiltroResp="TODOS",FiltroResp="",PROCESSOS!I637=FiltroResp)),PROCESSOS!O637+ROW()/1000000,"")</f>
        <v/>
      </c>
      <c r="BG637" t="str">
        <f>IF(AND(PROCESSOS!B637&lt;&gt;"",ISNUMBER(PROCESSOS!D637),OR(FiltroResp="TODOS",FiltroResp="",PROCESSOS!I637=FiltroResp)),PROCESSOS!D637+ROW()/1000000,"")</f>
        <v/>
      </c>
    </row>
    <row r="638">
      <c r="BF638" t="str">
        <f>IF(AND(OR(PROCESSOS!Q638="NO PRAZO",PROCESSOS!Q638="VENCE EM BREVE"),OR(FiltroResp="TODOS",FiltroResp="",PROCESSOS!I638=FiltroResp)),PROCESSOS!O638+ROW()/1000000,"")</f>
        <v/>
      </c>
      <c r="BG638" t="str">
        <f>IF(AND(PROCESSOS!B638&lt;&gt;"",ISNUMBER(PROCESSOS!D638),OR(FiltroResp="TODOS",FiltroResp="",PROCESSOS!I638=FiltroResp)),PROCESSOS!D638+ROW()/1000000,"")</f>
        <v/>
      </c>
    </row>
    <row r="639">
      <c r="BF639" t="str">
        <f>IF(AND(OR(PROCESSOS!Q639="NO PRAZO",PROCESSOS!Q639="VENCE EM BREVE"),OR(FiltroResp="TODOS",FiltroResp="",PROCESSOS!I639=FiltroResp)),PROCESSOS!O639+ROW()/1000000,"")</f>
        <v/>
      </c>
      <c r="BG639" t="str">
        <f>IF(AND(PROCESSOS!B639&lt;&gt;"",ISNUMBER(PROCESSOS!D639),OR(FiltroResp="TODOS",FiltroResp="",PROCESSOS!I639=FiltroResp)),PROCESSOS!D639+ROW()/1000000,"")</f>
        <v/>
      </c>
    </row>
    <row r="640">
      <c r="BF640" t="str">
        <f>IF(AND(OR(PROCESSOS!Q640="NO PRAZO",PROCESSOS!Q640="VENCE EM BREVE"),OR(FiltroResp="TODOS",FiltroResp="",PROCESSOS!I640=FiltroResp)),PROCESSOS!O640+ROW()/1000000,"")</f>
        <v/>
      </c>
      <c r="BG640" t="str">
        <f>IF(AND(PROCESSOS!B640&lt;&gt;"",ISNUMBER(PROCESSOS!D640),OR(FiltroResp="TODOS",FiltroResp="",PROCESSOS!I640=FiltroResp)),PROCESSOS!D640+ROW()/1000000,"")</f>
        <v/>
      </c>
    </row>
    <row r="641">
      <c r="BF641" t="str">
        <f>IF(AND(OR(PROCESSOS!Q641="NO PRAZO",PROCESSOS!Q641="VENCE EM BREVE"),OR(FiltroResp="TODOS",FiltroResp="",PROCESSOS!I641=FiltroResp)),PROCESSOS!O641+ROW()/1000000,"")</f>
        <v/>
      </c>
      <c r="BG641" t="str">
        <f>IF(AND(PROCESSOS!B641&lt;&gt;"",ISNUMBER(PROCESSOS!D641),OR(FiltroResp="TODOS",FiltroResp="",PROCESSOS!I641=FiltroResp)),PROCESSOS!D641+ROW()/1000000,"")</f>
        <v/>
      </c>
    </row>
    <row r="642">
      <c r="BF642" t="str">
        <f>IF(AND(OR(PROCESSOS!Q642="NO PRAZO",PROCESSOS!Q642="VENCE EM BREVE"),OR(FiltroResp="TODOS",FiltroResp="",PROCESSOS!I642=FiltroResp)),PROCESSOS!O642+ROW()/1000000,"")</f>
        <v/>
      </c>
      <c r="BG642" t="str">
        <f>IF(AND(PROCESSOS!B642&lt;&gt;"",ISNUMBER(PROCESSOS!D642),OR(FiltroResp="TODOS",FiltroResp="",PROCESSOS!I642=FiltroResp)),PROCESSOS!D642+ROW()/1000000,"")</f>
        <v/>
      </c>
    </row>
    <row r="643">
      <c r="BF643" t="str">
        <f>IF(AND(OR(PROCESSOS!Q643="NO PRAZO",PROCESSOS!Q643="VENCE EM BREVE"),OR(FiltroResp="TODOS",FiltroResp="",PROCESSOS!I643=FiltroResp)),PROCESSOS!O643+ROW()/1000000,"")</f>
        <v/>
      </c>
      <c r="BG643" t="str">
        <f>IF(AND(PROCESSOS!B643&lt;&gt;"",ISNUMBER(PROCESSOS!D643),OR(FiltroResp="TODOS",FiltroResp="",PROCESSOS!I643=FiltroResp)),PROCESSOS!D643+ROW()/1000000,"")</f>
        <v/>
      </c>
    </row>
    <row r="644">
      <c r="BF644" t="str">
        <f>IF(AND(OR(PROCESSOS!Q644="NO PRAZO",PROCESSOS!Q644="VENCE EM BREVE"),OR(FiltroResp="TODOS",FiltroResp="",PROCESSOS!I644=FiltroResp)),PROCESSOS!O644+ROW()/1000000,"")</f>
        <v/>
      </c>
      <c r="BG644" t="str">
        <f>IF(AND(PROCESSOS!B644&lt;&gt;"",ISNUMBER(PROCESSOS!D644),OR(FiltroResp="TODOS",FiltroResp="",PROCESSOS!I644=FiltroResp)),PROCESSOS!D644+ROW()/1000000,"")</f>
        <v/>
      </c>
    </row>
    <row r="645">
      <c r="BF645" t="str">
        <f>IF(AND(OR(PROCESSOS!Q645="NO PRAZO",PROCESSOS!Q645="VENCE EM BREVE"),OR(FiltroResp="TODOS",FiltroResp="",PROCESSOS!I645=FiltroResp)),PROCESSOS!O645+ROW()/1000000,"")</f>
        <v/>
      </c>
      <c r="BG645" t="str">
        <f>IF(AND(PROCESSOS!B645&lt;&gt;"",ISNUMBER(PROCESSOS!D645),OR(FiltroResp="TODOS",FiltroResp="",PROCESSOS!I645=FiltroResp)),PROCESSOS!D645+ROW()/1000000,"")</f>
        <v/>
      </c>
    </row>
    <row r="646">
      <c r="BF646" t="str">
        <f>IF(AND(OR(PROCESSOS!Q646="NO PRAZO",PROCESSOS!Q646="VENCE EM BREVE"),OR(FiltroResp="TODOS",FiltroResp="",PROCESSOS!I646=FiltroResp)),PROCESSOS!O646+ROW()/1000000,"")</f>
        <v/>
      </c>
      <c r="BG646" t="str">
        <f>IF(AND(PROCESSOS!B646&lt;&gt;"",ISNUMBER(PROCESSOS!D646),OR(FiltroResp="TODOS",FiltroResp="",PROCESSOS!I646=FiltroResp)),PROCESSOS!D646+ROW()/1000000,"")</f>
        <v/>
      </c>
    </row>
    <row r="647">
      <c r="BF647" t="str">
        <f>IF(AND(OR(PROCESSOS!Q647="NO PRAZO",PROCESSOS!Q647="VENCE EM BREVE"),OR(FiltroResp="TODOS",FiltroResp="",PROCESSOS!I647=FiltroResp)),PROCESSOS!O647+ROW()/1000000,"")</f>
        <v/>
      </c>
      <c r="BG647" t="str">
        <f>IF(AND(PROCESSOS!B647&lt;&gt;"",ISNUMBER(PROCESSOS!D647),OR(FiltroResp="TODOS",FiltroResp="",PROCESSOS!I647=FiltroResp)),PROCESSOS!D647+ROW()/1000000,"")</f>
        <v/>
      </c>
    </row>
    <row r="648">
      <c r="BF648" t="str">
        <f>IF(AND(OR(PROCESSOS!Q648="NO PRAZO",PROCESSOS!Q648="VENCE EM BREVE"),OR(FiltroResp="TODOS",FiltroResp="",PROCESSOS!I648=FiltroResp)),PROCESSOS!O648+ROW()/1000000,"")</f>
        <v/>
      </c>
      <c r="BG648" t="str">
        <f>IF(AND(PROCESSOS!B648&lt;&gt;"",ISNUMBER(PROCESSOS!D648),OR(FiltroResp="TODOS",FiltroResp="",PROCESSOS!I648=FiltroResp)),PROCESSOS!D648+ROW()/1000000,"")</f>
        <v/>
      </c>
    </row>
    <row r="649">
      <c r="BF649" t="str">
        <f>IF(AND(OR(PROCESSOS!Q649="NO PRAZO",PROCESSOS!Q649="VENCE EM BREVE"),OR(FiltroResp="TODOS",FiltroResp="",PROCESSOS!I649=FiltroResp)),PROCESSOS!O649+ROW()/1000000,"")</f>
        <v/>
      </c>
      <c r="BG649" t="str">
        <f>IF(AND(PROCESSOS!B649&lt;&gt;"",ISNUMBER(PROCESSOS!D649),OR(FiltroResp="TODOS",FiltroResp="",PROCESSOS!I649=FiltroResp)),PROCESSOS!D649+ROW()/1000000,"")</f>
        <v/>
      </c>
    </row>
    <row r="650">
      <c r="BF650" t="str">
        <f>IF(AND(OR(PROCESSOS!Q650="NO PRAZO",PROCESSOS!Q650="VENCE EM BREVE"),OR(FiltroResp="TODOS",FiltroResp="",PROCESSOS!I650=FiltroResp)),PROCESSOS!O650+ROW()/1000000,"")</f>
        <v/>
      </c>
      <c r="BG650" t="str">
        <f>IF(AND(PROCESSOS!B650&lt;&gt;"",ISNUMBER(PROCESSOS!D650),OR(FiltroResp="TODOS",FiltroResp="",PROCESSOS!I650=FiltroResp)),PROCESSOS!D650+ROW()/1000000,"")</f>
        <v/>
      </c>
    </row>
    <row r="651">
      <c r="BF651" t="str">
        <f>IF(AND(OR(PROCESSOS!Q651="NO PRAZO",PROCESSOS!Q651="VENCE EM BREVE"),OR(FiltroResp="TODOS",FiltroResp="",PROCESSOS!I651=FiltroResp)),PROCESSOS!O651+ROW()/1000000,"")</f>
        <v/>
      </c>
      <c r="BG651" t="str">
        <f>IF(AND(PROCESSOS!B651&lt;&gt;"",ISNUMBER(PROCESSOS!D651),OR(FiltroResp="TODOS",FiltroResp="",PROCESSOS!I651=FiltroResp)),PROCESSOS!D651+ROW()/1000000,"")</f>
        <v/>
      </c>
    </row>
    <row r="652">
      <c r="BF652" t="str">
        <f>IF(AND(OR(PROCESSOS!Q652="NO PRAZO",PROCESSOS!Q652="VENCE EM BREVE"),OR(FiltroResp="TODOS",FiltroResp="",PROCESSOS!I652=FiltroResp)),PROCESSOS!O652+ROW()/1000000,"")</f>
        <v/>
      </c>
      <c r="BG652" t="str">
        <f>IF(AND(PROCESSOS!B652&lt;&gt;"",ISNUMBER(PROCESSOS!D652),OR(FiltroResp="TODOS",FiltroResp="",PROCESSOS!I652=FiltroResp)),PROCESSOS!D652+ROW()/1000000,"")</f>
        <v/>
      </c>
    </row>
    <row r="653">
      <c r="BF653" t="str">
        <f>IF(AND(OR(PROCESSOS!Q653="NO PRAZO",PROCESSOS!Q653="VENCE EM BREVE"),OR(FiltroResp="TODOS",FiltroResp="",PROCESSOS!I653=FiltroResp)),PROCESSOS!O653+ROW()/1000000,"")</f>
        <v/>
      </c>
      <c r="BG653" t="str">
        <f>IF(AND(PROCESSOS!B653&lt;&gt;"",ISNUMBER(PROCESSOS!D653),OR(FiltroResp="TODOS",FiltroResp="",PROCESSOS!I653=FiltroResp)),PROCESSOS!D653+ROW()/1000000,"")</f>
        <v/>
      </c>
    </row>
    <row r="654">
      <c r="BF654" t="str">
        <f>IF(AND(OR(PROCESSOS!Q654="NO PRAZO",PROCESSOS!Q654="VENCE EM BREVE"),OR(FiltroResp="TODOS",FiltroResp="",PROCESSOS!I654=FiltroResp)),PROCESSOS!O654+ROW()/1000000,"")</f>
        <v/>
      </c>
      <c r="BG654" t="str">
        <f>IF(AND(PROCESSOS!B654&lt;&gt;"",ISNUMBER(PROCESSOS!D654),OR(FiltroResp="TODOS",FiltroResp="",PROCESSOS!I654=FiltroResp)),PROCESSOS!D654+ROW()/1000000,"")</f>
        <v/>
      </c>
    </row>
    <row r="655">
      <c r="BF655" t="str">
        <f>IF(AND(OR(PROCESSOS!Q655="NO PRAZO",PROCESSOS!Q655="VENCE EM BREVE"),OR(FiltroResp="TODOS",FiltroResp="",PROCESSOS!I655=FiltroResp)),PROCESSOS!O655+ROW()/1000000,"")</f>
        <v/>
      </c>
      <c r="BG655" t="str">
        <f>IF(AND(PROCESSOS!B655&lt;&gt;"",ISNUMBER(PROCESSOS!D655),OR(FiltroResp="TODOS",FiltroResp="",PROCESSOS!I655=FiltroResp)),PROCESSOS!D655+ROW()/1000000,"")</f>
        <v/>
      </c>
    </row>
    <row r="656">
      <c r="BF656" t="str">
        <f>IF(AND(OR(PROCESSOS!Q656="NO PRAZO",PROCESSOS!Q656="VENCE EM BREVE"),OR(FiltroResp="TODOS",FiltroResp="",PROCESSOS!I656=FiltroResp)),PROCESSOS!O656+ROW()/1000000,"")</f>
        <v/>
      </c>
      <c r="BG656" t="str">
        <f>IF(AND(PROCESSOS!B656&lt;&gt;"",ISNUMBER(PROCESSOS!D656),OR(FiltroResp="TODOS",FiltroResp="",PROCESSOS!I656=FiltroResp)),PROCESSOS!D656+ROW()/1000000,"")</f>
        <v/>
      </c>
    </row>
    <row r="657">
      <c r="BF657" t="str">
        <f>IF(AND(OR(PROCESSOS!Q657="NO PRAZO",PROCESSOS!Q657="VENCE EM BREVE"),OR(FiltroResp="TODOS",FiltroResp="",PROCESSOS!I657=FiltroResp)),PROCESSOS!O657+ROW()/1000000,"")</f>
        <v/>
      </c>
      <c r="BG657" t="str">
        <f>IF(AND(PROCESSOS!B657&lt;&gt;"",ISNUMBER(PROCESSOS!D657),OR(FiltroResp="TODOS",FiltroResp="",PROCESSOS!I657=FiltroResp)),PROCESSOS!D657+ROW()/1000000,"")</f>
        <v/>
      </c>
    </row>
    <row r="658">
      <c r="BF658" t="str">
        <f>IF(AND(OR(PROCESSOS!Q658="NO PRAZO",PROCESSOS!Q658="VENCE EM BREVE"),OR(FiltroResp="TODOS",FiltroResp="",PROCESSOS!I658=FiltroResp)),PROCESSOS!O658+ROW()/1000000,"")</f>
        <v/>
      </c>
      <c r="BG658" t="str">
        <f>IF(AND(PROCESSOS!B658&lt;&gt;"",ISNUMBER(PROCESSOS!D658),OR(FiltroResp="TODOS",FiltroResp="",PROCESSOS!I658=FiltroResp)),PROCESSOS!D658+ROW()/1000000,"")</f>
        <v/>
      </c>
    </row>
    <row r="659">
      <c r="BF659" t="str">
        <f>IF(AND(OR(PROCESSOS!Q659="NO PRAZO",PROCESSOS!Q659="VENCE EM BREVE"),OR(FiltroResp="TODOS",FiltroResp="",PROCESSOS!I659=FiltroResp)),PROCESSOS!O659+ROW()/1000000,"")</f>
        <v/>
      </c>
      <c r="BG659" t="str">
        <f>IF(AND(PROCESSOS!B659&lt;&gt;"",ISNUMBER(PROCESSOS!D659),OR(FiltroResp="TODOS",FiltroResp="",PROCESSOS!I659=FiltroResp)),PROCESSOS!D659+ROW()/1000000,"")</f>
        <v/>
      </c>
    </row>
    <row r="660">
      <c r="BF660" t="str">
        <f>IF(AND(OR(PROCESSOS!Q660="NO PRAZO",PROCESSOS!Q660="VENCE EM BREVE"),OR(FiltroResp="TODOS",FiltroResp="",PROCESSOS!I660=FiltroResp)),PROCESSOS!O660+ROW()/1000000,"")</f>
        <v/>
      </c>
      <c r="BG660" t="str">
        <f>IF(AND(PROCESSOS!B660&lt;&gt;"",ISNUMBER(PROCESSOS!D660),OR(FiltroResp="TODOS",FiltroResp="",PROCESSOS!I660=FiltroResp)),PROCESSOS!D660+ROW()/1000000,"")</f>
        <v/>
      </c>
    </row>
    <row r="661">
      <c r="BF661" t="str">
        <f>IF(AND(OR(PROCESSOS!Q661="NO PRAZO",PROCESSOS!Q661="VENCE EM BREVE"),OR(FiltroResp="TODOS",FiltroResp="",PROCESSOS!I661=FiltroResp)),PROCESSOS!O661+ROW()/1000000,"")</f>
        <v/>
      </c>
      <c r="BG661" t="str">
        <f>IF(AND(PROCESSOS!B661&lt;&gt;"",ISNUMBER(PROCESSOS!D661),OR(FiltroResp="TODOS",FiltroResp="",PROCESSOS!I661=FiltroResp)),PROCESSOS!D661+ROW()/1000000,"")</f>
        <v/>
      </c>
    </row>
    <row r="662">
      <c r="BF662" t="str">
        <f>IF(AND(OR(PROCESSOS!Q662="NO PRAZO",PROCESSOS!Q662="VENCE EM BREVE"),OR(FiltroResp="TODOS",FiltroResp="",PROCESSOS!I662=FiltroResp)),PROCESSOS!O662+ROW()/1000000,"")</f>
        <v/>
      </c>
      <c r="BG662" t="str">
        <f>IF(AND(PROCESSOS!B662&lt;&gt;"",ISNUMBER(PROCESSOS!D662),OR(FiltroResp="TODOS",FiltroResp="",PROCESSOS!I662=FiltroResp)),PROCESSOS!D662+ROW()/1000000,"")</f>
        <v/>
      </c>
    </row>
    <row r="663">
      <c r="BF663" t="str">
        <f>IF(AND(OR(PROCESSOS!Q663="NO PRAZO",PROCESSOS!Q663="VENCE EM BREVE"),OR(FiltroResp="TODOS",FiltroResp="",PROCESSOS!I663=FiltroResp)),PROCESSOS!O663+ROW()/1000000,"")</f>
        <v/>
      </c>
      <c r="BG663" t="str">
        <f>IF(AND(PROCESSOS!B663&lt;&gt;"",ISNUMBER(PROCESSOS!D663),OR(FiltroResp="TODOS",FiltroResp="",PROCESSOS!I663=FiltroResp)),PROCESSOS!D663+ROW()/1000000,"")</f>
        <v/>
      </c>
    </row>
    <row r="664">
      <c r="BF664" t="str">
        <f>IF(AND(OR(PROCESSOS!Q664="NO PRAZO",PROCESSOS!Q664="VENCE EM BREVE"),OR(FiltroResp="TODOS",FiltroResp="",PROCESSOS!I664=FiltroResp)),PROCESSOS!O664+ROW()/1000000,"")</f>
        <v/>
      </c>
      <c r="BG664" t="str">
        <f>IF(AND(PROCESSOS!B664&lt;&gt;"",ISNUMBER(PROCESSOS!D664),OR(FiltroResp="TODOS",FiltroResp="",PROCESSOS!I664=FiltroResp)),PROCESSOS!D664+ROW()/1000000,"")</f>
        <v/>
      </c>
    </row>
    <row r="665">
      <c r="BF665" t="str">
        <f>IF(AND(OR(PROCESSOS!Q665="NO PRAZO",PROCESSOS!Q665="VENCE EM BREVE"),OR(FiltroResp="TODOS",FiltroResp="",PROCESSOS!I665=FiltroResp)),PROCESSOS!O665+ROW()/1000000,"")</f>
        <v/>
      </c>
      <c r="BG665" t="str">
        <f>IF(AND(PROCESSOS!B665&lt;&gt;"",ISNUMBER(PROCESSOS!D665),OR(FiltroResp="TODOS",FiltroResp="",PROCESSOS!I665=FiltroResp)),PROCESSOS!D665+ROW()/1000000,"")</f>
        <v/>
      </c>
    </row>
    <row r="666">
      <c r="BF666" t="str">
        <f>IF(AND(OR(PROCESSOS!Q666="NO PRAZO",PROCESSOS!Q666="VENCE EM BREVE"),OR(FiltroResp="TODOS",FiltroResp="",PROCESSOS!I666=FiltroResp)),PROCESSOS!O666+ROW()/1000000,"")</f>
        <v/>
      </c>
      <c r="BG666" t="str">
        <f>IF(AND(PROCESSOS!B666&lt;&gt;"",ISNUMBER(PROCESSOS!D666),OR(FiltroResp="TODOS",FiltroResp="",PROCESSOS!I666=FiltroResp)),PROCESSOS!D666+ROW()/1000000,"")</f>
        <v/>
      </c>
    </row>
    <row r="667">
      <c r="BF667" t="str">
        <f>IF(AND(OR(PROCESSOS!Q667="NO PRAZO",PROCESSOS!Q667="VENCE EM BREVE"),OR(FiltroResp="TODOS",FiltroResp="",PROCESSOS!I667=FiltroResp)),PROCESSOS!O667+ROW()/1000000,"")</f>
        <v/>
      </c>
      <c r="BG667" t="str">
        <f>IF(AND(PROCESSOS!B667&lt;&gt;"",ISNUMBER(PROCESSOS!D667),OR(FiltroResp="TODOS",FiltroResp="",PROCESSOS!I667=FiltroResp)),PROCESSOS!D667+ROW()/1000000,"")</f>
        <v/>
      </c>
    </row>
    <row r="668">
      <c r="BF668" t="str">
        <f>IF(AND(OR(PROCESSOS!Q668="NO PRAZO",PROCESSOS!Q668="VENCE EM BREVE"),OR(FiltroResp="TODOS",FiltroResp="",PROCESSOS!I668=FiltroResp)),PROCESSOS!O668+ROW()/1000000,"")</f>
        <v/>
      </c>
      <c r="BG668" t="str">
        <f>IF(AND(PROCESSOS!B668&lt;&gt;"",ISNUMBER(PROCESSOS!D668),OR(FiltroResp="TODOS",FiltroResp="",PROCESSOS!I668=FiltroResp)),PROCESSOS!D668+ROW()/1000000,"")</f>
        <v/>
      </c>
    </row>
    <row r="669">
      <c r="BF669" t="str">
        <f>IF(AND(OR(PROCESSOS!Q669="NO PRAZO",PROCESSOS!Q669="VENCE EM BREVE"),OR(FiltroResp="TODOS",FiltroResp="",PROCESSOS!I669=FiltroResp)),PROCESSOS!O669+ROW()/1000000,"")</f>
        <v/>
      </c>
      <c r="BG669" t="str">
        <f>IF(AND(PROCESSOS!B669&lt;&gt;"",ISNUMBER(PROCESSOS!D669),OR(FiltroResp="TODOS",FiltroResp="",PROCESSOS!I669=FiltroResp)),PROCESSOS!D669+ROW()/1000000,"")</f>
        <v/>
      </c>
    </row>
    <row r="670">
      <c r="BF670" t="str">
        <f>IF(AND(OR(PROCESSOS!Q670="NO PRAZO",PROCESSOS!Q670="VENCE EM BREVE"),OR(FiltroResp="TODOS",FiltroResp="",PROCESSOS!I670=FiltroResp)),PROCESSOS!O670+ROW()/1000000,"")</f>
        <v/>
      </c>
      <c r="BG670" t="str">
        <f>IF(AND(PROCESSOS!B670&lt;&gt;"",ISNUMBER(PROCESSOS!D670),OR(FiltroResp="TODOS",FiltroResp="",PROCESSOS!I670=FiltroResp)),PROCESSOS!D670+ROW()/1000000,"")</f>
        <v/>
      </c>
    </row>
    <row r="671">
      <c r="BF671" t="str">
        <f>IF(AND(OR(PROCESSOS!Q671="NO PRAZO",PROCESSOS!Q671="VENCE EM BREVE"),OR(FiltroResp="TODOS",FiltroResp="",PROCESSOS!I671=FiltroResp)),PROCESSOS!O671+ROW()/1000000,"")</f>
        <v/>
      </c>
      <c r="BG671" t="str">
        <f>IF(AND(PROCESSOS!B671&lt;&gt;"",ISNUMBER(PROCESSOS!D671),OR(FiltroResp="TODOS",FiltroResp="",PROCESSOS!I671=FiltroResp)),PROCESSOS!D671+ROW()/1000000,"")</f>
        <v/>
      </c>
    </row>
    <row r="672">
      <c r="BF672" t="str">
        <f>IF(AND(OR(PROCESSOS!Q672="NO PRAZO",PROCESSOS!Q672="VENCE EM BREVE"),OR(FiltroResp="TODOS",FiltroResp="",PROCESSOS!I672=FiltroResp)),PROCESSOS!O672+ROW()/1000000,"")</f>
        <v/>
      </c>
      <c r="BG672" t="str">
        <f>IF(AND(PROCESSOS!B672&lt;&gt;"",ISNUMBER(PROCESSOS!D672),OR(FiltroResp="TODOS",FiltroResp="",PROCESSOS!I672=FiltroResp)),PROCESSOS!D672+ROW()/1000000,"")</f>
        <v/>
      </c>
    </row>
    <row r="673">
      <c r="BF673" t="str">
        <f>IF(AND(OR(PROCESSOS!Q673="NO PRAZO",PROCESSOS!Q673="VENCE EM BREVE"),OR(FiltroResp="TODOS",FiltroResp="",PROCESSOS!I673=FiltroResp)),PROCESSOS!O673+ROW()/1000000,"")</f>
        <v/>
      </c>
      <c r="BG673" t="str">
        <f>IF(AND(PROCESSOS!B673&lt;&gt;"",ISNUMBER(PROCESSOS!D673),OR(FiltroResp="TODOS",FiltroResp="",PROCESSOS!I673=FiltroResp)),PROCESSOS!D673+ROW()/1000000,"")</f>
        <v/>
      </c>
    </row>
    <row r="674">
      <c r="BF674" t="str">
        <f>IF(AND(OR(PROCESSOS!Q674="NO PRAZO",PROCESSOS!Q674="VENCE EM BREVE"),OR(FiltroResp="TODOS",FiltroResp="",PROCESSOS!I674=FiltroResp)),PROCESSOS!O674+ROW()/1000000,"")</f>
        <v/>
      </c>
      <c r="BG674" t="str">
        <f>IF(AND(PROCESSOS!B674&lt;&gt;"",ISNUMBER(PROCESSOS!D674),OR(FiltroResp="TODOS",FiltroResp="",PROCESSOS!I674=FiltroResp)),PROCESSOS!D674+ROW()/1000000,"")</f>
        <v/>
      </c>
    </row>
    <row r="675">
      <c r="BF675" t="str">
        <f>IF(AND(OR(PROCESSOS!Q675="NO PRAZO",PROCESSOS!Q675="VENCE EM BREVE"),OR(FiltroResp="TODOS",FiltroResp="",PROCESSOS!I675=FiltroResp)),PROCESSOS!O675+ROW()/1000000,"")</f>
        <v/>
      </c>
      <c r="BG675" t="str">
        <f>IF(AND(PROCESSOS!B675&lt;&gt;"",ISNUMBER(PROCESSOS!D675),OR(FiltroResp="TODOS",FiltroResp="",PROCESSOS!I675=FiltroResp)),PROCESSOS!D675+ROW()/1000000,"")</f>
        <v/>
      </c>
    </row>
    <row r="676">
      <c r="BF676" t="str">
        <f>IF(AND(OR(PROCESSOS!Q676="NO PRAZO",PROCESSOS!Q676="VENCE EM BREVE"),OR(FiltroResp="TODOS",FiltroResp="",PROCESSOS!I676=FiltroResp)),PROCESSOS!O676+ROW()/1000000,"")</f>
        <v/>
      </c>
      <c r="BG676" t="str">
        <f>IF(AND(PROCESSOS!B676&lt;&gt;"",ISNUMBER(PROCESSOS!D676),OR(FiltroResp="TODOS",FiltroResp="",PROCESSOS!I676=FiltroResp)),PROCESSOS!D676+ROW()/1000000,"")</f>
        <v/>
      </c>
    </row>
    <row r="677">
      <c r="BF677" t="str">
        <f>IF(AND(OR(PROCESSOS!Q677="NO PRAZO",PROCESSOS!Q677="VENCE EM BREVE"),OR(FiltroResp="TODOS",FiltroResp="",PROCESSOS!I677=FiltroResp)),PROCESSOS!O677+ROW()/1000000,"")</f>
        <v/>
      </c>
      <c r="BG677" t="str">
        <f>IF(AND(PROCESSOS!B677&lt;&gt;"",ISNUMBER(PROCESSOS!D677),OR(FiltroResp="TODOS",FiltroResp="",PROCESSOS!I677=FiltroResp)),PROCESSOS!D677+ROW()/1000000,"")</f>
        <v/>
      </c>
    </row>
    <row r="678">
      <c r="BF678" t="str">
        <f>IF(AND(OR(PROCESSOS!Q678="NO PRAZO",PROCESSOS!Q678="VENCE EM BREVE"),OR(FiltroResp="TODOS",FiltroResp="",PROCESSOS!I678=FiltroResp)),PROCESSOS!O678+ROW()/1000000,"")</f>
        <v/>
      </c>
      <c r="BG678" t="str">
        <f>IF(AND(PROCESSOS!B678&lt;&gt;"",ISNUMBER(PROCESSOS!D678),OR(FiltroResp="TODOS",FiltroResp="",PROCESSOS!I678=FiltroResp)),PROCESSOS!D678+ROW()/1000000,"")</f>
        <v/>
      </c>
    </row>
    <row r="679">
      <c r="BF679" t="str">
        <f>IF(AND(OR(PROCESSOS!Q679="NO PRAZO",PROCESSOS!Q679="VENCE EM BREVE"),OR(FiltroResp="TODOS",FiltroResp="",PROCESSOS!I679=FiltroResp)),PROCESSOS!O679+ROW()/1000000,"")</f>
        <v/>
      </c>
      <c r="BG679" t="str">
        <f>IF(AND(PROCESSOS!B679&lt;&gt;"",ISNUMBER(PROCESSOS!D679),OR(FiltroResp="TODOS",FiltroResp="",PROCESSOS!I679=FiltroResp)),PROCESSOS!D679+ROW()/1000000,"")</f>
        <v/>
      </c>
    </row>
    <row r="680">
      <c r="BF680" t="str">
        <f>IF(AND(OR(PROCESSOS!Q680="NO PRAZO",PROCESSOS!Q680="VENCE EM BREVE"),OR(FiltroResp="TODOS",FiltroResp="",PROCESSOS!I680=FiltroResp)),PROCESSOS!O680+ROW()/1000000,"")</f>
        <v/>
      </c>
      <c r="BG680" t="str">
        <f>IF(AND(PROCESSOS!B680&lt;&gt;"",ISNUMBER(PROCESSOS!D680),OR(FiltroResp="TODOS",FiltroResp="",PROCESSOS!I680=FiltroResp)),PROCESSOS!D680+ROW()/1000000,"")</f>
        <v/>
      </c>
    </row>
    <row r="681">
      <c r="BF681" t="str">
        <f>IF(AND(OR(PROCESSOS!Q681="NO PRAZO",PROCESSOS!Q681="VENCE EM BREVE"),OR(FiltroResp="TODOS",FiltroResp="",PROCESSOS!I681=FiltroResp)),PROCESSOS!O681+ROW()/1000000,"")</f>
        <v/>
      </c>
      <c r="BG681" t="str">
        <f>IF(AND(PROCESSOS!B681&lt;&gt;"",ISNUMBER(PROCESSOS!D681),OR(FiltroResp="TODOS",FiltroResp="",PROCESSOS!I681=FiltroResp)),PROCESSOS!D681+ROW()/1000000,"")</f>
        <v/>
      </c>
    </row>
    <row r="682">
      <c r="BF682" t="str">
        <f>IF(AND(OR(PROCESSOS!Q682="NO PRAZO",PROCESSOS!Q682="VENCE EM BREVE"),OR(FiltroResp="TODOS",FiltroResp="",PROCESSOS!I682=FiltroResp)),PROCESSOS!O682+ROW()/1000000,"")</f>
        <v/>
      </c>
      <c r="BG682" t="str">
        <f>IF(AND(PROCESSOS!B682&lt;&gt;"",ISNUMBER(PROCESSOS!D682),OR(FiltroResp="TODOS",FiltroResp="",PROCESSOS!I682=FiltroResp)),PROCESSOS!D682+ROW()/1000000,"")</f>
        <v/>
      </c>
    </row>
    <row r="683">
      <c r="BF683" t="str">
        <f>IF(AND(OR(PROCESSOS!Q683="NO PRAZO",PROCESSOS!Q683="VENCE EM BREVE"),OR(FiltroResp="TODOS",FiltroResp="",PROCESSOS!I683=FiltroResp)),PROCESSOS!O683+ROW()/1000000,"")</f>
        <v/>
      </c>
      <c r="BG683" t="str">
        <f>IF(AND(PROCESSOS!B683&lt;&gt;"",ISNUMBER(PROCESSOS!D683),OR(FiltroResp="TODOS",FiltroResp="",PROCESSOS!I683=FiltroResp)),PROCESSOS!D683+ROW()/1000000,"")</f>
        <v/>
      </c>
    </row>
    <row r="684">
      <c r="BF684" t="str">
        <f>IF(AND(OR(PROCESSOS!Q684="NO PRAZO",PROCESSOS!Q684="VENCE EM BREVE"),OR(FiltroResp="TODOS",FiltroResp="",PROCESSOS!I684=FiltroResp)),PROCESSOS!O684+ROW()/1000000,"")</f>
        <v/>
      </c>
      <c r="BG684" t="str">
        <f>IF(AND(PROCESSOS!B684&lt;&gt;"",ISNUMBER(PROCESSOS!D684),OR(FiltroResp="TODOS",FiltroResp="",PROCESSOS!I684=FiltroResp)),PROCESSOS!D684+ROW()/1000000,"")</f>
        <v/>
      </c>
    </row>
    <row r="685">
      <c r="BF685" t="str">
        <f>IF(AND(OR(PROCESSOS!Q685="NO PRAZO",PROCESSOS!Q685="VENCE EM BREVE"),OR(FiltroResp="TODOS",FiltroResp="",PROCESSOS!I685=FiltroResp)),PROCESSOS!O685+ROW()/1000000,"")</f>
        <v/>
      </c>
      <c r="BG685" t="str">
        <f>IF(AND(PROCESSOS!B685&lt;&gt;"",ISNUMBER(PROCESSOS!D685),OR(FiltroResp="TODOS",FiltroResp="",PROCESSOS!I685=FiltroResp)),PROCESSOS!D685+ROW()/1000000,"")</f>
        <v/>
      </c>
    </row>
    <row r="686">
      <c r="BF686" t="str">
        <f>IF(AND(OR(PROCESSOS!Q686="NO PRAZO",PROCESSOS!Q686="VENCE EM BREVE"),OR(FiltroResp="TODOS",FiltroResp="",PROCESSOS!I686=FiltroResp)),PROCESSOS!O686+ROW()/1000000,"")</f>
        <v/>
      </c>
      <c r="BG686" t="str">
        <f>IF(AND(PROCESSOS!B686&lt;&gt;"",ISNUMBER(PROCESSOS!D686),OR(FiltroResp="TODOS",FiltroResp="",PROCESSOS!I686=FiltroResp)),PROCESSOS!D686+ROW()/1000000,"")</f>
        <v/>
      </c>
    </row>
    <row r="687">
      <c r="BF687" t="str">
        <f>IF(AND(OR(PROCESSOS!Q687="NO PRAZO",PROCESSOS!Q687="VENCE EM BREVE"),OR(FiltroResp="TODOS",FiltroResp="",PROCESSOS!I687=FiltroResp)),PROCESSOS!O687+ROW()/1000000,"")</f>
        <v/>
      </c>
      <c r="BG687" t="str">
        <f>IF(AND(PROCESSOS!B687&lt;&gt;"",ISNUMBER(PROCESSOS!D687),OR(FiltroResp="TODOS",FiltroResp="",PROCESSOS!I687=FiltroResp)),PROCESSOS!D687+ROW()/1000000,"")</f>
        <v/>
      </c>
    </row>
    <row r="688">
      <c r="BF688" t="str">
        <f>IF(AND(OR(PROCESSOS!Q688="NO PRAZO",PROCESSOS!Q688="VENCE EM BREVE"),OR(FiltroResp="TODOS",FiltroResp="",PROCESSOS!I688=FiltroResp)),PROCESSOS!O688+ROW()/1000000,"")</f>
        <v/>
      </c>
      <c r="BG688" t="str">
        <f>IF(AND(PROCESSOS!B688&lt;&gt;"",ISNUMBER(PROCESSOS!D688),OR(FiltroResp="TODOS",FiltroResp="",PROCESSOS!I688=FiltroResp)),PROCESSOS!D688+ROW()/1000000,"")</f>
        <v/>
      </c>
    </row>
    <row r="689">
      <c r="BF689" t="str">
        <f>IF(AND(OR(PROCESSOS!Q689="NO PRAZO",PROCESSOS!Q689="VENCE EM BREVE"),OR(FiltroResp="TODOS",FiltroResp="",PROCESSOS!I689=FiltroResp)),PROCESSOS!O689+ROW()/1000000,"")</f>
        <v/>
      </c>
      <c r="BG689" t="str">
        <f>IF(AND(PROCESSOS!B689&lt;&gt;"",ISNUMBER(PROCESSOS!D689),OR(FiltroResp="TODOS",FiltroResp="",PROCESSOS!I689=FiltroResp)),PROCESSOS!D689+ROW()/1000000,"")</f>
        <v/>
      </c>
    </row>
    <row r="690">
      <c r="BF690" t="str">
        <f>IF(AND(OR(PROCESSOS!Q690="NO PRAZO",PROCESSOS!Q690="VENCE EM BREVE"),OR(FiltroResp="TODOS",FiltroResp="",PROCESSOS!I690=FiltroResp)),PROCESSOS!O690+ROW()/1000000,"")</f>
        <v/>
      </c>
      <c r="BG690" t="str">
        <f>IF(AND(PROCESSOS!B690&lt;&gt;"",ISNUMBER(PROCESSOS!D690),OR(FiltroResp="TODOS",FiltroResp="",PROCESSOS!I690=FiltroResp)),PROCESSOS!D690+ROW()/1000000,"")</f>
        <v/>
      </c>
    </row>
    <row r="691">
      <c r="BF691" t="str">
        <f>IF(AND(OR(PROCESSOS!Q691="NO PRAZO",PROCESSOS!Q691="VENCE EM BREVE"),OR(FiltroResp="TODOS",FiltroResp="",PROCESSOS!I691=FiltroResp)),PROCESSOS!O691+ROW()/1000000,"")</f>
        <v/>
      </c>
      <c r="BG691" t="str">
        <f>IF(AND(PROCESSOS!B691&lt;&gt;"",ISNUMBER(PROCESSOS!D691),OR(FiltroResp="TODOS",FiltroResp="",PROCESSOS!I691=FiltroResp)),PROCESSOS!D691+ROW()/1000000,"")</f>
        <v/>
      </c>
    </row>
    <row r="692">
      <c r="BF692" t="str">
        <f>IF(AND(OR(PROCESSOS!Q692="NO PRAZO",PROCESSOS!Q692="VENCE EM BREVE"),OR(FiltroResp="TODOS",FiltroResp="",PROCESSOS!I692=FiltroResp)),PROCESSOS!O692+ROW()/1000000,"")</f>
        <v/>
      </c>
      <c r="BG692" t="str">
        <f>IF(AND(PROCESSOS!B692&lt;&gt;"",ISNUMBER(PROCESSOS!D692),OR(FiltroResp="TODOS",FiltroResp="",PROCESSOS!I692=FiltroResp)),PROCESSOS!D692+ROW()/1000000,"")</f>
        <v/>
      </c>
    </row>
    <row r="693">
      <c r="BF693" t="str">
        <f>IF(AND(OR(PROCESSOS!Q693="NO PRAZO",PROCESSOS!Q693="VENCE EM BREVE"),OR(FiltroResp="TODOS",FiltroResp="",PROCESSOS!I693=FiltroResp)),PROCESSOS!O693+ROW()/1000000,"")</f>
        <v/>
      </c>
      <c r="BG693" t="str">
        <f>IF(AND(PROCESSOS!B693&lt;&gt;"",ISNUMBER(PROCESSOS!D693),OR(FiltroResp="TODOS",FiltroResp="",PROCESSOS!I693=FiltroResp)),PROCESSOS!D693+ROW()/1000000,"")</f>
        <v/>
      </c>
    </row>
    <row r="694">
      <c r="BF694" t="str">
        <f>IF(AND(OR(PROCESSOS!Q694="NO PRAZO",PROCESSOS!Q694="VENCE EM BREVE"),OR(FiltroResp="TODOS",FiltroResp="",PROCESSOS!I694=FiltroResp)),PROCESSOS!O694+ROW()/1000000,"")</f>
        <v/>
      </c>
      <c r="BG694" t="str">
        <f>IF(AND(PROCESSOS!B694&lt;&gt;"",ISNUMBER(PROCESSOS!D694),OR(FiltroResp="TODOS",FiltroResp="",PROCESSOS!I694=FiltroResp)),PROCESSOS!D694+ROW()/1000000,"")</f>
        <v/>
      </c>
    </row>
    <row r="695">
      <c r="BF695" t="str">
        <f>IF(AND(OR(PROCESSOS!Q695="NO PRAZO",PROCESSOS!Q695="VENCE EM BREVE"),OR(FiltroResp="TODOS",FiltroResp="",PROCESSOS!I695=FiltroResp)),PROCESSOS!O695+ROW()/1000000,"")</f>
        <v/>
      </c>
      <c r="BG695" t="str">
        <f>IF(AND(PROCESSOS!B695&lt;&gt;"",ISNUMBER(PROCESSOS!D695),OR(FiltroResp="TODOS",FiltroResp="",PROCESSOS!I695=FiltroResp)),PROCESSOS!D695+ROW()/1000000,"")</f>
        <v/>
      </c>
    </row>
    <row r="696">
      <c r="BF696" t="str">
        <f>IF(AND(OR(PROCESSOS!Q696="NO PRAZO",PROCESSOS!Q696="VENCE EM BREVE"),OR(FiltroResp="TODOS",FiltroResp="",PROCESSOS!I696=FiltroResp)),PROCESSOS!O696+ROW()/1000000,"")</f>
        <v/>
      </c>
      <c r="BG696" t="str">
        <f>IF(AND(PROCESSOS!B696&lt;&gt;"",ISNUMBER(PROCESSOS!D696),OR(FiltroResp="TODOS",FiltroResp="",PROCESSOS!I696=FiltroResp)),PROCESSOS!D696+ROW()/1000000,"")</f>
        <v/>
      </c>
    </row>
    <row r="697">
      <c r="BF697" t="str">
        <f>IF(AND(OR(PROCESSOS!Q697="NO PRAZO",PROCESSOS!Q697="VENCE EM BREVE"),OR(FiltroResp="TODOS",FiltroResp="",PROCESSOS!I697=FiltroResp)),PROCESSOS!O697+ROW()/1000000,"")</f>
        <v/>
      </c>
      <c r="BG697" t="str">
        <f>IF(AND(PROCESSOS!B697&lt;&gt;"",ISNUMBER(PROCESSOS!D697),OR(FiltroResp="TODOS",FiltroResp="",PROCESSOS!I697=FiltroResp)),PROCESSOS!D697+ROW()/1000000,"")</f>
        <v/>
      </c>
    </row>
    <row r="698">
      <c r="BF698" t="str">
        <f>IF(AND(OR(PROCESSOS!Q698="NO PRAZO",PROCESSOS!Q698="VENCE EM BREVE"),OR(FiltroResp="TODOS",FiltroResp="",PROCESSOS!I698=FiltroResp)),PROCESSOS!O698+ROW()/1000000,"")</f>
        <v/>
      </c>
      <c r="BG698" t="str">
        <f>IF(AND(PROCESSOS!B698&lt;&gt;"",ISNUMBER(PROCESSOS!D698),OR(FiltroResp="TODOS",FiltroResp="",PROCESSOS!I698=FiltroResp)),PROCESSOS!D698+ROW()/1000000,"")</f>
        <v/>
      </c>
    </row>
    <row r="699">
      <c r="BF699" t="str">
        <f>IF(AND(OR(PROCESSOS!Q699="NO PRAZO",PROCESSOS!Q699="VENCE EM BREVE"),OR(FiltroResp="TODOS",FiltroResp="",PROCESSOS!I699=FiltroResp)),PROCESSOS!O699+ROW()/1000000,"")</f>
        <v/>
      </c>
      <c r="BG699" t="str">
        <f>IF(AND(PROCESSOS!B699&lt;&gt;"",ISNUMBER(PROCESSOS!D699),OR(FiltroResp="TODOS",FiltroResp="",PROCESSOS!I699=FiltroResp)),PROCESSOS!D699+ROW()/1000000,"")</f>
        <v/>
      </c>
    </row>
    <row r="700">
      <c r="BF700" t="str">
        <f>IF(AND(OR(PROCESSOS!Q700="NO PRAZO",PROCESSOS!Q700="VENCE EM BREVE"),OR(FiltroResp="TODOS",FiltroResp="",PROCESSOS!I700=FiltroResp)),PROCESSOS!O700+ROW()/1000000,"")</f>
        <v/>
      </c>
      <c r="BG700" t="str">
        <f>IF(AND(PROCESSOS!B700&lt;&gt;"",ISNUMBER(PROCESSOS!D700),OR(FiltroResp="TODOS",FiltroResp="",PROCESSOS!I700=FiltroResp)),PROCESSOS!D700+ROW()/1000000,"")</f>
        <v/>
      </c>
    </row>
    <row r="701">
      <c r="BF701" t="str">
        <f>IF(AND(OR(PROCESSOS!Q701="NO PRAZO",PROCESSOS!Q701="VENCE EM BREVE"),OR(FiltroResp="TODOS",FiltroResp="",PROCESSOS!I701=FiltroResp)),PROCESSOS!O701+ROW()/1000000,"")</f>
        <v/>
      </c>
      <c r="BG701" t="str">
        <f>IF(AND(PROCESSOS!B701&lt;&gt;"",ISNUMBER(PROCESSOS!D701),OR(FiltroResp="TODOS",FiltroResp="",PROCESSOS!I701=FiltroResp)),PROCESSOS!D701+ROW()/1000000,"")</f>
        <v/>
      </c>
    </row>
    <row r="702">
      <c r="BF702" t="str">
        <f>IF(AND(OR(PROCESSOS!Q702="NO PRAZO",PROCESSOS!Q702="VENCE EM BREVE"),OR(FiltroResp="TODOS",FiltroResp="",PROCESSOS!I702=FiltroResp)),PROCESSOS!O702+ROW()/1000000,"")</f>
        <v/>
      </c>
      <c r="BG702" t="str">
        <f>IF(AND(PROCESSOS!B702&lt;&gt;"",ISNUMBER(PROCESSOS!D702),OR(FiltroResp="TODOS",FiltroResp="",PROCESSOS!I702=FiltroResp)),PROCESSOS!D702+ROW()/1000000,"")</f>
        <v/>
      </c>
    </row>
    <row r="703">
      <c r="BF703" t="str">
        <f>IF(AND(OR(PROCESSOS!Q703="NO PRAZO",PROCESSOS!Q703="VENCE EM BREVE"),OR(FiltroResp="TODOS",FiltroResp="",PROCESSOS!I703=FiltroResp)),PROCESSOS!O703+ROW()/1000000,"")</f>
        <v/>
      </c>
      <c r="BG703" t="str">
        <f>IF(AND(PROCESSOS!B703&lt;&gt;"",ISNUMBER(PROCESSOS!D703),OR(FiltroResp="TODOS",FiltroResp="",PROCESSOS!I703=FiltroResp)),PROCESSOS!D703+ROW()/1000000,"")</f>
        <v/>
      </c>
    </row>
    <row r="704">
      <c r="BF704" t="str">
        <f>IF(AND(OR(PROCESSOS!Q704="NO PRAZO",PROCESSOS!Q704="VENCE EM BREVE"),OR(FiltroResp="TODOS",FiltroResp="",PROCESSOS!I704=FiltroResp)),PROCESSOS!O704+ROW()/1000000,"")</f>
        <v/>
      </c>
      <c r="BG704" t="str">
        <f>IF(AND(PROCESSOS!B704&lt;&gt;"",ISNUMBER(PROCESSOS!D704),OR(FiltroResp="TODOS",FiltroResp="",PROCESSOS!I704=FiltroResp)),PROCESSOS!D704+ROW()/1000000,"")</f>
        <v/>
      </c>
    </row>
    <row r="705">
      <c r="BF705" t="str">
        <f>IF(AND(OR(PROCESSOS!Q705="NO PRAZO",PROCESSOS!Q705="VENCE EM BREVE"),OR(FiltroResp="TODOS",FiltroResp="",PROCESSOS!I705=FiltroResp)),PROCESSOS!O705+ROW()/1000000,"")</f>
        <v/>
      </c>
      <c r="BG705" t="str">
        <f>IF(AND(PROCESSOS!B705&lt;&gt;"",ISNUMBER(PROCESSOS!D705),OR(FiltroResp="TODOS",FiltroResp="",PROCESSOS!I705=FiltroResp)),PROCESSOS!D705+ROW()/1000000,"")</f>
        <v/>
      </c>
    </row>
    <row r="706">
      <c r="BF706" t="str">
        <f>IF(AND(OR(PROCESSOS!Q706="NO PRAZO",PROCESSOS!Q706="VENCE EM BREVE"),OR(FiltroResp="TODOS",FiltroResp="",PROCESSOS!I706=FiltroResp)),PROCESSOS!O706+ROW()/1000000,"")</f>
        <v/>
      </c>
      <c r="BG706" t="str">
        <f>IF(AND(PROCESSOS!B706&lt;&gt;"",ISNUMBER(PROCESSOS!D706),OR(FiltroResp="TODOS",FiltroResp="",PROCESSOS!I706=FiltroResp)),PROCESSOS!D706+ROW()/1000000,"")</f>
        <v/>
      </c>
    </row>
    <row r="707">
      <c r="BF707" t="str">
        <f>IF(AND(OR(PROCESSOS!Q707="NO PRAZO",PROCESSOS!Q707="VENCE EM BREVE"),OR(FiltroResp="TODOS",FiltroResp="",PROCESSOS!I707=FiltroResp)),PROCESSOS!O707+ROW()/1000000,"")</f>
        <v/>
      </c>
      <c r="BG707" t="str">
        <f>IF(AND(PROCESSOS!B707&lt;&gt;"",ISNUMBER(PROCESSOS!D707),OR(FiltroResp="TODOS",FiltroResp="",PROCESSOS!I707=FiltroResp)),PROCESSOS!D707+ROW()/1000000,"")</f>
        <v/>
      </c>
    </row>
    <row r="708">
      <c r="BF708" t="str">
        <f>IF(AND(OR(PROCESSOS!Q708="NO PRAZO",PROCESSOS!Q708="VENCE EM BREVE"),OR(FiltroResp="TODOS",FiltroResp="",PROCESSOS!I708=FiltroResp)),PROCESSOS!O708+ROW()/1000000,"")</f>
        <v/>
      </c>
      <c r="BG708" t="str">
        <f>IF(AND(PROCESSOS!B708&lt;&gt;"",ISNUMBER(PROCESSOS!D708),OR(FiltroResp="TODOS",FiltroResp="",PROCESSOS!I708=FiltroResp)),PROCESSOS!D708+ROW()/1000000,"")</f>
        <v/>
      </c>
    </row>
    <row r="709">
      <c r="BF709" t="str">
        <f>IF(AND(OR(PROCESSOS!Q709="NO PRAZO",PROCESSOS!Q709="VENCE EM BREVE"),OR(FiltroResp="TODOS",FiltroResp="",PROCESSOS!I709=FiltroResp)),PROCESSOS!O709+ROW()/1000000,"")</f>
        <v/>
      </c>
      <c r="BG709" t="str">
        <f>IF(AND(PROCESSOS!B709&lt;&gt;"",ISNUMBER(PROCESSOS!D709),OR(FiltroResp="TODOS",FiltroResp="",PROCESSOS!I709=FiltroResp)),PROCESSOS!D709+ROW()/1000000,"")</f>
        <v/>
      </c>
    </row>
    <row r="710">
      <c r="BF710" t="str">
        <f>IF(AND(OR(PROCESSOS!Q710="NO PRAZO",PROCESSOS!Q710="VENCE EM BREVE"),OR(FiltroResp="TODOS",FiltroResp="",PROCESSOS!I710=FiltroResp)),PROCESSOS!O710+ROW()/1000000,"")</f>
        <v/>
      </c>
      <c r="BG710" t="str">
        <f>IF(AND(PROCESSOS!B710&lt;&gt;"",ISNUMBER(PROCESSOS!D710),OR(FiltroResp="TODOS",FiltroResp="",PROCESSOS!I710=FiltroResp)),PROCESSOS!D710+ROW()/1000000,"")</f>
        <v/>
      </c>
    </row>
    <row r="711">
      <c r="BF711" t="str">
        <f>IF(AND(OR(PROCESSOS!Q711="NO PRAZO",PROCESSOS!Q711="VENCE EM BREVE"),OR(FiltroResp="TODOS",FiltroResp="",PROCESSOS!I711=FiltroResp)),PROCESSOS!O711+ROW()/1000000,"")</f>
        <v/>
      </c>
      <c r="BG711" t="str">
        <f>IF(AND(PROCESSOS!B711&lt;&gt;"",ISNUMBER(PROCESSOS!D711),OR(FiltroResp="TODOS",FiltroResp="",PROCESSOS!I711=FiltroResp)),PROCESSOS!D711+ROW()/1000000,"")</f>
        <v/>
      </c>
    </row>
    <row r="712">
      <c r="BF712" t="str">
        <f>IF(AND(OR(PROCESSOS!Q712="NO PRAZO",PROCESSOS!Q712="VENCE EM BREVE"),OR(FiltroResp="TODOS",FiltroResp="",PROCESSOS!I712=FiltroResp)),PROCESSOS!O712+ROW()/1000000,"")</f>
        <v/>
      </c>
      <c r="BG712" t="str">
        <f>IF(AND(PROCESSOS!B712&lt;&gt;"",ISNUMBER(PROCESSOS!D712),OR(FiltroResp="TODOS",FiltroResp="",PROCESSOS!I712=FiltroResp)),PROCESSOS!D712+ROW()/1000000,"")</f>
        <v/>
      </c>
    </row>
    <row r="713">
      <c r="BF713" t="str">
        <f>IF(AND(OR(PROCESSOS!Q713="NO PRAZO",PROCESSOS!Q713="VENCE EM BREVE"),OR(FiltroResp="TODOS",FiltroResp="",PROCESSOS!I713=FiltroResp)),PROCESSOS!O713+ROW()/1000000,"")</f>
        <v/>
      </c>
      <c r="BG713" t="str">
        <f>IF(AND(PROCESSOS!B713&lt;&gt;"",ISNUMBER(PROCESSOS!D713),OR(FiltroResp="TODOS",FiltroResp="",PROCESSOS!I713=FiltroResp)),PROCESSOS!D713+ROW()/1000000,"")</f>
        <v/>
      </c>
    </row>
    <row r="714">
      <c r="BF714" t="str">
        <f>IF(AND(OR(PROCESSOS!Q714="NO PRAZO",PROCESSOS!Q714="VENCE EM BREVE"),OR(FiltroResp="TODOS",FiltroResp="",PROCESSOS!I714=FiltroResp)),PROCESSOS!O714+ROW()/1000000,"")</f>
        <v/>
      </c>
      <c r="BG714" t="str">
        <f>IF(AND(PROCESSOS!B714&lt;&gt;"",ISNUMBER(PROCESSOS!D714),OR(FiltroResp="TODOS",FiltroResp="",PROCESSOS!I714=FiltroResp)),PROCESSOS!D714+ROW()/1000000,"")</f>
        <v/>
      </c>
    </row>
    <row r="715">
      <c r="BF715" t="str">
        <f>IF(AND(OR(PROCESSOS!Q715="NO PRAZO",PROCESSOS!Q715="VENCE EM BREVE"),OR(FiltroResp="TODOS",FiltroResp="",PROCESSOS!I715=FiltroResp)),PROCESSOS!O715+ROW()/1000000,"")</f>
        <v/>
      </c>
      <c r="BG715" t="str">
        <f>IF(AND(PROCESSOS!B715&lt;&gt;"",ISNUMBER(PROCESSOS!D715),OR(FiltroResp="TODOS",FiltroResp="",PROCESSOS!I715=FiltroResp)),PROCESSOS!D715+ROW()/1000000,"")</f>
        <v/>
      </c>
    </row>
    <row r="716">
      <c r="BF716" t="str">
        <f>IF(AND(OR(PROCESSOS!Q716="NO PRAZO",PROCESSOS!Q716="VENCE EM BREVE"),OR(FiltroResp="TODOS",FiltroResp="",PROCESSOS!I716=FiltroResp)),PROCESSOS!O716+ROW()/1000000,"")</f>
        <v/>
      </c>
      <c r="BG716" t="str">
        <f>IF(AND(PROCESSOS!B716&lt;&gt;"",ISNUMBER(PROCESSOS!D716),OR(FiltroResp="TODOS",FiltroResp="",PROCESSOS!I716=FiltroResp)),PROCESSOS!D716+ROW()/1000000,"")</f>
        <v/>
      </c>
    </row>
    <row r="717">
      <c r="BF717" t="str">
        <f>IF(AND(OR(PROCESSOS!Q717="NO PRAZO",PROCESSOS!Q717="VENCE EM BREVE"),OR(FiltroResp="TODOS",FiltroResp="",PROCESSOS!I717=FiltroResp)),PROCESSOS!O717+ROW()/1000000,"")</f>
        <v/>
      </c>
      <c r="BG717" t="str">
        <f>IF(AND(PROCESSOS!B717&lt;&gt;"",ISNUMBER(PROCESSOS!D717),OR(FiltroResp="TODOS",FiltroResp="",PROCESSOS!I717=FiltroResp)),PROCESSOS!D717+ROW()/1000000,"")</f>
        <v/>
      </c>
    </row>
    <row r="718">
      <c r="BF718" t="str">
        <f>IF(AND(OR(PROCESSOS!Q718="NO PRAZO",PROCESSOS!Q718="VENCE EM BREVE"),OR(FiltroResp="TODOS",FiltroResp="",PROCESSOS!I718=FiltroResp)),PROCESSOS!O718+ROW()/1000000,"")</f>
        <v/>
      </c>
      <c r="BG718" t="str">
        <f>IF(AND(PROCESSOS!B718&lt;&gt;"",ISNUMBER(PROCESSOS!D718),OR(FiltroResp="TODOS",FiltroResp="",PROCESSOS!I718=FiltroResp)),PROCESSOS!D718+ROW()/1000000,"")</f>
        <v/>
      </c>
    </row>
    <row r="719">
      <c r="BF719" t="str">
        <f>IF(AND(OR(PROCESSOS!Q719="NO PRAZO",PROCESSOS!Q719="VENCE EM BREVE"),OR(FiltroResp="TODOS",FiltroResp="",PROCESSOS!I719=FiltroResp)),PROCESSOS!O719+ROW()/1000000,"")</f>
        <v/>
      </c>
      <c r="BG719" t="str">
        <f>IF(AND(PROCESSOS!B719&lt;&gt;"",ISNUMBER(PROCESSOS!D719),OR(FiltroResp="TODOS",FiltroResp="",PROCESSOS!I719=FiltroResp)),PROCESSOS!D719+ROW()/1000000,"")</f>
        <v/>
      </c>
    </row>
    <row r="720">
      <c r="BF720" t="str">
        <f>IF(AND(OR(PROCESSOS!Q720="NO PRAZO",PROCESSOS!Q720="VENCE EM BREVE"),OR(FiltroResp="TODOS",FiltroResp="",PROCESSOS!I720=FiltroResp)),PROCESSOS!O720+ROW()/1000000,"")</f>
        <v/>
      </c>
      <c r="BG720" t="str">
        <f>IF(AND(PROCESSOS!B720&lt;&gt;"",ISNUMBER(PROCESSOS!D720),OR(FiltroResp="TODOS",FiltroResp="",PROCESSOS!I720=FiltroResp)),PROCESSOS!D720+ROW()/1000000,"")</f>
        <v/>
      </c>
    </row>
    <row r="721">
      <c r="BF721" t="str">
        <f>IF(AND(OR(PROCESSOS!Q721="NO PRAZO",PROCESSOS!Q721="VENCE EM BREVE"),OR(FiltroResp="TODOS",FiltroResp="",PROCESSOS!I721=FiltroResp)),PROCESSOS!O721+ROW()/1000000,"")</f>
        <v/>
      </c>
      <c r="BG721" t="str">
        <f>IF(AND(PROCESSOS!B721&lt;&gt;"",ISNUMBER(PROCESSOS!D721),OR(FiltroResp="TODOS",FiltroResp="",PROCESSOS!I721=FiltroResp)),PROCESSOS!D721+ROW()/1000000,"")</f>
        <v/>
      </c>
    </row>
    <row r="722">
      <c r="BF722" t="str">
        <f>IF(AND(OR(PROCESSOS!Q722="NO PRAZO",PROCESSOS!Q722="VENCE EM BREVE"),OR(FiltroResp="TODOS",FiltroResp="",PROCESSOS!I722=FiltroResp)),PROCESSOS!O722+ROW()/1000000,"")</f>
        <v/>
      </c>
      <c r="BG722" t="str">
        <f>IF(AND(PROCESSOS!B722&lt;&gt;"",ISNUMBER(PROCESSOS!D722),OR(FiltroResp="TODOS",FiltroResp="",PROCESSOS!I722=FiltroResp)),PROCESSOS!D722+ROW()/1000000,"")</f>
        <v/>
      </c>
    </row>
    <row r="723">
      <c r="BF723" t="str">
        <f>IF(AND(OR(PROCESSOS!Q723="NO PRAZO",PROCESSOS!Q723="VENCE EM BREVE"),OR(FiltroResp="TODOS",FiltroResp="",PROCESSOS!I723=FiltroResp)),PROCESSOS!O723+ROW()/1000000,"")</f>
        <v/>
      </c>
      <c r="BG723" t="str">
        <f>IF(AND(PROCESSOS!B723&lt;&gt;"",ISNUMBER(PROCESSOS!D723),OR(FiltroResp="TODOS",FiltroResp="",PROCESSOS!I723=FiltroResp)),PROCESSOS!D723+ROW()/1000000,"")</f>
        <v/>
      </c>
    </row>
    <row r="724">
      <c r="BF724" t="str">
        <f>IF(AND(OR(PROCESSOS!Q724="NO PRAZO",PROCESSOS!Q724="VENCE EM BREVE"),OR(FiltroResp="TODOS",FiltroResp="",PROCESSOS!I724=FiltroResp)),PROCESSOS!O724+ROW()/1000000,"")</f>
        <v/>
      </c>
      <c r="BG724" t="str">
        <f>IF(AND(PROCESSOS!B724&lt;&gt;"",ISNUMBER(PROCESSOS!D724),OR(FiltroResp="TODOS",FiltroResp="",PROCESSOS!I724=FiltroResp)),PROCESSOS!D724+ROW()/1000000,"")</f>
        <v/>
      </c>
    </row>
    <row r="725">
      <c r="BF725" t="str">
        <f>IF(AND(OR(PROCESSOS!Q725="NO PRAZO",PROCESSOS!Q725="VENCE EM BREVE"),OR(FiltroResp="TODOS",FiltroResp="",PROCESSOS!I725=FiltroResp)),PROCESSOS!O725+ROW()/1000000,"")</f>
        <v/>
      </c>
      <c r="BG725" t="str">
        <f>IF(AND(PROCESSOS!B725&lt;&gt;"",ISNUMBER(PROCESSOS!D725),OR(FiltroResp="TODOS",FiltroResp="",PROCESSOS!I725=FiltroResp)),PROCESSOS!D725+ROW()/1000000,"")</f>
        <v/>
      </c>
    </row>
    <row r="726">
      <c r="BF726" t="str">
        <f>IF(AND(OR(PROCESSOS!Q726="NO PRAZO",PROCESSOS!Q726="VENCE EM BREVE"),OR(FiltroResp="TODOS",FiltroResp="",PROCESSOS!I726=FiltroResp)),PROCESSOS!O726+ROW()/1000000,"")</f>
        <v/>
      </c>
      <c r="BG726" t="str">
        <f>IF(AND(PROCESSOS!B726&lt;&gt;"",ISNUMBER(PROCESSOS!D726),OR(FiltroResp="TODOS",FiltroResp="",PROCESSOS!I726=FiltroResp)),PROCESSOS!D726+ROW()/1000000,"")</f>
        <v/>
      </c>
    </row>
    <row r="727">
      <c r="BF727" t="str">
        <f>IF(AND(OR(PROCESSOS!Q727="NO PRAZO",PROCESSOS!Q727="VENCE EM BREVE"),OR(FiltroResp="TODOS",FiltroResp="",PROCESSOS!I727=FiltroResp)),PROCESSOS!O727+ROW()/1000000,"")</f>
        <v/>
      </c>
      <c r="BG727" t="str">
        <f>IF(AND(PROCESSOS!B727&lt;&gt;"",ISNUMBER(PROCESSOS!D727),OR(FiltroResp="TODOS",FiltroResp="",PROCESSOS!I727=FiltroResp)),PROCESSOS!D727+ROW()/1000000,"")</f>
        <v/>
      </c>
    </row>
    <row r="728">
      <c r="BF728" t="str">
        <f>IF(AND(OR(PROCESSOS!Q728="NO PRAZO",PROCESSOS!Q728="VENCE EM BREVE"),OR(FiltroResp="TODOS",FiltroResp="",PROCESSOS!I728=FiltroResp)),PROCESSOS!O728+ROW()/1000000,"")</f>
        <v/>
      </c>
      <c r="BG728" t="str">
        <f>IF(AND(PROCESSOS!B728&lt;&gt;"",ISNUMBER(PROCESSOS!D728),OR(FiltroResp="TODOS",FiltroResp="",PROCESSOS!I728=FiltroResp)),PROCESSOS!D728+ROW()/1000000,"")</f>
        <v/>
      </c>
    </row>
    <row r="729">
      <c r="BF729" t="str">
        <f>IF(AND(OR(PROCESSOS!Q729="NO PRAZO",PROCESSOS!Q729="VENCE EM BREVE"),OR(FiltroResp="TODOS",FiltroResp="",PROCESSOS!I729=FiltroResp)),PROCESSOS!O729+ROW()/1000000,"")</f>
        <v/>
      </c>
      <c r="BG729" t="str">
        <f>IF(AND(PROCESSOS!B729&lt;&gt;"",ISNUMBER(PROCESSOS!D729),OR(FiltroResp="TODOS",FiltroResp="",PROCESSOS!I729=FiltroResp)),PROCESSOS!D729+ROW()/1000000,"")</f>
        <v/>
      </c>
    </row>
    <row r="730">
      <c r="BF730" t="str">
        <f>IF(AND(OR(PROCESSOS!Q730="NO PRAZO",PROCESSOS!Q730="VENCE EM BREVE"),OR(FiltroResp="TODOS",FiltroResp="",PROCESSOS!I730=FiltroResp)),PROCESSOS!O730+ROW()/1000000,"")</f>
        <v/>
      </c>
      <c r="BG730" t="str">
        <f>IF(AND(PROCESSOS!B730&lt;&gt;"",ISNUMBER(PROCESSOS!D730),OR(FiltroResp="TODOS",FiltroResp="",PROCESSOS!I730=FiltroResp)),PROCESSOS!D730+ROW()/1000000,"")</f>
        <v/>
      </c>
    </row>
    <row r="731">
      <c r="BF731" t="str">
        <f>IF(AND(OR(PROCESSOS!Q731="NO PRAZO",PROCESSOS!Q731="VENCE EM BREVE"),OR(FiltroResp="TODOS",FiltroResp="",PROCESSOS!I731=FiltroResp)),PROCESSOS!O731+ROW()/1000000,"")</f>
        <v/>
      </c>
      <c r="BG731" t="str">
        <f>IF(AND(PROCESSOS!B731&lt;&gt;"",ISNUMBER(PROCESSOS!D731),OR(FiltroResp="TODOS",FiltroResp="",PROCESSOS!I731=FiltroResp)),PROCESSOS!D731+ROW()/1000000,"")</f>
        <v/>
      </c>
    </row>
    <row r="732">
      <c r="BF732" t="str">
        <f>IF(AND(OR(PROCESSOS!Q732="NO PRAZO",PROCESSOS!Q732="VENCE EM BREVE"),OR(FiltroResp="TODOS",FiltroResp="",PROCESSOS!I732=FiltroResp)),PROCESSOS!O732+ROW()/1000000,"")</f>
        <v/>
      </c>
      <c r="BG732" t="str">
        <f>IF(AND(PROCESSOS!B732&lt;&gt;"",ISNUMBER(PROCESSOS!D732),OR(FiltroResp="TODOS",FiltroResp="",PROCESSOS!I732=FiltroResp)),PROCESSOS!D732+ROW()/1000000,"")</f>
        <v/>
      </c>
    </row>
    <row r="733">
      <c r="BF733" t="str">
        <f>IF(AND(OR(PROCESSOS!Q733="NO PRAZO",PROCESSOS!Q733="VENCE EM BREVE"),OR(FiltroResp="TODOS",FiltroResp="",PROCESSOS!I733=FiltroResp)),PROCESSOS!O733+ROW()/1000000,"")</f>
        <v/>
      </c>
      <c r="BG733" t="str">
        <f>IF(AND(PROCESSOS!B733&lt;&gt;"",ISNUMBER(PROCESSOS!D733),OR(FiltroResp="TODOS",FiltroResp="",PROCESSOS!I733=FiltroResp)),PROCESSOS!D733+ROW()/1000000,"")</f>
        <v/>
      </c>
    </row>
    <row r="734">
      <c r="BF734" t="str">
        <f>IF(AND(OR(PROCESSOS!Q734="NO PRAZO",PROCESSOS!Q734="VENCE EM BREVE"),OR(FiltroResp="TODOS",FiltroResp="",PROCESSOS!I734=FiltroResp)),PROCESSOS!O734+ROW()/1000000,"")</f>
        <v/>
      </c>
      <c r="BG734" t="str">
        <f>IF(AND(PROCESSOS!B734&lt;&gt;"",ISNUMBER(PROCESSOS!D734),OR(FiltroResp="TODOS",FiltroResp="",PROCESSOS!I734=FiltroResp)),PROCESSOS!D734+ROW()/1000000,"")</f>
        <v/>
      </c>
    </row>
    <row r="735">
      <c r="BF735" t="str">
        <f>IF(AND(OR(PROCESSOS!Q735="NO PRAZO",PROCESSOS!Q735="VENCE EM BREVE"),OR(FiltroResp="TODOS",FiltroResp="",PROCESSOS!I735=FiltroResp)),PROCESSOS!O735+ROW()/1000000,"")</f>
        <v/>
      </c>
      <c r="BG735" t="str">
        <f>IF(AND(PROCESSOS!B735&lt;&gt;"",ISNUMBER(PROCESSOS!D735),OR(FiltroResp="TODOS",FiltroResp="",PROCESSOS!I735=FiltroResp)),PROCESSOS!D735+ROW()/1000000,"")</f>
        <v/>
      </c>
    </row>
    <row r="736">
      <c r="BF736" t="str">
        <f>IF(AND(OR(PROCESSOS!Q736="NO PRAZO",PROCESSOS!Q736="VENCE EM BREVE"),OR(FiltroResp="TODOS",FiltroResp="",PROCESSOS!I736=FiltroResp)),PROCESSOS!O736+ROW()/1000000,"")</f>
        <v/>
      </c>
      <c r="BG736" t="str">
        <f>IF(AND(PROCESSOS!B736&lt;&gt;"",ISNUMBER(PROCESSOS!D736),OR(FiltroResp="TODOS",FiltroResp="",PROCESSOS!I736=FiltroResp)),PROCESSOS!D736+ROW()/1000000,"")</f>
        <v/>
      </c>
    </row>
    <row r="737">
      <c r="BF737" t="str">
        <f>IF(AND(OR(PROCESSOS!Q737="NO PRAZO",PROCESSOS!Q737="VENCE EM BREVE"),OR(FiltroResp="TODOS",FiltroResp="",PROCESSOS!I737=FiltroResp)),PROCESSOS!O737+ROW()/1000000,"")</f>
        <v/>
      </c>
      <c r="BG737" t="str">
        <f>IF(AND(PROCESSOS!B737&lt;&gt;"",ISNUMBER(PROCESSOS!D737),OR(FiltroResp="TODOS",FiltroResp="",PROCESSOS!I737=FiltroResp)),PROCESSOS!D737+ROW()/1000000,"")</f>
        <v/>
      </c>
    </row>
    <row r="738">
      <c r="BF738" t="str">
        <f>IF(AND(OR(PROCESSOS!Q738="NO PRAZO",PROCESSOS!Q738="VENCE EM BREVE"),OR(FiltroResp="TODOS",FiltroResp="",PROCESSOS!I738=FiltroResp)),PROCESSOS!O738+ROW()/1000000,"")</f>
        <v/>
      </c>
      <c r="BG738" t="str">
        <f>IF(AND(PROCESSOS!B738&lt;&gt;"",ISNUMBER(PROCESSOS!D738),OR(FiltroResp="TODOS",FiltroResp="",PROCESSOS!I738=FiltroResp)),PROCESSOS!D738+ROW()/1000000,"")</f>
        <v/>
      </c>
    </row>
    <row r="739">
      <c r="BF739" t="str">
        <f>IF(AND(OR(PROCESSOS!Q739="NO PRAZO",PROCESSOS!Q739="VENCE EM BREVE"),OR(FiltroResp="TODOS",FiltroResp="",PROCESSOS!I739=FiltroResp)),PROCESSOS!O739+ROW()/1000000,"")</f>
        <v/>
      </c>
      <c r="BG739" t="str">
        <f>IF(AND(PROCESSOS!B739&lt;&gt;"",ISNUMBER(PROCESSOS!D739),OR(FiltroResp="TODOS",FiltroResp="",PROCESSOS!I739=FiltroResp)),PROCESSOS!D739+ROW()/1000000,"")</f>
        <v/>
      </c>
    </row>
    <row r="740">
      <c r="BF740" t="str">
        <f>IF(AND(OR(PROCESSOS!Q740="NO PRAZO",PROCESSOS!Q740="VENCE EM BREVE"),OR(FiltroResp="TODOS",FiltroResp="",PROCESSOS!I740=FiltroResp)),PROCESSOS!O740+ROW()/1000000,"")</f>
        <v/>
      </c>
      <c r="BG740" t="str">
        <f>IF(AND(PROCESSOS!B740&lt;&gt;"",ISNUMBER(PROCESSOS!D740),OR(FiltroResp="TODOS",FiltroResp="",PROCESSOS!I740=FiltroResp)),PROCESSOS!D740+ROW()/1000000,"")</f>
        <v/>
      </c>
    </row>
    <row r="741">
      <c r="BF741" t="str">
        <f>IF(AND(OR(PROCESSOS!Q741="NO PRAZO",PROCESSOS!Q741="VENCE EM BREVE"),OR(FiltroResp="TODOS",FiltroResp="",PROCESSOS!I741=FiltroResp)),PROCESSOS!O741+ROW()/1000000,"")</f>
        <v/>
      </c>
      <c r="BG741" t="str">
        <f>IF(AND(PROCESSOS!B741&lt;&gt;"",ISNUMBER(PROCESSOS!D741),OR(FiltroResp="TODOS",FiltroResp="",PROCESSOS!I741=FiltroResp)),PROCESSOS!D741+ROW()/1000000,"")</f>
        <v/>
      </c>
    </row>
    <row r="742">
      <c r="BF742" t="str">
        <f>IF(AND(OR(PROCESSOS!Q742="NO PRAZO",PROCESSOS!Q742="VENCE EM BREVE"),OR(FiltroResp="TODOS",FiltroResp="",PROCESSOS!I742=FiltroResp)),PROCESSOS!O742+ROW()/1000000,"")</f>
        <v/>
      </c>
      <c r="BG742" t="str">
        <f>IF(AND(PROCESSOS!B742&lt;&gt;"",ISNUMBER(PROCESSOS!D742),OR(FiltroResp="TODOS",FiltroResp="",PROCESSOS!I742=FiltroResp)),PROCESSOS!D742+ROW()/1000000,"")</f>
        <v/>
      </c>
    </row>
    <row r="743">
      <c r="BF743" t="str">
        <f>IF(AND(OR(PROCESSOS!Q743="NO PRAZO",PROCESSOS!Q743="VENCE EM BREVE"),OR(FiltroResp="TODOS",FiltroResp="",PROCESSOS!I743=FiltroResp)),PROCESSOS!O743+ROW()/1000000,"")</f>
        <v/>
      </c>
      <c r="BG743" t="str">
        <f>IF(AND(PROCESSOS!B743&lt;&gt;"",ISNUMBER(PROCESSOS!D743),OR(FiltroResp="TODOS",FiltroResp="",PROCESSOS!I743=FiltroResp)),PROCESSOS!D743+ROW()/1000000,"")</f>
        <v/>
      </c>
    </row>
    <row r="744">
      <c r="BF744" t="str">
        <f>IF(AND(OR(PROCESSOS!Q744="NO PRAZO",PROCESSOS!Q744="VENCE EM BREVE"),OR(FiltroResp="TODOS",FiltroResp="",PROCESSOS!I744=FiltroResp)),PROCESSOS!O744+ROW()/1000000,"")</f>
        <v/>
      </c>
      <c r="BG744" t="str">
        <f>IF(AND(PROCESSOS!B744&lt;&gt;"",ISNUMBER(PROCESSOS!D744),OR(FiltroResp="TODOS",FiltroResp="",PROCESSOS!I744=FiltroResp)),PROCESSOS!D744+ROW()/1000000,"")</f>
        <v/>
      </c>
    </row>
    <row r="745">
      <c r="BF745" t="str">
        <f>IF(AND(OR(PROCESSOS!Q745="NO PRAZO",PROCESSOS!Q745="VENCE EM BREVE"),OR(FiltroResp="TODOS",FiltroResp="",PROCESSOS!I745=FiltroResp)),PROCESSOS!O745+ROW()/1000000,"")</f>
        <v/>
      </c>
      <c r="BG745" t="str">
        <f>IF(AND(PROCESSOS!B745&lt;&gt;"",ISNUMBER(PROCESSOS!D745),OR(FiltroResp="TODOS",FiltroResp="",PROCESSOS!I745=FiltroResp)),PROCESSOS!D745+ROW()/1000000,"")</f>
        <v/>
      </c>
    </row>
    <row r="746">
      <c r="BF746" t="str">
        <f>IF(AND(OR(PROCESSOS!Q746="NO PRAZO",PROCESSOS!Q746="VENCE EM BREVE"),OR(FiltroResp="TODOS",FiltroResp="",PROCESSOS!I746=FiltroResp)),PROCESSOS!O746+ROW()/1000000,"")</f>
        <v/>
      </c>
      <c r="BG746" t="str">
        <f>IF(AND(PROCESSOS!B746&lt;&gt;"",ISNUMBER(PROCESSOS!D746),OR(FiltroResp="TODOS",FiltroResp="",PROCESSOS!I746=FiltroResp)),PROCESSOS!D746+ROW()/1000000,"")</f>
        <v/>
      </c>
    </row>
    <row r="747">
      <c r="BF747" t="str">
        <f>IF(AND(OR(PROCESSOS!Q747="NO PRAZO",PROCESSOS!Q747="VENCE EM BREVE"),OR(FiltroResp="TODOS",FiltroResp="",PROCESSOS!I747=FiltroResp)),PROCESSOS!O747+ROW()/1000000,"")</f>
        <v/>
      </c>
      <c r="BG747" t="str">
        <f>IF(AND(PROCESSOS!B747&lt;&gt;"",ISNUMBER(PROCESSOS!D747),OR(FiltroResp="TODOS",FiltroResp="",PROCESSOS!I747=FiltroResp)),PROCESSOS!D747+ROW()/1000000,"")</f>
        <v/>
      </c>
    </row>
    <row r="748">
      <c r="BF748" t="str">
        <f>IF(AND(OR(PROCESSOS!Q748="NO PRAZO",PROCESSOS!Q748="VENCE EM BREVE"),OR(FiltroResp="TODOS",FiltroResp="",PROCESSOS!I748=FiltroResp)),PROCESSOS!O748+ROW()/1000000,"")</f>
        <v/>
      </c>
      <c r="BG748" t="str">
        <f>IF(AND(PROCESSOS!B748&lt;&gt;"",ISNUMBER(PROCESSOS!D748),OR(FiltroResp="TODOS",FiltroResp="",PROCESSOS!I748=FiltroResp)),PROCESSOS!D748+ROW()/1000000,"")</f>
        <v/>
      </c>
    </row>
    <row r="749">
      <c r="BF749" t="str">
        <f>IF(AND(OR(PROCESSOS!Q749="NO PRAZO",PROCESSOS!Q749="VENCE EM BREVE"),OR(FiltroResp="TODOS",FiltroResp="",PROCESSOS!I749=FiltroResp)),PROCESSOS!O749+ROW()/1000000,"")</f>
        <v/>
      </c>
      <c r="BG749" t="str">
        <f>IF(AND(PROCESSOS!B749&lt;&gt;"",ISNUMBER(PROCESSOS!D749),OR(FiltroResp="TODOS",FiltroResp="",PROCESSOS!I749=FiltroResp)),PROCESSOS!D749+ROW()/1000000,"")</f>
        <v/>
      </c>
    </row>
    <row r="750">
      <c r="BF750" t="str">
        <f>IF(AND(OR(PROCESSOS!Q750="NO PRAZO",PROCESSOS!Q750="VENCE EM BREVE"),OR(FiltroResp="TODOS",FiltroResp="",PROCESSOS!I750=FiltroResp)),PROCESSOS!O750+ROW()/1000000,"")</f>
        <v/>
      </c>
      <c r="BG750" t="str">
        <f>IF(AND(PROCESSOS!B750&lt;&gt;"",ISNUMBER(PROCESSOS!D750),OR(FiltroResp="TODOS",FiltroResp="",PROCESSOS!I750=FiltroResp)),PROCESSOS!D750+ROW()/1000000,"")</f>
        <v/>
      </c>
    </row>
    <row r="751">
      <c r="BF751" t="str">
        <f>IF(AND(OR(PROCESSOS!Q751="NO PRAZO",PROCESSOS!Q751="VENCE EM BREVE"),OR(FiltroResp="TODOS",FiltroResp="",PROCESSOS!I751=FiltroResp)),PROCESSOS!O751+ROW()/1000000,"")</f>
        <v/>
      </c>
      <c r="BG751" t="str">
        <f>IF(AND(PROCESSOS!B751&lt;&gt;"",ISNUMBER(PROCESSOS!D751),OR(FiltroResp="TODOS",FiltroResp="",PROCESSOS!I751=FiltroResp)),PROCESSOS!D751+ROW()/1000000,"")</f>
        <v/>
      </c>
    </row>
    <row r="752">
      <c r="BF752" t="str">
        <f>IF(AND(OR(PROCESSOS!Q752="NO PRAZO",PROCESSOS!Q752="VENCE EM BREVE"),OR(FiltroResp="TODOS",FiltroResp="",PROCESSOS!I752=FiltroResp)),PROCESSOS!O752+ROW()/1000000,"")</f>
        <v/>
      </c>
      <c r="BG752" t="str">
        <f>IF(AND(PROCESSOS!B752&lt;&gt;"",ISNUMBER(PROCESSOS!D752),OR(FiltroResp="TODOS",FiltroResp="",PROCESSOS!I752=FiltroResp)),PROCESSOS!D752+ROW()/1000000,"")</f>
        <v/>
      </c>
    </row>
    <row r="753">
      <c r="BF753" t="str">
        <f>IF(AND(OR(PROCESSOS!Q753="NO PRAZO",PROCESSOS!Q753="VENCE EM BREVE"),OR(FiltroResp="TODOS",FiltroResp="",PROCESSOS!I753=FiltroResp)),PROCESSOS!O753+ROW()/1000000,"")</f>
        <v/>
      </c>
      <c r="BG753" t="str">
        <f>IF(AND(PROCESSOS!B753&lt;&gt;"",ISNUMBER(PROCESSOS!D753),OR(FiltroResp="TODOS",FiltroResp="",PROCESSOS!I753=FiltroResp)),PROCESSOS!D753+ROW()/1000000,"")</f>
        <v/>
      </c>
    </row>
    <row r="754">
      <c r="BF754" t="str">
        <f>IF(AND(OR(PROCESSOS!Q754="NO PRAZO",PROCESSOS!Q754="VENCE EM BREVE"),OR(FiltroResp="TODOS",FiltroResp="",PROCESSOS!I754=FiltroResp)),PROCESSOS!O754+ROW()/1000000,"")</f>
        <v/>
      </c>
      <c r="BG754" t="str">
        <f>IF(AND(PROCESSOS!B754&lt;&gt;"",ISNUMBER(PROCESSOS!D754),OR(FiltroResp="TODOS",FiltroResp="",PROCESSOS!I754=FiltroResp)),PROCESSOS!D754+ROW()/1000000,"")</f>
        <v/>
      </c>
    </row>
    <row r="755">
      <c r="BF755" t="str">
        <f>IF(AND(OR(PROCESSOS!Q755="NO PRAZO",PROCESSOS!Q755="VENCE EM BREVE"),OR(FiltroResp="TODOS",FiltroResp="",PROCESSOS!I755=FiltroResp)),PROCESSOS!O755+ROW()/1000000,"")</f>
        <v/>
      </c>
      <c r="BG755" t="str">
        <f>IF(AND(PROCESSOS!B755&lt;&gt;"",ISNUMBER(PROCESSOS!D755),OR(FiltroResp="TODOS",FiltroResp="",PROCESSOS!I755=FiltroResp)),PROCESSOS!D755+ROW()/1000000,"")</f>
        <v/>
      </c>
    </row>
    <row r="756">
      <c r="BF756" t="str">
        <f>IF(AND(OR(PROCESSOS!Q756="NO PRAZO",PROCESSOS!Q756="VENCE EM BREVE"),OR(FiltroResp="TODOS",FiltroResp="",PROCESSOS!I756=FiltroResp)),PROCESSOS!O756+ROW()/1000000,"")</f>
        <v/>
      </c>
      <c r="BG756" t="str">
        <f>IF(AND(PROCESSOS!B756&lt;&gt;"",ISNUMBER(PROCESSOS!D756),OR(FiltroResp="TODOS",FiltroResp="",PROCESSOS!I756=FiltroResp)),PROCESSOS!D756+ROW()/1000000,"")</f>
        <v/>
      </c>
    </row>
    <row r="757">
      <c r="BF757" t="str">
        <f>IF(AND(OR(PROCESSOS!Q757="NO PRAZO",PROCESSOS!Q757="VENCE EM BREVE"),OR(FiltroResp="TODOS",FiltroResp="",PROCESSOS!I757=FiltroResp)),PROCESSOS!O757+ROW()/1000000,"")</f>
        <v/>
      </c>
      <c r="BG757" t="str">
        <f>IF(AND(PROCESSOS!B757&lt;&gt;"",ISNUMBER(PROCESSOS!D757),OR(FiltroResp="TODOS",FiltroResp="",PROCESSOS!I757=FiltroResp)),PROCESSOS!D757+ROW()/1000000,"")</f>
        <v/>
      </c>
    </row>
    <row r="758">
      <c r="BF758" t="str">
        <f>IF(AND(OR(PROCESSOS!Q758="NO PRAZO",PROCESSOS!Q758="VENCE EM BREVE"),OR(FiltroResp="TODOS",FiltroResp="",PROCESSOS!I758=FiltroResp)),PROCESSOS!O758+ROW()/1000000,"")</f>
        <v/>
      </c>
      <c r="BG758" t="str">
        <f>IF(AND(PROCESSOS!B758&lt;&gt;"",ISNUMBER(PROCESSOS!D758),OR(FiltroResp="TODOS",FiltroResp="",PROCESSOS!I758=FiltroResp)),PROCESSOS!D758+ROW()/1000000,"")</f>
        <v/>
      </c>
    </row>
    <row r="759">
      <c r="BF759" t="str">
        <f>IF(AND(OR(PROCESSOS!Q759="NO PRAZO",PROCESSOS!Q759="VENCE EM BREVE"),OR(FiltroResp="TODOS",FiltroResp="",PROCESSOS!I759=FiltroResp)),PROCESSOS!O759+ROW()/1000000,"")</f>
        <v/>
      </c>
      <c r="BG759" t="str">
        <f>IF(AND(PROCESSOS!B759&lt;&gt;"",ISNUMBER(PROCESSOS!D759),OR(FiltroResp="TODOS",FiltroResp="",PROCESSOS!I759=FiltroResp)),PROCESSOS!D759+ROW()/1000000,"")</f>
        <v/>
      </c>
    </row>
    <row r="760">
      <c r="BF760" t="str">
        <f>IF(AND(OR(PROCESSOS!Q760="NO PRAZO",PROCESSOS!Q760="VENCE EM BREVE"),OR(FiltroResp="TODOS",FiltroResp="",PROCESSOS!I760=FiltroResp)),PROCESSOS!O760+ROW()/1000000,"")</f>
        <v/>
      </c>
      <c r="BG760" t="str">
        <f>IF(AND(PROCESSOS!B760&lt;&gt;"",ISNUMBER(PROCESSOS!D760),OR(FiltroResp="TODOS",FiltroResp="",PROCESSOS!I760=FiltroResp)),PROCESSOS!D760+ROW()/1000000,"")</f>
        <v/>
      </c>
    </row>
    <row r="761">
      <c r="BF761" t="str">
        <f>IF(AND(OR(PROCESSOS!Q761="NO PRAZO",PROCESSOS!Q761="VENCE EM BREVE"),OR(FiltroResp="TODOS",FiltroResp="",PROCESSOS!I761=FiltroResp)),PROCESSOS!O761+ROW()/1000000,"")</f>
        <v/>
      </c>
      <c r="BG761" t="str">
        <f>IF(AND(PROCESSOS!B761&lt;&gt;"",ISNUMBER(PROCESSOS!D761),OR(FiltroResp="TODOS",FiltroResp="",PROCESSOS!I761=FiltroResp)),PROCESSOS!D761+ROW()/1000000,"")</f>
        <v/>
      </c>
    </row>
    <row r="762">
      <c r="BF762" t="str">
        <f>IF(AND(OR(PROCESSOS!Q762="NO PRAZO",PROCESSOS!Q762="VENCE EM BREVE"),OR(FiltroResp="TODOS",FiltroResp="",PROCESSOS!I762=FiltroResp)),PROCESSOS!O762+ROW()/1000000,"")</f>
        <v/>
      </c>
      <c r="BG762" t="str">
        <f>IF(AND(PROCESSOS!B762&lt;&gt;"",ISNUMBER(PROCESSOS!D762),OR(FiltroResp="TODOS",FiltroResp="",PROCESSOS!I762=FiltroResp)),PROCESSOS!D762+ROW()/1000000,"")</f>
        <v/>
      </c>
    </row>
    <row r="763">
      <c r="BF763" t="str">
        <f>IF(AND(OR(PROCESSOS!Q763="NO PRAZO",PROCESSOS!Q763="VENCE EM BREVE"),OR(FiltroResp="TODOS",FiltroResp="",PROCESSOS!I763=FiltroResp)),PROCESSOS!O763+ROW()/1000000,"")</f>
        <v/>
      </c>
      <c r="BG763" t="str">
        <f>IF(AND(PROCESSOS!B763&lt;&gt;"",ISNUMBER(PROCESSOS!D763),OR(FiltroResp="TODOS",FiltroResp="",PROCESSOS!I763=FiltroResp)),PROCESSOS!D763+ROW()/1000000,"")</f>
        <v/>
      </c>
    </row>
    <row r="764">
      <c r="BF764" t="str">
        <f>IF(AND(OR(PROCESSOS!Q764="NO PRAZO",PROCESSOS!Q764="VENCE EM BREVE"),OR(FiltroResp="TODOS",FiltroResp="",PROCESSOS!I764=FiltroResp)),PROCESSOS!O764+ROW()/1000000,"")</f>
        <v/>
      </c>
      <c r="BG764" t="str">
        <f>IF(AND(PROCESSOS!B764&lt;&gt;"",ISNUMBER(PROCESSOS!D764),OR(FiltroResp="TODOS",FiltroResp="",PROCESSOS!I764=FiltroResp)),PROCESSOS!D764+ROW()/1000000,"")</f>
        <v/>
      </c>
    </row>
    <row r="765">
      <c r="BF765" t="str">
        <f>IF(AND(OR(PROCESSOS!Q765="NO PRAZO",PROCESSOS!Q765="VENCE EM BREVE"),OR(FiltroResp="TODOS",FiltroResp="",PROCESSOS!I765=FiltroResp)),PROCESSOS!O765+ROW()/1000000,"")</f>
        <v/>
      </c>
      <c r="BG765" t="str">
        <f>IF(AND(PROCESSOS!B765&lt;&gt;"",ISNUMBER(PROCESSOS!D765),OR(FiltroResp="TODOS",FiltroResp="",PROCESSOS!I765=FiltroResp)),PROCESSOS!D765+ROW()/1000000,"")</f>
        <v/>
      </c>
    </row>
    <row r="766">
      <c r="BF766" t="str">
        <f>IF(AND(OR(PROCESSOS!Q766="NO PRAZO",PROCESSOS!Q766="VENCE EM BREVE"),OR(FiltroResp="TODOS",FiltroResp="",PROCESSOS!I766=FiltroResp)),PROCESSOS!O766+ROW()/1000000,"")</f>
        <v/>
      </c>
      <c r="BG766" t="str">
        <f>IF(AND(PROCESSOS!B766&lt;&gt;"",ISNUMBER(PROCESSOS!D766),OR(FiltroResp="TODOS",FiltroResp="",PROCESSOS!I766=FiltroResp)),PROCESSOS!D766+ROW()/1000000,"")</f>
        <v/>
      </c>
    </row>
    <row r="767">
      <c r="BF767" t="str">
        <f>IF(AND(OR(PROCESSOS!Q767="NO PRAZO",PROCESSOS!Q767="VENCE EM BREVE"),OR(FiltroResp="TODOS",FiltroResp="",PROCESSOS!I767=FiltroResp)),PROCESSOS!O767+ROW()/1000000,"")</f>
        <v/>
      </c>
      <c r="BG767" t="str">
        <f>IF(AND(PROCESSOS!B767&lt;&gt;"",ISNUMBER(PROCESSOS!D767),OR(FiltroResp="TODOS",FiltroResp="",PROCESSOS!I767=FiltroResp)),PROCESSOS!D767+ROW()/1000000,"")</f>
        <v/>
      </c>
    </row>
    <row r="768">
      <c r="BF768" t="str">
        <f>IF(AND(OR(PROCESSOS!Q768="NO PRAZO",PROCESSOS!Q768="VENCE EM BREVE"),OR(FiltroResp="TODOS",FiltroResp="",PROCESSOS!I768=FiltroResp)),PROCESSOS!O768+ROW()/1000000,"")</f>
        <v/>
      </c>
      <c r="BG768" t="str">
        <f>IF(AND(PROCESSOS!B768&lt;&gt;"",ISNUMBER(PROCESSOS!D768),OR(FiltroResp="TODOS",FiltroResp="",PROCESSOS!I768=FiltroResp)),PROCESSOS!D768+ROW()/1000000,"")</f>
        <v/>
      </c>
    </row>
    <row r="769">
      <c r="BF769" t="str">
        <f>IF(AND(OR(PROCESSOS!Q769="NO PRAZO",PROCESSOS!Q769="VENCE EM BREVE"),OR(FiltroResp="TODOS",FiltroResp="",PROCESSOS!I769=FiltroResp)),PROCESSOS!O769+ROW()/1000000,"")</f>
        <v/>
      </c>
      <c r="BG769" t="str">
        <f>IF(AND(PROCESSOS!B769&lt;&gt;"",ISNUMBER(PROCESSOS!D769),OR(FiltroResp="TODOS",FiltroResp="",PROCESSOS!I769=FiltroResp)),PROCESSOS!D769+ROW()/1000000,"")</f>
        <v/>
      </c>
    </row>
    <row r="770">
      <c r="BF770" t="str">
        <f>IF(AND(OR(PROCESSOS!Q770="NO PRAZO",PROCESSOS!Q770="VENCE EM BREVE"),OR(FiltroResp="TODOS",FiltroResp="",PROCESSOS!I770=FiltroResp)),PROCESSOS!O770+ROW()/1000000,"")</f>
        <v/>
      </c>
      <c r="BG770" t="str">
        <f>IF(AND(PROCESSOS!B770&lt;&gt;"",ISNUMBER(PROCESSOS!D770),OR(FiltroResp="TODOS",FiltroResp="",PROCESSOS!I770=FiltroResp)),PROCESSOS!D770+ROW()/1000000,"")</f>
        <v/>
      </c>
    </row>
    <row r="771">
      <c r="BF771" t="str">
        <f>IF(AND(OR(PROCESSOS!Q771="NO PRAZO",PROCESSOS!Q771="VENCE EM BREVE"),OR(FiltroResp="TODOS",FiltroResp="",PROCESSOS!I771=FiltroResp)),PROCESSOS!O771+ROW()/1000000,"")</f>
        <v/>
      </c>
      <c r="BG771" t="str">
        <f>IF(AND(PROCESSOS!B771&lt;&gt;"",ISNUMBER(PROCESSOS!D771),OR(FiltroResp="TODOS",FiltroResp="",PROCESSOS!I771=FiltroResp)),PROCESSOS!D771+ROW()/1000000,"")</f>
        <v/>
      </c>
    </row>
    <row r="772">
      <c r="BF772" t="str">
        <f>IF(AND(OR(PROCESSOS!Q772="NO PRAZO",PROCESSOS!Q772="VENCE EM BREVE"),OR(FiltroResp="TODOS",FiltroResp="",PROCESSOS!I772=FiltroResp)),PROCESSOS!O772+ROW()/1000000,"")</f>
        <v/>
      </c>
      <c r="BG772" t="str">
        <f>IF(AND(PROCESSOS!B772&lt;&gt;"",ISNUMBER(PROCESSOS!D772),OR(FiltroResp="TODOS",FiltroResp="",PROCESSOS!I772=FiltroResp)),PROCESSOS!D772+ROW()/1000000,"")</f>
        <v/>
      </c>
    </row>
    <row r="773">
      <c r="BF773" t="str">
        <f>IF(AND(OR(PROCESSOS!Q773="NO PRAZO",PROCESSOS!Q773="VENCE EM BREVE"),OR(FiltroResp="TODOS",FiltroResp="",PROCESSOS!I773=FiltroResp)),PROCESSOS!O773+ROW()/1000000,"")</f>
        <v/>
      </c>
      <c r="BG773" t="str">
        <f>IF(AND(PROCESSOS!B773&lt;&gt;"",ISNUMBER(PROCESSOS!D773),OR(FiltroResp="TODOS",FiltroResp="",PROCESSOS!I773=FiltroResp)),PROCESSOS!D773+ROW()/1000000,"")</f>
        <v/>
      </c>
    </row>
    <row r="774">
      <c r="BF774" t="str">
        <f>IF(AND(OR(PROCESSOS!Q774="NO PRAZO",PROCESSOS!Q774="VENCE EM BREVE"),OR(FiltroResp="TODOS",FiltroResp="",PROCESSOS!I774=FiltroResp)),PROCESSOS!O774+ROW()/1000000,"")</f>
        <v/>
      </c>
      <c r="BG774" t="str">
        <f>IF(AND(PROCESSOS!B774&lt;&gt;"",ISNUMBER(PROCESSOS!D774),OR(FiltroResp="TODOS",FiltroResp="",PROCESSOS!I774=FiltroResp)),PROCESSOS!D774+ROW()/1000000,"")</f>
        <v/>
      </c>
    </row>
    <row r="775">
      <c r="BF775" t="str">
        <f>IF(AND(OR(PROCESSOS!Q775="NO PRAZO",PROCESSOS!Q775="VENCE EM BREVE"),OR(FiltroResp="TODOS",FiltroResp="",PROCESSOS!I775=FiltroResp)),PROCESSOS!O775+ROW()/1000000,"")</f>
        <v/>
      </c>
      <c r="BG775" t="str">
        <f>IF(AND(PROCESSOS!B775&lt;&gt;"",ISNUMBER(PROCESSOS!D775),OR(FiltroResp="TODOS",FiltroResp="",PROCESSOS!I775=FiltroResp)),PROCESSOS!D775+ROW()/1000000,"")</f>
        <v/>
      </c>
    </row>
    <row r="776">
      <c r="BF776" t="str">
        <f>IF(AND(OR(PROCESSOS!Q776="NO PRAZO",PROCESSOS!Q776="VENCE EM BREVE"),OR(FiltroResp="TODOS",FiltroResp="",PROCESSOS!I776=FiltroResp)),PROCESSOS!O776+ROW()/1000000,"")</f>
        <v/>
      </c>
      <c r="BG776" t="str">
        <f>IF(AND(PROCESSOS!B776&lt;&gt;"",ISNUMBER(PROCESSOS!D776),OR(FiltroResp="TODOS",FiltroResp="",PROCESSOS!I776=FiltroResp)),PROCESSOS!D776+ROW()/1000000,"")</f>
        <v/>
      </c>
    </row>
    <row r="777">
      <c r="BF777" t="str">
        <f>IF(AND(OR(PROCESSOS!Q777="NO PRAZO",PROCESSOS!Q777="VENCE EM BREVE"),OR(FiltroResp="TODOS",FiltroResp="",PROCESSOS!I777=FiltroResp)),PROCESSOS!O777+ROW()/1000000,"")</f>
        <v/>
      </c>
      <c r="BG777" t="str">
        <f>IF(AND(PROCESSOS!B777&lt;&gt;"",ISNUMBER(PROCESSOS!D777),OR(FiltroResp="TODOS",FiltroResp="",PROCESSOS!I777=FiltroResp)),PROCESSOS!D777+ROW()/1000000,"")</f>
        <v/>
      </c>
    </row>
    <row r="778">
      <c r="BF778" t="str">
        <f>IF(AND(OR(PROCESSOS!Q778="NO PRAZO",PROCESSOS!Q778="VENCE EM BREVE"),OR(FiltroResp="TODOS",FiltroResp="",PROCESSOS!I778=FiltroResp)),PROCESSOS!O778+ROW()/1000000,"")</f>
        <v/>
      </c>
      <c r="BG778" t="str">
        <f>IF(AND(PROCESSOS!B778&lt;&gt;"",ISNUMBER(PROCESSOS!D778),OR(FiltroResp="TODOS",FiltroResp="",PROCESSOS!I778=FiltroResp)),PROCESSOS!D778+ROW()/1000000,"")</f>
        <v/>
      </c>
    </row>
    <row r="779">
      <c r="BF779" t="str">
        <f>IF(AND(OR(PROCESSOS!Q779="NO PRAZO",PROCESSOS!Q779="VENCE EM BREVE"),OR(FiltroResp="TODOS",FiltroResp="",PROCESSOS!I779=FiltroResp)),PROCESSOS!O779+ROW()/1000000,"")</f>
        <v/>
      </c>
      <c r="BG779" t="str">
        <f>IF(AND(PROCESSOS!B779&lt;&gt;"",ISNUMBER(PROCESSOS!D779),OR(FiltroResp="TODOS",FiltroResp="",PROCESSOS!I779=FiltroResp)),PROCESSOS!D779+ROW()/1000000,"")</f>
        <v/>
      </c>
    </row>
    <row r="780">
      <c r="BF780" t="str">
        <f>IF(AND(OR(PROCESSOS!Q780="NO PRAZO",PROCESSOS!Q780="VENCE EM BREVE"),OR(FiltroResp="TODOS",FiltroResp="",PROCESSOS!I780=FiltroResp)),PROCESSOS!O780+ROW()/1000000,"")</f>
        <v/>
      </c>
      <c r="BG780" t="str">
        <f>IF(AND(PROCESSOS!B780&lt;&gt;"",ISNUMBER(PROCESSOS!D780),OR(FiltroResp="TODOS",FiltroResp="",PROCESSOS!I780=FiltroResp)),PROCESSOS!D780+ROW()/1000000,"")</f>
        <v/>
      </c>
    </row>
    <row r="781">
      <c r="BF781" t="str">
        <f>IF(AND(OR(PROCESSOS!Q781="NO PRAZO",PROCESSOS!Q781="VENCE EM BREVE"),OR(FiltroResp="TODOS",FiltroResp="",PROCESSOS!I781=FiltroResp)),PROCESSOS!O781+ROW()/1000000,"")</f>
        <v/>
      </c>
      <c r="BG781" t="str">
        <f>IF(AND(PROCESSOS!B781&lt;&gt;"",ISNUMBER(PROCESSOS!D781),OR(FiltroResp="TODOS",FiltroResp="",PROCESSOS!I781=FiltroResp)),PROCESSOS!D781+ROW()/1000000,"")</f>
        <v/>
      </c>
    </row>
    <row r="782">
      <c r="BF782" t="str">
        <f>IF(AND(OR(PROCESSOS!Q782="NO PRAZO",PROCESSOS!Q782="VENCE EM BREVE"),OR(FiltroResp="TODOS",FiltroResp="",PROCESSOS!I782=FiltroResp)),PROCESSOS!O782+ROW()/1000000,"")</f>
        <v/>
      </c>
      <c r="BG782" t="str">
        <f>IF(AND(PROCESSOS!B782&lt;&gt;"",ISNUMBER(PROCESSOS!D782),OR(FiltroResp="TODOS",FiltroResp="",PROCESSOS!I782=FiltroResp)),PROCESSOS!D782+ROW()/1000000,"")</f>
        <v/>
      </c>
    </row>
    <row r="783">
      <c r="BF783" t="str">
        <f>IF(AND(OR(PROCESSOS!Q783="NO PRAZO",PROCESSOS!Q783="VENCE EM BREVE"),OR(FiltroResp="TODOS",FiltroResp="",PROCESSOS!I783=FiltroResp)),PROCESSOS!O783+ROW()/1000000,"")</f>
        <v/>
      </c>
      <c r="BG783" t="str">
        <f>IF(AND(PROCESSOS!B783&lt;&gt;"",ISNUMBER(PROCESSOS!D783),OR(FiltroResp="TODOS",FiltroResp="",PROCESSOS!I783=FiltroResp)),PROCESSOS!D783+ROW()/1000000,"")</f>
        <v/>
      </c>
    </row>
    <row r="784">
      <c r="BF784" t="str">
        <f>IF(AND(OR(PROCESSOS!Q784="NO PRAZO",PROCESSOS!Q784="VENCE EM BREVE"),OR(FiltroResp="TODOS",FiltroResp="",PROCESSOS!I784=FiltroResp)),PROCESSOS!O784+ROW()/1000000,"")</f>
        <v/>
      </c>
      <c r="BG784" t="str">
        <f>IF(AND(PROCESSOS!B784&lt;&gt;"",ISNUMBER(PROCESSOS!D784),OR(FiltroResp="TODOS",FiltroResp="",PROCESSOS!I784=FiltroResp)),PROCESSOS!D784+ROW()/1000000,"")</f>
        <v/>
      </c>
    </row>
    <row r="785">
      <c r="BF785" t="str">
        <f>IF(AND(OR(PROCESSOS!Q785="NO PRAZO",PROCESSOS!Q785="VENCE EM BREVE"),OR(FiltroResp="TODOS",FiltroResp="",PROCESSOS!I785=FiltroResp)),PROCESSOS!O785+ROW()/1000000,"")</f>
        <v/>
      </c>
      <c r="BG785" t="str">
        <f>IF(AND(PROCESSOS!B785&lt;&gt;"",ISNUMBER(PROCESSOS!D785),OR(FiltroResp="TODOS",FiltroResp="",PROCESSOS!I785=FiltroResp)),PROCESSOS!D785+ROW()/1000000,"")</f>
        <v/>
      </c>
    </row>
    <row r="786">
      <c r="BF786" t="str">
        <f>IF(AND(OR(PROCESSOS!Q786="NO PRAZO",PROCESSOS!Q786="VENCE EM BREVE"),OR(FiltroResp="TODOS",FiltroResp="",PROCESSOS!I786=FiltroResp)),PROCESSOS!O786+ROW()/1000000,"")</f>
        <v/>
      </c>
      <c r="BG786" t="str">
        <f>IF(AND(PROCESSOS!B786&lt;&gt;"",ISNUMBER(PROCESSOS!D786),OR(FiltroResp="TODOS",FiltroResp="",PROCESSOS!I786=FiltroResp)),PROCESSOS!D786+ROW()/1000000,"")</f>
        <v/>
      </c>
    </row>
    <row r="787">
      <c r="BF787" t="str">
        <f>IF(AND(OR(PROCESSOS!Q787="NO PRAZO",PROCESSOS!Q787="VENCE EM BREVE"),OR(FiltroResp="TODOS",FiltroResp="",PROCESSOS!I787=FiltroResp)),PROCESSOS!O787+ROW()/1000000,"")</f>
        <v/>
      </c>
      <c r="BG787" t="str">
        <f>IF(AND(PROCESSOS!B787&lt;&gt;"",ISNUMBER(PROCESSOS!D787),OR(FiltroResp="TODOS",FiltroResp="",PROCESSOS!I787=FiltroResp)),PROCESSOS!D787+ROW()/1000000,"")</f>
        <v/>
      </c>
    </row>
    <row r="788">
      <c r="BF788" t="str">
        <f>IF(AND(OR(PROCESSOS!Q788="NO PRAZO",PROCESSOS!Q788="VENCE EM BREVE"),OR(FiltroResp="TODOS",FiltroResp="",PROCESSOS!I788=FiltroResp)),PROCESSOS!O788+ROW()/1000000,"")</f>
        <v/>
      </c>
      <c r="BG788" t="str">
        <f>IF(AND(PROCESSOS!B788&lt;&gt;"",ISNUMBER(PROCESSOS!D788),OR(FiltroResp="TODOS",FiltroResp="",PROCESSOS!I788=FiltroResp)),PROCESSOS!D788+ROW()/1000000,"")</f>
        <v/>
      </c>
    </row>
    <row r="789">
      <c r="BF789" t="str">
        <f>IF(AND(OR(PROCESSOS!Q789="NO PRAZO",PROCESSOS!Q789="VENCE EM BREVE"),OR(FiltroResp="TODOS",FiltroResp="",PROCESSOS!I789=FiltroResp)),PROCESSOS!O789+ROW()/1000000,"")</f>
        <v/>
      </c>
      <c r="BG789" t="str">
        <f>IF(AND(PROCESSOS!B789&lt;&gt;"",ISNUMBER(PROCESSOS!D789),OR(FiltroResp="TODOS",FiltroResp="",PROCESSOS!I789=FiltroResp)),PROCESSOS!D789+ROW()/1000000,"")</f>
        <v/>
      </c>
    </row>
    <row r="790">
      <c r="BF790" t="str">
        <f>IF(AND(OR(PROCESSOS!Q790="NO PRAZO",PROCESSOS!Q790="VENCE EM BREVE"),OR(FiltroResp="TODOS",FiltroResp="",PROCESSOS!I790=FiltroResp)),PROCESSOS!O790+ROW()/1000000,"")</f>
        <v/>
      </c>
      <c r="BG790" t="str">
        <f>IF(AND(PROCESSOS!B790&lt;&gt;"",ISNUMBER(PROCESSOS!D790),OR(FiltroResp="TODOS",FiltroResp="",PROCESSOS!I790=FiltroResp)),PROCESSOS!D790+ROW()/1000000,"")</f>
        <v/>
      </c>
    </row>
    <row r="791">
      <c r="BF791" t="str">
        <f>IF(AND(OR(PROCESSOS!Q791="NO PRAZO",PROCESSOS!Q791="VENCE EM BREVE"),OR(FiltroResp="TODOS",FiltroResp="",PROCESSOS!I791=FiltroResp)),PROCESSOS!O791+ROW()/1000000,"")</f>
        <v/>
      </c>
      <c r="BG791" t="str">
        <f>IF(AND(PROCESSOS!B791&lt;&gt;"",ISNUMBER(PROCESSOS!D791),OR(FiltroResp="TODOS",FiltroResp="",PROCESSOS!I791=FiltroResp)),PROCESSOS!D791+ROW()/1000000,"")</f>
        <v/>
      </c>
    </row>
    <row r="792">
      <c r="BF792" t="str">
        <f>IF(AND(OR(PROCESSOS!Q792="NO PRAZO",PROCESSOS!Q792="VENCE EM BREVE"),OR(FiltroResp="TODOS",FiltroResp="",PROCESSOS!I792=FiltroResp)),PROCESSOS!O792+ROW()/1000000,"")</f>
        <v/>
      </c>
      <c r="BG792" t="str">
        <f>IF(AND(PROCESSOS!B792&lt;&gt;"",ISNUMBER(PROCESSOS!D792),OR(FiltroResp="TODOS",FiltroResp="",PROCESSOS!I792=FiltroResp)),PROCESSOS!D792+ROW()/1000000,"")</f>
        <v/>
      </c>
    </row>
    <row r="793">
      <c r="BF793" t="str">
        <f>IF(AND(OR(PROCESSOS!Q793="NO PRAZO",PROCESSOS!Q793="VENCE EM BREVE"),OR(FiltroResp="TODOS",FiltroResp="",PROCESSOS!I793=FiltroResp)),PROCESSOS!O793+ROW()/1000000,"")</f>
        <v/>
      </c>
      <c r="BG793" t="str">
        <f>IF(AND(PROCESSOS!B793&lt;&gt;"",ISNUMBER(PROCESSOS!D793),OR(FiltroResp="TODOS",FiltroResp="",PROCESSOS!I793=FiltroResp)),PROCESSOS!D793+ROW()/1000000,"")</f>
        <v/>
      </c>
    </row>
    <row r="794">
      <c r="BF794" t="str">
        <f>IF(AND(OR(PROCESSOS!Q794="NO PRAZO",PROCESSOS!Q794="VENCE EM BREVE"),OR(FiltroResp="TODOS",FiltroResp="",PROCESSOS!I794=FiltroResp)),PROCESSOS!O794+ROW()/1000000,"")</f>
        <v/>
      </c>
      <c r="BG794" t="str">
        <f>IF(AND(PROCESSOS!B794&lt;&gt;"",ISNUMBER(PROCESSOS!D794),OR(FiltroResp="TODOS",FiltroResp="",PROCESSOS!I794=FiltroResp)),PROCESSOS!D794+ROW()/1000000,"")</f>
        <v/>
      </c>
    </row>
    <row r="795">
      <c r="BF795" t="str">
        <f>IF(AND(OR(PROCESSOS!Q795="NO PRAZO",PROCESSOS!Q795="VENCE EM BREVE"),OR(FiltroResp="TODOS",FiltroResp="",PROCESSOS!I795=FiltroResp)),PROCESSOS!O795+ROW()/1000000,"")</f>
        <v/>
      </c>
      <c r="BG795" t="str">
        <f>IF(AND(PROCESSOS!B795&lt;&gt;"",ISNUMBER(PROCESSOS!D795),OR(FiltroResp="TODOS",FiltroResp="",PROCESSOS!I795=FiltroResp)),PROCESSOS!D795+ROW()/1000000,"")</f>
        <v/>
      </c>
    </row>
    <row r="796">
      <c r="BF796" t="str">
        <f>IF(AND(OR(PROCESSOS!Q796="NO PRAZO",PROCESSOS!Q796="VENCE EM BREVE"),OR(FiltroResp="TODOS",FiltroResp="",PROCESSOS!I796=FiltroResp)),PROCESSOS!O796+ROW()/1000000,"")</f>
        <v/>
      </c>
      <c r="BG796" t="str">
        <f>IF(AND(PROCESSOS!B796&lt;&gt;"",ISNUMBER(PROCESSOS!D796),OR(FiltroResp="TODOS",FiltroResp="",PROCESSOS!I796=FiltroResp)),PROCESSOS!D796+ROW()/1000000,"")</f>
        <v/>
      </c>
    </row>
    <row r="797">
      <c r="BF797" t="str">
        <f>IF(AND(OR(PROCESSOS!Q797="NO PRAZO",PROCESSOS!Q797="VENCE EM BREVE"),OR(FiltroResp="TODOS",FiltroResp="",PROCESSOS!I797=FiltroResp)),PROCESSOS!O797+ROW()/1000000,"")</f>
        <v/>
      </c>
      <c r="BG797" t="str">
        <f>IF(AND(PROCESSOS!B797&lt;&gt;"",ISNUMBER(PROCESSOS!D797),OR(FiltroResp="TODOS",FiltroResp="",PROCESSOS!I797=FiltroResp)),PROCESSOS!D797+ROW()/1000000,"")</f>
        <v/>
      </c>
    </row>
    <row r="798">
      <c r="BF798" t="str">
        <f>IF(AND(OR(PROCESSOS!Q798="NO PRAZO",PROCESSOS!Q798="VENCE EM BREVE"),OR(FiltroResp="TODOS",FiltroResp="",PROCESSOS!I798=FiltroResp)),PROCESSOS!O798+ROW()/1000000,"")</f>
        <v/>
      </c>
      <c r="BG798" t="str">
        <f>IF(AND(PROCESSOS!B798&lt;&gt;"",ISNUMBER(PROCESSOS!D798),OR(FiltroResp="TODOS",FiltroResp="",PROCESSOS!I798=FiltroResp)),PROCESSOS!D798+ROW()/1000000,"")</f>
        <v/>
      </c>
    </row>
    <row r="799">
      <c r="BF799" t="str">
        <f>IF(AND(OR(PROCESSOS!Q799="NO PRAZO",PROCESSOS!Q799="VENCE EM BREVE"),OR(FiltroResp="TODOS",FiltroResp="",PROCESSOS!I799=FiltroResp)),PROCESSOS!O799+ROW()/1000000,"")</f>
        <v/>
      </c>
      <c r="BG799" t="str">
        <f>IF(AND(PROCESSOS!B799&lt;&gt;"",ISNUMBER(PROCESSOS!D799),OR(FiltroResp="TODOS",FiltroResp="",PROCESSOS!I799=FiltroResp)),PROCESSOS!D799+ROW()/1000000,"")</f>
        <v/>
      </c>
    </row>
    <row r="800">
      <c r="BF800" t="str">
        <f>IF(AND(OR(PROCESSOS!Q800="NO PRAZO",PROCESSOS!Q800="VENCE EM BREVE"),OR(FiltroResp="TODOS",FiltroResp="",PROCESSOS!I800=FiltroResp)),PROCESSOS!O800+ROW()/1000000,"")</f>
        <v/>
      </c>
      <c r="BG800" t="str">
        <f>IF(AND(PROCESSOS!B800&lt;&gt;"",ISNUMBER(PROCESSOS!D800),OR(FiltroResp="TODOS",FiltroResp="",PROCESSOS!I800=FiltroResp)),PROCESSOS!D800+ROW()/1000000,"")</f>
        <v/>
      </c>
    </row>
    <row r="801">
      <c r="BF801" t="str">
        <f>IF(AND(OR(PROCESSOS!Q801="NO PRAZO",PROCESSOS!Q801="VENCE EM BREVE"),OR(FiltroResp="TODOS",FiltroResp="",PROCESSOS!I801=FiltroResp)),PROCESSOS!O801+ROW()/1000000,"")</f>
        <v/>
      </c>
      <c r="BG801" t="str">
        <f>IF(AND(PROCESSOS!B801&lt;&gt;"",ISNUMBER(PROCESSOS!D801),OR(FiltroResp="TODOS",FiltroResp="",PROCESSOS!I801=FiltroResp)),PROCESSOS!D801+ROW()/1000000,"")</f>
        <v/>
      </c>
    </row>
    <row r="802">
      <c r="BF802" t="str">
        <f>IF(AND(OR(PROCESSOS!Q802="NO PRAZO",PROCESSOS!Q802="VENCE EM BREVE"),OR(FiltroResp="TODOS",FiltroResp="",PROCESSOS!I802=FiltroResp)),PROCESSOS!O802+ROW()/1000000,"")</f>
        <v/>
      </c>
      <c r="BG802" t="str">
        <f>IF(AND(PROCESSOS!B802&lt;&gt;"",ISNUMBER(PROCESSOS!D802),OR(FiltroResp="TODOS",FiltroResp="",PROCESSOS!I802=FiltroResp)),PROCESSOS!D802+ROW()/1000000,"")</f>
        <v/>
      </c>
    </row>
    <row r="803">
      <c r="BF803" t="str">
        <f>IF(AND(OR(PROCESSOS!Q803="NO PRAZO",PROCESSOS!Q803="VENCE EM BREVE"),OR(FiltroResp="TODOS",FiltroResp="",PROCESSOS!I803=FiltroResp)),PROCESSOS!O803+ROW()/1000000,"")</f>
        <v/>
      </c>
      <c r="BG803" t="str">
        <f>IF(AND(PROCESSOS!B803&lt;&gt;"",ISNUMBER(PROCESSOS!D803),OR(FiltroResp="TODOS",FiltroResp="",PROCESSOS!I803=FiltroResp)),PROCESSOS!D803+ROW()/1000000,"")</f>
        <v/>
      </c>
    </row>
    <row r="804">
      <c r="BF804" t="str">
        <f>IF(AND(OR(PROCESSOS!Q804="NO PRAZO",PROCESSOS!Q804="VENCE EM BREVE"),OR(FiltroResp="TODOS",FiltroResp="",PROCESSOS!I804=FiltroResp)),PROCESSOS!O804+ROW()/1000000,"")</f>
        <v/>
      </c>
      <c r="BG804" t="str">
        <f>IF(AND(PROCESSOS!B804&lt;&gt;"",ISNUMBER(PROCESSOS!D804),OR(FiltroResp="TODOS",FiltroResp="",PROCESSOS!I804=FiltroResp)),PROCESSOS!D804+ROW()/1000000,"")</f>
        <v/>
      </c>
    </row>
    <row r="805">
      <c r="BF805" t="str">
        <f>IF(AND(OR(PROCESSOS!Q805="NO PRAZO",PROCESSOS!Q805="VENCE EM BREVE"),OR(FiltroResp="TODOS",FiltroResp="",PROCESSOS!I805=FiltroResp)),PROCESSOS!O805+ROW()/1000000,"")</f>
        <v/>
      </c>
      <c r="BG805" t="str">
        <f>IF(AND(PROCESSOS!B805&lt;&gt;"",ISNUMBER(PROCESSOS!D805),OR(FiltroResp="TODOS",FiltroResp="",PROCESSOS!I805=FiltroResp)),PROCESSOS!D805+ROW()/1000000,"")</f>
        <v/>
      </c>
    </row>
    <row r="806">
      <c r="BF806" t="str">
        <f>IF(AND(OR(PROCESSOS!Q806="NO PRAZO",PROCESSOS!Q806="VENCE EM BREVE"),OR(FiltroResp="TODOS",FiltroResp="",PROCESSOS!I806=FiltroResp)),PROCESSOS!O806+ROW()/1000000,"")</f>
        <v/>
      </c>
      <c r="BG806" t="str">
        <f>IF(AND(PROCESSOS!B806&lt;&gt;"",ISNUMBER(PROCESSOS!D806),OR(FiltroResp="TODOS",FiltroResp="",PROCESSOS!I806=FiltroResp)),PROCESSOS!D806+ROW()/1000000,"")</f>
        <v/>
      </c>
    </row>
    <row r="807">
      <c r="BF807" t="str">
        <f>IF(AND(OR(PROCESSOS!Q807="NO PRAZO",PROCESSOS!Q807="VENCE EM BREVE"),OR(FiltroResp="TODOS",FiltroResp="",PROCESSOS!I807=FiltroResp)),PROCESSOS!O807+ROW()/1000000,"")</f>
        <v/>
      </c>
      <c r="BG807" t="str">
        <f>IF(AND(PROCESSOS!B807&lt;&gt;"",ISNUMBER(PROCESSOS!D807),OR(FiltroResp="TODOS",FiltroResp="",PROCESSOS!I807=FiltroResp)),PROCESSOS!D807+ROW()/1000000,"")</f>
        <v/>
      </c>
    </row>
    <row r="808">
      <c r="BF808" t="str">
        <f>IF(AND(OR(PROCESSOS!Q808="NO PRAZO",PROCESSOS!Q808="VENCE EM BREVE"),OR(FiltroResp="TODOS",FiltroResp="",PROCESSOS!I808=FiltroResp)),PROCESSOS!O808+ROW()/1000000,"")</f>
        <v/>
      </c>
      <c r="BG808" t="str">
        <f>IF(AND(PROCESSOS!B808&lt;&gt;"",ISNUMBER(PROCESSOS!D808),OR(FiltroResp="TODOS",FiltroResp="",PROCESSOS!I808=FiltroResp)),PROCESSOS!D808+ROW()/1000000,"")</f>
        <v/>
      </c>
    </row>
    <row r="809">
      <c r="BF809" t="str">
        <f>IF(AND(OR(PROCESSOS!Q809="NO PRAZO",PROCESSOS!Q809="VENCE EM BREVE"),OR(FiltroResp="TODOS",FiltroResp="",PROCESSOS!I809=FiltroResp)),PROCESSOS!O809+ROW()/1000000,"")</f>
        <v/>
      </c>
      <c r="BG809" t="str">
        <f>IF(AND(PROCESSOS!B809&lt;&gt;"",ISNUMBER(PROCESSOS!D809),OR(FiltroResp="TODOS",FiltroResp="",PROCESSOS!I809=FiltroResp)),PROCESSOS!D809+ROW()/1000000,"")</f>
        <v/>
      </c>
    </row>
    <row r="810">
      <c r="BF810" t="str">
        <f>IF(AND(OR(PROCESSOS!Q810="NO PRAZO",PROCESSOS!Q810="VENCE EM BREVE"),OR(FiltroResp="TODOS",FiltroResp="",PROCESSOS!I810=FiltroResp)),PROCESSOS!O810+ROW()/1000000,"")</f>
        <v/>
      </c>
      <c r="BG810" t="str">
        <f>IF(AND(PROCESSOS!B810&lt;&gt;"",ISNUMBER(PROCESSOS!D810),OR(FiltroResp="TODOS",FiltroResp="",PROCESSOS!I810=FiltroResp)),PROCESSOS!D810+ROW()/1000000,"")</f>
        <v/>
      </c>
    </row>
    <row r="811">
      <c r="BF811" t="str">
        <f>IF(AND(OR(PROCESSOS!Q811="NO PRAZO",PROCESSOS!Q811="VENCE EM BREVE"),OR(FiltroResp="TODOS",FiltroResp="",PROCESSOS!I811=FiltroResp)),PROCESSOS!O811+ROW()/1000000,"")</f>
        <v/>
      </c>
      <c r="BG811" t="str">
        <f>IF(AND(PROCESSOS!B811&lt;&gt;"",ISNUMBER(PROCESSOS!D811),OR(FiltroResp="TODOS",FiltroResp="",PROCESSOS!I811=FiltroResp)),PROCESSOS!D811+ROW()/1000000,"")</f>
        <v/>
      </c>
    </row>
    <row r="812">
      <c r="BF812" t="str">
        <f>IF(AND(OR(PROCESSOS!Q812="NO PRAZO",PROCESSOS!Q812="VENCE EM BREVE"),OR(FiltroResp="TODOS",FiltroResp="",PROCESSOS!I812=FiltroResp)),PROCESSOS!O812+ROW()/1000000,"")</f>
        <v/>
      </c>
      <c r="BG812" t="str">
        <f>IF(AND(PROCESSOS!B812&lt;&gt;"",ISNUMBER(PROCESSOS!D812),OR(FiltroResp="TODOS",FiltroResp="",PROCESSOS!I812=FiltroResp)),PROCESSOS!D812+ROW()/1000000,"")</f>
        <v/>
      </c>
    </row>
    <row r="813">
      <c r="BF813" t="str">
        <f>IF(AND(OR(PROCESSOS!Q813="NO PRAZO",PROCESSOS!Q813="VENCE EM BREVE"),OR(FiltroResp="TODOS",FiltroResp="",PROCESSOS!I813=FiltroResp)),PROCESSOS!O813+ROW()/1000000,"")</f>
        <v/>
      </c>
      <c r="BG813" t="str">
        <f>IF(AND(PROCESSOS!B813&lt;&gt;"",ISNUMBER(PROCESSOS!D813),OR(FiltroResp="TODOS",FiltroResp="",PROCESSOS!I813=FiltroResp)),PROCESSOS!D813+ROW()/1000000,"")</f>
        <v/>
      </c>
    </row>
    <row r="814">
      <c r="BF814" t="str">
        <f>IF(AND(OR(PROCESSOS!Q814="NO PRAZO",PROCESSOS!Q814="VENCE EM BREVE"),OR(FiltroResp="TODOS",FiltroResp="",PROCESSOS!I814=FiltroResp)),PROCESSOS!O814+ROW()/1000000,"")</f>
        <v/>
      </c>
      <c r="BG814" t="str">
        <f>IF(AND(PROCESSOS!B814&lt;&gt;"",ISNUMBER(PROCESSOS!D814),OR(FiltroResp="TODOS",FiltroResp="",PROCESSOS!I814=FiltroResp)),PROCESSOS!D814+ROW()/1000000,"")</f>
        <v/>
      </c>
    </row>
    <row r="815">
      <c r="BF815" t="str">
        <f>IF(AND(OR(PROCESSOS!Q815="NO PRAZO",PROCESSOS!Q815="VENCE EM BREVE"),OR(FiltroResp="TODOS",FiltroResp="",PROCESSOS!I815=FiltroResp)),PROCESSOS!O815+ROW()/1000000,"")</f>
        <v/>
      </c>
      <c r="BG815" t="str">
        <f>IF(AND(PROCESSOS!B815&lt;&gt;"",ISNUMBER(PROCESSOS!D815),OR(FiltroResp="TODOS",FiltroResp="",PROCESSOS!I815=FiltroResp)),PROCESSOS!D815+ROW()/1000000,"")</f>
        <v/>
      </c>
    </row>
    <row r="816">
      <c r="BF816" t="str">
        <f>IF(AND(OR(PROCESSOS!Q816="NO PRAZO",PROCESSOS!Q816="VENCE EM BREVE"),OR(FiltroResp="TODOS",FiltroResp="",PROCESSOS!I816=FiltroResp)),PROCESSOS!O816+ROW()/1000000,"")</f>
        <v/>
      </c>
      <c r="BG816" t="str">
        <f>IF(AND(PROCESSOS!B816&lt;&gt;"",ISNUMBER(PROCESSOS!D816),OR(FiltroResp="TODOS",FiltroResp="",PROCESSOS!I816=FiltroResp)),PROCESSOS!D816+ROW()/1000000,"")</f>
        <v/>
      </c>
    </row>
    <row r="817">
      <c r="BF817" t="str">
        <f>IF(AND(OR(PROCESSOS!Q817="NO PRAZO",PROCESSOS!Q817="VENCE EM BREVE"),OR(FiltroResp="TODOS",FiltroResp="",PROCESSOS!I817=FiltroResp)),PROCESSOS!O817+ROW()/1000000,"")</f>
        <v/>
      </c>
      <c r="BG817" t="str">
        <f>IF(AND(PROCESSOS!B817&lt;&gt;"",ISNUMBER(PROCESSOS!D817),OR(FiltroResp="TODOS",FiltroResp="",PROCESSOS!I817=FiltroResp)),PROCESSOS!D817+ROW()/1000000,"")</f>
        <v/>
      </c>
    </row>
    <row r="818">
      <c r="BF818" t="str">
        <f>IF(AND(OR(PROCESSOS!Q818="NO PRAZO",PROCESSOS!Q818="VENCE EM BREVE"),OR(FiltroResp="TODOS",FiltroResp="",PROCESSOS!I818=FiltroResp)),PROCESSOS!O818+ROW()/1000000,"")</f>
        <v/>
      </c>
      <c r="BG818" t="str">
        <f>IF(AND(PROCESSOS!B818&lt;&gt;"",ISNUMBER(PROCESSOS!D818),OR(FiltroResp="TODOS",FiltroResp="",PROCESSOS!I818=FiltroResp)),PROCESSOS!D818+ROW()/1000000,"")</f>
        <v/>
      </c>
    </row>
    <row r="819">
      <c r="BF819" t="str">
        <f>IF(AND(OR(PROCESSOS!Q819="NO PRAZO",PROCESSOS!Q819="VENCE EM BREVE"),OR(FiltroResp="TODOS",FiltroResp="",PROCESSOS!I819=FiltroResp)),PROCESSOS!O819+ROW()/1000000,"")</f>
        <v/>
      </c>
      <c r="BG819" t="str">
        <f>IF(AND(PROCESSOS!B819&lt;&gt;"",ISNUMBER(PROCESSOS!D819),OR(FiltroResp="TODOS",FiltroResp="",PROCESSOS!I819=FiltroResp)),PROCESSOS!D819+ROW()/1000000,"")</f>
        <v/>
      </c>
    </row>
    <row r="820">
      <c r="BF820" t="str">
        <f>IF(AND(OR(PROCESSOS!Q820="NO PRAZO",PROCESSOS!Q820="VENCE EM BREVE"),OR(FiltroResp="TODOS",FiltroResp="",PROCESSOS!I820=FiltroResp)),PROCESSOS!O820+ROW()/1000000,"")</f>
        <v/>
      </c>
      <c r="BG820" t="str">
        <f>IF(AND(PROCESSOS!B820&lt;&gt;"",ISNUMBER(PROCESSOS!D820),OR(FiltroResp="TODOS",FiltroResp="",PROCESSOS!I820=FiltroResp)),PROCESSOS!D820+ROW()/1000000,"")</f>
        <v/>
      </c>
    </row>
    <row r="821">
      <c r="BF821" t="str">
        <f>IF(AND(OR(PROCESSOS!Q821="NO PRAZO",PROCESSOS!Q821="VENCE EM BREVE"),OR(FiltroResp="TODOS",FiltroResp="",PROCESSOS!I821=FiltroResp)),PROCESSOS!O821+ROW()/1000000,"")</f>
        <v/>
      </c>
      <c r="BG821" t="str">
        <f>IF(AND(PROCESSOS!B821&lt;&gt;"",ISNUMBER(PROCESSOS!D821),OR(FiltroResp="TODOS",FiltroResp="",PROCESSOS!I821=FiltroResp)),PROCESSOS!D821+ROW()/1000000,"")</f>
        <v/>
      </c>
    </row>
    <row r="822">
      <c r="BF822" t="str">
        <f>IF(AND(OR(PROCESSOS!Q822="NO PRAZO",PROCESSOS!Q822="VENCE EM BREVE"),OR(FiltroResp="TODOS",FiltroResp="",PROCESSOS!I822=FiltroResp)),PROCESSOS!O822+ROW()/1000000,"")</f>
        <v/>
      </c>
      <c r="BG822" t="str">
        <f>IF(AND(PROCESSOS!B822&lt;&gt;"",ISNUMBER(PROCESSOS!D822),OR(FiltroResp="TODOS",FiltroResp="",PROCESSOS!I822=FiltroResp)),PROCESSOS!D822+ROW()/1000000,"")</f>
        <v/>
      </c>
    </row>
    <row r="823">
      <c r="BF823" t="str">
        <f>IF(AND(OR(PROCESSOS!Q823="NO PRAZO",PROCESSOS!Q823="VENCE EM BREVE"),OR(FiltroResp="TODOS",FiltroResp="",PROCESSOS!I823=FiltroResp)),PROCESSOS!O823+ROW()/1000000,"")</f>
        <v/>
      </c>
      <c r="BG823" t="str">
        <f>IF(AND(PROCESSOS!B823&lt;&gt;"",ISNUMBER(PROCESSOS!D823),OR(FiltroResp="TODOS",FiltroResp="",PROCESSOS!I823=FiltroResp)),PROCESSOS!D823+ROW()/1000000,"")</f>
        <v/>
      </c>
    </row>
    <row r="824">
      <c r="BF824" t="str">
        <f>IF(AND(OR(PROCESSOS!Q824="NO PRAZO",PROCESSOS!Q824="VENCE EM BREVE"),OR(FiltroResp="TODOS",FiltroResp="",PROCESSOS!I824=FiltroResp)),PROCESSOS!O824+ROW()/1000000,"")</f>
        <v/>
      </c>
      <c r="BG824" t="str">
        <f>IF(AND(PROCESSOS!B824&lt;&gt;"",ISNUMBER(PROCESSOS!D824),OR(FiltroResp="TODOS",FiltroResp="",PROCESSOS!I824=FiltroResp)),PROCESSOS!D824+ROW()/1000000,"")</f>
        <v/>
      </c>
    </row>
    <row r="825">
      <c r="BF825" t="str">
        <f>IF(AND(OR(PROCESSOS!Q825="NO PRAZO",PROCESSOS!Q825="VENCE EM BREVE"),OR(FiltroResp="TODOS",FiltroResp="",PROCESSOS!I825=FiltroResp)),PROCESSOS!O825+ROW()/1000000,"")</f>
        <v/>
      </c>
      <c r="BG825" t="str">
        <f>IF(AND(PROCESSOS!B825&lt;&gt;"",ISNUMBER(PROCESSOS!D825),OR(FiltroResp="TODOS",FiltroResp="",PROCESSOS!I825=FiltroResp)),PROCESSOS!D825+ROW()/1000000,"")</f>
        <v/>
      </c>
    </row>
    <row r="826">
      <c r="BF826" t="str">
        <f>IF(AND(OR(PROCESSOS!Q826="NO PRAZO",PROCESSOS!Q826="VENCE EM BREVE"),OR(FiltroResp="TODOS",FiltroResp="",PROCESSOS!I826=FiltroResp)),PROCESSOS!O826+ROW()/1000000,"")</f>
        <v/>
      </c>
      <c r="BG826" t="str">
        <f>IF(AND(PROCESSOS!B826&lt;&gt;"",ISNUMBER(PROCESSOS!D826),OR(FiltroResp="TODOS",FiltroResp="",PROCESSOS!I826=FiltroResp)),PROCESSOS!D826+ROW()/1000000,"")</f>
        <v/>
      </c>
    </row>
    <row r="827">
      <c r="BF827" t="str">
        <f>IF(AND(OR(PROCESSOS!Q827="NO PRAZO",PROCESSOS!Q827="VENCE EM BREVE"),OR(FiltroResp="TODOS",FiltroResp="",PROCESSOS!I827=FiltroResp)),PROCESSOS!O827+ROW()/1000000,"")</f>
        <v/>
      </c>
      <c r="BG827" t="str">
        <f>IF(AND(PROCESSOS!B827&lt;&gt;"",ISNUMBER(PROCESSOS!D827),OR(FiltroResp="TODOS",FiltroResp="",PROCESSOS!I827=FiltroResp)),PROCESSOS!D827+ROW()/1000000,"")</f>
        <v/>
      </c>
    </row>
    <row r="828">
      <c r="BF828" t="str">
        <f>IF(AND(OR(PROCESSOS!Q828="NO PRAZO",PROCESSOS!Q828="VENCE EM BREVE"),OR(FiltroResp="TODOS",FiltroResp="",PROCESSOS!I828=FiltroResp)),PROCESSOS!O828+ROW()/1000000,"")</f>
        <v/>
      </c>
      <c r="BG828" t="str">
        <f>IF(AND(PROCESSOS!B828&lt;&gt;"",ISNUMBER(PROCESSOS!D828),OR(FiltroResp="TODOS",FiltroResp="",PROCESSOS!I828=FiltroResp)),PROCESSOS!D828+ROW()/1000000,"")</f>
        <v/>
      </c>
    </row>
    <row r="829">
      <c r="BF829" t="str">
        <f>IF(AND(OR(PROCESSOS!Q829="NO PRAZO",PROCESSOS!Q829="VENCE EM BREVE"),OR(FiltroResp="TODOS",FiltroResp="",PROCESSOS!I829=FiltroResp)),PROCESSOS!O829+ROW()/1000000,"")</f>
        <v/>
      </c>
      <c r="BG829" t="str">
        <f>IF(AND(PROCESSOS!B829&lt;&gt;"",ISNUMBER(PROCESSOS!D829),OR(FiltroResp="TODOS",FiltroResp="",PROCESSOS!I829=FiltroResp)),PROCESSOS!D829+ROW()/1000000,"")</f>
        <v/>
      </c>
    </row>
    <row r="830">
      <c r="BF830" t="str">
        <f>IF(AND(OR(PROCESSOS!Q830="NO PRAZO",PROCESSOS!Q830="VENCE EM BREVE"),OR(FiltroResp="TODOS",FiltroResp="",PROCESSOS!I830=FiltroResp)),PROCESSOS!O830+ROW()/1000000,"")</f>
        <v/>
      </c>
      <c r="BG830" t="str">
        <f>IF(AND(PROCESSOS!B830&lt;&gt;"",ISNUMBER(PROCESSOS!D830),OR(FiltroResp="TODOS",FiltroResp="",PROCESSOS!I830=FiltroResp)),PROCESSOS!D830+ROW()/1000000,"")</f>
        <v/>
      </c>
    </row>
    <row r="831">
      <c r="BF831" t="str">
        <f>IF(AND(OR(PROCESSOS!Q831="NO PRAZO",PROCESSOS!Q831="VENCE EM BREVE"),OR(FiltroResp="TODOS",FiltroResp="",PROCESSOS!I831=FiltroResp)),PROCESSOS!O831+ROW()/1000000,"")</f>
        <v/>
      </c>
      <c r="BG831" t="str">
        <f>IF(AND(PROCESSOS!B831&lt;&gt;"",ISNUMBER(PROCESSOS!D831),OR(FiltroResp="TODOS",FiltroResp="",PROCESSOS!I831=FiltroResp)),PROCESSOS!D831+ROW()/1000000,"")</f>
        <v/>
      </c>
    </row>
    <row r="832">
      <c r="BF832" t="str">
        <f>IF(AND(OR(PROCESSOS!Q832="NO PRAZO",PROCESSOS!Q832="VENCE EM BREVE"),OR(FiltroResp="TODOS",FiltroResp="",PROCESSOS!I832=FiltroResp)),PROCESSOS!O832+ROW()/1000000,"")</f>
        <v/>
      </c>
      <c r="BG832" t="str">
        <f>IF(AND(PROCESSOS!B832&lt;&gt;"",ISNUMBER(PROCESSOS!D832),OR(FiltroResp="TODOS",FiltroResp="",PROCESSOS!I832=FiltroResp)),PROCESSOS!D832+ROW()/1000000,"")</f>
        <v/>
      </c>
    </row>
    <row r="833">
      <c r="BF833" t="str">
        <f>IF(AND(OR(PROCESSOS!Q833="NO PRAZO",PROCESSOS!Q833="VENCE EM BREVE"),OR(FiltroResp="TODOS",FiltroResp="",PROCESSOS!I833=FiltroResp)),PROCESSOS!O833+ROW()/1000000,"")</f>
        <v/>
      </c>
      <c r="BG833" t="str">
        <f>IF(AND(PROCESSOS!B833&lt;&gt;"",ISNUMBER(PROCESSOS!D833),OR(FiltroResp="TODOS",FiltroResp="",PROCESSOS!I833=FiltroResp)),PROCESSOS!D833+ROW()/1000000,"")</f>
        <v/>
      </c>
    </row>
    <row r="834">
      <c r="BF834" t="str">
        <f>IF(AND(OR(PROCESSOS!Q834="NO PRAZO",PROCESSOS!Q834="VENCE EM BREVE"),OR(FiltroResp="TODOS",FiltroResp="",PROCESSOS!I834=FiltroResp)),PROCESSOS!O834+ROW()/1000000,"")</f>
        <v/>
      </c>
      <c r="BG834" t="str">
        <f>IF(AND(PROCESSOS!B834&lt;&gt;"",ISNUMBER(PROCESSOS!D834),OR(FiltroResp="TODOS",FiltroResp="",PROCESSOS!I834=FiltroResp)),PROCESSOS!D834+ROW()/1000000,"")</f>
        <v/>
      </c>
    </row>
    <row r="835">
      <c r="BF835" t="str">
        <f>IF(AND(OR(PROCESSOS!Q835="NO PRAZO",PROCESSOS!Q835="VENCE EM BREVE"),OR(FiltroResp="TODOS",FiltroResp="",PROCESSOS!I835=FiltroResp)),PROCESSOS!O835+ROW()/1000000,"")</f>
        <v/>
      </c>
      <c r="BG835" t="str">
        <f>IF(AND(PROCESSOS!B835&lt;&gt;"",ISNUMBER(PROCESSOS!D835),OR(FiltroResp="TODOS",FiltroResp="",PROCESSOS!I835=FiltroResp)),PROCESSOS!D835+ROW()/1000000,"")</f>
        <v/>
      </c>
    </row>
    <row r="836">
      <c r="BF836" t="str">
        <f>IF(AND(OR(PROCESSOS!Q836="NO PRAZO",PROCESSOS!Q836="VENCE EM BREVE"),OR(FiltroResp="TODOS",FiltroResp="",PROCESSOS!I836=FiltroResp)),PROCESSOS!O836+ROW()/1000000,"")</f>
        <v/>
      </c>
      <c r="BG836" t="str">
        <f>IF(AND(PROCESSOS!B836&lt;&gt;"",ISNUMBER(PROCESSOS!D836),OR(FiltroResp="TODOS",FiltroResp="",PROCESSOS!I836=FiltroResp)),PROCESSOS!D836+ROW()/1000000,"")</f>
        <v/>
      </c>
    </row>
    <row r="837">
      <c r="BF837" t="str">
        <f>IF(AND(OR(PROCESSOS!Q837="NO PRAZO",PROCESSOS!Q837="VENCE EM BREVE"),OR(FiltroResp="TODOS",FiltroResp="",PROCESSOS!I837=FiltroResp)),PROCESSOS!O837+ROW()/1000000,"")</f>
        <v/>
      </c>
      <c r="BG837" t="str">
        <f>IF(AND(PROCESSOS!B837&lt;&gt;"",ISNUMBER(PROCESSOS!D837),OR(FiltroResp="TODOS",FiltroResp="",PROCESSOS!I837=FiltroResp)),PROCESSOS!D837+ROW()/1000000,"")</f>
        <v/>
      </c>
    </row>
    <row r="838">
      <c r="BF838" t="str">
        <f>IF(AND(OR(PROCESSOS!Q838="NO PRAZO",PROCESSOS!Q838="VENCE EM BREVE"),OR(FiltroResp="TODOS",FiltroResp="",PROCESSOS!I838=FiltroResp)),PROCESSOS!O838+ROW()/1000000,"")</f>
        <v/>
      </c>
      <c r="BG838" t="str">
        <f>IF(AND(PROCESSOS!B838&lt;&gt;"",ISNUMBER(PROCESSOS!D838),OR(FiltroResp="TODOS",FiltroResp="",PROCESSOS!I838=FiltroResp)),PROCESSOS!D838+ROW()/1000000,"")</f>
        <v/>
      </c>
    </row>
    <row r="839">
      <c r="BF839" t="str">
        <f>IF(AND(OR(PROCESSOS!Q839="NO PRAZO",PROCESSOS!Q839="VENCE EM BREVE"),OR(FiltroResp="TODOS",FiltroResp="",PROCESSOS!I839=FiltroResp)),PROCESSOS!O839+ROW()/1000000,"")</f>
        <v/>
      </c>
      <c r="BG839" t="str">
        <f>IF(AND(PROCESSOS!B839&lt;&gt;"",ISNUMBER(PROCESSOS!D839),OR(FiltroResp="TODOS",FiltroResp="",PROCESSOS!I839=FiltroResp)),PROCESSOS!D839+ROW()/1000000,"")</f>
        <v/>
      </c>
    </row>
    <row r="840">
      <c r="BF840" t="str">
        <f>IF(AND(OR(PROCESSOS!Q840="NO PRAZO",PROCESSOS!Q840="VENCE EM BREVE"),OR(FiltroResp="TODOS",FiltroResp="",PROCESSOS!I840=FiltroResp)),PROCESSOS!O840+ROW()/1000000,"")</f>
        <v/>
      </c>
      <c r="BG840" t="str">
        <f>IF(AND(PROCESSOS!B840&lt;&gt;"",ISNUMBER(PROCESSOS!D840),OR(FiltroResp="TODOS",FiltroResp="",PROCESSOS!I840=FiltroResp)),PROCESSOS!D840+ROW()/1000000,"")</f>
        <v/>
      </c>
    </row>
    <row r="841">
      <c r="BF841" t="str">
        <f>IF(AND(OR(PROCESSOS!Q841="NO PRAZO",PROCESSOS!Q841="VENCE EM BREVE"),OR(FiltroResp="TODOS",FiltroResp="",PROCESSOS!I841=FiltroResp)),PROCESSOS!O841+ROW()/1000000,"")</f>
        <v/>
      </c>
      <c r="BG841" t="str">
        <f>IF(AND(PROCESSOS!B841&lt;&gt;"",ISNUMBER(PROCESSOS!D841),OR(FiltroResp="TODOS",FiltroResp="",PROCESSOS!I841=FiltroResp)),PROCESSOS!D841+ROW()/1000000,"")</f>
        <v/>
      </c>
    </row>
    <row r="842">
      <c r="BF842" t="str">
        <f>IF(AND(OR(PROCESSOS!Q842="NO PRAZO",PROCESSOS!Q842="VENCE EM BREVE"),OR(FiltroResp="TODOS",FiltroResp="",PROCESSOS!I842=FiltroResp)),PROCESSOS!O842+ROW()/1000000,"")</f>
        <v/>
      </c>
      <c r="BG842" t="str">
        <f>IF(AND(PROCESSOS!B842&lt;&gt;"",ISNUMBER(PROCESSOS!D842),OR(FiltroResp="TODOS",FiltroResp="",PROCESSOS!I842=FiltroResp)),PROCESSOS!D842+ROW()/1000000,"")</f>
        <v/>
      </c>
    </row>
    <row r="843">
      <c r="BF843" t="str">
        <f>IF(AND(OR(PROCESSOS!Q843="NO PRAZO",PROCESSOS!Q843="VENCE EM BREVE"),OR(FiltroResp="TODOS",FiltroResp="",PROCESSOS!I843=FiltroResp)),PROCESSOS!O843+ROW()/1000000,"")</f>
        <v/>
      </c>
      <c r="BG843" t="str">
        <f>IF(AND(PROCESSOS!B843&lt;&gt;"",ISNUMBER(PROCESSOS!D843),OR(FiltroResp="TODOS",FiltroResp="",PROCESSOS!I843=FiltroResp)),PROCESSOS!D843+ROW()/1000000,"")</f>
        <v/>
      </c>
    </row>
    <row r="844">
      <c r="BF844" t="str">
        <f>IF(AND(OR(PROCESSOS!Q844="NO PRAZO",PROCESSOS!Q844="VENCE EM BREVE"),OR(FiltroResp="TODOS",FiltroResp="",PROCESSOS!I844=FiltroResp)),PROCESSOS!O844+ROW()/1000000,"")</f>
        <v/>
      </c>
      <c r="BG844" t="str">
        <f>IF(AND(PROCESSOS!B844&lt;&gt;"",ISNUMBER(PROCESSOS!D844),OR(FiltroResp="TODOS",FiltroResp="",PROCESSOS!I844=FiltroResp)),PROCESSOS!D844+ROW()/1000000,"")</f>
        <v/>
      </c>
    </row>
    <row r="845">
      <c r="BF845" t="str">
        <f>IF(AND(OR(PROCESSOS!Q845="NO PRAZO",PROCESSOS!Q845="VENCE EM BREVE"),OR(FiltroResp="TODOS",FiltroResp="",PROCESSOS!I845=FiltroResp)),PROCESSOS!O845+ROW()/1000000,"")</f>
        <v/>
      </c>
      <c r="BG845" t="str">
        <f>IF(AND(PROCESSOS!B845&lt;&gt;"",ISNUMBER(PROCESSOS!D845),OR(FiltroResp="TODOS",FiltroResp="",PROCESSOS!I845=FiltroResp)),PROCESSOS!D845+ROW()/1000000,"")</f>
        <v/>
      </c>
    </row>
    <row r="846">
      <c r="BF846" t="str">
        <f>IF(AND(OR(PROCESSOS!Q846="NO PRAZO",PROCESSOS!Q846="VENCE EM BREVE"),OR(FiltroResp="TODOS",FiltroResp="",PROCESSOS!I846=FiltroResp)),PROCESSOS!O846+ROW()/1000000,"")</f>
        <v/>
      </c>
      <c r="BG846" t="str">
        <f>IF(AND(PROCESSOS!B846&lt;&gt;"",ISNUMBER(PROCESSOS!D846),OR(FiltroResp="TODOS",FiltroResp="",PROCESSOS!I846=FiltroResp)),PROCESSOS!D846+ROW()/1000000,"")</f>
        <v/>
      </c>
    </row>
    <row r="847">
      <c r="BF847" t="str">
        <f>IF(AND(OR(PROCESSOS!Q847="NO PRAZO",PROCESSOS!Q847="VENCE EM BREVE"),OR(FiltroResp="TODOS",FiltroResp="",PROCESSOS!I847=FiltroResp)),PROCESSOS!O847+ROW()/1000000,"")</f>
        <v/>
      </c>
      <c r="BG847" t="str">
        <f>IF(AND(PROCESSOS!B847&lt;&gt;"",ISNUMBER(PROCESSOS!D847),OR(FiltroResp="TODOS",FiltroResp="",PROCESSOS!I847=FiltroResp)),PROCESSOS!D847+ROW()/1000000,"")</f>
        <v/>
      </c>
    </row>
    <row r="848">
      <c r="BF848" t="str">
        <f>IF(AND(OR(PROCESSOS!Q848="NO PRAZO",PROCESSOS!Q848="VENCE EM BREVE"),OR(FiltroResp="TODOS",FiltroResp="",PROCESSOS!I848=FiltroResp)),PROCESSOS!O848+ROW()/1000000,"")</f>
        <v/>
      </c>
      <c r="BG848" t="str">
        <f>IF(AND(PROCESSOS!B848&lt;&gt;"",ISNUMBER(PROCESSOS!D848),OR(FiltroResp="TODOS",FiltroResp="",PROCESSOS!I848=FiltroResp)),PROCESSOS!D848+ROW()/1000000,"")</f>
        <v/>
      </c>
    </row>
    <row r="849">
      <c r="BF849" t="str">
        <f>IF(AND(OR(PROCESSOS!Q849="NO PRAZO",PROCESSOS!Q849="VENCE EM BREVE"),OR(FiltroResp="TODOS",FiltroResp="",PROCESSOS!I849=FiltroResp)),PROCESSOS!O849+ROW()/1000000,"")</f>
        <v/>
      </c>
      <c r="BG849" t="str">
        <f>IF(AND(PROCESSOS!B849&lt;&gt;"",ISNUMBER(PROCESSOS!D849),OR(FiltroResp="TODOS",FiltroResp="",PROCESSOS!I849=FiltroResp)),PROCESSOS!D849+ROW()/1000000,"")</f>
        <v/>
      </c>
    </row>
    <row r="850">
      <c r="BF850" t="str">
        <f>IF(AND(OR(PROCESSOS!Q850="NO PRAZO",PROCESSOS!Q850="VENCE EM BREVE"),OR(FiltroResp="TODOS",FiltroResp="",PROCESSOS!I850=FiltroResp)),PROCESSOS!O850+ROW()/1000000,"")</f>
        <v/>
      </c>
      <c r="BG850" t="str">
        <f>IF(AND(PROCESSOS!B850&lt;&gt;"",ISNUMBER(PROCESSOS!D850),OR(FiltroResp="TODOS",FiltroResp="",PROCESSOS!I850=FiltroResp)),PROCESSOS!D850+ROW()/1000000,"")</f>
        <v/>
      </c>
    </row>
    <row r="851">
      <c r="BF851" t="str">
        <f>IF(AND(OR(PROCESSOS!Q851="NO PRAZO",PROCESSOS!Q851="VENCE EM BREVE"),OR(FiltroResp="TODOS",FiltroResp="",PROCESSOS!I851=FiltroResp)),PROCESSOS!O851+ROW()/1000000,"")</f>
        <v/>
      </c>
      <c r="BG851" t="str">
        <f>IF(AND(PROCESSOS!B851&lt;&gt;"",ISNUMBER(PROCESSOS!D851),OR(FiltroResp="TODOS",FiltroResp="",PROCESSOS!I851=FiltroResp)),PROCESSOS!D851+ROW()/1000000,"")</f>
        <v/>
      </c>
    </row>
    <row r="852">
      <c r="BF852" t="str">
        <f>IF(AND(OR(PROCESSOS!Q852="NO PRAZO",PROCESSOS!Q852="VENCE EM BREVE"),OR(FiltroResp="TODOS",FiltroResp="",PROCESSOS!I852=FiltroResp)),PROCESSOS!O852+ROW()/1000000,"")</f>
        <v/>
      </c>
      <c r="BG852" t="str">
        <f>IF(AND(PROCESSOS!B852&lt;&gt;"",ISNUMBER(PROCESSOS!D852),OR(FiltroResp="TODOS",FiltroResp="",PROCESSOS!I852=FiltroResp)),PROCESSOS!D852+ROW()/1000000,"")</f>
        <v/>
      </c>
    </row>
    <row r="853">
      <c r="BF853" t="str">
        <f>IF(AND(OR(PROCESSOS!Q853="NO PRAZO",PROCESSOS!Q853="VENCE EM BREVE"),OR(FiltroResp="TODOS",FiltroResp="",PROCESSOS!I853=FiltroResp)),PROCESSOS!O853+ROW()/1000000,"")</f>
        <v/>
      </c>
      <c r="BG853" t="str">
        <f>IF(AND(PROCESSOS!B853&lt;&gt;"",ISNUMBER(PROCESSOS!D853),OR(FiltroResp="TODOS",FiltroResp="",PROCESSOS!I853=FiltroResp)),PROCESSOS!D853+ROW()/1000000,"")</f>
        <v/>
      </c>
    </row>
    <row r="854">
      <c r="BF854" t="str">
        <f>IF(AND(OR(PROCESSOS!Q854="NO PRAZO",PROCESSOS!Q854="VENCE EM BREVE"),OR(FiltroResp="TODOS",FiltroResp="",PROCESSOS!I854=FiltroResp)),PROCESSOS!O854+ROW()/1000000,"")</f>
        <v/>
      </c>
      <c r="BG854" t="str">
        <f>IF(AND(PROCESSOS!B854&lt;&gt;"",ISNUMBER(PROCESSOS!D854),OR(FiltroResp="TODOS",FiltroResp="",PROCESSOS!I854=FiltroResp)),PROCESSOS!D854+ROW()/1000000,"")</f>
        <v/>
      </c>
    </row>
    <row r="855">
      <c r="BF855" t="str">
        <f>IF(AND(OR(PROCESSOS!Q855="NO PRAZO",PROCESSOS!Q855="VENCE EM BREVE"),OR(FiltroResp="TODOS",FiltroResp="",PROCESSOS!I855=FiltroResp)),PROCESSOS!O855+ROW()/1000000,"")</f>
        <v/>
      </c>
      <c r="BG855" t="str">
        <f>IF(AND(PROCESSOS!B855&lt;&gt;"",ISNUMBER(PROCESSOS!D855),OR(FiltroResp="TODOS",FiltroResp="",PROCESSOS!I855=FiltroResp)),PROCESSOS!D855+ROW()/1000000,"")</f>
        <v/>
      </c>
    </row>
    <row r="856">
      <c r="BF856" t="str">
        <f>IF(AND(OR(PROCESSOS!Q856="NO PRAZO",PROCESSOS!Q856="VENCE EM BREVE"),OR(FiltroResp="TODOS",FiltroResp="",PROCESSOS!I856=FiltroResp)),PROCESSOS!O856+ROW()/1000000,"")</f>
        <v/>
      </c>
      <c r="BG856" t="str">
        <f>IF(AND(PROCESSOS!B856&lt;&gt;"",ISNUMBER(PROCESSOS!D856),OR(FiltroResp="TODOS",FiltroResp="",PROCESSOS!I856=FiltroResp)),PROCESSOS!D856+ROW()/1000000,"")</f>
        <v/>
      </c>
    </row>
    <row r="857">
      <c r="BF857" t="str">
        <f>IF(AND(OR(PROCESSOS!Q857="NO PRAZO",PROCESSOS!Q857="VENCE EM BREVE"),OR(FiltroResp="TODOS",FiltroResp="",PROCESSOS!I857=FiltroResp)),PROCESSOS!O857+ROW()/1000000,"")</f>
        <v/>
      </c>
      <c r="BG857" t="str">
        <f>IF(AND(PROCESSOS!B857&lt;&gt;"",ISNUMBER(PROCESSOS!D857),OR(FiltroResp="TODOS",FiltroResp="",PROCESSOS!I857=FiltroResp)),PROCESSOS!D857+ROW()/1000000,"")</f>
        <v/>
      </c>
    </row>
    <row r="858">
      <c r="BF858" t="str">
        <f>IF(AND(OR(PROCESSOS!Q858="NO PRAZO",PROCESSOS!Q858="VENCE EM BREVE"),OR(FiltroResp="TODOS",FiltroResp="",PROCESSOS!I858=FiltroResp)),PROCESSOS!O858+ROW()/1000000,"")</f>
        <v/>
      </c>
      <c r="BG858" t="str">
        <f>IF(AND(PROCESSOS!B858&lt;&gt;"",ISNUMBER(PROCESSOS!D858),OR(FiltroResp="TODOS",FiltroResp="",PROCESSOS!I858=FiltroResp)),PROCESSOS!D858+ROW()/1000000,"")</f>
        <v/>
      </c>
    </row>
    <row r="859">
      <c r="BF859" t="str">
        <f>IF(AND(OR(PROCESSOS!Q859="NO PRAZO",PROCESSOS!Q859="VENCE EM BREVE"),OR(FiltroResp="TODOS",FiltroResp="",PROCESSOS!I859=FiltroResp)),PROCESSOS!O859+ROW()/1000000,"")</f>
        <v/>
      </c>
      <c r="BG859" t="str">
        <f>IF(AND(PROCESSOS!B859&lt;&gt;"",ISNUMBER(PROCESSOS!D859),OR(FiltroResp="TODOS",FiltroResp="",PROCESSOS!I859=FiltroResp)),PROCESSOS!D859+ROW()/1000000,"")</f>
        <v/>
      </c>
    </row>
    <row r="860">
      <c r="BF860" t="str">
        <f>IF(AND(OR(PROCESSOS!Q860="NO PRAZO",PROCESSOS!Q860="VENCE EM BREVE"),OR(FiltroResp="TODOS",FiltroResp="",PROCESSOS!I860=FiltroResp)),PROCESSOS!O860+ROW()/1000000,"")</f>
        <v/>
      </c>
      <c r="BG860" t="str">
        <f>IF(AND(PROCESSOS!B860&lt;&gt;"",ISNUMBER(PROCESSOS!D860),OR(FiltroResp="TODOS",FiltroResp="",PROCESSOS!I860=FiltroResp)),PROCESSOS!D860+ROW()/1000000,"")</f>
        <v/>
      </c>
    </row>
    <row r="861">
      <c r="BF861" t="str">
        <f>IF(AND(OR(PROCESSOS!Q861="NO PRAZO",PROCESSOS!Q861="VENCE EM BREVE"),OR(FiltroResp="TODOS",FiltroResp="",PROCESSOS!I861=FiltroResp)),PROCESSOS!O861+ROW()/1000000,"")</f>
        <v/>
      </c>
      <c r="BG861" t="str">
        <f>IF(AND(PROCESSOS!B861&lt;&gt;"",ISNUMBER(PROCESSOS!D861),OR(FiltroResp="TODOS",FiltroResp="",PROCESSOS!I861=FiltroResp)),PROCESSOS!D861+ROW()/1000000,"")</f>
        <v/>
      </c>
    </row>
    <row r="862">
      <c r="BF862" t="str">
        <f>IF(AND(OR(PROCESSOS!Q862="NO PRAZO",PROCESSOS!Q862="VENCE EM BREVE"),OR(FiltroResp="TODOS",FiltroResp="",PROCESSOS!I862=FiltroResp)),PROCESSOS!O862+ROW()/1000000,"")</f>
        <v/>
      </c>
      <c r="BG862" t="str">
        <f>IF(AND(PROCESSOS!B862&lt;&gt;"",ISNUMBER(PROCESSOS!D862),OR(FiltroResp="TODOS",FiltroResp="",PROCESSOS!I862=FiltroResp)),PROCESSOS!D862+ROW()/1000000,"")</f>
        <v/>
      </c>
    </row>
    <row r="863">
      <c r="BF863" t="str">
        <f>IF(AND(OR(PROCESSOS!Q863="NO PRAZO",PROCESSOS!Q863="VENCE EM BREVE"),OR(FiltroResp="TODOS",FiltroResp="",PROCESSOS!I863=FiltroResp)),PROCESSOS!O863+ROW()/1000000,"")</f>
        <v/>
      </c>
      <c r="BG863" t="str">
        <f>IF(AND(PROCESSOS!B863&lt;&gt;"",ISNUMBER(PROCESSOS!D863),OR(FiltroResp="TODOS",FiltroResp="",PROCESSOS!I863=FiltroResp)),PROCESSOS!D863+ROW()/1000000,"")</f>
        <v/>
      </c>
    </row>
    <row r="864">
      <c r="BF864" t="str">
        <f>IF(AND(OR(PROCESSOS!Q864="NO PRAZO",PROCESSOS!Q864="VENCE EM BREVE"),OR(FiltroResp="TODOS",FiltroResp="",PROCESSOS!I864=FiltroResp)),PROCESSOS!O864+ROW()/1000000,"")</f>
        <v/>
      </c>
      <c r="BG864" t="str">
        <f>IF(AND(PROCESSOS!B864&lt;&gt;"",ISNUMBER(PROCESSOS!D864),OR(FiltroResp="TODOS",FiltroResp="",PROCESSOS!I864=FiltroResp)),PROCESSOS!D864+ROW()/1000000,"")</f>
        <v/>
      </c>
    </row>
    <row r="865">
      <c r="BF865" t="str">
        <f>IF(AND(OR(PROCESSOS!Q865="NO PRAZO",PROCESSOS!Q865="VENCE EM BREVE"),OR(FiltroResp="TODOS",FiltroResp="",PROCESSOS!I865=FiltroResp)),PROCESSOS!O865+ROW()/1000000,"")</f>
        <v/>
      </c>
      <c r="BG865" t="str">
        <f>IF(AND(PROCESSOS!B865&lt;&gt;"",ISNUMBER(PROCESSOS!D865),OR(FiltroResp="TODOS",FiltroResp="",PROCESSOS!I865=FiltroResp)),PROCESSOS!D865+ROW()/1000000,"")</f>
        <v/>
      </c>
    </row>
    <row r="866">
      <c r="BF866" t="str">
        <f>IF(AND(OR(PROCESSOS!Q866="NO PRAZO",PROCESSOS!Q866="VENCE EM BREVE"),OR(FiltroResp="TODOS",FiltroResp="",PROCESSOS!I866=FiltroResp)),PROCESSOS!O866+ROW()/1000000,"")</f>
        <v/>
      </c>
      <c r="BG866" t="str">
        <f>IF(AND(PROCESSOS!B866&lt;&gt;"",ISNUMBER(PROCESSOS!D866),OR(FiltroResp="TODOS",FiltroResp="",PROCESSOS!I866=FiltroResp)),PROCESSOS!D866+ROW()/1000000,"")</f>
        <v/>
      </c>
    </row>
    <row r="867">
      <c r="BF867" t="str">
        <f>IF(AND(OR(PROCESSOS!Q867="NO PRAZO",PROCESSOS!Q867="VENCE EM BREVE"),OR(FiltroResp="TODOS",FiltroResp="",PROCESSOS!I867=FiltroResp)),PROCESSOS!O867+ROW()/1000000,"")</f>
        <v/>
      </c>
      <c r="BG867" t="str">
        <f>IF(AND(PROCESSOS!B867&lt;&gt;"",ISNUMBER(PROCESSOS!D867),OR(FiltroResp="TODOS",FiltroResp="",PROCESSOS!I867=FiltroResp)),PROCESSOS!D867+ROW()/1000000,"")</f>
        <v/>
      </c>
    </row>
    <row r="868">
      <c r="BF868" t="str">
        <f>IF(AND(OR(PROCESSOS!Q868="NO PRAZO",PROCESSOS!Q868="VENCE EM BREVE"),OR(FiltroResp="TODOS",FiltroResp="",PROCESSOS!I868=FiltroResp)),PROCESSOS!O868+ROW()/1000000,"")</f>
        <v/>
      </c>
      <c r="BG868" t="str">
        <f>IF(AND(PROCESSOS!B868&lt;&gt;"",ISNUMBER(PROCESSOS!D868),OR(FiltroResp="TODOS",FiltroResp="",PROCESSOS!I868=FiltroResp)),PROCESSOS!D868+ROW()/1000000,"")</f>
        <v/>
      </c>
    </row>
    <row r="869">
      <c r="BF869" t="str">
        <f>IF(AND(OR(PROCESSOS!Q869="NO PRAZO",PROCESSOS!Q869="VENCE EM BREVE"),OR(FiltroResp="TODOS",FiltroResp="",PROCESSOS!I869=FiltroResp)),PROCESSOS!O869+ROW()/1000000,"")</f>
        <v/>
      </c>
      <c r="BG869" t="str">
        <f>IF(AND(PROCESSOS!B869&lt;&gt;"",ISNUMBER(PROCESSOS!D869),OR(FiltroResp="TODOS",FiltroResp="",PROCESSOS!I869=FiltroResp)),PROCESSOS!D869+ROW()/1000000,"")</f>
        <v/>
      </c>
    </row>
    <row r="870">
      <c r="BF870" t="str">
        <f>IF(AND(OR(PROCESSOS!Q870="NO PRAZO",PROCESSOS!Q870="VENCE EM BREVE"),OR(FiltroResp="TODOS",FiltroResp="",PROCESSOS!I870=FiltroResp)),PROCESSOS!O870+ROW()/1000000,"")</f>
        <v/>
      </c>
      <c r="BG870" t="str">
        <f>IF(AND(PROCESSOS!B870&lt;&gt;"",ISNUMBER(PROCESSOS!D870),OR(FiltroResp="TODOS",FiltroResp="",PROCESSOS!I870=FiltroResp)),PROCESSOS!D870+ROW()/1000000,"")</f>
        <v/>
      </c>
    </row>
    <row r="871">
      <c r="BF871" t="str">
        <f>IF(AND(OR(PROCESSOS!Q871="NO PRAZO",PROCESSOS!Q871="VENCE EM BREVE"),OR(FiltroResp="TODOS",FiltroResp="",PROCESSOS!I871=FiltroResp)),PROCESSOS!O871+ROW()/1000000,"")</f>
        <v/>
      </c>
      <c r="BG871" t="str">
        <f>IF(AND(PROCESSOS!B871&lt;&gt;"",ISNUMBER(PROCESSOS!D871),OR(FiltroResp="TODOS",FiltroResp="",PROCESSOS!I871=FiltroResp)),PROCESSOS!D871+ROW()/1000000,"")</f>
        <v/>
      </c>
    </row>
    <row r="872">
      <c r="BF872" t="str">
        <f>IF(AND(OR(PROCESSOS!Q872="NO PRAZO",PROCESSOS!Q872="VENCE EM BREVE"),OR(FiltroResp="TODOS",FiltroResp="",PROCESSOS!I872=FiltroResp)),PROCESSOS!O872+ROW()/1000000,"")</f>
        <v/>
      </c>
      <c r="BG872" t="str">
        <f>IF(AND(PROCESSOS!B872&lt;&gt;"",ISNUMBER(PROCESSOS!D872),OR(FiltroResp="TODOS",FiltroResp="",PROCESSOS!I872=FiltroResp)),PROCESSOS!D872+ROW()/1000000,"")</f>
        <v/>
      </c>
    </row>
    <row r="873">
      <c r="BF873" t="str">
        <f>IF(AND(OR(PROCESSOS!Q873="NO PRAZO",PROCESSOS!Q873="VENCE EM BREVE"),OR(FiltroResp="TODOS",FiltroResp="",PROCESSOS!I873=FiltroResp)),PROCESSOS!O873+ROW()/1000000,"")</f>
        <v/>
      </c>
      <c r="BG873" t="str">
        <f>IF(AND(PROCESSOS!B873&lt;&gt;"",ISNUMBER(PROCESSOS!D873),OR(FiltroResp="TODOS",FiltroResp="",PROCESSOS!I873=FiltroResp)),PROCESSOS!D873+ROW()/1000000,"")</f>
        <v/>
      </c>
    </row>
    <row r="874">
      <c r="BF874" t="str">
        <f>IF(AND(OR(PROCESSOS!Q874="NO PRAZO",PROCESSOS!Q874="VENCE EM BREVE"),OR(FiltroResp="TODOS",FiltroResp="",PROCESSOS!I874=FiltroResp)),PROCESSOS!O874+ROW()/1000000,"")</f>
        <v/>
      </c>
      <c r="BG874" t="str">
        <f>IF(AND(PROCESSOS!B874&lt;&gt;"",ISNUMBER(PROCESSOS!D874),OR(FiltroResp="TODOS",FiltroResp="",PROCESSOS!I874=FiltroResp)),PROCESSOS!D874+ROW()/1000000,"")</f>
        <v/>
      </c>
    </row>
    <row r="875">
      <c r="BF875" t="str">
        <f>IF(AND(OR(PROCESSOS!Q875="NO PRAZO",PROCESSOS!Q875="VENCE EM BREVE"),OR(FiltroResp="TODOS",FiltroResp="",PROCESSOS!I875=FiltroResp)),PROCESSOS!O875+ROW()/1000000,"")</f>
        <v/>
      </c>
      <c r="BG875" t="str">
        <f>IF(AND(PROCESSOS!B875&lt;&gt;"",ISNUMBER(PROCESSOS!D875),OR(FiltroResp="TODOS",FiltroResp="",PROCESSOS!I875=FiltroResp)),PROCESSOS!D875+ROW()/1000000,"")</f>
        <v/>
      </c>
    </row>
    <row r="876">
      <c r="BF876" t="str">
        <f>IF(AND(OR(PROCESSOS!Q876="NO PRAZO",PROCESSOS!Q876="VENCE EM BREVE"),OR(FiltroResp="TODOS",FiltroResp="",PROCESSOS!I876=FiltroResp)),PROCESSOS!O876+ROW()/1000000,"")</f>
        <v/>
      </c>
      <c r="BG876" t="str">
        <f>IF(AND(PROCESSOS!B876&lt;&gt;"",ISNUMBER(PROCESSOS!D876),OR(FiltroResp="TODOS",FiltroResp="",PROCESSOS!I876=FiltroResp)),PROCESSOS!D876+ROW()/1000000,"")</f>
        <v/>
      </c>
    </row>
    <row r="877">
      <c r="BF877" t="str">
        <f>IF(AND(OR(PROCESSOS!Q877="NO PRAZO",PROCESSOS!Q877="VENCE EM BREVE"),OR(FiltroResp="TODOS",FiltroResp="",PROCESSOS!I877=FiltroResp)),PROCESSOS!O877+ROW()/1000000,"")</f>
        <v/>
      </c>
      <c r="BG877" t="str">
        <f>IF(AND(PROCESSOS!B877&lt;&gt;"",ISNUMBER(PROCESSOS!D877),OR(FiltroResp="TODOS",FiltroResp="",PROCESSOS!I877=FiltroResp)),PROCESSOS!D877+ROW()/1000000,"")</f>
        <v/>
      </c>
    </row>
    <row r="878">
      <c r="BF878" t="str">
        <f>IF(AND(OR(PROCESSOS!Q878="NO PRAZO",PROCESSOS!Q878="VENCE EM BREVE"),OR(FiltroResp="TODOS",FiltroResp="",PROCESSOS!I878=FiltroResp)),PROCESSOS!O878+ROW()/1000000,"")</f>
        <v/>
      </c>
      <c r="BG878" t="str">
        <f>IF(AND(PROCESSOS!B878&lt;&gt;"",ISNUMBER(PROCESSOS!D878),OR(FiltroResp="TODOS",FiltroResp="",PROCESSOS!I878=FiltroResp)),PROCESSOS!D878+ROW()/1000000,"")</f>
        <v/>
      </c>
    </row>
    <row r="879">
      <c r="BF879" t="str">
        <f>IF(AND(OR(PROCESSOS!Q879="NO PRAZO",PROCESSOS!Q879="VENCE EM BREVE"),OR(FiltroResp="TODOS",FiltroResp="",PROCESSOS!I879=FiltroResp)),PROCESSOS!O879+ROW()/1000000,"")</f>
        <v/>
      </c>
      <c r="BG879" t="str">
        <f>IF(AND(PROCESSOS!B879&lt;&gt;"",ISNUMBER(PROCESSOS!D879),OR(FiltroResp="TODOS",FiltroResp="",PROCESSOS!I879=FiltroResp)),PROCESSOS!D879+ROW()/1000000,"")</f>
        <v/>
      </c>
    </row>
    <row r="880">
      <c r="BF880" t="str">
        <f>IF(AND(OR(PROCESSOS!Q880="NO PRAZO",PROCESSOS!Q880="VENCE EM BREVE"),OR(FiltroResp="TODOS",FiltroResp="",PROCESSOS!I880=FiltroResp)),PROCESSOS!O880+ROW()/1000000,"")</f>
        <v/>
      </c>
      <c r="BG880" t="str">
        <f>IF(AND(PROCESSOS!B880&lt;&gt;"",ISNUMBER(PROCESSOS!D880),OR(FiltroResp="TODOS",FiltroResp="",PROCESSOS!I880=FiltroResp)),PROCESSOS!D880+ROW()/1000000,"")</f>
        <v/>
      </c>
    </row>
    <row r="881">
      <c r="BF881" t="str">
        <f>IF(AND(OR(PROCESSOS!Q881="NO PRAZO",PROCESSOS!Q881="VENCE EM BREVE"),OR(FiltroResp="TODOS",FiltroResp="",PROCESSOS!I881=FiltroResp)),PROCESSOS!O881+ROW()/1000000,"")</f>
        <v/>
      </c>
      <c r="BG881" t="str">
        <f>IF(AND(PROCESSOS!B881&lt;&gt;"",ISNUMBER(PROCESSOS!D881),OR(FiltroResp="TODOS",FiltroResp="",PROCESSOS!I881=FiltroResp)),PROCESSOS!D881+ROW()/1000000,"")</f>
        <v/>
      </c>
    </row>
    <row r="882">
      <c r="BF882" t="str">
        <f>IF(AND(OR(PROCESSOS!Q882="NO PRAZO",PROCESSOS!Q882="VENCE EM BREVE"),OR(FiltroResp="TODOS",FiltroResp="",PROCESSOS!I882=FiltroResp)),PROCESSOS!O882+ROW()/1000000,"")</f>
        <v/>
      </c>
      <c r="BG882" t="str">
        <f>IF(AND(PROCESSOS!B882&lt;&gt;"",ISNUMBER(PROCESSOS!D882),OR(FiltroResp="TODOS",FiltroResp="",PROCESSOS!I882=FiltroResp)),PROCESSOS!D882+ROW()/1000000,"")</f>
        <v/>
      </c>
    </row>
    <row r="883">
      <c r="BF883" t="str">
        <f>IF(AND(OR(PROCESSOS!Q883="NO PRAZO",PROCESSOS!Q883="VENCE EM BREVE"),OR(FiltroResp="TODOS",FiltroResp="",PROCESSOS!I883=FiltroResp)),PROCESSOS!O883+ROW()/1000000,"")</f>
        <v/>
      </c>
      <c r="BG883" t="str">
        <f>IF(AND(PROCESSOS!B883&lt;&gt;"",ISNUMBER(PROCESSOS!D883),OR(FiltroResp="TODOS",FiltroResp="",PROCESSOS!I883=FiltroResp)),PROCESSOS!D883+ROW()/1000000,"")</f>
        <v/>
      </c>
    </row>
    <row r="884">
      <c r="BF884" t="str">
        <f>IF(AND(OR(PROCESSOS!Q884="NO PRAZO",PROCESSOS!Q884="VENCE EM BREVE"),OR(FiltroResp="TODOS",FiltroResp="",PROCESSOS!I884=FiltroResp)),PROCESSOS!O884+ROW()/1000000,"")</f>
        <v/>
      </c>
      <c r="BG884" t="str">
        <f>IF(AND(PROCESSOS!B884&lt;&gt;"",ISNUMBER(PROCESSOS!D884),OR(FiltroResp="TODOS",FiltroResp="",PROCESSOS!I884=FiltroResp)),PROCESSOS!D884+ROW()/1000000,"")</f>
        <v/>
      </c>
    </row>
    <row r="885">
      <c r="BF885" t="str">
        <f>IF(AND(OR(PROCESSOS!Q885="NO PRAZO",PROCESSOS!Q885="VENCE EM BREVE"),OR(FiltroResp="TODOS",FiltroResp="",PROCESSOS!I885=FiltroResp)),PROCESSOS!O885+ROW()/1000000,"")</f>
        <v/>
      </c>
      <c r="BG885" t="str">
        <f>IF(AND(PROCESSOS!B885&lt;&gt;"",ISNUMBER(PROCESSOS!D885),OR(FiltroResp="TODOS",FiltroResp="",PROCESSOS!I885=FiltroResp)),PROCESSOS!D885+ROW()/1000000,"")</f>
        <v/>
      </c>
    </row>
    <row r="886">
      <c r="BF886" t="str">
        <f>IF(AND(OR(PROCESSOS!Q886="NO PRAZO",PROCESSOS!Q886="VENCE EM BREVE"),OR(FiltroResp="TODOS",FiltroResp="",PROCESSOS!I886=FiltroResp)),PROCESSOS!O886+ROW()/1000000,"")</f>
        <v/>
      </c>
      <c r="BG886" t="str">
        <f>IF(AND(PROCESSOS!B886&lt;&gt;"",ISNUMBER(PROCESSOS!D886),OR(FiltroResp="TODOS",FiltroResp="",PROCESSOS!I886=FiltroResp)),PROCESSOS!D886+ROW()/1000000,"")</f>
        <v/>
      </c>
    </row>
    <row r="887">
      <c r="BF887" t="str">
        <f>IF(AND(OR(PROCESSOS!Q887="NO PRAZO",PROCESSOS!Q887="VENCE EM BREVE"),OR(FiltroResp="TODOS",FiltroResp="",PROCESSOS!I887=FiltroResp)),PROCESSOS!O887+ROW()/1000000,"")</f>
        <v/>
      </c>
      <c r="BG887" t="str">
        <f>IF(AND(PROCESSOS!B887&lt;&gt;"",ISNUMBER(PROCESSOS!D887),OR(FiltroResp="TODOS",FiltroResp="",PROCESSOS!I887=FiltroResp)),PROCESSOS!D887+ROW()/1000000,"")</f>
        <v/>
      </c>
    </row>
    <row r="888">
      <c r="BF888" t="str">
        <f>IF(AND(OR(PROCESSOS!Q888="NO PRAZO",PROCESSOS!Q888="VENCE EM BREVE"),OR(FiltroResp="TODOS",FiltroResp="",PROCESSOS!I888=FiltroResp)),PROCESSOS!O888+ROW()/1000000,"")</f>
        <v/>
      </c>
      <c r="BG888" t="str">
        <f>IF(AND(PROCESSOS!B888&lt;&gt;"",ISNUMBER(PROCESSOS!D888),OR(FiltroResp="TODOS",FiltroResp="",PROCESSOS!I888=FiltroResp)),PROCESSOS!D888+ROW()/1000000,"")</f>
        <v/>
      </c>
    </row>
    <row r="889">
      <c r="BF889" t="str">
        <f>IF(AND(OR(PROCESSOS!Q889="NO PRAZO",PROCESSOS!Q889="VENCE EM BREVE"),OR(FiltroResp="TODOS",FiltroResp="",PROCESSOS!I889=FiltroResp)),PROCESSOS!O889+ROW()/1000000,"")</f>
        <v/>
      </c>
      <c r="BG889" t="str">
        <f>IF(AND(PROCESSOS!B889&lt;&gt;"",ISNUMBER(PROCESSOS!D889),OR(FiltroResp="TODOS",FiltroResp="",PROCESSOS!I889=FiltroResp)),PROCESSOS!D889+ROW()/1000000,"")</f>
        <v/>
      </c>
    </row>
    <row r="890">
      <c r="BF890" t="str">
        <f>IF(AND(OR(PROCESSOS!Q890="NO PRAZO",PROCESSOS!Q890="VENCE EM BREVE"),OR(FiltroResp="TODOS",FiltroResp="",PROCESSOS!I890=FiltroResp)),PROCESSOS!O890+ROW()/1000000,"")</f>
        <v/>
      </c>
      <c r="BG890" t="str">
        <f>IF(AND(PROCESSOS!B890&lt;&gt;"",ISNUMBER(PROCESSOS!D890),OR(FiltroResp="TODOS",FiltroResp="",PROCESSOS!I890=FiltroResp)),PROCESSOS!D890+ROW()/1000000,"")</f>
        <v/>
      </c>
    </row>
    <row r="891">
      <c r="BF891" t="str">
        <f>IF(AND(OR(PROCESSOS!Q891="NO PRAZO",PROCESSOS!Q891="VENCE EM BREVE"),OR(FiltroResp="TODOS",FiltroResp="",PROCESSOS!I891=FiltroResp)),PROCESSOS!O891+ROW()/1000000,"")</f>
        <v/>
      </c>
      <c r="BG891" t="str">
        <f>IF(AND(PROCESSOS!B891&lt;&gt;"",ISNUMBER(PROCESSOS!D891),OR(FiltroResp="TODOS",FiltroResp="",PROCESSOS!I891=FiltroResp)),PROCESSOS!D891+ROW()/1000000,"")</f>
        <v/>
      </c>
    </row>
    <row r="892">
      <c r="BF892" t="str">
        <f>IF(AND(OR(PROCESSOS!Q892="NO PRAZO",PROCESSOS!Q892="VENCE EM BREVE"),OR(FiltroResp="TODOS",FiltroResp="",PROCESSOS!I892=FiltroResp)),PROCESSOS!O892+ROW()/1000000,"")</f>
        <v/>
      </c>
      <c r="BG892" t="str">
        <f>IF(AND(PROCESSOS!B892&lt;&gt;"",ISNUMBER(PROCESSOS!D892),OR(FiltroResp="TODOS",FiltroResp="",PROCESSOS!I892=FiltroResp)),PROCESSOS!D892+ROW()/1000000,"")</f>
        <v/>
      </c>
    </row>
    <row r="893">
      <c r="BF893" t="str">
        <f>IF(AND(OR(PROCESSOS!Q893="NO PRAZO",PROCESSOS!Q893="VENCE EM BREVE"),OR(FiltroResp="TODOS",FiltroResp="",PROCESSOS!I893=FiltroResp)),PROCESSOS!O893+ROW()/1000000,"")</f>
        <v/>
      </c>
      <c r="BG893" t="str">
        <f>IF(AND(PROCESSOS!B893&lt;&gt;"",ISNUMBER(PROCESSOS!D893),OR(FiltroResp="TODOS",FiltroResp="",PROCESSOS!I893=FiltroResp)),PROCESSOS!D893+ROW()/1000000,"")</f>
        <v/>
      </c>
    </row>
    <row r="894">
      <c r="BF894" t="str">
        <f>IF(AND(OR(PROCESSOS!Q894="NO PRAZO",PROCESSOS!Q894="VENCE EM BREVE"),OR(FiltroResp="TODOS",FiltroResp="",PROCESSOS!I894=FiltroResp)),PROCESSOS!O894+ROW()/1000000,"")</f>
        <v/>
      </c>
      <c r="BG894" t="str">
        <f>IF(AND(PROCESSOS!B894&lt;&gt;"",ISNUMBER(PROCESSOS!D894),OR(FiltroResp="TODOS",FiltroResp="",PROCESSOS!I894=FiltroResp)),PROCESSOS!D894+ROW()/1000000,"")</f>
        <v/>
      </c>
    </row>
    <row r="895">
      <c r="BF895" t="str">
        <f>IF(AND(OR(PROCESSOS!Q895="NO PRAZO",PROCESSOS!Q895="VENCE EM BREVE"),OR(FiltroResp="TODOS",FiltroResp="",PROCESSOS!I895=FiltroResp)),PROCESSOS!O895+ROW()/1000000,"")</f>
        <v/>
      </c>
      <c r="BG895" t="str">
        <f>IF(AND(PROCESSOS!B895&lt;&gt;"",ISNUMBER(PROCESSOS!D895),OR(FiltroResp="TODOS",FiltroResp="",PROCESSOS!I895=FiltroResp)),PROCESSOS!D895+ROW()/1000000,"")</f>
        <v/>
      </c>
    </row>
    <row r="896">
      <c r="BF896" t="str">
        <f>IF(AND(OR(PROCESSOS!Q896="NO PRAZO",PROCESSOS!Q896="VENCE EM BREVE"),OR(FiltroResp="TODOS",FiltroResp="",PROCESSOS!I896=FiltroResp)),PROCESSOS!O896+ROW()/1000000,"")</f>
        <v/>
      </c>
      <c r="BG896" t="str">
        <f>IF(AND(PROCESSOS!B896&lt;&gt;"",ISNUMBER(PROCESSOS!D896),OR(FiltroResp="TODOS",FiltroResp="",PROCESSOS!I896=FiltroResp)),PROCESSOS!D896+ROW()/1000000,"")</f>
        <v/>
      </c>
    </row>
    <row r="897">
      <c r="BF897" t="str">
        <f>IF(AND(OR(PROCESSOS!Q897="NO PRAZO",PROCESSOS!Q897="VENCE EM BREVE"),OR(FiltroResp="TODOS",FiltroResp="",PROCESSOS!I897=FiltroResp)),PROCESSOS!O897+ROW()/1000000,"")</f>
        <v/>
      </c>
      <c r="BG897" t="str">
        <f>IF(AND(PROCESSOS!B897&lt;&gt;"",ISNUMBER(PROCESSOS!D897),OR(FiltroResp="TODOS",FiltroResp="",PROCESSOS!I897=FiltroResp)),PROCESSOS!D897+ROW()/1000000,"")</f>
        <v/>
      </c>
    </row>
    <row r="898">
      <c r="BF898" t="str">
        <f>IF(AND(OR(PROCESSOS!Q898="NO PRAZO",PROCESSOS!Q898="VENCE EM BREVE"),OR(FiltroResp="TODOS",FiltroResp="",PROCESSOS!I898=FiltroResp)),PROCESSOS!O898+ROW()/1000000,"")</f>
        <v/>
      </c>
      <c r="BG898" t="str">
        <f>IF(AND(PROCESSOS!B898&lt;&gt;"",ISNUMBER(PROCESSOS!D898),OR(FiltroResp="TODOS",FiltroResp="",PROCESSOS!I898=FiltroResp)),PROCESSOS!D898+ROW()/1000000,"")</f>
        <v/>
      </c>
    </row>
    <row r="899">
      <c r="BF899" t="str">
        <f>IF(AND(OR(PROCESSOS!Q899="NO PRAZO",PROCESSOS!Q899="VENCE EM BREVE"),OR(FiltroResp="TODOS",FiltroResp="",PROCESSOS!I899=FiltroResp)),PROCESSOS!O899+ROW()/1000000,"")</f>
        <v/>
      </c>
      <c r="BG899" t="str">
        <f>IF(AND(PROCESSOS!B899&lt;&gt;"",ISNUMBER(PROCESSOS!D899),OR(FiltroResp="TODOS",FiltroResp="",PROCESSOS!I899=FiltroResp)),PROCESSOS!D899+ROW()/1000000,"")</f>
        <v/>
      </c>
    </row>
    <row r="900">
      <c r="BF900" t="str">
        <f>IF(AND(OR(PROCESSOS!Q900="NO PRAZO",PROCESSOS!Q900="VENCE EM BREVE"),OR(FiltroResp="TODOS",FiltroResp="",PROCESSOS!I900=FiltroResp)),PROCESSOS!O900+ROW()/1000000,"")</f>
        <v/>
      </c>
      <c r="BG900" t="str">
        <f>IF(AND(PROCESSOS!B900&lt;&gt;"",ISNUMBER(PROCESSOS!D900),OR(FiltroResp="TODOS",FiltroResp="",PROCESSOS!I900=FiltroResp)),PROCESSOS!D900+ROW()/1000000,"")</f>
        <v/>
      </c>
    </row>
    <row r="901">
      <c r="BF901" t="str">
        <f>IF(AND(OR(PROCESSOS!Q901="NO PRAZO",PROCESSOS!Q901="VENCE EM BREVE"),OR(FiltroResp="TODOS",FiltroResp="",PROCESSOS!I901=FiltroResp)),PROCESSOS!O901+ROW()/1000000,"")</f>
        <v/>
      </c>
      <c r="BG901" t="str">
        <f>IF(AND(PROCESSOS!B901&lt;&gt;"",ISNUMBER(PROCESSOS!D901),OR(FiltroResp="TODOS",FiltroResp="",PROCESSOS!I901=FiltroResp)),PROCESSOS!D901+ROW()/1000000,"")</f>
        <v/>
      </c>
    </row>
    <row r="902">
      <c r="BF902" t="str">
        <f>IF(AND(OR(PROCESSOS!Q902="NO PRAZO",PROCESSOS!Q902="VENCE EM BREVE"),OR(FiltroResp="TODOS",FiltroResp="",PROCESSOS!I902=FiltroResp)),PROCESSOS!O902+ROW()/1000000,"")</f>
        <v/>
      </c>
      <c r="BG902" t="str">
        <f>IF(AND(PROCESSOS!B902&lt;&gt;"",ISNUMBER(PROCESSOS!D902),OR(FiltroResp="TODOS",FiltroResp="",PROCESSOS!I902=FiltroResp)),PROCESSOS!D902+ROW()/1000000,"")</f>
        <v/>
      </c>
    </row>
    <row r="903">
      <c r="BF903" t="str">
        <f>IF(AND(OR(PROCESSOS!Q903="NO PRAZO",PROCESSOS!Q903="VENCE EM BREVE"),OR(FiltroResp="TODOS",FiltroResp="",PROCESSOS!I903=FiltroResp)),PROCESSOS!O903+ROW()/1000000,"")</f>
        <v/>
      </c>
      <c r="BG903" t="str">
        <f>IF(AND(PROCESSOS!B903&lt;&gt;"",ISNUMBER(PROCESSOS!D903),OR(FiltroResp="TODOS",FiltroResp="",PROCESSOS!I903=FiltroResp)),PROCESSOS!D903+ROW()/1000000,"")</f>
        <v/>
      </c>
    </row>
    <row r="904">
      <c r="BF904" t="str">
        <f>IF(AND(OR(PROCESSOS!Q904="NO PRAZO",PROCESSOS!Q904="VENCE EM BREVE"),OR(FiltroResp="TODOS",FiltroResp="",PROCESSOS!I904=FiltroResp)),PROCESSOS!O904+ROW()/1000000,"")</f>
        <v/>
      </c>
      <c r="BG904" t="str">
        <f>IF(AND(PROCESSOS!B904&lt;&gt;"",ISNUMBER(PROCESSOS!D904),OR(FiltroResp="TODOS",FiltroResp="",PROCESSOS!I904=FiltroResp)),PROCESSOS!D904+ROW()/1000000,"")</f>
        <v/>
      </c>
    </row>
    <row r="905">
      <c r="BF905" t="str">
        <f>IF(AND(OR(PROCESSOS!Q905="NO PRAZO",PROCESSOS!Q905="VENCE EM BREVE"),OR(FiltroResp="TODOS",FiltroResp="",PROCESSOS!I905=FiltroResp)),PROCESSOS!O905+ROW()/1000000,"")</f>
        <v/>
      </c>
      <c r="BG905" t="str">
        <f>IF(AND(PROCESSOS!B905&lt;&gt;"",ISNUMBER(PROCESSOS!D905),OR(FiltroResp="TODOS",FiltroResp="",PROCESSOS!I905=FiltroResp)),PROCESSOS!D905+ROW()/1000000,"")</f>
        <v/>
      </c>
    </row>
    <row r="906">
      <c r="BF906" t="str">
        <f>IF(AND(OR(PROCESSOS!Q906="NO PRAZO",PROCESSOS!Q906="VENCE EM BREVE"),OR(FiltroResp="TODOS",FiltroResp="",PROCESSOS!I906=FiltroResp)),PROCESSOS!O906+ROW()/1000000,"")</f>
        <v/>
      </c>
      <c r="BG906" t="str">
        <f>IF(AND(PROCESSOS!B906&lt;&gt;"",ISNUMBER(PROCESSOS!D906),OR(FiltroResp="TODOS",FiltroResp="",PROCESSOS!I906=FiltroResp)),PROCESSOS!D906+ROW()/1000000,"")</f>
        <v/>
      </c>
    </row>
    <row r="907">
      <c r="BF907" t="str">
        <f>IF(AND(OR(PROCESSOS!Q907="NO PRAZO",PROCESSOS!Q907="VENCE EM BREVE"),OR(FiltroResp="TODOS",FiltroResp="",PROCESSOS!I907=FiltroResp)),PROCESSOS!O907+ROW()/1000000,"")</f>
        <v/>
      </c>
      <c r="BG907" t="str">
        <f>IF(AND(PROCESSOS!B907&lt;&gt;"",ISNUMBER(PROCESSOS!D907),OR(FiltroResp="TODOS",FiltroResp="",PROCESSOS!I907=FiltroResp)),PROCESSOS!D907+ROW()/1000000,"")</f>
        <v/>
      </c>
    </row>
    <row r="908">
      <c r="BF908" t="str">
        <f>IF(AND(OR(PROCESSOS!Q908="NO PRAZO",PROCESSOS!Q908="VENCE EM BREVE"),OR(FiltroResp="TODOS",FiltroResp="",PROCESSOS!I908=FiltroResp)),PROCESSOS!O908+ROW()/1000000,"")</f>
        <v/>
      </c>
      <c r="BG908" t="str">
        <f>IF(AND(PROCESSOS!B908&lt;&gt;"",ISNUMBER(PROCESSOS!D908),OR(FiltroResp="TODOS",FiltroResp="",PROCESSOS!I908=FiltroResp)),PROCESSOS!D908+ROW()/1000000,"")</f>
        <v/>
      </c>
    </row>
    <row r="909">
      <c r="BF909" t="str">
        <f>IF(AND(OR(PROCESSOS!Q909="NO PRAZO",PROCESSOS!Q909="VENCE EM BREVE"),OR(FiltroResp="TODOS",FiltroResp="",PROCESSOS!I909=FiltroResp)),PROCESSOS!O909+ROW()/1000000,"")</f>
        <v/>
      </c>
      <c r="BG909" t="str">
        <f>IF(AND(PROCESSOS!B909&lt;&gt;"",ISNUMBER(PROCESSOS!D909),OR(FiltroResp="TODOS",FiltroResp="",PROCESSOS!I909=FiltroResp)),PROCESSOS!D909+ROW()/1000000,"")</f>
        <v/>
      </c>
    </row>
    <row r="910">
      <c r="BF910" t="str">
        <f>IF(AND(OR(PROCESSOS!Q910="NO PRAZO",PROCESSOS!Q910="VENCE EM BREVE"),OR(FiltroResp="TODOS",FiltroResp="",PROCESSOS!I910=FiltroResp)),PROCESSOS!O910+ROW()/1000000,"")</f>
        <v/>
      </c>
      <c r="BG910" t="str">
        <f>IF(AND(PROCESSOS!B910&lt;&gt;"",ISNUMBER(PROCESSOS!D910),OR(FiltroResp="TODOS",FiltroResp="",PROCESSOS!I910=FiltroResp)),PROCESSOS!D910+ROW()/1000000,"")</f>
        <v/>
      </c>
    </row>
    <row r="911">
      <c r="BF911" t="str">
        <f>IF(AND(OR(PROCESSOS!Q911="NO PRAZO",PROCESSOS!Q911="VENCE EM BREVE"),OR(FiltroResp="TODOS",FiltroResp="",PROCESSOS!I911=FiltroResp)),PROCESSOS!O911+ROW()/1000000,"")</f>
        <v/>
      </c>
      <c r="BG911" t="str">
        <f>IF(AND(PROCESSOS!B911&lt;&gt;"",ISNUMBER(PROCESSOS!D911),OR(FiltroResp="TODOS",FiltroResp="",PROCESSOS!I911=FiltroResp)),PROCESSOS!D911+ROW()/1000000,"")</f>
        <v/>
      </c>
    </row>
    <row r="912">
      <c r="BF912" t="str">
        <f>IF(AND(OR(PROCESSOS!Q912="NO PRAZO",PROCESSOS!Q912="VENCE EM BREVE"),OR(FiltroResp="TODOS",FiltroResp="",PROCESSOS!I912=FiltroResp)),PROCESSOS!O912+ROW()/1000000,"")</f>
        <v/>
      </c>
      <c r="BG912" t="str">
        <f>IF(AND(PROCESSOS!B912&lt;&gt;"",ISNUMBER(PROCESSOS!D912),OR(FiltroResp="TODOS",FiltroResp="",PROCESSOS!I912=FiltroResp)),PROCESSOS!D912+ROW()/1000000,"")</f>
        <v/>
      </c>
    </row>
    <row r="913">
      <c r="BF913" t="str">
        <f>IF(AND(OR(PROCESSOS!Q913="NO PRAZO",PROCESSOS!Q913="VENCE EM BREVE"),OR(FiltroResp="TODOS",FiltroResp="",PROCESSOS!I913=FiltroResp)),PROCESSOS!O913+ROW()/1000000,"")</f>
        <v/>
      </c>
      <c r="BG913" t="str">
        <f>IF(AND(PROCESSOS!B913&lt;&gt;"",ISNUMBER(PROCESSOS!D913),OR(FiltroResp="TODOS",FiltroResp="",PROCESSOS!I913=FiltroResp)),PROCESSOS!D913+ROW()/1000000,"")</f>
        <v/>
      </c>
    </row>
    <row r="914">
      <c r="BF914" t="str">
        <f>IF(AND(OR(PROCESSOS!Q914="NO PRAZO",PROCESSOS!Q914="VENCE EM BREVE"),OR(FiltroResp="TODOS",FiltroResp="",PROCESSOS!I914=FiltroResp)),PROCESSOS!O914+ROW()/1000000,"")</f>
        <v/>
      </c>
      <c r="BG914" t="str">
        <f>IF(AND(PROCESSOS!B914&lt;&gt;"",ISNUMBER(PROCESSOS!D914),OR(FiltroResp="TODOS",FiltroResp="",PROCESSOS!I914=FiltroResp)),PROCESSOS!D914+ROW()/1000000,"")</f>
        <v/>
      </c>
    </row>
    <row r="915">
      <c r="BF915" t="str">
        <f>IF(AND(OR(PROCESSOS!Q915="NO PRAZO",PROCESSOS!Q915="VENCE EM BREVE"),OR(FiltroResp="TODOS",FiltroResp="",PROCESSOS!I915=FiltroResp)),PROCESSOS!O915+ROW()/1000000,"")</f>
        <v/>
      </c>
      <c r="BG915" t="str">
        <f>IF(AND(PROCESSOS!B915&lt;&gt;"",ISNUMBER(PROCESSOS!D915),OR(FiltroResp="TODOS",FiltroResp="",PROCESSOS!I915=FiltroResp)),PROCESSOS!D915+ROW()/1000000,"")</f>
        <v/>
      </c>
    </row>
    <row r="916">
      <c r="BF916" t="str">
        <f>IF(AND(OR(PROCESSOS!Q916="NO PRAZO",PROCESSOS!Q916="VENCE EM BREVE"),OR(FiltroResp="TODOS",FiltroResp="",PROCESSOS!I916=FiltroResp)),PROCESSOS!O916+ROW()/1000000,"")</f>
        <v/>
      </c>
      <c r="BG916" t="str">
        <f>IF(AND(PROCESSOS!B916&lt;&gt;"",ISNUMBER(PROCESSOS!D916),OR(FiltroResp="TODOS",FiltroResp="",PROCESSOS!I916=FiltroResp)),PROCESSOS!D916+ROW()/1000000,"")</f>
        <v/>
      </c>
    </row>
    <row r="917">
      <c r="BF917" t="str">
        <f>IF(AND(OR(PROCESSOS!Q917="NO PRAZO",PROCESSOS!Q917="VENCE EM BREVE"),OR(FiltroResp="TODOS",FiltroResp="",PROCESSOS!I917=FiltroResp)),PROCESSOS!O917+ROW()/1000000,"")</f>
        <v/>
      </c>
      <c r="BG917" t="str">
        <f>IF(AND(PROCESSOS!B917&lt;&gt;"",ISNUMBER(PROCESSOS!D917),OR(FiltroResp="TODOS",FiltroResp="",PROCESSOS!I917=FiltroResp)),PROCESSOS!D917+ROW()/1000000,"")</f>
        <v/>
      </c>
    </row>
    <row r="918">
      <c r="BF918" t="str">
        <f>IF(AND(OR(PROCESSOS!Q918="NO PRAZO",PROCESSOS!Q918="VENCE EM BREVE"),OR(FiltroResp="TODOS",FiltroResp="",PROCESSOS!I918=FiltroResp)),PROCESSOS!O918+ROW()/1000000,"")</f>
        <v/>
      </c>
      <c r="BG918" t="str">
        <f>IF(AND(PROCESSOS!B918&lt;&gt;"",ISNUMBER(PROCESSOS!D918),OR(FiltroResp="TODOS",FiltroResp="",PROCESSOS!I918=FiltroResp)),PROCESSOS!D918+ROW()/1000000,"")</f>
        <v/>
      </c>
    </row>
    <row r="919">
      <c r="BF919" t="str">
        <f>IF(AND(OR(PROCESSOS!Q919="NO PRAZO",PROCESSOS!Q919="VENCE EM BREVE"),OR(FiltroResp="TODOS",FiltroResp="",PROCESSOS!I919=FiltroResp)),PROCESSOS!O919+ROW()/1000000,"")</f>
        <v/>
      </c>
      <c r="BG919" t="str">
        <f>IF(AND(PROCESSOS!B919&lt;&gt;"",ISNUMBER(PROCESSOS!D919),OR(FiltroResp="TODOS",FiltroResp="",PROCESSOS!I919=FiltroResp)),PROCESSOS!D919+ROW()/1000000,"")</f>
        <v/>
      </c>
    </row>
    <row r="920">
      <c r="BF920" t="str">
        <f>IF(AND(OR(PROCESSOS!Q920="NO PRAZO",PROCESSOS!Q920="VENCE EM BREVE"),OR(FiltroResp="TODOS",FiltroResp="",PROCESSOS!I920=FiltroResp)),PROCESSOS!O920+ROW()/1000000,"")</f>
        <v/>
      </c>
      <c r="BG920" t="str">
        <f>IF(AND(PROCESSOS!B920&lt;&gt;"",ISNUMBER(PROCESSOS!D920),OR(FiltroResp="TODOS",FiltroResp="",PROCESSOS!I920=FiltroResp)),PROCESSOS!D920+ROW()/1000000,"")</f>
        <v/>
      </c>
    </row>
    <row r="921">
      <c r="BF921" t="str">
        <f>IF(AND(OR(PROCESSOS!Q921="NO PRAZO",PROCESSOS!Q921="VENCE EM BREVE"),OR(FiltroResp="TODOS",FiltroResp="",PROCESSOS!I921=FiltroResp)),PROCESSOS!O921+ROW()/1000000,"")</f>
        <v/>
      </c>
      <c r="BG921" t="str">
        <f>IF(AND(PROCESSOS!B921&lt;&gt;"",ISNUMBER(PROCESSOS!D921),OR(FiltroResp="TODOS",FiltroResp="",PROCESSOS!I921=FiltroResp)),PROCESSOS!D921+ROW()/1000000,"")</f>
        <v/>
      </c>
    </row>
    <row r="922">
      <c r="BF922" t="str">
        <f>IF(AND(OR(PROCESSOS!Q922="NO PRAZO",PROCESSOS!Q922="VENCE EM BREVE"),OR(FiltroResp="TODOS",FiltroResp="",PROCESSOS!I922=FiltroResp)),PROCESSOS!O922+ROW()/1000000,"")</f>
        <v/>
      </c>
      <c r="BG922" t="str">
        <f>IF(AND(PROCESSOS!B922&lt;&gt;"",ISNUMBER(PROCESSOS!D922),OR(FiltroResp="TODOS",FiltroResp="",PROCESSOS!I922=FiltroResp)),PROCESSOS!D922+ROW()/1000000,"")</f>
        <v/>
      </c>
    </row>
    <row r="923">
      <c r="BF923" t="str">
        <f>IF(AND(OR(PROCESSOS!Q923="NO PRAZO",PROCESSOS!Q923="VENCE EM BREVE"),OR(FiltroResp="TODOS",FiltroResp="",PROCESSOS!I923=FiltroResp)),PROCESSOS!O923+ROW()/1000000,"")</f>
        <v/>
      </c>
      <c r="BG923" t="str">
        <f>IF(AND(PROCESSOS!B923&lt;&gt;"",ISNUMBER(PROCESSOS!D923),OR(FiltroResp="TODOS",FiltroResp="",PROCESSOS!I923=FiltroResp)),PROCESSOS!D923+ROW()/1000000,"")</f>
        <v/>
      </c>
    </row>
    <row r="924">
      <c r="BF924" t="str">
        <f>IF(AND(OR(PROCESSOS!Q924="NO PRAZO",PROCESSOS!Q924="VENCE EM BREVE"),OR(FiltroResp="TODOS",FiltroResp="",PROCESSOS!I924=FiltroResp)),PROCESSOS!O924+ROW()/1000000,"")</f>
        <v/>
      </c>
      <c r="BG924" t="str">
        <f>IF(AND(PROCESSOS!B924&lt;&gt;"",ISNUMBER(PROCESSOS!D924),OR(FiltroResp="TODOS",FiltroResp="",PROCESSOS!I924=FiltroResp)),PROCESSOS!D924+ROW()/1000000,"")</f>
        <v/>
      </c>
    </row>
    <row r="925">
      <c r="BF925" t="str">
        <f>IF(AND(OR(PROCESSOS!Q925="NO PRAZO",PROCESSOS!Q925="VENCE EM BREVE"),OR(FiltroResp="TODOS",FiltroResp="",PROCESSOS!I925=FiltroResp)),PROCESSOS!O925+ROW()/1000000,"")</f>
        <v/>
      </c>
      <c r="BG925" t="str">
        <f>IF(AND(PROCESSOS!B925&lt;&gt;"",ISNUMBER(PROCESSOS!D925),OR(FiltroResp="TODOS",FiltroResp="",PROCESSOS!I925=FiltroResp)),PROCESSOS!D925+ROW()/1000000,"")</f>
        <v/>
      </c>
    </row>
    <row r="926">
      <c r="BF926" t="str">
        <f>IF(AND(OR(PROCESSOS!Q926="NO PRAZO",PROCESSOS!Q926="VENCE EM BREVE"),OR(FiltroResp="TODOS",FiltroResp="",PROCESSOS!I926=FiltroResp)),PROCESSOS!O926+ROW()/1000000,"")</f>
        <v/>
      </c>
      <c r="BG926" t="str">
        <f>IF(AND(PROCESSOS!B926&lt;&gt;"",ISNUMBER(PROCESSOS!D926),OR(FiltroResp="TODOS",FiltroResp="",PROCESSOS!I926=FiltroResp)),PROCESSOS!D926+ROW()/1000000,"")</f>
        <v/>
      </c>
    </row>
    <row r="927">
      <c r="BF927" t="str">
        <f>IF(AND(OR(PROCESSOS!Q927="NO PRAZO",PROCESSOS!Q927="VENCE EM BREVE"),OR(FiltroResp="TODOS",FiltroResp="",PROCESSOS!I927=FiltroResp)),PROCESSOS!O927+ROW()/1000000,"")</f>
        <v/>
      </c>
      <c r="BG927" t="str">
        <f>IF(AND(PROCESSOS!B927&lt;&gt;"",ISNUMBER(PROCESSOS!D927),OR(FiltroResp="TODOS",FiltroResp="",PROCESSOS!I927=FiltroResp)),PROCESSOS!D927+ROW()/1000000,"")</f>
        <v/>
      </c>
    </row>
    <row r="928">
      <c r="BF928" t="str">
        <f>IF(AND(OR(PROCESSOS!Q928="NO PRAZO",PROCESSOS!Q928="VENCE EM BREVE"),OR(FiltroResp="TODOS",FiltroResp="",PROCESSOS!I928=FiltroResp)),PROCESSOS!O928+ROW()/1000000,"")</f>
        <v/>
      </c>
      <c r="BG928" t="str">
        <f>IF(AND(PROCESSOS!B928&lt;&gt;"",ISNUMBER(PROCESSOS!D928),OR(FiltroResp="TODOS",FiltroResp="",PROCESSOS!I928=FiltroResp)),PROCESSOS!D928+ROW()/1000000,"")</f>
        <v/>
      </c>
    </row>
    <row r="929">
      <c r="BF929" t="str">
        <f>IF(AND(OR(PROCESSOS!Q929="NO PRAZO",PROCESSOS!Q929="VENCE EM BREVE"),OR(FiltroResp="TODOS",FiltroResp="",PROCESSOS!I929=FiltroResp)),PROCESSOS!O929+ROW()/1000000,"")</f>
        <v/>
      </c>
      <c r="BG929" t="str">
        <f>IF(AND(PROCESSOS!B929&lt;&gt;"",ISNUMBER(PROCESSOS!D929),OR(FiltroResp="TODOS",FiltroResp="",PROCESSOS!I929=FiltroResp)),PROCESSOS!D929+ROW()/1000000,"")</f>
        <v/>
      </c>
    </row>
    <row r="930">
      <c r="BF930" t="str">
        <f>IF(AND(OR(PROCESSOS!Q930="NO PRAZO",PROCESSOS!Q930="VENCE EM BREVE"),OR(FiltroResp="TODOS",FiltroResp="",PROCESSOS!I930=FiltroResp)),PROCESSOS!O930+ROW()/1000000,"")</f>
        <v/>
      </c>
      <c r="BG930" t="str">
        <f>IF(AND(PROCESSOS!B930&lt;&gt;"",ISNUMBER(PROCESSOS!D930),OR(FiltroResp="TODOS",FiltroResp="",PROCESSOS!I930=FiltroResp)),PROCESSOS!D930+ROW()/1000000,"")</f>
        <v/>
      </c>
    </row>
    <row r="931">
      <c r="BF931" t="str">
        <f>IF(AND(OR(PROCESSOS!Q931="NO PRAZO",PROCESSOS!Q931="VENCE EM BREVE"),OR(FiltroResp="TODOS",FiltroResp="",PROCESSOS!I931=FiltroResp)),PROCESSOS!O931+ROW()/1000000,"")</f>
        <v/>
      </c>
      <c r="BG931" t="str">
        <f>IF(AND(PROCESSOS!B931&lt;&gt;"",ISNUMBER(PROCESSOS!D931),OR(FiltroResp="TODOS",FiltroResp="",PROCESSOS!I931=FiltroResp)),PROCESSOS!D931+ROW()/1000000,"")</f>
        <v/>
      </c>
    </row>
    <row r="932">
      <c r="BF932" t="str">
        <f>IF(AND(OR(PROCESSOS!Q932="NO PRAZO",PROCESSOS!Q932="VENCE EM BREVE"),OR(FiltroResp="TODOS",FiltroResp="",PROCESSOS!I932=FiltroResp)),PROCESSOS!O932+ROW()/1000000,"")</f>
        <v/>
      </c>
      <c r="BG932" t="str">
        <f>IF(AND(PROCESSOS!B932&lt;&gt;"",ISNUMBER(PROCESSOS!D932),OR(FiltroResp="TODOS",FiltroResp="",PROCESSOS!I932=FiltroResp)),PROCESSOS!D932+ROW()/1000000,"")</f>
        <v/>
      </c>
    </row>
    <row r="933">
      <c r="BF933" t="str">
        <f>IF(AND(OR(PROCESSOS!Q933="NO PRAZO",PROCESSOS!Q933="VENCE EM BREVE"),OR(FiltroResp="TODOS",FiltroResp="",PROCESSOS!I933=FiltroResp)),PROCESSOS!O933+ROW()/1000000,"")</f>
        <v/>
      </c>
      <c r="BG933" t="str">
        <f>IF(AND(PROCESSOS!B933&lt;&gt;"",ISNUMBER(PROCESSOS!D933),OR(FiltroResp="TODOS",FiltroResp="",PROCESSOS!I933=FiltroResp)),PROCESSOS!D933+ROW()/1000000,"")</f>
        <v/>
      </c>
    </row>
    <row r="934">
      <c r="BF934" t="str">
        <f>IF(AND(OR(PROCESSOS!Q934="NO PRAZO",PROCESSOS!Q934="VENCE EM BREVE"),OR(FiltroResp="TODOS",FiltroResp="",PROCESSOS!I934=FiltroResp)),PROCESSOS!O934+ROW()/1000000,"")</f>
        <v/>
      </c>
      <c r="BG934" t="str">
        <f>IF(AND(PROCESSOS!B934&lt;&gt;"",ISNUMBER(PROCESSOS!D934),OR(FiltroResp="TODOS",FiltroResp="",PROCESSOS!I934=FiltroResp)),PROCESSOS!D934+ROW()/1000000,"")</f>
        <v/>
      </c>
    </row>
    <row r="935">
      <c r="BF935" t="str">
        <f>IF(AND(OR(PROCESSOS!Q935="NO PRAZO",PROCESSOS!Q935="VENCE EM BREVE"),OR(FiltroResp="TODOS",FiltroResp="",PROCESSOS!I935=FiltroResp)),PROCESSOS!O935+ROW()/1000000,"")</f>
        <v/>
      </c>
      <c r="BG935" t="str">
        <f>IF(AND(PROCESSOS!B935&lt;&gt;"",ISNUMBER(PROCESSOS!D935),OR(FiltroResp="TODOS",FiltroResp="",PROCESSOS!I935=FiltroResp)),PROCESSOS!D935+ROW()/1000000,"")</f>
        <v/>
      </c>
    </row>
    <row r="936">
      <c r="BF936" t="str">
        <f>IF(AND(OR(PROCESSOS!Q936="NO PRAZO",PROCESSOS!Q936="VENCE EM BREVE"),OR(FiltroResp="TODOS",FiltroResp="",PROCESSOS!I936=FiltroResp)),PROCESSOS!O936+ROW()/1000000,"")</f>
        <v/>
      </c>
      <c r="BG936" t="str">
        <f>IF(AND(PROCESSOS!B936&lt;&gt;"",ISNUMBER(PROCESSOS!D936),OR(FiltroResp="TODOS",FiltroResp="",PROCESSOS!I936=FiltroResp)),PROCESSOS!D936+ROW()/1000000,"")</f>
        <v/>
      </c>
    </row>
    <row r="937">
      <c r="BF937" t="str">
        <f>IF(AND(OR(PROCESSOS!Q937="NO PRAZO",PROCESSOS!Q937="VENCE EM BREVE"),OR(FiltroResp="TODOS",FiltroResp="",PROCESSOS!I937=FiltroResp)),PROCESSOS!O937+ROW()/1000000,"")</f>
        <v/>
      </c>
      <c r="BG937" t="str">
        <f>IF(AND(PROCESSOS!B937&lt;&gt;"",ISNUMBER(PROCESSOS!D937),OR(FiltroResp="TODOS",FiltroResp="",PROCESSOS!I937=FiltroResp)),PROCESSOS!D937+ROW()/1000000,"")</f>
        <v/>
      </c>
    </row>
    <row r="938">
      <c r="BF938" t="str">
        <f>IF(AND(OR(PROCESSOS!Q938="NO PRAZO",PROCESSOS!Q938="VENCE EM BREVE"),OR(FiltroResp="TODOS",FiltroResp="",PROCESSOS!I938=FiltroResp)),PROCESSOS!O938+ROW()/1000000,"")</f>
        <v/>
      </c>
      <c r="BG938" t="str">
        <f>IF(AND(PROCESSOS!B938&lt;&gt;"",ISNUMBER(PROCESSOS!D938),OR(FiltroResp="TODOS",FiltroResp="",PROCESSOS!I938=FiltroResp)),PROCESSOS!D938+ROW()/1000000,"")</f>
        <v/>
      </c>
    </row>
    <row r="939">
      <c r="BF939" t="str">
        <f>IF(AND(OR(PROCESSOS!Q939="NO PRAZO",PROCESSOS!Q939="VENCE EM BREVE"),OR(FiltroResp="TODOS",FiltroResp="",PROCESSOS!I939=FiltroResp)),PROCESSOS!O939+ROW()/1000000,"")</f>
        <v/>
      </c>
      <c r="BG939" t="str">
        <f>IF(AND(PROCESSOS!B939&lt;&gt;"",ISNUMBER(PROCESSOS!D939),OR(FiltroResp="TODOS",FiltroResp="",PROCESSOS!I939=FiltroResp)),PROCESSOS!D939+ROW()/1000000,"")</f>
        <v/>
      </c>
    </row>
    <row r="940">
      <c r="BF940" t="str">
        <f>IF(AND(OR(PROCESSOS!Q940="NO PRAZO",PROCESSOS!Q940="VENCE EM BREVE"),OR(FiltroResp="TODOS",FiltroResp="",PROCESSOS!I940=FiltroResp)),PROCESSOS!O940+ROW()/1000000,"")</f>
        <v/>
      </c>
      <c r="BG940" t="str">
        <f>IF(AND(PROCESSOS!B940&lt;&gt;"",ISNUMBER(PROCESSOS!D940),OR(FiltroResp="TODOS",FiltroResp="",PROCESSOS!I940=FiltroResp)),PROCESSOS!D940+ROW()/1000000,"")</f>
        <v/>
      </c>
    </row>
    <row r="941">
      <c r="BF941" t="str">
        <f>IF(AND(OR(PROCESSOS!Q941="NO PRAZO",PROCESSOS!Q941="VENCE EM BREVE"),OR(FiltroResp="TODOS",FiltroResp="",PROCESSOS!I941=FiltroResp)),PROCESSOS!O941+ROW()/1000000,"")</f>
        <v/>
      </c>
      <c r="BG941" t="str">
        <f>IF(AND(PROCESSOS!B941&lt;&gt;"",ISNUMBER(PROCESSOS!D941),OR(FiltroResp="TODOS",FiltroResp="",PROCESSOS!I941=FiltroResp)),PROCESSOS!D941+ROW()/1000000,"")</f>
        <v/>
      </c>
    </row>
    <row r="942">
      <c r="BF942" t="str">
        <f>IF(AND(OR(PROCESSOS!Q942="NO PRAZO",PROCESSOS!Q942="VENCE EM BREVE"),OR(FiltroResp="TODOS",FiltroResp="",PROCESSOS!I942=FiltroResp)),PROCESSOS!O942+ROW()/1000000,"")</f>
        <v/>
      </c>
      <c r="BG942" t="str">
        <f>IF(AND(PROCESSOS!B942&lt;&gt;"",ISNUMBER(PROCESSOS!D942),OR(FiltroResp="TODOS",FiltroResp="",PROCESSOS!I942=FiltroResp)),PROCESSOS!D942+ROW()/1000000,"")</f>
        <v/>
      </c>
    </row>
    <row r="943">
      <c r="BF943" t="str">
        <f>IF(AND(OR(PROCESSOS!Q943="NO PRAZO",PROCESSOS!Q943="VENCE EM BREVE"),OR(FiltroResp="TODOS",FiltroResp="",PROCESSOS!I943=FiltroResp)),PROCESSOS!O943+ROW()/1000000,"")</f>
        <v/>
      </c>
      <c r="BG943" t="str">
        <f>IF(AND(PROCESSOS!B943&lt;&gt;"",ISNUMBER(PROCESSOS!D943),OR(FiltroResp="TODOS",FiltroResp="",PROCESSOS!I943=FiltroResp)),PROCESSOS!D943+ROW()/1000000,"")</f>
        <v/>
      </c>
    </row>
    <row r="944">
      <c r="BF944" t="str">
        <f>IF(AND(OR(PROCESSOS!Q944="NO PRAZO",PROCESSOS!Q944="VENCE EM BREVE"),OR(FiltroResp="TODOS",FiltroResp="",PROCESSOS!I944=FiltroResp)),PROCESSOS!O944+ROW()/1000000,"")</f>
        <v/>
      </c>
      <c r="BG944" t="str">
        <f>IF(AND(PROCESSOS!B944&lt;&gt;"",ISNUMBER(PROCESSOS!D944),OR(FiltroResp="TODOS",FiltroResp="",PROCESSOS!I944=FiltroResp)),PROCESSOS!D944+ROW()/1000000,"")</f>
        <v/>
      </c>
    </row>
    <row r="945">
      <c r="BF945" t="str">
        <f>IF(AND(OR(PROCESSOS!Q945="NO PRAZO",PROCESSOS!Q945="VENCE EM BREVE"),OR(FiltroResp="TODOS",FiltroResp="",PROCESSOS!I945=FiltroResp)),PROCESSOS!O945+ROW()/1000000,"")</f>
        <v/>
      </c>
      <c r="BG945" t="str">
        <f>IF(AND(PROCESSOS!B945&lt;&gt;"",ISNUMBER(PROCESSOS!D945),OR(FiltroResp="TODOS",FiltroResp="",PROCESSOS!I945=FiltroResp)),PROCESSOS!D945+ROW()/1000000,"")</f>
        <v/>
      </c>
    </row>
    <row r="946">
      <c r="BF946" t="str">
        <f>IF(AND(OR(PROCESSOS!Q946="NO PRAZO",PROCESSOS!Q946="VENCE EM BREVE"),OR(FiltroResp="TODOS",FiltroResp="",PROCESSOS!I946=FiltroResp)),PROCESSOS!O946+ROW()/1000000,"")</f>
        <v/>
      </c>
      <c r="BG946" t="str">
        <f>IF(AND(PROCESSOS!B946&lt;&gt;"",ISNUMBER(PROCESSOS!D946),OR(FiltroResp="TODOS",FiltroResp="",PROCESSOS!I946=FiltroResp)),PROCESSOS!D946+ROW()/1000000,"")</f>
        <v/>
      </c>
    </row>
    <row r="947">
      <c r="BF947" t="str">
        <f>IF(AND(OR(PROCESSOS!Q947="NO PRAZO",PROCESSOS!Q947="VENCE EM BREVE"),OR(FiltroResp="TODOS",FiltroResp="",PROCESSOS!I947=FiltroResp)),PROCESSOS!O947+ROW()/1000000,"")</f>
        <v/>
      </c>
      <c r="BG947" t="str">
        <f>IF(AND(PROCESSOS!B947&lt;&gt;"",ISNUMBER(PROCESSOS!D947),OR(FiltroResp="TODOS",FiltroResp="",PROCESSOS!I947=FiltroResp)),PROCESSOS!D947+ROW()/1000000,"")</f>
        <v/>
      </c>
    </row>
    <row r="948">
      <c r="BF948" t="str">
        <f>IF(AND(OR(PROCESSOS!Q948="NO PRAZO",PROCESSOS!Q948="VENCE EM BREVE"),OR(FiltroResp="TODOS",FiltroResp="",PROCESSOS!I948=FiltroResp)),PROCESSOS!O948+ROW()/1000000,"")</f>
        <v/>
      </c>
      <c r="BG948" t="str">
        <f>IF(AND(PROCESSOS!B948&lt;&gt;"",ISNUMBER(PROCESSOS!D948),OR(FiltroResp="TODOS",FiltroResp="",PROCESSOS!I948=FiltroResp)),PROCESSOS!D948+ROW()/1000000,"")</f>
        <v/>
      </c>
    </row>
    <row r="949">
      <c r="BF949" t="str">
        <f>IF(AND(OR(PROCESSOS!Q949="NO PRAZO",PROCESSOS!Q949="VENCE EM BREVE"),OR(FiltroResp="TODOS",FiltroResp="",PROCESSOS!I949=FiltroResp)),PROCESSOS!O949+ROW()/1000000,"")</f>
        <v/>
      </c>
      <c r="BG949" t="str">
        <f>IF(AND(PROCESSOS!B949&lt;&gt;"",ISNUMBER(PROCESSOS!D949),OR(FiltroResp="TODOS",FiltroResp="",PROCESSOS!I949=FiltroResp)),PROCESSOS!D949+ROW()/1000000,"")</f>
        <v/>
      </c>
    </row>
    <row r="950">
      <c r="BF950" t="str">
        <f>IF(AND(OR(PROCESSOS!Q950="NO PRAZO",PROCESSOS!Q950="VENCE EM BREVE"),OR(FiltroResp="TODOS",FiltroResp="",PROCESSOS!I950=FiltroResp)),PROCESSOS!O950+ROW()/1000000,"")</f>
        <v/>
      </c>
      <c r="BG950" t="str">
        <f>IF(AND(PROCESSOS!B950&lt;&gt;"",ISNUMBER(PROCESSOS!D950),OR(FiltroResp="TODOS",FiltroResp="",PROCESSOS!I950=FiltroResp)),PROCESSOS!D950+ROW()/1000000,"")</f>
        <v/>
      </c>
    </row>
    <row r="951">
      <c r="BF951" t="str">
        <f>IF(AND(OR(PROCESSOS!Q951="NO PRAZO",PROCESSOS!Q951="VENCE EM BREVE"),OR(FiltroResp="TODOS",FiltroResp="",PROCESSOS!I951=FiltroResp)),PROCESSOS!O951+ROW()/1000000,"")</f>
        <v/>
      </c>
      <c r="BG951" t="str">
        <f>IF(AND(PROCESSOS!B951&lt;&gt;"",ISNUMBER(PROCESSOS!D951),OR(FiltroResp="TODOS",FiltroResp="",PROCESSOS!I951=FiltroResp)),PROCESSOS!D951+ROW()/1000000,"")</f>
        <v/>
      </c>
    </row>
    <row r="952">
      <c r="BF952" t="str">
        <f>IF(AND(OR(PROCESSOS!Q952="NO PRAZO",PROCESSOS!Q952="VENCE EM BREVE"),OR(FiltroResp="TODOS",FiltroResp="",PROCESSOS!I952=FiltroResp)),PROCESSOS!O952+ROW()/1000000,"")</f>
        <v/>
      </c>
      <c r="BG952" t="str">
        <f>IF(AND(PROCESSOS!B952&lt;&gt;"",ISNUMBER(PROCESSOS!D952),OR(FiltroResp="TODOS",FiltroResp="",PROCESSOS!I952=FiltroResp)),PROCESSOS!D952+ROW()/1000000,"")</f>
        <v/>
      </c>
    </row>
    <row r="953">
      <c r="BF953" t="str">
        <f>IF(AND(OR(PROCESSOS!Q953="NO PRAZO",PROCESSOS!Q953="VENCE EM BREVE"),OR(FiltroResp="TODOS",FiltroResp="",PROCESSOS!I953=FiltroResp)),PROCESSOS!O953+ROW()/1000000,"")</f>
        <v/>
      </c>
      <c r="BG953" t="str">
        <f>IF(AND(PROCESSOS!B953&lt;&gt;"",ISNUMBER(PROCESSOS!D953),OR(FiltroResp="TODOS",FiltroResp="",PROCESSOS!I953=FiltroResp)),PROCESSOS!D953+ROW()/1000000,"")</f>
        <v/>
      </c>
    </row>
    <row r="954">
      <c r="BF954" t="str">
        <f>IF(AND(OR(PROCESSOS!Q954="NO PRAZO",PROCESSOS!Q954="VENCE EM BREVE"),OR(FiltroResp="TODOS",FiltroResp="",PROCESSOS!I954=FiltroResp)),PROCESSOS!O954+ROW()/1000000,"")</f>
        <v/>
      </c>
      <c r="BG954" t="str">
        <f>IF(AND(PROCESSOS!B954&lt;&gt;"",ISNUMBER(PROCESSOS!D954),OR(FiltroResp="TODOS",FiltroResp="",PROCESSOS!I954=FiltroResp)),PROCESSOS!D954+ROW()/1000000,"")</f>
        <v/>
      </c>
    </row>
    <row r="955">
      <c r="BF955" t="str">
        <f>IF(AND(OR(PROCESSOS!Q955="NO PRAZO",PROCESSOS!Q955="VENCE EM BREVE"),OR(FiltroResp="TODOS",FiltroResp="",PROCESSOS!I955=FiltroResp)),PROCESSOS!O955+ROW()/1000000,"")</f>
        <v/>
      </c>
      <c r="BG955" t="str">
        <f>IF(AND(PROCESSOS!B955&lt;&gt;"",ISNUMBER(PROCESSOS!D955),OR(FiltroResp="TODOS",FiltroResp="",PROCESSOS!I955=FiltroResp)),PROCESSOS!D955+ROW()/1000000,"")</f>
        <v/>
      </c>
    </row>
    <row r="956">
      <c r="BF956" t="str">
        <f>IF(AND(OR(PROCESSOS!Q956="NO PRAZO",PROCESSOS!Q956="VENCE EM BREVE"),OR(FiltroResp="TODOS",FiltroResp="",PROCESSOS!I956=FiltroResp)),PROCESSOS!O956+ROW()/1000000,"")</f>
        <v/>
      </c>
      <c r="BG956" t="str">
        <f>IF(AND(PROCESSOS!B956&lt;&gt;"",ISNUMBER(PROCESSOS!D956),OR(FiltroResp="TODOS",FiltroResp="",PROCESSOS!I956=FiltroResp)),PROCESSOS!D956+ROW()/1000000,"")</f>
        <v/>
      </c>
    </row>
    <row r="957">
      <c r="BF957" t="str">
        <f>IF(AND(OR(PROCESSOS!Q957="NO PRAZO",PROCESSOS!Q957="VENCE EM BREVE"),OR(FiltroResp="TODOS",FiltroResp="",PROCESSOS!I957=FiltroResp)),PROCESSOS!O957+ROW()/1000000,"")</f>
        <v/>
      </c>
      <c r="BG957" t="str">
        <f>IF(AND(PROCESSOS!B957&lt;&gt;"",ISNUMBER(PROCESSOS!D957),OR(FiltroResp="TODOS",FiltroResp="",PROCESSOS!I957=FiltroResp)),PROCESSOS!D957+ROW()/1000000,"")</f>
        <v/>
      </c>
    </row>
    <row r="958">
      <c r="BF958" t="str">
        <f>IF(AND(OR(PROCESSOS!Q958="NO PRAZO",PROCESSOS!Q958="VENCE EM BREVE"),OR(FiltroResp="TODOS",FiltroResp="",PROCESSOS!I958=FiltroResp)),PROCESSOS!O958+ROW()/1000000,"")</f>
        <v/>
      </c>
      <c r="BG958" t="str">
        <f>IF(AND(PROCESSOS!B958&lt;&gt;"",ISNUMBER(PROCESSOS!D958),OR(FiltroResp="TODOS",FiltroResp="",PROCESSOS!I958=FiltroResp)),PROCESSOS!D958+ROW()/1000000,"")</f>
        <v/>
      </c>
    </row>
    <row r="959">
      <c r="BF959" t="str">
        <f>IF(AND(OR(PROCESSOS!Q959="NO PRAZO",PROCESSOS!Q959="VENCE EM BREVE"),OR(FiltroResp="TODOS",FiltroResp="",PROCESSOS!I959=FiltroResp)),PROCESSOS!O959+ROW()/1000000,"")</f>
        <v/>
      </c>
      <c r="BG959" t="str">
        <f>IF(AND(PROCESSOS!B959&lt;&gt;"",ISNUMBER(PROCESSOS!D959),OR(FiltroResp="TODOS",FiltroResp="",PROCESSOS!I959=FiltroResp)),PROCESSOS!D959+ROW()/1000000,"")</f>
        <v/>
      </c>
    </row>
    <row r="960">
      <c r="BF960" t="str">
        <f>IF(AND(OR(PROCESSOS!Q960="NO PRAZO",PROCESSOS!Q960="VENCE EM BREVE"),OR(FiltroResp="TODOS",FiltroResp="",PROCESSOS!I960=FiltroResp)),PROCESSOS!O960+ROW()/1000000,"")</f>
        <v/>
      </c>
      <c r="BG960" t="str">
        <f>IF(AND(PROCESSOS!B960&lt;&gt;"",ISNUMBER(PROCESSOS!D960),OR(FiltroResp="TODOS",FiltroResp="",PROCESSOS!I960=FiltroResp)),PROCESSOS!D960+ROW()/1000000,"")</f>
        <v/>
      </c>
    </row>
    <row r="961">
      <c r="BF961" t="str">
        <f>IF(AND(OR(PROCESSOS!Q961="NO PRAZO",PROCESSOS!Q961="VENCE EM BREVE"),OR(FiltroResp="TODOS",FiltroResp="",PROCESSOS!I961=FiltroResp)),PROCESSOS!O961+ROW()/1000000,"")</f>
        <v/>
      </c>
      <c r="BG961" t="str">
        <f>IF(AND(PROCESSOS!B961&lt;&gt;"",ISNUMBER(PROCESSOS!D961),OR(FiltroResp="TODOS",FiltroResp="",PROCESSOS!I961=FiltroResp)),PROCESSOS!D961+ROW()/1000000,"")</f>
        <v/>
      </c>
    </row>
    <row r="962">
      <c r="BF962" t="str">
        <f>IF(AND(OR(PROCESSOS!Q962="NO PRAZO",PROCESSOS!Q962="VENCE EM BREVE"),OR(FiltroResp="TODOS",FiltroResp="",PROCESSOS!I962=FiltroResp)),PROCESSOS!O962+ROW()/1000000,"")</f>
        <v/>
      </c>
      <c r="BG962" t="str">
        <f>IF(AND(PROCESSOS!B962&lt;&gt;"",ISNUMBER(PROCESSOS!D962),OR(FiltroResp="TODOS",FiltroResp="",PROCESSOS!I962=FiltroResp)),PROCESSOS!D962+ROW()/1000000,"")</f>
        <v/>
      </c>
    </row>
    <row r="963">
      <c r="BF963" t="str">
        <f>IF(AND(OR(PROCESSOS!Q963="NO PRAZO",PROCESSOS!Q963="VENCE EM BREVE"),OR(FiltroResp="TODOS",FiltroResp="",PROCESSOS!I963=FiltroResp)),PROCESSOS!O963+ROW()/1000000,"")</f>
        <v/>
      </c>
      <c r="BG963" t="str">
        <f>IF(AND(PROCESSOS!B963&lt;&gt;"",ISNUMBER(PROCESSOS!D963),OR(FiltroResp="TODOS",FiltroResp="",PROCESSOS!I963=FiltroResp)),PROCESSOS!D963+ROW()/1000000,"")</f>
        <v/>
      </c>
    </row>
    <row r="964">
      <c r="BF964" t="str">
        <f>IF(AND(OR(PROCESSOS!Q964="NO PRAZO",PROCESSOS!Q964="VENCE EM BREVE"),OR(FiltroResp="TODOS",FiltroResp="",PROCESSOS!I964=FiltroResp)),PROCESSOS!O964+ROW()/1000000,"")</f>
        <v/>
      </c>
      <c r="BG964" t="str">
        <f>IF(AND(PROCESSOS!B964&lt;&gt;"",ISNUMBER(PROCESSOS!D964),OR(FiltroResp="TODOS",FiltroResp="",PROCESSOS!I964=FiltroResp)),PROCESSOS!D964+ROW()/1000000,"")</f>
        <v/>
      </c>
    </row>
    <row r="965">
      <c r="BF965" t="str">
        <f>IF(AND(OR(PROCESSOS!Q965="NO PRAZO",PROCESSOS!Q965="VENCE EM BREVE"),OR(FiltroResp="TODOS",FiltroResp="",PROCESSOS!I965=FiltroResp)),PROCESSOS!O965+ROW()/1000000,"")</f>
        <v/>
      </c>
      <c r="BG965" t="str">
        <f>IF(AND(PROCESSOS!B965&lt;&gt;"",ISNUMBER(PROCESSOS!D965),OR(FiltroResp="TODOS",FiltroResp="",PROCESSOS!I965=FiltroResp)),PROCESSOS!D965+ROW()/1000000,"")</f>
        <v/>
      </c>
    </row>
    <row r="966">
      <c r="BF966" t="str">
        <f>IF(AND(OR(PROCESSOS!Q966="NO PRAZO",PROCESSOS!Q966="VENCE EM BREVE"),OR(FiltroResp="TODOS",FiltroResp="",PROCESSOS!I966=FiltroResp)),PROCESSOS!O966+ROW()/1000000,"")</f>
        <v/>
      </c>
      <c r="BG966" t="str">
        <f>IF(AND(PROCESSOS!B966&lt;&gt;"",ISNUMBER(PROCESSOS!D966),OR(FiltroResp="TODOS",FiltroResp="",PROCESSOS!I966=FiltroResp)),PROCESSOS!D966+ROW()/1000000,"")</f>
        <v/>
      </c>
    </row>
    <row r="967">
      <c r="BF967" t="str">
        <f>IF(AND(OR(PROCESSOS!Q967="NO PRAZO",PROCESSOS!Q967="VENCE EM BREVE"),OR(FiltroResp="TODOS",FiltroResp="",PROCESSOS!I967=FiltroResp)),PROCESSOS!O967+ROW()/1000000,"")</f>
        <v/>
      </c>
      <c r="BG967" t="str">
        <f>IF(AND(PROCESSOS!B967&lt;&gt;"",ISNUMBER(PROCESSOS!D967),OR(FiltroResp="TODOS",FiltroResp="",PROCESSOS!I967=FiltroResp)),PROCESSOS!D967+ROW()/1000000,"")</f>
        <v/>
      </c>
    </row>
    <row r="968">
      <c r="BF968" t="str">
        <f>IF(AND(OR(PROCESSOS!Q968="NO PRAZO",PROCESSOS!Q968="VENCE EM BREVE"),OR(FiltroResp="TODOS",FiltroResp="",PROCESSOS!I968=FiltroResp)),PROCESSOS!O968+ROW()/1000000,"")</f>
        <v/>
      </c>
      <c r="BG968" t="str">
        <f>IF(AND(PROCESSOS!B968&lt;&gt;"",ISNUMBER(PROCESSOS!D968),OR(FiltroResp="TODOS",FiltroResp="",PROCESSOS!I968=FiltroResp)),PROCESSOS!D968+ROW()/1000000,"")</f>
        <v/>
      </c>
    </row>
    <row r="969">
      <c r="BF969" t="str">
        <f>IF(AND(OR(PROCESSOS!Q969="NO PRAZO",PROCESSOS!Q969="VENCE EM BREVE"),OR(FiltroResp="TODOS",FiltroResp="",PROCESSOS!I969=FiltroResp)),PROCESSOS!O969+ROW()/1000000,"")</f>
        <v/>
      </c>
      <c r="BG969" t="str">
        <f>IF(AND(PROCESSOS!B969&lt;&gt;"",ISNUMBER(PROCESSOS!D969),OR(FiltroResp="TODOS",FiltroResp="",PROCESSOS!I969=FiltroResp)),PROCESSOS!D969+ROW()/1000000,"")</f>
        <v/>
      </c>
    </row>
    <row r="970">
      <c r="BF970" t="str">
        <f>IF(AND(OR(PROCESSOS!Q970="NO PRAZO",PROCESSOS!Q970="VENCE EM BREVE"),OR(FiltroResp="TODOS",FiltroResp="",PROCESSOS!I970=FiltroResp)),PROCESSOS!O970+ROW()/1000000,"")</f>
        <v/>
      </c>
      <c r="BG970" t="str">
        <f>IF(AND(PROCESSOS!B970&lt;&gt;"",ISNUMBER(PROCESSOS!D970),OR(FiltroResp="TODOS",FiltroResp="",PROCESSOS!I970=FiltroResp)),PROCESSOS!D970+ROW()/1000000,"")</f>
        <v/>
      </c>
    </row>
    <row r="971">
      <c r="BF971" t="str">
        <f>IF(AND(OR(PROCESSOS!Q971="NO PRAZO",PROCESSOS!Q971="VENCE EM BREVE"),OR(FiltroResp="TODOS",FiltroResp="",PROCESSOS!I971=FiltroResp)),PROCESSOS!O971+ROW()/1000000,"")</f>
        <v/>
      </c>
      <c r="BG971" t="str">
        <f>IF(AND(PROCESSOS!B971&lt;&gt;"",ISNUMBER(PROCESSOS!D971),OR(FiltroResp="TODOS",FiltroResp="",PROCESSOS!I971=FiltroResp)),PROCESSOS!D971+ROW()/1000000,"")</f>
        <v/>
      </c>
    </row>
    <row r="972">
      <c r="BF972" t="str">
        <f>IF(AND(OR(PROCESSOS!Q972="NO PRAZO",PROCESSOS!Q972="VENCE EM BREVE"),OR(FiltroResp="TODOS",FiltroResp="",PROCESSOS!I972=FiltroResp)),PROCESSOS!O972+ROW()/1000000,"")</f>
        <v/>
      </c>
      <c r="BG972" t="str">
        <f>IF(AND(PROCESSOS!B972&lt;&gt;"",ISNUMBER(PROCESSOS!D972),OR(FiltroResp="TODOS",FiltroResp="",PROCESSOS!I972=FiltroResp)),PROCESSOS!D972+ROW()/1000000,"")</f>
        <v/>
      </c>
    </row>
    <row r="973">
      <c r="BF973" t="str">
        <f>IF(AND(OR(PROCESSOS!Q973="NO PRAZO",PROCESSOS!Q973="VENCE EM BREVE"),OR(FiltroResp="TODOS",FiltroResp="",PROCESSOS!I973=FiltroResp)),PROCESSOS!O973+ROW()/1000000,"")</f>
        <v/>
      </c>
      <c r="BG973" t="str">
        <f>IF(AND(PROCESSOS!B973&lt;&gt;"",ISNUMBER(PROCESSOS!D973),OR(FiltroResp="TODOS",FiltroResp="",PROCESSOS!I973=FiltroResp)),PROCESSOS!D973+ROW()/1000000,"")</f>
        <v/>
      </c>
    </row>
    <row r="974">
      <c r="BF974" t="str">
        <f>IF(AND(OR(PROCESSOS!Q974="NO PRAZO",PROCESSOS!Q974="VENCE EM BREVE"),OR(FiltroResp="TODOS",FiltroResp="",PROCESSOS!I974=FiltroResp)),PROCESSOS!O974+ROW()/1000000,"")</f>
        <v/>
      </c>
      <c r="BG974" t="str">
        <f>IF(AND(PROCESSOS!B974&lt;&gt;"",ISNUMBER(PROCESSOS!D974),OR(FiltroResp="TODOS",FiltroResp="",PROCESSOS!I974=FiltroResp)),PROCESSOS!D974+ROW()/1000000,"")</f>
        <v/>
      </c>
    </row>
    <row r="975">
      <c r="BF975" t="str">
        <f>IF(AND(OR(PROCESSOS!Q975="NO PRAZO",PROCESSOS!Q975="VENCE EM BREVE"),OR(FiltroResp="TODOS",FiltroResp="",PROCESSOS!I975=FiltroResp)),PROCESSOS!O975+ROW()/1000000,"")</f>
        <v/>
      </c>
      <c r="BG975" t="str">
        <f>IF(AND(PROCESSOS!B975&lt;&gt;"",ISNUMBER(PROCESSOS!D975),OR(FiltroResp="TODOS",FiltroResp="",PROCESSOS!I975=FiltroResp)),PROCESSOS!D975+ROW()/1000000,"")</f>
        <v/>
      </c>
    </row>
    <row r="976">
      <c r="BF976" t="str">
        <f>IF(AND(OR(PROCESSOS!Q976="NO PRAZO",PROCESSOS!Q976="VENCE EM BREVE"),OR(FiltroResp="TODOS",FiltroResp="",PROCESSOS!I976=FiltroResp)),PROCESSOS!O976+ROW()/1000000,"")</f>
        <v/>
      </c>
      <c r="BG976" t="str">
        <f>IF(AND(PROCESSOS!B976&lt;&gt;"",ISNUMBER(PROCESSOS!D976),OR(FiltroResp="TODOS",FiltroResp="",PROCESSOS!I976=FiltroResp)),PROCESSOS!D976+ROW()/1000000,"")</f>
        <v/>
      </c>
    </row>
    <row r="977">
      <c r="BF977" t="str">
        <f>IF(AND(OR(PROCESSOS!Q977="NO PRAZO",PROCESSOS!Q977="VENCE EM BREVE"),OR(FiltroResp="TODOS",FiltroResp="",PROCESSOS!I977=FiltroResp)),PROCESSOS!O977+ROW()/1000000,"")</f>
        <v/>
      </c>
      <c r="BG977" t="str">
        <f>IF(AND(PROCESSOS!B977&lt;&gt;"",ISNUMBER(PROCESSOS!D977),OR(FiltroResp="TODOS",FiltroResp="",PROCESSOS!I977=FiltroResp)),PROCESSOS!D977+ROW()/1000000,"")</f>
        <v/>
      </c>
    </row>
    <row r="978">
      <c r="BF978" t="str">
        <f>IF(AND(OR(PROCESSOS!Q978="NO PRAZO",PROCESSOS!Q978="VENCE EM BREVE"),OR(FiltroResp="TODOS",FiltroResp="",PROCESSOS!I978=FiltroResp)),PROCESSOS!O978+ROW()/1000000,"")</f>
        <v/>
      </c>
      <c r="BG978" t="str">
        <f>IF(AND(PROCESSOS!B978&lt;&gt;"",ISNUMBER(PROCESSOS!D978),OR(FiltroResp="TODOS",FiltroResp="",PROCESSOS!I978=FiltroResp)),PROCESSOS!D978+ROW()/1000000,"")</f>
        <v/>
      </c>
    </row>
    <row r="979">
      <c r="BF979" t="str">
        <f>IF(AND(OR(PROCESSOS!Q979="NO PRAZO",PROCESSOS!Q979="VENCE EM BREVE"),OR(FiltroResp="TODOS",FiltroResp="",PROCESSOS!I979=FiltroResp)),PROCESSOS!O979+ROW()/1000000,"")</f>
        <v/>
      </c>
      <c r="BG979" t="str">
        <f>IF(AND(PROCESSOS!B979&lt;&gt;"",ISNUMBER(PROCESSOS!D979),OR(FiltroResp="TODOS",FiltroResp="",PROCESSOS!I979=FiltroResp)),PROCESSOS!D979+ROW()/1000000,"")</f>
        <v/>
      </c>
    </row>
    <row r="980">
      <c r="BF980" t="str">
        <f>IF(AND(OR(PROCESSOS!Q980="NO PRAZO",PROCESSOS!Q980="VENCE EM BREVE"),OR(FiltroResp="TODOS",FiltroResp="",PROCESSOS!I980=FiltroResp)),PROCESSOS!O980+ROW()/1000000,"")</f>
        <v/>
      </c>
      <c r="BG980" t="str">
        <f>IF(AND(PROCESSOS!B980&lt;&gt;"",ISNUMBER(PROCESSOS!D980),OR(FiltroResp="TODOS",FiltroResp="",PROCESSOS!I980=FiltroResp)),PROCESSOS!D980+ROW()/1000000,"")</f>
        <v/>
      </c>
    </row>
    <row r="981">
      <c r="BF981" t="str">
        <f>IF(AND(OR(PROCESSOS!Q981="NO PRAZO",PROCESSOS!Q981="VENCE EM BREVE"),OR(FiltroResp="TODOS",FiltroResp="",PROCESSOS!I981=FiltroResp)),PROCESSOS!O981+ROW()/1000000,"")</f>
        <v/>
      </c>
      <c r="BG981" t="str">
        <f>IF(AND(PROCESSOS!B981&lt;&gt;"",ISNUMBER(PROCESSOS!D981),OR(FiltroResp="TODOS",FiltroResp="",PROCESSOS!I981=FiltroResp)),PROCESSOS!D981+ROW()/1000000,"")</f>
        <v/>
      </c>
    </row>
    <row r="982">
      <c r="BF982" t="str">
        <f>IF(AND(OR(PROCESSOS!Q982="NO PRAZO",PROCESSOS!Q982="VENCE EM BREVE"),OR(FiltroResp="TODOS",FiltroResp="",PROCESSOS!I982=FiltroResp)),PROCESSOS!O982+ROW()/1000000,"")</f>
        <v/>
      </c>
      <c r="BG982" t="str">
        <f>IF(AND(PROCESSOS!B982&lt;&gt;"",ISNUMBER(PROCESSOS!D982),OR(FiltroResp="TODOS",FiltroResp="",PROCESSOS!I982=FiltroResp)),PROCESSOS!D982+ROW()/1000000,"")</f>
        <v/>
      </c>
    </row>
    <row r="983">
      <c r="BF983" t="str">
        <f>IF(AND(OR(PROCESSOS!Q983="NO PRAZO",PROCESSOS!Q983="VENCE EM BREVE"),OR(FiltroResp="TODOS",FiltroResp="",PROCESSOS!I983=FiltroResp)),PROCESSOS!O983+ROW()/1000000,"")</f>
        <v/>
      </c>
      <c r="BG983" t="str">
        <f>IF(AND(PROCESSOS!B983&lt;&gt;"",ISNUMBER(PROCESSOS!D983),OR(FiltroResp="TODOS",FiltroResp="",PROCESSOS!I983=FiltroResp)),PROCESSOS!D983+ROW()/1000000,"")</f>
        <v/>
      </c>
    </row>
    <row r="984">
      <c r="BF984" t="str">
        <f>IF(AND(OR(PROCESSOS!Q984="NO PRAZO",PROCESSOS!Q984="VENCE EM BREVE"),OR(FiltroResp="TODOS",FiltroResp="",PROCESSOS!I984=FiltroResp)),PROCESSOS!O984+ROW()/1000000,"")</f>
        <v/>
      </c>
      <c r="BG984" t="str">
        <f>IF(AND(PROCESSOS!B984&lt;&gt;"",ISNUMBER(PROCESSOS!D984),OR(FiltroResp="TODOS",FiltroResp="",PROCESSOS!I984=FiltroResp)),PROCESSOS!D984+ROW()/1000000,"")</f>
        <v/>
      </c>
    </row>
    <row r="985">
      <c r="BF985" t="str">
        <f>IF(AND(OR(PROCESSOS!Q985="NO PRAZO",PROCESSOS!Q985="VENCE EM BREVE"),OR(FiltroResp="TODOS",FiltroResp="",PROCESSOS!I985=FiltroResp)),PROCESSOS!O985+ROW()/1000000,"")</f>
        <v/>
      </c>
      <c r="BG985" t="str">
        <f>IF(AND(PROCESSOS!B985&lt;&gt;"",ISNUMBER(PROCESSOS!D985),OR(FiltroResp="TODOS",FiltroResp="",PROCESSOS!I985=FiltroResp)),PROCESSOS!D985+ROW()/1000000,"")</f>
        <v/>
      </c>
    </row>
    <row r="986">
      <c r="BF986" t="str">
        <f>IF(AND(OR(PROCESSOS!Q986="NO PRAZO",PROCESSOS!Q986="VENCE EM BREVE"),OR(FiltroResp="TODOS",FiltroResp="",PROCESSOS!I986=FiltroResp)),PROCESSOS!O986+ROW()/1000000,"")</f>
        <v/>
      </c>
      <c r="BG986" t="str">
        <f>IF(AND(PROCESSOS!B986&lt;&gt;"",ISNUMBER(PROCESSOS!D986),OR(FiltroResp="TODOS",FiltroResp="",PROCESSOS!I986=FiltroResp)),PROCESSOS!D986+ROW()/1000000,"")</f>
        <v/>
      </c>
    </row>
    <row r="987">
      <c r="BF987" t="str">
        <f>IF(AND(OR(PROCESSOS!Q987="NO PRAZO",PROCESSOS!Q987="VENCE EM BREVE"),OR(FiltroResp="TODOS",FiltroResp="",PROCESSOS!I987=FiltroResp)),PROCESSOS!O987+ROW()/1000000,"")</f>
        <v/>
      </c>
      <c r="BG987" t="str">
        <f>IF(AND(PROCESSOS!B987&lt;&gt;"",ISNUMBER(PROCESSOS!D987),OR(FiltroResp="TODOS",FiltroResp="",PROCESSOS!I987=FiltroResp)),PROCESSOS!D987+ROW()/1000000,"")</f>
        <v/>
      </c>
    </row>
    <row r="988">
      <c r="BF988" t="str">
        <f>IF(AND(OR(PROCESSOS!Q988="NO PRAZO",PROCESSOS!Q988="VENCE EM BREVE"),OR(FiltroResp="TODOS",FiltroResp="",PROCESSOS!I988=FiltroResp)),PROCESSOS!O988+ROW()/1000000,"")</f>
        <v/>
      </c>
      <c r="BG988" t="str">
        <f>IF(AND(PROCESSOS!B988&lt;&gt;"",ISNUMBER(PROCESSOS!D988),OR(FiltroResp="TODOS",FiltroResp="",PROCESSOS!I988=FiltroResp)),PROCESSOS!D988+ROW()/1000000,"")</f>
        <v/>
      </c>
    </row>
    <row r="989">
      <c r="BF989" t="str">
        <f>IF(AND(OR(PROCESSOS!Q989="NO PRAZO",PROCESSOS!Q989="VENCE EM BREVE"),OR(FiltroResp="TODOS",FiltroResp="",PROCESSOS!I989=FiltroResp)),PROCESSOS!O989+ROW()/1000000,"")</f>
        <v/>
      </c>
      <c r="BG989" t="str">
        <f>IF(AND(PROCESSOS!B989&lt;&gt;"",ISNUMBER(PROCESSOS!D989),OR(FiltroResp="TODOS",FiltroResp="",PROCESSOS!I989=FiltroResp)),PROCESSOS!D989+ROW()/1000000,"")</f>
        <v/>
      </c>
    </row>
    <row r="990">
      <c r="BF990" t="str">
        <f>IF(AND(OR(PROCESSOS!Q990="NO PRAZO",PROCESSOS!Q990="VENCE EM BREVE"),OR(FiltroResp="TODOS",FiltroResp="",PROCESSOS!I990=FiltroResp)),PROCESSOS!O990+ROW()/1000000,"")</f>
        <v/>
      </c>
      <c r="BG990" t="str">
        <f>IF(AND(PROCESSOS!B990&lt;&gt;"",ISNUMBER(PROCESSOS!D990),OR(FiltroResp="TODOS",FiltroResp="",PROCESSOS!I990=FiltroResp)),PROCESSOS!D990+ROW()/1000000,"")</f>
        <v/>
      </c>
    </row>
    <row r="991">
      <c r="BF991" t="str">
        <f>IF(AND(OR(PROCESSOS!Q991="NO PRAZO",PROCESSOS!Q991="VENCE EM BREVE"),OR(FiltroResp="TODOS",FiltroResp="",PROCESSOS!I991=FiltroResp)),PROCESSOS!O991+ROW()/1000000,"")</f>
        <v/>
      </c>
      <c r="BG991" t="str">
        <f>IF(AND(PROCESSOS!B991&lt;&gt;"",ISNUMBER(PROCESSOS!D991),OR(FiltroResp="TODOS",FiltroResp="",PROCESSOS!I991=FiltroResp)),PROCESSOS!D991+ROW()/1000000,"")</f>
        <v/>
      </c>
    </row>
    <row r="992">
      <c r="BF992" t="str">
        <f>IF(AND(OR(PROCESSOS!Q992="NO PRAZO",PROCESSOS!Q992="VENCE EM BREVE"),OR(FiltroResp="TODOS",FiltroResp="",PROCESSOS!I992=FiltroResp)),PROCESSOS!O992+ROW()/1000000,"")</f>
        <v/>
      </c>
      <c r="BG992" t="str">
        <f>IF(AND(PROCESSOS!B992&lt;&gt;"",ISNUMBER(PROCESSOS!D992),OR(FiltroResp="TODOS",FiltroResp="",PROCESSOS!I992=FiltroResp)),PROCESSOS!D992+ROW()/1000000,"")</f>
        <v/>
      </c>
    </row>
    <row r="993">
      <c r="BF993" t="str">
        <f>IF(AND(OR(PROCESSOS!Q993="NO PRAZO",PROCESSOS!Q993="VENCE EM BREVE"),OR(FiltroResp="TODOS",FiltroResp="",PROCESSOS!I993=FiltroResp)),PROCESSOS!O993+ROW()/1000000,"")</f>
        <v/>
      </c>
      <c r="BG993" t="str">
        <f>IF(AND(PROCESSOS!B993&lt;&gt;"",ISNUMBER(PROCESSOS!D993),OR(FiltroResp="TODOS",FiltroResp="",PROCESSOS!I993=FiltroResp)),PROCESSOS!D993+ROW()/1000000,"")</f>
        <v/>
      </c>
    </row>
    <row r="994">
      <c r="BF994" t="str">
        <f>IF(AND(OR(PROCESSOS!Q994="NO PRAZO",PROCESSOS!Q994="VENCE EM BREVE"),OR(FiltroResp="TODOS",FiltroResp="",PROCESSOS!I994=FiltroResp)),PROCESSOS!O994+ROW()/1000000,"")</f>
        <v/>
      </c>
      <c r="BG994" t="str">
        <f>IF(AND(PROCESSOS!B994&lt;&gt;"",ISNUMBER(PROCESSOS!D994),OR(FiltroResp="TODOS",FiltroResp="",PROCESSOS!I994=FiltroResp)),PROCESSOS!D994+ROW()/1000000,"")</f>
        <v/>
      </c>
    </row>
    <row r="995">
      <c r="BF995" t="str">
        <f>IF(AND(OR(PROCESSOS!Q995="NO PRAZO",PROCESSOS!Q995="VENCE EM BREVE"),OR(FiltroResp="TODOS",FiltroResp="",PROCESSOS!I995=FiltroResp)),PROCESSOS!O995+ROW()/1000000,"")</f>
        <v/>
      </c>
      <c r="BG995" t="str">
        <f>IF(AND(PROCESSOS!B995&lt;&gt;"",ISNUMBER(PROCESSOS!D995),OR(FiltroResp="TODOS",FiltroResp="",PROCESSOS!I995=FiltroResp)),PROCESSOS!D995+ROW()/1000000,"")</f>
        <v/>
      </c>
    </row>
    <row r="996">
      <c r="BF996" t="str">
        <f>IF(AND(OR(PROCESSOS!Q996="NO PRAZO",PROCESSOS!Q996="VENCE EM BREVE"),OR(FiltroResp="TODOS",FiltroResp="",PROCESSOS!I996=FiltroResp)),PROCESSOS!O996+ROW()/1000000,"")</f>
        <v/>
      </c>
      <c r="BG996" t="str">
        <f>IF(AND(PROCESSOS!B996&lt;&gt;"",ISNUMBER(PROCESSOS!D996),OR(FiltroResp="TODOS",FiltroResp="",PROCESSOS!I996=FiltroResp)),PROCESSOS!D996+ROW()/1000000,"")</f>
        <v/>
      </c>
    </row>
    <row r="997">
      <c r="BF997" t="str">
        <f>IF(AND(OR(PROCESSOS!Q997="NO PRAZO",PROCESSOS!Q997="VENCE EM BREVE"),OR(FiltroResp="TODOS",FiltroResp="",PROCESSOS!I997=FiltroResp)),PROCESSOS!O997+ROW()/1000000,"")</f>
        <v/>
      </c>
      <c r="BG997" t="str">
        <f>IF(AND(PROCESSOS!B997&lt;&gt;"",ISNUMBER(PROCESSOS!D997),OR(FiltroResp="TODOS",FiltroResp="",PROCESSOS!I997=FiltroResp)),PROCESSOS!D997+ROW()/1000000,"")</f>
        <v/>
      </c>
    </row>
    <row r="998">
      <c r="BF998" t="str">
        <f>IF(AND(OR(PROCESSOS!Q998="NO PRAZO",PROCESSOS!Q998="VENCE EM BREVE"),OR(FiltroResp="TODOS",FiltroResp="",PROCESSOS!I998=FiltroResp)),PROCESSOS!O998+ROW()/1000000,"")</f>
        <v/>
      </c>
      <c r="BG998" t="str">
        <f>IF(AND(PROCESSOS!B998&lt;&gt;"",ISNUMBER(PROCESSOS!D998),OR(FiltroResp="TODOS",FiltroResp="",PROCESSOS!I998=FiltroResp)),PROCESSOS!D998+ROW()/1000000,"")</f>
        <v/>
      </c>
    </row>
    <row r="999">
      <c r="BF999" t="str">
        <f>IF(AND(OR(PROCESSOS!Q999="NO PRAZO",PROCESSOS!Q999="VENCE EM BREVE"),OR(FiltroResp="TODOS",FiltroResp="",PROCESSOS!I999=FiltroResp)),PROCESSOS!O999+ROW()/1000000,"")</f>
        <v/>
      </c>
      <c r="BG999" t="str">
        <f>IF(AND(PROCESSOS!B999&lt;&gt;"",ISNUMBER(PROCESSOS!D999),OR(FiltroResp="TODOS",FiltroResp="",PROCESSOS!I999=FiltroResp)),PROCESSOS!D999+ROW()/1000000,"")</f>
        <v/>
      </c>
    </row>
    <row r="1000">
      <c r="BF1000" t="str">
        <f>IF(AND(OR(PROCESSOS!Q1000="NO PRAZO",PROCESSOS!Q1000="VENCE EM BREVE"),OR(FiltroResp="TODOS",FiltroResp="",PROCESSOS!I1000=FiltroResp)),PROCESSOS!O1000+ROW()/1000000,"")</f>
        <v/>
      </c>
      <c r="BG1000" t="str">
        <f>IF(AND(PROCESSOS!B1000&lt;&gt;"",ISNUMBER(PROCESSOS!D1000),OR(FiltroResp="TODOS",FiltroResp="",PROCESSOS!I1000=FiltroResp)),PROCESSOS!D1000+ROW()/1000000,"")</f>
        <v/>
      </c>
    </row>
    <row r="1001">
      <c r="BF1001" t="str">
        <f>IF(AND(OR(PROCESSOS!Q1001="NO PRAZO",PROCESSOS!Q1001="VENCE EM BREVE"),OR(FiltroResp="TODOS",FiltroResp="",PROCESSOS!I1001=FiltroResp)),PROCESSOS!O1001+ROW()/1000000,"")</f>
        <v/>
      </c>
      <c r="BG1001" t="str">
        <f>IF(AND(PROCESSOS!B1001&lt;&gt;"",ISNUMBER(PROCESSOS!D1001),OR(FiltroResp="TODOS",FiltroResp="",PROCESSOS!I1001=FiltroResp)),PROCESSOS!D1001+ROW()/1000000,"")</f>
        <v/>
      </c>
    </row>
    <row r="1002">
      <c r="BF1002" t="str">
        <f>IF(AND(OR(PROCESSOS!Q1002="NO PRAZO",PROCESSOS!Q1002="VENCE EM BREVE"),OR(FiltroResp="TODOS",FiltroResp="",PROCESSOS!I1002=FiltroResp)),PROCESSOS!O1002+ROW()/1000000,"")</f>
        <v/>
      </c>
      <c r="BG1002" t="str">
        <f>IF(AND(PROCESSOS!B1002&lt;&gt;"",ISNUMBER(PROCESSOS!D1002),OR(FiltroResp="TODOS",FiltroResp="",PROCESSOS!I1002=FiltroResp)),PROCESSOS!D1002+ROW()/1000000,"")</f>
        <v/>
      </c>
    </row>
    <row r="1003">
      <c r="BF1003" t="str">
        <f>IF(AND(OR(PROCESSOS!Q1003="NO PRAZO",PROCESSOS!Q1003="VENCE EM BREVE"),OR(FiltroResp="TODOS",FiltroResp="",PROCESSOS!I1003=FiltroResp)),PROCESSOS!O1003+ROW()/1000000,"")</f>
        <v/>
      </c>
      <c r="BG1003" t="str">
        <f>IF(AND(PROCESSOS!B1003&lt;&gt;"",ISNUMBER(PROCESSOS!D1003),OR(FiltroResp="TODOS",FiltroResp="",PROCESSOS!I1003=FiltroResp)),PROCESSOS!D1003+ROW()/1000000,"")</f>
        <v/>
      </c>
    </row>
    <row r="1004">
      <c r="BF1004" t="str">
        <f>IF(AND(OR(PROCESSOS!Q1004="NO PRAZO",PROCESSOS!Q1004="VENCE EM BREVE"),OR(FiltroResp="TODOS",FiltroResp="",PROCESSOS!I1004=FiltroResp)),PROCESSOS!O1004+ROW()/1000000,"")</f>
        <v/>
      </c>
      <c r="BG1004" t="str">
        <f>IF(AND(PROCESSOS!B1004&lt;&gt;"",ISNUMBER(PROCESSOS!D1004),OR(FiltroResp="TODOS",FiltroResp="",PROCESSOS!I1004=FiltroResp)),PROCESSOS!D1004+ROW()/1000000,"")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2026-10-09T14:13:15Z</dcterms:created>
  <dcterms:modified xmlns:dcterms="http://purl.org/dc/terms/" xmlns:xsi="http://www.w3.org/2001/XMLSchema-instance" xsi:type="dcterms:W3CDTF">2026-10-09T14:13:18Z</dcterms:modified>
</cp:coreProperties>
</file>