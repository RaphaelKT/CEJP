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Tipo">PROCESSOS!$F$5:$F$1004</definedName>
    <definedName name="rStatus">PROCESSOS!$G$5:$G$1004</definedName>
    <definedName name="rResp">PROCESSOS!$H$5:$H$1004</definedName>
    <definedName name="rNumNotif">PROCESSOS!$I$5:$I$1004</definedName>
    <definedName name="rProcOrig">PROCESSOS!$J$5:$J$1004</definedName>
    <definedName name="rDataOrig">PROCESSOS!$K$5:$K$1004</definedName>
    <definedName name="rDefesa">PROCESSOS!$L$5:$L$1004</definedName>
    <definedName name="rDecisao">PROCESSOS!$M$5:$M$1004</definedName>
    <definedName name="rPrazo">PROCESSOS!$N$5:$N$1004</definedName>
    <definedName name="rDias">PROCESSOS!$O$5:$O$1004</definedName>
    <definedName name="rSit">PROCESSOS!$P$5:$P$1004</definedName>
    <definedName name="rIdade">PROCESSOS!$Q$5:$Q$1004</definedName>
    <definedName name="PrazoConst">CADASTROS!$M$6</definedName>
    <definedName name="PrazoEsc">CADASTROS!$M$7</definedName>
    <definedName name="DiasAlerta">CADASTROS!$M$8</definedName>
    <definedName name="MetaMensal">CADASTROS!$M$9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'PROCESSOS'!$A$4:$R$1004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0&quot; d&quot;"/>
    <numFmt numFmtId="170" formatCode="0;-0;&quot;–&quot;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595959"/>
      <sz val="9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horizontal="left" vertical="bottom" indent="1"/>
    </xf>
    <xf numFmtId="0" fontId="14" fillId="2" borderId="0" applyAlignment="1" pivotButton="0" quotePrefix="0" xfId="0">
      <alignment horizontal="right" vertical="bottom"/>
    </xf>
    <xf numFmtId="164" fontId="15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top" indent="1"/>
    </xf>
    <xf numFmtId="0" fontId="16" fillId="2" borderId="0" applyAlignment="1" pivotButton="0" quotePrefix="0" xfId="0">
      <alignment horizontal="right" vertical="top"/>
    </xf>
    <xf numFmtId="0" fontId="0" fillId="3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7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8" fillId="7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0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1" fillId="4" borderId="27" applyAlignment="1" pivotButton="0" quotePrefix="0" xfId="0">
      <alignment horizontal="center" vertical="center" wrapText="1"/>
    </xf>
    <xf numFmtId="3" fontId="23" fillId="4" borderId="27" applyAlignment="1" pivotButton="0" quotePrefix="0" xfId="0">
      <alignment horizontal="center" vertical="center" wrapText="1"/>
    </xf>
    <xf numFmtId="3" fontId="25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2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4" fillId="4" borderId="30" applyAlignment="1" pivotButton="0" quotePrefix="0" xfId="0">
      <alignment horizontal="right" vertical="center"/>
    </xf>
    <xf numFmtId="166" fontId="26" fillId="4" borderId="30" applyAlignment="1" pivotButton="0" quotePrefix="0" xfId="0">
      <alignment horizontal="right" vertical="center"/>
    </xf>
    <xf numFmtId="167" fontId="22" fillId="4" borderId="30" applyAlignment="1" pivotButton="0" quotePrefix="0" xfId="0">
      <alignment horizontal="right" vertical="center"/>
    </xf>
    <xf numFmtId="1" fontId="21" fillId="4" borderId="27" applyAlignment="1" pivotButton="0" quotePrefix="0" xfId="0">
      <alignment horizontal="center" vertical="center" wrapText="1"/>
    </xf>
    <xf numFmtId="0" fontId="20" fillId="4" borderId="27" applyAlignment="1" pivotButton="0" quotePrefix="0" xfId="0">
      <alignment horizontal="left" vertical="center" indent="2"/>
    </xf>
    <xf numFmtId="168" fontId="25" fillId="4" borderId="27" applyAlignment="1" pivotButton="0" quotePrefix="0" xfId="0">
      <alignment horizontal="center" vertical="center" wrapText="1"/>
    </xf>
    <xf numFmtId="0" fontId="0" fillId="4" borderId="27" pivotButton="0" quotePrefix="0" xfId="0"/>
    <xf numFmtId="1" fontId="27" fillId="4" borderId="28" applyAlignment="1" pivotButton="0" quotePrefix="0" xfId="0">
      <alignment horizontal="right" vertical="center"/>
    </xf>
    <xf numFmtId="0" fontId="28" fillId="4" borderId="28" applyAlignment="1" pivotButton="0" quotePrefix="0" xfId="0">
      <alignment horizontal="left" vertical="center" indent="1"/>
    </xf>
    <xf numFmtId="168" fontId="21" fillId="4" borderId="27" applyAlignment="1" pivotButton="0" quotePrefix="0" xfId="0">
      <alignment horizontal="center" vertical="center" wrapText="1"/>
    </xf>
    <xf numFmtId="0" fontId="5" fillId="4" borderId="28" applyAlignment="1" pivotButton="0" quotePrefix="0" xfId="0">
      <alignment horizontal="left" vertical="center" wrapText="1"/>
    </xf>
    <xf numFmtId="0" fontId="5" fillId="4" borderId="30" applyAlignment="1" pivotButton="0" quotePrefix="0" xfId="0">
      <alignment horizontal="left" vertical="center" indent="2"/>
    </xf>
    <xf numFmtId="0" fontId="29" fillId="2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9" fillId="4" borderId="3" applyAlignment="1" pivotButton="0" quotePrefix="0" xfId="0">
      <alignment horizontal="left" vertical="center" indent="1"/>
    </xf>
    <xf numFmtId="0" fontId="28" fillId="4" borderId="3" applyAlignment="1" pivotButton="0" quotePrefix="0" xfId="0">
      <alignment horizontal="left" vertical="center" indent="1"/>
    </xf>
    <xf numFmtId="164" fontId="9" fillId="4" borderId="3" applyAlignment="1" pivotButton="0" quotePrefix="0" xfId="0">
      <alignment horizontal="center" vertical="center" wrapText="1"/>
    </xf>
    <xf numFmtId="169" fontId="17" fillId="4" borderId="3" applyAlignment="1" pivotButton="0" quotePrefix="0" xfId="0">
      <alignment horizontal="center" vertical="center" wrapText="1"/>
    </xf>
    <xf numFmtId="0" fontId="30" fillId="4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28" fillId="5" borderId="3" applyAlignment="1" pivotButton="0" quotePrefix="0" xfId="0">
      <alignment horizontal="left" vertical="center" indent="1"/>
    </xf>
    <xf numFmtId="164" fontId="9" fillId="5" borderId="3" applyAlignment="1" pivotButton="0" quotePrefix="0" xfId="0">
      <alignment horizontal="center" vertical="center" wrapText="1"/>
    </xf>
    <xf numFmtId="169" fontId="17" fillId="5" borderId="3" applyAlignment="1" pivotButton="0" quotePrefix="0" xfId="0">
      <alignment horizontal="center" vertical="center" wrapText="1"/>
    </xf>
    <xf numFmtId="0" fontId="30" fillId="5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left" vertical="center" indent="1"/>
    </xf>
    <xf numFmtId="1" fontId="11" fillId="4" borderId="3" applyAlignment="1" pivotButton="0" quotePrefix="0" xfId="0">
      <alignment horizontal="center" vertical="center" wrapText="1"/>
    </xf>
    <xf numFmtId="1" fontId="9" fillId="4" borderId="3" applyAlignment="1" pivotButton="0" quotePrefix="0" xfId="0">
      <alignment horizontal="center" vertical="center" wrapText="1"/>
    </xf>
    <xf numFmtId="170" fontId="22" fillId="4" borderId="3" applyAlignment="1" pivotButton="0" quotePrefix="0" xfId="0">
      <alignment horizontal="center" vertical="center" wrapText="1"/>
    </xf>
    <xf numFmtId="166" fontId="20" fillId="4" borderId="3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left" vertical="center" indent="1"/>
    </xf>
    <xf numFmtId="1" fontId="11" fillId="5" borderId="3" applyAlignment="1" pivotButton="0" quotePrefix="0" xfId="0">
      <alignment horizontal="center" vertical="center" wrapText="1"/>
    </xf>
    <xf numFmtId="1" fontId="9" fillId="5" borderId="3" applyAlignment="1" pivotButton="0" quotePrefix="0" xfId="0">
      <alignment horizontal="center" vertical="center" wrapText="1"/>
    </xf>
    <xf numFmtId="170" fontId="22" fillId="5" borderId="3" applyAlignment="1" pivotButton="0" quotePrefix="0" xfId="0">
      <alignment horizontal="center" vertical="center" wrapText="1"/>
    </xf>
    <xf numFmtId="166" fontId="20" fillId="5" borderId="3" applyAlignment="1" pivotButton="0" quotePrefix="0" xfId="0">
      <alignment horizontal="center" vertical="center" wrapText="1"/>
    </xf>
    <xf numFmtId="0" fontId="29" fillId="6" borderId="0" applyAlignment="1" pivotButton="0" quotePrefix="0" xfId="0">
      <alignment horizontal="center" vertical="center" wrapText="1"/>
    </xf>
    <xf numFmtId="1" fontId="17" fillId="7" borderId="3" applyAlignment="1" pivotButton="0" quotePrefix="0" xfId="0">
      <alignment horizontal="center" vertical="center" wrapText="1"/>
    </xf>
    <xf numFmtId="0" fontId="31" fillId="5" borderId="3" applyAlignment="1" pivotButton="0" quotePrefix="0" xfId="0">
      <alignment horizontal="left" vertical="center" indent="1"/>
    </xf>
    <xf numFmtId="0" fontId="31" fillId="4" borderId="3" applyAlignment="1" pivotButton="0" quotePrefix="0" xfId="0">
      <alignment horizontal="left" vertical="center" indent="1"/>
    </xf>
    <xf numFmtId="0" fontId="22" fillId="7" borderId="1" applyAlignment="1" pivotButton="0" quotePrefix="0" xfId="0">
      <alignment horizontal="left" vertical="center" indent="1"/>
    </xf>
    <xf numFmtId="9" fontId="22" fillId="7" borderId="1" applyAlignment="1" pivotButton="0" quotePrefix="0" xfId="0">
      <alignment horizontal="center" vertical="center" wrapText="1"/>
    </xf>
    <xf numFmtId="9" fontId="17" fillId="9" borderId="1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left" vertical="center" indent="1"/>
    </xf>
    <xf numFmtId="1" fontId="32" fillId="4" borderId="3" applyAlignment="1" pivotButton="0" quotePrefix="0" xfId="0">
      <alignment horizontal="center" vertical="center" wrapText="1"/>
    </xf>
    <xf numFmtId="166" fontId="33" fillId="4" borderId="3" applyAlignment="1" pivotButton="0" quotePrefix="0" xfId="0">
      <alignment horizontal="center" vertical="center" wrapText="1"/>
    </xf>
    <xf numFmtId="0" fontId="34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left" vertical="center" indent="1"/>
    </xf>
    <xf numFmtId="1" fontId="32" fillId="5" borderId="3" applyAlignment="1" pivotButton="0" quotePrefix="0" xfId="0">
      <alignment horizontal="center" vertical="center" wrapText="1"/>
    </xf>
    <xf numFmtId="166" fontId="33" fillId="5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6" fillId="4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8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37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0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7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8" fillId="4" borderId="34" applyAlignment="1" pivotButton="0" quotePrefix="0" xfId="0">
      <alignment horizontal="right" vertical="center" indent="1"/>
    </xf>
    <xf numFmtId="1" fontId="39" fillId="4" borderId="34" applyAlignment="1" pivotButton="0" quotePrefix="0" xfId="0">
      <alignment horizontal="right" vertical="center" indent="1"/>
    </xf>
    <xf numFmtId="0" fontId="19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left" vertical="center" indent="1"/>
    </xf>
    <xf numFmtId="164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49" fontId="9" fillId="4" borderId="6" applyAlignment="1" pivotButton="0" quotePrefix="0" xfId="0">
      <alignment horizontal="center" vertical="center"/>
    </xf>
    <xf numFmtId="164" fontId="10" fillId="7" borderId="6" applyAlignment="1" pivotButton="0" quotePrefix="0" xfId="0">
      <alignment horizontal="center" vertical="center"/>
    </xf>
    <xf numFmtId="165" fontId="10" fillId="7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1" fontId="10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6" fillId="0" borderId="1" applyAlignment="1" pivotButton="0" quotePrefix="0" xfId="0">
      <alignment vertical="bottom"/>
    </xf>
    <xf numFmtId="0" fontId="8" fillId="2" borderId="3" applyAlignment="1" pivotButton="0" quotePrefix="0" xfId="0">
      <alignment vertical="center" wrapText="1" indent="1"/>
    </xf>
    <xf numFmtId="0" fontId="17" fillId="4" borderId="3" applyAlignment="1" pivotButton="0" quotePrefix="0" xfId="0">
      <alignment vertical="center" wrapText="1" indent="1"/>
    </xf>
    <xf numFmtId="0" fontId="9" fillId="4" borderId="3" applyAlignment="1" pivotButton="0" quotePrefix="0" xfId="0">
      <alignment vertical="center" wrapText="1" indent="1"/>
    </xf>
    <xf numFmtId="0" fontId="17" fillId="5" borderId="3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9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L4" authorId="0" shapeId="0">
      <text>
        <t>Data em que a empresa apresentou a DEFESA PRÉVIA. Ao preencher, a contagem de DIAS RESTANTES congela. Deixe em branco se a defesa não foi apresentada.</t>
      </text>
    </comment>
    <comment ref="M4" authorId="0" shapeId="0">
      <text>
        <t>Data em que a DECISÃO foi proferida. Preencha ao passar o STATUS para DECISÃO D.P (a célula fica destacada enquanto estiver vazia).</t>
      </text>
    </comment>
    <comment ref="N4" authorId="0" shapeId="0">
      <text>
        <t>Calculado: DATA DA FISCALIZAÇÃO + prazo do tipo de notificação (parâmetros na aba CADASTROS).</t>
      </text>
    </comment>
    <comment ref="O4" authorId="0" shapeId="0">
      <text>
        <t>Sem DATA DA DEFESA: prazo final − hoje (conta todo dia). Com DATA DA DEFESA: prazo final − data da defesa (valor congelado; negativo = entregue com atraso).</t>
      </text>
    </comment>
    <comment ref="P4" authorId="0" shapeId="0">
      <text>
        <t>Com defesa: DEFESA NO PRAZO ou DEFESA FORA DO PRAZO. Sem defesa: NO PRAZO, VENCE EM BREVE, VENCIDO ou SEM DEFESA. Com DATA DA DECISÃO preenchida, recebe o prefixo 'DECIDIDO –' (ex.: DECIDIDO – SEM DEFESA).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32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64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6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6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13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0.333333333333333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0.666666666666667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0.1875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0.1875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-6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54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42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56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40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84.625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0.5625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0.4375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0.583333333333333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0.416666666666667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TEMPOS MÉDIOS DO FLUXO PROCESSUAL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2" t="n"/>
      <c r="Y25" s="1" t="n"/>
      <c r="Z25" s="20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7" t="n"/>
      <c r="Y26" s="1" t="n"/>
      <c r="Z26" s="41" t="inlineStr">
        <is>
          <t>TEMPO MÉDIO ATÉ A DECISÃO</t>
        </is>
      </c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IF(O27=0,"–",SUMPRODUCT(ISNUMBER(rDefesa)*(rEmpresa&lt;&gt;"")*ISNUMBER(rDataFisc)*(((FiltroResp="TODOS")+(FiltroResp="")+(rResp=FiltroResp))&gt;0)*(rDefesa-rDataFisc))/O27)</f>
        <v>11.2884615384615</v>
      </c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43" t="n"/>
      <c r="O27" s="44">
        <f>SUMPRODUCT(ISNUMBER(rDefesa)*(rEmpresa&lt;&gt;"")*ISNUMBER(rDataFisc)*(((FiltroResp="TODOS")+(FiltroResp="")+(rResp=FiltroResp))&gt;0))</f>
        <v>52</v>
      </c>
      <c r="P27" s="26" t="n"/>
      <c r="Q27" s="26" t="n"/>
      <c r="R27" s="45" t="inlineStr">
        <is>
          <t>defesas registradas</t>
        </is>
      </c>
      <c r="S27" s="26" t="n"/>
      <c r="T27" s="26" t="n"/>
      <c r="U27" s="26" t="n"/>
      <c r="V27" s="26" t="n"/>
      <c r="W27" s="26" t="n"/>
      <c r="X27" s="27" t="n"/>
      <c r="Y27" s="1" t="n"/>
      <c r="Z27" s="46">
        <f>IF(AM27=0,"–",SUMPRODUCT(ISNUMBER(rDecisao)*(rEmpresa&lt;&gt;"")*ISNUMBER(rDataFisc)*(((FiltroResp="TODOS")+(FiltroResp="")+(rResp=FiltroResp))&gt;0)*(rDecisao-rDataFisc))/AM27)</f>
        <v>21.948275862069</v>
      </c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43" t="n"/>
      <c r="AM27" s="44">
        <f>SUMPRODUCT(ISNUMBER(rDecisao)*(rEmpresa&lt;&gt;"")*ISNUMBER(rDataFisc)*(((FiltroResp="TODOS")+(FiltroResp="")+(rResp=FiltroResp))&gt;0))</f>
        <v>58</v>
      </c>
      <c r="AN27" s="26" t="n"/>
      <c r="AO27" s="26" t="n"/>
      <c r="AP27" s="45" t="inlineStr">
        <is>
          <t>decisões registradas</t>
        </is>
      </c>
      <c r="AQ27" s="26" t="n"/>
      <c r="AR27" s="26" t="n"/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31" t="n"/>
      <c r="O28" s="47" t="inlineStr">
        <is>
          <t>da fiscalização até a entrega da defesa prévia</t>
        </is>
      </c>
      <c r="P28" s="26" t="n"/>
      <c r="Q28" s="26" t="n"/>
      <c r="R28" s="26" t="n"/>
      <c r="S28" s="26" t="n"/>
      <c r="T28" s="26" t="n"/>
      <c r="U28" s="26" t="n"/>
      <c r="V28" s="26" t="n"/>
      <c r="W28" s="26" t="n"/>
      <c r="X28" s="27" t="n"/>
      <c r="Y28" s="1" t="n"/>
      <c r="Z28" s="31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31" t="n"/>
      <c r="AM28" s="47" t="inlineStr">
        <is>
          <t>da fiscalização até a data da decisão</t>
        </is>
      </c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7" t="n"/>
      <c r="AW28" s="1" t="n"/>
    </row>
    <row r="29" ht="18" customHeight="1">
      <c r="A29" s="1" t="n"/>
      <c r="B29" s="48" t="inlineStr">
        <is>
          <t>Média em dias corridos • considera apenas processos com DATA DA DEFESA preenchida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4" t="n"/>
      <c r="Y29" s="1" t="n"/>
      <c r="Z29" s="48" t="inlineStr">
        <is>
          <t>Média em dias corridos • considera apenas processos com DATA DA DECISÃO preenchida</t>
        </is>
      </c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49" t="inlineStr">
        <is>
          <t>#</t>
        </is>
      </c>
      <c r="D33" s="49" t="inlineStr">
        <is>
          <t>EMPRESA</t>
        </is>
      </c>
      <c r="L33" s="49" t="inlineStr">
        <is>
          <t>RESPONSÁVEL</t>
        </is>
      </c>
      <c r="R33" s="49" t="inlineStr">
        <is>
          <t>PRAZO FINAL</t>
        </is>
      </c>
      <c r="V33" s="49" t="inlineStr">
        <is>
          <t>DIAS</t>
        </is>
      </c>
      <c r="Y33" s="1" t="n"/>
      <c r="Z33" s="49" t="inlineStr">
        <is>
          <t>#</t>
        </is>
      </c>
      <c r="AB33" s="49" t="inlineStr">
        <is>
          <t>EMPRESA</t>
        </is>
      </c>
      <c r="AJ33" s="49" t="inlineStr">
        <is>
          <t>RESPONSÁVEL</t>
        </is>
      </c>
      <c r="AP33" s="49" t="inlineStr">
        <is>
          <t>FISCALIZAÇÃO</t>
        </is>
      </c>
      <c r="AT33" s="49" t="inlineStr">
        <is>
          <t>NOTIF.</t>
        </is>
      </c>
      <c r="AW33" s="1" t="n"/>
    </row>
    <row r="34" ht="18" customHeight="1">
      <c r="A34" s="1" t="n"/>
      <c r="B34" s="50">
        <f>IF(CALC!$BJ$5="","",1)</f>
        <v>1</v>
      </c>
      <c r="C34" s="51" t="n"/>
      <c r="D34" s="52" t="str">
        <f>IF(CALC!$BJ$5="",IF(1=1,"✓ Nenhum prazo pendente",""),INDEX(rEmpresa,CALC!$BJ$5))</f>
        <v>Serviços Ipê Amarelo</v>
      </c>
      <c r="E34" s="51" t="n"/>
      <c r="F34" s="51" t="n"/>
      <c r="G34" s="51" t="n"/>
      <c r="H34" s="51" t="n"/>
      <c r="I34" s="51" t="n"/>
      <c r="J34" s="51" t="n"/>
      <c r="K34" s="51" t="n"/>
      <c r="L34" s="53" t="str">
        <f>IF(CALC!$BJ$5="","",INDEX(rResp,CALC!$BJ$5))</f>
        <v>ANA PAULA SOUZA</v>
      </c>
      <c r="M34" s="51" t="n"/>
      <c r="N34" s="51" t="n"/>
      <c r="O34" s="51" t="n"/>
      <c r="P34" s="51" t="n"/>
      <c r="Q34" s="51" t="n"/>
      <c r="R34" s="54">
        <f>IF(CALC!$BJ$5="","",INDEX(rPrazo,CALC!$BJ$5))</f>
        <v>46304.0</v>
      </c>
      <c r="S34" s="51" t="n"/>
      <c r="T34" s="51" t="n"/>
      <c r="U34" s="51" t="n"/>
      <c r="V34" s="55">
        <f>IF(CALC!$BJ$5="","",INDEX(rDias,CALC!$BJ$5))</f>
        <v>0</v>
      </c>
      <c r="W34" s="51" t="n"/>
      <c r="X34" s="51" t="n"/>
      <c r="Y34" s="1" t="n"/>
      <c r="Z34" s="50">
        <f>IF(CALC!$BK$5="","",1)</f>
        <v>1</v>
      </c>
      <c r="AA34" s="51" t="n"/>
      <c r="AB34" s="52" t="str">
        <f>IF(CALC!$BK$5="",IF(1=1,"Nenhuma fiscalização registrada",""),INDEX(rEmpresa,CALC!$BK$5))</f>
        <v>Academia Vida Plena</v>
      </c>
      <c r="AC34" s="51" t="n"/>
      <c r="AD34" s="51" t="n"/>
      <c r="AE34" s="51" t="n"/>
      <c r="AF34" s="51" t="n"/>
      <c r="AG34" s="51" t="n"/>
      <c r="AH34" s="51" t="n"/>
      <c r="AI34" s="51" t="n"/>
      <c r="AJ34" s="53" t="str">
        <f>IF(CALC!$BK$5="","",INDEX(rResp,CALC!$BK$5))</f>
        <v>DIEGO RIBEIRO</v>
      </c>
      <c r="AK34" s="51" t="n"/>
      <c r="AL34" s="51" t="n"/>
      <c r="AM34" s="51" t="n"/>
      <c r="AN34" s="51" t="n"/>
      <c r="AO34" s="51" t="n"/>
      <c r="AP34" s="54">
        <f>IF(CALC!$BK$5="","",INDEX(rDataFisc,CALC!$BK$5))</f>
        <v>46304.0</v>
      </c>
      <c r="AQ34" s="51" t="n"/>
      <c r="AR34" s="51" t="n"/>
      <c r="AS34" s="51" t="n"/>
      <c r="AT34" s="56" t="str">
        <f>IF(CALC!$BK$5="","",IF(INDEX(rNotif,CALC!$BK$5)="NOTIFICAÇÃO DE CONSTATAÇÃO","CONST.","ESCLAR."))</f>
        <v>CONST.</v>
      </c>
      <c r="AU34" s="51" t="n"/>
      <c r="AV34" s="51" t="n"/>
      <c r="AW34" s="1" t="n"/>
    </row>
    <row r="35" ht="18" customHeight="1">
      <c r="A35" s="1" t="n"/>
      <c r="B35" s="57">
        <f>IF(CALC!$BJ$6="","",2)</f>
        <v>2</v>
      </c>
      <c r="C35" s="51" t="n"/>
      <c r="D35" s="58" t="str">
        <f>IF(CALC!$BJ$6="",IF(2=1,"✓ Nenhum prazo pendente",""),INDEX(rEmpresa,CALC!$BJ$6))</f>
        <v>Hospital Nova Era</v>
      </c>
      <c r="E35" s="51" t="n"/>
      <c r="F35" s="51" t="n"/>
      <c r="G35" s="51" t="n"/>
      <c r="H35" s="51" t="n"/>
      <c r="I35" s="51" t="n"/>
      <c r="J35" s="51" t="n"/>
      <c r="K35" s="51" t="n"/>
      <c r="L35" s="59" t="str">
        <f>IF(CALC!$BJ$6="","",INDEX(rResp,CALC!$BJ$6))</f>
        <v>ANA PAULA SOUZA</v>
      </c>
      <c r="M35" s="51" t="n"/>
      <c r="N35" s="51" t="n"/>
      <c r="O35" s="51" t="n"/>
      <c r="P35" s="51" t="n"/>
      <c r="Q35" s="51" t="n"/>
      <c r="R35" s="60">
        <f>IF(CALC!$BJ$6="","",INDEX(rPrazo,CALC!$BJ$6))</f>
        <v>46305.0</v>
      </c>
      <c r="S35" s="51" t="n"/>
      <c r="T35" s="51" t="n"/>
      <c r="U35" s="51" t="n"/>
      <c r="V35" s="61">
        <f>IF(CALC!$BJ$6="","",INDEX(rDias,CALC!$BJ$6))</f>
        <v>1</v>
      </c>
      <c r="W35" s="51" t="n"/>
      <c r="X35" s="51" t="n"/>
      <c r="Y35" s="1" t="n"/>
      <c r="Z35" s="57">
        <f>IF(CALC!$BK$6="","",2)</f>
        <v>2</v>
      </c>
      <c r="AA35" s="51" t="n"/>
      <c r="AB35" s="58" t="str">
        <f>IF(CALC!$BK$6="",IF(2=1,"Nenhuma fiscalização registrada",""),INDEX(rEmpresa,CALC!$BK$6))</f>
        <v>Studio Fitness Avenida</v>
      </c>
      <c r="AC35" s="51" t="n"/>
      <c r="AD35" s="51" t="n"/>
      <c r="AE35" s="51" t="n"/>
      <c r="AF35" s="51" t="n"/>
      <c r="AG35" s="51" t="n"/>
      <c r="AH35" s="51" t="n"/>
      <c r="AI35" s="51" t="n"/>
      <c r="AJ35" s="59" t="str">
        <f>IF(CALC!$BK$6="","",INDEX(rResp,CALC!$BK$6))</f>
        <v>ANA PAULA SOUZA</v>
      </c>
      <c r="AK35" s="51" t="n"/>
      <c r="AL35" s="51" t="n"/>
      <c r="AM35" s="51" t="n"/>
      <c r="AN35" s="51" t="n"/>
      <c r="AO35" s="51" t="n"/>
      <c r="AP35" s="60">
        <f>IF(CALC!$BK$6="","",INDEX(rDataFisc,CALC!$BK$6))</f>
        <v>46304.0</v>
      </c>
      <c r="AQ35" s="51" t="n"/>
      <c r="AR35" s="51" t="n"/>
      <c r="AS35" s="51" t="n"/>
      <c r="AT35" s="62" t="str">
        <f>IF(CALC!$BK$6="","",IF(INDEX(rNotif,CALC!$BK$6)="NOTIFICAÇÃO DE CONSTATAÇÃO","CONST.","ESCLAR."))</f>
        <v>ESCLAR.</v>
      </c>
      <c r="AU35" s="51" t="n"/>
      <c r="AV35" s="51" t="n"/>
      <c r="AW35" s="1" t="n"/>
    </row>
    <row r="36" ht="18" customHeight="1">
      <c r="A36" s="1" t="n"/>
      <c r="B36" s="50">
        <f>IF(CALC!$BJ$7="","",3)</f>
        <v>3</v>
      </c>
      <c r="C36" s="51" t="n"/>
      <c r="D36" s="52" t="str">
        <f>IF(CALC!$BJ$7="",IF(3=1,"✓ Nenhum prazo pendente",""),INDEX(rEmpresa,CALC!$BJ$7))</f>
        <v>Hospital Vida Plena</v>
      </c>
      <c r="E36" s="51" t="n"/>
      <c r="F36" s="51" t="n"/>
      <c r="G36" s="51" t="n"/>
      <c r="H36" s="51" t="n"/>
      <c r="I36" s="51" t="n"/>
      <c r="J36" s="51" t="n"/>
      <c r="K36" s="51" t="n"/>
      <c r="L36" s="53" t="str">
        <f>IF(CALC!$BJ$7="","",INDEX(rResp,CALC!$BJ$7))</f>
        <v>FELIPE ARAÚJO</v>
      </c>
      <c r="M36" s="51" t="n"/>
      <c r="N36" s="51" t="n"/>
      <c r="O36" s="51" t="n"/>
      <c r="P36" s="51" t="n"/>
      <c r="Q36" s="51" t="n"/>
      <c r="R36" s="54">
        <f>IF(CALC!$BJ$7="","",INDEX(rPrazo,CALC!$BJ$7))</f>
        <v>46305.0</v>
      </c>
      <c r="S36" s="51" t="n"/>
      <c r="T36" s="51" t="n"/>
      <c r="U36" s="51" t="n"/>
      <c r="V36" s="55">
        <f>IF(CALC!$BJ$7="","",INDEX(rDias,CALC!$BJ$7))</f>
        <v>1</v>
      </c>
      <c r="W36" s="51" t="n"/>
      <c r="X36" s="51" t="n"/>
      <c r="Y36" s="1" t="n"/>
      <c r="Z36" s="50">
        <f>IF(CALC!$BK$7="","",3)</f>
        <v>3</v>
      </c>
      <c r="AA36" s="51" t="n"/>
      <c r="AB36" s="52" t="str">
        <f>IF(CALC!$BK$7="",IF(3=1,"Nenhuma fiscalização registrada",""),INDEX(rEmpresa,CALC!$BK$7))</f>
        <v>Escola Aliança</v>
      </c>
      <c r="AC36" s="51" t="n"/>
      <c r="AD36" s="51" t="n"/>
      <c r="AE36" s="51" t="n"/>
      <c r="AF36" s="51" t="n"/>
      <c r="AG36" s="51" t="n"/>
      <c r="AH36" s="51" t="n"/>
      <c r="AI36" s="51" t="n"/>
      <c r="AJ36" s="53" t="str">
        <f>IF(CALC!$BK$7="","",INDEX(rResp,CALC!$BK$7))</f>
        <v>HENRIQUE COSTA</v>
      </c>
      <c r="AK36" s="51" t="n"/>
      <c r="AL36" s="51" t="n"/>
      <c r="AM36" s="51" t="n"/>
      <c r="AN36" s="51" t="n"/>
      <c r="AO36" s="51" t="n"/>
      <c r="AP36" s="54">
        <f>IF(CALC!$BK$7="","",INDEX(rDataFisc,CALC!$BK$7))</f>
        <v>46304.0</v>
      </c>
      <c r="AQ36" s="51" t="n"/>
      <c r="AR36" s="51" t="n"/>
      <c r="AS36" s="51" t="n"/>
      <c r="AT36" s="56" t="str">
        <f>IF(CALC!$BK$7="","",IF(INDEX(rNotif,CALC!$BK$7)="NOTIFICAÇÃO DE CONSTATAÇÃO","CONST.","ESCLAR."))</f>
        <v>CONST.</v>
      </c>
      <c r="AU36" s="51" t="n"/>
      <c r="AV36" s="51" t="n"/>
      <c r="AW36" s="1" t="n"/>
    </row>
    <row r="37" ht="18" customHeight="1">
      <c r="A37" s="1" t="n"/>
      <c r="B37" s="57">
        <f>IF(CALC!$BJ$8="","",4)</f>
        <v>4</v>
      </c>
      <c r="C37" s="51" t="n"/>
      <c r="D37" s="58" t="str">
        <f>IF(CALC!$BJ$8="",IF(4=1,"✓ Nenhum prazo pendente",""),INDEX(rEmpresa,CALC!$BJ$8))</f>
        <v>Comércio Aliança</v>
      </c>
      <c r="E37" s="51" t="n"/>
      <c r="F37" s="51" t="n"/>
      <c r="G37" s="51" t="n"/>
      <c r="H37" s="51" t="n"/>
      <c r="I37" s="51" t="n"/>
      <c r="J37" s="51" t="n"/>
      <c r="K37" s="51" t="n"/>
      <c r="L37" s="59" t="str">
        <f>IF(CALC!$BJ$8="","",INDEX(rResp,CALC!$BJ$8))</f>
        <v>EDUARDA LIMA</v>
      </c>
      <c r="M37" s="51" t="n"/>
      <c r="N37" s="51" t="n"/>
      <c r="O37" s="51" t="n"/>
      <c r="P37" s="51" t="n"/>
      <c r="Q37" s="51" t="n"/>
      <c r="R37" s="60">
        <f>IF(CALC!$BJ$8="","",INDEX(rPrazo,CALC!$BJ$8))</f>
        <v>46306.0</v>
      </c>
      <c r="S37" s="51" t="n"/>
      <c r="T37" s="51" t="n"/>
      <c r="U37" s="51" t="n"/>
      <c r="V37" s="61">
        <f>IF(CALC!$BJ$8="","",INDEX(rDias,CALC!$BJ$8))</f>
        <v>2</v>
      </c>
      <c r="W37" s="51" t="n"/>
      <c r="X37" s="51" t="n"/>
      <c r="Y37" s="1" t="n"/>
      <c r="Z37" s="57">
        <f>IF(CALC!$BK$8="","",4)</f>
        <v>4</v>
      </c>
      <c r="AA37" s="51" t="n"/>
      <c r="AB37" s="58" t="str">
        <f>IF(CALC!$BK$8="",IF(4=1,"Nenhuma fiscalização registrada",""),INDEX(rEmpresa,CALC!$BK$8))</f>
        <v>Studio Fitness São Jorge</v>
      </c>
      <c r="AC37" s="51" t="n"/>
      <c r="AD37" s="51" t="n"/>
      <c r="AE37" s="51" t="n"/>
      <c r="AF37" s="51" t="n"/>
      <c r="AG37" s="51" t="n"/>
      <c r="AH37" s="51" t="n"/>
      <c r="AI37" s="51" t="n"/>
      <c r="AJ37" s="59" t="str">
        <f>IF(CALC!$BK$8="","",INDEX(rResp,CALC!$BK$8))</f>
        <v>GABRIELA NUNES</v>
      </c>
      <c r="AK37" s="51" t="n"/>
      <c r="AL37" s="51" t="n"/>
      <c r="AM37" s="51" t="n"/>
      <c r="AN37" s="51" t="n"/>
      <c r="AO37" s="51" t="n"/>
      <c r="AP37" s="60">
        <f>IF(CALC!$BK$8="","",INDEX(rDataFisc,CALC!$BK$8))</f>
        <v>46303.0</v>
      </c>
      <c r="AQ37" s="51" t="n"/>
      <c r="AR37" s="51" t="n"/>
      <c r="AS37" s="51" t="n"/>
      <c r="AT37" s="62" t="str">
        <f>IF(CALC!$BK$8="","",IF(INDEX(rNotif,CALC!$BK$8)="NOTIFICAÇÃO DE CONSTATAÇÃO","CONST.","ESCLAR."))</f>
        <v>ESCLAR.</v>
      </c>
      <c r="AU37" s="51" t="n"/>
      <c r="AV37" s="51" t="n"/>
      <c r="AW37" s="1" t="n"/>
    </row>
    <row r="38" ht="18" customHeight="1">
      <c r="A38" s="1" t="n"/>
      <c r="B38" s="50">
        <f>IF(CALC!$BJ$9="","",5)</f>
        <v>5</v>
      </c>
      <c r="C38" s="51" t="n"/>
      <c r="D38" s="52" t="str">
        <f>IF(CALC!$BJ$9="",IF(5=1,"✓ Nenhum prazo pendente",""),INDEX(rEmpresa,CALC!$BJ$9))</f>
        <v>Escola Vida Plena</v>
      </c>
      <c r="E38" s="51" t="n"/>
      <c r="F38" s="51" t="n"/>
      <c r="G38" s="51" t="n"/>
      <c r="H38" s="51" t="n"/>
      <c r="I38" s="51" t="n"/>
      <c r="J38" s="51" t="n"/>
      <c r="K38" s="51" t="n"/>
      <c r="L38" s="53" t="str">
        <f>IF(CALC!$BJ$9="","",INDEX(rResp,CALC!$BJ$9))</f>
        <v>ANA PAULA SOUZA</v>
      </c>
      <c r="M38" s="51" t="n"/>
      <c r="N38" s="51" t="n"/>
      <c r="O38" s="51" t="n"/>
      <c r="P38" s="51" t="n"/>
      <c r="Q38" s="51" t="n"/>
      <c r="R38" s="54">
        <f>IF(CALC!$BJ$9="","",INDEX(rPrazo,CALC!$BJ$9))</f>
        <v>46307.0</v>
      </c>
      <c r="S38" s="51" t="n"/>
      <c r="T38" s="51" t="n"/>
      <c r="U38" s="51" t="n"/>
      <c r="V38" s="55">
        <f>IF(CALC!$BJ$9="","",INDEX(rDias,CALC!$BJ$9))</f>
        <v>3</v>
      </c>
      <c r="W38" s="51" t="n"/>
      <c r="X38" s="51" t="n"/>
      <c r="Y38" s="1" t="n"/>
      <c r="Z38" s="50">
        <f>IF(CALC!$BK$9="","",5)</f>
        <v>5</v>
      </c>
      <c r="AA38" s="51" t="n"/>
      <c r="AB38" s="52" t="str">
        <f>IF(CALC!$BK$9="",IF(5=1,"Nenhuma fiscalização registrada",""),INDEX(rEmpresa,CALC!$BK$9))</f>
        <v>Financeira São Jorge Ltda</v>
      </c>
      <c r="AC38" s="51" t="n"/>
      <c r="AD38" s="51" t="n"/>
      <c r="AE38" s="51" t="n"/>
      <c r="AF38" s="51" t="n"/>
      <c r="AG38" s="51" t="n"/>
      <c r="AH38" s="51" t="n"/>
      <c r="AI38" s="51" t="n"/>
      <c r="AJ38" s="53" t="str">
        <f>IF(CALC!$BK$9="","",INDEX(rResp,CALC!$BK$9))</f>
        <v>GABRIELA NUNES</v>
      </c>
      <c r="AK38" s="51" t="n"/>
      <c r="AL38" s="51" t="n"/>
      <c r="AM38" s="51" t="n"/>
      <c r="AN38" s="51" t="n"/>
      <c r="AO38" s="51" t="n"/>
      <c r="AP38" s="54">
        <f>IF(CALC!$BK$9="","",INDEX(rDataFisc,CALC!$BK$9))</f>
        <v>46303.0</v>
      </c>
      <c r="AQ38" s="51" t="n"/>
      <c r="AR38" s="51" t="n"/>
      <c r="AS38" s="51" t="n"/>
      <c r="AT38" s="56" t="str">
        <f>IF(CALC!$BK$9="","",IF(INDEX(rNotif,CALC!$BK$9)="NOTIFICAÇÃO DE CONSTATAÇÃO","CONST.","ESCLAR."))</f>
        <v>CONST.</v>
      </c>
      <c r="AU38" s="51" t="n"/>
      <c r="AV38" s="51" t="n"/>
      <c r="AW38" s="1" t="n"/>
    </row>
    <row r="39" ht="18" customHeight="1">
      <c r="A39" s="1" t="n"/>
      <c r="B39" s="57">
        <f>IF(CALC!$BJ$10="","",6)</f>
        <v>6</v>
      </c>
      <c r="C39" s="51" t="n"/>
      <c r="D39" s="58" t="str">
        <f>IF(CALC!$BJ$10="",IF(6=1,"✓ Nenhum prazo pendente",""),INDEX(rEmpresa,CALC!$BJ$10))</f>
        <v>Concessionária Horizonte</v>
      </c>
      <c r="E39" s="51" t="n"/>
      <c r="F39" s="51" t="n"/>
      <c r="G39" s="51" t="n"/>
      <c r="H39" s="51" t="n"/>
      <c r="I39" s="51" t="n"/>
      <c r="J39" s="51" t="n"/>
      <c r="K39" s="51" t="n"/>
      <c r="L39" s="59" t="str">
        <f>IF(CALC!$BJ$10="","",INDEX(rResp,CALC!$BJ$10))</f>
        <v>CARLA MENDES</v>
      </c>
      <c r="M39" s="51" t="n"/>
      <c r="N39" s="51" t="n"/>
      <c r="O39" s="51" t="n"/>
      <c r="P39" s="51" t="n"/>
      <c r="Q39" s="51" t="n"/>
      <c r="R39" s="60">
        <f>IF(CALC!$BJ$10="","",INDEX(rPrazo,CALC!$BJ$10))</f>
        <v>46307.0</v>
      </c>
      <c r="S39" s="51" t="n"/>
      <c r="T39" s="51" t="n"/>
      <c r="U39" s="51" t="n"/>
      <c r="V39" s="61">
        <f>IF(CALC!$BJ$10="","",INDEX(rDias,CALC!$BJ$10))</f>
        <v>3</v>
      </c>
      <c r="W39" s="51" t="n"/>
      <c r="X39" s="51" t="n"/>
      <c r="Y39" s="1" t="n"/>
      <c r="Z39" s="57">
        <f>IF(CALC!$BK$10="","",6)</f>
        <v>6</v>
      </c>
      <c r="AA39" s="51" t="n"/>
      <c r="AB39" s="58" t="str">
        <f>IF(CALC!$BK$10="",IF(6=1,"Nenhuma fiscalização registrada",""),INDEX(rEmpresa,CALC!$BK$10))</f>
        <v>Boutique Aliança</v>
      </c>
      <c r="AC39" s="51" t="n"/>
      <c r="AD39" s="51" t="n"/>
      <c r="AE39" s="51" t="n"/>
      <c r="AF39" s="51" t="n"/>
      <c r="AG39" s="51" t="n"/>
      <c r="AH39" s="51" t="n"/>
      <c r="AI39" s="51" t="n"/>
      <c r="AJ39" s="59" t="str">
        <f>IF(CALC!$BK$10="","",INDEX(rResp,CALC!$BK$10))</f>
        <v>CARLA MENDES</v>
      </c>
      <c r="AK39" s="51" t="n"/>
      <c r="AL39" s="51" t="n"/>
      <c r="AM39" s="51" t="n"/>
      <c r="AN39" s="51" t="n"/>
      <c r="AO39" s="51" t="n"/>
      <c r="AP39" s="60">
        <f>IF(CALC!$BK$10="","",INDEX(rDataFisc,CALC!$BK$10))</f>
        <v>46303.0</v>
      </c>
      <c r="AQ39" s="51" t="n"/>
      <c r="AR39" s="51" t="n"/>
      <c r="AS39" s="51" t="n"/>
      <c r="AT39" s="62" t="str">
        <f>IF(CALC!$BK$10="","",IF(INDEX(rNotif,CALC!$BK$10)="NOTIFICAÇÃO DE CONSTATAÇÃO","CONST.","ESCLAR."))</f>
        <v>ESCLAR.</v>
      </c>
      <c r="AU39" s="51" t="n"/>
      <c r="AV39" s="51" t="n"/>
      <c r="AW39" s="1" t="n"/>
    </row>
    <row r="40" ht="18" customHeight="1">
      <c r="A40" s="1" t="n"/>
      <c r="B40" s="50">
        <f>IF(CALC!$BJ$11="","",7)</f>
        <v>7</v>
      </c>
      <c r="C40" s="51" t="n"/>
      <c r="D40" s="52" t="str">
        <f>IF(CALC!$BJ$11="",IF(7=1,"✓ Nenhum prazo pendente",""),INDEX(rEmpresa,CALC!$BJ$11))</f>
        <v>Concessionária Litoral</v>
      </c>
      <c r="E40" s="51" t="n"/>
      <c r="F40" s="51" t="n"/>
      <c r="G40" s="51" t="n"/>
      <c r="H40" s="51" t="n"/>
      <c r="I40" s="51" t="n"/>
      <c r="J40" s="51" t="n"/>
      <c r="K40" s="51" t="n"/>
      <c r="L40" s="53" t="str">
        <f>IF(CALC!$BJ$11="","",INDEX(rResp,CALC!$BJ$11))</f>
        <v>BRUNO CARVALHO</v>
      </c>
      <c r="M40" s="51" t="n"/>
      <c r="N40" s="51" t="n"/>
      <c r="O40" s="51" t="n"/>
      <c r="P40" s="51" t="n"/>
      <c r="Q40" s="51" t="n"/>
      <c r="R40" s="54">
        <f>IF(CALC!$BJ$11="","",INDEX(rPrazo,CALC!$BJ$11))</f>
        <v>46311.0</v>
      </c>
      <c r="S40" s="51" t="n"/>
      <c r="T40" s="51" t="n"/>
      <c r="U40" s="51" t="n"/>
      <c r="V40" s="55">
        <f>IF(CALC!$BJ$11="","",INDEX(rDias,CALC!$BJ$11))</f>
        <v>7</v>
      </c>
      <c r="W40" s="51" t="n"/>
      <c r="X40" s="51" t="n"/>
      <c r="Y40" s="1" t="n"/>
      <c r="Z40" s="50">
        <f>IF(CALC!$BK$11="","",7)</f>
        <v>7</v>
      </c>
      <c r="AA40" s="51" t="n"/>
      <c r="AB40" s="52" t="str">
        <f>IF(CALC!$BK$11="",IF(7=1,"Nenhuma fiscalização registrada",""),INDEX(rEmpresa,CALC!$BK$11))</f>
        <v>Concessionária Litoral</v>
      </c>
      <c r="AC40" s="51" t="n"/>
      <c r="AD40" s="51" t="n"/>
      <c r="AE40" s="51" t="n"/>
      <c r="AF40" s="51" t="n"/>
      <c r="AG40" s="51" t="n"/>
      <c r="AH40" s="51" t="n"/>
      <c r="AI40" s="51" t="n"/>
      <c r="AJ40" s="53" t="str">
        <f>IF(CALC!$BK$11="","",INDEX(rResp,CALC!$BK$11))</f>
        <v>BRUNO CARVALHO</v>
      </c>
      <c r="AK40" s="51" t="n"/>
      <c r="AL40" s="51" t="n"/>
      <c r="AM40" s="51" t="n"/>
      <c r="AN40" s="51" t="n"/>
      <c r="AO40" s="51" t="n"/>
      <c r="AP40" s="54">
        <f>IF(CALC!$BK$11="","",INDEX(rDataFisc,CALC!$BK$11))</f>
        <v>46301.0</v>
      </c>
      <c r="AQ40" s="51" t="n"/>
      <c r="AR40" s="51" t="n"/>
      <c r="AS40" s="51" t="n"/>
      <c r="AT40" s="56" t="str">
        <f>IF(CALC!$BK$11="","",IF(INDEX(rNotif,CALC!$BK$11)="NOTIFICAÇÃO DE CONSTATAÇÃO","CONST.","ESCLAR."))</f>
        <v>CONST.</v>
      </c>
      <c r="AU40" s="51" t="n"/>
      <c r="AV40" s="51" t="n"/>
      <c r="AW40" s="1" t="n"/>
    </row>
    <row r="41" ht="18" customHeight="1">
      <c r="A41" s="1" t="n"/>
      <c r="B41" s="57">
        <f>IF(CALC!$BJ$12="","",8)</f>
        <v>8</v>
      </c>
      <c r="C41" s="51" t="n"/>
      <c r="D41" s="58" t="str">
        <f>IF(CALC!$BJ$12="",IF(8=1,"✓ Nenhum prazo pendente",""),INDEX(rEmpresa,CALC!$BJ$12))</f>
        <v>Financeira São Jorge Ltda</v>
      </c>
      <c r="E41" s="51" t="n"/>
      <c r="F41" s="51" t="n"/>
      <c r="G41" s="51" t="n"/>
      <c r="H41" s="51" t="n"/>
      <c r="I41" s="51" t="n"/>
      <c r="J41" s="51" t="n"/>
      <c r="K41" s="51" t="n"/>
      <c r="L41" s="59" t="str">
        <f>IF(CALC!$BJ$12="","",INDEX(rResp,CALC!$BJ$12))</f>
        <v>GABRIELA NUNES</v>
      </c>
      <c r="M41" s="51" t="n"/>
      <c r="N41" s="51" t="n"/>
      <c r="O41" s="51" t="n"/>
      <c r="P41" s="51" t="n"/>
      <c r="Q41" s="51" t="n"/>
      <c r="R41" s="60">
        <f>IF(CALC!$BJ$12="","",INDEX(rPrazo,CALC!$BJ$12))</f>
        <v>46313.0</v>
      </c>
      <c r="S41" s="51" t="n"/>
      <c r="T41" s="51" t="n"/>
      <c r="U41" s="51" t="n"/>
      <c r="V41" s="61">
        <f>IF(CALC!$BJ$12="","",INDEX(rDias,CALC!$BJ$12))</f>
        <v>9</v>
      </c>
      <c r="W41" s="51" t="n"/>
      <c r="X41" s="51" t="n"/>
      <c r="Y41" s="1" t="n"/>
      <c r="Z41" s="57">
        <f>IF(CALC!$BK$12="","",8)</f>
        <v>8</v>
      </c>
      <c r="AA41" s="51" t="n"/>
      <c r="AB41" s="58" t="str">
        <f>IF(CALC!$BK$12="",IF(8=1,"Nenhuma fiscalização registrada",""),INDEX(rEmpresa,CALC!$BK$12))</f>
        <v>Comércio Real</v>
      </c>
      <c r="AC41" s="51" t="n"/>
      <c r="AD41" s="51" t="n"/>
      <c r="AE41" s="51" t="n"/>
      <c r="AF41" s="51" t="n"/>
      <c r="AG41" s="51" t="n"/>
      <c r="AH41" s="51" t="n"/>
      <c r="AI41" s="51" t="n"/>
      <c r="AJ41" s="59" t="str">
        <f>IF(CALC!$BK$12="","",INDEX(rResp,CALC!$BK$12))</f>
        <v>GABRIELA NUNES</v>
      </c>
      <c r="AK41" s="51" t="n"/>
      <c r="AL41" s="51" t="n"/>
      <c r="AM41" s="51" t="n"/>
      <c r="AN41" s="51" t="n"/>
      <c r="AO41" s="51" t="n"/>
      <c r="AP41" s="60">
        <f>IF(CALC!$BK$12="","",INDEX(rDataFisc,CALC!$BK$12))</f>
        <v>46300.0</v>
      </c>
      <c r="AQ41" s="51" t="n"/>
      <c r="AR41" s="51" t="n"/>
      <c r="AS41" s="51" t="n"/>
      <c r="AT41" s="62" t="str">
        <f>IF(CALC!$BK$12="","",IF(INDEX(rNotif,CALC!$BK$12)="NOTIFICAÇÃO DE CONSTATAÇÃO","CONST.","ESCLAR."))</f>
        <v>ESCLAR.</v>
      </c>
      <c r="AU41" s="51" t="n"/>
      <c r="AV41" s="51" t="n"/>
      <c r="AW41" s="1" t="n"/>
    </row>
    <row r="42" ht="18" customHeight="1">
      <c r="A42" s="1" t="n"/>
      <c r="B42" s="50">
        <f>IF(CALC!$BJ$13="","",9)</f>
        <v>9</v>
      </c>
      <c r="C42" s="51" t="n"/>
      <c r="D42" s="52" t="str">
        <f>IF(CALC!$BJ$13="",IF(9=1,"✓ Nenhum prazo pendente",""),INDEX(rEmpresa,CALC!$BJ$13))</f>
        <v>Escola Aliança</v>
      </c>
      <c r="E42" s="51" t="n"/>
      <c r="F42" s="51" t="n"/>
      <c r="G42" s="51" t="n"/>
      <c r="H42" s="51" t="n"/>
      <c r="I42" s="51" t="n"/>
      <c r="J42" s="51" t="n"/>
      <c r="K42" s="51" t="n"/>
      <c r="L42" s="53" t="str">
        <f>IF(CALC!$BJ$13="","",INDEX(rResp,CALC!$BJ$13))</f>
        <v>HENRIQUE COSTA</v>
      </c>
      <c r="M42" s="51" t="n"/>
      <c r="N42" s="51" t="n"/>
      <c r="O42" s="51" t="n"/>
      <c r="P42" s="51" t="n"/>
      <c r="Q42" s="51" t="n"/>
      <c r="R42" s="54">
        <f>IF(CALC!$BJ$13="","",INDEX(rPrazo,CALC!$BJ$13))</f>
        <v>46314.0</v>
      </c>
      <c r="S42" s="51" t="n"/>
      <c r="T42" s="51" t="n"/>
      <c r="U42" s="51" t="n"/>
      <c r="V42" s="55">
        <f>IF(CALC!$BJ$13="","",INDEX(rDias,CALC!$BJ$13))</f>
        <v>10</v>
      </c>
      <c r="W42" s="51" t="n"/>
      <c r="X42" s="51" t="n"/>
      <c r="Y42" s="1" t="n"/>
      <c r="Z42" s="50">
        <f>IF(CALC!$BK$13="","",9)</f>
        <v>9</v>
      </c>
      <c r="AA42" s="51" t="n"/>
      <c r="AB42" s="52" t="str">
        <f>IF(CALC!$BK$13="",IF(9=1,"Nenhuma fiscalização registrada",""),INDEX(rEmpresa,CALC!$BK$13))</f>
        <v>Banco Bela Vista</v>
      </c>
      <c r="AC42" s="51" t="n"/>
      <c r="AD42" s="51" t="n"/>
      <c r="AE42" s="51" t="n"/>
      <c r="AF42" s="51" t="n"/>
      <c r="AG42" s="51" t="n"/>
      <c r="AH42" s="51" t="n"/>
      <c r="AI42" s="51" t="n"/>
      <c r="AJ42" s="53" t="str">
        <f>IF(CALC!$BK$13="","",INDEX(rResp,CALC!$BK$13))</f>
        <v>DIEGO RIBEIRO</v>
      </c>
      <c r="AK42" s="51" t="n"/>
      <c r="AL42" s="51" t="n"/>
      <c r="AM42" s="51" t="n"/>
      <c r="AN42" s="51" t="n"/>
      <c r="AO42" s="51" t="n"/>
      <c r="AP42" s="54">
        <f>IF(CALC!$BK$13="","",INDEX(rDataFisc,CALC!$BK$13))</f>
        <v>46299.0</v>
      </c>
      <c r="AQ42" s="51" t="n"/>
      <c r="AR42" s="51" t="n"/>
      <c r="AS42" s="51" t="n"/>
      <c r="AT42" s="56" t="str">
        <f>IF(CALC!$BK$13="","",IF(INDEX(rNotif,CALC!$BK$13)="NOTIFICAÇÃO DE CONSTATAÇÃO","CONST.","ESCLAR."))</f>
        <v>ESCLAR.</v>
      </c>
      <c r="AU42" s="51" t="n"/>
      <c r="AV42" s="51" t="n"/>
      <c r="AW42" s="1" t="n"/>
    </row>
    <row r="43" ht="18" customHeight="1">
      <c r="A43" s="1" t="n"/>
      <c r="B43" s="57">
        <f>IF(CALC!$BJ$14="","",10)</f>
        <v>10</v>
      </c>
      <c r="C43" s="51" t="n"/>
      <c r="D43" s="58" t="str">
        <f>IF(CALC!$BJ$14="",IF(10=1,"✓ Nenhum prazo pendente",""),INDEX(rEmpresa,CALC!$BJ$14))</f>
        <v>Academia Vida Plena</v>
      </c>
      <c r="E43" s="51" t="n"/>
      <c r="F43" s="51" t="n"/>
      <c r="G43" s="51" t="n"/>
      <c r="H43" s="51" t="n"/>
      <c r="I43" s="51" t="n"/>
      <c r="J43" s="51" t="n"/>
      <c r="K43" s="51" t="n"/>
      <c r="L43" s="59" t="str">
        <f>IF(CALC!$BJ$14="","",INDEX(rResp,CALC!$BJ$14))</f>
        <v>DIEGO RIBEIRO</v>
      </c>
      <c r="M43" s="51" t="n"/>
      <c r="N43" s="51" t="n"/>
      <c r="O43" s="51" t="n"/>
      <c r="P43" s="51" t="n"/>
      <c r="Q43" s="51" t="n"/>
      <c r="R43" s="60">
        <f>IF(CALC!$BJ$14="","",INDEX(rPrazo,CALC!$BJ$14))</f>
        <v>46314.0</v>
      </c>
      <c r="S43" s="51" t="n"/>
      <c r="T43" s="51" t="n"/>
      <c r="U43" s="51" t="n"/>
      <c r="V43" s="61">
        <f>IF(CALC!$BJ$14="","",INDEX(rDias,CALC!$BJ$14))</f>
        <v>10</v>
      </c>
      <c r="W43" s="51" t="n"/>
      <c r="X43" s="51" t="n"/>
      <c r="Y43" s="1" t="n"/>
      <c r="Z43" s="57">
        <f>IF(CALC!$BK$14="","",10)</f>
        <v>10</v>
      </c>
      <c r="AA43" s="51" t="n"/>
      <c r="AB43" s="58" t="str">
        <f>IF(CALC!$BK$14="",IF(10=1,"Nenhuma fiscalização registrada",""),INDEX(rEmpresa,CALC!$BK$14))</f>
        <v>Concessionária Horizonte</v>
      </c>
      <c r="AC43" s="51" t="n"/>
      <c r="AD43" s="51" t="n"/>
      <c r="AE43" s="51" t="n"/>
      <c r="AF43" s="51" t="n"/>
      <c r="AG43" s="51" t="n"/>
      <c r="AH43" s="51" t="n"/>
      <c r="AI43" s="51" t="n"/>
      <c r="AJ43" s="59" t="str">
        <f>IF(CALC!$BK$14="","",INDEX(rResp,CALC!$BK$14))</f>
        <v>CARLA MENDES</v>
      </c>
      <c r="AK43" s="51" t="n"/>
      <c r="AL43" s="51" t="n"/>
      <c r="AM43" s="51" t="n"/>
      <c r="AN43" s="51" t="n"/>
      <c r="AO43" s="51" t="n"/>
      <c r="AP43" s="60">
        <f>IF(CALC!$BK$14="","",INDEX(rDataFisc,CALC!$BK$14))</f>
        <v>46297.0</v>
      </c>
      <c r="AQ43" s="51" t="n"/>
      <c r="AR43" s="51" t="n"/>
      <c r="AS43" s="51" t="n"/>
      <c r="AT43" s="62" t="str">
        <f>IF(CALC!$BK$14="","",IF(INDEX(rNotif,CALC!$BK$14)="NOTIFICAÇÃO DE CONSTATAÇÃO","CONST.","ESCLAR."))</f>
        <v>CONST.</v>
      </c>
      <c r="AU43" s="51" t="n"/>
      <c r="AV43" s="51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49" t="inlineStr">
        <is>
          <t>RESPONSÁVEL</t>
        </is>
      </c>
      <c r="I47" s="49" t="inlineStr">
        <is>
          <t>TOTAL</t>
        </is>
      </c>
      <c r="L47" s="49" t="inlineStr">
        <is>
          <t>PRAZO</t>
        </is>
      </c>
      <c r="O47" s="49" t="inlineStr">
        <is>
          <t>DECISÃO</t>
        </is>
      </c>
      <c r="R47" s="49" t="inlineStr">
        <is>
          <t>EM BREVE</t>
        </is>
      </c>
      <c r="U47" s="49" t="inlineStr">
        <is>
          <t>% EQUIPE</t>
        </is>
      </c>
      <c r="Y47" s="1" t="n"/>
      <c r="Z47" s="49" t="inlineStr">
        <is>
          <t>RAMO</t>
        </is>
      </c>
      <c r="AG47" s="49" t="inlineStr">
        <is>
          <t>TOTAL</t>
        </is>
      </c>
      <c r="AJ47" s="49" t="inlineStr">
        <is>
          <t>CONST.</t>
        </is>
      </c>
      <c r="AM47" s="49" t="inlineStr">
        <is>
          <t>ESCLAR.</t>
        </is>
      </c>
      <c r="AP47" s="49" t="inlineStr">
        <is>
          <t>PRAZO</t>
        </is>
      </c>
      <c r="AS47" s="49" t="inlineStr">
        <is>
          <t>% TOTAL</t>
        </is>
      </c>
      <c r="AW47" s="1" t="n"/>
    </row>
    <row r="48" ht="18" customHeight="1">
      <c r="A48" s="1" t="n"/>
      <c r="B48" s="63" t="str">
        <f>CALC!AF6</f>
        <v>ANA PAULA SOUZA</v>
      </c>
      <c r="C48" s="51" t="n"/>
      <c r="D48" s="51" t="n"/>
      <c r="E48" s="51" t="n"/>
      <c r="F48" s="51" t="n"/>
      <c r="G48" s="51" t="n"/>
      <c r="H48" s="51" t="n"/>
      <c r="I48" s="64">
        <f>CALC!AG6</f>
        <v>21</v>
      </c>
      <c r="J48" s="51" t="n"/>
      <c r="K48" s="51" t="n"/>
      <c r="L48" s="65">
        <f>CALC!AH6</f>
        <v>8</v>
      </c>
      <c r="M48" s="51" t="n"/>
      <c r="N48" s="51" t="n"/>
      <c r="O48" s="65">
        <f>CALC!AI6</f>
        <v>13</v>
      </c>
      <c r="P48" s="51" t="n"/>
      <c r="Q48" s="51" t="n"/>
      <c r="R48" s="66">
        <f>CALC!AK6</f>
        <v>3</v>
      </c>
      <c r="S48" s="51" t="n"/>
      <c r="T48" s="51" t="n"/>
      <c r="U48" s="67">
        <f>CALC!AL6</f>
        <v>0.21875</v>
      </c>
      <c r="V48" s="51" t="n"/>
      <c r="W48" s="51" t="n"/>
      <c r="X48" s="51" t="n"/>
      <c r="Y48" s="1" t="n"/>
      <c r="Z48" s="63" t="str">
        <f>CALC!AW6</f>
        <v>SAÚDE</v>
      </c>
      <c r="AA48" s="51" t="n"/>
      <c r="AB48" s="51" t="n"/>
      <c r="AC48" s="51" t="n"/>
      <c r="AD48" s="51" t="n"/>
      <c r="AE48" s="51" t="n"/>
      <c r="AF48" s="51" t="n"/>
      <c r="AG48" s="64">
        <f>CALC!AX6</f>
        <v>15</v>
      </c>
      <c r="AH48" s="51" t="n"/>
      <c r="AI48" s="51" t="n"/>
      <c r="AJ48" s="65">
        <f>CALC!AY6</f>
        <v>8</v>
      </c>
      <c r="AK48" s="51" t="n"/>
      <c r="AL48" s="51" t="n"/>
      <c r="AM48" s="65">
        <f>CALC!AZ6</f>
        <v>7</v>
      </c>
      <c r="AN48" s="51" t="n"/>
      <c r="AO48" s="51" t="n"/>
      <c r="AP48" s="65">
        <f>CALC!BA6</f>
        <v>4</v>
      </c>
      <c r="AQ48" s="51" t="n"/>
      <c r="AR48" s="51" t="n"/>
      <c r="AS48" s="67">
        <f>CALC!BB6</f>
        <v>0.15625</v>
      </c>
      <c r="AT48" s="51" t="n"/>
      <c r="AU48" s="51" t="n"/>
      <c r="AV48" s="51" t="n"/>
      <c r="AW48" s="1" t="n"/>
    </row>
    <row r="49" ht="18" customHeight="1">
      <c r="A49" s="1" t="n"/>
      <c r="B49" s="68" t="str">
        <f>CALC!AF7</f>
        <v>CARLA MENDES</v>
      </c>
      <c r="C49" s="51" t="n"/>
      <c r="D49" s="51" t="n"/>
      <c r="E49" s="51" t="n"/>
      <c r="F49" s="51" t="n"/>
      <c r="G49" s="51" t="n"/>
      <c r="H49" s="51" t="n"/>
      <c r="I49" s="69">
        <f>CALC!AG7</f>
        <v>17</v>
      </c>
      <c r="J49" s="51" t="n"/>
      <c r="K49" s="51" t="n"/>
      <c r="L49" s="70">
        <f>CALC!AH7</f>
        <v>3</v>
      </c>
      <c r="M49" s="51" t="n"/>
      <c r="N49" s="51" t="n"/>
      <c r="O49" s="70">
        <f>CALC!AI7</f>
        <v>14</v>
      </c>
      <c r="P49" s="51" t="n"/>
      <c r="Q49" s="51" t="n"/>
      <c r="R49" s="71">
        <f>CALC!AK7</f>
        <v>1</v>
      </c>
      <c r="S49" s="51" t="n"/>
      <c r="T49" s="51" t="n"/>
      <c r="U49" s="72">
        <f>CALC!AL7</f>
        <v>0.177083333333333</v>
      </c>
      <c r="V49" s="51" t="n"/>
      <c r="W49" s="51" t="n"/>
      <c r="X49" s="51" t="n"/>
      <c r="Y49" s="1" t="n"/>
      <c r="Z49" s="68" t="str">
        <f>CALC!AW7</f>
        <v>ACADEMIA</v>
      </c>
      <c r="AA49" s="51" t="n"/>
      <c r="AB49" s="51" t="n"/>
      <c r="AC49" s="51" t="n"/>
      <c r="AD49" s="51" t="n"/>
      <c r="AE49" s="51" t="n"/>
      <c r="AF49" s="51" t="n"/>
      <c r="AG49" s="69">
        <f>CALC!AX7</f>
        <v>12</v>
      </c>
      <c r="AH49" s="51" t="n"/>
      <c r="AI49" s="51" t="n"/>
      <c r="AJ49" s="70">
        <f>CALC!AY7</f>
        <v>5</v>
      </c>
      <c r="AK49" s="51" t="n"/>
      <c r="AL49" s="51" t="n"/>
      <c r="AM49" s="70">
        <f>CALC!AZ7</f>
        <v>7</v>
      </c>
      <c r="AN49" s="51" t="n"/>
      <c r="AO49" s="51" t="n"/>
      <c r="AP49" s="70">
        <f>CALC!BA7</f>
        <v>3</v>
      </c>
      <c r="AQ49" s="51" t="n"/>
      <c r="AR49" s="51" t="n"/>
      <c r="AS49" s="72">
        <f>CALC!BB7</f>
        <v>0.125</v>
      </c>
      <c r="AT49" s="51" t="n"/>
      <c r="AU49" s="51" t="n"/>
      <c r="AV49" s="51" t="n"/>
      <c r="AW49" s="1" t="n"/>
    </row>
    <row r="50" ht="18" customHeight="1">
      <c r="A50" s="1" t="n"/>
      <c r="B50" s="63" t="str">
        <f>CALC!AF8</f>
        <v>DIEGO RIBEIRO</v>
      </c>
      <c r="C50" s="51" t="n"/>
      <c r="D50" s="51" t="n"/>
      <c r="E50" s="51" t="n"/>
      <c r="F50" s="51" t="n"/>
      <c r="G50" s="51" t="n"/>
      <c r="H50" s="51" t="n"/>
      <c r="I50" s="64">
        <f>CALC!AG8</f>
        <v>15</v>
      </c>
      <c r="J50" s="51" t="n"/>
      <c r="K50" s="51" t="n"/>
      <c r="L50" s="65">
        <f>CALC!AH8</f>
        <v>5</v>
      </c>
      <c r="M50" s="51" t="n"/>
      <c r="N50" s="51" t="n"/>
      <c r="O50" s="65">
        <f>CALC!AI8</f>
        <v>10</v>
      </c>
      <c r="P50" s="51" t="n"/>
      <c r="Q50" s="51" t="n"/>
      <c r="R50" s="66">
        <f>CALC!AK8</f>
        <v>0</v>
      </c>
      <c r="S50" s="51" t="n"/>
      <c r="T50" s="51" t="n"/>
      <c r="U50" s="67">
        <f>CALC!AL8</f>
        <v>0.15625</v>
      </c>
      <c r="V50" s="51" t="n"/>
      <c r="W50" s="51" t="n"/>
      <c r="X50" s="51" t="n"/>
      <c r="Y50" s="1" t="n"/>
      <c r="Z50" s="63" t="str">
        <f>CALC!AW8</f>
        <v>LOJA</v>
      </c>
      <c r="AA50" s="51" t="n"/>
      <c r="AB50" s="51" t="n"/>
      <c r="AC50" s="51" t="n"/>
      <c r="AD50" s="51" t="n"/>
      <c r="AE50" s="51" t="n"/>
      <c r="AF50" s="51" t="n"/>
      <c r="AG50" s="64">
        <f>CALC!AX8</f>
        <v>11</v>
      </c>
      <c r="AH50" s="51" t="n"/>
      <c r="AI50" s="51" t="n"/>
      <c r="AJ50" s="65">
        <f>CALC!AY8</f>
        <v>5</v>
      </c>
      <c r="AK50" s="51" t="n"/>
      <c r="AL50" s="51" t="n"/>
      <c r="AM50" s="65">
        <f>CALC!AZ8</f>
        <v>6</v>
      </c>
      <c r="AN50" s="51" t="n"/>
      <c r="AO50" s="51" t="n"/>
      <c r="AP50" s="65">
        <f>CALC!BA8</f>
        <v>4</v>
      </c>
      <c r="AQ50" s="51" t="n"/>
      <c r="AR50" s="51" t="n"/>
      <c r="AS50" s="67">
        <f>CALC!BB8</f>
        <v>0.114583333333333</v>
      </c>
      <c r="AT50" s="51" t="n"/>
      <c r="AU50" s="51" t="n"/>
      <c r="AV50" s="51" t="n"/>
      <c r="AW50" s="1" t="n"/>
    </row>
    <row r="51" ht="18" customHeight="1">
      <c r="A51" s="1" t="n"/>
      <c r="B51" s="68" t="str">
        <f>CALC!AF9</f>
        <v>GABRIELA NUNES</v>
      </c>
      <c r="C51" s="51" t="n"/>
      <c r="D51" s="51" t="n"/>
      <c r="E51" s="51" t="n"/>
      <c r="F51" s="51" t="n"/>
      <c r="G51" s="51" t="n"/>
      <c r="H51" s="51" t="n"/>
      <c r="I51" s="69">
        <f>CALC!AG9</f>
        <v>13</v>
      </c>
      <c r="J51" s="51" t="n"/>
      <c r="K51" s="51" t="n"/>
      <c r="L51" s="70">
        <f>CALC!AH9</f>
        <v>6</v>
      </c>
      <c r="M51" s="51" t="n"/>
      <c r="N51" s="51" t="n"/>
      <c r="O51" s="70">
        <f>CALC!AI9</f>
        <v>7</v>
      </c>
      <c r="P51" s="51" t="n"/>
      <c r="Q51" s="51" t="n"/>
      <c r="R51" s="71">
        <f>CALC!AK9</f>
        <v>0</v>
      </c>
      <c r="S51" s="51" t="n"/>
      <c r="T51" s="51" t="n"/>
      <c r="U51" s="72">
        <f>CALC!AL9</f>
        <v>0.135416666666667</v>
      </c>
      <c r="V51" s="51" t="n"/>
      <c r="W51" s="51" t="n"/>
      <c r="X51" s="51" t="n"/>
      <c r="Y51" s="1" t="n"/>
      <c r="Z51" s="68" t="str">
        <f>CALC!AW9</f>
        <v>FARMÁCIA</v>
      </c>
      <c r="AA51" s="51" t="n"/>
      <c r="AB51" s="51" t="n"/>
      <c r="AC51" s="51" t="n"/>
      <c r="AD51" s="51" t="n"/>
      <c r="AE51" s="51" t="n"/>
      <c r="AF51" s="51" t="n"/>
      <c r="AG51" s="69">
        <f>CALC!AX9</f>
        <v>9</v>
      </c>
      <c r="AH51" s="51" t="n"/>
      <c r="AI51" s="51" t="n"/>
      <c r="AJ51" s="70">
        <f>CALC!AY9</f>
        <v>3</v>
      </c>
      <c r="AK51" s="51" t="n"/>
      <c r="AL51" s="51" t="n"/>
      <c r="AM51" s="70">
        <f>CALC!AZ9</f>
        <v>6</v>
      </c>
      <c r="AN51" s="51" t="n"/>
      <c r="AO51" s="51" t="n"/>
      <c r="AP51" s="70">
        <f>CALC!BA9</f>
        <v>4</v>
      </c>
      <c r="AQ51" s="51" t="n"/>
      <c r="AR51" s="51" t="n"/>
      <c r="AS51" s="72">
        <f>CALC!BB9</f>
        <v>0.09375</v>
      </c>
      <c r="AT51" s="51" t="n"/>
      <c r="AU51" s="51" t="n"/>
      <c r="AV51" s="51" t="n"/>
      <c r="AW51" s="1" t="n"/>
    </row>
    <row r="52" ht="18" customHeight="1">
      <c r="A52" s="1" t="n"/>
      <c r="B52" s="63" t="str">
        <f>CALC!AF10</f>
        <v>BRUNO CARVALHO</v>
      </c>
      <c r="C52" s="51" t="n"/>
      <c r="D52" s="51" t="n"/>
      <c r="E52" s="51" t="n"/>
      <c r="F52" s="51" t="n"/>
      <c r="G52" s="51" t="n"/>
      <c r="H52" s="51" t="n"/>
      <c r="I52" s="64">
        <f>CALC!AG10</f>
        <v>8</v>
      </c>
      <c r="J52" s="51" t="n"/>
      <c r="K52" s="51" t="n"/>
      <c r="L52" s="65">
        <f>CALC!AH10</f>
        <v>5</v>
      </c>
      <c r="M52" s="51" t="n"/>
      <c r="N52" s="51" t="n"/>
      <c r="O52" s="65">
        <f>CALC!AI10</f>
        <v>3</v>
      </c>
      <c r="P52" s="51" t="n"/>
      <c r="Q52" s="51" t="n"/>
      <c r="R52" s="66">
        <f>CALC!AK10</f>
        <v>0</v>
      </c>
      <c r="S52" s="51" t="n"/>
      <c r="T52" s="51" t="n"/>
      <c r="U52" s="67">
        <f>CALC!AL10</f>
        <v>0.0833333333333333</v>
      </c>
      <c r="V52" s="51" t="n"/>
      <c r="W52" s="51" t="n"/>
      <c r="X52" s="51" t="n"/>
      <c r="Y52" s="1" t="n"/>
      <c r="Z52" s="63" t="str">
        <f>CALC!AW10</f>
        <v>SUPERMERCADO</v>
      </c>
      <c r="AA52" s="51" t="n"/>
      <c r="AB52" s="51" t="n"/>
      <c r="AC52" s="51" t="n"/>
      <c r="AD52" s="51" t="n"/>
      <c r="AE52" s="51" t="n"/>
      <c r="AF52" s="51" t="n"/>
      <c r="AG52" s="64">
        <f>CALC!AX10</f>
        <v>8</v>
      </c>
      <c r="AH52" s="51" t="n"/>
      <c r="AI52" s="51" t="n"/>
      <c r="AJ52" s="65">
        <f>CALC!AY10</f>
        <v>7</v>
      </c>
      <c r="AK52" s="51" t="n"/>
      <c r="AL52" s="51" t="n"/>
      <c r="AM52" s="65">
        <f>CALC!AZ10</f>
        <v>1</v>
      </c>
      <c r="AN52" s="51" t="n"/>
      <c r="AO52" s="51" t="n"/>
      <c r="AP52" s="65">
        <f>CALC!BA10</f>
        <v>1</v>
      </c>
      <c r="AQ52" s="51" t="n"/>
      <c r="AR52" s="51" t="n"/>
      <c r="AS52" s="67">
        <f>CALC!BB10</f>
        <v>0.0833333333333333</v>
      </c>
      <c r="AT52" s="51" t="n"/>
      <c r="AU52" s="51" t="n"/>
      <c r="AV52" s="51" t="n"/>
      <c r="AW52" s="1" t="n"/>
    </row>
    <row r="53" ht="18" customHeight="1">
      <c r="A53" s="1" t="n"/>
      <c r="B53" s="68" t="str">
        <f>CALC!AF11</f>
        <v>FELIPE ARAÚJO</v>
      </c>
      <c r="C53" s="51" t="n"/>
      <c r="D53" s="51" t="n"/>
      <c r="E53" s="51" t="n"/>
      <c r="F53" s="51" t="n"/>
      <c r="G53" s="51" t="n"/>
      <c r="H53" s="51" t="n"/>
      <c r="I53" s="69">
        <f>CALC!AG11</f>
        <v>8</v>
      </c>
      <c r="J53" s="51" t="n"/>
      <c r="K53" s="51" t="n"/>
      <c r="L53" s="70">
        <f>CALC!AH11</f>
        <v>1</v>
      </c>
      <c r="M53" s="51" t="n"/>
      <c r="N53" s="51" t="n"/>
      <c r="O53" s="70">
        <f>CALC!AI11</f>
        <v>7</v>
      </c>
      <c r="P53" s="51" t="n"/>
      <c r="Q53" s="51" t="n"/>
      <c r="R53" s="71">
        <f>CALC!AK11</f>
        <v>1</v>
      </c>
      <c r="S53" s="51" t="n"/>
      <c r="T53" s="51" t="n"/>
      <c r="U53" s="72">
        <f>CALC!AL11</f>
        <v>0.0833333333333333</v>
      </c>
      <c r="V53" s="51" t="n"/>
      <c r="W53" s="51" t="n"/>
      <c r="X53" s="51" t="n"/>
      <c r="Y53" s="1" t="n"/>
      <c r="Z53" s="68" t="str">
        <f>CALC!AW11</f>
        <v>ESCOLA</v>
      </c>
      <c r="AA53" s="51" t="n"/>
      <c r="AB53" s="51" t="n"/>
      <c r="AC53" s="51" t="n"/>
      <c r="AD53" s="51" t="n"/>
      <c r="AE53" s="51" t="n"/>
      <c r="AF53" s="51" t="n"/>
      <c r="AG53" s="69">
        <f>CALC!AX11</f>
        <v>8</v>
      </c>
      <c r="AH53" s="51" t="n"/>
      <c r="AI53" s="51" t="n"/>
      <c r="AJ53" s="70">
        <f>CALC!AY11</f>
        <v>8</v>
      </c>
      <c r="AK53" s="51" t="n"/>
      <c r="AL53" s="51" t="n"/>
      <c r="AM53" s="70">
        <f>CALC!AZ11</f>
        <v>0</v>
      </c>
      <c r="AN53" s="51" t="n"/>
      <c r="AO53" s="51" t="n"/>
      <c r="AP53" s="70">
        <f>CALC!BA11</f>
        <v>3</v>
      </c>
      <c r="AQ53" s="51" t="n"/>
      <c r="AR53" s="51" t="n"/>
      <c r="AS53" s="72">
        <f>CALC!BB11</f>
        <v>0.0833333333333333</v>
      </c>
      <c r="AT53" s="51" t="n"/>
      <c r="AU53" s="51" t="n"/>
      <c r="AV53" s="51" t="n"/>
      <c r="AW53" s="1" t="n"/>
    </row>
    <row r="54" ht="18" customHeight="1">
      <c r="A54" s="1" t="n"/>
      <c r="B54" s="63" t="str">
        <f>CALC!AF12</f>
        <v>HENRIQUE COSTA</v>
      </c>
      <c r="C54" s="51" t="n"/>
      <c r="D54" s="51" t="n"/>
      <c r="E54" s="51" t="n"/>
      <c r="F54" s="51" t="n"/>
      <c r="G54" s="51" t="n"/>
      <c r="H54" s="51" t="n"/>
      <c r="I54" s="64">
        <f>CALC!AG12</f>
        <v>8</v>
      </c>
      <c r="J54" s="51" t="n"/>
      <c r="K54" s="51" t="n"/>
      <c r="L54" s="65">
        <f>CALC!AH12</f>
        <v>3</v>
      </c>
      <c r="M54" s="51" t="n"/>
      <c r="N54" s="51" t="n"/>
      <c r="O54" s="65">
        <f>CALC!AI12</f>
        <v>5</v>
      </c>
      <c r="P54" s="51" t="n"/>
      <c r="Q54" s="51" t="n"/>
      <c r="R54" s="66">
        <f>CALC!AK12</f>
        <v>0</v>
      </c>
      <c r="S54" s="51" t="n"/>
      <c r="T54" s="51" t="n"/>
      <c r="U54" s="67">
        <f>CALC!AL12</f>
        <v>0.0833333333333333</v>
      </c>
      <c r="V54" s="51" t="n"/>
      <c r="W54" s="51" t="n"/>
      <c r="X54" s="51" t="n"/>
      <c r="Y54" s="1" t="n"/>
      <c r="Z54" s="63" t="str">
        <f>CALC!AW12</f>
        <v>RESTAURANTE</v>
      </c>
      <c r="AA54" s="51" t="n"/>
      <c r="AB54" s="51" t="n"/>
      <c r="AC54" s="51" t="n"/>
      <c r="AD54" s="51" t="n"/>
      <c r="AE54" s="51" t="n"/>
      <c r="AF54" s="51" t="n"/>
      <c r="AG54" s="64">
        <f>CALC!AX12</f>
        <v>7</v>
      </c>
      <c r="AH54" s="51" t="n"/>
      <c r="AI54" s="51" t="n"/>
      <c r="AJ54" s="65">
        <f>CALC!AY12</f>
        <v>5</v>
      </c>
      <c r="AK54" s="51" t="n"/>
      <c r="AL54" s="51" t="n"/>
      <c r="AM54" s="65">
        <f>CALC!AZ12</f>
        <v>2</v>
      </c>
      <c r="AN54" s="51" t="n"/>
      <c r="AO54" s="51" t="n"/>
      <c r="AP54" s="65">
        <f>CALC!BA12</f>
        <v>2</v>
      </c>
      <c r="AQ54" s="51" t="n"/>
      <c r="AR54" s="51" t="n"/>
      <c r="AS54" s="67">
        <f>CALC!BB12</f>
        <v>0.0729166666666667</v>
      </c>
      <c r="AT54" s="51" t="n"/>
      <c r="AU54" s="51" t="n"/>
      <c r="AV54" s="51" t="n"/>
      <c r="AW54" s="1" t="n"/>
    </row>
    <row r="55" ht="18" customHeight="1">
      <c r="A55" s="1" t="n"/>
      <c r="B55" s="68" t="str">
        <f>CALC!AF13</f>
        <v>EDUARDA LIMA</v>
      </c>
      <c r="C55" s="51" t="n"/>
      <c r="D55" s="51" t="n"/>
      <c r="E55" s="51" t="n"/>
      <c r="F55" s="51" t="n"/>
      <c r="G55" s="51" t="n"/>
      <c r="H55" s="51" t="n"/>
      <c r="I55" s="69">
        <f>CALC!AG13</f>
        <v>6</v>
      </c>
      <c r="J55" s="51" t="n"/>
      <c r="K55" s="51" t="n"/>
      <c r="L55" s="70">
        <f>CALC!AH13</f>
        <v>1</v>
      </c>
      <c r="M55" s="51" t="n"/>
      <c r="N55" s="51" t="n"/>
      <c r="O55" s="70">
        <f>CALC!AI13</f>
        <v>5</v>
      </c>
      <c r="P55" s="51" t="n"/>
      <c r="Q55" s="51" t="n"/>
      <c r="R55" s="71">
        <f>CALC!AK13</f>
        <v>1</v>
      </c>
      <c r="S55" s="51" t="n"/>
      <c r="T55" s="51" t="n"/>
      <c r="U55" s="72">
        <f>CALC!AL13</f>
        <v>0.0625</v>
      </c>
      <c r="V55" s="51" t="n"/>
      <c r="W55" s="51" t="n"/>
      <c r="X55" s="51" t="n"/>
      <c r="Y55" s="1" t="n"/>
      <c r="Z55" s="68" t="str">
        <f>CALC!AW13</f>
        <v>OUTROS</v>
      </c>
      <c r="AA55" s="51" t="n"/>
      <c r="AB55" s="51" t="n"/>
      <c r="AC55" s="51" t="n"/>
      <c r="AD55" s="51" t="n"/>
      <c r="AE55" s="51" t="n"/>
      <c r="AF55" s="51" t="n"/>
      <c r="AG55" s="69">
        <f>CALC!AX13</f>
        <v>7</v>
      </c>
      <c r="AH55" s="51" t="n"/>
      <c r="AI55" s="51" t="n"/>
      <c r="AJ55" s="70">
        <f>CALC!AY13</f>
        <v>4</v>
      </c>
      <c r="AK55" s="51" t="n"/>
      <c r="AL55" s="51" t="n"/>
      <c r="AM55" s="70">
        <f>CALC!AZ13</f>
        <v>3</v>
      </c>
      <c r="AN55" s="51" t="n"/>
      <c r="AO55" s="51" t="n"/>
      <c r="AP55" s="70">
        <f>CALC!BA13</f>
        <v>3</v>
      </c>
      <c r="AQ55" s="51" t="n"/>
      <c r="AR55" s="51" t="n"/>
      <c r="AS55" s="72">
        <f>CALC!BB13</f>
        <v>0.0729166666666667</v>
      </c>
      <c r="AT55" s="51" t="n"/>
      <c r="AU55" s="51" t="n"/>
      <c r="AV55" s="51" t="n"/>
      <c r="AW55" s="1" t="n"/>
    </row>
    <row r="56" ht="18" customHeight="1">
      <c r="A56" s="1" t="n"/>
      <c r="B56" s="63" t="str">
        <f>CALC!AF14</f>
        <v/>
      </c>
      <c r="C56" s="51" t="n"/>
      <c r="D56" s="51" t="n"/>
      <c r="E56" s="51" t="n"/>
      <c r="F56" s="51" t="n"/>
      <c r="G56" s="51" t="n"/>
      <c r="H56" s="51" t="n"/>
      <c r="I56" s="64" t="str">
        <f>CALC!AG14</f>
        <v/>
      </c>
      <c r="J56" s="51" t="n"/>
      <c r="K56" s="51" t="n"/>
      <c r="L56" s="65" t="str">
        <f>CALC!AH14</f>
        <v/>
      </c>
      <c r="M56" s="51" t="n"/>
      <c r="N56" s="51" t="n"/>
      <c r="O56" s="65" t="str">
        <f>CALC!AI14</f>
        <v/>
      </c>
      <c r="P56" s="51" t="n"/>
      <c r="Q56" s="51" t="n"/>
      <c r="R56" s="66" t="str">
        <f>CALC!AK14</f>
        <v/>
      </c>
      <c r="S56" s="51" t="n"/>
      <c r="T56" s="51" t="n"/>
      <c r="U56" s="67" t="str">
        <f>CALC!AL14</f>
        <v/>
      </c>
      <c r="V56" s="51" t="n"/>
      <c r="W56" s="51" t="n"/>
      <c r="X56" s="51" t="n"/>
      <c r="Y56" s="1" t="n"/>
      <c r="Z56" s="63" t="str">
        <f>CALC!AW14</f>
        <v>POSTO DE COMBUSTÍVEL</v>
      </c>
      <c r="AA56" s="51" t="n"/>
      <c r="AB56" s="51" t="n"/>
      <c r="AC56" s="51" t="n"/>
      <c r="AD56" s="51" t="n"/>
      <c r="AE56" s="51" t="n"/>
      <c r="AF56" s="51" t="n"/>
      <c r="AG56" s="64">
        <f>CALC!AX14</f>
        <v>6</v>
      </c>
      <c r="AH56" s="51" t="n"/>
      <c r="AI56" s="51" t="n"/>
      <c r="AJ56" s="65">
        <f>CALC!AY14</f>
        <v>1</v>
      </c>
      <c r="AK56" s="51" t="n"/>
      <c r="AL56" s="51" t="n"/>
      <c r="AM56" s="65">
        <f>CALC!AZ14</f>
        <v>5</v>
      </c>
      <c r="AN56" s="51" t="n"/>
      <c r="AO56" s="51" t="n"/>
      <c r="AP56" s="65">
        <f>CALC!BA14</f>
        <v>3</v>
      </c>
      <c r="AQ56" s="51" t="n"/>
      <c r="AR56" s="51" t="n"/>
      <c r="AS56" s="67">
        <f>CALC!BB14</f>
        <v>0.0625</v>
      </c>
      <c r="AT56" s="51" t="n"/>
      <c r="AU56" s="51" t="n"/>
      <c r="AV56" s="51" t="n"/>
      <c r="AW56" s="1" t="n"/>
    </row>
    <row r="57" ht="18" customHeight="1">
      <c r="A57" s="1" t="n"/>
      <c r="B57" s="68" t="str">
        <f>CALC!AF15</f>
        <v/>
      </c>
      <c r="C57" s="51" t="n"/>
      <c r="D57" s="51" t="n"/>
      <c r="E57" s="51" t="n"/>
      <c r="F57" s="51" t="n"/>
      <c r="G57" s="51" t="n"/>
      <c r="H57" s="51" t="n"/>
      <c r="I57" s="69" t="str">
        <f>CALC!AG15</f>
        <v/>
      </c>
      <c r="J57" s="51" t="n"/>
      <c r="K57" s="51" t="n"/>
      <c r="L57" s="70" t="str">
        <f>CALC!AH15</f>
        <v/>
      </c>
      <c r="M57" s="51" t="n"/>
      <c r="N57" s="51" t="n"/>
      <c r="O57" s="70" t="str">
        <f>CALC!AI15</f>
        <v/>
      </c>
      <c r="P57" s="51" t="n"/>
      <c r="Q57" s="51" t="n"/>
      <c r="R57" s="71" t="str">
        <f>CALC!AK15</f>
        <v/>
      </c>
      <c r="S57" s="51" t="n"/>
      <c r="T57" s="51" t="n"/>
      <c r="U57" s="72" t="str">
        <f>CALC!AL15</f>
        <v/>
      </c>
      <c r="V57" s="51" t="n"/>
      <c r="W57" s="51" t="n"/>
      <c r="X57" s="51" t="n"/>
      <c r="Y57" s="1" t="n"/>
      <c r="Z57" s="68" t="str">
        <f>CALC!AW15</f>
        <v>BANCO</v>
      </c>
      <c r="AA57" s="51" t="n"/>
      <c r="AB57" s="51" t="n"/>
      <c r="AC57" s="51" t="n"/>
      <c r="AD57" s="51" t="n"/>
      <c r="AE57" s="51" t="n"/>
      <c r="AF57" s="51" t="n"/>
      <c r="AG57" s="69">
        <f>CALC!AX15</f>
        <v>5</v>
      </c>
      <c r="AH57" s="51" t="n"/>
      <c r="AI57" s="51" t="n"/>
      <c r="AJ57" s="70">
        <f>CALC!AY15</f>
        <v>4</v>
      </c>
      <c r="AK57" s="51" t="n"/>
      <c r="AL57" s="51" t="n"/>
      <c r="AM57" s="70">
        <f>CALC!AZ15</f>
        <v>1</v>
      </c>
      <c r="AN57" s="51" t="n"/>
      <c r="AO57" s="51" t="n"/>
      <c r="AP57" s="70">
        <f>CALC!BA15</f>
        <v>2</v>
      </c>
      <c r="AQ57" s="51" t="n"/>
      <c r="AR57" s="51" t="n"/>
      <c r="AS57" s="72">
        <f>CALC!BB15</f>
        <v>0.0520833333333333</v>
      </c>
      <c r="AT57" s="51" t="n"/>
      <c r="AU57" s="51" t="n"/>
      <c r="AV57" s="51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49" t="inlineStr">
        <is>
          <t>INDICADOR</t>
        </is>
      </c>
      <c r="J61" s="49" t="inlineStr">
        <is>
          <t>JAN</t>
        </is>
      </c>
      <c r="M61" s="49" t="inlineStr">
        <is>
          <t>FEV</t>
        </is>
      </c>
      <c r="P61" s="49" t="inlineStr">
        <is>
          <t>MAR</t>
        </is>
      </c>
      <c r="S61" s="49" t="inlineStr">
        <is>
          <t>ABR</t>
        </is>
      </c>
      <c r="V61" s="49" t="inlineStr">
        <is>
          <t>MAI</t>
        </is>
      </c>
      <c r="Y61" s="49" t="inlineStr">
        <is>
          <t>JUN</t>
        </is>
      </c>
      <c r="AB61" s="49" t="inlineStr">
        <is>
          <t>JUL</t>
        </is>
      </c>
      <c r="AE61" s="49" t="inlineStr">
        <is>
          <t>AGO</t>
        </is>
      </c>
      <c r="AH61" s="49" t="inlineStr">
        <is>
          <t>SET</t>
        </is>
      </c>
      <c r="AK61" s="49" t="inlineStr">
        <is>
          <t>OUT</t>
        </is>
      </c>
      <c r="AN61" s="49" t="inlineStr">
        <is>
          <t>NOV</t>
        </is>
      </c>
      <c r="AQ61" s="49" t="inlineStr">
        <is>
          <t>DEZ</t>
        </is>
      </c>
      <c r="AT61" s="73" t="inlineStr">
        <is>
          <t>ANO</t>
        </is>
      </c>
      <c r="AW61" s="1" t="n"/>
    </row>
    <row r="62" ht="18" customHeight="1">
      <c r="A62" s="1" t="n"/>
      <c r="B62" s="63" t="inlineStr">
        <is>
          <t>Fiscalizações</t>
        </is>
      </c>
      <c r="C62" s="51" t="n"/>
      <c r="D62" s="51" t="n"/>
      <c r="E62" s="51" t="n"/>
      <c r="F62" s="51" t="n"/>
      <c r="G62" s="51" t="n"/>
      <c r="H62" s="51" t="n"/>
      <c r="I62" s="51" t="n"/>
      <c r="J62" s="64">
        <f>CALC!N6</f>
        <v>0</v>
      </c>
      <c r="K62" s="51" t="n"/>
      <c r="L62" s="51" t="n"/>
      <c r="M62" s="64">
        <f>CALC!N7</f>
        <v>6</v>
      </c>
      <c r="N62" s="51" t="n"/>
      <c r="O62" s="51" t="n"/>
      <c r="P62" s="64">
        <f>CALC!N8</f>
        <v>2</v>
      </c>
      <c r="Q62" s="51" t="n"/>
      <c r="R62" s="51" t="n"/>
      <c r="S62" s="64">
        <f>CALC!N9</f>
        <v>7</v>
      </c>
      <c r="T62" s="51" t="n"/>
      <c r="U62" s="51" t="n"/>
      <c r="V62" s="64">
        <f>CALC!N10</f>
        <v>12</v>
      </c>
      <c r="W62" s="51" t="n"/>
      <c r="X62" s="51" t="n"/>
      <c r="Y62" s="64">
        <f>CALC!N11</f>
        <v>9</v>
      </c>
      <c r="Z62" s="51" t="n"/>
      <c r="AA62" s="51" t="n"/>
      <c r="AB62" s="64">
        <f>CALC!N12</f>
        <v>12</v>
      </c>
      <c r="AC62" s="51" t="n"/>
      <c r="AD62" s="51" t="n"/>
      <c r="AE62" s="64">
        <f>CALC!N13</f>
        <v>16</v>
      </c>
      <c r="AF62" s="51" t="n"/>
      <c r="AG62" s="51" t="n"/>
      <c r="AH62" s="64">
        <f>CALC!N14</f>
        <v>19</v>
      </c>
      <c r="AI62" s="51" t="n"/>
      <c r="AJ62" s="51" t="n"/>
      <c r="AK62" s="64">
        <f>CALC!N15</f>
        <v>13</v>
      </c>
      <c r="AL62" s="51" t="n"/>
      <c r="AM62" s="51" t="n"/>
      <c r="AN62" s="64">
        <f>CALC!N16</f>
        <v>0</v>
      </c>
      <c r="AO62" s="51" t="n"/>
      <c r="AP62" s="51" t="n"/>
      <c r="AQ62" s="64">
        <f>CALC!N17</f>
        <v>0</v>
      </c>
      <c r="AR62" s="51" t="n"/>
      <c r="AS62" s="51" t="n"/>
      <c r="AT62" s="74">
        <f>SUM(CALC!N6:N17)</f>
        <v>96</v>
      </c>
      <c r="AU62" s="51" t="n"/>
      <c r="AV62" s="51" t="n"/>
      <c r="AW62" s="1" t="n"/>
    </row>
    <row r="63" ht="18" customHeight="1">
      <c r="A63" s="1" t="n"/>
      <c r="B63" s="75" t="inlineStr">
        <is>
          <t>Notif. Constatação</t>
        </is>
      </c>
      <c r="C63" s="51" t="n"/>
      <c r="D63" s="51" t="n"/>
      <c r="E63" s="51" t="n"/>
      <c r="F63" s="51" t="n"/>
      <c r="G63" s="51" t="n"/>
      <c r="H63" s="51" t="n"/>
      <c r="I63" s="51" t="n"/>
      <c r="J63" s="70">
        <f>CALC!O6</f>
        <v>0</v>
      </c>
      <c r="K63" s="51" t="n"/>
      <c r="L63" s="51" t="n"/>
      <c r="M63" s="70">
        <f>CALC!O7</f>
        <v>2</v>
      </c>
      <c r="N63" s="51" t="n"/>
      <c r="O63" s="51" t="n"/>
      <c r="P63" s="70">
        <f>CALC!O8</f>
        <v>2</v>
      </c>
      <c r="Q63" s="51" t="n"/>
      <c r="R63" s="51" t="n"/>
      <c r="S63" s="70">
        <f>CALC!O9</f>
        <v>3</v>
      </c>
      <c r="T63" s="51" t="n"/>
      <c r="U63" s="51" t="n"/>
      <c r="V63" s="70">
        <f>CALC!O10</f>
        <v>6</v>
      </c>
      <c r="W63" s="51" t="n"/>
      <c r="X63" s="51" t="n"/>
      <c r="Y63" s="70">
        <f>CALC!O11</f>
        <v>6</v>
      </c>
      <c r="Z63" s="51" t="n"/>
      <c r="AA63" s="51" t="n"/>
      <c r="AB63" s="70">
        <f>CALC!O12</f>
        <v>6</v>
      </c>
      <c r="AC63" s="51" t="n"/>
      <c r="AD63" s="51" t="n"/>
      <c r="AE63" s="70">
        <f>CALC!O13</f>
        <v>11</v>
      </c>
      <c r="AF63" s="51" t="n"/>
      <c r="AG63" s="51" t="n"/>
      <c r="AH63" s="70">
        <f>CALC!O14</f>
        <v>12</v>
      </c>
      <c r="AI63" s="51" t="n"/>
      <c r="AJ63" s="51" t="n"/>
      <c r="AK63" s="70">
        <f>CALC!O15</f>
        <v>6</v>
      </c>
      <c r="AL63" s="51" t="n"/>
      <c r="AM63" s="51" t="n"/>
      <c r="AN63" s="70">
        <f>CALC!O16</f>
        <v>0</v>
      </c>
      <c r="AO63" s="51" t="n"/>
      <c r="AP63" s="51" t="n"/>
      <c r="AQ63" s="70">
        <f>CALC!O17</f>
        <v>0</v>
      </c>
      <c r="AR63" s="51" t="n"/>
      <c r="AS63" s="51" t="n"/>
      <c r="AT63" s="74">
        <f>SUM(CALC!O6:O17)</f>
        <v>54</v>
      </c>
      <c r="AU63" s="51" t="n"/>
      <c r="AV63" s="51" t="n"/>
      <c r="AW63" s="1" t="n"/>
    </row>
    <row r="64" ht="18" customHeight="1">
      <c r="A64" s="1" t="n"/>
      <c r="B64" s="76" t="inlineStr">
        <is>
          <t>Notif. Esclarecimento</t>
        </is>
      </c>
      <c r="C64" s="51" t="n"/>
      <c r="D64" s="51" t="n"/>
      <c r="E64" s="51" t="n"/>
      <c r="F64" s="51" t="n"/>
      <c r="G64" s="51" t="n"/>
      <c r="H64" s="51" t="n"/>
      <c r="I64" s="51" t="n"/>
      <c r="J64" s="65">
        <f>CALC!P6</f>
        <v>0</v>
      </c>
      <c r="K64" s="51" t="n"/>
      <c r="L64" s="51" t="n"/>
      <c r="M64" s="65">
        <f>CALC!P7</f>
        <v>4</v>
      </c>
      <c r="N64" s="51" t="n"/>
      <c r="O64" s="51" t="n"/>
      <c r="P64" s="65">
        <f>CALC!P8</f>
        <v>0</v>
      </c>
      <c r="Q64" s="51" t="n"/>
      <c r="R64" s="51" t="n"/>
      <c r="S64" s="65">
        <f>CALC!P9</f>
        <v>4</v>
      </c>
      <c r="T64" s="51" t="n"/>
      <c r="U64" s="51" t="n"/>
      <c r="V64" s="65">
        <f>CALC!P10</f>
        <v>6</v>
      </c>
      <c r="W64" s="51" t="n"/>
      <c r="X64" s="51" t="n"/>
      <c r="Y64" s="65">
        <f>CALC!P11</f>
        <v>3</v>
      </c>
      <c r="Z64" s="51" t="n"/>
      <c r="AA64" s="51" t="n"/>
      <c r="AB64" s="65">
        <f>CALC!P12</f>
        <v>6</v>
      </c>
      <c r="AC64" s="51" t="n"/>
      <c r="AD64" s="51" t="n"/>
      <c r="AE64" s="65">
        <f>CALC!P13</f>
        <v>5</v>
      </c>
      <c r="AF64" s="51" t="n"/>
      <c r="AG64" s="51" t="n"/>
      <c r="AH64" s="65">
        <f>CALC!P14</f>
        <v>7</v>
      </c>
      <c r="AI64" s="51" t="n"/>
      <c r="AJ64" s="51" t="n"/>
      <c r="AK64" s="65">
        <f>CALC!P15</f>
        <v>7</v>
      </c>
      <c r="AL64" s="51" t="n"/>
      <c r="AM64" s="51" t="n"/>
      <c r="AN64" s="65">
        <f>CALC!P16</f>
        <v>0</v>
      </c>
      <c r="AO64" s="51" t="n"/>
      <c r="AP64" s="51" t="n"/>
      <c r="AQ64" s="65">
        <f>CALC!P17</f>
        <v>0</v>
      </c>
      <c r="AR64" s="51" t="n"/>
      <c r="AS64" s="51" t="n"/>
      <c r="AT64" s="74">
        <f>SUM(CALC!P6:P17)</f>
        <v>42</v>
      </c>
      <c r="AU64" s="51" t="n"/>
      <c r="AV64" s="51" t="n"/>
      <c r="AW64" s="1" t="n"/>
    </row>
    <row r="65" ht="18" customHeight="1">
      <c r="A65" s="1" t="n"/>
      <c r="B65" s="75" t="inlineStr">
        <is>
          <t>Presenciais</t>
        </is>
      </c>
      <c r="C65" s="51" t="n"/>
      <c r="D65" s="51" t="n"/>
      <c r="E65" s="51" t="n"/>
      <c r="F65" s="51" t="n"/>
      <c r="G65" s="51" t="n"/>
      <c r="H65" s="51" t="n"/>
      <c r="I65" s="51" t="n"/>
      <c r="J65" s="70">
        <f>CALC!Q6</f>
        <v>0</v>
      </c>
      <c r="K65" s="51" t="n"/>
      <c r="L65" s="51" t="n"/>
      <c r="M65" s="70">
        <f>CALC!Q7</f>
        <v>2</v>
      </c>
      <c r="N65" s="51" t="n"/>
      <c r="O65" s="51" t="n"/>
      <c r="P65" s="70">
        <f>CALC!Q8</f>
        <v>0</v>
      </c>
      <c r="Q65" s="51" t="n"/>
      <c r="R65" s="51" t="n"/>
      <c r="S65" s="70">
        <f>CALC!Q9</f>
        <v>6</v>
      </c>
      <c r="T65" s="51" t="n"/>
      <c r="U65" s="51" t="n"/>
      <c r="V65" s="70">
        <f>CALC!Q10</f>
        <v>9</v>
      </c>
      <c r="W65" s="51" t="n"/>
      <c r="X65" s="51" t="n"/>
      <c r="Y65" s="70">
        <f>CALC!Q11</f>
        <v>6</v>
      </c>
      <c r="Z65" s="51" t="n"/>
      <c r="AA65" s="51" t="n"/>
      <c r="AB65" s="70">
        <f>CALC!Q12</f>
        <v>8</v>
      </c>
      <c r="AC65" s="51" t="n"/>
      <c r="AD65" s="51" t="n"/>
      <c r="AE65" s="70">
        <f>CALC!Q13</f>
        <v>11</v>
      </c>
      <c r="AF65" s="51" t="n"/>
      <c r="AG65" s="51" t="n"/>
      <c r="AH65" s="70">
        <f>CALC!Q14</f>
        <v>7</v>
      </c>
      <c r="AI65" s="51" t="n"/>
      <c r="AJ65" s="51" t="n"/>
      <c r="AK65" s="70">
        <f>CALC!Q15</f>
        <v>7</v>
      </c>
      <c r="AL65" s="51" t="n"/>
      <c r="AM65" s="51" t="n"/>
      <c r="AN65" s="70">
        <f>CALC!Q16</f>
        <v>0</v>
      </c>
      <c r="AO65" s="51" t="n"/>
      <c r="AP65" s="51" t="n"/>
      <c r="AQ65" s="70">
        <f>CALC!Q17</f>
        <v>0</v>
      </c>
      <c r="AR65" s="51" t="n"/>
      <c r="AS65" s="51" t="n"/>
      <c r="AT65" s="74">
        <f>SUM(CALC!Q6:Q17)</f>
        <v>56</v>
      </c>
      <c r="AU65" s="51" t="n"/>
      <c r="AV65" s="51" t="n"/>
      <c r="AW65" s="1" t="n"/>
    </row>
    <row r="66" ht="18" customHeight="1">
      <c r="A66" s="1" t="n"/>
      <c r="B66" s="76" t="inlineStr">
        <is>
          <t>Eletrônicas</t>
        </is>
      </c>
      <c r="C66" s="51" t="n"/>
      <c r="D66" s="51" t="n"/>
      <c r="E66" s="51" t="n"/>
      <c r="F66" s="51" t="n"/>
      <c r="G66" s="51" t="n"/>
      <c r="H66" s="51" t="n"/>
      <c r="I66" s="51" t="n"/>
      <c r="J66" s="65">
        <f>CALC!R6</f>
        <v>0</v>
      </c>
      <c r="K66" s="51" t="n"/>
      <c r="L66" s="51" t="n"/>
      <c r="M66" s="65">
        <f>CALC!R7</f>
        <v>4</v>
      </c>
      <c r="N66" s="51" t="n"/>
      <c r="O66" s="51" t="n"/>
      <c r="P66" s="65">
        <f>CALC!R8</f>
        <v>2</v>
      </c>
      <c r="Q66" s="51" t="n"/>
      <c r="R66" s="51" t="n"/>
      <c r="S66" s="65">
        <f>CALC!R9</f>
        <v>1</v>
      </c>
      <c r="T66" s="51" t="n"/>
      <c r="U66" s="51" t="n"/>
      <c r="V66" s="65">
        <f>CALC!R10</f>
        <v>3</v>
      </c>
      <c r="W66" s="51" t="n"/>
      <c r="X66" s="51" t="n"/>
      <c r="Y66" s="65">
        <f>CALC!R11</f>
        <v>3</v>
      </c>
      <c r="Z66" s="51" t="n"/>
      <c r="AA66" s="51" t="n"/>
      <c r="AB66" s="65">
        <f>CALC!R12</f>
        <v>4</v>
      </c>
      <c r="AC66" s="51" t="n"/>
      <c r="AD66" s="51" t="n"/>
      <c r="AE66" s="65">
        <f>CALC!R13</f>
        <v>5</v>
      </c>
      <c r="AF66" s="51" t="n"/>
      <c r="AG66" s="51" t="n"/>
      <c r="AH66" s="65">
        <f>CALC!R14</f>
        <v>12</v>
      </c>
      <c r="AI66" s="51" t="n"/>
      <c r="AJ66" s="51" t="n"/>
      <c r="AK66" s="65">
        <f>CALC!R15</f>
        <v>6</v>
      </c>
      <c r="AL66" s="51" t="n"/>
      <c r="AM66" s="51" t="n"/>
      <c r="AN66" s="65">
        <f>CALC!R16</f>
        <v>0</v>
      </c>
      <c r="AO66" s="51" t="n"/>
      <c r="AP66" s="51" t="n"/>
      <c r="AQ66" s="65">
        <f>CALC!R17</f>
        <v>0</v>
      </c>
      <c r="AR66" s="51" t="n"/>
      <c r="AS66" s="51" t="n"/>
      <c r="AT66" s="74">
        <f>SUM(CALC!R6:R17)</f>
        <v>40</v>
      </c>
      <c r="AU66" s="51" t="n"/>
      <c r="AV66" s="51" t="n"/>
      <c r="AW66" s="1" t="n"/>
    </row>
    <row r="67" ht="18" customHeight="1">
      <c r="A67" s="1" t="n"/>
      <c r="B67" s="75" t="inlineStr">
        <is>
          <t>Meta</t>
        </is>
      </c>
      <c r="C67" s="51" t="n"/>
      <c r="D67" s="51" t="n"/>
      <c r="E67" s="51" t="n"/>
      <c r="F67" s="51" t="n"/>
      <c r="G67" s="51" t="n"/>
      <c r="H67" s="51" t="n"/>
      <c r="I67" s="51" t="n"/>
      <c r="J67" s="70">
        <f>CALC!S6</f>
        <v>12</v>
      </c>
      <c r="K67" s="51" t="n"/>
      <c r="L67" s="51" t="n"/>
      <c r="M67" s="70">
        <f>CALC!S7</f>
        <v>12</v>
      </c>
      <c r="N67" s="51" t="n"/>
      <c r="O67" s="51" t="n"/>
      <c r="P67" s="70">
        <f>CALC!S8</f>
        <v>12</v>
      </c>
      <c r="Q67" s="51" t="n"/>
      <c r="R67" s="51" t="n"/>
      <c r="S67" s="70">
        <f>CALC!S9</f>
        <v>12</v>
      </c>
      <c r="T67" s="51" t="n"/>
      <c r="U67" s="51" t="n"/>
      <c r="V67" s="70">
        <f>CALC!S10</f>
        <v>12</v>
      </c>
      <c r="W67" s="51" t="n"/>
      <c r="X67" s="51" t="n"/>
      <c r="Y67" s="70">
        <f>CALC!S11</f>
        <v>12</v>
      </c>
      <c r="Z67" s="51" t="n"/>
      <c r="AA67" s="51" t="n"/>
      <c r="AB67" s="70">
        <f>CALC!S12</f>
        <v>12</v>
      </c>
      <c r="AC67" s="51" t="n"/>
      <c r="AD67" s="51" t="n"/>
      <c r="AE67" s="70">
        <f>CALC!S13</f>
        <v>12</v>
      </c>
      <c r="AF67" s="51" t="n"/>
      <c r="AG67" s="51" t="n"/>
      <c r="AH67" s="70">
        <f>CALC!S14</f>
        <v>12</v>
      </c>
      <c r="AI67" s="51" t="n"/>
      <c r="AJ67" s="51" t="n"/>
      <c r="AK67" s="70">
        <f>CALC!S15</f>
        <v>12</v>
      </c>
      <c r="AL67" s="51" t="n"/>
      <c r="AM67" s="51" t="n"/>
      <c r="AN67" s="70">
        <f>CALC!S16</f>
        <v>12</v>
      </c>
      <c r="AO67" s="51" t="n"/>
      <c r="AP67" s="51" t="n"/>
      <c r="AQ67" s="70">
        <f>CALC!S17</f>
        <v>12</v>
      </c>
      <c r="AR67" s="51" t="n"/>
      <c r="AS67" s="51" t="n"/>
      <c r="AT67" s="74">
        <f>SUM(CALC!S6:S17)</f>
        <v>144</v>
      </c>
      <c r="AU67" s="51" t="n"/>
      <c r="AV67" s="51" t="n"/>
      <c r="AW67" s="1" t="n"/>
    </row>
    <row r="68" ht="18" customHeight="1">
      <c r="A68" s="1" t="n"/>
      <c r="B68" s="77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78">
        <f>IFERROR(J62/J67,0)</f>
        <v>0</v>
      </c>
      <c r="K68" s="19" t="n"/>
      <c r="L68" s="19" t="n"/>
      <c r="M68" s="78">
        <f>IFERROR(M62/M67,0)</f>
        <v>0.5</v>
      </c>
      <c r="N68" s="19" t="n"/>
      <c r="O68" s="19" t="n"/>
      <c r="P68" s="78">
        <f>IFERROR(P62/P67,0)</f>
        <v>0.166666666666667</v>
      </c>
      <c r="Q68" s="19" t="n"/>
      <c r="R68" s="19" t="n"/>
      <c r="S68" s="78">
        <f>IFERROR(S62/S67,0)</f>
        <v>0.583333333333333</v>
      </c>
      <c r="T68" s="19" t="n"/>
      <c r="U68" s="19" t="n"/>
      <c r="V68" s="78">
        <f>IFERROR(V62/V67,0)</f>
        <v>1</v>
      </c>
      <c r="W68" s="19" t="n"/>
      <c r="X68" s="19" t="n"/>
      <c r="Y68" s="78">
        <f>IFERROR(Y62/Y67,0)</f>
        <v>0.75</v>
      </c>
      <c r="Z68" s="19" t="n"/>
      <c r="AA68" s="19" t="n"/>
      <c r="AB68" s="78">
        <f>IFERROR(AB62/AB67,0)</f>
        <v>1</v>
      </c>
      <c r="AC68" s="19" t="n"/>
      <c r="AD68" s="19" t="n"/>
      <c r="AE68" s="78">
        <f>IFERROR(AE62/AE67,0)</f>
        <v>1.33333333333333</v>
      </c>
      <c r="AF68" s="19" t="n"/>
      <c r="AG68" s="19" t="n"/>
      <c r="AH68" s="78">
        <f>IFERROR(AH62/AH67,0)</f>
        <v>1.58333333333333</v>
      </c>
      <c r="AI68" s="19" t="n"/>
      <c r="AJ68" s="19" t="n"/>
      <c r="AK68" s="78">
        <f>IFERROR(AK62/AK67,0)</f>
        <v>1.08333333333333</v>
      </c>
      <c r="AL68" s="19" t="n"/>
      <c r="AM68" s="19" t="n"/>
      <c r="AN68" s="78">
        <f>IFERROR(AN62/AN67,0)</f>
        <v>0</v>
      </c>
      <c r="AO68" s="19" t="n"/>
      <c r="AP68" s="19" t="n"/>
      <c r="AQ68" s="78">
        <f>IFERROR(AQ62/AQ67,0)</f>
        <v>0</v>
      </c>
      <c r="AR68" s="19" t="n"/>
      <c r="AS68" s="19" t="n"/>
      <c r="AT68" s="79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49" t="inlineStr">
        <is>
          <t>SITUAÇÃO</t>
        </is>
      </c>
      <c r="I72" s="49" t="inlineStr">
        <is>
          <t>QTD.</t>
        </is>
      </c>
      <c r="L72" s="49" t="inlineStr">
        <is>
          <t>%</t>
        </is>
      </c>
      <c r="O72" s="49" t="inlineStr">
        <is>
          <t>PARTICIPAÇÃO</t>
        </is>
      </c>
      <c r="Y72" s="1" t="n"/>
      <c r="Z72" s="49" t="inlineStr">
        <is>
          <t>NOTIFICAÇÃO</t>
        </is>
      </c>
      <c r="AI72" s="49" t="inlineStr">
        <is>
          <t>PRESENCIAL</t>
        </is>
      </c>
      <c r="AN72" s="49" t="inlineStr">
        <is>
          <t>ELETRÔNICA</t>
        </is>
      </c>
      <c r="AS72" s="49" t="inlineStr">
        <is>
          <t>TOTAL</t>
        </is>
      </c>
      <c r="AW72" s="1" t="n"/>
    </row>
    <row r="73" ht="20" customHeight="1">
      <c r="A73" s="1" t="n"/>
      <c r="B73" s="80" t="inlineStr">
        <is>
          <t>●  No prazo</t>
        </is>
      </c>
      <c r="C73" s="51" t="n"/>
      <c r="D73" s="51" t="n"/>
      <c r="E73" s="51" t="n"/>
      <c r="F73" s="51" t="n"/>
      <c r="G73" s="51" t="n"/>
      <c r="H73" s="51" t="n"/>
      <c r="I73" s="81">
        <f>CALC!J11</f>
        <v>6</v>
      </c>
      <c r="J73" s="51" t="n"/>
      <c r="K73" s="51" t="n"/>
      <c r="L73" s="82">
        <f>IFERROR(I73/SUM(CALC!$J$11:$J$13),0)</f>
        <v>0.0789473684210526</v>
      </c>
      <c r="M73" s="51" t="n"/>
      <c r="N73" s="51" t="n"/>
      <c r="O73" s="83" t="str">
        <f>REPT("█",ROUND(L73*28,0))</f>
        <v>██</v>
      </c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1" t="n"/>
      <c r="Z73" s="63" t="inlineStr">
        <is>
          <t>Constatação</t>
        </is>
      </c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84">
        <f>CALC!J28</f>
        <v>32</v>
      </c>
      <c r="AJ73" s="51" t="n"/>
      <c r="AK73" s="51" t="n"/>
      <c r="AL73" s="51" t="n"/>
      <c r="AM73" s="51" t="n"/>
      <c r="AN73" s="84">
        <f>CALC!K28</f>
        <v>22</v>
      </c>
      <c r="AO73" s="51" t="n"/>
      <c r="AP73" s="51" t="n"/>
      <c r="AQ73" s="51" t="n"/>
      <c r="AR73" s="51" t="n"/>
      <c r="AS73" s="85">
        <f>AI73+AN73</f>
        <v>54</v>
      </c>
      <c r="AT73" s="51" t="n"/>
      <c r="AU73" s="51" t="n"/>
      <c r="AV73" s="51" t="n"/>
      <c r="AW73" s="1" t="n"/>
    </row>
    <row r="74" ht="20" customHeight="1">
      <c r="A74" s="1" t="n"/>
      <c r="B74" s="86" t="inlineStr">
        <is>
          <t>●  Vence em breve</t>
        </is>
      </c>
      <c r="C74" s="51" t="n"/>
      <c r="D74" s="51" t="n"/>
      <c r="E74" s="51" t="n"/>
      <c r="F74" s="51" t="n"/>
      <c r="G74" s="51" t="n"/>
      <c r="H74" s="51" t="n"/>
      <c r="I74" s="87">
        <f>CALC!J12</f>
        <v>6</v>
      </c>
      <c r="J74" s="51" t="n"/>
      <c r="K74" s="51" t="n"/>
      <c r="L74" s="88">
        <f>IFERROR(I74/SUM(CALC!$J$11:$J$13),0)</f>
        <v>0.0789473684210526</v>
      </c>
      <c r="M74" s="51" t="n"/>
      <c r="N74" s="51" t="n"/>
      <c r="O74" s="89" t="str">
        <f>REPT("█",ROUND(L74*28,0))</f>
        <v>██</v>
      </c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1" t="n"/>
      <c r="Z74" s="68" t="inlineStr">
        <is>
          <t>Esclarecimento</t>
        </is>
      </c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90">
        <f>CALC!J29</f>
        <v>24</v>
      </c>
      <c r="AJ74" s="51" t="n"/>
      <c r="AK74" s="51" t="n"/>
      <c r="AL74" s="51" t="n"/>
      <c r="AM74" s="51" t="n"/>
      <c r="AN74" s="90">
        <f>CALC!K29</f>
        <v>18</v>
      </c>
      <c r="AO74" s="51" t="n"/>
      <c r="AP74" s="51" t="n"/>
      <c r="AQ74" s="51" t="n"/>
      <c r="AR74" s="51" t="n"/>
      <c r="AS74" s="85">
        <f>AI74+AN74</f>
        <v>42</v>
      </c>
      <c r="AT74" s="51" t="n"/>
      <c r="AU74" s="51" t="n"/>
      <c r="AV74" s="51" t="n"/>
      <c r="AW74" s="1" t="n"/>
    </row>
    <row r="75" ht="20" customHeight="1">
      <c r="A75" s="1" t="n"/>
      <c r="B75" s="63" t="inlineStr">
        <is>
          <t>●  Em decisão</t>
        </is>
      </c>
      <c r="C75" s="51" t="n"/>
      <c r="D75" s="51" t="n"/>
      <c r="E75" s="51" t="n"/>
      <c r="F75" s="51" t="n"/>
      <c r="G75" s="51" t="n"/>
      <c r="H75" s="51" t="n"/>
      <c r="I75" s="81">
        <f>CALC!J13</f>
        <v>64</v>
      </c>
      <c r="J75" s="51" t="n"/>
      <c r="K75" s="51" t="n"/>
      <c r="L75" s="82">
        <f>IFERROR(I75/SUM(CALC!$J$11:$J$13),0)</f>
        <v>0.842105263157895</v>
      </c>
      <c r="M75" s="51" t="n"/>
      <c r="N75" s="51" t="n"/>
      <c r="O75" s="91" t="str">
        <f>REPT("█",ROUND(L75*28,0))</f>
        <v>████████████████████████</v>
      </c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1" t="n"/>
      <c r="Z75" s="92" t="inlineStr">
        <is>
          <t>TOTAL</t>
        </is>
      </c>
      <c r="AI75" s="93">
        <f>AI73+AI74</f>
        <v>56</v>
      </c>
      <c r="AN75" s="93">
        <f>AN73+AN74</f>
        <v>40</v>
      </c>
      <c r="AS75" s="94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5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5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87">
    <mergeCell ref="I54:K54"/>
    <mergeCell ref="AQ68:AS6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Z54:AF54"/>
    <mergeCell ref="AB43:AI43"/>
    <mergeCell ref="B52:H52"/>
    <mergeCell ref="D43:K43"/>
    <mergeCell ref="L36:Q36"/>
    <mergeCell ref="B29:X29"/>
    <mergeCell ref="Y66:AA66"/>
    <mergeCell ref="I49:K49"/>
    <mergeCell ref="B68:I68"/>
    <mergeCell ref="AJ51:AL51"/>
    <mergeCell ref="Y68:AA68"/>
    <mergeCell ref="B53:H53"/>
    <mergeCell ref="AJ42:AO42"/>
    <mergeCell ref="O75:X75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Z25:AV25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AE63:AG63"/>
    <mergeCell ref="B64:I64"/>
    <mergeCell ref="R27:X27"/>
    <mergeCell ref="AJ40:AO40"/>
    <mergeCell ref="Z18:AF18"/>
    <mergeCell ref="AG50:AI50"/>
    <mergeCell ref="B21:D21"/>
    <mergeCell ref="Z51:AF51"/>
    <mergeCell ref="AS7:AV7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S73:AV73"/>
    <mergeCell ref="J21:L21"/>
    <mergeCell ref="AT64:AV64"/>
    <mergeCell ref="AE68:AG68"/>
    <mergeCell ref="Z19:AF20"/>
    <mergeCell ref="O57:Q57"/>
    <mergeCell ref="Z15:AB15"/>
    <mergeCell ref="D37:K37"/>
    <mergeCell ref="Z74:AH74"/>
    <mergeCell ref="Z29:AV29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Z27:AK28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S56:AV56"/>
    <mergeCell ref="V61:X61"/>
    <mergeCell ref="AP38:AS38"/>
    <mergeCell ref="M68:O68"/>
    <mergeCell ref="M67:O67"/>
    <mergeCell ref="AP40:AS40"/>
    <mergeCell ref="AB34:AI34"/>
    <mergeCell ref="AQ66:AS66"/>
    <mergeCell ref="R49:T49"/>
    <mergeCell ref="Z31:AV31"/>
    <mergeCell ref="AN63:AP63"/>
    <mergeCell ref="P67:R67"/>
    <mergeCell ref="L51:N51"/>
    <mergeCell ref="D40:K40"/>
    <mergeCell ref="AH68:AJ68"/>
    <mergeCell ref="F7:J7"/>
    <mergeCell ref="AS49:AV49"/>
    <mergeCell ref="Z26:AV26"/>
    <mergeCell ref="V41:X41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AP27:AV27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M28:AV28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B25:X25"/>
    <mergeCell ref="B51:H51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AL27:AL28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I55:K55"/>
    <mergeCell ref="O27:Q27"/>
    <mergeCell ref="AS74:AV74"/>
    <mergeCell ref="B42:C42"/>
    <mergeCell ref="I48:K48"/>
    <mergeCell ref="M61:O61"/>
    <mergeCell ref="AP12:AV12"/>
    <mergeCell ref="AP19:AV20"/>
    <mergeCell ref="AH19:AN20"/>
    <mergeCell ref="B27:M28"/>
    <mergeCell ref="Z13:AF14"/>
    <mergeCell ref="V33:X33"/>
    <mergeCell ref="O53:Q53"/>
    <mergeCell ref="L57:N57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R35:U35"/>
    <mergeCell ref="AJ39:AO39"/>
    <mergeCell ref="S61:U61"/>
    <mergeCell ref="M64:O64"/>
    <mergeCell ref="B26:X26"/>
    <mergeCell ref="I72:K72"/>
    <mergeCell ref="AJ48:AL48"/>
    <mergeCell ref="U54:X54"/>
    <mergeCell ref="AT63:AV63"/>
    <mergeCell ref="AT68:AV68"/>
    <mergeCell ref="V36:X36"/>
    <mergeCell ref="R47:T47"/>
    <mergeCell ref="AK63:AM63"/>
    <mergeCell ref="B59:AV59"/>
    <mergeCell ref="AT67:AV67"/>
    <mergeCell ref="Z49:AF49"/>
    <mergeCell ref="B38:C38"/>
    <mergeCell ref="AM27:AO27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O28:X28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N27:N28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6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97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8" t="inlineStr">
        <is>
          <t>TOTAL</t>
        </is>
      </c>
      <c r="C7" s="99" t="n"/>
      <c r="D7" s="99" t="n"/>
      <c r="E7" s="99" t="n"/>
      <c r="F7" s="100">
        <f>PAINEL!B13</f>
        <v>96</v>
      </c>
      <c r="G7" s="99" t="n"/>
      <c r="H7" s="101" t="n"/>
      <c r="I7" s="1" t="n"/>
      <c r="J7" s="98" t="inlineStr">
        <is>
          <t>PRAZO D.P</t>
        </is>
      </c>
      <c r="K7" s="99" t="n"/>
      <c r="L7" s="99" t="n"/>
      <c r="M7" s="99" t="n"/>
      <c r="N7" s="100">
        <f>PAINEL!J13</f>
        <v>32</v>
      </c>
      <c r="O7" s="99" t="n"/>
      <c r="P7" s="101" t="n"/>
      <c r="Q7" s="1" t="n"/>
      <c r="R7" s="98" t="inlineStr">
        <is>
          <t>DECISÃO D.P</t>
        </is>
      </c>
      <c r="S7" s="99" t="n"/>
      <c r="T7" s="99" t="n"/>
      <c r="U7" s="99" t="n"/>
      <c r="V7" s="100">
        <f>PAINEL!R13</f>
        <v>64</v>
      </c>
      <c r="W7" s="99" t="n"/>
      <c r="X7" s="101" t="n"/>
      <c r="Y7" s="1" t="n"/>
      <c r="Z7" s="98" t="inlineStr">
        <is>
          <t>NO PRAZO</t>
        </is>
      </c>
      <c r="AA7" s="99" t="n"/>
      <c r="AB7" s="99" t="n"/>
      <c r="AC7" s="99" t="n"/>
      <c r="AD7" s="102">
        <f>PAINEL!Z13</f>
        <v>6</v>
      </c>
      <c r="AE7" s="99" t="n"/>
      <c r="AF7" s="101" t="n"/>
      <c r="AG7" s="1" t="n"/>
      <c r="AH7" s="98" t="inlineStr">
        <is>
          <t>EM BREVE</t>
        </is>
      </c>
      <c r="AI7" s="99" t="n"/>
      <c r="AJ7" s="99" t="n"/>
      <c r="AK7" s="99" t="n"/>
      <c r="AL7" s="103">
        <f>PAINEL!AH13</f>
        <v>6</v>
      </c>
      <c r="AM7" s="99" t="n"/>
      <c r="AN7" s="101" t="n"/>
      <c r="AO7" s="1" t="n"/>
      <c r="AP7" s="98" t="inlineStr">
        <is>
          <t>NO MÊS</t>
        </is>
      </c>
      <c r="AQ7" s="99" t="n"/>
      <c r="AR7" s="99" t="n"/>
      <c r="AS7" s="99" t="n"/>
      <c r="AT7" s="100">
        <f>PAINEL!AP13</f>
        <v>13</v>
      </c>
      <c r="AU7" s="99" t="n"/>
      <c r="AV7" s="101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4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R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4" customWidth="1" min="6" max="6"/>
    <col width="14" customWidth="1" min="7" max="7"/>
    <col width="22" customWidth="1" min="8" max="8"/>
    <col width="16" customWidth="1" min="9" max="9"/>
    <col width="2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1" customWidth="1" min="15" max="15"/>
    <col width="33" customWidth="1" min="16" max="16"/>
    <col width="14" customWidth="1" min="17" max="17"/>
    <col width="42" customWidth="1" min="18" max="18"/>
  </cols>
  <sheetData>
    <row r="1" ht="30" customHeight="1">
      <c r="A1" s="105" t="inlineStr">
        <is>
          <t>CONTROLE DE PROCESSOS — FLUXO DE NOTIFICAÇÕES</t>
        </is>
      </c>
    </row>
    <row r="2" ht="18" customHeight="1">
      <c r="A2" s="106" t="str">
        <f>"Base oficial de registros  •  "&amp;COUNTA(rEmpresa)&amp;" processo(s) cadastrado(s)  •  Colunas A–M e R: preenchimento manual   |   Colunas N–Q (dourado): cálculo automático"</f>
        <v>Base oficial de registros  •  96 processo(s) cadastrado(s)  •  Colunas A–M e R: preenchimento manual   |   Colunas N–Q (dourado): cálculo automático</v>
      </c>
    </row>
    <row r="3" ht="4" customHeight="1">
      <c r="A3" s="8" t="n"/>
    </row>
    <row r="4" ht="34" customHeight="1">
      <c r="A4" s="107" t="inlineStr">
        <is>
          <t>N°</t>
        </is>
      </c>
      <c r="B4" s="107" t="inlineStr">
        <is>
          <t>EMPRESA</t>
        </is>
      </c>
      <c r="C4" s="107" t="inlineStr">
        <is>
          <t>RAMO</t>
        </is>
      </c>
      <c r="D4" s="107" t="inlineStr">
        <is>
          <t>DATA DA
FISCALIZAÇÃO</t>
        </is>
      </c>
      <c r="E4" s="107" t="inlineStr">
        <is>
          <t>NOTIFICAÇÃO</t>
        </is>
      </c>
      <c r="F4" s="107" t="inlineStr">
        <is>
          <t>TIPO</t>
        </is>
      </c>
      <c r="G4" s="107" t="inlineStr">
        <is>
          <t>STATUS</t>
        </is>
      </c>
      <c r="H4" s="107" t="inlineStr">
        <is>
          <t>RESPONSÁVEL</t>
        </is>
      </c>
      <c r="I4" s="107" t="inlineStr">
        <is>
          <t>N° NOTIFICAÇÃO</t>
        </is>
      </c>
      <c r="J4" s="107" t="inlineStr">
        <is>
          <t>PROCESSO ORIGEM</t>
        </is>
      </c>
      <c r="K4" s="107" t="inlineStr">
        <is>
          <t>DATA P.
ORIGEM</t>
        </is>
      </c>
      <c r="L4" s="107" t="inlineStr">
        <is>
          <t>DATA DA
DEFESA</t>
        </is>
      </c>
      <c r="M4" s="107" t="inlineStr">
        <is>
          <t>DATA DA
DECISÃO</t>
        </is>
      </c>
      <c r="N4" s="108" t="inlineStr">
        <is>
          <t>PRAZO
FINAL</t>
        </is>
      </c>
      <c r="O4" s="108" t="inlineStr">
        <is>
          <t>DIAS
RESTANTES</t>
        </is>
      </c>
      <c r="P4" s="108" t="inlineStr">
        <is>
          <t>SITUAÇÃO
DO PRAZO</t>
        </is>
      </c>
      <c r="Q4" s="108" t="inlineStr">
        <is>
          <t>DIAS DESDE A
FISCALIZAÇÃO</t>
        </is>
      </c>
      <c r="R4" s="107" t="inlineStr">
        <is>
          <t>OBSERVAÇÕES</t>
        </is>
      </c>
    </row>
    <row r="5" ht="18" customHeight="1">
      <c r="A5" s="109" t="n">
        <v>1</v>
      </c>
      <c r="B5" s="110" t="inlineStr">
        <is>
          <t>Boutique Boa Esperança</t>
        </is>
      </c>
      <c r="C5" s="110" t="inlineStr">
        <is>
          <t>LOJA</t>
        </is>
      </c>
      <c r="D5" s="111" t="n">
        <v>46055</v>
      </c>
      <c r="E5" s="110" t="inlineStr">
        <is>
          <t>NOTIFICAÇÃO DE ESCLARECIMENTO</t>
        </is>
      </c>
      <c r="F5" s="112" t="inlineStr">
        <is>
          <t>PRESENCIAL</t>
        </is>
      </c>
      <c r="G5" s="112" t="inlineStr">
        <is>
          <t>DECISÃO D.P</t>
        </is>
      </c>
      <c r="H5" s="110" t="inlineStr">
        <is>
          <t>GABRIELA NUNES</t>
        </is>
      </c>
      <c r="I5" s="113" t="inlineStr">
        <is>
          <t>0100/2026</t>
        </is>
      </c>
      <c r="J5" s="113" t="inlineStr">
        <is>
          <t>2026.045794-2/08</t>
        </is>
      </c>
      <c r="K5" s="111" t="n">
        <v>46042</v>
      </c>
      <c r="L5" s="111" t="n">
        <v>46059</v>
      </c>
      <c r="M5" s="111" t="n">
        <v>46087</v>
      </c>
      <c r="N5" s="114">
        <f>IF(OR(D5="",E5=""),"",D5+IF(E5="NOTIFICAÇÃO DE CONSTATAÇÃO",PrazoConst,PrazoEsc))</f>
        <v>46070.0</v>
      </c>
      <c r="O5" s="115">
        <f>IF(N5="","",IF(ISNUMBER(L5),N5-L5,IF(OR(G5="DECISÃO D.P",ISNUMBER(M5)),"",N5-TODAY())))</f>
        <v>11</v>
      </c>
      <c r="P5" s="116" t="str">
        <f>IF(B5="","",IF(ISNUMBER(M5),"DECIDIDO – ","")&amp;IF(ISNUMBER(L5),IF(O5="","SEM DATA",IF(O5&gt;=0,"DEFESA NO PRAZO","DEFESA FORA DO PRAZO")),IF(OR(G5="DECISÃO D.P",ISNUMBER(M5)),"SEM DEFESA",IF(G5="","SEM STATUS",IF(O5="","SEM DATA",IF(O5&lt;0,"VENCIDO",IF(O5&lt;=DiasAlerta,"VENCE EM BREVE","NO PRAZO")))))))</f>
        <v>DECIDIDO – DEFESA NO PRAZO</v>
      </c>
      <c r="Q5" s="117">
        <f>IF(D5="","",TODAY()-D5)</f>
        <v>249</v>
      </c>
      <c r="R5" s="110" t="inlineStr">
        <is>
          <t>Registro de exemplo — os dados de exemplo podem ser apagados (colunas A–M e R).</t>
        </is>
      </c>
    </row>
    <row r="6" ht="18" customHeight="1">
      <c r="A6" s="109" t="n">
        <v>2</v>
      </c>
      <c r="B6" s="110" t="inlineStr">
        <is>
          <t>Boutique Aliança</t>
        </is>
      </c>
      <c r="C6" s="110" t="inlineStr">
        <is>
          <t>LOJA</t>
        </is>
      </c>
      <c r="D6" s="111" t="n">
        <v>46062</v>
      </c>
      <c r="E6" s="110" t="inlineStr">
        <is>
          <t>NOTIFICAÇÃO DE ESCLARECIMENTO</t>
        </is>
      </c>
      <c r="F6" s="112" t="inlineStr">
        <is>
          <t>ELETRÔNICA</t>
        </is>
      </c>
      <c r="G6" s="112" t="inlineStr">
        <is>
          <t>DECISÃO D.P</t>
        </is>
      </c>
      <c r="H6" s="110" t="inlineStr">
        <is>
          <t>CARLA MENDES</t>
        </is>
      </c>
      <c r="I6" s="113" t="inlineStr">
        <is>
          <t>0622/2026</t>
        </is>
      </c>
      <c r="J6" s="113" t="inlineStr">
        <is>
          <t>2025.034469-7/15</t>
        </is>
      </c>
      <c r="K6" s="111" t="n">
        <v>45996</v>
      </c>
      <c r="L6" s="111" t="n">
        <v>46071</v>
      </c>
      <c r="M6" s="111" t="n">
        <v>46088</v>
      </c>
      <c r="N6" s="114">
        <f>IF(OR(D6="",E6=""),"",D6+IF(E6="NOTIFICAÇÃO DE CONSTATAÇÃO",PrazoConst,PrazoEsc))</f>
        <v>46077.0</v>
      </c>
      <c r="O6" s="115">
        <f>IF(N6="","",IF(ISNUMBER(L6),N6-L6,IF(OR(G6="DECISÃO D.P",ISNUMBER(M6)),"",N6-TODAY())))</f>
        <v>6</v>
      </c>
      <c r="P6" s="116" t="str">
        <f>IF(B6="","",IF(ISNUMBER(M6),"DECIDIDO – ","")&amp;IF(ISNUMBER(L6),IF(O6="","SEM DATA",IF(O6&gt;=0,"DEFESA NO PRAZO","DEFESA FORA DO PRAZO")),IF(OR(G6="DECISÃO D.P",ISNUMBER(M6)),"SEM DEFESA",IF(G6="","SEM STATUS",IF(O6="","SEM DATA",IF(O6&lt;0,"VENCIDO",IF(O6&lt;=DiasAlerta,"VENCE EM BREVE","NO PRAZO")))))))</f>
        <v>DECIDIDO – DEFESA NO PRAZO</v>
      </c>
      <c r="Q6" s="117">
        <f>IF(D6="","",TODAY()-D6)</f>
        <v>242</v>
      </c>
      <c r="R6" s="110" t="n"/>
    </row>
    <row r="7" ht="18" customHeight="1">
      <c r="A7" s="109" t="n">
        <v>3</v>
      </c>
      <c r="B7" s="110" t="inlineStr">
        <is>
          <t>Mercado Bom Preço</t>
        </is>
      </c>
      <c r="C7" s="110" t="inlineStr">
        <is>
          <t>SUPERMERCADO</t>
        </is>
      </c>
      <c r="D7" s="111" t="n">
        <v>46072</v>
      </c>
      <c r="E7" s="110" t="inlineStr">
        <is>
          <t>NOTIFICAÇÃO DE CONSTATAÇÃO</t>
        </is>
      </c>
      <c r="F7" s="112" t="inlineStr">
        <is>
          <t>PRESENCIAL</t>
        </is>
      </c>
      <c r="G7" s="112" t="inlineStr">
        <is>
          <t>DECISÃO D.P</t>
        </is>
      </c>
      <c r="H7" s="110" t="inlineStr">
        <is>
          <t>GABRIELA NUNES</t>
        </is>
      </c>
      <c r="I7" s="113" t="inlineStr">
        <is>
          <t>0130/2026</t>
        </is>
      </c>
      <c r="J7" s="113" t="inlineStr">
        <is>
          <t>2025.028692-4/13</t>
        </is>
      </c>
      <c r="K7" s="111" t="n">
        <v>46002</v>
      </c>
      <c r="L7" s="111" t="n"/>
      <c r="M7" s="111" t="n">
        <v>46101</v>
      </c>
      <c r="N7" s="114">
        <f>IF(OR(D7="",E7=""),"",D7+IF(E7="NOTIFICAÇÃO DE CONSTATAÇÃO",PrazoConst,PrazoEsc))</f>
        <v>46082.0</v>
      </c>
      <c r="O7" s="115" t="str">
        <f>IF(N7="","",IF(ISNUMBER(L7),N7-L7,IF(OR(G7="DECISÃO D.P",ISNUMBER(M7)),"",N7-TODAY())))</f>
        <v/>
      </c>
      <c r="P7" s="116" t="str">
        <f>IF(B7="","",IF(ISNUMBER(M7),"DECIDIDO – ","")&amp;IF(ISNUMBER(L7),IF(O7="","SEM DATA",IF(O7&gt;=0,"DEFESA NO PRAZO","DEFESA FORA DO PRAZO")),IF(OR(G7="DECISÃO D.P",ISNUMBER(M7)),"SEM DEFESA",IF(G7="","SEM STATUS",IF(O7="","SEM DATA",IF(O7&lt;0,"VENCIDO",IF(O7&lt;=DiasAlerta,"VENCE EM BREVE","NO PRAZO")))))))</f>
        <v>DECIDIDO – SEM DEFESA</v>
      </c>
      <c r="Q7" s="117">
        <f>IF(D7="","",TODAY()-D7)</f>
        <v>232</v>
      </c>
      <c r="R7" s="110" t="n"/>
    </row>
    <row r="8" ht="18" customHeight="1">
      <c r="A8" s="109" t="n">
        <v>4</v>
      </c>
      <c r="B8" s="110" t="inlineStr">
        <is>
          <t>Mercado Atlântico</t>
        </is>
      </c>
      <c r="C8" s="110" t="inlineStr">
        <is>
          <t>SUPERMERCADO</t>
        </is>
      </c>
      <c r="D8" s="111" t="n">
        <v>46073</v>
      </c>
      <c r="E8" s="110" t="inlineStr">
        <is>
          <t>NOTIFICAÇÃO DE CONSTATAÇÃO</t>
        </is>
      </c>
      <c r="F8" s="112" t="inlineStr">
        <is>
          <t>ELETRÔNICA</t>
        </is>
      </c>
      <c r="G8" s="112" t="inlineStr">
        <is>
          <t>DECISÃO D.P</t>
        </is>
      </c>
      <c r="H8" s="110" t="inlineStr">
        <is>
          <t>FELIPE ARAÚJO</t>
        </is>
      </c>
      <c r="I8" s="113" t="inlineStr">
        <is>
          <t>0564/2026</t>
        </is>
      </c>
      <c r="J8" s="113" t="inlineStr">
        <is>
          <t>2026.026498-4/03</t>
        </is>
      </c>
      <c r="K8" s="111" t="n">
        <v>46057</v>
      </c>
      <c r="L8" s="111" t="n">
        <v>46079</v>
      </c>
      <c r="M8" s="111" t="n">
        <v>46105</v>
      </c>
      <c r="N8" s="114">
        <f>IF(OR(D8="",E8=""),"",D8+IF(E8="NOTIFICAÇÃO DE CONSTATAÇÃO",PrazoConst,PrazoEsc))</f>
        <v>46083.0</v>
      </c>
      <c r="O8" s="115">
        <f>IF(N8="","",IF(ISNUMBER(L8),N8-L8,IF(OR(G8="DECISÃO D.P",ISNUMBER(M8)),"",N8-TODAY())))</f>
        <v>4</v>
      </c>
      <c r="P8" s="116" t="str">
        <f>IF(B8="","",IF(ISNUMBER(M8),"DECIDIDO – ","")&amp;IF(ISNUMBER(L8),IF(O8="","SEM DATA",IF(O8&gt;=0,"DEFESA NO PRAZO","DEFESA FORA DO PRAZO")),IF(OR(G8="DECISÃO D.P",ISNUMBER(M8)),"SEM DEFESA",IF(G8="","SEM STATUS",IF(O8="","SEM DATA",IF(O8&lt;0,"VENCIDO",IF(O8&lt;=DiasAlerta,"VENCE EM BREVE","NO PRAZO")))))))</f>
        <v>DECIDIDO – DEFESA NO PRAZO</v>
      </c>
      <c r="Q8" s="117">
        <f>IF(D8="","",TODAY()-D8)</f>
        <v>231</v>
      </c>
      <c r="R8" s="110" t="n"/>
    </row>
    <row r="9" ht="18" customHeight="1">
      <c r="A9" s="109" t="n">
        <v>5</v>
      </c>
      <c r="B9" s="110" t="inlineStr">
        <is>
          <t>Loja São Jorge</t>
        </is>
      </c>
      <c r="C9" s="110" t="inlineStr">
        <is>
          <t>LOJA</t>
        </is>
      </c>
      <c r="D9" s="111" t="n">
        <v>46079</v>
      </c>
      <c r="E9" s="110" t="inlineStr">
        <is>
          <t>NOTIFICAÇÃO DE ESCLARECIMENTO</t>
        </is>
      </c>
      <c r="F9" s="112" t="inlineStr">
        <is>
          <t>ELETRÔNICA</t>
        </is>
      </c>
      <c r="G9" s="112" t="inlineStr">
        <is>
          <t>PRAZO D.P</t>
        </is>
      </c>
      <c r="H9" s="110" t="inlineStr">
        <is>
          <t>GABRIELA NUNES</t>
        </is>
      </c>
      <c r="I9" s="113" t="inlineStr">
        <is>
          <t>0409/2026</t>
        </is>
      </c>
      <c r="J9" s="113" t="inlineStr">
        <is>
          <t>2026.031475-8/14</t>
        </is>
      </c>
      <c r="K9" s="111" t="n">
        <v>46028</v>
      </c>
      <c r="L9" s="111" t="n"/>
      <c r="M9" s="111" t="n"/>
      <c r="N9" s="114">
        <f>IF(OR(D9="",E9=""),"",D9+IF(E9="NOTIFICAÇÃO DE CONSTATAÇÃO",PrazoConst,PrazoEsc))</f>
        <v>46094.0</v>
      </c>
      <c r="O9" s="115">
        <f>IF(N9="","",IF(ISNUMBER(L9),N9-L9,IF(OR(G9="DECISÃO D.P",ISNUMBER(M9)),"",N9-TODAY())))</f>
        <v>-210</v>
      </c>
      <c r="P9" s="116" t="str">
        <f>IF(B9="","",IF(ISNUMBER(M9),"DECIDIDO – ","")&amp;IF(ISNUMBER(L9),IF(O9="","SEM DATA",IF(O9&gt;=0,"DEFESA NO PRAZO","DEFESA FORA DO PRAZO")),IF(OR(G9="DECISÃO D.P",ISNUMBER(M9)),"SEM DEFESA",IF(G9="","SEM STATUS",IF(O9="","SEM DATA",IF(O9&lt;0,"VENCIDO",IF(O9&lt;=DiasAlerta,"VENCE EM BREVE","NO PRAZO")))))))</f>
        <v>VENCIDO</v>
      </c>
      <c r="Q9" s="117">
        <f>IF(D9="","",TODAY()-D9)</f>
        <v>225</v>
      </c>
      <c r="R9" s="110" t="n"/>
    </row>
    <row r="10" ht="18" customHeight="1">
      <c r="A10" s="109" t="n">
        <v>6</v>
      </c>
      <c r="B10" s="110" t="inlineStr">
        <is>
          <t>Magazine Real</t>
        </is>
      </c>
      <c r="C10" s="110" t="inlineStr">
        <is>
          <t>LOJA</t>
        </is>
      </c>
      <c r="D10" s="111" t="n">
        <v>46079</v>
      </c>
      <c r="E10" s="110" t="inlineStr">
        <is>
          <t>NOTIFICAÇÃO DE ESCLARECIMENTO</t>
        </is>
      </c>
      <c r="F10" s="112" t="inlineStr">
        <is>
          <t>ELETRÔNICA</t>
        </is>
      </c>
      <c r="G10" s="112" t="inlineStr">
        <is>
          <t>PRAZO D.P</t>
        </is>
      </c>
      <c r="H10" s="110" t="inlineStr">
        <is>
          <t>ANA PAULA SOUZA</t>
        </is>
      </c>
      <c r="I10" s="113" t="inlineStr">
        <is>
          <t>0146/2026</t>
        </is>
      </c>
      <c r="J10" s="113" t="inlineStr">
        <is>
          <t>2026.044726-8/05</t>
        </is>
      </c>
      <c r="K10" s="111" t="n">
        <v>46025</v>
      </c>
      <c r="L10" s="111" t="n"/>
      <c r="M10" s="111" t="n"/>
      <c r="N10" s="114">
        <f>IF(OR(D10="",E10=""),"",D10+IF(E10="NOTIFICAÇÃO DE CONSTATAÇÃO",PrazoConst,PrazoEsc))</f>
        <v>46094.0</v>
      </c>
      <c r="O10" s="115">
        <f>IF(N10="","",IF(ISNUMBER(L10),N10-L10,IF(OR(G10="DECISÃO D.P",ISNUMBER(M10)),"",N10-TODAY())))</f>
        <v>-210</v>
      </c>
      <c r="P10" s="116" t="str">
        <f>IF(B10="","",IF(ISNUMBER(M10),"DECIDIDO – ","")&amp;IF(ISNUMBER(L10),IF(O10="","SEM DATA",IF(O10&gt;=0,"DEFESA NO PRAZO","DEFESA FORA DO PRAZO")),IF(OR(G10="DECISÃO D.P",ISNUMBER(M10)),"SEM DEFESA",IF(G10="","SEM STATUS",IF(O10="","SEM DATA",IF(O10&lt;0,"VENCIDO",IF(O10&lt;=DiasAlerta,"VENCE EM BREVE","NO PRAZO")))))))</f>
        <v>VENCIDO</v>
      </c>
      <c r="Q10" s="117">
        <f>IF(D10="","",TODAY()-D10)</f>
        <v>225</v>
      </c>
      <c r="R10" s="110" t="n"/>
    </row>
    <row r="11" ht="18" customHeight="1">
      <c r="A11" s="109" t="n">
        <v>7</v>
      </c>
      <c r="B11" s="110" t="inlineStr">
        <is>
          <t>Serviços Ipê Amarelo</t>
        </is>
      </c>
      <c r="C11" s="110" t="inlineStr">
        <is>
          <t>OUTROS</t>
        </is>
      </c>
      <c r="D11" s="111" t="n">
        <v>46096</v>
      </c>
      <c r="E11" s="110" t="inlineStr">
        <is>
          <t>NOTIFICAÇÃO DE CONSTATAÇÃO</t>
        </is>
      </c>
      <c r="F11" s="112" t="inlineStr">
        <is>
          <t>ELETRÔNICA</t>
        </is>
      </c>
      <c r="G11" s="112" t="inlineStr">
        <is>
          <t>DECISÃO D.P</t>
        </is>
      </c>
      <c r="H11" s="110" t="inlineStr">
        <is>
          <t>ANA PAULA SOUZA</t>
        </is>
      </c>
      <c r="I11" s="113" t="inlineStr">
        <is>
          <t>0428/2026</t>
        </is>
      </c>
      <c r="J11" s="113" t="inlineStr">
        <is>
          <t>2026.090278-9/09</t>
        </is>
      </c>
      <c r="K11" s="111" t="n">
        <v>46025</v>
      </c>
      <c r="L11" s="111" t="n">
        <v>46097</v>
      </c>
      <c r="M11" s="111" t="n">
        <v>46112</v>
      </c>
      <c r="N11" s="114">
        <f>IF(OR(D11="",E11=""),"",D11+IF(E11="NOTIFICAÇÃO DE CONSTATAÇÃO",PrazoConst,PrazoEsc))</f>
        <v>46106.0</v>
      </c>
      <c r="O11" s="115">
        <f>IF(N11="","",IF(ISNUMBER(L11),N11-L11,IF(OR(G11="DECISÃO D.P",ISNUMBER(M11)),"",N11-TODAY())))</f>
        <v>9</v>
      </c>
      <c r="P11" s="116" t="str">
        <f>IF(B11="","",IF(ISNUMBER(M11),"DECIDIDO – ","")&amp;IF(ISNUMBER(L11),IF(O11="","SEM DATA",IF(O11&gt;=0,"DEFESA NO PRAZO","DEFESA FORA DO PRAZO")),IF(OR(G11="DECISÃO D.P",ISNUMBER(M11)),"SEM DEFESA",IF(G11="","SEM STATUS",IF(O11="","SEM DATA",IF(O11&lt;0,"VENCIDO",IF(O11&lt;=DiasAlerta,"VENCE EM BREVE","NO PRAZO")))))))</f>
        <v>DECIDIDO – DEFESA NO PRAZO</v>
      </c>
      <c r="Q11" s="117">
        <f>IF(D11="","",TODAY()-D11)</f>
        <v>208</v>
      </c>
      <c r="R11" s="110" t="n"/>
    </row>
    <row r="12" ht="18" customHeight="1">
      <c r="A12" s="109" t="n">
        <v>8</v>
      </c>
      <c r="B12" s="110" t="inlineStr">
        <is>
          <t>Churrascaria Boa Esperança ME</t>
        </is>
      </c>
      <c r="C12" s="110" t="inlineStr">
        <is>
          <t>RESTAURANTE</t>
        </is>
      </c>
      <c r="D12" s="111" t="n">
        <v>46099</v>
      </c>
      <c r="E12" s="110" t="inlineStr">
        <is>
          <t>NOTIFICAÇÃO DE CONSTATAÇÃO</t>
        </is>
      </c>
      <c r="F12" s="112" t="inlineStr">
        <is>
          <t>ELETRÔNICA</t>
        </is>
      </c>
      <c r="G12" s="112" t="inlineStr">
        <is>
          <t>DECISÃO D.P</t>
        </is>
      </c>
      <c r="H12" s="110" t="inlineStr">
        <is>
          <t>EDUARDA LIMA</t>
        </is>
      </c>
      <c r="I12" s="113" t="inlineStr">
        <is>
          <t>0294/2026</t>
        </is>
      </c>
      <c r="J12" s="113" t="inlineStr">
        <is>
          <t>2026.007450-8/06</t>
        </is>
      </c>
      <c r="K12" s="111" t="n">
        <v>46026</v>
      </c>
      <c r="L12" s="111" t="n"/>
      <c r="M12" s="111" t="n">
        <v>46119</v>
      </c>
      <c r="N12" s="114">
        <f>IF(OR(D12="",E12=""),"",D12+IF(E12="NOTIFICAÇÃO DE CONSTATAÇÃO",PrazoConst,PrazoEsc))</f>
        <v>46109.0</v>
      </c>
      <c r="O12" s="115" t="str">
        <f>IF(N12="","",IF(ISNUMBER(L12),N12-L12,IF(OR(G12="DECISÃO D.P",ISNUMBER(M12)),"",N12-TODAY())))</f>
        <v/>
      </c>
      <c r="P12" s="116" t="str">
        <f>IF(B12="","",IF(ISNUMBER(M12),"DECIDIDO – ","")&amp;IF(ISNUMBER(L12),IF(O12="","SEM DATA",IF(O12&gt;=0,"DEFESA NO PRAZO","DEFESA FORA DO PRAZO")),IF(OR(G12="DECISÃO D.P",ISNUMBER(M12)),"SEM DEFESA",IF(G12="","SEM STATUS",IF(O12="","SEM DATA",IF(O12&lt;0,"VENCIDO",IF(O12&lt;=DiasAlerta,"VENCE EM BREVE","NO PRAZO")))))))</f>
        <v>DECIDIDO – SEM DEFESA</v>
      </c>
      <c r="Q12" s="117">
        <f>IF(D12="","",TODAY()-D12)</f>
        <v>205</v>
      </c>
      <c r="R12" s="110" t="n"/>
    </row>
    <row r="13" ht="18" customHeight="1">
      <c r="A13" s="109" t="n">
        <v>9</v>
      </c>
      <c r="B13" s="110" t="inlineStr">
        <is>
          <t>Clínica Avenida Ltda</t>
        </is>
      </c>
      <c r="C13" s="110" t="inlineStr">
        <is>
          <t>SAÚDE</t>
        </is>
      </c>
      <c r="D13" s="111" t="n">
        <v>46113</v>
      </c>
      <c r="E13" s="110" t="inlineStr">
        <is>
          <t>NOTIFICAÇÃO DE ESCLARECIMENTO</t>
        </is>
      </c>
      <c r="F13" s="112" t="inlineStr">
        <is>
          <t>PRESENCIAL</t>
        </is>
      </c>
      <c r="G13" s="112" t="inlineStr">
        <is>
          <t>DECISÃO D.P</t>
        </is>
      </c>
      <c r="H13" s="110" t="inlineStr">
        <is>
          <t>FELIPE ARAÚJO</t>
        </is>
      </c>
      <c r="I13" s="113" t="inlineStr">
        <is>
          <t>0398/2026</t>
        </is>
      </c>
      <c r="J13" s="113" t="inlineStr">
        <is>
          <t>2026.018947-7/14</t>
        </is>
      </c>
      <c r="K13" s="111" t="n">
        <v>46104</v>
      </c>
      <c r="L13" s="111" t="n">
        <v>46114</v>
      </c>
      <c r="M13" s="111" t="n">
        <v>46125</v>
      </c>
      <c r="N13" s="114">
        <f>IF(OR(D13="",E13=""),"",D13+IF(E13="NOTIFICAÇÃO DE CONSTATAÇÃO",PrazoConst,PrazoEsc))</f>
        <v>46128.0</v>
      </c>
      <c r="O13" s="115">
        <f>IF(N13="","",IF(ISNUMBER(L13),N13-L13,IF(OR(G13="DECISÃO D.P",ISNUMBER(M13)),"",N13-TODAY())))</f>
        <v>14</v>
      </c>
      <c r="P13" s="116" t="str">
        <f>IF(B13="","",IF(ISNUMBER(M13),"DECIDIDO – ","")&amp;IF(ISNUMBER(L13),IF(O13="","SEM DATA",IF(O13&gt;=0,"DEFESA NO PRAZO","DEFESA FORA DO PRAZO")),IF(OR(G13="DECISÃO D.P",ISNUMBER(M13)),"SEM DEFESA",IF(G13="","SEM STATUS",IF(O13="","SEM DATA",IF(O13&lt;0,"VENCIDO",IF(O13&lt;=DiasAlerta,"VENCE EM BREVE","NO PRAZO")))))))</f>
        <v>DECIDIDO – DEFESA NO PRAZO</v>
      </c>
      <c r="Q13" s="117">
        <f>IF(D13="","",TODAY()-D13)</f>
        <v>191</v>
      </c>
      <c r="R13" s="110" t="n"/>
    </row>
    <row r="14" ht="18" customHeight="1">
      <c r="A14" s="109" t="n">
        <v>10</v>
      </c>
      <c r="B14" s="110" t="inlineStr">
        <is>
          <t>Financeira Vida Plena</t>
        </is>
      </c>
      <c r="C14" s="110" t="inlineStr">
        <is>
          <t>BANCO</t>
        </is>
      </c>
      <c r="D14" s="111" t="n">
        <v>46121</v>
      </c>
      <c r="E14" s="110" t="inlineStr">
        <is>
          <t>NOTIFICAÇÃO DE CONSTATAÇÃO</t>
        </is>
      </c>
      <c r="F14" s="112" t="inlineStr">
        <is>
          <t>ELETRÔNICA</t>
        </is>
      </c>
      <c r="G14" s="112" t="inlineStr">
        <is>
          <t>DECISÃO D.P</t>
        </is>
      </c>
      <c r="H14" s="110" t="inlineStr">
        <is>
          <t>ANA PAULA SOUZA</t>
        </is>
      </c>
      <c r="I14" s="113" t="inlineStr">
        <is>
          <t>0703/2026</t>
        </is>
      </c>
      <c r="J14" s="113" t="inlineStr">
        <is>
          <t>2026.016620-0/09</t>
        </is>
      </c>
      <c r="K14" s="111" t="n">
        <v>46081</v>
      </c>
      <c r="L14" s="111" t="n"/>
      <c r="M14" s="111" t="n">
        <v>46143</v>
      </c>
      <c r="N14" s="114">
        <f>IF(OR(D14="",E14=""),"",D14+IF(E14="NOTIFICAÇÃO DE CONSTATAÇÃO",PrazoConst,PrazoEsc))</f>
        <v>46131.0</v>
      </c>
      <c r="O14" s="115" t="str">
        <f>IF(N14="","",IF(ISNUMBER(L14),N14-L14,IF(OR(G14="DECISÃO D.P",ISNUMBER(M14)),"",N14-TODAY())))</f>
        <v/>
      </c>
      <c r="P14" s="116" t="str">
        <f>IF(B14="","",IF(ISNUMBER(M14),"DECIDIDO – ","")&amp;IF(ISNUMBER(L14),IF(O14="","SEM DATA",IF(O14&gt;=0,"DEFESA NO PRAZO","DEFESA FORA DO PRAZO")),IF(OR(G14="DECISÃO D.P",ISNUMBER(M14)),"SEM DEFESA",IF(G14="","SEM STATUS",IF(O14="","SEM DATA",IF(O14&lt;0,"VENCIDO",IF(O14&lt;=DiasAlerta,"VENCE EM BREVE","NO PRAZO")))))))</f>
        <v>DECIDIDO – SEM DEFESA</v>
      </c>
      <c r="Q14" s="117">
        <f>IF(D14="","",TODAY()-D14)</f>
        <v>183</v>
      </c>
      <c r="R14" s="110" t="n"/>
    </row>
    <row r="15" ht="18" customHeight="1">
      <c r="A15" s="109" t="n">
        <v>11</v>
      </c>
      <c r="B15" s="110" t="inlineStr">
        <is>
          <t>Posto Atlântico</t>
        </is>
      </c>
      <c r="C15" s="110" t="inlineStr">
        <is>
          <t>POSTO DE COMBUSTÍVEL</t>
        </is>
      </c>
      <c r="D15" s="111" t="n">
        <v>46130</v>
      </c>
      <c r="E15" s="110" t="inlineStr">
        <is>
          <t>NOTIFICAÇÃO DE ESCLARECIMENTO</t>
        </is>
      </c>
      <c r="F15" s="112" t="inlineStr">
        <is>
          <t>PRESENCIAL</t>
        </is>
      </c>
      <c r="G15" s="112" t="inlineStr">
        <is>
          <t>PRAZO D.P</t>
        </is>
      </c>
      <c r="H15" s="110" t="inlineStr">
        <is>
          <t>ANA PAULA SOUZA</t>
        </is>
      </c>
      <c r="I15" s="113" t="inlineStr">
        <is>
          <t>0544/2026</t>
        </is>
      </c>
      <c r="J15" s="113" t="inlineStr">
        <is>
          <t>2026.074760-5/13</t>
        </is>
      </c>
      <c r="K15" s="111" t="n">
        <v>46110</v>
      </c>
      <c r="L15" s="111" t="n">
        <v>46150</v>
      </c>
      <c r="M15" s="111" t="n"/>
      <c r="N15" s="114">
        <f>IF(OR(D15="",E15=""),"",D15+IF(E15="NOTIFICAÇÃO DE CONSTATAÇÃO",PrazoConst,PrazoEsc))</f>
        <v>46145.0</v>
      </c>
      <c r="O15" s="115">
        <f>IF(N15="","",IF(ISNUMBER(L15),N15-L15,IF(OR(G15="DECISÃO D.P",ISNUMBER(M15)),"",N15-TODAY())))</f>
        <v>-5</v>
      </c>
      <c r="P15" s="116" t="str">
        <f>IF(B15="","",IF(ISNUMBER(M15),"DECIDIDO – ","")&amp;IF(ISNUMBER(L15),IF(O15="","SEM DATA",IF(O15&gt;=0,"DEFESA NO PRAZO","DEFESA FORA DO PRAZO")),IF(OR(G15="DECISÃO D.P",ISNUMBER(M15)),"SEM DEFESA",IF(G15="","SEM STATUS",IF(O15="","SEM DATA",IF(O15&lt;0,"VENCIDO",IF(O15&lt;=DiasAlerta,"VENCE EM BREVE","NO PRAZO")))))))</f>
        <v>DEFESA FORA DO PRAZO</v>
      </c>
      <c r="Q15" s="117">
        <f>IF(D15="","",TODAY()-D15)</f>
        <v>174</v>
      </c>
      <c r="R15" s="110" t="n"/>
    </row>
    <row r="16" ht="18" customHeight="1">
      <c r="A16" s="109" t="n">
        <v>12</v>
      </c>
      <c r="B16" s="110" t="inlineStr">
        <is>
          <t>Drogaria Jardim</t>
        </is>
      </c>
      <c r="C16" s="110" t="inlineStr">
        <is>
          <t>FARMÁCIA</t>
        </is>
      </c>
      <c r="D16" s="111" t="n">
        <v>46134</v>
      </c>
      <c r="E16" s="110" t="inlineStr">
        <is>
          <t>NOTIFICAÇÃO DE ESCLARECIMENTO</t>
        </is>
      </c>
      <c r="F16" s="112" t="inlineStr">
        <is>
          <t>PRESENCIAL</t>
        </is>
      </c>
      <c r="G16" s="112" t="inlineStr">
        <is>
          <t>DECISÃO D.P</t>
        </is>
      </c>
      <c r="H16" s="110" t="inlineStr">
        <is>
          <t>EDUARDA LIMA</t>
        </is>
      </c>
      <c r="I16" s="113" t="inlineStr">
        <is>
          <t>0369/2026</t>
        </is>
      </c>
      <c r="J16" s="113" t="inlineStr">
        <is>
          <t>2026.011232-8/14</t>
        </is>
      </c>
      <c r="K16" s="111" t="n">
        <v>46106</v>
      </c>
      <c r="L16" s="111" t="n"/>
      <c r="M16" s="111" t="n">
        <v>46167</v>
      </c>
      <c r="N16" s="114">
        <f>IF(OR(D16="",E16=""),"",D16+IF(E16="NOTIFICAÇÃO DE CONSTATAÇÃO",PrazoConst,PrazoEsc))</f>
        <v>46149.0</v>
      </c>
      <c r="O16" s="115" t="str">
        <f>IF(N16="","",IF(ISNUMBER(L16),N16-L16,IF(OR(G16="DECISÃO D.P",ISNUMBER(M16)),"",N16-TODAY())))</f>
        <v/>
      </c>
      <c r="P16" s="116" t="str">
        <f>IF(B16="","",IF(ISNUMBER(M16),"DECIDIDO – ","")&amp;IF(ISNUMBER(L16),IF(O16="","SEM DATA",IF(O16&gt;=0,"DEFESA NO PRAZO","DEFESA FORA DO PRAZO")),IF(OR(G16="DECISÃO D.P",ISNUMBER(M16)),"SEM DEFESA",IF(G16="","SEM STATUS",IF(O16="","SEM DATA",IF(O16&lt;0,"VENCIDO",IF(O16&lt;=DiasAlerta,"VENCE EM BREVE","NO PRAZO")))))))</f>
        <v>DECIDIDO – SEM DEFESA</v>
      </c>
      <c r="Q16" s="117">
        <f>IF(D16="","",TODAY()-D16)</f>
        <v>170</v>
      </c>
      <c r="R16" s="110" t="n"/>
    </row>
    <row r="17" ht="18" customHeight="1">
      <c r="A17" s="109" t="n">
        <v>13</v>
      </c>
      <c r="B17" s="110" t="inlineStr">
        <is>
          <t>Posto Litoral</t>
        </is>
      </c>
      <c r="C17" s="110" t="inlineStr">
        <is>
          <t>POSTO DE COMBUSTÍVEL</t>
        </is>
      </c>
      <c r="D17" s="111" t="n">
        <v>46138</v>
      </c>
      <c r="E17" s="110" t="inlineStr">
        <is>
          <t>NOTIFICAÇÃO DE CONSTATAÇÃO</t>
        </is>
      </c>
      <c r="F17" s="112" t="inlineStr">
        <is>
          <t>PRESENCIAL</t>
        </is>
      </c>
      <c r="G17" s="112" t="inlineStr">
        <is>
          <t>PRAZO D.P</t>
        </is>
      </c>
      <c r="H17" s="110" t="inlineStr">
        <is>
          <t>GABRIELA NUNES</t>
        </is>
      </c>
      <c r="I17" s="113" t="inlineStr">
        <is>
          <t>0298/2026</t>
        </is>
      </c>
      <c r="J17" s="113" t="inlineStr">
        <is>
          <t>2026.083680-0/05</t>
        </is>
      </c>
      <c r="K17" s="111" t="n">
        <v>46122</v>
      </c>
      <c r="L17" s="111" t="n"/>
      <c r="M17" s="111" t="n"/>
      <c r="N17" s="114">
        <f>IF(OR(D17="",E17=""),"",D17+IF(E17="NOTIFICAÇÃO DE CONSTATAÇÃO",PrazoConst,PrazoEsc))</f>
        <v>46148.0</v>
      </c>
      <c r="O17" s="115">
        <f>IF(N17="","",IF(ISNUMBER(L17),N17-L17,IF(OR(G17="DECISÃO D.P",ISNUMBER(M17)),"",N17-TODAY())))</f>
        <v>-156</v>
      </c>
      <c r="P17" s="116" t="str">
        <f>IF(B17="","",IF(ISNUMBER(M17),"DECIDIDO – ","")&amp;IF(ISNUMBER(L17),IF(O17="","SEM DATA",IF(O17&gt;=0,"DEFESA NO PRAZO","DEFESA FORA DO PRAZO")),IF(OR(G17="DECISÃO D.P",ISNUMBER(M17)),"SEM DEFESA",IF(G17="","SEM STATUS",IF(O17="","SEM DATA",IF(O17&lt;0,"VENCIDO",IF(O17&lt;=DiasAlerta,"VENCE EM BREVE","NO PRAZO")))))))</f>
        <v>VENCIDO</v>
      </c>
      <c r="Q17" s="117">
        <f>IF(D17="","",TODAY()-D17)</f>
        <v>166</v>
      </c>
      <c r="R17" s="110" t="n"/>
    </row>
    <row r="18" ht="18" customHeight="1">
      <c r="A18" s="109" t="n">
        <v>14</v>
      </c>
      <c r="B18" s="110" t="inlineStr">
        <is>
          <t>Conecta Avenida</t>
        </is>
      </c>
      <c r="C18" s="110" t="inlineStr">
        <is>
          <t>TELEFONIA</t>
        </is>
      </c>
      <c r="D18" s="111" t="n">
        <v>46140</v>
      </c>
      <c r="E18" s="110" t="inlineStr">
        <is>
          <t>NOTIFICAÇÃO DE ESCLARECIMENTO</t>
        </is>
      </c>
      <c r="F18" s="112" t="inlineStr">
        <is>
          <t>PRESENCIAL</t>
        </is>
      </c>
      <c r="G18" s="112" t="inlineStr">
        <is>
          <t>DECISÃO D.P</t>
        </is>
      </c>
      <c r="H18" s="110" t="inlineStr">
        <is>
          <t>GABRIELA NUNES</t>
        </is>
      </c>
      <c r="I18" s="113" t="inlineStr">
        <is>
          <t>0361/2026</t>
        </is>
      </c>
      <c r="J18" s="113" t="inlineStr">
        <is>
          <t>2026.091067-9/13</t>
        </is>
      </c>
      <c r="K18" s="111" t="n">
        <v>46064</v>
      </c>
      <c r="L18" s="111" t="n">
        <v>46144</v>
      </c>
      <c r="M18" s="111" t="n">
        <v>46154</v>
      </c>
      <c r="N18" s="114">
        <f>IF(OR(D18="",E18=""),"",D18+IF(E18="NOTIFICAÇÃO DE CONSTATAÇÃO",PrazoConst,PrazoEsc))</f>
        <v>46155.0</v>
      </c>
      <c r="O18" s="115">
        <f>IF(N18="","",IF(ISNUMBER(L18),N18-L18,IF(OR(G18="DECISÃO D.P",ISNUMBER(M18)),"",N18-TODAY())))</f>
        <v>11</v>
      </c>
      <c r="P18" s="116" t="str">
        <f>IF(B18="","",IF(ISNUMBER(M18),"DECIDIDO – ","")&amp;IF(ISNUMBER(L18),IF(O18="","SEM DATA",IF(O18&gt;=0,"DEFESA NO PRAZO","DEFESA FORA DO PRAZO")),IF(OR(G18="DECISÃO D.P",ISNUMBER(M18)),"SEM DEFESA",IF(G18="","SEM STATUS",IF(O18="","SEM DATA",IF(O18&lt;0,"VENCIDO",IF(O18&lt;=DiasAlerta,"VENCE EM BREVE","NO PRAZO")))))))</f>
        <v>DECIDIDO – DEFESA NO PRAZO</v>
      </c>
      <c r="Q18" s="117">
        <f>IF(D18="","",TODAY()-D18)</f>
        <v>164</v>
      </c>
      <c r="R18" s="110" t="n"/>
    </row>
    <row r="19" ht="18" customHeight="1">
      <c r="A19" s="109" t="n">
        <v>15</v>
      </c>
      <c r="B19" s="110" t="inlineStr">
        <is>
          <t>Laboratório Litoral</t>
        </is>
      </c>
      <c r="C19" s="110" t="inlineStr">
        <is>
          <t>SAÚDE</t>
        </is>
      </c>
      <c r="D19" s="111" t="n">
        <v>46141</v>
      </c>
      <c r="E19" s="110" t="inlineStr">
        <is>
          <t>NOTIFICAÇÃO DE CONSTATAÇÃO</t>
        </is>
      </c>
      <c r="F19" s="112" t="inlineStr">
        <is>
          <t>PRESENCIAL</t>
        </is>
      </c>
      <c r="G19" s="112" t="inlineStr">
        <is>
          <t>DECISÃO D.P</t>
        </is>
      </c>
      <c r="H19" s="110" t="inlineStr">
        <is>
          <t>CARLA MENDES</t>
        </is>
      </c>
      <c r="I19" s="113" t="inlineStr">
        <is>
          <t>0440/2026</t>
        </is>
      </c>
      <c r="J19" s="113" t="inlineStr">
        <is>
          <t>2026.082633-5/14</t>
        </is>
      </c>
      <c r="K19" s="111" t="n">
        <v>46087</v>
      </c>
      <c r="L19" s="111" t="n"/>
      <c r="M19" s="111" t="n">
        <v>46171</v>
      </c>
      <c r="N19" s="114">
        <f>IF(OR(D19="",E19=""),"",D19+IF(E19="NOTIFICAÇÃO DE CONSTATAÇÃO",PrazoConst,PrazoEsc))</f>
        <v>46151.0</v>
      </c>
      <c r="O19" s="115" t="str">
        <f>IF(N19="","",IF(ISNUMBER(L19),N19-L19,IF(OR(G19="DECISÃO D.P",ISNUMBER(M19)),"",N19-TODAY())))</f>
        <v/>
      </c>
      <c r="P19" s="116" t="str">
        <f>IF(B19="","",IF(ISNUMBER(M19),"DECIDIDO – ","")&amp;IF(ISNUMBER(L19),IF(O19="","SEM DATA",IF(O19&gt;=0,"DEFESA NO PRAZO","DEFESA FORA DO PRAZO")),IF(OR(G19="DECISÃO D.P",ISNUMBER(M19)),"SEM DEFESA",IF(G19="","SEM STATUS",IF(O19="","SEM DATA",IF(O19&lt;0,"VENCIDO",IF(O19&lt;=DiasAlerta,"VENCE EM BREVE","NO PRAZO")))))))</f>
        <v>DECIDIDO – SEM DEFESA</v>
      </c>
      <c r="Q19" s="117">
        <f>IF(D19="","",TODAY()-D19)</f>
        <v>163</v>
      </c>
      <c r="R19" s="110" t="n"/>
    </row>
    <row r="20" ht="18" customHeight="1">
      <c r="A20" s="109" t="n">
        <v>16</v>
      </c>
      <c r="B20" s="110" t="inlineStr">
        <is>
          <t>Drogaria Real</t>
        </is>
      </c>
      <c r="C20" s="110" t="inlineStr">
        <is>
          <t>FARMÁCIA</t>
        </is>
      </c>
      <c r="D20" s="111" t="n">
        <v>46146</v>
      </c>
      <c r="E20" s="110" t="inlineStr">
        <is>
          <t>NOTIFICAÇÃO DE CONSTATAÇÃO</t>
        </is>
      </c>
      <c r="F20" s="112" t="inlineStr">
        <is>
          <t>ELETRÔNICA</t>
        </is>
      </c>
      <c r="G20" s="112" t="inlineStr">
        <is>
          <t>PRAZO D.P</t>
        </is>
      </c>
      <c r="H20" s="110" t="inlineStr">
        <is>
          <t>BRUNO CARVALHO</t>
        </is>
      </c>
      <c r="I20" s="113" t="inlineStr">
        <is>
          <t>0339/2026</t>
        </is>
      </c>
      <c r="J20" s="113" t="inlineStr">
        <is>
          <t>2026.096305-1/05</t>
        </is>
      </c>
      <c r="K20" s="111" t="n">
        <v>46104</v>
      </c>
      <c r="L20" s="111" t="n"/>
      <c r="M20" s="111" t="n"/>
      <c r="N20" s="114">
        <f>IF(OR(D20="",E20=""),"",D20+IF(E20="NOTIFICAÇÃO DE CONSTATAÇÃO",PrazoConst,PrazoEsc))</f>
        <v>46156.0</v>
      </c>
      <c r="O20" s="115">
        <f>IF(N20="","",IF(ISNUMBER(L20),N20-L20,IF(OR(G20="DECISÃO D.P",ISNUMBER(M20)),"",N20-TODAY())))</f>
        <v>-148</v>
      </c>
      <c r="P20" s="116" t="str">
        <f>IF(B20="","",IF(ISNUMBER(M20),"DECIDIDO – ","")&amp;IF(ISNUMBER(L20),IF(O20="","SEM DATA",IF(O20&gt;=0,"DEFESA NO PRAZO","DEFESA FORA DO PRAZO")),IF(OR(G20="DECISÃO D.P",ISNUMBER(M20)),"SEM DEFESA",IF(G20="","SEM STATUS",IF(O20="","SEM DATA",IF(O20&lt;0,"VENCIDO",IF(O20&lt;=DiasAlerta,"VENCE EM BREVE","NO PRAZO")))))))</f>
        <v>VENCIDO</v>
      </c>
      <c r="Q20" s="117">
        <f>IF(D20="","",TODAY()-D20)</f>
        <v>158</v>
      </c>
      <c r="R20" s="110" t="n"/>
    </row>
    <row r="21" ht="18" customHeight="1">
      <c r="A21" s="109" t="n">
        <v>17</v>
      </c>
      <c r="B21" s="110" t="inlineStr">
        <is>
          <t>Mercado Real</t>
        </is>
      </c>
      <c r="C21" s="110" t="inlineStr">
        <is>
          <t>SUPERMERCADO</t>
        </is>
      </c>
      <c r="D21" s="111" t="n">
        <v>46150</v>
      </c>
      <c r="E21" s="110" t="inlineStr">
        <is>
          <t>NOTIFICAÇÃO DE ESCLARECIMENTO</t>
        </is>
      </c>
      <c r="F21" s="112" t="inlineStr">
        <is>
          <t>PRESENCIAL</t>
        </is>
      </c>
      <c r="G21" s="112" t="inlineStr">
        <is>
          <t>PRAZO D.P</t>
        </is>
      </c>
      <c r="H21" s="110" t="inlineStr">
        <is>
          <t>BRUNO CARVALHO</t>
        </is>
      </c>
      <c r="I21" s="113" t="inlineStr">
        <is>
          <t>0053/2026</t>
        </is>
      </c>
      <c r="J21" s="113" t="inlineStr">
        <is>
          <t>2026.099535-2/09</t>
        </is>
      </c>
      <c r="K21" s="111" t="n">
        <v>46112</v>
      </c>
      <c r="L21" s="111" t="n"/>
      <c r="M21" s="111" t="n"/>
      <c r="N21" s="114">
        <f>IF(OR(D21="",E21=""),"",D21+IF(E21="NOTIFICAÇÃO DE CONSTATAÇÃO",PrazoConst,PrazoEsc))</f>
        <v>46165.0</v>
      </c>
      <c r="O21" s="115">
        <f>IF(N21="","",IF(ISNUMBER(L21),N21-L21,IF(OR(G21="DECISÃO D.P",ISNUMBER(M21)),"",N21-TODAY())))</f>
        <v>-139</v>
      </c>
      <c r="P21" s="116" t="str">
        <f>IF(B21="","",IF(ISNUMBER(M21),"DECIDIDO – ","")&amp;IF(ISNUMBER(L21),IF(O21="","SEM DATA",IF(O21&gt;=0,"DEFESA NO PRAZO","DEFESA FORA DO PRAZO")),IF(OR(G21="DECISÃO D.P",ISNUMBER(M21)),"SEM DEFESA",IF(G21="","SEM STATUS",IF(O21="","SEM DATA",IF(O21&lt;0,"VENCIDO",IF(O21&lt;=DiasAlerta,"VENCE EM BREVE","NO PRAZO")))))))</f>
        <v>VENCIDO</v>
      </c>
      <c r="Q21" s="117">
        <f>IF(D21="","",TODAY()-D21)</f>
        <v>154</v>
      </c>
      <c r="R21" s="110" t="n"/>
    </row>
    <row r="22" ht="18" customHeight="1">
      <c r="A22" s="109" t="n">
        <v>18</v>
      </c>
      <c r="B22" s="110" t="inlineStr">
        <is>
          <t>Concessionária Real</t>
        </is>
      </c>
      <c r="C22" s="110" t="inlineStr">
        <is>
          <t>CONCESSIONÁRIA</t>
        </is>
      </c>
      <c r="D22" s="111" t="n">
        <v>46151</v>
      </c>
      <c r="E22" s="110" t="inlineStr">
        <is>
          <t>NOTIFICAÇÃO DE ESCLARECIMENTO</t>
        </is>
      </c>
      <c r="F22" s="112" t="inlineStr">
        <is>
          <t>PRESENCIAL</t>
        </is>
      </c>
      <c r="G22" s="112" t="inlineStr">
        <is>
          <t>DECISÃO D.P</t>
        </is>
      </c>
      <c r="H22" s="110" t="inlineStr">
        <is>
          <t>ANA PAULA SOUZA</t>
        </is>
      </c>
      <c r="I22" s="113" t="inlineStr">
        <is>
          <t>0327/2026</t>
        </is>
      </c>
      <c r="J22" s="113" t="inlineStr">
        <is>
          <t>2026.004484-1/07</t>
        </is>
      </c>
      <c r="K22" s="111" t="n">
        <v>46129</v>
      </c>
      <c r="L22" s="111" t="n">
        <v>46169</v>
      </c>
      <c r="M22" s="111" t="n">
        <v>46171</v>
      </c>
      <c r="N22" s="114">
        <f>IF(OR(D22="",E22=""),"",D22+IF(E22="NOTIFICAÇÃO DE CONSTATAÇÃO",PrazoConst,PrazoEsc))</f>
        <v>46166.0</v>
      </c>
      <c r="O22" s="115">
        <f>IF(N22="","",IF(ISNUMBER(L22),N22-L22,IF(OR(G22="DECISÃO D.P",ISNUMBER(M22)),"",N22-TODAY())))</f>
        <v>-3</v>
      </c>
      <c r="P22" s="116" t="str">
        <f>IF(B22="","",IF(ISNUMBER(M22),"DECIDIDO – ","")&amp;IF(ISNUMBER(L22),IF(O22="","SEM DATA",IF(O22&gt;=0,"DEFESA NO PRAZO","DEFESA FORA DO PRAZO")),IF(OR(G22="DECISÃO D.P",ISNUMBER(M22)),"SEM DEFESA",IF(G22="","SEM STATUS",IF(O22="","SEM DATA",IF(O22&lt;0,"VENCIDO",IF(O22&lt;=DiasAlerta,"VENCE EM BREVE","NO PRAZO")))))))</f>
        <v>DECIDIDO – DEFESA FORA DO PRAZO</v>
      </c>
      <c r="Q22" s="117">
        <f>IF(D22="","",TODAY()-D22)</f>
        <v>153</v>
      </c>
      <c r="R22" s="110" t="n"/>
    </row>
    <row r="23" ht="18" customHeight="1">
      <c r="A23" s="109" t="n">
        <v>19</v>
      </c>
      <c r="B23" s="110" t="inlineStr">
        <is>
          <t>Studio Fitness Vitória</t>
        </is>
      </c>
      <c r="C23" s="110" t="inlineStr">
        <is>
          <t>ACADEMIA</t>
        </is>
      </c>
      <c r="D23" s="111" t="n">
        <v>46152</v>
      </c>
      <c r="E23" s="110" t="inlineStr">
        <is>
          <t>NOTIFICAÇÃO DE CONSTATAÇÃO</t>
        </is>
      </c>
      <c r="F23" s="112" t="inlineStr">
        <is>
          <t>PRESENCIAL</t>
        </is>
      </c>
      <c r="G23" s="112" t="inlineStr">
        <is>
          <t>DECISÃO D.P</t>
        </is>
      </c>
      <c r="H23" s="110" t="inlineStr">
        <is>
          <t>BRUNO CARVALHO</t>
        </is>
      </c>
      <c r="I23" s="113" t="inlineStr">
        <is>
          <t>0954/2026</t>
        </is>
      </c>
      <c r="J23" s="113" t="inlineStr">
        <is>
          <t>2026.022625-9/07</t>
        </is>
      </c>
      <c r="K23" s="111" t="n">
        <v>46079</v>
      </c>
      <c r="L23" s="111" t="n">
        <v>46155</v>
      </c>
      <c r="M23" s="111" t="n">
        <v>46175</v>
      </c>
      <c r="N23" s="114">
        <f>IF(OR(D23="",E23=""),"",D23+IF(E23="NOTIFICAÇÃO DE CONSTATAÇÃO",PrazoConst,PrazoEsc))</f>
        <v>46162.0</v>
      </c>
      <c r="O23" s="115">
        <f>IF(N23="","",IF(ISNUMBER(L23),N23-L23,IF(OR(G23="DECISÃO D.P",ISNUMBER(M23)),"",N23-TODAY())))</f>
        <v>7</v>
      </c>
      <c r="P23" s="116" t="str">
        <f>IF(B23="","",IF(ISNUMBER(M23),"DECIDIDO – ","")&amp;IF(ISNUMBER(L23),IF(O23="","SEM DATA",IF(O23&gt;=0,"DEFESA NO PRAZO","DEFESA FORA DO PRAZO")),IF(OR(G23="DECISÃO D.P",ISNUMBER(M23)),"SEM DEFESA",IF(G23="","SEM STATUS",IF(O23="","SEM DATA",IF(O23&lt;0,"VENCIDO",IF(O23&lt;=DiasAlerta,"VENCE EM BREVE","NO PRAZO")))))))</f>
        <v>DECIDIDO – DEFESA NO PRAZO</v>
      </c>
      <c r="Q23" s="117">
        <f>IF(D23="","",TODAY()-D23)</f>
        <v>152</v>
      </c>
      <c r="R23" s="110" t="n"/>
    </row>
    <row r="24" ht="18" customHeight="1">
      <c r="A24" s="109" t="n">
        <v>20</v>
      </c>
      <c r="B24" s="110" t="inlineStr">
        <is>
          <t>Hospital Planalto</t>
        </is>
      </c>
      <c r="C24" s="110" t="inlineStr">
        <is>
          <t>SAÚDE</t>
        </is>
      </c>
      <c r="D24" s="111" t="n">
        <v>46156</v>
      </c>
      <c r="E24" s="110" t="inlineStr">
        <is>
          <t>NOTIFICAÇÃO DE CONSTATAÇÃO</t>
        </is>
      </c>
      <c r="F24" s="112" t="inlineStr">
        <is>
          <t>PRESENCIAL</t>
        </is>
      </c>
      <c r="G24" s="112" t="inlineStr">
        <is>
          <t>DECISÃO D.P</t>
        </is>
      </c>
      <c r="H24" s="110" t="inlineStr">
        <is>
          <t>DIEGO RIBEIRO</t>
        </is>
      </c>
      <c r="I24" s="113" t="inlineStr">
        <is>
          <t>0123/2026</t>
        </is>
      </c>
      <c r="J24" s="113" t="inlineStr">
        <is>
          <t>2026.069773-4/14</t>
        </is>
      </c>
      <c r="K24" s="111" t="n">
        <v>46084</v>
      </c>
      <c r="L24" s="111" t="n">
        <v>46163</v>
      </c>
      <c r="M24" s="111" t="n">
        <v>46167</v>
      </c>
      <c r="N24" s="114">
        <f>IF(OR(D24="",E24=""),"",D24+IF(E24="NOTIFICAÇÃO DE CONSTATAÇÃO",PrazoConst,PrazoEsc))</f>
        <v>46166.0</v>
      </c>
      <c r="O24" s="115">
        <f>IF(N24="","",IF(ISNUMBER(L24),N24-L24,IF(OR(G24="DECISÃO D.P",ISNUMBER(M24)),"",N24-TODAY())))</f>
        <v>3</v>
      </c>
      <c r="P24" s="116" t="str">
        <f>IF(B24="","",IF(ISNUMBER(M24),"DECIDIDO – ","")&amp;IF(ISNUMBER(L24),IF(O24="","SEM DATA",IF(O24&gt;=0,"DEFESA NO PRAZO","DEFESA FORA DO PRAZO")),IF(OR(G24="DECISÃO D.P",ISNUMBER(M24)),"SEM DEFESA",IF(G24="","SEM STATUS",IF(O24="","SEM DATA",IF(O24&lt;0,"VENCIDO",IF(O24&lt;=DiasAlerta,"VENCE EM BREVE","NO PRAZO")))))))</f>
        <v>DECIDIDO – DEFESA NO PRAZO</v>
      </c>
      <c r="Q24" s="117">
        <f>IF(D24="","",TODAY()-D24)</f>
        <v>148</v>
      </c>
      <c r="R24" s="110" t="n"/>
    </row>
    <row r="25" ht="18" customHeight="1">
      <c r="A25" s="109" t="n">
        <v>21</v>
      </c>
      <c r="B25" s="110" t="inlineStr">
        <is>
          <t>Laboratório Boa Esperança</t>
        </is>
      </c>
      <c r="C25" s="110" t="inlineStr">
        <is>
          <t>SAÚDE</t>
        </is>
      </c>
      <c r="D25" s="111" t="n">
        <v>46156</v>
      </c>
      <c r="E25" s="110" t="inlineStr">
        <is>
          <t>NOTIFICAÇÃO DE CONSTATAÇÃO</t>
        </is>
      </c>
      <c r="F25" s="112" t="inlineStr">
        <is>
          <t>PRESENCIAL</t>
        </is>
      </c>
      <c r="G25" s="112" t="inlineStr">
        <is>
          <t>DECISÃO D.P</t>
        </is>
      </c>
      <c r="H25" s="110" t="inlineStr">
        <is>
          <t>ANA PAULA SOUZA</t>
        </is>
      </c>
      <c r="I25" s="113" t="inlineStr">
        <is>
          <t>0727/2026</t>
        </is>
      </c>
      <c r="J25" s="113" t="inlineStr">
        <is>
          <t>2026.071828-8/13</t>
        </is>
      </c>
      <c r="K25" s="111" t="n">
        <v>46114</v>
      </c>
      <c r="L25" s="111" t="n">
        <v>46167</v>
      </c>
      <c r="M25" s="111" t="n">
        <v>46181</v>
      </c>
      <c r="N25" s="114">
        <f>IF(OR(D25="",E25=""),"",D25+IF(E25="NOTIFICAÇÃO DE CONSTATAÇÃO",PrazoConst,PrazoEsc))</f>
        <v>46166.0</v>
      </c>
      <c r="O25" s="115">
        <f>IF(N25="","",IF(ISNUMBER(L25),N25-L25,IF(OR(G25="DECISÃO D.P",ISNUMBER(M25)),"",N25-TODAY())))</f>
        <v>-1</v>
      </c>
      <c r="P25" s="116" t="str">
        <f>IF(B25="","",IF(ISNUMBER(M25),"DECIDIDO – ","")&amp;IF(ISNUMBER(L25),IF(O25="","SEM DATA",IF(O25&gt;=0,"DEFESA NO PRAZO","DEFESA FORA DO PRAZO")),IF(OR(G25="DECISÃO D.P",ISNUMBER(M25)),"SEM DEFESA",IF(G25="","SEM STATUS",IF(O25="","SEM DATA",IF(O25&lt;0,"VENCIDO",IF(O25&lt;=DiasAlerta,"VENCE EM BREVE","NO PRAZO")))))))</f>
        <v>DECIDIDO – DEFESA FORA DO PRAZO</v>
      </c>
      <c r="Q25" s="117">
        <f>IF(D25="","",TODAY()-D25)</f>
        <v>148</v>
      </c>
      <c r="R25" s="110" t="n"/>
    </row>
    <row r="26" ht="18" customHeight="1">
      <c r="A26" s="109" t="n">
        <v>22</v>
      </c>
      <c r="B26" s="110" t="inlineStr">
        <is>
          <t>Magazine Real</t>
        </is>
      </c>
      <c r="C26" s="110" t="inlineStr">
        <is>
          <t>LOJA</t>
        </is>
      </c>
      <c r="D26" s="111" t="n">
        <v>46157</v>
      </c>
      <c r="E26" s="110" t="inlineStr">
        <is>
          <t>NOTIFICAÇÃO DE ESCLARECIMENTO</t>
        </is>
      </c>
      <c r="F26" s="112" t="inlineStr">
        <is>
          <t>ELETRÔNICA</t>
        </is>
      </c>
      <c r="G26" s="112" t="inlineStr">
        <is>
          <t>DECISÃO D.P</t>
        </is>
      </c>
      <c r="H26" s="110" t="inlineStr">
        <is>
          <t>ANA PAULA SOUZA</t>
        </is>
      </c>
      <c r="I26" s="113" t="inlineStr">
        <is>
          <t>0735/2026</t>
        </is>
      </c>
      <c r="J26" s="113" t="inlineStr">
        <is>
          <t>2026.090620-8/07</t>
        </is>
      </c>
      <c r="K26" s="111" t="n">
        <v>46083</v>
      </c>
      <c r="L26" s="111" t="n"/>
      <c r="M26" s="111" t="n">
        <v>46181</v>
      </c>
      <c r="N26" s="114">
        <f>IF(OR(D26="",E26=""),"",D26+IF(E26="NOTIFICAÇÃO DE CONSTATAÇÃO",PrazoConst,PrazoEsc))</f>
        <v>46172.0</v>
      </c>
      <c r="O26" s="115" t="str">
        <f>IF(N26="","",IF(ISNUMBER(L26),N26-L26,IF(OR(G26="DECISÃO D.P",ISNUMBER(M26)),"",N26-TODAY())))</f>
        <v/>
      </c>
      <c r="P26" s="116" t="str">
        <f>IF(B26="","",IF(ISNUMBER(M26),"DECIDIDO – ","")&amp;IF(ISNUMBER(L26),IF(O26="","SEM DATA",IF(O26&gt;=0,"DEFESA NO PRAZO","DEFESA FORA DO PRAZO")),IF(OR(G26="DECISÃO D.P",ISNUMBER(M26)),"SEM DEFESA",IF(G26="","SEM STATUS",IF(O26="","SEM DATA",IF(O26&lt;0,"VENCIDO",IF(O26&lt;=DiasAlerta,"VENCE EM BREVE","NO PRAZO")))))))</f>
        <v>DECIDIDO – SEM DEFESA</v>
      </c>
      <c r="Q26" s="117">
        <f>IF(D26="","",TODAY()-D26)</f>
        <v>147</v>
      </c>
      <c r="R26" s="110" t="n"/>
    </row>
    <row r="27" ht="18" customHeight="1">
      <c r="A27" s="109" t="n">
        <v>23</v>
      </c>
      <c r="B27" s="110" t="inlineStr">
        <is>
          <t>Loja Horizonte</t>
        </is>
      </c>
      <c r="C27" s="110" t="inlineStr">
        <is>
          <t>LOJA</t>
        </is>
      </c>
      <c r="D27" s="111" t="n">
        <v>46162</v>
      </c>
      <c r="E27" s="110" t="inlineStr">
        <is>
          <t>NOTIFICAÇÃO DE CONSTATAÇÃO</t>
        </is>
      </c>
      <c r="F27" s="112" t="inlineStr">
        <is>
          <t>ELETRÔNICA</t>
        </is>
      </c>
      <c r="G27" s="112" t="inlineStr">
        <is>
          <t>DECISÃO D.P</t>
        </is>
      </c>
      <c r="H27" s="110" t="inlineStr">
        <is>
          <t>ANA PAULA SOUZA</t>
        </is>
      </c>
      <c r="I27" s="113" t="inlineStr">
        <is>
          <t>0104/2026</t>
        </is>
      </c>
      <c r="J27" s="113" t="inlineStr">
        <is>
          <t>2026.051483-2/10</t>
        </is>
      </c>
      <c r="K27" s="111" t="n">
        <v>46128</v>
      </c>
      <c r="L27" s="111" t="n">
        <v>46175</v>
      </c>
      <c r="M27" s="111" t="n">
        <v>46194</v>
      </c>
      <c r="N27" s="114">
        <f>IF(OR(D27="",E27=""),"",D27+IF(E27="NOTIFICAÇÃO DE CONSTATAÇÃO",PrazoConst,PrazoEsc))</f>
        <v>46172.0</v>
      </c>
      <c r="O27" s="115">
        <f>IF(N27="","",IF(ISNUMBER(L27),N27-L27,IF(OR(G27="DECISÃO D.P",ISNUMBER(M27)),"",N27-TODAY())))</f>
        <v>-3</v>
      </c>
      <c r="P27" s="116" t="str">
        <f>IF(B27="","",IF(ISNUMBER(M27),"DECIDIDO – ","")&amp;IF(ISNUMBER(L27),IF(O27="","SEM DATA",IF(O27&gt;=0,"DEFESA NO PRAZO","DEFESA FORA DO PRAZO")),IF(OR(G27="DECISÃO D.P",ISNUMBER(M27)),"SEM DEFESA",IF(G27="","SEM STATUS",IF(O27="","SEM DATA",IF(O27&lt;0,"VENCIDO",IF(O27&lt;=DiasAlerta,"VENCE EM BREVE","NO PRAZO")))))))</f>
        <v>DECIDIDO – DEFESA FORA DO PRAZO</v>
      </c>
      <c r="Q27" s="117">
        <f>IF(D27="","",TODAY()-D27)</f>
        <v>142</v>
      </c>
      <c r="R27" s="110" t="n"/>
    </row>
    <row r="28" ht="18" customHeight="1">
      <c r="A28" s="109" t="n">
        <v>24</v>
      </c>
      <c r="B28" s="110" t="inlineStr">
        <is>
          <t>Magazine Boa Esperança</t>
        </is>
      </c>
      <c r="C28" s="110" t="inlineStr">
        <is>
          <t>LOJA</t>
        </is>
      </c>
      <c r="D28" s="111" t="n">
        <v>46163</v>
      </c>
      <c r="E28" s="110" t="inlineStr">
        <is>
          <t>NOTIFICAÇÃO DE CONSTATAÇÃO</t>
        </is>
      </c>
      <c r="F28" s="112" t="inlineStr">
        <is>
          <t>PRESENCIAL</t>
        </is>
      </c>
      <c r="G28" s="112" t="inlineStr">
        <is>
          <t>PRAZO D.P</t>
        </is>
      </c>
      <c r="H28" s="110" t="inlineStr">
        <is>
          <t>CARLA MENDES</t>
        </is>
      </c>
      <c r="I28" s="113" t="inlineStr">
        <is>
          <t>0224/2026</t>
        </is>
      </c>
      <c r="J28" s="113" t="inlineStr">
        <is>
          <t>2026.008102-6/14</t>
        </is>
      </c>
      <c r="K28" s="111" t="n">
        <v>46084</v>
      </c>
      <c r="L28" s="111" t="n">
        <v>46294</v>
      </c>
      <c r="M28" s="111" t="n"/>
      <c r="N28" s="114">
        <f>IF(OR(D28="",E28=""),"",D28+IF(E28="NOTIFICAÇÃO DE CONSTATAÇÃO",PrazoConst,PrazoEsc))</f>
        <v>46173.0</v>
      </c>
      <c r="O28" s="115">
        <f>IF(N28="","",IF(ISNUMBER(L28),N28-L28,IF(OR(G28="DECISÃO D.P",ISNUMBER(M28)),"",N28-TODAY())))</f>
        <v>-121</v>
      </c>
      <c r="P28" s="116" t="str">
        <f>IF(B28="","",IF(ISNUMBER(M28),"DECIDIDO – ","")&amp;IF(ISNUMBER(L28),IF(O28="","SEM DATA",IF(O28&gt;=0,"DEFESA NO PRAZO","DEFESA FORA DO PRAZO")),IF(OR(G28="DECISÃO D.P",ISNUMBER(M28)),"SEM DEFESA",IF(G28="","SEM STATUS",IF(O28="","SEM DATA",IF(O28&lt;0,"VENCIDO",IF(O28&lt;=DiasAlerta,"VENCE EM BREVE","NO PRAZO")))))))</f>
        <v>DEFESA FORA DO PRAZO</v>
      </c>
      <c r="Q28" s="117">
        <f>IF(D28="","",TODAY()-D28)</f>
        <v>141</v>
      </c>
      <c r="R28" s="110" t="n"/>
    </row>
    <row r="29" ht="18" customHeight="1">
      <c r="A29" s="109" t="n">
        <v>25</v>
      </c>
      <c r="B29" s="110" t="inlineStr">
        <is>
          <t>Academia Planalto</t>
        </is>
      </c>
      <c r="C29" s="110" t="inlineStr">
        <is>
          <t>ACADEMIA</t>
        </is>
      </c>
      <c r="D29" s="111" t="n">
        <v>46165</v>
      </c>
      <c r="E29" s="110" t="inlineStr">
        <is>
          <t>NOTIFICAÇÃO DE ESCLARECIMENTO</t>
        </is>
      </c>
      <c r="F29" s="112" t="inlineStr">
        <is>
          <t>PRESENCIAL</t>
        </is>
      </c>
      <c r="G29" s="112" t="inlineStr">
        <is>
          <t>DECISÃO D.P</t>
        </is>
      </c>
      <c r="H29" s="110" t="inlineStr">
        <is>
          <t>ANA PAULA SOUZA</t>
        </is>
      </c>
      <c r="I29" s="113" t="inlineStr">
        <is>
          <t>0730/2026</t>
        </is>
      </c>
      <c r="J29" s="113" t="inlineStr">
        <is>
          <t>2026.069678-3/07</t>
        </is>
      </c>
      <c r="K29" s="111" t="n">
        <v>46091</v>
      </c>
      <c r="L29" s="111" t="n">
        <v>46171</v>
      </c>
      <c r="M29" s="111" t="n">
        <v>46177</v>
      </c>
      <c r="N29" s="114">
        <f>IF(OR(D29="",E29=""),"",D29+IF(E29="NOTIFICAÇÃO DE CONSTATAÇÃO",PrazoConst,PrazoEsc))</f>
        <v>46180.0</v>
      </c>
      <c r="O29" s="115">
        <f>IF(N29="","",IF(ISNUMBER(L29),N29-L29,IF(OR(G29="DECISÃO D.P",ISNUMBER(M29)),"",N29-TODAY())))</f>
        <v>9</v>
      </c>
      <c r="P29" s="116" t="str">
        <f>IF(B29="","",IF(ISNUMBER(M29),"DECIDIDO – ","")&amp;IF(ISNUMBER(L29),IF(O29="","SEM DATA",IF(O29&gt;=0,"DEFESA NO PRAZO","DEFESA FORA DO PRAZO")),IF(OR(G29="DECISÃO D.P",ISNUMBER(M29)),"SEM DEFESA",IF(G29="","SEM STATUS",IF(O29="","SEM DATA",IF(O29&lt;0,"VENCIDO",IF(O29&lt;=DiasAlerta,"VENCE EM BREVE","NO PRAZO")))))))</f>
        <v>DECIDIDO – DEFESA NO PRAZO</v>
      </c>
      <c r="Q29" s="117">
        <f>IF(D29="","",TODAY()-D29)</f>
        <v>139</v>
      </c>
      <c r="R29" s="110" t="n"/>
    </row>
    <row r="30" ht="18" customHeight="1">
      <c r="A30" s="109" t="n">
        <v>26</v>
      </c>
      <c r="B30" s="110" t="inlineStr">
        <is>
          <t>Laboratório Monte Sião</t>
        </is>
      </c>
      <c r="C30" s="110" t="inlineStr">
        <is>
          <t>SAÚDE</t>
        </is>
      </c>
      <c r="D30" s="111" t="n">
        <v>46167</v>
      </c>
      <c r="E30" s="110" t="inlineStr">
        <is>
          <t>NOTIFICAÇÃO DE ESCLARECIMENTO</t>
        </is>
      </c>
      <c r="F30" s="112" t="inlineStr">
        <is>
          <t>PRESENCIAL</t>
        </is>
      </c>
      <c r="G30" s="112" t="inlineStr">
        <is>
          <t>DECISÃO D.P</t>
        </is>
      </c>
      <c r="H30" s="110" t="inlineStr">
        <is>
          <t>ANA PAULA SOUZA</t>
        </is>
      </c>
      <c r="I30" s="113" t="inlineStr">
        <is>
          <t>0625/2026</t>
        </is>
      </c>
      <c r="J30" s="113" t="inlineStr">
        <is>
          <t>2026.070119-7/05</t>
        </is>
      </c>
      <c r="K30" s="111" t="n">
        <v>46130</v>
      </c>
      <c r="L30" s="111" t="n">
        <v>46176</v>
      </c>
      <c r="M30" s="111" t="n">
        <v>46202</v>
      </c>
      <c r="N30" s="114">
        <f>IF(OR(D30="",E30=""),"",D30+IF(E30="NOTIFICAÇÃO DE CONSTATAÇÃO",PrazoConst,PrazoEsc))</f>
        <v>46182.0</v>
      </c>
      <c r="O30" s="115">
        <f>IF(N30="","",IF(ISNUMBER(L30),N30-L30,IF(OR(G30="DECISÃO D.P",ISNUMBER(M30)),"",N30-TODAY())))</f>
        <v>6</v>
      </c>
      <c r="P30" s="116" t="str">
        <f>IF(B30="","",IF(ISNUMBER(M30),"DECIDIDO – ","")&amp;IF(ISNUMBER(L30),IF(O30="","SEM DATA",IF(O30&gt;=0,"DEFESA NO PRAZO","DEFESA FORA DO PRAZO")),IF(OR(G30="DECISÃO D.P",ISNUMBER(M30)),"SEM DEFESA",IF(G30="","SEM STATUS",IF(O30="","SEM DATA",IF(O30&lt;0,"VENCIDO",IF(O30&lt;=DiasAlerta,"VENCE EM BREVE","NO PRAZO")))))))</f>
        <v>DECIDIDO – DEFESA NO PRAZO</v>
      </c>
      <c r="Q30" s="117">
        <f>IF(D30="","",TODAY()-D30)</f>
        <v>137</v>
      </c>
      <c r="R30" s="110" t="n"/>
    </row>
    <row r="31" ht="18" customHeight="1">
      <c r="A31" s="109" t="n">
        <v>27</v>
      </c>
      <c r="B31" s="110" t="inlineStr">
        <is>
          <t>Serviços Litoral</t>
        </is>
      </c>
      <c r="C31" s="110" t="inlineStr">
        <is>
          <t>OUTROS</t>
        </is>
      </c>
      <c r="D31" s="111" t="n">
        <v>46169</v>
      </c>
      <c r="E31" s="110" t="inlineStr">
        <is>
          <t>NOTIFICAÇÃO DE ESCLARECIMENTO</t>
        </is>
      </c>
      <c r="F31" s="112" t="inlineStr">
        <is>
          <t>PRESENCIAL</t>
        </is>
      </c>
      <c r="G31" s="112" t="inlineStr">
        <is>
          <t>DECISÃO D.P</t>
        </is>
      </c>
      <c r="H31" s="110" t="inlineStr">
        <is>
          <t>HENRIQUE COSTA</t>
        </is>
      </c>
      <c r="I31" s="113" t="inlineStr">
        <is>
          <t>0248/2026</t>
        </is>
      </c>
      <c r="J31" s="113" t="inlineStr">
        <is>
          <t>2026.094973-7/12</t>
        </is>
      </c>
      <c r="K31" s="111" t="n">
        <v>46123</v>
      </c>
      <c r="L31" s="111" t="n">
        <v>46177</v>
      </c>
      <c r="M31" s="111" t="n">
        <v>46189</v>
      </c>
      <c r="N31" s="114">
        <f>IF(OR(D31="",E31=""),"",D31+IF(E31="NOTIFICAÇÃO DE CONSTATAÇÃO",PrazoConst,PrazoEsc))</f>
        <v>46184.0</v>
      </c>
      <c r="O31" s="115">
        <f>IF(N31="","",IF(ISNUMBER(L31),N31-L31,IF(OR(G31="DECISÃO D.P",ISNUMBER(M31)),"",N31-TODAY())))</f>
        <v>7</v>
      </c>
      <c r="P31" s="116" t="str">
        <f>IF(B31="","",IF(ISNUMBER(M31),"DECIDIDO – ","")&amp;IF(ISNUMBER(L31),IF(O31="","SEM DATA",IF(O31&gt;=0,"DEFESA NO PRAZO","DEFESA FORA DO PRAZO")),IF(OR(G31="DECISÃO D.P",ISNUMBER(M31)),"SEM DEFESA",IF(G31="","SEM STATUS",IF(O31="","SEM DATA",IF(O31&lt;0,"VENCIDO",IF(O31&lt;=DiasAlerta,"VENCE EM BREVE","NO PRAZO")))))))</f>
        <v>DECIDIDO – DEFESA NO PRAZO</v>
      </c>
      <c r="Q31" s="117">
        <f>IF(D31="","",TODAY()-D31)</f>
        <v>135</v>
      </c>
      <c r="R31" s="110" t="n"/>
    </row>
    <row r="32" ht="18" customHeight="1">
      <c r="A32" s="109" t="n">
        <v>28</v>
      </c>
      <c r="B32" s="110" t="inlineStr">
        <is>
          <t>Laboratório Central</t>
        </is>
      </c>
      <c r="C32" s="110" t="inlineStr">
        <is>
          <t>SAÚDE</t>
        </is>
      </c>
      <c r="D32" s="111" t="n">
        <v>46177</v>
      </c>
      <c r="E32" s="110" t="inlineStr">
        <is>
          <t>NOTIFICAÇÃO DE CONSTATAÇÃO</t>
        </is>
      </c>
      <c r="F32" s="112" t="inlineStr">
        <is>
          <t>PRESENCIAL</t>
        </is>
      </c>
      <c r="G32" s="112" t="inlineStr">
        <is>
          <t>DECISÃO D.P</t>
        </is>
      </c>
      <c r="H32" s="110" t="inlineStr">
        <is>
          <t>CARLA MENDES</t>
        </is>
      </c>
      <c r="I32" s="113" t="inlineStr">
        <is>
          <t>0447/2026</t>
        </is>
      </c>
      <c r="J32" s="113" t="inlineStr">
        <is>
          <t>2026.057691-3/02</t>
        </is>
      </c>
      <c r="K32" s="111" t="n">
        <v>46101</v>
      </c>
      <c r="L32" s="111" t="n">
        <v>46189</v>
      </c>
      <c r="M32" s="111" t="n">
        <v>46210</v>
      </c>
      <c r="N32" s="114">
        <f>IF(OR(D32="",E32=""),"",D32+IF(E32="NOTIFICAÇÃO DE CONSTATAÇÃO",PrazoConst,PrazoEsc))</f>
        <v>46187.0</v>
      </c>
      <c r="O32" s="115">
        <f>IF(N32="","",IF(ISNUMBER(L32),N32-L32,IF(OR(G32="DECISÃO D.P",ISNUMBER(M32)),"",N32-TODAY())))</f>
        <v>-2</v>
      </c>
      <c r="P32" s="116" t="str">
        <f>IF(B32="","",IF(ISNUMBER(M32),"DECIDIDO – ","")&amp;IF(ISNUMBER(L32),IF(O32="","SEM DATA",IF(O32&gt;=0,"DEFESA NO PRAZO","DEFESA FORA DO PRAZO")),IF(OR(G32="DECISÃO D.P",ISNUMBER(M32)),"SEM DEFESA",IF(G32="","SEM STATUS",IF(O32="","SEM DATA",IF(O32&lt;0,"VENCIDO",IF(O32&lt;=DiasAlerta,"VENCE EM BREVE","NO PRAZO")))))))</f>
        <v>DECIDIDO – DEFESA FORA DO PRAZO</v>
      </c>
      <c r="Q32" s="117">
        <f>IF(D32="","",TODAY()-D32)</f>
        <v>127</v>
      </c>
      <c r="R32" s="110" t="n"/>
    </row>
    <row r="33" ht="18" customHeight="1">
      <c r="A33" s="109" t="n">
        <v>29</v>
      </c>
      <c r="B33" s="110" t="inlineStr">
        <is>
          <t>Laboratório Vitória</t>
        </is>
      </c>
      <c r="C33" s="110" t="inlineStr">
        <is>
          <t>SAÚDE</t>
        </is>
      </c>
      <c r="D33" s="111" t="n">
        <v>46178</v>
      </c>
      <c r="E33" s="110" t="inlineStr">
        <is>
          <t>NOTIFICAÇÃO DE CONSTATAÇÃO</t>
        </is>
      </c>
      <c r="F33" s="112" t="inlineStr">
        <is>
          <t>ELETRÔNICA</t>
        </is>
      </c>
      <c r="G33" s="112" t="inlineStr">
        <is>
          <t>DECISÃO D.P</t>
        </is>
      </c>
      <c r="H33" s="110" t="inlineStr">
        <is>
          <t>DIEGO RIBEIRO</t>
        </is>
      </c>
      <c r="I33" s="113" t="inlineStr">
        <is>
          <t>0039/2026</t>
        </is>
      </c>
      <c r="J33" s="113" t="inlineStr">
        <is>
          <t>2026.026610-4/03</t>
        </is>
      </c>
      <c r="K33" s="111" t="n">
        <v>46094</v>
      </c>
      <c r="L33" s="111" t="n"/>
      <c r="M33" s="111" t="n">
        <v>46194</v>
      </c>
      <c r="N33" s="114">
        <f>IF(OR(D33="",E33=""),"",D33+IF(E33="NOTIFICAÇÃO DE CONSTATAÇÃO",PrazoConst,PrazoEsc))</f>
        <v>46188.0</v>
      </c>
      <c r="O33" s="115" t="str">
        <f>IF(N33="","",IF(ISNUMBER(L33),N33-L33,IF(OR(G33="DECISÃO D.P",ISNUMBER(M33)),"",N33-TODAY())))</f>
        <v/>
      </c>
      <c r="P33" s="116" t="str">
        <f>IF(B33="","",IF(ISNUMBER(M33),"DECIDIDO – ","")&amp;IF(ISNUMBER(L33),IF(O33="","SEM DATA",IF(O33&gt;=0,"DEFESA NO PRAZO","DEFESA FORA DO PRAZO")),IF(OR(G33="DECISÃO D.P",ISNUMBER(M33)),"SEM DEFESA",IF(G33="","SEM STATUS",IF(O33="","SEM DATA",IF(O33&lt;0,"VENCIDO",IF(O33&lt;=DiasAlerta,"VENCE EM BREVE","NO PRAZO")))))))</f>
        <v>DECIDIDO – SEM DEFESA</v>
      </c>
      <c r="Q33" s="117">
        <f>IF(D33="","",TODAY()-D33)</f>
        <v>126</v>
      </c>
      <c r="R33" s="110" t="n"/>
    </row>
    <row r="34" ht="18" customHeight="1">
      <c r="A34" s="109" t="n">
        <v>30</v>
      </c>
      <c r="B34" s="110" t="inlineStr">
        <is>
          <t>Escola São Jorge</t>
        </is>
      </c>
      <c r="C34" s="110" t="inlineStr">
        <is>
          <t>ESCOLA</t>
        </is>
      </c>
      <c r="D34" s="111" t="n">
        <v>46183</v>
      </c>
      <c r="E34" s="110" t="inlineStr">
        <is>
          <t>NOTIFICAÇÃO DE CONSTATAÇÃO</t>
        </is>
      </c>
      <c r="F34" s="112" t="inlineStr">
        <is>
          <t>PRESENCIAL</t>
        </is>
      </c>
      <c r="G34" s="112" t="inlineStr">
        <is>
          <t>DECISÃO D.P</t>
        </is>
      </c>
      <c r="H34" s="110" t="inlineStr">
        <is>
          <t>GABRIELA NUNES</t>
        </is>
      </c>
      <c r="I34" s="113" t="inlineStr">
        <is>
          <t>0795/2026</t>
        </is>
      </c>
      <c r="J34" s="113" t="inlineStr">
        <is>
          <t>2026.037495-7/09</t>
        </is>
      </c>
      <c r="K34" s="111" t="n">
        <v>46117</v>
      </c>
      <c r="L34" s="111" t="n"/>
      <c r="M34" s="111" t="n"/>
      <c r="N34" s="114">
        <f>IF(OR(D34="",E34=""),"",D34+IF(E34="NOTIFICAÇÃO DE CONSTATAÇÃO",PrazoConst,PrazoEsc))</f>
        <v>46193.0</v>
      </c>
      <c r="O34" s="115" t="str">
        <f>IF(N34="","",IF(ISNUMBER(L34),N34-L34,IF(OR(G34="DECISÃO D.P",ISNUMBER(M34)),"",N34-TODAY())))</f>
        <v/>
      </c>
      <c r="P34" s="116" t="str">
        <f>IF(B34="","",IF(ISNUMBER(M34),"DECIDIDO – ","")&amp;IF(ISNUMBER(L34),IF(O34="","SEM DATA",IF(O34&gt;=0,"DEFESA NO PRAZO","DEFESA FORA DO PRAZO")),IF(OR(G34="DECISÃO D.P",ISNUMBER(M34)),"SEM DEFESA",IF(G34="","SEM STATUS",IF(O34="","SEM DATA",IF(O34&lt;0,"VENCIDO",IF(O34&lt;=DiasAlerta,"VENCE EM BREVE","NO PRAZO")))))))</f>
        <v>SEM DEFESA</v>
      </c>
      <c r="Q34" s="117">
        <f>IF(D34="","",TODAY()-D34)</f>
        <v>121</v>
      </c>
      <c r="R34" s="110" t="n"/>
    </row>
    <row r="35" ht="18" customHeight="1">
      <c r="A35" s="109" t="n">
        <v>31</v>
      </c>
      <c r="B35" s="110" t="inlineStr">
        <is>
          <t>Clínica São Jorge</t>
        </is>
      </c>
      <c r="C35" s="110" t="inlineStr">
        <is>
          <t>SAÚDE</t>
        </is>
      </c>
      <c r="D35" s="111" t="n">
        <v>46186</v>
      </c>
      <c r="E35" s="110" t="inlineStr">
        <is>
          <t>NOTIFICAÇÃO DE ESCLARECIMENTO</t>
        </is>
      </c>
      <c r="F35" s="112" t="inlineStr">
        <is>
          <t>PRESENCIAL</t>
        </is>
      </c>
      <c r="G35" s="112" t="inlineStr">
        <is>
          <t>DECISÃO D.P</t>
        </is>
      </c>
      <c r="H35" s="110" t="inlineStr">
        <is>
          <t>FELIPE ARAÚJO</t>
        </is>
      </c>
      <c r="I35" s="113" t="inlineStr">
        <is>
          <t>0528/2026</t>
        </is>
      </c>
      <c r="J35" s="113" t="inlineStr">
        <is>
          <t>2026.082635-5/02</t>
        </is>
      </c>
      <c r="K35" s="111" t="n">
        <v>46146</v>
      </c>
      <c r="L35" s="111" t="n">
        <v>46193</v>
      </c>
      <c r="M35" s="111" t="n">
        <v>46195</v>
      </c>
      <c r="N35" s="114">
        <f>IF(OR(D35="",E35=""),"",D35+IF(E35="NOTIFICAÇÃO DE CONSTATAÇÃO",PrazoConst,PrazoEsc))</f>
        <v>46201.0</v>
      </c>
      <c r="O35" s="115">
        <f>IF(N35="","",IF(ISNUMBER(L35),N35-L35,IF(OR(G35="DECISÃO D.P",ISNUMBER(M35)),"",N35-TODAY())))</f>
        <v>8</v>
      </c>
      <c r="P35" s="116" t="str">
        <f>IF(B35="","",IF(ISNUMBER(M35),"DECIDIDO – ","")&amp;IF(ISNUMBER(L35),IF(O35="","SEM DATA",IF(O35&gt;=0,"DEFESA NO PRAZO","DEFESA FORA DO PRAZO")),IF(OR(G35="DECISÃO D.P",ISNUMBER(M35)),"SEM DEFESA",IF(G35="","SEM STATUS",IF(O35="","SEM DATA",IF(O35&lt;0,"VENCIDO",IF(O35&lt;=DiasAlerta,"VENCE EM BREVE","NO PRAZO")))))))</f>
        <v>DECIDIDO – DEFESA NO PRAZO</v>
      </c>
      <c r="Q35" s="117">
        <f>IF(D35="","",TODAY()-D35)</f>
        <v>118</v>
      </c>
      <c r="R35" s="110" t="n"/>
    </row>
    <row r="36" ht="18" customHeight="1">
      <c r="A36" s="109" t="n">
        <v>32</v>
      </c>
      <c r="B36" s="110" t="inlineStr">
        <is>
          <t>Churrascaria Bom Preço Ltda</t>
        </is>
      </c>
      <c r="C36" s="110" t="inlineStr">
        <is>
          <t>RESTAURANTE</t>
        </is>
      </c>
      <c r="D36" s="111" t="n">
        <v>46196</v>
      </c>
      <c r="E36" s="110" t="inlineStr">
        <is>
          <t>NOTIFICAÇÃO DE CONSTATAÇÃO</t>
        </is>
      </c>
      <c r="F36" s="112" t="inlineStr">
        <is>
          <t>PRESENCIAL</t>
        </is>
      </c>
      <c r="G36" s="112" t="inlineStr">
        <is>
          <t>DECISÃO D.P</t>
        </is>
      </c>
      <c r="H36" s="110" t="inlineStr">
        <is>
          <t>CARLA MENDES</t>
        </is>
      </c>
      <c r="I36" s="113" t="inlineStr">
        <is>
          <t>0303/2026</t>
        </is>
      </c>
      <c r="J36" s="113" t="inlineStr">
        <is>
          <t>2026.050956-0/08</t>
        </is>
      </c>
      <c r="K36" s="111" t="n">
        <v>46172</v>
      </c>
      <c r="L36" s="111" t="n">
        <v>46200</v>
      </c>
      <c r="M36" s="111" t="n">
        <v>46212</v>
      </c>
      <c r="N36" s="114">
        <f>IF(OR(D36="",E36=""),"",D36+IF(E36="NOTIFICAÇÃO DE CONSTATAÇÃO",PrazoConst,PrazoEsc))</f>
        <v>46206.0</v>
      </c>
      <c r="O36" s="115">
        <f>IF(N36="","",IF(ISNUMBER(L36),N36-L36,IF(OR(G36="DECISÃO D.P",ISNUMBER(M36)),"",N36-TODAY())))</f>
        <v>6</v>
      </c>
      <c r="P36" s="116" t="str">
        <f>IF(B36="","",IF(ISNUMBER(M36),"DECIDIDO – ","")&amp;IF(ISNUMBER(L36),IF(O36="","SEM DATA",IF(O36&gt;=0,"DEFESA NO PRAZO","DEFESA FORA DO PRAZO")),IF(OR(G36="DECISÃO D.P",ISNUMBER(M36)),"SEM DEFESA",IF(G36="","SEM STATUS",IF(O36="","SEM DATA",IF(O36&lt;0,"VENCIDO",IF(O36&lt;=DiasAlerta,"VENCE EM BREVE","NO PRAZO")))))))</f>
        <v>DECIDIDO – DEFESA NO PRAZO</v>
      </c>
      <c r="Q36" s="117">
        <f>IF(D36="","",TODAY()-D36)</f>
        <v>108</v>
      </c>
      <c r="R36" s="110" t="n"/>
    </row>
    <row r="37" ht="18" customHeight="1">
      <c r="A37" s="109" t="n">
        <v>33</v>
      </c>
      <c r="B37" s="110" t="inlineStr">
        <is>
          <t>Studio Fitness Jardim</t>
        </is>
      </c>
      <c r="C37" s="110" t="inlineStr">
        <is>
          <t>ACADEMIA</t>
        </is>
      </c>
      <c r="D37" s="111" t="n">
        <v>46196</v>
      </c>
      <c r="E37" s="110" t="inlineStr">
        <is>
          <t>NOTIFICAÇÃO DE ESCLARECIMENTO</t>
        </is>
      </c>
      <c r="F37" s="112" t="inlineStr">
        <is>
          <t>ELETRÔNICA</t>
        </is>
      </c>
      <c r="G37" s="112" t="inlineStr">
        <is>
          <t>DECISÃO D.P</t>
        </is>
      </c>
      <c r="H37" s="110" t="inlineStr">
        <is>
          <t>DIEGO RIBEIRO</t>
        </is>
      </c>
      <c r="I37" s="113" t="inlineStr">
        <is>
          <t>0857/2026</t>
        </is>
      </c>
      <c r="J37" s="113" t="inlineStr">
        <is>
          <t>2026.030599-8/15</t>
        </is>
      </c>
      <c r="K37" s="111" t="n">
        <v>46139</v>
      </c>
      <c r="L37" s="111" t="n"/>
      <c r="M37" s="111" t="n"/>
      <c r="N37" s="114">
        <f>IF(OR(D37="",E37=""),"",D37+IF(E37="NOTIFICAÇÃO DE CONSTATAÇÃO",PrazoConst,PrazoEsc))</f>
        <v>46211.0</v>
      </c>
      <c r="O37" s="115" t="str">
        <f>IF(N37="","",IF(ISNUMBER(L37),N37-L37,IF(OR(G37="DECISÃO D.P",ISNUMBER(M37)),"",N37-TODAY())))</f>
        <v/>
      </c>
      <c r="P37" s="116" t="str">
        <f>IF(B37="","",IF(ISNUMBER(M37),"DECIDIDO – ","")&amp;IF(ISNUMBER(L37),IF(O37="","SEM DATA",IF(O37&gt;=0,"DEFESA NO PRAZO","DEFESA FORA DO PRAZO")),IF(OR(G37="DECISÃO D.P",ISNUMBER(M37)),"SEM DEFESA",IF(G37="","SEM STATUS",IF(O37="","SEM DATA",IF(O37&lt;0,"VENCIDO",IF(O37&lt;=DiasAlerta,"VENCE EM BREVE","NO PRAZO")))))))</f>
        <v>SEM DEFESA</v>
      </c>
      <c r="Q37" s="117">
        <f>IF(D37="","",TODAY()-D37)</f>
        <v>108</v>
      </c>
      <c r="R37" s="110" t="n"/>
    </row>
    <row r="38" ht="18" customHeight="1">
      <c r="A38" s="109" t="n">
        <v>34</v>
      </c>
      <c r="B38" s="110" t="inlineStr">
        <is>
          <t>Comércio Ipê Amarelo</t>
        </is>
      </c>
      <c r="C38" s="110" t="inlineStr">
        <is>
          <t>OUTROS</t>
        </is>
      </c>
      <c r="D38" s="111" t="n">
        <v>46196</v>
      </c>
      <c r="E38" s="110" t="inlineStr">
        <is>
          <t>NOTIFICAÇÃO DE CONSTATAÇÃO</t>
        </is>
      </c>
      <c r="F38" s="112" t="inlineStr">
        <is>
          <t>ELETRÔNICA</t>
        </is>
      </c>
      <c r="G38" s="112" t="inlineStr">
        <is>
          <t>DECISÃO D.P</t>
        </is>
      </c>
      <c r="H38" s="110" t="inlineStr">
        <is>
          <t>DIEGO RIBEIRO</t>
        </is>
      </c>
      <c r="I38" s="113" t="inlineStr">
        <is>
          <t>0702/2026</t>
        </is>
      </c>
      <c r="J38" s="113" t="inlineStr">
        <is>
          <t>2026.091434-6/01</t>
        </is>
      </c>
      <c r="K38" s="111" t="n">
        <v>46129</v>
      </c>
      <c r="L38" s="111" t="n">
        <v>46207</v>
      </c>
      <c r="M38" s="111" t="n">
        <v>46215</v>
      </c>
      <c r="N38" s="114">
        <f>IF(OR(D38="",E38=""),"",D38+IF(E38="NOTIFICAÇÃO DE CONSTATAÇÃO",PrazoConst,PrazoEsc))</f>
        <v>46206.0</v>
      </c>
      <c r="O38" s="115">
        <f>IF(N38="","",IF(ISNUMBER(L38),N38-L38,IF(OR(G38="DECISÃO D.P",ISNUMBER(M38)),"",N38-TODAY())))</f>
        <v>-1</v>
      </c>
      <c r="P38" s="116" t="str">
        <f>IF(B38="","",IF(ISNUMBER(M38),"DECIDIDO – ","")&amp;IF(ISNUMBER(L38),IF(O38="","SEM DATA",IF(O38&gt;=0,"DEFESA NO PRAZO","DEFESA FORA DO PRAZO")),IF(OR(G38="DECISÃO D.P",ISNUMBER(M38)),"SEM DEFESA",IF(G38="","SEM STATUS",IF(O38="","SEM DATA",IF(O38&lt;0,"VENCIDO",IF(O38&lt;=DiasAlerta,"VENCE EM BREVE","NO PRAZO")))))))</f>
        <v>DECIDIDO – DEFESA FORA DO PRAZO</v>
      </c>
      <c r="Q38" s="117">
        <f>IF(D38="","",TODAY()-D38)</f>
        <v>108</v>
      </c>
      <c r="R38" s="110" t="n"/>
    </row>
    <row r="39" ht="18" customHeight="1">
      <c r="A39" s="109" t="n">
        <v>35</v>
      </c>
      <c r="B39" s="110" t="inlineStr">
        <is>
          <t>Drogaria Ipê Amarelo</t>
        </is>
      </c>
      <c r="C39" s="110" t="inlineStr">
        <is>
          <t>FARMÁCIA</t>
        </is>
      </c>
      <c r="D39" s="111" t="n">
        <v>46197</v>
      </c>
      <c r="E39" s="110" t="inlineStr">
        <is>
          <t>NOTIFICAÇÃO DE ESCLARECIMENTO</t>
        </is>
      </c>
      <c r="F39" s="112" t="inlineStr">
        <is>
          <t>PRESENCIAL</t>
        </is>
      </c>
      <c r="G39" s="112" t="inlineStr">
        <is>
          <t>PRAZO D.P</t>
        </is>
      </c>
      <c r="H39" s="110" t="inlineStr">
        <is>
          <t>BRUNO CARVALHO</t>
        </is>
      </c>
      <c r="I39" s="113" t="inlineStr">
        <is>
          <t>0221/2026</t>
        </is>
      </c>
      <c r="J39" s="113" t="inlineStr">
        <is>
          <t>2026.061643-6/11</t>
        </is>
      </c>
      <c r="K39" s="111" t="n">
        <v>46116</v>
      </c>
      <c r="L39" s="111" t="n"/>
      <c r="M39" s="111" t="n"/>
      <c r="N39" s="114">
        <f>IF(OR(D39="",E39=""),"",D39+IF(E39="NOTIFICAÇÃO DE CONSTATAÇÃO",PrazoConst,PrazoEsc))</f>
        <v>46212.0</v>
      </c>
      <c r="O39" s="115">
        <f>IF(N39="","",IF(ISNUMBER(L39),N39-L39,IF(OR(G39="DECISÃO D.P",ISNUMBER(M39)),"",N39-TODAY())))</f>
        <v>-92</v>
      </c>
      <c r="P39" s="116" t="str">
        <f>IF(B39="","",IF(ISNUMBER(M39),"DECIDIDO – ","")&amp;IF(ISNUMBER(L39),IF(O39="","SEM DATA",IF(O39&gt;=0,"DEFESA NO PRAZO","DEFESA FORA DO PRAZO")),IF(OR(G39="DECISÃO D.P",ISNUMBER(M39)),"SEM DEFESA",IF(G39="","SEM STATUS",IF(O39="","SEM DATA",IF(O39&lt;0,"VENCIDO",IF(O39&lt;=DiasAlerta,"VENCE EM BREVE","NO PRAZO")))))))</f>
        <v>VENCIDO</v>
      </c>
      <c r="Q39" s="117">
        <f>IF(D39="","",TODAY()-D39)</f>
        <v>107</v>
      </c>
      <c r="R39" s="110" t="n"/>
    </row>
    <row r="40" ht="18" customHeight="1">
      <c r="A40" s="109" t="n">
        <v>36</v>
      </c>
      <c r="B40" s="110" t="inlineStr">
        <is>
          <t>Conecta Avenida</t>
        </is>
      </c>
      <c r="C40" s="110" t="inlineStr">
        <is>
          <t>TELEFONIA</t>
        </is>
      </c>
      <c r="D40" s="111" t="n">
        <v>46201</v>
      </c>
      <c r="E40" s="110" t="inlineStr">
        <is>
          <t>NOTIFICAÇÃO DE CONSTATAÇÃO</t>
        </is>
      </c>
      <c r="F40" s="112" t="inlineStr">
        <is>
          <t>PRESENCIAL</t>
        </is>
      </c>
      <c r="G40" s="112" t="inlineStr">
        <is>
          <t>DECISÃO D.P</t>
        </is>
      </c>
      <c r="H40" s="110" t="inlineStr">
        <is>
          <t>FELIPE ARAÚJO</t>
        </is>
      </c>
      <c r="I40" s="113" t="inlineStr">
        <is>
          <t>0442/2026</t>
        </is>
      </c>
      <c r="J40" s="113" t="inlineStr">
        <is>
          <t>2026.044119-1/06</t>
        </is>
      </c>
      <c r="K40" s="111" t="n">
        <v>46162</v>
      </c>
      <c r="L40" s="111" t="n">
        <v>46216</v>
      </c>
      <c r="M40" s="111" t="n">
        <v>46235</v>
      </c>
      <c r="N40" s="114">
        <f>IF(OR(D40="",E40=""),"",D40+IF(E40="NOTIFICAÇÃO DE CONSTATAÇÃO",PrazoConst,PrazoEsc))</f>
        <v>46211.0</v>
      </c>
      <c r="O40" s="115">
        <f>IF(N40="","",IF(ISNUMBER(L40),N40-L40,IF(OR(G40="DECISÃO D.P",ISNUMBER(M40)),"",N40-TODAY())))</f>
        <v>-5</v>
      </c>
      <c r="P40" s="116" t="str">
        <f>IF(B40="","",IF(ISNUMBER(M40),"DECIDIDO – ","")&amp;IF(ISNUMBER(L40),IF(O40="","SEM DATA",IF(O40&gt;=0,"DEFESA NO PRAZO","DEFESA FORA DO PRAZO")),IF(OR(G40="DECISÃO D.P",ISNUMBER(M40)),"SEM DEFESA",IF(G40="","SEM STATUS",IF(O40="","SEM DATA",IF(O40&lt;0,"VENCIDO",IF(O40&lt;=DiasAlerta,"VENCE EM BREVE","NO PRAZO")))))))</f>
        <v>DECIDIDO – DEFESA FORA DO PRAZO</v>
      </c>
      <c r="Q40" s="117">
        <f>IF(D40="","",TODAY()-D40)</f>
        <v>103</v>
      </c>
      <c r="R40" s="110" t="n"/>
    </row>
    <row r="41" ht="18" customHeight="1">
      <c r="A41" s="109" t="n">
        <v>37</v>
      </c>
      <c r="B41" s="110" t="inlineStr">
        <is>
          <t>Posto Vida Plena</t>
        </is>
      </c>
      <c r="C41" s="110" t="inlineStr">
        <is>
          <t>POSTO DE COMBUSTÍVEL</t>
        </is>
      </c>
      <c r="D41" s="111" t="n">
        <v>46206</v>
      </c>
      <c r="E41" s="110" t="inlineStr">
        <is>
          <t>NOTIFICAÇÃO DE ESCLARECIMENTO</t>
        </is>
      </c>
      <c r="F41" s="112" t="inlineStr">
        <is>
          <t>PRESENCIAL</t>
        </is>
      </c>
      <c r="G41" s="112" t="inlineStr">
        <is>
          <t>DECISÃO D.P</t>
        </is>
      </c>
      <c r="H41" s="110" t="inlineStr">
        <is>
          <t>DIEGO RIBEIRO</t>
        </is>
      </c>
      <c r="I41" s="113" t="inlineStr">
        <is>
          <t>0806/2026</t>
        </is>
      </c>
      <c r="J41" s="113" t="inlineStr">
        <is>
          <t>2026.023387-2/04</t>
        </is>
      </c>
      <c r="K41" s="111" t="n">
        <v>46184</v>
      </c>
      <c r="L41" s="111" t="n">
        <v>46228</v>
      </c>
      <c r="M41" s="111" t="n">
        <v>46238</v>
      </c>
      <c r="N41" s="114">
        <f>IF(OR(D41="",E41=""),"",D41+IF(E41="NOTIFICAÇÃO DE CONSTATAÇÃO",PrazoConst,PrazoEsc))</f>
        <v>46221.0</v>
      </c>
      <c r="O41" s="115">
        <f>IF(N41="","",IF(ISNUMBER(L41),N41-L41,IF(OR(G41="DECISÃO D.P",ISNUMBER(M41)),"",N41-TODAY())))</f>
        <v>-7</v>
      </c>
      <c r="P41" s="116" t="str">
        <f>IF(B41="","",IF(ISNUMBER(M41),"DECIDIDO – ","")&amp;IF(ISNUMBER(L41),IF(O41="","SEM DATA",IF(O41&gt;=0,"DEFESA NO PRAZO","DEFESA FORA DO PRAZO")),IF(OR(G41="DECISÃO D.P",ISNUMBER(M41)),"SEM DEFESA",IF(G41="","SEM STATUS",IF(O41="","SEM DATA",IF(O41&lt;0,"VENCIDO",IF(O41&lt;=DiasAlerta,"VENCE EM BREVE","NO PRAZO")))))))</f>
        <v>DECIDIDO – DEFESA FORA DO PRAZO</v>
      </c>
      <c r="Q41" s="117">
        <f>IF(D41="","",TODAY()-D41)</f>
        <v>98</v>
      </c>
      <c r="R41" s="110" t="n"/>
    </row>
    <row r="42" ht="18" customHeight="1">
      <c r="A42" s="109" t="n">
        <v>38</v>
      </c>
      <c r="B42" s="110" t="inlineStr">
        <is>
          <t>Restaurante Ipê Amarelo</t>
        </is>
      </c>
      <c r="C42" s="110" t="inlineStr">
        <is>
          <t>RESTAURANTE</t>
        </is>
      </c>
      <c r="D42" s="111" t="n">
        <v>46207</v>
      </c>
      <c r="E42" s="110" t="inlineStr">
        <is>
          <t>NOTIFICAÇÃO DE CONSTATAÇÃO</t>
        </is>
      </c>
      <c r="F42" s="112" t="inlineStr">
        <is>
          <t>PRESENCIAL</t>
        </is>
      </c>
      <c r="G42" s="112" t="inlineStr">
        <is>
          <t>DECISÃO D.P</t>
        </is>
      </c>
      <c r="H42" s="110" t="inlineStr">
        <is>
          <t>CARLA MENDES</t>
        </is>
      </c>
      <c r="I42" s="113" t="inlineStr">
        <is>
          <t>0023/2026</t>
        </is>
      </c>
      <c r="J42" s="113" t="inlineStr">
        <is>
          <t>2026.094908-5/11</t>
        </is>
      </c>
      <c r="K42" s="111" t="n">
        <v>46132</v>
      </c>
      <c r="L42" s="111" t="n">
        <v>46211</v>
      </c>
      <c r="M42" s="111" t="n">
        <v>46228</v>
      </c>
      <c r="N42" s="114">
        <f>IF(OR(D42="",E42=""),"",D42+IF(E42="NOTIFICAÇÃO DE CONSTATAÇÃO",PrazoConst,PrazoEsc))</f>
        <v>46217.0</v>
      </c>
      <c r="O42" s="115">
        <f>IF(N42="","",IF(ISNUMBER(L42),N42-L42,IF(OR(G42="DECISÃO D.P",ISNUMBER(M42)),"",N42-TODAY())))</f>
        <v>6</v>
      </c>
      <c r="P42" s="116" t="str">
        <f>IF(B42="","",IF(ISNUMBER(M42),"DECIDIDO – ","")&amp;IF(ISNUMBER(L42),IF(O42="","SEM DATA",IF(O42&gt;=0,"DEFESA NO PRAZO","DEFESA FORA DO PRAZO")),IF(OR(G42="DECISÃO D.P",ISNUMBER(M42)),"SEM DEFESA",IF(G42="","SEM STATUS",IF(O42="","SEM DATA",IF(O42&lt;0,"VENCIDO",IF(O42&lt;=DiasAlerta,"VENCE EM BREVE","NO PRAZO")))))))</f>
        <v>DECIDIDO – DEFESA NO PRAZO</v>
      </c>
      <c r="Q42" s="117">
        <f>IF(D42="","",TODAY()-D42)</f>
        <v>97</v>
      </c>
      <c r="R42" s="110" t="n"/>
    </row>
    <row r="43" ht="18" customHeight="1">
      <c r="A43" s="109" t="n">
        <v>39</v>
      </c>
      <c r="B43" s="110" t="inlineStr">
        <is>
          <t>Banco Central</t>
        </is>
      </c>
      <c r="C43" s="110" t="inlineStr">
        <is>
          <t>BANCO</t>
        </is>
      </c>
      <c r="D43" s="111" t="n">
        <v>46211</v>
      </c>
      <c r="E43" s="110" t="inlineStr">
        <is>
          <t>NOTIFICAÇÃO DE CONSTATAÇÃO</t>
        </is>
      </c>
      <c r="F43" s="112" t="inlineStr">
        <is>
          <t>PRESENCIAL</t>
        </is>
      </c>
      <c r="G43" s="112" t="inlineStr">
        <is>
          <t>DECISÃO D.P</t>
        </is>
      </c>
      <c r="H43" s="110" t="inlineStr">
        <is>
          <t>ANA PAULA SOUZA</t>
        </is>
      </c>
      <c r="I43" s="113" t="inlineStr">
        <is>
          <t>0191/2026</t>
        </is>
      </c>
      <c r="J43" s="113" t="inlineStr">
        <is>
          <t>2026.055252-9/08</t>
        </is>
      </c>
      <c r="K43" s="111" t="n">
        <v>46187</v>
      </c>
      <c r="L43" s="111" t="n"/>
      <c r="M43" s="111" t="n"/>
      <c r="N43" s="114">
        <f>IF(OR(D43="",E43=""),"",D43+IF(E43="NOTIFICAÇÃO DE CONSTATAÇÃO",PrazoConst,PrazoEsc))</f>
        <v>46221.0</v>
      </c>
      <c r="O43" s="115" t="str">
        <f>IF(N43="","",IF(ISNUMBER(L43),N43-L43,IF(OR(G43="DECISÃO D.P",ISNUMBER(M43)),"",N43-TODAY())))</f>
        <v/>
      </c>
      <c r="P43" s="116" t="str">
        <f>IF(B43="","",IF(ISNUMBER(M43),"DECIDIDO – ","")&amp;IF(ISNUMBER(L43),IF(O43="","SEM DATA",IF(O43&gt;=0,"DEFESA NO PRAZO","DEFESA FORA DO PRAZO")),IF(OR(G43="DECISÃO D.P",ISNUMBER(M43)),"SEM DEFESA",IF(G43="","SEM STATUS",IF(O43="","SEM DATA",IF(O43&lt;0,"VENCIDO",IF(O43&lt;=DiasAlerta,"VENCE EM BREVE","NO PRAZO")))))))</f>
        <v>SEM DEFESA</v>
      </c>
      <c r="Q43" s="117">
        <f>IF(D43="","",TODAY()-D43)</f>
        <v>93</v>
      </c>
      <c r="R43" s="110" t="n"/>
    </row>
    <row r="44" ht="18" customHeight="1">
      <c r="A44" s="109" t="n">
        <v>40</v>
      </c>
      <c r="B44" s="110" t="inlineStr">
        <is>
          <t>Auto Posto Nova Era Ltda</t>
        </is>
      </c>
      <c r="C44" s="110" t="inlineStr">
        <is>
          <t>POSTO DE COMBUSTÍVEL</t>
        </is>
      </c>
      <c r="D44" s="111" t="n">
        <v>46215</v>
      </c>
      <c r="E44" s="110" t="inlineStr">
        <is>
          <t>NOTIFICAÇÃO DE ESCLARECIMENTO</t>
        </is>
      </c>
      <c r="F44" s="112" t="inlineStr">
        <is>
          <t>ELETRÔNICA</t>
        </is>
      </c>
      <c r="G44" s="112" t="inlineStr">
        <is>
          <t>DECISÃO D.P</t>
        </is>
      </c>
      <c r="H44" s="110" t="inlineStr">
        <is>
          <t>CARLA MENDES</t>
        </is>
      </c>
      <c r="I44" s="113" t="inlineStr">
        <is>
          <t>0377/2026</t>
        </is>
      </c>
      <c r="J44" s="113" t="inlineStr">
        <is>
          <t>2026.029336-8/03</t>
        </is>
      </c>
      <c r="K44" s="111" t="n">
        <v>46172</v>
      </c>
      <c r="L44" s="111" t="n">
        <v>46223</v>
      </c>
      <c r="M44" s="111" t="n">
        <v>46235</v>
      </c>
      <c r="N44" s="114">
        <f>IF(OR(D44="",E44=""),"",D44+IF(E44="NOTIFICAÇÃO DE CONSTATAÇÃO",PrazoConst,PrazoEsc))</f>
        <v>46230.0</v>
      </c>
      <c r="O44" s="115">
        <f>IF(N44="","",IF(ISNUMBER(L44),N44-L44,IF(OR(G44="DECISÃO D.P",ISNUMBER(M44)),"",N44-TODAY())))</f>
        <v>7</v>
      </c>
      <c r="P44" s="116" t="str">
        <f>IF(B44="","",IF(ISNUMBER(M44),"DECIDIDO – ","")&amp;IF(ISNUMBER(L44),IF(O44="","SEM DATA",IF(O44&gt;=0,"DEFESA NO PRAZO","DEFESA FORA DO PRAZO")),IF(OR(G44="DECISÃO D.P",ISNUMBER(M44)),"SEM DEFESA",IF(G44="","SEM STATUS",IF(O44="","SEM DATA",IF(O44&lt;0,"VENCIDO",IF(O44&lt;=DiasAlerta,"VENCE EM BREVE","NO PRAZO")))))))</f>
        <v>DECIDIDO – DEFESA NO PRAZO</v>
      </c>
      <c r="Q44" s="117">
        <f>IF(D44="","",TODAY()-D44)</f>
        <v>89</v>
      </c>
      <c r="R44" s="110" t="n"/>
    </row>
    <row r="45" ht="18" customHeight="1">
      <c r="A45" s="109" t="n">
        <v>41</v>
      </c>
      <c r="B45" s="110" t="inlineStr">
        <is>
          <t>Drogaria Nova Era</t>
        </is>
      </c>
      <c r="C45" s="110" t="inlineStr">
        <is>
          <t>FARMÁCIA</t>
        </is>
      </c>
      <c r="D45" s="111" t="n">
        <v>46215</v>
      </c>
      <c r="E45" s="110" t="inlineStr">
        <is>
          <t>NOTIFICAÇÃO DE ESCLARECIMENTO</t>
        </is>
      </c>
      <c r="F45" s="112" t="inlineStr">
        <is>
          <t>PRESENCIAL</t>
        </is>
      </c>
      <c r="G45" s="112" t="inlineStr">
        <is>
          <t>PRAZO D.P</t>
        </is>
      </c>
      <c r="H45" s="110" t="inlineStr">
        <is>
          <t>BRUNO CARVALHO</t>
        </is>
      </c>
      <c r="I45" s="113" t="inlineStr">
        <is>
          <t>0940/2026</t>
        </is>
      </c>
      <c r="J45" s="113" t="inlineStr">
        <is>
          <t>2026.079757-9/06</t>
        </is>
      </c>
      <c r="K45" s="111" t="n">
        <v>46185</v>
      </c>
      <c r="L45" s="111" t="n"/>
      <c r="M45" s="111" t="n"/>
      <c r="N45" s="114">
        <f>IF(OR(D45="",E45=""),"",D45+IF(E45="NOTIFICAÇÃO DE CONSTATAÇÃO",PrazoConst,PrazoEsc))</f>
        <v>46230.0</v>
      </c>
      <c r="O45" s="115">
        <f>IF(N45="","",IF(ISNUMBER(L45),N45-L45,IF(OR(G45="DECISÃO D.P",ISNUMBER(M45)),"",N45-TODAY())))</f>
        <v>-74</v>
      </c>
      <c r="P45" s="116" t="str">
        <f>IF(B45="","",IF(ISNUMBER(M45),"DECIDIDO – ","")&amp;IF(ISNUMBER(L45),IF(O45="","SEM DATA",IF(O45&gt;=0,"DEFESA NO PRAZO","DEFESA FORA DO PRAZO")),IF(OR(G45="DECISÃO D.P",ISNUMBER(M45)),"SEM DEFESA",IF(G45="","SEM STATUS",IF(O45="","SEM DATA",IF(O45&lt;0,"VENCIDO",IF(O45&lt;=DiasAlerta,"VENCE EM BREVE","NO PRAZO")))))))</f>
        <v>VENCIDO</v>
      </c>
      <c r="Q45" s="117">
        <f>IF(D45="","",TODAY()-D45)</f>
        <v>89</v>
      </c>
      <c r="R45" s="110" t="n"/>
    </row>
    <row r="46" ht="18" customHeight="1">
      <c r="A46" s="109" t="n">
        <v>42</v>
      </c>
      <c r="B46" s="110" t="inlineStr">
        <is>
          <t>Magazine São Jorge</t>
        </is>
      </c>
      <c r="C46" s="110" t="inlineStr">
        <is>
          <t>LOJA</t>
        </is>
      </c>
      <c r="D46" s="111" t="n">
        <v>46225</v>
      </c>
      <c r="E46" s="110" t="inlineStr">
        <is>
          <t>NOTIFICAÇÃO DE CONSTATAÇÃO</t>
        </is>
      </c>
      <c r="F46" s="112" t="inlineStr">
        <is>
          <t>PRESENCIAL</t>
        </is>
      </c>
      <c r="G46" s="112" t="inlineStr">
        <is>
          <t>DECISÃO D.P</t>
        </is>
      </c>
      <c r="H46" s="110" t="inlineStr">
        <is>
          <t>ANA PAULA SOUZA</t>
        </is>
      </c>
      <c r="I46" s="113" t="inlineStr">
        <is>
          <t>0692/2026</t>
        </is>
      </c>
      <c r="J46" s="113" t="inlineStr">
        <is>
          <t>2026.024392-2/04</t>
        </is>
      </c>
      <c r="K46" s="111" t="n">
        <v>46141</v>
      </c>
      <c r="L46" s="111" t="n">
        <v>46232</v>
      </c>
      <c r="M46" s="111" t="n">
        <v>46244</v>
      </c>
      <c r="N46" s="114">
        <f>IF(OR(D46="",E46=""),"",D46+IF(E46="NOTIFICAÇÃO DE CONSTATAÇÃO",PrazoConst,PrazoEsc))</f>
        <v>46235.0</v>
      </c>
      <c r="O46" s="115">
        <f>IF(N46="","",IF(ISNUMBER(L46),N46-L46,IF(OR(G46="DECISÃO D.P",ISNUMBER(M46)),"",N46-TODAY())))</f>
        <v>3</v>
      </c>
      <c r="P46" s="116" t="str">
        <f>IF(B46="","",IF(ISNUMBER(M46),"DECIDIDO – ","")&amp;IF(ISNUMBER(L46),IF(O46="","SEM DATA",IF(O46&gt;=0,"DEFESA NO PRAZO","DEFESA FORA DO PRAZO")),IF(OR(G46="DECISÃO D.P",ISNUMBER(M46)),"SEM DEFESA",IF(G46="","SEM STATUS",IF(O46="","SEM DATA",IF(O46&lt;0,"VENCIDO",IF(O46&lt;=DiasAlerta,"VENCE EM BREVE","NO PRAZO")))))))</f>
        <v>DECIDIDO – DEFESA NO PRAZO</v>
      </c>
      <c r="Q46" s="117">
        <f>IF(D46="","",TODAY()-D46)</f>
        <v>79</v>
      </c>
      <c r="R46" s="110" t="n"/>
    </row>
    <row r="47" ht="18" customHeight="1">
      <c r="A47" s="109" t="n">
        <v>43</v>
      </c>
      <c r="B47" s="110" t="inlineStr">
        <is>
          <t>Conecta Boa Esperança</t>
        </is>
      </c>
      <c r="C47" s="110" t="inlineStr">
        <is>
          <t>TELEFONIA</t>
        </is>
      </c>
      <c r="D47" s="111" t="n">
        <v>46226</v>
      </c>
      <c r="E47" s="110" t="inlineStr">
        <is>
          <t>NOTIFICAÇÃO DE ESCLARECIMENTO</t>
        </is>
      </c>
      <c r="F47" s="112" t="inlineStr">
        <is>
          <t>ELETRÔNICA</t>
        </is>
      </c>
      <c r="G47" s="112" t="inlineStr">
        <is>
          <t>DECISÃO D.P</t>
        </is>
      </c>
      <c r="H47" s="110" t="inlineStr">
        <is>
          <t>BRUNO CARVALHO</t>
        </is>
      </c>
      <c r="I47" s="113" t="inlineStr">
        <is>
          <t>0163/2026</t>
        </is>
      </c>
      <c r="J47" s="113" t="inlineStr">
        <is>
          <t>2026.054810-2/08</t>
        </is>
      </c>
      <c r="K47" s="111" t="n">
        <v>46141</v>
      </c>
      <c r="L47" s="111" t="n"/>
      <c r="M47" s="111" t="n"/>
      <c r="N47" s="114">
        <f>IF(OR(D47="",E47=""),"",D47+IF(E47="NOTIFICAÇÃO DE CONSTATAÇÃO",PrazoConst,PrazoEsc))</f>
        <v>46241.0</v>
      </c>
      <c r="O47" s="115" t="str">
        <f>IF(N47="","",IF(ISNUMBER(L47),N47-L47,IF(OR(G47="DECISÃO D.P",ISNUMBER(M47)),"",N47-TODAY())))</f>
        <v/>
      </c>
      <c r="P47" s="116" t="str">
        <f>IF(B47="","",IF(ISNUMBER(M47),"DECIDIDO – ","")&amp;IF(ISNUMBER(L47),IF(O47="","SEM DATA",IF(O47&gt;=0,"DEFESA NO PRAZO","DEFESA FORA DO PRAZO")),IF(OR(G47="DECISÃO D.P",ISNUMBER(M47)),"SEM DEFESA",IF(G47="","SEM STATUS",IF(O47="","SEM DATA",IF(O47&lt;0,"VENCIDO",IF(O47&lt;=DiasAlerta,"VENCE EM BREVE","NO PRAZO")))))))</f>
        <v>SEM DEFESA</v>
      </c>
      <c r="Q47" s="117">
        <f>IF(D47="","",TODAY()-D47)</f>
        <v>78</v>
      </c>
      <c r="R47" s="110" t="n"/>
    </row>
    <row r="48" ht="18" customHeight="1">
      <c r="A48" s="109" t="n">
        <v>44</v>
      </c>
      <c r="B48" s="110" t="inlineStr">
        <is>
          <t>Studio Fitness São Jorge</t>
        </is>
      </c>
      <c r="C48" s="110" t="inlineStr">
        <is>
          <t>ACADEMIA</t>
        </is>
      </c>
      <c r="D48" s="111" t="n">
        <v>46229</v>
      </c>
      <c r="E48" s="110" t="inlineStr">
        <is>
          <t>NOTIFICAÇÃO DE ESCLARECIMENTO</t>
        </is>
      </c>
      <c r="F48" s="112" t="inlineStr">
        <is>
          <t>PRESENCIAL</t>
        </is>
      </c>
      <c r="G48" s="112" t="inlineStr">
        <is>
          <t>DECISÃO D.P</t>
        </is>
      </c>
      <c r="H48" s="110" t="inlineStr">
        <is>
          <t>DIEGO RIBEIRO</t>
        </is>
      </c>
      <c r="I48" s="113" t="inlineStr">
        <is>
          <t>0017/2026</t>
        </is>
      </c>
      <c r="J48" s="113" t="inlineStr">
        <is>
          <t>2026.029647-6/12</t>
        </is>
      </c>
      <c r="K48" s="111" t="n">
        <v>46161</v>
      </c>
      <c r="L48" s="111" t="n">
        <v>46244</v>
      </c>
      <c r="M48" s="111" t="n">
        <v>46255</v>
      </c>
      <c r="N48" s="114">
        <f>IF(OR(D48="",E48=""),"",D48+IF(E48="NOTIFICAÇÃO DE CONSTATAÇÃO",PrazoConst,PrazoEsc))</f>
        <v>46244.0</v>
      </c>
      <c r="O48" s="115">
        <f>IF(N48="","",IF(ISNUMBER(L48),N48-L48,IF(OR(G48="DECISÃO D.P",ISNUMBER(M48)),"",N48-TODAY())))</f>
        <v>0</v>
      </c>
      <c r="P48" s="116" t="str">
        <f>IF(B48="","",IF(ISNUMBER(M48),"DECIDIDO – ","")&amp;IF(ISNUMBER(L48),IF(O48="","SEM DATA",IF(O48&gt;=0,"DEFESA NO PRAZO","DEFESA FORA DO PRAZO")),IF(OR(G48="DECISÃO D.P",ISNUMBER(M48)),"SEM DEFESA",IF(G48="","SEM STATUS",IF(O48="","SEM DATA",IF(O48&lt;0,"VENCIDO",IF(O48&lt;=DiasAlerta,"VENCE EM BREVE","NO PRAZO")))))))</f>
        <v>DECIDIDO – DEFESA NO PRAZO</v>
      </c>
      <c r="Q48" s="117">
        <f>IF(D48="","",TODAY()-D48)</f>
        <v>75</v>
      </c>
      <c r="R48" s="110" t="n"/>
    </row>
    <row r="49" ht="18" customHeight="1">
      <c r="A49" s="109" t="n">
        <v>45</v>
      </c>
      <c r="B49" s="110" t="inlineStr">
        <is>
          <t>Academia Real</t>
        </is>
      </c>
      <c r="C49" s="110" t="inlineStr">
        <is>
          <t>ACADEMIA</t>
        </is>
      </c>
      <c r="D49" s="111" t="n">
        <v>46229</v>
      </c>
      <c r="E49" s="110" t="inlineStr">
        <is>
          <t>NOTIFICAÇÃO DE CONSTATAÇÃO</t>
        </is>
      </c>
      <c r="F49" s="112" t="inlineStr">
        <is>
          <t>ELETRÔNICA</t>
        </is>
      </c>
      <c r="G49" s="112" t="inlineStr">
        <is>
          <t>DECISÃO D.P</t>
        </is>
      </c>
      <c r="H49" s="110" t="inlineStr">
        <is>
          <t>CARLA MENDES</t>
        </is>
      </c>
      <c r="I49" s="113" t="inlineStr">
        <is>
          <t>0637/2026</t>
        </is>
      </c>
      <c r="J49" s="113" t="inlineStr">
        <is>
          <t>2026.062538-4/14</t>
        </is>
      </c>
      <c r="K49" s="111" t="n">
        <v>46172</v>
      </c>
      <c r="L49" s="111" t="n">
        <v>46235</v>
      </c>
      <c r="M49" s="111" t="n">
        <v>46254</v>
      </c>
      <c r="N49" s="114">
        <f>IF(OR(D49="",E49=""),"",D49+IF(E49="NOTIFICAÇÃO DE CONSTATAÇÃO",PrazoConst,PrazoEsc))</f>
        <v>46239.0</v>
      </c>
      <c r="O49" s="115">
        <f>IF(N49="","",IF(ISNUMBER(L49),N49-L49,IF(OR(G49="DECISÃO D.P",ISNUMBER(M49)),"",N49-TODAY())))</f>
        <v>4</v>
      </c>
      <c r="P49" s="116" t="str">
        <f>IF(B49="","",IF(ISNUMBER(M49),"DECIDIDO – ","")&amp;IF(ISNUMBER(L49),IF(O49="","SEM DATA",IF(O49&gt;=0,"DEFESA NO PRAZO","DEFESA FORA DO PRAZO")),IF(OR(G49="DECISÃO D.P",ISNUMBER(M49)),"SEM DEFESA",IF(G49="","SEM STATUS",IF(O49="","SEM DATA",IF(O49&lt;0,"VENCIDO",IF(O49&lt;=DiasAlerta,"VENCE EM BREVE","NO PRAZO")))))))</f>
        <v>DECIDIDO – DEFESA NO PRAZO</v>
      </c>
      <c r="Q49" s="117">
        <f>IF(D49="","",TODAY()-D49)</f>
        <v>75</v>
      </c>
      <c r="R49" s="110" t="n"/>
    </row>
    <row r="50" ht="18" customHeight="1">
      <c r="A50" s="109" t="n">
        <v>46</v>
      </c>
      <c r="B50" s="110" t="inlineStr">
        <is>
          <t>Churrascaria Atlântico</t>
        </is>
      </c>
      <c r="C50" s="110" t="inlineStr">
        <is>
          <t>RESTAURANTE</t>
        </is>
      </c>
      <c r="D50" s="111" t="n">
        <v>46230</v>
      </c>
      <c r="E50" s="110" t="inlineStr">
        <is>
          <t>NOTIFICAÇÃO DE CONSTATAÇÃO</t>
        </is>
      </c>
      <c r="F50" s="112" t="inlineStr">
        <is>
          <t>PRESENCIAL</t>
        </is>
      </c>
      <c r="G50" s="112" t="inlineStr">
        <is>
          <t>PRAZO D.P</t>
        </is>
      </c>
      <c r="H50" s="110" t="inlineStr">
        <is>
          <t>ANA PAULA SOUZA</t>
        </is>
      </c>
      <c r="I50" s="113" t="inlineStr">
        <is>
          <t>0898/2026</t>
        </is>
      </c>
      <c r="J50" s="113" t="inlineStr">
        <is>
          <t>2026.011849-9/13</t>
        </is>
      </c>
      <c r="K50" s="111" t="n">
        <v>46144</v>
      </c>
      <c r="L50" s="111" t="n"/>
      <c r="M50" s="111" t="n"/>
      <c r="N50" s="114">
        <f>IF(OR(D50="",E50=""),"",D50+IF(E50="NOTIFICAÇÃO DE CONSTATAÇÃO",PrazoConst,PrazoEsc))</f>
        <v>46240.0</v>
      </c>
      <c r="O50" s="115">
        <f>IF(N50="","",IF(ISNUMBER(L50),N50-L50,IF(OR(G50="DECISÃO D.P",ISNUMBER(M50)),"",N50-TODAY())))</f>
        <v>-64</v>
      </c>
      <c r="P50" s="116" t="str">
        <f>IF(B50="","",IF(ISNUMBER(M50),"DECIDIDO – ","")&amp;IF(ISNUMBER(L50),IF(O50="","SEM DATA",IF(O50&gt;=0,"DEFESA NO PRAZO","DEFESA FORA DO PRAZO")),IF(OR(G50="DECISÃO D.P",ISNUMBER(M50)),"SEM DEFESA",IF(G50="","SEM STATUS",IF(O50="","SEM DATA",IF(O50&lt;0,"VENCIDO",IF(O50&lt;=DiasAlerta,"VENCE EM BREVE","NO PRAZO")))))))</f>
        <v>VENCIDO</v>
      </c>
      <c r="Q50" s="117">
        <f>IF(D50="","",TODAY()-D50)</f>
        <v>74</v>
      </c>
      <c r="R50" s="110" t="n"/>
    </row>
    <row r="51" ht="18" customHeight="1">
      <c r="A51" s="109" t="n">
        <v>47</v>
      </c>
      <c r="B51" s="110" t="inlineStr">
        <is>
          <t>Farmácia Vida Plena</t>
        </is>
      </c>
      <c r="C51" s="110" t="inlineStr">
        <is>
          <t>FARMÁCIA</t>
        </is>
      </c>
      <c r="D51" s="111" t="n">
        <v>46230</v>
      </c>
      <c r="E51" s="110" t="inlineStr">
        <is>
          <t>NOTIFICAÇÃO DE ESCLARECIMENTO</t>
        </is>
      </c>
      <c r="F51" s="112" t="inlineStr">
        <is>
          <t>ELETRÔNICA</t>
        </is>
      </c>
      <c r="G51" s="112" t="inlineStr">
        <is>
          <t>PRAZO D.P</t>
        </is>
      </c>
      <c r="H51" s="110" t="inlineStr">
        <is>
          <t>ANA PAULA SOUZA</t>
        </is>
      </c>
      <c r="I51" s="113" t="inlineStr">
        <is>
          <t>0323/2026</t>
        </is>
      </c>
      <c r="J51" s="113" t="inlineStr">
        <is>
          <t>2026.004634-5/02</t>
        </is>
      </c>
      <c r="K51" s="111" t="n">
        <v>46200</v>
      </c>
      <c r="L51" s="111" t="n"/>
      <c r="M51" s="111" t="n"/>
      <c r="N51" s="114">
        <f>IF(OR(D51="",E51=""),"",D51+IF(E51="NOTIFICAÇÃO DE CONSTATAÇÃO",PrazoConst,PrazoEsc))</f>
        <v>46245.0</v>
      </c>
      <c r="O51" s="115">
        <f>IF(N51="","",IF(ISNUMBER(L51),N51-L51,IF(OR(G51="DECISÃO D.P",ISNUMBER(M51)),"",N51-TODAY())))</f>
        <v>-59</v>
      </c>
      <c r="P51" s="116" t="str">
        <f>IF(B51="","",IF(ISNUMBER(M51),"DECIDIDO – ","")&amp;IF(ISNUMBER(L51),IF(O51="","SEM DATA",IF(O51&gt;=0,"DEFESA NO PRAZO","DEFESA FORA DO PRAZO")),IF(OR(G51="DECISÃO D.P",ISNUMBER(M51)),"SEM DEFESA",IF(G51="","SEM STATUS",IF(O51="","SEM DATA",IF(O51&lt;0,"VENCIDO",IF(O51&lt;=DiasAlerta,"VENCE EM BREVE","NO PRAZO")))))))</f>
        <v>VENCIDO</v>
      </c>
      <c r="Q51" s="117">
        <f>IF(D51="","",TODAY()-D51)</f>
        <v>74</v>
      </c>
      <c r="R51" s="110" t="n"/>
    </row>
    <row r="52" ht="18" customHeight="1">
      <c r="A52" s="109" t="n">
        <v>48</v>
      </c>
      <c r="B52" s="110" t="inlineStr">
        <is>
          <t>Farmácia Ipê Amarelo</t>
        </is>
      </c>
      <c r="C52" s="110" t="inlineStr">
        <is>
          <t>FARMÁCIA</t>
        </is>
      </c>
      <c r="D52" s="111" t="n">
        <v>46232</v>
      </c>
      <c r="E52" s="110" t="inlineStr">
        <is>
          <t>NOTIFICAÇÃO DE CONSTATAÇÃO</t>
        </is>
      </c>
      <c r="F52" s="112" t="inlineStr">
        <is>
          <t>PRESENCIAL</t>
        </is>
      </c>
      <c r="G52" s="112" t="inlineStr">
        <is>
          <t>DECISÃO D.P</t>
        </is>
      </c>
      <c r="H52" s="110" t="inlineStr">
        <is>
          <t>CARLA MENDES</t>
        </is>
      </c>
      <c r="I52" s="113" t="inlineStr">
        <is>
          <t>0844/2026</t>
        </is>
      </c>
      <c r="J52" s="113" t="inlineStr">
        <is>
          <t>2026.090105-7/10</t>
        </is>
      </c>
      <c r="K52" s="111" t="n">
        <v>46172</v>
      </c>
      <c r="L52" s="111" t="n">
        <v>46245</v>
      </c>
      <c r="M52" s="111" t="n">
        <v>46271</v>
      </c>
      <c r="N52" s="114">
        <f>IF(OR(D52="",E52=""),"",D52+IF(E52="NOTIFICAÇÃO DE CONSTATAÇÃO",PrazoConst,PrazoEsc))</f>
        <v>46242.0</v>
      </c>
      <c r="O52" s="115">
        <f>IF(N52="","",IF(ISNUMBER(L52),N52-L52,IF(OR(G52="DECISÃO D.P",ISNUMBER(M52)),"",N52-TODAY())))</f>
        <v>-3</v>
      </c>
      <c r="P52" s="116" t="str">
        <f>IF(B52="","",IF(ISNUMBER(M52),"DECIDIDO – ","")&amp;IF(ISNUMBER(L52),IF(O52="","SEM DATA",IF(O52&gt;=0,"DEFESA NO PRAZO","DEFESA FORA DO PRAZO")),IF(OR(G52="DECISÃO D.P",ISNUMBER(M52)),"SEM DEFESA",IF(G52="","SEM STATUS",IF(O52="","SEM DATA",IF(O52&lt;0,"VENCIDO",IF(O52&lt;=DiasAlerta,"VENCE EM BREVE","NO PRAZO")))))))</f>
        <v>DECIDIDO – DEFESA FORA DO PRAZO</v>
      </c>
      <c r="Q52" s="117">
        <f>IF(D52="","",TODAY()-D52)</f>
        <v>72</v>
      </c>
      <c r="R52" s="110" t="n"/>
    </row>
    <row r="53" ht="18" customHeight="1">
      <c r="A53" s="109" t="n">
        <v>49</v>
      </c>
      <c r="B53" s="110" t="inlineStr">
        <is>
          <t>Churrascaria Horizonte</t>
        </is>
      </c>
      <c r="C53" s="110" t="inlineStr">
        <is>
          <t>RESTAURANTE</t>
        </is>
      </c>
      <c r="D53" s="111" t="n">
        <v>46236</v>
      </c>
      <c r="E53" s="110" t="inlineStr">
        <is>
          <t>NOTIFICAÇÃO DE CONSTATAÇÃO</t>
        </is>
      </c>
      <c r="F53" s="112" t="inlineStr">
        <is>
          <t>PRESENCIAL</t>
        </is>
      </c>
      <c r="G53" s="112" t="inlineStr">
        <is>
          <t>DECISÃO D.P</t>
        </is>
      </c>
      <c r="H53" s="110" t="inlineStr">
        <is>
          <t>CARLA MENDES</t>
        </is>
      </c>
      <c r="I53" s="113" t="inlineStr">
        <is>
          <t>0142/2026</t>
        </is>
      </c>
      <c r="J53" s="113" t="inlineStr">
        <is>
          <t>2026.019873-8/04</t>
        </is>
      </c>
      <c r="K53" s="111" t="n">
        <v>46218</v>
      </c>
      <c r="L53" s="111" t="n"/>
      <c r="M53" s="111" t="n">
        <v>46267</v>
      </c>
      <c r="N53" s="114">
        <f>IF(OR(D53="",E53=""),"",D53+IF(E53="NOTIFICAÇÃO DE CONSTATAÇÃO",PrazoConst,PrazoEsc))</f>
        <v>46246.0</v>
      </c>
      <c r="O53" s="115" t="str">
        <f>IF(N53="","",IF(ISNUMBER(L53),N53-L53,IF(OR(G53="DECISÃO D.P",ISNUMBER(M53)),"",N53-TODAY())))</f>
        <v/>
      </c>
      <c r="P53" s="116" t="str">
        <f>IF(B53="","",IF(ISNUMBER(M53),"DECIDIDO – ","")&amp;IF(ISNUMBER(L53),IF(O53="","SEM DATA",IF(O53&gt;=0,"DEFESA NO PRAZO","DEFESA FORA DO PRAZO")),IF(OR(G53="DECISÃO D.P",ISNUMBER(M53)),"SEM DEFESA",IF(G53="","SEM STATUS",IF(O53="","SEM DATA",IF(O53&lt;0,"VENCIDO",IF(O53&lt;=DiasAlerta,"VENCE EM BREVE","NO PRAZO")))))))</f>
        <v>DECIDIDO – SEM DEFESA</v>
      </c>
      <c r="Q53" s="117">
        <f>IF(D53="","",TODAY()-D53)</f>
        <v>68</v>
      </c>
      <c r="R53" s="110" t="n"/>
    </row>
    <row r="54" ht="18" customHeight="1">
      <c r="A54" s="109" t="n">
        <v>50</v>
      </c>
      <c r="B54" s="110" t="inlineStr">
        <is>
          <t>Drogaria Boa Esperança</t>
        </is>
      </c>
      <c r="C54" s="110" t="inlineStr">
        <is>
          <t>FARMÁCIA</t>
        </is>
      </c>
      <c r="D54" s="111" t="n">
        <v>46237</v>
      </c>
      <c r="E54" s="110" t="inlineStr">
        <is>
          <t>NOTIFICAÇÃO DE ESCLARECIMENTO</t>
        </is>
      </c>
      <c r="F54" s="112" t="inlineStr">
        <is>
          <t>PRESENCIAL</t>
        </is>
      </c>
      <c r="G54" s="112" t="inlineStr">
        <is>
          <t>DECISÃO D.P</t>
        </is>
      </c>
      <c r="H54" s="110" t="inlineStr">
        <is>
          <t>DIEGO RIBEIRO</t>
        </is>
      </c>
      <c r="I54" s="113" t="inlineStr">
        <is>
          <t>0157/2026</t>
        </is>
      </c>
      <c r="J54" s="113" t="inlineStr">
        <is>
          <t>2026.018204-9/01</t>
        </is>
      </c>
      <c r="K54" s="111" t="n">
        <v>46214</v>
      </c>
      <c r="L54" s="111" t="n"/>
      <c r="M54" s="111" t="n">
        <v>46262</v>
      </c>
      <c r="N54" s="114">
        <f>IF(OR(D54="",E54=""),"",D54+IF(E54="NOTIFICAÇÃO DE CONSTATAÇÃO",PrazoConst,PrazoEsc))</f>
        <v>46252.0</v>
      </c>
      <c r="O54" s="115" t="str">
        <f>IF(N54="","",IF(ISNUMBER(L54),N54-L54,IF(OR(G54="DECISÃO D.P",ISNUMBER(M54)),"",N54-TODAY())))</f>
        <v/>
      </c>
      <c r="P54" s="116" t="str">
        <f>IF(B54="","",IF(ISNUMBER(M54),"DECIDIDO – ","")&amp;IF(ISNUMBER(L54),IF(O54="","SEM DATA",IF(O54&gt;=0,"DEFESA NO PRAZO","DEFESA FORA DO PRAZO")),IF(OR(G54="DECISÃO D.P",ISNUMBER(M54)),"SEM DEFESA",IF(G54="","SEM STATUS",IF(O54="","SEM DATA",IF(O54&lt;0,"VENCIDO",IF(O54&lt;=DiasAlerta,"VENCE EM BREVE","NO PRAZO")))))))</f>
        <v>DECIDIDO – SEM DEFESA</v>
      </c>
      <c r="Q54" s="117">
        <f>IF(D54="","",TODAY()-D54)</f>
        <v>67</v>
      </c>
      <c r="R54" s="110" t="n"/>
    </row>
    <row r="55" ht="18" customHeight="1">
      <c r="A55" s="109" t="n">
        <v>51</v>
      </c>
      <c r="B55" s="110" t="inlineStr">
        <is>
          <t>Academia Horizonte 24h</t>
        </is>
      </c>
      <c r="C55" s="110" t="inlineStr">
        <is>
          <t>ACADEMIA</t>
        </is>
      </c>
      <c r="D55" s="111" t="n">
        <v>46237</v>
      </c>
      <c r="E55" s="110" t="inlineStr">
        <is>
          <t>NOTIFICAÇÃO DE ESCLARECIMENTO</t>
        </is>
      </c>
      <c r="F55" s="112" t="inlineStr">
        <is>
          <t>ELETRÔNICA</t>
        </is>
      </c>
      <c r="G55" s="112" t="inlineStr">
        <is>
          <t>DECISÃO D.P</t>
        </is>
      </c>
      <c r="H55" s="110" t="inlineStr">
        <is>
          <t>BRUNO CARVALHO</t>
        </is>
      </c>
      <c r="I55" s="113" t="inlineStr">
        <is>
          <t>0265/2026</t>
        </is>
      </c>
      <c r="J55" s="113" t="inlineStr">
        <is>
          <t>2026.010416-7/06</t>
        </is>
      </c>
      <c r="K55" s="111" t="n">
        <v>46179</v>
      </c>
      <c r="L55" s="111" t="n">
        <v>46242</v>
      </c>
      <c r="M55" s="111" t="n"/>
      <c r="N55" s="114">
        <f>IF(OR(D55="",E55=""),"",D55+IF(E55="NOTIFICAÇÃO DE CONSTATAÇÃO",PrazoConst,PrazoEsc))</f>
        <v>46252.0</v>
      </c>
      <c r="O55" s="115">
        <f>IF(N55="","",IF(ISNUMBER(L55),N55-L55,IF(OR(G55="DECISÃO D.P",ISNUMBER(M55)),"",N55-TODAY())))</f>
        <v>10</v>
      </c>
      <c r="P55" s="116" t="str">
        <f>IF(B55="","",IF(ISNUMBER(M55),"DECIDIDO – ","")&amp;IF(ISNUMBER(L55),IF(O55="","SEM DATA",IF(O55&gt;=0,"DEFESA NO PRAZO","DEFESA FORA DO PRAZO")),IF(OR(G55="DECISÃO D.P",ISNUMBER(M55)),"SEM DEFESA",IF(G55="","SEM STATUS",IF(O55="","SEM DATA",IF(O55&lt;0,"VENCIDO",IF(O55&lt;=DiasAlerta,"VENCE EM BREVE","NO PRAZO")))))))</f>
        <v>DEFESA NO PRAZO</v>
      </c>
      <c r="Q55" s="117">
        <f>IF(D55="","",TODAY()-D55)</f>
        <v>67</v>
      </c>
      <c r="R55" s="110" t="n"/>
    </row>
    <row r="56" ht="18" customHeight="1">
      <c r="A56" s="109" t="n">
        <v>52</v>
      </c>
      <c r="B56" s="110" t="inlineStr">
        <is>
          <t>Mercado Avenida</t>
        </is>
      </c>
      <c r="C56" s="110" t="inlineStr">
        <is>
          <t>SUPERMERCADO</t>
        </is>
      </c>
      <c r="D56" s="111" t="n">
        <v>46242</v>
      </c>
      <c r="E56" s="110" t="inlineStr">
        <is>
          <t>NOTIFICAÇÃO DE CONSTATAÇÃO</t>
        </is>
      </c>
      <c r="F56" s="112" t="inlineStr">
        <is>
          <t>PRESENCIAL</t>
        </is>
      </c>
      <c r="G56" s="112" t="inlineStr">
        <is>
          <t>DECISÃO D.P</t>
        </is>
      </c>
      <c r="H56" s="110" t="inlineStr">
        <is>
          <t>HENRIQUE COSTA</t>
        </is>
      </c>
      <c r="I56" s="113" t="inlineStr">
        <is>
          <t>0573/2026</t>
        </is>
      </c>
      <c r="J56" s="113" t="inlineStr">
        <is>
          <t>2026.064151-1/15</t>
        </is>
      </c>
      <c r="K56" s="111" t="n">
        <v>46160</v>
      </c>
      <c r="L56" s="111" t="n"/>
      <c r="M56" s="111" t="n">
        <v>46257</v>
      </c>
      <c r="N56" s="114">
        <f>IF(OR(D56="",E56=""),"",D56+IF(E56="NOTIFICAÇÃO DE CONSTATAÇÃO",PrazoConst,PrazoEsc))</f>
        <v>46252.0</v>
      </c>
      <c r="O56" s="115" t="str">
        <f>IF(N56="","",IF(ISNUMBER(L56),N56-L56,IF(OR(G56="DECISÃO D.P",ISNUMBER(M56)),"",N56-TODAY())))</f>
        <v/>
      </c>
      <c r="P56" s="116" t="str">
        <f>IF(B56="","",IF(ISNUMBER(M56),"DECIDIDO – ","")&amp;IF(ISNUMBER(L56),IF(O56="","SEM DATA",IF(O56&gt;=0,"DEFESA NO PRAZO","DEFESA FORA DO PRAZO")),IF(OR(G56="DECISÃO D.P",ISNUMBER(M56)),"SEM DEFESA",IF(G56="","SEM STATUS",IF(O56="","SEM DATA",IF(O56&lt;0,"VENCIDO",IF(O56&lt;=DiasAlerta,"VENCE EM BREVE","NO PRAZO")))))))</f>
        <v>DECIDIDO – SEM DEFESA</v>
      </c>
      <c r="Q56" s="117">
        <f>IF(D56="","",TODAY()-D56)</f>
        <v>62</v>
      </c>
      <c r="R56" s="110" t="n"/>
    </row>
    <row r="57" ht="18" customHeight="1">
      <c r="A57" s="109" t="n">
        <v>53</v>
      </c>
      <c r="B57" s="110" t="inlineStr">
        <is>
          <t>Mercado Vitória</t>
        </is>
      </c>
      <c r="C57" s="110" t="inlineStr">
        <is>
          <t>SUPERMERCADO</t>
        </is>
      </c>
      <c r="D57" s="111" t="n">
        <v>46245</v>
      </c>
      <c r="E57" s="110" t="inlineStr">
        <is>
          <t>NOTIFICAÇÃO DE CONSTATAÇÃO</t>
        </is>
      </c>
      <c r="F57" s="112" t="inlineStr">
        <is>
          <t>ELETRÔNICA</t>
        </is>
      </c>
      <c r="G57" s="112" t="inlineStr">
        <is>
          <t>DECISÃO D.P</t>
        </is>
      </c>
      <c r="H57" s="110" t="inlineStr">
        <is>
          <t>EDUARDA LIMA</t>
        </is>
      </c>
      <c r="I57" s="113" t="inlineStr">
        <is>
          <t>0777/2026</t>
        </is>
      </c>
      <c r="J57" s="113" t="inlineStr">
        <is>
          <t>2026.057804-7/15</t>
        </is>
      </c>
      <c r="K57" s="111" t="n">
        <v>46238</v>
      </c>
      <c r="L57" s="111" t="n">
        <v>46247</v>
      </c>
      <c r="M57" s="111" t="n">
        <v>46270</v>
      </c>
      <c r="N57" s="114">
        <f>IF(OR(D57="",E57=""),"",D57+IF(E57="NOTIFICAÇÃO DE CONSTATAÇÃO",PrazoConst,PrazoEsc))</f>
        <v>46255.0</v>
      </c>
      <c r="O57" s="115">
        <f>IF(N57="","",IF(ISNUMBER(L57),N57-L57,IF(OR(G57="DECISÃO D.P",ISNUMBER(M57)),"",N57-TODAY())))</f>
        <v>8</v>
      </c>
      <c r="P57" s="116" t="str">
        <f>IF(B57="","",IF(ISNUMBER(M57),"DECIDIDO – ","")&amp;IF(ISNUMBER(L57),IF(O57="","SEM DATA",IF(O57&gt;=0,"DEFESA NO PRAZO","DEFESA FORA DO PRAZO")),IF(OR(G57="DECISÃO D.P",ISNUMBER(M57)),"SEM DEFESA",IF(G57="","SEM STATUS",IF(O57="","SEM DATA",IF(O57&lt;0,"VENCIDO",IF(O57&lt;=DiasAlerta,"VENCE EM BREVE","NO PRAZO")))))))</f>
        <v>DECIDIDO – DEFESA NO PRAZO</v>
      </c>
      <c r="Q57" s="117">
        <f>IF(D57="","",TODAY()-D57)</f>
        <v>59</v>
      </c>
      <c r="R57" s="110" t="n"/>
    </row>
    <row r="58" ht="18" customHeight="1">
      <c r="A58" s="109" t="n">
        <v>54</v>
      </c>
      <c r="B58" s="110" t="inlineStr">
        <is>
          <t>Telecom Avenida</t>
        </is>
      </c>
      <c r="C58" s="110" t="inlineStr">
        <is>
          <t>TELEFONIA</t>
        </is>
      </c>
      <c r="D58" s="111" t="n">
        <v>46247</v>
      </c>
      <c r="E58" s="110" t="inlineStr">
        <is>
          <t>NOTIFICAÇÃO DE ESCLARECIMENTO</t>
        </is>
      </c>
      <c r="F58" s="112" t="inlineStr">
        <is>
          <t>ELETRÔNICA</t>
        </is>
      </c>
      <c r="G58" s="112" t="inlineStr">
        <is>
          <t>DECISÃO D.P</t>
        </is>
      </c>
      <c r="H58" s="110" t="inlineStr">
        <is>
          <t>DIEGO RIBEIRO</t>
        </is>
      </c>
      <c r="I58" s="113" t="inlineStr">
        <is>
          <t>0259/2026</t>
        </is>
      </c>
      <c r="J58" s="113" t="inlineStr">
        <is>
          <t>2026.044779-9/11</t>
        </is>
      </c>
      <c r="K58" s="111" t="n">
        <v>46226</v>
      </c>
      <c r="L58" s="111" t="n">
        <v>46263</v>
      </c>
      <c r="M58" s="111" t="n">
        <v>46280</v>
      </c>
      <c r="N58" s="114">
        <f>IF(OR(D58="",E58=""),"",D58+IF(E58="NOTIFICAÇÃO DE CONSTATAÇÃO",PrazoConst,PrazoEsc))</f>
        <v>46262.0</v>
      </c>
      <c r="O58" s="115">
        <f>IF(N58="","",IF(ISNUMBER(L58),N58-L58,IF(OR(G58="DECISÃO D.P",ISNUMBER(M58)),"",N58-TODAY())))</f>
        <v>-1</v>
      </c>
      <c r="P58" s="116" t="str">
        <f>IF(B58="","",IF(ISNUMBER(M58),"DECIDIDO – ","")&amp;IF(ISNUMBER(L58),IF(O58="","SEM DATA",IF(O58&gt;=0,"DEFESA NO PRAZO","DEFESA FORA DO PRAZO")),IF(OR(G58="DECISÃO D.P",ISNUMBER(M58)),"SEM DEFESA",IF(G58="","SEM STATUS",IF(O58="","SEM DATA",IF(O58&lt;0,"VENCIDO",IF(O58&lt;=DiasAlerta,"VENCE EM BREVE","NO PRAZO")))))))</f>
        <v>DECIDIDO – DEFESA FORA DO PRAZO</v>
      </c>
      <c r="Q58" s="117">
        <f>IF(D58="","",TODAY()-D58)</f>
        <v>57</v>
      </c>
      <c r="R58" s="110" t="n"/>
    </row>
    <row r="59" ht="18" customHeight="1">
      <c r="A59" s="109" t="n">
        <v>55</v>
      </c>
      <c r="B59" s="110" t="inlineStr">
        <is>
          <t>Supermercado Real</t>
        </is>
      </c>
      <c r="C59" s="110" t="inlineStr">
        <is>
          <t>SUPERMERCADO</t>
        </is>
      </c>
      <c r="D59" s="111" t="n">
        <v>46252</v>
      </c>
      <c r="E59" s="110" t="inlineStr">
        <is>
          <t>NOTIFICAÇÃO DE CONSTATAÇÃO</t>
        </is>
      </c>
      <c r="F59" s="112" t="inlineStr">
        <is>
          <t>PRESENCIAL</t>
        </is>
      </c>
      <c r="G59" s="112" t="inlineStr">
        <is>
          <t>DECISÃO D.P</t>
        </is>
      </c>
      <c r="H59" s="110" t="inlineStr">
        <is>
          <t>DIEGO RIBEIRO</t>
        </is>
      </c>
      <c r="I59" s="113" t="inlineStr">
        <is>
          <t>0253/2026</t>
        </is>
      </c>
      <c r="J59" s="113" t="inlineStr">
        <is>
          <t>2026.090592-7/15</t>
        </is>
      </c>
      <c r="K59" s="111" t="n">
        <v>46202</v>
      </c>
      <c r="L59" s="111" t="n">
        <v>46255</v>
      </c>
      <c r="M59" s="111" t="n">
        <v>46259</v>
      </c>
      <c r="N59" s="114">
        <f>IF(OR(D59="",E59=""),"",D59+IF(E59="NOTIFICAÇÃO DE CONSTATAÇÃO",PrazoConst,PrazoEsc))</f>
        <v>46262.0</v>
      </c>
      <c r="O59" s="115">
        <f>IF(N59="","",IF(ISNUMBER(L59),N59-L59,IF(OR(G59="DECISÃO D.P",ISNUMBER(M59)),"",N59-TODAY())))</f>
        <v>7</v>
      </c>
      <c r="P59" s="116" t="str">
        <f>IF(B59="","",IF(ISNUMBER(M59),"DECIDIDO – ","")&amp;IF(ISNUMBER(L59),IF(O59="","SEM DATA",IF(O59&gt;=0,"DEFESA NO PRAZO","DEFESA FORA DO PRAZO")),IF(OR(G59="DECISÃO D.P",ISNUMBER(M59)),"SEM DEFESA",IF(G59="","SEM STATUS",IF(O59="","SEM DATA",IF(O59&lt;0,"VENCIDO",IF(O59&lt;=DiasAlerta,"VENCE EM BREVE","NO PRAZO")))))))</f>
        <v>DECIDIDO – DEFESA NO PRAZO</v>
      </c>
      <c r="Q59" s="117">
        <f>IF(D59="","",TODAY()-D59)</f>
        <v>52</v>
      </c>
      <c r="R59" s="110" t="n"/>
    </row>
    <row r="60" ht="18" customHeight="1">
      <c r="A60" s="109" t="n">
        <v>56</v>
      </c>
      <c r="B60" s="110" t="inlineStr">
        <is>
          <t>Mercado Monte Sião</t>
        </is>
      </c>
      <c r="C60" s="110" t="inlineStr">
        <is>
          <t>SUPERMERCADO</t>
        </is>
      </c>
      <c r="D60" s="111" t="n">
        <v>46253</v>
      </c>
      <c r="E60" s="110" t="inlineStr">
        <is>
          <t>NOTIFICAÇÃO DE CONSTATAÇÃO</t>
        </is>
      </c>
      <c r="F60" s="112" t="inlineStr">
        <is>
          <t>PRESENCIAL</t>
        </is>
      </c>
      <c r="G60" s="112" t="inlineStr">
        <is>
          <t>DECISÃO D.P</t>
        </is>
      </c>
      <c r="H60" s="110" t="inlineStr">
        <is>
          <t>CARLA MENDES</t>
        </is>
      </c>
      <c r="I60" s="113" t="inlineStr">
        <is>
          <t>0920/2026</t>
        </is>
      </c>
      <c r="J60" s="113" t="inlineStr">
        <is>
          <t>2026.055333-0/01</t>
        </is>
      </c>
      <c r="K60" s="111" t="n">
        <v>46216</v>
      </c>
      <c r="L60" s="111" t="n">
        <v>46254</v>
      </c>
      <c r="M60" s="111" t="n">
        <v>46259</v>
      </c>
      <c r="N60" s="114">
        <f>IF(OR(D60="",E60=""),"",D60+IF(E60="NOTIFICAÇÃO DE CONSTATAÇÃO",PrazoConst,PrazoEsc))</f>
        <v>46263.0</v>
      </c>
      <c r="O60" s="115">
        <f>IF(N60="","",IF(ISNUMBER(L60),N60-L60,IF(OR(G60="DECISÃO D.P",ISNUMBER(M60)),"",N60-TODAY())))</f>
        <v>9</v>
      </c>
      <c r="P60" s="116" t="str">
        <f>IF(B60="","",IF(ISNUMBER(M60),"DECIDIDO – ","")&amp;IF(ISNUMBER(L60),IF(O60="","SEM DATA",IF(O60&gt;=0,"DEFESA NO PRAZO","DEFESA FORA DO PRAZO")),IF(OR(G60="DECISÃO D.P",ISNUMBER(M60)),"SEM DEFESA",IF(G60="","SEM STATUS",IF(O60="","SEM DATA",IF(O60&lt;0,"VENCIDO",IF(O60&lt;=DiasAlerta,"VENCE EM BREVE","NO PRAZO")))))))</f>
        <v>DECIDIDO – DEFESA NO PRAZO</v>
      </c>
      <c r="Q60" s="117">
        <f>IF(D60="","",TODAY()-D60)</f>
        <v>51</v>
      </c>
      <c r="R60" s="110" t="n"/>
    </row>
    <row r="61" ht="18" customHeight="1">
      <c r="A61" s="109" t="n">
        <v>57</v>
      </c>
      <c r="B61" s="110" t="inlineStr">
        <is>
          <t>Farmácia Nova Era</t>
        </is>
      </c>
      <c r="C61" s="110" t="inlineStr">
        <is>
          <t>FARMÁCIA</t>
        </is>
      </c>
      <c r="D61" s="111" t="n">
        <v>46253</v>
      </c>
      <c r="E61" s="110" t="inlineStr">
        <is>
          <t>NOTIFICAÇÃO DE CONSTATAÇÃO</t>
        </is>
      </c>
      <c r="F61" s="112" t="inlineStr">
        <is>
          <t>PRESENCIAL</t>
        </is>
      </c>
      <c r="G61" s="112" t="inlineStr">
        <is>
          <t>DECISÃO D.P</t>
        </is>
      </c>
      <c r="H61" s="110" t="inlineStr">
        <is>
          <t>HENRIQUE COSTA</t>
        </is>
      </c>
      <c r="I61" s="113" t="inlineStr">
        <is>
          <t>0645/2026</t>
        </is>
      </c>
      <c r="J61" s="113" t="inlineStr">
        <is>
          <t>2026.080423-7/07</t>
        </is>
      </c>
      <c r="K61" s="111" t="n">
        <v>46247</v>
      </c>
      <c r="L61" s="111" t="n">
        <v>46259</v>
      </c>
      <c r="M61" s="111" t="n">
        <v>46261</v>
      </c>
      <c r="N61" s="114">
        <f>IF(OR(D61="",E61=""),"",D61+IF(E61="NOTIFICAÇÃO DE CONSTATAÇÃO",PrazoConst,PrazoEsc))</f>
        <v>46263.0</v>
      </c>
      <c r="O61" s="115">
        <f>IF(N61="","",IF(ISNUMBER(L61),N61-L61,IF(OR(G61="DECISÃO D.P",ISNUMBER(M61)),"",N61-TODAY())))</f>
        <v>4</v>
      </c>
      <c r="P61" s="116" t="str">
        <f>IF(B61="","",IF(ISNUMBER(M61),"DECIDIDO – ","")&amp;IF(ISNUMBER(L61),IF(O61="","SEM DATA",IF(O61&gt;=0,"DEFESA NO PRAZO","DEFESA FORA DO PRAZO")),IF(OR(G61="DECISÃO D.P",ISNUMBER(M61)),"SEM DEFESA",IF(G61="","SEM STATUS",IF(O61="","SEM DATA",IF(O61&lt;0,"VENCIDO",IF(O61&lt;=DiasAlerta,"VENCE EM BREVE","NO PRAZO")))))))</f>
        <v>DECIDIDO – DEFESA NO PRAZO</v>
      </c>
      <c r="Q61" s="117">
        <f>IF(D61="","",TODAY()-D61)</f>
        <v>51</v>
      </c>
      <c r="R61" s="110" t="n"/>
    </row>
    <row r="62" ht="18" customHeight="1">
      <c r="A62" s="109" t="n">
        <v>58</v>
      </c>
      <c r="B62" s="110" t="inlineStr">
        <is>
          <t>Supermercado Monte Sião</t>
        </is>
      </c>
      <c r="C62" s="110" t="inlineStr">
        <is>
          <t>SUPERMERCADO</t>
        </is>
      </c>
      <c r="D62" s="111" t="n">
        <v>46257</v>
      </c>
      <c r="E62" s="110" t="inlineStr">
        <is>
          <t>NOTIFICAÇÃO DE CONSTATAÇÃO</t>
        </is>
      </c>
      <c r="F62" s="112" t="inlineStr">
        <is>
          <t>PRESENCIAL</t>
        </is>
      </c>
      <c r="G62" s="112" t="inlineStr">
        <is>
          <t>DECISÃO D.P</t>
        </is>
      </c>
      <c r="H62" s="110" t="inlineStr">
        <is>
          <t>HENRIQUE COSTA</t>
        </is>
      </c>
      <c r="I62" s="113" t="inlineStr">
        <is>
          <t>0176/2026</t>
        </is>
      </c>
      <c r="J62" s="113" t="inlineStr">
        <is>
          <t>2026.090724-0/13</t>
        </is>
      </c>
      <c r="K62" s="111" t="n">
        <v>46239</v>
      </c>
      <c r="L62" s="111" t="n">
        <v>46263</v>
      </c>
      <c r="M62" s="111" t="n">
        <v>46268</v>
      </c>
      <c r="N62" s="114">
        <f>IF(OR(D62="",E62=""),"",D62+IF(E62="NOTIFICAÇÃO DE CONSTATAÇÃO",PrazoConst,PrazoEsc))</f>
        <v>46267.0</v>
      </c>
      <c r="O62" s="115">
        <f>IF(N62="","",IF(ISNUMBER(L62),N62-L62,IF(OR(G62="DECISÃO D.P",ISNUMBER(M62)),"",N62-TODAY())))</f>
        <v>4</v>
      </c>
      <c r="P62" s="116" t="str">
        <f>IF(B62="","",IF(ISNUMBER(M62),"DECIDIDO – ","")&amp;IF(ISNUMBER(L62),IF(O62="","SEM DATA",IF(O62&gt;=0,"DEFESA NO PRAZO","DEFESA FORA DO PRAZO")),IF(OR(G62="DECISÃO D.P",ISNUMBER(M62)),"SEM DEFESA",IF(G62="","SEM STATUS",IF(O62="","SEM DATA",IF(O62&lt;0,"VENCIDO",IF(O62&lt;=DiasAlerta,"VENCE EM BREVE","NO PRAZO")))))))</f>
        <v>DECIDIDO – DEFESA NO PRAZO</v>
      </c>
      <c r="Q62" s="117">
        <f>IF(D62="","",TODAY()-D62)</f>
        <v>47</v>
      </c>
      <c r="R62" s="110" t="n"/>
    </row>
    <row r="63" ht="18" customHeight="1">
      <c r="A63" s="109" t="n">
        <v>59</v>
      </c>
      <c r="B63" s="110" t="inlineStr">
        <is>
          <t>Magazine Vitória</t>
        </is>
      </c>
      <c r="C63" s="110" t="inlineStr">
        <is>
          <t>LOJA</t>
        </is>
      </c>
      <c r="D63" s="111" t="n">
        <v>46257</v>
      </c>
      <c r="E63" s="110" t="inlineStr">
        <is>
          <t>NOTIFICAÇÃO DE CONSTATAÇÃO</t>
        </is>
      </c>
      <c r="F63" s="112" t="inlineStr">
        <is>
          <t>ELETRÔNICA</t>
        </is>
      </c>
      <c r="G63" s="112" t="inlineStr">
        <is>
          <t>DECISÃO D.P</t>
        </is>
      </c>
      <c r="H63" s="110" t="inlineStr">
        <is>
          <t>FELIPE ARAÚJO</t>
        </is>
      </c>
      <c r="I63" s="113" t="inlineStr">
        <is>
          <t>0567/2026</t>
        </is>
      </c>
      <c r="J63" s="113" t="inlineStr">
        <is>
          <t>2026.086224-8/14</t>
        </is>
      </c>
      <c r="K63" s="111" t="n">
        <v>46248</v>
      </c>
      <c r="L63" s="111" t="n">
        <v>46274</v>
      </c>
      <c r="M63" s="111" t="n">
        <v>46286</v>
      </c>
      <c r="N63" s="114">
        <f>IF(OR(D63="",E63=""),"",D63+IF(E63="NOTIFICAÇÃO DE CONSTATAÇÃO",PrazoConst,PrazoEsc))</f>
        <v>46267.0</v>
      </c>
      <c r="O63" s="115">
        <f>IF(N63="","",IF(ISNUMBER(L63),N63-L63,IF(OR(G63="DECISÃO D.P",ISNUMBER(M63)),"",N63-TODAY())))</f>
        <v>-7</v>
      </c>
      <c r="P63" s="116" t="str">
        <f>IF(B63="","",IF(ISNUMBER(M63),"DECIDIDO – ","")&amp;IF(ISNUMBER(L63),IF(O63="","SEM DATA",IF(O63&gt;=0,"DEFESA NO PRAZO","DEFESA FORA DO PRAZO")),IF(OR(G63="DECISÃO D.P",ISNUMBER(M63)),"SEM DEFESA",IF(G63="","SEM STATUS",IF(O63="","SEM DATA",IF(O63&lt;0,"VENCIDO",IF(O63&lt;=DiasAlerta,"VENCE EM BREVE","NO PRAZO")))))))</f>
        <v>DECIDIDO – DEFESA FORA DO PRAZO</v>
      </c>
      <c r="Q63" s="117">
        <f>IF(D63="","",TODAY()-D63)</f>
        <v>47</v>
      </c>
      <c r="R63" s="110" t="n"/>
    </row>
    <row r="64" ht="18" customHeight="1">
      <c r="A64" s="109" t="n">
        <v>60</v>
      </c>
      <c r="B64" s="110" t="inlineStr">
        <is>
          <t>Academia Boa Esperança</t>
        </is>
      </c>
      <c r="C64" s="110" t="inlineStr">
        <is>
          <t>ACADEMIA</t>
        </is>
      </c>
      <c r="D64" s="111" t="n">
        <v>46257</v>
      </c>
      <c r="E64" s="110" t="inlineStr">
        <is>
          <t>NOTIFICAÇÃO DE CONSTATAÇÃO</t>
        </is>
      </c>
      <c r="F64" s="112" t="inlineStr">
        <is>
          <t>PRESENCIAL</t>
        </is>
      </c>
      <c r="G64" s="112" t="inlineStr">
        <is>
          <t>DECISÃO D.P</t>
        </is>
      </c>
      <c r="H64" s="110" t="inlineStr">
        <is>
          <t>HENRIQUE COSTA</t>
        </is>
      </c>
      <c r="I64" s="113" t="inlineStr">
        <is>
          <t>0472/2026</t>
        </is>
      </c>
      <c r="J64" s="113" t="inlineStr">
        <is>
          <t>2026.016893-0/12</t>
        </is>
      </c>
      <c r="K64" s="111" t="n">
        <v>46251</v>
      </c>
      <c r="L64" s="111" t="n"/>
      <c r="M64" s="111" t="n">
        <v>46274</v>
      </c>
      <c r="N64" s="114">
        <f>IF(OR(D64="",E64=""),"",D64+IF(E64="NOTIFICAÇÃO DE CONSTATAÇÃO",PrazoConst,PrazoEsc))</f>
        <v>46267.0</v>
      </c>
      <c r="O64" s="115" t="str">
        <f>IF(N64="","",IF(ISNUMBER(L64),N64-L64,IF(OR(G64="DECISÃO D.P",ISNUMBER(M64)),"",N64-TODAY())))</f>
        <v/>
      </c>
      <c r="P64" s="116" t="str">
        <f>IF(B64="","",IF(ISNUMBER(M64),"DECIDIDO – ","")&amp;IF(ISNUMBER(L64),IF(O64="","SEM DATA",IF(O64&gt;=0,"DEFESA NO PRAZO","DEFESA FORA DO PRAZO")),IF(OR(G64="DECISÃO D.P",ISNUMBER(M64)),"SEM DEFESA",IF(G64="","SEM STATUS",IF(O64="","SEM DATA",IF(O64&lt;0,"VENCIDO",IF(O64&lt;=DiasAlerta,"VENCE EM BREVE","NO PRAZO")))))))</f>
        <v>DECIDIDO – SEM DEFESA</v>
      </c>
      <c r="Q64" s="117">
        <f>IF(D64="","",TODAY()-D64)</f>
        <v>47</v>
      </c>
      <c r="R64" s="110" t="n"/>
    </row>
    <row r="65" ht="18" customHeight="1">
      <c r="A65" s="109" t="n">
        <v>61</v>
      </c>
      <c r="B65" s="110" t="inlineStr">
        <is>
          <t>Boutique Central</t>
        </is>
      </c>
      <c r="C65" s="110" t="inlineStr">
        <is>
          <t>LOJA</t>
        </is>
      </c>
      <c r="D65" s="111" t="n">
        <v>46257</v>
      </c>
      <c r="E65" s="110" t="inlineStr">
        <is>
          <t>NOTIFICAÇÃO DE CONSTATAÇÃO</t>
        </is>
      </c>
      <c r="F65" s="112" t="inlineStr">
        <is>
          <t>PRESENCIAL</t>
        </is>
      </c>
      <c r="G65" s="112" t="inlineStr">
        <is>
          <t>DECISÃO D.P</t>
        </is>
      </c>
      <c r="H65" s="110" t="inlineStr">
        <is>
          <t>CARLA MENDES</t>
        </is>
      </c>
      <c r="I65" s="113" t="inlineStr">
        <is>
          <t>0774/2026</t>
        </is>
      </c>
      <c r="J65" s="113" t="inlineStr">
        <is>
          <t>2026.091467-0/12</t>
        </is>
      </c>
      <c r="K65" s="111" t="n">
        <v>46181</v>
      </c>
      <c r="L65" s="111" t="n">
        <v>46260</v>
      </c>
      <c r="M65" s="111" t="n">
        <v>46262</v>
      </c>
      <c r="N65" s="114">
        <f>IF(OR(D65="",E65=""),"",D65+IF(E65="NOTIFICAÇÃO DE CONSTATAÇÃO",PrazoConst,PrazoEsc))</f>
        <v>46267.0</v>
      </c>
      <c r="O65" s="115">
        <f>IF(N65="","",IF(ISNUMBER(L65),N65-L65,IF(OR(G65="DECISÃO D.P",ISNUMBER(M65)),"",N65-TODAY())))</f>
        <v>7</v>
      </c>
      <c r="P65" s="116" t="str">
        <f>IF(B65="","",IF(ISNUMBER(M65),"DECIDIDO – ","")&amp;IF(ISNUMBER(L65),IF(O65="","SEM DATA",IF(O65&gt;=0,"DEFESA NO PRAZO","DEFESA FORA DO PRAZO")),IF(OR(G65="DECISÃO D.P",ISNUMBER(M65)),"SEM DEFESA",IF(G65="","SEM STATUS",IF(O65="","SEM DATA",IF(O65&lt;0,"VENCIDO",IF(O65&lt;=DiasAlerta,"VENCE EM BREVE","NO PRAZO")))))))</f>
        <v>DECIDIDO – DEFESA NO PRAZO</v>
      </c>
      <c r="Q65" s="117">
        <f>IF(D65="","",TODAY()-D65)</f>
        <v>47</v>
      </c>
      <c r="R65" s="110" t="n"/>
    </row>
    <row r="66" ht="18" customHeight="1">
      <c r="A66" s="109" t="n">
        <v>62</v>
      </c>
      <c r="B66" s="110" t="inlineStr">
        <is>
          <t>Restaurante Vitória</t>
        </is>
      </c>
      <c r="C66" s="110" t="inlineStr">
        <is>
          <t>RESTAURANTE</t>
        </is>
      </c>
      <c r="D66" s="111" t="n">
        <v>46259</v>
      </c>
      <c r="E66" s="110" t="inlineStr">
        <is>
          <t>NOTIFICAÇÃO DE ESCLARECIMENTO</t>
        </is>
      </c>
      <c r="F66" s="112" t="inlineStr">
        <is>
          <t>PRESENCIAL</t>
        </is>
      </c>
      <c r="G66" s="112" t="inlineStr">
        <is>
          <t>DECISÃO D.P</t>
        </is>
      </c>
      <c r="H66" s="110" t="inlineStr">
        <is>
          <t>FELIPE ARAÚJO</t>
        </is>
      </c>
      <c r="I66" s="113" t="inlineStr">
        <is>
          <t>0539/2026</t>
        </is>
      </c>
      <c r="J66" s="113" t="inlineStr">
        <is>
          <t>2026.013885-4/05</t>
        </is>
      </c>
      <c r="K66" s="111" t="n">
        <v>46187</v>
      </c>
      <c r="L66" s="111" t="n">
        <v>46278</v>
      </c>
      <c r="M66" s="111" t="n">
        <v>46296</v>
      </c>
      <c r="N66" s="114">
        <f>IF(OR(D66="",E66=""),"",D66+IF(E66="NOTIFICAÇÃO DE CONSTATAÇÃO",PrazoConst,PrazoEsc))</f>
        <v>46274.0</v>
      </c>
      <c r="O66" s="115">
        <f>IF(N66="","",IF(ISNUMBER(L66),N66-L66,IF(OR(G66="DECISÃO D.P",ISNUMBER(M66)),"",N66-TODAY())))</f>
        <v>-4</v>
      </c>
      <c r="P66" s="116" t="str">
        <f>IF(B66="","",IF(ISNUMBER(M66),"DECIDIDO – ","")&amp;IF(ISNUMBER(L66),IF(O66="","SEM DATA",IF(O66&gt;=0,"DEFESA NO PRAZO","DEFESA FORA DO PRAZO")),IF(OR(G66="DECISÃO D.P",ISNUMBER(M66)),"SEM DEFESA",IF(G66="","SEM STATUS",IF(O66="","SEM DATA",IF(O66&lt;0,"VENCIDO",IF(O66&lt;=DiasAlerta,"VENCE EM BREVE","NO PRAZO")))))))</f>
        <v>DECIDIDO – DEFESA FORA DO PRAZO</v>
      </c>
      <c r="Q66" s="117">
        <f>IF(D66="","",TODAY()-D66)</f>
        <v>45</v>
      </c>
      <c r="R66" s="110" t="n"/>
    </row>
    <row r="67" ht="18" customHeight="1">
      <c r="A67" s="109" t="n">
        <v>63</v>
      </c>
      <c r="B67" s="110" t="inlineStr">
        <is>
          <t>Escola Atlântico</t>
        </is>
      </c>
      <c r="C67" s="110" t="inlineStr">
        <is>
          <t>ESCOLA</t>
        </is>
      </c>
      <c r="D67" s="111" t="n">
        <v>46263</v>
      </c>
      <c r="E67" s="110" t="inlineStr">
        <is>
          <t>NOTIFICAÇÃO DE CONSTATAÇÃO</t>
        </is>
      </c>
      <c r="F67" s="112" t="inlineStr">
        <is>
          <t>PRESENCIAL</t>
        </is>
      </c>
      <c r="G67" s="112" t="inlineStr">
        <is>
          <t>DECISÃO D.P</t>
        </is>
      </c>
      <c r="H67" s="110" t="inlineStr">
        <is>
          <t>GABRIELA NUNES</t>
        </is>
      </c>
      <c r="I67" s="113" t="inlineStr">
        <is>
          <t>0742/2026</t>
        </is>
      </c>
      <c r="J67" s="113" t="inlineStr">
        <is>
          <t>2026.065643-6/06</t>
        </is>
      </c>
      <c r="K67" s="111" t="n">
        <v>46174</v>
      </c>
      <c r="L67" s="111" t="n">
        <v>46278</v>
      </c>
      <c r="M67" s="111" t="n">
        <v>46302</v>
      </c>
      <c r="N67" s="114">
        <f>IF(OR(D67="",E67=""),"",D67+IF(E67="NOTIFICAÇÃO DE CONSTATAÇÃO",PrazoConst,PrazoEsc))</f>
        <v>46273.0</v>
      </c>
      <c r="O67" s="115">
        <f>IF(N67="","",IF(ISNUMBER(L67),N67-L67,IF(OR(G67="DECISÃO D.P",ISNUMBER(M67)),"",N67-TODAY())))</f>
        <v>-5</v>
      </c>
      <c r="P67" s="116" t="str">
        <f>IF(B67="","",IF(ISNUMBER(M67),"DECIDIDO – ","")&amp;IF(ISNUMBER(L67),IF(O67="","SEM DATA",IF(O67&gt;=0,"DEFESA NO PRAZO","DEFESA FORA DO PRAZO")),IF(OR(G67="DECISÃO D.P",ISNUMBER(M67)),"SEM DEFESA",IF(G67="","SEM STATUS",IF(O67="","SEM DATA",IF(O67&lt;0,"VENCIDO",IF(O67&lt;=DiasAlerta,"VENCE EM BREVE","NO PRAZO")))))))</f>
        <v>DECIDIDO – DEFESA FORA DO PRAZO</v>
      </c>
      <c r="Q67" s="117">
        <f>IF(D67="","",TODAY()-D67)</f>
        <v>41</v>
      </c>
      <c r="R67" s="110" t="n"/>
    </row>
    <row r="68" ht="18" customHeight="1">
      <c r="A68" s="109" t="n">
        <v>64</v>
      </c>
      <c r="B68" s="110" t="inlineStr">
        <is>
          <t>Farmácia Central</t>
        </is>
      </c>
      <c r="C68" s="110" t="inlineStr">
        <is>
          <t>FARMÁCIA</t>
        </is>
      </c>
      <c r="D68" s="111" t="n">
        <v>46264</v>
      </c>
      <c r="E68" s="110" t="inlineStr">
        <is>
          <t>NOTIFICAÇÃO DE ESCLARECIMENTO</t>
        </is>
      </c>
      <c r="F68" s="112" t="inlineStr">
        <is>
          <t>ELETRÔNICA</t>
        </is>
      </c>
      <c r="G68" s="112" t="inlineStr">
        <is>
          <t>DECISÃO D.P</t>
        </is>
      </c>
      <c r="H68" s="110" t="inlineStr">
        <is>
          <t>EDUARDA LIMA</t>
        </is>
      </c>
      <c r="I68" s="113" t="inlineStr">
        <is>
          <t>0191/2026</t>
        </is>
      </c>
      <c r="J68" s="113" t="inlineStr">
        <is>
          <t>2026.036757-6/09</t>
        </is>
      </c>
      <c r="K68" s="111" t="n">
        <v>46210</v>
      </c>
      <c r="L68" s="111" t="n">
        <v>46267</v>
      </c>
      <c r="M68" s="111" t="n">
        <v>46274</v>
      </c>
      <c r="N68" s="114">
        <f>IF(OR(D68="",E68=""),"",D68+IF(E68="NOTIFICAÇÃO DE CONSTATAÇÃO",PrazoConst,PrazoEsc))</f>
        <v>46279.0</v>
      </c>
      <c r="O68" s="115">
        <f>IF(N68="","",IF(ISNUMBER(L68),N68-L68,IF(OR(G68="DECISÃO D.P",ISNUMBER(M68)),"",N68-TODAY())))</f>
        <v>12</v>
      </c>
      <c r="P68" s="116" t="str">
        <f>IF(B68="","",IF(ISNUMBER(M68),"DECIDIDO – ","")&amp;IF(ISNUMBER(L68),IF(O68="","SEM DATA",IF(O68&gt;=0,"DEFESA NO PRAZO","DEFESA FORA DO PRAZO")),IF(OR(G68="DECISÃO D.P",ISNUMBER(M68)),"SEM DEFESA",IF(G68="","SEM STATUS",IF(O68="","SEM DATA",IF(O68&lt;0,"VENCIDO",IF(O68&lt;=DiasAlerta,"VENCE EM BREVE","NO PRAZO")))))))</f>
        <v>DECIDIDO – DEFESA NO PRAZO</v>
      </c>
      <c r="Q68" s="117">
        <f>IF(D68="","",TODAY()-D68)</f>
        <v>40</v>
      </c>
      <c r="R68" s="110" t="n"/>
    </row>
    <row r="69" ht="18" customHeight="1">
      <c r="A69" s="109" t="n">
        <v>65</v>
      </c>
      <c r="B69" s="110" t="inlineStr">
        <is>
          <t>Clínica Vitória</t>
        </is>
      </c>
      <c r="C69" s="110" t="inlineStr">
        <is>
          <t>SAÚDE</t>
        </is>
      </c>
      <c r="D69" s="111" t="n">
        <v>46267</v>
      </c>
      <c r="E69" s="110" t="inlineStr">
        <is>
          <t>NOTIFICAÇÃO DE CONSTATAÇÃO</t>
        </is>
      </c>
      <c r="F69" s="112" t="inlineStr">
        <is>
          <t>ELETRÔNICA</t>
        </is>
      </c>
      <c r="G69" s="112" t="inlineStr">
        <is>
          <t>DECISÃO D.P</t>
        </is>
      </c>
      <c r="H69" s="110" t="inlineStr">
        <is>
          <t>ANA PAULA SOUZA</t>
        </is>
      </c>
      <c r="I69" s="113" t="inlineStr">
        <is>
          <t>0039/2026</t>
        </is>
      </c>
      <c r="J69" s="113" t="inlineStr">
        <is>
          <t>2026.069496-5/10</t>
        </is>
      </c>
      <c r="K69" s="111" t="n">
        <v>46246</v>
      </c>
      <c r="L69" s="111" t="n">
        <v>46277</v>
      </c>
      <c r="M69" s="111" t="n">
        <v>46297</v>
      </c>
      <c r="N69" s="114">
        <f>IF(OR(D69="",E69=""),"",D69+IF(E69="NOTIFICAÇÃO DE CONSTATAÇÃO",PrazoConst,PrazoEsc))</f>
        <v>46277.0</v>
      </c>
      <c r="O69" s="115">
        <f>IF(N69="","",IF(ISNUMBER(L69),N69-L69,IF(OR(G69="DECISÃO D.P",ISNUMBER(M69)),"",N69-TODAY())))</f>
        <v>0</v>
      </c>
      <c r="P69" s="116" t="str">
        <f>IF(B69="","",IF(ISNUMBER(M69),"DECIDIDO – ","")&amp;IF(ISNUMBER(L69),IF(O69="","SEM DATA",IF(O69&gt;=0,"DEFESA NO PRAZO","DEFESA FORA DO PRAZO")),IF(OR(G69="DECISÃO D.P",ISNUMBER(M69)),"SEM DEFESA",IF(G69="","SEM STATUS",IF(O69="","SEM DATA",IF(O69&lt;0,"VENCIDO",IF(O69&lt;=DiasAlerta,"VENCE EM BREVE","NO PRAZO")))))))</f>
        <v>DECIDIDO – DEFESA NO PRAZO</v>
      </c>
      <c r="Q69" s="117">
        <f>IF(D69="","",TODAY()-D69)</f>
        <v>37</v>
      </c>
      <c r="R69" s="110" t="n"/>
    </row>
    <row r="70" ht="18" customHeight="1">
      <c r="A70" s="109" t="n">
        <v>66</v>
      </c>
      <c r="B70" s="110" t="inlineStr">
        <is>
          <t>Serviços Boa Esperança</t>
        </is>
      </c>
      <c r="C70" s="110" t="inlineStr">
        <is>
          <t>OUTROS</t>
        </is>
      </c>
      <c r="D70" s="111" t="n">
        <v>46267</v>
      </c>
      <c r="E70" s="110" t="inlineStr">
        <is>
          <t>NOTIFICAÇÃO DE CONSTATAÇÃO</t>
        </is>
      </c>
      <c r="F70" s="112" t="inlineStr">
        <is>
          <t>ELETRÔNICA</t>
        </is>
      </c>
      <c r="G70" s="112" t="inlineStr">
        <is>
          <t>DECISÃO D.P</t>
        </is>
      </c>
      <c r="H70" s="110" t="inlineStr">
        <is>
          <t>EDUARDA LIMA</t>
        </is>
      </c>
      <c r="I70" s="113" t="inlineStr">
        <is>
          <t>0712/2026</t>
        </is>
      </c>
      <c r="J70" s="113" t="inlineStr">
        <is>
          <t>2026.056116-6/14</t>
        </is>
      </c>
      <c r="K70" s="111" t="n">
        <v>46250</v>
      </c>
      <c r="L70" s="111" t="n">
        <v>46271</v>
      </c>
      <c r="M70" s="111" t="n">
        <v>46280</v>
      </c>
      <c r="N70" s="114">
        <f>IF(OR(D70="",E70=""),"",D70+IF(E70="NOTIFICAÇÃO DE CONSTATAÇÃO",PrazoConst,PrazoEsc))</f>
        <v>46277.0</v>
      </c>
      <c r="O70" s="115">
        <f>IF(N70="","",IF(ISNUMBER(L70),N70-L70,IF(OR(G70="DECISÃO D.P",ISNUMBER(M70)),"",N70-TODAY())))</f>
        <v>6</v>
      </c>
      <c r="P70" s="116" t="str">
        <f>IF(B70="","",IF(ISNUMBER(M70),"DECIDIDO – ","")&amp;IF(ISNUMBER(L70),IF(O70="","SEM DATA",IF(O70&gt;=0,"DEFESA NO PRAZO","DEFESA FORA DO PRAZO")),IF(OR(G70="DECISÃO D.P",ISNUMBER(M70)),"SEM DEFESA",IF(G70="","SEM STATUS",IF(O70="","SEM DATA",IF(O70&lt;0,"VENCIDO",IF(O70&lt;=DiasAlerta,"VENCE EM BREVE","NO PRAZO")))))))</f>
        <v>DECIDIDO – DEFESA NO PRAZO</v>
      </c>
      <c r="Q70" s="117">
        <f>IF(D70="","",TODAY()-D70)</f>
        <v>37</v>
      </c>
      <c r="R70" s="110" t="n"/>
    </row>
    <row r="71" ht="18" customHeight="1">
      <c r="A71" s="109" t="n">
        <v>67</v>
      </c>
      <c r="B71" s="110" t="inlineStr">
        <is>
          <t>Escola Bela Vista</t>
        </is>
      </c>
      <c r="C71" s="110" t="inlineStr">
        <is>
          <t>ESCOLA</t>
        </is>
      </c>
      <c r="D71" s="111" t="n">
        <v>46268</v>
      </c>
      <c r="E71" s="110" t="inlineStr">
        <is>
          <t>NOTIFICAÇÃO DE CONSTATAÇÃO</t>
        </is>
      </c>
      <c r="F71" s="112" t="inlineStr">
        <is>
          <t>PRESENCIAL</t>
        </is>
      </c>
      <c r="G71" s="112" t="inlineStr">
        <is>
          <t>PRAZO D.P</t>
        </is>
      </c>
      <c r="H71" s="110" t="inlineStr">
        <is>
          <t>GABRIELA NUNES</t>
        </is>
      </c>
      <c r="I71" s="113" t="inlineStr">
        <is>
          <t>0011/2026</t>
        </is>
      </c>
      <c r="J71" s="113" t="inlineStr">
        <is>
          <t>2026.076629-1/05</t>
        </is>
      </c>
      <c r="K71" s="111" t="n">
        <v>46217</v>
      </c>
      <c r="L71" s="111" t="n"/>
      <c r="M71" s="111" t="n"/>
      <c r="N71" s="114">
        <f>IF(OR(D71="",E71=""),"",D71+IF(E71="NOTIFICAÇÃO DE CONSTATAÇÃO",PrazoConst,PrazoEsc))</f>
        <v>46278.0</v>
      </c>
      <c r="O71" s="115">
        <f>IF(N71="","",IF(ISNUMBER(L71),N71-L71,IF(OR(G71="DECISÃO D.P",ISNUMBER(M71)),"",N71-TODAY())))</f>
        <v>-26</v>
      </c>
      <c r="P71" s="116" t="str">
        <f>IF(B71="","",IF(ISNUMBER(M71),"DECIDIDO – ","")&amp;IF(ISNUMBER(L71),IF(O71="","SEM DATA",IF(O71&gt;=0,"DEFESA NO PRAZO","DEFESA FORA DO PRAZO")),IF(OR(G71="DECISÃO D.P",ISNUMBER(M71)),"SEM DEFESA",IF(G71="","SEM STATUS",IF(O71="","SEM DATA",IF(O71&lt;0,"VENCIDO",IF(O71&lt;=DiasAlerta,"VENCE EM BREVE","NO PRAZO")))))))</f>
        <v>VENCIDO</v>
      </c>
      <c r="Q71" s="117">
        <f>IF(D71="","",TODAY()-D71)</f>
        <v>36</v>
      </c>
      <c r="R71" s="110" t="n"/>
    </row>
    <row r="72" ht="18" customHeight="1">
      <c r="A72" s="109" t="n">
        <v>68</v>
      </c>
      <c r="B72" s="110" t="inlineStr">
        <is>
          <t>Laboratório Bela Vista ME</t>
        </is>
      </c>
      <c r="C72" s="110" t="inlineStr">
        <is>
          <t>SAÚDE</t>
        </is>
      </c>
      <c r="D72" s="111" t="n">
        <v>46271</v>
      </c>
      <c r="E72" s="110" t="inlineStr">
        <is>
          <t>NOTIFICAÇÃO DE ESCLARECIMENTO</t>
        </is>
      </c>
      <c r="F72" s="112" t="inlineStr">
        <is>
          <t>PRESENCIAL</t>
        </is>
      </c>
      <c r="G72" s="112" t="inlineStr">
        <is>
          <t>DECISÃO D.P</t>
        </is>
      </c>
      <c r="H72" s="110" t="inlineStr">
        <is>
          <t>CARLA MENDES</t>
        </is>
      </c>
      <c r="I72" s="113" t="inlineStr">
        <is>
          <t>0195/2026</t>
        </is>
      </c>
      <c r="J72" s="113" t="inlineStr">
        <is>
          <t>2026.005072-8/02</t>
        </is>
      </c>
      <c r="K72" s="111" t="n">
        <v>46219</v>
      </c>
      <c r="L72" s="111" t="n"/>
      <c r="M72" s="111" t="n">
        <v>46300</v>
      </c>
      <c r="N72" s="114">
        <f>IF(OR(D72="",E72=""),"",D72+IF(E72="NOTIFICAÇÃO DE CONSTATAÇÃO",PrazoConst,PrazoEsc))</f>
        <v>46286.0</v>
      </c>
      <c r="O72" s="115" t="str">
        <f>IF(N72="","",IF(ISNUMBER(L72),N72-L72,IF(OR(G72="DECISÃO D.P",ISNUMBER(M72)),"",N72-TODAY())))</f>
        <v/>
      </c>
      <c r="P72" s="116" t="str">
        <f>IF(B72="","",IF(ISNUMBER(M72),"DECIDIDO – ","")&amp;IF(ISNUMBER(L72),IF(O72="","SEM DATA",IF(O72&gt;=0,"DEFESA NO PRAZO","DEFESA FORA DO PRAZO")),IF(OR(G72="DECISÃO D.P",ISNUMBER(M72)),"SEM DEFESA",IF(G72="","SEM STATUS",IF(O72="","SEM DATA",IF(O72&lt;0,"VENCIDO",IF(O72&lt;=DiasAlerta,"VENCE EM BREVE","NO PRAZO")))))))</f>
        <v>DECIDIDO – SEM DEFESA</v>
      </c>
      <c r="Q72" s="117">
        <f>IF(D72="","",TODAY()-D72)</f>
        <v>33</v>
      </c>
      <c r="R72" s="110" t="n"/>
    </row>
    <row r="73" ht="18" customHeight="1">
      <c r="A73" s="109" t="n">
        <v>69</v>
      </c>
      <c r="B73" s="110" t="inlineStr">
        <is>
          <t>Escola Ipê Amarelo</t>
        </is>
      </c>
      <c r="C73" s="110" t="inlineStr">
        <is>
          <t>ESCOLA</t>
        </is>
      </c>
      <c r="D73" s="111" t="n">
        <v>46272</v>
      </c>
      <c r="E73" s="110" t="inlineStr">
        <is>
          <t>NOTIFICAÇÃO DE CONSTATAÇÃO</t>
        </is>
      </c>
      <c r="F73" s="112" t="inlineStr">
        <is>
          <t>ELETRÔNICA</t>
        </is>
      </c>
      <c r="G73" s="112" t="inlineStr">
        <is>
          <t>DECISÃO D.P</t>
        </is>
      </c>
      <c r="H73" s="110" t="inlineStr">
        <is>
          <t>CARLA MENDES</t>
        </is>
      </c>
      <c r="I73" s="113" t="inlineStr">
        <is>
          <t>0854/2026</t>
        </is>
      </c>
      <c r="J73" s="113" t="inlineStr">
        <is>
          <t>2026.032604-3/11</t>
        </is>
      </c>
      <c r="K73" s="111" t="n">
        <v>46246</v>
      </c>
      <c r="L73" s="111" t="n"/>
      <c r="M73" s="111" t="n">
        <v>46289</v>
      </c>
      <c r="N73" s="114">
        <f>IF(OR(D73="",E73=""),"",D73+IF(E73="NOTIFICAÇÃO DE CONSTATAÇÃO",PrazoConst,PrazoEsc))</f>
        <v>46282.0</v>
      </c>
      <c r="O73" s="115" t="str">
        <f>IF(N73="","",IF(ISNUMBER(L73),N73-L73,IF(OR(G73="DECISÃO D.P",ISNUMBER(M73)),"",N73-TODAY())))</f>
        <v/>
      </c>
      <c r="P73" s="116" t="str">
        <f>IF(B73="","",IF(ISNUMBER(M73),"DECIDIDO – ","")&amp;IF(ISNUMBER(L73),IF(O73="","SEM DATA",IF(O73&gt;=0,"DEFESA NO PRAZO","DEFESA FORA DO PRAZO")),IF(OR(G73="DECISÃO D.P",ISNUMBER(M73)),"SEM DEFESA",IF(G73="","SEM STATUS",IF(O73="","SEM DATA",IF(O73&lt;0,"VENCIDO",IF(O73&lt;=DiasAlerta,"VENCE EM BREVE","NO PRAZO")))))))</f>
        <v>DECIDIDO – SEM DEFESA</v>
      </c>
      <c r="Q73" s="117">
        <f>IF(D73="","",TODAY()-D73)</f>
        <v>32</v>
      </c>
      <c r="R73" s="110" t="n"/>
    </row>
    <row r="74" ht="18" customHeight="1">
      <c r="A74" s="109" t="n">
        <v>70</v>
      </c>
      <c r="B74" s="110" t="inlineStr">
        <is>
          <t>Studio Fitness Planalto</t>
        </is>
      </c>
      <c r="C74" s="110" t="inlineStr">
        <is>
          <t>ACADEMIA</t>
        </is>
      </c>
      <c r="D74" s="111" t="n">
        <v>46274</v>
      </c>
      <c r="E74" s="110" t="inlineStr">
        <is>
          <t>NOTIFICAÇÃO DE CONSTATAÇÃO</t>
        </is>
      </c>
      <c r="F74" s="112" t="inlineStr">
        <is>
          <t>ELETRÔNICA</t>
        </is>
      </c>
      <c r="G74" s="112" t="inlineStr">
        <is>
          <t>DECISÃO D.P</t>
        </is>
      </c>
      <c r="H74" s="110" t="inlineStr">
        <is>
          <t>ANA PAULA SOUZA</t>
        </is>
      </c>
      <c r="I74" s="113" t="inlineStr">
        <is>
          <t>0197/2026</t>
        </is>
      </c>
      <c r="J74" s="113" t="inlineStr">
        <is>
          <t>2026.098041-7/09</t>
        </is>
      </c>
      <c r="K74" s="111" t="n">
        <v>46235</v>
      </c>
      <c r="L74" s="111" t="n">
        <v>46281</v>
      </c>
      <c r="M74" s="111" t="n">
        <v>46304</v>
      </c>
      <c r="N74" s="114">
        <f>IF(OR(D74="",E74=""),"",D74+IF(E74="NOTIFICAÇÃO DE CONSTATAÇÃO",PrazoConst,PrazoEsc))</f>
        <v>46284.0</v>
      </c>
      <c r="O74" s="115">
        <f>IF(N74="","",IF(ISNUMBER(L74),N74-L74,IF(OR(G74="DECISÃO D.P",ISNUMBER(M74)),"",N74-TODAY())))</f>
        <v>3</v>
      </c>
      <c r="P74" s="116" t="str">
        <f>IF(B74="","",IF(ISNUMBER(M74),"DECIDIDO – ","")&amp;IF(ISNUMBER(L74),IF(O74="","SEM DATA",IF(O74&gt;=0,"DEFESA NO PRAZO","DEFESA FORA DO PRAZO")),IF(OR(G74="DECISÃO D.P",ISNUMBER(M74)),"SEM DEFESA",IF(G74="","SEM STATUS",IF(O74="","SEM DATA",IF(O74&lt;0,"VENCIDO",IF(O74&lt;=DiasAlerta,"VENCE EM BREVE","NO PRAZO")))))))</f>
        <v>DECIDIDO – DEFESA NO PRAZO</v>
      </c>
      <c r="Q74" s="117">
        <f>IF(D74="","",TODAY()-D74)</f>
        <v>30</v>
      </c>
      <c r="R74" s="110" t="n"/>
    </row>
    <row r="75" ht="18" customHeight="1">
      <c r="A75" s="109" t="n">
        <v>71</v>
      </c>
      <c r="B75" s="110" t="inlineStr">
        <is>
          <t>Escola Ipê Amarelo</t>
        </is>
      </c>
      <c r="C75" s="110" t="inlineStr">
        <is>
          <t>ESCOLA</t>
        </is>
      </c>
      <c r="D75" s="111" t="n">
        <v>46278</v>
      </c>
      <c r="E75" s="110" t="inlineStr">
        <is>
          <t>NOTIFICAÇÃO DE CONSTATAÇÃO</t>
        </is>
      </c>
      <c r="F75" s="112" t="inlineStr">
        <is>
          <t>PRESENCIAL</t>
        </is>
      </c>
      <c r="G75" s="112" t="inlineStr">
        <is>
          <t>DECISÃO D.P</t>
        </is>
      </c>
      <c r="H75" s="110" t="inlineStr">
        <is>
          <t>GABRIELA NUNES</t>
        </is>
      </c>
      <c r="I75" s="113" t="inlineStr">
        <is>
          <t>0102/2026</t>
        </is>
      </c>
      <c r="J75" s="113" t="inlineStr">
        <is>
          <t>2026.056520-2/02</t>
        </is>
      </c>
      <c r="K75" s="111" t="n">
        <v>46203</v>
      </c>
      <c r="L75" s="111" t="n">
        <v>46293</v>
      </c>
      <c r="M75" s="111" t="n">
        <v>46297</v>
      </c>
      <c r="N75" s="114">
        <f>IF(OR(D75="",E75=""),"",D75+IF(E75="NOTIFICAÇÃO DE CONSTATAÇÃO",PrazoConst,PrazoEsc))</f>
        <v>46288.0</v>
      </c>
      <c r="O75" s="115">
        <f>IF(N75="","",IF(ISNUMBER(L75),N75-L75,IF(OR(G75="DECISÃO D.P",ISNUMBER(M75)),"",N75-TODAY())))</f>
        <v>-5</v>
      </c>
      <c r="P75" s="116" t="str">
        <f>IF(B75="","",IF(ISNUMBER(M75),"DECIDIDO – ","")&amp;IF(ISNUMBER(L75),IF(O75="","SEM DATA",IF(O75&gt;=0,"DEFESA NO PRAZO","DEFESA FORA DO PRAZO")),IF(OR(G75="DECISÃO D.P",ISNUMBER(M75)),"SEM DEFESA",IF(G75="","SEM STATUS",IF(O75="","SEM DATA",IF(O75&lt;0,"VENCIDO",IF(O75&lt;=DiasAlerta,"VENCE EM BREVE","NO PRAZO")))))))</f>
        <v>DECIDIDO – DEFESA FORA DO PRAZO</v>
      </c>
      <c r="Q75" s="117">
        <f>IF(D75="","",TODAY()-D75)</f>
        <v>26</v>
      </c>
      <c r="R75" s="110" t="n"/>
    </row>
    <row r="76" ht="18" customHeight="1">
      <c r="A76" s="109" t="n">
        <v>72</v>
      </c>
      <c r="B76" s="110" t="inlineStr">
        <is>
          <t>Financeira Litoral</t>
        </is>
      </c>
      <c r="C76" s="110" t="inlineStr">
        <is>
          <t>BANCO</t>
        </is>
      </c>
      <c r="D76" s="111" t="n">
        <v>46279</v>
      </c>
      <c r="E76" s="110" t="inlineStr">
        <is>
          <t>NOTIFICAÇÃO DE CONSTATAÇÃO</t>
        </is>
      </c>
      <c r="F76" s="112" t="inlineStr">
        <is>
          <t>PRESENCIAL</t>
        </is>
      </c>
      <c r="G76" s="112" t="inlineStr">
        <is>
          <t>PRAZO D.P</t>
        </is>
      </c>
      <c r="H76" s="110" t="inlineStr">
        <is>
          <t>HENRIQUE COSTA</t>
        </is>
      </c>
      <c r="I76" s="113" t="inlineStr">
        <is>
          <t>0439/2026</t>
        </is>
      </c>
      <c r="J76" s="113" t="inlineStr">
        <is>
          <t>2026.072683-2/11</t>
        </is>
      </c>
      <c r="K76" s="111" t="n">
        <v>46271</v>
      </c>
      <c r="L76" s="111" t="n"/>
      <c r="M76" s="111" t="n"/>
      <c r="N76" s="114">
        <f>IF(OR(D76="",E76=""),"",D76+IF(E76="NOTIFICAÇÃO DE CONSTATAÇÃO",PrazoConst,PrazoEsc))</f>
        <v>46289.0</v>
      </c>
      <c r="O76" s="115">
        <f>IF(N76="","",IF(ISNUMBER(L76),N76-L76,IF(OR(G76="DECISÃO D.P",ISNUMBER(M76)),"",N76-TODAY())))</f>
        <v>-15</v>
      </c>
      <c r="P76" s="116" t="str">
        <f>IF(B76="","",IF(ISNUMBER(M76),"DECIDIDO – ","")&amp;IF(ISNUMBER(L76),IF(O76="","SEM DATA",IF(O76&gt;=0,"DEFESA NO PRAZO","DEFESA FORA DO PRAZO")),IF(OR(G76="DECISÃO D.P",ISNUMBER(M76)),"SEM DEFESA",IF(G76="","SEM STATUS",IF(O76="","SEM DATA",IF(O76&lt;0,"VENCIDO",IF(O76&lt;=DiasAlerta,"VENCE EM BREVE","NO PRAZO")))))))</f>
        <v>VENCIDO</v>
      </c>
      <c r="Q76" s="117">
        <f>IF(D76="","",TODAY()-D76)</f>
        <v>25</v>
      </c>
      <c r="R76" s="110" t="n"/>
    </row>
    <row r="77" ht="18" customHeight="1">
      <c r="A77" s="109" t="n">
        <v>73</v>
      </c>
      <c r="B77" s="110" t="inlineStr">
        <is>
          <t>Laboratório Boa Esperança</t>
        </is>
      </c>
      <c r="C77" s="110" t="inlineStr">
        <is>
          <t>SAÚDE</t>
        </is>
      </c>
      <c r="D77" s="111" t="n">
        <v>46282</v>
      </c>
      <c r="E77" s="110" t="inlineStr">
        <is>
          <t>NOTIFICAÇÃO DE ESCLARECIMENTO</t>
        </is>
      </c>
      <c r="F77" s="112" t="inlineStr">
        <is>
          <t>PRESENCIAL</t>
        </is>
      </c>
      <c r="G77" s="112" t="inlineStr">
        <is>
          <t>PRAZO D.P</t>
        </is>
      </c>
      <c r="H77" s="110" t="inlineStr">
        <is>
          <t>ANA PAULA SOUZA</t>
        </is>
      </c>
      <c r="I77" s="113" t="inlineStr">
        <is>
          <t>0521/2026</t>
        </is>
      </c>
      <c r="J77" s="113" t="inlineStr">
        <is>
          <t>2026.062713-0/01</t>
        </is>
      </c>
      <c r="K77" s="111" t="n">
        <v>46272</v>
      </c>
      <c r="L77" s="111" t="n">
        <v>46301</v>
      </c>
      <c r="M77" s="111" t="n"/>
      <c r="N77" s="114">
        <f>IF(OR(D77="",E77=""),"",D77+IF(E77="NOTIFICAÇÃO DE CONSTATAÇÃO",PrazoConst,PrazoEsc))</f>
        <v>46297.0</v>
      </c>
      <c r="O77" s="115">
        <f>IF(N77="","",IF(ISNUMBER(L77),N77-L77,IF(OR(G77="DECISÃO D.P",ISNUMBER(M77)),"",N77-TODAY())))</f>
        <v>-4</v>
      </c>
      <c r="P77" s="116" t="str">
        <f>IF(B77="","",IF(ISNUMBER(M77),"DECIDIDO – ","")&amp;IF(ISNUMBER(L77),IF(O77="","SEM DATA",IF(O77&gt;=0,"DEFESA NO PRAZO","DEFESA FORA DO PRAZO")),IF(OR(G77="DECISÃO D.P",ISNUMBER(M77)),"SEM DEFESA",IF(G77="","SEM STATUS",IF(O77="","SEM DATA",IF(O77&lt;0,"VENCIDO",IF(O77&lt;=DiasAlerta,"VENCE EM BREVE","NO PRAZO")))))))</f>
        <v>DEFESA FORA DO PRAZO</v>
      </c>
      <c r="Q77" s="117">
        <f>IF(D77="","",TODAY()-D77)</f>
        <v>22</v>
      </c>
      <c r="R77" s="110" t="n"/>
    </row>
    <row r="78" ht="18" customHeight="1">
      <c r="A78" s="109" t="n">
        <v>74</v>
      </c>
      <c r="B78" s="110" t="inlineStr">
        <is>
          <t>Auto Posto Central 24h</t>
        </is>
      </c>
      <c r="C78" s="110" t="inlineStr">
        <is>
          <t>POSTO DE COMBUSTÍVEL</t>
        </is>
      </c>
      <c r="D78" s="111" t="n">
        <v>46282</v>
      </c>
      <c r="E78" s="110" t="inlineStr">
        <is>
          <t>NOTIFICAÇÃO DE ESCLARECIMENTO</t>
        </is>
      </c>
      <c r="F78" s="112" t="inlineStr">
        <is>
          <t>ELETRÔNICA</t>
        </is>
      </c>
      <c r="G78" s="112" t="inlineStr">
        <is>
          <t>DECISÃO D.P</t>
        </is>
      </c>
      <c r="H78" s="110" t="inlineStr">
        <is>
          <t>CARLA MENDES</t>
        </is>
      </c>
      <c r="I78" s="113" t="inlineStr">
        <is>
          <t>0966/2026</t>
        </is>
      </c>
      <c r="J78" s="113" t="inlineStr">
        <is>
          <t>2026.011907-9/01</t>
        </is>
      </c>
      <c r="K78" s="111" t="n">
        <v>46232</v>
      </c>
      <c r="L78" s="111" t="n">
        <v>46290</v>
      </c>
      <c r="M78" s="111" t="n">
        <v>46299</v>
      </c>
      <c r="N78" s="114">
        <f>IF(OR(D78="",E78=""),"",D78+IF(E78="NOTIFICAÇÃO DE CONSTATAÇÃO",PrazoConst,PrazoEsc))</f>
        <v>46297.0</v>
      </c>
      <c r="O78" s="115">
        <f>IF(N78="","",IF(ISNUMBER(L78),N78-L78,IF(OR(G78="DECISÃO D.P",ISNUMBER(M78)),"",N78-TODAY())))</f>
        <v>7</v>
      </c>
      <c r="P78" s="116" t="str">
        <f>IF(B78="","",IF(ISNUMBER(M78),"DECIDIDO – ","")&amp;IF(ISNUMBER(L78),IF(O78="","SEM DATA",IF(O78&gt;=0,"DEFESA NO PRAZO","DEFESA FORA DO PRAZO")),IF(OR(G78="DECISÃO D.P",ISNUMBER(M78)),"SEM DEFESA",IF(G78="","SEM STATUS",IF(O78="","SEM DATA",IF(O78&lt;0,"VENCIDO",IF(O78&lt;=DiasAlerta,"VENCE EM BREVE","NO PRAZO")))))))</f>
        <v>DECIDIDO – DEFESA NO PRAZO</v>
      </c>
      <c r="Q78" s="117">
        <f>IF(D78="","",TODAY()-D78)</f>
        <v>22</v>
      </c>
      <c r="R78" s="110" t="n"/>
    </row>
    <row r="79" ht="18" customHeight="1">
      <c r="A79" s="109" t="n">
        <v>75</v>
      </c>
      <c r="B79" s="110" t="inlineStr">
        <is>
          <t>Escola Estrela</t>
        </is>
      </c>
      <c r="C79" s="110" t="inlineStr">
        <is>
          <t>ESCOLA</t>
        </is>
      </c>
      <c r="D79" s="111" t="n">
        <v>46283</v>
      </c>
      <c r="E79" s="110" t="inlineStr">
        <is>
          <t>NOTIFICAÇÃO DE CONSTATAÇÃO</t>
        </is>
      </c>
      <c r="F79" s="112" t="inlineStr">
        <is>
          <t>ELETRÔNICA</t>
        </is>
      </c>
      <c r="G79" s="112" t="inlineStr">
        <is>
          <t>DECISÃO D.P</t>
        </is>
      </c>
      <c r="H79" s="110" t="inlineStr">
        <is>
          <t>FELIPE ARAÚJO</t>
        </is>
      </c>
      <c r="I79" s="113" t="inlineStr">
        <is>
          <t>0926/2026</t>
        </is>
      </c>
      <c r="J79" s="113" t="inlineStr">
        <is>
          <t>2026.070915-3/14</t>
        </is>
      </c>
      <c r="K79" s="111" t="n">
        <v>46276</v>
      </c>
      <c r="L79" s="111" t="n"/>
      <c r="M79" s="111" t="n">
        <v>46304</v>
      </c>
      <c r="N79" s="114">
        <f>IF(OR(D79="",E79=""),"",D79+IF(E79="NOTIFICAÇÃO DE CONSTATAÇÃO",PrazoConst,PrazoEsc))</f>
        <v>46293.0</v>
      </c>
      <c r="O79" s="115" t="str">
        <f>IF(N79="","",IF(ISNUMBER(L79),N79-L79,IF(OR(G79="DECISÃO D.P",ISNUMBER(M79)),"",N79-TODAY())))</f>
        <v/>
      </c>
      <c r="P79" s="116" t="str">
        <f>IF(B79="","",IF(ISNUMBER(M79),"DECIDIDO – ","")&amp;IF(ISNUMBER(L79),IF(O79="","SEM DATA",IF(O79&gt;=0,"DEFESA NO PRAZO","DEFESA FORA DO PRAZO")),IF(OR(G79="DECISÃO D.P",ISNUMBER(M79)),"SEM DEFESA",IF(G79="","SEM STATUS",IF(O79="","SEM DATA",IF(O79&lt;0,"VENCIDO",IF(O79&lt;=DiasAlerta,"VENCE EM BREVE","NO PRAZO")))))))</f>
        <v>DECIDIDO – SEM DEFESA</v>
      </c>
      <c r="Q79" s="117">
        <f>IF(D79="","",TODAY()-D79)</f>
        <v>21</v>
      </c>
      <c r="R79" s="110" t="n"/>
    </row>
    <row r="80" ht="18" customHeight="1">
      <c r="A80" s="109" t="n">
        <v>76</v>
      </c>
      <c r="B80" s="110" t="inlineStr">
        <is>
          <t>Academia Planalto Filial 2</t>
        </is>
      </c>
      <c r="C80" s="110" t="inlineStr">
        <is>
          <t>ACADEMIA</t>
        </is>
      </c>
      <c r="D80" s="111" t="n">
        <v>46284</v>
      </c>
      <c r="E80" s="110" t="inlineStr">
        <is>
          <t>NOTIFICAÇÃO DE ESCLARECIMENTO</t>
        </is>
      </c>
      <c r="F80" s="112" t="inlineStr">
        <is>
          <t>ELETRÔNICA</t>
        </is>
      </c>
      <c r="G80" s="112" t="inlineStr">
        <is>
          <t>PRAZO D.P</t>
        </is>
      </c>
      <c r="H80" s="110" t="inlineStr">
        <is>
          <t>DIEGO RIBEIRO</t>
        </is>
      </c>
      <c r="I80" s="113" t="inlineStr">
        <is>
          <t>0250/2026</t>
        </is>
      </c>
      <c r="J80" s="113" t="inlineStr">
        <is>
          <t>2026.091890-2/11</t>
        </is>
      </c>
      <c r="K80" s="111" t="n">
        <v>46219</v>
      </c>
      <c r="L80" s="111" t="n"/>
      <c r="M80" s="111" t="n"/>
      <c r="N80" s="114">
        <f>IF(OR(D80="",E80=""),"",D80+IF(E80="NOTIFICAÇÃO DE CONSTATAÇÃO",PrazoConst,PrazoEsc))</f>
        <v>46299.0</v>
      </c>
      <c r="O80" s="115">
        <f>IF(N80="","",IF(ISNUMBER(L80),N80-L80,IF(OR(G80="DECISÃO D.P",ISNUMBER(M80)),"",N80-TODAY())))</f>
        <v>-5</v>
      </c>
      <c r="P80" s="116" t="str">
        <f>IF(B80="","",IF(ISNUMBER(M80),"DECIDIDO – ","")&amp;IF(ISNUMBER(L80),IF(O80="","SEM DATA",IF(O80&gt;=0,"DEFESA NO PRAZO","DEFESA FORA DO PRAZO")),IF(OR(G80="DECISÃO D.P",ISNUMBER(M80)),"SEM DEFESA",IF(G80="","SEM STATUS",IF(O80="","SEM DATA",IF(O80&lt;0,"VENCIDO",IF(O80&lt;=DiasAlerta,"VENCE EM BREVE","NO PRAZO")))))))</f>
        <v>VENCIDO</v>
      </c>
      <c r="Q80" s="117">
        <f>IF(D80="","",TODAY()-D80)</f>
        <v>20</v>
      </c>
      <c r="R80" s="110" t="n"/>
    </row>
    <row r="81" ht="18" customHeight="1">
      <c r="A81" s="109" t="n">
        <v>77</v>
      </c>
      <c r="B81" s="110" t="inlineStr">
        <is>
          <t>Laboratório Atlântico ME</t>
        </is>
      </c>
      <c r="C81" s="110" t="inlineStr">
        <is>
          <t>SAÚDE</t>
        </is>
      </c>
      <c r="D81" s="111" t="n">
        <v>46287</v>
      </c>
      <c r="E81" s="110" t="inlineStr">
        <is>
          <t>NOTIFICAÇÃO DE CONSTATAÇÃO</t>
        </is>
      </c>
      <c r="F81" s="112" t="inlineStr">
        <is>
          <t>PRESENCIAL</t>
        </is>
      </c>
      <c r="G81" s="112" t="inlineStr">
        <is>
          <t>DECISÃO D.P</t>
        </is>
      </c>
      <c r="H81" s="110" t="inlineStr">
        <is>
          <t>GABRIELA NUNES</t>
        </is>
      </c>
      <c r="I81" s="113" t="inlineStr">
        <is>
          <t>0634/2026</t>
        </is>
      </c>
      <c r="J81" s="113" t="inlineStr">
        <is>
          <t>2026.060786-1/11</t>
        </is>
      </c>
      <c r="K81" s="111" t="n">
        <v>46213</v>
      </c>
      <c r="L81" s="111" t="n">
        <v>46304</v>
      </c>
      <c r="M81" s="111" t="n">
        <v>46304</v>
      </c>
      <c r="N81" s="114">
        <f>IF(OR(D81="",E81=""),"",D81+IF(E81="NOTIFICAÇÃO DE CONSTATAÇÃO",PrazoConst,PrazoEsc))</f>
        <v>46297.0</v>
      </c>
      <c r="O81" s="115">
        <f>IF(N81="","",IF(ISNUMBER(L81),N81-L81,IF(OR(G81="DECISÃO D.P",ISNUMBER(M81)),"",N81-TODAY())))</f>
        <v>-7</v>
      </c>
      <c r="P81" s="116" t="str">
        <f>IF(B81="","",IF(ISNUMBER(M81),"DECIDIDO – ","")&amp;IF(ISNUMBER(L81),IF(O81="","SEM DATA",IF(O81&gt;=0,"DEFESA NO PRAZO","DEFESA FORA DO PRAZO")),IF(OR(G81="DECISÃO D.P",ISNUMBER(M81)),"SEM DEFESA",IF(G81="","SEM STATUS",IF(O81="","SEM DATA",IF(O81&lt;0,"VENCIDO",IF(O81&lt;=DiasAlerta,"VENCE EM BREVE","NO PRAZO")))))))</f>
        <v>DECIDIDO – DEFESA FORA DO PRAZO</v>
      </c>
      <c r="Q81" s="117">
        <f>IF(D81="","",TODAY()-D81)</f>
        <v>17</v>
      </c>
      <c r="R81" s="110" t="n"/>
    </row>
    <row r="82" ht="18" customHeight="1">
      <c r="A82" s="109" t="n">
        <v>78</v>
      </c>
      <c r="B82" s="110" t="inlineStr">
        <is>
          <t>Auto Posto Horizonte</t>
        </is>
      </c>
      <c r="C82" s="110" t="inlineStr">
        <is>
          <t>POSTO DE COMBUSTÍVEL</t>
        </is>
      </c>
      <c r="D82" s="111" t="n">
        <v>46289</v>
      </c>
      <c r="E82" s="110" t="inlineStr">
        <is>
          <t>NOTIFICAÇÃO DE ESCLARECIMENTO</t>
        </is>
      </c>
      <c r="F82" s="112" t="inlineStr">
        <is>
          <t>PRESENCIAL</t>
        </is>
      </c>
      <c r="G82" s="112" t="inlineStr">
        <is>
          <t>PRAZO D.P</t>
        </is>
      </c>
      <c r="H82" s="110" t="inlineStr">
        <is>
          <t>DIEGO RIBEIRO</t>
        </is>
      </c>
      <c r="I82" s="113" t="inlineStr">
        <is>
          <t>0561/2026</t>
        </is>
      </c>
      <c r="J82" s="113" t="inlineStr">
        <is>
          <t>2026.068724-9/09</t>
        </is>
      </c>
      <c r="K82" s="111" t="n">
        <v>46203</v>
      </c>
      <c r="L82" s="111" t="n">
        <v>46303</v>
      </c>
      <c r="M82" s="111" t="n"/>
      <c r="N82" s="114">
        <f>IF(OR(D82="",E82=""),"",D82+IF(E82="NOTIFICAÇÃO DE CONSTATAÇÃO",PrazoConst,PrazoEsc))</f>
        <v>46304.0</v>
      </c>
      <c r="O82" s="115">
        <f>IF(N82="","",IF(ISNUMBER(L82),N82-L82,IF(OR(G82="DECISÃO D.P",ISNUMBER(M82)),"",N82-TODAY())))</f>
        <v>1</v>
      </c>
      <c r="P82" s="116" t="str">
        <f>IF(B82="","",IF(ISNUMBER(M82),"DECIDIDO – ","")&amp;IF(ISNUMBER(L82),IF(O82="","SEM DATA",IF(O82&gt;=0,"DEFESA NO PRAZO","DEFESA FORA DO PRAZO")),IF(OR(G82="DECISÃO D.P",ISNUMBER(M82)),"SEM DEFESA",IF(G82="","SEM STATUS",IF(O82="","SEM DATA",IF(O82&lt;0,"VENCIDO",IF(O82&lt;=DiasAlerta,"VENCE EM BREVE","NO PRAZO")))))))</f>
        <v>DEFESA NO PRAZO</v>
      </c>
      <c r="Q82" s="117">
        <f>IF(D82="","",TODAY()-D82)</f>
        <v>15</v>
      </c>
      <c r="R82" s="110" t="n"/>
    </row>
    <row r="83" ht="18" customHeight="1">
      <c r="A83" s="109" t="n">
        <v>79</v>
      </c>
      <c r="B83" s="110" t="inlineStr">
        <is>
          <t>Hospital Nova Era</t>
        </is>
      </c>
      <c r="C83" s="110" t="inlineStr">
        <is>
          <t>SAÚDE</t>
        </is>
      </c>
      <c r="D83" s="111" t="n">
        <v>46290</v>
      </c>
      <c r="E83" s="110" t="inlineStr">
        <is>
          <t>NOTIFICAÇÃO DE ESCLARECIMENTO</t>
        </is>
      </c>
      <c r="F83" s="112" t="inlineStr">
        <is>
          <t>ELETRÔNICA</t>
        </is>
      </c>
      <c r="G83" s="112" t="inlineStr">
        <is>
          <t>PRAZO D.P</t>
        </is>
      </c>
      <c r="H83" s="110" t="inlineStr">
        <is>
          <t>ANA PAULA SOUZA</t>
        </is>
      </c>
      <c r="I83" s="113" t="inlineStr">
        <is>
          <t>0459/2026</t>
        </is>
      </c>
      <c r="J83" s="113" t="inlineStr">
        <is>
          <t>2026.088426-0/06</t>
        </is>
      </c>
      <c r="K83" s="111" t="n">
        <v>46215</v>
      </c>
      <c r="L83" s="111" t="n"/>
      <c r="M83" s="111" t="n"/>
      <c r="N83" s="114">
        <f>IF(OR(D83="",E83=""),"",D83+IF(E83="NOTIFICAÇÃO DE CONSTATAÇÃO",PrazoConst,PrazoEsc))</f>
        <v>46305.0</v>
      </c>
      <c r="O83" s="115">
        <f>IF(N83="","",IF(ISNUMBER(L83),N83-L83,IF(OR(G83="DECISÃO D.P",ISNUMBER(M83)),"",N83-TODAY())))</f>
        <v>1</v>
      </c>
      <c r="P83" s="116" t="str">
        <f>IF(B83="","",IF(ISNUMBER(M83),"DECIDIDO – ","")&amp;IF(ISNUMBER(L83),IF(O83="","SEM DATA",IF(O83&gt;=0,"DEFESA NO PRAZO","DEFESA FORA DO PRAZO")),IF(OR(G83="DECISÃO D.P",ISNUMBER(M83)),"SEM DEFESA",IF(G83="","SEM STATUS",IF(O83="","SEM DATA",IF(O83&lt;0,"VENCIDO",IF(O83&lt;=DiasAlerta,"VENCE EM BREVE","NO PRAZO")))))))</f>
        <v>VENCE EM BREVE</v>
      </c>
      <c r="Q83" s="117">
        <f>IF(D83="","",TODAY()-D83)</f>
        <v>14</v>
      </c>
      <c r="R83" s="110" t="n"/>
    </row>
    <row r="84" ht="18" customHeight="1">
      <c r="A84" s="109" t="n">
        <v>80</v>
      </c>
      <c r="B84" s="110" t="inlineStr">
        <is>
          <t>Comércio Aliança</t>
        </is>
      </c>
      <c r="C84" s="110" t="inlineStr">
        <is>
          <t>OUTROS</t>
        </is>
      </c>
      <c r="D84" s="111" t="n">
        <v>46291</v>
      </c>
      <c r="E84" s="110" t="inlineStr">
        <is>
          <t>NOTIFICAÇÃO DE ESCLARECIMENTO</t>
        </is>
      </c>
      <c r="F84" s="112" t="inlineStr">
        <is>
          <t>ELETRÔNICA</t>
        </is>
      </c>
      <c r="G84" s="112" t="inlineStr">
        <is>
          <t>PRAZO D.P</t>
        </is>
      </c>
      <c r="H84" s="110" t="inlineStr">
        <is>
          <t>EDUARDA LIMA</t>
        </is>
      </c>
      <c r="I84" s="113" t="inlineStr">
        <is>
          <t>0494/2026</t>
        </is>
      </c>
      <c r="J84" s="113" t="inlineStr">
        <is>
          <t>2026.039183-1/03</t>
        </is>
      </c>
      <c r="K84" s="111" t="n">
        <v>46280</v>
      </c>
      <c r="L84" s="111" t="n"/>
      <c r="M84" s="111" t="n"/>
      <c r="N84" s="114">
        <f>IF(OR(D84="",E84=""),"",D84+IF(E84="NOTIFICAÇÃO DE CONSTATAÇÃO",PrazoConst,PrazoEsc))</f>
        <v>46306.0</v>
      </c>
      <c r="O84" s="115">
        <f>IF(N84="","",IF(ISNUMBER(L84),N84-L84,IF(OR(G84="DECISÃO D.P",ISNUMBER(M84)),"",N84-TODAY())))</f>
        <v>2</v>
      </c>
      <c r="P84" s="116" t="str">
        <f>IF(B84="","",IF(ISNUMBER(M84),"DECIDIDO – ","")&amp;IF(ISNUMBER(L84),IF(O84="","SEM DATA",IF(O84&gt;=0,"DEFESA NO PRAZO","DEFESA FORA DO PRAZO")),IF(OR(G84="DECISÃO D.P",ISNUMBER(M84)),"SEM DEFESA",IF(G84="","SEM STATUS",IF(O84="","SEM DATA",IF(O84&lt;0,"VENCIDO",IF(O84&lt;=DiasAlerta,"VENCE EM BREVE","NO PRAZO")))))))</f>
        <v>VENCE EM BREVE</v>
      </c>
      <c r="Q84" s="117">
        <f>IF(D84="","",TODAY()-D84)</f>
        <v>13</v>
      </c>
      <c r="R84" s="110" t="n"/>
    </row>
    <row r="85" ht="18" customHeight="1">
      <c r="A85" s="109" t="n">
        <v>81</v>
      </c>
      <c r="B85" s="110" t="inlineStr">
        <is>
          <t>Conecta Aliança</t>
        </is>
      </c>
      <c r="C85" s="110" t="inlineStr">
        <is>
          <t>TELEFONIA</t>
        </is>
      </c>
      <c r="D85" s="111" t="n">
        <v>46292</v>
      </c>
      <c r="E85" s="110" t="inlineStr">
        <is>
          <t>NOTIFICAÇÃO DE CONSTATAÇÃO</t>
        </is>
      </c>
      <c r="F85" s="112" t="inlineStr">
        <is>
          <t>ELETRÔNICA</t>
        </is>
      </c>
      <c r="G85" s="112" t="inlineStr">
        <is>
          <t>PRAZO D.P</t>
        </is>
      </c>
      <c r="H85" s="110" t="inlineStr">
        <is>
          <t>HENRIQUE COSTA</t>
        </is>
      </c>
      <c r="I85" s="113" t="inlineStr">
        <is>
          <t>0399/2026</t>
        </is>
      </c>
      <c r="J85" s="113" t="inlineStr">
        <is>
          <t>2026.007733-5/11</t>
        </is>
      </c>
      <c r="K85" s="111" t="n">
        <v>46278</v>
      </c>
      <c r="L85" s="111" t="n"/>
      <c r="M85" s="111" t="n"/>
      <c r="N85" s="114">
        <f>IF(OR(D85="",E85=""),"",D85+IF(E85="NOTIFICAÇÃO DE CONSTATAÇÃO",PrazoConst,PrazoEsc))</f>
        <v>46302.0</v>
      </c>
      <c r="O85" s="115">
        <f>IF(N85="","",IF(ISNUMBER(L85),N85-L85,IF(OR(G85="DECISÃO D.P",ISNUMBER(M85)),"",N85-TODAY())))</f>
        <v>-2</v>
      </c>
      <c r="P85" s="116" t="str">
        <f>IF(B85="","",IF(ISNUMBER(M85),"DECIDIDO – ","")&amp;IF(ISNUMBER(L85),IF(O85="","SEM DATA",IF(O85&gt;=0,"DEFESA NO PRAZO","DEFESA FORA DO PRAZO")),IF(OR(G85="DECISÃO D.P",ISNUMBER(M85)),"SEM DEFESA",IF(G85="","SEM STATUS",IF(O85="","SEM DATA",IF(O85&lt;0,"VENCIDO",IF(O85&lt;=DiasAlerta,"VENCE EM BREVE","NO PRAZO")))))))</f>
        <v>VENCIDO</v>
      </c>
      <c r="Q85" s="117">
        <f>IF(D85="","",TODAY()-D85)</f>
        <v>12</v>
      </c>
      <c r="R85" s="110" t="n"/>
    </row>
    <row r="86" ht="18" customHeight="1">
      <c r="A86" s="109" t="n">
        <v>82</v>
      </c>
      <c r="B86" s="110" t="inlineStr">
        <is>
          <t>Serviços Ipê Amarelo</t>
        </is>
      </c>
      <c r="C86" s="110" t="inlineStr">
        <is>
          <t>OUTROS</t>
        </is>
      </c>
      <c r="D86" s="111" t="n">
        <v>46294</v>
      </c>
      <c r="E86" s="110" t="inlineStr">
        <is>
          <t>NOTIFICAÇÃO DE CONSTATAÇÃO</t>
        </is>
      </c>
      <c r="F86" s="112" t="inlineStr">
        <is>
          <t>ELETRÔNICA</t>
        </is>
      </c>
      <c r="G86" s="112" t="inlineStr">
        <is>
          <t>PRAZO D.P</t>
        </is>
      </c>
      <c r="H86" s="110" t="inlineStr">
        <is>
          <t>ANA PAULA SOUZA</t>
        </is>
      </c>
      <c r="I86" s="113" t="inlineStr">
        <is>
          <t>0787/2026</t>
        </is>
      </c>
      <c r="J86" s="113" t="inlineStr">
        <is>
          <t>2026.027050-9/03</t>
        </is>
      </c>
      <c r="K86" s="111" t="n">
        <v>46283</v>
      </c>
      <c r="L86" s="111" t="n"/>
      <c r="M86" s="111" t="n"/>
      <c r="N86" s="114">
        <f>IF(OR(D86="",E86=""),"",D86+IF(E86="NOTIFICAÇÃO DE CONSTATAÇÃO",PrazoConst,PrazoEsc))</f>
        <v>46304.0</v>
      </c>
      <c r="O86" s="115">
        <f>IF(N86="","",IF(ISNUMBER(L86),N86-L86,IF(OR(G86="DECISÃO D.P",ISNUMBER(M86)),"",N86-TODAY())))</f>
        <v>0</v>
      </c>
      <c r="P86" s="116" t="str">
        <f>IF(B86="","",IF(ISNUMBER(M86),"DECIDIDO – ","")&amp;IF(ISNUMBER(L86),IF(O86="","SEM DATA",IF(O86&gt;=0,"DEFESA NO PRAZO","DEFESA FORA DO PRAZO")),IF(OR(G86="DECISÃO D.P",ISNUMBER(M86)),"SEM DEFESA",IF(G86="","SEM STATUS",IF(O86="","SEM DATA",IF(O86&lt;0,"VENCIDO",IF(O86&lt;=DiasAlerta,"VENCE EM BREVE","NO PRAZO")))))))</f>
        <v>VENCE EM BREVE</v>
      </c>
      <c r="Q86" s="117">
        <f>IF(D86="","",TODAY()-D86)</f>
        <v>10</v>
      </c>
      <c r="R86" s="110" t="n"/>
    </row>
    <row r="87" ht="18" customHeight="1">
      <c r="A87" s="109" t="n">
        <v>83</v>
      </c>
      <c r="B87" s="110" t="inlineStr">
        <is>
          <t>Hospital Vida Plena</t>
        </is>
      </c>
      <c r="C87" s="110" t="inlineStr">
        <is>
          <t>SAÚDE</t>
        </is>
      </c>
      <c r="D87" s="111" t="n">
        <v>46295</v>
      </c>
      <c r="E87" s="110" t="inlineStr">
        <is>
          <t>NOTIFICAÇÃO DE CONSTATAÇÃO</t>
        </is>
      </c>
      <c r="F87" s="112" t="inlineStr">
        <is>
          <t>ELETRÔNICA</t>
        </is>
      </c>
      <c r="G87" s="112" t="inlineStr">
        <is>
          <t>PRAZO D.P</t>
        </is>
      </c>
      <c r="H87" s="110" t="inlineStr">
        <is>
          <t>FELIPE ARAÚJO</t>
        </is>
      </c>
      <c r="I87" s="113" t="inlineStr">
        <is>
          <t>0888/2026</t>
        </is>
      </c>
      <c r="J87" s="113" t="inlineStr">
        <is>
          <t>2026.065360-6/15</t>
        </is>
      </c>
      <c r="K87" s="111" t="n">
        <v>46214</v>
      </c>
      <c r="L87" s="111" t="n"/>
      <c r="M87" s="111" t="n"/>
      <c r="N87" s="114">
        <f>IF(OR(D87="",E87=""),"",D87+IF(E87="NOTIFICAÇÃO DE CONSTATAÇÃO",PrazoConst,PrazoEsc))</f>
        <v>46305.0</v>
      </c>
      <c r="O87" s="115">
        <f>IF(N87="","",IF(ISNUMBER(L87),N87-L87,IF(OR(G87="DECISÃO D.P",ISNUMBER(M87)),"",N87-TODAY())))</f>
        <v>1</v>
      </c>
      <c r="P87" s="116" t="str">
        <f>IF(B87="","",IF(ISNUMBER(M87),"DECIDIDO – ","")&amp;IF(ISNUMBER(L87),IF(O87="","SEM DATA",IF(O87&gt;=0,"DEFESA NO PRAZO","DEFESA FORA DO PRAZO")),IF(OR(G87="DECISÃO D.P",ISNUMBER(M87)),"SEM DEFESA",IF(G87="","SEM STATUS",IF(O87="","SEM DATA",IF(O87&lt;0,"VENCIDO",IF(O87&lt;=DiasAlerta,"VENCE EM BREVE","NO PRAZO")))))))</f>
        <v>VENCE EM BREVE</v>
      </c>
      <c r="Q87" s="117">
        <f>IF(D87="","",TODAY()-D87)</f>
        <v>9</v>
      </c>
      <c r="R87" s="110" t="n"/>
    </row>
    <row r="88" ht="18" customHeight="1">
      <c r="A88" s="109" t="n">
        <v>84</v>
      </c>
      <c r="B88" s="110" t="inlineStr">
        <is>
          <t>Hospital Real</t>
        </is>
      </c>
      <c r="C88" s="110" t="inlineStr">
        <is>
          <t>SAÚDE</t>
        </is>
      </c>
      <c r="D88" s="111" t="n">
        <v>46296</v>
      </c>
      <c r="E88" s="110" t="inlineStr">
        <is>
          <t>NOTIFICAÇÃO DE ESCLARECIMENTO</t>
        </is>
      </c>
      <c r="F88" s="112" t="inlineStr">
        <is>
          <t>ELETRÔNICA</t>
        </is>
      </c>
      <c r="G88" s="112" t="inlineStr">
        <is>
          <t>PRAZO D.P</t>
        </is>
      </c>
      <c r="H88" s="110" t="inlineStr">
        <is>
          <t>DIEGO RIBEIRO</t>
        </is>
      </c>
      <c r="I88" s="113" t="inlineStr">
        <is>
          <t>0295/2026</t>
        </is>
      </c>
      <c r="J88" s="113" t="inlineStr">
        <is>
          <t>2026.019466-9/05</t>
        </is>
      </c>
      <c r="K88" s="111" t="n">
        <v>46233</v>
      </c>
      <c r="L88" s="111" t="n">
        <v>46302</v>
      </c>
      <c r="M88" s="111" t="n"/>
      <c r="N88" s="114">
        <f>IF(OR(D88="",E88=""),"",D88+IF(E88="NOTIFICAÇÃO DE CONSTATAÇÃO",PrazoConst,PrazoEsc))</f>
        <v>46311.0</v>
      </c>
      <c r="O88" s="115">
        <f>IF(N88="","",IF(ISNUMBER(L88),N88-L88,IF(OR(G88="DECISÃO D.P",ISNUMBER(M88)),"",N88-TODAY())))</f>
        <v>9</v>
      </c>
      <c r="P88" s="116" t="str">
        <f>IF(B88="","",IF(ISNUMBER(M88),"DECIDIDO – ","")&amp;IF(ISNUMBER(L88),IF(O88="","SEM DATA",IF(O88&gt;=0,"DEFESA NO PRAZO","DEFESA FORA DO PRAZO")),IF(OR(G88="DECISÃO D.P",ISNUMBER(M88)),"SEM DEFESA",IF(G88="","SEM STATUS",IF(O88="","SEM DATA",IF(O88&lt;0,"VENCIDO",IF(O88&lt;=DiasAlerta,"VENCE EM BREVE","NO PRAZO")))))))</f>
        <v>DEFESA NO PRAZO</v>
      </c>
      <c r="Q88" s="117">
        <f>IF(D88="","",TODAY()-D88)</f>
        <v>8</v>
      </c>
      <c r="R88" s="110" t="n"/>
    </row>
    <row r="89" ht="18" customHeight="1">
      <c r="A89" s="109" t="n">
        <v>85</v>
      </c>
      <c r="B89" s="110" t="inlineStr">
        <is>
          <t>Escola Vida Plena</t>
        </is>
      </c>
      <c r="C89" s="110" t="inlineStr">
        <is>
          <t>ESCOLA</t>
        </is>
      </c>
      <c r="D89" s="111" t="n">
        <v>46297</v>
      </c>
      <c r="E89" s="110" t="inlineStr">
        <is>
          <t>NOTIFICAÇÃO DE CONSTATAÇÃO</t>
        </is>
      </c>
      <c r="F89" s="112" t="inlineStr">
        <is>
          <t>PRESENCIAL</t>
        </is>
      </c>
      <c r="G89" s="112" t="inlineStr">
        <is>
          <t>PRAZO D.P</t>
        </is>
      </c>
      <c r="H89" s="110" t="inlineStr">
        <is>
          <t>ANA PAULA SOUZA</t>
        </is>
      </c>
      <c r="I89" s="113" t="inlineStr">
        <is>
          <t>0939/2026</t>
        </is>
      </c>
      <c r="J89" s="113" t="inlineStr">
        <is>
          <t>2026.013080-0/08</t>
        </is>
      </c>
      <c r="K89" s="111" t="n">
        <v>46291</v>
      </c>
      <c r="L89" s="111" t="n"/>
      <c r="M89" s="111" t="n"/>
      <c r="N89" s="114">
        <f>IF(OR(D89="",E89=""),"",D89+IF(E89="NOTIFICAÇÃO DE CONSTATAÇÃO",PrazoConst,PrazoEsc))</f>
        <v>46307.0</v>
      </c>
      <c r="O89" s="115">
        <f>IF(N89="","",IF(ISNUMBER(L89),N89-L89,IF(OR(G89="DECISÃO D.P",ISNUMBER(M89)),"",N89-TODAY())))</f>
        <v>3</v>
      </c>
      <c r="P89" s="116" t="str">
        <f>IF(B89="","",IF(ISNUMBER(M89),"DECIDIDO – ","")&amp;IF(ISNUMBER(L89),IF(O89="","SEM DATA",IF(O89&gt;=0,"DEFESA NO PRAZO","DEFESA FORA DO PRAZO")),IF(OR(G89="DECISÃO D.P",ISNUMBER(M89)),"SEM DEFESA",IF(G89="","SEM STATUS",IF(O89="","SEM DATA",IF(O89&lt;0,"VENCIDO",IF(O89&lt;=DiasAlerta,"VENCE EM BREVE","NO PRAZO")))))))</f>
        <v>VENCE EM BREVE</v>
      </c>
      <c r="Q89" s="117">
        <f>IF(D89="","",TODAY()-D89)</f>
        <v>7</v>
      </c>
      <c r="R89" s="110" t="n"/>
    </row>
    <row r="90" ht="18" customHeight="1">
      <c r="A90" s="109" t="n">
        <v>86</v>
      </c>
      <c r="B90" s="110" t="inlineStr">
        <is>
          <t>Churrascaria Central</t>
        </is>
      </c>
      <c r="C90" s="110" t="inlineStr">
        <is>
          <t>RESTAURANTE</t>
        </is>
      </c>
      <c r="D90" s="111" t="n">
        <v>46297</v>
      </c>
      <c r="E90" s="110" t="inlineStr">
        <is>
          <t>NOTIFICAÇÃO DE ESCLARECIMENTO</t>
        </is>
      </c>
      <c r="F90" s="112" t="inlineStr">
        <is>
          <t>ELETRÔNICA</t>
        </is>
      </c>
      <c r="G90" s="112" t="inlineStr">
        <is>
          <t>PRAZO D.P</t>
        </is>
      </c>
      <c r="H90" s="110" t="inlineStr">
        <is>
          <t>DIEGO RIBEIRO</t>
        </is>
      </c>
      <c r="I90" s="113" t="inlineStr">
        <is>
          <t>0087/2026</t>
        </is>
      </c>
      <c r="J90" s="113" t="inlineStr">
        <is>
          <t>2026.088628-2/15</t>
        </is>
      </c>
      <c r="K90" s="111" t="n">
        <v>46239</v>
      </c>
      <c r="L90" s="111" t="n">
        <v>46304</v>
      </c>
      <c r="M90" s="111" t="n"/>
      <c r="N90" s="114">
        <f>IF(OR(D90="",E90=""),"",D90+IF(E90="NOTIFICAÇÃO DE CONSTATAÇÃO",PrazoConst,PrazoEsc))</f>
        <v>46312.0</v>
      </c>
      <c r="O90" s="115">
        <f>IF(N90="","",IF(ISNUMBER(L90),N90-L90,IF(OR(G90="DECISÃO D.P",ISNUMBER(M90)),"",N90-TODAY())))</f>
        <v>8</v>
      </c>
      <c r="P90" s="116" t="str">
        <f>IF(B90="","",IF(ISNUMBER(M90),"DECIDIDO – ","")&amp;IF(ISNUMBER(L90),IF(O90="","SEM DATA",IF(O90&gt;=0,"DEFESA NO PRAZO","DEFESA FORA DO PRAZO")),IF(OR(G90="DECISÃO D.P",ISNUMBER(M90)),"SEM DEFESA",IF(G90="","SEM STATUS",IF(O90="","SEM DATA",IF(O90&lt;0,"VENCIDO",IF(O90&lt;=DiasAlerta,"VENCE EM BREVE","NO PRAZO")))))))</f>
        <v>DEFESA NO PRAZO</v>
      </c>
      <c r="Q90" s="117">
        <f>IF(D90="","",TODAY()-D90)</f>
        <v>7</v>
      </c>
      <c r="R90" s="110" t="n"/>
    </row>
    <row r="91" ht="18" customHeight="1">
      <c r="A91" s="109" t="n">
        <v>87</v>
      </c>
      <c r="B91" s="110" t="inlineStr">
        <is>
          <t>Concessionária Horizonte</t>
        </is>
      </c>
      <c r="C91" s="110" t="inlineStr">
        <is>
          <t>CONCESSIONÁRIA</t>
        </is>
      </c>
      <c r="D91" s="111" t="n">
        <v>46297</v>
      </c>
      <c r="E91" s="110" t="inlineStr">
        <is>
          <t>NOTIFICAÇÃO DE CONSTATAÇÃO</t>
        </is>
      </c>
      <c r="F91" s="112" t="inlineStr">
        <is>
          <t>ELETRÔNICA</t>
        </is>
      </c>
      <c r="G91" s="112" t="inlineStr">
        <is>
          <t>PRAZO D.P</t>
        </is>
      </c>
      <c r="H91" s="110" t="inlineStr">
        <is>
          <t>CARLA MENDES</t>
        </is>
      </c>
      <c r="I91" s="113" t="inlineStr">
        <is>
          <t>0100/2026</t>
        </is>
      </c>
      <c r="J91" s="113" t="inlineStr">
        <is>
          <t>2026.088095-7/13</t>
        </is>
      </c>
      <c r="K91" s="111" t="n">
        <v>46261</v>
      </c>
      <c r="L91" s="111" t="n"/>
      <c r="M91" s="111" t="n"/>
      <c r="N91" s="114">
        <f>IF(OR(D91="",E91=""),"",D91+IF(E91="NOTIFICAÇÃO DE CONSTATAÇÃO",PrazoConst,PrazoEsc))</f>
        <v>46307.0</v>
      </c>
      <c r="O91" s="115">
        <f>IF(N91="","",IF(ISNUMBER(L91),N91-L91,IF(OR(G91="DECISÃO D.P",ISNUMBER(M91)),"",N91-TODAY())))</f>
        <v>3</v>
      </c>
      <c r="P91" s="116" t="str">
        <f>IF(B91="","",IF(ISNUMBER(M91),"DECIDIDO – ","")&amp;IF(ISNUMBER(L91),IF(O91="","SEM DATA",IF(O91&gt;=0,"DEFESA NO PRAZO","DEFESA FORA DO PRAZO")),IF(OR(G91="DECISÃO D.P",ISNUMBER(M91)),"SEM DEFESA",IF(G91="","SEM STATUS",IF(O91="","SEM DATA",IF(O91&lt;0,"VENCIDO",IF(O91&lt;=DiasAlerta,"VENCE EM BREVE","NO PRAZO")))))))</f>
        <v>VENCE EM BREVE</v>
      </c>
      <c r="Q91" s="117">
        <f>IF(D91="","",TODAY()-D91)</f>
        <v>7</v>
      </c>
      <c r="R91" s="110" t="n"/>
    </row>
    <row r="92" ht="18" customHeight="1">
      <c r="A92" s="109" t="n">
        <v>88</v>
      </c>
      <c r="B92" s="110" t="inlineStr">
        <is>
          <t>Banco Bela Vista</t>
        </is>
      </c>
      <c r="C92" s="110" t="inlineStr">
        <is>
          <t>BANCO</t>
        </is>
      </c>
      <c r="D92" s="111" t="n">
        <v>46299</v>
      </c>
      <c r="E92" s="110" t="inlineStr">
        <is>
          <t>NOTIFICAÇÃO DE ESCLARECIMENTO</t>
        </is>
      </c>
      <c r="F92" s="112" t="inlineStr">
        <is>
          <t>PRESENCIAL</t>
        </is>
      </c>
      <c r="G92" s="112" t="inlineStr">
        <is>
          <t>DECISÃO D.P</t>
        </is>
      </c>
      <c r="H92" s="110" t="inlineStr">
        <is>
          <t>DIEGO RIBEIRO</t>
        </is>
      </c>
      <c r="I92" s="113" t="inlineStr">
        <is>
          <t>0478/2026</t>
        </is>
      </c>
      <c r="J92" s="113" t="inlineStr">
        <is>
          <t>2026.082081-2/03</t>
        </is>
      </c>
      <c r="K92" s="111" t="n">
        <v>46221</v>
      </c>
      <c r="L92" s="111" t="n">
        <v>46304</v>
      </c>
      <c r="M92" s="111" t="n">
        <v>46304</v>
      </c>
      <c r="N92" s="114">
        <f>IF(OR(D92="",E92=""),"",D92+IF(E92="NOTIFICAÇÃO DE CONSTATAÇÃO",PrazoConst,PrazoEsc))</f>
        <v>46314.0</v>
      </c>
      <c r="O92" s="115">
        <f>IF(N92="","",IF(ISNUMBER(L92),N92-L92,IF(OR(G92="DECISÃO D.P",ISNUMBER(M92)),"",N92-TODAY())))</f>
        <v>10</v>
      </c>
      <c r="P92" s="116" t="str">
        <f>IF(B92="","",IF(ISNUMBER(M92),"DECIDIDO – ","")&amp;IF(ISNUMBER(L92),IF(O92="","SEM DATA",IF(O92&gt;=0,"DEFESA NO PRAZO","DEFESA FORA DO PRAZO")),IF(OR(G92="DECISÃO D.P",ISNUMBER(M92)),"SEM DEFESA",IF(G92="","SEM STATUS",IF(O92="","SEM DATA",IF(O92&lt;0,"VENCIDO",IF(O92&lt;=DiasAlerta,"VENCE EM BREVE","NO PRAZO")))))))</f>
        <v>DECIDIDO – DEFESA NO PRAZO</v>
      </c>
      <c r="Q92" s="117">
        <f>IF(D92="","",TODAY()-D92)</f>
        <v>5</v>
      </c>
      <c r="R92" s="110" t="n"/>
    </row>
    <row r="93" ht="18" customHeight="1">
      <c r="A93" s="109" t="n">
        <v>89</v>
      </c>
      <c r="B93" s="110" t="inlineStr">
        <is>
          <t>Comércio Real</t>
        </is>
      </c>
      <c r="C93" s="110" t="inlineStr">
        <is>
          <t>OUTROS</t>
        </is>
      </c>
      <c r="D93" s="111" t="n">
        <v>46300</v>
      </c>
      <c r="E93" s="110" t="inlineStr">
        <is>
          <t>NOTIFICAÇÃO DE ESCLARECIMENTO</t>
        </is>
      </c>
      <c r="F93" s="112" t="inlineStr">
        <is>
          <t>PRESENCIAL</t>
        </is>
      </c>
      <c r="G93" s="112" t="inlineStr">
        <is>
          <t>PRAZO D.P</t>
        </is>
      </c>
      <c r="H93" s="110" t="inlineStr">
        <is>
          <t>GABRIELA NUNES</t>
        </is>
      </c>
      <c r="I93" s="113" t="inlineStr">
        <is>
          <t>0470/2026</t>
        </is>
      </c>
      <c r="J93" s="113" t="inlineStr">
        <is>
          <t>2026.065162-5/15</t>
        </is>
      </c>
      <c r="K93" s="111" t="n">
        <v>46229</v>
      </c>
      <c r="L93" s="111" t="n">
        <v>46304</v>
      </c>
      <c r="M93" s="111" t="n"/>
      <c r="N93" s="114">
        <f>IF(OR(D93="",E93=""),"",D93+IF(E93="NOTIFICAÇÃO DE CONSTATAÇÃO",PrazoConst,PrazoEsc))</f>
        <v>46315.0</v>
      </c>
      <c r="O93" s="115">
        <f>IF(N93="","",IF(ISNUMBER(L93),N93-L93,IF(OR(G93="DECISÃO D.P",ISNUMBER(M93)),"",N93-TODAY())))</f>
        <v>11</v>
      </c>
      <c r="P93" s="116" t="str">
        <f>IF(B93="","",IF(ISNUMBER(M93),"DECIDIDO – ","")&amp;IF(ISNUMBER(L93),IF(O93="","SEM DATA",IF(O93&gt;=0,"DEFESA NO PRAZO","DEFESA FORA DO PRAZO")),IF(OR(G93="DECISÃO D.P",ISNUMBER(M93)),"SEM DEFESA",IF(G93="","SEM STATUS",IF(O93="","SEM DATA",IF(O93&lt;0,"VENCIDO",IF(O93&lt;=DiasAlerta,"VENCE EM BREVE","NO PRAZO")))))))</f>
        <v>DEFESA NO PRAZO</v>
      </c>
      <c r="Q93" s="117">
        <f>IF(D93="","",TODAY()-D93)</f>
        <v>4</v>
      </c>
      <c r="R93" s="110" t="n"/>
    </row>
    <row r="94" ht="18" customHeight="1">
      <c r="A94" s="109" t="n">
        <v>90</v>
      </c>
      <c r="B94" s="110" t="inlineStr">
        <is>
          <t>Concessionária Litoral</t>
        </is>
      </c>
      <c r="C94" s="110" t="inlineStr">
        <is>
          <t>CONCESSIONÁRIA</t>
        </is>
      </c>
      <c r="D94" s="111" t="n">
        <v>46301</v>
      </c>
      <c r="E94" s="110" t="inlineStr">
        <is>
          <t>NOTIFICAÇÃO DE CONSTATAÇÃO</t>
        </is>
      </c>
      <c r="F94" s="112" t="inlineStr">
        <is>
          <t>PRESENCIAL</t>
        </is>
      </c>
      <c r="G94" s="112" t="inlineStr">
        <is>
          <t>PRAZO D.P</t>
        </is>
      </c>
      <c r="H94" s="110" t="inlineStr">
        <is>
          <t>BRUNO CARVALHO</t>
        </is>
      </c>
      <c r="I94" s="113" t="inlineStr">
        <is>
          <t>0776/2026</t>
        </is>
      </c>
      <c r="J94" s="113" t="inlineStr">
        <is>
          <t>2026.047825-2/01</t>
        </is>
      </c>
      <c r="K94" s="111" t="n">
        <v>46215</v>
      </c>
      <c r="L94" s="111" t="n"/>
      <c r="M94" s="111" t="n"/>
      <c r="N94" s="114">
        <f>IF(OR(D94="",E94=""),"",D94+IF(E94="NOTIFICAÇÃO DE CONSTATAÇÃO",PrazoConst,PrazoEsc))</f>
        <v>46311.0</v>
      </c>
      <c r="O94" s="115">
        <f>IF(N94="","",IF(ISNUMBER(L94),N94-L94,IF(OR(G94="DECISÃO D.P",ISNUMBER(M94)),"",N94-TODAY())))</f>
        <v>7</v>
      </c>
      <c r="P94" s="116" t="str">
        <f>IF(B94="","",IF(ISNUMBER(M94),"DECIDIDO – ","")&amp;IF(ISNUMBER(L94),IF(O94="","SEM DATA",IF(O94&gt;=0,"DEFESA NO PRAZO","DEFESA FORA DO PRAZO")),IF(OR(G94="DECISÃO D.P",ISNUMBER(M94)),"SEM DEFESA",IF(G94="","SEM STATUS",IF(O94="","SEM DATA",IF(O94&lt;0,"VENCIDO",IF(O94&lt;=DiasAlerta,"VENCE EM BREVE","NO PRAZO")))))))</f>
        <v>NO PRAZO</v>
      </c>
      <c r="Q94" s="117">
        <f>IF(D94="","",TODAY()-D94)</f>
        <v>3</v>
      </c>
      <c r="R94" s="110" t="n"/>
    </row>
    <row r="95" ht="18" customHeight="1">
      <c r="A95" s="109" t="n">
        <v>91</v>
      </c>
      <c r="B95" s="110" t="inlineStr">
        <is>
          <t>Boutique Aliança</t>
        </is>
      </c>
      <c r="C95" s="110" t="inlineStr">
        <is>
          <t>LOJA</t>
        </is>
      </c>
      <c r="D95" s="111" t="n">
        <v>46303</v>
      </c>
      <c r="E95" s="110" t="inlineStr">
        <is>
          <t>NOTIFICAÇÃO DE ESCLARECIMENTO</t>
        </is>
      </c>
      <c r="F95" s="112" t="inlineStr">
        <is>
          <t>ELETRÔNICA</t>
        </is>
      </c>
      <c r="G95" s="112" t="inlineStr">
        <is>
          <t>PRAZO D.P</t>
        </is>
      </c>
      <c r="H95" s="110" t="inlineStr">
        <is>
          <t>CARLA MENDES</t>
        </is>
      </c>
      <c r="I95" s="113" t="inlineStr">
        <is>
          <t>0587/2026</t>
        </is>
      </c>
      <c r="J95" s="113" t="inlineStr">
        <is>
          <t>2026.096753-7/13</t>
        </is>
      </c>
      <c r="K95" s="111" t="n">
        <v>46228</v>
      </c>
      <c r="L95" s="111" t="n"/>
      <c r="M95" s="111" t="n"/>
      <c r="N95" s="114">
        <f>IF(OR(D95="",E95=""),"",D95+IF(E95="NOTIFICAÇÃO DE CONSTATAÇÃO",PrazoConst,PrazoEsc))</f>
        <v>46318.0</v>
      </c>
      <c r="O95" s="115">
        <f>IF(N95="","",IF(ISNUMBER(L95),N95-L95,IF(OR(G95="DECISÃO D.P",ISNUMBER(M95)),"",N95-TODAY())))</f>
        <v>14</v>
      </c>
      <c r="P95" s="116" t="str">
        <f>IF(B95="","",IF(ISNUMBER(M95),"DECIDIDO – ","")&amp;IF(ISNUMBER(L95),IF(O95="","SEM DATA",IF(O95&gt;=0,"DEFESA NO PRAZO","DEFESA FORA DO PRAZO")),IF(OR(G95="DECISÃO D.P",ISNUMBER(M95)),"SEM DEFESA",IF(G95="","SEM STATUS",IF(O95="","SEM DATA",IF(O95&lt;0,"VENCIDO",IF(O95&lt;=DiasAlerta,"VENCE EM BREVE","NO PRAZO")))))))</f>
        <v>NO PRAZO</v>
      </c>
      <c r="Q95" s="117">
        <f>IF(D95="","",TODAY()-D95)</f>
        <v>1</v>
      </c>
      <c r="R95" s="110" t="n"/>
    </row>
    <row r="96" ht="18" customHeight="1">
      <c r="A96" s="109" t="n">
        <v>92</v>
      </c>
      <c r="B96" s="110" t="inlineStr">
        <is>
          <t>Financeira São Jorge Ltda</t>
        </is>
      </c>
      <c r="C96" s="110" t="inlineStr">
        <is>
          <t>BANCO</t>
        </is>
      </c>
      <c r="D96" s="111" t="n">
        <v>46303</v>
      </c>
      <c r="E96" s="110" t="inlineStr">
        <is>
          <t>NOTIFICAÇÃO DE CONSTATAÇÃO</t>
        </is>
      </c>
      <c r="F96" s="112" t="inlineStr">
        <is>
          <t>PRESENCIAL</t>
        </is>
      </c>
      <c r="G96" s="112" t="inlineStr">
        <is>
          <t>PRAZO D.P</t>
        </is>
      </c>
      <c r="H96" s="110" t="inlineStr">
        <is>
          <t>GABRIELA NUNES</t>
        </is>
      </c>
      <c r="I96" s="113" t="inlineStr">
        <is>
          <t>0503/2026</t>
        </is>
      </c>
      <c r="J96" s="113" t="inlineStr">
        <is>
          <t>2026.028554-6/05</t>
        </is>
      </c>
      <c r="K96" s="111" t="n">
        <v>46258</v>
      </c>
      <c r="L96" s="111" t="n"/>
      <c r="M96" s="111" t="n"/>
      <c r="N96" s="114">
        <f>IF(OR(D96="",E96=""),"",D96+IF(E96="NOTIFICAÇÃO DE CONSTATAÇÃO",PrazoConst,PrazoEsc))</f>
        <v>46313.0</v>
      </c>
      <c r="O96" s="115">
        <f>IF(N96="","",IF(ISNUMBER(L96),N96-L96,IF(OR(G96="DECISÃO D.P",ISNUMBER(M96)),"",N96-TODAY())))</f>
        <v>9</v>
      </c>
      <c r="P96" s="116" t="str">
        <f>IF(B96="","",IF(ISNUMBER(M96),"DECIDIDO – ","")&amp;IF(ISNUMBER(L96),IF(O96="","SEM DATA",IF(O96&gt;=0,"DEFESA NO PRAZO","DEFESA FORA DO PRAZO")),IF(OR(G96="DECISÃO D.P",ISNUMBER(M96)),"SEM DEFESA",IF(G96="","SEM STATUS",IF(O96="","SEM DATA",IF(O96&lt;0,"VENCIDO",IF(O96&lt;=DiasAlerta,"VENCE EM BREVE","NO PRAZO")))))))</f>
        <v>NO PRAZO</v>
      </c>
      <c r="Q96" s="117">
        <f>IF(D96="","",TODAY()-D96)</f>
        <v>1</v>
      </c>
      <c r="R96" s="110" t="n"/>
    </row>
    <row r="97" ht="18" customHeight="1">
      <c r="A97" s="109" t="n">
        <v>93</v>
      </c>
      <c r="B97" s="110" t="inlineStr">
        <is>
          <t>Studio Fitness São Jorge</t>
        </is>
      </c>
      <c r="C97" s="110" t="inlineStr">
        <is>
          <t>ACADEMIA</t>
        </is>
      </c>
      <c r="D97" s="111" t="n">
        <v>46303</v>
      </c>
      <c r="E97" s="110" t="inlineStr">
        <is>
          <t>NOTIFICAÇÃO DE ESCLARECIMENTO</t>
        </is>
      </c>
      <c r="F97" s="112" t="inlineStr">
        <is>
          <t>PRESENCIAL</t>
        </is>
      </c>
      <c r="G97" s="112" t="inlineStr">
        <is>
          <t>PRAZO D.P</t>
        </is>
      </c>
      <c r="H97" s="110" t="inlineStr">
        <is>
          <t>GABRIELA NUNES</t>
        </is>
      </c>
      <c r="I97" s="113" t="inlineStr">
        <is>
          <t>0559/2026</t>
        </is>
      </c>
      <c r="J97" s="113" t="inlineStr">
        <is>
          <t>2026.074373-6/11</t>
        </is>
      </c>
      <c r="K97" s="111" t="n">
        <v>46266</v>
      </c>
      <c r="L97" s="111" t="n"/>
      <c r="M97" s="111" t="n"/>
      <c r="N97" s="114">
        <f>IF(OR(D97="",E97=""),"",D97+IF(E97="NOTIFICAÇÃO DE CONSTATAÇÃO",PrazoConst,PrazoEsc))</f>
        <v>46318.0</v>
      </c>
      <c r="O97" s="115">
        <f>IF(N97="","",IF(ISNUMBER(L97),N97-L97,IF(OR(G97="DECISÃO D.P",ISNUMBER(M97)),"",N97-TODAY())))</f>
        <v>14</v>
      </c>
      <c r="P97" s="116" t="str">
        <f>IF(B97="","",IF(ISNUMBER(M97),"DECIDIDO – ","")&amp;IF(ISNUMBER(L97),IF(O97="","SEM DATA",IF(O97&gt;=0,"DEFESA NO PRAZO","DEFESA FORA DO PRAZO")),IF(OR(G97="DECISÃO D.P",ISNUMBER(M97)),"SEM DEFESA",IF(G97="","SEM STATUS",IF(O97="","SEM DATA",IF(O97&lt;0,"VENCIDO",IF(O97&lt;=DiasAlerta,"VENCE EM BREVE","NO PRAZO")))))))</f>
        <v>NO PRAZO</v>
      </c>
      <c r="Q97" s="117">
        <f>IF(D97="","",TODAY()-D97)</f>
        <v>1</v>
      </c>
      <c r="R97" s="110" t="n"/>
    </row>
    <row r="98" ht="18" customHeight="1">
      <c r="A98" s="109" t="n">
        <v>94</v>
      </c>
      <c r="B98" s="110" t="inlineStr">
        <is>
          <t>Escola Aliança</t>
        </is>
      </c>
      <c r="C98" s="110" t="inlineStr">
        <is>
          <t>ESCOLA</t>
        </is>
      </c>
      <c r="D98" s="111" t="n">
        <v>46304</v>
      </c>
      <c r="E98" s="110" t="inlineStr">
        <is>
          <t>NOTIFICAÇÃO DE CONSTATAÇÃO</t>
        </is>
      </c>
      <c r="F98" s="112" t="inlineStr">
        <is>
          <t>ELETRÔNICA</t>
        </is>
      </c>
      <c r="G98" s="112" t="inlineStr">
        <is>
          <t>PRAZO D.P</t>
        </is>
      </c>
      <c r="H98" s="110" t="inlineStr">
        <is>
          <t>HENRIQUE COSTA</t>
        </is>
      </c>
      <c r="I98" s="113" t="inlineStr">
        <is>
          <t>0536/2026</t>
        </is>
      </c>
      <c r="J98" s="113" t="inlineStr">
        <is>
          <t>2026.014444-9/07</t>
        </is>
      </c>
      <c r="K98" s="111" t="n">
        <v>46214</v>
      </c>
      <c r="L98" s="111" t="n"/>
      <c r="M98" s="111" t="n"/>
      <c r="N98" s="114">
        <f>IF(OR(D98="",E98=""),"",D98+IF(E98="NOTIFICAÇÃO DE CONSTATAÇÃO",PrazoConst,PrazoEsc))</f>
        <v>46314.0</v>
      </c>
      <c r="O98" s="115">
        <f>IF(N98="","",IF(ISNUMBER(L98),N98-L98,IF(OR(G98="DECISÃO D.P",ISNUMBER(M98)),"",N98-TODAY())))</f>
        <v>10</v>
      </c>
      <c r="P98" s="116" t="str">
        <f>IF(B98="","",IF(ISNUMBER(M98),"DECIDIDO – ","")&amp;IF(ISNUMBER(L98),IF(O98="","SEM DATA",IF(O98&gt;=0,"DEFESA NO PRAZO","DEFESA FORA DO PRAZO")),IF(OR(G98="DECISÃO D.P",ISNUMBER(M98)),"SEM DEFESA",IF(G98="","SEM STATUS",IF(O98="","SEM DATA",IF(O98&lt;0,"VENCIDO",IF(O98&lt;=DiasAlerta,"VENCE EM BREVE","NO PRAZO")))))))</f>
        <v>NO PRAZO</v>
      </c>
      <c r="Q98" s="117">
        <f>IF(D98="","",TODAY()-D98)</f>
        <v>0</v>
      </c>
      <c r="R98" s="110" t="n"/>
    </row>
    <row r="99" ht="18" customHeight="1">
      <c r="A99" s="109" t="n">
        <v>95</v>
      </c>
      <c r="B99" s="110" t="inlineStr">
        <is>
          <t>Studio Fitness Avenida</t>
        </is>
      </c>
      <c r="C99" s="110" t="inlineStr">
        <is>
          <t>ACADEMIA</t>
        </is>
      </c>
      <c r="D99" s="111" t="n">
        <v>46304</v>
      </c>
      <c r="E99" s="110" t="inlineStr">
        <is>
          <t>NOTIFICAÇÃO DE ESCLARECIMENTO</t>
        </is>
      </c>
      <c r="F99" s="112" t="inlineStr">
        <is>
          <t>PRESENCIAL</t>
        </is>
      </c>
      <c r="G99" s="112" t="inlineStr">
        <is>
          <t>DECISÃO D.P</t>
        </is>
      </c>
      <c r="H99" s="110" t="inlineStr">
        <is>
          <t>ANA PAULA SOUZA</t>
        </is>
      </c>
      <c r="I99" s="113" t="inlineStr">
        <is>
          <t>0706/2026</t>
        </is>
      </c>
      <c r="J99" s="113" t="inlineStr">
        <is>
          <t>2026.034925-7/15</t>
        </is>
      </c>
      <c r="K99" s="111" t="n">
        <v>46234</v>
      </c>
      <c r="L99" s="111" t="n"/>
      <c r="M99" s="111" t="n"/>
      <c r="N99" s="114">
        <f>IF(OR(D99="",E99=""),"",D99+IF(E99="NOTIFICAÇÃO DE CONSTATAÇÃO",PrazoConst,PrazoEsc))</f>
        <v>46319.0</v>
      </c>
      <c r="O99" s="115" t="str">
        <f>IF(N99="","",IF(ISNUMBER(L99),N99-L99,IF(OR(G99="DECISÃO D.P",ISNUMBER(M99)),"",N99-TODAY())))</f>
        <v/>
      </c>
      <c r="P99" s="116" t="str">
        <f>IF(B99="","",IF(ISNUMBER(M99),"DECIDIDO – ","")&amp;IF(ISNUMBER(L99),IF(O99="","SEM DATA",IF(O99&gt;=0,"DEFESA NO PRAZO","DEFESA FORA DO PRAZO")),IF(OR(G99="DECISÃO D.P",ISNUMBER(M99)),"SEM DEFESA",IF(G99="","SEM STATUS",IF(O99="","SEM DATA",IF(O99&lt;0,"VENCIDO",IF(O99&lt;=DiasAlerta,"VENCE EM BREVE","NO PRAZO")))))))</f>
        <v>SEM DEFESA</v>
      </c>
      <c r="Q99" s="117">
        <f>IF(D99="","",TODAY()-D99)</f>
        <v>0</v>
      </c>
      <c r="R99" s="110" t="n"/>
    </row>
    <row r="100" ht="18" customHeight="1">
      <c r="A100" s="109" t="n">
        <v>96</v>
      </c>
      <c r="B100" s="110" t="inlineStr">
        <is>
          <t>Academia Vida Plena</t>
        </is>
      </c>
      <c r="C100" s="110" t="inlineStr">
        <is>
          <t>ACADEMIA</t>
        </is>
      </c>
      <c r="D100" s="111" t="n">
        <v>46304</v>
      </c>
      <c r="E100" s="110" t="inlineStr">
        <is>
          <t>NOTIFICAÇÃO DE CONSTATAÇÃO</t>
        </is>
      </c>
      <c r="F100" s="112" t="inlineStr">
        <is>
          <t>ELETRÔNICA</t>
        </is>
      </c>
      <c r="G100" s="112" t="inlineStr">
        <is>
          <t>PRAZO D.P</t>
        </is>
      </c>
      <c r="H100" s="110" t="inlineStr">
        <is>
          <t>DIEGO RIBEIRO</t>
        </is>
      </c>
      <c r="I100" s="113" t="inlineStr">
        <is>
          <t>0860/2026</t>
        </is>
      </c>
      <c r="J100" s="113" t="inlineStr">
        <is>
          <t>2026.060221-3/08</t>
        </is>
      </c>
      <c r="K100" s="111" t="n">
        <v>46293</v>
      </c>
      <c r="L100" s="111" t="n"/>
      <c r="M100" s="111" t="n"/>
      <c r="N100" s="114">
        <f>IF(OR(D100="",E100=""),"",D100+IF(E100="NOTIFICAÇÃO DE CONSTATAÇÃO",PrazoConst,PrazoEsc))</f>
        <v>46314.0</v>
      </c>
      <c r="O100" s="115">
        <f>IF(N100="","",IF(ISNUMBER(L100),N100-L100,IF(OR(G100="DECISÃO D.P",ISNUMBER(M100)),"",N100-TODAY())))</f>
        <v>10</v>
      </c>
      <c r="P100" s="116" t="str">
        <f>IF(B100="","",IF(ISNUMBER(M100),"DECIDIDO – ","")&amp;IF(ISNUMBER(L100),IF(O100="","SEM DATA",IF(O100&gt;=0,"DEFESA NO PRAZO","DEFESA FORA DO PRAZO")),IF(OR(G100="DECISÃO D.P",ISNUMBER(M100)),"SEM DEFESA",IF(G100="","SEM STATUS",IF(O100="","SEM DATA",IF(O100&lt;0,"VENCIDO",IF(O100&lt;=DiasAlerta,"VENCE EM BREVE","NO PRAZO")))))))</f>
        <v>NO PRAZO</v>
      </c>
      <c r="Q100" s="117">
        <f>IF(D100="","",TODAY()-D100)</f>
        <v>0</v>
      </c>
      <c r="R100" s="110" t="n"/>
    </row>
    <row r="101" ht="18" customHeight="1">
      <c r="A101" s="109" t="n"/>
      <c r="B101" s="110" t="n"/>
      <c r="C101" s="110" t="n"/>
      <c r="D101" s="111" t="n"/>
      <c r="E101" s="110" t="n"/>
      <c r="F101" s="112" t="n"/>
      <c r="G101" s="112" t="n"/>
      <c r="H101" s="110" t="n"/>
      <c r="I101" s="113" t="n"/>
      <c r="J101" s="113" t="n"/>
      <c r="K101" s="111" t="n"/>
      <c r="L101" s="111" t="n"/>
      <c r="M101" s="111" t="n"/>
      <c r="N101" s="114" t="str">
        <f>IF(OR(D101="",E101=""),"",D101+IF(E101="NOTIFICAÇÃO DE CONSTATAÇÃO",PrazoConst,PrazoEsc))</f>
        <v/>
      </c>
      <c r="O101" s="115" t="str">
        <f>IF(N101="","",IF(ISNUMBER(L101),N101-L101,IF(OR(G101="DECISÃO D.P",ISNUMBER(M101)),"",N101-TODAY())))</f>
        <v/>
      </c>
      <c r="P101" s="116" t="str">
        <f>IF(B101="","",IF(ISNUMBER(M101),"DECIDIDO – ","")&amp;IF(ISNUMBER(L101),IF(O101="","SEM DATA",IF(O101&gt;=0,"DEFESA NO PRAZO","DEFESA FORA DO PRAZO")),IF(OR(G101="DECISÃO D.P",ISNUMBER(M101)),"SEM DEFESA",IF(G101="","SEM STATUS",IF(O101="","SEM DATA",IF(O101&lt;0,"VENCIDO",IF(O101&lt;=DiasAlerta,"VENCE EM BREVE","NO PRAZO")))))))</f>
        <v/>
      </c>
      <c r="Q101" s="117" t="str">
        <f>IF(D101="","",TODAY()-D101)</f>
        <v/>
      </c>
      <c r="R101" s="110" t="n"/>
    </row>
    <row r="102" ht="18" customHeight="1">
      <c r="A102" s="109" t="n"/>
      <c r="B102" s="110" t="n"/>
      <c r="C102" s="110" t="n"/>
      <c r="D102" s="111" t="n"/>
      <c r="E102" s="110" t="n"/>
      <c r="F102" s="112" t="n"/>
      <c r="G102" s="112" t="n"/>
      <c r="H102" s="110" t="n"/>
      <c r="I102" s="113" t="n"/>
      <c r="J102" s="113" t="n"/>
      <c r="K102" s="111" t="n"/>
      <c r="L102" s="111" t="n"/>
      <c r="M102" s="111" t="n"/>
      <c r="N102" s="114" t="str">
        <f>IF(OR(D102="",E102=""),"",D102+IF(E102="NOTIFICAÇÃO DE CONSTATAÇÃO",PrazoConst,PrazoEsc))</f>
        <v/>
      </c>
      <c r="O102" s="115" t="str">
        <f>IF(N102="","",IF(ISNUMBER(L102),N102-L102,IF(OR(G102="DECISÃO D.P",ISNUMBER(M102)),"",N102-TODAY())))</f>
        <v/>
      </c>
      <c r="P102" s="116" t="str">
        <f>IF(B102="","",IF(ISNUMBER(M102),"DECIDIDO – ","")&amp;IF(ISNUMBER(L102),IF(O102="","SEM DATA",IF(O102&gt;=0,"DEFESA NO PRAZO","DEFESA FORA DO PRAZO")),IF(OR(G102="DECISÃO D.P",ISNUMBER(M102)),"SEM DEFESA",IF(G102="","SEM STATUS",IF(O102="","SEM DATA",IF(O102&lt;0,"VENCIDO",IF(O102&lt;=DiasAlerta,"VENCE EM BREVE","NO PRAZO")))))))</f>
        <v/>
      </c>
      <c r="Q102" s="117" t="str">
        <f>IF(D102="","",TODAY()-D102)</f>
        <v/>
      </c>
      <c r="R102" s="110" t="n"/>
    </row>
    <row r="103" ht="18" customHeight="1">
      <c r="A103" s="109" t="n"/>
      <c r="B103" s="110" t="n"/>
      <c r="C103" s="110" t="n"/>
      <c r="D103" s="111" t="n"/>
      <c r="E103" s="110" t="n"/>
      <c r="F103" s="112" t="n"/>
      <c r="G103" s="112" t="n"/>
      <c r="H103" s="110" t="n"/>
      <c r="I103" s="113" t="n"/>
      <c r="J103" s="113" t="n"/>
      <c r="K103" s="111" t="n"/>
      <c r="L103" s="111" t="n"/>
      <c r="M103" s="111" t="n"/>
      <c r="N103" s="114" t="str">
        <f>IF(OR(D103="",E103=""),"",D103+IF(E103="NOTIFICAÇÃO DE CONSTATAÇÃO",PrazoConst,PrazoEsc))</f>
        <v/>
      </c>
      <c r="O103" s="115" t="str">
        <f>IF(N103="","",IF(ISNUMBER(L103),N103-L103,IF(OR(G103="DECISÃO D.P",ISNUMBER(M103)),"",N103-TODAY())))</f>
        <v/>
      </c>
      <c r="P103" s="116" t="str">
        <f>IF(B103="","",IF(ISNUMBER(M103),"DECIDIDO – ","")&amp;IF(ISNUMBER(L103),IF(O103="","SEM DATA",IF(O103&gt;=0,"DEFESA NO PRAZO","DEFESA FORA DO PRAZO")),IF(OR(G103="DECISÃO D.P",ISNUMBER(M103)),"SEM DEFESA",IF(G103="","SEM STATUS",IF(O103="","SEM DATA",IF(O103&lt;0,"VENCIDO",IF(O103&lt;=DiasAlerta,"VENCE EM BREVE","NO PRAZO")))))))</f>
        <v/>
      </c>
      <c r="Q103" s="117" t="str">
        <f>IF(D103="","",TODAY()-D103)</f>
        <v/>
      </c>
      <c r="R103" s="110" t="n"/>
    </row>
    <row r="104" ht="18" customHeight="1">
      <c r="A104" s="109" t="n"/>
      <c r="B104" s="110" t="n"/>
      <c r="C104" s="110" t="n"/>
      <c r="D104" s="111" t="n"/>
      <c r="E104" s="110" t="n"/>
      <c r="F104" s="112" t="n"/>
      <c r="G104" s="112" t="n"/>
      <c r="H104" s="110" t="n"/>
      <c r="I104" s="113" t="n"/>
      <c r="J104" s="113" t="n"/>
      <c r="K104" s="111" t="n"/>
      <c r="L104" s="111" t="n"/>
      <c r="M104" s="111" t="n"/>
      <c r="N104" s="114" t="str">
        <f>IF(OR(D104="",E104=""),"",D104+IF(E104="NOTIFICAÇÃO DE CONSTATAÇÃO",PrazoConst,PrazoEsc))</f>
        <v/>
      </c>
      <c r="O104" s="115" t="str">
        <f>IF(N104="","",IF(ISNUMBER(L104),N104-L104,IF(OR(G104="DECISÃO D.P",ISNUMBER(M104)),"",N104-TODAY())))</f>
        <v/>
      </c>
      <c r="P104" s="116" t="str">
        <f>IF(B104="","",IF(ISNUMBER(M104),"DECIDIDO – ","")&amp;IF(ISNUMBER(L104),IF(O104="","SEM DATA",IF(O104&gt;=0,"DEFESA NO PRAZO","DEFESA FORA DO PRAZO")),IF(OR(G104="DECISÃO D.P",ISNUMBER(M104)),"SEM DEFESA",IF(G104="","SEM STATUS",IF(O104="","SEM DATA",IF(O104&lt;0,"VENCIDO",IF(O104&lt;=DiasAlerta,"VENCE EM BREVE","NO PRAZO")))))))</f>
        <v/>
      </c>
      <c r="Q104" s="117" t="str">
        <f>IF(D104="","",TODAY()-D104)</f>
        <v/>
      </c>
      <c r="R104" s="110" t="n"/>
    </row>
    <row r="105" ht="18" customHeight="1">
      <c r="A105" s="109" t="n"/>
      <c r="B105" s="110" t="n"/>
      <c r="C105" s="110" t="n"/>
      <c r="D105" s="111" t="n"/>
      <c r="E105" s="110" t="n"/>
      <c r="F105" s="112" t="n"/>
      <c r="G105" s="112" t="n"/>
      <c r="H105" s="110" t="n"/>
      <c r="I105" s="113" t="n"/>
      <c r="J105" s="113" t="n"/>
      <c r="K105" s="111" t="n"/>
      <c r="L105" s="111" t="n"/>
      <c r="M105" s="111" t="n"/>
      <c r="N105" s="114" t="str">
        <f>IF(OR(D105="",E105=""),"",D105+IF(E105="NOTIFICAÇÃO DE CONSTATAÇÃO",PrazoConst,PrazoEsc))</f>
        <v/>
      </c>
      <c r="O105" s="115" t="str">
        <f>IF(N105="","",IF(ISNUMBER(L105),N105-L105,IF(OR(G105="DECISÃO D.P",ISNUMBER(M105)),"",N105-TODAY())))</f>
        <v/>
      </c>
      <c r="P105" s="116" t="str">
        <f>IF(B105="","",IF(ISNUMBER(M105),"DECIDIDO – ","")&amp;IF(ISNUMBER(L105),IF(O105="","SEM DATA",IF(O105&gt;=0,"DEFESA NO PRAZO","DEFESA FORA DO PRAZO")),IF(OR(G105="DECISÃO D.P",ISNUMBER(M105)),"SEM DEFESA",IF(G105="","SEM STATUS",IF(O105="","SEM DATA",IF(O105&lt;0,"VENCIDO",IF(O105&lt;=DiasAlerta,"VENCE EM BREVE","NO PRAZO")))))))</f>
        <v/>
      </c>
      <c r="Q105" s="117" t="str">
        <f>IF(D105="","",TODAY()-D105)</f>
        <v/>
      </c>
      <c r="R105" s="110" t="n"/>
    </row>
    <row r="106" ht="18" customHeight="1">
      <c r="A106" s="109" t="n"/>
      <c r="B106" s="110" t="n"/>
      <c r="C106" s="110" t="n"/>
      <c r="D106" s="111" t="n"/>
      <c r="E106" s="110" t="n"/>
      <c r="F106" s="112" t="n"/>
      <c r="G106" s="112" t="n"/>
      <c r="H106" s="110" t="n"/>
      <c r="I106" s="113" t="n"/>
      <c r="J106" s="113" t="n"/>
      <c r="K106" s="111" t="n"/>
      <c r="L106" s="111" t="n"/>
      <c r="M106" s="111" t="n"/>
      <c r="N106" s="114" t="str">
        <f>IF(OR(D106="",E106=""),"",D106+IF(E106="NOTIFICAÇÃO DE CONSTATAÇÃO",PrazoConst,PrazoEsc))</f>
        <v/>
      </c>
      <c r="O106" s="115" t="str">
        <f>IF(N106="","",IF(ISNUMBER(L106),N106-L106,IF(OR(G106="DECISÃO D.P",ISNUMBER(M106)),"",N106-TODAY())))</f>
        <v/>
      </c>
      <c r="P106" s="116" t="str">
        <f>IF(B106="","",IF(ISNUMBER(M106),"DECIDIDO – ","")&amp;IF(ISNUMBER(L106),IF(O106="","SEM DATA",IF(O106&gt;=0,"DEFESA NO PRAZO","DEFESA FORA DO PRAZO")),IF(OR(G106="DECISÃO D.P",ISNUMBER(M106)),"SEM DEFESA",IF(G106="","SEM STATUS",IF(O106="","SEM DATA",IF(O106&lt;0,"VENCIDO",IF(O106&lt;=DiasAlerta,"VENCE EM BREVE","NO PRAZO")))))))</f>
        <v/>
      </c>
      <c r="Q106" s="117" t="str">
        <f>IF(D106="","",TODAY()-D106)</f>
        <v/>
      </c>
      <c r="R106" s="110" t="n"/>
    </row>
    <row r="107" ht="18" customHeight="1">
      <c r="A107" s="109" t="n"/>
      <c r="B107" s="110" t="n"/>
      <c r="C107" s="110" t="n"/>
      <c r="D107" s="111" t="n"/>
      <c r="E107" s="110" t="n"/>
      <c r="F107" s="112" t="n"/>
      <c r="G107" s="112" t="n"/>
      <c r="H107" s="110" t="n"/>
      <c r="I107" s="113" t="n"/>
      <c r="J107" s="113" t="n"/>
      <c r="K107" s="111" t="n"/>
      <c r="L107" s="111" t="n"/>
      <c r="M107" s="111" t="n"/>
      <c r="N107" s="114" t="str">
        <f>IF(OR(D107="",E107=""),"",D107+IF(E107="NOTIFICAÇÃO DE CONSTATAÇÃO",PrazoConst,PrazoEsc))</f>
        <v/>
      </c>
      <c r="O107" s="115" t="str">
        <f>IF(N107="","",IF(ISNUMBER(L107),N107-L107,IF(OR(G107="DECISÃO D.P",ISNUMBER(M107)),"",N107-TODAY())))</f>
        <v/>
      </c>
      <c r="P107" s="116" t="str">
        <f>IF(B107="","",IF(ISNUMBER(M107),"DECIDIDO – ","")&amp;IF(ISNUMBER(L107),IF(O107="","SEM DATA",IF(O107&gt;=0,"DEFESA NO PRAZO","DEFESA FORA DO PRAZO")),IF(OR(G107="DECISÃO D.P",ISNUMBER(M107)),"SEM DEFESA",IF(G107="","SEM STATUS",IF(O107="","SEM DATA",IF(O107&lt;0,"VENCIDO",IF(O107&lt;=DiasAlerta,"VENCE EM BREVE","NO PRAZO")))))))</f>
        <v/>
      </c>
      <c r="Q107" s="117" t="str">
        <f>IF(D107="","",TODAY()-D107)</f>
        <v/>
      </c>
      <c r="R107" s="110" t="n"/>
    </row>
    <row r="108" ht="18" customHeight="1">
      <c r="A108" s="109" t="n"/>
      <c r="B108" s="110" t="n"/>
      <c r="C108" s="110" t="n"/>
      <c r="D108" s="111" t="n"/>
      <c r="E108" s="110" t="n"/>
      <c r="F108" s="112" t="n"/>
      <c r="G108" s="112" t="n"/>
      <c r="H108" s="110" t="n"/>
      <c r="I108" s="113" t="n"/>
      <c r="J108" s="113" t="n"/>
      <c r="K108" s="111" t="n"/>
      <c r="L108" s="111" t="n"/>
      <c r="M108" s="111" t="n"/>
      <c r="N108" s="114" t="str">
        <f>IF(OR(D108="",E108=""),"",D108+IF(E108="NOTIFICAÇÃO DE CONSTATAÇÃO",PrazoConst,PrazoEsc))</f>
        <v/>
      </c>
      <c r="O108" s="115" t="str">
        <f>IF(N108="","",IF(ISNUMBER(L108),N108-L108,IF(OR(G108="DECISÃO D.P",ISNUMBER(M108)),"",N108-TODAY())))</f>
        <v/>
      </c>
      <c r="P108" s="116" t="str">
        <f>IF(B108="","",IF(ISNUMBER(M108),"DECIDIDO – ","")&amp;IF(ISNUMBER(L108),IF(O108="","SEM DATA",IF(O108&gt;=0,"DEFESA NO PRAZO","DEFESA FORA DO PRAZO")),IF(OR(G108="DECISÃO D.P",ISNUMBER(M108)),"SEM DEFESA",IF(G108="","SEM STATUS",IF(O108="","SEM DATA",IF(O108&lt;0,"VENCIDO",IF(O108&lt;=DiasAlerta,"VENCE EM BREVE","NO PRAZO")))))))</f>
        <v/>
      </c>
      <c r="Q108" s="117" t="str">
        <f>IF(D108="","",TODAY()-D108)</f>
        <v/>
      </c>
      <c r="R108" s="110" t="n"/>
    </row>
    <row r="109" ht="18" customHeight="1">
      <c r="A109" s="109" t="n"/>
      <c r="B109" s="110" t="n"/>
      <c r="C109" s="110" t="n"/>
      <c r="D109" s="111" t="n"/>
      <c r="E109" s="110" t="n"/>
      <c r="F109" s="112" t="n"/>
      <c r="G109" s="112" t="n"/>
      <c r="H109" s="110" t="n"/>
      <c r="I109" s="113" t="n"/>
      <c r="J109" s="113" t="n"/>
      <c r="K109" s="111" t="n"/>
      <c r="L109" s="111" t="n"/>
      <c r="M109" s="111" t="n"/>
      <c r="N109" s="114" t="str">
        <f>IF(OR(D109="",E109=""),"",D109+IF(E109="NOTIFICAÇÃO DE CONSTATAÇÃO",PrazoConst,PrazoEsc))</f>
        <v/>
      </c>
      <c r="O109" s="115" t="str">
        <f>IF(N109="","",IF(ISNUMBER(L109),N109-L109,IF(OR(G109="DECISÃO D.P",ISNUMBER(M109)),"",N109-TODAY())))</f>
        <v/>
      </c>
      <c r="P109" s="116" t="str">
        <f>IF(B109="","",IF(ISNUMBER(M109),"DECIDIDO – ","")&amp;IF(ISNUMBER(L109),IF(O109="","SEM DATA",IF(O109&gt;=0,"DEFESA NO PRAZO","DEFESA FORA DO PRAZO")),IF(OR(G109="DECISÃO D.P",ISNUMBER(M109)),"SEM DEFESA",IF(G109="","SEM STATUS",IF(O109="","SEM DATA",IF(O109&lt;0,"VENCIDO",IF(O109&lt;=DiasAlerta,"VENCE EM BREVE","NO PRAZO")))))))</f>
        <v/>
      </c>
      <c r="Q109" s="117" t="str">
        <f>IF(D109="","",TODAY()-D109)</f>
        <v/>
      </c>
      <c r="R109" s="110" t="n"/>
    </row>
    <row r="110" ht="18" customHeight="1">
      <c r="A110" s="109" t="n"/>
      <c r="B110" s="110" t="n"/>
      <c r="C110" s="110" t="n"/>
      <c r="D110" s="111" t="n"/>
      <c r="E110" s="110" t="n"/>
      <c r="F110" s="112" t="n"/>
      <c r="G110" s="112" t="n"/>
      <c r="H110" s="110" t="n"/>
      <c r="I110" s="113" t="n"/>
      <c r="J110" s="113" t="n"/>
      <c r="K110" s="111" t="n"/>
      <c r="L110" s="111" t="n"/>
      <c r="M110" s="111" t="n"/>
      <c r="N110" s="114" t="str">
        <f>IF(OR(D110="",E110=""),"",D110+IF(E110="NOTIFICAÇÃO DE CONSTATAÇÃO",PrazoConst,PrazoEsc))</f>
        <v/>
      </c>
      <c r="O110" s="115" t="str">
        <f>IF(N110="","",IF(ISNUMBER(L110),N110-L110,IF(OR(G110="DECISÃO D.P",ISNUMBER(M110)),"",N110-TODAY())))</f>
        <v/>
      </c>
      <c r="P110" s="116" t="str">
        <f>IF(B110="","",IF(ISNUMBER(M110),"DECIDIDO – ","")&amp;IF(ISNUMBER(L110),IF(O110="","SEM DATA",IF(O110&gt;=0,"DEFESA NO PRAZO","DEFESA FORA DO PRAZO")),IF(OR(G110="DECISÃO D.P",ISNUMBER(M110)),"SEM DEFESA",IF(G110="","SEM STATUS",IF(O110="","SEM DATA",IF(O110&lt;0,"VENCIDO",IF(O110&lt;=DiasAlerta,"VENCE EM BREVE","NO PRAZO")))))))</f>
        <v/>
      </c>
      <c r="Q110" s="117" t="str">
        <f>IF(D110="","",TODAY()-D110)</f>
        <v/>
      </c>
      <c r="R110" s="110" t="n"/>
    </row>
    <row r="111" ht="18" customHeight="1">
      <c r="A111" s="109" t="n"/>
      <c r="B111" s="110" t="n"/>
      <c r="C111" s="110" t="n"/>
      <c r="D111" s="111" t="n"/>
      <c r="E111" s="110" t="n"/>
      <c r="F111" s="112" t="n"/>
      <c r="G111" s="112" t="n"/>
      <c r="H111" s="110" t="n"/>
      <c r="I111" s="113" t="n"/>
      <c r="J111" s="113" t="n"/>
      <c r="K111" s="111" t="n"/>
      <c r="L111" s="111" t="n"/>
      <c r="M111" s="111" t="n"/>
      <c r="N111" s="114" t="str">
        <f>IF(OR(D111="",E111=""),"",D111+IF(E111="NOTIFICAÇÃO DE CONSTATAÇÃO",PrazoConst,PrazoEsc))</f>
        <v/>
      </c>
      <c r="O111" s="115" t="str">
        <f>IF(N111="","",IF(ISNUMBER(L111),N111-L111,IF(OR(G111="DECISÃO D.P",ISNUMBER(M111)),"",N111-TODAY())))</f>
        <v/>
      </c>
      <c r="P111" s="116" t="str">
        <f>IF(B111="","",IF(ISNUMBER(M111),"DECIDIDO – ","")&amp;IF(ISNUMBER(L111),IF(O111="","SEM DATA",IF(O111&gt;=0,"DEFESA NO PRAZO","DEFESA FORA DO PRAZO")),IF(OR(G111="DECISÃO D.P",ISNUMBER(M111)),"SEM DEFESA",IF(G111="","SEM STATUS",IF(O111="","SEM DATA",IF(O111&lt;0,"VENCIDO",IF(O111&lt;=DiasAlerta,"VENCE EM BREVE","NO PRAZO")))))))</f>
        <v/>
      </c>
      <c r="Q111" s="117" t="str">
        <f>IF(D111="","",TODAY()-D111)</f>
        <v/>
      </c>
      <c r="R111" s="110" t="n"/>
    </row>
    <row r="112" ht="18" customHeight="1">
      <c r="A112" s="109" t="n"/>
      <c r="B112" s="110" t="n"/>
      <c r="C112" s="110" t="n"/>
      <c r="D112" s="111" t="n"/>
      <c r="E112" s="110" t="n"/>
      <c r="F112" s="112" t="n"/>
      <c r="G112" s="112" t="n"/>
      <c r="H112" s="110" t="n"/>
      <c r="I112" s="113" t="n"/>
      <c r="J112" s="113" t="n"/>
      <c r="K112" s="111" t="n"/>
      <c r="L112" s="111" t="n"/>
      <c r="M112" s="111" t="n"/>
      <c r="N112" s="114" t="str">
        <f>IF(OR(D112="",E112=""),"",D112+IF(E112="NOTIFICAÇÃO DE CONSTATAÇÃO",PrazoConst,PrazoEsc))</f>
        <v/>
      </c>
      <c r="O112" s="115" t="str">
        <f>IF(N112="","",IF(ISNUMBER(L112),N112-L112,IF(OR(G112="DECISÃO D.P",ISNUMBER(M112)),"",N112-TODAY())))</f>
        <v/>
      </c>
      <c r="P112" s="116" t="str">
        <f>IF(B112="","",IF(ISNUMBER(M112),"DECIDIDO – ","")&amp;IF(ISNUMBER(L112),IF(O112="","SEM DATA",IF(O112&gt;=0,"DEFESA NO PRAZO","DEFESA FORA DO PRAZO")),IF(OR(G112="DECISÃO D.P",ISNUMBER(M112)),"SEM DEFESA",IF(G112="","SEM STATUS",IF(O112="","SEM DATA",IF(O112&lt;0,"VENCIDO",IF(O112&lt;=DiasAlerta,"VENCE EM BREVE","NO PRAZO")))))))</f>
        <v/>
      </c>
      <c r="Q112" s="117" t="str">
        <f>IF(D112="","",TODAY()-D112)</f>
        <v/>
      </c>
      <c r="R112" s="110" t="n"/>
    </row>
    <row r="113" ht="18" customHeight="1">
      <c r="A113" s="109" t="n"/>
      <c r="B113" s="110" t="n"/>
      <c r="C113" s="110" t="n"/>
      <c r="D113" s="111" t="n"/>
      <c r="E113" s="110" t="n"/>
      <c r="F113" s="112" t="n"/>
      <c r="G113" s="112" t="n"/>
      <c r="H113" s="110" t="n"/>
      <c r="I113" s="113" t="n"/>
      <c r="J113" s="113" t="n"/>
      <c r="K113" s="111" t="n"/>
      <c r="L113" s="111" t="n"/>
      <c r="M113" s="111" t="n"/>
      <c r="N113" s="114" t="str">
        <f>IF(OR(D113="",E113=""),"",D113+IF(E113="NOTIFICAÇÃO DE CONSTATAÇÃO",PrazoConst,PrazoEsc))</f>
        <v/>
      </c>
      <c r="O113" s="115" t="str">
        <f>IF(N113="","",IF(ISNUMBER(L113),N113-L113,IF(OR(G113="DECISÃO D.P",ISNUMBER(M113)),"",N113-TODAY())))</f>
        <v/>
      </c>
      <c r="P113" s="116" t="str">
        <f>IF(B113="","",IF(ISNUMBER(M113),"DECIDIDO – ","")&amp;IF(ISNUMBER(L113),IF(O113="","SEM DATA",IF(O113&gt;=0,"DEFESA NO PRAZO","DEFESA FORA DO PRAZO")),IF(OR(G113="DECISÃO D.P",ISNUMBER(M113)),"SEM DEFESA",IF(G113="","SEM STATUS",IF(O113="","SEM DATA",IF(O113&lt;0,"VENCIDO",IF(O113&lt;=DiasAlerta,"VENCE EM BREVE","NO PRAZO")))))))</f>
        <v/>
      </c>
      <c r="Q113" s="117" t="str">
        <f>IF(D113="","",TODAY()-D113)</f>
        <v/>
      </c>
      <c r="R113" s="110" t="n"/>
    </row>
    <row r="114" ht="18" customHeight="1">
      <c r="A114" s="109" t="n"/>
      <c r="B114" s="110" t="n"/>
      <c r="C114" s="110" t="n"/>
      <c r="D114" s="111" t="n"/>
      <c r="E114" s="110" t="n"/>
      <c r="F114" s="112" t="n"/>
      <c r="G114" s="112" t="n"/>
      <c r="H114" s="110" t="n"/>
      <c r="I114" s="113" t="n"/>
      <c r="J114" s="113" t="n"/>
      <c r="K114" s="111" t="n"/>
      <c r="L114" s="111" t="n"/>
      <c r="M114" s="111" t="n"/>
      <c r="N114" s="114" t="str">
        <f>IF(OR(D114="",E114=""),"",D114+IF(E114="NOTIFICAÇÃO DE CONSTATAÇÃO",PrazoConst,PrazoEsc))</f>
        <v/>
      </c>
      <c r="O114" s="115" t="str">
        <f>IF(N114="","",IF(ISNUMBER(L114),N114-L114,IF(OR(G114="DECISÃO D.P",ISNUMBER(M114)),"",N114-TODAY())))</f>
        <v/>
      </c>
      <c r="P114" s="116" t="str">
        <f>IF(B114="","",IF(ISNUMBER(M114),"DECIDIDO – ","")&amp;IF(ISNUMBER(L114),IF(O114="","SEM DATA",IF(O114&gt;=0,"DEFESA NO PRAZO","DEFESA FORA DO PRAZO")),IF(OR(G114="DECISÃO D.P",ISNUMBER(M114)),"SEM DEFESA",IF(G114="","SEM STATUS",IF(O114="","SEM DATA",IF(O114&lt;0,"VENCIDO",IF(O114&lt;=DiasAlerta,"VENCE EM BREVE","NO PRAZO")))))))</f>
        <v/>
      </c>
      <c r="Q114" s="117" t="str">
        <f>IF(D114="","",TODAY()-D114)</f>
        <v/>
      </c>
      <c r="R114" s="110" t="n"/>
    </row>
    <row r="115" ht="18" customHeight="1">
      <c r="A115" s="109" t="n"/>
      <c r="B115" s="110" t="n"/>
      <c r="C115" s="110" t="n"/>
      <c r="D115" s="111" t="n"/>
      <c r="E115" s="110" t="n"/>
      <c r="F115" s="112" t="n"/>
      <c r="G115" s="112" t="n"/>
      <c r="H115" s="110" t="n"/>
      <c r="I115" s="113" t="n"/>
      <c r="J115" s="113" t="n"/>
      <c r="K115" s="111" t="n"/>
      <c r="L115" s="111" t="n"/>
      <c r="M115" s="111" t="n"/>
      <c r="N115" s="114" t="str">
        <f>IF(OR(D115="",E115=""),"",D115+IF(E115="NOTIFICAÇÃO DE CONSTATAÇÃO",PrazoConst,PrazoEsc))</f>
        <v/>
      </c>
      <c r="O115" s="115" t="str">
        <f>IF(N115="","",IF(ISNUMBER(L115),N115-L115,IF(OR(G115="DECISÃO D.P",ISNUMBER(M115)),"",N115-TODAY())))</f>
        <v/>
      </c>
      <c r="P115" s="116" t="str">
        <f>IF(B115="","",IF(ISNUMBER(M115),"DECIDIDO – ","")&amp;IF(ISNUMBER(L115),IF(O115="","SEM DATA",IF(O115&gt;=0,"DEFESA NO PRAZO","DEFESA FORA DO PRAZO")),IF(OR(G115="DECISÃO D.P",ISNUMBER(M115)),"SEM DEFESA",IF(G115="","SEM STATUS",IF(O115="","SEM DATA",IF(O115&lt;0,"VENCIDO",IF(O115&lt;=DiasAlerta,"VENCE EM BREVE","NO PRAZO")))))))</f>
        <v/>
      </c>
      <c r="Q115" s="117" t="str">
        <f>IF(D115="","",TODAY()-D115)</f>
        <v/>
      </c>
      <c r="R115" s="110" t="n"/>
    </row>
    <row r="116" ht="18" customHeight="1">
      <c r="A116" s="109" t="n"/>
      <c r="B116" s="110" t="n"/>
      <c r="C116" s="110" t="n"/>
      <c r="D116" s="111" t="n"/>
      <c r="E116" s="110" t="n"/>
      <c r="F116" s="112" t="n"/>
      <c r="G116" s="112" t="n"/>
      <c r="H116" s="110" t="n"/>
      <c r="I116" s="113" t="n"/>
      <c r="J116" s="113" t="n"/>
      <c r="K116" s="111" t="n"/>
      <c r="L116" s="111" t="n"/>
      <c r="M116" s="111" t="n"/>
      <c r="N116" s="114" t="str">
        <f>IF(OR(D116="",E116=""),"",D116+IF(E116="NOTIFICAÇÃO DE CONSTATAÇÃO",PrazoConst,PrazoEsc))</f>
        <v/>
      </c>
      <c r="O116" s="115" t="str">
        <f>IF(N116="","",IF(ISNUMBER(L116),N116-L116,IF(OR(G116="DECISÃO D.P",ISNUMBER(M116)),"",N116-TODAY())))</f>
        <v/>
      </c>
      <c r="P116" s="116" t="str">
        <f>IF(B116="","",IF(ISNUMBER(M116),"DECIDIDO – ","")&amp;IF(ISNUMBER(L116),IF(O116="","SEM DATA",IF(O116&gt;=0,"DEFESA NO PRAZO","DEFESA FORA DO PRAZO")),IF(OR(G116="DECISÃO D.P",ISNUMBER(M116)),"SEM DEFESA",IF(G116="","SEM STATUS",IF(O116="","SEM DATA",IF(O116&lt;0,"VENCIDO",IF(O116&lt;=DiasAlerta,"VENCE EM BREVE","NO PRAZO")))))))</f>
        <v/>
      </c>
      <c r="Q116" s="117" t="str">
        <f>IF(D116="","",TODAY()-D116)</f>
        <v/>
      </c>
      <c r="R116" s="110" t="n"/>
    </row>
    <row r="117" ht="18" customHeight="1">
      <c r="A117" s="109" t="n"/>
      <c r="B117" s="110" t="n"/>
      <c r="C117" s="110" t="n"/>
      <c r="D117" s="111" t="n"/>
      <c r="E117" s="110" t="n"/>
      <c r="F117" s="112" t="n"/>
      <c r="G117" s="112" t="n"/>
      <c r="H117" s="110" t="n"/>
      <c r="I117" s="113" t="n"/>
      <c r="J117" s="113" t="n"/>
      <c r="K117" s="111" t="n"/>
      <c r="L117" s="111" t="n"/>
      <c r="M117" s="111" t="n"/>
      <c r="N117" s="114" t="str">
        <f>IF(OR(D117="",E117=""),"",D117+IF(E117="NOTIFICAÇÃO DE CONSTATAÇÃO",PrazoConst,PrazoEsc))</f>
        <v/>
      </c>
      <c r="O117" s="115" t="str">
        <f>IF(N117="","",IF(ISNUMBER(L117),N117-L117,IF(OR(G117="DECISÃO D.P",ISNUMBER(M117)),"",N117-TODAY())))</f>
        <v/>
      </c>
      <c r="P117" s="116" t="str">
        <f>IF(B117="","",IF(ISNUMBER(M117),"DECIDIDO – ","")&amp;IF(ISNUMBER(L117),IF(O117="","SEM DATA",IF(O117&gt;=0,"DEFESA NO PRAZO","DEFESA FORA DO PRAZO")),IF(OR(G117="DECISÃO D.P",ISNUMBER(M117)),"SEM DEFESA",IF(G117="","SEM STATUS",IF(O117="","SEM DATA",IF(O117&lt;0,"VENCIDO",IF(O117&lt;=DiasAlerta,"VENCE EM BREVE","NO PRAZO")))))))</f>
        <v/>
      </c>
      <c r="Q117" s="117" t="str">
        <f>IF(D117="","",TODAY()-D117)</f>
        <v/>
      </c>
      <c r="R117" s="110" t="n"/>
    </row>
    <row r="118" ht="18" customHeight="1">
      <c r="A118" s="109" t="n"/>
      <c r="B118" s="110" t="n"/>
      <c r="C118" s="110" t="n"/>
      <c r="D118" s="111" t="n"/>
      <c r="E118" s="110" t="n"/>
      <c r="F118" s="112" t="n"/>
      <c r="G118" s="112" t="n"/>
      <c r="H118" s="110" t="n"/>
      <c r="I118" s="113" t="n"/>
      <c r="J118" s="113" t="n"/>
      <c r="K118" s="111" t="n"/>
      <c r="L118" s="111" t="n"/>
      <c r="M118" s="111" t="n"/>
      <c r="N118" s="114" t="str">
        <f>IF(OR(D118="",E118=""),"",D118+IF(E118="NOTIFICAÇÃO DE CONSTATAÇÃO",PrazoConst,PrazoEsc))</f>
        <v/>
      </c>
      <c r="O118" s="115" t="str">
        <f>IF(N118="","",IF(ISNUMBER(L118),N118-L118,IF(OR(G118="DECISÃO D.P",ISNUMBER(M118)),"",N118-TODAY())))</f>
        <v/>
      </c>
      <c r="P118" s="116" t="str">
        <f>IF(B118="","",IF(ISNUMBER(M118),"DECIDIDO – ","")&amp;IF(ISNUMBER(L118),IF(O118="","SEM DATA",IF(O118&gt;=0,"DEFESA NO PRAZO","DEFESA FORA DO PRAZO")),IF(OR(G118="DECISÃO D.P",ISNUMBER(M118)),"SEM DEFESA",IF(G118="","SEM STATUS",IF(O118="","SEM DATA",IF(O118&lt;0,"VENCIDO",IF(O118&lt;=DiasAlerta,"VENCE EM BREVE","NO PRAZO")))))))</f>
        <v/>
      </c>
      <c r="Q118" s="117" t="str">
        <f>IF(D118="","",TODAY()-D118)</f>
        <v/>
      </c>
      <c r="R118" s="110" t="n"/>
    </row>
    <row r="119" ht="18" customHeight="1">
      <c r="A119" s="109" t="n"/>
      <c r="B119" s="110" t="n"/>
      <c r="C119" s="110" t="n"/>
      <c r="D119" s="111" t="n"/>
      <c r="E119" s="110" t="n"/>
      <c r="F119" s="112" t="n"/>
      <c r="G119" s="112" t="n"/>
      <c r="H119" s="110" t="n"/>
      <c r="I119" s="113" t="n"/>
      <c r="J119" s="113" t="n"/>
      <c r="K119" s="111" t="n"/>
      <c r="L119" s="111" t="n"/>
      <c r="M119" s="111" t="n"/>
      <c r="N119" s="114" t="str">
        <f>IF(OR(D119="",E119=""),"",D119+IF(E119="NOTIFICAÇÃO DE CONSTATAÇÃO",PrazoConst,PrazoEsc))</f>
        <v/>
      </c>
      <c r="O119" s="115" t="str">
        <f>IF(N119="","",IF(ISNUMBER(L119),N119-L119,IF(OR(G119="DECISÃO D.P",ISNUMBER(M119)),"",N119-TODAY())))</f>
        <v/>
      </c>
      <c r="P119" s="116" t="str">
        <f>IF(B119="","",IF(ISNUMBER(M119),"DECIDIDO – ","")&amp;IF(ISNUMBER(L119),IF(O119="","SEM DATA",IF(O119&gt;=0,"DEFESA NO PRAZO","DEFESA FORA DO PRAZO")),IF(OR(G119="DECISÃO D.P",ISNUMBER(M119)),"SEM DEFESA",IF(G119="","SEM STATUS",IF(O119="","SEM DATA",IF(O119&lt;0,"VENCIDO",IF(O119&lt;=DiasAlerta,"VENCE EM BREVE","NO PRAZO")))))))</f>
        <v/>
      </c>
      <c r="Q119" s="117" t="str">
        <f>IF(D119="","",TODAY()-D119)</f>
        <v/>
      </c>
      <c r="R119" s="110" t="n"/>
    </row>
    <row r="120" ht="18" customHeight="1">
      <c r="A120" s="109" t="n"/>
      <c r="B120" s="110" t="n"/>
      <c r="C120" s="110" t="n"/>
      <c r="D120" s="111" t="n"/>
      <c r="E120" s="110" t="n"/>
      <c r="F120" s="112" t="n"/>
      <c r="G120" s="112" t="n"/>
      <c r="H120" s="110" t="n"/>
      <c r="I120" s="113" t="n"/>
      <c r="J120" s="113" t="n"/>
      <c r="K120" s="111" t="n"/>
      <c r="L120" s="111" t="n"/>
      <c r="M120" s="111" t="n"/>
      <c r="N120" s="114" t="str">
        <f>IF(OR(D120="",E120=""),"",D120+IF(E120="NOTIFICAÇÃO DE CONSTATAÇÃO",PrazoConst,PrazoEsc))</f>
        <v/>
      </c>
      <c r="O120" s="115" t="str">
        <f>IF(N120="","",IF(ISNUMBER(L120),N120-L120,IF(OR(G120="DECISÃO D.P",ISNUMBER(M120)),"",N120-TODAY())))</f>
        <v/>
      </c>
      <c r="P120" s="116" t="str">
        <f>IF(B120="","",IF(ISNUMBER(M120),"DECIDIDO – ","")&amp;IF(ISNUMBER(L120),IF(O120="","SEM DATA",IF(O120&gt;=0,"DEFESA NO PRAZO","DEFESA FORA DO PRAZO")),IF(OR(G120="DECISÃO D.P",ISNUMBER(M120)),"SEM DEFESA",IF(G120="","SEM STATUS",IF(O120="","SEM DATA",IF(O120&lt;0,"VENCIDO",IF(O120&lt;=DiasAlerta,"VENCE EM BREVE","NO PRAZO")))))))</f>
        <v/>
      </c>
      <c r="Q120" s="117" t="str">
        <f>IF(D120="","",TODAY()-D120)</f>
        <v/>
      </c>
      <c r="R120" s="110" t="n"/>
    </row>
    <row r="121" ht="18" customHeight="1">
      <c r="A121" s="109" t="n"/>
      <c r="B121" s="110" t="n"/>
      <c r="C121" s="110" t="n"/>
      <c r="D121" s="111" t="n"/>
      <c r="E121" s="110" t="n"/>
      <c r="F121" s="112" t="n"/>
      <c r="G121" s="112" t="n"/>
      <c r="H121" s="110" t="n"/>
      <c r="I121" s="113" t="n"/>
      <c r="J121" s="113" t="n"/>
      <c r="K121" s="111" t="n"/>
      <c r="L121" s="111" t="n"/>
      <c r="M121" s="111" t="n"/>
      <c r="N121" s="114" t="str">
        <f>IF(OR(D121="",E121=""),"",D121+IF(E121="NOTIFICAÇÃO DE CONSTATAÇÃO",PrazoConst,PrazoEsc))</f>
        <v/>
      </c>
      <c r="O121" s="115" t="str">
        <f>IF(N121="","",IF(ISNUMBER(L121),N121-L121,IF(OR(G121="DECISÃO D.P",ISNUMBER(M121)),"",N121-TODAY())))</f>
        <v/>
      </c>
      <c r="P121" s="116" t="str">
        <f>IF(B121="","",IF(ISNUMBER(M121),"DECIDIDO – ","")&amp;IF(ISNUMBER(L121),IF(O121="","SEM DATA",IF(O121&gt;=0,"DEFESA NO PRAZO","DEFESA FORA DO PRAZO")),IF(OR(G121="DECISÃO D.P",ISNUMBER(M121)),"SEM DEFESA",IF(G121="","SEM STATUS",IF(O121="","SEM DATA",IF(O121&lt;0,"VENCIDO",IF(O121&lt;=DiasAlerta,"VENCE EM BREVE","NO PRAZO")))))))</f>
        <v/>
      </c>
      <c r="Q121" s="117" t="str">
        <f>IF(D121="","",TODAY()-D121)</f>
        <v/>
      </c>
      <c r="R121" s="110" t="n"/>
    </row>
    <row r="122" ht="18" customHeight="1">
      <c r="A122" s="109" t="n"/>
      <c r="B122" s="110" t="n"/>
      <c r="C122" s="110" t="n"/>
      <c r="D122" s="111" t="n"/>
      <c r="E122" s="110" t="n"/>
      <c r="F122" s="112" t="n"/>
      <c r="G122" s="112" t="n"/>
      <c r="H122" s="110" t="n"/>
      <c r="I122" s="113" t="n"/>
      <c r="J122" s="113" t="n"/>
      <c r="K122" s="111" t="n"/>
      <c r="L122" s="111" t="n"/>
      <c r="M122" s="111" t="n"/>
      <c r="N122" s="114" t="str">
        <f>IF(OR(D122="",E122=""),"",D122+IF(E122="NOTIFICAÇÃO DE CONSTATAÇÃO",PrazoConst,PrazoEsc))</f>
        <v/>
      </c>
      <c r="O122" s="115" t="str">
        <f>IF(N122="","",IF(ISNUMBER(L122),N122-L122,IF(OR(G122="DECISÃO D.P",ISNUMBER(M122)),"",N122-TODAY())))</f>
        <v/>
      </c>
      <c r="P122" s="116" t="str">
        <f>IF(B122="","",IF(ISNUMBER(M122),"DECIDIDO – ","")&amp;IF(ISNUMBER(L122),IF(O122="","SEM DATA",IF(O122&gt;=0,"DEFESA NO PRAZO","DEFESA FORA DO PRAZO")),IF(OR(G122="DECISÃO D.P",ISNUMBER(M122)),"SEM DEFESA",IF(G122="","SEM STATUS",IF(O122="","SEM DATA",IF(O122&lt;0,"VENCIDO",IF(O122&lt;=DiasAlerta,"VENCE EM BREVE","NO PRAZO")))))))</f>
        <v/>
      </c>
      <c r="Q122" s="117" t="str">
        <f>IF(D122="","",TODAY()-D122)</f>
        <v/>
      </c>
      <c r="R122" s="110" t="n"/>
    </row>
    <row r="123" ht="18" customHeight="1">
      <c r="A123" s="109" t="n"/>
      <c r="B123" s="110" t="n"/>
      <c r="C123" s="110" t="n"/>
      <c r="D123" s="111" t="n"/>
      <c r="E123" s="110" t="n"/>
      <c r="F123" s="112" t="n"/>
      <c r="G123" s="112" t="n"/>
      <c r="H123" s="110" t="n"/>
      <c r="I123" s="113" t="n"/>
      <c r="J123" s="113" t="n"/>
      <c r="K123" s="111" t="n"/>
      <c r="L123" s="111" t="n"/>
      <c r="M123" s="111" t="n"/>
      <c r="N123" s="114" t="str">
        <f>IF(OR(D123="",E123=""),"",D123+IF(E123="NOTIFICAÇÃO DE CONSTATAÇÃO",PrazoConst,PrazoEsc))</f>
        <v/>
      </c>
      <c r="O123" s="115" t="str">
        <f>IF(N123="","",IF(ISNUMBER(L123),N123-L123,IF(OR(G123="DECISÃO D.P",ISNUMBER(M123)),"",N123-TODAY())))</f>
        <v/>
      </c>
      <c r="P123" s="116" t="str">
        <f>IF(B123="","",IF(ISNUMBER(M123),"DECIDIDO – ","")&amp;IF(ISNUMBER(L123),IF(O123="","SEM DATA",IF(O123&gt;=0,"DEFESA NO PRAZO","DEFESA FORA DO PRAZO")),IF(OR(G123="DECISÃO D.P",ISNUMBER(M123)),"SEM DEFESA",IF(G123="","SEM STATUS",IF(O123="","SEM DATA",IF(O123&lt;0,"VENCIDO",IF(O123&lt;=DiasAlerta,"VENCE EM BREVE","NO PRAZO")))))))</f>
        <v/>
      </c>
      <c r="Q123" s="117" t="str">
        <f>IF(D123="","",TODAY()-D123)</f>
        <v/>
      </c>
      <c r="R123" s="110" t="n"/>
    </row>
    <row r="124" ht="18" customHeight="1">
      <c r="A124" s="109" t="n"/>
      <c r="B124" s="110" t="n"/>
      <c r="C124" s="110" t="n"/>
      <c r="D124" s="111" t="n"/>
      <c r="E124" s="110" t="n"/>
      <c r="F124" s="112" t="n"/>
      <c r="G124" s="112" t="n"/>
      <c r="H124" s="110" t="n"/>
      <c r="I124" s="113" t="n"/>
      <c r="J124" s="113" t="n"/>
      <c r="K124" s="111" t="n"/>
      <c r="L124" s="111" t="n"/>
      <c r="M124" s="111" t="n"/>
      <c r="N124" s="114" t="str">
        <f>IF(OR(D124="",E124=""),"",D124+IF(E124="NOTIFICAÇÃO DE CONSTATAÇÃO",PrazoConst,PrazoEsc))</f>
        <v/>
      </c>
      <c r="O124" s="115" t="str">
        <f>IF(N124="","",IF(ISNUMBER(L124),N124-L124,IF(OR(G124="DECISÃO D.P",ISNUMBER(M124)),"",N124-TODAY())))</f>
        <v/>
      </c>
      <c r="P124" s="116" t="str">
        <f>IF(B124="","",IF(ISNUMBER(M124),"DECIDIDO – ","")&amp;IF(ISNUMBER(L124),IF(O124="","SEM DATA",IF(O124&gt;=0,"DEFESA NO PRAZO","DEFESA FORA DO PRAZO")),IF(OR(G124="DECISÃO D.P",ISNUMBER(M124)),"SEM DEFESA",IF(G124="","SEM STATUS",IF(O124="","SEM DATA",IF(O124&lt;0,"VENCIDO",IF(O124&lt;=DiasAlerta,"VENCE EM BREVE","NO PRAZO")))))))</f>
        <v/>
      </c>
      <c r="Q124" s="117" t="str">
        <f>IF(D124="","",TODAY()-D124)</f>
        <v/>
      </c>
      <c r="R124" s="110" t="n"/>
    </row>
    <row r="125" ht="18" customHeight="1">
      <c r="A125" s="109" t="n"/>
      <c r="B125" s="110" t="n"/>
      <c r="C125" s="110" t="n"/>
      <c r="D125" s="111" t="n"/>
      <c r="E125" s="110" t="n"/>
      <c r="F125" s="112" t="n"/>
      <c r="G125" s="112" t="n"/>
      <c r="H125" s="110" t="n"/>
      <c r="I125" s="113" t="n"/>
      <c r="J125" s="113" t="n"/>
      <c r="K125" s="111" t="n"/>
      <c r="L125" s="111" t="n"/>
      <c r="M125" s="111" t="n"/>
      <c r="N125" s="114" t="str">
        <f>IF(OR(D125="",E125=""),"",D125+IF(E125="NOTIFICAÇÃO DE CONSTATAÇÃO",PrazoConst,PrazoEsc))</f>
        <v/>
      </c>
      <c r="O125" s="115" t="str">
        <f>IF(N125="","",IF(ISNUMBER(L125),N125-L125,IF(OR(G125="DECISÃO D.P",ISNUMBER(M125)),"",N125-TODAY())))</f>
        <v/>
      </c>
      <c r="P125" s="116" t="str">
        <f>IF(B125="","",IF(ISNUMBER(M125),"DECIDIDO – ","")&amp;IF(ISNUMBER(L125),IF(O125="","SEM DATA",IF(O125&gt;=0,"DEFESA NO PRAZO","DEFESA FORA DO PRAZO")),IF(OR(G125="DECISÃO D.P",ISNUMBER(M125)),"SEM DEFESA",IF(G125="","SEM STATUS",IF(O125="","SEM DATA",IF(O125&lt;0,"VENCIDO",IF(O125&lt;=DiasAlerta,"VENCE EM BREVE","NO PRAZO")))))))</f>
        <v/>
      </c>
      <c r="Q125" s="117" t="str">
        <f>IF(D125="","",TODAY()-D125)</f>
        <v/>
      </c>
      <c r="R125" s="110" t="n"/>
    </row>
    <row r="126" ht="18" customHeight="1">
      <c r="A126" s="109" t="n"/>
      <c r="B126" s="110" t="n"/>
      <c r="C126" s="110" t="n"/>
      <c r="D126" s="111" t="n"/>
      <c r="E126" s="110" t="n"/>
      <c r="F126" s="112" t="n"/>
      <c r="G126" s="112" t="n"/>
      <c r="H126" s="110" t="n"/>
      <c r="I126" s="113" t="n"/>
      <c r="J126" s="113" t="n"/>
      <c r="K126" s="111" t="n"/>
      <c r="L126" s="111" t="n"/>
      <c r="M126" s="111" t="n"/>
      <c r="N126" s="114" t="str">
        <f>IF(OR(D126="",E126=""),"",D126+IF(E126="NOTIFICAÇÃO DE CONSTATAÇÃO",PrazoConst,PrazoEsc))</f>
        <v/>
      </c>
      <c r="O126" s="115" t="str">
        <f>IF(N126="","",IF(ISNUMBER(L126),N126-L126,IF(OR(G126="DECISÃO D.P",ISNUMBER(M126)),"",N126-TODAY())))</f>
        <v/>
      </c>
      <c r="P126" s="116" t="str">
        <f>IF(B126="","",IF(ISNUMBER(M126),"DECIDIDO – ","")&amp;IF(ISNUMBER(L126),IF(O126="","SEM DATA",IF(O126&gt;=0,"DEFESA NO PRAZO","DEFESA FORA DO PRAZO")),IF(OR(G126="DECISÃO D.P",ISNUMBER(M126)),"SEM DEFESA",IF(G126="","SEM STATUS",IF(O126="","SEM DATA",IF(O126&lt;0,"VENCIDO",IF(O126&lt;=DiasAlerta,"VENCE EM BREVE","NO PRAZO")))))))</f>
        <v/>
      </c>
      <c r="Q126" s="117" t="str">
        <f>IF(D126="","",TODAY()-D126)</f>
        <v/>
      </c>
      <c r="R126" s="110" t="n"/>
    </row>
    <row r="127" ht="18" customHeight="1">
      <c r="A127" s="109" t="n"/>
      <c r="B127" s="110" t="n"/>
      <c r="C127" s="110" t="n"/>
      <c r="D127" s="111" t="n"/>
      <c r="E127" s="110" t="n"/>
      <c r="F127" s="112" t="n"/>
      <c r="G127" s="112" t="n"/>
      <c r="H127" s="110" t="n"/>
      <c r="I127" s="113" t="n"/>
      <c r="J127" s="113" t="n"/>
      <c r="K127" s="111" t="n"/>
      <c r="L127" s="111" t="n"/>
      <c r="M127" s="111" t="n"/>
      <c r="N127" s="114" t="str">
        <f>IF(OR(D127="",E127=""),"",D127+IF(E127="NOTIFICAÇÃO DE CONSTATAÇÃO",PrazoConst,PrazoEsc))</f>
        <v/>
      </c>
      <c r="O127" s="115" t="str">
        <f>IF(N127="","",IF(ISNUMBER(L127),N127-L127,IF(OR(G127="DECISÃO D.P",ISNUMBER(M127)),"",N127-TODAY())))</f>
        <v/>
      </c>
      <c r="P127" s="116" t="str">
        <f>IF(B127="","",IF(ISNUMBER(M127),"DECIDIDO – ","")&amp;IF(ISNUMBER(L127),IF(O127="","SEM DATA",IF(O127&gt;=0,"DEFESA NO PRAZO","DEFESA FORA DO PRAZO")),IF(OR(G127="DECISÃO D.P",ISNUMBER(M127)),"SEM DEFESA",IF(G127="","SEM STATUS",IF(O127="","SEM DATA",IF(O127&lt;0,"VENCIDO",IF(O127&lt;=DiasAlerta,"VENCE EM BREVE","NO PRAZO")))))))</f>
        <v/>
      </c>
      <c r="Q127" s="117" t="str">
        <f>IF(D127="","",TODAY()-D127)</f>
        <v/>
      </c>
      <c r="R127" s="110" t="n"/>
    </row>
    <row r="128" ht="18" customHeight="1">
      <c r="A128" s="109" t="n"/>
      <c r="B128" s="110" t="n"/>
      <c r="C128" s="110" t="n"/>
      <c r="D128" s="111" t="n"/>
      <c r="E128" s="110" t="n"/>
      <c r="F128" s="112" t="n"/>
      <c r="G128" s="112" t="n"/>
      <c r="H128" s="110" t="n"/>
      <c r="I128" s="113" t="n"/>
      <c r="J128" s="113" t="n"/>
      <c r="K128" s="111" t="n"/>
      <c r="L128" s="111" t="n"/>
      <c r="M128" s="111" t="n"/>
      <c r="N128" s="114" t="str">
        <f>IF(OR(D128="",E128=""),"",D128+IF(E128="NOTIFICAÇÃO DE CONSTATAÇÃO",PrazoConst,PrazoEsc))</f>
        <v/>
      </c>
      <c r="O128" s="115" t="str">
        <f>IF(N128="","",IF(ISNUMBER(L128),N128-L128,IF(OR(G128="DECISÃO D.P",ISNUMBER(M128)),"",N128-TODAY())))</f>
        <v/>
      </c>
      <c r="P128" s="116" t="str">
        <f>IF(B128="","",IF(ISNUMBER(M128),"DECIDIDO – ","")&amp;IF(ISNUMBER(L128),IF(O128="","SEM DATA",IF(O128&gt;=0,"DEFESA NO PRAZO","DEFESA FORA DO PRAZO")),IF(OR(G128="DECISÃO D.P",ISNUMBER(M128)),"SEM DEFESA",IF(G128="","SEM STATUS",IF(O128="","SEM DATA",IF(O128&lt;0,"VENCIDO",IF(O128&lt;=DiasAlerta,"VENCE EM BREVE","NO PRAZO")))))))</f>
        <v/>
      </c>
      <c r="Q128" s="117" t="str">
        <f>IF(D128="","",TODAY()-D128)</f>
        <v/>
      </c>
      <c r="R128" s="110" t="n"/>
    </row>
    <row r="129" ht="18" customHeight="1">
      <c r="A129" s="109" t="n"/>
      <c r="B129" s="110" t="n"/>
      <c r="C129" s="110" t="n"/>
      <c r="D129" s="111" t="n"/>
      <c r="E129" s="110" t="n"/>
      <c r="F129" s="112" t="n"/>
      <c r="G129" s="112" t="n"/>
      <c r="H129" s="110" t="n"/>
      <c r="I129" s="113" t="n"/>
      <c r="J129" s="113" t="n"/>
      <c r="K129" s="111" t="n"/>
      <c r="L129" s="111" t="n"/>
      <c r="M129" s="111" t="n"/>
      <c r="N129" s="114" t="str">
        <f>IF(OR(D129="",E129=""),"",D129+IF(E129="NOTIFICAÇÃO DE CONSTATAÇÃO",PrazoConst,PrazoEsc))</f>
        <v/>
      </c>
      <c r="O129" s="115" t="str">
        <f>IF(N129="","",IF(ISNUMBER(L129),N129-L129,IF(OR(G129="DECISÃO D.P",ISNUMBER(M129)),"",N129-TODAY())))</f>
        <v/>
      </c>
      <c r="P129" s="116" t="str">
        <f>IF(B129="","",IF(ISNUMBER(M129),"DECIDIDO – ","")&amp;IF(ISNUMBER(L129),IF(O129="","SEM DATA",IF(O129&gt;=0,"DEFESA NO PRAZO","DEFESA FORA DO PRAZO")),IF(OR(G129="DECISÃO D.P",ISNUMBER(M129)),"SEM DEFESA",IF(G129="","SEM STATUS",IF(O129="","SEM DATA",IF(O129&lt;0,"VENCIDO",IF(O129&lt;=DiasAlerta,"VENCE EM BREVE","NO PRAZO")))))))</f>
        <v/>
      </c>
      <c r="Q129" s="117" t="str">
        <f>IF(D129="","",TODAY()-D129)</f>
        <v/>
      </c>
      <c r="R129" s="110" t="n"/>
    </row>
    <row r="130" ht="18" customHeight="1">
      <c r="A130" s="109" t="n"/>
      <c r="B130" s="110" t="n"/>
      <c r="C130" s="110" t="n"/>
      <c r="D130" s="111" t="n"/>
      <c r="E130" s="110" t="n"/>
      <c r="F130" s="112" t="n"/>
      <c r="G130" s="112" t="n"/>
      <c r="H130" s="110" t="n"/>
      <c r="I130" s="113" t="n"/>
      <c r="J130" s="113" t="n"/>
      <c r="K130" s="111" t="n"/>
      <c r="L130" s="111" t="n"/>
      <c r="M130" s="111" t="n"/>
      <c r="N130" s="114" t="str">
        <f>IF(OR(D130="",E130=""),"",D130+IF(E130="NOTIFICAÇÃO DE CONSTATAÇÃO",PrazoConst,PrazoEsc))</f>
        <v/>
      </c>
      <c r="O130" s="115" t="str">
        <f>IF(N130="","",IF(ISNUMBER(L130),N130-L130,IF(OR(G130="DECISÃO D.P",ISNUMBER(M130)),"",N130-TODAY())))</f>
        <v/>
      </c>
      <c r="P130" s="116" t="str">
        <f>IF(B130="","",IF(ISNUMBER(M130),"DECIDIDO – ","")&amp;IF(ISNUMBER(L130),IF(O130="","SEM DATA",IF(O130&gt;=0,"DEFESA NO PRAZO","DEFESA FORA DO PRAZO")),IF(OR(G130="DECISÃO D.P",ISNUMBER(M130)),"SEM DEFESA",IF(G130="","SEM STATUS",IF(O130="","SEM DATA",IF(O130&lt;0,"VENCIDO",IF(O130&lt;=DiasAlerta,"VENCE EM BREVE","NO PRAZO")))))))</f>
        <v/>
      </c>
      <c r="Q130" s="117" t="str">
        <f>IF(D130="","",TODAY()-D130)</f>
        <v/>
      </c>
      <c r="R130" s="110" t="n"/>
    </row>
    <row r="131" ht="18" customHeight="1">
      <c r="A131" s="109" t="n"/>
      <c r="B131" s="110" t="n"/>
      <c r="C131" s="110" t="n"/>
      <c r="D131" s="111" t="n"/>
      <c r="E131" s="110" t="n"/>
      <c r="F131" s="112" t="n"/>
      <c r="G131" s="112" t="n"/>
      <c r="H131" s="110" t="n"/>
      <c r="I131" s="113" t="n"/>
      <c r="J131" s="113" t="n"/>
      <c r="K131" s="111" t="n"/>
      <c r="L131" s="111" t="n"/>
      <c r="M131" s="111" t="n"/>
      <c r="N131" s="114" t="str">
        <f>IF(OR(D131="",E131=""),"",D131+IF(E131="NOTIFICAÇÃO DE CONSTATAÇÃO",PrazoConst,PrazoEsc))</f>
        <v/>
      </c>
      <c r="O131" s="115" t="str">
        <f>IF(N131="","",IF(ISNUMBER(L131),N131-L131,IF(OR(G131="DECISÃO D.P",ISNUMBER(M131)),"",N131-TODAY())))</f>
        <v/>
      </c>
      <c r="P131" s="116" t="str">
        <f>IF(B131="","",IF(ISNUMBER(M131),"DECIDIDO – ","")&amp;IF(ISNUMBER(L131),IF(O131="","SEM DATA",IF(O131&gt;=0,"DEFESA NO PRAZO","DEFESA FORA DO PRAZO")),IF(OR(G131="DECISÃO D.P",ISNUMBER(M131)),"SEM DEFESA",IF(G131="","SEM STATUS",IF(O131="","SEM DATA",IF(O131&lt;0,"VENCIDO",IF(O131&lt;=DiasAlerta,"VENCE EM BREVE","NO PRAZO")))))))</f>
        <v/>
      </c>
      <c r="Q131" s="117" t="str">
        <f>IF(D131="","",TODAY()-D131)</f>
        <v/>
      </c>
      <c r="R131" s="110" t="n"/>
    </row>
    <row r="132" ht="18" customHeight="1">
      <c r="A132" s="109" t="n"/>
      <c r="B132" s="110" t="n"/>
      <c r="C132" s="110" t="n"/>
      <c r="D132" s="111" t="n"/>
      <c r="E132" s="110" t="n"/>
      <c r="F132" s="112" t="n"/>
      <c r="G132" s="112" t="n"/>
      <c r="H132" s="110" t="n"/>
      <c r="I132" s="113" t="n"/>
      <c r="J132" s="113" t="n"/>
      <c r="K132" s="111" t="n"/>
      <c r="L132" s="111" t="n"/>
      <c r="M132" s="111" t="n"/>
      <c r="N132" s="114" t="str">
        <f>IF(OR(D132="",E132=""),"",D132+IF(E132="NOTIFICAÇÃO DE CONSTATAÇÃO",PrazoConst,PrazoEsc))</f>
        <v/>
      </c>
      <c r="O132" s="115" t="str">
        <f>IF(N132="","",IF(ISNUMBER(L132),N132-L132,IF(OR(G132="DECISÃO D.P",ISNUMBER(M132)),"",N132-TODAY())))</f>
        <v/>
      </c>
      <c r="P132" s="116" t="str">
        <f>IF(B132="","",IF(ISNUMBER(M132),"DECIDIDO – ","")&amp;IF(ISNUMBER(L132),IF(O132="","SEM DATA",IF(O132&gt;=0,"DEFESA NO PRAZO","DEFESA FORA DO PRAZO")),IF(OR(G132="DECISÃO D.P",ISNUMBER(M132)),"SEM DEFESA",IF(G132="","SEM STATUS",IF(O132="","SEM DATA",IF(O132&lt;0,"VENCIDO",IF(O132&lt;=DiasAlerta,"VENCE EM BREVE","NO PRAZO")))))))</f>
        <v/>
      </c>
      <c r="Q132" s="117" t="str">
        <f>IF(D132="","",TODAY()-D132)</f>
        <v/>
      </c>
      <c r="R132" s="110" t="n"/>
    </row>
    <row r="133" ht="18" customHeight="1">
      <c r="A133" s="109" t="n"/>
      <c r="B133" s="110" t="n"/>
      <c r="C133" s="110" t="n"/>
      <c r="D133" s="111" t="n"/>
      <c r="E133" s="110" t="n"/>
      <c r="F133" s="112" t="n"/>
      <c r="G133" s="112" t="n"/>
      <c r="H133" s="110" t="n"/>
      <c r="I133" s="113" t="n"/>
      <c r="J133" s="113" t="n"/>
      <c r="K133" s="111" t="n"/>
      <c r="L133" s="111" t="n"/>
      <c r="M133" s="111" t="n"/>
      <c r="N133" s="114" t="str">
        <f>IF(OR(D133="",E133=""),"",D133+IF(E133="NOTIFICAÇÃO DE CONSTATAÇÃO",PrazoConst,PrazoEsc))</f>
        <v/>
      </c>
      <c r="O133" s="115" t="str">
        <f>IF(N133="","",IF(ISNUMBER(L133),N133-L133,IF(OR(G133="DECISÃO D.P",ISNUMBER(M133)),"",N133-TODAY())))</f>
        <v/>
      </c>
      <c r="P133" s="116" t="str">
        <f>IF(B133="","",IF(ISNUMBER(M133),"DECIDIDO – ","")&amp;IF(ISNUMBER(L133),IF(O133="","SEM DATA",IF(O133&gt;=0,"DEFESA NO PRAZO","DEFESA FORA DO PRAZO")),IF(OR(G133="DECISÃO D.P",ISNUMBER(M133)),"SEM DEFESA",IF(G133="","SEM STATUS",IF(O133="","SEM DATA",IF(O133&lt;0,"VENCIDO",IF(O133&lt;=DiasAlerta,"VENCE EM BREVE","NO PRAZO")))))))</f>
        <v/>
      </c>
      <c r="Q133" s="117" t="str">
        <f>IF(D133="","",TODAY()-D133)</f>
        <v/>
      </c>
      <c r="R133" s="110" t="n"/>
    </row>
    <row r="134" ht="18" customHeight="1">
      <c r="A134" s="109" t="n"/>
      <c r="B134" s="110" t="n"/>
      <c r="C134" s="110" t="n"/>
      <c r="D134" s="111" t="n"/>
      <c r="E134" s="110" t="n"/>
      <c r="F134" s="112" t="n"/>
      <c r="G134" s="112" t="n"/>
      <c r="H134" s="110" t="n"/>
      <c r="I134" s="113" t="n"/>
      <c r="J134" s="113" t="n"/>
      <c r="K134" s="111" t="n"/>
      <c r="L134" s="111" t="n"/>
      <c r="M134" s="111" t="n"/>
      <c r="N134" s="114" t="str">
        <f>IF(OR(D134="",E134=""),"",D134+IF(E134="NOTIFICAÇÃO DE CONSTATAÇÃO",PrazoConst,PrazoEsc))</f>
        <v/>
      </c>
      <c r="O134" s="115" t="str">
        <f>IF(N134="","",IF(ISNUMBER(L134),N134-L134,IF(OR(G134="DECISÃO D.P",ISNUMBER(M134)),"",N134-TODAY())))</f>
        <v/>
      </c>
      <c r="P134" s="116" t="str">
        <f>IF(B134="","",IF(ISNUMBER(M134),"DECIDIDO – ","")&amp;IF(ISNUMBER(L134),IF(O134="","SEM DATA",IF(O134&gt;=0,"DEFESA NO PRAZO","DEFESA FORA DO PRAZO")),IF(OR(G134="DECISÃO D.P",ISNUMBER(M134)),"SEM DEFESA",IF(G134="","SEM STATUS",IF(O134="","SEM DATA",IF(O134&lt;0,"VENCIDO",IF(O134&lt;=DiasAlerta,"VENCE EM BREVE","NO PRAZO")))))))</f>
        <v/>
      </c>
      <c r="Q134" s="117" t="str">
        <f>IF(D134="","",TODAY()-D134)</f>
        <v/>
      </c>
      <c r="R134" s="110" t="n"/>
    </row>
    <row r="135" ht="18" customHeight="1">
      <c r="A135" s="109" t="n"/>
      <c r="B135" s="110" t="n"/>
      <c r="C135" s="110" t="n"/>
      <c r="D135" s="111" t="n"/>
      <c r="E135" s="110" t="n"/>
      <c r="F135" s="112" t="n"/>
      <c r="G135" s="112" t="n"/>
      <c r="H135" s="110" t="n"/>
      <c r="I135" s="113" t="n"/>
      <c r="J135" s="113" t="n"/>
      <c r="K135" s="111" t="n"/>
      <c r="L135" s="111" t="n"/>
      <c r="M135" s="111" t="n"/>
      <c r="N135" s="114" t="str">
        <f>IF(OR(D135="",E135=""),"",D135+IF(E135="NOTIFICAÇÃO DE CONSTATAÇÃO",PrazoConst,PrazoEsc))</f>
        <v/>
      </c>
      <c r="O135" s="115" t="str">
        <f>IF(N135="","",IF(ISNUMBER(L135),N135-L135,IF(OR(G135="DECISÃO D.P",ISNUMBER(M135)),"",N135-TODAY())))</f>
        <v/>
      </c>
      <c r="P135" s="116" t="str">
        <f>IF(B135="","",IF(ISNUMBER(M135),"DECIDIDO – ","")&amp;IF(ISNUMBER(L135),IF(O135="","SEM DATA",IF(O135&gt;=0,"DEFESA NO PRAZO","DEFESA FORA DO PRAZO")),IF(OR(G135="DECISÃO D.P",ISNUMBER(M135)),"SEM DEFESA",IF(G135="","SEM STATUS",IF(O135="","SEM DATA",IF(O135&lt;0,"VENCIDO",IF(O135&lt;=DiasAlerta,"VENCE EM BREVE","NO PRAZO")))))))</f>
        <v/>
      </c>
      <c r="Q135" s="117" t="str">
        <f>IF(D135="","",TODAY()-D135)</f>
        <v/>
      </c>
      <c r="R135" s="110" t="n"/>
    </row>
    <row r="136" ht="18" customHeight="1">
      <c r="A136" s="109" t="n"/>
      <c r="B136" s="110" t="n"/>
      <c r="C136" s="110" t="n"/>
      <c r="D136" s="111" t="n"/>
      <c r="E136" s="110" t="n"/>
      <c r="F136" s="112" t="n"/>
      <c r="G136" s="112" t="n"/>
      <c r="H136" s="110" t="n"/>
      <c r="I136" s="113" t="n"/>
      <c r="J136" s="113" t="n"/>
      <c r="K136" s="111" t="n"/>
      <c r="L136" s="111" t="n"/>
      <c r="M136" s="111" t="n"/>
      <c r="N136" s="114" t="str">
        <f>IF(OR(D136="",E136=""),"",D136+IF(E136="NOTIFICAÇÃO DE CONSTATAÇÃO",PrazoConst,PrazoEsc))</f>
        <v/>
      </c>
      <c r="O136" s="115" t="str">
        <f>IF(N136="","",IF(ISNUMBER(L136),N136-L136,IF(OR(G136="DECISÃO D.P",ISNUMBER(M136)),"",N136-TODAY())))</f>
        <v/>
      </c>
      <c r="P136" s="116" t="str">
        <f>IF(B136="","",IF(ISNUMBER(M136),"DECIDIDO – ","")&amp;IF(ISNUMBER(L136),IF(O136="","SEM DATA",IF(O136&gt;=0,"DEFESA NO PRAZO","DEFESA FORA DO PRAZO")),IF(OR(G136="DECISÃO D.P",ISNUMBER(M136)),"SEM DEFESA",IF(G136="","SEM STATUS",IF(O136="","SEM DATA",IF(O136&lt;0,"VENCIDO",IF(O136&lt;=DiasAlerta,"VENCE EM BREVE","NO PRAZO")))))))</f>
        <v/>
      </c>
      <c r="Q136" s="117" t="str">
        <f>IF(D136="","",TODAY()-D136)</f>
        <v/>
      </c>
      <c r="R136" s="110" t="n"/>
    </row>
    <row r="137" ht="18" customHeight="1">
      <c r="A137" s="109" t="n"/>
      <c r="B137" s="110" t="n"/>
      <c r="C137" s="110" t="n"/>
      <c r="D137" s="111" t="n"/>
      <c r="E137" s="110" t="n"/>
      <c r="F137" s="112" t="n"/>
      <c r="G137" s="112" t="n"/>
      <c r="H137" s="110" t="n"/>
      <c r="I137" s="113" t="n"/>
      <c r="J137" s="113" t="n"/>
      <c r="K137" s="111" t="n"/>
      <c r="L137" s="111" t="n"/>
      <c r="M137" s="111" t="n"/>
      <c r="N137" s="114" t="str">
        <f>IF(OR(D137="",E137=""),"",D137+IF(E137="NOTIFICAÇÃO DE CONSTATAÇÃO",PrazoConst,PrazoEsc))</f>
        <v/>
      </c>
      <c r="O137" s="115" t="str">
        <f>IF(N137="","",IF(ISNUMBER(L137),N137-L137,IF(OR(G137="DECISÃO D.P",ISNUMBER(M137)),"",N137-TODAY())))</f>
        <v/>
      </c>
      <c r="P137" s="116" t="str">
        <f>IF(B137="","",IF(ISNUMBER(M137),"DECIDIDO – ","")&amp;IF(ISNUMBER(L137),IF(O137="","SEM DATA",IF(O137&gt;=0,"DEFESA NO PRAZO","DEFESA FORA DO PRAZO")),IF(OR(G137="DECISÃO D.P",ISNUMBER(M137)),"SEM DEFESA",IF(G137="","SEM STATUS",IF(O137="","SEM DATA",IF(O137&lt;0,"VENCIDO",IF(O137&lt;=DiasAlerta,"VENCE EM BREVE","NO PRAZO")))))))</f>
        <v/>
      </c>
      <c r="Q137" s="117" t="str">
        <f>IF(D137="","",TODAY()-D137)</f>
        <v/>
      </c>
      <c r="R137" s="110" t="n"/>
    </row>
    <row r="138" ht="18" customHeight="1">
      <c r="A138" s="109" t="n"/>
      <c r="B138" s="110" t="n"/>
      <c r="C138" s="110" t="n"/>
      <c r="D138" s="111" t="n"/>
      <c r="E138" s="110" t="n"/>
      <c r="F138" s="112" t="n"/>
      <c r="G138" s="112" t="n"/>
      <c r="H138" s="110" t="n"/>
      <c r="I138" s="113" t="n"/>
      <c r="J138" s="113" t="n"/>
      <c r="K138" s="111" t="n"/>
      <c r="L138" s="111" t="n"/>
      <c r="M138" s="111" t="n"/>
      <c r="N138" s="114" t="str">
        <f>IF(OR(D138="",E138=""),"",D138+IF(E138="NOTIFICAÇÃO DE CONSTATAÇÃO",PrazoConst,PrazoEsc))</f>
        <v/>
      </c>
      <c r="O138" s="115" t="str">
        <f>IF(N138="","",IF(ISNUMBER(L138),N138-L138,IF(OR(G138="DECISÃO D.P",ISNUMBER(M138)),"",N138-TODAY())))</f>
        <v/>
      </c>
      <c r="P138" s="116" t="str">
        <f>IF(B138="","",IF(ISNUMBER(M138),"DECIDIDO – ","")&amp;IF(ISNUMBER(L138),IF(O138="","SEM DATA",IF(O138&gt;=0,"DEFESA NO PRAZO","DEFESA FORA DO PRAZO")),IF(OR(G138="DECISÃO D.P",ISNUMBER(M138)),"SEM DEFESA",IF(G138="","SEM STATUS",IF(O138="","SEM DATA",IF(O138&lt;0,"VENCIDO",IF(O138&lt;=DiasAlerta,"VENCE EM BREVE","NO PRAZO")))))))</f>
        <v/>
      </c>
      <c r="Q138" s="117" t="str">
        <f>IF(D138="","",TODAY()-D138)</f>
        <v/>
      </c>
      <c r="R138" s="110" t="n"/>
    </row>
    <row r="139" ht="18" customHeight="1">
      <c r="A139" s="109" t="n"/>
      <c r="B139" s="110" t="n"/>
      <c r="C139" s="110" t="n"/>
      <c r="D139" s="111" t="n"/>
      <c r="E139" s="110" t="n"/>
      <c r="F139" s="112" t="n"/>
      <c r="G139" s="112" t="n"/>
      <c r="H139" s="110" t="n"/>
      <c r="I139" s="113" t="n"/>
      <c r="J139" s="113" t="n"/>
      <c r="K139" s="111" t="n"/>
      <c r="L139" s="111" t="n"/>
      <c r="M139" s="111" t="n"/>
      <c r="N139" s="114" t="str">
        <f>IF(OR(D139="",E139=""),"",D139+IF(E139="NOTIFICAÇÃO DE CONSTATAÇÃO",PrazoConst,PrazoEsc))</f>
        <v/>
      </c>
      <c r="O139" s="115" t="str">
        <f>IF(N139="","",IF(ISNUMBER(L139),N139-L139,IF(OR(G139="DECISÃO D.P",ISNUMBER(M139)),"",N139-TODAY())))</f>
        <v/>
      </c>
      <c r="P139" s="116" t="str">
        <f>IF(B139="","",IF(ISNUMBER(M139),"DECIDIDO – ","")&amp;IF(ISNUMBER(L139),IF(O139="","SEM DATA",IF(O139&gt;=0,"DEFESA NO PRAZO","DEFESA FORA DO PRAZO")),IF(OR(G139="DECISÃO D.P",ISNUMBER(M139)),"SEM DEFESA",IF(G139="","SEM STATUS",IF(O139="","SEM DATA",IF(O139&lt;0,"VENCIDO",IF(O139&lt;=DiasAlerta,"VENCE EM BREVE","NO PRAZO")))))))</f>
        <v/>
      </c>
      <c r="Q139" s="117" t="str">
        <f>IF(D139="","",TODAY()-D139)</f>
        <v/>
      </c>
      <c r="R139" s="110" t="n"/>
    </row>
    <row r="140" ht="18" customHeight="1">
      <c r="A140" s="109" t="n"/>
      <c r="B140" s="110" t="n"/>
      <c r="C140" s="110" t="n"/>
      <c r="D140" s="111" t="n"/>
      <c r="E140" s="110" t="n"/>
      <c r="F140" s="112" t="n"/>
      <c r="G140" s="112" t="n"/>
      <c r="H140" s="110" t="n"/>
      <c r="I140" s="113" t="n"/>
      <c r="J140" s="113" t="n"/>
      <c r="K140" s="111" t="n"/>
      <c r="L140" s="111" t="n"/>
      <c r="M140" s="111" t="n"/>
      <c r="N140" s="114" t="str">
        <f>IF(OR(D140="",E140=""),"",D140+IF(E140="NOTIFICAÇÃO DE CONSTATAÇÃO",PrazoConst,PrazoEsc))</f>
        <v/>
      </c>
      <c r="O140" s="115" t="str">
        <f>IF(N140="","",IF(ISNUMBER(L140),N140-L140,IF(OR(G140="DECISÃO D.P",ISNUMBER(M140)),"",N140-TODAY())))</f>
        <v/>
      </c>
      <c r="P140" s="116" t="str">
        <f>IF(B140="","",IF(ISNUMBER(M140),"DECIDIDO – ","")&amp;IF(ISNUMBER(L140),IF(O140="","SEM DATA",IF(O140&gt;=0,"DEFESA NO PRAZO","DEFESA FORA DO PRAZO")),IF(OR(G140="DECISÃO D.P",ISNUMBER(M140)),"SEM DEFESA",IF(G140="","SEM STATUS",IF(O140="","SEM DATA",IF(O140&lt;0,"VENCIDO",IF(O140&lt;=DiasAlerta,"VENCE EM BREVE","NO PRAZO")))))))</f>
        <v/>
      </c>
      <c r="Q140" s="117" t="str">
        <f>IF(D140="","",TODAY()-D140)</f>
        <v/>
      </c>
      <c r="R140" s="110" t="n"/>
    </row>
    <row r="141" ht="18" customHeight="1">
      <c r="A141" s="109" t="n"/>
      <c r="B141" s="110" t="n"/>
      <c r="C141" s="110" t="n"/>
      <c r="D141" s="111" t="n"/>
      <c r="E141" s="110" t="n"/>
      <c r="F141" s="112" t="n"/>
      <c r="G141" s="112" t="n"/>
      <c r="H141" s="110" t="n"/>
      <c r="I141" s="113" t="n"/>
      <c r="J141" s="113" t="n"/>
      <c r="K141" s="111" t="n"/>
      <c r="L141" s="111" t="n"/>
      <c r="M141" s="111" t="n"/>
      <c r="N141" s="114" t="str">
        <f>IF(OR(D141="",E141=""),"",D141+IF(E141="NOTIFICAÇÃO DE CONSTATAÇÃO",PrazoConst,PrazoEsc))</f>
        <v/>
      </c>
      <c r="O141" s="115" t="str">
        <f>IF(N141="","",IF(ISNUMBER(L141),N141-L141,IF(OR(G141="DECISÃO D.P",ISNUMBER(M141)),"",N141-TODAY())))</f>
        <v/>
      </c>
      <c r="P141" s="116" t="str">
        <f>IF(B141="","",IF(ISNUMBER(M141),"DECIDIDO – ","")&amp;IF(ISNUMBER(L141),IF(O141="","SEM DATA",IF(O141&gt;=0,"DEFESA NO PRAZO","DEFESA FORA DO PRAZO")),IF(OR(G141="DECISÃO D.P",ISNUMBER(M141)),"SEM DEFESA",IF(G141="","SEM STATUS",IF(O141="","SEM DATA",IF(O141&lt;0,"VENCIDO",IF(O141&lt;=DiasAlerta,"VENCE EM BREVE","NO PRAZO")))))))</f>
        <v/>
      </c>
      <c r="Q141" s="117" t="str">
        <f>IF(D141="","",TODAY()-D141)</f>
        <v/>
      </c>
      <c r="R141" s="110" t="n"/>
    </row>
    <row r="142" ht="18" customHeight="1">
      <c r="A142" s="109" t="n"/>
      <c r="B142" s="110" t="n"/>
      <c r="C142" s="110" t="n"/>
      <c r="D142" s="111" t="n"/>
      <c r="E142" s="110" t="n"/>
      <c r="F142" s="112" t="n"/>
      <c r="G142" s="112" t="n"/>
      <c r="H142" s="110" t="n"/>
      <c r="I142" s="113" t="n"/>
      <c r="J142" s="113" t="n"/>
      <c r="K142" s="111" t="n"/>
      <c r="L142" s="111" t="n"/>
      <c r="M142" s="111" t="n"/>
      <c r="N142" s="114" t="str">
        <f>IF(OR(D142="",E142=""),"",D142+IF(E142="NOTIFICAÇÃO DE CONSTATAÇÃO",PrazoConst,PrazoEsc))</f>
        <v/>
      </c>
      <c r="O142" s="115" t="str">
        <f>IF(N142="","",IF(ISNUMBER(L142),N142-L142,IF(OR(G142="DECISÃO D.P",ISNUMBER(M142)),"",N142-TODAY())))</f>
        <v/>
      </c>
      <c r="P142" s="116" t="str">
        <f>IF(B142="","",IF(ISNUMBER(M142),"DECIDIDO – ","")&amp;IF(ISNUMBER(L142),IF(O142="","SEM DATA",IF(O142&gt;=0,"DEFESA NO PRAZO","DEFESA FORA DO PRAZO")),IF(OR(G142="DECISÃO D.P",ISNUMBER(M142)),"SEM DEFESA",IF(G142="","SEM STATUS",IF(O142="","SEM DATA",IF(O142&lt;0,"VENCIDO",IF(O142&lt;=DiasAlerta,"VENCE EM BREVE","NO PRAZO")))))))</f>
        <v/>
      </c>
      <c r="Q142" s="117" t="str">
        <f>IF(D142="","",TODAY()-D142)</f>
        <v/>
      </c>
      <c r="R142" s="110" t="n"/>
    </row>
    <row r="143" ht="18" customHeight="1">
      <c r="A143" s="109" t="n"/>
      <c r="B143" s="110" t="n"/>
      <c r="C143" s="110" t="n"/>
      <c r="D143" s="111" t="n"/>
      <c r="E143" s="110" t="n"/>
      <c r="F143" s="112" t="n"/>
      <c r="G143" s="112" t="n"/>
      <c r="H143" s="110" t="n"/>
      <c r="I143" s="113" t="n"/>
      <c r="J143" s="113" t="n"/>
      <c r="K143" s="111" t="n"/>
      <c r="L143" s="111" t="n"/>
      <c r="M143" s="111" t="n"/>
      <c r="N143" s="114" t="str">
        <f>IF(OR(D143="",E143=""),"",D143+IF(E143="NOTIFICAÇÃO DE CONSTATAÇÃO",PrazoConst,PrazoEsc))</f>
        <v/>
      </c>
      <c r="O143" s="115" t="str">
        <f>IF(N143="","",IF(ISNUMBER(L143),N143-L143,IF(OR(G143="DECISÃO D.P",ISNUMBER(M143)),"",N143-TODAY())))</f>
        <v/>
      </c>
      <c r="P143" s="116" t="str">
        <f>IF(B143="","",IF(ISNUMBER(M143),"DECIDIDO – ","")&amp;IF(ISNUMBER(L143),IF(O143="","SEM DATA",IF(O143&gt;=0,"DEFESA NO PRAZO","DEFESA FORA DO PRAZO")),IF(OR(G143="DECISÃO D.P",ISNUMBER(M143)),"SEM DEFESA",IF(G143="","SEM STATUS",IF(O143="","SEM DATA",IF(O143&lt;0,"VENCIDO",IF(O143&lt;=DiasAlerta,"VENCE EM BREVE","NO PRAZO")))))))</f>
        <v/>
      </c>
      <c r="Q143" s="117" t="str">
        <f>IF(D143="","",TODAY()-D143)</f>
        <v/>
      </c>
      <c r="R143" s="110" t="n"/>
    </row>
    <row r="144" ht="18" customHeight="1">
      <c r="A144" s="109" t="n"/>
      <c r="B144" s="110" t="n"/>
      <c r="C144" s="110" t="n"/>
      <c r="D144" s="111" t="n"/>
      <c r="E144" s="110" t="n"/>
      <c r="F144" s="112" t="n"/>
      <c r="G144" s="112" t="n"/>
      <c r="H144" s="110" t="n"/>
      <c r="I144" s="113" t="n"/>
      <c r="J144" s="113" t="n"/>
      <c r="K144" s="111" t="n"/>
      <c r="L144" s="111" t="n"/>
      <c r="M144" s="111" t="n"/>
      <c r="N144" s="114" t="str">
        <f>IF(OR(D144="",E144=""),"",D144+IF(E144="NOTIFICAÇÃO DE CONSTATAÇÃO",PrazoConst,PrazoEsc))</f>
        <v/>
      </c>
      <c r="O144" s="115" t="str">
        <f>IF(N144="","",IF(ISNUMBER(L144),N144-L144,IF(OR(G144="DECISÃO D.P",ISNUMBER(M144)),"",N144-TODAY())))</f>
        <v/>
      </c>
      <c r="P144" s="116" t="str">
        <f>IF(B144="","",IF(ISNUMBER(M144),"DECIDIDO – ","")&amp;IF(ISNUMBER(L144),IF(O144="","SEM DATA",IF(O144&gt;=0,"DEFESA NO PRAZO","DEFESA FORA DO PRAZO")),IF(OR(G144="DECISÃO D.P",ISNUMBER(M144)),"SEM DEFESA",IF(G144="","SEM STATUS",IF(O144="","SEM DATA",IF(O144&lt;0,"VENCIDO",IF(O144&lt;=DiasAlerta,"VENCE EM BREVE","NO PRAZO")))))))</f>
        <v/>
      </c>
      <c r="Q144" s="117" t="str">
        <f>IF(D144="","",TODAY()-D144)</f>
        <v/>
      </c>
      <c r="R144" s="110" t="n"/>
    </row>
    <row r="145" ht="18" customHeight="1">
      <c r="A145" s="109" t="n"/>
      <c r="B145" s="110" t="n"/>
      <c r="C145" s="110" t="n"/>
      <c r="D145" s="111" t="n"/>
      <c r="E145" s="110" t="n"/>
      <c r="F145" s="112" t="n"/>
      <c r="G145" s="112" t="n"/>
      <c r="H145" s="110" t="n"/>
      <c r="I145" s="113" t="n"/>
      <c r="J145" s="113" t="n"/>
      <c r="K145" s="111" t="n"/>
      <c r="L145" s="111" t="n"/>
      <c r="M145" s="111" t="n"/>
      <c r="N145" s="114" t="str">
        <f>IF(OR(D145="",E145=""),"",D145+IF(E145="NOTIFICAÇÃO DE CONSTATAÇÃO",PrazoConst,PrazoEsc))</f>
        <v/>
      </c>
      <c r="O145" s="115" t="str">
        <f>IF(N145="","",IF(ISNUMBER(L145),N145-L145,IF(OR(G145="DECISÃO D.P",ISNUMBER(M145)),"",N145-TODAY())))</f>
        <v/>
      </c>
      <c r="P145" s="116" t="str">
        <f>IF(B145="","",IF(ISNUMBER(M145),"DECIDIDO – ","")&amp;IF(ISNUMBER(L145),IF(O145="","SEM DATA",IF(O145&gt;=0,"DEFESA NO PRAZO","DEFESA FORA DO PRAZO")),IF(OR(G145="DECISÃO D.P",ISNUMBER(M145)),"SEM DEFESA",IF(G145="","SEM STATUS",IF(O145="","SEM DATA",IF(O145&lt;0,"VENCIDO",IF(O145&lt;=DiasAlerta,"VENCE EM BREVE","NO PRAZO")))))))</f>
        <v/>
      </c>
      <c r="Q145" s="117" t="str">
        <f>IF(D145="","",TODAY()-D145)</f>
        <v/>
      </c>
      <c r="R145" s="110" t="n"/>
    </row>
    <row r="146" ht="18" customHeight="1">
      <c r="A146" s="109" t="n"/>
      <c r="B146" s="110" t="n"/>
      <c r="C146" s="110" t="n"/>
      <c r="D146" s="111" t="n"/>
      <c r="E146" s="110" t="n"/>
      <c r="F146" s="112" t="n"/>
      <c r="G146" s="112" t="n"/>
      <c r="H146" s="110" t="n"/>
      <c r="I146" s="113" t="n"/>
      <c r="J146" s="113" t="n"/>
      <c r="K146" s="111" t="n"/>
      <c r="L146" s="111" t="n"/>
      <c r="M146" s="111" t="n"/>
      <c r="N146" s="114" t="str">
        <f>IF(OR(D146="",E146=""),"",D146+IF(E146="NOTIFICAÇÃO DE CONSTATAÇÃO",PrazoConst,PrazoEsc))</f>
        <v/>
      </c>
      <c r="O146" s="115" t="str">
        <f>IF(N146="","",IF(ISNUMBER(L146),N146-L146,IF(OR(G146="DECISÃO D.P",ISNUMBER(M146)),"",N146-TODAY())))</f>
        <v/>
      </c>
      <c r="P146" s="116" t="str">
        <f>IF(B146="","",IF(ISNUMBER(M146),"DECIDIDO – ","")&amp;IF(ISNUMBER(L146),IF(O146="","SEM DATA",IF(O146&gt;=0,"DEFESA NO PRAZO","DEFESA FORA DO PRAZO")),IF(OR(G146="DECISÃO D.P",ISNUMBER(M146)),"SEM DEFESA",IF(G146="","SEM STATUS",IF(O146="","SEM DATA",IF(O146&lt;0,"VENCIDO",IF(O146&lt;=DiasAlerta,"VENCE EM BREVE","NO PRAZO")))))))</f>
        <v/>
      </c>
      <c r="Q146" s="117" t="str">
        <f>IF(D146="","",TODAY()-D146)</f>
        <v/>
      </c>
      <c r="R146" s="110" t="n"/>
    </row>
    <row r="147" ht="18" customHeight="1">
      <c r="A147" s="109" t="n"/>
      <c r="B147" s="110" t="n"/>
      <c r="C147" s="110" t="n"/>
      <c r="D147" s="111" t="n"/>
      <c r="E147" s="110" t="n"/>
      <c r="F147" s="112" t="n"/>
      <c r="G147" s="112" t="n"/>
      <c r="H147" s="110" t="n"/>
      <c r="I147" s="113" t="n"/>
      <c r="J147" s="113" t="n"/>
      <c r="K147" s="111" t="n"/>
      <c r="L147" s="111" t="n"/>
      <c r="M147" s="111" t="n"/>
      <c r="N147" s="114" t="str">
        <f>IF(OR(D147="",E147=""),"",D147+IF(E147="NOTIFICAÇÃO DE CONSTATAÇÃO",PrazoConst,PrazoEsc))</f>
        <v/>
      </c>
      <c r="O147" s="115" t="str">
        <f>IF(N147="","",IF(ISNUMBER(L147),N147-L147,IF(OR(G147="DECISÃO D.P",ISNUMBER(M147)),"",N147-TODAY())))</f>
        <v/>
      </c>
      <c r="P147" s="116" t="str">
        <f>IF(B147="","",IF(ISNUMBER(M147),"DECIDIDO – ","")&amp;IF(ISNUMBER(L147),IF(O147="","SEM DATA",IF(O147&gt;=0,"DEFESA NO PRAZO","DEFESA FORA DO PRAZO")),IF(OR(G147="DECISÃO D.P",ISNUMBER(M147)),"SEM DEFESA",IF(G147="","SEM STATUS",IF(O147="","SEM DATA",IF(O147&lt;0,"VENCIDO",IF(O147&lt;=DiasAlerta,"VENCE EM BREVE","NO PRAZO")))))))</f>
        <v/>
      </c>
      <c r="Q147" s="117" t="str">
        <f>IF(D147="","",TODAY()-D147)</f>
        <v/>
      </c>
      <c r="R147" s="110" t="n"/>
    </row>
    <row r="148" ht="18" customHeight="1">
      <c r="A148" s="109" t="n"/>
      <c r="B148" s="110" t="n"/>
      <c r="C148" s="110" t="n"/>
      <c r="D148" s="111" t="n"/>
      <c r="E148" s="110" t="n"/>
      <c r="F148" s="112" t="n"/>
      <c r="G148" s="112" t="n"/>
      <c r="H148" s="110" t="n"/>
      <c r="I148" s="113" t="n"/>
      <c r="J148" s="113" t="n"/>
      <c r="K148" s="111" t="n"/>
      <c r="L148" s="111" t="n"/>
      <c r="M148" s="111" t="n"/>
      <c r="N148" s="114" t="str">
        <f>IF(OR(D148="",E148=""),"",D148+IF(E148="NOTIFICAÇÃO DE CONSTATAÇÃO",PrazoConst,PrazoEsc))</f>
        <v/>
      </c>
      <c r="O148" s="115" t="str">
        <f>IF(N148="","",IF(ISNUMBER(L148),N148-L148,IF(OR(G148="DECISÃO D.P",ISNUMBER(M148)),"",N148-TODAY())))</f>
        <v/>
      </c>
      <c r="P148" s="116" t="str">
        <f>IF(B148="","",IF(ISNUMBER(M148),"DECIDIDO – ","")&amp;IF(ISNUMBER(L148),IF(O148="","SEM DATA",IF(O148&gt;=0,"DEFESA NO PRAZO","DEFESA FORA DO PRAZO")),IF(OR(G148="DECISÃO D.P",ISNUMBER(M148)),"SEM DEFESA",IF(G148="","SEM STATUS",IF(O148="","SEM DATA",IF(O148&lt;0,"VENCIDO",IF(O148&lt;=DiasAlerta,"VENCE EM BREVE","NO PRAZO")))))))</f>
        <v/>
      </c>
      <c r="Q148" s="117" t="str">
        <f>IF(D148="","",TODAY()-D148)</f>
        <v/>
      </c>
      <c r="R148" s="110" t="n"/>
    </row>
    <row r="149" ht="18" customHeight="1">
      <c r="A149" s="109" t="n"/>
      <c r="B149" s="110" t="n"/>
      <c r="C149" s="110" t="n"/>
      <c r="D149" s="111" t="n"/>
      <c r="E149" s="110" t="n"/>
      <c r="F149" s="112" t="n"/>
      <c r="G149" s="112" t="n"/>
      <c r="H149" s="110" t="n"/>
      <c r="I149" s="113" t="n"/>
      <c r="J149" s="113" t="n"/>
      <c r="K149" s="111" t="n"/>
      <c r="L149" s="111" t="n"/>
      <c r="M149" s="111" t="n"/>
      <c r="N149" s="114" t="str">
        <f>IF(OR(D149="",E149=""),"",D149+IF(E149="NOTIFICAÇÃO DE CONSTATAÇÃO",PrazoConst,PrazoEsc))</f>
        <v/>
      </c>
      <c r="O149" s="115" t="str">
        <f>IF(N149="","",IF(ISNUMBER(L149),N149-L149,IF(OR(G149="DECISÃO D.P",ISNUMBER(M149)),"",N149-TODAY())))</f>
        <v/>
      </c>
      <c r="P149" s="116" t="str">
        <f>IF(B149="","",IF(ISNUMBER(M149),"DECIDIDO – ","")&amp;IF(ISNUMBER(L149),IF(O149="","SEM DATA",IF(O149&gt;=0,"DEFESA NO PRAZO","DEFESA FORA DO PRAZO")),IF(OR(G149="DECISÃO D.P",ISNUMBER(M149)),"SEM DEFESA",IF(G149="","SEM STATUS",IF(O149="","SEM DATA",IF(O149&lt;0,"VENCIDO",IF(O149&lt;=DiasAlerta,"VENCE EM BREVE","NO PRAZO")))))))</f>
        <v/>
      </c>
      <c r="Q149" s="117" t="str">
        <f>IF(D149="","",TODAY()-D149)</f>
        <v/>
      </c>
      <c r="R149" s="110" t="n"/>
    </row>
    <row r="150" ht="18" customHeight="1">
      <c r="A150" s="109" t="n"/>
      <c r="B150" s="110" t="n"/>
      <c r="C150" s="110" t="n"/>
      <c r="D150" s="111" t="n"/>
      <c r="E150" s="110" t="n"/>
      <c r="F150" s="112" t="n"/>
      <c r="G150" s="112" t="n"/>
      <c r="H150" s="110" t="n"/>
      <c r="I150" s="113" t="n"/>
      <c r="J150" s="113" t="n"/>
      <c r="K150" s="111" t="n"/>
      <c r="L150" s="111" t="n"/>
      <c r="M150" s="111" t="n"/>
      <c r="N150" s="114" t="str">
        <f>IF(OR(D150="",E150=""),"",D150+IF(E150="NOTIFICAÇÃO DE CONSTATAÇÃO",PrazoConst,PrazoEsc))</f>
        <v/>
      </c>
      <c r="O150" s="115" t="str">
        <f>IF(N150="","",IF(ISNUMBER(L150),N150-L150,IF(OR(G150="DECISÃO D.P",ISNUMBER(M150)),"",N150-TODAY())))</f>
        <v/>
      </c>
      <c r="P150" s="116" t="str">
        <f>IF(B150="","",IF(ISNUMBER(M150),"DECIDIDO – ","")&amp;IF(ISNUMBER(L150),IF(O150="","SEM DATA",IF(O150&gt;=0,"DEFESA NO PRAZO","DEFESA FORA DO PRAZO")),IF(OR(G150="DECISÃO D.P",ISNUMBER(M150)),"SEM DEFESA",IF(G150="","SEM STATUS",IF(O150="","SEM DATA",IF(O150&lt;0,"VENCIDO",IF(O150&lt;=DiasAlerta,"VENCE EM BREVE","NO PRAZO")))))))</f>
        <v/>
      </c>
      <c r="Q150" s="117" t="str">
        <f>IF(D150="","",TODAY()-D150)</f>
        <v/>
      </c>
      <c r="R150" s="110" t="n"/>
    </row>
    <row r="151" ht="18" customHeight="1">
      <c r="A151" s="109" t="n"/>
      <c r="B151" s="110" t="n"/>
      <c r="C151" s="110" t="n"/>
      <c r="D151" s="111" t="n"/>
      <c r="E151" s="110" t="n"/>
      <c r="F151" s="112" t="n"/>
      <c r="G151" s="112" t="n"/>
      <c r="H151" s="110" t="n"/>
      <c r="I151" s="113" t="n"/>
      <c r="J151" s="113" t="n"/>
      <c r="K151" s="111" t="n"/>
      <c r="L151" s="111" t="n"/>
      <c r="M151" s="111" t="n"/>
      <c r="N151" s="114" t="str">
        <f>IF(OR(D151="",E151=""),"",D151+IF(E151="NOTIFICAÇÃO DE CONSTATAÇÃO",PrazoConst,PrazoEsc))</f>
        <v/>
      </c>
      <c r="O151" s="115" t="str">
        <f>IF(N151="","",IF(ISNUMBER(L151),N151-L151,IF(OR(G151="DECISÃO D.P",ISNUMBER(M151)),"",N151-TODAY())))</f>
        <v/>
      </c>
      <c r="P151" s="116" t="str">
        <f>IF(B151="","",IF(ISNUMBER(M151),"DECIDIDO – ","")&amp;IF(ISNUMBER(L151),IF(O151="","SEM DATA",IF(O151&gt;=0,"DEFESA NO PRAZO","DEFESA FORA DO PRAZO")),IF(OR(G151="DECISÃO D.P",ISNUMBER(M151)),"SEM DEFESA",IF(G151="","SEM STATUS",IF(O151="","SEM DATA",IF(O151&lt;0,"VENCIDO",IF(O151&lt;=DiasAlerta,"VENCE EM BREVE","NO PRAZO")))))))</f>
        <v/>
      </c>
      <c r="Q151" s="117" t="str">
        <f>IF(D151="","",TODAY()-D151)</f>
        <v/>
      </c>
      <c r="R151" s="110" t="n"/>
    </row>
    <row r="152" ht="18" customHeight="1">
      <c r="A152" s="109" t="n"/>
      <c r="B152" s="110" t="n"/>
      <c r="C152" s="110" t="n"/>
      <c r="D152" s="111" t="n"/>
      <c r="E152" s="110" t="n"/>
      <c r="F152" s="112" t="n"/>
      <c r="G152" s="112" t="n"/>
      <c r="H152" s="110" t="n"/>
      <c r="I152" s="113" t="n"/>
      <c r="J152" s="113" t="n"/>
      <c r="K152" s="111" t="n"/>
      <c r="L152" s="111" t="n"/>
      <c r="M152" s="111" t="n"/>
      <c r="N152" s="114" t="str">
        <f>IF(OR(D152="",E152=""),"",D152+IF(E152="NOTIFICAÇÃO DE CONSTATAÇÃO",PrazoConst,PrazoEsc))</f>
        <v/>
      </c>
      <c r="O152" s="115" t="str">
        <f>IF(N152="","",IF(ISNUMBER(L152),N152-L152,IF(OR(G152="DECISÃO D.P",ISNUMBER(M152)),"",N152-TODAY())))</f>
        <v/>
      </c>
      <c r="P152" s="116" t="str">
        <f>IF(B152="","",IF(ISNUMBER(M152),"DECIDIDO – ","")&amp;IF(ISNUMBER(L152),IF(O152="","SEM DATA",IF(O152&gt;=0,"DEFESA NO PRAZO","DEFESA FORA DO PRAZO")),IF(OR(G152="DECISÃO D.P",ISNUMBER(M152)),"SEM DEFESA",IF(G152="","SEM STATUS",IF(O152="","SEM DATA",IF(O152&lt;0,"VENCIDO",IF(O152&lt;=DiasAlerta,"VENCE EM BREVE","NO PRAZO")))))))</f>
        <v/>
      </c>
      <c r="Q152" s="117" t="str">
        <f>IF(D152="","",TODAY()-D152)</f>
        <v/>
      </c>
      <c r="R152" s="110" t="n"/>
    </row>
    <row r="153" ht="18" customHeight="1">
      <c r="A153" s="109" t="n"/>
      <c r="B153" s="110" t="n"/>
      <c r="C153" s="110" t="n"/>
      <c r="D153" s="111" t="n"/>
      <c r="E153" s="110" t="n"/>
      <c r="F153" s="112" t="n"/>
      <c r="G153" s="112" t="n"/>
      <c r="H153" s="110" t="n"/>
      <c r="I153" s="113" t="n"/>
      <c r="J153" s="113" t="n"/>
      <c r="K153" s="111" t="n"/>
      <c r="L153" s="111" t="n"/>
      <c r="M153" s="111" t="n"/>
      <c r="N153" s="114" t="str">
        <f>IF(OR(D153="",E153=""),"",D153+IF(E153="NOTIFICAÇÃO DE CONSTATAÇÃO",PrazoConst,PrazoEsc))</f>
        <v/>
      </c>
      <c r="O153" s="115" t="str">
        <f>IF(N153="","",IF(ISNUMBER(L153),N153-L153,IF(OR(G153="DECISÃO D.P",ISNUMBER(M153)),"",N153-TODAY())))</f>
        <v/>
      </c>
      <c r="P153" s="116" t="str">
        <f>IF(B153="","",IF(ISNUMBER(M153),"DECIDIDO – ","")&amp;IF(ISNUMBER(L153),IF(O153="","SEM DATA",IF(O153&gt;=0,"DEFESA NO PRAZO","DEFESA FORA DO PRAZO")),IF(OR(G153="DECISÃO D.P",ISNUMBER(M153)),"SEM DEFESA",IF(G153="","SEM STATUS",IF(O153="","SEM DATA",IF(O153&lt;0,"VENCIDO",IF(O153&lt;=DiasAlerta,"VENCE EM BREVE","NO PRAZO")))))))</f>
        <v/>
      </c>
      <c r="Q153" s="117" t="str">
        <f>IF(D153="","",TODAY()-D153)</f>
        <v/>
      </c>
      <c r="R153" s="110" t="n"/>
    </row>
    <row r="154" ht="18" customHeight="1">
      <c r="A154" s="109" t="n"/>
      <c r="B154" s="110" t="n"/>
      <c r="C154" s="110" t="n"/>
      <c r="D154" s="111" t="n"/>
      <c r="E154" s="110" t="n"/>
      <c r="F154" s="112" t="n"/>
      <c r="G154" s="112" t="n"/>
      <c r="H154" s="110" t="n"/>
      <c r="I154" s="113" t="n"/>
      <c r="J154" s="113" t="n"/>
      <c r="K154" s="111" t="n"/>
      <c r="L154" s="111" t="n"/>
      <c r="M154" s="111" t="n"/>
      <c r="N154" s="114" t="str">
        <f>IF(OR(D154="",E154=""),"",D154+IF(E154="NOTIFICAÇÃO DE CONSTATAÇÃO",PrazoConst,PrazoEsc))</f>
        <v/>
      </c>
      <c r="O154" s="115" t="str">
        <f>IF(N154="","",IF(ISNUMBER(L154),N154-L154,IF(OR(G154="DECISÃO D.P",ISNUMBER(M154)),"",N154-TODAY())))</f>
        <v/>
      </c>
      <c r="P154" s="116" t="str">
        <f>IF(B154="","",IF(ISNUMBER(M154),"DECIDIDO – ","")&amp;IF(ISNUMBER(L154),IF(O154="","SEM DATA",IF(O154&gt;=0,"DEFESA NO PRAZO","DEFESA FORA DO PRAZO")),IF(OR(G154="DECISÃO D.P",ISNUMBER(M154)),"SEM DEFESA",IF(G154="","SEM STATUS",IF(O154="","SEM DATA",IF(O154&lt;0,"VENCIDO",IF(O154&lt;=DiasAlerta,"VENCE EM BREVE","NO PRAZO")))))))</f>
        <v/>
      </c>
      <c r="Q154" s="117" t="str">
        <f>IF(D154="","",TODAY()-D154)</f>
        <v/>
      </c>
      <c r="R154" s="110" t="n"/>
    </row>
    <row r="155" ht="18" customHeight="1">
      <c r="A155" s="109" t="n"/>
      <c r="B155" s="110" t="n"/>
      <c r="C155" s="110" t="n"/>
      <c r="D155" s="111" t="n"/>
      <c r="E155" s="110" t="n"/>
      <c r="F155" s="112" t="n"/>
      <c r="G155" s="112" t="n"/>
      <c r="H155" s="110" t="n"/>
      <c r="I155" s="113" t="n"/>
      <c r="J155" s="113" t="n"/>
      <c r="K155" s="111" t="n"/>
      <c r="L155" s="111" t="n"/>
      <c r="M155" s="111" t="n"/>
      <c r="N155" s="114" t="str">
        <f>IF(OR(D155="",E155=""),"",D155+IF(E155="NOTIFICAÇÃO DE CONSTATAÇÃO",PrazoConst,PrazoEsc))</f>
        <v/>
      </c>
      <c r="O155" s="115" t="str">
        <f>IF(N155="","",IF(ISNUMBER(L155),N155-L155,IF(OR(G155="DECISÃO D.P",ISNUMBER(M155)),"",N155-TODAY())))</f>
        <v/>
      </c>
      <c r="P155" s="116" t="str">
        <f>IF(B155="","",IF(ISNUMBER(M155),"DECIDIDO – ","")&amp;IF(ISNUMBER(L155),IF(O155="","SEM DATA",IF(O155&gt;=0,"DEFESA NO PRAZO","DEFESA FORA DO PRAZO")),IF(OR(G155="DECISÃO D.P",ISNUMBER(M155)),"SEM DEFESA",IF(G155="","SEM STATUS",IF(O155="","SEM DATA",IF(O155&lt;0,"VENCIDO",IF(O155&lt;=DiasAlerta,"VENCE EM BREVE","NO PRAZO")))))))</f>
        <v/>
      </c>
      <c r="Q155" s="117" t="str">
        <f>IF(D155="","",TODAY()-D155)</f>
        <v/>
      </c>
      <c r="R155" s="110" t="n"/>
    </row>
    <row r="156" ht="18" customHeight="1">
      <c r="A156" s="109" t="n"/>
      <c r="B156" s="110" t="n"/>
      <c r="C156" s="110" t="n"/>
      <c r="D156" s="111" t="n"/>
      <c r="E156" s="110" t="n"/>
      <c r="F156" s="112" t="n"/>
      <c r="G156" s="112" t="n"/>
      <c r="H156" s="110" t="n"/>
      <c r="I156" s="113" t="n"/>
      <c r="J156" s="113" t="n"/>
      <c r="K156" s="111" t="n"/>
      <c r="L156" s="111" t="n"/>
      <c r="M156" s="111" t="n"/>
      <c r="N156" s="114" t="str">
        <f>IF(OR(D156="",E156=""),"",D156+IF(E156="NOTIFICAÇÃO DE CONSTATAÇÃO",PrazoConst,PrazoEsc))</f>
        <v/>
      </c>
      <c r="O156" s="115" t="str">
        <f>IF(N156="","",IF(ISNUMBER(L156),N156-L156,IF(OR(G156="DECISÃO D.P",ISNUMBER(M156)),"",N156-TODAY())))</f>
        <v/>
      </c>
      <c r="P156" s="116" t="str">
        <f>IF(B156="","",IF(ISNUMBER(M156),"DECIDIDO – ","")&amp;IF(ISNUMBER(L156),IF(O156="","SEM DATA",IF(O156&gt;=0,"DEFESA NO PRAZO","DEFESA FORA DO PRAZO")),IF(OR(G156="DECISÃO D.P",ISNUMBER(M156)),"SEM DEFESA",IF(G156="","SEM STATUS",IF(O156="","SEM DATA",IF(O156&lt;0,"VENCIDO",IF(O156&lt;=DiasAlerta,"VENCE EM BREVE","NO PRAZO")))))))</f>
        <v/>
      </c>
      <c r="Q156" s="117" t="str">
        <f>IF(D156="","",TODAY()-D156)</f>
        <v/>
      </c>
      <c r="R156" s="110" t="n"/>
    </row>
    <row r="157" ht="18" customHeight="1">
      <c r="A157" s="109" t="n"/>
      <c r="B157" s="110" t="n"/>
      <c r="C157" s="110" t="n"/>
      <c r="D157" s="111" t="n"/>
      <c r="E157" s="110" t="n"/>
      <c r="F157" s="112" t="n"/>
      <c r="G157" s="112" t="n"/>
      <c r="H157" s="110" t="n"/>
      <c r="I157" s="113" t="n"/>
      <c r="J157" s="113" t="n"/>
      <c r="K157" s="111" t="n"/>
      <c r="L157" s="111" t="n"/>
      <c r="M157" s="111" t="n"/>
      <c r="N157" s="114" t="str">
        <f>IF(OR(D157="",E157=""),"",D157+IF(E157="NOTIFICAÇÃO DE CONSTATAÇÃO",PrazoConst,PrazoEsc))</f>
        <v/>
      </c>
      <c r="O157" s="115" t="str">
        <f>IF(N157="","",IF(ISNUMBER(L157),N157-L157,IF(OR(G157="DECISÃO D.P",ISNUMBER(M157)),"",N157-TODAY())))</f>
        <v/>
      </c>
      <c r="P157" s="116" t="str">
        <f>IF(B157="","",IF(ISNUMBER(M157),"DECIDIDO – ","")&amp;IF(ISNUMBER(L157),IF(O157="","SEM DATA",IF(O157&gt;=0,"DEFESA NO PRAZO","DEFESA FORA DO PRAZO")),IF(OR(G157="DECISÃO D.P",ISNUMBER(M157)),"SEM DEFESA",IF(G157="","SEM STATUS",IF(O157="","SEM DATA",IF(O157&lt;0,"VENCIDO",IF(O157&lt;=DiasAlerta,"VENCE EM BREVE","NO PRAZO")))))))</f>
        <v/>
      </c>
      <c r="Q157" s="117" t="str">
        <f>IF(D157="","",TODAY()-D157)</f>
        <v/>
      </c>
      <c r="R157" s="110" t="n"/>
    </row>
    <row r="158" ht="18" customHeight="1">
      <c r="A158" s="109" t="n"/>
      <c r="B158" s="110" t="n"/>
      <c r="C158" s="110" t="n"/>
      <c r="D158" s="111" t="n"/>
      <c r="E158" s="110" t="n"/>
      <c r="F158" s="112" t="n"/>
      <c r="G158" s="112" t="n"/>
      <c r="H158" s="110" t="n"/>
      <c r="I158" s="113" t="n"/>
      <c r="J158" s="113" t="n"/>
      <c r="K158" s="111" t="n"/>
      <c r="L158" s="111" t="n"/>
      <c r="M158" s="111" t="n"/>
      <c r="N158" s="114" t="str">
        <f>IF(OR(D158="",E158=""),"",D158+IF(E158="NOTIFICAÇÃO DE CONSTATAÇÃO",PrazoConst,PrazoEsc))</f>
        <v/>
      </c>
      <c r="O158" s="115" t="str">
        <f>IF(N158="","",IF(ISNUMBER(L158),N158-L158,IF(OR(G158="DECISÃO D.P",ISNUMBER(M158)),"",N158-TODAY())))</f>
        <v/>
      </c>
      <c r="P158" s="116" t="str">
        <f>IF(B158="","",IF(ISNUMBER(M158),"DECIDIDO – ","")&amp;IF(ISNUMBER(L158),IF(O158="","SEM DATA",IF(O158&gt;=0,"DEFESA NO PRAZO","DEFESA FORA DO PRAZO")),IF(OR(G158="DECISÃO D.P",ISNUMBER(M158)),"SEM DEFESA",IF(G158="","SEM STATUS",IF(O158="","SEM DATA",IF(O158&lt;0,"VENCIDO",IF(O158&lt;=DiasAlerta,"VENCE EM BREVE","NO PRAZO")))))))</f>
        <v/>
      </c>
      <c r="Q158" s="117" t="str">
        <f>IF(D158="","",TODAY()-D158)</f>
        <v/>
      </c>
      <c r="R158" s="110" t="n"/>
    </row>
    <row r="159" ht="18" customHeight="1">
      <c r="A159" s="109" t="n"/>
      <c r="B159" s="110" t="n"/>
      <c r="C159" s="110" t="n"/>
      <c r="D159" s="111" t="n"/>
      <c r="E159" s="110" t="n"/>
      <c r="F159" s="112" t="n"/>
      <c r="G159" s="112" t="n"/>
      <c r="H159" s="110" t="n"/>
      <c r="I159" s="113" t="n"/>
      <c r="J159" s="113" t="n"/>
      <c r="K159" s="111" t="n"/>
      <c r="L159" s="111" t="n"/>
      <c r="M159" s="111" t="n"/>
      <c r="N159" s="114" t="str">
        <f>IF(OR(D159="",E159=""),"",D159+IF(E159="NOTIFICAÇÃO DE CONSTATAÇÃO",PrazoConst,PrazoEsc))</f>
        <v/>
      </c>
      <c r="O159" s="115" t="str">
        <f>IF(N159="","",IF(ISNUMBER(L159),N159-L159,IF(OR(G159="DECISÃO D.P",ISNUMBER(M159)),"",N159-TODAY())))</f>
        <v/>
      </c>
      <c r="P159" s="116" t="str">
        <f>IF(B159="","",IF(ISNUMBER(M159),"DECIDIDO – ","")&amp;IF(ISNUMBER(L159),IF(O159="","SEM DATA",IF(O159&gt;=0,"DEFESA NO PRAZO","DEFESA FORA DO PRAZO")),IF(OR(G159="DECISÃO D.P",ISNUMBER(M159)),"SEM DEFESA",IF(G159="","SEM STATUS",IF(O159="","SEM DATA",IF(O159&lt;0,"VENCIDO",IF(O159&lt;=DiasAlerta,"VENCE EM BREVE","NO PRAZO")))))))</f>
        <v/>
      </c>
      <c r="Q159" s="117" t="str">
        <f>IF(D159="","",TODAY()-D159)</f>
        <v/>
      </c>
      <c r="R159" s="110" t="n"/>
    </row>
    <row r="160" ht="18" customHeight="1">
      <c r="A160" s="109" t="n"/>
      <c r="B160" s="110" t="n"/>
      <c r="C160" s="110" t="n"/>
      <c r="D160" s="111" t="n"/>
      <c r="E160" s="110" t="n"/>
      <c r="F160" s="112" t="n"/>
      <c r="G160" s="112" t="n"/>
      <c r="H160" s="110" t="n"/>
      <c r="I160" s="113" t="n"/>
      <c r="J160" s="113" t="n"/>
      <c r="K160" s="111" t="n"/>
      <c r="L160" s="111" t="n"/>
      <c r="M160" s="111" t="n"/>
      <c r="N160" s="114" t="str">
        <f>IF(OR(D160="",E160=""),"",D160+IF(E160="NOTIFICAÇÃO DE CONSTATAÇÃO",PrazoConst,PrazoEsc))</f>
        <v/>
      </c>
      <c r="O160" s="115" t="str">
        <f>IF(N160="","",IF(ISNUMBER(L160),N160-L160,IF(OR(G160="DECISÃO D.P",ISNUMBER(M160)),"",N160-TODAY())))</f>
        <v/>
      </c>
      <c r="P160" s="116" t="str">
        <f>IF(B160="","",IF(ISNUMBER(M160),"DECIDIDO – ","")&amp;IF(ISNUMBER(L160),IF(O160="","SEM DATA",IF(O160&gt;=0,"DEFESA NO PRAZO","DEFESA FORA DO PRAZO")),IF(OR(G160="DECISÃO D.P",ISNUMBER(M160)),"SEM DEFESA",IF(G160="","SEM STATUS",IF(O160="","SEM DATA",IF(O160&lt;0,"VENCIDO",IF(O160&lt;=DiasAlerta,"VENCE EM BREVE","NO PRAZO")))))))</f>
        <v/>
      </c>
      <c r="Q160" s="117" t="str">
        <f>IF(D160="","",TODAY()-D160)</f>
        <v/>
      </c>
      <c r="R160" s="110" t="n"/>
    </row>
    <row r="161" ht="18" customHeight="1">
      <c r="A161" s="109" t="n"/>
      <c r="B161" s="110" t="n"/>
      <c r="C161" s="110" t="n"/>
      <c r="D161" s="111" t="n"/>
      <c r="E161" s="110" t="n"/>
      <c r="F161" s="112" t="n"/>
      <c r="G161" s="112" t="n"/>
      <c r="H161" s="110" t="n"/>
      <c r="I161" s="113" t="n"/>
      <c r="J161" s="113" t="n"/>
      <c r="K161" s="111" t="n"/>
      <c r="L161" s="111" t="n"/>
      <c r="M161" s="111" t="n"/>
      <c r="N161" s="114" t="str">
        <f>IF(OR(D161="",E161=""),"",D161+IF(E161="NOTIFICAÇÃO DE CONSTATAÇÃO",PrazoConst,PrazoEsc))</f>
        <v/>
      </c>
      <c r="O161" s="115" t="str">
        <f>IF(N161="","",IF(ISNUMBER(L161),N161-L161,IF(OR(G161="DECISÃO D.P",ISNUMBER(M161)),"",N161-TODAY())))</f>
        <v/>
      </c>
      <c r="P161" s="116" t="str">
        <f>IF(B161="","",IF(ISNUMBER(M161),"DECIDIDO – ","")&amp;IF(ISNUMBER(L161),IF(O161="","SEM DATA",IF(O161&gt;=0,"DEFESA NO PRAZO","DEFESA FORA DO PRAZO")),IF(OR(G161="DECISÃO D.P",ISNUMBER(M161)),"SEM DEFESA",IF(G161="","SEM STATUS",IF(O161="","SEM DATA",IF(O161&lt;0,"VENCIDO",IF(O161&lt;=DiasAlerta,"VENCE EM BREVE","NO PRAZO")))))))</f>
        <v/>
      </c>
      <c r="Q161" s="117" t="str">
        <f>IF(D161="","",TODAY()-D161)</f>
        <v/>
      </c>
      <c r="R161" s="110" t="n"/>
    </row>
    <row r="162" ht="18" customHeight="1">
      <c r="A162" s="109" t="n"/>
      <c r="B162" s="110" t="n"/>
      <c r="C162" s="110" t="n"/>
      <c r="D162" s="111" t="n"/>
      <c r="E162" s="110" t="n"/>
      <c r="F162" s="112" t="n"/>
      <c r="G162" s="112" t="n"/>
      <c r="H162" s="110" t="n"/>
      <c r="I162" s="113" t="n"/>
      <c r="J162" s="113" t="n"/>
      <c r="K162" s="111" t="n"/>
      <c r="L162" s="111" t="n"/>
      <c r="M162" s="111" t="n"/>
      <c r="N162" s="114" t="str">
        <f>IF(OR(D162="",E162=""),"",D162+IF(E162="NOTIFICAÇÃO DE CONSTATAÇÃO",PrazoConst,PrazoEsc))</f>
        <v/>
      </c>
      <c r="O162" s="115" t="str">
        <f>IF(N162="","",IF(ISNUMBER(L162),N162-L162,IF(OR(G162="DECISÃO D.P",ISNUMBER(M162)),"",N162-TODAY())))</f>
        <v/>
      </c>
      <c r="P162" s="116" t="str">
        <f>IF(B162="","",IF(ISNUMBER(M162),"DECIDIDO – ","")&amp;IF(ISNUMBER(L162),IF(O162="","SEM DATA",IF(O162&gt;=0,"DEFESA NO PRAZO","DEFESA FORA DO PRAZO")),IF(OR(G162="DECISÃO D.P",ISNUMBER(M162)),"SEM DEFESA",IF(G162="","SEM STATUS",IF(O162="","SEM DATA",IF(O162&lt;0,"VENCIDO",IF(O162&lt;=DiasAlerta,"VENCE EM BREVE","NO PRAZO")))))))</f>
        <v/>
      </c>
      <c r="Q162" s="117" t="str">
        <f>IF(D162="","",TODAY()-D162)</f>
        <v/>
      </c>
      <c r="R162" s="110" t="n"/>
    </row>
    <row r="163" ht="18" customHeight="1">
      <c r="A163" s="109" t="n"/>
      <c r="B163" s="110" t="n"/>
      <c r="C163" s="110" t="n"/>
      <c r="D163" s="111" t="n"/>
      <c r="E163" s="110" t="n"/>
      <c r="F163" s="112" t="n"/>
      <c r="G163" s="112" t="n"/>
      <c r="H163" s="110" t="n"/>
      <c r="I163" s="113" t="n"/>
      <c r="J163" s="113" t="n"/>
      <c r="K163" s="111" t="n"/>
      <c r="L163" s="111" t="n"/>
      <c r="M163" s="111" t="n"/>
      <c r="N163" s="114" t="str">
        <f>IF(OR(D163="",E163=""),"",D163+IF(E163="NOTIFICAÇÃO DE CONSTATAÇÃO",PrazoConst,PrazoEsc))</f>
        <v/>
      </c>
      <c r="O163" s="115" t="str">
        <f>IF(N163="","",IF(ISNUMBER(L163),N163-L163,IF(OR(G163="DECISÃO D.P",ISNUMBER(M163)),"",N163-TODAY())))</f>
        <v/>
      </c>
      <c r="P163" s="116" t="str">
        <f>IF(B163="","",IF(ISNUMBER(M163),"DECIDIDO – ","")&amp;IF(ISNUMBER(L163),IF(O163="","SEM DATA",IF(O163&gt;=0,"DEFESA NO PRAZO","DEFESA FORA DO PRAZO")),IF(OR(G163="DECISÃO D.P",ISNUMBER(M163)),"SEM DEFESA",IF(G163="","SEM STATUS",IF(O163="","SEM DATA",IF(O163&lt;0,"VENCIDO",IF(O163&lt;=DiasAlerta,"VENCE EM BREVE","NO PRAZO")))))))</f>
        <v/>
      </c>
      <c r="Q163" s="117" t="str">
        <f>IF(D163="","",TODAY()-D163)</f>
        <v/>
      </c>
      <c r="R163" s="110" t="n"/>
    </row>
    <row r="164" ht="18" customHeight="1">
      <c r="A164" s="109" t="n"/>
      <c r="B164" s="110" t="n"/>
      <c r="C164" s="110" t="n"/>
      <c r="D164" s="111" t="n"/>
      <c r="E164" s="110" t="n"/>
      <c r="F164" s="112" t="n"/>
      <c r="G164" s="112" t="n"/>
      <c r="H164" s="110" t="n"/>
      <c r="I164" s="113" t="n"/>
      <c r="J164" s="113" t="n"/>
      <c r="K164" s="111" t="n"/>
      <c r="L164" s="111" t="n"/>
      <c r="M164" s="111" t="n"/>
      <c r="N164" s="114" t="str">
        <f>IF(OR(D164="",E164=""),"",D164+IF(E164="NOTIFICAÇÃO DE CONSTATAÇÃO",PrazoConst,PrazoEsc))</f>
        <v/>
      </c>
      <c r="O164" s="115" t="str">
        <f>IF(N164="","",IF(ISNUMBER(L164),N164-L164,IF(OR(G164="DECISÃO D.P",ISNUMBER(M164)),"",N164-TODAY())))</f>
        <v/>
      </c>
      <c r="P164" s="116" t="str">
        <f>IF(B164="","",IF(ISNUMBER(M164),"DECIDIDO – ","")&amp;IF(ISNUMBER(L164),IF(O164="","SEM DATA",IF(O164&gt;=0,"DEFESA NO PRAZO","DEFESA FORA DO PRAZO")),IF(OR(G164="DECISÃO D.P",ISNUMBER(M164)),"SEM DEFESA",IF(G164="","SEM STATUS",IF(O164="","SEM DATA",IF(O164&lt;0,"VENCIDO",IF(O164&lt;=DiasAlerta,"VENCE EM BREVE","NO PRAZO")))))))</f>
        <v/>
      </c>
      <c r="Q164" s="117" t="str">
        <f>IF(D164="","",TODAY()-D164)</f>
        <v/>
      </c>
      <c r="R164" s="110" t="n"/>
    </row>
    <row r="165" ht="18" customHeight="1">
      <c r="A165" s="109" t="n"/>
      <c r="B165" s="110" t="n"/>
      <c r="C165" s="110" t="n"/>
      <c r="D165" s="111" t="n"/>
      <c r="E165" s="110" t="n"/>
      <c r="F165" s="112" t="n"/>
      <c r="G165" s="112" t="n"/>
      <c r="H165" s="110" t="n"/>
      <c r="I165" s="113" t="n"/>
      <c r="J165" s="113" t="n"/>
      <c r="K165" s="111" t="n"/>
      <c r="L165" s="111" t="n"/>
      <c r="M165" s="111" t="n"/>
      <c r="N165" s="114" t="str">
        <f>IF(OR(D165="",E165=""),"",D165+IF(E165="NOTIFICAÇÃO DE CONSTATAÇÃO",PrazoConst,PrazoEsc))</f>
        <v/>
      </c>
      <c r="O165" s="115" t="str">
        <f>IF(N165="","",IF(ISNUMBER(L165),N165-L165,IF(OR(G165="DECISÃO D.P",ISNUMBER(M165)),"",N165-TODAY())))</f>
        <v/>
      </c>
      <c r="P165" s="116" t="str">
        <f>IF(B165="","",IF(ISNUMBER(M165),"DECIDIDO – ","")&amp;IF(ISNUMBER(L165),IF(O165="","SEM DATA",IF(O165&gt;=0,"DEFESA NO PRAZO","DEFESA FORA DO PRAZO")),IF(OR(G165="DECISÃO D.P",ISNUMBER(M165)),"SEM DEFESA",IF(G165="","SEM STATUS",IF(O165="","SEM DATA",IF(O165&lt;0,"VENCIDO",IF(O165&lt;=DiasAlerta,"VENCE EM BREVE","NO PRAZO")))))))</f>
        <v/>
      </c>
      <c r="Q165" s="117" t="str">
        <f>IF(D165="","",TODAY()-D165)</f>
        <v/>
      </c>
      <c r="R165" s="110" t="n"/>
    </row>
    <row r="166" ht="18" customHeight="1">
      <c r="A166" s="109" t="n"/>
      <c r="B166" s="110" t="n"/>
      <c r="C166" s="110" t="n"/>
      <c r="D166" s="111" t="n"/>
      <c r="E166" s="110" t="n"/>
      <c r="F166" s="112" t="n"/>
      <c r="G166" s="112" t="n"/>
      <c r="H166" s="110" t="n"/>
      <c r="I166" s="113" t="n"/>
      <c r="J166" s="113" t="n"/>
      <c r="K166" s="111" t="n"/>
      <c r="L166" s="111" t="n"/>
      <c r="M166" s="111" t="n"/>
      <c r="N166" s="114" t="str">
        <f>IF(OR(D166="",E166=""),"",D166+IF(E166="NOTIFICAÇÃO DE CONSTATAÇÃO",PrazoConst,PrazoEsc))</f>
        <v/>
      </c>
      <c r="O166" s="115" t="str">
        <f>IF(N166="","",IF(ISNUMBER(L166),N166-L166,IF(OR(G166="DECISÃO D.P",ISNUMBER(M166)),"",N166-TODAY())))</f>
        <v/>
      </c>
      <c r="P166" s="116" t="str">
        <f>IF(B166="","",IF(ISNUMBER(M166),"DECIDIDO – ","")&amp;IF(ISNUMBER(L166),IF(O166="","SEM DATA",IF(O166&gt;=0,"DEFESA NO PRAZO","DEFESA FORA DO PRAZO")),IF(OR(G166="DECISÃO D.P",ISNUMBER(M166)),"SEM DEFESA",IF(G166="","SEM STATUS",IF(O166="","SEM DATA",IF(O166&lt;0,"VENCIDO",IF(O166&lt;=DiasAlerta,"VENCE EM BREVE","NO PRAZO")))))))</f>
        <v/>
      </c>
      <c r="Q166" s="117" t="str">
        <f>IF(D166="","",TODAY()-D166)</f>
        <v/>
      </c>
      <c r="R166" s="110" t="n"/>
    </row>
    <row r="167" ht="18" customHeight="1">
      <c r="A167" s="109" t="n"/>
      <c r="B167" s="110" t="n"/>
      <c r="C167" s="110" t="n"/>
      <c r="D167" s="111" t="n"/>
      <c r="E167" s="110" t="n"/>
      <c r="F167" s="112" t="n"/>
      <c r="G167" s="112" t="n"/>
      <c r="H167" s="110" t="n"/>
      <c r="I167" s="113" t="n"/>
      <c r="J167" s="113" t="n"/>
      <c r="K167" s="111" t="n"/>
      <c r="L167" s="111" t="n"/>
      <c r="M167" s="111" t="n"/>
      <c r="N167" s="114" t="str">
        <f>IF(OR(D167="",E167=""),"",D167+IF(E167="NOTIFICAÇÃO DE CONSTATAÇÃO",PrazoConst,PrazoEsc))</f>
        <v/>
      </c>
      <c r="O167" s="115" t="str">
        <f>IF(N167="","",IF(ISNUMBER(L167),N167-L167,IF(OR(G167="DECISÃO D.P",ISNUMBER(M167)),"",N167-TODAY())))</f>
        <v/>
      </c>
      <c r="P167" s="116" t="str">
        <f>IF(B167="","",IF(ISNUMBER(M167),"DECIDIDO – ","")&amp;IF(ISNUMBER(L167),IF(O167="","SEM DATA",IF(O167&gt;=0,"DEFESA NO PRAZO","DEFESA FORA DO PRAZO")),IF(OR(G167="DECISÃO D.P",ISNUMBER(M167)),"SEM DEFESA",IF(G167="","SEM STATUS",IF(O167="","SEM DATA",IF(O167&lt;0,"VENCIDO",IF(O167&lt;=DiasAlerta,"VENCE EM BREVE","NO PRAZO")))))))</f>
        <v/>
      </c>
      <c r="Q167" s="117" t="str">
        <f>IF(D167="","",TODAY()-D167)</f>
        <v/>
      </c>
      <c r="R167" s="110" t="n"/>
    </row>
    <row r="168" ht="18" customHeight="1">
      <c r="A168" s="109" t="n"/>
      <c r="B168" s="110" t="n"/>
      <c r="C168" s="110" t="n"/>
      <c r="D168" s="111" t="n"/>
      <c r="E168" s="110" t="n"/>
      <c r="F168" s="112" t="n"/>
      <c r="G168" s="112" t="n"/>
      <c r="H168" s="110" t="n"/>
      <c r="I168" s="113" t="n"/>
      <c r="J168" s="113" t="n"/>
      <c r="K168" s="111" t="n"/>
      <c r="L168" s="111" t="n"/>
      <c r="M168" s="111" t="n"/>
      <c r="N168" s="114" t="str">
        <f>IF(OR(D168="",E168=""),"",D168+IF(E168="NOTIFICAÇÃO DE CONSTATAÇÃO",PrazoConst,PrazoEsc))</f>
        <v/>
      </c>
      <c r="O168" s="115" t="str">
        <f>IF(N168="","",IF(ISNUMBER(L168),N168-L168,IF(OR(G168="DECISÃO D.P",ISNUMBER(M168)),"",N168-TODAY())))</f>
        <v/>
      </c>
      <c r="P168" s="116" t="str">
        <f>IF(B168="","",IF(ISNUMBER(M168),"DECIDIDO – ","")&amp;IF(ISNUMBER(L168),IF(O168="","SEM DATA",IF(O168&gt;=0,"DEFESA NO PRAZO","DEFESA FORA DO PRAZO")),IF(OR(G168="DECISÃO D.P",ISNUMBER(M168)),"SEM DEFESA",IF(G168="","SEM STATUS",IF(O168="","SEM DATA",IF(O168&lt;0,"VENCIDO",IF(O168&lt;=DiasAlerta,"VENCE EM BREVE","NO PRAZO")))))))</f>
        <v/>
      </c>
      <c r="Q168" s="117" t="str">
        <f>IF(D168="","",TODAY()-D168)</f>
        <v/>
      </c>
      <c r="R168" s="110" t="n"/>
    </row>
    <row r="169" ht="18" customHeight="1">
      <c r="A169" s="109" t="n"/>
      <c r="B169" s="110" t="n"/>
      <c r="C169" s="110" t="n"/>
      <c r="D169" s="111" t="n"/>
      <c r="E169" s="110" t="n"/>
      <c r="F169" s="112" t="n"/>
      <c r="G169" s="112" t="n"/>
      <c r="H169" s="110" t="n"/>
      <c r="I169" s="113" t="n"/>
      <c r="J169" s="113" t="n"/>
      <c r="K169" s="111" t="n"/>
      <c r="L169" s="111" t="n"/>
      <c r="M169" s="111" t="n"/>
      <c r="N169" s="114" t="str">
        <f>IF(OR(D169="",E169=""),"",D169+IF(E169="NOTIFICAÇÃO DE CONSTATAÇÃO",PrazoConst,PrazoEsc))</f>
        <v/>
      </c>
      <c r="O169" s="115" t="str">
        <f>IF(N169="","",IF(ISNUMBER(L169),N169-L169,IF(OR(G169="DECISÃO D.P",ISNUMBER(M169)),"",N169-TODAY())))</f>
        <v/>
      </c>
      <c r="P169" s="116" t="str">
        <f>IF(B169="","",IF(ISNUMBER(M169),"DECIDIDO – ","")&amp;IF(ISNUMBER(L169),IF(O169="","SEM DATA",IF(O169&gt;=0,"DEFESA NO PRAZO","DEFESA FORA DO PRAZO")),IF(OR(G169="DECISÃO D.P",ISNUMBER(M169)),"SEM DEFESA",IF(G169="","SEM STATUS",IF(O169="","SEM DATA",IF(O169&lt;0,"VENCIDO",IF(O169&lt;=DiasAlerta,"VENCE EM BREVE","NO PRAZO")))))))</f>
        <v/>
      </c>
      <c r="Q169" s="117" t="str">
        <f>IF(D169="","",TODAY()-D169)</f>
        <v/>
      </c>
      <c r="R169" s="110" t="n"/>
    </row>
    <row r="170" ht="18" customHeight="1">
      <c r="A170" s="109" t="n"/>
      <c r="B170" s="110" t="n"/>
      <c r="C170" s="110" t="n"/>
      <c r="D170" s="111" t="n"/>
      <c r="E170" s="110" t="n"/>
      <c r="F170" s="112" t="n"/>
      <c r="G170" s="112" t="n"/>
      <c r="H170" s="110" t="n"/>
      <c r="I170" s="113" t="n"/>
      <c r="J170" s="113" t="n"/>
      <c r="K170" s="111" t="n"/>
      <c r="L170" s="111" t="n"/>
      <c r="M170" s="111" t="n"/>
      <c r="N170" s="114" t="str">
        <f>IF(OR(D170="",E170=""),"",D170+IF(E170="NOTIFICAÇÃO DE CONSTATAÇÃO",PrazoConst,PrazoEsc))</f>
        <v/>
      </c>
      <c r="O170" s="115" t="str">
        <f>IF(N170="","",IF(ISNUMBER(L170),N170-L170,IF(OR(G170="DECISÃO D.P",ISNUMBER(M170)),"",N170-TODAY())))</f>
        <v/>
      </c>
      <c r="P170" s="116" t="str">
        <f>IF(B170="","",IF(ISNUMBER(M170),"DECIDIDO – ","")&amp;IF(ISNUMBER(L170),IF(O170="","SEM DATA",IF(O170&gt;=0,"DEFESA NO PRAZO","DEFESA FORA DO PRAZO")),IF(OR(G170="DECISÃO D.P",ISNUMBER(M170)),"SEM DEFESA",IF(G170="","SEM STATUS",IF(O170="","SEM DATA",IF(O170&lt;0,"VENCIDO",IF(O170&lt;=DiasAlerta,"VENCE EM BREVE","NO PRAZO")))))))</f>
        <v/>
      </c>
      <c r="Q170" s="117" t="str">
        <f>IF(D170="","",TODAY()-D170)</f>
        <v/>
      </c>
      <c r="R170" s="110" t="n"/>
    </row>
    <row r="171" ht="18" customHeight="1">
      <c r="A171" s="109" t="n"/>
      <c r="B171" s="110" t="n"/>
      <c r="C171" s="110" t="n"/>
      <c r="D171" s="111" t="n"/>
      <c r="E171" s="110" t="n"/>
      <c r="F171" s="112" t="n"/>
      <c r="G171" s="112" t="n"/>
      <c r="H171" s="110" t="n"/>
      <c r="I171" s="113" t="n"/>
      <c r="J171" s="113" t="n"/>
      <c r="K171" s="111" t="n"/>
      <c r="L171" s="111" t="n"/>
      <c r="M171" s="111" t="n"/>
      <c r="N171" s="114" t="str">
        <f>IF(OR(D171="",E171=""),"",D171+IF(E171="NOTIFICAÇÃO DE CONSTATAÇÃO",PrazoConst,PrazoEsc))</f>
        <v/>
      </c>
      <c r="O171" s="115" t="str">
        <f>IF(N171="","",IF(ISNUMBER(L171),N171-L171,IF(OR(G171="DECISÃO D.P",ISNUMBER(M171)),"",N171-TODAY())))</f>
        <v/>
      </c>
      <c r="P171" s="116" t="str">
        <f>IF(B171="","",IF(ISNUMBER(M171),"DECIDIDO – ","")&amp;IF(ISNUMBER(L171),IF(O171="","SEM DATA",IF(O171&gt;=0,"DEFESA NO PRAZO","DEFESA FORA DO PRAZO")),IF(OR(G171="DECISÃO D.P",ISNUMBER(M171)),"SEM DEFESA",IF(G171="","SEM STATUS",IF(O171="","SEM DATA",IF(O171&lt;0,"VENCIDO",IF(O171&lt;=DiasAlerta,"VENCE EM BREVE","NO PRAZO")))))))</f>
        <v/>
      </c>
      <c r="Q171" s="117" t="str">
        <f>IF(D171="","",TODAY()-D171)</f>
        <v/>
      </c>
      <c r="R171" s="110" t="n"/>
    </row>
    <row r="172" ht="18" customHeight="1">
      <c r="A172" s="109" t="n"/>
      <c r="B172" s="110" t="n"/>
      <c r="C172" s="110" t="n"/>
      <c r="D172" s="111" t="n"/>
      <c r="E172" s="110" t="n"/>
      <c r="F172" s="112" t="n"/>
      <c r="G172" s="112" t="n"/>
      <c r="H172" s="110" t="n"/>
      <c r="I172" s="113" t="n"/>
      <c r="J172" s="113" t="n"/>
      <c r="K172" s="111" t="n"/>
      <c r="L172" s="111" t="n"/>
      <c r="M172" s="111" t="n"/>
      <c r="N172" s="114" t="str">
        <f>IF(OR(D172="",E172=""),"",D172+IF(E172="NOTIFICAÇÃO DE CONSTATAÇÃO",PrazoConst,PrazoEsc))</f>
        <v/>
      </c>
      <c r="O172" s="115" t="str">
        <f>IF(N172="","",IF(ISNUMBER(L172),N172-L172,IF(OR(G172="DECISÃO D.P",ISNUMBER(M172)),"",N172-TODAY())))</f>
        <v/>
      </c>
      <c r="P172" s="116" t="str">
        <f>IF(B172="","",IF(ISNUMBER(M172),"DECIDIDO – ","")&amp;IF(ISNUMBER(L172),IF(O172="","SEM DATA",IF(O172&gt;=0,"DEFESA NO PRAZO","DEFESA FORA DO PRAZO")),IF(OR(G172="DECISÃO D.P",ISNUMBER(M172)),"SEM DEFESA",IF(G172="","SEM STATUS",IF(O172="","SEM DATA",IF(O172&lt;0,"VENCIDO",IF(O172&lt;=DiasAlerta,"VENCE EM BREVE","NO PRAZO")))))))</f>
        <v/>
      </c>
      <c r="Q172" s="117" t="str">
        <f>IF(D172="","",TODAY()-D172)</f>
        <v/>
      </c>
      <c r="R172" s="110" t="n"/>
    </row>
    <row r="173" ht="18" customHeight="1">
      <c r="A173" s="109" t="n"/>
      <c r="B173" s="110" t="n"/>
      <c r="C173" s="110" t="n"/>
      <c r="D173" s="111" t="n"/>
      <c r="E173" s="110" t="n"/>
      <c r="F173" s="112" t="n"/>
      <c r="G173" s="112" t="n"/>
      <c r="H173" s="110" t="n"/>
      <c r="I173" s="113" t="n"/>
      <c r="J173" s="113" t="n"/>
      <c r="K173" s="111" t="n"/>
      <c r="L173" s="111" t="n"/>
      <c r="M173" s="111" t="n"/>
      <c r="N173" s="114" t="str">
        <f>IF(OR(D173="",E173=""),"",D173+IF(E173="NOTIFICAÇÃO DE CONSTATAÇÃO",PrazoConst,PrazoEsc))</f>
        <v/>
      </c>
      <c r="O173" s="115" t="str">
        <f>IF(N173="","",IF(ISNUMBER(L173),N173-L173,IF(OR(G173="DECISÃO D.P",ISNUMBER(M173)),"",N173-TODAY())))</f>
        <v/>
      </c>
      <c r="P173" s="116" t="str">
        <f>IF(B173="","",IF(ISNUMBER(M173),"DECIDIDO – ","")&amp;IF(ISNUMBER(L173),IF(O173="","SEM DATA",IF(O173&gt;=0,"DEFESA NO PRAZO","DEFESA FORA DO PRAZO")),IF(OR(G173="DECISÃO D.P",ISNUMBER(M173)),"SEM DEFESA",IF(G173="","SEM STATUS",IF(O173="","SEM DATA",IF(O173&lt;0,"VENCIDO",IF(O173&lt;=DiasAlerta,"VENCE EM BREVE","NO PRAZO")))))))</f>
        <v/>
      </c>
      <c r="Q173" s="117" t="str">
        <f>IF(D173="","",TODAY()-D173)</f>
        <v/>
      </c>
      <c r="R173" s="110" t="n"/>
    </row>
    <row r="174" ht="18" customHeight="1">
      <c r="A174" s="109" t="n"/>
      <c r="B174" s="110" t="n"/>
      <c r="C174" s="110" t="n"/>
      <c r="D174" s="111" t="n"/>
      <c r="E174" s="110" t="n"/>
      <c r="F174" s="112" t="n"/>
      <c r="G174" s="112" t="n"/>
      <c r="H174" s="110" t="n"/>
      <c r="I174" s="113" t="n"/>
      <c r="J174" s="113" t="n"/>
      <c r="K174" s="111" t="n"/>
      <c r="L174" s="111" t="n"/>
      <c r="M174" s="111" t="n"/>
      <c r="N174" s="114" t="str">
        <f>IF(OR(D174="",E174=""),"",D174+IF(E174="NOTIFICAÇÃO DE CONSTATAÇÃO",PrazoConst,PrazoEsc))</f>
        <v/>
      </c>
      <c r="O174" s="115" t="str">
        <f>IF(N174="","",IF(ISNUMBER(L174),N174-L174,IF(OR(G174="DECISÃO D.P",ISNUMBER(M174)),"",N174-TODAY())))</f>
        <v/>
      </c>
      <c r="P174" s="116" t="str">
        <f>IF(B174="","",IF(ISNUMBER(M174),"DECIDIDO – ","")&amp;IF(ISNUMBER(L174),IF(O174="","SEM DATA",IF(O174&gt;=0,"DEFESA NO PRAZO","DEFESA FORA DO PRAZO")),IF(OR(G174="DECISÃO D.P",ISNUMBER(M174)),"SEM DEFESA",IF(G174="","SEM STATUS",IF(O174="","SEM DATA",IF(O174&lt;0,"VENCIDO",IF(O174&lt;=DiasAlerta,"VENCE EM BREVE","NO PRAZO")))))))</f>
        <v/>
      </c>
      <c r="Q174" s="117" t="str">
        <f>IF(D174="","",TODAY()-D174)</f>
        <v/>
      </c>
      <c r="R174" s="110" t="n"/>
    </row>
    <row r="175" ht="18" customHeight="1">
      <c r="A175" s="109" t="n"/>
      <c r="B175" s="110" t="n"/>
      <c r="C175" s="110" t="n"/>
      <c r="D175" s="111" t="n"/>
      <c r="E175" s="110" t="n"/>
      <c r="F175" s="112" t="n"/>
      <c r="G175" s="112" t="n"/>
      <c r="H175" s="110" t="n"/>
      <c r="I175" s="113" t="n"/>
      <c r="J175" s="113" t="n"/>
      <c r="K175" s="111" t="n"/>
      <c r="L175" s="111" t="n"/>
      <c r="M175" s="111" t="n"/>
      <c r="N175" s="114" t="str">
        <f>IF(OR(D175="",E175=""),"",D175+IF(E175="NOTIFICAÇÃO DE CONSTATAÇÃO",PrazoConst,PrazoEsc))</f>
        <v/>
      </c>
      <c r="O175" s="115" t="str">
        <f>IF(N175="","",IF(ISNUMBER(L175),N175-L175,IF(OR(G175="DECISÃO D.P",ISNUMBER(M175)),"",N175-TODAY())))</f>
        <v/>
      </c>
      <c r="P175" s="116" t="str">
        <f>IF(B175="","",IF(ISNUMBER(M175),"DECIDIDO – ","")&amp;IF(ISNUMBER(L175),IF(O175="","SEM DATA",IF(O175&gt;=0,"DEFESA NO PRAZO","DEFESA FORA DO PRAZO")),IF(OR(G175="DECISÃO D.P",ISNUMBER(M175)),"SEM DEFESA",IF(G175="","SEM STATUS",IF(O175="","SEM DATA",IF(O175&lt;0,"VENCIDO",IF(O175&lt;=DiasAlerta,"VENCE EM BREVE","NO PRAZO")))))))</f>
        <v/>
      </c>
      <c r="Q175" s="117" t="str">
        <f>IF(D175="","",TODAY()-D175)</f>
        <v/>
      </c>
      <c r="R175" s="110" t="n"/>
    </row>
    <row r="176" ht="18" customHeight="1">
      <c r="A176" s="109" t="n"/>
      <c r="B176" s="110" t="n"/>
      <c r="C176" s="110" t="n"/>
      <c r="D176" s="111" t="n"/>
      <c r="E176" s="110" t="n"/>
      <c r="F176" s="112" t="n"/>
      <c r="G176" s="112" t="n"/>
      <c r="H176" s="110" t="n"/>
      <c r="I176" s="113" t="n"/>
      <c r="J176" s="113" t="n"/>
      <c r="K176" s="111" t="n"/>
      <c r="L176" s="111" t="n"/>
      <c r="M176" s="111" t="n"/>
      <c r="N176" s="114" t="str">
        <f>IF(OR(D176="",E176=""),"",D176+IF(E176="NOTIFICAÇÃO DE CONSTATAÇÃO",PrazoConst,PrazoEsc))</f>
        <v/>
      </c>
      <c r="O176" s="115" t="str">
        <f>IF(N176="","",IF(ISNUMBER(L176),N176-L176,IF(OR(G176="DECISÃO D.P",ISNUMBER(M176)),"",N176-TODAY())))</f>
        <v/>
      </c>
      <c r="P176" s="116" t="str">
        <f>IF(B176="","",IF(ISNUMBER(M176),"DECIDIDO – ","")&amp;IF(ISNUMBER(L176),IF(O176="","SEM DATA",IF(O176&gt;=0,"DEFESA NO PRAZO","DEFESA FORA DO PRAZO")),IF(OR(G176="DECISÃO D.P",ISNUMBER(M176)),"SEM DEFESA",IF(G176="","SEM STATUS",IF(O176="","SEM DATA",IF(O176&lt;0,"VENCIDO",IF(O176&lt;=DiasAlerta,"VENCE EM BREVE","NO PRAZO")))))))</f>
        <v/>
      </c>
      <c r="Q176" s="117" t="str">
        <f>IF(D176="","",TODAY()-D176)</f>
        <v/>
      </c>
      <c r="R176" s="110" t="n"/>
    </row>
    <row r="177" ht="18" customHeight="1">
      <c r="A177" s="109" t="n"/>
      <c r="B177" s="110" t="n"/>
      <c r="C177" s="110" t="n"/>
      <c r="D177" s="111" t="n"/>
      <c r="E177" s="110" t="n"/>
      <c r="F177" s="112" t="n"/>
      <c r="G177" s="112" t="n"/>
      <c r="H177" s="110" t="n"/>
      <c r="I177" s="113" t="n"/>
      <c r="J177" s="113" t="n"/>
      <c r="K177" s="111" t="n"/>
      <c r="L177" s="111" t="n"/>
      <c r="M177" s="111" t="n"/>
      <c r="N177" s="114" t="str">
        <f>IF(OR(D177="",E177=""),"",D177+IF(E177="NOTIFICAÇÃO DE CONSTATAÇÃO",PrazoConst,PrazoEsc))</f>
        <v/>
      </c>
      <c r="O177" s="115" t="str">
        <f>IF(N177="","",IF(ISNUMBER(L177),N177-L177,IF(OR(G177="DECISÃO D.P",ISNUMBER(M177)),"",N177-TODAY())))</f>
        <v/>
      </c>
      <c r="P177" s="116" t="str">
        <f>IF(B177="","",IF(ISNUMBER(M177),"DECIDIDO – ","")&amp;IF(ISNUMBER(L177),IF(O177="","SEM DATA",IF(O177&gt;=0,"DEFESA NO PRAZO","DEFESA FORA DO PRAZO")),IF(OR(G177="DECISÃO D.P",ISNUMBER(M177)),"SEM DEFESA",IF(G177="","SEM STATUS",IF(O177="","SEM DATA",IF(O177&lt;0,"VENCIDO",IF(O177&lt;=DiasAlerta,"VENCE EM BREVE","NO PRAZO")))))))</f>
        <v/>
      </c>
      <c r="Q177" s="117" t="str">
        <f>IF(D177="","",TODAY()-D177)</f>
        <v/>
      </c>
      <c r="R177" s="110" t="n"/>
    </row>
    <row r="178" ht="18" customHeight="1">
      <c r="A178" s="109" t="n"/>
      <c r="B178" s="110" t="n"/>
      <c r="C178" s="110" t="n"/>
      <c r="D178" s="111" t="n"/>
      <c r="E178" s="110" t="n"/>
      <c r="F178" s="112" t="n"/>
      <c r="G178" s="112" t="n"/>
      <c r="H178" s="110" t="n"/>
      <c r="I178" s="113" t="n"/>
      <c r="J178" s="113" t="n"/>
      <c r="K178" s="111" t="n"/>
      <c r="L178" s="111" t="n"/>
      <c r="M178" s="111" t="n"/>
      <c r="N178" s="114" t="str">
        <f>IF(OR(D178="",E178=""),"",D178+IF(E178="NOTIFICAÇÃO DE CONSTATAÇÃO",PrazoConst,PrazoEsc))</f>
        <v/>
      </c>
      <c r="O178" s="115" t="str">
        <f>IF(N178="","",IF(ISNUMBER(L178),N178-L178,IF(OR(G178="DECISÃO D.P",ISNUMBER(M178)),"",N178-TODAY())))</f>
        <v/>
      </c>
      <c r="P178" s="116" t="str">
        <f>IF(B178="","",IF(ISNUMBER(M178),"DECIDIDO – ","")&amp;IF(ISNUMBER(L178),IF(O178="","SEM DATA",IF(O178&gt;=0,"DEFESA NO PRAZO","DEFESA FORA DO PRAZO")),IF(OR(G178="DECISÃO D.P",ISNUMBER(M178)),"SEM DEFESA",IF(G178="","SEM STATUS",IF(O178="","SEM DATA",IF(O178&lt;0,"VENCIDO",IF(O178&lt;=DiasAlerta,"VENCE EM BREVE","NO PRAZO")))))))</f>
        <v/>
      </c>
      <c r="Q178" s="117" t="str">
        <f>IF(D178="","",TODAY()-D178)</f>
        <v/>
      </c>
      <c r="R178" s="110" t="n"/>
    </row>
    <row r="179" ht="18" customHeight="1">
      <c r="A179" s="109" t="n"/>
      <c r="B179" s="110" t="n"/>
      <c r="C179" s="110" t="n"/>
      <c r="D179" s="111" t="n"/>
      <c r="E179" s="110" t="n"/>
      <c r="F179" s="112" t="n"/>
      <c r="G179" s="112" t="n"/>
      <c r="H179" s="110" t="n"/>
      <c r="I179" s="113" t="n"/>
      <c r="J179" s="113" t="n"/>
      <c r="K179" s="111" t="n"/>
      <c r="L179" s="111" t="n"/>
      <c r="M179" s="111" t="n"/>
      <c r="N179" s="114" t="str">
        <f>IF(OR(D179="",E179=""),"",D179+IF(E179="NOTIFICAÇÃO DE CONSTATAÇÃO",PrazoConst,PrazoEsc))</f>
        <v/>
      </c>
      <c r="O179" s="115" t="str">
        <f>IF(N179="","",IF(ISNUMBER(L179),N179-L179,IF(OR(G179="DECISÃO D.P",ISNUMBER(M179)),"",N179-TODAY())))</f>
        <v/>
      </c>
      <c r="P179" s="116" t="str">
        <f>IF(B179="","",IF(ISNUMBER(M179),"DECIDIDO – ","")&amp;IF(ISNUMBER(L179),IF(O179="","SEM DATA",IF(O179&gt;=0,"DEFESA NO PRAZO","DEFESA FORA DO PRAZO")),IF(OR(G179="DECISÃO D.P",ISNUMBER(M179)),"SEM DEFESA",IF(G179="","SEM STATUS",IF(O179="","SEM DATA",IF(O179&lt;0,"VENCIDO",IF(O179&lt;=DiasAlerta,"VENCE EM BREVE","NO PRAZO")))))))</f>
        <v/>
      </c>
      <c r="Q179" s="117" t="str">
        <f>IF(D179="","",TODAY()-D179)</f>
        <v/>
      </c>
      <c r="R179" s="110" t="n"/>
    </row>
    <row r="180" ht="18" customHeight="1">
      <c r="A180" s="109" t="n"/>
      <c r="B180" s="110" t="n"/>
      <c r="C180" s="110" t="n"/>
      <c r="D180" s="111" t="n"/>
      <c r="E180" s="110" t="n"/>
      <c r="F180" s="112" t="n"/>
      <c r="G180" s="112" t="n"/>
      <c r="H180" s="110" t="n"/>
      <c r="I180" s="113" t="n"/>
      <c r="J180" s="113" t="n"/>
      <c r="K180" s="111" t="n"/>
      <c r="L180" s="111" t="n"/>
      <c r="M180" s="111" t="n"/>
      <c r="N180" s="114" t="str">
        <f>IF(OR(D180="",E180=""),"",D180+IF(E180="NOTIFICAÇÃO DE CONSTATAÇÃO",PrazoConst,PrazoEsc))</f>
        <v/>
      </c>
      <c r="O180" s="115" t="str">
        <f>IF(N180="","",IF(ISNUMBER(L180),N180-L180,IF(OR(G180="DECISÃO D.P",ISNUMBER(M180)),"",N180-TODAY())))</f>
        <v/>
      </c>
      <c r="P180" s="116" t="str">
        <f>IF(B180="","",IF(ISNUMBER(M180),"DECIDIDO – ","")&amp;IF(ISNUMBER(L180),IF(O180="","SEM DATA",IF(O180&gt;=0,"DEFESA NO PRAZO","DEFESA FORA DO PRAZO")),IF(OR(G180="DECISÃO D.P",ISNUMBER(M180)),"SEM DEFESA",IF(G180="","SEM STATUS",IF(O180="","SEM DATA",IF(O180&lt;0,"VENCIDO",IF(O180&lt;=DiasAlerta,"VENCE EM BREVE","NO PRAZO")))))))</f>
        <v/>
      </c>
      <c r="Q180" s="117" t="str">
        <f>IF(D180="","",TODAY()-D180)</f>
        <v/>
      </c>
      <c r="R180" s="110" t="n"/>
    </row>
    <row r="181" ht="18" customHeight="1">
      <c r="A181" s="109" t="n"/>
      <c r="B181" s="110" t="n"/>
      <c r="C181" s="110" t="n"/>
      <c r="D181" s="111" t="n"/>
      <c r="E181" s="110" t="n"/>
      <c r="F181" s="112" t="n"/>
      <c r="G181" s="112" t="n"/>
      <c r="H181" s="110" t="n"/>
      <c r="I181" s="113" t="n"/>
      <c r="J181" s="113" t="n"/>
      <c r="K181" s="111" t="n"/>
      <c r="L181" s="111" t="n"/>
      <c r="M181" s="111" t="n"/>
      <c r="N181" s="114" t="str">
        <f>IF(OR(D181="",E181=""),"",D181+IF(E181="NOTIFICAÇÃO DE CONSTATAÇÃO",PrazoConst,PrazoEsc))</f>
        <v/>
      </c>
      <c r="O181" s="115" t="str">
        <f>IF(N181="","",IF(ISNUMBER(L181),N181-L181,IF(OR(G181="DECISÃO D.P",ISNUMBER(M181)),"",N181-TODAY())))</f>
        <v/>
      </c>
      <c r="P181" s="116" t="str">
        <f>IF(B181="","",IF(ISNUMBER(M181),"DECIDIDO – ","")&amp;IF(ISNUMBER(L181),IF(O181="","SEM DATA",IF(O181&gt;=0,"DEFESA NO PRAZO","DEFESA FORA DO PRAZO")),IF(OR(G181="DECISÃO D.P",ISNUMBER(M181)),"SEM DEFESA",IF(G181="","SEM STATUS",IF(O181="","SEM DATA",IF(O181&lt;0,"VENCIDO",IF(O181&lt;=DiasAlerta,"VENCE EM BREVE","NO PRAZO")))))))</f>
        <v/>
      </c>
      <c r="Q181" s="117" t="str">
        <f>IF(D181="","",TODAY()-D181)</f>
        <v/>
      </c>
      <c r="R181" s="110" t="n"/>
    </row>
    <row r="182" ht="18" customHeight="1">
      <c r="A182" s="109" t="n"/>
      <c r="B182" s="110" t="n"/>
      <c r="C182" s="110" t="n"/>
      <c r="D182" s="111" t="n"/>
      <c r="E182" s="110" t="n"/>
      <c r="F182" s="112" t="n"/>
      <c r="G182" s="112" t="n"/>
      <c r="H182" s="110" t="n"/>
      <c r="I182" s="113" t="n"/>
      <c r="J182" s="113" t="n"/>
      <c r="K182" s="111" t="n"/>
      <c r="L182" s="111" t="n"/>
      <c r="M182" s="111" t="n"/>
      <c r="N182" s="114" t="str">
        <f>IF(OR(D182="",E182=""),"",D182+IF(E182="NOTIFICAÇÃO DE CONSTATAÇÃO",PrazoConst,PrazoEsc))</f>
        <v/>
      </c>
      <c r="O182" s="115" t="str">
        <f>IF(N182="","",IF(ISNUMBER(L182),N182-L182,IF(OR(G182="DECISÃO D.P",ISNUMBER(M182)),"",N182-TODAY())))</f>
        <v/>
      </c>
      <c r="P182" s="116" t="str">
        <f>IF(B182="","",IF(ISNUMBER(M182),"DECIDIDO – ","")&amp;IF(ISNUMBER(L182),IF(O182="","SEM DATA",IF(O182&gt;=0,"DEFESA NO PRAZO","DEFESA FORA DO PRAZO")),IF(OR(G182="DECISÃO D.P",ISNUMBER(M182)),"SEM DEFESA",IF(G182="","SEM STATUS",IF(O182="","SEM DATA",IF(O182&lt;0,"VENCIDO",IF(O182&lt;=DiasAlerta,"VENCE EM BREVE","NO PRAZO")))))))</f>
        <v/>
      </c>
      <c r="Q182" s="117" t="str">
        <f>IF(D182="","",TODAY()-D182)</f>
        <v/>
      </c>
      <c r="R182" s="110" t="n"/>
    </row>
    <row r="183" ht="18" customHeight="1">
      <c r="A183" s="109" t="n"/>
      <c r="B183" s="110" t="n"/>
      <c r="C183" s="110" t="n"/>
      <c r="D183" s="111" t="n"/>
      <c r="E183" s="110" t="n"/>
      <c r="F183" s="112" t="n"/>
      <c r="G183" s="112" t="n"/>
      <c r="H183" s="110" t="n"/>
      <c r="I183" s="113" t="n"/>
      <c r="J183" s="113" t="n"/>
      <c r="K183" s="111" t="n"/>
      <c r="L183" s="111" t="n"/>
      <c r="M183" s="111" t="n"/>
      <c r="N183" s="114" t="str">
        <f>IF(OR(D183="",E183=""),"",D183+IF(E183="NOTIFICAÇÃO DE CONSTATAÇÃO",PrazoConst,PrazoEsc))</f>
        <v/>
      </c>
      <c r="O183" s="115" t="str">
        <f>IF(N183="","",IF(ISNUMBER(L183),N183-L183,IF(OR(G183="DECISÃO D.P",ISNUMBER(M183)),"",N183-TODAY())))</f>
        <v/>
      </c>
      <c r="P183" s="116" t="str">
        <f>IF(B183="","",IF(ISNUMBER(M183),"DECIDIDO – ","")&amp;IF(ISNUMBER(L183),IF(O183="","SEM DATA",IF(O183&gt;=0,"DEFESA NO PRAZO","DEFESA FORA DO PRAZO")),IF(OR(G183="DECISÃO D.P",ISNUMBER(M183)),"SEM DEFESA",IF(G183="","SEM STATUS",IF(O183="","SEM DATA",IF(O183&lt;0,"VENCIDO",IF(O183&lt;=DiasAlerta,"VENCE EM BREVE","NO PRAZO")))))))</f>
        <v/>
      </c>
      <c r="Q183" s="117" t="str">
        <f>IF(D183="","",TODAY()-D183)</f>
        <v/>
      </c>
      <c r="R183" s="110" t="n"/>
    </row>
    <row r="184" ht="18" customHeight="1">
      <c r="A184" s="109" t="n"/>
      <c r="B184" s="110" t="n"/>
      <c r="C184" s="110" t="n"/>
      <c r="D184" s="111" t="n"/>
      <c r="E184" s="110" t="n"/>
      <c r="F184" s="112" t="n"/>
      <c r="G184" s="112" t="n"/>
      <c r="H184" s="110" t="n"/>
      <c r="I184" s="113" t="n"/>
      <c r="J184" s="113" t="n"/>
      <c r="K184" s="111" t="n"/>
      <c r="L184" s="111" t="n"/>
      <c r="M184" s="111" t="n"/>
      <c r="N184" s="114" t="str">
        <f>IF(OR(D184="",E184=""),"",D184+IF(E184="NOTIFICAÇÃO DE CONSTATAÇÃO",PrazoConst,PrazoEsc))</f>
        <v/>
      </c>
      <c r="O184" s="115" t="str">
        <f>IF(N184="","",IF(ISNUMBER(L184),N184-L184,IF(OR(G184="DECISÃO D.P",ISNUMBER(M184)),"",N184-TODAY())))</f>
        <v/>
      </c>
      <c r="P184" s="116" t="str">
        <f>IF(B184="","",IF(ISNUMBER(M184),"DECIDIDO – ","")&amp;IF(ISNUMBER(L184),IF(O184="","SEM DATA",IF(O184&gt;=0,"DEFESA NO PRAZO","DEFESA FORA DO PRAZO")),IF(OR(G184="DECISÃO D.P",ISNUMBER(M184)),"SEM DEFESA",IF(G184="","SEM STATUS",IF(O184="","SEM DATA",IF(O184&lt;0,"VENCIDO",IF(O184&lt;=DiasAlerta,"VENCE EM BREVE","NO PRAZO")))))))</f>
        <v/>
      </c>
      <c r="Q184" s="117" t="str">
        <f>IF(D184="","",TODAY()-D184)</f>
        <v/>
      </c>
      <c r="R184" s="110" t="n"/>
    </row>
    <row r="185" ht="18" customHeight="1">
      <c r="A185" s="109" t="n"/>
      <c r="B185" s="110" t="n"/>
      <c r="C185" s="110" t="n"/>
      <c r="D185" s="111" t="n"/>
      <c r="E185" s="110" t="n"/>
      <c r="F185" s="112" t="n"/>
      <c r="G185" s="112" t="n"/>
      <c r="H185" s="110" t="n"/>
      <c r="I185" s="113" t="n"/>
      <c r="J185" s="113" t="n"/>
      <c r="K185" s="111" t="n"/>
      <c r="L185" s="111" t="n"/>
      <c r="M185" s="111" t="n"/>
      <c r="N185" s="114" t="str">
        <f>IF(OR(D185="",E185=""),"",D185+IF(E185="NOTIFICAÇÃO DE CONSTATAÇÃO",PrazoConst,PrazoEsc))</f>
        <v/>
      </c>
      <c r="O185" s="115" t="str">
        <f>IF(N185="","",IF(ISNUMBER(L185),N185-L185,IF(OR(G185="DECISÃO D.P",ISNUMBER(M185)),"",N185-TODAY())))</f>
        <v/>
      </c>
      <c r="P185" s="116" t="str">
        <f>IF(B185="","",IF(ISNUMBER(M185),"DECIDIDO – ","")&amp;IF(ISNUMBER(L185),IF(O185="","SEM DATA",IF(O185&gt;=0,"DEFESA NO PRAZO","DEFESA FORA DO PRAZO")),IF(OR(G185="DECISÃO D.P",ISNUMBER(M185)),"SEM DEFESA",IF(G185="","SEM STATUS",IF(O185="","SEM DATA",IF(O185&lt;0,"VENCIDO",IF(O185&lt;=DiasAlerta,"VENCE EM BREVE","NO PRAZO")))))))</f>
        <v/>
      </c>
      <c r="Q185" s="117" t="str">
        <f>IF(D185="","",TODAY()-D185)</f>
        <v/>
      </c>
      <c r="R185" s="110" t="n"/>
    </row>
    <row r="186" ht="18" customHeight="1">
      <c r="A186" s="109" t="n"/>
      <c r="B186" s="110" t="n"/>
      <c r="C186" s="110" t="n"/>
      <c r="D186" s="111" t="n"/>
      <c r="E186" s="110" t="n"/>
      <c r="F186" s="112" t="n"/>
      <c r="G186" s="112" t="n"/>
      <c r="H186" s="110" t="n"/>
      <c r="I186" s="113" t="n"/>
      <c r="J186" s="113" t="n"/>
      <c r="K186" s="111" t="n"/>
      <c r="L186" s="111" t="n"/>
      <c r="M186" s="111" t="n"/>
      <c r="N186" s="114" t="str">
        <f>IF(OR(D186="",E186=""),"",D186+IF(E186="NOTIFICAÇÃO DE CONSTATAÇÃO",PrazoConst,PrazoEsc))</f>
        <v/>
      </c>
      <c r="O186" s="115" t="str">
        <f>IF(N186="","",IF(ISNUMBER(L186),N186-L186,IF(OR(G186="DECISÃO D.P",ISNUMBER(M186)),"",N186-TODAY())))</f>
        <v/>
      </c>
      <c r="P186" s="116" t="str">
        <f>IF(B186="","",IF(ISNUMBER(M186),"DECIDIDO – ","")&amp;IF(ISNUMBER(L186),IF(O186="","SEM DATA",IF(O186&gt;=0,"DEFESA NO PRAZO","DEFESA FORA DO PRAZO")),IF(OR(G186="DECISÃO D.P",ISNUMBER(M186)),"SEM DEFESA",IF(G186="","SEM STATUS",IF(O186="","SEM DATA",IF(O186&lt;0,"VENCIDO",IF(O186&lt;=DiasAlerta,"VENCE EM BREVE","NO PRAZO")))))))</f>
        <v/>
      </c>
      <c r="Q186" s="117" t="str">
        <f>IF(D186="","",TODAY()-D186)</f>
        <v/>
      </c>
      <c r="R186" s="110" t="n"/>
    </row>
    <row r="187" ht="18" customHeight="1">
      <c r="A187" s="109" t="n"/>
      <c r="B187" s="110" t="n"/>
      <c r="C187" s="110" t="n"/>
      <c r="D187" s="111" t="n"/>
      <c r="E187" s="110" t="n"/>
      <c r="F187" s="112" t="n"/>
      <c r="G187" s="112" t="n"/>
      <c r="H187" s="110" t="n"/>
      <c r="I187" s="113" t="n"/>
      <c r="J187" s="113" t="n"/>
      <c r="K187" s="111" t="n"/>
      <c r="L187" s="111" t="n"/>
      <c r="M187" s="111" t="n"/>
      <c r="N187" s="114" t="str">
        <f>IF(OR(D187="",E187=""),"",D187+IF(E187="NOTIFICAÇÃO DE CONSTATAÇÃO",PrazoConst,PrazoEsc))</f>
        <v/>
      </c>
      <c r="O187" s="115" t="str">
        <f>IF(N187="","",IF(ISNUMBER(L187),N187-L187,IF(OR(G187="DECISÃO D.P",ISNUMBER(M187)),"",N187-TODAY())))</f>
        <v/>
      </c>
      <c r="P187" s="116" t="str">
        <f>IF(B187="","",IF(ISNUMBER(M187),"DECIDIDO – ","")&amp;IF(ISNUMBER(L187),IF(O187="","SEM DATA",IF(O187&gt;=0,"DEFESA NO PRAZO","DEFESA FORA DO PRAZO")),IF(OR(G187="DECISÃO D.P",ISNUMBER(M187)),"SEM DEFESA",IF(G187="","SEM STATUS",IF(O187="","SEM DATA",IF(O187&lt;0,"VENCIDO",IF(O187&lt;=DiasAlerta,"VENCE EM BREVE","NO PRAZO")))))))</f>
        <v/>
      </c>
      <c r="Q187" s="117" t="str">
        <f>IF(D187="","",TODAY()-D187)</f>
        <v/>
      </c>
      <c r="R187" s="110" t="n"/>
    </row>
    <row r="188" ht="18" customHeight="1">
      <c r="A188" s="109" t="n"/>
      <c r="B188" s="110" t="n"/>
      <c r="C188" s="110" t="n"/>
      <c r="D188" s="111" t="n"/>
      <c r="E188" s="110" t="n"/>
      <c r="F188" s="112" t="n"/>
      <c r="G188" s="112" t="n"/>
      <c r="H188" s="110" t="n"/>
      <c r="I188" s="113" t="n"/>
      <c r="J188" s="113" t="n"/>
      <c r="K188" s="111" t="n"/>
      <c r="L188" s="111" t="n"/>
      <c r="M188" s="111" t="n"/>
      <c r="N188" s="114" t="str">
        <f>IF(OR(D188="",E188=""),"",D188+IF(E188="NOTIFICAÇÃO DE CONSTATAÇÃO",PrazoConst,PrazoEsc))</f>
        <v/>
      </c>
      <c r="O188" s="115" t="str">
        <f>IF(N188="","",IF(ISNUMBER(L188),N188-L188,IF(OR(G188="DECISÃO D.P",ISNUMBER(M188)),"",N188-TODAY())))</f>
        <v/>
      </c>
      <c r="P188" s="116" t="str">
        <f>IF(B188="","",IF(ISNUMBER(M188),"DECIDIDO – ","")&amp;IF(ISNUMBER(L188),IF(O188="","SEM DATA",IF(O188&gt;=0,"DEFESA NO PRAZO","DEFESA FORA DO PRAZO")),IF(OR(G188="DECISÃO D.P",ISNUMBER(M188)),"SEM DEFESA",IF(G188="","SEM STATUS",IF(O188="","SEM DATA",IF(O188&lt;0,"VENCIDO",IF(O188&lt;=DiasAlerta,"VENCE EM BREVE","NO PRAZO")))))))</f>
        <v/>
      </c>
      <c r="Q188" s="117" t="str">
        <f>IF(D188="","",TODAY()-D188)</f>
        <v/>
      </c>
      <c r="R188" s="110" t="n"/>
    </row>
    <row r="189" ht="18" customHeight="1">
      <c r="A189" s="109" t="n"/>
      <c r="B189" s="110" t="n"/>
      <c r="C189" s="110" t="n"/>
      <c r="D189" s="111" t="n"/>
      <c r="E189" s="110" t="n"/>
      <c r="F189" s="112" t="n"/>
      <c r="G189" s="112" t="n"/>
      <c r="H189" s="110" t="n"/>
      <c r="I189" s="113" t="n"/>
      <c r="J189" s="113" t="n"/>
      <c r="K189" s="111" t="n"/>
      <c r="L189" s="111" t="n"/>
      <c r="M189" s="111" t="n"/>
      <c r="N189" s="114" t="str">
        <f>IF(OR(D189="",E189=""),"",D189+IF(E189="NOTIFICAÇÃO DE CONSTATAÇÃO",PrazoConst,PrazoEsc))</f>
        <v/>
      </c>
      <c r="O189" s="115" t="str">
        <f>IF(N189="","",IF(ISNUMBER(L189),N189-L189,IF(OR(G189="DECISÃO D.P",ISNUMBER(M189)),"",N189-TODAY())))</f>
        <v/>
      </c>
      <c r="P189" s="116" t="str">
        <f>IF(B189="","",IF(ISNUMBER(M189),"DECIDIDO – ","")&amp;IF(ISNUMBER(L189),IF(O189="","SEM DATA",IF(O189&gt;=0,"DEFESA NO PRAZO","DEFESA FORA DO PRAZO")),IF(OR(G189="DECISÃO D.P",ISNUMBER(M189)),"SEM DEFESA",IF(G189="","SEM STATUS",IF(O189="","SEM DATA",IF(O189&lt;0,"VENCIDO",IF(O189&lt;=DiasAlerta,"VENCE EM BREVE","NO PRAZO")))))))</f>
        <v/>
      </c>
      <c r="Q189" s="117" t="str">
        <f>IF(D189="","",TODAY()-D189)</f>
        <v/>
      </c>
      <c r="R189" s="110" t="n"/>
    </row>
    <row r="190" ht="18" customHeight="1">
      <c r="A190" s="109" t="n"/>
      <c r="B190" s="110" t="n"/>
      <c r="C190" s="110" t="n"/>
      <c r="D190" s="111" t="n"/>
      <c r="E190" s="110" t="n"/>
      <c r="F190" s="112" t="n"/>
      <c r="G190" s="112" t="n"/>
      <c r="H190" s="110" t="n"/>
      <c r="I190" s="113" t="n"/>
      <c r="J190" s="113" t="n"/>
      <c r="K190" s="111" t="n"/>
      <c r="L190" s="111" t="n"/>
      <c r="M190" s="111" t="n"/>
      <c r="N190" s="114" t="str">
        <f>IF(OR(D190="",E190=""),"",D190+IF(E190="NOTIFICAÇÃO DE CONSTATAÇÃO",PrazoConst,PrazoEsc))</f>
        <v/>
      </c>
      <c r="O190" s="115" t="str">
        <f>IF(N190="","",IF(ISNUMBER(L190),N190-L190,IF(OR(G190="DECISÃO D.P",ISNUMBER(M190)),"",N190-TODAY())))</f>
        <v/>
      </c>
      <c r="P190" s="116" t="str">
        <f>IF(B190="","",IF(ISNUMBER(M190),"DECIDIDO – ","")&amp;IF(ISNUMBER(L190),IF(O190="","SEM DATA",IF(O190&gt;=0,"DEFESA NO PRAZO","DEFESA FORA DO PRAZO")),IF(OR(G190="DECISÃO D.P",ISNUMBER(M190)),"SEM DEFESA",IF(G190="","SEM STATUS",IF(O190="","SEM DATA",IF(O190&lt;0,"VENCIDO",IF(O190&lt;=DiasAlerta,"VENCE EM BREVE","NO PRAZO")))))))</f>
        <v/>
      </c>
      <c r="Q190" s="117" t="str">
        <f>IF(D190="","",TODAY()-D190)</f>
        <v/>
      </c>
      <c r="R190" s="110" t="n"/>
    </row>
    <row r="191" ht="18" customHeight="1">
      <c r="A191" s="109" t="n"/>
      <c r="B191" s="110" t="n"/>
      <c r="C191" s="110" t="n"/>
      <c r="D191" s="111" t="n"/>
      <c r="E191" s="110" t="n"/>
      <c r="F191" s="112" t="n"/>
      <c r="G191" s="112" t="n"/>
      <c r="H191" s="110" t="n"/>
      <c r="I191" s="113" t="n"/>
      <c r="J191" s="113" t="n"/>
      <c r="K191" s="111" t="n"/>
      <c r="L191" s="111" t="n"/>
      <c r="M191" s="111" t="n"/>
      <c r="N191" s="114" t="str">
        <f>IF(OR(D191="",E191=""),"",D191+IF(E191="NOTIFICAÇÃO DE CONSTATAÇÃO",PrazoConst,PrazoEsc))</f>
        <v/>
      </c>
      <c r="O191" s="115" t="str">
        <f>IF(N191="","",IF(ISNUMBER(L191),N191-L191,IF(OR(G191="DECISÃO D.P",ISNUMBER(M191)),"",N191-TODAY())))</f>
        <v/>
      </c>
      <c r="P191" s="116" t="str">
        <f>IF(B191="","",IF(ISNUMBER(M191),"DECIDIDO – ","")&amp;IF(ISNUMBER(L191),IF(O191="","SEM DATA",IF(O191&gt;=0,"DEFESA NO PRAZO","DEFESA FORA DO PRAZO")),IF(OR(G191="DECISÃO D.P",ISNUMBER(M191)),"SEM DEFESA",IF(G191="","SEM STATUS",IF(O191="","SEM DATA",IF(O191&lt;0,"VENCIDO",IF(O191&lt;=DiasAlerta,"VENCE EM BREVE","NO PRAZO")))))))</f>
        <v/>
      </c>
      <c r="Q191" s="117" t="str">
        <f>IF(D191="","",TODAY()-D191)</f>
        <v/>
      </c>
      <c r="R191" s="110" t="n"/>
    </row>
    <row r="192" ht="18" customHeight="1">
      <c r="A192" s="109" t="n"/>
      <c r="B192" s="110" t="n"/>
      <c r="C192" s="110" t="n"/>
      <c r="D192" s="111" t="n"/>
      <c r="E192" s="110" t="n"/>
      <c r="F192" s="112" t="n"/>
      <c r="G192" s="112" t="n"/>
      <c r="H192" s="110" t="n"/>
      <c r="I192" s="113" t="n"/>
      <c r="J192" s="113" t="n"/>
      <c r="K192" s="111" t="n"/>
      <c r="L192" s="111" t="n"/>
      <c r="M192" s="111" t="n"/>
      <c r="N192" s="114" t="str">
        <f>IF(OR(D192="",E192=""),"",D192+IF(E192="NOTIFICAÇÃO DE CONSTATAÇÃO",PrazoConst,PrazoEsc))</f>
        <v/>
      </c>
      <c r="O192" s="115" t="str">
        <f>IF(N192="","",IF(ISNUMBER(L192),N192-L192,IF(OR(G192="DECISÃO D.P",ISNUMBER(M192)),"",N192-TODAY())))</f>
        <v/>
      </c>
      <c r="P192" s="116" t="str">
        <f>IF(B192="","",IF(ISNUMBER(M192),"DECIDIDO – ","")&amp;IF(ISNUMBER(L192),IF(O192="","SEM DATA",IF(O192&gt;=0,"DEFESA NO PRAZO","DEFESA FORA DO PRAZO")),IF(OR(G192="DECISÃO D.P",ISNUMBER(M192)),"SEM DEFESA",IF(G192="","SEM STATUS",IF(O192="","SEM DATA",IF(O192&lt;0,"VENCIDO",IF(O192&lt;=DiasAlerta,"VENCE EM BREVE","NO PRAZO")))))))</f>
        <v/>
      </c>
      <c r="Q192" s="117" t="str">
        <f>IF(D192="","",TODAY()-D192)</f>
        <v/>
      </c>
      <c r="R192" s="110" t="n"/>
    </row>
    <row r="193" ht="18" customHeight="1">
      <c r="A193" s="109" t="n"/>
      <c r="B193" s="110" t="n"/>
      <c r="C193" s="110" t="n"/>
      <c r="D193" s="111" t="n"/>
      <c r="E193" s="110" t="n"/>
      <c r="F193" s="112" t="n"/>
      <c r="G193" s="112" t="n"/>
      <c r="H193" s="110" t="n"/>
      <c r="I193" s="113" t="n"/>
      <c r="J193" s="113" t="n"/>
      <c r="K193" s="111" t="n"/>
      <c r="L193" s="111" t="n"/>
      <c r="M193" s="111" t="n"/>
      <c r="N193" s="114" t="str">
        <f>IF(OR(D193="",E193=""),"",D193+IF(E193="NOTIFICAÇÃO DE CONSTATAÇÃO",PrazoConst,PrazoEsc))</f>
        <v/>
      </c>
      <c r="O193" s="115" t="str">
        <f>IF(N193="","",IF(ISNUMBER(L193),N193-L193,IF(OR(G193="DECISÃO D.P",ISNUMBER(M193)),"",N193-TODAY())))</f>
        <v/>
      </c>
      <c r="P193" s="116" t="str">
        <f>IF(B193="","",IF(ISNUMBER(M193),"DECIDIDO – ","")&amp;IF(ISNUMBER(L193),IF(O193="","SEM DATA",IF(O193&gt;=0,"DEFESA NO PRAZO","DEFESA FORA DO PRAZO")),IF(OR(G193="DECISÃO D.P",ISNUMBER(M193)),"SEM DEFESA",IF(G193="","SEM STATUS",IF(O193="","SEM DATA",IF(O193&lt;0,"VENCIDO",IF(O193&lt;=DiasAlerta,"VENCE EM BREVE","NO PRAZO")))))))</f>
        <v/>
      </c>
      <c r="Q193" s="117" t="str">
        <f>IF(D193="","",TODAY()-D193)</f>
        <v/>
      </c>
      <c r="R193" s="110" t="n"/>
    </row>
    <row r="194" ht="18" customHeight="1">
      <c r="A194" s="109" t="n"/>
      <c r="B194" s="110" t="n"/>
      <c r="C194" s="110" t="n"/>
      <c r="D194" s="111" t="n"/>
      <c r="E194" s="110" t="n"/>
      <c r="F194" s="112" t="n"/>
      <c r="G194" s="112" t="n"/>
      <c r="H194" s="110" t="n"/>
      <c r="I194" s="113" t="n"/>
      <c r="J194" s="113" t="n"/>
      <c r="K194" s="111" t="n"/>
      <c r="L194" s="111" t="n"/>
      <c r="M194" s="111" t="n"/>
      <c r="N194" s="114" t="str">
        <f>IF(OR(D194="",E194=""),"",D194+IF(E194="NOTIFICAÇÃO DE CONSTATAÇÃO",PrazoConst,PrazoEsc))</f>
        <v/>
      </c>
      <c r="O194" s="115" t="str">
        <f>IF(N194="","",IF(ISNUMBER(L194),N194-L194,IF(OR(G194="DECISÃO D.P",ISNUMBER(M194)),"",N194-TODAY())))</f>
        <v/>
      </c>
      <c r="P194" s="116" t="str">
        <f>IF(B194="","",IF(ISNUMBER(M194),"DECIDIDO – ","")&amp;IF(ISNUMBER(L194),IF(O194="","SEM DATA",IF(O194&gt;=0,"DEFESA NO PRAZO","DEFESA FORA DO PRAZO")),IF(OR(G194="DECISÃO D.P",ISNUMBER(M194)),"SEM DEFESA",IF(G194="","SEM STATUS",IF(O194="","SEM DATA",IF(O194&lt;0,"VENCIDO",IF(O194&lt;=DiasAlerta,"VENCE EM BREVE","NO PRAZO")))))))</f>
        <v/>
      </c>
      <c r="Q194" s="117" t="str">
        <f>IF(D194="","",TODAY()-D194)</f>
        <v/>
      </c>
      <c r="R194" s="110" t="n"/>
    </row>
    <row r="195" ht="18" customHeight="1">
      <c r="A195" s="109" t="n"/>
      <c r="B195" s="110" t="n"/>
      <c r="C195" s="110" t="n"/>
      <c r="D195" s="111" t="n"/>
      <c r="E195" s="110" t="n"/>
      <c r="F195" s="112" t="n"/>
      <c r="G195" s="112" t="n"/>
      <c r="H195" s="110" t="n"/>
      <c r="I195" s="113" t="n"/>
      <c r="J195" s="113" t="n"/>
      <c r="K195" s="111" t="n"/>
      <c r="L195" s="111" t="n"/>
      <c r="M195" s="111" t="n"/>
      <c r="N195" s="114" t="str">
        <f>IF(OR(D195="",E195=""),"",D195+IF(E195="NOTIFICAÇÃO DE CONSTATAÇÃO",PrazoConst,PrazoEsc))</f>
        <v/>
      </c>
      <c r="O195" s="115" t="str">
        <f>IF(N195="","",IF(ISNUMBER(L195),N195-L195,IF(OR(G195="DECISÃO D.P",ISNUMBER(M195)),"",N195-TODAY())))</f>
        <v/>
      </c>
      <c r="P195" s="116" t="str">
        <f>IF(B195="","",IF(ISNUMBER(M195),"DECIDIDO – ","")&amp;IF(ISNUMBER(L195),IF(O195="","SEM DATA",IF(O195&gt;=0,"DEFESA NO PRAZO","DEFESA FORA DO PRAZO")),IF(OR(G195="DECISÃO D.P",ISNUMBER(M195)),"SEM DEFESA",IF(G195="","SEM STATUS",IF(O195="","SEM DATA",IF(O195&lt;0,"VENCIDO",IF(O195&lt;=DiasAlerta,"VENCE EM BREVE","NO PRAZO")))))))</f>
        <v/>
      </c>
      <c r="Q195" s="117" t="str">
        <f>IF(D195="","",TODAY()-D195)</f>
        <v/>
      </c>
      <c r="R195" s="110" t="n"/>
    </row>
    <row r="196" ht="18" customHeight="1">
      <c r="A196" s="109" t="n"/>
      <c r="B196" s="110" t="n"/>
      <c r="C196" s="110" t="n"/>
      <c r="D196" s="111" t="n"/>
      <c r="E196" s="110" t="n"/>
      <c r="F196" s="112" t="n"/>
      <c r="G196" s="112" t="n"/>
      <c r="H196" s="110" t="n"/>
      <c r="I196" s="113" t="n"/>
      <c r="J196" s="113" t="n"/>
      <c r="K196" s="111" t="n"/>
      <c r="L196" s="111" t="n"/>
      <c r="M196" s="111" t="n"/>
      <c r="N196" s="114" t="str">
        <f>IF(OR(D196="",E196=""),"",D196+IF(E196="NOTIFICAÇÃO DE CONSTATAÇÃO",PrazoConst,PrazoEsc))</f>
        <v/>
      </c>
      <c r="O196" s="115" t="str">
        <f>IF(N196="","",IF(ISNUMBER(L196),N196-L196,IF(OR(G196="DECISÃO D.P",ISNUMBER(M196)),"",N196-TODAY())))</f>
        <v/>
      </c>
      <c r="P196" s="116" t="str">
        <f>IF(B196="","",IF(ISNUMBER(M196),"DECIDIDO – ","")&amp;IF(ISNUMBER(L196),IF(O196="","SEM DATA",IF(O196&gt;=0,"DEFESA NO PRAZO","DEFESA FORA DO PRAZO")),IF(OR(G196="DECISÃO D.P",ISNUMBER(M196)),"SEM DEFESA",IF(G196="","SEM STATUS",IF(O196="","SEM DATA",IF(O196&lt;0,"VENCIDO",IF(O196&lt;=DiasAlerta,"VENCE EM BREVE","NO PRAZO")))))))</f>
        <v/>
      </c>
      <c r="Q196" s="117" t="str">
        <f>IF(D196="","",TODAY()-D196)</f>
        <v/>
      </c>
      <c r="R196" s="110" t="n"/>
    </row>
    <row r="197" ht="18" customHeight="1">
      <c r="A197" s="109" t="n"/>
      <c r="B197" s="110" t="n"/>
      <c r="C197" s="110" t="n"/>
      <c r="D197" s="111" t="n"/>
      <c r="E197" s="110" t="n"/>
      <c r="F197" s="112" t="n"/>
      <c r="G197" s="112" t="n"/>
      <c r="H197" s="110" t="n"/>
      <c r="I197" s="113" t="n"/>
      <c r="J197" s="113" t="n"/>
      <c r="K197" s="111" t="n"/>
      <c r="L197" s="111" t="n"/>
      <c r="M197" s="111" t="n"/>
      <c r="N197" s="114" t="str">
        <f>IF(OR(D197="",E197=""),"",D197+IF(E197="NOTIFICAÇÃO DE CONSTATAÇÃO",PrazoConst,PrazoEsc))</f>
        <v/>
      </c>
      <c r="O197" s="115" t="str">
        <f>IF(N197="","",IF(ISNUMBER(L197),N197-L197,IF(OR(G197="DECISÃO D.P",ISNUMBER(M197)),"",N197-TODAY())))</f>
        <v/>
      </c>
      <c r="P197" s="116" t="str">
        <f>IF(B197="","",IF(ISNUMBER(M197),"DECIDIDO – ","")&amp;IF(ISNUMBER(L197),IF(O197="","SEM DATA",IF(O197&gt;=0,"DEFESA NO PRAZO","DEFESA FORA DO PRAZO")),IF(OR(G197="DECISÃO D.P",ISNUMBER(M197)),"SEM DEFESA",IF(G197="","SEM STATUS",IF(O197="","SEM DATA",IF(O197&lt;0,"VENCIDO",IF(O197&lt;=DiasAlerta,"VENCE EM BREVE","NO PRAZO")))))))</f>
        <v/>
      </c>
      <c r="Q197" s="117" t="str">
        <f>IF(D197="","",TODAY()-D197)</f>
        <v/>
      </c>
      <c r="R197" s="110" t="n"/>
    </row>
    <row r="198" ht="18" customHeight="1">
      <c r="A198" s="109" t="n"/>
      <c r="B198" s="110" t="n"/>
      <c r="C198" s="110" t="n"/>
      <c r="D198" s="111" t="n"/>
      <c r="E198" s="110" t="n"/>
      <c r="F198" s="112" t="n"/>
      <c r="G198" s="112" t="n"/>
      <c r="H198" s="110" t="n"/>
      <c r="I198" s="113" t="n"/>
      <c r="J198" s="113" t="n"/>
      <c r="K198" s="111" t="n"/>
      <c r="L198" s="111" t="n"/>
      <c r="M198" s="111" t="n"/>
      <c r="N198" s="114" t="str">
        <f>IF(OR(D198="",E198=""),"",D198+IF(E198="NOTIFICAÇÃO DE CONSTATAÇÃO",PrazoConst,PrazoEsc))</f>
        <v/>
      </c>
      <c r="O198" s="115" t="str">
        <f>IF(N198="","",IF(ISNUMBER(L198),N198-L198,IF(OR(G198="DECISÃO D.P",ISNUMBER(M198)),"",N198-TODAY())))</f>
        <v/>
      </c>
      <c r="P198" s="116" t="str">
        <f>IF(B198="","",IF(ISNUMBER(M198),"DECIDIDO – ","")&amp;IF(ISNUMBER(L198),IF(O198="","SEM DATA",IF(O198&gt;=0,"DEFESA NO PRAZO","DEFESA FORA DO PRAZO")),IF(OR(G198="DECISÃO D.P",ISNUMBER(M198)),"SEM DEFESA",IF(G198="","SEM STATUS",IF(O198="","SEM DATA",IF(O198&lt;0,"VENCIDO",IF(O198&lt;=DiasAlerta,"VENCE EM BREVE","NO PRAZO")))))))</f>
        <v/>
      </c>
      <c r="Q198" s="117" t="str">
        <f>IF(D198="","",TODAY()-D198)</f>
        <v/>
      </c>
      <c r="R198" s="110" t="n"/>
    </row>
    <row r="199" ht="18" customHeight="1">
      <c r="A199" s="109" t="n"/>
      <c r="B199" s="110" t="n"/>
      <c r="C199" s="110" t="n"/>
      <c r="D199" s="111" t="n"/>
      <c r="E199" s="110" t="n"/>
      <c r="F199" s="112" t="n"/>
      <c r="G199" s="112" t="n"/>
      <c r="H199" s="110" t="n"/>
      <c r="I199" s="113" t="n"/>
      <c r="J199" s="113" t="n"/>
      <c r="K199" s="111" t="n"/>
      <c r="L199" s="111" t="n"/>
      <c r="M199" s="111" t="n"/>
      <c r="N199" s="114" t="str">
        <f>IF(OR(D199="",E199=""),"",D199+IF(E199="NOTIFICAÇÃO DE CONSTATAÇÃO",PrazoConst,PrazoEsc))</f>
        <v/>
      </c>
      <c r="O199" s="115" t="str">
        <f>IF(N199="","",IF(ISNUMBER(L199),N199-L199,IF(OR(G199="DECISÃO D.P",ISNUMBER(M199)),"",N199-TODAY())))</f>
        <v/>
      </c>
      <c r="P199" s="116" t="str">
        <f>IF(B199="","",IF(ISNUMBER(M199),"DECIDIDO – ","")&amp;IF(ISNUMBER(L199),IF(O199="","SEM DATA",IF(O199&gt;=0,"DEFESA NO PRAZO","DEFESA FORA DO PRAZO")),IF(OR(G199="DECISÃO D.P",ISNUMBER(M199)),"SEM DEFESA",IF(G199="","SEM STATUS",IF(O199="","SEM DATA",IF(O199&lt;0,"VENCIDO",IF(O199&lt;=DiasAlerta,"VENCE EM BREVE","NO PRAZO")))))))</f>
        <v/>
      </c>
      <c r="Q199" s="117" t="str">
        <f>IF(D199="","",TODAY()-D199)</f>
        <v/>
      </c>
      <c r="R199" s="110" t="n"/>
    </row>
    <row r="200" ht="18" customHeight="1">
      <c r="A200" s="109" t="n"/>
      <c r="B200" s="110" t="n"/>
      <c r="C200" s="110" t="n"/>
      <c r="D200" s="111" t="n"/>
      <c r="E200" s="110" t="n"/>
      <c r="F200" s="112" t="n"/>
      <c r="G200" s="112" t="n"/>
      <c r="H200" s="110" t="n"/>
      <c r="I200" s="113" t="n"/>
      <c r="J200" s="113" t="n"/>
      <c r="K200" s="111" t="n"/>
      <c r="L200" s="111" t="n"/>
      <c r="M200" s="111" t="n"/>
      <c r="N200" s="114" t="str">
        <f>IF(OR(D200="",E200=""),"",D200+IF(E200="NOTIFICAÇÃO DE CONSTATAÇÃO",PrazoConst,PrazoEsc))</f>
        <v/>
      </c>
      <c r="O200" s="115" t="str">
        <f>IF(N200="","",IF(ISNUMBER(L200),N200-L200,IF(OR(G200="DECISÃO D.P",ISNUMBER(M200)),"",N200-TODAY())))</f>
        <v/>
      </c>
      <c r="P200" s="116" t="str">
        <f>IF(B200="","",IF(ISNUMBER(M200),"DECIDIDO – ","")&amp;IF(ISNUMBER(L200),IF(O200="","SEM DATA",IF(O200&gt;=0,"DEFESA NO PRAZO","DEFESA FORA DO PRAZO")),IF(OR(G200="DECISÃO D.P",ISNUMBER(M200)),"SEM DEFESA",IF(G200="","SEM STATUS",IF(O200="","SEM DATA",IF(O200&lt;0,"VENCIDO",IF(O200&lt;=DiasAlerta,"VENCE EM BREVE","NO PRAZO")))))))</f>
        <v/>
      </c>
      <c r="Q200" s="117" t="str">
        <f>IF(D200="","",TODAY()-D200)</f>
        <v/>
      </c>
      <c r="R200" s="110" t="n"/>
    </row>
    <row r="201" ht="18" customHeight="1">
      <c r="A201" s="109" t="n"/>
      <c r="B201" s="110" t="n"/>
      <c r="C201" s="110" t="n"/>
      <c r="D201" s="111" t="n"/>
      <c r="E201" s="110" t="n"/>
      <c r="F201" s="112" t="n"/>
      <c r="G201" s="112" t="n"/>
      <c r="H201" s="110" t="n"/>
      <c r="I201" s="113" t="n"/>
      <c r="J201" s="113" t="n"/>
      <c r="K201" s="111" t="n"/>
      <c r="L201" s="111" t="n"/>
      <c r="M201" s="111" t="n"/>
      <c r="N201" s="114" t="str">
        <f>IF(OR(D201="",E201=""),"",D201+IF(E201="NOTIFICAÇÃO DE CONSTATAÇÃO",PrazoConst,PrazoEsc))</f>
        <v/>
      </c>
      <c r="O201" s="115" t="str">
        <f>IF(N201="","",IF(ISNUMBER(L201),N201-L201,IF(OR(G201="DECISÃO D.P",ISNUMBER(M201)),"",N201-TODAY())))</f>
        <v/>
      </c>
      <c r="P201" s="116" t="str">
        <f>IF(B201="","",IF(ISNUMBER(M201),"DECIDIDO – ","")&amp;IF(ISNUMBER(L201),IF(O201="","SEM DATA",IF(O201&gt;=0,"DEFESA NO PRAZO","DEFESA FORA DO PRAZO")),IF(OR(G201="DECISÃO D.P",ISNUMBER(M201)),"SEM DEFESA",IF(G201="","SEM STATUS",IF(O201="","SEM DATA",IF(O201&lt;0,"VENCIDO",IF(O201&lt;=DiasAlerta,"VENCE EM BREVE","NO PRAZO")))))))</f>
        <v/>
      </c>
      <c r="Q201" s="117" t="str">
        <f>IF(D201="","",TODAY()-D201)</f>
        <v/>
      </c>
      <c r="R201" s="110" t="n"/>
    </row>
    <row r="202" ht="18" customHeight="1">
      <c r="A202" s="109" t="n"/>
      <c r="B202" s="110" t="n"/>
      <c r="C202" s="110" t="n"/>
      <c r="D202" s="111" t="n"/>
      <c r="E202" s="110" t="n"/>
      <c r="F202" s="112" t="n"/>
      <c r="G202" s="112" t="n"/>
      <c r="H202" s="110" t="n"/>
      <c r="I202" s="113" t="n"/>
      <c r="J202" s="113" t="n"/>
      <c r="K202" s="111" t="n"/>
      <c r="L202" s="111" t="n"/>
      <c r="M202" s="111" t="n"/>
      <c r="N202" s="114" t="str">
        <f>IF(OR(D202="",E202=""),"",D202+IF(E202="NOTIFICAÇÃO DE CONSTATAÇÃO",PrazoConst,PrazoEsc))</f>
        <v/>
      </c>
      <c r="O202" s="115" t="str">
        <f>IF(N202="","",IF(ISNUMBER(L202),N202-L202,IF(OR(G202="DECISÃO D.P",ISNUMBER(M202)),"",N202-TODAY())))</f>
        <v/>
      </c>
      <c r="P202" s="116" t="str">
        <f>IF(B202="","",IF(ISNUMBER(M202),"DECIDIDO – ","")&amp;IF(ISNUMBER(L202),IF(O202="","SEM DATA",IF(O202&gt;=0,"DEFESA NO PRAZO","DEFESA FORA DO PRAZO")),IF(OR(G202="DECISÃO D.P",ISNUMBER(M202)),"SEM DEFESA",IF(G202="","SEM STATUS",IF(O202="","SEM DATA",IF(O202&lt;0,"VENCIDO",IF(O202&lt;=DiasAlerta,"VENCE EM BREVE","NO PRAZO")))))))</f>
        <v/>
      </c>
      <c r="Q202" s="117" t="str">
        <f>IF(D202="","",TODAY()-D202)</f>
        <v/>
      </c>
      <c r="R202" s="110" t="n"/>
    </row>
    <row r="203" ht="18" customHeight="1">
      <c r="A203" s="109" t="n"/>
      <c r="B203" s="110" t="n"/>
      <c r="C203" s="110" t="n"/>
      <c r="D203" s="111" t="n"/>
      <c r="E203" s="110" t="n"/>
      <c r="F203" s="112" t="n"/>
      <c r="G203" s="112" t="n"/>
      <c r="H203" s="110" t="n"/>
      <c r="I203" s="113" t="n"/>
      <c r="J203" s="113" t="n"/>
      <c r="K203" s="111" t="n"/>
      <c r="L203" s="111" t="n"/>
      <c r="M203" s="111" t="n"/>
      <c r="N203" s="114" t="str">
        <f>IF(OR(D203="",E203=""),"",D203+IF(E203="NOTIFICAÇÃO DE CONSTATAÇÃO",PrazoConst,PrazoEsc))</f>
        <v/>
      </c>
      <c r="O203" s="115" t="str">
        <f>IF(N203="","",IF(ISNUMBER(L203),N203-L203,IF(OR(G203="DECISÃO D.P",ISNUMBER(M203)),"",N203-TODAY())))</f>
        <v/>
      </c>
      <c r="P203" s="116" t="str">
        <f>IF(B203="","",IF(ISNUMBER(M203),"DECIDIDO – ","")&amp;IF(ISNUMBER(L203),IF(O203="","SEM DATA",IF(O203&gt;=0,"DEFESA NO PRAZO","DEFESA FORA DO PRAZO")),IF(OR(G203="DECISÃO D.P",ISNUMBER(M203)),"SEM DEFESA",IF(G203="","SEM STATUS",IF(O203="","SEM DATA",IF(O203&lt;0,"VENCIDO",IF(O203&lt;=DiasAlerta,"VENCE EM BREVE","NO PRAZO")))))))</f>
        <v/>
      </c>
      <c r="Q203" s="117" t="str">
        <f>IF(D203="","",TODAY()-D203)</f>
        <v/>
      </c>
      <c r="R203" s="110" t="n"/>
    </row>
    <row r="204" ht="18" customHeight="1">
      <c r="A204" s="109" t="n"/>
      <c r="B204" s="110" t="n"/>
      <c r="C204" s="110" t="n"/>
      <c r="D204" s="111" t="n"/>
      <c r="E204" s="110" t="n"/>
      <c r="F204" s="112" t="n"/>
      <c r="G204" s="112" t="n"/>
      <c r="H204" s="110" t="n"/>
      <c r="I204" s="113" t="n"/>
      <c r="J204" s="113" t="n"/>
      <c r="K204" s="111" t="n"/>
      <c r="L204" s="111" t="n"/>
      <c r="M204" s="111" t="n"/>
      <c r="N204" s="114" t="str">
        <f>IF(OR(D204="",E204=""),"",D204+IF(E204="NOTIFICAÇÃO DE CONSTATAÇÃO",PrazoConst,PrazoEsc))</f>
        <v/>
      </c>
      <c r="O204" s="115" t="str">
        <f>IF(N204="","",IF(ISNUMBER(L204),N204-L204,IF(OR(G204="DECISÃO D.P",ISNUMBER(M204)),"",N204-TODAY())))</f>
        <v/>
      </c>
      <c r="P204" s="116" t="str">
        <f>IF(B204="","",IF(ISNUMBER(M204),"DECIDIDO – ","")&amp;IF(ISNUMBER(L204),IF(O204="","SEM DATA",IF(O204&gt;=0,"DEFESA NO PRAZO","DEFESA FORA DO PRAZO")),IF(OR(G204="DECISÃO D.P",ISNUMBER(M204)),"SEM DEFESA",IF(G204="","SEM STATUS",IF(O204="","SEM DATA",IF(O204&lt;0,"VENCIDO",IF(O204&lt;=DiasAlerta,"VENCE EM BREVE","NO PRAZO")))))))</f>
        <v/>
      </c>
      <c r="Q204" s="117" t="str">
        <f>IF(D204="","",TODAY()-D204)</f>
        <v/>
      </c>
      <c r="R204" s="110" t="n"/>
    </row>
    <row r="205" ht="18" customHeight="1">
      <c r="A205" s="109" t="n"/>
      <c r="B205" s="110" t="n"/>
      <c r="C205" s="110" t="n"/>
      <c r="D205" s="111" t="n"/>
      <c r="E205" s="110" t="n"/>
      <c r="F205" s="112" t="n"/>
      <c r="G205" s="112" t="n"/>
      <c r="H205" s="110" t="n"/>
      <c r="I205" s="113" t="n"/>
      <c r="J205" s="113" t="n"/>
      <c r="K205" s="111" t="n"/>
      <c r="L205" s="111" t="n"/>
      <c r="M205" s="111" t="n"/>
      <c r="N205" s="114" t="str">
        <f>IF(OR(D205="",E205=""),"",D205+IF(E205="NOTIFICAÇÃO DE CONSTATAÇÃO",PrazoConst,PrazoEsc))</f>
        <v/>
      </c>
      <c r="O205" s="115" t="str">
        <f>IF(N205="","",IF(ISNUMBER(L205),N205-L205,IF(OR(G205="DECISÃO D.P",ISNUMBER(M205)),"",N205-TODAY())))</f>
        <v/>
      </c>
      <c r="P205" s="116" t="str">
        <f>IF(B205="","",IF(ISNUMBER(M205),"DECIDIDO – ","")&amp;IF(ISNUMBER(L205),IF(O205="","SEM DATA",IF(O205&gt;=0,"DEFESA NO PRAZO","DEFESA FORA DO PRAZO")),IF(OR(G205="DECISÃO D.P",ISNUMBER(M205)),"SEM DEFESA",IF(G205="","SEM STATUS",IF(O205="","SEM DATA",IF(O205&lt;0,"VENCIDO",IF(O205&lt;=DiasAlerta,"VENCE EM BREVE","NO PRAZO")))))))</f>
        <v/>
      </c>
      <c r="Q205" s="117" t="str">
        <f>IF(D205="","",TODAY()-D205)</f>
        <v/>
      </c>
      <c r="R205" s="110" t="n"/>
    </row>
    <row r="206" ht="18" customHeight="1">
      <c r="A206" s="109" t="n"/>
      <c r="B206" s="110" t="n"/>
      <c r="C206" s="110" t="n"/>
      <c r="D206" s="111" t="n"/>
      <c r="E206" s="110" t="n"/>
      <c r="F206" s="112" t="n"/>
      <c r="G206" s="112" t="n"/>
      <c r="H206" s="110" t="n"/>
      <c r="I206" s="113" t="n"/>
      <c r="J206" s="113" t="n"/>
      <c r="K206" s="111" t="n"/>
      <c r="L206" s="111" t="n"/>
      <c r="M206" s="111" t="n"/>
      <c r="N206" s="114" t="str">
        <f>IF(OR(D206="",E206=""),"",D206+IF(E206="NOTIFICAÇÃO DE CONSTATAÇÃO",PrazoConst,PrazoEsc))</f>
        <v/>
      </c>
      <c r="O206" s="115" t="str">
        <f>IF(N206="","",IF(ISNUMBER(L206),N206-L206,IF(OR(G206="DECISÃO D.P",ISNUMBER(M206)),"",N206-TODAY())))</f>
        <v/>
      </c>
      <c r="P206" s="116" t="str">
        <f>IF(B206="","",IF(ISNUMBER(M206),"DECIDIDO – ","")&amp;IF(ISNUMBER(L206),IF(O206="","SEM DATA",IF(O206&gt;=0,"DEFESA NO PRAZO","DEFESA FORA DO PRAZO")),IF(OR(G206="DECISÃO D.P",ISNUMBER(M206)),"SEM DEFESA",IF(G206="","SEM STATUS",IF(O206="","SEM DATA",IF(O206&lt;0,"VENCIDO",IF(O206&lt;=DiasAlerta,"VENCE EM BREVE","NO PRAZO")))))))</f>
        <v/>
      </c>
      <c r="Q206" s="117" t="str">
        <f>IF(D206="","",TODAY()-D206)</f>
        <v/>
      </c>
      <c r="R206" s="110" t="n"/>
    </row>
    <row r="207" ht="18" customHeight="1">
      <c r="A207" s="109" t="n"/>
      <c r="B207" s="110" t="n"/>
      <c r="C207" s="110" t="n"/>
      <c r="D207" s="111" t="n"/>
      <c r="E207" s="110" t="n"/>
      <c r="F207" s="112" t="n"/>
      <c r="G207" s="112" t="n"/>
      <c r="H207" s="110" t="n"/>
      <c r="I207" s="113" t="n"/>
      <c r="J207" s="113" t="n"/>
      <c r="K207" s="111" t="n"/>
      <c r="L207" s="111" t="n"/>
      <c r="M207" s="111" t="n"/>
      <c r="N207" s="114" t="str">
        <f>IF(OR(D207="",E207=""),"",D207+IF(E207="NOTIFICAÇÃO DE CONSTATAÇÃO",PrazoConst,PrazoEsc))</f>
        <v/>
      </c>
      <c r="O207" s="115" t="str">
        <f>IF(N207="","",IF(ISNUMBER(L207),N207-L207,IF(OR(G207="DECISÃO D.P",ISNUMBER(M207)),"",N207-TODAY())))</f>
        <v/>
      </c>
      <c r="P207" s="116" t="str">
        <f>IF(B207="","",IF(ISNUMBER(M207),"DECIDIDO – ","")&amp;IF(ISNUMBER(L207),IF(O207="","SEM DATA",IF(O207&gt;=0,"DEFESA NO PRAZO","DEFESA FORA DO PRAZO")),IF(OR(G207="DECISÃO D.P",ISNUMBER(M207)),"SEM DEFESA",IF(G207="","SEM STATUS",IF(O207="","SEM DATA",IF(O207&lt;0,"VENCIDO",IF(O207&lt;=DiasAlerta,"VENCE EM BREVE","NO PRAZO")))))))</f>
        <v/>
      </c>
      <c r="Q207" s="117" t="str">
        <f>IF(D207="","",TODAY()-D207)</f>
        <v/>
      </c>
      <c r="R207" s="110" t="n"/>
    </row>
    <row r="208" ht="18" customHeight="1">
      <c r="A208" s="109" t="n"/>
      <c r="B208" s="110" t="n"/>
      <c r="C208" s="110" t="n"/>
      <c r="D208" s="111" t="n"/>
      <c r="E208" s="110" t="n"/>
      <c r="F208" s="112" t="n"/>
      <c r="G208" s="112" t="n"/>
      <c r="H208" s="110" t="n"/>
      <c r="I208" s="113" t="n"/>
      <c r="J208" s="113" t="n"/>
      <c r="K208" s="111" t="n"/>
      <c r="L208" s="111" t="n"/>
      <c r="M208" s="111" t="n"/>
      <c r="N208" s="114" t="str">
        <f>IF(OR(D208="",E208=""),"",D208+IF(E208="NOTIFICAÇÃO DE CONSTATAÇÃO",PrazoConst,PrazoEsc))</f>
        <v/>
      </c>
      <c r="O208" s="115" t="str">
        <f>IF(N208="","",IF(ISNUMBER(L208),N208-L208,IF(OR(G208="DECISÃO D.P",ISNUMBER(M208)),"",N208-TODAY())))</f>
        <v/>
      </c>
      <c r="P208" s="116" t="str">
        <f>IF(B208="","",IF(ISNUMBER(M208),"DECIDIDO – ","")&amp;IF(ISNUMBER(L208),IF(O208="","SEM DATA",IF(O208&gt;=0,"DEFESA NO PRAZO","DEFESA FORA DO PRAZO")),IF(OR(G208="DECISÃO D.P",ISNUMBER(M208)),"SEM DEFESA",IF(G208="","SEM STATUS",IF(O208="","SEM DATA",IF(O208&lt;0,"VENCIDO",IF(O208&lt;=DiasAlerta,"VENCE EM BREVE","NO PRAZO")))))))</f>
        <v/>
      </c>
      <c r="Q208" s="117" t="str">
        <f>IF(D208="","",TODAY()-D208)</f>
        <v/>
      </c>
      <c r="R208" s="110" t="n"/>
    </row>
    <row r="209" ht="18" customHeight="1">
      <c r="A209" s="109" t="n"/>
      <c r="B209" s="110" t="n"/>
      <c r="C209" s="110" t="n"/>
      <c r="D209" s="111" t="n"/>
      <c r="E209" s="110" t="n"/>
      <c r="F209" s="112" t="n"/>
      <c r="G209" s="112" t="n"/>
      <c r="H209" s="110" t="n"/>
      <c r="I209" s="113" t="n"/>
      <c r="J209" s="113" t="n"/>
      <c r="K209" s="111" t="n"/>
      <c r="L209" s="111" t="n"/>
      <c r="M209" s="111" t="n"/>
      <c r="N209" s="114" t="str">
        <f>IF(OR(D209="",E209=""),"",D209+IF(E209="NOTIFICAÇÃO DE CONSTATAÇÃO",PrazoConst,PrazoEsc))</f>
        <v/>
      </c>
      <c r="O209" s="115" t="str">
        <f>IF(N209="","",IF(ISNUMBER(L209),N209-L209,IF(OR(G209="DECISÃO D.P",ISNUMBER(M209)),"",N209-TODAY())))</f>
        <v/>
      </c>
      <c r="P209" s="116" t="str">
        <f>IF(B209="","",IF(ISNUMBER(M209),"DECIDIDO – ","")&amp;IF(ISNUMBER(L209),IF(O209="","SEM DATA",IF(O209&gt;=0,"DEFESA NO PRAZO","DEFESA FORA DO PRAZO")),IF(OR(G209="DECISÃO D.P",ISNUMBER(M209)),"SEM DEFESA",IF(G209="","SEM STATUS",IF(O209="","SEM DATA",IF(O209&lt;0,"VENCIDO",IF(O209&lt;=DiasAlerta,"VENCE EM BREVE","NO PRAZO")))))))</f>
        <v/>
      </c>
      <c r="Q209" s="117" t="str">
        <f>IF(D209="","",TODAY()-D209)</f>
        <v/>
      </c>
      <c r="R209" s="110" t="n"/>
    </row>
    <row r="210" ht="18" customHeight="1">
      <c r="A210" s="109" t="n"/>
      <c r="B210" s="110" t="n"/>
      <c r="C210" s="110" t="n"/>
      <c r="D210" s="111" t="n"/>
      <c r="E210" s="110" t="n"/>
      <c r="F210" s="112" t="n"/>
      <c r="G210" s="112" t="n"/>
      <c r="H210" s="110" t="n"/>
      <c r="I210" s="113" t="n"/>
      <c r="J210" s="113" t="n"/>
      <c r="K210" s="111" t="n"/>
      <c r="L210" s="111" t="n"/>
      <c r="M210" s="111" t="n"/>
      <c r="N210" s="114" t="str">
        <f>IF(OR(D210="",E210=""),"",D210+IF(E210="NOTIFICAÇÃO DE CONSTATAÇÃO",PrazoConst,PrazoEsc))</f>
        <v/>
      </c>
      <c r="O210" s="115" t="str">
        <f>IF(N210="","",IF(ISNUMBER(L210),N210-L210,IF(OR(G210="DECISÃO D.P",ISNUMBER(M210)),"",N210-TODAY())))</f>
        <v/>
      </c>
      <c r="P210" s="116" t="str">
        <f>IF(B210="","",IF(ISNUMBER(M210),"DECIDIDO – ","")&amp;IF(ISNUMBER(L210),IF(O210="","SEM DATA",IF(O210&gt;=0,"DEFESA NO PRAZO","DEFESA FORA DO PRAZO")),IF(OR(G210="DECISÃO D.P",ISNUMBER(M210)),"SEM DEFESA",IF(G210="","SEM STATUS",IF(O210="","SEM DATA",IF(O210&lt;0,"VENCIDO",IF(O210&lt;=DiasAlerta,"VENCE EM BREVE","NO PRAZO")))))))</f>
        <v/>
      </c>
      <c r="Q210" s="117" t="str">
        <f>IF(D210="","",TODAY()-D210)</f>
        <v/>
      </c>
      <c r="R210" s="110" t="n"/>
    </row>
    <row r="211" ht="18" customHeight="1">
      <c r="A211" s="109" t="n"/>
      <c r="B211" s="110" t="n"/>
      <c r="C211" s="110" t="n"/>
      <c r="D211" s="111" t="n"/>
      <c r="E211" s="110" t="n"/>
      <c r="F211" s="112" t="n"/>
      <c r="G211" s="112" t="n"/>
      <c r="H211" s="110" t="n"/>
      <c r="I211" s="113" t="n"/>
      <c r="J211" s="113" t="n"/>
      <c r="K211" s="111" t="n"/>
      <c r="L211" s="111" t="n"/>
      <c r="M211" s="111" t="n"/>
      <c r="N211" s="114" t="str">
        <f>IF(OR(D211="",E211=""),"",D211+IF(E211="NOTIFICAÇÃO DE CONSTATAÇÃO",PrazoConst,PrazoEsc))</f>
        <v/>
      </c>
      <c r="O211" s="115" t="str">
        <f>IF(N211="","",IF(ISNUMBER(L211),N211-L211,IF(OR(G211="DECISÃO D.P",ISNUMBER(M211)),"",N211-TODAY())))</f>
        <v/>
      </c>
      <c r="P211" s="116" t="str">
        <f>IF(B211="","",IF(ISNUMBER(M211),"DECIDIDO – ","")&amp;IF(ISNUMBER(L211),IF(O211="","SEM DATA",IF(O211&gt;=0,"DEFESA NO PRAZO","DEFESA FORA DO PRAZO")),IF(OR(G211="DECISÃO D.P",ISNUMBER(M211)),"SEM DEFESA",IF(G211="","SEM STATUS",IF(O211="","SEM DATA",IF(O211&lt;0,"VENCIDO",IF(O211&lt;=DiasAlerta,"VENCE EM BREVE","NO PRAZO")))))))</f>
        <v/>
      </c>
      <c r="Q211" s="117" t="str">
        <f>IF(D211="","",TODAY()-D211)</f>
        <v/>
      </c>
      <c r="R211" s="110" t="n"/>
    </row>
    <row r="212" ht="18" customHeight="1">
      <c r="A212" s="109" t="n"/>
      <c r="B212" s="110" t="n"/>
      <c r="C212" s="110" t="n"/>
      <c r="D212" s="111" t="n"/>
      <c r="E212" s="110" t="n"/>
      <c r="F212" s="112" t="n"/>
      <c r="G212" s="112" t="n"/>
      <c r="H212" s="110" t="n"/>
      <c r="I212" s="113" t="n"/>
      <c r="J212" s="113" t="n"/>
      <c r="K212" s="111" t="n"/>
      <c r="L212" s="111" t="n"/>
      <c r="M212" s="111" t="n"/>
      <c r="N212" s="114" t="str">
        <f>IF(OR(D212="",E212=""),"",D212+IF(E212="NOTIFICAÇÃO DE CONSTATAÇÃO",PrazoConst,PrazoEsc))</f>
        <v/>
      </c>
      <c r="O212" s="115" t="str">
        <f>IF(N212="","",IF(ISNUMBER(L212),N212-L212,IF(OR(G212="DECISÃO D.P",ISNUMBER(M212)),"",N212-TODAY())))</f>
        <v/>
      </c>
      <c r="P212" s="116" t="str">
        <f>IF(B212="","",IF(ISNUMBER(M212),"DECIDIDO – ","")&amp;IF(ISNUMBER(L212),IF(O212="","SEM DATA",IF(O212&gt;=0,"DEFESA NO PRAZO","DEFESA FORA DO PRAZO")),IF(OR(G212="DECISÃO D.P",ISNUMBER(M212)),"SEM DEFESA",IF(G212="","SEM STATUS",IF(O212="","SEM DATA",IF(O212&lt;0,"VENCIDO",IF(O212&lt;=DiasAlerta,"VENCE EM BREVE","NO PRAZO")))))))</f>
        <v/>
      </c>
      <c r="Q212" s="117" t="str">
        <f>IF(D212="","",TODAY()-D212)</f>
        <v/>
      </c>
      <c r="R212" s="110" t="n"/>
    </row>
    <row r="213" ht="18" customHeight="1">
      <c r="A213" s="109" t="n"/>
      <c r="B213" s="110" t="n"/>
      <c r="C213" s="110" t="n"/>
      <c r="D213" s="111" t="n"/>
      <c r="E213" s="110" t="n"/>
      <c r="F213" s="112" t="n"/>
      <c r="G213" s="112" t="n"/>
      <c r="H213" s="110" t="n"/>
      <c r="I213" s="113" t="n"/>
      <c r="J213" s="113" t="n"/>
      <c r="K213" s="111" t="n"/>
      <c r="L213" s="111" t="n"/>
      <c r="M213" s="111" t="n"/>
      <c r="N213" s="114" t="str">
        <f>IF(OR(D213="",E213=""),"",D213+IF(E213="NOTIFICAÇÃO DE CONSTATAÇÃO",PrazoConst,PrazoEsc))</f>
        <v/>
      </c>
      <c r="O213" s="115" t="str">
        <f>IF(N213="","",IF(ISNUMBER(L213),N213-L213,IF(OR(G213="DECISÃO D.P",ISNUMBER(M213)),"",N213-TODAY())))</f>
        <v/>
      </c>
      <c r="P213" s="116" t="str">
        <f>IF(B213="","",IF(ISNUMBER(M213),"DECIDIDO – ","")&amp;IF(ISNUMBER(L213),IF(O213="","SEM DATA",IF(O213&gt;=0,"DEFESA NO PRAZO","DEFESA FORA DO PRAZO")),IF(OR(G213="DECISÃO D.P",ISNUMBER(M213)),"SEM DEFESA",IF(G213="","SEM STATUS",IF(O213="","SEM DATA",IF(O213&lt;0,"VENCIDO",IF(O213&lt;=DiasAlerta,"VENCE EM BREVE","NO PRAZO")))))))</f>
        <v/>
      </c>
      <c r="Q213" s="117" t="str">
        <f>IF(D213="","",TODAY()-D213)</f>
        <v/>
      </c>
      <c r="R213" s="110" t="n"/>
    </row>
    <row r="214" ht="18" customHeight="1">
      <c r="A214" s="109" t="n"/>
      <c r="B214" s="110" t="n"/>
      <c r="C214" s="110" t="n"/>
      <c r="D214" s="111" t="n"/>
      <c r="E214" s="110" t="n"/>
      <c r="F214" s="112" t="n"/>
      <c r="G214" s="112" t="n"/>
      <c r="H214" s="110" t="n"/>
      <c r="I214" s="113" t="n"/>
      <c r="J214" s="113" t="n"/>
      <c r="K214" s="111" t="n"/>
      <c r="L214" s="111" t="n"/>
      <c r="M214" s="111" t="n"/>
      <c r="N214" s="114" t="str">
        <f>IF(OR(D214="",E214=""),"",D214+IF(E214="NOTIFICAÇÃO DE CONSTATAÇÃO",PrazoConst,PrazoEsc))</f>
        <v/>
      </c>
      <c r="O214" s="115" t="str">
        <f>IF(N214="","",IF(ISNUMBER(L214),N214-L214,IF(OR(G214="DECISÃO D.P",ISNUMBER(M214)),"",N214-TODAY())))</f>
        <v/>
      </c>
      <c r="P214" s="116" t="str">
        <f>IF(B214="","",IF(ISNUMBER(M214),"DECIDIDO – ","")&amp;IF(ISNUMBER(L214),IF(O214="","SEM DATA",IF(O214&gt;=0,"DEFESA NO PRAZO","DEFESA FORA DO PRAZO")),IF(OR(G214="DECISÃO D.P",ISNUMBER(M214)),"SEM DEFESA",IF(G214="","SEM STATUS",IF(O214="","SEM DATA",IF(O214&lt;0,"VENCIDO",IF(O214&lt;=DiasAlerta,"VENCE EM BREVE","NO PRAZO")))))))</f>
        <v/>
      </c>
      <c r="Q214" s="117" t="str">
        <f>IF(D214="","",TODAY()-D214)</f>
        <v/>
      </c>
      <c r="R214" s="110" t="n"/>
    </row>
    <row r="215" ht="18" customHeight="1">
      <c r="A215" s="109" t="n"/>
      <c r="B215" s="110" t="n"/>
      <c r="C215" s="110" t="n"/>
      <c r="D215" s="111" t="n"/>
      <c r="E215" s="110" t="n"/>
      <c r="F215" s="112" t="n"/>
      <c r="G215" s="112" t="n"/>
      <c r="H215" s="110" t="n"/>
      <c r="I215" s="113" t="n"/>
      <c r="J215" s="113" t="n"/>
      <c r="K215" s="111" t="n"/>
      <c r="L215" s="111" t="n"/>
      <c r="M215" s="111" t="n"/>
      <c r="N215" s="114" t="str">
        <f>IF(OR(D215="",E215=""),"",D215+IF(E215="NOTIFICAÇÃO DE CONSTATAÇÃO",PrazoConst,PrazoEsc))</f>
        <v/>
      </c>
      <c r="O215" s="115" t="str">
        <f>IF(N215="","",IF(ISNUMBER(L215),N215-L215,IF(OR(G215="DECISÃO D.P",ISNUMBER(M215)),"",N215-TODAY())))</f>
        <v/>
      </c>
      <c r="P215" s="116" t="str">
        <f>IF(B215="","",IF(ISNUMBER(M215),"DECIDIDO – ","")&amp;IF(ISNUMBER(L215),IF(O215="","SEM DATA",IF(O215&gt;=0,"DEFESA NO PRAZO","DEFESA FORA DO PRAZO")),IF(OR(G215="DECISÃO D.P",ISNUMBER(M215)),"SEM DEFESA",IF(G215="","SEM STATUS",IF(O215="","SEM DATA",IF(O215&lt;0,"VENCIDO",IF(O215&lt;=DiasAlerta,"VENCE EM BREVE","NO PRAZO")))))))</f>
        <v/>
      </c>
      <c r="Q215" s="117" t="str">
        <f>IF(D215="","",TODAY()-D215)</f>
        <v/>
      </c>
      <c r="R215" s="110" t="n"/>
    </row>
    <row r="216" ht="18" customHeight="1">
      <c r="A216" s="109" t="n"/>
      <c r="B216" s="110" t="n"/>
      <c r="C216" s="110" t="n"/>
      <c r="D216" s="111" t="n"/>
      <c r="E216" s="110" t="n"/>
      <c r="F216" s="112" t="n"/>
      <c r="G216" s="112" t="n"/>
      <c r="H216" s="110" t="n"/>
      <c r="I216" s="113" t="n"/>
      <c r="J216" s="113" t="n"/>
      <c r="K216" s="111" t="n"/>
      <c r="L216" s="111" t="n"/>
      <c r="M216" s="111" t="n"/>
      <c r="N216" s="114" t="str">
        <f>IF(OR(D216="",E216=""),"",D216+IF(E216="NOTIFICAÇÃO DE CONSTATAÇÃO",PrazoConst,PrazoEsc))</f>
        <v/>
      </c>
      <c r="O216" s="115" t="str">
        <f>IF(N216="","",IF(ISNUMBER(L216),N216-L216,IF(OR(G216="DECISÃO D.P",ISNUMBER(M216)),"",N216-TODAY())))</f>
        <v/>
      </c>
      <c r="P216" s="116" t="str">
        <f>IF(B216="","",IF(ISNUMBER(M216),"DECIDIDO – ","")&amp;IF(ISNUMBER(L216),IF(O216="","SEM DATA",IF(O216&gt;=0,"DEFESA NO PRAZO","DEFESA FORA DO PRAZO")),IF(OR(G216="DECISÃO D.P",ISNUMBER(M216)),"SEM DEFESA",IF(G216="","SEM STATUS",IF(O216="","SEM DATA",IF(O216&lt;0,"VENCIDO",IF(O216&lt;=DiasAlerta,"VENCE EM BREVE","NO PRAZO")))))))</f>
        <v/>
      </c>
      <c r="Q216" s="117" t="str">
        <f>IF(D216="","",TODAY()-D216)</f>
        <v/>
      </c>
      <c r="R216" s="110" t="n"/>
    </row>
    <row r="217" ht="18" customHeight="1">
      <c r="A217" s="109" t="n"/>
      <c r="B217" s="110" t="n"/>
      <c r="C217" s="110" t="n"/>
      <c r="D217" s="111" t="n"/>
      <c r="E217" s="110" t="n"/>
      <c r="F217" s="112" t="n"/>
      <c r="G217" s="112" t="n"/>
      <c r="H217" s="110" t="n"/>
      <c r="I217" s="113" t="n"/>
      <c r="J217" s="113" t="n"/>
      <c r="K217" s="111" t="n"/>
      <c r="L217" s="111" t="n"/>
      <c r="M217" s="111" t="n"/>
      <c r="N217" s="114" t="str">
        <f>IF(OR(D217="",E217=""),"",D217+IF(E217="NOTIFICAÇÃO DE CONSTATAÇÃO",PrazoConst,PrazoEsc))</f>
        <v/>
      </c>
      <c r="O217" s="115" t="str">
        <f>IF(N217="","",IF(ISNUMBER(L217),N217-L217,IF(OR(G217="DECISÃO D.P",ISNUMBER(M217)),"",N217-TODAY())))</f>
        <v/>
      </c>
      <c r="P217" s="116" t="str">
        <f>IF(B217="","",IF(ISNUMBER(M217),"DECIDIDO – ","")&amp;IF(ISNUMBER(L217),IF(O217="","SEM DATA",IF(O217&gt;=0,"DEFESA NO PRAZO","DEFESA FORA DO PRAZO")),IF(OR(G217="DECISÃO D.P",ISNUMBER(M217)),"SEM DEFESA",IF(G217="","SEM STATUS",IF(O217="","SEM DATA",IF(O217&lt;0,"VENCIDO",IF(O217&lt;=DiasAlerta,"VENCE EM BREVE","NO PRAZO")))))))</f>
        <v/>
      </c>
      <c r="Q217" s="117" t="str">
        <f>IF(D217="","",TODAY()-D217)</f>
        <v/>
      </c>
      <c r="R217" s="110" t="n"/>
    </row>
    <row r="218" ht="18" customHeight="1">
      <c r="A218" s="109" t="n"/>
      <c r="B218" s="110" t="n"/>
      <c r="C218" s="110" t="n"/>
      <c r="D218" s="111" t="n"/>
      <c r="E218" s="110" t="n"/>
      <c r="F218" s="112" t="n"/>
      <c r="G218" s="112" t="n"/>
      <c r="H218" s="110" t="n"/>
      <c r="I218" s="113" t="n"/>
      <c r="J218" s="113" t="n"/>
      <c r="K218" s="111" t="n"/>
      <c r="L218" s="111" t="n"/>
      <c r="M218" s="111" t="n"/>
      <c r="N218" s="114" t="str">
        <f>IF(OR(D218="",E218=""),"",D218+IF(E218="NOTIFICAÇÃO DE CONSTATAÇÃO",PrazoConst,PrazoEsc))</f>
        <v/>
      </c>
      <c r="O218" s="115" t="str">
        <f>IF(N218="","",IF(ISNUMBER(L218),N218-L218,IF(OR(G218="DECISÃO D.P",ISNUMBER(M218)),"",N218-TODAY())))</f>
        <v/>
      </c>
      <c r="P218" s="116" t="str">
        <f>IF(B218="","",IF(ISNUMBER(M218),"DECIDIDO – ","")&amp;IF(ISNUMBER(L218),IF(O218="","SEM DATA",IF(O218&gt;=0,"DEFESA NO PRAZO","DEFESA FORA DO PRAZO")),IF(OR(G218="DECISÃO D.P",ISNUMBER(M218)),"SEM DEFESA",IF(G218="","SEM STATUS",IF(O218="","SEM DATA",IF(O218&lt;0,"VENCIDO",IF(O218&lt;=DiasAlerta,"VENCE EM BREVE","NO PRAZO")))))))</f>
        <v/>
      </c>
      <c r="Q218" s="117" t="str">
        <f>IF(D218="","",TODAY()-D218)</f>
        <v/>
      </c>
      <c r="R218" s="110" t="n"/>
    </row>
    <row r="219" ht="18" customHeight="1">
      <c r="A219" s="109" t="n"/>
      <c r="B219" s="110" t="n"/>
      <c r="C219" s="110" t="n"/>
      <c r="D219" s="111" t="n"/>
      <c r="E219" s="110" t="n"/>
      <c r="F219" s="112" t="n"/>
      <c r="G219" s="112" t="n"/>
      <c r="H219" s="110" t="n"/>
      <c r="I219" s="113" t="n"/>
      <c r="J219" s="113" t="n"/>
      <c r="K219" s="111" t="n"/>
      <c r="L219" s="111" t="n"/>
      <c r="M219" s="111" t="n"/>
      <c r="N219" s="114" t="str">
        <f>IF(OR(D219="",E219=""),"",D219+IF(E219="NOTIFICAÇÃO DE CONSTATAÇÃO",PrazoConst,PrazoEsc))</f>
        <v/>
      </c>
      <c r="O219" s="115" t="str">
        <f>IF(N219="","",IF(ISNUMBER(L219),N219-L219,IF(OR(G219="DECISÃO D.P",ISNUMBER(M219)),"",N219-TODAY())))</f>
        <v/>
      </c>
      <c r="P219" s="116" t="str">
        <f>IF(B219="","",IF(ISNUMBER(M219),"DECIDIDO – ","")&amp;IF(ISNUMBER(L219),IF(O219="","SEM DATA",IF(O219&gt;=0,"DEFESA NO PRAZO","DEFESA FORA DO PRAZO")),IF(OR(G219="DECISÃO D.P",ISNUMBER(M219)),"SEM DEFESA",IF(G219="","SEM STATUS",IF(O219="","SEM DATA",IF(O219&lt;0,"VENCIDO",IF(O219&lt;=DiasAlerta,"VENCE EM BREVE","NO PRAZO")))))))</f>
        <v/>
      </c>
      <c r="Q219" s="117" t="str">
        <f>IF(D219="","",TODAY()-D219)</f>
        <v/>
      </c>
      <c r="R219" s="110" t="n"/>
    </row>
    <row r="220" ht="18" customHeight="1">
      <c r="A220" s="109" t="n"/>
      <c r="B220" s="110" t="n"/>
      <c r="C220" s="110" t="n"/>
      <c r="D220" s="111" t="n"/>
      <c r="E220" s="110" t="n"/>
      <c r="F220" s="112" t="n"/>
      <c r="G220" s="112" t="n"/>
      <c r="H220" s="110" t="n"/>
      <c r="I220" s="113" t="n"/>
      <c r="J220" s="113" t="n"/>
      <c r="K220" s="111" t="n"/>
      <c r="L220" s="111" t="n"/>
      <c r="M220" s="111" t="n"/>
      <c r="N220" s="114" t="str">
        <f>IF(OR(D220="",E220=""),"",D220+IF(E220="NOTIFICAÇÃO DE CONSTATAÇÃO",PrazoConst,PrazoEsc))</f>
        <v/>
      </c>
      <c r="O220" s="115" t="str">
        <f>IF(N220="","",IF(ISNUMBER(L220),N220-L220,IF(OR(G220="DECISÃO D.P",ISNUMBER(M220)),"",N220-TODAY())))</f>
        <v/>
      </c>
      <c r="P220" s="116" t="str">
        <f>IF(B220="","",IF(ISNUMBER(M220),"DECIDIDO – ","")&amp;IF(ISNUMBER(L220),IF(O220="","SEM DATA",IF(O220&gt;=0,"DEFESA NO PRAZO","DEFESA FORA DO PRAZO")),IF(OR(G220="DECISÃO D.P",ISNUMBER(M220)),"SEM DEFESA",IF(G220="","SEM STATUS",IF(O220="","SEM DATA",IF(O220&lt;0,"VENCIDO",IF(O220&lt;=DiasAlerta,"VENCE EM BREVE","NO PRAZO")))))))</f>
        <v/>
      </c>
      <c r="Q220" s="117" t="str">
        <f>IF(D220="","",TODAY()-D220)</f>
        <v/>
      </c>
      <c r="R220" s="110" t="n"/>
    </row>
    <row r="221" ht="18" customHeight="1">
      <c r="A221" s="109" t="n"/>
      <c r="B221" s="110" t="n"/>
      <c r="C221" s="110" t="n"/>
      <c r="D221" s="111" t="n"/>
      <c r="E221" s="110" t="n"/>
      <c r="F221" s="112" t="n"/>
      <c r="G221" s="112" t="n"/>
      <c r="H221" s="110" t="n"/>
      <c r="I221" s="113" t="n"/>
      <c r="J221" s="113" t="n"/>
      <c r="K221" s="111" t="n"/>
      <c r="L221" s="111" t="n"/>
      <c r="M221" s="111" t="n"/>
      <c r="N221" s="114" t="str">
        <f>IF(OR(D221="",E221=""),"",D221+IF(E221="NOTIFICAÇÃO DE CONSTATAÇÃO",PrazoConst,PrazoEsc))</f>
        <v/>
      </c>
      <c r="O221" s="115" t="str">
        <f>IF(N221="","",IF(ISNUMBER(L221),N221-L221,IF(OR(G221="DECISÃO D.P",ISNUMBER(M221)),"",N221-TODAY())))</f>
        <v/>
      </c>
      <c r="P221" s="116" t="str">
        <f>IF(B221="","",IF(ISNUMBER(M221),"DECIDIDO – ","")&amp;IF(ISNUMBER(L221),IF(O221="","SEM DATA",IF(O221&gt;=0,"DEFESA NO PRAZO","DEFESA FORA DO PRAZO")),IF(OR(G221="DECISÃO D.P",ISNUMBER(M221)),"SEM DEFESA",IF(G221="","SEM STATUS",IF(O221="","SEM DATA",IF(O221&lt;0,"VENCIDO",IF(O221&lt;=DiasAlerta,"VENCE EM BREVE","NO PRAZO")))))))</f>
        <v/>
      </c>
      <c r="Q221" s="117" t="str">
        <f>IF(D221="","",TODAY()-D221)</f>
        <v/>
      </c>
      <c r="R221" s="110" t="n"/>
    </row>
    <row r="222" ht="18" customHeight="1">
      <c r="A222" s="109" t="n"/>
      <c r="B222" s="110" t="n"/>
      <c r="C222" s="110" t="n"/>
      <c r="D222" s="111" t="n"/>
      <c r="E222" s="110" t="n"/>
      <c r="F222" s="112" t="n"/>
      <c r="G222" s="112" t="n"/>
      <c r="H222" s="110" t="n"/>
      <c r="I222" s="113" t="n"/>
      <c r="J222" s="113" t="n"/>
      <c r="K222" s="111" t="n"/>
      <c r="L222" s="111" t="n"/>
      <c r="M222" s="111" t="n"/>
      <c r="N222" s="114" t="str">
        <f>IF(OR(D222="",E222=""),"",D222+IF(E222="NOTIFICAÇÃO DE CONSTATAÇÃO",PrazoConst,PrazoEsc))</f>
        <v/>
      </c>
      <c r="O222" s="115" t="str">
        <f>IF(N222="","",IF(ISNUMBER(L222),N222-L222,IF(OR(G222="DECISÃO D.P",ISNUMBER(M222)),"",N222-TODAY())))</f>
        <v/>
      </c>
      <c r="P222" s="116" t="str">
        <f>IF(B222="","",IF(ISNUMBER(M222),"DECIDIDO – ","")&amp;IF(ISNUMBER(L222),IF(O222="","SEM DATA",IF(O222&gt;=0,"DEFESA NO PRAZO","DEFESA FORA DO PRAZO")),IF(OR(G222="DECISÃO D.P",ISNUMBER(M222)),"SEM DEFESA",IF(G222="","SEM STATUS",IF(O222="","SEM DATA",IF(O222&lt;0,"VENCIDO",IF(O222&lt;=DiasAlerta,"VENCE EM BREVE","NO PRAZO")))))))</f>
        <v/>
      </c>
      <c r="Q222" s="117" t="str">
        <f>IF(D222="","",TODAY()-D222)</f>
        <v/>
      </c>
      <c r="R222" s="110" t="n"/>
    </row>
    <row r="223" ht="18" customHeight="1">
      <c r="A223" s="109" t="n"/>
      <c r="B223" s="110" t="n"/>
      <c r="C223" s="110" t="n"/>
      <c r="D223" s="111" t="n"/>
      <c r="E223" s="110" t="n"/>
      <c r="F223" s="112" t="n"/>
      <c r="G223" s="112" t="n"/>
      <c r="H223" s="110" t="n"/>
      <c r="I223" s="113" t="n"/>
      <c r="J223" s="113" t="n"/>
      <c r="K223" s="111" t="n"/>
      <c r="L223" s="111" t="n"/>
      <c r="M223" s="111" t="n"/>
      <c r="N223" s="114" t="str">
        <f>IF(OR(D223="",E223=""),"",D223+IF(E223="NOTIFICAÇÃO DE CONSTATAÇÃO",PrazoConst,PrazoEsc))</f>
        <v/>
      </c>
      <c r="O223" s="115" t="str">
        <f>IF(N223="","",IF(ISNUMBER(L223),N223-L223,IF(OR(G223="DECISÃO D.P",ISNUMBER(M223)),"",N223-TODAY())))</f>
        <v/>
      </c>
      <c r="P223" s="116" t="str">
        <f>IF(B223="","",IF(ISNUMBER(M223),"DECIDIDO – ","")&amp;IF(ISNUMBER(L223),IF(O223="","SEM DATA",IF(O223&gt;=0,"DEFESA NO PRAZO","DEFESA FORA DO PRAZO")),IF(OR(G223="DECISÃO D.P",ISNUMBER(M223)),"SEM DEFESA",IF(G223="","SEM STATUS",IF(O223="","SEM DATA",IF(O223&lt;0,"VENCIDO",IF(O223&lt;=DiasAlerta,"VENCE EM BREVE","NO PRAZO")))))))</f>
        <v/>
      </c>
      <c r="Q223" s="117" t="str">
        <f>IF(D223="","",TODAY()-D223)</f>
        <v/>
      </c>
      <c r="R223" s="110" t="n"/>
    </row>
    <row r="224" ht="18" customHeight="1">
      <c r="A224" s="109" t="n"/>
      <c r="B224" s="110" t="n"/>
      <c r="C224" s="110" t="n"/>
      <c r="D224" s="111" t="n"/>
      <c r="E224" s="110" t="n"/>
      <c r="F224" s="112" t="n"/>
      <c r="G224" s="112" t="n"/>
      <c r="H224" s="110" t="n"/>
      <c r="I224" s="113" t="n"/>
      <c r="J224" s="113" t="n"/>
      <c r="K224" s="111" t="n"/>
      <c r="L224" s="111" t="n"/>
      <c r="M224" s="111" t="n"/>
      <c r="N224" s="114" t="str">
        <f>IF(OR(D224="",E224=""),"",D224+IF(E224="NOTIFICAÇÃO DE CONSTATAÇÃO",PrazoConst,PrazoEsc))</f>
        <v/>
      </c>
      <c r="O224" s="115" t="str">
        <f>IF(N224="","",IF(ISNUMBER(L224),N224-L224,IF(OR(G224="DECISÃO D.P",ISNUMBER(M224)),"",N224-TODAY())))</f>
        <v/>
      </c>
      <c r="P224" s="116" t="str">
        <f>IF(B224="","",IF(ISNUMBER(M224),"DECIDIDO – ","")&amp;IF(ISNUMBER(L224),IF(O224="","SEM DATA",IF(O224&gt;=0,"DEFESA NO PRAZO","DEFESA FORA DO PRAZO")),IF(OR(G224="DECISÃO D.P",ISNUMBER(M224)),"SEM DEFESA",IF(G224="","SEM STATUS",IF(O224="","SEM DATA",IF(O224&lt;0,"VENCIDO",IF(O224&lt;=DiasAlerta,"VENCE EM BREVE","NO PRAZO")))))))</f>
        <v/>
      </c>
      <c r="Q224" s="117" t="str">
        <f>IF(D224="","",TODAY()-D224)</f>
        <v/>
      </c>
      <c r="R224" s="110" t="n"/>
    </row>
    <row r="225" ht="18" customHeight="1">
      <c r="A225" s="109" t="n"/>
      <c r="B225" s="110" t="n"/>
      <c r="C225" s="110" t="n"/>
      <c r="D225" s="111" t="n"/>
      <c r="E225" s="110" t="n"/>
      <c r="F225" s="112" t="n"/>
      <c r="G225" s="112" t="n"/>
      <c r="H225" s="110" t="n"/>
      <c r="I225" s="113" t="n"/>
      <c r="J225" s="113" t="n"/>
      <c r="K225" s="111" t="n"/>
      <c r="L225" s="111" t="n"/>
      <c r="M225" s="111" t="n"/>
      <c r="N225" s="114" t="str">
        <f>IF(OR(D225="",E225=""),"",D225+IF(E225="NOTIFICAÇÃO DE CONSTATAÇÃO",PrazoConst,PrazoEsc))</f>
        <v/>
      </c>
      <c r="O225" s="115" t="str">
        <f>IF(N225="","",IF(ISNUMBER(L225),N225-L225,IF(OR(G225="DECISÃO D.P",ISNUMBER(M225)),"",N225-TODAY())))</f>
        <v/>
      </c>
      <c r="P225" s="116" t="str">
        <f>IF(B225="","",IF(ISNUMBER(M225),"DECIDIDO – ","")&amp;IF(ISNUMBER(L225),IF(O225="","SEM DATA",IF(O225&gt;=0,"DEFESA NO PRAZO","DEFESA FORA DO PRAZO")),IF(OR(G225="DECISÃO D.P",ISNUMBER(M225)),"SEM DEFESA",IF(G225="","SEM STATUS",IF(O225="","SEM DATA",IF(O225&lt;0,"VENCIDO",IF(O225&lt;=DiasAlerta,"VENCE EM BREVE","NO PRAZO")))))))</f>
        <v/>
      </c>
      <c r="Q225" s="117" t="str">
        <f>IF(D225="","",TODAY()-D225)</f>
        <v/>
      </c>
      <c r="R225" s="110" t="n"/>
    </row>
    <row r="226" ht="18" customHeight="1">
      <c r="A226" s="109" t="n"/>
      <c r="B226" s="110" t="n"/>
      <c r="C226" s="110" t="n"/>
      <c r="D226" s="111" t="n"/>
      <c r="E226" s="110" t="n"/>
      <c r="F226" s="112" t="n"/>
      <c r="G226" s="112" t="n"/>
      <c r="H226" s="110" t="n"/>
      <c r="I226" s="113" t="n"/>
      <c r="J226" s="113" t="n"/>
      <c r="K226" s="111" t="n"/>
      <c r="L226" s="111" t="n"/>
      <c r="M226" s="111" t="n"/>
      <c r="N226" s="114" t="str">
        <f>IF(OR(D226="",E226=""),"",D226+IF(E226="NOTIFICAÇÃO DE CONSTATAÇÃO",PrazoConst,PrazoEsc))</f>
        <v/>
      </c>
      <c r="O226" s="115" t="str">
        <f>IF(N226="","",IF(ISNUMBER(L226),N226-L226,IF(OR(G226="DECISÃO D.P",ISNUMBER(M226)),"",N226-TODAY())))</f>
        <v/>
      </c>
      <c r="P226" s="116" t="str">
        <f>IF(B226="","",IF(ISNUMBER(M226),"DECIDIDO – ","")&amp;IF(ISNUMBER(L226),IF(O226="","SEM DATA",IF(O226&gt;=0,"DEFESA NO PRAZO","DEFESA FORA DO PRAZO")),IF(OR(G226="DECISÃO D.P",ISNUMBER(M226)),"SEM DEFESA",IF(G226="","SEM STATUS",IF(O226="","SEM DATA",IF(O226&lt;0,"VENCIDO",IF(O226&lt;=DiasAlerta,"VENCE EM BREVE","NO PRAZO")))))))</f>
        <v/>
      </c>
      <c r="Q226" s="117" t="str">
        <f>IF(D226="","",TODAY()-D226)</f>
        <v/>
      </c>
      <c r="R226" s="110" t="n"/>
    </row>
    <row r="227" ht="18" customHeight="1">
      <c r="A227" s="109" t="n"/>
      <c r="B227" s="110" t="n"/>
      <c r="C227" s="110" t="n"/>
      <c r="D227" s="111" t="n"/>
      <c r="E227" s="110" t="n"/>
      <c r="F227" s="112" t="n"/>
      <c r="G227" s="112" t="n"/>
      <c r="H227" s="110" t="n"/>
      <c r="I227" s="113" t="n"/>
      <c r="J227" s="113" t="n"/>
      <c r="K227" s="111" t="n"/>
      <c r="L227" s="111" t="n"/>
      <c r="M227" s="111" t="n"/>
      <c r="N227" s="114" t="str">
        <f>IF(OR(D227="",E227=""),"",D227+IF(E227="NOTIFICAÇÃO DE CONSTATAÇÃO",PrazoConst,PrazoEsc))</f>
        <v/>
      </c>
      <c r="O227" s="115" t="str">
        <f>IF(N227="","",IF(ISNUMBER(L227),N227-L227,IF(OR(G227="DECISÃO D.P",ISNUMBER(M227)),"",N227-TODAY())))</f>
        <v/>
      </c>
      <c r="P227" s="116" t="str">
        <f>IF(B227="","",IF(ISNUMBER(M227),"DECIDIDO – ","")&amp;IF(ISNUMBER(L227),IF(O227="","SEM DATA",IF(O227&gt;=0,"DEFESA NO PRAZO","DEFESA FORA DO PRAZO")),IF(OR(G227="DECISÃO D.P",ISNUMBER(M227)),"SEM DEFESA",IF(G227="","SEM STATUS",IF(O227="","SEM DATA",IF(O227&lt;0,"VENCIDO",IF(O227&lt;=DiasAlerta,"VENCE EM BREVE","NO PRAZO")))))))</f>
        <v/>
      </c>
      <c r="Q227" s="117" t="str">
        <f>IF(D227="","",TODAY()-D227)</f>
        <v/>
      </c>
      <c r="R227" s="110" t="n"/>
    </row>
    <row r="228" ht="18" customHeight="1">
      <c r="A228" s="109" t="n"/>
      <c r="B228" s="110" t="n"/>
      <c r="C228" s="110" t="n"/>
      <c r="D228" s="111" t="n"/>
      <c r="E228" s="110" t="n"/>
      <c r="F228" s="112" t="n"/>
      <c r="G228" s="112" t="n"/>
      <c r="H228" s="110" t="n"/>
      <c r="I228" s="113" t="n"/>
      <c r="J228" s="113" t="n"/>
      <c r="K228" s="111" t="n"/>
      <c r="L228" s="111" t="n"/>
      <c r="M228" s="111" t="n"/>
      <c r="N228" s="114" t="str">
        <f>IF(OR(D228="",E228=""),"",D228+IF(E228="NOTIFICAÇÃO DE CONSTATAÇÃO",PrazoConst,PrazoEsc))</f>
        <v/>
      </c>
      <c r="O228" s="115" t="str">
        <f>IF(N228="","",IF(ISNUMBER(L228),N228-L228,IF(OR(G228="DECISÃO D.P",ISNUMBER(M228)),"",N228-TODAY())))</f>
        <v/>
      </c>
      <c r="P228" s="116" t="str">
        <f>IF(B228="","",IF(ISNUMBER(M228),"DECIDIDO – ","")&amp;IF(ISNUMBER(L228),IF(O228="","SEM DATA",IF(O228&gt;=0,"DEFESA NO PRAZO","DEFESA FORA DO PRAZO")),IF(OR(G228="DECISÃO D.P",ISNUMBER(M228)),"SEM DEFESA",IF(G228="","SEM STATUS",IF(O228="","SEM DATA",IF(O228&lt;0,"VENCIDO",IF(O228&lt;=DiasAlerta,"VENCE EM BREVE","NO PRAZO")))))))</f>
        <v/>
      </c>
      <c r="Q228" s="117" t="str">
        <f>IF(D228="","",TODAY()-D228)</f>
        <v/>
      </c>
      <c r="R228" s="110" t="n"/>
    </row>
    <row r="229" ht="18" customHeight="1">
      <c r="A229" s="109" t="n"/>
      <c r="B229" s="110" t="n"/>
      <c r="C229" s="110" t="n"/>
      <c r="D229" s="111" t="n"/>
      <c r="E229" s="110" t="n"/>
      <c r="F229" s="112" t="n"/>
      <c r="G229" s="112" t="n"/>
      <c r="H229" s="110" t="n"/>
      <c r="I229" s="113" t="n"/>
      <c r="J229" s="113" t="n"/>
      <c r="K229" s="111" t="n"/>
      <c r="L229" s="111" t="n"/>
      <c r="M229" s="111" t="n"/>
      <c r="N229" s="114" t="str">
        <f>IF(OR(D229="",E229=""),"",D229+IF(E229="NOTIFICAÇÃO DE CONSTATAÇÃO",PrazoConst,PrazoEsc))</f>
        <v/>
      </c>
      <c r="O229" s="115" t="str">
        <f>IF(N229="","",IF(ISNUMBER(L229),N229-L229,IF(OR(G229="DECISÃO D.P",ISNUMBER(M229)),"",N229-TODAY())))</f>
        <v/>
      </c>
      <c r="P229" s="116" t="str">
        <f>IF(B229="","",IF(ISNUMBER(M229),"DECIDIDO – ","")&amp;IF(ISNUMBER(L229),IF(O229="","SEM DATA",IF(O229&gt;=0,"DEFESA NO PRAZO","DEFESA FORA DO PRAZO")),IF(OR(G229="DECISÃO D.P",ISNUMBER(M229)),"SEM DEFESA",IF(G229="","SEM STATUS",IF(O229="","SEM DATA",IF(O229&lt;0,"VENCIDO",IF(O229&lt;=DiasAlerta,"VENCE EM BREVE","NO PRAZO")))))))</f>
        <v/>
      </c>
      <c r="Q229" s="117" t="str">
        <f>IF(D229="","",TODAY()-D229)</f>
        <v/>
      </c>
      <c r="R229" s="110" t="n"/>
    </row>
    <row r="230" ht="18" customHeight="1">
      <c r="A230" s="109" t="n"/>
      <c r="B230" s="110" t="n"/>
      <c r="C230" s="110" t="n"/>
      <c r="D230" s="111" t="n"/>
      <c r="E230" s="110" t="n"/>
      <c r="F230" s="112" t="n"/>
      <c r="G230" s="112" t="n"/>
      <c r="H230" s="110" t="n"/>
      <c r="I230" s="113" t="n"/>
      <c r="J230" s="113" t="n"/>
      <c r="K230" s="111" t="n"/>
      <c r="L230" s="111" t="n"/>
      <c r="M230" s="111" t="n"/>
      <c r="N230" s="114" t="str">
        <f>IF(OR(D230="",E230=""),"",D230+IF(E230="NOTIFICAÇÃO DE CONSTATAÇÃO",PrazoConst,PrazoEsc))</f>
        <v/>
      </c>
      <c r="O230" s="115" t="str">
        <f>IF(N230="","",IF(ISNUMBER(L230),N230-L230,IF(OR(G230="DECISÃO D.P",ISNUMBER(M230)),"",N230-TODAY())))</f>
        <v/>
      </c>
      <c r="P230" s="116" t="str">
        <f>IF(B230="","",IF(ISNUMBER(M230),"DECIDIDO – ","")&amp;IF(ISNUMBER(L230),IF(O230="","SEM DATA",IF(O230&gt;=0,"DEFESA NO PRAZO","DEFESA FORA DO PRAZO")),IF(OR(G230="DECISÃO D.P",ISNUMBER(M230)),"SEM DEFESA",IF(G230="","SEM STATUS",IF(O230="","SEM DATA",IF(O230&lt;0,"VENCIDO",IF(O230&lt;=DiasAlerta,"VENCE EM BREVE","NO PRAZO")))))))</f>
        <v/>
      </c>
      <c r="Q230" s="117" t="str">
        <f>IF(D230="","",TODAY()-D230)</f>
        <v/>
      </c>
      <c r="R230" s="110" t="n"/>
    </row>
    <row r="231" ht="18" customHeight="1">
      <c r="A231" s="109" t="n"/>
      <c r="B231" s="110" t="n"/>
      <c r="C231" s="110" t="n"/>
      <c r="D231" s="111" t="n"/>
      <c r="E231" s="110" t="n"/>
      <c r="F231" s="112" t="n"/>
      <c r="G231" s="112" t="n"/>
      <c r="H231" s="110" t="n"/>
      <c r="I231" s="113" t="n"/>
      <c r="J231" s="113" t="n"/>
      <c r="K231" s="111" t="n"/>
      <c r="L231" s="111" t="n"/>
      <c r="M231" s="111" t="n"/>
      <c r="N231" s="114" t="str">
        <f>IF(OR(D231="",E231=""),"",D231+IF(E231="NOTIFICAÇÃO DE CONSTATAÇÃO",PrazoConst,PrazoEsc))</f>
        <v/>
      </c>
      <c r="O231" s="115" t="str">
        <f>IF(N231="","",IF(ISNUMBER(L231),N231-L231,IF(OR(G231="DECISÃO D.P",ISNUMBER(M231)),"",N231-TODAY())))</f>
        <v/>
      </c>
      <c r="P231" s="116" t="str">
        <f>IF(B231="","",IF(ISNUMBER(M231),"DECIDIDO – ","")&amp;IF(ISNUMBER(L231),IF(O231="","SEM DATA",IF(O231&gt;=0,"DEFESA NO PRAZO","DEFESA FORA DO PRAZO")),IF(OR(G231="DECISÃO D.P",ISNUMBER(M231)),"SEM DEFESA",IF(G231="","SEM STATUS",IF(O231="","SEM DATA",IF(O231&lt;0,"VENCIDO",IF(O231&lt;=DiasAlerta,"VENCE EM BREVE","NO PRAZO")))))))</f>
        <v/>
      </c>
      <c r="Q231" s="117" t="str">
        <f>IF(D231="","",TODAY()-D231)</f>
        <v/>
      </c>
      <c r="R231" s="110" t="n"/>
    </row>
    <row r="232" ht="18" customHeight="1">
      <c r="A232" s="109" t="n"/>
      <c r="B232" s="110" t="n"/>
      <c r="C232" s="110" t="n"/>
      <c r="D232" s="111" t="n"/>
      <c r="E232" s="110" t="n"/>
      <c r="F232" s="112" t="n"/>
      <c r="G232" s="112" t="n"/>
      <c r="H232" s="110" t="n"/>
      <c r="I232" s="113" t="n"/>
      <c r="J232" s="113" t="n"/>
      <c r="K232" s="111" t="n"/>
      <c r="L232" s="111" t="n"/>
      <c r="M232" s="111" t="n"/>
      <c r="N232" s="114" t="str">
        <f>IF(OR(D232="",E232=""),"",D232+IF(E232="NOTIFICAÇÃO DE CONSTATAÇÃO",PrazoConst,PrazoEsc))</f>
        <v/>
      </c>
      <c r="O232" s="115" t="str">
        <f>IF(N232="","",IF(ISNUMBER(L232),N232-L232,IF(OR(G232="DECISÃO D.P",ISNUMBER(M232)),"",N232-TODAY())))</f>
        <v/>
      </c>
      <c r="P232" s="116" t="str">
        <f>IF(B232="","",IF(ISNUMBER(M232),"DECIDIDO – ","")&amp;IF(ISNUMBER(L232),IF(O232="","SEM DATA",IF(O232&gt;=0,"DEFESA NO PRAZO","DEFESA FORA DO PRAZO")),IF(OR(G232="DECISÃO D.P",ISNUMBER(M232)),"SEM DEFESA",IF(G232="","SEM STATUS",IF(O232="","SEM DATA",IF(O232&lt;0,"VENCIDO",IF(O232&lt;=DiasAlerta,"VENCE EM BREVE","NO PRAZO")))))))</f>
        <v/>
      </c>
      <c r="Q232" s="117" t="str">
        <f>IF(D232="","",TODAY()-D232)</f>
        <v/>
      </c>
      <c r="R232" s="110" t="n"/>
    </row>
    <row r="233" ht="18" customHeight="1">
      <c r="A233" s="109" t="n"/>
      <c r="B233" s="110" t="n"/>
      <c r="C233" s="110" t="n"/>
      <c r="D233" s="111" t="n"/>
      <c r="E233" s="110" t="n"/>
      <c r="F233" s="112" t="n"/>
      <c r="G233" s="112" t="n"/>
      <c r="H233" s="110" t="n"/>
      <c r="I233" s="113" t="n"/>
      <c r="J233" s="113" t="n"/>
      <c r="K233" s="111" t="n"/>
      <c r="L233" s="111" t="n"/>
      <c r="M233" s="111" t="n"/>
      <c r="N233" s="114" t="str">
        <f>IF(OR(D233="",E233=""),"",D233+IF(E233="NOTIFICAÇÃO DE CONSTATAÇÃO",PrazoConst,PrazoEsc))</f>
        <v/>
      </c>
      <c r="O233" s="115" t="str">
        <f>IF(N233="","",IF(ISNUMBER(L233),N233-L233,IF(OR(G233="DECISÃO D.P",ISNUMBER(M233)),"",N233-TODAY())))</f>
        <v/>
      </c>
      <c r="P233" s="116" t="str">
        <f>IF(B233="","",IF(ISNUMBER(M233),"DECIDIDO – ","")&amp;IF(ISNUMBER(L233),IF(O233="","SEM DATA",IF(O233&gt;=0,"DEFESA NO PRAZO","DEFESA FORA DO PRAZO")),IF(OR(G233="DECISÃO D.P",ISNUMBER(M233)),"SEM DEFESA",IF(G233="","SEM STATUS",IF(O233="","SEM DATA",IF(O233&lt;0,"VENCIDO",IF(O233&lt;=DiasAlerta,"VENCE EM BREVE","NO PRAZO")))))))</f>
        <v/>
      </c>
      <c r="Q233" s="117" t="str">
        <f>IF(D233="","",TODAY()-D233)</f>
        <v/>
      </c>
      <c r="R233" s="110" t="n"/>
    </row>
    <row r="234" ht="18" customHeight="1">
      <c r="A234" s="109" t="n"/>
      <c r="B234" s="110" t="n"/>
      <c r="C234" s="110" t="n"/>
      <c r="D234" s="111" t="n"/>
      <c r="E234" s="110" t="n"/>
      <c r="F234" s="112" t="n"/>
      <c r="G234" s="112" t="n"/>
      <c r="H234" s="110" t="n"/>
      <c r="I234" s="113" t="n"/>
      <c r="J234" s="113" t="n"/>
      <c r="K234" s="111" t="n"/>
      <c r="L234" s="111" t="n"/>
      <c r="M234" s="111" t="n"/>
      <c r="N234" s="114" t="str">
        <f>IF(OR(D234="",E234=""),"",D234+IF(E234="NOTIFICAÇÃO DE CONSTATAÇÃO",PrazoConst,PrazoEsc))</f>
        <v/>
      </c>
      <c r="O234" s="115" t="str">
        <f>IF(N234="","",IF(ISNUMBER(L234),N234-L234,IF(OR(G234="DECISÃO D.P",ISNUMBER(M234)),"",N234-TODAY())))</f>
        <v/>
      </c>
      <c r="P234" s="116" t="str">
        <f>IF(B234="","",IF(ISNUMBER(M234),"DECIDIDO – ","")&amp;IF(ISNUMBER(L234),IF(O234="","SEM DATA",IF(O234&gt;=0,"DEFESA NO PRAZO","DEFESA FORA DO PRAZO")),IF(OR(G234="DECISÃO D.P",ISNUMBER(M234)),"SEM DEFESA",IF(G234="","SEM STATUS",IF(O234="","SEM DATA",IF(O234&lt;0,"VENCIDO",IF(O234&lt;=DiasAlerta,"VENCE EM BREVE","NO PRAZO")))))))</f>
        <v/>
      </c>
      <c r="Q234" s="117" t="str">
        <f>IF(D234="","",TODAY()-D234)</f>
        <v/>
      </c>
      <c r="R234" s="110" t="n"/>
    </row>
    <row r="235" ht="18" customHeight="1">
      <c r="A235" s="109" t="n"/>
      <c r="B235" s="110" t="n"/>
      <c r="C235" s="110" t="n"/>
      <c r="D235" s="111" t="n"/>
      <c r="E235" s="110" t="n"/>
      <c r="F235" s="112" t="n"/>
      <c r="G235" s="112" t="n"/>
      <c r="H235" s="110" t="n"/>
      <c r="I235" s="113" t="n"/>
      <c r="J235" s="113" t="n"/>
      <c r="K235" s="111" t="n"/>
      <c r="L235" s="111" t="n"/>
      <c r="M235" s="111" t="n"/>
      <c r="N235" s="114" t="str">
        <f>IF(OR(D235="",E235=""),"",D235+IF(E235="NOTIFICAÇÃO DE CONSTATAÇÃO",PrazoConst,PrazoEsc))</f>
        <v/>
      </c>
      <c r="O235" s="115" t="str">
        <f>IF(N235="","",IF(ISNUMBER(L235),N235-L235,IF(OR(G235="DECISÃO D.P",ISNUMBER(M235)),"",N235-TODAY())))</f>
        <v/>
      </c>
      <c r="P235" s="116" t="str">
        <f>IF(B235="","",IF(ISNUMBER(M235),"DECIDIDO – ","")&amp;IF(ISNUMBER(L235),IF(O235="","SEM DATA",IF(O235&gt;=0,"DEFESA NO PRAZO","DEFESA FORA DO PRAZO")),IF(OR(G235="DECISÃO D.P",ISNUMBER(M235)),"SEM DEFESA",IF(G235="","SEM STATUS",IF(O235="","SEM DATA",IF(O235&lt;0,"VENCIDO",IF(O235&lt;=DiasAlerta,"VENCE EM BREVE","NO PRAZO")))))))</f>
        <v/>
      </c>
      <c r="Q235" s="117" t="str">
        <f>IF(D235="","",TODAY()-D235)</f>
        <v/>
      </c>
      <c r="R235" s="110" t="n"/>
    </row>
    <row r="236" ht="18" customHeight="1">
      <c r="A236" s="109" t="n"/>
      <c r="B236" s="110" t="n"/>
      <c r="C236" s="110" t="n"/>
      <c r="D236" s="111" t="n"/>
      <c r="E236" s="110" t="n"/>
      <c r="F236" s="112" t="n"/>
      <c r="G236" s="112" t="n"/>
      <c r="H236" s="110" t="n"/>
      <c r="I236" s="113" t="n"/>
      <c r="J236" s="113" t="n"/>
      <c r="K236" s="111" t="n"/>
      <c r="L236" s="111" t="n"/>
      <c r="M236" s="111" t="n"/>
      <c r="N236" s="114" t="str">
        <f>IF(OR(D236="",E236=""),"",D236+IF(E236="NOTIFICAÇÃO DE CONSTATAÇÃO",PrazoConst,PrazoEsc))</f>
        <v/>
      </c>
      <c r="O236" s="115" t="str">
        <f>IF(N236="","",IF(ISNUMBER(L236),N236-L236,IF(OR(G236="DECISÃO D.P",ISNUMBER(M236)),"",N236-TODAY())))</f>
        <v/>
      </c>
      <c r="P236" s="116" t="str">
        <f>IF(B236="","",IF(ISNUMBER(M236),"DECIDIDO – ","")&amp;IF(ISNUMBER(L236),IF(O236="","SEM DATA",IF(O236&gt;=0,"DEFESA NO PRAZO","DEFESA FORA DO PRAZO")),IF(OR(G236="DECISÃO D.P",ISNUMBER(M236)),"SEM DEFESA",IF(G236="","SEM STATUS",IF(O236="","SEM DATA",IF(O236&lt;0,"VENCIDO",IF(O236&lt;=DiasAlerta,"VENCE EM BREVE","NO PRAZO")))))))</f>
        <v/>
      </c>
      <c r="Q236" s="117" t="str">
        <f>IF(D236="","",TODAY()-D236)</f>
        <v/>
      </c>
      <c r="R236" s="110" t="n"/>
    </row>
    <row r="237" ht="18" customHeight="1">
      <c r="A237" s="109" t="n"/>
      <c r="B237" s="110" t="n"/>
      <c r="C237" s="110" t="n"/>
      <c r="D237" s="111" t="n"/>
      <c r="E237" s="110" t="n"/>
      <c r="F237" s="112" t="n"/>
      <c r="G237" s="112" t="n"/>
      <c r="H237" s="110" t="n"/>
      <c r="I237" s="113" t="n"/>
      <c r="J237" s="113" t="n"/>
      <c r="K237" s="111" t="n"/>
      <c r="L237" s="111" t="n"/>
      <c r="M237" s="111" t="n"/>
      <c r="N237" s="114" t="str">
        <f>IF(OR(D237="",E237=""),"",D237+IF(E237="NOTIFICAÇÃO DE CONSTATAÇÃO",PrazoConst,PrazoEsc))</f>
        <v/>
      </c>
      <c r="O237" s="115" t="str">
        <f>IF(N237="","",IF(ISNUMBER(L237),N237-L237,IF(OR(G237="DECISÃO D.P",ISNUMBER(M237)),"",N237-TODAY())))</f>
        <v/>
      </c>
      <c r="P237" s="116" t="str">
        <f>IF(B237="","",IF(ISNUMBER(M237),"DECIDIDO – ","")&amp;IF(ISNUMBER(L237),IF(O237="","SEM DATA",IF(O237&gt;=0,"DEFESA NO PRAZO","DEFESA FORA DO PRAZO")),IF(OR(G237="DECISÃO D.P",ISNUMBER(M237)),"SEM DEFESA",IF(G237="","SEM STATUS",IF(O237="","SEM DATA",IF(O237&lt;0,"VENCIDO",IF(O237&lt;=DiasAlerta,"VENCE EM BREVE","NO PRAZO")))))))</f>
        <v/>
      </c>
      <c r="Q237" s="117" t="str">
        <f>IF(D237="","",TODAY()-D237)</f>
        <v/>
      </c>
      <c r="R237" s="110" t="n"/>
    </row>
    <row r="238" ht="18" customHeight="1">
      <c r="A238" s="109" t="n"/>
      <c r="B238" s="110" t="n"/>
      <c r="C238" s="110" t="n"/>
      <c r="D238" s="111" t="n"/>
      <c r="E238" s="110" t="n"/>
      <c r="F238" s="112" t="n"/>
      <c r="G238" s="112" t="n"/>
      <c r="H238" s="110" t="n"/>
      <c r="I238" s="113" t="n"/>
      <c r="J238" s="113" t="n"/>
      <c r="K238" s="111" t="n"/>
      <c r="L238" s="111" t="n"/>
      <c r="M238" s="111" t="n"/>
      <c r="N238" s="114" t="str">
        <f>IF(OR(D238="",E238=""),"",D238+IF(E238="NOTIFICAÇÃO DE CONSTATAÇÃO",PrazoConst,PrazoEsc))</f>
        <v/>
      </c>
      <c r="O238" s="115" t="str">
        <f>IF(N238="","",IF(ISNUMBER(L238),N238-L238,IF(OR(G238="DECISÃO D.P",ISNUMBER(M238)),"",N238-TODAY())))</f>
        <v/>
      </c>
      <c r="P238" s="116" t="str">
        <f>IF(B238="","",IF(ISNUMBER(M238),"DECIDIDO – ","")&amp;IF(ISNUMBER(L238),IF(O238="","SEM DATA",IF(O238&gt;=0,"DEFESA NO PRAZO","DEFESA FORA DO PRAZO")),IF(OR(G238="DECISÃO D.P",ISNUMBER(M238)),"SEM DEFESA",IF(G238="","SEM STATUS",IF(O238="","SEM DATA",IF(O238&lt;0,"VENCIDO",IF(O238&lt;=DiasAlerta,"VENCE EM BREVE","NO PRAZO")))))))</f>
        <v/>
      </c>
      <c r="Q238" s="117" t="str">
        <f>IF(D238="","",TODAY()-D238)</f>
        <v/>
      </c>
      <c r="R238" s="110" t="n"/>
    </row>
    <row r="239" ht="18" customHeight="1">
      <c r="A239" s="109" t="n"/>
      <c r="B239" s="110" t="n"/>
      <c r="C239" s="110" t="n"/>
      <c r="D239" s="111" t="n"/>
      <c r="E239" s="110" t="n"/>
      <c r="F239" s="112" t="n"/>
      <c r="G239" s="112" t="n"/>
      <c r="H239" s="110" t="n"/>
      <c r="I239" s="113" t="n"/>
      <c r="J239" s="113" t="n"/>
      <c r="K239" s="111" t="n"/>
      <c r="L239" s="111" t="n"/>
      <c r="M239" s="111" t="n"/>
      <c r="N239" s="114" t="str">
        <f>IF(OR(D239="",E239=""),"",D239+IF(E239="NOTIFICAÇÃO DE CONSTATAÇÃO",PrazoConst,PrazoEsc))</f>
        <v/>
      </c>
      <c r="O239" s="115" t="str">
        <f>IF(N239="","",IF(ISNUMBER(L239),N239-L239,IF(OR(G239="DECISÃO D.P",ISNUMBER(M239)),"",N239-TODAY())))</f>
        <v/>
      </c>
      <c r="P239" s="116" t="str">
        <f>IF(B239="","",IF(ISNUMBER(M239),"DECIDIDO – ","")&amp;IF(ISNUMBER(L239),IF(O239="","SEM DATA",IF(O239&gt;=0,"DEFESA NO PRAZO","DEFESA FORA DO PRAZO")),IF(OR(G239="DECISÃO D.P",ISNUMBER(M239)),"SEM DEFESA",IF(G239="","SEM STATUS",IF(O239="","SEM DATA",IF(O239&lt;0,"VENCIDO",IF(O239&lt;=DiasAlerta,"VENCE EM BREVE","NO PRAZO")))))))</f>
        <v/>
      </c>
      <c r="Q239" s="117" t="str">
        <f>IF(D239="","",TODAY()-D239)</f>
        <v/>
      </c>
      <c r="R239" s="110" t="n"/>
    </row>
    <row r="240" ht="18" customHeight="1">
      <c r="A240" s="109" t="n"/>
      <c r="B240" s="110" t="n"/>
      <c r="C240" s="110" t="n"/>
      <c r="D240" s="111" t="n"/>
      <c r="E240" s="110" t="n"/>
      <c r="F240" s="112" t="n"/>
      <c r="G240" s="112" t="n"/>
      <c r="H240" s="110" t="n"/>
      <c r="I240" s="113" t="n"/>
      <c r="J240" s="113" t="n"/>
      <c r="K240" s="111" t="n"/>
      <c r="L240" s="111" t="n"/>
      <c r="M240" s="111" t="n"/>
      <c r="N240" s="114" t="str">
        <f>IF(OR(D240="",E240=""),"",D240+IF(E240="NOTIFICAÇÃO DE CONSTATAÇÃO",PrazoConst,PrazoEsc))</f>
        <v/>
      </c>
      <c r="O240" s="115" t="str">
        <f>IF(N240="","",IF(ISNUMBER(L240),N240-L240,IF(OR(G240="DECISÃO D.P",ISNUMBER(M240)),"",N240-TODAY())))</f>
        <v/>
      </c>
      <c r="P240" s="116" t="str">
        <f>IF(B240="","",IF(ISNUMBER(M240),"DECIDIDO – ","")&amp;IF(ISNUMBER(L240),IF(O240="","SEM DATA",IF(O240&gt;=0,"DEFESA NO PRAZO","DEFESA FORA DO PRAZO")),IF(OR(G240="DECISÃO D.P",ISNUMBER(M240)),"SEM DEFESA",IF(G240="","SEM STATUS",IF(O240="","SEM DATA",IF(O240&lt;0,"VENCIDO",IF(O240&lt;=DiasAlerta,"VENCE EM BREVE","NO PRAZO")))))))</f>
        <v/>
      </c>
      <c r="Q240" s="117" t="str">
        <f>IF(D240="","",TODAY()-D240)</f>
        <v/>
      </c>
      <c r="R240" s="110" t="n"/>
    </row>
    <row r="241" ht="18" customHeight="1">
      <c r="A241" s="109" t="n"/>
      <c r="B241" s="110" t="n"/>
      <c r="C241" s="110" t="n"/>
      <c r="D241" s="111" t="n"/>
      <c r="E241" s="110" t="n"/>
      <c r="F241" s="112" t="n"/>
      <c r="G241" s="112" t="n"/>
      <c r="H241" s="110" t="n"/>
      <c r="I241" s="113" t="n"/>
      <c r="J241" s="113" t="n"/>
      <c r="K241" s="111" t="n"/>
      <c r="L241" s="111" t="n"/>
      <c r="M241" s="111" t="n"/>
      <c r="N241" s="114" t="str">
        <f>IF(OR(D241="",E241=""),"",D241+IF(E241="NOTIFICAÇÃO DE CONSTATAÇÃO",PrazoConst,PrazoEsc))</f>
        <v/>
      </c>
      <c r="O241" s="115" t="str">
        <f>IF(N241="","",IF(ISNUMBER(L241),N241-L241,IF(OR(G241="DECISÃO D.P",ISNUMBER(M241)),"",N241-TODAY())))</f>
        <v/>
      </c>
      <c r="P241" s="116" t="str">
        <f>IF(B241="","",IF(ISNUMBER(M241),"DECIDIDO – ","")&amp;IF(ISNUMBER(L241),IF(O241="","SEM DATA",IF(O241&gt;=0,"DEFESA NO PRAZO","DEFESA FORA DO PRAZO")),IF(OR(G241="DECISÃO D.P",ISNUMBER(M241)),"SEM DEFESA",IF(G241="","SEM STATUS",IF(O241="","SEM DATA",IF(O241&lt;0,"VENCIDO",IF(O241&lt;=DiasAlerta,"VENCE EM BREVE","NO PRAZO")))))))</f>
        <v/>
      </c>
      <c r="Q241" s="117" t="str">
        <f>IF(D241="","",TODAY()-D241)</f>
        <v/>
      </c>
      <c r="R241" s="110" t="n"/>
    </row>
    <row r="242" ht="18" customHeight="1">
      <c r="A242" s="109" t="n"/>
      <c r="B242" s="110" t="n"/>
      <c r="C242" s="110" t="n"/>
      <c r="D242" s="111" t="n"/>
      <c r="E242" s="110" t="n"/>
      <c r="F242" s="112" t="n"/>
      <c r="G242" s="112" t="n"/>
      <c r="H242" s="110" t="n"/>
      <c r="I242" s="113" t="n"/>
      <c r="J242" s="113" t="n"/>
      <c r="K242" s="111" t="n"/>
      <c r="L242" s="111" t="n"/>
      <c r="M242" s="111" t="n"/>
      <c r="N242" s="114" t="str">
        <f>IF(OR(D242="",E242=""),"",D242+IF(E242="NOTIFICAÇÃO DE CONSTATAÇÃO",PrazoConst,PrazoEsc))</f>
        <v/>
      </c>
      <c r="O242" s="115" t="str">
        <f>IF(N242="","",IF(ISNUMBER(L242),N242-L242,IF(OR(G242="DECISÃO D.P",ISNUMBER(M242)),"",N242-TODAY())))</f>
        <v/>
      </c>
      <c r="P242" s="116" t="str">
        <f>IF(B242="","",IF(ISNUMBER(M242),"DECIDIDO – ","")&amp;IF(ISNUMBER(L242),IF(O242="","SEM DATA",IF(O242&gt;=0,"DEFESA NO PRAZO","DEFESA FORA DO PRAZO")),IF(OR(G242="DECISÃO D.P",ISNUMBER(M242)),"SEM DEFESA",IF(G242="","SEM STATUS",IF(O242="","SEM DATA",IF(O242&lt;0,"VENCIDO",IF(O242&lt;=DiasAlerta,"VENCE EM BREVE","NO PRAZO")))))))</f>
        <v/>
      </c>
      <c r="Q242" s="117" t="str">
        <f>IF(D242="","",TODAY()-D242)</f>
        <v/>
      </c>
      <c r="R242" s="110" t="n"/>
    </row>
    <row r="243" ht="18" customHeight="1">
      <c r="A243" s="109" t="n"/>
      <c r="B243" s="110" t="n"/>
      <c r="C243" s="110" t="n"/>
      <c r="D243" s="111" t="n"/>
      <c r="E243" s="110" t="n"/>
      <c r="F243" s="112" t="n"/>
      <c r="G243" s="112" t="n"/>
      <c r="H243" s="110" t="n"/>
      <c r="I243" s="113" t="n"/>
      <c r="J243" s="113" t="n"/>
      <c r="K243" s="111" t="n"/>
      <c r="L243" s="111" t="n"/>
      <c r="M243" s="111" t="n"/>
      <c r="N243" s="114" t="str">
        <f>IF(OR(D243="",E243=""),"",D243+IF(E243="NOTIFICAÇÃO DE CONSTATAÇÃO",PrazoConst,PrazoEsc))</f>
        <v/>
      </c>
      <c r="O243" s="115" t="str">
        <f>IF(N243="","",IF(ISNUMBER(L243),N243-L243,IF(OR(G243="DECISÃO D.P",ISNUMBER(M243)),"",N243-TODAY())))</f>
        <v/>
      </c>
      <c r="P243" s="116" t="str">
        <f>IF(B243="","",IF(ISNUMBER(M243),"DECIDIDO – ","")&amp;IF(ISNUMBER(L243),IF(O243="","SEM DATA",IF(O243&gt;=0,"DEFESA NO PRAZO","DEFESA FORA DO PRAZO")),IF(OR(G243="DECISÃO D.P",ISNUMBER(M243)),"SEM DEFESA",IF(G243="","SEM STATUS",IF(O243="","SEM DATA",IF(O243&lt;0,"VENCIDO",IF(O243&lt;=DiasAlerta,"VENCE EM BREVE","NO PRAZO")))))))</f>
        <v/>
      </c>
      <c r="Q243" s="117" t="str">
        <f>IF(D243="","",TODAY()-D243)</f>
        <v/>
      </c>
      <c r="R243" s="110" t="n"/>
    </row>
    <row r="244" ht="18" customHeight="1">
      <c r="A244" s="109" t="n"/>
      <c r="B244" s="110" t="n"/>
      <c r="C244" s="110" t="n"/>
      <c r="D244" s="111" t="n"/>
      <c r="E244" s="110" t="n"/>
      <c r="F244" s="112" t="n"/>
      <c r="G244" s="112" t="n"/>
      <c r="H244" s="110" t="n"/>
      <c r="I244" s="113" t="n"/>
      <c r="J244" s="113" t="n"/>
      <c r="K244" s="111" t="n"/>
      <c r="L244" s="111" t="n"/>
      <c r="M244" s="111" t="n"/>
      <c r="N244" s="114" t="str">
        <f>IF(OR(D244="",E244=""),"",D244+IF(E244="NOTIFICAÇÃO DE CONSTATAÇÃO",PrazoConst,PrazoEsc))</f>
        <v/>
      </c>
      <c r="O244" s="115" t="str">
        <f>IF(N244="","",IF(ISNUMBER(L244),N244-L244,IF(OR(G244="DECISÃO D.P",ISNUMBER(M244)),"",N244-TODAY())))</f>
        <v/>
      </c>
      <c r="P244" s="116" t="str">
        <f>IF(B244="","",IF(ISNUMBER(M244),"DECIDIDO – ","")&amp;IF(ISNUMBER(L244),IF(O244="","SEM DATA",IF(O244&gt;=0,"DEFESA NO PRAZO","DEFESA FORA DO PRAZO")),IF(OR(G244="DECISÃO D.P",ISNUMBER(M244)),"SEM DEFESA",IF(G244="","SEM STATUS",IF(O244="","SEM DATA",IF(O244&lt;0,"VENCIDO",IF(O244&lt;=DiasAlerta,"VENCE EM BREVE","NO PRAZO")))))))</f>
        <v/>
      </c>
      <c r="Q244" s="117" t="str">
        <f>IF(D244="","",TODAY()-D244)</f>
        <v/>
      </c>
      <c r="R244" s="110" t="n"/>
    </row>
    <row r="245" ht="18" customHeight="1">
      <c r="A245" s="109" t="n"/>
      <c r="B245" s="110" t="n"/>
      <c r="C245" s="110" t="n"/>
      <c r="D245" s="111" t="n"/>
      <c r="E245" s="110" t="n"/>
      <c r="F245" s="112" t="n"/>
      <c r="G245" s="112" t="n"/>
      <c r="H245" s="110" t="n"/>
      <c r="I245" s="113" t="n"/>
      <c r="J245" s="113" t="n"/>
      <c r="K245" s="111" t="n"/>
      <c r="L245" s="111" t="n"/>
      <c r="M245" s="111" t="n"/>
      <c r="N245" s="114" t="str">
        <f>IF(OR(D245="",E245=""),"",D245+IF(E245="NOTIFICAÇÃO DE CONSTATAÇÃO",PrazoConst,PrazoEsc))</f>
        <v/>
      </c>
      <c r="O245" s="115" t="str">
        <f>IF(N245="","",IF(ISNUMBER(L245),N245-L245,IF(OR(G245="DECISÃO D.P",ISNUMBER(M245)),"",N245-TODAY())))</f>
        <v/>
      </c>
      <c r="P245" s="116" t="str">
        <f>IF(B245="","",IF(ISNUMBER(M245),"DECIDIDO – ","")&amp;IF(ISNUMBER(L245),IF(O245="","SEM DATA",IF(O245&gt;=0,"DEFESA NO PRAZO","DEFESA FORA DO PRAZO")),IF(OR(G245="DECISÃO D.P",ISNUMBER(M245)),"SEM DEFESA",IF(G245="","SEM STATUS",IF(O245="","SEM DATA",IF(O245&lt;0,"VENCIDO",IF(O245&lt;=DiasAlerta,"VENCE EM BREVE","NO PRAZO")))))))</f>
        <v/>
      </c>
      <c r="Q245" s="117" t="str">
        <f>IF(D245="","",TODAY()-D245)</f>
        <v/>
      </c>
      <c r="R245" s="110" t="n"/>
    </row>
    <row r="246" ht="18" customHeight="1">
      <c r="A246" s="109" t="n"/>
      <c r="B246" s="110" t="n"/>
      <c r="C246" s="110" t="n"/>
      <c r="D246" s="111" t="n"/>
      <c r="E246" s="110" t="n"/>
      <c r="F246" s="112" t="n"/>
      <c r="G246" s="112" t="n"/>
      <c r="H246" s="110" t="n"/>
      <c r="I246" s="113" t="n"/>
      <c r="J246" s="113" t="n"/>
      <c r="K246" s="111" t="n"/>
      <c r="L246" s="111" t="n"/>
      <c r="M246" s="111" t="n"/>
      <c r="N246" s="114" t="str">
        <f>IF(OR(D246="",E246=""),"",D246+IF(E246="NOTIFICAÇÃO DE CONSTATAÇÃO",PrazoConst,PrazoEsc))</f>
        <v/>
      </c>
      <c r="O246" s="115" t="str">
        <f>IF(N246="","",IF(ISNUMBER(L246),N246-L246,IF(OR(G246="DECISÃO D.P",ISNUMBER(M246)),"",N246-TODAY())))</f>
        <v/>
      </c>
      <c r="P246" s="116" t="str">
        <f>IF(B246="","",IF(ISNUMBER(M246),"DECIDIDO – ","")&amp;IF(ISNUMBER(L246),IF(O246="","SEM DATA",IF(O246&gt;=0,"DEFESA NO PRAZO","DEFESA FORA DO PRAZO")),IF(OR(G246="DECISÃO D.P",ISNUMBER(M246)),"SEM DEFESA",IF(G246="","SEM STATUS",IF(O246="","SEM DATA",IF(O246&lt;0,"VENCIDO",IF(O246&lt;=DiasAlerta,"VENCE EM BREVE","NO PRAZO")))))))</f>
        <v/>
      </c>
      <c r="Q246" s="117" t="str">
        <f>IF(D246="","",TODAY()-D246)</f>
        <v/>
      </c>
      <c r="R246" s="110" t="n"/>
    </row>
    <row r="247" ht="18" customHeight="1">
      <c r="A247" s="109" t="n"/>
      <c r="B247" s="110" t="n"/>
      <c r="C247" s="110" t="n"/>
      <c r="D247" s="111" t="n"/>
      <c r="E247" s="110" t="n"/>
      <c r="F247" s="112" t="n"/>
      <c r="G247" s="112" t="n"/>
      <c r="H247" s="110" t="n"/>
      <c r="I247" s="113" t="n"/>
      <c r="J247" s="113" t="n"/>
      <c r="K247" s="111" t="n"/>
      <c r="L247" s="111" t="n"/>
      <c r="M247" s="111" t="n"/>
      <c r="N247" s="114" t="str">
        <f>IF(OR(D247="",E247=""),"",D247+IF(E247="NOTIFICAÇÃO DE CONSTATAÇÃO",PrazoConst,PrazoEsc))</f>
        <v/>
      </c>
      <c r="O247" s="115" t="str">
        <f>IF(N247="","",IF(ISNUMBER(L247),N247-L247,IF(OR(G247="DECISÃO D.P",ISNUMBER(M247)),"",N247-TODAY())))</f>
        <v/>
      </c>
      <c r="P247" s="116" t="str">
        <f>IF(B247="","",IF(ISNUMBER(M247),"DECIDIDO – ","")&amp;IF(ISNUMBER(L247),IF(O247="","SEM DATA",IF(O247&gt;=0,"DEFESA NO PRAZO","DEFESA FORA DO PRAZO")),IF(OR(G247="DECISÃO D.P",ISNUMBER(M247)),"SEM DEFESA",IF(G247="","SEM STATUS",IF(O247="","SEM DATA",IF(O247&lt;0,"VENCIDO",IF(O247&lt;=DiasAlerta,"VENCE EM BREVE","NO PRAZO")))))))</f>
        <v/>
      </c>
      <c r="Q247" s="117" t="str">
        <f>IF(D247="","",TODAY()-D247)</f>
        <v/>
      </c>
      <c r="R247" s="110" t="n"/>
    </row>
    <row r="248" ht="18" customHeight="1">
      <c r="A248" s="109" t="n"/>
      <c r="B248" s="110" t="n"/>
      <c r="C248" s="110" t="n"/>
      <c r="D248" s="111" t="n"/>
      <c r="E248" s="110" t="n"/>
      <c r="F248" s="112" t="n"/>
      <c r="G248" s="112" t="n"/>
      <c r="H248" s="110" t="n"/>
      <c r="I248" s="113" t="n"/>
      <c r="J248" s="113" t="n"/>
      <c r="K248" s="111" t="n"/>
      <c r="L248" s="111" t="n"/>
      <c r="M248" s="111" t="n"/>
      <c r="N248" s="114" t="str">
        <f>IF(OR(D248="",E248=""),"",D248+IF(E248="NOTIFICAÇÃO DE CONSTATAÇÃO",PrazoConst,PrazoEsc))</f>
        <v/>
      </c>
      <c r="O248" s="115" t="str">
        <f>IF(N248="","",IF(ISNUMBER(L248),N248-L248,IF(OR(G248="DECISÃO D.P",ISNUMBER(M248)),"",N248-TODAY())))</f>
        <v/>
      </c>
      <c r="P248" s="116" t="str">
        <f>IF(B248="","",IF(ISNUMBER(M248),"DECIDIDO – ","")&amp;IF(ISNUMBER(L248),IF(O248="","SEM DATA",IF(O248&gt;=0,"DEFESA NO PRAZO","DEFESA FORA DO PRAZO")),IF(OR(G248="DECISÃO D.P",ISNUMBER(M248)),"SEM DEFESA",IF(G248="","SEM STATUS",IF(O248="","SEM DATA",IF(O248&lt;0,"VENCIDO",IF(O248&lt;=DiasAlerta,"VENCE EM BREVE","NO PRAZO")))))))</f>
        <v/>
      </c>
      <c r="Q248" s="117" t="str">
        <f>IF(D248="","",TODAY()-D248)</f>
        <v/>
      </c>
      <c r="R248" s="110" t="n"/>
    </row>
    <row r="249" ht="18" customHeight="1">
      <c r="A249" s="109" t="n"/>
      <c r="B249" s="110" t="n"/>
      <c r="C249" s="110" t="n"/>
      <c r="D249" s="111" t="n"/>
      <c r="E249" s="110" t="n"/>
      <c r="F249" s="112" t="n"/>
      <c r="G249" s="112" t="n"/>
      <c r="H249" s="110" t="n"/>
      <c r="I249" s="113" t="n"/>
      <c r="J249" s="113" t="n"/>
      <c r="K249" s="111" t="n"/>
      <c r="L249" s="111" t="n"/>
      <c r="M249" s="111" t="n"/>
      <c r="N249" s="114" t="str">
        <f>IF(OR(D249="",E249=""),"",D249+IF(E249="NOTIFICAÇÃO DE CONSTATAÇÃO",PrazoConst,PrazoEsc))</f>
        <v/>
      </c>
      <c r="O249" s="115" t="str">
        <f>IF(N249="","",IF(ISNUMBER(L249),N249-L249,IF(OR(G249="DECISÃO D.P",ISNUMBER(M249)),"",N249-TODAY())))</f>
        <v/>
      </c>
      <c r="P249" s="116" t="str">
        <f>IF(B249="","",IF(ISNUMBER(M249),"DECIDIDO – ","")&amp;IF(ISNUMBER(L249),IF(O249="","SEM DATA",IF(O249&gt;=0,"DEFESA NO PRAZO","DEFESA FORA DO PRAZO")),IF(OR(G249="DECISÃO D.P",ISNUMBER(M249)),"SEM DEFESA",IF(G249="","SEM STATUS",IF(O249="","SEM DATA",IF(O249&lt;0,"VENCIDO",IF(O249&lt;=DiasAlerta,"VENCE EM BREVE","NO PRAZO")))))))</f>
        <v/>
      </c>
      <c r="Q249" s="117" t="str">
        <f>IF(D249="","",TODAY()-D249)</f>
        <v/>
      </c>
      <c r="R249" s="110" t="n"/>
    </row>
    <row r="250" ht="18" customHeight="1">
      <c r="A250" s="109" t="n"/>
      <c r="B250" s="110" t="n"/>
      <c r="C250" s="110" t="n"/>
      <c r="D250" s="111" t="n"/>
      <c r="E250" s="110" t="n"/>
      <c r="F250" s="112" t="n"/>
      <c r="G250" s="112" t="n"/>
      <c r="H250" s="110" t="n"/>
      <c r="I250" s="113" t="n"/>
      <c r="J250" s="113" t="n"/>
      <c r="K250" s="111" t="n"/>
      <c r="L250" s="111" t="n"/>
      <c r="M250" s="111" t="n"/>
      <c r="N250" s="114" t="str">
        <f>IF(OR(D250="",E250=""),"",D250+IF(E250="NOTIFICAÇÃO DE CONSTATAÇÃO",PrazoConst,PrazoEsc))</f>
        <v/>
      </c>
      <c r="O250" s="115" t="str">
        <f>IF(N250="","",IF(ISNUMBER(L250),N250-L250,IF(OR(G250="DECISÃO D.P",ISNUMBER(M250)),"",N250-TODAY())))</f>
        <v/>
      </c>
      <c r="P250" s="116" t="str">
        <f>IF(B250="","",IF(ISNUMBER(M250),"DECIDIDO – ","")&amp;IF(ISNUMBER(L250),IF(O250="","SEM DATA",IF(O250&gt;=0,"DEFESA NO PRAZO","DEFESA FORA DO PRAZO")),IF(OR(G250="DECISÃO D.P",ISNUMBER(M250)),"SEM DEFESA",IF(G250="","SEM STATUS",IF(O250="","SEM DATA",IF(O250&lt;0,"VENCIDO",IF(O250&lt;=DiasAlerta,"VENCE EM BREVE","NO PRAZO")))))))</f>
        <v/>
      </c>
      <c r="Q250" s="117" t="str">
        <f>IF(D250="","",TODAY()-D250)</f>
        <v/>
      </c>
      <c r="R250" s="110" t="n"/>
    </row>
    <row r="251" ht="18" customHeight="1">
      <c r="A251" s="109" t="n"/>
      <c r="B251" s="110" t="n"/>
      <c r="C251" s="110" t="n"/>
      <c r="D251" s="111" t="n"/>
      <c r="E251" s="110" t="n"/>
      <c r="F251" s="112" t="n"/>
      <c r="G251" s="112" t="n"/>
      <c r="H251" s="110" t="n"/>
      <c r="I251" s="113" t="n"/>
      <c r="J251" s="113" t="n"/>
      <c r="K251" s="111" t="n"/>
      <c r="L251" s="111" t="n"/>
      <c r="M251" s="111" t="n"/>
      <c r="N251" s="114" t="str">
        <f>IF(OR(D251="",E251=""),"",D251+IF(E251="NOTIFICAÇÃO DE CONSTATAÇÃO",PrazoConst,PrazoEsc))</f>
        <v/>
      </c>
      <c r="O251" s="115" t="str">
        <f>IF(N251="","",IF(ISNUMBER(L251),N251-L251,IF(OR(G251="DECISÃO D.P",ISNUMBER(M251)),"",N251-TODAY())))</f>
        <v/>
      </c>
      <c r="P251" s="116" t="str">
        <f>IF(B251="","",IF(ISNUMBER(M251),"DECIDIDO – ","")&amp;IF(ISNUMBER(L251),IF(O251="","SEM DATA",IF(O251&gt;=0,"DEFESA NO PRAZO","DEFESA FORA DO PRAZO")),IF(OR(G251="DECISÃO D.P",ISNUMBER(M251)),"SEM DEFESA",IF(G251="","SEM STATUS",IF(O251="","SEM DATA",IF(O251&lt;0,"VENCIDO",IF(O251&lt;=DiasAlerta,"VENCE EM BREVE","NO PRAZO")))))))</f>
        <v/>
      </c>
      <c r="Q251" s="117" t="str">
        <f>IF(D251="","",TODAY()-D251)</f>
        <v/>
      </c>
      <c r="R251" s="110" t="n"/>
    </row>
    <row r="252" ht="18" customHeight="1">
      <c r="A252" s="109" t="n"/>
      <c r="B252" s="110" t="n"/>
      <c r="C252" s="110" t="n"/>
      <c r="D252" s="111" t="n"/>
      <c r="E252" s="110" t="n"/>
      <c r="F252" s="112" t="n"/>
      <c r="G252" s="112" t="n"/>
      <c r="H252" s="110" t="n"/>
      <c r="I252" s="113" t="n"/>
      <c r="J252" s="113" t="n"/>
      <c r="K252" s="111" t="n"/>
      <c r="L252" s="111" t="n"/>
      <c r="M252" s="111" t="n"/>
      <c r="N252" s="114" t="str">
        <f>IF(OR(D252="",E252=""),"",D252+IF(E252="NOTIFICAÇÃO DE CONSTATAÇÃO",PrazoConst,PrazoEsc))</f>
        <v/>
      </c>
      <c r="O252" s="115" t="str">
        <f>IF(N252="","",IF(ISNUMBER(L252),N252-L252,IF(OR(G252="DECISÃO D.P",ISNUMBER(M252)),"",N252-TODAY())))</f>
        <v/>
      </c>
      <c r="P252" s="116" t="str">
        <f>IF(B252="","",IF(ISNUMBER(M252),"DECIDIDO – ","")&amp;IF(ISNUMBER(L252),IF(O252="","SEM DATA",IF(O252&gt;=0,"DEFESA NO PRAZO","DEFESA FORA DO PRAZO")),IF(OR(G252="DECISÃO D.P",ISNUMBER(M252)),"SEM DEFESA",IF(G252="","SEM STATUS",IF(O252="","SEM DATA",IF(O252&lt;0,"VENCIDO",IF(O252&lt;=DiasAlerta,"VENCE EM BREVE","NO PRAZO")))))))</f>
        <v/>
      </c>
      <c r="Q252" s="117" t="str">
        <f>IF(D252="","",TODAY()-D252)</f>
        <v/>
      </c>
      <c r="R252" s="110" t="n"/>
    </row>
    <row r="253" ht="18" customHeight="1">
      <c r="A253" s="109" t="n"/>
      <c r="B253" s="110" t="n"/>
      <c r="C253" s="110" t="n"/>
      <c r="D253" s="111" t="n"/>
      <c r="E253" s="110" t="n"/>
      <c r="F253" s="112" t="n"/>
      <c r="G253" s="112" t="n"/>
      <c r="H253" s="110" t="n"/>
      <c r="I253" s="113" t="n"/>
      <c r="J253" s="113" t="n"/>
      <c r="K253" s="111" t="n"/>
      <c r="L253" s="111" t="n"/>
      <c r="M253" s="111" t="n"/>
      <c r="N253" s="114" t="str">
        <f>IF(OR(D253="",E253=""),"",D253+IF(E253="NOTIFICAÇÃO DE CONSTATAÇÃO",PrazoConst,PrazoEsc))</f>
        <v/>
      </c>
      <c r="O253" s="115" t="str">
        <f>IF(N253="","",IF(ISNUMBER(L253),N253-L253,IF(OR(G253="DECISÃO D.P",ISNUMBER(M253)),"",N253-TODAY())))</f>
        <v/>
      </c>
      <c r="P253" s="116" t="str">
        <f>IF(B253="","",IF(ISNUMBER(M253),"DECIDIDO – ","")&amp;IF(ISNUMBER(L253),IF(O253="","SEM DATA",IF(O253&gt;=0,"DEFESA NO PRAZO","DEFESA FORA DO PRAZO")),IF(OR(G253="DECISÃO D.P",ISNUMBER(M253)),"SEM DEFESA",IF(G253="","SEM STATUS",IF(O253="","SEM DATA",IF(O253&lt;0,"VENCIDO",IF(O253&lt;=DiasAlerta,"VENCE EM BREVE","NO PRAZO")))))))</f>
        <v/>
      </c>
      <c r="Q253" s="117" t="str">
        <f>IF(D253="","",TODAY()-D253)</f>
        <v/>
      </c>
      <c r="R253" s="110" t="n"/>
    </row>
    <row r="254" ht="18" customHeight="1">
      <c r="A254" s="109" t="n"/>
      <c r="B254" s="110" t="n"/>
      <c r="C254" s="110" t="n"/>
      <c r="D254" s="111" t="n"/>
      <c r="E254" s="110" t="n"/>
      <c r="F254" s="112" t="n"/>
      <c r="G254" s="112" t="n"/>
      <c r="H254" s="110" t="n"/>
      <c r="I254" s="113" t="n"/>
      <c r="J254" s="113" t="n"/>
      <c r="K254" s="111" t="n"/>
      <c r="L254" s="111" t="n"/>
      <c r="M254" s="111" t="n"/>
      <c r="N254" s="114" t="str">
        <f>IF(OR(D254="",E254=""),"",D254+IF(E254="NOTIFICAÇÃO DE CONSTATAÇÃO",PrazoConst,PrazoEsc))</f>
        <v/>
      </c>
      <c r="O254" s="115" t="str">
        <f>IF(N254="","",IF(ISNUMBER(L254),N254-L254,IF(OR(G254="DECISÃO D.P",ISNUMBER(M254)),"",N254-TODAY())))</f>
        <v/>
      </c>
      <c r="P254" s="116" t="str">
        <f>IF(B254="","",IF(ISNUMBER(M254),"DECIDIDO – ","")&amp;IF(ISNUMBER(L254),IF(O254="","SEM DATA",IF(O254&gt;=0,"DEFESA NO PRAZO","DEFESA FORA DO PRAZO")),IF(OR(G254="DECISÃO D.P",ISNUMBER(M254)),"SEM DEFESA",IF(G254="","SEM STATUS",IF(O254="","SEM DATA",IF(O254&lt;0,"VENCIDO",IF(O254&lt;=DiasAlerta,"VENCE EM BREVE","NO PRAZO")))))))</f>
        <v/>
      </c>
      <c r="Q254" s="117" t="str">
        <f>IF(D254="","",TODAY()-D254)</f>
        <v/>
      </c>
      <c r="R254" s="110" t="n"/>
    </row>
    <row r="255" ht="18" customHeight="1">
      <c r="A255" s="109" t="n"/>
      <c r="B255" s="110" t="n"/>
      <c r="C255" s="110" t="n"/>
      <c r="D255" s="111" t="n"/>
      <c r="E255" s="110" t="n"/>
      <c r="F255" s="112" t="n"/>
      <c r="G255" s="112" t="n"/>
      <c r="H255" s="110" t="n"/>
      <c r="I255" s="113" t="n"/>
      <c r="J255" s="113" t="n"/>
      <c r="K255" s="111" t="n"/>
      <c r="L255" s="111" t="n"/>
      <c r="M255" s="111" t="n"/>
      <c r="N255" s="114" t="str">
        <f>IF(OR(D255="",E255=""),"",D255+IF(E255="NOTIFICAÇÃO DE CONSTATAÇÃO",PrazoConst,PrazoEsc))</f>
        <v/>
      </c>
      <c r="O255" s="115" t="str">
        <f>IF(N255="","",IF(ISNUMBER(L255),N255-L255,IF(OR(G255="DECISÃO D.P",ISNUMBER(M255)),"",N255-TODAY())))</f>
        <v/>
      </c>
      <c r="P255" s="116" t="str">
        <f>IF(B255="","",IF(ISNUMBER(M255),"DECIDIDO – ","")&amp;IF(ISNUMBER(L255),IF(O255="","SEM DATA",IF(O255&gt;=0,"DEFESA NO PRAZO","DEFESA FORA DO PRAZO")),IF(OR(G255="DECISÃO D.P",ISNUMBER(M255)),"SEM DEFESA",IF(G255="","SEM STATUS",IF(O255="","SEM DATA",IF(O255&lt;0,"VENCIDO",IF(O255&lt;=DiasAlerta,"VENCE EM BREVE","NO PRAZO")))))))</f>
        <v/>
      </c>
      <c r="Q255" s="117" t="str">
        <f>IF(D255="","",TODAY()-D255)</f>
        <v/>
      </c>
      <c r="R255" s="110" t="n"/>
    </row>
    <row r="256" ht="18" customHeight="1">
      <c r="A256" s="109" t="n"/>
      <c r="B256" s="110" t="n"/>
      <c r="C256" s="110" t="n"/>
      <c r="D256" s="111" t="n"/>
      <c r="E256" s="110" t="n"/>
      <c r="F256" s="112" t="n"/>
      <c r="G256" s="112" t="n"/>
      <c r="H256" s="110" t="n"/>
      <c r="I256" s="113" t="n"/>
      <c r="J256" s="113" t="n"/>
      <c r="K256" s="111" t="n"/>
      <c r="L256" s="111" t="n"/>
      <c r="M256" s="111" t="n"/>
      <c r="N256" s="114" t="str">
        <f>IF(OR(D256="",E256=""),"",D256+IF(E256="NOTIFICAÇÃO DE CONSTATAÇÃO",PrazoConst,PrazoEsc))</f>
        <v/>
      </c>
      <c r="O256" s="115" t="str">
        <f>IF(N256="","",IF(ISNUMBER(L256),N256-L256,IF(OR(G256="DECISÃO D.P",ISNUMBER(M256)),"",N256-TODAY())))</f>
        <v/>
      </c>
      <c r="P256" s="116" t="str">
        <f>IF(B256="","",IF(ISNUMBER(M256),"DECIDIDO – ","")&amp;IF(ISNUMBER(L256),IF(O256="","SEM DATA",IF(O256&gt;=0,"DEFESA NO PRAZO","DEFESA FORA DO PRAZO")),IF(OR(G256="DECISÃO D.P",ISNUMBER(M256)),"SEM DEFESA",IF(G256="","SEM STATUS",IF(O256="","SEM DATA",IF(O256&lt;0,"VENCIDO",IF(O256&lt;=DiasAlerta,"VENCE EM BREVE","NO PRAZO")))))))</f>
        <v/>
      </c>
      <c r="Q256" s="117" t="str">
        <f>IF(D256="","",TODAY()-D256)</f>
        <v/>
      </c>
      <c r="R256" s="110" t="n"/>
    </row>
    <row r="257" ht="18" customHeight="1">
      <c r="A257" s="109" t="n"/>
      <c r="B257" s="110" t="n"/>
      <c r="C257" s="110" t="n"/>
      <c r="D257" s="111" t="n"/>
      <c r="E257" s="110" t="n"/>
      <c r="F257" s="112" t="n"/>
      <c r="G257" s="112" t="n"/>
      <c r="H257" s="110" t="n"/>
      <c r="I257" s="113" t="n"/>
      <c r="J257" s="113" t="n"/>
      <c r="K257" s="111" t="n"/>
      <c r="L257" s="111" t="n"/>
      <c r="M257" s="111" t="n"/>
      <c r="N257" s="114" t="str">
        <f>IF(OR(D257="",E257=""),"",D257+IF(E257="NOTIFICAÇÃO DE CONSTATAÇÃO",PrazoConst,PrazoEsc))</f>
        <v/>
      </c>
      <c r="O257" s="115" t="str">
        <f>IF(N257="","",IF(ISNUMBER(L257),N257-L257,IF(OR(G257="DECISÃO D.P",ISNUMBER(M257)),"",N257-TODAY())))</f>
        <v/>
      </c>
      <c r="P257" s="116" t="str">
        <f>IF(B257="","",IF(ISNUMBER(M257),"DECIDIDO – ","")&amp;IF(ISNUMBER(L257),IF(O257="","SEM DATA",IF(O257&gt;=0,"DEFESA NO PRAZO","DEFESA FORA DO PRAZO")),IF(OR(G257="DECISÃO D.P",ISNUMBER(M257)),"SEM DEFESA",IF(G257="","SEM STATUS",IF(O257="","SEM DATA",IF(O257&lt;0,"VENCIDO",IF(O257&lt;=DiasAlerta,"VENCE EM BREVE","NO PRAZO")))))))</f>
        <v/>
      </c>
      <c r="Q257" s="117" t="str">
        <f>IF(D257="","",TODAY()-D257)</f>
        <v/>
      </c>
      <c r="R257" s="110" t="n"/>
    </row>
    <row r="258" ht="18" customHeight="1">
      <c r="A258" s="109" t="n"/>
      <c r="B258" s="110" t="n"/>
      <c r="C258" s="110" t="n"/>
      <c r="D258" s="111" t="n"/>
      <c r="E258" s="110" t="n"/>
      <c r="F258" s="112" t="n"/>
      <c r="G258" s="112" t="n"/>
      <c r="H258" s="110" t="n"/>
      <c r="I258" s="113" t="n"/>
      <c r="J258" s="113" t="n"/>
      <c r="K258" s="111" t="n"/>
      <c r="L258" s="111" t="n"/>
      <c r="M258" s="111" t="n"/>
      <c r="N258" s="114" t="str">
        <f>IF(OR(D258="",E258=""),"",D258+IF(E258="NOTIFICAÇÃO DE CONSTATAÇÃO",PrazoConst,PrazoEsc))</f>
        <v/>
      </c>
      <c r="O258" s="115" t="str">
        <f>IF(N258="","",IF(ISNUMBER(L258),N258-L258,IF(OR(G258="DECISÃO D.P",ISNUMBER(M258)),"",N258-TODAY())))</f>
        <v/>
      </c>
      <c r="P258" s="116" t="str">
        <f>IF(B258="","",IF(ISNUMBER(M258),"DECIDIDO – ","")&amp;IF(ISNUMBER(L258),IF(O258="","SEM DATA",IF(O258&gt;=0,"DEFESA NO PRAZO","DEFESA FORA DO PRAZO")),IF(OR(G258="DECISÃO D.P",ISNUMBER(M258)),"SEM DEFESA",IF(G258="","SEM STATUS",IF(O258="","SEM DATA",IF(O258&lt;0,"VENCIDO",IF(O258&lt;=DiasAlerta,"VENCE EM BREVE","NO PRAZO")))))))</f>
        <v/>
      </c>
      <c r="Q258" s="117" t="str">
        <f>IF(D258="","",TODAY()-D258)</f>
        <v/>
      </c>
      <c r="R258" s="110" t="n"/>
    </row>
    <row r="259" ht="18" customHeight="1">
      <c r="A259" s="109" t="n"/>
      <c r="B259" s="110" t="n"/>
      <c r="C259" s="110" t="n"/>
      <c r="D259" s="111" t="n"/>
      <c r="E259" s="110" t="n"/>
      <c r="F259" s="112" t="n"/>
      <c r="G259" s="112" t="n"/>
      <c r="H259" s="110" t="n"/>
      <c r="I259" s="113" t="n"/>
      <c r="J259" s="113" t="n"/>
      <c r="K259" s="111" t="n"/>
      <c r="L259" s="111" t="n"/>
      <c r="M259" s="111" t="n"/>
      <c r="N259" s="114" t="str">
        <f>IF(OR(D259="",E259=""),"",D259+IF(E259="NOTIFICAÇÃO DE CONSTATAÇÃO",PrazoConst,PrazoEsc))</f>
        <v/>
      </c>
      <c r="O259" s="115" t="str">
        <f>IF(N259="","",IF(ISNUMBER(L259),N259-L259,IF(OR(G259="DECISÃO D.P",ISNUMBER(M259)),"",N259-TODAY())))</f>
        <v/>
      </c>
      <c r="P259" s="116" t="str">
        <f>IF(B259="","",IF(ISNUMBER(M259),"DECIDIDO – ","")&amp;IF(ISNUMBER(L259),IF(O259="","SEM DATA",IF(O259&gt;=0,"DEFESA NO PRAZO","DEFESA FORA DO PRAZO")),IF(OR(G259="DECISÃO D.P",ISNUMBER(M259)),"SEM DEFESA",IF(G259="","SEM STATUS",IF(O259="","SEM DATA",IF(O259&lt;0,"VENCIDO",IF(O259&lt;=DiasAlerta,"VENCE EM BREVE","NO PRAZO")))))))</f>
        <v/>
      </c>
      <c r="Q259" s="117" t="str">
        <f>IF(D259="","",TODAY()-D259)</f>
        <v/>
      </c>
      <c r="R259" s="110" t="n"/>
    </row>
    <row r="260" ht="18" customHeight="1">
      <c r="A260" s="109" t="n"/>
      <c r="B260" s="110" t="n"/>
      <c r="C260" s="110" t="n"/>
      <c r="D260" s="111" t="n"/>
      <c r="E260" s="110" t="n"/>
      <c r="F260" s="112" t="n"/>
      <c r="G260" s="112" t="n"/>
      <c r="H260" s="110" t="n"/>
      <c r="I260" s="113" t="n"/>
      <c r="J260" s="113" t="n"/>
      <c r="K260" s="111" t="n"/>
      <c r="L260" s="111" t="n"/>
      <c r="M260" s="111" t="n"/>
      <c r="N260" s="114" t="str">
        <f>IF(OR(D260="",E260=""),"",D260+IF(E260="NOTIFICAÇÃO DE CONSTATAÇÃO",PrazoConst,PrazoEsc))</f>
        <v/>
      </c>
      <c r="O260" s="115" t="str">
        <f>IF(N260="","",IF(ISNUMBER(L260),N260-L260,IF(OR(G260="DECISÃO D.P",ISNUMBER(M260)),"",N260-TODAY())))</f>
        <v/>
      </c>
      <c r="P260" s="116" t="str">
        <f>IF(B260="","",IF(ISNUMBER(M260),"DECIDIDO – ","")&amp;IF(ISNUMBER(L260),IF(O260="","SEM DATA",IF(O260&gt;=0,"DEFESA NO PRAZO","DEFESA FORA DO PRAZO")),IF(OR(G260="DECISÃO D.P",ISNUMBER(M260)),"SEM DEFESA",IF(G260="","SEM STATUS",IF(O260="","SEM DATA",IF(O260&lt;0,"VENCIDO",IF(O260&lt;=DiasAlerta,"VENCE EM BREVE","NO PRAZO")))))))</f>
        <v/>
      </c>
      <c r="Q260" s="117" t="str">
        <f>IF(D260="","",TODAY()-D260)</f>
        <v/>
      </c>
      <c r="R260" s="110" t="n"/>
    </row>
    <row r="261" ht="18" customHeight="1">
      <c r="A261" s="109" t="n"/>
      <c r="B261" s="110" t="n"/>
      <c r="C261" s="110" t="n"/>
      <c r="D261" s="111" t="n"/>
      <c r="E261" s="110" t="n"/>
      <c r="F261" s="112" t="n"/>
      <c r="G261" s="112" t="n"/>
      <c r="H261" s="110" t="n"/>
      <c r="I261" s="113" t="n"/>
      <c r="J261" s="113" t="n"/>
      <c r="K261" s="111" t="n"/>
      <c r="L261" s="111" t="n"/>
      <c r="M261" s="111" t="n"/>
      <c r="N261" s="114" t="str">
        <f>IF(OR(D261="",E261=""),"",D261+IF(E261="NOTIFICAÇÃO DE CONSTATAÇÃO",PrazoConst,PrazoEsc))</f>
        <v/>
      </c>
      <c r="O261" s="115" t="str">
        <f>IF(N261="","",IF(ISNUMBER(L261),N261-L261,IF(OR(G261="DECISÃO D.P",ISNUMBER(M261)),"",N261-TODAY())))</f>
        <v/>
      </c>
      <c r="P261" s="116" t="str">
        <f>IF(B261="","",IF(ISNUMBER(M261),"DECIDIDO – ","")&amp;IF(ISNUMBER(L261),IF(O261="","SEM DATA",IF(O261&gt;=0,"DEFESA NO PRAZO","DEFESA FORA DO PRAZO")),IF(OR(G261="DECISÃO D.P",ISNUMBER(M261)),"SEM DEFESA",IF(G261="","SEM STATUS",IF(O261="","SEM DATA",IF(O261&lt;0,"VENCIDO",IF(O261&lt;=DiasAlerta,"VENCE EM BREVE","NO PRAZO")))))))</f>
        <v/>
      </c>
      <c r="Q261" s="117" t="str">
        <f>IF(D261="","",TODAY()-D261)</f>
        <v/>
      </c>
      <c r="R261" s="110" t="n"/>
    </row>
    <row r="262" ht="18" customHeight="1">
      <c r="A262" s="109" t="n"/>
      <c r="B262" s="110" t="n"/>
      <c r="C262" s="110" t="n"/>
      <c r="D262" s="111" t="n"/>
      <c r="E262" s="110" t="n"/>
      <c r="F262" s="112" t="n"/>
      <c r="G262" s="112" t="n"/>
      <c r="H262" s="110" t="n"/>
      <c r="I262" s="113" t="n"/>
      <c r="J262" s="113" t="n"/>
      <c r="K262" s="111" t="n"/>
      <c r="L262" s="111" t="n"/>
      <c r="M262" s="111" t="n"/>
      <c r="N262" s="114" t="str">
        <f>IF(OR(D262="",E262=""),"",D262+IF(E262="NOTIFICAÇÃO DE CONSTATAÇÃO",PrazoConst,PrazoEsc))</f>
        <v/>
      </c>
      <c r="O262" s="115" t="str">
        <f>IF(N262="","",IF(ISNUMBER(L262),N262-L262,IF(OR(G262="DECISÃO D.P",ISNUMBER(M262)),"",N262-TODAY())))</f>
        <v/>
      </c>
      <c r="P262" s="116" t="str">
        <f>IF(B262="","",IF(ISNUMBER(M262),"DECIDIDO – ","")&amp;IF(ISNUMBER(L262),IF(O262="","SEM DATA",IF(O262&gt;=0,"DEFESA NO PRAZO","DEFESA FORA DO PRAZO")),IF(OR(G262="DECISÃO D.P",ISNUMBER(M262)),"SEM DEFESA",IF(G262="","SEM STATUS",IF(O262="","SEM DATA",IF(O262&lt;0,"VENCIDO",IF(O262&lt;=DiasAlerta,"VENCE EM BREVE","NO PRAZO")))))))</f>
        <v/>
      </c>
      <c r="Q262" s="117" t="str">
        <f>IF(D262="","",TODAY()-D262)</f>
        <v/>
      </c>
      <c r="R262" s="110" t="n"/>
    </row>
    <row r="263" ht="18" customHeight="1">
      <c r="A263" s="109" t="n"/>
      <c r="B263" s="110" t="n"/>
      <c r="C263" s="110" t="n"/>
      <c r="D263" s="111" t="n"/>
      <c r="E263" s="110" t="n"/>
      <c r="F263" s="112" t="n"/>
      <c r="G263" s="112" t="n"/>
      <c r="H263" s="110" t="n"/>
      <c r="I263" s="113" t="n"/>
      <c r="J263" s="113" t="n"/>
      <c r="K263" s="111" t="n"/>
      <c r="L263" s="111" t="n"/>
      <c r="M263" s="111" t="n"/>
      <c r="N263" s="114" t="str">
        <f>IF(OR(D263="",E263=""),"",D263+IF(E263="NOTIFICAÇÃO DE CONSTATAÇÃO",PrazoConst,PrazoEsc))</f>
        <v/>
      </c>
      <c r="O263" s="115" t="str">
        <f>IF(N263="","",IF(ISNUMBER(L263),N263-L263,IF(OR(G263="DECISÃO D.P",ISNUMBER(M263)),"",N263-TODAY())))</f>
        <v/>
      </c>
      <c r="P263" s="116" t="str">
        <f>IF(B263="","",IF(ISNUMBER(M263),"DECIDIDO – ","")&amp;IF(ISNUMBER(L263),IF(O263="","SEM DATA",IF(O263&gt;=0,"DEFESA NO PRAZO","DEFESA FORA DO PRAZO")),IF(OR(G263="DECISÃO D.P",ISNUMBER(M263)),"SEM DEFESA",IF(G263="","SEM STATUS",IF(O263="","SEM DATA",IF(O263&lt;0,"VENCIDO",IF(O263&lt;=DiasAlerta,"VENCE EM BREVE","NO PRAZO")))))))</f>
        <v/>
      </c>
      <c r="Q263" s="117" t="str">
        <f>IF(D263="","",TODAY()-D263)</f>
        <v/>
      </c>
      <c r="R263" s="110" t="n"/>
    </row>
    <row r="264" ht="18" customHeight="1">
      <c r="A264" s="109" t="n"/>
      <c r="B264" s="110" t="n"/>
      <c r="C264" s="110" t="n"/>
      <c r="D264" s="111" t="n"/>
      <c r="E264" s="110" t="n"/>
      <c r="F264" s="112" t="n"/>
      <c r="G264" s="112" t="n"/>
      <c r="H264" s="110" t="n"/>
      <c r="I264" s="113" t="n"/>
      <c r="J264" s="113" t="n"/>
      <c r="K264" s="111" t="n"/>
      <c r="L264" s="111" t="n"/>
      <c r="M264" s="111" t="n"/>
      <c r="N264" s="114" t="str">
        <f>IF(OR(D264="",E264=""),"",D264+IF(E264="NOTIFICAÇÃO DE CONSTATAÇÃO",PrazoConst,PrazoEsc))</f>
        <v/>
      </c>
      <c r="O264" s="115" t="str">
        <f>IF(N264="","",IF(ISNUMBER(L264),N264-L264,IF(OR(G264="DECISÃO D.P",ISNUMBER(M264)),"",N264-TODAY())))</f>
        <v/>
      </c>
      <c r="P264" s="116" t="str">
        <f>IF(B264="","",IF(ISNUMBER(M264),"DECIDIDO – ","")&amp;IF(ISNUMBER(L264),IF(O264="","SEM DATA",IF(O264&gt;=0,"DEFESA NO PRAZO","DEFESA FORA DO PRAZO")),IF(OR(G264="DECISÃO D.P",ISNUMBER(M264)),"SEM DEFESA",IF(G264="","SEM STATUS",IF(O264="","SEM DATA",IF(O264&lt;0,"VENCIDO",IF(O264&lt;=DiasAlerta,"VENCE EM BREVE","NO PRAZO")))))))</f>
        <v/>
      </c>
      <c r="Q264" s="117" t="str">
        <f>IF(D264="","",TODAY()-D264)</f>
        <v/>
      </c>
      <c r="R264" s="110" t="n"/>
    </row>
    <row r="265" ht="18" customHeight="1">
      <c r="A265" s="109" t="n"/>
      <c r="B265" s="110" t="n"/>
      <c r="C265" s="110" t="n"/>
      <c r="D265" s="111" t="n"/>
      <c r="E265" s="110" t="n"/>
      <c r="F265" s="112" t="n"/>
      <c r="G265" s="112" t="n"/>
      <c r="H265" s="110" t="n"/>
      <c r="I265" s="113" t="n"/>
      <c r="J265" s="113" t="n"/>
      <c r="K265" s="111" t="n"/>
      <c r="L265" s="111" t="n"/>
      <c r="M265" s="111" t="n"/>
      <c r="N265" s="114" t="str">
        <f>IF(OR(D265="",E265=""),"",D265+IF(E265="NOTIFICAÇÃO DE CONSTATAÇÃO",PrazoConst,PrazoEsc))</f>
        <v/>
      </c>
      <c r="O265" s="115" t="str">
        <f>IF(N265="","",IF(ISNUMBER(L265),N265-L265,IF(OR(G265="DECISÃO D.P",ISNUMBER(M265)),"",N265-TODAY())))</f>
        <v/>
      </c>
      <c r="P265" s="116" t="str">
        <f>IF(B265="","",IF(ISNUMBER(M265),"DECIDIDO – ","")&amp;IF(ISNUMBER(L265),IF(O265="","SEM DATA",IF(O265&gt;=0,"DEFESA NO PRAZO","DEFESA FORA DO PRAZO")),IF(OR(G265="DECISÃO D.P",ISNUMBER(M265)),"SEM DEFESA",IF(G265="","SEM STATUS",IF(O265="","SEM DATA",IF(O265&lt;0,"VENCIDO",IF(O265&lt;=DiasAlerta,"VENCE EM BREVE","NO PRAZO")))))))</f>
        <v/>
      </c>
      <c r="Q265" s="117" t="str">
        <f>IF(D265="","",TODAY()-D265)</f>
        <v/>
      </c>
      <c r="R265" s="110" t="n"/>
    </row>
    <row r="266" ht="18" customHeight="1">
      <c r="A266" s="109" t="n"/>
      <c r="B266" s="110" t="n"/>
      <c r="C266" s="110" t="n"/>
      <c r="D266" s="111" t="n"/>
      <c r="E266" s="110" t="n"/>
      <c r="F266" s="112" t="n"/>
      <c r="G266" s="112" t="n"/>
      <c r="H266" s="110" t="n"/>
      <c r="I266" s="113" t="n"/>
      <c r="J266" s="113" t="n"/>
      <c r="K266" s="111" t="n"/>
      <c r="L266" s="111" t="n"/>
      <c r="M266" s="111" t="n"/>
      <c r="N266" s="114" t="str">
        <f>IF(OR(D266="",E266=""),"",D266+IF(E266="NOTIFICAÇÃO DE CONSTATAÇÃO",PrazoConst,PrazoEsc))</f>
        <v/>
      </c>
      <c r="O266" s="115" t="str">
        <f>IF(N266="","",IF(ISNUMBER(L266),N266-L266,IF(OR(G266="DECISÃO D.P",ISNUMBER(M266)),"",N266-TODAY())))</f>
        <v/>
      </c>
      <c r="P266" s="116" t="str">
        <f>IF(B266="","",IF(ISNUMBER(M266),"DECIDIDO – ","")&amp;IF(ISNUMBER(L266),IF(O266="","SEM DATA",IF(O266&gt;=0,"DEFESA NO PRAZO","DEFESA FORA DO PRAZO")),IF(OR(G266="DECISÃO D.P",ISNUMBER(M266)),"SEM DEFESA",IF(G266="","SEM STATUS",IF(O266="","SEM DATA",IF(O266&lt;0,"VENCIDO",IF(O266&lt;=DiasAlerta,"VENCE EM BREVE","NO PRAZO")))))))</f>
        <v/>
      </c>
      <c r="Q266" s="117" t="str">
        <f>IF(D266="","",TODAY()-D266)</f>
        <v/>
      </c>
      <c r="R266" s="110" t="n"/>
    </row>
    <row r="267" ht="18" customHeight="1">
      <c r="A267" s="109" t="n"/>
      <c r="B267" s="110" t="n"/>
      <c r="C267" s="110" t="n"/>
      <c r="D267" s="111" t="n"/>
      <c r="E267" s="110" t="n"/>
      <c r="F267" s="112" t="n"/>
      <c r="G267" s="112" t="n"/>
      <c r="H267" s="110" t="n"/>
      <c r="I267" s="113" t="n"/>
      <c r="J267" s="113" t="n"/>
      <c r="K267" s="111" t="n"/>
      <c r="L267" s="111" t="n"/>
      <c r="M267" s="111" t="n"/>
      <c r="N267" s="114" t="str">
        <f>IF(OR(D267="",E267=""),"",D267+IF(E267="NOTIFICAÇÃO DE CONSTATAÇÃO",PrazoConst,PrazoEsc))</f>
        <v/>
      </c>
      <c r="O267" s="115" t="str">
        <f>IF(N267="","",IF(ISNUMBER(L267),N267-L267,IF(OR(G267="DECISÃO D.P",ISNUMBER(M267)),"",N267-TODAY())))</f>
        <v/>
      </c>
      <c r="P267" s="116" t="str">
        <f>IF(B267="","",IF(ISNUMBER(M267),"DECIDIDO – ","")&amp;IF(ISNUMBER(L267),IF(O267="","SEM DATA",IF(O267&gt;=0,"DEFESA NO PRAZO","DEFESA FORA DO PRAZO")),IF(OR(G267="DECISÃO D.P",ISNUMBER(M267)),"SEM DEFESA",IF(G267="","SEM STATUS",IF(O267="","SEM DATA",IF(O267&lt;0,"VENCIDO",IF(O267&lt;=DiasAlerta,"VENCE EM BREVE","NO PRAZO")))))))</f>
        <v/>
      </c>
      <c r="Q267" s="117" t="str">
        <f>IF(D267="","",TODAY()-D267)</f>
        <v/>
      </c>
      <c r="R267" s="110" t="n"/>
    </row>
    <row r="268" ht="18" customHeight="1">
      <c r="A268" s="109" t="n"/>
      <c r="B268" s="110" t="n"/>
      <c r="C268" s="110" t="n"/>
      <c r="D268" s="111" t="n"/>
      <c r="E268" s="110" t="n"/>
      <c r="F268" s="112" t="n"/>
      <c r="G268" s="112" t="n"/>
      <c r="H268" s="110" t="n"/>
      <c r="I268" s="113" t="n"/>
      <c r="J268" s="113" t="n"/>
      <c r="K268" s="111" t="n"/>
      <c r="L268" s="111" t="n"/>
      <c r="M268" s="111" t="n"/>
      <c r="N268" s="114" t="str">
        <f>IF(OR(D268="",E268=""),"",D268+IF(E268="NOTIFICAÇÃO DE CONSTATAÇÃO",PrazoConst,PrazoEsc))</f>
        <v/>
      </c>
      <c r="O268" s="115" t="str">
        <f>IF(N268="","",IF(ISNUMBER(L268),N268-L268,IF(OR(G268="DECISÃO D.P",ISNUMBER(M268)),"",N268-TODAY())))</f>
        <v/>
      </c>
      <c r="P268" s="116" t="str">
        <f>IF(B268="","",IF(ISNUMBER(M268),"DECIDIDO – ","")&amp;IF(ISNUMBER(L268),IF(O268="","SEM DATA",IF(O268&gt;=0,"DEFESA NO PRAZO","DEFESA FORA DO PRAZO")),IF(OR(G268="DECISÃO D.P",ISNUMBER(M268)),"SEM DEFESA",IF(G268="","SEM STATUS",IF(O268="","SEM DATA",IF(O268&lt;0,"VENCIDO",IF(O268&lt;=DiasAlerta,"VENCE EM BREVE","NO PRAZO")))))))</f>
        <v/>
      </c>
      <c r="Q268" s="117" t="str">
        <f>IF(D268="","",TODAY()-D268)</f>
        <v/>
      </c>
      <c r="R268" s="110" t="n"/>
    </row>
    <row r="269" ht="18" customHeight="1">
      <c r="A269" s="109" t="n"/>
      <c r="B269" s="110" t="n"/>
      <c r="C269" s="110" t="n"/>
      <c r="D269" s="111" t="n"/>
      <c r="E269" s="110" t="n"/>
      <c r="F269" s="112" t="n"/>
      <c r="G269" s="112" t="n"/>
      <c r="H269" s="110" t="n"/>
      <c r="I269" s="113" t="n"/>
      <c r="J269" s="113" t="n"/>
      <c r="K269" s="111" t="n"/>
      <c r="L269" s="111" t="n"/>
      <c r="M269" s="111" t="n"/>
      <c r="N269" s="114" t="str">
        <f>IF(OR(D269="",E269=""),"",D269+IF(E269="NOTIFICAÇÃO DE CONSTATAÇÃO",PrazoConst,PrazoEsc))</f>
        <v/>
      </c>
      <c r="O269" s="115" t="str">
        <f>IF(N269="","",IF(ISNUMBER(L269),N269-L269,IF(OR(G269="DECISÃO D.P",ISNUMBER(M269)),"",N269-TODAY())))</f>
        <v/>
      </c>
      <c r="P269" s="116" t="str">
        <f>IF(B269="","",IF(ISNUMBER(M269),"DECIDIDO – ","")&amp;IF(ISNUMBER(L269),IF(O269="","SEM DATA",IF(O269&gt;=0,"DEFESA NO PRAZO","DEFESA FORA DO PRAZO")),IF(OR(G269="DECISÃO D.P",ISNUMBER(M269)),"SEM DEFESA",IF(G269="","SEM STATUS",IF(O269="","SEM DATA",IF(O269&lt;0,"VENCIDO",IF(O269&lt;=DiasAlerta,"VENCE EM BREVE","NO PRAZO")))))))</f>
        <v/>
      </c>
      <c r="Q269" s="117" t="str">
        <f>IF(D269="","",TODAY()-D269)</f>
        <v/>
      </c>
      <c r="R269" s="110" t="n"/>
    </row>
    <row r="270" ht="18" customHeight="1">
      <c r="A270" s="109" t="n"/>
      <c r="B270" s="110" t="n"/>
      <c r="C270" s="110" t="n"/>
      <c r="D270" s="111" t="n"/>
      <c r="E270" s="110" t="n"/>
      <c r="F270" s="112" t="n"/>
      <c r="G270" s="112" t="n"/>
      <c r="H270" s="110" t="n"/>
      <c r="I270" s="113" t="n"/>
      <c r="J270" s="113" t="n"/>
      <c r="K270" s="111" t="n"/>
      <c r="L270" s="111" t="n"/>
      <c r="M270" s="111" t="n"/>
      <c r="N270" s="114" t="str">
        <f>IF(OR(D270="",E270=""),"",D270+IF(E270="NOTIFICAÇÃO DE CONSTATAÇÃO",PrazoConst,PrazoEsc))</f>
        <v/>
      </c>
      <c r="O270" s="115" t="str">
        <f>IF(N270="","",IF(ISNUMBER(L270),N270-L270,IF(OR(G270="DECISÃO D.P",ISNUMBER(M270)),"",N270-TODAY())))</f>
        <v/>
      </c>
      <c r="P270" s="116" t="str">
        <f>IF(B270="","",IF(ISNUMBER(M270),"DECIDIDO – ","")&amp;IF(ISNUMBER(L270),IF(O270="","SEM DATA",IF(O270&gt;=0,"DEFESA NO PRAZO","DEFESA FORA DO PRAZO")),IF(OR(G270="DECISÃO D.P",ISNUMBER(M270)),"SEM DEFESA",IF(G270="","SEM STATUS",IF(O270="","SEM DATA",IF(O270&lt;0,"VENCIDO",IF(O270&lt;=DiasAlerta,"VENCE EM BREVE","NO PRAZO")))))))</f>
        <v/>
      </c>
      <c r="Q270" s="117" t="str">
        <f>IF(D270="","",TODAY()-D270)</f>
        <v/>
      </c>
      <c r="R270" s="110" t="n"/>
    </row>
    <row r="271" ht="18" customHeight="1">
      <c r="A271" s="109" t="n"/>
      <c r="B271" s="110" t="n"/>
      <c r="C271" s="110" t="n"/>
      <c r="D271" s="111" t="n"/>
      <c r="E271" s="110" t="n"/>
      <c r="F271" s="112" t="n"/>
      <c r="G271" s="112" t="n"/>
      <c r="H271" s="110" t="n"/>
      <c r="I271" s="113" t="n"/>
      <c r="J271" s="113" t="n"/>
      <c r="K271" s="111" t="n"/>
      <c r="L271" s="111" t="n"/>
      <c r="M271" s="111" t="n"/>
      <c r="N271" s="114" t="str">
        <f>IF(OR(D271="",E271=""),"",D271+IF(E271="NOTIFICAÇÃO DE CONSTATAÇÃO",PrazoConst,PrazoEsc))</f>
        <v/>
      </c>
      <c r="O271" s="115" t="str">
        <f>IF(N271="","",IF(ISNUMBER(L271),N271-L271,IF(OR(G271="DECISÃO D.P",ISNUMBER(M271)),"",N271-TODAY())))</f>
        <v/>
      </c>
      <c r="P271" s="116" t="str">
        <f>IF(B271="","",IF(ISNUMBER(M271),"DECIDIDO – ","")&amp;IF(ISNUMBER(L271),IF(O271="","SEM DATA",IF(O271&gt;=0,"DEFESA NO PRAZO","DEFESA FORA DO PRAZO")),IF(OR(G271="DECISÃO D.P",ISNUMBER(M271)),"SEM DEFESA",IF(G271="","SEM STATUS",IF(O271="","SEM DATA",IF(O271&lt;0,"VENCIDO",IF(O271&lt;=DiasAlerta,"VENCE EM BREVE","NO PRAZO")))))))</f>
        <v/>
      </c>
      <c r="Q271" s="117" t="str">
        <f>IF(D271="","",TODAY()-D271)</f>
        <v/>
      </c>
      <c r="R271" s="110" t="n"/>
    </row>
    <row r="272" ht="18" customHeight="1">
      <c r="A272" s="109" t="n"/>
      <c r="B272" s="110" t="n"/>
      <c r="C272" s="110" t="n"/>
      <c r="D272" s="111" t="n"/>
      <c r="E272" s="110" t="n"/>
      <c r="F272" s="112" t="n"/>
      <c r="G272" s="112" t="n"/>
      <c r="H272" s="110" t="n"/>
      <c r="I272" s="113" t="n"/>
      <c r="J272" s="113" t="n"/>
      <c r="K272" s="111" t="n"/>
      <c r="L272" s="111" t="n"/>
      <c r="M272" s="111" t="n"/>
      <c r="N272" s="114" t="str">
        <f>IF(OR(D272="",E272=""),"",D272+IF(E272="NOTIFICAÇÃO DE CONSTATAÇÃO",PrazoConst,PrazoEsc))</f>
        <v/>
      </c>
      <c r="O272" s="115" t="str">
        <f>IF(N272="","",IF(ISNUMBER(L272),N272-L272,IF(OR(G272="DECISÃO D.P",ISNUMBER(M272)),"",N272-TODAY())))</f>
        <v/>
      </c>
      <c r="P272" s="116" t="str">
        <f>IF(B272="","",IF(ISNUMBER(M272),"DECIDIDO – ","")&amp;IF(ISNUMBER(L272),IF(O272="","SEM DATA",IF(O272&gt;=0,"DEFESA NO PRAZO","DEFESA FORA DO PRAZO")),IF(OR(G272="DECISÃO D.P",ISNUMBER(M272)),"SEM DEFESA",IF(G272="","SEM STATUS",IF(O272="","SEM DATA",IF(O272&lt;0,"VENCIDO",IF(O272&lt;=DiasAlerta,"VENCE EM BREVE","NO PRAZO")))))))</f>
        <v/>
      </c>
      <c r="Q272" s="117" t="str">
        <f>IF(D272="","",TODAY()-D272)</f>
        <v/>
      </c>
      <c r="R272" s="110" t="n"/>
    </row>
    <row r="273" ht="18" customHeight="1">
      <c r="A273" s="109" t="n"/>
      <c r="B273" s="110" t="n"/>
      <c r="C273" s="110" t="n"/>
      <c r="D273" s="111" t="n"/>
      <c r="E273" s="110" t="n"/>
      <c r="F273" s="112" t="n"/>
      <c r="G273" s="112" t="n"/>
      <c r="H273" s="110" t="n"/>
      <c r="I273" s="113" t="n"/>
      <c r="J273" s="113" t="n"/>
      <c r="K273" s="111" t="n"/>
      <c r="L273" s="111" t="n"/>
      <c r="M273" s="111" t="n"/>
      <c r="N273" s="114" t="str">
        <f>IF(OR(D273="",E273=""),"",D273+IF(E273="NOTIFICAÇÃO DE CONSTATAÇÃO",PrazoConst,PrazoEsc))</f>
        <v/>
      </c>
      <c r="O273" s="115" t="str">
        <f>IF(N273="","",IF(ISNUMBER(L273),N273-L273,IF(OR(G273="DECISÃO D.P",ISNUMBER(M273)),"",N273-TODAY())))</f>
        <v/>
      </c>
      <c r="P273" s="116" t="str">
        <f>IF(B273="","",IF(ISNUMBER(M273),"DECIDIDO – ","")&amp;IF(ISNUMBER(L273),IF(O273="","SEM DATA",IF(O273&gt;=0,"DEFESA NO PRAZO","DEFESA FORA DO PRAZO")),IF(OR(G273="DECISÃO D.P",ISNUMBER(M273)),"SEM DEFESA",IF(G273="","SEM STATUS",IF(O273="","SEM DATA",IF(O273&lt;0,"VENCIDO",IF(O273&lt;=DiasAlerta,"VENCE EM BREVE","NO PRAZO")))))))</f>
        <v/>
      </c>
      <c r="Q273" s="117" t="str">
        <f>IF(D273="","",TODAY()-D273)</f>
        <v/>
      </c>
      <c r="R273" s="110" t="n"/>
    </row>
    <row r="274" ht="18" customHeight="1">
      <c r="A274" s="109" t="n"/>
      <c r="B274" s="110" t="n"/>
      <c r="C274" s="110" t="n"/>
      <c r="D274" s="111" t="n"/>
      <c r="E274" s="110" t="n"/>
      <c r="F274" s="112" t="n"/>
      <c r="G274" s="112" t="n"/>
      <c r="H274" s="110" t="n"/>
      <c r="I274" s="113" t="n"/>
      <c r="J274" s="113" t="n"/>
      <c r="K274" s="111" t="n"/>
      <c r="L274" s="111" t="n"/>
      <c r="M274" s="111" t="n"/>
      <c r="N274" s="114" t="str">
        <f>IF(OR(D274="",E274=""),"",D274+IF(E274="NOTIFICAÇÃO DE CONSTATAÇÃO",PrazoConst,PrazoEsc))</f>
        <v/>
      </c>
      <c r="O274" s="115" t="str">
        <f>IF(N274="","",IF(ISNUMBER(L274),N274-L274,IF(OR(G274="DECISÃO D.P",ISNUMBER(M274)),"",N274-TODAY())))</f>
        <v/>
      </c>
      <c r="P274" s="116" t="str">
        <f>IF(B274="","",IF(ISNUMBER(M274),"DECIDIDO – ","")&amp;IF(ISNUMBER(L274),IF(O274="","SEM DATA",IF(O274&gt;=0,"DEFESA NO PRAZO","DEFESA FORA DO PRAZO")),IF(OR(G274="DECISÃO D.P",ISNUMBER(M274)),"SEM DEFESA",IF(G274="","SEM STATUS",IF(O274="","SEM DATA",IF(O274&lt;0,"VENCIDO",IF(O274&lt;=DiasAlerta,"VENCE EM BREVE","NO PRAZO")))))))</f>
        <v/>
      </c>
      <c r="Q274" s="117" t="str">
        <f>IF(D274="","",TODAY()-D274)</f>
        <v/>
      </c>
      <c r="R274" s="110" t="n"/>
    </row>
    <row r="275" ht="18" customHeight="1">
      <c r="A275" s="109" t="n"/>
      <c r="B275" s="110" t="n"/>
      <c r="C275" s="110" t="n"/>
      <c r="D275" s="111" t="n"/>
      <c r="E275" s="110" t="n"/>
      <c r="F275" s="112" t="n"/>
      <c r="G275" s="112" t="n"/>
      <c r="H275" s="110" t="n"/>
      <c r="I275" s="113" t="n"/>
      <c r="J275" s="113" t="n"/>
      <c r="K275" s="111" t="n"/>
      <c r="L275" s="111" t="n"/>
      <c r="M275" s="111" t="n"/>
      <c r="N275" s="114" t="str">
        <f>IF(OR(D275="",E275=""),"",D275+IF(E275="NOTIFICAÇÃO DE CONSTATAÇÃO",PrazoConst,PrazoEsc))</f>
        <v/>
      </c>
      <c r="O275" s="115" t="str">
        <f>IF(N275="","",IF(ISNUMBER(L275),N275-L275,IF(OR(G275="DECISÃO D.P",ISNUMBER(M275)),"",N275-TODAY())))</f>
        <v/>
      </c>
      <c r="P275" s="116" t="str">
        <f>IF(B275="","",IF(ISNUMBER(M275),"DECIDIDO – ","")&amp;IF(ISNUMBER(L275),IF(O275="","SEM DATA",IF(O275&gt;=0,"DEFESA NO PRAZO","DEFESA FORA DO PRAZO")),IF(OR(G275="DECISÃO D.P",ISNUMBER(M275)),"SEM DEFESA",IF(G275="","SEM STATUS",IF(O275="","SEM DATA",IF(O275&lt;0,"VENCIDO",IF(O275&lt;=DiasAlerta,"VENCE EM BREVE","NO PRAZO")))))))</f>
        <v/>
      </c>
      <c r="Q275" s="117" t="str">
        <f>IF(D275="","",TODAY()-D275)</f>
        <v/>
      </c>
      <c r="R275" s="110" t="n"/>
    </row>
    <row r="276" ht="18" customHeight="1">
      <c r="A276" s="109" t="n"/>
      <c r="B276" s="110" t="n"/>
      <c r="C276" s="110" t="n"/>
      <c r="D276" s="111" t="n"/>
      <c r="E276" s="110" t="n"/>
      <c r="F276" s="112" t="n"/>
      <c r="G276" s="112" t="n"/>
      <c r="H276" s="110" t="n"/>
      <c r="I276" s="113" t="n"/>
      <c r="J276" s="113" t="n"/>
      <c r="K276" s="111" t="n"/>
      <c r="L276" s="111" t="n"/>
      <c r="M276" s="111" t="n"/>
      <c r="N276" s="114" t="str">
        <f>IF(OR(D276="",E276=""),"",D276+IF(E276="NOTIFICAÇÃO DE CONSTATAÇÃO",PrazoConst,PrazoEsc))</f>
        <v/>
      </c>
      <c r="O276" s="115" t="str">
        <f>IF(N276="","",IF(ISNUMBER(L276),N276-L276,IF(OR(G276="DECISÃO D.P",ISNUMBER(M276)),"",N276-TODAY())))</f>
        <v/>
      </c>
      <c r="P276" s="116" t="str">
        <f>IF(B276="","",IF(ISNUMBER(M276),"DECIDIDO – ","")&amp;IF(ISNUMBER(L276),IF(O276="","SEM DATA",IF(O276&gt;=0,"DEFESA NO PRAZO","DEFESA FORA DO PRAZO")),IF(OR(G276="DECISÃO D.P",ISNUMBER(M276)),"SEM DEFESA",IF(G276="","SEM STATUS",IF(O276="","SEM DATA",IF(O276&lt;0,"VENCIDO",IF(O276&lt;=DiasAlerta,"VENCE EM BREVE","NO PRAZO")))))))</f>
        <v/>
      </c>
      <c r="Q276" s="117" t="str">
        <f>IF(D276="","",TODAY()-D276)</f>
        <v/>
      </c>
      <c r="R276" s="110" t="n"/>
    </row>
    <row r="277" ht="18" customHeight="1">
      <c r="A277" s="109" t="n"/>
      <c r="B277" s="110" t="n"/>
      <c r="C277" s="110" t="n"/>
      <c r="D277" s="111" t="n"/>
      <c r="E277" s="110" t="n"/>
      <c r="F277" s="112" t="n"/>
      <c r="G277" s="112" t="n"/>
      <c r="H277" s="110" t="n"/>
      <c r="I277" s="113" t="n"/>
      <c r="J277" s="113" t="n"/>
      <c r="K277" s="111" t="n"/>
      <c r="L277" s="111" t="n"/>
      <c r="M277" s="111" t="n"/>
      <c r="N277" s="114" t="str">
        <f>IF(OR(D277="",E277=""),"",D277+IF(E277="NOTIFICAÇÃO DE CONSTATAÇÃO",PrazoConst,PrazoEsc))</f>
        <v/>
      </c>
      <c r="O277" s="115" t="str">
        <f>IF(N277="","",IF(ISNUMBER(L277),N277-L277,IF(OR(G277="DECISÃO D.P",ISNUMBER(M277)),"",N277-TODAY())))</f>
        <v/>
      </c>
      <c r="P277" s="116" t="str">
        <f>IF(B277="","",IF(ISNUMBER(M277),"DECIDIDO – ","")&amp;IF(ISNUMBER(L277),IF(O277="","SEM DATA",IF(O277&gt;=0,"DEFESA NO PRAZO","DEFESA FORA DO PRAZO")),IF(OR(G277="DECISÃO D.P",ISNUMBER(M277)),"SEM DEFESA",IF(G277="","SEM STATUS",IF(O277="","SEM DATA",IF(O277&lt;0,"VENCIDO",IF(O277&lt;=DiasAlerta,"VENCE EM BREVE","NO PRAZO")))))))</f>
        <v/>
      </c>
      <c r="Q277" s="117" t="str">
        <f>IF(D277="","",TODAY()-D277)</f>
        <v/>
      </c>
      <c r="R277" s="110" t="n"/>
    </row>
    <row r="278" ht="18" customHeight="1">
      <c r="A278" s="109" t="n"/>
      <c r="B278" s="110" t="n"/>
      <c r="C278" s="110" t="n"/>
      <c r="D278" s="111" t="n"/>
      <c r="E278" s="110" t="n"/>
      <c r="F278" s="112" t="n"/>
      <c r="G278" s="112" t="n"/>
      <c r="H278" s="110" t="n"/>
      <c r="I278" s="113" t="n"/>
      <c r="J278" s="113" t="n"/>
      <c r="K278" s="111" t="n"/>
      <c r="L278" s="111" t="n"/>
      <c r="M278" s="111" t="n"/>
      <c r="N278" s="114" t="str">
        <f>IF(OR(D278="",E278=""),"",D278+IF(E278="NOTIFICAÇÃO DE CONSTATAÇÃO",PrazoConst,PrazoEsc))</f>
        <v/>
      </c>
      <c r="O278" s="115" t="str">
        <f>IF(N278="","",IF(ISNUMBER(L278),N278-L278,IF(OR(G278="DECISÃO D.P",ISNUMBER(M278)),"",N278-TODAY())))</f>
        <v/>
      </c>
      <c r="P278" s="116" t="str">
        <f>IF(B278="","",IF(ISNUMBER(M278),"DECIDIDO – ","")&amp;IF(ISNUMBER(L278),IF(O278="","SEM DATA",IF(O278&gt;=0,"DEFESA NO PRAZO","DEFESA FORA DO PRAZO")),IF(OR(G278="DECISÃO D.P",ISNUMBER(M278)),"SEM DEFESA",IF(G278="","SEM STATUS",IF(O278="","SEM DATA",IF(O278&lt;0,"VENCIDO",IF(O278&lt;=DiasAlerta,"VENCE EM BREVE","NO PRAZO")))))))</f>
        <v/>
      </c>
      <c r="Q278" s="117" t="str">
        <f>IF(D278="","",TODAY()-D278)</f>
        <v/>
      </c>
      <c r="R278" s="110" t="n"/>
    </row>
    <row r="279" ht="18" customHeight="1">
      <c r="A279" s="109" t="n"/>
      <c r="B279" s="110" t="n"/>
      <c r="C279" s="110" t="n"/>
      <c r="D279" s="111" t="n"/>
      <c r="E279" s="110" t="n"/>
      <c r="F279" s="112" t="n"/>
      <c r="G279" s="112" t="n"/>
      <c r="H279" s="110" t="n"/>
      <c r="I279" s="113" t="n"/>
      <c r="J279" s="113" t="n"/>
      <c r="K279" s="111" t="n"/>
      <c r="L279" s="111" t="n"/>
      <c r="M279" s="111" t="n"/>
      <c r="N279" s="114" t="str">
        <f>IF(OR(D279="",E279=""),"",D279+IF(E279="NOTIFICAÇÃO DE CONSTATAÇÃO",PrazoConst,PrazoEsc))</f>
        <v/>
      </c>
      <c r="O279" s="115" t="str">
        <f>IF(N279="","",IF(ISNUMBER(L279),N279-L279,IF(OR(G279="DECISÃO D.P",ISNUMBER(M279)),"",N279-TODAY())))</f>
        <v/>
      </c>
      <c r="P279" s="116" t="str">
        <f>IF(B279="","",IF(ISNUMBER(M279),"DECIDIDO – ","")&amp;IF(ISNUMBER(L279),IF(O279="","SEM DATA",IF(O279&gt;=0,"DEFESA NO PRAZO","DEFESA FORA DO PRAZO")),IF(OR(G279="DECISÃO D.P",ISNUMBER(M279)),"SEM DEFESA",IF(G279="","SEM STATUS",IF(O279="","SEM DATA",IF(O279&lt;0,"VENCIDO",IF(O279&lt;=DiasAlerta,"VENCE EM BREVE","NO PRAZO")))))))</f>
        <v/>
      </c>
      <c r="Q279" s="117" t="str">
        <f>IF(D279="","",TODAY()-D279)</f>
        <v/>
      </c>
      <c r="R279" s="110" t="n"/>
    </row>
    <row r="280" ht="18" customHeight="1">
      <c r="A280" s="109" t="n"/>
      <c r="B280" s="110" t="n"/>
      <c r="C280" s="110" t="n"/>
      <c r="D280" s="111" t="n"/>
      <c r="E280" s="110" t="n"/>
      <c r="F280" s="112" t="n"/>
      <c r="G280" s="112" t="n"/>
      <c r="H280" s="110" t="n"/>
      <c r="I280" s="113" t="n"/>
      <c r="J280" s="113" t="n"/>
      <c r="K280" s="111" t="n"/>
      <c r="L280" s="111" t="n"/>
      <c r="M280" s="111" t="n"/>
      <c r="N280" s="114" t="str">
        <f>IF(OR(D280="",E280=""),"",D280+IF(E280="NOTIFICAÇÃO DE CONSTATAÇÃO",PrazoConst,PrazoEsc))</f>
        <v/>
      </c>
      <c r="O280" s="115" t="str">
        <f>IF(N280="","",IF(ISNUMBER(L280),N280-L280,IF(OR(G280="DECISÃO D.P",ISNUMBER(M280)),"",N280-TODAY())))</f>
        <v/>
      </c>
      <c r="P280" s="116" t="str">
        <f>IF(B280="","",IF(ISNUMBER(M280),"DECIDIDO – ","")&amp;IF(ISNUMBER(L280),IF(O280="","SEM DATA",IF(O280&gt;=0,"DEFESA NO PRAZO","DEFESA FORA DO PRAZO")),IF(OR(G280="DECISÃO D.P",ISNUMBER(M280)),"SEM DEFESA",IF(G280="","SEM STATUS",IF(O280="","SEM DATA",IF(O280&lt;0,"VENCIDO",IF(O280&lt;=DiasAlerta,"VENCE EM BREVE","NO PRAZO")))))))</f>
        <v/>
      </c>
      <c r="Q280" s="117" t="str">
        <f>IF(D280="","",TODAY()-D280)</f>
        <v/>
      </c>
      <c r="R280" s="110" t="n"/>
    </row>
    <row r="281" ht="18" customHeight="1">
      <c r="A281" s="109" t="n"/>
      <c r="B281" s="110" t="n"/>
      <c r="C281" s="110" t="n"/>
      <c r="D281" s="111" t="n"/>
      <c r="E281" s="110" t="n"/>
      <c r="F281" s="112" t="n"/>
      <c r="G281" s="112" t="n"/>
      <c r="H281" s="110" t="n"/>
      <c r="I281" s="113" t="n"/>
      <c r="J281" s="113" t="n"/>
      <c r="K281" s="111" t="n"/>
      <c r="L281" s="111" t="n"/>
      <c r="M281" s="111" t="n"/>
      <c r="N281" s="114" t="str">
        <f>IF(OR(D281="",E281=""),"",D281+IF(E281="NOTIFICAÇÃO DE CONSTATAÇÃO",PrazoConst,PrazoEsc))</f>
        <v/>
      </c>
      <c r="O281" s="115" t="str">
        <f>IF(N281="","",IF(ISNUMBER(L281),N281-L281,IF(OR(G281="DECISÃO D.P",ISNUMBER(M281)),"",N281-TODAY())))</f>
        <v/>
      </c>
      <c r="P281" s="116" t="str">
        <f>IF(B281="","",IF(ISNUMBER(M281),"DECIDIDO – ","")&amp;IF(ISNUMBER(L281),IF(O281="","SEM DATA",IF(O281&gt;=0,"DEFESA NO PRAZO","DEFESA FORA DO PRAZO")),IF(OR(G281="DECISÃO D.P",ISNUMBER(M281)),"SEM DEFESA",IF(G281="","SEM STATUS",IF(O281="","SEM DATA",IF(O281&lt;0,"VENCIDO",IF(O281&lt;=DiasAlerta,"VENCE EM BREVE","NO PRAZO")))))))</f>
        <v/>
      </c>
      <c r="Q281" s="117" t="str">
        <f>IF(D281="","",TODAY()-D281)</f>
        <v/>
      </c>
      <c r="R281" s="110" t="n"/>
    </row>
    <row r="282" ht="18" customHeight="1">
      <c r="A282" s="109" t="n"/>
      <c r="B282" s="110" t="n"/>
      <c r="C282" s="110" t="n"/>
      <c r="D282" s="111" t="n"/>
      <c r="E282" s="110" t="n"/>
      <c r="F282" s="112" t="n"/>
      <c r="G282" s="112" t="n"/>
      <c r="H282" s="110" t="n"/>
      <c r="I282" s="113" t="n"/>
      <c r="J282" s="113" t="n"/>
      <c r="K282" s="111" t="n"/>
      <c r="L282" s="111" t="n"/>
      <c r="M282" s="111" t="n"/>
      <c r="N282" s="114" t="str">
        <f>IF(OR(D282="",E282=""),"",D282+IF(E282="NOTIFICAÇÃO DE CONSTATAÇÃO",PrazoConst,PrazoEsc))</f>
        <v/>
      </c>
      <c r="O282" s="115" t="str">
        <f>IF(N282="","",IF(ISNUMBER(L282),N282-L282,IF(OR(G282="DECISÃO D.P",ISNUMBER(M282)),"",N282-TODAY())))</f>
        <v/>
      </c>
      <c r="P282" s="116" t="str">
        <f>IF(B282="","",IF(ISNUMBER(M282),"DECIDIDO – ","")&amp;IF(ISNUMBER(L282),IF(O282="","SEM DATA",IF(O282&gt;=0,"DEFESA NO PRAZO","DEFESA FORA DO PRAZO")),IF(OR(G282="DECISÃO D.P",ISNUMBER(M282)),"SEM DEFESA",IF(G282="","SEM STATUS",IF(O282="","SEM DATA",IF(O282&lt;0,"VENCIDO",IF(O282&lt;=DiasAlerta,"VENCE EM BREVE","NO PRAZO")))))))</f>
        <v/>
      </c>
      <c r="Q282" s="117" t="str">
        <f>IF(D282="","",TODAY()-D282)</f>
        <v/>
      </c>
      <c r="R282" s="110" t="n"/>
    </row>
    <row r="283" ht="18" customHeight="1">
      <c r="A283" s="109" t="n"/>
      <c r="B283" s="110" t="n"/>
      <c r="C283" s="110" t="n"/>
      <c r="D283" s="111" t="n"/>
      <c r="E283" s="110" t="n"/>
      <c r="F283" s="112" t="n"/>
      <c r="G283" s="112" t="n"/>
      <c r="H283" s="110" t="n"/>
      <c r="I283" s="113" t="n"/>
      <c r="J283" s="113" t="n"/>
      <c r="K283" s="111" t="n"/>
      <c r="L283" s="111" t="n"/>
      <c r="M283" s="111" t="n"/>
      <c r="N283" s="114" t="str">
        <f>IF(OR(D283="",E283=""),"",D283+IF(E283="NOTIFICAÇÃO DE CONSTATAÇÃO",PrazoConst,PrazoEsc))</f>
        <v/>
      </c>
      <c r="O283" s="115" t="str">
        <f>IF(N283="","",IF(ISNUMBER(L283),N283-L283,IF(OR(G283="DECISÃO D.P",ISNUMBER(M283)),"",N283-TODAY())))</f>
        <v/>
      </c>
      <c r="P283" s="116" t="str">
        <f>IF(B283="","",IF(ISNUMBER(M283),"DECIDIDO – ","")&amp;IF(ISNUMBER(L283),IF(O283="","SEM DATA",IF(O283&gt;=0,"DEFESA NO PRAZO","DEFESA FORA DO PRAZO")),IF(OR(G283="DECISÃO D.P",ISNUMBER(M283)),"SEM DEFESA",IF(G283="","SEM STATUS",IF(O283="","SEM DATA",IF(O283&lt;0,"VENCIDO",IF(O283&lt;=DiasAlerta,"VENCE EM BREVE","NO PRAZO")))))))</f>
        <v/>
      </c>
      <c r="Q283" s="117" t="str">
        <f>IF(D283="","",TODAY()-D283)</f>
        <v/>
      </c>
      <c r="R283" s="110" t="n"/>
    </row>
    <row r="284" ht="18" customHeight="1">
      <c r="A284" s="109" t="n"/>
      <c r="B284" s="110" t="n"/>
      <c r="C284" s="110" t="n"/>
      <c r="D284" s="111" t="n"/>
      <c r="E284" s="110" t="n"/>
      <c r="F284" s="112" t="n"/>
      <c r="G284" s="112" t="n"/>
      <c r="H284" s="110" t="n"/>
      <c r="I284" s="113" t="n"/>
      <c r="J284" s="113" t="n"/>
      <c r="K284" s="111" t="n"/>
      <c r="L284" s="111" t="n"/>
      <c r="M284" s="111" t="n"/>
      <c r="N284" s="114" t="str">
        <f>IF(OR(D284="",E284=""),"",D284+IF(E284="NOTIFICAÇÃO DE CONSTATAÇÃO",PrazoConst,PrazoEsc))</f>
        <v/>
      </c>
      <c r="O284" s="115" t="str">
        <f>IF(N284="","",IF(ISNUMBER(L284),N284-L284,IF(OR(G284="DECISÃO D.P",ISNUMBER(M284)),"",N284-TODAY())))</f>
        <v/>
      </c>
      <c r="P284" s="116" t="str">
        <f>IF(B284="","",IF(ISNUMBER(M284),"DECIDIDO – ","")&amp;IF(ISNUMBER(L284),IF(O284="","SEM DATA",IF(O284&gt;=0,"DEFESA NO PRAZO","DEFESA FORA DO PRAZO")),IF(OR(G284="DECISÃO D.P",ISNUMBER(M284)),"SEM DEFESA",IF(G284="","SEM STATUS",IF(O284="","SEM DATA",IF(O284&lt;0,"VENCIDO",IF(O284&lt;=DiasAlerta,"VENCE EM BREVE","NO PRAZO")))))))</f>
        <v/>
      </c>
      <c r="Q284" s="117" t="str">
        <f>IF(D284="","",TODAY()-D284)</f>
        <v/>
      </c>
      <c r="R284" s="110" t="n"/>
    </row>
    <row r="285" ht="18" customHeight="1">
      <c r="A285" s="109" t="n"/>
      <c r="B285" s="110" t="n"/>
      <c r="C285" s="110" t="n"/>
      <c r="D285" s="111" t="n"/>
      <c r="E285" s="110" t="n"/>
      <c r="F285" s="112" t="n"/>
      <c r="G285" s="112" t="n"/>
      <c r="H285" s="110" t="n"/>
      <c r="I285" s="113" t="n"/>
      <c r="J285" s="113" t="n"/>
      <c r="K285" s="111" t="n"/>
      <c r="L285" s="111" t="n"/>
      <c r="M285" s="111" t="n"/>
      <c r="N285" s="114" t="str">
        <f>IF(OR(D285="",E285=""),"",D285+IF(E285="NOTIFICAÇÃO DE CONSTATAÇÃO",PrazoConst,PrazoEsc))</f>
        <v/>
      </c>
      <c r="O285" s="115" t="str">
        <f>IF(N285="","",IF(ISNUMBER(L285),N285-L285,IF(OR(G285="DECISÃO D.P",ISNUMBER(M285)),"",N285-TODAY())))</f>
        <v/>
      </c>
      <c r="P285" s="116" t="str">
        <f>IF(B285="","",IF(ISNUMBER(M285),"DECIDIDO – ","")&amp;IF(ISNUMBER(L285),IF(O285="","SEM DATA",IF(O285&gt;=0,"DEFESA NO PRAZO","DEFESA FORA DO PRAZO")),IF(OR(G285="DECISÃO D.P",ISNUMBER(M285)),"SEM DEFESA",IF(G285="","SEM STATUS",IF(O285="","SEM DATA",IF(O285&lt;0,"VENCIDO",IF(O285&lt;=DiasAlerta,"VENCE EM BREVE","NO PRAZO")))))))</f>
        <v/>
      </c>
      <c r="Q285" s="117" t="str">
        <f>IF(D285="","",TODAY()-D285)</f>
        <v/>
      </c>
      <c r="R285" s="110" t="n"/>
    </row>
    <row r="286" ht="18" customHeight="1">
      <c r="A286" s="109" t="n"/>
      <c r="B286" s="110" t="n"/>
      <c r="C286" s="110" t="n"/>
      <c r="D286" s="111" t="n"/>
      <c r="E286" s="110" t="n"/>
      <c r="F286" s="112" t="n"/>
      <c r="G286" s="112" t="n"/>
      <c r="H286" s="110" t="n"/>
      <c r="I286" s="113" t="n"/>
      <c r="J286" s="113" t="n"/>
      <c r="K286" s="111" t="n"/>
      <c r="L286" s="111" t="n"/>
      <c r="M286" s="111" t="n"/>
      <c r="N286" s="114" t="str">
        <f>IF(OR(D286="",E286=""),"",D286+IF(E286="NOTIFICAÇÃO DE CONSTATAÇÃO",PrazoConst,PrazoEsc))</f>
        <v/>
      </c>
      <c r="O286" s="115" t="str">
        <f>IF(N286="","",IF(ISNUMBER(L286),N286-L286,IF(OR(G286="DECISÃO D.P",ISNUMBER(M286)),"",N286-TODAY())))</f>
        <v/>
      </c>
      <c r="P286" s="116" t="str">
        <f>IF(B286="","",IF(ISNUMBER(M286),"DECIDIDO – ","")&amp;IF(ISNUMBER(L286),IF(O286="","SEM DATA",IF(O286&gt;=0,"DEFESA NO PRAZO","DEFESA FORA DO PRAZO")),IF(OR(G286="DECISÃO D.P",ISNUMBER(M286)),"SEM DEFESA",IF(G286="","SEM STATUS",IF(O286="","SEM DATA",IF(O286&lt;0,"VENCIDO",IF(O286&lt;=DiasAlerta,"VENCE EM BREVE","NO PRAZO")))))))</f>
        <v/>
      </c>
      <c r="Q286" s="117" t="str">
        <f>IF(D286="","",TODAY()-D286)</f>
        <v/>
      </c>
      <c r="R286" s="110" t="n"/>
    </row>
    <row r="287" ht="18" customHeight="1">
      <c r="A287" s="109" t="n"/>
      <c r="B287" s="110" t="n"/>
      <c r="C287" s="110" t="n"/>
      <c r="D287" s="111" t="n"/>
      <c r="E287" s="110" t="n"/>
      <c r="F287" s="112" t="n"/>
      <c r="G287" s="112" t="n"/>
      <c r="H287" s="110" t="n"/>
      <c r="I287" s="113" t="n"/>
      <c r="J287" s="113" t="n"/>
      <c r="K287" s="111" t="n"/>
      <c r="L287" s="111" t="n"/>
      <c r="M287" s="111" t="n"/>
      <c r="N287" s="114" t="str">
        <f>IF(OR(D287="",E287=""),"",D287+IF(E287="NOTIFICAÇÃO DE CONSTATAÇÃO",PrazoConst,PrazoEsc))</f>
        <v/>
      </c>
      <c r="O287" s="115" t="str">
        <f>IF(N287="","",IF(ISNUMBER(L287),N287-L287,IF(OR(G287="DECISÃO D.P",ISNUMBER(M287)),"",N287-TODAY())))</f>
        <v/>
      </c>
      <c r="P287" s="116" t="str">
        <f>IF(B287="","",IF(ISNUMBER(M287),"DECIDIDO – ","")&amp;IF(ISNUMBER(L287),IF(O287="","SEM DATA",IF(O287&gt;=0,"DEFESA NO PRAZO","DEFESA FORA DO PRAZO")),IF(OR(G287="DECISÃO D.P",ISNUMBER(M287)),"SEM DEFESA",IF(G287="","SEM STATUS",IF(O287="","SEM DATA",IF(O287&lt;0,"VENCIDO",IF(O287&lt;=DiasAlerta,"VENCE EM BREVE","NO PRAZO")))))))</f>
        <v/>
      </c>
      <c r="Q287" s="117" t="str">
        <f>IF(D287="","",TODAY()-D287)</f>
        <v/>
      </c>
      <c r="R287" s="110" t="n"/>
    </row>
    <row r="288" ht="18" customHeight="1">
      <c r="A288" s="109" t="n"/>
      <c r="B288" s="110" t="n"/>
      <c r="C288" s="110" t="n"/>
      <c r="D288" s="111" t="n"/>
      <c r="E288" s="110" t="n"/>
      <c r="F288" s="112" t="n"/>
      <c r="G288" s="112" t="n"/>
      <c r="H288" s="110" t="n"/>
      <c r="I288" s="113" t="n"/>
      <c r="J288" s="113" t="n"/>
      <c r="K288" s="111" t="n"/>
      <c r="L288" s="111" t="n"/>
      <c r="M288" s="111" t="n"/>
      <c r="N288" s="114" t="str">
        <f>IF(OR(D288="",E288=""),"",D288+IF(E288="NOTIFICAÇÃO DE CONSTATAÇÃO",PrazoConst,PrazoEsc))</f>
        <v/>
      </c>
      <c r="O288" s="115" t="str">
        <f>IF(N288="","",IF(ISNUMBER(L288),N288-L288,IF(OR(G288="DECISÃO D.P",ISNUMBER(M288)),"",N288-TODAY())))</f>
        <v/>
      </c>
      <c r="P288" s="116" t="str">
        <f>IF(B288="","",IF(ISNUMBER(M288),"DECIDIDO – ","")&amp;IF(ISNUMBER(L288),IF(O288="","SEM DATA",IF(O288&gt;=0,"DEFESA NO PRAZO","DEFESA FORA DO PRAZO")),IF(OR(G288="DECISÃO D.P",ISNUMBER(M288)),"SEM DEFESA",IF(G288="","SEM STATUS",IF(O288="","SEM DATA",IF(O288&lt;0,"VENCIDO",IF(O288&lt;=DiasAlerta,"VENCE EM BREVE","NO PRAZO")))))))</f>
        <v/>
      </c>
      <c r="Q288" s="117" t="str">
        <f>IF(D288="","",TODAY()-D288)</f>
        <v/>
      </c>
      <c r="R288" s="110" t="n"/>
    </row>
    <row r="289" ht="18" customHeight="1">
      <c r="A289" s="109" t="n"/>
      <c r="B289" s="110" t="n"/>
      <c r="C289" s="110" t="n"/>
      <c r="D289" s="111" t="n"/>
      <c r="E289" s="110" t="n"/>
      <c r="F289" s="112" t="n"/>
      <c r="G289" s="112" t="n"/>
      <c r="H289" s="110" t="n"/>
      <c r="I289" s="113" t="n"/>
      <c r="J289" s="113" t="n"/>
      <c r="K289" s="111" t="n"/>
      <c r="L289" s="111" t="n"/>
      <c r="M289" s="111" t="n"/>
      <c r="N289" s="114" t="str">
        <f>IF(OR(D289="",E289=""),"",D289+IF(E289="NOTIFICAÇÃO DE CONSTATAÇÃO",PrazoConst,PrazoEsc))</f>
        <v/>
      </c>
      <c r="O289" s="115" t="str">
        <f>IF(N289="","",IF(ISNUMBER(L289),N289-L289,IF(OR(G289="DECISÃO D.P",ISNUMBER(M289)),"",N289-TODAY())))</f>
        <v/>
      </c>
      <c r="P289" s="116" t="str">
        <f>IF(B289="","",IF(ISNUMBER(M289),"DECIDIDO – ","")&amp;IF(ISNUMBER(L289),IF(O289="","SEM DATA",IF(O289&gt;=0,"DEFESA NO PRAZO","DEFESA FORA DO PRAZO")),IF(OR(G289="DECISÃO D.P",ISNUMBER(M289)),"SEM DEFESA",IF(G289="","SEM STATUS",IF(O289="","SEM DATA",IF(O289&lt;0,"VENCIDO",IF(O289&lt;=DiasAlerta,"VENCE EM BREVE","NO PRAZO")))))))</f>
        <v/>
      </c>
      <c r="Q289" s="117" t="str">
        <f>IF(D289="","",TODAY()-D289)</f>
        <v/>
      </c>
      <c r="R289" s="110" t="n"/>
    </row>
    <row r="290" ht="18" customHeight="1">
      <c r="A290" s="109" t="n"/>
      <c r="B290" s="110" t="n"/>
      <c r="C290" s="110" t="n"/>
      <c r="D290" s="111" t="n"/>
      <c r="E290" s="110" t="n"/>
      <c r="F290" s="112" t="n"/>
      <c r="G290" s="112" t="n"/>
      <c r="H290" s="110" t="n"/>
      <c r="I290" s="113" t="n"/>
      <c r="J290" s="113" t="n"/>
      <c r="K290" s="111" t="n"/>
      <c r="L290" s="111" t="n"/>
      <c r="M290" s="111" t="n"/>
      <c r="N290" s="114" t="str">
        <f>IF(OR(D290="",E290=""),"",D290+IF(E290="NOTIFICAÇÃO DE CONSTATAÇÃO",PrazoConst,PrazoEsc))</f>
        <v/>
      </c>
      <c r="O290" s="115" t="str">
        <f>IF(N290="","",IF(ISNUMBER(L290),N290-L290,IF(OR(G290="DECISÃO D.P",ISNUMBER(M290)),"",N290-TODAY())))</f>
        <v/>
      </c>
      <c r="P290" s="116" t="str">
        <f>IF(B290="","",IF(ISNUMBER(M290),"DECIDIDO – ","")&amp;IF(ISNUMBER(L290),IF(O290="","SEM DATA",IF(O290&gt;=0,"DEFESA NO PRAZO","DEFESA FORA DO PRAZO")),IF(OR(G290="DECISÃO D.P",ISNUMBER(M290)),"SEM DEFESA",IF(G290="","SEM STATUS",IF(O290="","SEM DATA",IF(O290&lt;0,"VENCIDO",IF(O290&lt;=DiasAlerta,"VENCE EM BREVE","NO PRAZO")))))))</f>
        <v/>
      </c>
      <c r="Q290" s="117" t="str">
        <f>IF(D290="","",TODAY()-D290)</f>
        <v/>
      </c>
      <c r="R290" s="110" t="n"/>
    </row>
    <row r="291" ht="18" customHeight="1">
      <c r="A291" s="109" t="n"/>
      <c r="B291" s="110" t="n"/>
      <c r="C291" s="110" t="n"/>
      <c r="D291" s="111" t="n"/>
      <c r="E291" s="110" t="n"/>
      <c r="F291" s="112" t="n"/>
      <c r="G291" s="112" t="n"/>
      <c r="H291" s="110" t="n"/>
      <c r="I291" s="113" t="n"/>
      <c r="J291" s="113" t="n"/>
      <c r="K291" s="111" t="n"/>
      <c r="L291" s="111" t="n"/>
      <c r="M291" s="111" t="n"/>
      <c r="N291" s="114" t="str">
        <f>IF(OR(D291="",E291=""),"",D291+IF(E291="NOTIFICAÇÃO DE CONSTATAÇÃO",PrazoConst,PrazoEsc))</f>
        <v/>
      </c>
      <c r="O291" s="115" t="str">
        <f>IF(N291="","",IF(ISNUMBER(L291),N291-L291,IF(OR(G291="DECISÃO D.P",ISNUMBER(M291)),"",N291-TODAY())))</f>
        <v/>
      </c>
      <c r="P291" s="116" t="str">
        <f>IF(B291="","",IF(ISNUMBER(M291),"DECIDIDO – ","")&amp;IF(ISNUMBER(L291),IF(O291="","SEM DATA",IF(O291&gt;=0,"DEFESA NO PRAZO","DEFESA FORA DO PRAZO")),IF(OR(G291="DECISÃO D.P",ISNUMBER(M291)),"SEM DEFESA",IF(G291="","SEM STATUS",IF(O291="","SEM DATA",IF(O291&lt;0,"VENCIDO",IF(O291&lt;=DiasAlerta,"VENCE EM BREVE","NO PRAZO")))))))</f>
        <v/>
      </c>
      <c r="Q291" s="117" t="str">
        <f>IF(D291="","",TODAY()-D291)</f>
        <v/>
      </c>
      <c r="R291" s="110" t="n"/>
    </row>
    <row r="292" ht="18" customHeight="1">
      <c r="A292" s="109" t="n"/>
      <c r="B292" s="110" t="n"/>
      <c r="C292" s="110" t="n"/>
      <c r="D292" s="111" t="n"/>
      <c r="E292" s="110" t="n"/>
      <c r="F292" s="112" t="n"/>
      <c r="G292" s="112" t="n"/>
      <c r="H292" s="110" t="n"/>
      <c r="I292" s="113" t="n"/>
      <c r="J292" s="113" t="n"/>
      <c r="K292" s="111" t="n"/>
      <c r="L292" s="111" t="n"/>
      <c r="M292" s="111" t="n"/>
      <c r="N292" s="114" t="str">
        <f>IF(OR(D292="",E292=""),"",D292+IF(E292="NOTIFICAÇÃO DE CONSTATAÇÃO",PrazoConst,PrazoEsc))</f>
        <v/>
      </c>
      <c r="O292" s="115" t="str">
        <f>IF(N292="","",IF(ISNUMBER(L292),N292-L292,IF(OR(G292="DECISÃO D.P",ISNUMBER(M292)),"",N292-TODAY())))</f>
        <v/>
      </c>
      <c r="P292" s="116" t="str">
        <f>IF(B292="","",IF(ISNUMBER(M292),"DECIDIDO – ","")&amp;IF(ISNUMBER(L292),IF(O292="","SEM DATA",IF(O292&gt;=0,"DEFESA NO PRAZO","DEFESA FORA DO PRAZO")),IF(OR(G292="DECISÃO D.P",ISNUMBER(M292)),"SEM DEFESA",IF(G292="","SEM STATUS",IF(O292="","SEM DATA",IF(O292&lt;0,"VENCIDO",IF(O292&lt;=DiasAlerta,"VENCE EM BREVE","NO PRAZO")))))))</f>
        <v/>
      </c>
      <c r="Q292" s="117" t="str">
        <f>IF(D292="","",TODAY()-D292)</f>
        <v/>
      </c>
      <c r="R292" s="110" t="n"/>
    </row>
    <row r="293" ht="18" customHeight="1">
      <c r="A293" s="109" t="n"/>
      <c r="B293" s="110" t="n"/>
      <c r="C293" s="110" t="n"/>
      <c r="D293" s="111" t="n"/>
      <c r="E293" s="110" t="n"/>
      <c r="F293" s="112" t="n"/>
      <c r="G293" s="112" t="n"/>
      <c r="H293" s="110" t="n"/>
      <c r="I293" s="113" t="n"/>
      <c r="J293" s="113" t="n"/>
      <c r="K293" s="111" t="n"/>
      <c r="L293" s="111" t="n"/>
      <c r="M293" s="111" t="n"/>
      <c r="N293" s="114" t="str">
        <f>IF(OR(D293="",E293=""),"",D293+IF(E293="NOTIFICAÇÃO DE CONSTATAÇÃO",PrazoConst,PrazoEsc))</f>
        <v/>
      </c>
      <c r="O293" s="115" t="str">
        <f>IF(N293="","",IF(ISNUMBER(L293),N293-L293,IF(OR(G293="DECISÃO D.P",ISNUMBER(M293)),"",N293-TODAY())))</f>
        <v/>
      </c>
      <c r="P293" s="116" t="str">
        <f>IF(B293="","",IF(ISNUMBER(M293),"DECIDIDO – ","")&amp;IF(ISNUMBER(L293),IF(O293="","SEM DATA",IF(O293&gt;=0,"DEFESA NO PRAZO","DEFESA FORA DO PRAZO")),IF(OR(G293="DECISÃO D.P",ISNUMBER(M293)),"SEM DEFESA",IF(G293="","SEM STATUS",IF(O293="","SEM DATA",IF(O293&lt;0,"VENCIDO",IF(O293&lt;=DiasAlerta,"VENCE EM BREVE","NO PRAZO")))))))</f>
        <v/>
      </c>
      <c r="Q293" s="117" t="str">
        <f>IF(D293="","",TODAY()-D293)</f>
        <v/>
      </c>
      <c r="R293" s="110" t="n"/>
    </row>
    <row r="294" ht="18" customHeight="1">
      <c r="A294" s="109" t="n"/>
      <c r="B294" s="110" t="n"/>
      <c r="C294" s="110" t="n"/>
      <c r="D294" s="111" t="n"/>
      <c r="E294" s="110" t="n"/>
      <c r="F294" s="112" t="n"/>
      <c r="G294" s="112" t="n"/>
      <c r="H294" s="110" t="n"/>
      <c r="I294" s="113" t="n"/>
      <c r="J294" s="113" t="n"/>
      <c r="K294" s="111" t="n"/>
      <c r="L294" s="111" t="n"/>
      <c r="M294" s="111" t="n"/>
      <c r="N294" s="114" t="str">
        <f>IF(OR(D294="",E294=""),"",D294+IF(E294="NOTIFICAÇÃO DE CONSTATAÇÃO",PrazoConst,PrazoEsc))</f>
        <v/>
      </c>
      <c r="O294" s="115" t="str">
        <f>IF(N294="","",IF(ISNUMBER(L294),N294-L294,IF(OR(G294="DECISÃO D.P",ISNUMBER(M294)),"",N294-TODAY())))</f>
        <v/>
      </c>
      <c r="P294" s="116" t="str">
        <f>IF(B294="","",IF(ISNUMBER(M294),"DECIDIDO – ","")&amp;IF(ISNUMBER(L294),IF(O294="","SEM DATA",IF(O294&gt;=0,"DEFESA NO PRAZO","DEFESA FORA DO PRAZO")),IF(OR(G294="DECISÃO D.P",ISNUMBER(M294)),"SEM DEFESA",IF(G294="","SEM STATUS",IF(O294="","SEM DATA",IF(O294&lt;0,"VENCIDO",IF(O294&lt;=DiasAlerta,"VENCE EM BREVE","NO PRAZO")))))))</f>
        <v/>
      </c>
      <c r="Q294" s="117" t="str">
        <f>IF(D294="","",TODAY()-D294)</f>
        <v/>
      </c>
      <c r="R294" s="110" t="n"/>
    </row>
    <row r="295" ht="18" customHeight="1">
      <c r="A295" s="109" t="n"/>
      <c r="B295" s="110" t="n"/>
      <c r="C295" s="110" t="n"/>
      <c r="D295" s="111" t="n"/>
      <c r="E295" s="110" t="n"/>
      <c r="F295" s="112" t="n"/>
      <c r="G295" s="112" t="n"/>
      <c r="H295" s="110" t="n"/>
      <c r="I295" s="113" t="n"/>
      <c r="J295" s="113" t="n"/>
      <c r="K295" s="111" t="n"/>
      <c r="L295" s="111" t="n"/>
      <c r="M295" s="111" t="n"/>
      <c r="N295" s="114" t="str">
        <f>IF(OR(D295="",E295=""),"",D295+IF(E295="NOTIFICAÇÃO DE CONSTATAÇÃO",PrazoConst,PrazoEsc))</f>
        <v/>
      </c>
      <c r="O295" s="115" t="str">
        <f>IF(N295="","",IF(ISNUMBER(L295),N295-L295,IF(OR(G295="DECISÃO D.P",ISNUMBER(M295)),"",N295-TODAY())))</f>
        <v/>
      </c>
      <c r="P295" s="116" t="str">
        <f>IF(B295="","",IF(ISNUMBER(M295),"DECIDIDO – ","")&amp;IF(ISNUMBER(L295),IF(O295="","SEM DATA",IF(O295&gt;=0,"DEFESA NO PRAZO","DEFESA FORA DO PRAZO")),IF(OR(G295="DECISÃO D.P",ISNUMBER(M295)),"SEM DEFESA",IF(G295="","SEM STATUS",IF(O295="","SEM DATA",IF(O295&lt;0,"VENCIDO",IF(O295&lt;=DiasAlerta,"VENCE EM BREVE","NO PRAZO")))))))</f>
        <v/>
      </c>
      <c r="Q295" s="117" t="str">
        <f>IF(D295="","",TODAY()-D295)</f>
        <v/>
      </c>
      <c r="R295" s="110" t="n"/>
    </row>
    <row r="296" ht="18" customHeight="1">
      <c r="A296" s="109" t="n"/>
      <c r="B296" s="110" t="n"/>
      <c r="C296" s="110" t="n"/>
      <c r="D296" s="111" t="n"/>
      <c r="E296" s="110" t="n"/>
      <c r="F296" s="112" t="n"/>
      <c r="G296" s="112" t="n"/>
      <c r="H296" s="110" t="n"/>
      <c r="I296" s="113" t="n"/>
      <c r="J296" s="113" t="n"/>
      <c r="K296" s="111" t="n"/>
      <c r="L296" s="111" t="n"/>
      <c r="M296" s="111" t="n"/>
      <c r="N296" s="114" t="str">
        <f>IF(OR(D296="",E296=""),"",D296+IF(E296="NOTIFICAÇÃO DE CONSTATAÇÃO",PrazoConst,PrazoEsc))</f>
        <v/>
      </c>
      <c r="O296" s="115" t="str">
        <f>IF(N296="","",IF(ISNUMBER(L296),N296-L296,IF(OR(G296="DECISÃO D.P",ISNUMBER(M296)),"",N296-TODAY())))</f>
        <v/>
      </c>
      <c r="P296" s="116" t="str">
        <f>IF(B296="","",IF(ISNUMBER(M296),"DECIDIDO – ","")&amp;IF(ISNUMBER(L296),IF(O296="","SEM DATA",IF(O296&gt;=0,"DEFESA NO PRAZO","DEFESA FORA DO PRAZO")),IF(OR(G296="DECISÃO D.P",ISNUMBER(M296)),"SEM DEFESA",IF(G296="","SEM STATUS",IF(O296="","SEM DATA",IF(O296&lt;0,"VENCIDO",IF(O296&lt;=DiasAlerta,"VENCE EM BREVE","NO PRAZO")))))))</f>
        <v/>
      </c>
      <c r="Q296" s="117" t="str">
        <f>IF(D296="","",TODAY()-D296)</f>
        <v/>
      </c>
      <c r="R296" s="110" t="n"/>
    </row>
    <row r="297" ht="18" customHeight="1">
      <c r="A297" s="109" t="n"/>
      <c r="B297" s="110" t="n"/>
      <c r="C297" s="110" t="n"/>
      <c r="D297" s="111" t="n"/>
      <c r="E297" s="110" t="n"/>
      <c r="F297" s="112" t="n"/>
      <c r="G297" s="112" t="n"/>
      <c r="H297" s="110" t="n"/>
      <c r="I297" s="113" t="n"/>
      <c r="J297" s="113" t="n"/>
      <c r="K297" s="111" t="n"/>
      <c r="L297" s="111" t="n"/>
      <c r="M297" s="111" t="n"/>
      <c r="N297" s="114" t="str">
        <f>IF(OR(D297="",E297=""),"",D297+IF(E297="NOTIFICAÇÃO DE CONSTATAÇÃO",PrazoConst,PrazoEsc))</f>
        <v/>
      </c>
      <c r="O297" s="115" t="str">
        <f>IF(N297="","",IF(ISNUMBER(L297),N297-L297,IF(OR(G297="DECISÃO D.P",ISNUMBER(M297)),"",N297-TODAY())))</f>
        <v/>
      </c>
      <c r="P297" s="116" t="str">
        <f>IF(B297="","",IF(ISNUMBER(M297),"DECIDIDO – ","")&amp;IF(ISNUMBER(L297),IF(O297="","SEM DATA",IF(O297&gt;=0,"DEFESA NO PRAZO","DEFESA FORA DO PRAZO")),IF(OR(G297="DECISÃO D.P",ISNUMBER(M297)),"SEM DEFESA",IF(G297="","SEM STATUS",IF(O297="","SEM DATA",IF(O297&lt;0,"VENCIDO",IF(O297&lt;=DiasAlerta,"VENCE EM BREVE","NO PRAZO")))))))</f>
        <v/>
      </c>
      <c r="Q297" s="117" t="str">
        <f>IF(D297="","",TODAY()-D297)</f>
        <v/>
      </c>
      <c r="R297" s="110" t="n"/>
    </row>
    <row r="298" ht="18" customHeight="1">
      <c r="A298" s="109" t="n"/>
      <c r="B298" s="110" t="n"/>
      <c r="C298" s="110" t="n"/>
      <c r="D298" s="111" t="n"/>
      <c r="E298" s="110" t="n"/>
      <c r="F298" s="112" t="n"/>
      <c r="G298" s="112" t="n"/>
      <c r="H298" s="110" t="n"/>
      <c r="I298" s="113" t="n"/>
      <c r="J298" s="113" t="n"/>
      <c r="K298" s="111" t="n"/>
      <c r="L298" s="111" t="n"/>
      <c r="M298" s="111" t="n"/>
      <c r="N298" s="114" t="str">
        <f>IF(OR(D298="",E298=""),"",D298+IF(E298="NOTIFICAÇÃO DE CONSTATAÇÃO",PrazoConst,PrazoEsc))</f>
        <v/>
      </c>
      <c r="O298" s="115" t="str">
        <f>IF(N298="","",IF(ISNUMBER(L298),N298-L298,IF(OR(G298="DECISÃO D.P",ISNUMBER(M298)),"",N298-TODAY())))</f>
        <v/>
      </c>
      <c r="P298" s="116" t="str">
        <f>IF(B298="","",IF(ISNUMBER(M298),"DECIDIDO – ","")&amp;IF(ISNUMBER(L298),IF(O298="","SEM DATA",IF(O298&gt;=0,"DEFESA NO PRAZO","DEFESA FORA DO PRAZO")),IF(OR(G298="DECISÃO D.P",ISNUMBER(M298)),"SEM DEFESA",IF(G298="","SEM STATUS",IF(O298="","SEM DATA",IF(O298&lt;0,"VENCIDO",IF(O298&lt;=DiasAlerta,"VENCE EM BREVE","NO PRAZO")))))))</f>
        <v/>
      </c>
      <c r="Q298" s="117" t="str">
        <f>IF(D298="","",TODAY()-D298)</f>
        <v/>
      </c>
      <c r="R298" s="110" t="n"/>
    </row>
    <row r="299" ht="18" customHeight="1">
      <c r="A299" s="109" t="n"/>
      <c r="B299" s="110" t="n"/>
      <c r="C299" s="110" t="n"/>
      <c r="D299" s="111" t="n"/>
      <c r="E299" s="110" t="n"/>
      <c r="F299" s="112" t="n"/>
      <c r="G299" s="112" t="n"/>
      <c r="H299" s="110" t="n"/>
      <c r="I299" s="113" t="n"/>
      <c r="J299" s="113" t="n"/>
      <c r="K299" s="111" t="n"/>
      <c r="L299" s="111" t="n"/>
      <c r="M299" s="111" t="n"/>
      <c r="N299" s="114" t="str">
        <f>IF(OR(D299="",E299=""),"",D299+IF(E299="NOTIFICAÇÃO DE CONSTATAÇÃO",PrazoConst,PrazoEsc))</f>
        <v/>
      </c>
      <c r="O299" s="115" t="str">
        <f>IF(N299="","",IF(ISNUMBER(L299),N299-L299,IF(OR(G299="DECISÃO D.P",ISNUMBER(M299)),"",N299-TODAY())))</f>
        <v/>
      </c>
      <c r="P299" s="116" t="str">
        <f>IF(B299="","",IF(ISNUMBER(M299),"DECIDIDO – ","")&amp;IF(ISNUMBER(L299),IF(O299="","SEM DATA",IF(O299&gt;=0,"DEFESA NO PRAZO","DEFESA FORA DO PRAZO")),IF(OR(G299="DECISÃO D.P",ISNUMBER(M299)),"SEM DEFESA",IF(G299="","SEM STATUS",IF(O299="","SEM DATA",IF(O299&lt;0,"VENCIDO",IF(O299&lt;=DiasAlerta,"VENCE EM BREVE","NO PRAZO")))))))</f>
        <v/>
      </c>
      <c r="Q299" s="117" t="str">
        <f>IF(D299="","",TODAY()-D299)</f>
        <v/>
      </c>
      <c r="R299" s="110" t="n"/>
    </row>
    <row r="300" ht="18" customHeight="1">
      <c r="A300" s="109" t="n"/>
      <c r="B300" s="110" t="n"/>
      <c r="C300" s="110" t="n"/>
      <c r="D300" s="111" t="n"/>
      <c r="E300" s="110" t="n"/>
      <c r="F300" s="112" t="n"/>
      <c r="G300" s="112" t="n"/>
      <c r="H300" s="110" t="n"/>
      <c r="I300" s="113" t="n"/>
      <c r="J300" s="113" t="n"/>
      <c r="K300" s="111" t="n"/>
      <c r="L300" s="111" t="n"/>
      <c r="M300" s="111" t="n"/>
      <c r="N300" s="114" t="str">
        <f>IF(OR(D300="",E300=""),"",D300+IF(E300="NOTIFICAÇÃO DE CONSTATAÇÃO",PrazoConst,PrazoEsc))</f>
        <v/>
      </c>
      <c r="O300" s="115" t="str">
        <f>IF(N300="","",IF(ISNUMBER(L300),N300-L300,IF(OR(G300="DECISÃO D.P",ISNUMBER(M300)),"",N300-TODAY())))</f>
        <v/>
      </c>
      <c r="P300" s="116" t="str">
        <f>IF(B300="","",IF(ISNUMBER(M300),"DECIDIDO – ","")&amp;IF(ISNUMBER(L300),IF(O300="","SEM DATA",IF(O300&gt;=0,"DEFESA NO PRAZO","DEFESA FORA DO PRAZO")),IF(OR(G300="DECISÃO D.P",ISNUMBER(M300)),"SEM DEFESA",IF(G300="","SEM STATUS",IF(O300="","SEM DATA",IF(O300&lt;0,"VENCIDO",IF(O300&lt;=DiasAlerta,"VENCE EM BREVE","NO PRAZO")))))))</f>
        <v/>
      </c>
      <c r="Q300" s="117" t="str">
        <f>IF(D300="","",TODAY()-D300)</f>
        <v/>
      </c>
      <c r="R300" s="110" t="n"/>
    </row>
    <row r="301" ht="18" customHeight="1">
      <c r="A301" s="109" t="n"/>
      <c r="B301" s="110" t="n"/>
      <c r="C301" s="110" t="n"/>
      <c r="D301" s="111" t="n"/>
      <c r="E301" s="110" t="n"/>
      <c r="F301" s="112" t="n"/>
      <c r="G301" s="112" t="n"/>
      <c r="H301" s="110" t="n"/>
      <c r="I301" s="113" t="n"/>
      <c r="J301" s="113" t="n"/>
      <c r="K301" s="111" t="n"/>
      <c r="L301" s="111" t="n"/>
      <c r="M301" s="111" t="n"/>
      <c r="N301" s="114" t="str">
        <f>IF(OR(D301="",E301=""),"",D301+IF(E301="NOTIFICAÇÃO DE CONSTATAÇÃO",PrazoConst,PrazoEsc))</f>
        <v/>
      </c>
      <c r="O301" s="115" t="str">
        <f>IF(N301="","",IF(ISNUMBER(L301),N301-L301,IF(OR(G301="DECISÃO D.P",ISNUMBER(M301)),"",N301-TODAY())))</f>
        <v/>
      </c>
      <c r="P301" s="116" t="str">
        <f>IF(B301="","",IF(ISNUMBER(M301),"DECIDIDO – ","")&amp;IF(ISNUMBER(L301),IF(O301="","SEM DATA",IF(O301&gt;=0,"DEFESA NO PRAZO","DEFESA FORA DO PRAZO")),IF(OR(G301="DECISÃO D.P",ISNUMBER(M301)),"SEM DEFESA",IF(G301="","SEM STATUS",IF(O301="","SEM DATA",IF(O301&lt;0,"VENCIDO",IF(O301&lt;=DiasAlerta,"VENCE EM BREVE","NO PRAZO")))))))</f>
        <v/>
      </c>
      <c r="Q301" s="117" t="str">
        <f>IF(D301="","",TODAY()-D301)</f>
        <v/>
      </c>
      <c r="R301" s="110" t="n"/>
    </row>
    <row r="302" ht="18" customHeight="1">
      <c r="A302" s="109" t="n"/>
      <c r="B302" s="110" t="n"/>
      <c r="C302" s="110" t="n"/>
      <c r="D302" s="111" t="n"/>
      <c r="E302" s="110" t="n"/>
      <c r="F302" s="112" t="n"/>
      <c r="G302" s="112" t="n"/>
      <c r="H302" s="110" t="n"/>
      <c r="I302" s="113" t="n"/>
      <c r="J302" s="113" t="n"/>
      <c r="K302" s="111" t="n"/>
      <c r="L302" s="111" t="n"/>
      <c r="M302" s="111" t="n"/>
      <c r="N302" s="114" t="str">
        <f>IF(OR(D302="",E302=""),"",D302+IF(E302="NOTIFICAÇÃO DE CONSTATAÇÃO",PrazoConst,PrazoEsc))</f>
        <v/>
      </c>
      <c r="O302" s="115" t="str">
        <f>IF(N302="","",IF(ISNUMBER(L302),N302-L302,IF(OR(G302="DECISÃO D.P",ISNUMBER(M302)),"",N302-TODAY())))</f>
        <v/>
      </c>
      <c r="P302" s="116" t="str">
        <f>IF(B302="","",IF(ISNUMBER(M302),"DECIDIDO – ","")&amp;IF(ISNUMBER(L302),IF(O302="","SEM DATA",IF(O302&gt;=0,"DEFESA NO PRAZO","DEFESA FORA DO PRAZO")),IF(OR(G302="DECISÃO D.P",ISNUMBER(M302)),"SEM DEFESA",IF(G302="","SEM STATUS",IF(O302="","SEM DATA",IF(O302&lt;0,"VENCIDO",IF(O302&lt;=DiasAlerta,"VENCE EM BREVE","NO PRAZO")))))))</f>
        <v/>
      </c>
      <c r="Q302" s="117" t="str">
        <f>IF(D302="","",TODAY()-D302)</f>
        <v/>
      </c>
      <c r="R302" s="110" t="n"/>
    </row>
    <row r="303" ht="18" customHeight="1">
      <c r="A303" s="109" t="n"/>
      <c r="B303" s="110" t="n"/>
      <c r="C303" s="110" t="n"/>
      <c r="D303" s="111" t="n"/>
      <c r="E303" s="110" t="n"/>
      <c r="F303" s="112" t="n"/>
      <c r="G303" s="112" t="n"/>
      <c r="H303" s="110" t="n"/>
      <c r="I303" s="113" t="n"/>
      <c r="J303" s="113" t="n"/>
      <c r="K303" s="111" t="n"/>
      <c r="L303" s="111" t="n"/>
      <c r="M303" s="111" t="n"/>
      <c r="N303" s="114" t="str">
        <f>IF(OR(D303="",E303=""),"",D303+IF(E303="NOTIFICAÇÃO DE CONSTATAÇÃO",PrazoConst,PrazoEsc))</f>
        <v/>
      </c>
      <c r="O303" s="115" t="str">
        <f>IF(N303="","",IF(ISNUMBER(L303),N303-L303,IF(OR(G303="DECISÃO D.P",ISNUMBER(M303)),"",N303-TODAY())))</f>
        <v/>
      </c>
      <c r="P303" s="116" t="str">
        <f>IF(B303="","",IF(ISNUMBER(M303),"DECIDIDO – ","")&amp;IF(ISNUMBER(L303),IF(O303="","SEM DATA",IF(O303&gt;=0,"DEFESA NO PRAZO","DEFESA FORA DO PRAZO")),IF(OR(G303="DECISÃO D.P",ISNUMBER(M303)),"SEM DEFESA",IF(G303="","SEM STATUS",IF(O303="","SEM DATA",IF(O303&lt;0,"VENCIDO",IF(O303&lt;=DiasAlerta,"VENCE EM BREVE","NO PRAZO")))))))</f>
        <v/>
      </c>
      <c r="Q303" s="117" t="str">
        <f>IF(D303="","",TODAY()-D303)</f>
        <v/>
      </c>
      <c r="R303" s="110" t="n"/>
    </row>
    <row r="304" ht="18" customHeight="1">
      <c r="A304" s="109" t="n"/>
      <c r="B304" s="110" t="n"/>
      <c r="C304" s="110" t="n"/>
      <c r="D304" s="111" t="n"/>
      <c r="E304" s="110" t="n"/>
      <c r="F304" s="112" t="n"/>
      <c r="G304" s="112" t="n"/>
      <c r="H304" s="110" t="n"/>
      <c r="I304" s="113" t="n"/>
      <c r="J304" s="113" t="n"/>
      <c r="K304" s="111" t="n"/>
      <c r="L304" s="111" t="n"/>
      <c r="M304" s="111" t="n"/>
      <c r="N304" s="114" t="str">
        <f>IF(OR(D304="",E304=""),"",D304+IF(E304="NOTIFICAÇÃO DE CONSTATAÇÃO",PrazoConst,PrazoEsc))</f>
        <v/>
      </c>
      <c r="O304" s="115" t="str">
        <f>IF(N304="","",IF(ISNUMBER(L304),N304-L304,IF(OR(G304="DECISÃO D.P",ISNUMBER(M304)),"",N304-TODAY())))</f>
        <v/>
      </c>
      <c r="P304" s="116" t="str">
        <f>IF(B304="","",IF(ISNUMBER(M304),"DECIDIDO – ","")&amp;IF(ISNUMBER(L304),IF(O304="","SEM DATA",IF(O304&gt;=0,"DEFESA NO PRAZO","DEFESA FORA DO PRAZO")),IF(OR(G304="DECISÃO D.P",ISNUMBER(M304)),"SEM DEFESA",IF(G304="","SEM STATUS",IF(O304="","SEM DATA",IF(O304&lt;0,"VENCIDO",IF(O304&lt;=DiasAlerta,"VENCE EM BREVE","NO PRAZO")))))))</f>
        <v/>
      </c>
      <c r="Q304" s="117" t="str">
        <f>IF(D304="","",TODAY()-D304)</f>
        <v/>
      </c>
      <c r="R304" s="110" t="n"/>
    </row>
    <row r="305" ht="18" customHeight="1">
      <c r="A305" s="109" t="n"/>
      <c r="B305" s="110" t="n"/>
      <c r="C305" s="110" t="n"/>
      <c r="D305" s="111" t="n"/>
      <c r="E305" s="110" t="n"/>
      <c r="F305" s="112" t="n"/>
      <c r="G305" s="112" t="n"/>
      <c r="H305" s="110" t="n"/>
      <c r="I305" s="113" t="n"/>
      <c r="J305" s="113" t="n"/>
      <c r="K305" s="111" t="n"/>
      <c r="L305" s="111" t="n"/>
      <c r="M305" s="111" t="n"/>
      <c r="N305" s="114" t="str">
        <f>IF(OR(D305="",E305=""),"",D305+IF(E305="NOTIFICAÇÃO DE CONSTATAÇÃO",PrazoConst,PrazoEsc))</f>
        <v/>
      </c>
      <c r="O305" s="115" t="str">
        <f>IF(N305="","",IF(ISNUMBER(L305),N305-L305,IF(OR(G305="DECISÃO D.P",ISNUMBER(M305)),"",N305-TODAY())))</f>
        <v/>
      </c>
      <c r="P305" s="116" t="str">
        <f>IF(B305="","",IF(ISNUMBER(M305),"DECIDIDO – ","")&amp;IF(ISNUMBER(L305),IF(O305="","SEM DATA",IF(O305&gt;=0,"DEFESA NO PRAZO","DEFESA FORA DO PRAZO")),IF(OR(G305="DECISÃO D.P",ISNUMBER(M305)),"SEM DEFESA",IF(G305="","SEM STATUS",IF(O305="","SEM DATA",IF(O305&lt;0,"VENCIDO",IF(O305&lt;=DiasAlerta,"VENCE EM BREVE","NO PRAZO")))))))</f>
        <v/>
      </c>
      <c r="Q305" s="117" t="str">
        <f>IF(D305="","",TODAY()-D305)</f>
        <v/>
      </c>
      <c r="R305" s="110" t="n"/>
    </row>
    <row r="306" ht="18" customHeight="1">
      <c r="A306" s="109" t="n"/>
      <c r="B306" s="110" t="n"/>
      <c r="C306" s="110" t="n"/>
      <c r="D306" s="111" t="n"/>
      <c r="E306" s="110" t="n"/>
      <c r="F306" s="112" t="n"/>
      <c r="G306" s="112" t="n"/>
      <c r="H306" s="110" t="n"/>
      <c r="I306" s="113" t="n"/>
      <c r="J306" s="113" t="n"/>
      <c r="K306" s="111" t="n"/>
      <c r="L306" s="111" t="n"/>
      <c r="M306" s="111" t="n"/>
      <c r="N306" s="114" t="str">
        <f>IF(OR(D306="",E306=""),"",D306+IF(E306="NOTIFICAÇÃO DE CONSTATAÇÃO",PrazoConst,PrazoEsc))</f>
        <v/>
      </c>
      <c r="O306" s="115" t="str">
        <f>IF(N306="","",IF(ISNUMBER(L306),N306-L306,IF(OR(G306="DECISÃO D.P",ISNUMBER(M306)),"",N306-TODAY())))</f>
        <v/>
      </c>
      <c r="P306" s="116" t="str">
        <f>IF(B306="","",IF(ISNUMBER(M306),"DECIDIDO – ","")&amp;IF(ISNUMBER(L306),IF(O306="","SEM DATA",IF(O306&gt;=0,"DEFESA NO PRAZO","DEFESA FORA DO PRAZO")),IF(OR(G306="DECISÃO D.P",ISNUMBER(M306)),"SEM DEFESA",IF(G306="","SEM STATUS",IF(O306="","SEM DATA",IF(O306&lt;0,"VENCIDO",IF(O306&lt;=DiasAlerta,"VENCE EM BREVE","NO PRAZO")))))))</f>
        <v/>
      </c>
      <c r="Q306" s="117" t="str">
        <f>IF(D306="","",TODAY()-D306)</f>
        <v/>
      </c>
      <c r="R306" s="110" t="n"/>
    </row>
    <row r="307" ht="18" customHeight="1">
      <c r="A307" s="109" t="n"/>
      <c r="B307" s="110" t="n"/>
      <c r="C307" s="110" t="n"/>
      <c r="D307" s="111" t="n"/>
      <c r="E307" s="110" t="n"/>
      <c r="F307" s="112" t="n"/>
      <c r="G307" s="112" t="n"/>
      <c r="H307" s="110" t="n"/>
      <c r="I307" s="113" t="n"/>
      <c r="J307" s="113" t="n"/>
      <c r="K307" s="111" t="n"/>
      <c r="L307" s="111" t="n"/>
      <c r="M307" s="111" t="n"/>
      <c r="N307" s="114" t="str">
        <f>IF(OR(D307="",E307=""),"",D307+IF(E307="NOTIFICAÇÃO DE CONSTATAÇÃO",PrazoConst,PrazoEsc))</f>
        <v/>
      </c>
      <c r="O307" s="115" t="str">
        <f>IF(N307="","",IF(ISNUMBER(L307),N307-L307,IF(OR(G307="DECISÃO D.P",ISNUMBER(M307)),"",N307-TODAY())))</f>
        <v/>
      </c>
      <c r="P307" s="116" t="str">
        <f>IF(B307="","",IF(ISNUMBER(M307),"DECIDIDO – ","")&amp;IF(ISNUMBER(L307),IF(O307="","SEM DATA",IF(O307&gt;=0,"DEFESA NO PRAZO","DEFESA FORA DO PRAZO")),IF(OR(G307="DECISÃO D.P",ISNUMBER(M307)),"SEM DEFESA",IF(G307="","SEM STATUS",IF(O307="","SEM DATA",IF(O307&lt;0,"VENCIDO",IF(O307&lt;=DiasAlerta,"VENCE EM BREVE","NO PRAZO")))))))</f>
        <v/>
      </c>
      <c r="Q307" s="117" t="str">
        <f>IF(D307="","",TODAY()-D307)</f>
        <v/>
      </c>
      <c r="R307" s="110" t="n"/>
    </row>
    <row r="308" ht="18" customHeight="1">
      <c r="A308" s="109" t="n"/>
      <c r="B308" s="110" t="n"/>
      <c r="C308" s="110" t="n"/>
      <c r="D308" s="111" t="n"/>
      <c r="E308" s="110" t="n"/>
      <c r="F308" s="112" t="n"/>
      <c r="G308" s="112" t="n"/>
      <c r="H308" s="110" t="n"/>
      <c r="I308" s="113" t="n"/>
      <c r="J308" s="113" t="n"/>
      <c r="K308" s="111" t="n"/>
      <c r="L308" s="111" t="n"/>
      <c r="M308" s="111" t="n"/>
      <c r="N308" s="114" t="str">
        <f>IF(OR(D308="",E308=""),"",D308+IF(E308="NOTIFICAÇÃO DE CONSTATAÇÃO",PrazoConst,PrazoEsc))</f>
        <v/>
      </c>
      <c r="O308" s="115" t="str">
        <f>IF(N308="","",IF(ISNUMBER(L308),N308-L308,IF(OR(G308="DECISÃO D.P",ISNUMBER(M308)),"",N308-TODAY())))</f>
        <v/>
      </c>
      <c r="P308" s="116" t="str">
        <f>IF(B308="","",IF(ISNUMBER(M308),"DECIDIDO – ","")&amp;IF(ISNUMBER(L308),IF(O308="","SEM DATA",IF(O308&gt;=0,"DEFESA NO PRAZO","DEFESA FORA DO PRAZO")),IF(OR(G308="DECISÃO D.P",ISNUMBER(M308)),"SEM DEFESA",IF(G308="","SEM STATUS",IF(O308="","SEM DATA",IF(O308&lt;0,"VENCIDO",IF(O308&lt;=DiasAlerta,"VENCE EM BREVE","NO PRAZO")))))))</f>
        <v/>
      </c>
      <c r="Q308" s="117" t="str">
        <f>IF(D308="","",TODAY()-D308)</f>
        <v/>
      </c>
      <c r="R308" s="110" t="n"/>
    </row>
    <row r="309" ht="18" customHeight="1">
      <c r="A309" s="109" t="n"/>
      <c r="B309" s="110" t="n"/>
      <c r="C309" s="110" t="n"/>
      <c r="D309" s="111" t="n"/>
      <c r="E309" s="110" t="n"/>
      <c r="F309" s="112" t="n"/>
      <c r="G309" s="112" t="n"/>
      <c r="H309" s="110" t="n"/>
      <c r="I309" s="113" t="n"/>
      <c r="J309" s="113" t="n"/>
      <c r="K309" s="111" t="n"/>
      <c r="L309" s="111" t="n"/>
      <c r="M309" s="111" t="n"/>
      <c r="N309" s="114" t="str">
        <f>IF(OR(D309="",E309=""),"",D309+IF(E309="NOTIFICAÇÃO DE CONSTATAÇÃO",PrazoConst,PrazoEsc))</f>
        <v/>
      </c>
      <c r="O309" s="115" t="str">
        <f>IF(N309="","",IF(ISNUMBER(L309),N309-L309,IF(OR(G309="DECISÃO D.P",ISNUMBER(M309)),"",N309-TODAY())))</f>
        <v/>
      </c>
      <c r="P309" s="116" t="str">
        <f>IF(B309="","",IF(ISNUMBER(M309),"DECIDIDO – ","")&amp;IF(ISNUMBER(L309),IF(O309="","SEM DATA",IF(O309&gt;=0,"DEFESA NO PRAZO","DEFESA FORA DO PRAZO")),IF(OR(G309="DECISÃO D.P",ISNUMBER(M309)),"SEM DEFESA",IF(G309="","SEM STATUS",IF(O309="","SEM DATA",IF(O309&lt;0,"VENCIDO",IF(O309&lt;=DiasAlerta,"VENCE EM BREVE","NO PRAZO")))))))</f>
        <v/>
      </c>
      <c r="Q309" s="117" t="str">
        <f>IF(D309="","",TODAY()-D309)</f>
        <v/>
      </c>
      <c r="R309" s="110" t="n"/>
    </row>
    <row r="310" ht="18" customHeight="1">
      <c r="A310" s="109" t="n"/>
      <c r="B310" s="110" t="n"/>
      <c r="C310" s="110" t="n"/>
      <c r="D310" s="111" t="n"/>
      <c r="E310" s="110" t="n"/>
      <c r="F310" s="112" t="n"/>
      <c r="G310" s="112" t="n"/>
      <c r="H310" s="110" t="n"/>
      <c r="I310" s="113" t="n"/>
      <c r="J310" s="113" t="n"/>
      <c r="K310" s="111" t="n"/>
      <c r="L310" s="111" t="n"/>
      <c r="M310" s="111" t="n"/>
      <c r="N310" s="114" t="str">
        <f>IF(OR(D310="",E310=""),"",D310+IF(E310="NOTIFICAÇÃO DE CONSTATAÇÃO",PrazoConst,PrazoEsc))</f>
        <v/>
      </c>
      <c r="O310" s="115" t="str">
        <f>IF(N310="","",IF(ISNUMBER(L310),N310-L310,IF(OR(G310="DECISÃO D.P",ISNUMBER(M310)),"",N310-TODAY())))</f>
        <v/>
      </c>
      <c r="P310" s="116" t="str">
        <f>IF(B310="","",IF(ISNUMBER(M310),"DECIDIDO – ","")&amp;IF(ISNUMBER(L310),IF(O310="","SEM DATA",IF(O310&gt;=0,"DEFESA NO PRAZO","DEFESA FORA DO PRAZO")),IF(OR(G310="DECISÃO D.P",ISNUMBER(M310)),"SEM DEFESA",IF(G310="","SEM STATUS",IF(O310="","SEM DATA",IF(O310&lt;0,"VENCIDO",IF(O310&lt;=DiasAlerta,"VENCE EM BREVE","NO PRAZO")))))))</f>
        <v/>
      </c>
      <c r="Q310" s="117" t="str">
        <f>IF(D310="","",TODAY()-D310)</f>
        <v/>
      </c>
      <c r="R310" s="110" t="n"/>
    </row>
    <row r="311" ht="18" customHeight="1">
      <c r="A311" s="109" t="n"/>
      <c r="B311" s="110" t="n"/>
      <c r="C311" s="110" t="n"/>
      <c r="D311" s="111" t="n"/>
      <c r="E311" s="110" t="n"/>
      <c r="F311" s="112" t="n"/>
      <c r="G311" s="112" t="n"/>
      <c r="H311" s="110" t="n"/>
      <c r="I311" s="113" t="n"/>
      <c r="J311" s="113" t="n"/>
      <c r="K311" s="111" t="n"/>
      <c r="L311" s="111" t="n"/>
      <c r="M311" s="111" t="n"/>
      <c r="N311" s="114" t="str">
        <f>IF(OR(D311="",E311=""),"",D311+IF(E311="NOTIFICAÇÃO DE CONSTATAÇÃO",PrazoConst,PrazoEsc))</f>
        <v/>
      </c>
      <c r="O311" s="115" t="str">
        <f>IF(N311="","",IF(ISNUMBER(L311),N311-L311,IF(OR(G311="DECISÃO D.P",ISNUMBER(M311)),"",N311-TODAY())))</f>
        <v/>
      </c>
      <c r="P311" s="116" t="str">
        <f>IF(B311="","",IF(ISNUMBER(M311),"DECIDIDO – ","")&amp;IF(ISNUMBER(L311),IF(O311="","SEM DATA",IF(O311&gt;=0,"DEFESA NO PRAZO","DEFESA FORA DO PRAZO")),IF(OR(G311="DECISÃO D.P",ISNUMBER(M311)),"SEM DEFESA",IF(G311="","SEM STATUS",IF(O311="","SEM DATA",IF(O311&lt;0,"VENCIDO",IF(O311&lt;=DiasAlerta,"VENCE EM BREVE","NO PRAZO")))))))</f>
        <v/>
      </c>
      <c r="Q311" s="117" t="str">
        <f>IF(D311="","",TODAY()-D311)</f>
        <v/>
      </c>
      <c r="R311" s="110" t="n"/>
    </row>
    <row r="312" ht="18" customHeight="1">
      <c r="A312" s="109" t="n"/>
      <c r="B312" s="110" t="n"/>
      <c r="C312" s="110" t="n"/>
      <c r="D312" s="111" t="n"/>
      <c r="E312" s="110" t="n"/>
      <c r="F312" s="112" t="n"/>
      <c r="G312" s="112" t="n"/>
      <c r="H312" s="110" t="n"/>
      <c r="I312" s="113" t="n"/>
      <c r="J312" s="113" t="n"/>
      <c r="K312" s="111" t="n"/>
      <c r="L312" s="111" t="n"/>
      <c r="M312" s="111" t="n"/>
      <c r="N312" s="114" t="str">
        <f>IF(OR(D312="",E312=""),"",D312+IF(E312="NOTIFICAÇÃO DE CONSTATAÇÃO",PrazoConst,PrazoEsc))</f>
        <v/>
      </c>
      <c r="O312" s="115" t="str">
        <f>IF(N312="","",IF(ISNUMBER(L312),N312-L312,IF(OR(G312="DECISÃO D.P",ISNUMBER(M312)),"",N312-TODAY())))</f>
        <v/>
      </c>
      <c r="P312" s="116" t="str">
        <f>IF(B312="","",IF(ISNUMBER(M312),"DECIDIDO – ","")&amp;IF(ISNUMBER(L312),IF(O312="","SEM DATA",IF(O312&gt;=0,"DEFESA NO PRAZO","DEFESA FORA DO PRAZO")),IF(OR(G312="DECISÃO D.P",ISNUMBER(M312)),"SEM DEFESA",IF(G312="","SEM STATUS",IF(O312="","SEM DATA",IF(O312&lt;0,"VENCIDO",IF(O312&lt;=DiasAlerta,"VENCE EM BREVE","NO PRAZO")))))))</f>
        <v/>
      </c>
      <c r="Q312" s="117" t="str">
        <f>IF(D312="","",TODAY()-D312)</f>
        <v/>
      </c>
      <c r="R312" s="110" t="n"/>
    </row>
    <row r="313" ht="18" customHeight="1">
      <c r="A313" s="109" t="n"/>
      <c r="B313" s="110" t="n"/>
      <c r="C313" s="110" t="n"/>
      <c r="D313" s="111" t="n"/>
      <c r="E313" s="110" t="n"/>
      <c r="F313" s="112" t="n"/>
      <c r="G313" s="112" t="n"/>
      <c r="H313" s="110" t="n"/>
      <c r="I313" s="113" t="n"/>
      <c r="J313" s="113" t="n"/>
      <c r="K313" s="111" t="n"/>
      <c r="L313" s="111" t="n"/>
      <c r="M313" s="111" t="n"/>
      <c r="N313" s="114" t="str">
        <f>IF(OR(D313="",E313=""),"",D313+IF(E313="NOTIFICAÇÃO DE CONSTATAÇÃO",PrazoConst,PrazoEsc))</f>
        <v/>
      </c>
      <c r="O313" s="115" t="str">
        <f>IF(N313="","",IF(ISNUMBER(L313),N313-L313,IF(OR(G313="DECISÃO D.P",ISNUMBER(M313)),"",N313-TODAY())))</f>
        <v/>
      </c>
      <c r="P313" s="116" t="str">
        <f>IF(B313="","",IF(ISNUMBER(M313),"DECIDIDO – ","")&amp;IF(ISNUMBER(L313),IF(O313="","SEM DATA",IF(O313&gt;=0,"DEFESA NO PRAZO","DEFESA FORA DO PRAZO")),IF(OR(G313="DECISÃO D.P",ISNUMBER(M313)),"SEM DEFESA",IF(G313="","SEM STATUS",IF(O313="","SEM DATA",IF(O313&lt;0,"VENCIDO",IF(O313&lt;=DiasAlerta,"VENCE EM BREVE","NO PRAZO")))))))</f>
        <v/>
      </c>
      <c r="Q313" s="117" t="str">
        <f>IF(D313="","",TODAY()-D313)</f>
        <v/>
      </c>
      <c r="R313" s="110" t="n"/>
    </row>
    <row r="314" ht="18" customHeight="1">
      <c r="A314" s="109" t="n"/>
      <c r="B314" s="110" t="n"/>
      <c r="C314" s="110" t="n"/>
      <c r="D314" s="111" t="n"/>
      <c r="E314" s="110" t="n"/>
      <c r="F314" s="112" t="n"/>
      <c r="G314" s="112" t="n"/>
      <c r="H314" s="110" t="n"/>
      <c r="I314" s="113" t="n"/>
      <c r="J314" s="113" t="n"/>
      <c r="K314" s="111" t="n"/>
      <c r="L314" s="111" t="n"/>
      <c r="M314" s="111" t="n"/>
      <c r="N314" s="114" t="str">
        <f>IF(OR(D314="",E314=""),"",D314+IF(E314="NOTIFICAÇÃO DE CONSTATAÇÃO",PrazoConst,PrazoEsc))</f>
        <v/>
      </c>
      <c r="O314" s="115" t="str">
        <f>IF(N314="","",IF(ISNUMBER(L314),N314-L314,IF(OR(G314="DECISÃO D.P",ISNUMBER(M314)),"",N314-TODAY())))</f>
        <v/>
      </c>
      <c r="P314" s="116" t="str">
        <f>IF(B314="","",IF(ISNUMBER(M314),"DECIDIDO – ","")&amp;IF(ISNUMBER(L314),IF(O314="","SEM DATA",IF(O314&gt;=0,"DEFESA NO PRAZO","DEFESA FORA DO PRAZO")),IF(OR(G314="DECISÃO D.P",ISNUMBER(M314)),"SEM DEFESA",IF(G314="","SEM STATUS",IF(O314="","SEM DATA",IF(O314&lt;0,"VENCIDO",IF(O314&lt;=DiasAlerta,"VENCE EM BREVE","NO PRAZO")))))))</f>
        <v/>
      </c>
      <c r="Q314" s="117" t="str">
        <f>IF(D314="","",TODAY()-D314)</f>
        <v/>
      </c>
      <c r="R314" s="110" t="n"/>
    </row>
    <row r="315" ht="18" customHeight="1">
      <c r="A315" s="109" t="n"/>
      <c r="B315" s="110" t="n"/>
      <c r="C315" s="110" t="n"/>
      <c r="D315" s="111" t="n"/>
      <c r="E315" s="110" t="n"/>
      <c r="F315" s="112" t="n"/>
      <c r="G315" s="112" t="n"/>
      <c r="H315" s="110" t="n"/>
      <c r="I315" s="113" t="n"/>
      <c r="J315" s="113" t="n"/>
      <c r="K315" s="111" t="n"/>
      <c r="L315" s="111" t="n"/>
      <c r="M315" s="111" t="n"/>
      <c r="N315" s="114" t="str">
        <f>IF(OR(D315="",E315=""),"",D315+IF(E315="NOTIFICAÇÃO DE CONSTATAÇÃO",PrazoConst,PrazoEsc))</f>
        <v/>
      </c>
      <c r="O315" s="115" t="str">
        <f>IF(N315="","",IF(ISNUMBER(L315),N315-L315,IF(OR(G315="DECISÃO D.P",ISNUMBER(M315)),"",N315-TODAY())))</f>
        <v/>
      </c>
      <c r="P315" s="116" t="str">
        <f>IF(B315="","",IF(ISNUMBER(M315),"DECIDIDO – ","")&amp;IF(ISNUMBER(L315),IF(O315="","SEM DATA",IF(O315&gt;=0,"DEFESA NO PRAZO","DEFESA FORA DO PRAZO")),IF(OR(G315="DECISÃO D.P",ISNUMBER(M315)),"SEM DEFESA",IF(G315="","SEM STATUS",IF(O315="","SEM DATA",IF(O315&lt;0,"VENCIDO",IF(O315&lt;=DiasAlerta,"VENCE EM BREVE","NO PRAZO")))))))</f>
        <v/>
      </c>
      <c r="Q315" s="117" t="str">
        <f>IF(D315="","",TODAY()-D315)</f>
        <v/>
      </c>
      <c r="R315" s="110" t="n"/>
    </row>
    <row r="316" ht="18" customHeight="1">
      <c r="A316" s="109" t="n"/>
      <c r="B316" s="110" t="n"/>
      <c r="C316" s="110" t="n"/>
      <c r="D316" s="111" t="n"/>
      <c r="E316" s="110" t="n"/>
      <c r="F316" s="112" t="n"/>
      <c r="G316" s="112" t="n"/>
      <c r="H316" s="110" t="n"/>
      <c r="I316" s="113" t="n"/>
      <c r="J316" s="113" t="n"/>
      <c r="K316" s="111" t="n"/>
      <c r="L316" s="111" t="n"/>
      <c r="M316" s="111" t="n"/>
      <c r="N316" s="114" t="str">
        <f>IF(OR(D316="",E316=""),"",D316+IF(E316="NOTIFICAÇÃO DE CONSTATAÇÃO",PrazoConst,PrazoEsc))</f>
        <v/>
      </c>
      <c r="O316" s="115" t="str">
        <f>IF(N316="","",IF(ISNUMBER(L316),N316-L316,IF(OR(G316="DECISÃO D.P",ISNUMBER(M316)),"",N316-TODAY())))</f>
        <v/>
      </c>
      <c r="P316" s="116" t="str">
        <f>IF(B316="","",IF(ISNUMBER(M316),"DECIDIDO – ","")&amp;IF(ISNUMBER(L316),IF(O316="","SEM DATA",IF(O316&gt;=0,"DEFESA NO PRAZO","DEFESA FORA DO PRAZO")),IF(OR(G316="DECISÃO D.P",ISNUMBER(M316)),"SEM DEFESA",IF(G316="","SEM STATUS",IF(O316="","SEM DATA",IF(O316&lt;0,"VENCIDO",IF(O316&lt;=DiasAlerta,"VENCE EM BREVE","NO PRAZO")))))))</f>
        <v/>
      </c>
      <c r="Q316" s="117" t="str">
        <f>IF(D316="","",TODAY()-D316)</f>
        <v/>
      </c>
      <c r="R316" s="110" t="n"/>
    </row>
    <row r="317" ht="18" customHeight="1">
      <c r="A317" s="109" t="n"/>
      <c r="B317" s="110" t="n"/>
      <c r="C317" s="110" t="n"/>
      <c r="D317" s="111" t="n"/>
      <c r="E317" s="110" t="n"/>
      <c r="F317" s="112" t="n"/>
      <c r="G317" s="112" t="n"/>
      <c r="H317" s="110" t="n"/>
      <c r="I317" s="113" t="n"/>
      <c r="J317" s="113" t="n"/>
      <c r="K317" s="111" t="n"/>
      <c r="L317" s="111" t="n"/>
      <c r="M317" s="111" t="n"/>
      <c r="N317" s="114" t="str">
        <f>IF(OR(D317="",E317=""),"",D317+IF(E317="NOTIFICAÇÃO DE CONSTATAÇÃO",PrazoConst,PrazoEsc))</f>
        <v/>
      </c>
      <c r="O317" s="115" t="str">
        <f>IF(N317="","",IF(ISNUMBER(L317),N317-L317,IF(OR(G317="DECISÃO D.P",ISNUMBER(M317)),"",N317-TODAY())))</f>
        <v/>
      </c>
      <c r="P317" s="116" t="str">
        <f>IF(B317="","",IF(ISNUMBER(M317),"DECIDIDO – ","")&amp;IF(ISNUMBER(L317),IF(O317="","SEM DATA",IF(O317&gt;=0,"DEFESA NO PRAZO","DEFESA FORA DO PRAZO")),IF(OR(G317="DECISÃO D.P",ISNUMBER(M317)),"SEM DEFESA",IF(G317="","SEM STATUS",IF(O317="","SEM DATA",IF(O317&lt;0,"VENCIDO",IF(O317&lt;=DiasAlerta,"VENCE EM BREVE","NO PRAZO")))))))</f>
        <v/>
      </c>
      <c r="Q317" s="117" t="str">
        <f>IF(D317="","",TODAY()-D317)</f>
        <v/>
      </c>
      <c r="R317" s="110" t="n"/>
    </row>
    <row r="318" ht="18" customHeight="1">
      <c r="A318" s="109" t="n"/>
      <c r="B318" s="110" t="n"/>
      <c r="C318" s="110" t="n"/>
      <c r="D318" s="111" t="n"/>
      <c r="E318" s="110" t="n"/>
      <c r="F318" s="112" t="n"/>
      <c r="G318" s="112" t="n"/>
      <c r="H318" s="110" t="n"/>
      <c r="I318" s="113" t="n"/>
      <c r="J318" s="113" t="n"/>
      <c r="K318" s="111" t="n"/>
      <c r="L318" s="111" t="n"/>
      <c r="M318" s="111" t="n"/>
      <c r="N318" s="114" t="str">
        <f>IF(OR(D318="",E318=""),"",D318+IF(E318="NOTIFICAÇÃO DE CONSTATAÇÃO",PrazoConst,PrazoEsc))</f>
        <v/>
      </c>
      <c r="O318" s="115" t="str">
        <f>IF(N318="","",IF(ISNUMBER(L318),N318-L318,IF(OR(G318="DECISÃO D.P",ISNUMBER(M318)),"",N318-TODAY())))</f>
        <v/>
      </c>
      <c r="P318" s="116" t="str">
        <f>IF(B318="","",IF(ISNUMBER(M318),"DECIDIDO – ","")&amp;IF(ISNUMBER(L318),IF(O318="","SEM DATA",IF(O318&gt;=0,"DEFESA NO PRAZO","DEFESA FORA DO PRAZO")),IF(OR(G318="DECISÃO D.P",ISNUMBER(M318)),"SEM DEFESA",IF(G318="","SEM STATUS",IF(O318="","SEM DATA",IF(O318&lt;0,"VENCIDO",IF(O318&lt;=DiasAlerta,"VENCE EM BREVE","NO PRAZO")))))))</f>
        <v/>
      </c>
      <c r="Q318" s="117" t="str">
        <f>IF(D318="","",TODAY()-D318)</f>
        <v/>
      </c>
      <c r="R318" s="110" t="n"/>
    </row>
    <row r="319" ht="18" customHeight="1">
      <c r="A319" s="109" t="n"/>
      <c r="B319" s="110" t="n"/>
      <c r="C319" s="110" t="n"/>
      <c r="D319" s="111" t="n"/>
      <c r="E319" s="110" t="n"/>
      <c r="F319" s="112" t="n"/>
      <c r="G319" s="112" t="n"/>
      <c r="H319" s="110" t="n"/>
      <c r="I319" s="113" t="n"/>
      <c r="J319" s="113" t="n"/>
      <c r="K319" s="111" t="n"/>
      <c r="L319" s="111" t="n"/>
      <c r="M319" s="111" t="n"/>
      <c r="N319" s="114" t="str">
        <f>IF(OR(D319="",E319=""),"",D319+IF(E319="NOTIFICAÇÃO DE CONSTATAÇÃO",PrazoConst,PrazoEsc))</f>
        <v/>
      </c>
      <c r="O319" s="115" t="str">
        <f>IF(N319="","",IF(ISNUMBER(L319),N319-L319,IF(OR(G319="DECISÃO D.P",ISNUMBER(M319)),"",N319-TODAY())))</f>
        <v/>
      </c>
      <c r="P319" s="116" t="str">
        <f>IF(B319="","",IF(ISNUMBER(M319),"DECIDIDO – ","")&amp;IF(ISNUMBER(L319),IF(O319="","SEM DATA",IF(O319&gt;=0,"DEFESA NO PRAZO","DEFESA FORA DO PRAZO")),IF(OR(G319="DECISÃO D.P",ISNUMBER(M319)),"SEM DEFESA",IF(G319="","SEM STATUS",IF(O319="","SEM DATA",IF(O319&lt;0,"VENCIDO",IF(O319&lt;=DiasAlerta,"VENCE EM BREVE","NO PRAZO")))))))</f>
        <v/>
      </c>
      <c r="Q319" s="117" t="str">
        <f>IF(D319="","",TODAY()-D319)</f>
        <v/>
      </c>
      <c r="R319" s="110" t="n"/>
    </row>
    <row r="320" ht="18" customHeight="1">
      <c r="A320" s="109" t="n"/>
      <c r="B320" s="110" t="n"/>
      <c r="C320" s="110" t="n"/>
      <c r="D320" s="111" t="n"/>
      <c r="E320" s="110" t="n"/>
      <c r="F320" s="112" t="n"/>
      <c r="G320" s="112" t="n"/>
      <c r="H320" s="110" t="n"/>
      <c r="I320" s="113" t="n"/>
      <c r="J320" s="113" t="n"/>
      <c r="K320" s="111" t="n"/>
      <c r="L320" s="111" t="n"/>
      <c r="M320" s="111" t="n"/>
      <c r="N320" s="114" t="str">
        <f>IF(OR(D320="",E320=""),"",D320+IF(E320="NOTIFICAÇÃO DE CONSTATAÇÃO",PrazoConst,PrazoEsc))</f>
        <v/>
      </c>
      <c r="O320" s="115" t="str">
        <f>IF(N320="","",IF(ISNUMBER(L320),N320-L320,IF(OR(G320="DECISÃO D.P",ISNUMBER(M320)),"",N320-TODAY())))</f>
        <v/>
      </c>
      <c r="P320" s="116" t="str">
        <f>IF(B320="","",IF(ISNUMBER(M320),"DECIDIDO – ","")&amp;IF(ISNUMBER(L320),IF(O320="","SEM DATA",IF(O320&gt;=0,"DEFESA NO PRAZO","DEFESA FORA DO PRAZO")),IF(OR(G320="DECISÃO D.P",ISNUMBER(M320)),"SEM DEFESA",IF(G320="","SEM STATUS",IF(O320="","SEM DATA",IF(O320&lt;0,"VENCIDO",IF(O320&lt;=DiasAlerta,"VENCE EM BREVE","NO PRAZO")))))))</f>
        <v/>
      </c>
      <c r="Q320" s="117" t="str">
        <f>IF(D320="","",TODAY()-D320)</f>
        <v/>
      </c>
      <c r="R320" s="110" t="n"/>
    </row>
    <row r="321" ht="18" customHeight="1">
      <c r="A321" s="109" t="n"/>
      <c r="B321" s="110" t="n"/>
      <c r="C321" s="110" t="n"/>
      <c r="D321" s="111" t="n"/>
      <c r="E321" s="110" t="n"/>
      <c r="F321" s="112" t="n"/>
      <c r="G321" s="112" t="n"/>
      <c r="H321" s="110" t="n"/>
      <c r="I321" s="113" t="n"/>
      <c r="J321" s="113" t="n"/>
      <c r="K321" s="111" t="n"/>
      <c r="L321" s="111" t="n"/>
      <c r="M321" s="111" t="n"/>
      <c r="N321" s="114" t="str">
        <f>IF(OR(D321="",E321=""),"",D321+IF(E321="NOTIFICAÇÃO DE CONSTATAÇÃO",PrazoConst,PrazoEsc))</f>
        <v/>
      </c>
      <c r="O321" s="115" t="str">
        <f>IF(N321="","",IF(ISNUMBER(L321),N321-L321,IF(OR(G321="DECISÃO D.P",ISNUMBER(M321)),"",N321-TODAY())))</f>
        <v/>
      </c>
      <c r="P321" s="116" t="str">
        <f>IF(B321="","",IF(ISNUMBER(M321),"DECIDIDO – ","")&amp;IF(ISNUMBER(L321),IF(O321="","SEM DATA",IF(O321&gt;=0,"DEFESA NO PRAZO","DEFESA FORA DO PRAZO")),IF(OR(G321="DECISÃO D.P",ISNUMBER(M321)),"SEM DEFESA",IF(G321="","SEM STATUS",IF(O321="","SEM DATA",IF(O321&lt;0,"VENCIDO",IF(O321&lt;=DiasAlerta,"VENCE EM BREVE","NO PRAZO")))))))</f>
        <v/>
      </c>
      <c r="Q321" s="117" t="str">
        <f>IF(D321="","",TODAY()-D321)</f>
        <v/>
      </c>
      <c r="R321" s="110" t="n"/>
    </row>
    <row r="322" ht="18" customHeight="1">
      <c r="A322" s="109" t="n"/>
      <c r="B322" s="110" t="n"/>
      <c r="C322" s="110" t="n"/>
      <c r="D322" s="111" t="n"/>
      <c r="E322" s="110" t="n"/>
      <c r="F322" s="112" t="n"/>
      <c r="G322" s="112" t="n"/>
      <c r="H322" s="110" t="n"/>
      <c r="I322" s="113" t="n"/>
      <c r="J322" s="113" t="n"/>
      <c r="K322" s="111" t="n"/>
      <c r="L322" s="111" t="n"/>
      <c r="M322" s="111" t="n"/>
      <c r="N322" s="114" t="str">
        <f>IF(OR(D322="",E322=""),"",D322+IF(E322="NOTIFICAÇÃO DE CONSTATAÇÃO",PrazoConst,PrazoEsc))</f>
        <v/>
      </c>
      <c r="O322" s="115" t="str">
        <f>IF(N322="","",IF(ISNUMBER(L322),N322-L322,IF(OR(G322="DECISÃO D.P",ISNUMBER(M322)),"",N322-TODAY())))</f>
        <v/>
      </c>
      <c r="P322" s="116" t="str">
        <f>IF(B322="","",IF(ISNUMBER(M322),"DECIDIDO – ","")&amp;IF(ISNUMBER(L322),IF(O322="","SEM DATA",IF(O322&gt;=0,"DEFESA NO PRAZO","DEFESA FORA DO PRAZO")),IF(OR(G322="DECISÃO D.P",ISNUMBER(M322)),"SEM DEFESA",IF(G322="","SEM STATUS",IF(O322="","SEM DATA",IF(O322&lt;0,"VENCIDO",IF(O322&lt;=DiasAlerta,"VENCE EM BREVE","NO PRAZO")))))))</f>
        <v/>
      </c>
      <c r="Q322" s="117" t="str">
        <f>IF(D322="","",TODAY()-D322)</f>
        <v/>
      </c>
      <c r="R322" s="110" t="n"/>
    </row>
    <row r="323" ht="18" customHeight="1">
      <c r="A323" s="109" t="n"/>
      <c r="B323" s="110" t="n"/>
      <c r="C323" s="110" t="n"/>
      <c r="D323" s="111" t="n"/>
      <c r="E323" s="110" t="n"/>
      <c r="F323" s="112" t="n"/>
      <c r="G323" s="112" t="n"/>
      <c r="H323" s="110" t="n"/>
      <c r="I323" s="113" t="n"/>
      <c r="J323" s="113" t="n"/>
      <c r="K323" s="111" t="n"/>
      <c r="L323" s="111" t="n"/>
      <c r="M323" s="111" t="n"/>
      <c r="N323" s="114" t="str">
        <f>IF(OR(D323="",E323=""),"",D323+IF(E323="NOTIFICAÇÃO DE CONSTATAÇÃO",PrazoConst,PrazoEsc))</f>
        <v/>
      </c>
      <c r="O323" s="115" t="str">
        <f>IF(N323="","",IF(ISNUMBER(L323),N323-L323,IF(OR(G323="DECISÃO D.P",ISNUMBER(M323)),"",N323-TODAY())))</f>
        <v/>
      </c>
      <c r="P323" s="116" t="str">
        <f>IF(B323="","",IF(ISNUMBER(M323),"DECIDIDO – ","")&amp;IF(ISNUMBER(L323),IF(O323="","SEM DATA",IF(O323&gt;=0,"DEFESA NO PRAZO","DEFESA FORA DO PRAZO")),IF(OR(G323="DECISÃO D.P",ISNUMBER(M323)),"SEM DEFESA",IF(G323="","SEM STATUS",IF(O323="","SEM DATA",IF(O323&lt;0,"VENCIDO",IF(O323&lt;=DiasAlerta,"VENCE EM BREVE","NO PRAZO")))))))</f>
        <v/>
      </c>
      <c r="Q323" s="117" t="str">
        <f>IF(D323="","",TODAY()-D323)</f>
        <v/>
      </c>
      <c r="R323" s="110" t="n"/>
    </row>
    <row r="324" ht="18" customHeight="1">
      <c r="A324" s="109" t="n"/>
      <c r="B324" s="110" t="n"/>
      <c r="C324" s="110" t="n"/>
      <c r="D324" s="111" t="n"/>
      <c r="E324" s="110" t="n"/>
      <c r="F324" s="112" t="n"/>
      <c r="G324" s="112" t="n"/>
      <c r="H324" s="110" t="n"/>
      <c r="I324" s="113" t="n"/>
      <c r="J324" s="113" t="n"/>
      <c r="K324" s="111" t="n"/>
      <c r="L324" s="111" t="n"/>
      <c r="M324" s="111" t="n"/>
      <c r="N324" s="114" t="str">
        <f>IF(OR(D324="",E324=""),"",D324+IF(E324="NOTIFICAÇÃO DE CONSTATAÇÃO",PrazoConst,PrazoEsc))</f>
        <v/>
      </c>
      <c r="O324" s="115" t="str">
        <f>IF(N324="","",IF(ISNUMBER(L324),N324-L324,IF(OR(G324="DECISÃO D.P",ISNUMBER(M324)),"",N324-TODAY())))</f>
        <v/>
      </c>
      <c r="P324" s="116" t="str">
        <f>IF(B324="","",IF(ISNUMBER(M324),"DECIDIDO – ","")&amp;IF(ISNUMBER(L324),IF(O324="","SEM DATA",IF(O324&gt;=0,"DEFESA NO PRAZO","DEFESA FORA DO PRAZO")),IF(OR(G324="DECISÃO D.P",ISNUMBER(M324)),"SEM DEFESA",IF(G324="","SEM STATUS",IF(O324="","SEM DATA",IF(O324&lt;0,"VENCIDO",IF(O324&lt;=DiasAlerta,"VENCE EM BREVE","NO PRAZO")))))))</f>
        <v/>
      </c>
      <c r="Q324" s="117" t="str">
        <f>IF(D324="","",TODAY()-D324)</f>
        <v/>
      </c>
      <c r="R324" s="110" t="n"/>
    </row>
    <row r="325" ht="18" customHeight="1">
      <c r="A325" s="109" t="n"/>
      <c r="B325" s="110" t="n"/>
      <c r="C325" s="110" t="n"/>
      <c r="D325" s="111" t="n"/>
      <c r="E325" s="110" t="n"/>
      <c r="F325" s="112" t="n"/>
      <c r="G325" s="112" t="n"/>
      <c r="H325" s="110" t="n"/>
      <c r="I325" s="113" t="n"/>
      <c r="J325" s="113" t="n"/>
      <c r="K325" s="111" t="n"/>
      <c r="L325" s="111" t="n"/>
      <c r="M325" s="111" t="n"/>
      <c r="N325" s="114" t="str">
        <f>IF(OR(D325="",E325=""),"",D325+IF(E325="NOTIFICAÇÃO DE CONSTATAÇÃO",PrazoConst,PrazoEsc))</f>
        <v/>
      </c>
      <c r="O325" s="115" t="str">
        <f>IF(N325="","",IF(ISNUMBER(L325),N325-L325,IF(OR(G325="DECISÃO D.P",ISNUMBER(M325)),"",N325-TODAY())))</f>
        <v/>
      </c>
      <c r="P325" s="116" t="str">
        <f>IF(B325="","",IF(ISNUMBER(M325),"DECIDIDO – ","")&amp;IF(ISNUMBER(L325),IF(O325="","SEM DATA",IF(O325&gt;=0,"DEFESA NO PRAZO","DEFESA FORA DO PRAZO")),IF(OR(G325="DECISÃO D.P",ISNUMBER(M325)),"SEM DEFESA",IF(G325="","SEM STATUS",IF(O325="","SEM DATA",IF(O325&lt;0,"VENCIDO",IF(O325&lt;=DiasAlerta,"VENCE EM BREVE","NO PRAZO")))))))</f>
        <v/>
      </c>
      <c r="Q325" s="117" t="str">
        <f>IF(D325="","",TODAY()-D325)</f>
        <v/>
      </c>
      <c r="R325" s="110" t="n"/>
    </row>
    <row r="326" ht="18" customHeight="1">
      <c r="A326" s="109" t="n"/>
      <c r="B326" s="110" t="n"/>
      <c r="C326" s="110" t="n"/>
      <c r="D326" s="111" t="n"/>
      <c r="E326" s="110" t="n"/>
      <c r="F326" s="112" t="n"/>
      <c r="G326" s="112" t="n"/>
      <c r="H326" s="110" t="n"/>
      <c r="I326" s="113" t="n"/>
      <c r="J326" s="113" t="n"/>
      <c r="K326" s="111" t="n"/>
      <c r="L326" s="111" t="n"/>
      <c r="M326" s="111" t="n"/>
      <c r="N326" s="114" t="str">
        <f>IF(OR(D326="",E326=""),"",D326+IF(E326="NOTIFICAÇÃO DE CONSTATAÇÃO",PrazoConst,PrazoEsc))</f>
        <v/>
      </c>
      <c r="O326" s="115" t="str">
        <f>IF(N326="","",IF(ISNUMBER(L326),N326-L326,IF(OR(G326="DECISÃO D.P",ISNUMBER(M326)),"",N326-TODAY())))</f>
        <v/>
      </c>
      <c r="P326" s="116" t="str">
        <f>IF(B326="","",IF(ISNUMBER(M326),"DECIDIDO – ","")&amp;IF(ISNUMBER(L326),IF(O326="","SEM DATA",IF(O326&gt;=0,"DEFESA NO PRAZO","DEFESA FORA DO PRAZO")),IF(OR(G326="DECISÃO D.P",ISNUMBER(M326)),"SEM DEFESA",IF(G326="","SEM STATUS",IF(O326="","SEM DATA",IF(O326&lt;0,"VENCIDO",IF(O326&lt;=DiasAlerta,"VENCE EM BREVE","NO PRAZO")))))))</f>
        <v/>
      </c>
      <c r="Q326" s="117" t="str">
        <f>IF(D326="","",TODAY()-D326)</f>
        <v/>
      </c>
      <c r="R326" s="110" t="n"/>
    </row>
    <row r="327" ht="18" customHeight="1">
      <c r="A327" s="109" t="n"/>
      <c r="B327" s="110" t="n"/>
      <c r="C327" s="110" t="n"/>
      <c r="D327" s="111" t="n"/>
      <c r="E327" s="110" t="n"/>
      <c r="F327" s="112" t="n"/>
      <c r="G327" s="112" t="n"/>
      <c r="H327" s="110" t="n"/>
      <c r="I327" s="113" t="n"/>
      <c r="J327" s="113" t="n"/>
      <c r="K327" s="111" t="n"/>
      <c r="L327" s="111" t="n"/>
      <c r="M327" s="111" t="n"/>
      <c r="N327" s="114" t="str">
        <f>IF(OR(D327="",E327=""),"",D327+IF(E327="NOTIFICAÇÃO DE CONSTATAÇÃO",PrazoConst,PrazoEsc))</f>
        <v/>
      </c>
      <c r="O327" s="115" t="str">
        <f>IF(N327="","",IF(ISNUMBER(L327),N327-L327,IF(OR(G327="DECISÃO D.P",ISNUMBER(M327)),"",N327-TODAY())))</f>
        <v/>
      </c>
      <c r="P327" s="116" t="str">
        <f>IF(B327="","",IF(ISNUMBER(M327),"DECIDIDO – ","")&amp;IF(ISNUMBER(L327),IF(O327="","SEM DATA",IF(O327&gt;=0,"DEFESA NO PRAZO","DEFESA FORA DO PRAZO")),IF(OR(G327="DECISÃO D.P",ISNUMBER(M327)),"SEM DEFESA",IF(G327="","SEM STATUS",IF(O327="","SEM DATA",IF(O327&lt;0,"VENCIDO",IF(O327&lt;=DiasAlerta,"VENCE EM BREVE","NO PRAZO")))))))</f>
        <v/>
      </c>
      <c r="Q327" s="117" t="str">
        <f>IF(D327="","",TODAY()-D327)</f>
        <v/>
      </c>
      <c r="R327" s="110" t="n"/>
    </row>
    <row r="328" ht="18" customHeight="1">
      <c r="A328" s="109" t="n"/>
      <c r="B328" s="110" t="n"/>
      <c r="C328" s="110" t="n"/>
      <c r="D328" s="111" t="n"/>
      <c r="E328" s="110" t="n"/>
      <c r="F328" s="112" t="n"/>
      <c r="G328" s="112" t="n"/>
      <c r="H328" s="110" t="n"/>
      <c r="I328" s="113" t="n"/>
      <c r="J328" s="113" t="n"/>
      <c r="K328" s="111" t="n"/>
      <c r="L328" s="111" t="n"/>
      <c r="M328" s="111" t="n"/>
      <c r="N328" s="114" t="str">
        <f>IF(OR(D328="",E328=""),"",D328+IF(E328="NOTIFICAÇÃO DE CONSTATAÇÃO",PrazoConst,PrazoEsc))</f>
        <v/>
      </c>
      <c r="O328" s="115" t="str">
        <f>IF(N328="","",IF(ISNUMBER(L328),N328-L328,IF(OR(G328="DECISÃO D.P",ISNUMBER(M328)),"",N328-TODAY())))</f>
        <v/>
      </c>
      <c r="P328" s="116" t="str">
        <f>IF(B328="","",IF(ISNUMBER(M328),"DECIDIDO – ","")&amp;IF(ISNUMBER(L328),IF(O328="","SEM DATA",IF(O328&gt;=0,"DEFESA NO PRAZO","DEFESA FORA DO PRAZO")),IF(OR(G328="DECISÃO D.P",ISNUMBER(M328)),"SEM DEFESA",IF(G328="","SEM STATUS",IF(O328="","SEM DATA",IF(O328&lt;0,"VENCIDO",IF(O328&lt;=DiasAlerta,"VENCE EM BREVE","NO PRAZO")))))))</f>
        <v/>
      </c>
      <c r="Q328" s="117" t="str">
        <f>IF(D328="","",TODAY()-D328)</f>
        <v/>
      </c>
      <c r="R328" s="110" t="n"/>
    </row>
    <row r="329" ht="18" customHeight="1">
      <c r="A329" s="109" t="n"/>
      <c r="B329" s="110" t="n"/>
      <c r="C329" s="110" t="n"/>
      <c r="D329" s="111" t="n"/>
      <c r="E329" s="110" t="n"/>
      <c r="F329" s="112" t="n"/>
      <c r="G329" s="112" t="n"/>
      <c r="H329" s="110" t="n"/>
      <c r="I329" s="113" t="n"/>
      <c r="J329" s="113" t="n"/>
      <c r="K329" s="111" t="n"/>
      <c r="L329" s="111" t="n"/>
      <c r="M329" s="111" t="n"/>
      <c r="N329" s="114" t="str">
        <f>IF(OR(D329="",E329=""),"",D329+IF(E329="NOTIFICAÇÃO DE CONSTATAÇÃO",PrazoConst,PrazoEsc))</f>
        <v/>
      </c>
      <c r="O329" s="115" t="str">
        <f>IF(N329="","",IF(ISNUMBER(L329),N329-L329,IF(OR(G329="DECISÃO D.P",ISNUMBER(M329)),"",N329-TODAY())))</f>
        <v/>
      </c>
      <c r="P329" s="116" t="str">
        <f>IF(B329="","",IF(ISNUMBER(M329),"DECIDIDO – ","")&amp;IF(ISNUMBER(L329),IF(O329="","SEM DATA",IF(O329&gt;=0,"DEFESA NO PRAZO","DEFESA FORA DO PRAZO")),IF(OR(G329="DECISÃO D.P",ISNUMBER(M329)),"SEM DEFESA",IF(G329="","SEM STATUS",IF(O329="","SEM DATA",IF(O329&lt;0,"VENCIDO",IF(O329&lt;=DiasAlerta,"VENCE EM BREVE","NO PRAZO")))))))</f>
        <v/>
      </c>
      <c r="Q329" s="117" t="str">
        <f>IF(D329="","",TODAY()-D329)</f>
        <v/>
      </c>
      <c r="R329" s="110" t="n"/>
    </row>
    <row r="330" ht="18" customHeight="1">
      <c r="A330" s="109" t="n"/>
      <c r="B330" s="110" t="n"/>
      <c r="C330" s="110" t="n"/>
      <c r="D330" s="111" t="n"/>
      <c r="E330" s="110" t="n"/>
      <c r="F330" s="112" t="n"/>
      <c r="G330" s="112" t="n"/>
      <c r="H330" s="110" t="n"/>
      <c r="I330" s="113" t="n"/>
      <c r="J330" s="113" t="n"/>
      <c r="K330" s="111" t="n"/>
      <c r="L330" s="111" t="n"/>
      <c r="M330" s="111" t="n"/>
      <c r="N330" s="114" t="str">
        <f>IF(OR(D330="",E330=""),"",D330+IF(E330="NOTIFICAÇÃO DE CONSTATAÇÃO",PrazoConst,PrazoEsc))</f>
        <v/>
      </c>
      <c r="O330" s="115" t="str">
        <f>IF(N330="","",IF(ISNUMBER(L330),N330-L330,IF(OR(G330="DECISÃO D.P",ISNUMBER(M330)),"",N330-TODAY())))</f>
        <v/>
      </c>
      <c r="P330" s="116" t="str">
        <f>IF(B330="","",IF(ISNUMBER(M330),"DECIDIDO – ","")&amp;IF(ISNUMBER(L330),IF(O330="","SEM DATA",IF(O330&gt;=0,"DEFESA NO PRAZO","DEFESA FORA DO PRAZO")),IF(OR(G330="DECISÃO D.P",ISNUMBER(M330)),"SEM DEFESA",IF(G330="","SEM STATUS",IF(O330="","SEM DATA",IF(O330&lt;0,"VENCIDO",IF(O330&lt;=DiasAlerta,"VENCE EM BREVE","NO PRAZO")))))))</f>
        <v/>
      </c>
      <c r="Q330" s="117" t="str">
        <f>IF(D330="","",TODAY()-D330)</f>
        <v/>
      </c>
      <c r="R330" s="110" t="n"/>
    </row>
    <row r="331" ht="18" customHeight="1">
      <c r="A331" s="109" t="n"/>
      <c r="B331" s="110" t="n"/>
      <c r="C331" s="110" t="n"/>
      <c r="D331" s="111" t="n"/>
      <c r="E331" s="110" t="n"/>
      <c r="F331" s="112" t="n"/>
      <c r="G331" s="112" t="n"/>
      <c r="H331" s="110" t="n"/>
      <c r="I331" s="113" t="n"/>
      <c r="J331" s="113" t="n"/>
      <c r="K331" s="111" t="n"/>
      <c r="L331" s="111" t="n"/>
      <c r="M331" s="111" t="n"/>
      <c r="N331" s="114" t="str">
        <f>IF(OR(D331="",E331=""),"",D331+IF(E331="NOTIFICAÇÃO DE CONSTATAÇÃO",PrazoConst,PrazoEsc))</f>
        <v/>
      </c>
      <c r="O331" s="115" t="str">
        <f>IF(N331="","",IF(ISNUMBER(L331),N331-L331,IF(OR(G331="DECISÃO D.P",ISNUMBER(M331)),"",N331-TODAY())))</f>
        <v/>
      </c>
      <c r="P331" s="116" t="str">
        <f>IF(B331="","",IF(ISNUMBER(M331),"DECIDIDO – ","")&amp;IF(ISNUMBER(L331),IF(O331="","SEM DATA",IF(O331&gt;=0,"DEFESA NO PRAZO","DEFESA FORA DO PRAZO")),IF(OR(G331="DECISÃO D.P",ISNUMBER(M331)),"SEM DEFESA",IF(G331="","SEM STATUS",IF(O331="","SEM DATA",IF(O331&lt;0,"VENCIDO",IF(O331&lt;=DiasAlerta,"VENCE EM BREVE","NO PRAZO")))))))</f>
        <v/>
      </c>
      <c r="Q331" s="117" t="str">
        <f>IF(D331="","",TODAY()-D331)</f>
        <v/>
      </c>
      <c r="R331" s="110" t="n"/>
    </row>
    <row r="332" ht="18" customHeight="1">
      <c r="A332" s="109" t="n"/>
      <c r="B332" s="110" t="n"/>
      <c r="C332" s="110" t="n"/>
      <c r="D332" s="111" t="n"/>
      <c r="E332" s="110" t="n"/>
      <c r="F332" s="112" t="n"/>
      <c r="G332" s="112" t="n"/>
      <c r="H332" s="110" t="n"/>
      <c r="I332" s="113" t="n"/>
      <c r="J332" s="113" t="n"/>
      <c r="K332" s="111" t="n"/>
      <c r="L332" s="111" t="n"/>
      <c r="M332" s="111" t="n"/>
      <c r="N332" s="114" t="str">
        <f>IF(OR(D332="",E332=""),"",D332+IF(E332="NOTIFICAÇÃO DE CONSTATAÇÃO",PrazoConst,PrazoEsc))</f>
        <v/>
      </c>
      <c r="O332" s="115" t="str">
        <f>IF(N332="","",IF(ISNUMBER(L332),N332-L332,IF(OR(G332="DECISÃO D.P",ISNUMBER(M332)),"",N332-TODAY())))</f>
        <v/>
      </c>
      <c r="P332" s="116" t="str">
        <f>IF(B332="","",IF(ISNUMBER(M332),"DECIDIDO – ","")&amp;IF(ISNUMBER(L332),IF(O332="","SEM DATA",IF(O332&gt;=0,"DEFESA NO PRAZO","DEFESA FORA DO PRAZO")),IF(OR(G332="DECISÃO D.P",ISNUMBER(M332)),"SEM DEFESA",IF(G332="","SEM STATUS",IF(O332="","SEM DATA",IF(O332&lt;0,"VENCIDO",IF(O332&lt;=DiasAlerta,"VENCE EM BREVE","NO PRAZO")))))))</f>
        <v/>
      </c>
      <c r="Q332" s="117" t="str">
        <f>IF(D332="","",TODAY()-D332)</f>
        <v/>
      </c>
      <c r="R332" s="110" t="n"/>
    </row>
    <row r="333" ht="18" customHeight="1">
      <c r="A333" s="109" t="n"/>
      <c r="B333" s="110" t="n"/>
      <c r="C333" s="110" t="n"/>
      <c r="D333" s="111" t="n"/>
      <c r="E333" s="110" t="n"/>
      <c r="F333" s="112" t="n"/>
      <c r="G333" s="112" t="n"/>
      <c r="H333" s="110" t="n"/>
      <c r="I333" s="113" t="n"/>
      <c r="J333" s="113" t="n"/>
      <c r="K333" s="111" t="n"/>
      <c r="L333" s="111" t="n"/>
      <c r="M333" s="111" t="n"/>
      <c r="N333" s="114" t="str">
        <f>IF(OR(D333="",E333=""),"",D333+IF(E333="NOTIFICAÇÃO DE CONSTATAÇÃO",PrazoConst,PrazoEsc))</f>
        <v/>
      </c>
      <c r="O333" s="115" t="str">
        <f>IF(N333="","",IF(ISNUMBER(L333),N333-L333,IF(OR(G333="DECISÃO D.P",ISNUMBER(M333)),"",N333-TODAY())))</f>
        <v/>
      </c>
      <c r="P333" s="116" t="str">
        <f>IF(B333="","",IF(ISNUMBER(M333),"DECIDIDO – ","")&amp;IF(ISNUMBER(L333),IF(O333="","SEM DATA",IF(O333&gt;=0,"DEFESA NO PRAZO","DEFESA FORA DO PRAZO")),IF(OR(G333="DECISÃO D.P",ISNUMBER(M333)),"SEM DEFESA",IF(G333="","SEM STATUS",IF(O333="","SEM DATA",IF(O333&lt;0,"VENCIDO",IF(O333&lt;=DiasAlerta,"VENCE EM BREVE","NO PRAZO")))))))</f>
        <v/>
      </c>
      <c r="Q333" s="117" t="str">
        <f>IF(D333="","",TODAY()-D333)</f>
        <v/>
      </c>
      <c r="R333" s="110" t="n"/>
    </row>
    <row r="334" ht="18" customHeight="1">
      <c r="A334" s="109" t="n"/>
      <c r="B334" s="110" t="n"/>
      <c r="C334" s="110" t="n"/>
      <c r="D334" s="111" t="n"/>
      <c r="E334" s="110" t="n"/>
      <c r="F334" s="112" t="n"/>
      <c r="G334" s="112" t="n"/>
      <c r="H334" s="110" t="n"/>
      <c r="I334" s="113" t="n"/>
      <c r="J334" s="113" t="n"/>
      <c r="K334" s="111" t="n"/>
      <c r="L334" s="111" t="n"/>
      <c r="M334" s="111" t="n"/>
      <c r="N334" s="114" t="str">
        <f>IF(OR(D334="",E334=""),"",D334+IF(E334="NOTIFICAÇÃO DE CONSTATAÇÃO",PrazoConst,PrazoEsc))</f>
        <v/>
      </c>
      <c r="O334" s="115" t="str">
        <f>IF(N334="","",IF(ISNUMBER(L334),N334-L334,IF(OR(G334="DECISÃO D.P",ISNUMBER(M334)),"",N334-TODAY())))</f>
        <v/>
      </c>
      <c r="P334" s="116" t="str">
        <f>IF(B334="","",IF(ISNUMBER(M334),"DECIDIDO – ","")&amp;IF(ISNUMBER(L334),IF(O334="","SEM DATA",IF(O334&gt;=0,"DEFESA NO PRAZO","DEFESA FORA DO PRAZO")),IF(OR(G334="DECISÃO D.P",ISNUMBER(M334)),"SEM DEFESA",IF(G334="","SEM STATUS",IF(O334="","SEM DATA",IF(O334&lt;0,"VENCIDO",IF(O334&lt;=DiasAlerta,"VENCE EM BREVE","NO PRAZO")))))))</f>
        <v/>
      </c>
      <c r="Q334" s="117" t="str">
        <f>IF(D334="","",TODAY()-D334)</f>
        <v/>
      </c>
      <c r="R334" s="110" t="n"/>
    </row>
    <row r="335" ht="18" customHeight="1">
      <c r="A335" s="109" t="n"/>
      <c r="B335" s="110" t="n"/>
      <c r="C335" s="110" t="n"/>
      <c r="D335" s="111" t="n"/>
      <c r="E335" s="110" t="n"/>
      <c r="F335" s="112" t="n"/>
      <c r="G335" s="112" t="n"/>
      <c r="H335" s="110" t="n"/>
      <c r="I335" s="113" t="n"/>
      <c r="J335" s="113" t="n"/>
      <c r="K335" s="111" t="n"/>
      <c r="L335" s="111" t="n"/>
      <c r="M335" s="111" t="n"/>
      <c r="N335" s="114" t="str">
        <f>IF(OR(D335="",E335=""),"",D335+IF(E335="NOTIFICAÇÃO DE CONSTATAÇÃO",PrazoConst,PrazoEsc))</f>
        <v/>
      </c>
      <c r="O335" s="115" t="str">
        <f>IF(N335="","",IF(ISNUMBER(L335),N335-L335,IF(OR(G335="DECISÃO D.P",ISNUMBER(M335)),"",N335-TODAY())))</f>
        <v/>
      </c>
      <c r="P335" s="116" t="str">
        <f>IF(B335="","",IF(ISNUMBER(M335),"DECIDIDO – ","")&amp;IF(ISNUMBER(L335),IF(O335="","SEM DATA",IF(O335&gt;=0,"DEFESA NO PRAZO","DEFESA FORA DO PRAZO")),IF(OR(G335="DECISÃO D.P",ISNUMBER(M335)),"SEM DEFESA",IF(G335="","SEM STATUS",IF(O335="","SEM DATA",IF(O335&lt;0,"VENCIDO",IF(O335&lt;=DiasAlerta,"VENCE EM BREVE","NO PRAZO")))))))</f>
        <v/>
      </c>
      <c r="Q335" s="117" t="str">
        <f>IF(D335="","",TODAY()-D335)</f>
        <v/>
      </c>
      <c r="R335" s="110" t="n"/>
    </row>
    <row r="336" ht="18" customHeight="1">
      <c r="A336" s="109" t="n"/>
      <c r="B336" s="110" t="n"/>
      <c r="C336" s="110" t="n"/>
      <c r="D336" s="111" t="n"/>
      <c r="E336" s="110" t="n"/>
      <c r="F336" s="112" t="n"/>
      <c r="G336" s="112" t="n"/>
      <c r="H336" s="110" t="n"/>
      <c r="I336" s="113" t="n"/>
      <c r="J336" s="113" t="n"/>
      <c r="K336" s="111" t="n"/>
      <c r="L336" s="111" t="n"/>
      <c r="M336" s="111" t="n"/>
      <c r="N336" s="114" t="str">
        <f>IF(OR(D336="",E336=""),"",D336+IF(E336="NOTIFICAÇÃO DE CONSTATAÇÃO",PrazoConst,PrazoEsc))</f>
        <v/>
      </c>
      <c r="O336" s="115" t="str">
        <f>IF(N336="","",IF(ISNUMBER(L336),N336-L336,IF(OR(G336="DECISÃO D.P",ISNUMBER(M336)),"",N336-TODAY())))</f>
        <v/>
      </c>
      <c r="P336" s="116" t="str">
        <f>IF(B336="","",IF(ISNUMBER(M336),"DECIDIDO – ","")&amp;IF(ISNUMBER(L336),IF(O336="","SEM DATA",IF(O336&gt;=0,"DEFESA NO PRAZO","DEFESA FORA DO PRAZO")),IF(OR(G336="DECISÃO D.P",ISNUMBER(M336)),"SEM DEFESA",IF(G336="","SEM STATUS",IF(O336="","SEM DATA",IF(O336&lt;0,"VENCIDO",IF(O336&lt;=DiasAlerta,"VENCE EM BREVE","NO PRAZO")))))))</f>
        <v/>
      </c>
      <c r="Q336" s="117" t="str">
        <f>IF(D336="","",TODAY()-D336)</f>
        <v/>
      </c>
      <c r="R336" s="110" t="n"/>
    </row>
    <row r="337" ht="18" customHeight="1">
      <c r="A337" s="109" t="n"/>
      <c r="B337" s="110" t="n"/>
      <c r="C337" s="110" t="n"/>
      <c r="D337" s="111" t="n"/>
      <c r="E337" s="110" t="n"/>
      <c r="F337" s="112" t="n"/>
      <c r="G337" s="112" t="n"/>
      <c r="H337" s="110" t="n"/>
      <c r="I337" s="113" t="n"/>
      <c r="J337" s="113" t="n"/>
      <c r="K337" s="111" t="n"/>
      <c r="L337" s="111" t="n"/>
      <c r="M337" s="111" t="n"/>
      <c r="N337" s="114" t="str">
        <f>IF(OR(D337="",E337=""),"",D337+IF(E337="NOTIFICAÇÃO DE CONSTATAÇÃO",PrazoConst,PrazoEsc))</f>
        <v/>
      </c>
      <c r="O337" s="115" t="str">
        <f>IF(N337="","",IF(ISNUMBER(L337),N337-L337,IF(OR(G337="DECISÃO D.P",ISNUMBER(M337)),"",N337-TODAY())))</f>
        <v/>
      </c>
      <c r="P337" s="116" t="str">
        <f>IF(B337="","",IF(ISNUMBER(M337),"DECIDIDO – ","")&amp;IF(ISNUMBER(L337),IF(O337="","SEM DATA",IF(O337&gt;=0,"DEFESA NO PRAZO","DEFESA FORA DO PRAZO")),IF(OR(G337="DECISÃO D.P",ISNUMBER(M337)),"SEM DEFESA",IF(G337="","SEM STATUS",IF(O337="","SEM DATA",IF(O337&lt;0,"VENCIDO",IF(O337&lt;=DiasAlerta,"VENCE EM BREVE","NO PRAZO")))))))</f>
        <v/>
      </c>
      <c r="Q337" s="117" t="str">
        <f>IF(D337="","",TODAY()-D337)</f>
        <v/>
      </c>
      <c r="R337" s="110" t="n"/>
    </row>
    <row r="338" ht="18" customHeight="1">
      <c r="A338" s="109" t="n"/>
      <c r="B338" s="110" t="n"/>
      <c r="C338" s="110" t="n"/>
      <c r="D338" s="111" t="n"/>
      <c r="E338" s="110" t="n"/>
      <c r="F338" s="112" t="n"/>
      <c r="G338" s="112" t="n"/>
      <c r="H338" s="110" t="n"/>
      <c r="I338" s="113" t="n"/>
      <c r="J338" s="113" t="n"/>
      <c r="K338" s="111" t="n"/>
      <c r="L338" s="111" t="n"/>
      <c r="M338" s="111" t="n"/>
      <c r="N338" s="114" t="str">
        <f>IF(OR(D338="",E338=""),"",D338+IF(E338="NOTIFICAÇÃO DE CONSTATAÇÃO",PrazoConst,PrazoEsc))</f>
        <v/>
      </c>
      <c r="O338" s="115" t="str">
        <f>IF(N338="","",IF(ISNUMBER(L338),N338-L338,IF(OR(G338="DECISÃO D.P",ISNUMBER(M338)),"",N338-TODAY())))</f>
        <v/>
      </c>
      <c r="P338" s="116" t="str">
        <f>IF(B338="","",IF(ISNUMBER(M338),"DECIDIDO – ","")&amp;IF(ISNUMBER(L338),IF(O338="","SEM DATA",IF(O338&gt;=0,"DEFESA NO PRAZO","DEFESA FORA DO PRAZO")),IF(OR(G338="DECISÃO D.P",ISNUMBER(M338)),"SEM DEFESA",IF(G338="","SEM STATUS",IF(O338="","SEM DATA",IF(O338&lt;0,"VENCIDO",IF(O338&lt;=DiasAlerta,"VENCE EM BREVE","NO PRAZO")))))))</f>
        <v/>
      </c>
      <c r="Q338" s="117" t="str">
        <f>IF(D338="","",TODAY()-D338)</f>
        <v/>
      </c>
      <c r="R338" s="110" t="n"/>
    </row>
    <row r="339" ht="18" customHeight="1">
      <c r="A339" s="109" t="n"/>
      <c r="B339" s="110" t="n"/>
      <c r="C339" s="110" t="n"/>
      <c r="D339" s="111" t="n"/>
      <c r="E339" s="110" t="n"/>
      <c r="F339" s="112" t="n"/>
      <c r="G339" s="112" t="n"/>
      <c r="H339" s="110" t="n"/>
      <c r="I339" s="113" t="n"/>
      <c r="J339" s="113" t="n"/>
      <c r="K339" s="111" t="n"/>
      <c r="L339" s="111" t="n"/>
      <c r="M339" s="111" t="n"/>
      <c r="N339" s="114" t="str">
        <f>IF(OR(D339="",E339=""),"",D339+IF(E339="NOTIFICAÇÃO DE CONSTATAÇÃO",PrazoConst,PrazoEsc))</f>
        <v/>
      </c>
      <c r="O339" s="115" t="str">
        <f>IF(N339="","",IF(ISNUMBER(L339),N339-L339,IF(OR(G339="DECISÃO D.P",ISNUMBER(M339)),"",N339-TODAY())))</f>
        <v/>
      </c>
      <c r="P339" s="116" t="str">
        <f>IF(B339="","",IF(ISNUMBER(M339),"DECIDIDO – ","")&amp;IF(ISNUMBER(L339),IF(O339="","SEM DATA",IF(O339&gt;=0,"DEFESA NO PRAZO","DEFESA FORA DO PRAZO")),IF(OR(G339="DECISÃO D.P",ISNUMBER(M339)),"SEM DEFESA",IF(G339="","SEM STATUS",IF(O339="","SEM DATA",IF(O339&lt;0,"VENCIDO",IF(O339&lt;=DiasAlerta,"VENCE EM BREVE","NO PRAZO")))))))</f>
        <v/>
      </c>
      <c r="Q339" s="117" t="str">
        <f>IF(D339="","",TODAY()-D339)</f>
        <v/>
      </c>
      <c r="R339" s="110" t="n"/>
    </row>
    <row r="340" ht="18" customHeight="1">
      <c r="A340" s="109" t="n"/>
      <c r="B340" s="110" t="n"/>
      <c r="C340" s="110" t="n"/>
      <c r="D340" s="111" t="n"/>
      <c r="E340" s="110" t="n"/>
      <c r="F340" s="112" t="n"/>
      <c r="G340" s="112" t="n"/>
      <c r="H340" s="110" t="n"/>
      <c r="I340" s="113" t="n"/>
      <c r="J340" s="113" t="n"/>
      <c r="K340" s="111" t="n"/>
      <c r="L340" s="111" t="n"/>
      <c r="M340" s="111" t="n"/>
      <c r="N340" s="114" t="str">
        <f>IF(OR(D340="",E340=""),"",D340+IF(E340="NOTIFICAÇÃO DE CONSTATAÇÃO",PrazoConst,PrazoEsc))</f>
        <v/>
      </c>
      <c r="O340" s="115" t="str">
        <f>IF(N340="","",IF(ISNUMBER(L340),N340-L340,IF(OR(G340="DECISÃO D.P",ISNUMBER(M340)),"",N340-TODAY())))</f>
        <v/>
      </c>
      <c r="P340" s="116" t="str">
        <f>IF(B340="","",IF(ISNUMBER(M340),"DECIDIDO – ","")&amp;IF(ISNUMBER(L340),IF(O340="","SEM DATA",IF(O340&gt;=0,"DEFESA NO PRAZO","DEFESA FORA DO PRAZO")),IF(OR(G340="DECISÃO D.P",ISNUMBER(M340)),"SEM DEFESA",IF(G340="","SEM STATUS",IF(O340="","SEM DATA",IF(O340&lt;0,"VENCIDO",IF(O340&lt;=DiasAlerta,"VENCE EM BREVE","NO PRAZO")))))))</f>
        <v/>
      </c>
      <c r="Q340" s="117" t="str">
        <f>IF(D340="","",TODAY()-D340)</f>
        <v/>
      </c>
      <c r="R340" s="110" t="n"/>
    </row>
    <row r="341" ht="18" customHeight="1">
      <c r="A341" s="109" t="n"/>
      <c r="B341" s="110" t="n"/>
      <c r="C341" s="110" t="n"/>
      <c r="D341" s="111" t="n"/>
      <c r="E341" s="110" t="n"/>
      <c r="F341" s="112" t="n"/>
      <c r="G341" s="112" t="n"/>
      <c r="H341" s="110" t="n"/>
      <c r="I341" s="113" t="n"/>
      <c r="J341" s="113" t="n"/>
      <c r="K341" s="111" t="n"/>
      <c r="L341" s="111" t="n"/>
      <c r="M341" s="111" t="n"/>
      <c r="N341" s="114" t="str">
        <f>IF(OR(D341="",E341=""),"",D341+IF(E341="NOTIFICAÇÃO DE CONSTATAÇÃO",PrazoConst,PrazoEsc))</f>
        <v/>
      </c>
      <c r="O341" s="115" t="str">
        <f>IF(N341="","",IF(ISNUMBER(L341),N341-L341,IF(OR(G341="DECISÃO D.P",ISNUMBER(M341)),"",N341-TODAY())))</f>
        <v/>
      </c>
      <c r="P341" s="116" t="str">
        <f>IF(B341="","",IF(ISNUMBER(M341),"DECIDIDO – ","")&amp;IF(ISNUMBER(L341),IF(O341="","SEM DATA",IF(O341&gt;=0,"DEFESA NO PRAZO","DEFESA FORA DO PRAZO")),IF(OR(G341="DECISÃO D.P",ISNUMBER(M341)),"SEM DEFESA",IF(G341="","SEM STATUS",IF(O341="","SEM DATA",IF(O341&lt;0,"VENCIDO",IF(O341&lt;=DiasAlerta,"VENCE EM BREVE","NO PRAZO")))))))</f>
        <v/>
      </c>
      <c r="Q341" s="117" t="str">
        <f>IF(D341="","",TODAY()-D341)</f>
        <v/>
      </c>
      <c r="R341" s="110" t="n"/>
    </row>
    <row r="342" ht="18" customHeight="1">
      <c r="A342" s="109" t="n"/>
      <c r="B342" s="110" t="n"/>
      <c r="C342" s="110" t="n"/>
      <c r="D342" s="111" t="n"/>
      <c r="E342" s="110" t="n"/>
      <c r="F342" s="112" t="n"/>
      <c r="G342" s="112" t="n"/>
      <c r="H342" s="110" t="n"/>
      <c r="I342" s="113" t="n"/>
      <c r="J342" s="113" t="n"/>
      <c r="K342" s="111" t="n"/>
      <c r="L342" s="111" t="n"/>
      <c r="M342" s="111" t="n"/>
      <c r="N342" s="114" t="str">
        <f>IF(OR(D342="",E342=""),"",D342+IF(E342="NOTIFICAÇÃO DE CONSTATAÇÃO",PrazoConst,PrazoEsc))</f>
        <v/>
      </c>
      <c r="O342" s="115" t="str">
        <f>IF(N342="","",IF(ISNUMBER(L342),N342-L342,IF(OR(G342="DECISÃO D.P",ISNUMBER(M342)),"",N342-TODAY())))</f>
        <v/>
      </c>
      <c r="P342" s="116" t="str">
        <f>IF(B342="","",IF(ISNUMBER(M342),"DECIDIDO – ","")&amp;IF(ISNUMBER(L342),IF(O342="","SEM DATA",IF(O342&gt;=0,"DEFESA NO PRAZO","DEFESA FORA DO PRAZO")),IF(OR(G342="DECISÃO D.P",ISNUMBER(M342)),"SEM DEFESA",IF(G342="","SEM STATUS",IF(O342="","SEM DATA",IF(O342&lt;0,"VENCIDO",IF(O342&lt;=DiasAlerta,"VENCE EM BREVE","NO PRAZO")))))))</f>
        <v/>
      </c>
      <c r="Q342" s="117" t="str">
        <f>IF(D342="","",TODAY()-D342)</f>
        <v/>
      </c>
      <c r="R342" s="110" t="n"/>
    </row>
    <row r="343" ht="18" customHeight="1">
      <c r="A343" s="109" t="n"/>
      <c r="B343" s="110" t="n"/>
      <c r="C343" s="110" t="n"/>
      <c r="D343" s="111" t="n"/>
      <c r="E343" s="110" t="n"/>
      <c r="F343" s="112" t="n"/>
      <c r="G343" s="112" t="n"/>
      <c r="H343" s="110" t="n"/>
      <c r="I343" s="113" t="n"/>
      <c r="J343" s="113" t="n"/>
      <c r="K343" s="111" t="n"/>
      <c r="L343" s="111" t="n"/>
      <c r="M343" s="111" t="n"/>
      <c r="N343" s="114" t="str">
        <f>IF(OR(D343="",E343=""),"",D343+IF(E343="NOTIFICAÇÃO DE CONSTATAÇÃO",PrazoConst,PrazoEsc))</f>
        <v/>
      </c>
      <c r="O343" s="115" t="str">
        <f>IF(N343="","",IF(ISNUMBER(L343),N343-L343,IF(OR(G343="DECISÃO D.P",ISNUMBER(M343)),"",N343-TODAY())))</f>
        <v/>
      </c>
      <c r="P343" s="116" t="str">
        <f>IF(B343="","",IF(ISNUMBER(M343),"DECIDIDO – ","")&amp;IF(ISNUMBER(L343),IF(O343="","SEM DATA",IF(O343&gt;=0,"DEFESA NO PRAZO","DEFESA FORA DO PRAZO")),IF(OR(G343="DECISÃO D.P",ISNUMBER(M343)),"SEM DEFESA",IF(G343="","SEM STATUS",IF(O343="","SEM DATA",IF(O343&lt;0,"VENCIDO",IF(O343&lt;=DiasAlerta,"VENCE EM BREVE","NO PRAZO")))))))</f>
        <v/>
      </c>
      <c r="Q343" s="117" t="str">
        <f>IF(D343="","",TODAY()-D343)</f>
        <v/>
      </c>
      <c r="R343" s="110" t="n"/>
    </row>
    <row r="344" ht="18" customHeight="1">
      <c r="A344" s="109" t="n"/>
      <c r="B344" s="110" t="n"/>
      <c r="C344" s="110" t="n"/>
      <c r="D344" s="111" t="n"/>
      <c r="E344" s="110" t="n"/>
      <c r="F344" s="112" t="n"/>
      <c r="G344" s="112" t="n"/>
      <c r="H344" s="110" t="n"/>
      <c r="I344" s="113" t="n"/>
      <c r="J344" s="113" t="n"/>
      <c r="K344" s="111" t="n"/>
      <c r="L344" s="111" t="n"/>
      <c r="M344" s="111" t="n"/>
      <c r="N344" s="114" t="str">
        <f>IF(OR(D344="",E344=""),"",D344+IF(E344="NOTIFICAÇÃO DE CONSTATAÇÃO",PrazoConst,PrazoEsc))</f>
        <v/>
      </c>
      <c r="O344" s="115" t="str">
        <f>IF(N344="","",IF(ISNUMBER(L344),N344-L344,IF(OR(G344="DECISÃO D.P",ISNUMBER(M344)),"",N344-TODAY())))</f>
        <v/>
      </c>
      <c r="P344" s="116" t="str">
        <f>IF(B344="","",IF(ISNUMBER(M344),"DECIDIDO – ","")&amp;IF(ISNUMBER(L344),IF(O344="","SEM DATA",IF(O344&gt;=0,"DEFESA NO PRAZO","DEFESA FORA DO PRAZO")),IF(OR(G344="DECISÃO D.P",ISNUMBER(M344)),"SEM DEFESA",IF(G344="","SEM STATUS",IF(O344="","SEM DATA",IF(O344&lt;0,"VENCIDO",IF(O344&lt;=DiasAlerta,"VENCE EM BREVE","NO PRAZO")))))))</f>
        <v/>
      </c>
      <c r="Q344" s="117" t="str">
        <f>IF(D344="","",TODAY()-D344)</f>
        <v/>
      </c>
      <c r="R344" s="110" t="n"/>
    </row>
    <row r="345" ht="18" customHeight="1">
      <c r="A345" s="109" t="n"/>
      <c r="B345" s="110" t="n"/>
      <c r="C345" s="110" t="n"/>
      <c r="D345" s="111" t="n"/>
      <c r="E345" s="110" t="n"/>
      <c r="F345" s="112" t="n"/>
      <c r="G345" s="112" t="n"/>
      <c r="H345" s="110" t="n"/>
      <c r="I345" s="113" t="n"/>
      <c r="J345" s="113" t="n"/>
      <c r="K345" s="111" t="n"/>
      <c r="L345" s="111" t="n"/>
      <c r="M345" s="111" t="n"/>
      <c r="N345" s="114" t="str">
        <f>IF(OR(D345="",E345=""),"",D345+IF(E345="NOTIFICAÇÃO DE CONSTATAÇÃO",PrazoConst,PrazoEsc))</f>
        <v/>
      </c>
      <c r="O345" s="115" t="str">
        <f>IF(N345="","",IF(ISNUMBER(L345),N345-L345,IF(OR(G345="DECISÃO D.P",ISNUMBER(M345)),"",N345-TODAY())))</f>
        <v/>
      </c>
      <c r="P345" s="116" t="str">
        <f>IF(B345="","",IF(ISNUMBER(M345),"DECIDIDO – ","")&amp;IF(ISNUMBER(L345),IF(O345="","SEM DATA",IF(O345&gt;=0,"DEFESA NO PRAZO","DEFESA FORA DO PRAZO")),IF(OR(G345="DECISÃO D.P",ISNUMBER(M345)),"SEM DEFESA",IF(G345="","SEM STATUS",IF(O345="","SEM DATA",IF(O345&lt;0,"VENCIDO",IF(O345&lt;=DiasAlerta,"VENCE EM BREVE","NO PRAZO")))))))</f>
        <v/>
      </c>
      <c r="Q345" s="117" t="str">
        <f>IF(D345="","",TODAY()-D345)</f>
        <v/>
      </c>
      <c r="R345" s="110" t="n"/>
    </row>
    <row r="346" ht="18" customHeight="1">
      <c r="A346" s="109" t="n"/>
      <c r="B346" s="110" t="n"/>
      <c r="C346" s="110" t="n"/>
      <c r="D346" s="111" t="n"/>
      <c r="E346" s="110" t="n"/>
      <c r="F346" s="112" t="n"/>
      <c r="G346" s="112" t="n"/>
      <c r="H346" s="110" t="n"/>
      <c r="I346" s="113" t="n"/>
      <c r="J346" s="113" t="n"/>
      <c r="K346" s="111" t="n"/>
      <c r="L346" s="111" t="n"/>
      <c r="M346" s="111" t="n"/>
      <c r="N346" s="114" t="str">
        <f>IF(OR(D346="",E346=""),"",D346+IF(E346="NOTIFICAÇÃO DE CONSTATAÇÃO",PrazoConst,PrazoEsc))</f>
        <v/>
      </c>
      <c r="O346" s="115" t="str">
        <f>IF(N346="","",IF(ISNUMBER(L346),N346-L346,IF(OR(G346="DECISÃO D.P",ISNUMBER(M346)),"",N346-TODAY())))</f>
        <v/>
      </c>
      <c r="P346" s="116" t="str">
        <f>IF(B346="","",IF(ISNUMBER(M346),"DECIDIDO – ","")&amp;IF(ISNUMBER(L346),IF(O346="","SEM DATA",IF(O346&gt;=0,"DEFESA NO PRAZO","DEFESA FORA DO PRAZO")),IF(OR(G346="DECISÃO D.P",ISNUMBER(M346)),"SEM DEFESA",IF(G346="","SEM STATUS",IF(O346="","SEM DATA",IF(O346&lt;0,"VENCIDO",IF(O346&lt;=DiasAlerta,"VENCE EM BREVE","NO PRAZO")))))))</f>
        <v/>
      </c>
      <c r="Q346" s="117" t="str">
        <f>IF(D346="","",TODAY()-D346)</f>
        <v/>
      </c>
      <c r="R346" s="110" t="n"/>
    </row>
    <row r="347" ht="18" customHeight="1">
      <c r="A347" s="109" t="n"/>
      <c r="B347" s="110" t="n"/>
      <c r="C347" s="110" t="n"/>
      <c r="D347" s="111" t="n"/>
      <c r="E347" s="110" t="n"/>
      <c r="F347" s="112" t="n"/>
      <c r="G347" s="112" t="n"/>
      <c r="H347" s="110" t="n"/>
      <c r="I347" s="113" t="n"/>
      <c r="J347" s="113" t="n"/>
      <c r="K347" s="111" t="n"/>
      <c r="L347" s="111" t="n"/>
      <c r="M347" s="111" t="n"/>
      <c r="N347" s="114" t="str">
        <f>IF(OR(D347="",E347=""),"",D347+IF(E347="NOTIFICAÇÃO DE CONSTATAÇÃO",PrazoConst,PrazoEsc))</f>
        <v/>
      </c>
      <c r="O347" s="115" t="str">
        <f>IF(N347="","",IF(ISNUMBER(L347),N347-L347,IF(OR(G347="DECISÃO D.P",ISNUMBER(M347)),"",N347-TODAY())))</f>
        <v/>
      </c>
      <c r="P347" s="116" t="str">
        <f>IF(B347="","",IF(ISNUMBER(M347),"DECIDIDO – ","")&amp;IF(ISNUMBER(L347),IF(O347="","SEM DATA",IF(O347&gt;=0,"DEFESA NO PRAZO","DEFESA FORA DO PRAZO")),IF(OR(G347="DECISÃO D.P",ISNUMBER(M347)),"SEM DEFESA",IF(G347="","SEM STATUS",IF(O347="","SEM DATA",IF(O347&lt;0,"VENCIDO",IF(O347&lt;=DiasAlerta,"VENCE EM BREVE","NO PRAZO")))))))</f>
        <v/>
      </c>
      <c r="Q347" s="117" t="str">
        <f>IF(D347="","",TODAY()-D347)</f>
        <v/>
      </c>
      <c r="R347" s="110" t="n"/>
    </row>
    <row r="348" ht="18" customHeight="1">
      <c r="A348" s="109" t="n"/>
      <c r="B348" s="110" t="n"/>
      <c r="C348" s="110" t="n"/>
      <c r="D348" s="111" t="n"/>
      <c r="E348" s="110" t="n"/>
      <c r="F348" s="112" t="n"/>
      <c r="G348" s="112" t="n"/>
      <c r="H348" s="110" t="n"/>
      <c r="I348" s="113" t="n"/>
      <c r="J348" s="113" t="n"/>
      <c r="K348" s="111" t="n"/>
      <c r="L348" s="111" t="n"/>
      <c r="M348" s="111" t="n"/>
      <c r="N348" s="114" t="str">
        <f>IF(OR(D348="",E348=""),"",D348+IF(E348="NOTIFICAÇÃO DE CONSTATAÇÃO",PrazoConst,PrazoEsc))</f>
        <v/>
      </c>
      <c r="O348" s="115" t="str">
        <f>IF(N348="","",IF(ISNUMBER(L348),N348-L348,IF(OR(G348="DECISÃO D.P",ISNUMBER(M348)),"",N348-TODAY())))</f>
        <v/>
      </c>
      <c r="P348" s="116" t="str">
        <f>IF(B348="","",IF(ISNUMBER(M348),"DECIDIDO – ","")&amp;IF(ISNUMBER(L348),IF(O348="","SEM DATA",IF(O348&gt;=0,"DEFESA NO PRAZO","DEFESA FORA DO PRAZO")),IF(OR(G348="DECISÃO D.P",ISNUMBER(M348)),"SEM DEFESA",IF(G348="","SEM STATUS",IF(O348="","SEM DATA",IF(O348&lt;0,"VENCIDO",IF(O348&lt;=DiasAlerta,"VENCE EM BREVE","NO PRAZO")))))))</f>
        <v/>
      </c>
      <c r="Q348" s="117" t="str">
        <f>IF(D348="","",TODAY()-D348)</f>
        <v/>
      </c>
      <c r="R348" s="110" t="n"/>
    </row>
    <row r="349" ht="18" customHeight="1">
      <c r="A349" s="109" t="n"/>
      <c r="B349" s="110" t="n"/>
      <c r="C349" s="110" t="n"/>
      <c r="D349" s="111" t="n"/>
      <c r="E349" s="110" t="n"/>
      <c r="F349" s="112" t="n"/>
      <c r="G349" s="112" t="n"/>
      <c r="H349" s="110" t="n"/>
      <c r="I349" s="113" t="n"/>
      <c r="J349" s="113" t="n"/>
      <c r="K349" s="111" t="n"/>
      <c r="L349" s="111" t="n"/>
      <c r="M349" s="111" t="n"/>
      <c r="N349" s="114" t="str">
        <f>IF(OR(D349="",E349=""),"",D349+IF(E349="NOTIFICAÇÃO DE CONSTATAÇÃO",PrazoConst,PrazoEsc))</f>
        <v/>
      </c>
      <c r="O349" s="115" t="str">
        <f>IF(N349="","",IF(ISNUMBER(L349),N349-L349,IF(OR(G349="DECISÃO D.P",ISNUMBER(M349)),"",N349-TODAY())))</f>
        <v/>
      </c>
      <c r="P349" s="116" t="str">
        <f>IF(B349="","",IF(ISNUMBER(M349),"DECIDIDO – ","")&amp;IF(ISNUMBER(L349),IF(O349="","SEM DATA",IF(O349&gt;=0,"DEFESA NO PRAZO","DEFESA FORA DO PRAZO")),IF(OR(G349="DECISÃO D.P",ISNUMBER(M349)),"SEM DEFESA",IF(G349="","SEM STATUS",IF(O349="","SEM DATA",IF(O349&lt;0,"VENCIDO",IF(O349&lt;=DiasAlerta,"VENCE EM BREVE","NO PRAZO")))))))</f>
        <v/>
      </c>
      <c r="Q349" s="117" t="str">
        <f>IF(D349="","",TODAY()-D349)</f>
        <v/>
      </c>
      <c r="R349" s="110" t="n"/>
    </row>
    <row r="350" ht="18" customHeight="1">
      <c r="A350" s="109" t="n"/>
      <c r="B350" s="110" t="n"/>
      <c r="C350" s="110" t="n"/>
      <c r="D350" s="111" t="n"/>
      <c r="E350" s="110" t="n"/>
      <c r="F350" s="112" t="n"/>
      <c r="G350" s="112" t="n"/>
      <c r="H350" s="110" t="n"/>
      <c r="I350" s="113" t="n"/>
      <c r="J350" s="113" t="n"/>
      <c r="K350" s="111" t="n"/>
      <c r="L350" s="111" t="n"/>
      <c r="M350" s="111" t="n"/>
      <c r="N350" s="114" t="str">
        <f>IF(OR(D350="",E350=""),"",D350+IF(E350="NOTIFICAÇÃO DE CONSTATAÇÃO",PrazoConst,PrazoEsc))</f>
        <v/>
      </c>
      <c r="O350" s="115" t="str">
        <f>IF(N350="","",IF(ISNUMBER(L350),N350-L350,IF(OR(G350="DECISÃO D.P",ISNUMBER(M350)),"",N350-TODAY())))</f>
        <v/>
      </c>
      <c r="P350" s="116" t="str">
        <f>IF(B350="","",IF(ISNUMBER(M350),"DECIDIDO – ","")&amp;IF(ISNUMBER(L350),IF(O350="","SEM DATA",IF(O350&gt;=0,"DEFESA NO PRAZO","DEFESA FORA DO PRAZO")),IF(OR(G350="DECISÃO D.P",ISNUMBER(M350)),"SEM DEFESA",IF(G350="","SEM STATUS",IF(O350="","SEM DATA",IF(O350&lt;0,"VENCIDO",IF(O350&lt;=DiasAlerta,"VENCE EM BREVE","NO PRAZO")))))))</f>
        <v/>
      </c>
      <c r="Q350" s="117" t="str">
        <f>IF(D350="","",TODAY()-D350)</f>
        <v/>
      </c>
      <c r="R350" s="110" t="n"/>
    </row>
    <row r="351" ht="18" customHeight="1">
      <c r="A351" s="109" t="n"/>
      <c r="B351" s="110" t="n"/>
      <c r="C351" s="110" t="n"/>
      <c r="D351" s="111" t="n"/>
      <c r="E351" s="110" t="n"/>
      <c r="F351" s="112" t="n"/>
      <c r="G351" s="112" t="n"/>
      <c r="H351" s="110" t="n"/>
      <c r="I351" s="113" t="n"/>
      <c r="J351" s="113" t="n"/>
      <c r="K351" s="111" t="n"/>
      <c r="L351" s="111" t="n"/>
      <c r="M351" s="111" t="n"/>
      <c r="N351" s="114" t="str">
        <f>IF(OR(D351="",E351=""),"",D351+IF(E351="NOTIFICAÇÃO DE CONSTATAÇÃO",PrazoConst,PrazoEsc))</f>
        <v/>
      </c>
      <c r="O351" s="115" t="str">
        <f>IF(N351="","",IF(ISNUMBER(L351),N351-L351,IF(OR(G351="DECISÃO D.P",ISNUMBER(M351)),"",N351-TODAY())))</f>
        <v/>
      </c>
      <c r="P351" s="116" t="str">
        <f>IF(B351="","",IF(ISNUMBER(M351),"DECIDIDO – ","")&amp;IF(ISNUMBER(L351),IF(O351="","SEM DATA",IF(O351&gt;=0,"DEFESA NO PRAZO","DEFESA FORA DO PRAZO")),IF(OR(G351="DECISÃO D.P",ISNUMBER(M351)),"SEM DEFESA",IF(G351="","SEM STATUS",IF(O351="","SEM DATA",IF(O351&lt;0,"VENCIDO",IF(O351&lt;=DiasAlerta,"VENCE EM BREVE","NO PRAZO")))))))</f>
        <v/>
      </c>
      <c r="Q351" s="117" t="str">
        <f>IF(D351="","",TODAY()-D351)</f>
        <v/>
      </c>
      <c r="R351" s="110" t="n"/>
    </row>
    <row r="352" ht="18" customHeight="1">
      <c r="A352" s="109" t="n"/>
      <c r="B352" s="110" t="n"/>
      <c r="C352" s="110" t="n"/>
      <c r="D352" s="111" t="n"/>
      <c r="E352" s="110" t="n"/>
      <c r="F352" s="112" t="n"/>
      <c r="G352" s="112" t="n"/>
      <c r="H352" s="110" t="n"/>
      <c r="I352" s="113" t="n"/>
      <c r="J352" s="113" t="n"/>
      <c r="K352" s="111" t="n"/>
      <c r="L352" s="111" t="n"/>
      <c r="M352" s="111" t="n"/>
      <c r="N352" s="114" t="str">
        <f>IF(OR(D352="",E352=""),"",D352+IF(E352="NOTIFICAÇÃO DE CONSTATAÇÃO",PrazoConst,PrazoEsc))</f>
        <v/>
      </c>
      <c r="O352" s="115" t="str">
        <f>IF(N352="","",IF(ISNUMBER(L352),N352-L352,IF(OR(G352="DECISÃO D.P",ISNUMBER(M352)),"",N352-TODAY())))</f>
        <v/>
      </c>
      <c r="P352" s="116" t="str">
        <f>IF(B352="","",IF(ISNUMBER(M352),"DECIDIDO – ","")&amp;IF(ISNUMBER(L352),IF(O352="","SEM DATA",IF(O352&gt;=0,"DEFESA NO PRAZO","DEFESA FORA DO PRAZO")),IF(OR(G352="DECISÃO D.P",ISNUMBER(M352)),"SEM DEFESA",IF(G352="","SEM STATUS",IF(O352="","SEM DATA",IF(O352&lt;0,"VENCIDO",IF(O352&lt;=DiasAlerta,"VENCE EM BREVE","NO PRAZO")))))))</f>
        <v/>
      </c>
      <c r="Q352" s="117" t="str">
        <f>IF(D352="","",TODAY()-D352)</f>
        <v/>
      </c>
      <c r="R352" s="110" t="n"/>
    </row>
    <row r="353" ht="18" customHeight="1">
      <c r="A353" s="109" t="n"/>
      <c r="B353" s="110" t="n"/>
      <c r="C353" s="110" t="n"/>
      <c r="D353" s="111" t="n"/>
      <c r="E353" s="110" t="n"/>
      <c r="F353" s="112" t="n"/>
      <c r="G353" s="112" t="n"/>
      <c r="H353" s="110" t="n"/>
      <c r="I353" s="113" t="n"/>
      <c r="J353" s="113" t="n"/>
      <c r="K353" s="111" t="n"/>
      <c r="L353" s="111" t="n"/>
      <c r="M353" s="111" t="n"/>
      <c r="N353" s="114" t="str">
        <f>IF(OR(D353="",E353=""),"",D353+IF(E353="NOTIFICAÇÃO DE CONSTATAÇÃO",PrazoConst,PrazoEsc))</f>
        <v/>
      </c>
      <c r="O353" s="115" t="str">
        <f>IF(N353="","",IF(ISNUMBER(L353),N353-L353,IF(OR(G353="DECISÃO D.P",ISNUMBER(M353)),"",N353-TODAY())))</f>
        <v/>
      </c>
      <c r="P353" s="116" t="str">
        <f>IF(B353="","",IF(ISNUMBER(M353),"DECIDIDO – ","")&amp;IF(ISNUMBER(L353),IF(O353="","SEM DATA",IF(O353&gt;=0,"DEFESA NO PRAZO","DEFESA FORA DO PRAZO")),IF(OR(G353="DECISÃO D.P",ISNUMBER(M353)),"SEM DEFESA",IF(G353="","SEM STATUS",IF(O353="","SEM DATA",IF(O353&lt;0,"VENCIDO",IF(O353&lt;=DiasAlerta,"VENCE EM BREVE","NO PRAZO")))))))</f>
        <v/>
      </c>
      <c r="Q353" s="117" t="str">
        <f>IF(D353="","",TODAY()-D353)</f>
        <v/>
      </c>
      <c r="R353" s="110" t="n"/>
    </row>
    <row r="354" ht="18" customHeight="1">
      <c r="A354" s="109" t="n"/>
      <c r="B354" s="110" t="n"/>
      <c r="C354" s="110" t="n"/>
      <c r="D354" s="111" t="n"/>
      <c r="E354" s="110" t="n"/>
      <c r="F354" s="112" t="n"/>
      <c r="G354" s="112" t="n"/>
      <c r="H354" s="110" t="n"/>
      <c r="I354" s="113" t="n"/>
      <c r="J354" s="113" t="n"/>
      <c r="K354" s="111" t="n"/>
      <c r="L354" s="111" t="n"/>
      <c r="M354" s="111" t="n"/>
      <c r="N354" s="114" t="str">
        <f>IF(OR(D354="",E354=""),"",D354+IF(E354="NOTIFICAÇÃO DE CONSTATAÇÃO",PrazoConst,PrazoEsc))</f>
        <v/>
      </c>
      <c r="O354" s="115" t="str">
        <f>IF(N354="","",IF(ISNUMBER(L354),N354-L354,IF(OR(G354="DECISÃO D.P",ISNUMBER(M354)),"",N354-TODAY())))</f>
        <v/>
      </c>
      <c r="P354" s="116" t="str">
        <f>IF(B354="","",IF(ISNUMBER(M354),"DECIDIDO – ","")&amp;IF(ISNUMBER(L354),IF(O354="","SEM DATA",IF(O354&gt;=0,"DEFESA NO PRAZO","DEFESA FORA DO PRAZO")),IF(OR(G354="DECISÃO D.P",ISNUMBER(M354)),"SEM DEFESA",IF(G354="","SEM STATUS",IF(O354="","SEM DATA",IF(O354&lt;0,"VENCIDO",IF(O354&lt;=DiasAlerta,"VENCE EM BREVE","NO PRAZO")))))))</f>
        <v/>
      </c>
      <c r="Q354" s="117" t="str">
        <f>IF(D354="","",TODAY()-D354)</f>
        <v/>
      </c>
      <c r="R354" s="110" t="n"/>
    </row>
    <row r="355" ht="18" customHeight="1">
      <c r="A355" s="109" t="n"/>
      <c r="B355" s="110" t="n"/>
      <c r="C355" s="110" t="n"/>
      <c r="D355" s="111" t="n"/>
      <c r="E355" s="110" t="n"/>
      <c r="F355" s="112" t="n"/>
      <c r="G355" s="112" t="n"/>
      <c r="H355" s="110" t="n"/>
      <c r="I355" s="113" t="n"/>
      <c r="J355" s="113" t="n"/>
      <c r="K355" s="111" t="n"/>
      <c r="L355" s="111" t="n"/>
      <c r="M355" s="111" t="n"/>
      <c r="N355" s="114" t="str">
        <f>IF(OR(D355="",E355=""),"",D355+IF(E355="NOTIFICAÇÃO DE CONSTATAÇÃO",PrazoConst,PrazoEsc))</f>
        <v/>
      </c>
      <c r="O355" s="115" t="str">
        <f>IF(N355="","",IF(ISNUMBER(L355),N355-L355,IF(OR(G355="DECISÃO D.P",ISNUMBER(M355)),"",N355-TODAY())))</f>
        <v/>
      </c>
      <c r="P355" s="116" t="str">
        <f>IF(B355="","",IF(ISNUMBER(M355),"DECIDIDO – ","")&amp;IF(ISNUMBER(L355),IF(O355="","SEM DATA",IF(O355&gt;=0,"DEFESA NO PRAZO","DEFESA FORA DO PRAZO")),IF(OR(G355="DECISÃO D.P",ISNUMBER(M355)),"SEM DEFESA",IF(G355="","SEM STATUS",IF(O355="","SEM DATA",IF(O355&lt;0,"VENCIDO",IF(O355&lt;=DiasAlerta,"VENCE EM BREVE","NO PRAZO")))))))</f>
        <v/>
      </c>
      <c r="Q355" s="117" t="str">
        <f>IF(D355="","",TODAY()-D355)</f>
        <v/>
      </c>
      <c r="R355" s="110" t="n"/>
    </row>
    <row r="356" ht="18" customHeight="1">
      <c r="A356" s="109" t="n"/>
      <c r="B356" s="110" t="n"/>
      <c r="C356" s="110" t="n"/>
      <c r="D356" s="111" t="n"/>
      <c r="E356" s="110" t="n"/>
      <c r="F356" s="112" t="n"/>
      <c r="G356" s="112" t="n"/>
      <c r="H356" s="110" t="n"/>
      <c r="I356" s="113" t="n"/>
      <c r="J356" s="113" t="n"/>
      <c r="K356" s="111" t="n"/>
      <c r="L356" s="111" t="n"/>
      <c r="M356" s="111" t="n"/>
      <c r="N356" s="114" t="str">
        <f>IF(OR(D356="",E356=""),"",D356+IF(E356="NOTIFICAÇÃO DE CONSTATAÇÃO",PrazoConst,PrazoEsc))</f>
        <v/>
      </c>
      <c r="O356" s="115" t="str">
        <f>IF(N356="","",IF(ISNUMBER(L356),N356-L356,IF(OR(G356="DECISÃO D.P",ISNUMBER(M356)),"",N356-TODAY())))</f>
        <v/>
      </c>
      <c r="P356" s="116" t="str">
        <f>IF(B356="","",IF(ISNUMBER(M356),"DECIDIDO – ","")&amp;IF(ISNUMBER(L356),IF(O356="","SEM DATA",IF(O356&gt;=0,"DEFESA NO PRAZO","DEFESA FORA DO PRAZO")),IF(OR(G356="DECISÃO D.P",ISNUMBER(M356)),"SEM DEFESA",IF(G356="","SEM STATUS",IF(O356="","SEM DATA",IF(O356&lt;0,"VENCIDO",IF(O356&lt;=DiasAlerta,"VENCE EM BREVE","NO PRAZO")))))))</f>
        <v/>
      </c>
      <c r="Q356" s="117" t="str">
        <f>IF(D356="","",TODAY()-D356)</f>
        <v/>
      </c>
      <c r="R356" s="110" t="n"/>
    </row>
    <row r="357" ht="18" customHeight="1">
      <c r="A357" s="109" t="n"/>
      <c r="B357" s="110" t="n"/>
      <c r="C357" s="110" t="n"/>
      <c r="D357" s="111" t="n"/>
      <c r="E357" s="110" t="n"/>
      <c r="F357" s="112" t="n"/>
      <c r="G357" s="112" t="n"/>
      <c r="H357" s="110" t="n"/>
      <c r="I357" s="113" t="n"/>
      <c r="J357" s="113" t="n"/>
      <c r="K357" s="111" t="n"/>
      <c r="L357" s="111" t="n"/>
      <c r="M357" s="111" t="n"/>
      <c r="N357" s="114" t="str">
        <f>IF(OR(D357="",E357=""),"",D357+IF(E357="NOTIFICAÇÃO DE CONSTATAÇÃO",PrazoConst,PrazoEsc))</f>
        <v/>
      </c>
      <c r="O357" s="115" t="str">
        <f>IF(N357="","",IF(ISNUMBER(L357),N357-L357,IF(OR(G357="DECISÃO D.P",ISNUMBER(M357)),"",N357-TODAY())))</f>
        <v/>
      </c>
      <c r="P357" s="116" t="str">
        <f>IF(B357="","",IF(ISNUMBER(M357),"DECIDIDO – ","")&amp;IF(ISNUMBER(L357),IF(O357="","SEM DATA",IF(O357&gt;=0,"DEFESA NO PRAZO","DEFESA FORA DO PRAZO")),IF(OR(G357="DECISÃO D.P",ISNUMBER(M357)),"SEM DEFESA",IF(G357="","SEM STATUS",IF(O357="","SEM DATA",IF(O357&lt;0,"VENCIDO",IF(O357&lt;=DiasAlerta,"VENCE EM BREVE","NO PRAZO")))))))</f>
        <v/>
      </c>
      <c r="Q357" s="117" t="str">
        <f>IF(D357="","",TODAY()-D357)</f>
        <v/>
      </c>
      <c r="R357" s="110" t="n"/>
    </row>
    <row r="358" ht="18" customHeight="1">
      <c r="A358" s="109" t="n"/>
      <c r="B358" s="110" t="n"/>
      <c r="C358" s="110" t="n"/>
      <c r="D358" s="111" t="n"/>
      <c r="E358" s="110" t="n"/>
      <c r="F358" s="112" t="n"/>
      <c r="G358" s="112" t="n"/>
      <c r="H358" s="110" t="n"/>
      <c r="I358" s="113" t="n"/>
      <c r="J358" s="113" t="n"/>
      <c r="K358" s="111" t="n"/>
      <c r="L358" s="111" t="n"/>
      <c r="M358" s="111" t="n"/>
      <c r="N358" s="114" t="str">
        <f>IF(OR(D358="",E358=""),"",D358+IF(E358="NOTIFICAÇÃO DE CONSTATAÇÃO",PrazoConst,PrazoEsc))</f>
        <v/>
      </c>
      <c r="O358" s="115" t="str">
        <f>IF(N358="","",IF(ISNUMBER(L358),N358-L358,IF(OR(G358="DECISÃO D.P",ISNUMBER(M358)),"",N358-TODAY())))</f>
        <v/>
      </c>
      <c r="P358" s="116" t="str">
        <f>IF(B358="","",IF(ISNUMBER(M358),"DECIDIDO – ","")&amp;IF(ISNUMBER(L358),IF(O358="","SEM DATA",IF(O358&gt;=0,"DEFESA NO PRAZO","DEFESA FORA DO PRAZO")),IF(OR(G358="DECISÃO D.P",ISNUMBER(M358)),"SEM DEFESA",IF(G358="","SEM STATUS",IF(O358="","SEM DATA",IF(O358&lt;0,"VENCIDO",IF(O358&lt;=DiasAlerta,"VENCE EM BREVE","NO PRAZO")))))))</f>
        <v/>
      </c>
      <c r="Q358" s="117" t="str">
        <f>IF(D358="","",TODAY()-D358)</f>
        <v/>
      </c>
      <c r="R358" s="110" t="n"/>
    </row>
    <row r="359" ht="18" customHeight="1">
      <c r="A359" s="109" t="n"/>
      <c r="B359" s="110" t="n"/>
      <c r="C359" s="110" t="n"/>
      <c r="D359" s="111" t="n"/>
      <c r="E359" s="110" t="n"/>
      <c r="F359" s="112" t="n"/>
      <c r="G359" s="112" t="n"/>
      <c r="H359" s="110" t="n"/>
      <c r="I359" s="113" t="n"/>
      <c r="J359" s="113" t="n"/>
      <c r="K359" s="111" t="n"/>
      <c r="L359" s="111" t="n"/>
      <c r="M359" s="111" t="n"/>
      <c r="N359" s="114" t="str">
        <f>IF(OR(D359="",E359=""),"",D359+IF(E359="NOTIFICAÇÃO DE CONSTATAÇÃO",PrazoConst,PrazoEsc))</f>
        <v/>
      </c>
      <c r="O359" s="115" t="str">
        <f>IF(N359="","",IF(ISNUMBER(L359),N359-L359,IF(OR(G359="DECISÃO D.P",ISNUMBER(M359)),"",N359-TODAY())))</f>
        <v/>
      </c>
      <c r="P359" s="116" t="str">
        <f>IF(B359="","",IF(ISNUMBER(M359),"DECIDIDO – ","")&amp;IF(ISNUMBER(L359),IF(O359="","SEM DATA",IF(O359&gt;=0,"DEFESA NO PRAZO","DEFESA FORA DO PRAZO")),IF(OR(G359="DECISÃO D.P",ISNUMBER(M359)),"SEM DEFESA",IF(G359="","SEM STATUS",IF(O359="","SEM DATA",IF(O359&lt;0,"VENCIDO",IF(O359&lt;=DiasAlerta,"VENCE EM BREVE","NO PRAZO")))))))</f>
        <v/>
      </c>
      <c r="Q359" s="117" t="str">
        <f>IF(D359="","",TODAY()-D359)</f>
        <v/>
      </c>
      <c r="R359" s="110" t="n"/>
    </row>
    <row r="360" ht="18" customHeight="1">
      <c r="A360" s="109" t="n"/>
      <c r="B360" s="110" t="n"/>
      <c r="C360" s="110" t="n"/>
      <c r="D360" s="111" t="n"/>
      <c r="E360" s="110" t="n"/>
      <c r="F360" s="112" t="n"/>
      <c r="G360" s="112" t="n"/>
      <c r="H360" s="110" t="n"/>
      <c r="I360" s="113" t="n"/>
      <c r="J360" s="113" t="n"/>
      <c r="K360" s="111" t="n"/>
      <c r="L360" s="111" t="n"/>
      <c r="M360" s="111" t="n"/>
      <c r="N360" s="114" t="str">
        <f>IF(OR(D360="",E360=""),"",D360+IF(E360="NOTIFICAÇÃO DE CONSTATAÇÃO",PrazoConst,PrazoEsc))</f>
        <v/>
      </c>
      <c r="O360" s="115" t="str">
        <f>IF(N360="","",IF(ISNUMBER(L360),N360-L360,IF(OR(G360="DECISÃO D.P",ISNUMBER(M360)),"",N360-TODAY())))</f>
        <v/>
      </c>
      <c r="P360" s="116" t="str">
        <f>IF(B360="","",IF(ISNUMBER(M360),"DECIDIDO – ","")&amp;IF(ISNUMBER(L360),IF(O360="","SEM DATA",IF(O360&gt;=0,"DEFESA NO PRAZO","DEFESA FORA DO PRAZO")),IF(OR(G360="DECISÃO D.P",ISNUMBER(M360)),"SEM DEFESA",IF(G360="","SEM STATUS",IF(O360="","SEM DATA",IF(O360&lt;0,"VENCIDO",IF(O360&lt;=DiasAlerta,"VENCE EM BREVE","NO PRAZO")))))))</f>
        <v/>
      </c>
      <c r="Q360" s="117" t="str">
        <f>IF(D360="","",TODAY()-D360)</f>
        <v/>
      </c>
      <c r="R360" s="110" t="n"/>
    </row>
    <row r="361" ht="18" customHeight="1">
      <c r="A361" s="109" t="n"/>
      <c r="B361" s="110" t="n"/>
      <c r="C361" s="110" t="n"/>
      <c r="D361" s="111" t="n"/>
      <c r="E361" s="110" t="n"/>
      <c r="F361" s="112" t="n"/>
      <c r="G361" s="112" t="n"/>
      <c r="H361" s="110" t="n"/>
      <c r="I361" s="113" t="n"/>
      <c r="J361" s="113" t="n"/>
      <c r="K361" s="111" t="n"/>
      <c r="L361" s="111" t="n"/>
      <c r="M361" s="111" t="n"/>
      <c r="N361" s="114" t="str">
        <f>IF(OR(D361="",E361=""),"",D361+IF(E361="NOTIFICAÇÃO DE CONSTATAÇÃO",PrazoConst,PrazoEsc))</f>
        <v/>
      </c>
      <c r="O361" s="115" t="str">
        <f>IF(N361="","",IF(ISNUMBER(L361),N361-L361,IF(OR(G361="DECISÃO D.P",ISNUMBER(M361)),"",N361-TODAY())))</f>
        <v/>
      </c>
      <c r="P361" s="116" t="str">
        <f>IF(B361="","",IF(ISNUMBER(M361),"DECIDIDO – ","")&amp;IF(ISNUMBER(L361),IF(O361="","SEM DATA",IF(O361&gt;=0,"DEFESA NO PRAZO","DEFESA FORA DO PRAZO")),IF(OR(G361="DECISÃO D.P",ISNUMBER(M361)),"SEM DEFESA",IF(G361="","SEM STATUS",IF(O361="","SEM DATA",IF(O361&lt;0,"VENCIDO",IF(O361&lt;=DiasAlerta,"VENCE EM BREVE","NO PRAZO")))))))</f>
        <v/>
      </c>
      <c r="Q361" s="117" t="str">
        <f>IF(D361="","",TODAY()-D361)</f>
        <v/>
      </c>
      <c r="R361" s="110" t="n"/>
    </row>
    <row r="362" ht="18" customHeight="1">
      <c r="A362" s="109" t="n"/>
      <c r="B362" s="110" t="n"/>
      <c r="C362" s="110" t="n"/>
      <c r="D362" s="111" t="n"/>
      <c r="E362" s="110" t="n"/>
      <c r="F362" s="112" t="n"/>
      <c r="G362" s="112" t="n"/>
      <c r="H362" s="110" t="n"/>
      <c r="I362" s="113" t="n"/>
      <c r="J362" s="113" t="n"/>
      <c r="K362" s="111" t="n"/>
      <c r="L362" s="111" t="n"/>
      <c r="M362" s="111" t="n"/>
      <c r="N362" s="114" t="str">
        <f>IF(OR(D362="",E362=""),"",D362+IF(E362="NOTIFICAÇÃO DE CONSTATAÇÃO",PrazoConst,PrazoEsc))</f>
        <v/>
      </c>
      <c r="O362" s="115" t="str">
        <f>IF(N362="","",IF(ISNUMBER(L362),N362-L362,IF(OR(G362="DECISÃO D.P",ISNUMBER(M362)),"",N362-TODAY())))</f>
        <v/>
      </c>
      <c r="P362" s="116" t="str">
        <f>IF(B362="","",IF(ISNUMBER(M362),"DECIDIDO – ","")&amp;IF(ISNUMBER(L362),IF(O362="","SEM DATA",IF(O362&gt;=0,"DEFESA NO PRAZO","DEFESA FORA DO PRAZO")),IF(OR(G362="DECISÃO D.P",ISNUMBER(M362)),"SEM DEFESA",IF(G362="","SEM STATUS",IF(O362="","SEM DATA",IF(O362&lt;0,"VENCIDO",IF(O362&lt;=DiasAlerta,"VENCE EM BREVE","NO PRAZO")))))))</f>
        <v/>
      </c>
      <c r="Q362" s="117" t="str">
        <f>IF(D362="","",TODAY()-D362)</f>
        <v/>
      </c>
      <c r="R362" s="110" t="n"/>
    </row>
    <row r="363" ht="18" customHeight="1">
      <c r="A363" s="109" t="n"/>
      <c r="B363" s="110" t="n"/>
      <c r="C363" s="110" t="n"/>
      <c r="D363" s="111" t="n"/>
      <c r="E363" s="110" t="n"/>
      <c r="F363" s="112" t="n"/>
      <c r="G363" s="112" t="n"/>
      <c r="H363" s="110" t="n"/>
      <c r="I363" s="113" t="n"/>
      <c r="J363" s="113" t="n"/>
      <c r="K363" s="111" t="n"/>
      <c r="L363" s="111" t="n"/>
      <c r="M363" s="111" t="n"/>
      <c r="N363" s="114" t="str">
        <f>IF(OR(D363="",E363=""),"",D363+IF(E363="NOTIFICAÇÃO DE CONSTATAÇÃO",PrazoConst,PrazoEsc))</f>
        <v/>
      </c>
      <c r="O363" s="115" t="str">
        <f>IF(N363="","",IF(ISNUMBER(L363),N363-L363,IF(OR(G363="DECISÃO D.P",ISNUMBER(M363)),"",N363-TODAY())))</f>
        <v/>
      </c>
      <c r="P363" s="116" t="str">
        <f>IF(B363="","",IF(ISNUMBER(M363),"DECIDIDO – ","")&amp;IF(ISNUMBER(L363),IF(O363="","SEM DATA",IF(O363&gt;=0,"DEFESA NO PRAZO","DEFESA FORA DO PRAZO")),IF(OR(G363="DECISÃO D.P",ISNUMBER(M363)),"SEM DEFESA",IF(G363="","SEM STATUS",IF(O363="","SEM DATA",IF(O363&lt;0,"VENCIDO",IF(O363&lt;=DiasAlerta,"VENCE EM BREVE","NO PRAZO")))))))</f>
        <v/>
      </c>
      <c r="Q363" s="117" t="str">
        <f>IF(D363="","",TODAY()-D363)</f>
        <v/>
      </c>
      <c r="R363" s="110" t="n"/>
    </row>
    <row r="364" ht="18" customHeight="1">
      <c r="A364" s="109" t="n"/>
      <c r="B364" s="110" t="n"/>
      <c r="C364" s="110" t="n"/>
      <c r="D364" s="111" t="n"/>
      <c r="E364" s="110" t="n"/>
      <c r="F364" s="112" t="n"/>
      <c r="G364" s="112" t="n"/>
      <c r="H364" s="110" t="n"/>
      <c r="I364" s="113" t="n"/>
      <c r="J364" s="113" t="n"/>
      <c r="K364" s="111" t="n"/>
      <c r="L364" s="111" t="n"/>
      <c r="M364" s="111" t="n"/>
      <c r="N364" s="114" t="str">
        <f>IF(OR(D364="",E364=""),"",D364+IF(E364="NOTIFICAÇÃO DE CONSTATAÇÃO",PrazoConst,PrazoEsc))</f>
        <v/>
      </c>
      <c r="O364" s="115" t="str">
        <f>IF(N364="","",IF(ISNUMBER(L364),N364-L364,IF(OR(G364="DECISÃO D.P",ISNUMBER(M364)),"",N364-TODAY())))</f>
        <v/>
      </c>
      <c r="P364" s="116" t="str">
        <f>IF(B364="","",IF(ISNUMBER(M364),"DECIDIDO – ","")&amp;IF(ISNUMBER(L364),IF(O364="","SEM DATA",IF(O364&gt;=0,"DEFESA NO PRAZO","DEFESA FORA DO PRAZO")),IF(OR(G364="DECISÃO D.P",ISNUMBER(M364)),"SEM DEFESA",IF(G364="","SEM STATUS",IF(O364="","SEM DATA",IF(O364&lt;0,"VENCIDO",IF(O364&lt;=DiasAlerta,"VENCE EM BREVE","NO PRAZO")))))))</f>
        <v/>
      </c>
      <c r="Q364" s="117" t="str">
        <f>IF(D364="","",TODAY()-D364)</f>
        <v/>
      </c>
      <c r="R364" s="110" t="n"/>
    </row>
    <row r="365" ht="18" customHeight="1">
      <c r="A365" s="109" t="n"/>
      <c r="B365" s="110" t="n"/>
      <c r="C365" s="110" t="n"/>
      <c r="D365" s="111" t="n"/>
      <c r="E365" s="110" t="n"/>
      <c r="F365" s="112" t="n"/>
      <c r="G365" s="112" t="n"/>
      <c r="H365" s="110" t="n"/>
      <c r="I365" s="113" t="n"/>
      <c r="J365" s="113" t="n"/>
      <c r="K365" s="111" t="n"/>
      <c r="L365" s="111" t="n"/>
      <c r="M365" s="111" t="n"/>
      <c r="N365" s="114" t="str">
        <f>IF(OR(D365="",E365=""),"",D365+IF(E365="NOTIFICAÇÃO DE CONSTATAÇÃO",PrazoConst,PrazoEsc))</f>
        <v/>
      </c>
      <c r="O365" s="115" t="str">
        <f>IF(N365="","",IF(ISNUMBER(L365),N365-L365,IF(OR(G365="DECISÃO D.P",ISNUMBER(M365)),"",N365-TODAY())))</f>
        <v/>
      </c>
      <c r="P365" s="116" t="str">
        <f>IF(B365="","",IF(ISNUMBER(M365),"DECIDIDO – ","")&amp;IF(ISNUMBER(L365),IF(O365="","SEM DATA",IF(O365&gt;=0,"DEFESA NO PRAZO","DEFESA FORA DO PRAZO")),IF(OR(G365="DECISÃO D.P",ISNUMBER(M365)),"SEM DEFESA",IF(G365="","SEM STATUS",IF(O365="","SEM DATA",IF(O365&lt;0,"VENCIDO",IF(O365&lt;=DiasAlerta,"VENCE EM BREVE","NO PRAZO")))))))</f>
        <v/>
      </c>
      <c r="Q365" s="117" t="str">
        <f>IF(D365="","",TODAY()-D365)</f>
        <v/>
      </c>
      <c r="R365" s="110" t="n"/>
    </row>
    <row r="366" ht="18" customHeight="1">
      <c r="A366" s="109" t="n"/>
      <c r="B366" s="110" t="n"/>
      <c r="C366" s="110" t="n"/>
      <c r="D366" s="111" t="n"/>
      <c r="E366" s="110" t="n"/>
      <c r="F366" s="112" t="n"/>
      <c r="G366" s="112" t="n"/>
      <c r="H366" s="110" t="n"/>
      <c r="I366" s="113" t="n"/>
      <c r="J366" s="113" t="n"/>
      <c r="K366" s="111" t="n"/>
      <c r="L366" s="111" t="n"/>
      <c r="M366" s="111" t="n"/>
      <c r="N366" s="114" t="str">
        <f>IF(OR(D366="",E366=""),"",D366+IF(E366="NOTIFICAÇÃO DE CONSTATAÇÃO",PrazoConst,PrazoEsc))</f>
        <v/>
      </c>
      <c r="O366" s="115" t="str">
        <f>IF(N366="","",IF(ISNUMBER(L366),N366-L366,IF(OR(G366="DECISÃO D.P",ISNUMBER(M366)),"",N366-TODAY())))</f>
        <v/>
      </c>
      <c r="P366" s="116" t="str">
        <f>IF(B366="","",IF(ISNUMBER(M366),"DECIDIDO – ","")&amp;IF(ISNUMBER(L366),IF(O366="","SEM DATA",IF(O366&gt;=0,"DEFESA NO PRAZO","DEFESA FORA DO PRAZO")),IF(OR(G366="DECISÃO D.P",ISNUMBER(M366)),"SEM DEFESA",IF(G366="","SEM STATUS",IF(O366="","SEM DATA",IF(O366&lt;0,"VENCIDO",IF(O366&lt;=DiasAlerta,"VENCE EM BREVE","NO PRAZO")))))))</f>
        <v/>
      </c>
      <c r="Q366" s="117" t="str">
        <f>IF(D366="","",TODAY()-D366)</f>
        <v/>
      </c>
      <c r="R366" s="110" t="n"/>
    </row>
    <row r="367" ht="18" customHeight="1">
      <c r="A367" s="109" t="n"/>
      <c r="B367" s="110" t="n"/>
      <c r="C367" s="110" t="n"/>
      <c r="D367" s="111" t="n"/>
      <c r="E367" s="110" t="n"/>
      <c r="F367" s="112" t="n"/>
      <c r="G367" s="112" t="n"/>
      <c r="H367" s="110" t="n"/>
      <c r="I367" s="113" t="n"/>
      <c r="J367" s="113" t="n"/>
      <c r="K367" s="111" t="n"/>
      <c r="L367" s="111" t="n"/>
      <c r="M367" s="111" t="n"/>
      <c r="N367" s="114" t="str">
        <f>IF(OR(D367="",E367=""),"",D367+IF(E367="NOTIFICAÇÃO DE CONSTATAÇÃO",PrazoConst,PrazoEsc))</f>
        <v/>
      </c>
      <c r="O367" s="115" t="str">
        <f>IF(N367="","",IF(ISNUMBER(L367),N367-L367,IF(OR(G367="DECISÃO D.P",ISNUMBER(M367)),"",N367-TODAY())))</f>
        <v/>
      </c>
      <c r="P367" s="116" t="str">
        <f>IF(B367="","",IF(ISNUMBER(M367),"DECIDIDO – ","")&amp;IF(ISNUMBER(L367),IF(O367="","SEM DATA",IF(O367&gt;=0,"DEFESA NO PRAZO","DEFESA FORA DO PRAZO")),IF(OR(G367="DECISÃO D.P",ISNUMBER(M367)),"SEM DEFESA",IF(G367="","SEM STATUS",IF(O367="","SEM DATA",IF(O367&lt;0,"VENCIDO",IF(O367&lt;=DiasAlerta,"VENCE EM BREVE","NO PRAZO")))))))</f>
        <v/>
      </c>
      <c r="Q367" s="117" t="str">
        <f>IF(D367="","",TODAY()-D367)</f>
        <v/>
      </c>
      <c r="R367" s="110" t="n"/>
    </row>
    <row r="368" ht="18" customHeight="1">
      <c r="A368" s="109" t="n"/>
      <c r="B368" s="110" t="n"/>
      <c r="C368" s="110" t="n"/>
      <c r="D368" s="111" t="n"/>
      <c r="E368" s="110" t="n"/>
      <c r="F368" s="112" t="n"/>
      <c r="G368" s="112" t="n"/>
      <c r="H368" s="110" t="n"/>
      <c r="I368" s="113" t="n"/>
      <c r="J368" s="113" t="n"/>
      <c r="K368" s="111" t="n"/>
      <c r="L368" s="111" t="n"/>
      <c r="M368" s="111" t="n"/>
      <c r="N368" s="114" t="str">
        <f>IF(OR(D368="",E368=""),"",D368+IF(E368="NOTIFICAÇÃO DE CONSTATAÇÃO",PrazoConst,PrazoEsc))</f>
        <v/>
      </c>
      <c r="O368" s="115" t="str">
        <f>IF(N368="","",IF(ISNUMBER(L368),N368-L368,IF(OR(G368="DECISÃO D.P",ISNUMBER(M368)),"",N368-TODAY())))</f>
        <v/>
      </c>
      <c r="P368" s="116" t="str">
        <f>IF(B368="","",IF(ISNUMBER(M368),"DECIDIDO – ","")&amp;IF(ISNUMBER(L368),IF(O368="","SEM DATA",IF(O368&gt;=0,"DEFESA NO PRAZO","DEFESA FORA DO PRAZO")),IF(OR(G368="DECISÃO D.P",ISNUMBER(M368)),"SEM DEFESA",IF(G368="","SEM STATUS",IF(O368="","SEM DATA",IF(O368&lt;0,"VENCIDO",IF(O368&lt;=DiasAlerta,"VENCE EM BREVE","NO PRAZO")))))))</f>
        <v/>
      </c>
      <c r="Q368" s="117" t="str">
        <f>IF(D368="","",TODAY()-D368)</f>
        <v/>
      </c>
      <c r="R368" s="110" t="n"/>
    </row>
    <row r="369" ht="18" customHeight="1">
      <c r="A369" s="109" t="n"/>
      <c r="B369" s="110" t="n"/>
      <c r="C369" s="110" t="n"/>
      <c r="D369" s="111" t="n"/>
      <c r="E369" s="110" t="n"/>
      <c r="F369" s="112" t="n"/>
      <c r="G369" s="112" t="n"/>
      <c r="H369" s="110" t="n"/>
      <c r="I369" s="113" t="n"/>
      <c r="J369" s="113" t="n"/>
      <c r="K369" s="111" t="n"/>
      <c r="L369" s="111" t="n"/>
      <c r="M369" s="111" t="n"/>
      <c r="N369" s="114" t="str">
        <f>IF(OR(D369="",E369=""),"",D369+IF(E369="NOTIFICAÇÃO DE CONSTATAÇÃO",PrazoConst,PrazoEsc))</f>
        <v/>
      </c>
      <c r="O369" s="115" t="str">
        <f>IF(N369="","",IF(ISNUMBER(L369),N369-L369,IF(OR(G369="DECISÃO D.P",ISNUMBER(M369)),"",N369-TODAY())))</f>
        <v/>
      </c>
      <c r="P369" s="116" t="str">
        <f>IF(B369="","",IF(ISNUMBER(M369),"DECIDIDO – ","")&amp;IF(ISNUMBER(L369),IF(O369="","SEM DATA",IF(O369&gt;=0,"DEFESA NO PRAZO","DEFESA FORA DO PRAZO")),IF(OR(G369="DECISÃO D.P",ISNUMBER(M369)),"SEM DEFESA",IF(G369="","SEM STATUS",IF(O369="","SEM DATA",IF(O369&lt;0,"VENCIDO",IF(O369&lt;=DiasAlerta,"VENCE EM BREVE","NO PRAZO")))))))</f>
        <v/>
      </c>
      <c r="Q369" s="117" t="str">
        <f>IF(D369="","",TODAY()-D369)</f>
        <v/>
      </c>
      <c r="R369" s="110" t="n"/>
    </row>
    <row r="370" ht="18" customHeight="1">
      <c r="A370" s="109" t="n"/>
      <c r="B370" s="110" t="n"/>
      <c r="C370" s="110" t="n"/>
      <c r="D370" s="111" t="n"/>
      <c r="E370" s="110" t="n"/>
      <c r="F370" s="112" t="n"/>
      <c r="G370" s="112" t="n"/>
      <c r="H370" s="110" t="n"/>
      <c r="I370" s="113" t="n"/>
      <c r="J370" s="113" t="n"/>
      <c r="K370" s="111" t="n"/>
      <c r="L370" s="111" t="n"/>
      <c r="M370" s="111" t="n"/>
      <c r="N370" s="114" t="str">
        <f>IF(OR(D370="",E370=""),"",D370+IF(E370="NOTIFICAÇÃO DE CONSTATAÇÃO",PrazoConst,PrazoEsc))</f>
        <v/>
      </c>
      <c r="O370" s="115" t="str">
        <f>IF(N370="","",IF(ISNUMBER(L370),N370-L370,IF(OR(G370="DECISÃO D.P",ISNUMBER(M370)),"",N370-TODAY())))</f>
        <v/>
      </c>
      <c r="P370" s="116" t="str">
        <f>IF(B370="","",IF(ISNUMBER(M370),"DECIDIDO – ","")&amp;IF(ISNUMBER(L370),IF(O370="","SEM DATA",IF(O370&gt;=0,"DEFESA NO PRAZO","DEFESA FORA DO PRAZO")),IF(OR(G370="DECISÃO D.P",ISNUMBER(M370)),"SEM DEFESA",IF(G370="","SEM STATUS",IF(O370="","SEM DATA",IF(O370&lt;0,"VENCIDO",IF(O370&lt;=DiasAlerta,"VENCE EM BREVE","NO PRAZO")))))))</f>
        <v/>
      </c>
      <c r="Q370" s="117" t="str">
        <f>IF(D370="","",TODAY()-D370)</f>
        <v/>
      </c>
      <c r="R370" s="110" t="n"/>
    </row>
    <row r="371" ht="18" customHeight="1">
      <c r="A371" s="109" t="n"/>
      <c r="B371" s="110" t="n"/>
      <c r="C371" s="110" t="n"/>
      <c r="D371" s="111" t="n"/>
      <c r="E371" s="110" t="n"/>
      <c r="F371" s="112" t="n"/>
      <c r="G371" s="112" t="n"/>
      <c r="H371" s="110" t="n"/>
      <c r="I371" s="113" t="n"/>
      <c r="J371" s="113" t="n"/>
      <c r="K371" s="111" t="n"/>
      <c r="L371" s="111" t="n"/>
      <c r="M371" s="111" t="n"/>
      <c r="N371" s="114" t="str">
        <f>IF(OR(D371="",E371=""),"",D371+IF(E371="NOTIFICAÇÃO DE CONSTATAÇÃO",PrazoConst,PrazoEsc))</f>
        <v/>
      </c>
      <c r="O371" s="115" t="str">
        <f>IF(N371="","",IF(ISNUMBER(L371),N371-L371,IF(OR(G371="DECISÃO D.P",ISNUMBER(M371)),"",N371-TODAY())))</f>
        <v/>
      </c>
      <c r="P371" s="116" t="str">
        <f>IF(B371="","",IF(ISNUMBER(M371),"DECIDIDO – ","")&amp;IF(ISNUMBER(L371),IF(O371="","SEM DATA",IF(O371&gt;=0,"DEFESA NO PRAZO","DEFESA FORA DO PRAZO")),IF(OR(G371="DECISÃO D.P",ISNUMBER(M371)),"SEM DEFESA",IF(G371="","SEM STATUS",IF(O371="","SEM DATA",IF(O371&lt;0,"VENCIDO",IF(O371&lt;=DiasAlerta,"VENCE EM BREVE","NO PRAZO")))))))</f>
        <v/>
      </c>
      <c r="Q371" s="117" t="str">
        <f>IF(D371="","",TODAY()-D371)</f>
        <v/>
      </c>
      <c r="R371" s="110" t="n"/>
    </row>
    <row r="372" ht="18" customHeight="1">
      <c r="A372" s="109" t="n"/>
      <c r="B372" s="110" t="n"/>
      <c r="C372" s="110" t="n"/>
      <c r="D372" s="111" t="n"/>
      <c r="E372" s="110" t="n"/>
      <c r="F372" s="112" t="n"/>
      <c r="G372" s="112" t="n"/>
      <c r="H372" s="110" t="n"/>
      <c r="I372" s="113" t="n"/>
      <c r="J372" s="113" t="n"/>
      <c r="K372" s="111" t="n"/>
      <c r="L372" s="111" t="n"/>
      <c r="M372" s="111" t="n"/>
      <c r="N372" s="114" t="str">
        <f>IF(OR(D372="",E372=""),"",D372+IF(E372="NOTIFICAÇÃO DE CONSTATAÇÃO",PrazoConst,PrazoEsc))</f>
        <v/>
      </c>
      <c r="O372" s="115" t="str">
        <f>IF(N372="","",IF(ISNUMBER(L372),N372-L372,IF(OR(G372="DECISÃO D.P",ISNUMBER(M372)),"",N372-TODAY())))</f>
        <v/>
      </c>
      <c r="P372" s="116" t="str">
        <f>IF(B372="","",IF(ISNUMBER(M372),"DECIDIDO – ","")&amp;IF(ISNUMBER(L372),IF(O372="","SEM DATA",IF(O372&gt;=0,"DEFESA NO PRAZO","DEFESA FORA DO PRAZO")),IF(OR(G372="DECISÃO D.P",ISNUMBER(M372)),"SEM DEFESA",IF(G372="","SEM STATUS",IF(O372="","SEM DATA",IF(O372&lt;0,"VENCIDO",IF(O372&lt;=DiasAlerta,"VENCE EM BREVE","NO PRAZO")))))))</f>
        <v/>
      </c>
      <c r="Q372" s="117" t="str">
        <f>IF(D372="","",TODAY()-D372)</f>
        <v/>
      </c>
      <c r="R372" s="110" t="n"/>
    </row>
    <row r="373" ht="18" customHeight="1">
      <c r="A373" s="109" t="n"/>
      <c r="B373" s="110" t="n"/>
      <c r="C373" s="110" t="n"/>
      <c r="D373" s="111" t="n"/>
      <c r="E373" s="110" t="n"/>
      <c r="F373" s="112" t="n"/>
      <c r="G373" s="112" t="n"/>
      <c r="H373" s="110" t="n"/>
      <c r="I373" s="113" t="n"/>
      <c r="J373" s="113" t="n"/>
      <c r="K373" s="111" t="n"/>
      <c r="L373" s="111" t="n"/>
      <c r="M373" s="111" t="n"/>
      <c r="N373" s="114" t="str">
        <f>IF(OR(D373="",E373=""),"",D373+IF(E373="NOTIFICAÇÃO DE CONSTATAÇÃO",PrazoConst,PrazoEsc))</f>
        <v/>
      </c>
      <c r="O373" s="115" t="str">
        <f>IF(N373="","",IF(ISNUMBER(L373),N373-L373,IF(OR(G373="DECISÃO D.P",ISNUMBER(M373)),"",N373-TODAY())))</f>
        <v/>
      </c>
      <c r="P373" s="116" t="str">
        <f>IF(B373="","",IF(ISNUMBER(M373),"DECIDIDO – ","")&amp;IF(ISNUMBER(L373),IF(O373="","SEM DATA",IF(O373&gt;=0,"DEFESA NO PRAZO","DEFESA FORA DO PRAZO")),IF(OR(G373="DECISÃO D.P",ISNUMBER(M373)),"SEM DEFESA",IF(G373="","SEM STATUS",IF(O373="","SEM DATA",IF(O373&lt;0,"VENCIDO",IF(O373&lt;=DiasAlerta,"VENCE EM BREVE","NO PRAZO")))))))</f>
        <v/>
      </c>
      <c r="Q373" s="117" t="str">
        <f>IF(D373="","",TODAY()-D373)</f>
        <v/>
      </c>
      <c r="R373" s="110" t="n"/>
    </row>
    <row r="374" ht="18" customHeight="1">
      <c r="A374" s="109" t="n"/>
      <c r="B374" s="110" t="n"/>
      <c r="C374" s="110" t="n"/>
      <c r="D374" s="111" t="n"/>
      <c r="E374" s="110" t="n"/>
      <c r="F374" s="112" t="n"/>
      <c r="G374" s="112" t="n"/>
      <c r="H374" s="110" t="n"/>
      <c r="I374" s="113" t="n"/>
      <c r="J374" s="113" t="n"/>
      <c r="K374" s="111" t="n"/>
      <c r="L374" s="111" t="n"/>
      <c r="M374" s="111" t="n"/>
      <c r="N374" s="114" t="str">
        <f>IF(OR(D374="",E374=""),"",D374+IF(E374="NOTIFICAÇÃO DE CONSTATAÇÃO",PrazoConst,PrazoEsc))</f>
        <v/>
      </c>
      <c r="O374" s="115" t="str">
        <f>IF(N374="","",IF(ISNUMBER(L374),N374-L374,IF(OR(G374="DECISÃO D.P",ISNUMBER(M374)),"",N374-TODAY())))</f>
        <v/>
      </c>
      <c r="P374" s="116" t="str">
        <f>IF(B374="","",IF(ISNUMBER(M374),"DECIDIDO – ","")&amp;IF(ISNUMBER(L374),IF(O374="","SEM DATA",IF(O374&gt;=0,"DEFESA NO PRAZO","DEFESA FORA DO PRAZO")),IF(OR(G374="DECISÃO D.P",ISNUMBER(M374)),"SEM DEFESA",IF(G374="","SEM STATUS",IF(O374="","SEM DATA",IF(O374&lt;0,"VENCIDO",IF(O374&lt;=DiasAlerta,"VENCE EM BREVE","NO PRAZO")))))))</f>
        <v/>
      </c>
      <c r="Q374" s="117" t="str">
        <f>IF(D374="","",TODAY()-D374)</f>
        <v/>
      </c>
      <c r="R374" s="110" t="n"/>
    </row>
    <row r="375" ht="18" customHeight="1">
      <c r="A375" s="109" t="n"/>
      <c r="B375" s="110" t="n"/>
      <c r="C375" s="110" t="n"/>
      <c r="D375" s="111" t="n"/>
      <c r="E375" s="110" t="n"/>
      <c r="F375" s="112" t="n"/>
      <c r="G375" s="112" t="n"/>
      <c r="H375" s="110" t="n"/>
      <c r="I375" s="113" t="n"/>
      <c r="J375" s="113" t="n"/>
      <c r="K375" s="111" t="n"/>
      <c r="L375" s="111" t="n"/>
      <c r="M375" s="111" t="n"/>
      <c r="N375" s="114" t="str">
        <f>IF(OR(D375="",E375=""),"",D375+IF(E375="NOTIFICAÇÃO DE CONSTATAÇÃO",PrazoConst,PrazoEsc))</f>
        <v/>
      </c>
      <c r="O375" s="115" t="str">
        <f>IF(N375="","",IF(ISNUMBER(L375),N375-L375,IF(OR(G375="DECISÃO D.P",ISNUMBER(M375)),"",N375-TODAY())))</f>
        <v/>
      </c>
      <c r="P375" s="116" t="str">
        <f>IF(B375="","",IF(ISNUMBER(M375),"DECIDIDO – ","")&amp;IF(ISNUMBER(L375),IF(O375="","SEM DATA",IF(O375&gt;=0,"DEFESA NO PRAZO","DEFESA FORA DO PRAZO")),IF(OR(G375="DECISÃO D.P",ISNUMBER(M375)),"SEM DEFESA",IF(G375="","SEM STATUS",IF(O375="","SEM DATA",IF(O375&lt;0,"VENCIDO",IF(O375&lt;=DiasAlerta,"VENCE EM BREVE","NO PRAZO")))))))</f>
        <v/>
      </c>
      <c r="Q375" s="117" t="str">
        <f>IF(D375="","",TODAY()-D375)</f>
        <v/>
      </c>
      <c r="R375" s="110" t="n"/>
    </row>
    <row r="376" ht="18" customHeight="1">
      <c r="A376" s="109" t="n"/>
      <c r="B376" s="110" t="n"/>
      <c r="C376" s="110" t="n"/>
      <c r="D376" s="111" t="n"/>
      <c r="E376" s="110" t="n"/>
      <c r="F376" s="112" t="n"/>
      <c r="G376" s="112" t="n"/>
      <c r="H376" s="110" t="n"/>
      <c r="I376" s="113" t="n"/>
      <c r="J376" s="113" t="n"/>
      <c r="K376" s="111" t="n"/>
      <c r="L376" s="111" t="n"/>
      <c r="M376" s="111" t="n"/>
      <c r="N376" s="114" t="str">
        <f>IF(OR(D376="",E376=""),"",D376+IF(E376="NOTIFICAÇÃO DE CONSTATAÇÃO",PrazoConst,PrazoEsc))</f>
        <v/>
      </c>
      <c r="O376" s="115" t="str">
        <f>IF(N376="","",IF(ISNUMBER(L376),N376-L376,IF(OR(G376="DECISÃO D.P",ISNUMBER(M376)),"",N376-TODAY())))</f>
        <v/>
      </c>
      <c r="P376" s="116" t="str">
        <f>IF(B376="","",IF(ISNUMBER(M376),"DECIDIDO – ","")&amp;IF(ISNUMBER(L376),IF(O376="","SEM DATA",IF(O376&gt;=0,"DEFESA NO PRAZO","DEFESA FORA DO PRAZO")),IF(OR(G376="DECISÃO D.P",ISNUMBER(M376)),"SEM DEFESA",IF(G376="","SEM STATUS",IF(O376="","SEM DATA",IF(O376&lt;0,"VENCIDO",IF(O376&lt;=DiasAlerta,"VENCE EM BREVE","NO PRAZO")))))))</f>
        <v/>
      </c>
      <c r="Q376" s="117" t="str">
        <f>IF(D376="","",TODAY()-D376)</f>
        <v/>
      </c>
      <c r="R376" s="110" t="n"/>
    </row>
    <row r="377" ht="18" customHeight="1">
      <c r="A377" s="109" t="n"/>
      <c r="B377" s="110" t="n"/>
      <c r="C377" s="110" t="n"/>
      <c r="D377" s="111" t="n"/>
      <c r="E377" s="110" t="n"/>
      <c r="F377" s="112" t="n"/>
      <c r="G377" s="112" t="n"/>
      <c r="H377" s="110" t="n"/>
      <c r="I377" s="113" t="n"/>
      <c r="J377" s="113" t="n"/>
      <c r="K377" s="111" t="n"/>
      <c r="L377" s="111" t="n"/>
      <c r="M377" s="111" t="n"/>
      <c r="N377" s="114" t="str">
        <f>IF(OR(D377="",E377=""),"",D377+IF(E377="NOTIFICAÇÃO DE CONSTATAÇÃO",PrazoConst,PrazoEsc))</f>
        <v/>
      </c>
      <c r="O377" s="115" t="str">
        <f>IF(N377="","",IF(ISNUMBER(L377),N377-L377,IF(OR(G377="DECISÃO D.P",ISNUMBER(M377)),"",N377-TODAY())))</f>
        <v/>
      </c>
      <c r="P377" s="116" t="str">
        <f>IF(B377="","",IF(ISNUMBER(M377),"DECIDIDO – ","")&amp;IF(ISNUMBER(L377),IF(O377="","SEM DATA",IF(O377&gt;=0,"DEFESA NO PRAZO","DEFESA FORA DO PRAZO")),IF(OR(G377="DECISÃO D.P",ISNUMBER(M377)),"SEM DEFESA",IF(G377="","SEM STATUS",IF(O377="","SEM DATA",IF(O377&lt;0,"VENCIDO",IF(O377&lt;=DiasAlerta,"VENCE EM BREVE","NO PRAZO")))))))</f>
        <v/>
      </c>
      <c r="Q377" s="117" t="str">
        <f>IF(D377="","",TODAY()-D377)</f>
        <v/>
      </c>
      <c r="R377" s="110" t="n"/>
    </row>
    <row r="378" ht="18" customHeight="1">
      <c r="A378" s="109" t="n"/>
      <c r="B378" s="110" t="n"/>
      <c r="C378" s="110" t="n"/>
      <c r="D378" s="111" t="n"/>
      <c r="E378" s="110" t="n"/>
      <c r="F378" s="112" t="n"/>
      <c r="G378" s="112" t="n"/>
      <c r="H378" s="110" t="n"/>
      <c r="I378" s="113" t="n"/>
      <c r="J378" s="113" t="n"/>
      <c r="K378" s="111" t="n"/>
      <c r="L378" s="111" t="n"/>
      <c r="M378" s="111" t="n"/>
      <c r="N378" s="114" t="str">
        <f>IF(OR(D378="",E378=""),"",D378+IF(E378="NOTIFICAÇÃO DE CONSTATAÇÃO",PrazoConst,PrazoEsc))</f>
        <v/>
      </c>
      <c r="O378" s="115" t="str">
        <f>IF(N378="","",IF(ISNUMBER(L378),N378-L378,IF(OR(G378="DECISÃO D.P",ISNUMBER(M378)),"",N378-TODAY())))</f>
        <v/>
      </c>
      <c r="P378" s="116" t="str">
        <f>IF(B378="","",IF(ISNUMBER(M378),"DECIDIDO – ","")&amp;IF(ISNUMBER(L378),IF(O378="","SEM DATA",IF(O378&gt;=0,"DEFESA NO PRAZO","DEFESA FORA DO PRAZO")),IF(OR(G378="DECISÃO D.P",ISNUMBER(M378)),"SEM DEFESA",IF(G378="","SEM STATUS",IF(O378="","SEM DATA",IF(O378&lt;0,"VENCIDO",IF(O378&lt;=DiasAlerta,"VENCE EM BREVE","NO PRAZO")))))))</f>
        <v/>
      </c>
      <c r="Q378" s="117" t="str">
        <f>IF(D378="","",TODAY()-D378)</f>
        <v/>
      </c>
      <c r="R378" s="110" t="n"/>
    </row>
    <row r="379" ht="18" customHeight="1">
      <c r="A379" s="109" t="n"/>
      <c r="B379" s="110" t="n"/>
      <c r="C379" s="110" t="n"/>
      <c r="D379" s="111" t="n"/>
      <c r="E379" s="110" t="n"/>
      <c r="F379" s="112" t="n"/>
      <c r="G379" s="112" t="n"/>
      <c r="H379" s="110" t="n"/>
      <c r="I379" s="113" t="n"/>
      <c r="J379" s="113" t="n"/>
      <c r="K379" s="111" t="n"/>
      <c r="L379" s="111" t="n"/>
      <c r="M379" s="111" t="n"/>
      <c r="N379" s="114" t="str">
        <f>IF(OR(D379="",E379=""),"",D379+IF(E379="NOTIFICAÇÃO DE CONSTATAÇÃO",PrazoConst,PrazoEsc))</f>
        <v/>
      </c>
      <c r="O379" s="115" t="str">
        <f>IF(N379="","",IF(ISNUMBER(L379),N379-L379,IF(OR(G379="DECISÃO D.P",ISNUMBER(M379)),"",N379-TODAY())))</f>
        <v/>
      </c>
      <c r="P379" s="116" t="str">
        <f>IF(B379="","",IF(ISNUMBER(M379),"DECIDIDO – ","")&amp;IF(ISNUMBER(L379),IF(O379="","SEM DATA",IF(O379&gt;=0,"DEFESA NO PRAZO","DEFESA FORA DO PRAZO")),IF(OR(G379="DECISÃO D.P",ISNUMBER(M379)),"SEM DEFESA",IF(G379="","SEM STATUS",IF(O379="","SEM DATA",IF(O379&lt;0,"VENCIDO",IF(O379&lt;=DiasAlerta,"VENCE EM BREVE","NO PRAZO")))))))</f>
        <v/>
      </c>
      <c r="Q379" s="117" t="str">
        <f>IF(D379="","",TODAY()-D379)</f>
        <v/>
      </c>
      <c r="R379" s="110" t="n"/>
    </row>
    <row r="380" ht="18" customHeight="1">
      <c r="A380" s="109" t="n"/>
      <c r="B380" s="110" t="n"/>
      <c r="C380" s="110" t="n"/>
      <c r="D380" s="111" t="n"/>
      <c r="E380" s="110" t="n"/>
      <c r="F380" s="112" t="n"/>
      <c r="G380" s="112" t="n"/>
      <c r="H380" s="110" t="n"/>
      <c r="I380" s="113" t="n"/>
      <c r="J380" s="113" t="n"/>
      <c r="K380" s="111" t="n"/>
      <c r="L380" s="111" t="n"/>
      <c r="M380" s="111" t="n"/>
      <c r="N380" s="114" t="str">
        <f>IF(OR(D380="",E380=""),"",D380+IF(E380="NOTIFICAÇÃO DE CONSTATAÇÃO",PrazoConst,PrazoEsc))</f>
        <v/>
      </c>
      <c r="O380" s="115" t="str">
        <f>IF(N380="","",IF(ISNUMBER(L380),N380-L380,IF(OR(G380="DECISÃO D.P",ISNUMBER(M380)),"",N380-TODAY())))</f>
        <v/>
      </c>
      <c r="P380" s="116" t="str">
        <f>IF(B380="","",IF(ISNUMBER(M380),"DECIDIDO – ","")&amp;IF(ISNUMBER(L380),IF(O380="","SEM DATA",IF(O380&gt;=0,"DEFESA NO PRAZO","DEFESA FORA DO PRAZO")),IF(OR(G380="DECISÃO D.P",ISNUMBER(M380)),"SEM DEFESA",IF(G380="","SEM STATUS",IF(O380="","SEM DATA",IF(O380&lt;0,"VENCIDO",IF(O380&lt;=DiasAlerta,"VENCE EM BREVE","NO PRAZO")))))))</f>
        <v/>
      </c>
      <c r="Q380" s="117" t="str">
        <f>IF(D380="","",TODAY()-D380)</f>
        <v/>
      </c>
      <c r="R380" s="110" t="n"/>
    </row>
    <row r="381" ht="18" customHeight="1">
      <c r="A381" s="109" t="n"/>
      <c r="B381" s="110" t="n"/>
      <c r="C381" s="110" t="n"/>
      <c r="D381" s="111" t="n"/>
      <c r="E381" s="110" t="n"/>
      <c r="F381" s="112" t="n"/>
      <c r="G381" s="112" t="n"/>
      <c r="H381" s="110" t="n"/>
      <c r="I381" s="113" t="n"/>
      <c r="J381" s="113" t="n"/>
      <c r="K381" s="111" t="n"/>
      <c r="L381" s="111" t="n"/>
      <c r="M381" s="111" t="n"/>
      <c r="N381" s="114" t="str">
        <f>IF(OR(D381="",E381=""),"",D381+IF(E381="NOTIFICAÇÃO DE CONSTATAÇÃO",PrazoConst,PrazoEsc))</f>
        <v/>
      </c>
      <c r="O381" s="115" t="str">
        <f>IF(N381="","",IF(ISNUMBER(L381),N381-L381,IF(OR(G381="DECISÃO D.P",ISNUMBER(M381)),"",N381-TODAY())))</f>
        <v/>
      </c>
      <c r="P381" s="116" t="str">
        <f>IF(B381="","",IF(ISNUMBER(M381),"DECIDIDO – ","")&amp;IF(ISNUMBER(L381),IF(O381="","SEM DATA",IF(O381&gt;=0,"DEFESA NO PRAZO","DEFESA FORA DO PRAZO")),IF(OR(G381="DECISÃO D.P",ISNUMBER(M381)),"SEM DEFESA",IF(G381="","SEM STATUS",IF(O381="","SEM DATA",IF(O381&lt;0,"VENCIDO",IF(O381&lt;=DiasAlerta,"VENCE EM BREVE","NO PRAZO")))))))</f>
        <v/>
      </c>
      <c r="Q381" s="117" t="str">
        <f>IF(D381="","",TODAY()-D381)</f>
        <v/>
      </c>
      <c r="R381" s="110" t="n"/>
    </row>
    <row r="382" ht="18" customHeight="1">
      <c r="A382" s="109" t="n"/>
      <c r="B382" s="110" t="n"/>
      <c r="C382" s="110" t="n"/>
      <c r="D382" s="111" t="n"/>
      <c r="E382" s="110" t="n"/>
      <c r="F382" s="112" t="n"/>
      <c r="G382" s="112" t="n"/>
      <c r="H382" s="110" t="n"/>
      <c r="I382" s="113" t="n"/>
      <c r="J382" s="113" t="n"/>
      <c r="K382" s="111" t="n"/>
      <c r="L382" s="111" t="n"/>
      <c r="M382" s="111" t="n"/>
      <c r="N382" s="114" t="str">
        <f>IF(OR(D382="",E382=""),"",D382+IF(E382="NOTIFICAÇÃO DE CONSTATAÇÃO",PrazoConst,PrazoEsc))</f>
        <v/>
      </c>
      <c r="O382" s="115" t="str">
        <f>IF(N382="","",IF(ISNUMBER(L382),N382-L382,IF(OR(G382="DECISÃO D.P",ISNUMBER(M382)),"",N382-TODAY())))</f>
        <v/>
      </c>
      <c r="P382" s="116" t="str">
        <f>IF(B382="","",IF(ISNUMBER(M382),"DECIDIDO – ","")&amp;IF(ISNUMBER(L382),IF(O382="","SEM DATA",IF(O382&gt;=0,"DEFESA NO PRAZO","DEFESA FORA DO PRAZO")),IF(OR(G382="DECISÃO D.P",ISNUMBER(M382)),"SEM DEFESA",IF(G382="","SEM STATUS",IF(O382="","SEM DATA",IF(O382&lt;0,"VENCIDO",IF(O382&lt;=DiasAlerta,"VENCE EM BREVE","NO PRAZO")))))))</f>
        <v/>
      </c>
      <c r="Q382" s="117" t="str">
        <f>IF(D382="","",TODAY()-D382)</f>
        <v/>
      </c>
      <c r="R382" s="110" t="n"/>
    </row>
    <row r="383" ht="18" customHeight="1">
      <c r="A383" s="109" t="n"/>
      <c r="B383" s="110" t="n"/>
      <c r="C383" s="110" t="n"/>
      <c r="D383" s="111" t="n"/>
      <c r="E383" s="110" t="n"/>
      <c r="F383" s="112" t="n"/>
      <c r="G383" s="112" t="n"/>
      <c r="H383" s="110" t="n"/>
      <c r="I383" s="113" t="n"/>
      <c r="J383" s="113" t="n"/>
      <c r="K383" s="111" t="n"/>
      <c r="L383" s="111" t="n"/>
      <c r="M383" s="111" t="n"/>
      <c r="N383" s="114" t="str">
        <f>IF(OR(D383="",E383=""),"",D383+IF(E383="NOTIFICAÇÃO DE CONSTATAÇÃO",PrazoConst,PrazoEsc))</f>
        <v/>
      </c>
      <c r="O383" s="115" t="str">
        <f>IF(N383="","",IF(ISNUMBER(L383),N383-L383,IF(OR(G383="DECISÃO D.P",ISNUMBER(M383)),"",N383-TODAY())))</f>
        <v/>
      </c>
      <c r="P383" s="116" t="str">
        <f>IF(B383="","",IF(ISNUMBER(M383),"DECIDIDO – ","")&amp;IF(ISNUMBER(L383),IF(O383="","SEM DATA",IF(O383&gt;=0,"DEFESA NO PRAZO","DEFESA FORA DO PRAZO")),IF(OR(G383="DECISÃO D.P",ISNUMBER(M383)),"SEM DEFESA",IF(G383="","SEM STATUS",IF(O383="","SEM DATA",IF(O383&lt;0,"VENCIDO",IF(O383&lt;=DiasAlerta,"VENCE EM BREVE","NO PRAZO")))))))</f>
        <v/>
      </c>
      <c r="Q383" s="117" t="str">
        <f>IF(D383="","",TODAY()-D383)</f>
        <v/>
      </c>
      <c r="R383" s="110" t="n"/>
    </row>
    <row r="384" ht="18" customHeight="1">
      <c r="A384" s="109" t="n"/>
      <c r="B384" s="110" t="n"/>
      <c r="C384" s="110" t="n"/>
      <c r="D384" s="111" t="n"/>
      <c r="E384" s="110" t="n"/>
      <c r="F384" s="112" t="n"/>
      <c r="G384" s="112" t="n"/>
      <c r="H384" s="110" t="n"/>
      <c r="I384" s="113" t="n"/>
      <c r="J384" s="113" t="n"/>
      <c r="K384" s="111" t="n"/>
      <c r="L384" s="111" t="n"/>
      <c r="M384" s="111" t="n"/>
      <c r="N384" s="114" t="str">
        <f>IF(OR(D384="",E384=""),"",D384+IF(E384="NOTIFICAÇÃO DE CONSTATAÇÃO",PrazoConst,PrazoEsc))</f>
        <v/>
      </c>
      <c r="O384" s="115" t="str">
        <f>IF(N384="","",IF(ISNUMBER(L384),N384-L384,IF(OR(G384="DECISÃO D.P",ISNUMBER(M384)),"",N384-TODAY())))</f>
        <v/>
      </c>
      <c r="P384" s="116" t="str">
        <f>IF(B384="","",IF(ISNUMBER(M384),"DECIDIDO – ","")&amp;IF(ISNUMBER(L384),IF(O384="","SEM DATA",IF(O384&gt;=0,"DEFESA NO PRAZO","DEFESA FORA DO PRAZO")),IF(OR(G384="DECISÃO D.P",ISNUMBER(M384)),"SEM DEFESA",IF(G384="","SEM STATUS",IF(O384="","SEM DATA",IF(O384&lt;0,"VENCIDO",IF(O384&lt;=DiasAlerta,"VENCE EM BREVE","NO PRAZO")))))))</f>
        <v/>
      </c>
      <c r="Q384" s="117" t="str">
        <f>IF(D384="","",TODAY()-D384)</f>
        <v/>
      </c>
      <c r="R384" s="110" t="n"/>
    </row>
    <row r="385" ht="18" customHeight="1">
      <c r="A385" s="109" t="n"/>
      <c r="B385" s="110" t="n"/>
      <c r="C385" s="110" t="n"/>
      <c r="D385" s="111" t="n"/>
      <c r="E385" s="110" t="n"/>
      <c r="F385" s="112" t="n"/>
      <c r="G385" s="112" t="n"/>
      <c r="H385" s="110" t="n"/>
      <c r="I385" s="113" t="n"/>
      <c r="J385" s="113" t="n"/>
      <c r="K385" s="111" t="n"/>
      <c r="L385" s="111" t="n"/>
      <c r="M385" s="111" t="n"/>
      <c r="N385" s="114" t="str">
        <f>IF(OR(D385="",E385=""),"",D385+IF(E385="NOTIFICAÇÃO DE CONSTATAÇÃO",PrazoConst,PrazoEsc))</f>
        <v/>
      </c>
      <c r="O385" s="115" t="str">
        <f>IF(N385="","",IF(ISNUMBER(L385),N385-L385,IF(OR(G385="DECISÃO D.P",ISNUMBER(M385)),"",N385-TODAY())))</f>
        <v/>
      </c>
      <c r="P385" s="116" t="str">
        <f>IF(B385="","",IF(ISNUMBER(M385),"DECIDIDO – ","")&amp;IF(ISNUMBER(L385),IF(O385="","SEM DATA",IF(O385&gt;=0,"DEFESA NO PRAZO","DEFESA FORA DO PRAZO")),IF(OR(G385="DECISÃO D.P",ISNUMBER(M385)),"SEM DEFESA",IF(G385="","SEM STATUS",IF(O385="","SEM DATA",IF(O385&lt;0,"VENCIDO",IF(O385&lt;=DiasAlerta,"VENCE EM BREVE","NO PRAZO")))))))</f>
        <v/>
      </c>
      <c r="Q385" s="117" t="str">
        <f>IF(D385="","",TODAY()-D385)</f>
        <v/>
      </c>
      <c r="R385" s="110" t="n"/>
    </row>
    <row r="386" ht="18" customHeight="1">
      <c r="A386" s="109" t="n"/>
      <c r="B386" s="110" t="n"/>
      <c r="C386" s="110" t="n"/>
      <c r="D386" s="111" t="n"/>
      <c r="E386" s="110" t="n"/>
      <c r="F386" s="112" t="n"/>
      <c r="G386" s="112" t="n"/>
      <c r="H386" s="110" t="n"/>
      <c r="I386" s="113" t="n"/>
      <c r="J386" s="113" t="n"/>
      <c r="K386" s="111" t="n"/>
      <c r="L386" s="111" t="n"/>
      <c r="M386" s="111" t="n"/>
      <c r="N386" s="114" t="str">
        <f>IF(OR(D386="",E386=""),"",D386+IF(E386="NOTIFICAÇÃO DE CONSTATAÇÃO",PrazoConst,PrazoEsc))</f>
        <v/>
      </c>
      <c r="O386" s="115" t="str">
        <f>IF(N386="","",IF(ISNUMBER(L386),N386-L386,IF(OR(G386="DECISÃO D.P",ISNUMBER(M386)),"",N386-TODAY())))</f>
        <v/>
      </c>
      <c r="P386" s="116" t="str">
        <f>IF(B386="","",IF(ISNUMBER(M386),"DECIDIDO – ","")&amp;IF(ISNUMBER(L386),IF(O386="","SEM DATA",IF(O386&gt;=0,"DEFESA NO PRAZO","DEFESA FORA DO PRAZO")),IF(OR(G386="DECISÃO D.P",ISNUMBER(M386)),"SEM DEFESA",IF(G386="","SEM STATUS",IF(O386="","SEM DATA",IF(O386&lt;0,"VENCIDO",IF(O386&lt;=DiasAlerta,"VENCE EM BREVE","NO PRAZO")))))))</f>
        <v/>
      </c>
      <c r="Q386" s="117" t="str">
        <f>IF(D386="","",TODAY()-D386)</f>
        <v/>
      </c>
      <c r="R386" s="110" t="n"/>
    </row>
    <row r="387" ht="18" customHeight="1">
      <c r="A387" s="109" t="n"/>
      <c r="B387" s="110" t="n"/>
      <c r="C387" s="110" t="n"/>
      <c r="D387" s="111" t="n"/>
      <c r="E387" s="110" t="n"/>
      <c r="F387" s="112" t="n"/>
      <c r="G387" s="112" t="n"/>
      <c r="H387" s="110" t="n"/>
      <c r="I387" s="113" t="n"/>
      <c r="J387" s="113" t="n"/>
      <c r="K387" s="111" t="n"/>
      <c r="L387" s="111" t="n"/>
      <c r="M387" s="111" t="n"/>
      <c r="N387" s="114" t="str">
        <f>IF(OR(D387="",E387=""),"",D387+IF(E387="NOTIFICAÇÃO DE CONSTATAÇÃO",PrazoConst,PrazoEsc))</f>
        <v/>
      </c>
      <c r="O387" s="115" t="str">
        <f>IF(N387="","",IF(ISNUMBER(L387),N387-L387,IF(OR(G387="DECISÃO D.P",ISNUMBER(M387)),"",N387-TODAY())))</f>
        <v/>
      </c>
      <c r="P387" s="116" t="str">
        <f>IF(B387="","",IF(ISNUMBER(M387),"DECIDIDO – ","")&amp;IF(ISNUMBER(L387),IF(O387="","SEM DATA",IF(O387&gt;=0,"DEFESA NO PRAZO","DEFESA FORA DO PRAZO")),IF(OR(G387="DECISÃO D.P",ISNUMBER(M387)),"SEM DEFESA",IF(G387="","SEM STATUS",IF(O387="","SEM DATA",IF(O387&lt;0,"VENCIDO",IF(O387&lt;=DiasAlerta,"VENCE EM BREVE","NO PRAZO")))))))</f>
        <v/>
      </c>
      <c r="Q387" s="117" t="str">
        <f>IF(D387="","",TODAY()-D387)</f>
        <v/>
      </c>
      <c r="R387" s="110" t="n"/>
    </row>
    <row r="388" ht="18" customHeight="1">
      <c r="A388" s="109" t="n"/>
      <c r="B388" s="110" t="n"/>
      <c r="C388" s="110" t="n"/>
      <c r="D388" s="111" t="n"/>
      <c r="E388" s="110" t="n"/>
      <c r="F388" s="112" t="n"/>
      <c r="G388" s="112" t="n"/>
      <c r="H388" s="110" t="n"/>
      <c r="I388" s="113" t="n"/>
      <c r="J388" s="113" t="n"/>
      <c r="K388" s="111" t="n"/>
      <c r="L388" s="111" t="n"/>
      <c r="M388" s="111" t="n"/>
      <c r="N388" s="114" t="str">
        <f>IF(OR(D388="",E388=""),"",D388+IF(E388="NOTIFICAÇÃO DE CONSTATAÇÃO",PrazoConst,PrazoEsc))</f>
        <v/>
      </c>
      <c r="O388" s="115" t="str">
        <f>IF(N388="","",IF(ISNUMBER(L388),N388-L388,IF(OR(G388="DECISÃO D.P",ISNUMBER(M388)),"",N388-TODAY())))</f>
        <v/>
      </c>
      <c r="P388" s="116" t="str">
        <f>IF(B388="","",IF(ISNUMBER(M388),"DECIDIDO – ","")&amp;IF(ISNUMBER(L388),IF(O388="","SEM DATA",IF(O388&gt;=0,"DEFESA NO PRAZO","DEFESA FORA DO PRAZO")),IF(OR(G388="DECISÃO D.P",ISNUMBER(M388)),"SEM DEFESA",IF(G388="","SEM STATUS",IF(O388="","SEM DATA",IF(O388&lt;0,"VENCIDO",IF(O388&lt;=DiasAlerta,"VENCE EM BREVE","NO PRAZO")))))))</f>
        <v/>
      </c>
      <c r="Q388" s="117" t="str">
        <f>IF(D388="","",TODAY()-D388)</f>
        <v/>
      </c>
      <c r="R388" s="110" t="n"/>
    </row>
    <row r="389" ht="18" customHeight="1">
      <c r="A389" s="109" t="n"/>
      <c r="B389" s="110" t="n"/>
      <c r="C389" s="110" t="n"/>
      <c r="D389" s="111" t="n"/>
      <c r="E389" s="110" t="n"/>
      <c r="F389" s="112" t="n"/>
      <c r="G389" s="112" t="n"/>
      <c r="H389" s="110" t="n"/>
      <c r="I389" s="113" t="n"/>
      <c r="J389" s="113" t="n"/>
      <c r="K389" s="111" t="n"/>
      <c r="L389" s="111" t="n"/>
      <c r="M389" s="111" t="n"/>
      <c r="N389" s="114" t="str">
        <f>IF(OR(D389="",E389=""),"",D389+IF(E389="NOTIFICAÇÃO DE CONSTATAÇÃO",PrazoConst,PrazoEsc))</f>
        <v/>
      </c>
      <c r="O389" s="115" t="str">
        <f>IF(N389="","",IF(ISNUMBER(L389),N389-L389,IF(OR(G389="DECISÃO D.P",ISNUMBER(M389)),"",N389-TODAY())))</f>
        <v/>
      </c>
      <c r="P389" s="116" t="str">
        <f>IF(B389="","",IF(ISNUMBER(M389),"DECIDIDO – ","")&amp;IF(ISNUMBER(L389),IF(O389="","SEM DATA",IF(O389&gt;=0,"DEFESA NO PRAZO","DEFESA FORA DO PRAZO")),IF(OR(G389="DECISÃO D.P",ISNUMBER(M389)),"SEM DEFESA",IF(G389="","SEM STATUS",IF(O389="","SEM DATA",IF(O389&lt;0,"VENCIDO",IF(O389&lt;=DiasAlerta,"VENCE EM BREVE","NO PRAZO")))))))</f>
        <v/>
      </c>
      <c r="Q389" s="117" t="str">
        <f>IF(D389="","",TODAY()-D389)</f>
        <v/>
      </c>
      <c r="R389" s="110" t="n"/>
    </row>
    <row r="390" ht="18" customHeight="1">
      <c r="A390" s="109" t="n"/>
      <c r="B390" s="110" t="n"/>
      <c r="C390" s="110" t="n"/>
      <c r="D390" s="111" t="n"/>
      <c r="E390" s="110" t="n"/>
      <c r="F390" s="112" t="n"/>
      <c r="G390" s="112" t="n"/>
      <c r="H390" s="110" t="n"/>
      <c r="I390" s="113" t="n"/>
      <c r="J390" s="113" t="n"/>
      <c r="K390" s="111" t="n"/>
      <c r="L390" s="111" t="n"/>
      <c r="M390" s="111" t="n"/>
      <c r="N390" s="114" t="str">
        <f>IF(OR(D390="",E390=""),"",D390+IF(E390="NOTIFICAÇÃO DE CONSTATAÇÃO",PrazoConst,PrazoEsc))</f>
        <v/>
      </c>
      <c r="O390" s="115" t="str">
        <f>IF(N390="","",IF(ISNUMBER(L390),N390-L390,IF(OR(G390="DECISÃO D.P",ISNUMBER(M390)),"",N390-TODAY())))</f>
        <v/>
      </c>
      <c r="P390" s="116" t="str">
        <f>IF(B390="","",IF(ISNUMBER(M390),"DECIDIDO – ","")&amp;IF(ISNUMBER(L390),IF(O390="","SEM DATA",IF(O390&gt;=0,"DEFESA NO PRAZO","DEFESA FORA DO PRAZO")),IF(OR(G390="DECISÃO D.P",ISNUMBER(M390)),"SEM DEFESA",IF(G390="","SEM STATUS",IF(O390="","SEM DATA",IF(O390&lt;0,"VENCIDO",IF(O390&lt;=DiasAlerta,"VENCE EM BREVE","NO PRAZO")))))))</f>
        <v/>
      </c>
      <c r="Q390" s="117" t="str">
        <f>IF(D390="","",TODAY()-D390)</f>
        <v/>
      </c>
      <c r="R390" s="110" t="n"/>
    </row>
    <row r="391" ht="18" customHeight="1">
      <c r="A391" s="109" t="n"/>
      <c r="B391" s="110" t="n"/>
      <c r="C391" s="110" t="n"/>
      <c r="D391" s="111" t="n"/>
      <c r="E391" s="110" t="n"/>
      <c r="F391" s="112" t="n"/>
      <c r="G391" s="112" t="n"/>
      <c r="H391" s="110" t="n"/>
      <c r="I391" s="113" t="n"/>
      <c r="J391" s="113" t="n"/>
      <c r="K391" s="111" t="n"/>
      <c r="L391" s="111" t="n"/>
      <c r="M391" s="111" t="n"/>
      <c r="N391" s="114" t="str">
        <f>IF(OR(D391="",E391=""),"",D391+IF(E391="NOTIFICAÇÃO DE CONSTATAÇÃO",PrazoConst,PrazoEsc))</f>
        <v/>
      </c>
      <c r="O391" s="115" t="str">
        <f>IF(N391="","",IF(ISNUMBER(L391),N391-L391,IF(OR(G391="DECISÃO D.P",ISNUMBER(M391)),"",N391-TODAY())))</f>
        <v/>
      </c>
      <c r="P391" s="116" t="str">
        <f>IF(B391="","",IF(ISNUMBER(M391),"DECIDIDO – ","")&amp;IF(ISNUMBER(L391),IF(O391="","SEM DATA",IF(O391&gt;=0,"DEFESA NO PRAZO","DEFESA FORA DO PRAZO")),IF(OR(G391="DECISÃO D.P",ISNUMBER(M391)),"SEM DEFESA",IF(G391="","SEM STATUS",IF(O391="","SEM DATA",IF(O391&lt;0,"VENCIDO",IF(O391&lt;=DiasAlerta,"VENCE EM BREVE","NO PRAZO")))))))</f>
        <v/>
      </c>
      <c r="Q391" s="117" t="str">
        <f>IF(D391="","",TODAY()-D391)</f>
        <v/>
      </c>
      <c r="R391" s="110" t="n"/>
    </row>
    <row r="392" ht="18" customHeight="1">
      <c r="A392" s="109" t="n"/>
      <c r="B392" s="110" t="n"/>
      <c r="C392" s="110" t="n"/>
      <c r="D392" s="111" t="n"/>
      <c r="E392" s="110" t="n"/>
      <c r="F392" s="112" t="n"/>
      <c r="G392" s="112" t="n"/>
      <c r="H392" s="110" t="n"/>
      <c r="I392" s="113" t="n"/>
      <c r="J392" s="113" t="n"/>
      <c r="K392" s="111" t="n"/>
      <c r="L392" s="111" t="n"/>
      <c r="M392" s="111" t="n"/>
      <c r="N392" s="114" t="str">
        <f>IF(OR(D392="",E392=""),"",D392+IF(E392="NOTIFICAÇÃO DE CONSTATAÇÃO",PrazoConst,PrazoEsc))</f>
        <v/>
      </c>
      <c r="O392" s="115" t="str">
        <f>IF(N392="","",IF(ISNUMBER(L392),N392-L392,IF(OR(G392="DECISÃO D.P",ISNUMBER(M392)),"",N392-TODAY())))</f>
        <v/>
      </c>
      <c r="P392" s="116" t="str">
        <f>IF(B392="","",IF(ISNUMBER(M392),"DECIDIDO – ","")&amp;IF(ISNUMBER(L392),IF(O392="","SEM DATA",IF(O392&gt;=0,"DEFESA NO PRAZO","DEFESA FORA DO PRAZO")),IF(OR(G392="DECISÃO D.P",ISNUMBER(M392)),"SEM DEFESA",IF(G392="","SEM STATUS",IF(O392="","SEM DATA",IF(O392&lt;0,"VENCIDO",IF(O392&lt;=DiasAlerta,"VENCE EM BREVE","NO PRAZO")))))))</f>
        <v/>
      </c>
      <c r="Q392" s="117" t="str">
        <f>IF(D392="","",TODAY()-D392)</f>
        <v/>
      </c>
      <c r="R392" s="110" t="n"/>
    </row>
    <row r="393" ht="18" customHeight="1">
      <c r="A393" s="109" t="n"/>
      <c r="B393" s="110" t="n"/>
      <c r="C393" s="110" t="n"/>
      <c r="D393" s="111" t="n"/>
      <c r="E393" s="110" t="n"/>
      <c r="F393" s="112" t="n"/>
      <c r="G393" s="112" t="n"/>
      <c r="H393" s="110" t="n"/>
      <c r="I393" s="113" t="n"/>
      <c r="J393" s="113" t="n"/>
      <c r="K393" s="111" t="n"/>
      <c r="L393" s="111" t="n"/>
      <c r="M393" s="111" t="n"/>
      <c r="N393" s="114" t="str">
        <f>IF(OR(D393="",E393=""),"",D393+IF(E393="NOTIFICAÇÃO DE CONSTATAÇÃO",PrazoConst,PrazoEsc))</f>
        <v/>
      </c>
      <c r="O393" s="115" t="str">
        <f>IF(N393="","",IF(ISNUMBER(L393),N393-L393,IF(OR(G393="DECISÃO D.P",ISNUMBER(M393)),"",N393-TODAY())))</f>
        <v/>
      </c>
      <c r="P393" s="116" t="str">
        <f>IF(B393="","",IF(ISNUMBER(M393),"DECIDIDO – ","")&amp;IF(ISNUMBER(L393),IF(O393="","SEM DATA",IF(O393&gt;=0,"DEFESA NO PRAZO","DEFESA FORA DO PRAZO")),IF(OR(G393="DECISÃO D.P",ISNUMBER(M393)),"SEM DEFESA",IF(G393="","SEM STATUS",IF(O393="","SEM DATA",IF(O393&lt;0,"VENCIDO",IF(O393&lt;=DiasAlerta,"VENCE EM BREVE","NO PRAZO")))))))</f>
        <v/>
      </c>
      <c r="Q393" s="117" t="str">
        <f>IF(D393="","",TODAY()-D393)</f>
        <v/>
      </c>
      <c r="R393" s="110" t="n"/>
    </row>
    <row r="394" ht="18" customHeight="1">
      <c r="A394" s="109" t="n"/>
      <c r="B394" s="110" t="n"/>
      <c r="C394" s="110" t="n"/>
      <c r="D394" s="111" t="n"/>
      <c r="E394" s="110" t="n"/>
      <c r="F394" s="112" t="n"/>
      <c r="G394" s="112" t="n"/>
      <c r="H394" s="110" t="n"/>
      <c r="I394" s="113" t="n"/>
      <c r="J394" s="113" t="n"/>
      <c r="K394" s="111" t="n"/>
      <c r="L394" s="111" t="n"/>
      <c r="M394" s="111" t="n"/>
      <c r="N394" s="114" t="str">
        <f>IF(OR(D394="",E394=""),"",D394+IF(E394="NOTIFICAÇÃO DE CONSTATAÇÃO",PrazoConst,PrazoEsc))</f>
        <v/>
      </c>
      <c r="O394" s="115" t="str">
        <f>IF(N394="","",IF(ISNUMBER(L394),N394-L394,IF(OR(G394="DECISÃO D.P",ISNUMBER(M394)),"",N394-TODAY())))</f>
        <v/>
      </c>
      <c r="P394" s="116" t="str">
        <f>IF(B394="","",IF(ISNUMBER(M394),"DECIDIDO – ","")&amp;IF(ISNUMBER(L394),IF(O394="","SEM DATA",IF(O394&gt;=0,"DEFESA NO PRAZO","DEFESA FORA DO PRAZO")),IF(OR(G394="DECISÃO D.P",ISNUMBER(M394)),"SEM DEFESA",IF(G394="","SEM STATUS",IF(O394="","SEM DATA",IF(O394&lt;0,"VENCIDO",IF(O394&lt;=DiasAlerta,"VENCE EM BREVE","NO PRAZO")))))))</f>
        <v/>
      </c>
      <c r="Q394" s="117" t="str">
        <f>IF(D394="","",TODAY()-D394)</f>
        <v/>
      </c>
      <c r="R394" s="110" t="n"/>
    </row>
    <row r="395" ht="18" customHeight="1">
      <c r="A395" s="109" t="n"/>
      <c r="B395" s="110" t="n"/>
      <c r="C395" s="110" t="n"/>
      <c r="D395" s="111" t="n"/>
      <c r="E395" s="110" t="n"/>
      <c r="F395" s="112" t="n"/>
      <c r="G395" s="112" t="n"/>
      <c r="H395" s="110" t="n"/>
      <c r="I395" s="113" t="n"/>
      <c r="J395" s="113" t="n"/>
      <c r="K395" s="111" t="n"/>
      <c r="L395" s="111" t="n"/>
      <c r="M395" s="111" t="n"/>
      <c r="N395" s="114" t="str">
        <f>IF(OR(D395="",E395=""),"",D395+IF(E395="NOTIFICAÇÃO DE CONSTATAÇÃO",PrazoConst,PrazoEsc))</f>
        <v/>
      </c>
      <c r="O395" s="115" t="str">
        <f>IF(N395="","",IF(ISNUMBER(L395),N395-L395,IF(OR(G395="DECISÃO D.P",ISNUMBER(M395)),"",N395-TODAY())))</f>
        <v/>
      </c>
      <c r="P395" s="116" t="str">
        <f>IF(B395="","",IF(ISNUMBER(M395),"DECIDIDO – ","")&amp;IF(ISNUMBER(L395),IF(O395="","SEM DATA",IF(O395&gt;=0,"DEFESA NO PRAZO","DEFESA FORA DO PRAZO")),IF(OR(G395="DECISÃO D.P",ISNUMBER(M395)),"SEM DEFESA",IF(G395="","SEM STATUS",IF(O395="","SEM DATA",IF(O395&lt;0,"VENCIDO",IF(O395&lt;=DiasAlerta,"VENCE EM BREVE","NO PRAZO")))))))</f>
        <v/>
      </c>
      <c r="Q395" s="117" t="str">
        <f>IF(D395="","",TODAY()-D395)</f>
        <v/>
      </c>
      <c r="R395" s="110" t="n"/>
    </row>
    <row r="396" ht="18" customHeight="1">
      <c r="A396" s="109" t="n"/>
      <c r="B396" s="110" t="n"/>
      <c r="C396" s="110" t="n"/>
      <c r="D396" s="111" t="n"/>
      <c r="E396" s="110" t="n"/>
      <c r="F396" s="112" t="n"/>
      <c r="G396" s="112" t="n"/>
      <c r="H396" s="110" t="n"/>
      <c r="I396" s="113" t="n"/>
      <c r="J396" s="113" t="n"/>
      <c r="K396" s="111" t="n"/>
      <c r="L396" s="111" t="n"/>
      <c r="M396" s="111" t="n"/>
      <c r="N396" s="114" t="str">
        <f>IF(OR(D396="",E396=""),"",D396+IF(E396="NOTIFICAÇÃO DE CONSTATAÇÃO",PrazoConst,PrazoEsc))</f>
        <v/>
      </c>
      <c r="O396" s="115" t="str">
        <f>IF(N396="","",IF(ISNUMBER(L396),N396-L396,IF(OR(G396="DECISÃO D.P",ISNUMBER(M396)),"",N396-TODAY())))</f>
        <v/>
      </c>
      <c r="P396" s="116" t="str">
        <f>IF(B396="","",IF(ISNUMBER(M396),"DECIDIDO – ","")&amp;IF(ISNUMBER(L396),IF(O396="","SEM DATA",IF(O396&gt;=0,"DEFESA NO PRAZO","DEFESA FORA DO PRAZO")),IF(OR(G396="DECISÃO D.P",ISNUMBER(M396)),"SEM DEFESA",IF(G396="","SEM STATUS",IF(O396="","SEM DATA",IF(O396&lt;0,"VENCIDO",IF(O396&lt;=DiasAlerta,"VENCE EM BREVE","NO PRAZO")))))))</f>
        <v/>
      </c>
      <c r="Q396" s="117" t="str">
        <f>IF(D396="","",TODAY()-D396)</f>
        <v/>
      </c>
      <c r="R396" s="110" t="n"/>
    </row>
    <row r="397" ht="18" customHeight="1">
      <c r="A397" s="109" t="n"/>
      <c r="B397" s="110" t="n"/>
      <c r="C397" s="110" t="n"/>
      <c r="D397" s="111" t="n"/>
      <c r="E397" s="110" t="n"/>
      <c r="F397" s="112" t="n"/>
      <c r="G397" s="112" t="n"/>
      <c r="H397" s="110" t="n"/>
      <c r="I397" s="113" t="n"/>
      <c r="J397" s="113" t="n"/>
      <c r="K397" s="111" t="n"/>
      <c r="L397" s="111" t="n"/>
      <c r="M397" s="111" t="n"/>
      <c r="N397" s="114" t="str">
        <f>IF(OR(D397="",E397=""),"",D397+IF(E397="NOTIFICAÇÃO DE CONSTATAÇÃO",PrazoConst,PrazoEsc))</f>
        <v/>
      </c>
      <c r="O397" s="115" t="str">
        <f>IF(N397="","",IF(ISNUMBER(L397),N397-L397,IF(OR(G397="DECISÃO D.P",ISNUMBER(M397)),"",N397-TODAY())))</f>
        <v/>
      </c>
      <c r="P397" s="116" t="str">
        <f>IF(B397="","",IF(ISNUMBER(M397),"DECIDIDO – ","")&amp;IF(ISNUMBER(L397),IF(O397="","SEM DATA",IF(O397&gt;=0,"DEFESA NO PRAZO","DEFESA FORA DO PRAZO")),IF(OR(G397="DECISÃO D.P",ISNUMBER(M397)),"SEM DEFESA",IF(G397="","SEM STATUS",IF(O397="","SEM DATA",IF(O397&lt;0,"VENCIDO",IF(O397&lt;=DiasAlerta,"VENCE EM BREVE","NO PRAZO")))))))</f>
        <v/>
      </c>
      <c r="Q397" s="117" t="str">
        <f>IF(D397="","",TODAY()-D397)</f>
        <v/>
      </c>
      <c r="R397" s="110" t="n"/>
    </row>
    <row r="398" ht="18" customHeight="1">
      <c r="A398" s="109" t="n"/>
      <c r="B398" s="110" t="n"/>
      <c r="C398" s="110" t="n"/>
      <c r="D398" s="111" t="n"/>
      <c r="E398" s="110" t="n"/>
      <c r="F398" s="112" t="n"/>
      <c r="G398" s="112" t="n"/>
      <c r="H398" s="110" t="n"/>
      <c r="I398" s="113" t="n"/>
      <c r="J398" s="113" t="n"/>
      <c r="K398" s="111" t="n"/>
      <c r="L398" s="111" t="n"/>
      <c r="M398" s="111" t="n"/>
      <c r="N398" s="114" t="str">
        <f>IF(OR(D398="",E398=""),"",D398+IF(E398="NOTIFICAÇÃO DE CONSTATAÇÃO",PrazoConst,PrazoEsc))</f>
        <v/>
      </c>
      <c r="O398" s="115" t="str">
        <f>IF(N398="","",IF(ISNUMBER(L398),N398-L398,IF(OR(G398="DECISÃO D.P",ISNUMBER(M398)),"",N398-TODAY())))</f>
        <v/>
      </c>
      <c r="P398" s="116" t="str">
        <f>IF(B398="","",IF(ISNUMBER(M398),"DECIDIDO – ","")&amp;IF(ISNUMBER(L398),IF(O398="","SEM DATA",IF(O398&gt;=0,"DEFESA NO PRAZO","DEFESA FORA DO PRAZO")),IF(OR(G398="DECISÃO D.P",ISNUMBER(M398)),"SEM DEFESA",IF(G398="","SEM STATUS",IF(O398="","SEM DATA",IF(O398&lt;0,"VENCIDO",IF(O398&lt;=DiasAlerta,"VENCE EM BREVE","NO PRAZO")))))))</f>
        <v/>
      </c>
      <c r="Q398" s="117" t="str">
        <f>IF(D398="","",TODAY()-D398)</f>
        <v/>
      </c>
      <c r="R398" s="110" t="n"/>
    </row>
    <row r="399" ht="18" customHeight="1">
      <c r="A399" s="109" t="n"/>
      <c r="B399" s="110" t="n"/>
      <c r="C399" s="110" t="n"/>
      <c r="D399" s="111" t="n"/>
      <c r="E399" s="110" t="n"/>
      <c r="F399" s="112" t="n"/>
      <c r="G399" s="112" t="n"/>
      <c r="H399" s="110" t="n"/>
      <c r="I399" s="113" t="n"/>
      <c r="J399" s="113" t="n"/>
      <c r="K399" s="111" t="n"/>
      <c r="L399" s="111" t="n"/>
      <c r="M399" s="111" t="n"/>
      <c r="N399" s="114" t="str">
        <f>IF(OR(D399="",E399=""),"",D399+IF(E399="NOTIFICAÇÃO DE CONSTATAÇÃO",PrazoConst,PrazoEsc))</f>
        <v/>
      </c>
      <c r="O399" s="115" t="str">
        <f>IF(N399="","",IF(ISNUMBER(L399),N399-L399,IF(OR(G399="DECISÃO D.P",ISNUMBER(M399)),"",N399-TODAY())))</f>
        <v/>
      </c>
      <c r="P399" s="116" t="str">
        <f>IF(B399="","",IF(ISNUMBER(M399),"DECIDIDO – ","")&amp;IF(ISNUMBER(L399),IF(O399="","SEM DATA",IF(O399&gt;=0,"DEFESA NO PRAZO","DEFESA FORA DO PRAZO")),IF(OR(G399="DECISÃO D.P",ISNUMBER(M399)),"SEM DEFESA",IF(G399="","SEM STATUS",IF(O399="","SEM DATA",IF(O399&lt;0,"VENCIDO",IF(O399&lt;=DiasAlerta,"VENCE EM BREVE","NO PRAZO")))))))</f>
        <v/>
      </c>
      <c r="Q399" s="117" t="str">
        <f>IF(D399="","",TODAY()-D399)</f>
        <v/>
      </c>
      <c r="R399" s="110" t="n"/>
    </row>
    <row r="400" ht="18" customHeight="1">
      <c r="A400" s="109" t="n"/>
      <c r="B400" s="110" t="n"/>
      <c r="C400" s="110" t="n"/>
      <c r="D400" s="111" t="n"/>
      <c r="E400" s="110" t="n"/>
      <c r="F400" s="112" t="n"/>
      <c r="G400" s="112" t="n"/>
      <c r="H400" s="110" t="n"/>
      <c r="I400" s="113" t="n"/>
      <c r="J400" s="113" t="n"/>
      <c r="K400" s="111" t="n"/>
      <c r="L400" s="111" t="n"/>
      <c r="M400" s="111" t="n"/>
      <c r="N400" s="114" t="str">
        <f>IF(OR(D400="",E400=""),"",D400+IF(E400="NOTIFICAÇÃO DE CONSTATAÇÃO",PrazoConst,PrazoEsc))</f>
        <v/>
      </c>
      <c r="O400" s="115" t="str">
        <f>IF(N400="","",IF(ISNUMBER(L400),N400-L400,IF(OR(G400="DECISÃO D.P",ISNUMBER(M400)),"",N400-TODAY())))</f>
        <v/>
      </c>
      <c r="P400" s="116" t="str">
        <f>IF(B400="","",IF(ISNUMBER(M400),"DECIDIDO – ","")&amp;IF(ISNUMBER(L400),IF(O400="","SEM DATA",IF(O400&gt;=0,"DEFESA NO PRAZO","DEFESA FORA DO PRAZO")),IF(OR(G400="DECISÃO D.P",ISNUMBER(M400)),"SEM DEFESA",IF(G400="","SEM STATUS",IF(O400="","SEM DATA",IF(O400&lt;0,"VENCIDO",IF(O400&lt;=DiasAlerta,"VENCE EM BREVE","NO PRAZO")))))))</f>
        <v/>
      </c>
      <c r="Q400" s="117" t="str">
        <f>IF(D400="","",TODAY()-D400)</f>
        <v/>
      </c>
      <c r="R400" s="110" t="n"/>
    </row>
    <row r="401" ht="18" customHeight="1">
      <c r="A401" s="109" t="n"/>
      <c r="B401" s="110" t="n"/>
      <c r="C401" s="110" t="n"/>
      <c r="D401" s="111" t="n"/>
      <c r="E401" s="110" t="n"/>
      <c r="F401" s="112" t="n"/>
      <c r="G401" s="112" t="n"/>
      <c r="H401" s="110" t="n"/>
      <c r="I401" s="113" t="n"/>
      <c r="J401" s="113" t="n"/>
      <c r="K401" s="111" t="n"/>
      <c r="L401" s="111" t="n"/>
      <c r="M401" s="111" t="n"/>
      <c r="N401" s="114" t="str">
        <f>IF(OR(D401="",E401=""),"",D401+IF(E401="NOTIFICAÇÃO DE CONSTATAÇÃO",PrazoConst,PrazoEsc))</f>
        <v/>
      </c>
      <c r="O401" s="115" t="str">
        <f>IF(N401="","",IF(ISNUMBER(L401),N401-L401,IF(OR(G401="DECISÃO D.P",ISNUMBER(M401)),"",N401-TODAY())))</f>
        <v/>
      </c>
      <c r="P401" s="116" t="str">
        <f>IF(B401="","",IF(ISNUMBER(M401),"DECIDIDO – ","")&amp;IF(ISNUMBER(L401),IF(O401="","SEM DATA",IF(O401&gt;=0,"DEFESA NO PRAZO","DEFESA FORA DO PRAZO")),IF(OR(G401="DECISÃO D.P",ISNUMBER(M401)),"SEM DEFESA",IF(G401="","SEM STATUS",IF(O401="","SEM DATA",IF(O401&lt;0,"VENCIDO",IF(O401&lt;=DiasAlerta,"VENCE EM BREVE","NO PRAZO")))))))</f>
        <v/>
      </c>
      <c r="Q401" s="117" t="str">
        <f>IF(D401="","",TODAY()-D401)</f>
        <v/>
      </c>
      <c r="R401" s="110" t="n"/>
    </row>
    <row r="402" ht="18" customHeight="1">
      <c r="A402" s="109" t="n"/>
      <c r="B402" s="110" t="n"/>
      <c r="C402" s="110" t="n"/>
      <c r="D402" s="111" t="n"/>
      <c r="E402" s="110" t="n"/>
      <c r="F402" s="112" t="n"/>
      <c r="G402" s="112" t="n"/>
      <c r="H402" s="110" t="n"/>
      <c r="I402" s="113" t="n"/>
      <c r="J402" s="113" t="n"/>
      <c r="K402" s="111" t="n"/>
      <c r="L402" s="111" t="n"/>
      <c r="M402" s="111" t="n"/>
      <c r="N402" s="114" t="str">
        <f>IF(OR(D402="",E402=""),"",D402+IF(E402="NOTIFICAÇÃO DE CONSTATAÇÃO",PrazoConst,PrazoEsc))</f>
        <v/>
      </c>
      <c r="O402" s="115" t="str">
        <f>IF(N402="","",IF(ISNUMBER(L402),N402-L402,IF(OR(G402="DECISÃO D.P",ISNUMBER(M402)),"",N402-TODAY())))</f>
        <v/>
      </c>
      <c r="P402" s="116" t="str">
        <f>IF(B402="","",IF(ISNUMBER(M402),"DECIDIDO – ","")&amp;IF(ISNUMBER(L402),IF(O402="","SEM DATA",IF(O402&gt;=0,"DEFESA NO PRAZO","DEFESA FORA DO PRAZO")),IF(OR(G402="DECISÃO D.P",ISNUMBER(M402)),"SEM DEFESA",IF(G402="","SEM STATUS",IF(O402="","SEM DATA",IF(O402&lt;0,"VENCIDO",IF(O402&lt;=DiasAlerta,"VENCE EM BREVE","NO PRAZO")))))))</f>
        <v/>
      </c>
      <c r="Q402" s="117" t="str">
        <f>IF(D402="","",TODAY()-D402)</f>
        <v/>
      </c>
      <c r="R402" s="110" t="n"/>
    </row>
    <row r="403" ht="18" customHeight="1">
      <c r="A403" s="109" t="n"/>
      <c r="B403" s="110" t="n"/>
      <c r="C403" s="110" t="n"/>
      <c r="D403" s="111" t="n"/>
      <c r="E403" s="110" t="n"/>
      <c r="F403" s="112" t="n"/>
      <c r="G403" s="112" t="n"/>
      <c r="H403" s="110" t="n"/>
      <c r="I403" s="113" t="n"/>
      <c r="J403" s="113" t="n"/>
      <c r="K403" s="111" t="n"/>
      <c r="L403" s="111" t="n"/>
      <c r="M403" s="111" t="n"/>
      <c r="N403" s="114" t="str">
        <f>IF(OR(D403="",E403=""),"",D403+IF(E403="NOTIFICAÇÃO DE CONSTATAÇÃO",PrazoConst,PrazoEsc))</f>
        <v/>
      </c>
      <c r="O403" s="115" t="str">
        <f>IF(N403="","",IF(ISNUMBER(L403),N403-L403,IF(OR(G403="DECISÃO D.P",ISNUMBER(M403)),"",N403-TODAY())))</f>
        <v/>
      </c>
      <c r="P403" s="116" t="str">
        <f>IF(B403="","",IF(ISNUMBER(M403),"DECIDIDO – ","")&amp;IF(ISNUMBER(L403),IF(O403="","SEM DATA",IF(O403&gt;=0,"DEFESA NO PRAZO","DEFESA FORA DO PRAZO")),IF(OR(G403="DECISÃO D.P",ISNUMBER(M403)),"SEM DEFESA",IF(G403="","SEM STATUS",IF(O403="","SEM DATA",IF(O403&lt;0,"VENCIDO",IF(O403&lt;=DiasAlerta,"VENCE EM BREVE","NO PRAZO")))))))</f>
        <v/>
      </c>
      <c r="Q403" s="117" t="str">
        <f>IF(D403="","",TODAY()-D403)</f>
        <v/>
      </c>
      <c r="R403" s="110" t="n"/>
    </row>
    <row r="404" ht="18" customHeight="1">
      <c r="A404" s="109" t="n"/>
      <c r="B404" s="110" t="n"/>
      <c r="C404" s="110" t="n"/>
      <c r="D404" s="111" t="n"/>
      <c r="E404" s="110" t="n"/>
      <c r="F404" s="112" t="n"/>
      <c r="G404" s="112" t="n"/>
      <c r="H404" s="110" t="n"/>
      <c r="I404" s="113" t="n"/>
      <c r="J404" s="113" t="n"/>
      <c r="K404" s="111" t="n"/>
      <c r="L404" s="111" t="n"/>
      <c r="M404" s="111" t="n"/>
      <c r="N404" s="114" t="str">
        <f>IF(OR(D404="",E404=""),"",D404+IF(E404="NOTIFICAÇÃO DE CONSTATAÇÃO",PrazoConst,PrazoEsc))</f>
        <v/>
      </c>
      <c r="O404" s="115" t="str">
        <f>IF(N404="","",IF(ISNUMBER(L404),N404-L404,IF(OR(G404="DECISÃO D.P",ISNUMBER(M404)),"",N404-TODAY())))</f>
        <v/>
      </c>
      <c r="P404" s="116" t="str">
        <f>IF(B404="","",IF(ISNUMBER(M404),"DECIDIDO – ","")&amp;IF(ISNUMBER(L404),IF(O404="","SEM DATA",IF(O404&gt;=0,"DEFESA NO PRAZO","DEFESA FORA DO PRAZO")),IF(OR(G404="DECISÃO D.P",ISNUMBER(M404)),"SEM DEFESA",IF(G404="","SEM STATUS",IF(O404="","SEM DATA",IF(O404&lt;0,"VENCIDO",IF(O404&lt;=DiasAlerta,"VENCE EM BREVE","NO PRAZO")))))))</f>
        <v/>
      </c>
      <c r="Q404" s="117" t="str">
        <f>IF(D404="","",TODAY()-D404)</f>
        <v/>
      </c>
      <c r="R404" s="110" t="n"/>
    </row>
    <row r="405" ht="18" customHeight="1">
      <c r="A405" s="109" t="n"/>
      <c r="B405" s="110" t="n"/>
      <c r="C405" s="110" t="n"/>
      <c r="D405" s="111" t="n"/>
      <c r="E405" s="110" t="n"/>
      <c r="F405" s="112" t="n"/>
      <c r="G405" s="112" t="n"/>
      <c r="H405" s="110" t="n"/>
      <c r="I405" s="113" t="n"/>
      <c r="J405" s="113" t="n"/>
      <c r="K405" s="111" t="n"/>
      <c r="L405" s="111" t="n"/>
      <c r="M405" s="111" t="n"/>
      <c r="N405" s="114" t="str">
        <f>IF(OR(D405="",E405=""),"",D405+IF(E405="NOTIFICAÇÃO DE CONSTATAÇÃO",PrazoConst,PrazoEsc))</f>
        <v/>
      </c>
      <c r="O405" s="115" t="str">
        <f>IF(N405="","",IF(ISNUMBER(L405),N405-L405,IF(OR(G405="DECISÃO D.P",ISNUMBER(M405)),"",N405-TODAY())))</f>
        <v/>
      </c>
      <c r="P405" s="116" t="str">
        <f>IF(B405="","",IF(ISNUMBER(M405),"DECIDIDO – ","")&amp;IF(ISNUMBER(L405),IF(O405="","SEM DATA",IF(O405&gt;=0,"DEFESA NO PRAZO","DEFESA FORA DO PRAZO")),IF(OR(G405="DECISÃO D.P",ISNUMBER(M405)),"SEM DEFESA",IF(G405="","SEM STATUS",IF(O405="","SEM DATA",IF(O405&lt;0,"VENCIDO",IF(O405&lt;=DiasAlerta,"VENCE EM BREVE","NO PRAZO")))))))</f>
        <v/>
      </c>
      <c r="Q405" s="117" t="str">
        <f>IF(D405="","",TODAY()-D405)</f>
        <v/>
      </c>
      <c r="R405" s="110" t="n"/>
    </row>
    <row r="406" ht="18" customHeight="1">
      <c r="A406" s="109" t="n"/>
      <c r="B406" s="110" t="n"/>
      <c r="C406" s="110" t="n"/>
      <c r="D406" s="111" t="n"/>
      <c r="E406" s="110" t="n"/>
      <c r="F406" s="112" t="n"/>
      <c r="G406" s="112" t="n"/>
      <c r="H406" s="110" t="n"/>
      <c r="I406" s="113" t="n"/>
      <c r="J406" s="113" t="n"/>
      <c r="K406" s="111" t="n"/>
      <c r="L406" s="111" t="n"/>
      <c r="M406" s="111" t="n"/>
      <c r="N406" s="114" t="str">
        <f>IF(OR(D406="",E406=""),"",D406+IF(E406="NOTIFICAÇÃO DE CONSTATAÇÃO",PrazoConst,PrazoEsc))</f>
        <v/>
      </c>
      <c r="O406" s="115" t="str">
        <f>IF(N406="","",IF(ISNUMBER(L406),N406-L406,IF(OR(G406="DECISÃO D.P",ISNUMBER(M406)),"",N406-TODAY())))</f>
        <v/>
      </c>
      <c r="P406" s="116" t="str">
        <f>IF(B406="","",IF(ISNUMBER(M406),"DECIDIDO – ","")&amp;IF(ISNUMBER(L406),IF(O406="","SEM DATA",IF(O406&gt;=0,"DEFESA NO PRAZO","DEFESA FORA DO PRAZO")),IF(OR(G406="DECISÃO D.P",ISNUMBER(M406)),"SEM DEFESA",IF(G406="","SEM STATUS",IF(O406="","SEM DATA",IF(O406&lt;0,"VENCIDO",IF(O406&lt;=DiasAlerta,"VENCE EM BREVE","NO PRAZO")))))))</f>
        <v/>
      </c>
      <c r="Q406" s="117" t="str">
        <f>IF(D406="","",TODAY()-D406)</f>
        <v/>
      </c>
      <c r="R406" s="110" t="n"/>
    </row>
    <row r="407" ht="18" customHeight="1">
      <c r="A407" s="109" t="n"/>
      <c r="B407" s="110" t="n"/>
      <c r="C407" s="110" t="n"/>
      <c r="D407" s="111" t="n"/>
      <c r="E407" s="110" t="n"/>
      <c r="F407" s="112" t="n"/>
      <c r="G407" s="112" t="n"/>
      <c r="H407" s="110" t="n"/>
      <c r="I407" s="113" t="n"/>
      <c r="J407" s="113" t="n"/>
      <c r="K407" s="111" t="n"/>
      <c r="L407" s="111" t="n"/>
      <c r="M407" s="111" t="n"/>
      <c r="N407" s="114" t="str">
        <f>IF(OR(D407="",E407=""),"",D407+IF(E407="NOTIFICAÇÃO DE CONSTATAÇÃO",PrazoConst,PrazoEsc))</f>
        <v/>
      </c>
      <c r="O407" s="115" t="str">
        <f>IF(N407="","",IF(ISNUMBER(L407),N407-L407,IF(OR(G407="DECISÃO D.P",ISNUMBER(M407)),"",N407-TODAY())))</f>
        <v/>
      </c>
      <c r="P407" s="116" t="str">
        <f>IF(B407="","",IF(ISNUMBER(M407),"DECIDIDO – ","")&amp;IF(ISNUMBER(L407),IF(O407="","SEM DATA",IF(O407&gt;=0,"DEFESA NO PRAZO","DEFESA FORA DO PRAZO")),IF(OR(G407="DECISÃO D.P",ISNUMBER(M407)),"SEM DEFESA",IF(G407="","SEM STATUS",IF(O407="","SEM DATA",IF(O407&lt;0,"VENCIDO",IF(O407&lt;=DiasAlerta,"VENCE EM BREVE","NO PRAZO")))))))</f>
        <v/>
      </c>
      <c r="Q407" s="117" t="str">
        <f>IF(D407="","",TODAY()-D407)</f>
        <v/>
      </c>
      <c r="R407" s="110" t="n"/>
    </row>
    <row r="408" ht="18" customHeight="1">
      <c r="A408" s="109" t="n"/>
      <c r="B408" s="110" t="n"/>
      <c r="C408" s="110" t="n"/>
      <c r="D408" s="111" t="n"/>
      <c r="E408" s="110" t="n"/>
      <c r="F408" s="112" t="n"/>
      <c r="G408" s="112" t="n"/>
      <c r="H408" s="110" t="n"/>
      <c r="I408" s="113" t="n"/>
      <c r="J408" s="113" t="n"/>
      <c r="K408" s="111" t="n"/>
      <c r="L408" s="111" t="n"/>
      <c r="M408" s="111" t="n"/>
      <c r="N408" s="114" t="str">
        <f>IF(OR(D408="",E408=""),"",D408+IF(E408="NOTIFICAÇÃO DE CONSTATAÇÃO",PrazoConst,PrazoEsc))</f>
        <v/>
      </c>
      <c r="O408" s="115" t="str">
        <f>IF(N408="","",IF(ISNUMBER(L408),N408-L408,IF(OR(G408="DECISÃO D.P",ISNUMBER(M408)),"",N408-TODAY())))</f>
        <v/>
      </c>
      <c r="P408" s="116" t="str">
        <f>IF(B408="","",IF(ISNUMBER(M408),"DECIDIDO – ","")&amp;IF(ISNUMBER(L408),IF(O408="","SEM DATA",IF(O408&gt;=0,"DEFESA NO PRAZO","DEFESA FORA DO PRAZO")),IF(OR(G408="DECISÃO D.P",ISNUMBER(M408)),"SEM DEFESA",IF(G408="","SEM STATUS",IF(O408="","SEM DATA",IF(O408&lt;0,"VENCIDO",IF(O408&lt;=DiasAlerta,"VENCE EM BREVE","NO PRAZO")))))))</f>
        <v/>
      </c>
      <c r="Q408" s="117" t="str">
        <f>IF(D408="","",TODAY()-D408)</f>
        <v/>
      </c>
      <c r="R408" s="110" t="n"/>
    </row>
    <row r="409" ht="18" customHeight="1">
      <c r="A409" s="109" t="n"/>
      <c r="B409" s="110" t="n"/>
      <c r="C409" s="110" t="n"/>
      <c r="D409" s="111" t="n"/>
      <c r="E409" s="110" t="n"/>
      <c r="F409" s="112" t="n"/>
      <c r="G409" s="112" t="n"/>
      <c r="H409" s="110" t="n"/>
      <c r="I409" s="113" t="n"/>
      <c r="J409" s="113" t="n"/>
      <c r="K409" s="111" t="n"/>
      <c r="L409" s="111" t="n"/>
      <c r="M409" s="111" t="n"/>
      <c r="N409" s="114" t="str">
        <f>IF(OR(D409="",E409=""),"",D409+IF(E409="NOTIFICAÇÃO DE CONSTATAÇÃO",PrazoConst,PrazoEsc))</f>
        <v/>
      </c>
      <c r="O409" s="115" t="str">
        <f>IF(N409="","",IF(ISNUMBER(L409),N409-L409,IF(OR(G409="DECISÃO D.P",ISNUMBER(M409)),"",N409-TODAY())))</f>
        <v/>
      </c>
      <c r="P409" s="116" t="str">
        <f>IF(B409="","",IF(ISNUMBER(M409),"DECIDIDO – ","")&amp;IF(ISNUMBER(L409),IF(O409="","SEM DATA",IF(O409&gt;=0,"DEFESA NO PRAZO","DEFESA FORA DO PRAZO")),IF(OR(G409="DECISÃO D.P",ISNUMBER(M409)),"SEM DEFESA",IF(G409="","SEM STATUS",IF(O409="","SEM DATA",IF(O409&lt;0,"VENCIDO",IF(O409&lt;=DiasAlerta,"VENCE EM BREVE","NO PRAZO")))))))</f>
        <v/>
      </c>
      <c r="Q409" s="117" t="str">
        <f>IF(D409="","",TODAY()-D409)</f>
        <v/>
      </c>
      <c r="R409" s="110" t="n"/>
    </row>
    <row r="410" ht="18" customHeight="1">
      <c r="A410" s="109" t="n"/>
      <c r="B410" s="110" t="n"/>
      <c r="C410" s="110" t="n"/>
      <c r="D410" s="111" t="n"/>
      <c r="E410" s="110" t="n"/>
      <c r="F410" s="112" t="n"/>
      <c r="G410" s="112" t="n"/>
      <c r="H410" s="110" t="n"/>
      <c r="I410" s="113" t="n"/>
      <c r="J410" s="113" t="n"/>
      <c r="K410" s="111" t="n"/>
      <c r="L410" s="111" t="n"/>
      <c r="M410" s="111" t="n"/>
      <c r="N410" s="114" t="str">
        <f>IF(OR(D410="",E410=""),"",D410+IF(E410="NOTIFICAÇÃO DE CONSTATAÇÃO",PrazoConst,PrazoEsc))</f>
        <v/>
      </c>
      <c r="O410" s="115" t="str">
        <f>IF(N410="","",IF(ISNUMBER(L410),N410-L410,IF(OR(G410="DECISÃO D.P",ISNUMBER(M410)),"",N410-TODAY())))</f>
        <v/>
      </c>
      <c r="P410" s="116" t="str">
        <f>IF(B410="","",IF(ISNUMBER(M410),"DECIDIDO – ","")&amp;IF(ISNUMBER(L410),IF(O410="","SEM DATA",IF(O410&gt;=0,"DEFESA NO PRAZO","DEFESA FORA DO PRAZO")),IF(OR(G410="DECISÃO D.P",ISNUMBER(M410)),"SEM DEFESA",IF(G410="","SEM STATUS",IF(O410="","SEM DATA",IF(O410&lt;0,"VENCIDO",IF(O410&lt;=DiasAlerta,"VENCE EM BREVE","NO PRAZO")))))))</f>
        <v/>
      </c>
      <c r="Q410" s="117" t="str">
        <f>IF(D410="","",TODAY()-D410)</f>
        <v/>
      </c>
      <c r="R410" s="110" t="n"/>
    </row>
    <row r="411" ht="18" customHeight="1">
      <c r="A411" s="109" t="n"/>
      <c r="B411" s="110" t="n"/>
      <c r="C411" s="110" t="n"/>
      <c r="D411" s="111" t="n"/>
      <c r="E411" s="110" t="n"/>
      <c r="F411" s="112" t="n"/>
      <c r="G411" s="112" t="n"/>
      <c r="H411" s="110" t="n"/>
      <c r="I411" s="113" t="n"/>
      <c r="J411" s="113" t="n"/>
      <c r="K411" s="111" t="n"/>
      <c r="L411" s="111" t="n"/>
      <c r="M411" s="111" t="n"/>
      <c r="N411" s="114" t="str">
        <f>IF(OR(D411="",E411=""),"",D411+IF(E411="NOTIFICAÇÃO DE CONSTATAÇÃO",PrazoConst,PrazoEsc))</f>
        <v/>
      </c>
      <c r="O411" s="115" t="str">
        <f>IF(N411="","",IF(ISNUMBER(L411),N411-L411,IF(OR(G411="DECISÃO D.P",ISNUMBER(M411)),"",N411-TODAY())))</f>
        <v/>
      </c>
      <c r="P411" s="116" t="str">
        <f>IF(B411="","",IF(ISNUMBER(M411),"DECIDIDO – ","")&amp;IF(ISNUMBER(L411),IF(O411="","SEM DATA",IF(O411&gt;=0,"DEFESA NO PRAZO","DEFESA FORA DO PRAZO")),IF(OR(G411="DECISÃO D.P",ISNUMBER(M411)),"SEM DEFESA",IF(G411="","SEM STATUS",IF(O411="","SEM DATA",IF(O411&lt;0,"VENCIDO",IF(O411&lt;=DiasAlerta,"VENCE EM BREVE","NO PRAZO")))))))</f>
        <v/>
      </c>
      <c r="Q411" s="117" t="str">
        <f>IF(D411="","",TODAY()-D411)</f>
        <v/>
      </c>
      <c r="R411" s="110" t="n"/>
    </row>
    <row r="412" ht="18" customHeight="1">
      <c r="A412" s="109" t="n"/>
      <c r="B412" s="110" t="n"/>
      <c r="C412" s="110" t="n"/>
      <c r="D412" s="111" t="n"/>
      <c r="E412" s="110" t="n"/>
      <c r="F412" s="112" t="n"/>
      <c r="G412" s="112" t="n"/>
      <c r="H412" s="110" t="n"/>
      <c r="I412" s="113" t="n"/>
      <c r="J412" s="113" t="n"/>
      <c r="K412" s="111" t="n"/>
      <c r="L412" s="111" t="n"/>
      <c r="M412" s="111" t="n"/>
      <c r="N412" s="114" t="str">
        <f>IF(OR(D412="",E412=""),"",D412+IF(E412="NOTIFICAÇÃO DE CONSTATAÇÃO",PrazoConst,PrazoEsc))</f>
        <v/>
      </c>
      <c r="O412" s="115" t="str">
        <f>IF(N412="","",IF(ISNUMBER(L412),N412-L412,IF(OR(G412="DECISÃO D.P",ISNUMBER(M412)),"",N412-TODAY())))</f>
        <v/>
      </c>
      <c r="P412" s="116" t="str">
        <f>IF(B412="","",IF(ISNUMBER(M412),"DECIDIDO – ","")&amp;IF(ISNUMBER(L412),IF(O412="","SEM DATA",IF(O412&gt;=0,"DEFESA NO PRAZO","DEFESA FORA DO PRAZO")),IF(OR(G412="DECISÃO D.P",ISNUMBER(M412)),"SEM DEFESA",IF(G412="","SEM STATUS",IF(O412="","SEM DATA",IF(O412&lt;0,"VENCIDO",IF(O412&lt;=DiasAlerta,"VENCE EM BREVE","NO PRAZO")))))))</f>
        <v/>
      </c>
      <c r="Q412" s="117" t="str">
        <f>IF(D412="","",TODAY()-D412)</f>
        <v/>
      </c>
      <c r="R412" s="110" t="n"/>
    </row>
    <row r="413" ht="18" customHeight="1">
      <c r="A413" s="109" t="n"/>
      <c r="B413" s="110" t="n"/>
      <c r="C413" s="110" t="n"/>
      <c r="D413" s="111" t="n"/>
      <c r="E413" s="110" t="n"/>
      <c r="F413" s="112" t="n"/>
      <c r="G413" s="112" t="n"/>
      <c r="H413" s="110" t="n"/>
      <c r="I413" s="113" t="n"/>
      <c r="J413" s="113" t="n"/>
      <c r="K413" s="111" t="n"/>
      <c r="L413" s="111" t="n"/>
      <c r="M413" s="111" t="n"/>
      <c r="N413" s="114" t="str">
        <f>IF(OR(D413="",E413=""),"",D413+IF(E413="NOTIFICAÇÃO DE CONSTATAÇÃO",PrazoConst,PrazoEsc))</f>
        <v/>
      </c>
      <c r="O413" s="115" t="str">
        <f>IF(N413="","",IF(ISNUMBER(L413),N413-L413,IF(OR(G413="DECISÃO D.P",ISNUMBER(M413)),"",N413-TODAY())))</f>
        <v/>
      </c>
      <c r="P413" s="116" t="str">
        <f>IF(B413="","",IF(ISNUMBER(M413),"DECIDIDO – ","")&amp;IF(ISNUMBER(L413),IF(O413="","SEM DATA",IF(O413&gt;=0,"DEFESA NO PRAZO","DEFESA FORA DO PRAZO")),IF(OR(G413="DECISÃO D.P",ISNUMBER(M413)),"SEM DEFESA",IF(G413="","SEM STATUS",IF(O413="","SEM DATA",IF(O413&lt;0,"VENCIDO",IF(O413&lt;=DiasAlerta,"VENCE EM BREVE","NO PRAZO")))))))</f>
        <v/>
      </c>
      <c r="Q413" s="117" t="str">
        <f>IF(D413="","",TODAY()-D413)</f>
        <v/>
      </c>
      <c r="R413" s="110" t="n"/>
    </row>
    <row r="414" ht="18" customHeight="1">
      <c r="A414" s="109" t="n"/>
      <c r="B414" s="110" t="n"/>
      <c r="C414" s="110" t="n"/>
      <c r="D414" s="111" t="n"/>
      <c r="E414" s="110" t="n"/>
      <c r="F414" s="112" t="n"/>
      <c r="G414" s="112" t="n"/>
      <c r="H414" s="110" t="n"/>
      <c r="I414" s="113" t="n"/>
      <c r="J414" s="113" t="n"/>
      <c r="K414" s="111" t="n"/>
      <c r="L414" s="111" t="n"/>
      <c r="M414" s="111" t="n"/>
      <c r="N414" s="114" t="str">
        <f>IF(OR(D414="",E414=""),"",D414+IF(E414="NOTIFICAÇÃO DE CONSTATAÇÃO",PrazoConst,PrazoEsc))</f>
        <v/>
      </c>
      <c r="O414" s="115" t="str">
        <f>IF(N414="","",IF(ISNUMBER(L414),N414-L414,IF(OR(G414="DECISÃO D.P",ISNUMBER(M414)),"",N414-TODAY())))</f>
        <v/>
      </c>
      <c r="P414" s="116" t="str">
        <f>IF(B414="","",IF(ISNUMBER(M414),"DECIDIDO – ","")&amp;IF(ISNUMBER(L414),IF(O414="","SEM DATA",IF(O414&gt;=0,"DEFESA NO PRAZO","DEFESA FORA DO PRAZO")),IF(OR(G414="DECISÃO D.P",ISNUMBER(M414)),"SEM DEFESA",IF(G414="","SEM STATUS",IF(O414="","SEM DATA",IF(O414&lt;0,"VENCIDO",IF(O414&lt;=DiasAlerta,"VENCE EM BREVE","NO PRAZO")))))))</f>
        <v/>
      </c>
      <c r="Q414" s="117" t="str">
        <f>IF(D414="","",TODAY()-D414)</f>
        <v/>
      </c>
      <c r="R414" s="110" t="n"/>
    </row>
    <row r="415" ht="18" customHeight="1">
      <c r="A415" s="109" t="n"/>
      <c r="B415" s="110" t="n"/>
      <c r="C415" s="110" t="n"/>
      <c r="D415" s="111" t="n"/>
      <c r="E415" s="110" t="n"/>
      <c r="F415" s="112" t="n"/>
      <c r="G415" s="112" t="n"/>
      <c r="H415" s="110" t="n"/>
      <c r="I415" s="113" t="n"/>
      <c r="J415" s="113" t="n"/>
      <c r="K415" s="111" t="n"/>
      <c r="L415" s="111" t="n"/>
      <c r="M415" s="111" t="n"/>
      <c r="N415" s="114" t="str">
        <f>IF(OR(D415="",E415=""),"",D415+IF(E415="NOTIFICAÇÃO DE CONSTATAÇÃO",PrazoConst,PrazoEsc))</f>
        <v/>
      </c>
      <c r="O415" s="115" t="str">
        <f>IF(N415="","",IF(ISNUMBER(L415),N415-L415,IF(OR(G415="DECISÃO D.P",ISNUMBER(M415)),"",N415-TODAY())))</f>
        <v/>
      </c>
      <c r="P415" s="116" t="str">
        <f>IF(B415="","",IF(ISNUMBER(M415),"DECIDIDO – ","")&amp;IF(ISNUMBER(L415),IF(O415="","SEM DATA",IF(O415&gt;=0,"DEFESA NO PRAZO","DEFESA FORA DO PRAZO")),IF(OR(G415="DECISÃO D.P",ISNUMBER(M415)),"SEM DEFESA",IF(G415="","SEM STATUS",IF(O415="","SEM DATA",IF(O415&lt;0,"VENCIDO",IF(O415&lt;=DiasAlerta,"VENCE EM BREVE","NO PRAZO")))))))</f>
        <v/>
      </c>
      <c r="Q415" s="117" t="str">
        <f>IF(D415="","",TODAY()-D415)</f>
        <v/>
      </c>
      <c r="R415" s="110" t="n"/>
    </row>
    <row r="416" ht="18" customHeight="1">
      <c r="A416" s="109" t="n"/>
      <c r="B416" s="110" t="n"/>
      <c r="C416" s="110" t="n"/>
      <c r="D416" s="111" t="n"/>
      <c r="E416" s="110" t="n"/>
      <c r="F416" s="112" t="n"/>
      <c r="G416" s="112" t="n"/>
      <c r="H416" s="110" t="n"/>
      <c r="I416" s="113" t="n"/>
      <c r="J416" s="113" t="n"/>
      <c r="K416" s="111" t="n"/>
      <c r="L416" s="111" t="n"/>
      <c r="M416" s="111" t="n"/>
      <c r="N416" s="114" t="str">
        <f>IF(OR(D416="",E416=""),"",D416+IF(E416="NOTIFICAÇÃO DE CONSTATAÇÃO",PrazoConst,PrazoEsc))</f>
        <v/>
      </c>
      <c r="O416" s="115" t="str">
        <f>IF(N416="","",IF(ISNUMBER(L416),N416-L416,IF(OR(G416="DECISÃO D.P",ISNUMBER(M416)),"",N416-TODAY())))</f>
        <v/>
      </c>
      <c r="P416" s="116" t="str">
        <f>IF(B416="","",IF(ISNUMBER(M416),"DECIDIDO – ","")&amp;IF(ISNUMBER(L416),IF(O416="","SEM DATA",IF(O416&gt;=0,"DEFESA NO PRAZO","DEFESA FORA DO PRAZO")),IF(OR(G416="DECISÃO D.P",ISNUMBER(M416)),"SEM DEFESA",IF(G416="","SEM STATUS",IF(O416="","SEM DATA",IF(O416&lt;0,"VENCIDO",IF(O416&lt;=DiasAlerta,"VENCE EM BREVE","NO PRAZO")))))))</f>
        <v/>
      </c>
      <c r="Q416" s="117" t="str">
        <f>IF(D416="","",TODAY()-D416)</f>
        <v/>
      </c>
      <c r="R416" s="110" t="n"/>
    </row>
    <row r="417" ht="18" customHeight="1">
      <c r="A417" s="109" t="n"/>
      <c r="B417" s="110" t="n"/>
      <c r="C417" s="110" t="n"/>
      <c r="D417" s="111" t="n"/>
      <c r="E417" s="110" t="n"/>
      <c r="F417" s="112" t="n"/>
      <c r="G417" s="112" t="n"/>
      <c r="H417" s="110" t="n"/>
      <c r="I417" s="113" t="n"/>
      <c r="J417" s="113" t="n"/>
      <c r="K417" s="111" t="n"/>
      <c r="L417" s="111" t="n"/>
      <c r="M417" s="111" t="n"/>
      <c r="N417" s="114" t="str">
        <f>IF(OR(D417="",E417=""),"",D417+IF(E417="NOTIFICAÇÃO DE CONSTATAÇÃO",PrazoConst,PrazoEsc))</f>
        <v/>
      </c>
      <c r="O417" s="115" t="str">
        <f>IF(N417="","",IF(ISNUMBER(L417),N417-L417,IF(OR(G417="DECISÃO D.P",ISNUMBER(M417)),"",N417-TODAY())))</f>
        <v/>
      </c>
      <c r="P417" s="116" t="str">
        <f>IF(B417="","",IF(ISNUMBER(M417),"DECIDIDO – ","")&amp;IF(ISNUMBER(L417),IF(O417="","SEM DATA",IF(O417&gt;=0,"DEFESA NO PRAZO","DEFESA FORA DO PRAZO")),IF(OR(G417="DECISÃO D.P",ISNUMBER(M417)),"SEM DEFESA",IF(G417="","SEM STATUS",IF(O417="","SEM DATA",IF(O417&lt;0,"VENCIDO",IF(O417&lt;=DiasAlerta,"VENCE EM BREVE","NO PRAZO")))))))</f>
        <v/>
      </c>
      <c r="Q417" s="117" t="str">
        <f>IF(D417="","",TODAY()-D417)</f>
        <v/>
      </c>
      <c r="R417" s="110" t="n"/>
    </row>
    <row r="418" ht="18" customHeight="1">
      <c r="A418" s="109" t="n"/>
      <c r="B418" s="110" t="n"/>
      <c r="C418" s="110" t="n"/>
      <c r="D418" s="111" t="n"/>
      <c r="E418" s="110" t="n"/>
      <c r="F418" s="112" t="n"/>
      <c r="G418" s="112" t="n"/>
      <c r="H418" s="110" t="n"/>
      <c r="I418" s="113" t="n"/>
      <c r="J418" s="113" t="n"/>
      <c r="K418" s="111" t="n"/>
      <c r="L418" s="111" t="n"/>
      <c r="M418" s="111" t="n"/>
      <c r="N418" s="114" t="str">
        <f>IF(OR(D418="",E418=""),"",D418+IF(E418="NOTIFICAÇÃO DE CONSTATAÇÃO",PrazoConst,PrazoEsc))</f>
        <v/>
      </c>
      <c r="O418" s="115" t="str">
        <f>IF(N418="","",IF(ISNUMBER(L418),N418-L418,IF(OR(G418="DECISÃO D.P",ISNUMBER(M418)),"",N418-TODAY())))</f>
        <v/>
      </c>
      <c r="P418" s="116" t="str">
        <f>IF(B418="","",IF(ISNUMBER(M418),"DECIDIDO – ","")&amp;IF(ISNUMBER(L418),IF(O418="","SEM DATA",IF(O418&gt;=0,"DEFESA NO PRAZO","DEFESA FORA DO PRAZO")),IF(OR(G418="DECISÃO D.P",ISNUMBER(M418)),"SEM DEFESA",IF(G418="","SEM STATUS",IF(O418="","SEM DATA",IF(O418&lt;0,"VENCIDO",IF(O418&lt;=DiasAlerta,"VENCE EM BREVE","NO PRAZO")))))))</f>
        <v/>
      </c>
      <c r="Q418" s="117" t="str">
        <f>IF(D418="","",TODAY()-D418)</f>
        <v/>
      </c>
      <c r="R418" s="110" t="n"/>
    </row>
    <row r="419" ht="18" customHeight="1">
      <c r="A419" s="109" t="n"/>
      <c r="B419" s="110" t="n"/>
      <c r="C419" s="110" t="n"/>
      <c r="D419" s="111" t="n"/>
      <c r="E419" s="110" t="n"/>
      <c r="F419" s="112" t="n"/>
      <c r="G419" s="112" t="n"/>
      <c r="H419" s="110" t="n"/>
      <c r="I419" s="113" t="n"/>
      <c r="J419" s="113" t="n"/>
      <c r="K419" s="111" t="n"/>
      <c r="L419" s="111" t="n"/>
      <c r="M419" s="111" t="n"/>
      <c r="N419" s="114" t="str">
        <f>IF(OR(D419="",E419=""),"",D419+IF(E419="NOTIFICAÇÃO DE CONSTATAÇÃO",PrazoConst,PrazoEsc))</f>
        <v/>
      </c>
      <c r="O419" s="115" t="str">
        <f>IF(N419="","",IF(ISNUMBER(L419),N419-L419,IF(OR(G419="DECISÃO D.P",ISNUMBER(M419)),"",N419-TODAY())))</f>
        <v/>
      </c>
      <c r="P419" s="116" t="str">
        <f>IF(B419="","",IF(ISNUMBER(M419),"DECIDIDO – ","")&amp;IF(ISNUMBER(L419),IF(O419="","SEM DATA",IF(O419&gt;=0,"DEFESA NO PRAZO","DEFESA FORA DO PRAZO")),IF(OR(G419="DECISÃO D.P",ISNUMBER(M419)),"SEM DEFESA",IF(G419="","SEM STATUS",IF(O419="","SEM DATA",IF(O419&lt;0,"VENCIDO",IF(O419&lt;=DiasAlerta,"VENCE EM BREVE","NO PRAZO")))))))</f>
        <v/>
      </c>
      <c r="Q419" s="117" t="str">
        <f>IF(D419="","",TODAY()-D419)</f>
        <v/>
      </c>
      <c r="R419" s="110" t="n"/>
    </row>
    <row r="420" ht="18" customHeight="1">
      <c r="A420" s="109" t="n"/>
      <c r="B420" s="110" t="n"/>
      <c r="C420" s="110" t="n"/>
      <c r="D420" s="111" t="n"/>
      <c r="E420" s="110" t="n"/>
      <c r="F420" s="112" t="n"/>
      <c r="G420" s="112" t="n"/>
      <c r="H420" s="110" t="n"/>
      <c r="I420" s="113" t="n"/>
      <c r="J420" s="113" t="n"/>
      <c r="K420" s="111" t="n"/>
      <c r="L420" s="111" t="n"/>
      <c r="M420" s="111" t="n"/>
      <c r="N420" s="114" t="str">
        <f>IF(OR(D420="",E420=""),"",D420+IF(E420="NOTIFICAÇÃO DE CONSTATAÇÃO",PrazoConst,PrazoEsc))</f>
        <v/>
      </c>
      <c r="O420" s="115" t="str">
        <f>IF(N420="","",IF(ISNUMBER(L420),N420-L420,IF(OR(G420="DECISÃO D.P",ISNUMBER(M420)),"",N420-TODAY())))</f>
        <v/>
      </c>
      <c r="P420" s="116" t="str">
        <f>IF(B420="","",IF(ISNUMBER(M420),"DECIDIDO – ","")&amp;IF(ISNUMBER(L420),IF(O420="","SEM DATA",IF(O420&gt;=0,"DEFESA NO PRAZO","DEFESA FORA DO PRAZO")),IF(OR(G420="DECISÃO D.P",ISNUMBER(M420)),"SEM DEFESA",IF(G420="","SEM STATUS",IF(O420="","SEM DATA",IF(O420&lt;0,"VENCIDO",IF(O420&lt;=DiasAlerta,"VENCE EM BREVE","NO PRAZO")))))))</f>
        <v/>
      </c>
      <c r="Q420" s="117" t="str">
        <f>IF(D420="","",TODAY()-D420)</f>
        <v/>
      </c>
      <c r="R420" s="110" t="n"/>
    </row>
    <row r="421" ht="18" customHeight="1">
      <c r="A421" s="109" t="n"/>
      <c r="B421" s="110" t="n"/>
      <c r="C421" s="110" t="n"/>
      <c r="D421" s="111" t="n"/>
      <c r="E421" s="110" t="n"/>
      <c r="F421" s="112" t="n"/>
      <c r="G421" s="112" t="n"/>
      <c r="H421" s="110" t="n"/>
      <c r="I421" s="113" t="n"/>
      <c r="J421" s="113" t="n"/>
      <c r="K421" s="111" t="n"/>
      <c r="L421" s="111" t="n"/>
      <c r="M421" s="111" t="n"/>
      <c r="N421" s="114" t="str">
        <f>IF(OR(D421="",E421=""),"",D421+IF(E421="NOTIFICAÇÃO DE CONSTATAÇÃO",PrazoConst,PrazoEsc))</f>
        <v/>
      </c>
      <c r="O421" s="115" t="str">
        <f>IF(N421="","",IF(ISNUMBER(L421),N421-L421,IF(OR(G421="DECISÃO D.P",ISNUMBER(M421)),"",N421-TODAY())))</f>
        <v/>
      </c>
      <c r="P421" s="116" t="str">
        <f>IF(B421="","",IF(ISNUMBER(M421),"DECIDIDO – ","")&amp;IF(ISNUMBER(L421),IF(O421="","SEM DATA",IF(O421&gt;=0,"DEFESA NO PRAZO","DEFESA FORA DO PRAZO")),IF(OR(G421="DECISÃO D.P",ISNUMBER(M421)),"SEM DEFESA",IF(G421="","SEM STATUS",IF(O421="","SEM DATA",IF(O421&lt;0,"VENCIDO",IF(O421&lt;=DiasAlerta,"VENCE EM BREVE","NO PRAZO")))))))</f>
        <v/>
      </c>
      <c r="Q421" s="117" t="str">
        <f>IF(D421="","",TODAY()-D421)</f>
        <v/>
      </c>
      <c r="R421" s="110" t="n"/>
    </row>
    <row r="422" ht="18" customHeight="1">
      <c r="A422" s="109" t="n"/>
      <c r="B422" s="110" t="n"/>
      <c r="C422" s="110" t="n"/>
      <c r="D422" s="111" t="n"/>
      <c r="E422" s="110" t="n"/>
      <c r="F422" s="112" t="n"/>
      <c r="G422" s="112" t="n"/>
      <c r="H422" s="110" t="n"/>
      <c r="I422" s="113" t="n"/>
      <c r="J422" s="113" t="n"/>
      <c r="K422" s="111" t="n"/>
      <c r="L422" s="111" t="n"/>
      <c r="M422" s="111" t="n"/>
      <c r="N422" s="114" t="str">
        <f>IF(OR(D422="",E422=""),"",D422+IF(E422="NOTIFICAÇÃO DE CONSTATAÇÃO",PrazoConst,PrazoEsc))</f>
        <v/>
      </c>
      <c r="O422" s="115" t="str">
        <f>IF(N422="","",IF(ISNUMBER(L422),N422-L422,IF(OR(G422="DECISÃO D.P",ISNUMBER(M422)),"",N422-TODAY())))</f>
        <v/>
      </c>
      <c r="P422" s="116" t="str">
        <f>IF(B422="","",IF(ISNUMBER(M422),"DECIDIDO – ","")&amp;IF(ISNUMBER(L422),IF(O422="","SEM DATA",IF(O422&gt;=0,"DEFESA NO PRAZO","DEFESA FORA DO PRAZO")),IF(OR(G422="DECISÃO D.P",ISNUMBER(M422)),"SEM DEFESA",IF(G422="","SEM STATUS",IF(O422="","SEM DATA",IF(O422&lt;0,"VENCIDO",IF(O422&lt;=DiasAlerta,"VENCE EM BREVE","NO PRAZO")))))))</f>
        <v/>
      </c>
      <c r="Q422" s="117" t="str">
        <f>IF(D422="","",TODAY()-D422)</f>
        <v/>
      </c>
      <c r="R422" s="110" t="n"/>
    </row>
    <row r="423" ht="18" customHeight="1">
      <c r="A423" s="109" t="n"/>
      <c r="B423" s="110" t="n"/>
      <c r="C423" s="110" t="n"/>
      <c r="D423" s="111" t="n"/>
      <c r="E423" s="110" t="n"/>
      <c r="F423" s="112" t="n"/>
      <c r="G423" s="112" t="n"/>
      <c r="H423" s="110" t="n"/>
      <c r="I423" s="113" t="n"/>
      <c r="J423" s="113" t="n"/>
      <c r="K423" s="111" t="n"/>
      <c r="L423" s="111" t="n"/>
      <c r="M423" s="111" t="n"/>
      <c r="N423" s="114" t="str">
        <f>IF(OR(D423="",E423=""),"",D423+IF(E423="NOTIFICAÇÃO DE CONSTATAÇÃO",PrazoConst,PrazoEsc))</f>
        <v/>
      </c>
      <c r="O423" s="115" t="str">
        <f>IF(N423="","",IF(ISNUMBER(L423),N423-L423,IF(OR(G423="DECISÃO D.P",ISNUMBER(M423)),"",N423-TODAY())))</f>
        <v/>
      </c>
      <c r="P423" s="116" t="str">
        <f>IF(B423="","",IF(ISNUMBER(M423),"DECIDIDO – ","")&amp;IF(ISNUMBER(L423),IF(O423="","SEM DATA",IF(O423&gt;=0,"DEFESA NO PRAZO","DEFESA FORA DO PRAZO")),IF(OR(G423="DECISÃO D.P",ISNUMBER(M423)),"SEM DEFESA",IF(G423="","SEM STATUS",IF(O423="","SEM DATA",IF(O423&lt;0,"VENCIDO",IF(O423&lt;=DiasAlerta,"VENCE EM BREVE","NO PRAZO")))))))</f>
        <v/>
      </c>
      <c r="Q423" s="117" t="str">
        <f>IF(D423="","",TODAY()-D423)</f>
        <v/>
      </c>
      <c r="R423" s="110" t="n"/>
    </row>
    <row r="424" ht="18" customHeight="1">
      <c r="A424" s="109" t="n"/>
      <c r="B424" s="110" t="n"/>
      <c r="C424" s="110" t="n"/>
      <c r="D424" s="111" t="n"/>
      <c r="E424" s="110" t="n"/>
      <c r="F424" s="112" t="n"/>
      <c r="G424" s="112" t="n"/>
      <c r="H424" s="110" t="n"/>
      <c r="I424" s="113" t="n"/>
      <c r="J424" s="113" t="n"/>
      <c r="K424" s="111" t="n"/>
      <c r="L424" s="111" t="n"/>
      <c r="M424" s="111" t="n"/>
      <c r="N424" s="114" t="str">
        <f>IF(OR(D424="",E424=""),"",D424+IF(E424="NOTIFICAÇÃO DE CONSTATAÇÃO",PrazoConst,PrazoEsc))</f>
        <v/>
      </c>
      <c r="O424" s="115" t="str">
        <f>IF(N424="","",IF(ISNUMBER(L424),N424-L424,IF(OR(G424="DECISÃO D.P",ISNUMBER(M424)),"",N424-TODAY())))</f>
        <v/>
      </c>
      <c r="P424" s="116" t="str">
        <f>IF(B424="","",IF(ISNUMBER(M424),"DECIDIDO – ","")&amp;IF(ISNUMBER(L424),IF(O424="","SEM DATA",IF(O424&gt;=0,"DEFESA NO PRAZO","DEFESA FORA DO PRAZO")),IF(OR(G424="DECISÃO D.P",ISNUMBER(M424)),"SEM DEFESA",IF(G424="","SEM STATUS",IF(O424="","SEM DATA",IF(O424&lt;0,"VENCIDO",IF(O424&lt;=DiasAlerta,"VENCE EM BREVE","NO PRAZO")))))))</f>
        <v/>
      </c>
      <c r="Q424" s="117" t="str">
        <f>IF(D424="","",TODAY()-D424)</f>
        <v/>
      </c>
      <c r="R424" s="110" t="n"/>
    </row>
    <row r="425" ht="18" customHeight="1">
      <c r="A425" s="109" t="n"/>
      <c r="B425" s="110" t="n"/>
      <c r="C425" s="110" t="n"/>
      <c r="D425" s="111" t="n"/>
      <c r="E425" s="110" t="n"/>
      <c r="F425" s="112" t="n"/>
      <c r="G425" s="112" t="n"/>
      <c r="H425" s="110" t="n"/>
      <c r="I425" s="113" t="n"/>
      <c r="J425" s="113" t="n"/>
      <c r="K425" s="111" t="n"/>
      <c r="L425" s="111" t="n"/>
      <c r="M425" s="111" t="n"/>
      <c r="N425" s="114" t="str">
        <f>IF(OR(D425="",E425=""),"",D425+IF(E425="NOTIFICAÇÃO DE CONSTATAÇÃO",PrazoConst,PrazoEsc))</f>
        <v/>
      </c>
      <c r="O425" s="115" t="str">
        <f>IF(N425="","",IF(ISNUMBER(L425),N425-L425,IF(OR(G425="DECISÃO D.P",ISNUMBER(M425)),"",N425-TODAY())))</f>
        <v/>
      </c>
      <c r="P425" s="116" t="str">
        <f>IF(B425="","",IF(ISNUMBER(M425),"DECIDIDO – ","")&amp;IF(ISNUMBER(L425),IF(O425="","SEM DATA",IF(O425&gt;=0,"DEFESA NO PRAZO","DEFESA FORA DO PRAZO")),IF(OR(G425="DECISÃO D.P",ISNUMBER(M425)),"SEM DEFESA",IF(G425="","SEM STATUS",IF(O425="","SEM DATA",IF(O425&lt;0,"VENCIDO",IF(O425&lt;=DiasAlerta,"VENCE EM BREVE","NO PRAZO")))))))</f>
        <v/>
      </c>
      <c r="Q425" s="117" t="str">
        <f>IF(D425="","",TODAY()-D425)</f>
        <v/>
      </c>
      <c r="R425" s="110" t="n"/>
    </row>
    <row r="426" ht="18" customHeight="1">
      <c r="A426" s="109" t="n"/>
      <c r="B426" s="110" t="n"/>
      <c r="C426" s="110" t="n"/>
      <c r="D426" s="111" t="n"/>
      <c r="E426" s="110" t="n"/>
      <c r="F426" s="112" t="n"/>
      <c r="G426" s="112" t="n"/>
      <c r="H426" s="110" t="n"/>
      <c r="I426" s="113" t="n"/>
      <c r="J426" s="113" t="n"/>
      <c r="K426" s="111" t="n"/>
      <c r="L426" s="111" t="n"/>
      <c r="M426" s="111" t="n"/>
      <c r="N426" s="114" t="str">
        <f>IF(OR(D426="",E426=""),"",D426+IF(E426="NOTIFICAÇÃO DE CONSTATAÇÃO",PrazoConst,PrazoEsc))</f>
        <v/>
      </c>
      <c r="O426" s="115" t="str">
        <f>IF(N426="","",IF(ISNUMBER(L426),N426-L426,IF(OR(G426="DECISÃO D.P",ISNUMBER(M426)),"",N426-TODAY())))</f>
        <v/>
      </c>
      <c r="P426" s="116" t="str">
        <f>IF(B426="","",IF(ISNUMBER(M426),"DECIDIDO – ","")&amp;IF(ISNUMBER(L426),IF(O426="","SEM DATA",IF(O426&gt;=0,"DEFESA NO PRAZO","DEFESA FORA DO PRAZO")),IF(OR(G426="DECISÃO D.P",ISNUMBER(M426)),"SEM DEFESA",IF(G426="","SEM STATUS",IF(O426="","SEM DATA",IF(O426&lt;0,"VENCIDO",IF(O426&lt;=DiasAlerta,"VENCE EM BREVE","NO PRAZO")))))))</f>
        <v/>
      </c>
      <c r="Q426" s="117" t="str">
        <f>IF(D426="","",TODAY()-D426)</f>
        <v/>
      </c>
      <c r="R426" s="110" t="n"/>
    </row>
    <row r="427" ht="18" customHeight="1">
      <c r="A427" s="109" t="n"/>
      <c r="B427" s="110" t="n"/>
      <c r="C427" s="110" t="n"/>
      <c r="D427" s="111" t="n"/>
      <c r="E427" s="110" t="n"/>
      <c r="F427" s="112" t="n"/>
      <c r="G427" s="112" t="n"/>
      <c r="H427" s="110" t="n"/>
      <c r="I427" s="113" t="n"/>
      <c r="J427" s="113" t="n"/>
      <c r="K427" s="111" t="n"/>
      <c r="L427" s="111" t="n"/>
      <c r="M427" s="111" t="n"/>
      <c r="N427" s="114" t="str">
        <f>IF(OR(D427="",E427=""),"",D427+IF(E427="NOTIFICAÇÃO DE CONSTATAÇÃO",PrazoConst,PrazoEsc))</f>
        <v/>
      </c>
      <c r="O427" s="115" t="str">
        <f>IF(N427="","",IF(ISNUMBER(L427),N427-L427,IF(OR(G427="DECISÃO D.P",ISNUMBER(M427)),"",N427-TODAY())))</f>
        <v/>
      </c>
      <c r="P427" s="116" t="str">
        <f>IF(B427="","",IF(ISNUMBER(M427),"DECIDIDO – ","")&amp;IF(ISNUMBER(L427),IF(O427="","SEM DATA",IF(O427&gt;=0,"DEFESA NO PRAZO","DEFESA FORA DO PRAZO")),IF(OR(G427="DECISÃO D.P",ISNUMBER(M427)),"SEM DEFESA",IF(G427="","SEM STATUS",IF(O427="","SEM DATA",IF(O427&lt;0,"VENCIDO",IF(O427&lt;=DiasAlerta,"VENCE EM BREVE","NO PRAZO")))))))</f>
        <v/>
      </c>
      <c r="Q427" s="117" t="str">
        <f>IF(D427="","",TODAY()-D427)</f>
        <v/>
      </c>
      <c r="R427" s="110" t="n"/>
    </row>
    <row r="428" ht="18" customHeight="1">
      <c r="A428" s="109" t="n"/>
      <c r="B428" s="110" t="n"/>
      <c r="C428" s="110" t="n"/>
      <c r="D428" s="111" t="n"/>
      <c r="E428" s="110" t="n"/>
      <c r="F428" s="112" t="n"/>
      <c r="G428" s="112" t="n"/>
      <c r="H428" s="110" t="n"/>
      <c r="I428" s="113" t="n"/>
      <c r="J428" s="113" t="n"/>
      <c r="K428" s="111" t="n"/>
      <c r="L428" s="111" t="n"/>
      <c r="M428" s="111" t="n"/>
      <c r="N428" s="114" t="str">
        <f>IF(OR(D428="",E428=""),"",D428+IF(E428="NOTIFICAÇÃO DE CONSTATAÇÃO",PrazoConst,PrazoEsc))</f>
        <v/>
      </c>
      <c r="O428" s="115" t="str">
        <f>IF(N428="","",IF(ISNUMBER(L428),N428-L428,IF(OR(G428="DECISÃO D.P",ISNUMBER(M428)),"",N428-TODAY())))</f>
        <v/>
      </c>
      <c r="P428" s="116" t="str">
        <f>IF(B428="","",IF(ISNUMBER(M428),"DECIDIDO – ","")&amp;IF(ISNUMBER(L428),IF(O428="","SEM DATA",IF(O428&gt;=0,"DEFESA NO PRAZO","DEFESA FORA DO PRAZO")),IF(OR(G428="DECISÃO D.P",ISNUMBER(M428)),"SEM DEFESA",IF(G428="","SEM STATUS",IF(O428="","SEM DATA",IF(O428&lt;0,"VENCIDO",IF(O428&lt;=DiasAlerta,"VENCE EM BREVE","NO PRAZO")))))))</f>
        <v/>
      </c>
      <c r="Q428" s="117" t="str">
        <f>IF(D428="","",TODAY()-D428)</f>
        <v/>
      </c>
      <c r="R428" s="110" t="n"/>
    </row>
    <row r="429" ht="18" customHeight="1">
      <c r="A429" s="109" t="n"/>
      <c r="B429" s="110" t="n"/>
      <c r="C429" s="110" t="n"/>
      <c r="D429" s="111" t="n"/>
      <c r="E429" s="110" t="n"/>
      <c r="F429" s="112" t="n"/>
      <c r="G429" s="112" t="n"/>
      <c r="H429" s="110" t="n"/>
      <c r="I429" s="113" t="n"/>
      <c r="J429" s="113" t="n"/>
      <c r="K429" s="111" t="n"/>
      <c r="L429" s="111" t="n"/>
      <c r="M429" s="111" t="n"/>
      <c r="N429" s="114" t="str">
        <f>IF(OR(D429="",E429=""),"",D429+IF(E429="NOTIFICAÇÃO DE CONSTATAÇÃO",PrazoConst,PrazoEsc))</f>
        <v/>
      </c>
      <c r="O429" s="115" t="str">
        <f>IF(N429="","",IF(ISNUMBER(L429),N429-L429,IF(OR(G429="DECISÃO D.P",ISNUMBER(M429)),"",N429-TODAY())))</f>
        <v/>
      </c>
      <c r="P429" s="116" t="str">
        <f>IF(B429="","",IF(ISNUMBER(M429),"DECIDIDO – ","")&amp;IF(ISNUMBER(L429),IF(O429="","SEM DATA",IF(O429&gt;=0,"DEFESA NO PRAZO","DEFESA FORA DO PRAZO")),IF(OR(G429="DECISÃO D.P",ISNUMBER(M429)),"SEM DEFESA",IF(G429="","SEM STATUS",IF(O429="","SEM DATA",IF(O429&lt;0,"VENCIDO",IF(O429&lt;=DiasAlerta,"VENCE EM BREVE","NO PRAZO")))))))</f>
        <v/>
      </c>
      <c r="Q429" s="117" t="str">
        <f>IF(D429="","",TODAY()-D429)</f>
        <v/>
      </c>
      <c r="R429" s="110" t="n"/>
    </row>
    <row r="430" ht="18" customHeight="1">
      <c r="A430" s="109" t="n"/>
      <c r="B430" s="110" t="n"/>
      <c r="C430" s="110" t="n"/>
      <c r="D430" s="111" t="n"/>
      <c r="E430" s="110" t="n"/>
      <c r="F430" s="112" t="n"/>
      <c r="G430" s="112" t="n"/>
      <c r="H430" s="110" t="n"/>
      <c r="I430" s="113" t="n"/>
      <c r="J430" s="113" t="n"/>
      <c r="K430" s="111" t="n"/>
      <c r="L430" s="111" t="n"/>
      <c r="M430" s="111" t="n"/>
      <c r="N430" s="114" t="str">
        <f>IF(OR(D430="",E430=""),"",D430+IF(E430="NOTIFICAÇÃO DE CONSTATAÇÃO",PrazoConst,PrazoEsc))</f>
        <v/>
      </c>
      <c r="O430" s="115" t="str">
        <f>IF(N430="","",IF(ISNUMBER(L430),N430-L430,IF(OR(G430="DECISÃO D.P",ISNUMBER(M430)),"",N430-TODAY())))</f>
        <v/>
      </c>
      <c r="P430" s="116" t="str">
        <f>IF(B430="","",IF(ISNUMBER(M430),"DECIDIDO – ","")&amp;IF(ISNUMBER(L430),IF(O430="","SEM DATA",IF(O430&gt;=0,"DEFESA NO PRAZO","DEFESA FORA DO PRAZO")),IF(OR(G430="DECISÃO D.P",ISNUMBER(M430)),"SEM DEFESA",IF(G430="","SEM STATUS",IF(O430="","SEM DATA",IF(O430&lt;0,"VENCIDO",IF(O430&lt;=DiasAlerta,"VENCE EM BREVE","NO PRAZO")))))))</f>
        <v/>
      </c>
      <c r="Q430" s="117" t="str">
        <f>IF(D430="","",TODAY()-D430)</f>
        <v/>
      </c>
      <c r="R430" s="110" t="n"/>
    </row>
    <row r="431" ht="18" customHeight="1">
      <c r="A431" s="109" t="n"/>
      <c r="B431" s="110" t="n"/>
      <c r="C431" s="110" t="n"/>
      <c r="D431" s="111" t="n"/>
      <c r="E431" s="110" t="n"/>
      <c r="F431" s="112" t="n"/>
      <c r="G431" s="112" t="n"/>
      <c r="H431" s="110" t="n"/>
      <c r="I431" s="113" t="n"/>
      <c r="J431" s="113" t="n"/>
      <c r="K431" s="111" t="n"/>
      <c r="L431" s="111" t="n"/>
      <c r="M431" s="111" t="n"/>
      <c r="N431" s="114" t="str">
        <f>IF(OR(D431="",E431=""),"",D431+IF(E431="NOTIFICAÇÃO DE CONSTATAÇÃO",PrazoConst,PrazoEsc))</f>
        <v/>
      </c>
      <c r="O431" s="115" t="str">
        <f>IF(N431="","",IF(ISNUMBER(L431),N431-L431,IF(OR(G431="DECISÃO D.P",ISNUMBER(M431)),"",N431-TODAY())))</f>
        <v/>
      </c>
      <c r="P431" s="116" t="str">
        <f>IF(B431="","",IF(ISNUMBER(M431),"DECIDIDO – ","")&amp;IF(ISNUMBER(L431),IF(O431="","SEM DATA",IF(O431&gt;=0,"DEFESA NO PRAZO","DEFESA FORA DO PRAZO")),IF(OR(G431="DECISÃO D.P",ISNUMBER(M431)),"SEM DEFESA",IF(G431="","SEM STATUS",IF(O431="","SEM DATA",IF(O431&lt;0,"VENCIDO",IF(O431&lt;=DiasAlerta,"VENCE EM BREVE","NO PRAZO")))))))</f>
        <v/>
      </c>
      <c r="Q431" s="117" t="str">
        <f>IF(D431="","",TODAY()-D431)</f>
        <v/>
      </c>
      <c r="R431" s="110" t="n"/>
    </row>
    <row r="432" ht="18" customHeight="1">
      <c r="A432" s="109" t="n"/>
      <c r="B432" s="110" t="n"/>
      <c r="C432" s="110" t="n"/>
      <c r="D432" s="111" t="n"/>
      <c r="E432" s="110" t="n"/>
      <c r="F432" s="112" t="n"/>
      <c r="G432" s="112" t="n"/>
      <c r="H432" s="110" t="n"/>
      <c r="I432" s="113" t="n"/>
      <c r="J432" s="113" t="n"/>
      <c r="K432" s="111" t="n"/>
      <c r="L432" s="111" t="n"/>
      <c r="M432" s="111" t="n"/>
      <c r="N432" s="114" t="str">
        <f>IF(OR(D432="",E432=""),"",D432+IF(E432="NOTIFICAÇÃO DE CONSTATAÇÃO",PrazoConst,PrazoEsc))</f>
        <v/>
      </c>
      <c r="O432" s="115" t="str">
        <f>IF(N432="","",IF(ISNUMBER(L432),N432-L432,IF(OR(G432="DECISÃO D.P",ISNUMBER(M432)),"",N432-TODAY())))</f>
        <v/>
      </c>
      <c r="P432" s="116" t="str">
        <f>IF(B432="","",IF(ISNUMBER(M432),"DECIDIDO – ","")&amp;IF(ISNUMBER(L432),IF(O432="","SEM DATA",IF(O432&gt;=0,"DEFESA NO PRAZO","DEFESA FORA DO PRAZO")),IF(OR(G432="DECISÃO D.P",ISNUMBER(M432)),"SEM DEFESA",IF(G432="","SEM STATUS",IF(O432="","SEM DATA",IF(O432&lt;0,"VENCIDO",IF(O432&lt;=DiasAlerta,"VENCE EM BREVE","NO PRAZO")))))))</f>
        <v/>
      </c>
      <c r="Q432" s="117" t="str">
        <f>IF(D432="","",TODAY()-D432)</f>
        <v/>
      </c>
      <c r="R432" s="110" t="n"/>
    </row>
    <row r="433" ht="18" customHeight="1">
      <c r="A433" s="109" t="n"/>
      <c r="B433" s="110" t="n"/>
      <c r="C433" s="110" t="n"/>
      <c r="D433" s="111" t="n"/>
      <c r="E433" s="110" t="n"/>
      <c r="F433" s="112" t="n"/>
      <c r="G433" s="112" t="n"/>
      <c r="H433" s="110" t="n"/>
      <c r="I433" s="113" t="n"/>
      <c r="J433" s="113" t="n"/>
      <c r="K433" s="111" t="n"/>
      <c r="L433" s="111" t="n"/>
      <c r="M433" s="111" t="n"/>
      <c r="N433" s="114" t="str">
        <f>IF(OR(D433="",E433=""),"",D433+IF(E433="NOTIFICAÇÃO DE CONSTATAÇÃO",PrazoConst,PrazoEsc))</f>
        <v/>
      </c>
      <c r="O433" s="115" t="str">
        <f>IF(N433="","",IF(ISNUMBER(L433),N433-L433,IF(OR(G433="DECISÃO D.P",ISNUMBER(M433)),"",N433-TODAY())))</f>
        <v/>
      </c>
      <c r="P433" s="116" t="str">
        <f>IF(B433="","",IF(ISNUMBER(M433),"DECIDIDO – ","")&amp;IF(ISNUMBER(L433),IF(O433="","SEM DATA",IF(O433&gt;=0,"DEFESA NO PRAZO","DEFESA FORA DO PRAZO")),IF(OR(G433="DECISÃO D.P",ISNUMBER(M433)),"SEM DEFESA",IF(G433="","SEM STATUS",IF(O433="","SEM DATA",IF(O433&lt;0,"VENCIDO",IF(O433&lt;=DiasAlerta,"VENCE EM BREVE","NO PRAZO")))))))</f>
        <v/>
      </c>
      <c r="Q433" s="117" t="str">
        <f>IF(D433="","",TODAY()-D433)</f>
        <v/>
      </c>
      <c r="R433" s="110" t="n"/>
    </row>
    <row r="434" ht="18" customHeight="1">
      <c r="A434" s="109" t="n"/>
      <c r="B434" s="110" t="n"/>
      <c r="C434" s="110" t="n"/>
      <c r="D434" s="111" t="n"/>
      <c r="E434" s="110" t="n"/>
      <c r="F434" s="112" t="n"/>
      <c r="G434" s="112" t="n"/>
      <c r="H434" s="110" t="n"/>
      <c r="I434" s="113" t="n"/>
      <c r="J434" s="113" t="n"/>
      <c r="K434" s="111" t="n"/>
      <c r="L434" s="111" t="n"/>
      <c r="M434" s="111" t="n"/>
      <c r="N434" s="114" t="str">
        <f>IF(OR(D434="",E434=""),"",D434+IF(E434="NOTIFICAÇÃO DE CONSTATAÇÃO",PrazoConst,PrazoEsc))</f>
        <v/>
      </c>
      <c r="O434" s="115" t="str">
        <f>IF(N434="","",IF(ISNUMBER(L434),N434-L434,IF(OR(G434="DECISÃO D.P",ISNUMBER(M434)),"",N434-TODAY())))</f>
        <v/>
      </c>
      <c r="P434" s="116" t="str">
        <f>IF(B434="","",IF(ISNUMBER(M434),"DECIDIDO – ","")&amp;IF(ISNUMBER(L434),IF(O434="","SEM DATA",IF(O434&gt;=0,"DEFESA NO PRAZO","DEFESA FORA DO PRAZO")),IF(OR(G434="DECISÃO D.P",ISNUMBER(M434)),"SEM DEFESA",IF(G434="","SEM STATUS",IF(O434="","SEM DATA",IF(O434&lt;0,"VENCIDO",IF(O434&lt;=DiasAlerta,"VENCE EM BREVE","NO PRAZO")))))))</f>
        <v/>
      </c>
      <c r="Q434" s="117" t="str">
        <f>IF(D434="","",TODAY()-D434)</f>
        <v/>
      </c>
      <c r="R434" s="110" t="n"/>
    </row>
    <row r="435" ht="18" customHeight="1">
      <c r="A435" s="109" t="n"/>
      <c r="B435" s="110" t="n"/>
      <c r="C435" s="110" t="n"/>
      <c r="D435" s="111" t="n"/>
      <c r="E435" s="110" t="n"/>
      <c r="F435" s="112" t="n"/>
      <c r="G435" s="112" t="n"/>
      <c r="H435" s="110" t="n"/>
      <c r="I435" s="113" t="n"/>
      <c r="J435" s="113" t="n"/>
      <c r="K435" s="111" t="n"/>
      <c r="L435" s="111" t="n"/>
      <c r="M435" s="111" t="n"/>
      <c r="N435" s="114" t="str">
        <f>IF(OR(D435="",E435=""),"",D435+IF(E435="NOTIFICAÇÃO DE CONSTATAÇÃO",PrazoConst,PrazoEsc))</f>
        <v/>
      </c>
      <c r="O435" s="115" t="str">
        <f>IF(N435="","",IF(ISNUMBER(L435),N435-L435,IF(OR(G435="DECISÃO D.P",ISNUMBER(M435)),"",N435-TODAY())))</f>
        <v/>
      </c>
      <c r="P435" s="116" t="str">
        <f>IF(B435="","",IF(ISNUMBER(M435),"DECIDIDO – ","")&amp;IF(ISNUMBER(L435),IF(O435="","SEM DATA",IF(O435&gt;=0,"DEFESA NO PRAZO","DEFESA FORA DO PRAZO")),IF(OR(G435="DECISÃO D.P",ISNUMBER(M435)),"SEM DEFESA",IF(G435="","SEM STATUS",IF(O435="","SEM DATA",IF(O435&lt;0,"VENCIDO",IF(O435&lt;=DiasAlerta,"VENCE EM BREVE","NO PRAZO")))))))</f>
        <v/>
      </c>
      <c r="Q435" s="117" t="str">
        <f>IF(D435="","",TODAY()-D435)</f>
        <v/>
      </c>
      <c r="R435" s="110" t="n"/>
    </row>
    <row r="436" ht="18" customHeight="1">
      <c r="A436" s="109" t="n"/>
      <c r="B436" s="110" t="n"/>
      <c r="C436" s="110" t="n"/>
      <c r="D436" s="111" t="n"/>
      <c r="E436" s="110" t="n"/>
      <c r="F436" s="112" t="n"/>
      <c r="G436" s="112" t="n"/>
      <c r="H436" s="110" t="n"/>
      <c r="I436" s="113" t="n"/>
      <c r="J436" s="113" t="n"/>
      <c r="K436" s="111" t="n"/>
      <c r="L436" s="111" t="n"/>
      <c r="M436" s="111" t="n"/>
      <c r="N436" s="114" t="str">
        <f>IF(OR(D436="",E436=""),"",D436+IF(E436="NOTIFICAÇÃO DE CONSTATAÇÃO",PrazoConst,PrazoEsc))</f>
        <v/>
      </c>
      <c r="O436" s="115" t="str">
        <f>IF(N436="","",IF(ISNUMBER(L436),N436-L436,IF(OR(G436="DECISÃO D.P",ISNUMBER(M436)),"",N436-TODAY())))</f>
        <v/>
      </c>
      <c r="P436" s="116" t="str">
        <f>IF(B436="","",IF(ISNUMBER(M436),"DECIDIDO – ","")&amp;IF(ISNUMBER(L436),IF(O436="","SEM DATA",IF(O436&gt;=0,"DEFESA NO PRAZO","DEFESA FORA DO PRAZO")),IF(OR(G436="DECISÃO D.P",ISNUMBER(M436)),"SEM DEFESA",IF(G436="","SEM STATUS",IF(O436="","SEM DATA",IF(O436&lt;0,"VENCIDO",IF(O436&lt;=DiasAlerta,"VENCE EM BREVE","NO PRAZO")))))))</f>
        <v/>
      </c>
      <c r="Q436" s="117" t="str">
        <f>IF(D436="","",TODAY()-D436)</f>
        <v/>
      </c>
      <c r="R436" s="110" t="n"/>
    </row>
    <row r="437" ht="18" customHeight="1">
      <c r="A437" s="109" t="n"/>
      <c r="B437" s="110" t="n"/>
      <c r="C437" s="110" t="n"/>
      <c r="D437" s="111" t="n"/>
      <c r="E437" s="110" t="n"/>
      <c r="F437" s="112" t="n"/>
      <c r="G437" s="112" t="n"/>
      <c r="H437" s="110" t="n"/>
      <c r="I437" s="113" t="n"/>
      <c r="J437" s="113" t="n"/>
      <c r="K437" s="111" t="n"/>
      <c r="L437" s="111" t="n"/>
      <c r="M437" s="111" t="n"/>
      <c r="N437" s="114" t="str">
        <f>IF(OR(D437="",E437=""),"",D437+IF(E437="NOTIFICAÇÃO DE CONSTATAÇÃO",PrazoConst,PrazoEsc))</f>
        <v/>
      </c>
      <c r="O437" s="115" t="str">
        <f>IF(N437="","",IF(ISNUMBER(L437),N437-L437,IF(OR(G437="DECISÃO D.P",ISNUMBER(M437)),"",N437-TODAY())))</f>
        <v/>
      </c>
      <c r="P437" s="116" t="str">
        <f>IF(B437="","",IF(ISNUMBER(M437),"DECIDIDO – ","")&amp;IF(ISNUMBER(L437),IF(O437="","SEM DATA",IF(O437&gt;=0,"DEFESA NO PRAZO","DEFESA FORA DO PRAZO")),IF(OR(G437="DECISÃO D.P",ISNUMBER(M437)),"SEM DEFESA",IF(G437="","SEM STATUS",IF(O437="","SEM DATA",IF(O437&lt;0,"VENCIDO",IF(O437&lt;=DiasAlerta,"VENCE EM BREVE","NO PRAZO")))))))</f>
        <v/>
      </c>
      <c r="Q437" s="117" t="str">
        <f>IF(D437="","",TODAY()-D437)</f>
        <v/>
      </c>
      <c r="R437" s="110" t="n"/>
    </row>
    <row r="438" ht="18" customHeight="1">
      <c r="A438" s="109" t="n"/>
      <c r="B438" s="110" t="n"/>
      <c r="C438" s="110" t="n"/>
      <c r="D438" s="111" t="n"/>
      <c r="E438" s="110" t="n"/>
      <c r="F438" s="112" t="n"/>
      <c r="G438" s="112" t="n"/>
      <c r="H438" s="110" t="n"/>
      <c r="I438" s="113" t="n"/>
      <c r="J438" s="113" t="n"/>
      <c r="K438" s="111" t="n"/>
      <c r="L438" s="111" t="n"/>
      <c r="M438" s="111" t="n"/>
      <c r="N438" s="114" t="str">
        <f>IF(OR(D438="",E438=""),"",D438+IF(E438="NOTIFICAÇÃO DE CONSTATAÇÃO",PrazoConst,PrazoEsc))</f>
        <v/>
      </c>
      <c r="O438" s="115" t="str">
        <f>IF(N438="","",IF(ISNUMBER(L438),N438-L438,IF(OR(G438="DECISÃO D.P",ISNUMBER(M438)),"",N438-TODAY())))</f>
        <v/>
      </c>
      <c r="P438" s="116" t="str">
        <f>IF(B438="","",IF(ISNUMBER(M438),"DECIDIDO – ","")&amp;IF(ISNUMBER(L438),IF(O438="","SEM DATA",IF(O438&gt;=0,"DEFESA NO PRAZO","DEFESA FORA DO PRAZO")),IF(OR(G438="DECISÃO D.P",ISNUMBER(M438)),"SEM DEFESA",IF(G438="","SEM STATUS",IF(O438="","SEM DATA",IF(O438&lt;0,"VENCIDO",IF(O438&lt;=DiasAlerta,"VENCE EM BREVE","NO PRAZO")))))))</f>
        <v/>
      </c>
      <c r="Q438" s="117" t="str">
        <f>IF(D438="","",TODAY()-D438)</f>
        <v/>
      </c>
      <c r="R438" s="110" t="n"/>
    </row>
    <row r="439" ht="18" customHeight="1">
      <c r="A439" s="109" t="n"/>
      <c r="B439" s="110" t="n"/>
      <c r="C439" s="110" t="n"/>
      <c r="D439" s="111" t="n"/>
      <c r="E439" s="110" t="n"/>
      <c r="F439" s="112" t="n"/>
      <c r="G439" s="112" t="n"/>
      <c r="H439" s="110" t="n"/>
      <c r="I439" s="113" t="n"/>
      <c r="J439" s="113" t="n"/>
      <c r="K439" s="111" t="n"/>
      <c r="L439" s="111" t="n"/>
      <c r="M439" s="111" t="n"/>
      <c r="N439" s="114" t="str">
        <f>IF(OR(D439="",E439=""),"",D439+IF(E439="NOTIFICAÇÃO DE CONSTATAÇÃO",PrazoConst,PrazoEsc))</f>
        <v/>
      </c>
      <c r="O439" s="115" t="str">
        <f>IF(N439="","",IF(ISNUMBER(L439),N439-L439,IF(OR(G439="DECISÃO D.P",ISNUMBER(M439)),"",N439-TODAY())))</f>
        <v/>
      </c>
      <c r="P439" s="116" t="str">
        <f>IF(B439="","",IF(ISNUMBER(M439),"DECIDIDO – ","")&amp;IF(ISNUMBER(L439),IF(O439="","SEM DATA",IF(O439&gt;=0,"DEFESA NO PRAZO","DEFESA FORA DO PRAZO")),IF(OR(G439="DECISÃO D.P",ISNUMBER(M439)),"SEM DEFESA",IF(G439="","SEM STATUS",IF(O439="","SEM DATA",IF(O439&lt;0,"VENCIDO",IF(O439&lt;=DiasAlerta,"VENCE EM BREVE","NO PRAZO")))))))</f>
        <v/>
      </c>
      <c r="Q439" s="117" t="str">
        <f>IF(D439="","",TODAY()-D439)</f>
        <v/>
      </c>
      <c r="R439" s="110" t="n"/>
    </row>
    <row r="440" ht="18" customHeight="1">
      <c r="A440" s="109" t="n"/>
      <c r="B440" s="110" t="n"/>
      <c r="C440" s="110" t="n"/>
      <c r="D440" s="111" t="n"/>
      <c r="E440" s="110" t="n"/>
      <c r="F440" s="112" t="n"/>
      <c r="G440" s="112" t="n"/>
      <c r="H440" s="110" t="n"/>
      <c r="I440" s="113" t="n"/>
      <c r="J440" s="113" t="n"/>
      <c r="K440" s="111" t="n"/>
      <c r="L440" s="111" t="n"/>
      <c r="M440" s="111" t="n"/>
      <c r="N440" s="114" t="str">
        <f>IF(OR(D440="",E440=""),"",D440+IF(E440="NOTIFICAÇÃO DE CONSTATAÇÃO",PrazoConst,PrazoEsc))</f>
        <v/>
      </c>
      <c r="O440" s="115" t="str">
        <f>IF(N440="","",IF(ISNUMBER(L440),N440-L440,IF(OR(G440="DECISÃO D.P",ISNUMBER(M440)),"",N440-TODAY())))</f>
        <v/>
      </c>
      <c r="P440" s="116" t="str">
        <f>IF(B440="","",IF(ISNUMBER(M440),"DECIDIDO – ","")&amp;IF(ISNUMBER(L440),IF(O440="","SEM DATA",IF(O440&gt;=0,"DEFESA NO PRAZO","DEFESA FORA DO PRAZO")),IF(OR(G440="DECISÃO D.P",ISNUMBER(M440)),"SEM DEFESA",IF(G440="","SEM STATUS",IF(O440="","SEM DATA",IF(O440&lt;0,"VENCIDO",IF(O440&lt;=DiasAlerta,"VENCE EM BREVE","NO PRAZO")))))))</f>
        <v/>
      </c>
      <c r="Q440" s="117" t="str">
        <f>IF(D440="","",TODAY()-D440)</f>
        <v/>
      </c>
      <c r="R440" s="110" t="n"/>
    </row>
    <row r="441" ht="18" customHeight="1">
      <c r="A441" s="109" t="n"/>
      <c r="B441" s="110" t="n"/>
      <c r="C441" s="110" t="n"/>
      <c r="D441" s="111" t="n"/>
      <c r="E441" s="110" t="n"/>
      <c r="F441" s="112" t="n"/>
      <c r="G441" s="112" t="n"/>
      <c r="H441" s="110" t="n"/>
      <c r="I441" s="113" t="n"/>
      <c r="J441" s="113" t="n"/>
      <c r="K441" s="111" t="n"/>
      <c r="L441" s="111" t="n"/>
      <c r="M441" s="111" t="n"/>
      <c r="N441" s="114" t="str">
        <f>IF(OR(D441="",E441=""),"",D441+IF(E441="NOTIFICAÇÃO DE CONSTATAÇÃO",PrazoConst,PrazoEsc))</f>
        <v/>
      </c>
      <c r="O441" s="115" t="str">
        <f>IF(N441="","",IF(ISNUMBER(L441),N441-L441,IF(OR(G441="DECISÃO D.P",ISNUMBER(M441)),"",N441-TODAY())))</f>
        <v/>
      </c>
      <c r="P441" s="116" t="str">
        <f>IF(B441="","",IF(ISNUMBER(M441),"DECIDIDO – ","")&amp;IF(ISNUMBER(L441),IF(O441="","SEM DATA",IF(O441&gt;=0,"DEFESA NO PRAZO","DEFESA FORA DO PRAZO")),IF(OR(G441="DECISÃO D.P",ISNUMBER(M441)),"SEM DEFESA",IF(G441="","SEM STATUS",IF(O441="","SEM DATA",IF(O441&lt;0,"VENCIDO",IF(O441&lt;=DiasAlerta,"VENCE EM BREVE","NO PRAZO")))))))</f>
        <v/>
      </c>
      <c r="Q441" s="117" t="str">
        <f>IF(D441="","",TODAY()-D441)</f>
        <v/>
      </c>
      <c r="R441" s="110" t="n"/>
    </row>
    <row r="442" ht="18" customHeight="1">
      <c r="A442" s="109" t="n"/>
      <c r="B442" s="110" t="n"/>
      <c r="C442" s="110" t="n"/>
      <c r="D442" s="111" t="n"/>
      <c r="E442" s="110" t="n"/>
      <c r="F442" s="112" t="n"/>
      <c r="G442" s="112" t="n"/>
      <c r="H442" s="110" t="n"/>
      <c r="I442" s="113" t="n"/>
      <c r="J442" s="113" t="n"/>
      <c r="K442" s="111" t="n"/>
      <c r="L442" s="111" t="n"/>
      <c r="M442" s="111" t="n"/>
      <c r="N442" s="114" t="str">
        <f>IF(OR(D442="",E442=""),"",D442+IF(E442="NOTIFICAÇÃO DE CONSTATAÇÃO",PrazoConst,PrazoEsc))</f>
        <v/>
      </c>
      <c r="O442" s="115" t="str">
        <f>IF(N442="","",IF(ISNUMBER(L442),N442-L442,IF(OR(G442="DECISÃO D.P",ISNUMBER(M442)),"",N442-TODAY())))</f>
        <v/>
      </c>
      <c r="P442" s="116" t="str">
        <f>IF(B442="","",IF(ISNUMBER(M442),"DECIDIDO – ","")&amp;IF(ISNUMBER(L442),IF(O442="","SEM DATA",IF(O442&gt;=0,"DEFESA NO PRAZO","DEFESA FORA DO PRAZO")),IF(OR(G442="DECISÃO D.P",ISNUMBER(M442)),"SEM DEFESA",IF(G442="","SEM STATUS",IF(O442="","SEM DATA",IF(O442&lt;0,"VENCIDO",IF(O442&lt;=DiasAlerta,"VENCE EM BREVE","NO PRAZO")))))))</f>
        <v/>
      </c>
      <c r="Q442" s="117" t="str">
        <f>IF(D442="","",TODAY()-D442)</f>
        <v/>
      </c>
      <c r="R442" s="110" t="n"/>
    </row>
    <row r="443" ht="18" customHeight="1">
      <c r="A443" s="109" t="n"/>
      <c r="B443" s="110" t="n"/>
      <c r="C443" s="110" t="n"/>
      <c r="D443" s="111" t="n"/>
      <c r="E443" s="110" t="n"/>
      <c r="F443" s="112" t="n"/>
      <c r="G443" s="112" t="n"/>
      <c r="H443" s="110" t="n"/>
      <c r="I443" s="113" t="n"/>
      <c r="J443" s="113" t="n"/>
      <c r="K443" s="111" t="n"/>
      <c r="L443" s="111" t="n"/>
      <c r="M443" s="111" t="n"/>
      <c r="N443" s="114" t="str">
        <f>IF(OR(D443="",E443=""),"",D443+IF(E443="NOTIFICAÇÃO DE CONSTATAÇÃO",PrazoConst,PrazoEsc))</f>
        <v/>
      </c>
      <c r="O443" s="115" t="str">
        <f>IF(N443="","",IF(ISNUMBER(L443),N443-L443,IF(OR(G443="DECISÃO D.P",ISNUMBER(M443)),"",N443-TODAY())))</f>
        <v/>
      </c>
      <c r="P443" s="116" t="str">
        <f>IF(B443="","",IF(ISNUMBER(M443),"DECIDIDO – ","")&amp;IF(ISNUMBER(L443),IF(O443="","SEM DATA",IF(O443&gt;=0,"DEFESA NO PRAZO","DEFESA FORA DO PRAZO")),IF(OR(G443="DECISÃO D.P",ISNUMBER(M443)),"SEM DEFESA",IF(G443="","SEM STATUS",IF(O443="","SEM DATA",IF(O443&lt;0,"VENCIDO",IF(O443&lt;=DiasAlerta,"VENCE EM BREVE","NO PRAZO")))))))</f>
        <v/>
      </c>
      <c r="Q443" s="117" t="str">
        <f>IF(D443="","",TODAY()-D443)</f>
        <v/>
      </c>
      <c r="R443" s="110" t="n"/>
    </row>
    <row r="444" ht="18" customHeight="1">
      <c r="A444" s="109" t="n"/>
      <c r="B444" s="110" t="n"/>
      <c r="C444" s="110" t="n"/>
      <c r="D444" s="111" t="n"/>
      <c r="E444" s="110" t="n"/>
      <c r="F444" s="112" t="n"/>
      <c r="G444" s="112" t="n"/>
      <c r="H444" s="110" t="n"/>
      <c r="I444" s="113" t="n"/>
      <c r="J444" s="113" t="n"/>
      <c r="K444" s="111" t="n"/>
      <c r="L444" s="111" t="n"/>
      <c r="M444" s="111" t="n"/>
      <c r="N444" s="114" t="str">
        <f>IF(OR(D444="",E444=""),"",D444+IF(E444="NOTIFICAÇÃO DE CONSTATAÇÃO",PrazoConst,PrazoEsc))</f>
        <v/>
      </c>
      <c r="O444" s="115" t="str">
        <f>IF(N444="","",IF(ISNUMBER(L444),N444-L444,IF(OR(G444="DECISÃO D.P",ISNUMBER(M444)),"",N444-TODAY())))</f>
        <v/>
      </c>
      <c r="P444" s="116" t="str">
        <f>IF(B444="","",IF(ISNUMBER(M444),"DECIDIDO – ","")&amp;IF(ISNUMBER(L444),IF(O444="","SEM DATA",IF(O444&gt;=0,"DEFESA NO PRAZO","DEFESA FORA DO PRAZO")),IF(OR(G444="DECISÃO D.P",ISNUMBER(M444)),"SEM DEFESA",IF(G444="","SEM STATUS",IF(O444="","SEM DATA",IF(O444&lt;0,"VENCIDO",IF(O444&lt;=DiasAlerta,"VENCE EM BREVE","NO PRAZO")))))))</f>
        <v/>
      </c>
      <c r="Q444" s="117" t="str">
        <f>IF(D444="","",TODAY()-D444)</f>
        <v/>
      </c>
      <c r="R444" s="110" t="n"/>
    </row>
    <row r="445" ht="18" customHeight="1">
      <c r="A445" s="109" t="n"/>
      <c r="B445" s="110" t="n"/>
      <c r="C445" s="110" t="n"/>
      <c r="D445" s="111" t="n"/>
      <c r="E445" s="110" t="n"/>
      <c r="F445" s="112" t="n"/>
      <c r="G445" s="112" t="n"/>
      <c r="H445" s="110" t="n"/>
      <c r="I445" s="113" t="n"/>
      <c r="J445" s="113" t="n"/>
      <c r="K445" s="111" t="n"/>
      <c r="L445" s="111" t="n"/>
      <c r="M445" s="111" t="n"/>
      <c r="N445" s="114" t="str">
        <f>IF(OR(D445="",E445=""),"",D445+IF(E445="NOTIFICAÇÃO DE CONSTATAÇÃO",PrazoConst,PrazoEsc))</f>
        <v/>
      </c>
      <c r="O445" s="115" t="str">
        <f>IF(N445="","",IF(ISNUMBER(L445),N445-L445,IF(OR(G445="DECISÃO D.P",ISNUMBER(M445)),"",N445-TODAY())))</f>
        <v/>
      </c>
      <c r="P445" s="116" t="str">
        <f>IF(B445="","",IF(ISNUMBER(M445),"DECIDIDO – ","")&amp;IF(ISNUMBER(L445),IF(O445="","SEM DATA",IF(O445&gt;=0,"DEFESA NO PRAZO","DEFESA FORA DO PRAZO")),IF(OR(G445="DECISÃO D.P",ISNUMBER(M445)),"SEM DEFESA",IF(G445="","SEM STATUS",IF(O445="","SEM DATA",IF(O445&lt;0,"VENCIDO",IF(O445&lt;=DiasAlerta,"VENCE EM BREVE","NO PRAZO")))))))</f>
        <v/>
      </c>
      <c r="Q445" s="117" t="str">
        <f>IF(D445="","",TODAY()-D445)</f>
        <v/>
      </c>
      <c r="R445" s="110" t="n"/>
    </row>
    <row r="446" ht="18" customHeight="1">
      <c r="A446" s="109" t="n"/>
      <c r="B446" s="110" t="n"/>
      <c r="C446" s="110" t="n"/>
      <c r="D446" s="111" t="n"/>
      <c r="E446" s="110" t="n"/>
      <c r="F446" s="112" t="n"/>
      <c r="G446" s="112" t="n"/>
      <c r="H446" s="110" t="n"/>
      <c r="I446" s="113" t="n"/>
      <c r="J446" s="113" t="n"/>
      <c r="K446" s="111" t="n"/>
      <c r="L446" s="111" t="n"/>
      <c r="M446" s="111" t="n"/>
      <c r="N446" s="114" t="str">
        <f>IF(OR(D446="",E446=""),"",D446+IF(E446="NOTIFICAÇÃO DE CONSTATAÇÃO",PrazoConst,PrazoEsc))</f>
        <v/>
      </c>
      <c r="O446" s="115" t="str">
        <f>IF(N446="","",IF(ISNUMBER(L446),N446-L446,IF(OR(G446="DECISÃO D.P",ISNUMBER(M446)),"",N446-TODAY())))</f>
        <v/>
      </c>
      <c r="P446" s="116" t="str">
        <f>IF(B446="","",IF(ISNUMBER(M446),"DECIDIDO – ","")&amp;IF(ISNUMBER(L446),IF(O446="","SEM DATA",IF(O446&gt;=0,"DEFESA NO PRAZO","DEFESA FORA DO PRAZO")),IF(OR(G446="DECISÃO D.P",ISNUMBER(M446)),"SEM DEFESA",IF(G446="","SEM STATUS",IF(O446="","SEM DATA",IF(O446&lt;0,"VENCIDO",IF(O446&lt;=DiasAlerta,"VENCE EM BREVE","NO PRAZO")))))))</f>
        <v/>
      </c>
      <c r="Q446" s="117" t="str">
        <f>IF(D446="","",TODAY()-D446)</f>
        <v/>
      </c>
      <c r="R446" s="110" t="n"/>
    </row>
    <row r="447" ht="18" customHeight="1">
      <c r="A447" s="109" t="n"/>
      <c r="B447" s="110" t="n"/>
      <c r="C447" s="110" t="n"/>
      <c r="D447" s="111" t="n"/>
      <c r="E447" s="110" t="n"/>
      <c r="F447" s="112" t="n"/>
      <c r="G447" s="112" t="n"/>
      <c r="H447" s="110" t="n"/>
      <c r="I447" s="113" t="n"/>
      <c r="J447" s="113" t="n"/>
      <c r="K447" s="111" t="n"/>
      <c r="L447" s="111" t="n"/>
      <c r="M447" s="111" t="n"/>
      <c r="N447" s="114" t="str">
        <f>IF(OR(D447="",E447=""),"",D447+IF(E447="NOTIFICAÇÃO DE CONSTATAÇÃO",PrazoConst,PrazoEsc))</f>
        <v/>
      </c>
      <c r="O447" s="115" t="str">
        <f>IF(N447="","",IF(ISNUMBER(L447),N447-L447,IF(OR(G447="DECISÃO D.P",ISNUMBER(M447)),"",N447-TODAY())))</f>
        <v/>
      </c>
      <c r="P447" s="116" t="str">
        <f>IF(B447="","",IF(ISNUMBER(M447),"DECIDIDO – ","")&amp;IF(ISNUMBER(L447),IF(O447="","SEM DATA",IF(O447&gt;=0,"DEFESA NO PRAZO","DEFESA FORA DO PRAZO")),IF(OR(G447="DECISÃO D.P",ISNUMBER(M447)),"SEM DEFESA",IF(G447="","SEM STATUS",IF(O447="","SEM DATA",IF(O447&lt;0,"VENCIDO",IF(O447&lt;=DiasAlerta,"VENCE EM BREVE","NO PRAZO")))))))</f>
        <v/>
      </c>
      <c r="Q447" s="117" t="str">
        <f>IF(D447="","",TODAY()-D447)</f>
        <v/>
      </c>
      <c r="R447" s="110" t="n"/>
    </row>
    <row r="448" ht="18" customHeight="1">
      <c r="A448" s="109" t="n"/>
      <c r="B448" s="110" t="n"/>
      <c r="C448" s="110" t="n"/>
      <c r="D448" s="111" t="n"/>
      <c r="E448" s="110" t="n"/>
      <c r="F448" s="112" t="n"/>
      <c r="G448" s="112" t="n"/>
      <c r="H448" s="110" t="n"/>
      <c r="I448" s="113" t="n"/>
      <c r="J448" s="113" t="n"/>
      <c r="K448" s="111" t="n"/>
      <c r="L448" s="111" t="n"/>
      <c r="M448" s="111" t="n"/>
      <c r="N448" s="114" t="str">
        <f>IF(OR(D448="",E448=""),"",D448+IF(E448="NOTIFICAÇÃO DE CONSTATAÇÃO",PrazoConst,PrazoEsc))</f>
        <v/>
      </c>
      <c r="O448" s="115" t="str">
        <f>IF(N448="","",IF(ISNUMBER(L448),N448-L448,IF(OR(G448="DECISÃO D.P",ISNUMBER(M448)),"",N448-TODAY())))</f>
        <v/>
      </c>
      <c r="P448" s="116" t="str">
        <f>IF(B448="","",IF(ISNUMBER(M448),"DECIDIDO – ","")&amp;IF(ISNUMBER(L448),IF(O448="","SEM DATA",IF(O448&gt;=0,"DEFESA NO PRAZO","DEFESA FORA DO PRAZO")),IF(OR(G448="DECISÃO D.P",ISNUMBER(M448)),"SEM DEFESA",IF(G448="","SEM STATUS",IF(O448="","SEM DATA",IF(O448&lt;0,"VENCIDO",IF(O448&lt;=DiasAlerta,"VENCE EM BREVE","NO PRAZO")))))))</f>
        <v/>
      </c>
      <c r="Q448" s="117" t="str">
        <f>IF(D448="","",TODAY()-D448)</f>
        <v/>
      </c>
      <c r="R448" s="110" t="n"/>
    </row>
    <row r="449" ht="18" customHeight="1">
      <c r="A449" s="109" t="n"/>
      <c r="B449" s="110" t="n"/>
      <c r="C449" s="110" t="n"/>
      <c r="D449" s="111" t="n"/>
      <c r="E449" s="110" t="n"/>
      <c r="F449" s="112" t="n"/>
      <c r="G449" s="112" t="n"/>
      <c r="H449" s="110" t="n"/>
      <c r="I449" s="113" t="n"/>
      <c r="J449" s="113" t="n"/>
      <c r="K449" s="111" t="n"/>
      <c r="L449" s="111" t="n"/>
      <c r="M449" s="111" t="n"/>
      <c r="N449" s="114" t="str">
        <f>IF(OR(D449="",E449=""),"",D449+IF(E449="NOTIFICAÇÃO DE CONSTATAÇÃO",PrazoConst,PrazoEsc))</f>
        <v/>
      </c>
      <c r="O449" s="115" t="str">
        <f>IF(N449="","",IF(ISNUMBER(L449),N449-L449,IF(OR(G449="DECISÃO D.P",ISNUMBER(M449)),"",N449-TODAY())))</f>
        <v/>
      </c>
      <c r="P449" s="116" t="str">
        <f>IF(B449="","",IF(ISNUMBER(M449),"DECIDIDO – ","")&amp;IF(ISNUMBER(L449),IF(O449="","SEM DATA",IF(O449&gt;=0,"DEFESA NO PRAZO","DEFESA FORA DO PRAZO")),IF(OR(G449="DECISÃO D.P",ISNUMBER(M449)),"SEM DEFESA",IF(G449="","SEM STATUS",IF(O449="","SEM DATA",IF(O449&lt;0,"VENCIDO",IF(O449&lt;=DiasAlerta,"VENCE EM BREVE","NO PRAZO")))))))</f>
        <v/>
      </c>
      <c r="Q449" s="117" t="str">
        <f>IF(D449="","",TODAY()-D449)</f>
        <v/>
      </c>
      <c r="R449" s="110" t="n"/>
    </row>
    <row r="450" ht="18" customHeight="1">
      <c r="A450" s="109" t="n"/>
      <c r="B450" s="110" t="n"/>
      <c r="C450" s="110" t="n"/>
      <c r="D450" s="111" t="n"/>
      <c r="E450" s="110" t="n"/>
      <c r="F450" s="112" t="n"/>
      <c r="G450" s="112" t="n"/>
      <c r="H450" s="110" t="n"/>
      <c r="I450" s="113" t="n"/>
      <c r="J450" s="113" t="n"/>
      <c r="K450" s="111" t="n"/>
      <c r="L450" s="111" t="n"/>
      <c r="M450" s="111" t="n"/>
      <c r="N450" s="114" t="str">
        <f>IF(OR(D450="",E450=""),"",D450+IF(E450="NOTIFICAÇÃO DE CONSTATAÇÃO",PrazoConst,PrazoEsc))</f>
        <v/>
      </c>
      <c r="O450" s="115" t="str">
        <f>IF(N450="","",IF(ISNUMBER(L450),N450-L450,IF(OR(G450="DECISÃO D.P",ISNUMBER(M450)),"",N450-TODAY())))</f>
        <v/>
      </c>
      <c r="P450" s="116" t="str">
        <f>IF(B450="","",IF(ISNUMBER(M450),"DECIDIDO – ","")&amp;IF(ISNUMBER(L450),IF(O450="","SEM DATA",IF(O450&gt;=0,"DEFESA NO PRAZO","DEFESA FORA DO PRAZO")),IF(OR(G450="DECISÃO D.P",ISNUMBER(M450)),"SEM DEFESA",IF(G450="","SEM STATUS",IF(O450="","SEM DATA",IF(O450&lt;0,"VENCIDO",IF(O450&lt;=DiasAlerta,"VENCE EM BREVE","NO PRAZO")))))))</f>
        <v/>
      </c>
      <c r="Q450" s="117" t="str">
        <f>IF(D450="","",TODAY()-D450)</f>
        <v/>
      </c>
      <c r="R450" s="110" t="n"/>
    </row>
    <row r="451" ht="18" customHeight="1">
      <c r="A451" s="109" t="n"/>
      <c r="B451" s="110" t="n"/>
      <c r="C451" s="110" t="n"/>
      <c r="D451" s="111" t="n"/>
      <c r="E451" s="110" t="n"/>
      <c r="F451" s="112" t="n"/>
      <c r="G451" s="112" t="n"/>
      <c r="H451" s="110" t="n"/>
      <c r="I451" s="113" t="n"/>
      <c r="J451" s="113" t="n"/>
      <c r="K451" s="111" t="n"/>
      <c r="L451" s="111" t="n"/>
      <c r="M451" s="111" t="n"/>
      <c r="N451" s="114" t="str">
        <f>IF(OR(D451="",E451=""),"",D451+IF(E451="NOTIFICAÇÃO DE CONSTATAÇÃO",PrazoConst,PrazoEsc))</f>
        <v/>
      </c>
      <c r="O451" s="115" t="str">
        <f>IF(N451="","",IF(ISNUMBER(L451),N451-L451,IF(OR(G451="DECISÃO D.P",ISNUMBER(M451)),"",N451-TODAY())))</f>
        <v/>
      </c>
      <c r="P451" s="116" t="str">
        <f>IF(B451="","",IF(ISNUMBER(M451),"DECIDIDO – ","")&amp;IF(ISNUMBER(L451),IF(O451="","SEM DATA",IF(O451&gt;=0,"DEFESA NO PRAZO","DEFESA FORA DO PRAZO")),IF(OR(G451="DECISÃO D.P",ISNUMBER(M451)),"SEM DEFESA",IF(G451="","SEM STATUS",IF(O451="","SEM DATA",IF(O451&lt;0,"VENCIDO",IF(O451&lt;=DiasAlerta,"VENCE EM BREVE","NO PRAZO")))))))</f>
        <v/>
      </c>
      <c r="Q451" s="117" t="str">
        <f>IF(D451="","",TODAY()-D451)</f>
        <v/>
      </c>
      <c r="R451" s="110" t="n"/>
    </row>
    <row r="452" ht="18" customHeight="1">
      <c r="A452" s="109" t="n"/>
      <c r="B452" s="110" t="n"/>
      <c r="C452" s="110" t="n"/>
      <c r="D452" s="111" t="n"/>
      <c r="E452" s="110" t="n"/>
      <c r="F452" s="112" t="n"/>
      <c r="G452" s="112" t="n"/>
      <c r="H452" s="110" t="n"/>
      <c r="I452" s="113" t="n"/>
      <c r="J452" s="113" t="n"/>
      <c r="K452" s="111" t="n"/>
      <c r="L452" s="111" t="n"/>
      <c r="M452" s="111" t="n"/>
      <c r="N452" s="114" t="str">
        <f>IF(OR(D452="",E452=""),"",D452+IF(E452="NOTIFICAÇÃO DE CONSTATAÇÃO",PrazoConst,PrazoEsc))</f>
        <v/>
      </c>
      <c r="O452" s="115" t="str">
        <f>IF(N452="","",IF(ISNUMBER(L452),N452-L452,IF(OR(G452="DECISÃO D.P",ISNUMBER(M452)),"",N452-TODAY())))</f>
        <v/>
      </c>
      <c r="P452" s="116" t="str">
        <f>IF(B452="","",IF(ISNUMBER(M452),"DECIDIDO – ","")&amp;IF(ISNUMBER(L452),IF(O452="","SEM DATA",IF(O452&gt;=0,"DEFESA NO PRAZO","DEFESA FORA DO PRAZO")),IF(OR(G452="DECISÃO D.P",ISNUMBER(M452)),"SEM DEFESA",IF(G452="","SEM STATUS",IF(O452="","SEM DATA",IF(O452&lt;0,"VENCIDO",IF(O452&lt;=DiasAlerta,"VENCE EM BREVE","NO PRAZO")))))))</f>
        <v/>
      </c>
      <c r="Q452" s="117" t="str">
        <f>IF(D452="","",TODAY()-D452)</f>
        <v/>
      </c>
      <c r="R452" s="110" t="n"/>
    </row>
    <row r="453" ht="18" customHeight="1">
      <c r="A453" s="109" t="n"/>
      <c r="B453" s="110" t="n"/>
      <c r="C453" s="110" t="n"/>
      <c r="D453" s="111" t="n"/>
      <c r="E453" s="110" t="n"/>
      <c r="F453" s="112" t="n"/>
      <c r="G453" s="112" t="n"/>
      <c r="H453" s="110" t="n"/>
      <c r="I453" s="113" t="n"/>
      <c r="J453" s="113" t="n"/>
      <c r="K453" s="111" t="n"/>
      <c r="L453" s="111" t="n"/>
      <c r="M453" s="111" t="n"/>
      <c r="N453" s="114" t="str">
        <f>IF(OR(D453="",E453=""),"",D453+IF(E453="NOTIFICAÇÃO DE CONSTATAÇÃO",PrazoConst,PrazoEsc))</f>
        <v/>
      </c>
      <c r="O453" s="115" t="str">
        <f>IF(N453="","",IF(ISNUMBER(L453),N453-L453,IF(OR(G453="DECISÃO D.P",ISNUMBER(M453)),"",N453-TODAY())))</f>
        <v/>
      </c>
      <c r="P453" s="116" t="str">
        <f>IF(B453="","",IF(ISNUMBER(M453),"DECIDIDO – ","")&amp;IF(ISNUMBER(L453),IF(O453="","SEM DATA",IF(O453&gt;=0,"DEFESA NO PRAZO","DEFESA FORA DO PRAZO")),IF(OR(G453="DECISÃO D.P",ISNUMBER(M453)),"SEM DEFESA",IF(G453="","SEM STATUS",IF(O453="","SEM DATA",IF(O453&lt;0,"VENCIDO",IF(O453&lt;=DiasAlerta,"VENCE EM BREVE","NO PRAZO")))))))</f>
        <v/>
      </c>
      <c r="Q453" s="117" t="str">
        <f>IF(D453="","",TODAY()-D453)</f>
        <v/>
      </c>
      <c r="R453" s="110" t="n"/>
    </row>
    <row r="454" ht="18" customHeight="1">
      <c r="A454" s="109" t="n"/>
      <c r="B454" s="110" t="n"/>
      <c r="C454" s="110" t="n"/>
      <c r="D454" s="111" t="n"/>
      <c r="E454" s="110" t="n"/>
      <c r="F454" s="112" t="n"/>
      <c r="G454" s="112" t="n"/>
      <c r="H454" s="110" t="n"/>
      <c r="I454" s="113" t="n"/>
      <c r="J454" s="113" t="n"/>
      <c r="K454" s="111" t="n"/>
      <c r="L454" s="111" t="n"/>
      <c r="M454" s="111" t="n"/>
      <c r="N454" s="114" t="str">
        <f>IF(OR(D454="",E454=""),"",D454+IF(E454="NOTIFICAÇÃO DE CONSTATAÇÃO",PrazoConst,PrazoEsc))</f>
        <v/>
      </c>
      <c r="O454" s="115" t="str">
        <f>IF(N454="","",IF(ISNUMBER(L454),N454-L454,IF(OR(G454="DECISÃO D.P",ISNUMBER(M454)),"",N454-TODAY())))</f>
        <v/>
      </c>
      <c r="P454" s="116" t="str">
        <f>IF(B454="","",IF(ISNUMBER(M454),"DECIDIDO – ","")&amp;IF(ISNUMBER(L454),IF(O454="","SEM DATA",IF(O454&gt;=0,"DEFESA NO PRAZO","DEFESA FORA DO PRAZO")),IF(OR(G454="DECISÃO D.P",ISNUMBER(M454)),"SEM DEFESA",IF(G454="","SEM STATUS",IF(O454="","SEM DATA",IF(O454&lt;0,"VENCIDO",IF(O454&lt;=DiasAlerta,"VENCE EM BREVE","NO PRAZO")))))))</f>
        <v/>
      </c>
      <c r="Q454" s="117" t="str">
        <f>IF(D454="","",TODAY()-D454)</f>
        <v/>
      </c>
      <c r="R454" s="110" t="n"/>
    </row>
    <row r="455" ht="18" customHeight="1">
      <c r="A455" s="109" t="n"/>
      <c r="B455" s="110" t="n"/>
      <c r="C455" s="110" t="n"/>
      <c r="D455" s="111" t="n"/>
      <c r="E455" s="110" t="n"/>
      <c r="F455" s="112" t="n"/>
      <c r="G455" s="112" t="n"/>
      <c r="H455" s="110" t="n"/>
      <c r="I455" s="113" t="n"/>
      <c r="J455" s="113" t="n"/>
      <c r="K455" s="111" t="n"/>
      <c r="L455" s="111" t="n"/>
      <c r="M455" s="111" t="n"/>
      <c r="N455" s="114" t="str">
        <f>IF(OR(D455="",E455=""),"",D455+IF(E455="NOTIFICAÇÃO DE CONSTATAÇÃO",PrazoConst,PrazoEsc))</f>
        <v/>
      </c>
      <c r="O455" s="115" t="str">
        <f>IF(N455="","",IF(ISNUMBER(L455),N455-L455,IF(OR(G455="DECISÃO D.P",ISNUMBER(M455)),"",N455-TODAY())))</f>
        <v/>
      </c>
      <c r="P455" s="116" t="str">
        <f>IF(B455="","",IF(ISNUMBER(M455),"DECIDIDO – ","")&amp;IF(ISNUMBER(L455),IF(O455="","SEM DATA",IF(O455&gt;=0,"DEFESA NO PRAZO","DEFESA FORA DO PRAZO")),IF(OR(G455="DECISÃO D.P",ISNUMBER(M455)),"SEM DEFESA",IF(G455="","SEM STATUS",IF(O455="","SEM DATA",IF(O455&lt;0,"VENCIDO",IF(O455&lt;=DiasAlerta,"VENCE EM BREVE","NO PRAZO")))))))</f>
        <v/>
      </c>
      <c r="Q455" s="117" t="str">
        <f>IF(D455="","",TODAY()-D455)</f>
        <v/>
      </c>
      <c r="R455" s="110" t="n"/>
    </row>
    <row r="456" ht="18" customHeight="1">
      <c r="A456" s="109" t="n"/>
      <c r="B456" s="110" t="n"/>
      <c r="C456" s="110" t="n"/>
      <c r="D456" s="111" t="n"/>
      <c r="E456" s="110" t="n"/>
      <c r="F456" s="112" t="n"/>
      <c r="G456" s="112" t="n"/>
      <c r="H456" s="110" t="n"/>
      <c r="I456" s="113" t="n"/>
      <c r="J456" s="113" t="n"/>
      <c r="K456" s="111" t="n"/>
      <c r="L456" s="111" t="n"/>
      <c r="M456" s="111" t="n"/>
      <c r="N456" s="114" t="str">
        <f>IF(OR(D456="",E456=""),"",D456+IF(E456="NOTIFICAÇÃO DE CONSTATAÇÃO",PrazoConst,PrazoEsc))</f>
        <v/>
      </c>
      <c r="O456" s="115" t="str">
        <f>IF(N456="","",IF(ISNUMBER(L456),N456-L456,IF(OR(G456="DECISÃO D.P",ISNUMBER(M456)),"",N456-TODAY())))</f>
        <v/>
      </c>
      <c r="P456" s="116" t="str">
        <f>IF(B456="","",IF(ISNUMBER(M456),"DECIDIDO – ","")&amp;IF(ISNUMBER(L456),IF(O456="","SEM DATA",IF(O456&gt;=0,"DEFESA NO PRAZO","DEFESA FORA DO PRAZO")),IF(OR(G456="DECISÃO D.P",ISNUMBER(M456)),"SEM DEFESA",IF(G456="","SEM STATUS",IF(O456="","SEM DATA",IF(O456&lt;0,"VENCIDO",IF(O456&lt;=DiasAlerta,"VENCE EM BREVE","NO PRAZO")))))))</f>
        <v/>
      </c>
      <c r="Q456" s="117" t="str">
        <f>IF(D456="","",TODAY()-D456)</f>
        <v/>
      </c>
      <c r="R456" s="110" t="n"/>
    </row>
    <row r="457" ht="18" customHeight="1">
      <c r="A457" s="109" t="n"/>
      <c r="B457" s="110" t="n"/>
      <c r="C457" s="110" t="n"/>
      <c r="D457" s="111" t="n"/>
      <c r="E457" s="110" t="n"/>
      <c r="F457" s="112" t="n"/>
      <c r="G457" s="112" t="n"/>
      <c r="H457" s="110" t="n"/>
      <c r="I457" s="113" t="n"/>
      <c r="J457" s="113" t="n"/>
      <c r="K457" s="111" t="n"/>
      <c r="L457" s="111" t="n"/>
      <c r="M457" s="111" t="n"/>
      <c r="N457" s="114" t="str">
        <f>IF(OR(D457="",E457=""),"",D457+IF(E457="NOTIFICAÇÃO DE CONSTATAÇÃO",PrazoConst,PrazoEsc))</f>
        <v/>
      </c>
      <c r="O457" s="115" t="str">
        <f>IF(N457="","",IF(ISNUMBER(L457),N457-L457,IF(OR(G457="DECISÃO D.P",ISNUMBER(M457)),"",N457-TODAY())))</f>
        <v/>
      </c>
      <c r="P457" s="116" t="str">
        <f>IF(B457="","",IF(ISNUMBER(M457),"DECIDIDO – ","")&amp;IF(ISNUMBER(L457),IF(O457="","SEM DATA",IF(O457&gt;=0,"DEFESA NO PRAZO","DEFESA FORA DO PRAZO")),IF(OR(G457="DECISÃO D.P",ISNUMBER(M457)),"SEM DEFESA",IF(G457="","SEM STATUS",IF(O457="","SEM DATA",IF(O457&lt;0,"VENCIDO",IF(O457&lt;=DiasAlerta,"VENCE EM BREVE","NO PRAZO")))))))</f>
        <v/>
      </c>
      <c r="Q457" s="117" t="str">
        <f>IF(D457="","",TODAY()-D457)</f>
        <v/>
      </c>
      <c r="R457" s="110" t="n"/>
    </row>
    <row r="458" ht="18" customHeight="1">
      <c r="A458" s="109" t="n"/>
      <c r="B458" s="110" t="n"/>
      <c r="C458" s="110" t="n"/>
      <c r="D458" s="111" t="n"/>
      <c r="E458" s="110" t="n"/>
      <c r="F458" s="112" t="n"/>
      <c r="G458" s="112" t="n"/>
      <c r="H458" s="110" t="n"/>
      <c r="I458" s="113" t="n"/>
      <c r="J458" s="113" t="n"/>
      <c r="K458" s="111" t="n"/>
      <c r="L458" s="111" t="n"/>
      <c r="M458" s="111" t="n"/>
      <c r="N458" s="114" t="str">
        <f>IF(OR(D458="",E458=""),"",D458+IF(E458="NOTIFICAÇÃO DE CONSTATAÇÃO",PrazoConst,PrazoEsc))</f>
        <v/>
      </c>
      <c r="O458" s="115" t="str">
        <f>IF(N458="","",IF(ISNUMBER(L458),N458-L458,IF(OR(G458="DECISÃO D.P",ISNUMBER(M458)),"",N458-TODAY())))</f>
        <v/>
      </c>
      <c r="P458" s="116" t="str">
        <f>IF(B458="","",IF(ISNUMBER(M458),"DECIDIDO – ","")&amp;IF(ISNUMBER(L458),IF(O458="","SEM DATA",IF(O458&gt;=0,"DEFESA NO PRAZO","DEFESA FORA DO PRAZO")),IF(OR(G458="DECISÃO D.P",ISNUMBER(M458)),"SEM DEFESA",IF(G458="","SEM STATUS",IF(O458="","SEM DATA",IF(O458&lt;0,"VENCIDO",IF(O458&lt;=DiasAlerta,"VENCE EM BREVE","NO PRAZO")))))))</f>
        <v/>
      </c>
      <c r="Q458" s="117" t="str">
        <f>IF(D458="","",TODAY()-D458)</f>
        <v/>
      </c>
      <c r="R458" s="110" t="n"/>
    </row>
    <row r="459" ht="18" customHeight="1">
      <c r="A459" s="109" t="n"/>
      <c r="B459" s="110" t="n"/>
      <c r="C459" s="110" t="n"/>
      <c r="D459" s="111" t="n"/>
      <c r="E459" s="110" t="n"/>
      <c r="F459" s="112" t="n"/>
      <c r="G459" s="112" t="n"/>
      <c r="H459" s="110" t="n"/>
      <c r="I459" s="113" t="n"/>
      <c r="J459" s="113" t="n"/>
      <c r="K459" s="111" t="n"/>
      <c r="L459" s="111" t="n"/>
      <c r="M459" s="111" t="n"/>
      <c r="N459" s="114" t="str">
        <f>IF(OR(D459="",E459=""),"",D459+IF(E459="NOTIFICAÇÃO DE CONSTATAÇÃO",PrazoConst,PrazoEsc))</f>
        <v/>
      </c>
      <c r="O459" s="115" t="str">
        <f>IF(N459="","",IF(ISNUMBER(L459),N459-L459,IF(OR(G459="DECISÃO D.P",ISNUMBER(M459)),"",N459-TODAY())))</f>
        <v/>
      </c>
      <c r="P459" s="116" t="str">
        <f>IF(B459="","",IF(ISNUMBER(M459),"DECIDIDO – ","")&amp;IF(ISNUMBER(L459),IF(O459="","SEM DATA",IF(O459&gt;=0,"DEFESA NO PRAZO","DEFESA FORA DO PRAZO")),IF(OR(G459="DECISÃO D.P",ISNUMBER(M459)),"SEM DEFESA",IF(G459="","SEM STATUS",IF(O459="","SEM DATA",IF(O459&lt;0,"VENCIDO",IF(O459&lt;=DiasAlerta,"VENCE EM BREVE","NO PRAZO")))))))</f>
        <v/>
      </c>
      <c r="Q459" s="117" t="str">
        <f>IF(D459="","",TODAY()-D459)</f>
        <v/>
      </c>
      <c r="R459" s="110" t="n"/>
    </row>
    <row r="460" ht="18" customHeight="1">
      <c r="A460" s="109" t="n"/>
      <c r="B460" s="110" t="n"/>
      <c r="C460" s="110" t="n"/>
      <c r="D460" s="111" t="n"/>
      <c r="E460" s="110" t="n"/>
      <c r="F460" s="112" t="n"/>
      <c r="G460" s="112" t="n"/>
      <c r="H460" s="110" t="n"/>
      <c r="I460" s="113" t="n"/>
      <c r="J460" s="113" t="n"/>
      <c r="K460" s="111" t="n"/>
      <c r="L460" s="111" t="n"/>
      <c r="M460" s="111" t="n"/>
      <c r="N460" s="114" t="str">
        <f>IF(OR(D460="",E460=""),"",D460+IF(E460="NOTIFICAÇÃO DE CONSTATAÇÃO",PrazoConst,PrazoEsc))</f>
        <v/>
      </c>
      <c r="O460" s="115" t="str">
        <f>IF(N460="","",IF(ISNUMBER(L460),N460-L460,IF(OR(G460="DECISÃO D.P",ISNUMBER(M460)),"",N460-TODAY())))</f>
        <v/>
      </c>
      <c r="P460" s="116" t="str">
        <f>IF(B460="","",IF(ISNUMBER(M460),"DECIDIDO – ","")&amp;IF(ISNUMBER(L460),IF(O460="","SEM DATA",IF(O460&gt;=0,"DEFESA NO PRAZO","DEFESA FORA DO PRAZO")),IF(OR(G460="DECISÃO D.P",ISNUMBER(M460)),"SEM DEFESA",IF(G460="","SEM STATUS",IF(O460="","SEM DATA",IF(O460&lt;0,"VENCIDO",IF(O460&lt;=DiasAlerta,"VENCE EM BREVE","NO PRAZO")))))))</f>
        <v/>
      </c>
      <c r="Q460" s="117" t="str">
        <f>IF(D460="","",TODAY()-D460)</f>
        <v/>
      </c>
      <c r="R460" s="110" t="n"/>
    </row>
    <row r="461" ht="18" customHeight="1">
      <c r="A461" s="109" t="n"/>
      <c r="B461" s="110" t="n"/>
      <c r="C461" s="110" t="n"/>
      <c r="D461" s="111" t="n"/>
      <c r="E461" s="110" t="n"/>
      <c r="F461" s="112" t="n"/>
      <c r="G461" s="112" t="n"/>
      <c r="H461" s="110" t="n"/>
      <c r="I461" s="113" t="n"/>
      <c r="J461" s="113" t="n"/>
      <c r="K461" s="111" t="n"/>
      <c r="L461" s="111" t="n"/>
      <c r="M461" s="111" t="n"/>
      <c r="N461" s="114" t="str">
        <f>IF(OR(D461="",E461=""),"",D461+IF(E461="NOTIFICAÇÃO DE CONSTATAÇÃO",PrazoConst,PrazoEsc))</f>
        <v/>
      </c>
      <c r="O461" s="115" t="str">
        <f>IF(N461="","",IF(ISNUMBER(L461),N461-L461,IF(OR(G461="DECISÃO D.P",ISNUMBER(M461)),"",N461-TODAY())))</f>
        <v/>
      </c>
      <c r="P461" s="116" t="str">
        <f>IF(B461="","",IF(ISNUMBER(M461),"DECIDIDO – ","")&amp;IF(ISNUMBER(L461),IF(O461="","SEM DATA",IF(O461&gt;=0,"DEFESA NO PRAZO","DEFESA FORA DO PRAZO")),IF(OR(G461="DECISÃO D.P",ISNUMBER(M461)),"SEM DEFESA",IF(G461="","SEM STATUS",IF(O461="","SEM DATA",IF(O461&lt;0,"VENCIDO",IF(O461&lt;=DiasAlerta,"VENCE EM BREVE","NO PRAZO")))))))</f>
        <v/>
      </c>
      <c r="Q461" s="117" t="str">
        <f>IF(D461="","",TODAY()-D461)</f>
        <v/>
      </c>
      <c r="R461" s="110" t="n"/>
    </row>
    <row r="462" ht="18" customHeight="1">
      <c r="A462" s="109" t="n"/>
      <c r="B462" s="110" t="n"/>
      <c r="C462" s="110" t="n"/>
      <c r="D462" s="111" t="n"/>
      <c r="E462" s="110" t="n"/>
      <c r="F462" s="112" t="n"/>
      <c r="G462" s="112" t="n"/>
      <c r="H462" s="110" t="n"/>
      <c r="I462" s="113" t="n"/>
      <c r="J462" s="113" t="n"/>
      <c r="K462" s="111" t="n"/>
      <c r="L462" s="111" t="n"/>
      <c r="M462" s="111" t="n"/>
      <c r="N462" s="114" t="str">
        <f>IF(OR(D462="",E462=""),"",D462+IF(E462="NOTIFICAÇÃO DE CONSTATAÇÃO",PrazoConst,PrazoEsc))</f>
        <v/>
      </c>
      <c r="O462" s="115" t="str">
        <f>IF(N462="","",IF(ISNUMBER(L462),N462-L462,IF(OR(G462="DECISÃO D.P",ISNUMBER(M462)),"",N462-TODAY())))</f>
        <v/>
      </c>
      <c r="P462" s="116" t="str">
        <f>IF(B462="","",IF(ISNUMBER(M462),"DECIDIDO – ","")&amp;IF(ISNUMBER(L462),IF(O462="","SEM DATA",IF(O462&gt;=0,"DEFESA NO PRAZO","DEFESA FORA DO PRAZO")),IF(OR(G462="DECISÃO D.P",ISNUMBER(M462)),"SEM DEFESA",IF(G462="","SEM STATUS",IF(O462="","SEM DATA",IF(O462&lt;0,"VENCIDO",IF(O462&lt;=DiasAlerta,"VENCE EM BREVE","NO PRAZO")))))))</f>
        <v/>
      </c>
      <c r="Q462" s="117" t="str">
        <f>IF(D462="","",TODAY()-D462)</f>
        <v/>
      </c>
      <c r="R462" s="110" t="n"/>
    </row>
    <row r="463" ht="18" customHeight="1">
      <c r="A463" s="109" t="n"/>
      <c r="B463" s="110" t="n"/>
      <c r="C463" s="110" t="n"/>
      <c r="D463" s="111" t="n"/>
      <c r="E463" s="110" t="n"/>
      <c r="F463" s="112" t="n"/>
      <c r="G463" s="112" t="n"/>
      <c r="H463" s="110" t="n"/>
      <c r="I463" s="113" t="n"/>
      <c r="J463" s="113" t="n"/>
      <c r="K463" s="111" t="n"/>
      <c r="L463" s="111" t="n"/>
      <c r="M463" s="111" t="n"/>
      <c r="N463" s="114" t="str">
        <f>IF(OR(D463="",E463=""),"",D463+IF(E463="NOTIFICAÇÃO DE CONSTATAÇÃO",PrazoConst,PrazoEsc))</f>
        <v/>
      </c>
      <c r="O463" s="115" t="str">
        <f>IF(N463="","",IF(ISNUMBER(L463),N463-L463,IF(OR(G463="DECISÃO D.P",ISNUMBER(M463)),"",N463-TODAY())))</f>
        <v/>
      </c>
      <c r="P463" s="116" t="str">
        <f>IF(B463="","",IF(ISNUMBER(M463),"DECIDIDO – ","")&amp;IF(ISNUMBER(L463),IF(O463="","SEM DATA",IF(O463&gt;=0,"DEFESA NO PRAZO","DEFESA FORA DO PRAZO")),IF(OR(G463="DECISÃO D.P",ISNUMBER(M463)),"SEM DEFESA",IF(G463="","SEM STATUS",IF(O463="","SEM DATA",IF(O463&lt;0,"VENCIDO",IF(O463&lt;=DiasAlerta,"VENCE EM BREVE","NO PRAZO")))))))</f>
        <v/>
      </c>
      <c r="Q463" s="117" t="str">
        <f>IF(D463="","",TODAY()-D463)</f>
        <v/>
      </c>
      <c r="R463" s="110" t="n"/>
    </row>
    <row r="464" ht="18" customHeight="1">
      <c r="A464" s="109" t="n"/>
      <c r="B464" s="110" t="n"/>
      <c r="C464" s="110" t="n"/>
      <c r="D464" s="111" t="n"/>
      <c r="E464" s="110" t="n"/>
      <c r="F464" s="112" t="n"/>
      <c r="G464" s="112" t="n"/>
      <c r="H464" s="110" t="n"/>
      <c r="I464" s="113" t="n"/>
      <c r="J464" s="113" t="n"/>
      <c r="K464" s="111" t="n"/>
      <c r="L464" s="111" t="n"/>
      <c r="M464" s="111" t="n"/>
      <c r="N464" s="114" t="str">
        <f>IF(OR(D464="",E464=""),"",D464+IF(E464="NOTIFICAÇÃO DE CONSTATAÇÃO",PrazoConst,PrazoEsc))</f>
        <v/>
      </c>
      <c r="O464" s="115" t="str">
        <f>IF(N464="","",IF(ISNUMBER(L464),N464-L464,IF(OR(G464="DECISÃO D.P",ISNUMBER(M464)),"",N464-TODAY())))</f>
        <v/>
      </c>
      <c r="P464" s="116" t="str">
        <f>IF(B464="","",IF(ISNUMBER(M464),"DECIDIDO – ","")&amp;IF(ISNUMBER(L464),IF(O464="","SEM DATA",IF(O464&gt;=0,"DEFESA NO PRAZO","DEFESA FORA DO PRAZO")),IF(OR(G464="DECISÃO D.P",ISNUMBER(M464)),"SEM DEFESA",IF(G464="","SEM STATUS",IF(O464="","SEM DATA",IF(O464&lt;0,"VENCIDO",IF(O464&lt;=DiasAlerta,"VENCE EM BREVE","NO PRAZO")))))))</f>
        <v/>
      </c>
      <c r="Q464" s="117" t="str">
        <f>IF(D464="","",TODAY()-D464)</f>
        <v/>
      </c>
      <c r="R464" s="110" t="n"/>
    </row>
    <row r="465" ht="18" customHeight="1">
      <c r="A465" s="109" t="n"/>
      <c r="B465" s="110" t="n"/>
      <c r="C465" s="110" t="n"/>
      <c r="D465" s="111" t="n"/>
      <c r="E465" s="110" t="n"/>
      <c r="F465" s="112" t="n"/>
      <c r="G465" s="112" t="n"/>
      <c r="H465" s="110" t="n"/>
      <c r="I465" s="113" t="n"/>
      <c r="J465" s="113" t="n"/>
      <c r="K465" s="111" t="n"/>
      <c r="L465" s="111" t="n"/>
      <c r="M465" s="111" t="n"/>
      <c r="N465" s="114" t="str">
        <f>IF(OR(D465="",E465=""),"",D465+IF(E465="NOTIFICAÇÃO DE CONSTATAÇÃO",PrazoConst,PrazoEsc))</f>
        <v/>
      </c>
      <c r="O465" s="115" t="str">
        <f>IF(N465="","",IF(ISNUMBER(L465),N465-L465,IF(OR(G465="DECISÃO D.P",ISNUMBER(M465)),"",N465-TODAY())))</f>
        <v/>
      </c>
      <c r="P465" s="116" t="str">
        <f>IF(B465="","",IF(ISNUMBER(M465),"DECIDIDO – ","")&amp;IF(ISNUMBER(L465),IF(O465="","SEM DATA",IF(O465&gt;=0,"DEFESA NO PRAZO","DEFESA FORA DO PRAZO")),IF(OR(G465="DECISÃO D.P",ISNUMBER(M465)),"SEM DEFESA",IF(G465="","SEM STATUS",IF(O465="","SEM DATA",IF(O465&lt;0,"VENCIDO",IF(O465&lt;=DiasAlerta,"VENCE EM BREVE","NO PRAZO")))))))</f>
        <v/>
      </c>
      <c r="Q465" s="117" t="str">
        <f>IF(D465="","",TODAY()-D465)</f>
        <v/>
      </c>
      <c r="R465" s="110" t="n"/>
    </row>
    <row r="466" ht="18" customHeight="1">
      <c r="A466" s="109" t="n"/>
      <c r="B466" s="110" t="n"/>
      <c r="C466" s="110" t="n"/>
      <c r="D466" s="111" t="n"/>
      <c r="E466" s="110" t="n"/>
      <c r="F466" s="112" t="n"/>
      <c r="G466" s="112" t="n"/>
      <c r="H466" s="110" t="n"/>
      <c r="I466" s="113" t="n"/>
      <c r="J466" s="113" t="n"/>
      <c r="K466" s="111" t="n"/>
      <c r="L466" s="111" t="n"/>
      <c r="M466" s="111" t="n"/>
      <c r="N466" s="114" t="str">
        <f>IF(OR(D466="",E466=""),"",D466+IF(E466="NOTIFICAÇÃO DE CONSTATAÇÃO",PrazoConst,PrazoEsc))</f>
        <v/>
      </c>
      <c r="O466" s="115" t="str">
        <f>IF(N466="","",IF(ISNUMBER(L466),N466-L466,IF(OR(G466="DECISÃO D.P",ISNUMBER(M466)),"",N466-TODAY())))</f>
        <v/>
      </c>
      <c r="P466" s="116" t="str">
        <f>IF(B466="","",IF(ISNUMBER(M466),"DECIDIDO – ","")&amp;IF(ISNUMBER(L466),IF(O466="","SEM DATA",IF(O466&gt;=0,"DEFESA NO PRAZO","DEFESA FORA DO PRAZO")),IF(OR(G466="DECISÃO D.P",ISNUMBER(M466)),"SEM DEFESA",IF(G466="","SEM STATUS",IF(O466="","SEM DATA",IF(O466&lt;0,"VENCIDO",IF(O466&lt;=DiasAlerta,"VENCE EM BREVE","NO PRAZO")))))))</f>
        <v/>
      </c>
      <c r="Q466" s="117" t="str">
        <f>IF(D466="","",TODAY()-D466)</f>
        <v/>
      </c>
      <c r="R466" s="110" t="n"/>
    </row>
    <row r="467" ht="18" customHeight="1">
      <c r="A467" s="109" t="n"/>
      <c r="B467" s="110" t="n"/>
      <c r="C467" s="110" t="n"/>
      <c r="D467" s="111" t="n"/>
      <c r="E467" s="110" t="n"/>
      <c r="F467" s="112" t="n"/>
      <c r="G467" s="112" t="n"/>
      <c r="H467" s="110" t="n"/>
      <c r="I467" s="113" t="n"/>
      <c r="J467" s="113" t="n"/>
      <c r="K467" s="111" t="n"/>
      <c r="L467" s="111" t="n"/>
      <c r="M467" s="111" t="n"/>
      <c r="N467" s="114" t="str">
        <f>IF(OR(D467="",E467=""),"",D467+IF(E467="NOTIFICAÇÃO DE CONSTATAÇÃO",PrazoConst,PrazoEsc))</f>
        <v/>
      </c>
      <c r="O467" s="115" t="str">
        <f>IF(N467="","",IF(ISNUMBER(L467),N467-L467,IF(OR(G467="DECISÃO D.P",ISNUMBER(M467)),"",N467-TODAY())))</f>
        <v/>
      </c>
      <c r="P467" s="116" t="str">
        <f>IF(B467="","",IF(ISNUMBER(M467),"DECIDIDO – ","")&amp;IF(ISNUMBER(L467),IF(O467="","SEM DATA",IF(O467&gt;=0,"DEFESA NO PRAZO","DEFESA FORA DO PRAZO")),IF(OR(G467="DECISÃO D.P",ISNUMBER(M467)),"SEM DEFESA",IF(G467="","SEM STATUS",IF(O467="","SEM DATA",IF(O467&lt;0,"VENCIDO",IF(O467&lt;=DiasAlerta,"VENCE EM BREVE","NO PRAZO")))))))</f>
        <v/>
      </c>
      <c r="Q467" s="117" t="str">
        <f>IF(D467="","",TODAY()-D467)</f>
        <v/>
      </c>
      <c r="R467" s="110" t="n"/>
    </row>
    <row r="468" ht="18" customHeight="1">
      <c r="A468" s="109" t="n"/>
      <c r="B468" s="110" t="n"/>
      <c r="C468" s="110" t="n"/>
      <c r="D468" s="111" t="n"/>
      <c r="E468" s="110" t="n"/>
      <c r="F468" s="112" t="n"/>
      <c r="G468" s="112" t="n"/>
      <c r="H468" s="110" t="n"/>
      <c r="I468" s="113" t="n"/>
      <c r="J468" s="113" t="n"/>
      <c r="K468" s="111" t="n"/>
      <c r="L468" s="111" t="n"/>
      <c r="M468" s="111" t="n"/>
      <c r="N468" s="114" t="str">
        <f>IF(OR(D468="",E468=""),"",D468+IF(E468="NOTIFICAÇÃO DE CONSTATAÇÃO",PrazoConst,PrazoEsc))</f>
        <v/>
      </c>
      <c r="O468" s="115" t="str">
        <f>IF(N468="","",IF(ISNUMBER(L468),N468-L468,IF(OR(G468="DECISÃO D.P",ISNUMBER(M468)),"",N468-TODAY())))</f>
        <v/>
      </c>
      <c r="P468" s="116" t="str">
        <f>IF(B468="","",IF(ISNUMBER(M468),"DECIDIDO – ","")&amp;IF(ISNUMBER(L468),IF(O468="","SEM DATA",IF(O468&gt;=0,"DEFESA NO PRAZO","DEFESA FORA DO PRAZO")),IF(OR(G468="DECISÃO D.P",ISNUMBER(M468)),"SEM DEFESA",IF(G468="","SEM STATUS",IF(O468="","SEM DATA",IF(O468&lt;0,"VENCIDO",IF(O468&lt;=DiasAlerta,"VENCE EM BREVE","NO PRAZO")))))))</f>
        <v/>
      </c>
      <c r="Q468" s="117" t="str">
        <f>IF(D468="","",TODAY()-D468)</f>
        <v/>
      </c>
      <c r="R468" s="110" t="n"/>
    </row>
    <row r="469" ht="18" customHeight="1">
      <c r="A469" s="109" t="n"/>
      <c r="B469" s="110" t="n"/>
      <c r="C469" s="110" t="n"/>
      <c r="D469" s="111" t="n"/>
      <c r="E469" s="110" t="n"/>
      <c r="F469" s="112" t="n"/>
      <c r="G469" s="112" t="n"/>
      <c r="H469" s="110" t="n"/>
      <c r="I469" s="113" t="n"/>
      <c r="J469" s="113" t="n"/>
      <c r="K469" s="111" t="n"/>
      <c r="L469" s="111" t="n"/>
      <c r="M469" s="111" t="n"/>
      <c r="N469" s="114" t="str">
        <f>IF(OR(D469="",E469=""),"",D469+IF(E469="NOTIFICAÇÃO DE CONSTATAÇÃO",PrazoConst,PrazoEsc))</f>
        <v/>
      </c>
      <c r="O469" s="115" t="str">
        <f>IF(N469="","",IF(ISNUMBER(L469),N469-L469,IF(OR(G469="DECISÃO D.P",ISNUMBER(M469)),"",N469-TODAY())))</f>
        <v/>
      </c>
      <c r="P469" s="116" t="str">
        <f>IF(B469="","",IF(ISNUMBER(M469),"DECIDIDO – ","")&amp;IF(ISNUMBER(L469),IF(O469="","SEM DATA",IF(O469&gt;=0,"DEFESA NO PRAZO","DEFESA FORA DO PRAZO")),IF(OR(G469="DECISÃO D.P",ISNUMBER(M469)),"SEM DEFESA",IF(G469="","SEM STATUS",IF(O469="","SEM DATA",IF(O469&lt;0,"VENCIDO",IF(O469&lt;=DiasAlerta,"VENCE EM BREVE","NO PRAZO")))))))</f>
        <v/>
      </c>
      <c r="Q469" s="117" t="str">
        <f>IF(D469="","",TODAY()-D469)</f>
        <v/>
      </c>
      <c r="R469" s="110" t="n"/>
    </row>
    <row r="470" ht="18" customHeight="1">
      <c r="A470" s="109" t="n"/>
      <c r="B470" s="110" t="n"/>
      <c r="C470" s="110" t="n"/>
      <c r="D470" s="111" t="n"/>
      <c r="E470" s="110" t="n"/>
      <c r="F470" s="112" t="n"/>
      <c r="G470" s="112" t="n"/>
      <c r="H470" s="110" t="n"/>
      <c r="I470" s="113" t="n"/>
      <c r="J470" s="113" t="n"/>
      <c r="K470" s="111" t="n"/>
      <c r="L470" s="111" t="n"/>
      <c r="M470" s="111" t="n"/>
      <c r="N470" s="114" t="str">
        <f>IF(OR(D470="",E470=""),"",D470+IF(E470="NOTIFICAÇÃO DE CONSTATAÇÃO",PrazoConst,PrazoEsc))</f>
        <v/>
      </c>
      <c r="O470" s="115" t="str">
        <f>IF(N470="","",IF(ISNUMBER(L470),N470-L470,IF(OR(G470="DECISÃO D.P",ISNUMBER(M470)),"",N470-TODAY())))</f>
        <v/>
      </c>
      <c r="P470" s="116" t="str">
        <f>IF(B470="","",IF(ISNUMBER(M470),"DECIDIDO – ","")&amp;IF(ISNUMBER(L470),IF(O470="","SEM DATA",IF(O470&gt;=0,"DEFESA NO PRAZO","DEFESA FORA DO PRAZO")),IF(OR(G470="DECISÃO D.P",ISNUMBER(M470)),"SEM DEFESA",IF(G470="","SEM STATUS",IF(O470="","SEM DATA",IF(O470&lt;0,"VENCIDO",IF(O470&lt;=DiasAlerta,"VENCE EM BREVE","NO PRAZO")))))))</f>
        <v/>
      </c>
      <c r="Q470" s="117" t="str">
        <f>IF(D470="","",TODAY()-D470)</f>
        <v/>
      </c>
      <c r="R470" s="110" t="n"/>
    </row>
    <row r="471" ht="18" customHeight="1">
      <c r="A471" s="109" t="n"/>
      <c r="B471" s="110" t="n"/>
      <c r="C471" s="110" t="n"/>
      <c r="D471" s="111" t="n"/>
      <c r="E471" s="110" t="n"/>
      <c r="F471" s="112" t="n"/>
      <c r="G471" s="112" t="n"/>
      <c r="H471" s="110" t="n"/>
      <c r="I471" s="113" t="n"/>
      <c r="J471" s="113" t="n"/>
      <c r="K471" s="111" t="n"/>
      <c r="L471" s="111" t="n"/>
      <c r="M471" s="111" t="n"/>
      <c r="N471" s="114" t="str">
        <f>IF(OR(D471="",E471=""),"",D471+IF(E471="NOTIFICAÇÃO DE CONSTATAÇÃO",PrazoConst,PrazoEsc))</f>
        <v/>
      </c>
      <c r="O471" s="115" t="str">
        <f>IF(N471="","",IF(ISNUMBER(L471),N471-L471,IF(OR(G471="DECISÃO D.P",ISNUMBER(M471)),"",N471-TODAY())))</f>
        <v/>
      </c>
      <c r="P471" s="116" t="str">
        <f>IF(B471="","",IF(ISNUMBER(M471),"DECIDIDO – ","")&amp;IF(ISNUMBER(L471),IF(O471="","SEM DATA",IF(O471&gt;=0,"DEFESA NO PRAZO","DEFESA FORA DO PRAZO")),IF(OR(G471="DECISÃO D.P",ISNUMBER(M471)),"SEM DEFESA",IF(G471="","SEM STATUS",IF(O471="","SEM DATA",IF(O471&lt;0,"VENCIDO",IF(O471&lt;=DiasAlerta,"VENCE EM BREVE","NO PRAZO")))))))</f>
        <v/>
      </c>
      <c r="Q471" s="117" t="str">
        <f>IF(D471="","",TODAY()-D471)</f>
        <v/>
      </c>
      <c r="R471" s="110" t="n"/>
    </row>
    <row r="472" ht="18" customHeight="1">
      <c r="A472" s="109" t="n"/>
      <c r="B472" s="110" t="n"/>
      <c r="C472" s="110" t="n"/>
      <c r="D472" s="111" t="n"/>
      <c r="E472" s="110" t="n"/>
      <c r="F472" s="112" t="n"/>
      <c r="G472" s="112" t="n"/>
      <c r="H472" s="110" t="n"/>
      <c r="I472" s="113" t="n"/>
      <c r="J472" s="113" t="n"/>
      <c r="K472" s="111" t="n"/>
      <c r="L472" s="111" t="n"/>
      <c r="M472" s="111" t="n"/>
      <c r="N472" s="114" t="str">
        <f>IF(OR(D472="",E472=""),"",D472+IF(E472="NOTIFICAÇÃO DE CONSTATAÇÃO",PrazoConst,PrazoEsc))</f>
        <v/>
      </c>
      <c r="O472" s="115" t="str">
        <f>IF(N472="","",IF(ISNUMBER(L472),N472-L472,IF(OR(G472="DECISÃO D.P",ISNUMBER(M472)),"",N472-TODAY())))</f>
        <v/>
      </c>
      <c r="P472" s="116" t="str">
        <f>IF(B472="","",IF(ISNUMBER(M472),"DECIDIDO – ","")&amp;IF(ISNUMBER(L472),IF(O472="","SEM DATA",IF(O472&gt;=0,"DEFESA NO PRAZO","DEFESA FORA DO PRAZO")),IF(OR(G472="DECISÃO D.P",ISNUMBER(M472)),"SEM DEFESA",IF(G472="","SEM STATUS",IF(O472="","SEM DATA",IF(O472&lt;0,"VENCIDO",IF(O472&lt;=DiasAlerta,"VENCE EM BREVE","NO PRAZO")))))))</f>
        <v/>
      </c>
      <c r="Q472" s="117" t="str">
        <f>IF(D472="","",TODAY()-D472)</f>
        <v/>
      </c>
      <c r="R472" s="110" t="n"/>
    </row>
    <row r="473" ht="18" customHeight="1">
      <c r="A473" s="109" t="n"/>
      <c r="B473" s="110" t="n"/>
      <c r="C473" s="110" t="n"/>
      <c r="D473" s="111" t="n"/>
      <c r="E473" s="110" t="n"/>
      <c r="F473" s="112" t="n"/>
      <c r="G473" s="112" t="n"/>
      <c r="H473" s="110" t="n"/>
      <c r="I473" s="113" t="n"/>
      <c r="J473" s="113" t="n"/>
      <c r="K473" s="111" t="n"/>
      <c r="L473" s="111" t="n"/>
      <c r="M473" s="111" t="n"/>
      <c r="N473" s="114" t="str">
        <f>IF(OR(D473="",E473=""),"",D473+IF(E473="NOTIFICAÇÃO DE CONSTATAÇÃO",PrazoConst,PrazoEsc))</f>
        <v/>
      </c>
      <c r="O473" s="115" t="str">
        <f>IF(N473="","",IF(ISNUMBER(L473),N473-L473,IF(OR(G473="DECISÃO D.P",ISNUMBER(M473)),"",N473-TODAY())))</f>
        <v/>
      </c>
      <c r="P473" s="116" t="str">
        <f>IF(B473="","",IF(ISNUMBER(M473),"DECIDIDO – ","")&amp;IF(ISNUMBER(L473),IF(O473="","SEM DATA",IF(O473&gt;=0,"DEFESA NO PRAZO","DEFESA FORA DO PRAZO")),IF(OR(G473="DECISÃO D.P",ISNUMBER(M473)),"SEM DEFESA",IF(G473="","SEM STATUS",IF(O473="","SEM DATA",IF(O473&lt;0,"VENCIDO",IF(O473&lt;=DiasAlerta,"VENCE EM BREVE","NO PRAZO")))))))</f>
        <v/>
      </c>
      <c r="Q473" s="117" t="str">
        <f>IF(D473="","",TODAY()-D473)</f>
        <v/>
      </c>
      <c r="R473" s="110" t="n"/>
    </row>
    <row r="474" ht="18" customHeight="1">
      <c r="A474" s="109" t="n"/>
      <c r="B474" s="110" t="n"/>
      <c r="C474" s="110" t="n"/>
      <c r="D474" s="111" t="n"/>
      <c r="E474" s="110" t="n"/>
      <c r="F474" s="112" t="n"/>
      <c r="G474" s="112" t="n"/>
      <c r="H474" s="110" t="n"/>
      <c r="I474" s="113" t="n"/>
      <c r="J474" s="113" t="n"/>
      <c r="K474" s="111" t="n"/>
      <c r="L474" s="111" t="n"/>
      <c r="M474" s="111" t="n"/>
      <c r="N474" s="114" t="str">
        <f>IF(OR(D474="",E474=""),"",D474+IF(E474="NOTIFICAÇÃO DE CONSTATAÇÃO",PrazoConst,PrazoEsc))</f>
        <v/>
      </c>
      <c r="O474" s="115" t="str">
        <f>IF(N474="","",IF(ISNUMBER(L474),N474-L474,IF(OR(G474="DECISÃO D.P",ISNUMBER(M474)),"",N474-TODAY())))</f>
        <v/>
      </c>
      <c r="P474" s="116" t="str">
        <f>IF(B474="","",IF(ISNUMBER(M474),"DECIDIDO – ","")&amp;IF(ISNUMBER(L474),IF(O474="","SEM DATA",IF(O474&gt;=0,"DEFESA NO PRAZO","DEFESA FORA DO PRAZO")),IF(OR(G474="DECISÃO D.P",ISNUMBER(M474)),"SEM DEFESA",IF(G474="","SEM STATUS",IF(O474="","SEM DATA",IF(O474&lt;0,"VENCIDO",IF(O474&lt;=DiasAlerta,"VENCE EM BREVE","NO PRAZO")))))))</f>
        <v/>
      </c>
      <c r="Q474" s="117" t="str">
        <f>IF(D474="","",TODAY()-D474)</f>
        <v/>
      </c>
      <c r="R474" s="110" t="n"/>
    </row>
    <row r="475" ht="18" customHeight="1">
      <c r="A475" s="109" t="n"/>
      <c r="B475" s="110" t="n"/>
      <c r="C475" s="110" t="n"/>
      <c r="D475" s="111" t="n"/>
      <c r="E475" s="110" t="n"/>
      <c r="F475" s="112" t="n"/>
      <c r="G475" s="112" t="n"/>
      <c r="H475" s="110" t="n"/>
      <c r="I475" s="113" t="n"/>
      <c r="J475" s="113" t="n"/>
      <c r="K475" s="111" t="n"/>
      <c r="L475" s="111" t="n"/>
      <c r="M475" s="111" t="n"/>
      <c r="N475" s="114" t="str">
        <f>IF(OR(D475="",E475=""),"",D475+IF(E475="NOTIFICAÇÃO DE CONSTATAÇÃO",PrazoConst,PrazoEsc))</f>
        <v/>
      </c>
      <c r="O475" s="115" t="str">
        <f>IF(N475="","",IF(ISNUMBER(L475),N475-L475,IF(OR(G475="DECISÃO D.P",ISNUMBER(M475)),"",N475-TODAY())))</f>
        <v/>
      </c>
      <c r="P475" s="116" t="str">
        <f>IF(B475="","",IF(ISNUMBER(M475),"DECIDIDO – ","")&amp;IF(ISNUMBER(L475),IF(O475="","SEM DATA",IF(O475&gt;=0,"DEFESA NO PRAZO","DEFESA FORA DO PRAZO")),IF(OR(G475="DECISÃO D.P",ISNUMBER(M475)),"SEM DEFESA",IF(G475="","SEM STATUS",IF(O475="","SEM DATA",IF(O475&lt;0,"VENCIDO",IF(O475&lt;=DiasAlerta,"VENCE EM BREVE","NO PRAZO")))))))</f>
        <v/>
      </c>
      <c r="Q475" s="117" t="str">
        <f>IF(D475="","",TODAY()-D475)</f>
        <v/>
      </c>
      <c r="R475" s="110" t="n"/>
    </row>
    <row r="476" ht="18" customHeight="1">
      <c r="A476" s="109" t="n"/>
      <c r="B476" s="110" t="n"/>
      <c r="C476" s="110" t="n"/>
      <c r="D476" s="111" t="n"/>
      <c r="E476" s="110" t="n"/>
      <c r="F476" s="112" t="n"/>
      <c r="G476" s="112" t="n"/>
      <c r="H476" s="110" t="n"/>
      <c r="I476" s="113" t="n"/>
      <c r="J476" s="113" t="n"/>
      <c r="K476" s="111" t="n"/>
      <c r="L476" s="111" t="n"/>
      <c r="M476" s="111" t="n"/>
      <c r="N476" s="114" t="str">
        <f>IF(OR(D476="",E476=""),"",D476+IF(E476="NOTIFICAÇÃO DE CONSTATAÇÃO",PrazoConst,PrazoEsc))</f>
        <v/>
      </c>
      <c r="O476" s="115" t="str">
        <f>IF(N476="","",IF(ISNUMBER(L476),N476-L476,IF(OR(G476="DECISÃO D.P",ISNUMBER(M476)),"",N476-TODAY())))</f>
        <v/>
      </c>
      <c r="P476" s="116" t="str">
        <f>IF(B476="","",IF(ISNUMBER(M476),"DECIDIDO – ","")&amp;IF(ISNUMBER(L476),IF(O476="","SEM DATA",IF(O476&gt;=0,"DEFESA NO PRAZO","DEFESA FORA DO PRAZO")),IF(OR(G476="DECISÃO D.P",ISNUMBER(M476)),"SEM DEFESA",IF(G476="","SEM STATUS",IF(O476="","SEM DATA",IF(O476&lt;0,"VENCIDO",IF(O476&lt;=DiasAlerta,"VENCE EM BREVE","NO PRAZO")))))))</f>
        <v/>
      </c>
      <c r="Q476" s="117" t="str">
        <f>IF(D476="","",TODAY()-D476)</f>
        <v/>
      </c>
      <c r="R476" s="110" t="n"/>
    </row>
    <row r="477" ht="18" customHeight="1">
      <c r="A477" s="109" t="n"/>
      <c r="B477" s="110" t="n"/>
      <c r="C477" s="110" t="n"/>
      <c r="D477" s="111" t="n"/>
      <c r="E477" s="110" t="n"/>
      <c r="F477" s="112" t="n"/>
      <c r="G477" s="112" t="n"/>
      <c r="H477" s="110" t="n"/>
      <c r="I477" s="113" t="n"/>
      <c r="J477" s="113" t="n"/>
      <c r="K477" s="111" t="n"/>
      <c r="L477" s="111" t="n"/>
      <c r="M477" s="111" t="n"/>
      <c r="N477" s="114" t="str">
        <f>IF(OR(D477="",E477=""),"",D477+IF(E477="NOTIFICAÇÃO DE CONSTATAÇÃO",PrazoConst,PrazoEsc))</f>
        <v/>
      </c>
      <c r="O477" s="115" t="str">
        <f>IF(N477="","",IF(ISNUMBER(L477),N477-L477,IF(OR(G477="DECISÃO D.P",ISNUMBER(M477)),"",N477-TODAY())))</f>
        <v/>
      </c>
      <c r="P477" s="116" t="str">
        <f>IF(B477="","",IF(ISNUMBER(M477),"DECIDIDO – ","")&amp;IF(ISNUMBER(L477),IF(O477="","SEM DATA",IF(O477&gt;=0,"DEFESA NO PRAZO","DEFESA FORA DO PRAZO")),IF(OR(G477="DECISÃO D.P",ISNUMBER(M477)),"SEM DEFESA",IF(G477="","SEM STATUS",IF(O477="","SEM DATA",IF(O477&lt;0,"VENCIDO",IF(O477&lt;=DiasAlerta,"VENCE EM BREVE","NO PRAZO")))))))</f>
        <v/>
      </c>
      <c r="Q477" s="117" t="str">
        <f>IF(D477="","",TODAY()-D477)</f>
        <v/>
      </c>
      <c r="R477" s="110" t="n"/>
    </row>
    <row r="478" ht="18" customHeight="1">
      <c r="A478" s="109" t="n"/>
      <c r="B478" s="110" t="n"/>
      <c r="C478" s="110" t="n"/>
      <c r="D478" s="111" t="n"/>
      <c r="E478" s="110" t="n"/>
      <c r="F478" s="112" t="n"/>
      <c r="G478" s="112" t="n"/>
      <c r="H478" s="110" t="n"/>
      <c r="I478" s="113" t="n"/>
      <c r="J478" s="113" t="n"/>
      <c r="K478" s="111" t="n"/>
      <c r="L478" s="111" t="n"/>
      <c r="M478" s="111" t="n"/>
      <c r="N478" s="114" t="str">
        <f>IF(OR(D478="",E478=""),"",D478+IF(E478="NOTIFICAÇÃO DE CONSTATAÇÃO",PrazoConst,PrazoEsc))</f>
        <v/>
      </c>
      <c r="O478" s="115" t="str">
        <f>IF(N478="","",IF(ISNUMBER(L478),N478-L478,IF(OR(G478="DECISÃO D.P",ISNUMBER(M478)),"",N478-TODAY())))</f>
        <v/>
      </c>
      <c r="P478" s="116" t="str">
        <f>IF(B478="","",IF(ISNUMBER(M478),"DECIDIDO – ","")&amp;IF(ISNUMBER(L478),IF(O478="","SEM DATA",IF(O478&gt;=0,"DEFESA NO PRAZO","DEFESA FORA DO PRAZO")),IF(OR(G478="DECISÃO D.P",ISNUMBER(M478)),"SEM DEFESA",IF(G478="","SEM STATUS",IF(O478="","SEM DATA",IF(O478&lt;0,"VENCIDO",IF(O478&lt;=DiasAlerta,"VENCE EM BREVE","NO PRAZO")))))))</f>
        <v/>
      </c>
      <c r="Q478" s="117" t="str">
        <f>IF(D478="","",TODAY()-D478)</f>
        <v/>
      </c>
      <c r="R478" s="110" t="n"/>
    </row>
    <row r="479" ht="18" customHeight="1">
      <c r="A479" s="109" t="n"/>
      <c r="B479" s="110" t="n"/>
      <c r="C479" s="110" t="n"/>
      <c r="D479" s="111" t="n"/>
      <c r="E479" s="110" t="n"/>
      <c r="F479" s="112" t="n"/>
      <c r="G479" s="112" t="n"/>
      <c r="H479" s="110" t="n"/>
      <c r="I479" s="113" t="n"/>
      <c r="J479" s="113" t="n"/>
      <c r="K479" s="111" t="n"/>
      <c r="L479" s="111" t="n"/>
      <c r="M479" s="111" t="n"/>
      <c r="N479" s="114" t="str">
        <f>IF(OR(D479="",E479=""),"",D479+IF(E479="NOTIFICAÇÃO DE CONSTATAÇÃO",PrazoConst,PrazoEsc))</f>
        <v/>
      </c>
      <c r="O479" s="115" t="str">
        <f>IF(N479="","",IF(ISNUMBER(L479),N479-L479,IF(OR(G479="DECISÃO D.P",ISNUMBER(M479)),"",N479-TODAY())))</f>
        <v/>
      </c>
      <c r="P479" s="116" t="str">
        <f>IF(B479="","",IF(ISNUMBER(M479),"DECIDIDO – ","")&amp;IF(ISNUMBER(L479),IF(O479="","SEM DATA",IF(O479&gt;=0,"DEFESA NO PRAZO","DEFESA FORA DO PRAZO")),IF(OR(G479="DECISÃO D.P",ISNUMBER(M479)),"SEM DEFESA",IF(G479="","SEM STATUS",IF(O479="","SEM DATA",IF(O479&lt;0,"VENCIDO",IF(O479&lt;=DiasAlerta,"VENCE EM BREVE","NO PRAZO")))))))</f>
        <v/>
      </c>
      <c r="Q479" s="117" t="str">
        <f>IF(D479="","",TODAY()-D479)</f>
        <v/>
      </c>
      <c r="R479" s="110" t="n"/>
    </row>
    <row r="480" ht="18" customHeight="1">
      <c r="A480" s="109" t="n"/>
      <c r="B480" s="110" t="n"/>
      <c r="C480" s="110" t="n"/>
      <c r="D480" s="111" t="n"/>
      <c r="E480" s="110" t="n"/>
      <c r="F480" s="112" t="n"/>
      <c r="G480" s="112" t="n"/>
      <c r="H480" s="110" t="n"/>
      <c r="I480" s="113" t="n"/>
      <c r="J480" s="113" t="n"/>
      <c r="K480" s="111" t="n"/>
      <c r="L480" s="111" t="n"/>
      <c r="M480" s="111" t="n"/>
      <c r="N480" s="114" t="str">
        <f>IF(OR(D480="",E480=""),"",D480+IF(E480="NOTIFICAÇÃO DE CONSTATAÇÃO",PrazoConst,PrazoEsc))</f>
        <v/>
      </c>
      <c r="O480" s="115" t="str">
        <f>IF(N480="","",IF(ISNUMBER(L480),N480-L480,IF(OR(G480="DECISÃO D.P",ISNUMBER(M480)),"",N480-TODAY())))</f>
        <v/>
      </c>
      <c r="P480" s="116" t="str">
        <f>IF(B480="","",IF(ISNUMBER(M480),"DECIDIDO – ","")&amp;IF(ISNUMBER(L480),IF(O480="","SEM DATA",IF(O480&gt;=0,"DEFESA NO PRAZO","DEFESA FORA DO PRAZO")),IF(OR(G480="DECISÃO D.P",ISNUMBER(M480)),"SEM DEFESA",IF(G480="","SEM STATUS",IF(O480="","SEM DATA",IF(O480&lt;0,"VENCIDO",IF(O480&lt;=DiasAlerta,"VENCE EM BREVE","NO PRAZO")))))))</f>
        <v/>
      </c>
      <c r="Q480" s="117" t="str">
        <f>IF(D480="","",TODAY()-D480)</f>
        <v/>
      </c>
      <c r="R480" s="110" t="n"/>
    </row>
    <row r="481" ht="18" customHeight="1">
      <c r="A481" s="109" t="n"/>
      <c r="B481" s="110" t="n"/>
      <c r="C481" s="110" t="n"/>
      <c r="D481" s="111" t="n"/>
      <c r="E481" s="110" t="n"/>
      <c r="F481" s="112" t="n"/>
      <c r="G481" s="112" t="n"/>
      <c r="H481" s="110" t="n"/>
      <c r="I481" s="113" t="n"/>
      <c r="J481" s="113" t="n"/>
      <c r="K481" s="111" t="n"/>
      <c r="L481" s="111" t="n"/>
      <c r="M481" s="111" t="n"/>
      <c r="N481" s="114" t="str">
        <f>IF(OR(D481="",E481=""),"",D481+IF(E481="NOTIFICAÇÃO DE CONSTATAÇÃO",PrazoConst,PrazoEsc))</f>
        <v/>
      </c>
      <c r="O481" s="115" t="str">
        <f>IF(N481="","",IF(ISNUMBER(L481),N481-L481,IF(OR(G481="DECISÃO D.P",ISNUMBER(M481)),"",N481-TODAY())))</f>
        <v/>
      </c>
      <c r="P481" s="116" t="str">
        <f>IF(B481="","",IF(ISNUMBER(M481),"DECIDIDO – ","")&amp;IF(ISNUMBER(L481),IF(O481="","SEM DATA",IF(O481&gt;=0,"DEFESA NO PRAZO","DEFESA FORA DO PRAZO")),IF(OR(G481="DECISÃO D.P",ISNUMBER(M481)),"SEM DEFESA",IF(G481="","SEM STATUS",IF(O481="","SEM DATA",IF(O481&lt;0,"VENCIDO",IF(O481&lt;=DiasAlerta,"VENCE EM BREVE","NO PRAZO")))))))</f>
        <v/>
      </c>
      <c r="Q481" s="117" t="str">
        <f>IF(D481="","",TODAY()-D481)</f>
        <v/>
      </c>
      <c r="R481" s="110" t="n"/>
    </row>
    <row r="482" ht="18" customHeight="1">
      <c r="A482" s="109" t="n"/>
      <c r="B482" s="110" t="n"/>
      <c r="C482" s="110" t="n"/>
      <c r="D482" s="111" t="n"/>
      <c r="E482" s="110" t="n"/>
      <c r="F482" s="112" t="n"/>
      <c r="G482" s="112" t="n"/>
      <c r="H482" s="110" t="n"/>
      <c r="I482" s="113" t="n"/>
      <c r="J482" s="113" t="n"/>
      <c r="K482" s="111" t="n"/>
      <c r="L482" s="111" t="n"/>
      <c r="M482" s="111" t="n"/>
      <c r="N482" s="114" t="str">
        <f>IF(OR(D482="",E482=""),"",D482+IF(E482="NOTIFICAÇÃO DE CONSTATAÇÃO",PrazoConst,PrazoEsc))</f>
        <v/>
      </c>
      <c r="O482" s="115" t="str">
        <f>IF(N482="","",IF(ISNUMBER(L482),N482-L482,IF(OR(G482="DECISÃO D.P",ISNUMBER(M482)),"",N482-TODAY())))</f>
        <v/>
      </c>
      <c r="P482" s="116" t="str">
        <f>IF(B482="","",IF(ISNUMBER(M482),"DECIDIDO – ","")&amp;IF(ISNUMBER(L482),IF(O482="","SEM DATA",IF(O482&gt;=0,"DEFESA NO PRAZO","DEFESA FORA DO PRAZO")),IF(OR(G482="DECISÃO D.P",ISNUMBER(M482)),"SEM DEFESA",IF(G482="","SEM STATUS",IF(O482="","SEM DATA",IF(O482&lt;0,"VENCIDO",IF(O482&lt;=DiasAlerta,"VENCE EM BREVE","NO PRAZO")))))))</f>
        <v/>
      </c>
      <c r="Q482" s="117" t="str">
        <f>IF(D482="","",TODAY()-D482)</f>
        <v/>
      </c>
      <c r="R482" s="110" t="n"/>
    </row>
    <row r="483" ht="18" customHeight="1">
      <c r="A483" s="109" t="n"/>
      <c r="B483" s="110" t="n"/>
      <c r="C483" s="110" t="n"/>
      <c r="D483" s="111" t="n"/>
      <c r="E483" s="110" t="n"/>
      <c r="F483" s="112" t="n"/>
      <c r="G483" s="112" t="n"/>
      <c r="H483" s="110" t="n"/>
      <c r="I483" s="113" t="n"/>
      <c r="J483" s="113" t="n"/>
      <c r="K483" s="111" t="n"/>
      <c r="L483" s="111" t="n"/>
      <c r="M483" s="111" t="n"/>
      <c r="N483" s="114" t="str">
        <f>IF(OR(D483="",E483=""),"",D483+IF(E483="NOTIFICAÇÃO DE CONSTATAÇÃO",PrazoConst,PrazoEsc))</f>
        <v/>
      </c>
      <c r="O483" s="115" t="str">
        <f>IF(N483="","",IF(ISNUMBER(L483),N483-L483,IF(OR(G483="DECISÃO D.P",ISNUMBER(M483)),"",N483-TODAY())))</f>
        <v/>
      </c>
      <c r="P483" s="116" t="str">
        <f>IF(B483="","",IF(ISNUMBER(M483),"DECIDIDO – ","")&amp;IF(ISNUMBER(L483),IF(O483="","SEM DATA",IF(O483&gt;=0,"DEFESA NO PRAZO","DEFESA FORA DO PRAZO")),IF(OR(G483="DECISÃO D.P",ISNUMBER(M483)),"SEM DEFESA",IF(G483="","SEM STATUS",IF(O483="","SEM DATA",IF(O483&lt;0,"VENCIDO",IF(O483&lt;=DiasAlerta,"VENCE EM BREVE","NO PRAZO")))))))</f>
        <v/>
      </c>
      <c r="Q483" s="117" t="str">
        <f>IF(D483="","",TODAY()-D483)</f>
        <v/>
      </c>
      <c r="R483" s="110" t="n"/>
    </row>
    <row r="484" ht="18" customHeight="1">
      <c r="A484" s="109" t="n"/>
      <c r="B484" s="110" t="n"/>
      <c r="C484" s="110" t="n"/>
      <c r="D484" s="111" t="n"/>
      <c r="E484" s="110" t="n"/>
      <c r="F484" s="112" t="n"/>
      <c r="G484" s="112" t="n"/>
      <c r="H484" s="110" t="n"/>
      <c r="I484" s="113" t="n"/>
      <c r="J484" s="113" t="n"/>
      <c r="K484" s="111" t="n"/>
      <c r="L484" s="111" t="n"/>
      <c r="M484" s="111" t="n"/>
      <c r="N484" s="114" t="str">
        <f>IF(OR(D484="",E484=""),"",D484+IF(E484="NOTIFICAÇÃO DE CONSTATAÇÃO",PrazoConst,PrazoEsc))</f>
        <v/>
      </c>
      <c r="O484" s="115" t="str">
        <f>IF(N484="","",IF(ISNUMBER(L484),N484-L484,IF(OR(G484="DECISÃO D.P",ISNUMBER(M484)),"",N484-TODAY())))</f>
        <v/>
      </c>
      <c r="P484" s="116" t="str">
        <f>IF(B484="","",IF(ISNUMBER(M484),"DECIDIDO – ","")&amp;IF(ISNUMBER(L484),IF(O484="","SEM DATA",IF(O484&gt;=0,"DEFESA NO PRAZO","DEFESA FORA DO PRAZO")),IF(OR(G484="DECISÃO D.P",ISNUMBER(M484)),"SEM DEFESA",IF(G484="","SEM STATUS",IF(O484="","SEM DATA",IF(O484&lt;0,"VENCIDO",IF(O484&lt;=DiasAlerta,"VENCE EM BREVE","NO PRAZO")))))))</f>
        <v/>
      </c>
      <c r="Q484" s="117" t="str">
        <f>IF(D484="","",TODAY()-D484)</f>
        <v/>
      </c>
      <c r="R484" s="110" t="n"/>
    </row>
    <row r="485" ht="18" customHeight="1">
      <c r="A485" s="109" t="n"/>
      <c r="B485" s="110" t="n"/>
      <c r="C485" s="110" t="n"/>
      <c r="D485" s="111" t="n"/>
      <c r="E485" s="110" t="n"/>
      <c r="F485" s="112" t="n"/>
      <c r="G485" s="112" t="n"/>
      <c r="H485" s="110" t="n"/>
      <c r="I485" s="113" t="n"/>
      <c r="J485" s="113" t="n"/>
      <c r="K485" s="111" t="n"/>
      <c r="L485" s="111" t="n"/>
      <c r="M485" s="111" t="n"/>
      <c r="N485" s="114" t="str">
        <f>IF(OR(D485="",E485=""),"",D485+IF(E485="NOTIFICAÇÃO DE CONSTATAÇÃO",PrazoConst,PrazoEsc))</f>
        <v/>
      </c>
      <c r="O485" s="115" t="str">
        <f>IF(N485="","",IF(ISNUMBER(L485),N485-L485,IF(OR(G485="DECISÃO D.P",ISNUMBER(M485)),"",N485-TODAY())))</f>
        <v/>
      </c>
      <c r="P485" s="116" t="str">
        <f>IF(B485="","",IF(ISNUMBER(M485),"DECIDIDO – ","")&amp;IF(ISNUMBER(L485),IF(O485="","SEM DATA",IF(O485&gt;=0,"DEFESA NO PRAZO","DEFESA FORA DO PRAZO")),IF(OR(G485="DECISÃO D.P",ISNUMBER(M485)),"SEM DEFESA",IF(G485="","SEM STATUS",IF(O485="","SEM DATA",IF(O485&lt;0,"VENCIDO",IF(O485&lt;=DiasAlerta,"VENCE EM BREVE","NO PRAZO")))))))</f>
        <v/>
      </c>
      <c r="Q485" s="117" t="str">
        <f>IF(D485="","",TODAY()-D485)</f>
        <v/>
      </c>
      <c r="R485" s="110" t="n"/>
    </row>
    <row r="486" ht="18" customHeight="1">
      <c r="A486" s="109" t="n"/>
      <c r="B486" s="110" t="n"/>
      <c r="C486" s="110" t="n"/>
      <c r="D486" s="111" t="n"/>
      <c r="E486" s="110" t="n"/>
      <c r="F486" s="112" t="n"/>
      <c r="G486" s="112" t="n"/>
      <c r="H486" s="110" t="n"/>
      <c r="I486" s="113" t="n"/>
      <c r="J486" s="113" t="n"/>
      <c r="K486" s="111" t="n"/>
      <c r="L486" s="111" t="n"/>
      <c r="M486" s="111" t="n"/>
      <c r="N486" s="114" t="str">
        <f>IF(OR(D486="",E486=""),"",D486+IF(E486="NOTIFICAÇÃO DE CONSTATAÇÃO",PrazoConst,PrazoEsc))</f>
        <v/>
      </c>
      <c r="O486" s="115" t="str">
        <f>IF(N486="","",IF(ISNUMBER(L486),N486-L486,IF(OR(G486="DECISÃO D.P",ISNUMBER(M486)),"",N486-TODAY())))</f>
        <v/>
      </c>
      <c r="P486" s="116" t="str">
        <f>IF(B486="","",IF(ISNUMBER(M486),"DECIDIDO – ","")&amp;IF(ISNUMBER(L486),IF(O486="","SEM DATA",IF(O486&gt;=0,"DEFESA NO PRAZO","DEFESA FORA DO PRAZO")),IF(OR(G486="DECISÃO D.P",ISNUMBER(M486)),"SEM DEFESA",IF(G486="","SEM STATUS",IF(O486="","SEM DATA",IF(O486&lt;0,"VENCIDO",IF(O486&lt;=DiasAlerta,"VENCE EM BREVE","NO PRAZO")))))))</f>
        <v/>
      </c>
      <c r="Q486" s="117" t="str">
        <f>IF(D486="","",TODAY()-D486)</f>
        <v/>
      </c>
      <c r="R486" s="110" t="n"/>
    </row>
    <row r="487" ht="18" customHeight="1">
      <c r="A487" s="109" t="n"/>
      <c r="B487" s="110" t="n"/>
      <c r="C487" s="110" t="n"/>
      <c r="D487" s="111" t="n"/>
      <c r="E487" s="110" t="n"/>
      <c r="F487" s="112" t="n"/>
      <c r="G487" s="112" t="n"/>
      <c r="H487" s="110" t="n"/>
      <c r="I487" s="113" t="n"/>
      <c r="J487" s="113" t="n"/>
      <c r="K487" s="111" t="n"/>
      <c r="L487" s="111" t="n"/>
      <c r="M487" s="111" t="n"/>
      <c r="N487" s="114" t="str">
        <f>IF(OR(D487="",E487=""),"",D487+IF(E487="NOTIFICAÇÃO DE CONSTATAÇÃO",PrazoConst,PrazoEsc))</f>
        <v/>
      </c>
      <c r="O487" s="115" t="str">
        <f>IF(N487="","",IF(ISNUMBER(L487),N487-L487,IF(OR(G487="DECISÃO D.P",ISNUMBER(M487)),"",N487-TODAY())))</f>
        <v/>
      </c>
      <c r="P487" s="116" t="str">
        <f>IF(B487="","",IF(ISNUMBER(M487),"DECIDIDO – ","")&amp;IF(ISNUMBER(L487),IF(O487="","SEM DATA",IF(O487&gt;=0,"DEFESA NO PRAZO","DEFESA FORA DO PRAZO")),IF(OR(G487="DECISÃO D.P",ISNUMBER(M487)),"SEM DEFESA",IF(G487="","SEM STATUS",IF(O487="","SEM DATA",IF(O487&lt;0,"VENCIDO",IF(O487&lt;=DiasAlerta,"VENCE EM BREVE","NO PRAZO")))))))</f>
        <v/>
      </c>
      <c r="Q487" s="117" t="str">
        <f>IF(D487="","",TODAY()-D487)</f>
        <v/>
      </c>
      <c r="R487" s="110" t="n"/>
    </row>
    <row r="488" ht="18" customHeight="1">
      <c r="A488" s="109" t="n"/>
      <c r="B488" s="110" t="n"/>
      <c r="C488" s="110" t="n"/>
      <c r="D488" s="111" t="n"/>
      <c r="E488" s="110" t="n"/>
      <c r="F488" s="112" t="n"/>
      <c r="G488" s="112" t="n"/>
      <c r="H488" s="110" t="n"/>
      <c r="I488" s="113" t="n"/>
      <c r="J488" s="113" t="n"/>
      <c r="K488" s="111" t="n"/>
      <c r="L488" s="111" t="n"/>
      <c r="M488" s="111" t="n"/>
      <c r="N488" s="114" t="str">
        <f>IF(OR(D488="",E488=""),"",D488+IF(E488="NOTIFICAÇÃO DE CONSTATAÇÃO",PrazoConst,PrazoEsc))</f>
        <v/>
      </c>
      <c r="O488" s="115" t="str">
        <f>IF(N488="","",IF(ISNUMBER(L488),N488-L488,IF(OR(G488="DECISÃO D.P",ISNUMBER(M488)),"",N488-TODAY())))</f>
        <v/>
      </c>
      <c r="P488" s="116" t="str">
        <f>IF(B488="","",IF(ISNUMBER(M488),"DECIDIDO – ","")&amp;IF(ISNUMBER(L488),IF(O488="","SEM DATA",IF(O488&gt;=0,"DEFESA NO PRAZO","DEFESA FORA DO PRAZO")),IF(OR(G488="DECISÃO D.P",ISNUMBER(M488)),"SEM DEFESA",IF(G488="","SEM STATUS",IF(O488="","SEM DATA",IF(O488&lt;0,"VENCIDO",IF(O488&lt;=DiasAlerta,"VENCE EM BREVE","NO PRAZO")))))))</f>
        <v/>
      </c>
      <c r="Q488" s="117" t="str">
        <f>IF(D488="","",TODAY()-D488)</f>
        <v/>
      </c>
      <c r="R488" s="110" t="n"/>
    </row>
    <row r="489" ht="18" customHeight="1">
      <c r="A489" s="109" t="n"/>
      <c r="B489" s="110" t="n"/>
      <c r="C489" s="110" t="n"/>
      <c r="D489" s="111" t="n"/>
      <c r="E489" s="110" t="n"/>
      <c r="F489" s="112" t="n"/>
      <c r="G489" s="112" t="n"/>
      <c r="H489" s="110" t="n"/>
      <c r="I489" s="113" t="n"/>
      <c r="J489" s="113" t="n"/>
      <c r="K489" s="111" t="n"/>
      <c r="L489" s="111" t="n"/>
      <c r="M489" s="111" t="n"/>
      <c r="N489" s="114" t="str">
        <f>IF(OR(D489="",E489=""),"",D489+IF(E489="NOTIFICAÇÃO DE CONSTATAÇÃO",PrazoConst,PrazoEsc))</f>
        <v/>
      </c>
      <c r="O489" s="115" t="str">
        <f>IF(N489="","",IF(ISNUMBER(L489),N489-L489,IF(OR(G489="DECISÃO D.P",ISNUMBER(M489)),"",N489-TODAY())))</f>
        <v/>
      </c>
      <c r="P489" s="116" t="str">
        <f>IF(B489="","",IF(ISNUMBER(M489),"DECIDIDO – ","")&amp;IF(ISNUMBER(L489),IF(O489="","SEM DATA",IF(O489&gt;=0,"DEFESA NO PRAZO","DEFESA FORA DO PRAZO")),IF(OR(G489="DECISÃO D.P",ISNUMBER(M489)),"SEM DEFESA",IF(G489="","SEM STATUS",IF(O489="","SEM DATA",IF(O489&lt;0,"VENCIDO",IF(O489&lt;=DiasAlerta,"VENCE EM BREVE","NO PRAZO")))))))</f>
        <v/>
      </c>
      <c r="Q489" s="117" t="str">
        <f>IF(D489="","",TODAY()-D489)</f>
        <v/>
      </c>
      <c r="R489" s="110" t="n"/>
    </row>
    <row r="490" ht="18" customHeight="1">
      <c r="A490" s="109" t="n"/>
      <c r="B490" s="110" t="n"/>
      <c r="C490" s="110" t="n"/>
      <c r="D490" s="111" t="n"/>
      <c r="E490" s="110" t="n"/>
      <c r="F490" s="112" t="n"/>
      <c r="G490" s="112" t="n"/>
      <c r="H490" s="110" t="n"/>
      <c r="I490" s="113" t="n"/>
      <c r="J490" s="113" t="n"/>
      <c r="K490" s="111" t="n"/>
      <c r="L490" s="111" t="n"/>
      <c r="M490" s="111" t="n"/>
      <c r="N490" s="114" t="str">
        <f>IF(OR(D490="",E490=""),"",D490+IF(E490="NOTIFICAÇÃO DE CONSTATAÇÃO",PrazoConst,PrazoEsc))</f>
        <v/>
      </c>
      <c r="O490" s="115" t="str">
        <f>IF(N490="","",IF(ISNUMBER(L490),N490-L490,IF(OR(G490="DECISÃO D.P",ISNUMBER(M490)),"",N490-TODAY())))</f>
        <v/>
      </c>
      <c r="P490" s="116" t="str">
        <f>IF(B490="","",IF(ISNUMBER(M490),"DECIDIDO – ","")&amp;IF(ISNUMBER(L490),IF(O490="","SEM DATA",IF(O490&gt;=0,"DEFESA NO PRAZO","DEFESA FORA DO PRAZO")),IF(OR(G490="DECISÃO D.P",ISNUMBER(M490)),"SEM DEFESA",IF(G490="","SEM STATUS",IF(O490="","SEM DATA",IF(O490&lt;0,"VENCIDO",IF(O490&lt;=DiasAlerta,"VENCE EM BREVE","NO PRAZO")))))))</f>
        <v/>
      </c>
      <c r="Q490" s="117" t="str">
        <f>IF(D490="","",TODAY()-D490)</f>
        <v/>
      </c>
      <c r="R490" s="110" t="n"/>
    </row>
    <row r="491" ht="18" customHeight="1">
      <c r="A491" s="109" t="n"/>
      <c r="B491" s="110" t="n"/>
      <c r="C491" s="110" t="n"/>
      <c r="D491" s="111" t="n"/>
      <c r="E491" s="110" t="n"/>
      <c r="F491" s="112" t="n"/>
      <c r="G491" s="112" t="n"/>
      <c r="H491" s="110" t="n"/>
      <c r="I491" s="113" t="n"/>
      <c r="J491" s="113" t="n"/>
      <c r="K491" s="111" t="n"/>
      <c r="L491" s="111" t="n"/>
      <c r="M491" s="111" t="n"/>
      <c r="N491" s="114" t="str">
        <f>IF(OR(D491="",E491=""),"",D491+IF(E491="NOTIFICAÇÃO DE CONSTATAÇÃO",PrazoConst,PrazoEsc))</f>
        <v/>
      </c>
      <c r="O491" s="115" t="str">
        <f>IF(N491="","",IF(ISNUMBER(L491),N491-L491,IF(OR(G491="DECISÃO D.P",ISNUMBER(M491)),"",N491-TODAY())))</f>
        <v/>
      </c>
      <c r="P491" s="116" t="str">
        <f>IF(B491="","",IF(ISNUMBER(M491),"DECIDIDO – ","")&amp;IF(ISNUMBER(L491),IF(O491="","SEM DATA",IF(O491&gt;=0,"DEFESA NO PRAZO","DEFESA FORA DO PRAZO")),IF(OR(G491="DECISÃO D.P",ISNUMBER(M491)),"SEM DEFESA",IF(G491="","SEM STATUS",IF(O491="","SEM DATA",IF(O491&lt;0,"VENCIDO",IF(O491&lt;=DiasAlerta,"VENCE EM BREVE","NO PRAZO")))))))</f>
        <v/>
      </c>
      <c r="Q491" s="117" t="str">
        <f>IF(D491="","",TODAY()-D491)</f>
        <v/>
      </c>
      <c r="R491" s="110" t="n"/>
    </row>
    <row r="492" ht="18" customHeight="1">
      <c r="A492" s="109" t="n"/>
      <c r="B492" s="110" t="n"/>
      <c r="C492" s="110" t="n"/>
      <c r="D492" s="111" t="n"/>
      <c r="E492" s="110" t="n"/>
      <c r="F492" s="112" t="n"/>
      <c r="G492" s="112" t="n"/>
      <c r="H492" s="110" t="n"/>
      <c r="I492" s="113" t="n"/>
      <c r="J492" s="113" t="n"/>
      <c r="K492" s="111" t="n"/>
      <c r="L492" s="111" t="n"/>
      <c r="M492" s="111" t="n"/>
      <c r="N492" s="114" t="str">
        <f>IF(OR(D492="",E492=""),"",D492+IF(E492="NOTIFICAÇÃO DE CONSTATAÇÃO",PrazoConst,PrazoEsc))</f>
        <v/>
      </c>
      <c r="O492" s="115" t="str">
        <f>IF(N492="","",IF(ISNUMBER(L492),N492-L492,IF(OR(G492="DECISÃO D.P",ISNUMBER(M492)),"",N492-TODAY())))</f>
        <v/>
      </c>
      <c r="P492" s="116" t="str">
        <f>IF(B492="","",IF(ISNUMBER(M492),"DECIDIDO – ","")&amp;IF(ISNUMBER(L492),IF(O492="","SEM DATA",IF(O492&gt;=0,"DEFESA NO PRAZO","DEFESA FORA DO PRAZO")),IF(OR(G492="DECISÃO D.P",ISNUMBER(M492)),"SEM DEFESA",IF(G492="","SEM STATUS",IF(O492="","SEM DATA",IF(O492&lt;0,"VENCIDO",IF(O492&lt;=DiasAlerta,"VENCE EM BREVE","NO PRAZO")))))))</f>
        <v/>
      </c>
      <c r="Q492" s="117" t="str">
        <f>IF(D492="","",TODAY()-D492)</f>
        <v/>
      </c>
      <c r="R492" s="110" t="n"/>
    </row>
    <row r="493" ht="18" customHeight="1">
      <c r="A493" s="109" t="n"/>
      <c r="B493" s="110" t="n"/>
      <c r="C493" s="110" t="n"/>
      <c r="D493" s="111" t="n"/>
      <c r="E493" s="110" t="n"/>
      <c r="F493" s="112" t="n"/>
      <c r="G493" s="112" t="n"/>
      <c r="H493" s="110" t="n"/>
      <c r="I493" s="113" t="n"/>
      <c r="J493" s="113" t="n"/>
      <c r="K493" s="111" t="n"/>
      <c r="L493" s="111" t="n"/>
      <c r="M493" s="111" t="n"/>
      <c r="N493" s="114" t="str">
        <f>IF(OR(D493="",E493=""),"",D493+IF(E493="NOTIFICAÇÃO DE CONSTATAÇÃO",PrazoConst,PrazoEsc))</f>
        <v/>
      </c>
      <c r="O493" s="115" t="str">
        <f>IF(N493="","",IF(ISNUMBER(L493),N493-L493,IF(OR(G493="DECISÃO D.P",ISNUMBER(M493)),"",N493-TODAY())))</f>
        <v/>
      </c>
      <c r="P493" s="116" t="str">
        <f>IF(B493="","",IF(ISNUMBER(M493),"DECIDIDO – ","")&amp;IF(ISNUMBER(L493),IF(O493="","SEM DATA",IF(O493&gt;=0,"DEFESA NO PRAZO","DEFESA FORA DO PRAZO")),IF(OR(G493="DECISÃO D.P",ISNUMBER(M493)),"SEM DEFESA",IF(G493="","SEM STATUS",IF(O493="","SEM DATA",IF(O493&lt;0,"VENCIDO",IF(O493&lt;=DiasAlerta,"VENCE EM BREVE","NO PRAZO")))))))</f>
        <v/>
      </c>
      <c r="Q493" s="117" t="str">
        <f>IF(D493="","",TODAY()-D493)</f>
        <v/>
      </c>
      <c r="R493" s="110" t="n"/>
    </row>
    <row r="494" ht="18" customHeight="1">
      <c r="A494" s="109" t="n"/>
      <c r="B494" s="110" t="n"/>
      <c r="C494" s="110" t="n"/>
      <c r="D494" s="111" t="n"/>
      <c r="E494" s="110" t="n"/>
      <c r="F494" s="112" t="n"/>
      <c r="G494" s="112" t="n"/>
      <c r="H494" s="110" t="n"/>
      <c r="I494" s="113" t="n"/>
      <c r="J494" s="113" t="n"/>
      <c r="K494" s="111" t="n"/>
      <c r="L494" s="111" t="n"/>
      <c r="M494" s="111" t="n"/>
      <c r="N494" s="114" t="str">
        <f>IF(OR(D494="",E494=""),"",D494+IF(E494="NOTIFICAÇÃO DE CONSTATAÇÃO",PrazoConst,PrazoEsc))</f>
        <v/>
      </c>
      <c r="O494" s="115" t="str">
        <f>IF(N494="","",IF(ISNUMBER(L494),N494-L494,IF(OR(G494="DECISÃO D.P",ISNUMBER(M494)),"",N494-TODAY())))</f>
        <v/>
      </c>
      <c r="P494" s="116" t="str">
        <f>IF(B494="","",IF(ISNUMBER(M494),"DECIDIDO – ","")&amp;IF(ISNUMBER(L494),IF(O494="","SEM DATA",IF(O494&gt;=0,"DEFESA NO PRAZO","DEFESA FORA DO PRAZO")),IF(OR(G494="DECISÃO D.P",ISNUMBER(M494)),"SEM DEFESA",IF(G494="","SEM STATUS",IF(O494="","SEM DATA",IF(O494&lt;0,"VENCIDO",IF(O494&lt;=DiasAlerta,"VENCE EM BREVE","NO PRAZO")))))))</f>
        <v/>
      </c>
      <c r="Q494" s="117" t="str">
        <f>IF(D494="","",TODAY()-D494)</f>
        <v/>
      </c>
      <c r="R494" s="110" t="n"/>
    </row>
    <row r="495" ht="18" customHeight="1">
      <c r="A495" s="109" t="n"/>
      <c r="B495" s="110" t="n"/>
      <c r="C495" s="110" t="n"/>
      <c r="D495" s="111" t="n"/>
      <c r="E495" s="110" t="n"/>
      <c r="F495" s="112" t="n"/>
      <c r="G495" s="112" t="n"/>
      <c r="H495" s="110" t="n"/>
      <c r="I495" s="113" t="n"/>
      <c r="J495" s="113" t="n"/>
      <c r="K495" s="111" t="n"/>
      <c r="L495" s="111" t="n"/>
      <c r="M495" s="111" t="n"/>
      <c r="N495" s="114" t="str">
        <f>IF(OR(D495="",E495=""),"",D495+IF(E495="NOTIFICAÇÃO DE CONSTATAÇÃO",PrazoConst,PrazoEsc))</f>
        <v/>
      </c>
      <c r="O495" s="115" t="str">
        <f>IF(N495="","",IF(ISNUMBER(L495),N495-L495,IF(OR(G495="DECISÃO D.P",ISNUMBER(M495)),"",N495-TODAY())))</f>
        <v/>
      </c>
      <c r="P495" s="116" t="str">
        <f>IF(B495="","",IF(ISNUMBER(M495),"DECIDIDO – ","")&amp;IF(ISNUMBER(L495),IF(O495="","SEM DATA",IF(O495&gt;=0,"DEFESA NO PRAZO","DEFESA FORA DO PRAZO")),IF(OR(G495="DECISÃO D.P",ISNUMBER(M495)),"SEM DEFESA",IF(G495="","SEM STATUS",IF(O495="","SEM DATA",IF(O495&lt;0,"VENCIDO",IF(O495&lt;=DiasAlerta,"VENCE EM BREVE","NO PRAZO")))))))</f>
        <v/>
      </c>
      <c r="Q495" s="117" t="str">
        <f>IF(D495="","",TODAY()-D495)</f>
        <v/>
      </c>
      <c r="R495" s="110" t="n"/>
    </row>
    <row r="496" ht="18" customHeight="1">
      <c r="A496" s="109" t="n"/>
      <c r="B496" s="110" t="n"/>
      <c r="C496" s="110" t="n"/>
      <c r="D496" s="111" t="n"/>
      <c r="E496" s="110" t="n"/>
      <c r="F496" s="112" t="n"/>
      <c r="G496" s="112" t="n"/>
      <c r="H496" s="110" t="n"/>
      <c r="I496" s="113" t="n"/>
      <c r="J496" s="113" t="n"/>
      <c r="K496" s="111" t="n"/>
      <c r="L496" s="111" t="n"/>
      <c r="M496" s="111" t="n"/>
      <c r="N496" s="114" t="str">
        <f>IF(OR(D496="",E496=""),"",D496+IF(E496="NOTIFICAÇÃO DE CONSTATAÇÃO",PrazoConst,PrazoEsc))</f>
        <v/>
      </c>
      <c r="O496" s="115" t="str">
        <f>IF(N496="","",IF(ISNUMBER(L496),N496-L496,IF(OR(G496="DECISÃO D.P",ISNUMBER(M496)),"",N496-TODAY())))</f>
        <v/>
      </c>
      <c r="P496" s="116" t="str">
        <f>IF(B496="","",IF(ISNUMBER(M496),"DECIDIDO – ","")&amp;IF(ISNUMBER(L496),IF(O496="","SEM DATA",IF(O496&gt;=0,"DEFESA NO PRAZO","DEFESA FORA DO PRAZO")),IF(OR(G496="DECISÃO D.P",ISNUMBER(M496)),"SEM DEFESA",IF(G496="","SEM STATUS",IF(O496="","SEM DATA",IF(O496&lt;0,"VENCIDO",IF(O496&lt;=DiasAlerta,"VENCE EM BREVE","NO PRAZO")))))))</f>
        <v/>
      </c>
      <c r="Q496" s="117" t="str">
        <f>IF(D496="","",TODAY()-D496)</f>
        <v/>
      </c>
      <c r="R496" s="110" t="n"/>
    </row>
    <row r="497" ht="18" customHeight="1">
      <c r="A497" s="109" t="n"/>
      <c r="B497" s="110" t="n"/>
      <c r="C497" s="110" t="n"/>
      <c r="D497" s="111" t="n"/>
      <c r="E497" s="110" t="n"/>
      <c r="F497" s="112" t="n"/>
      <c r="G497" s="112" t="n"/>
      <c r="H497" s="110" t="n"/>
      <c r="I497" s="113" t="n"/>
      <c r="J497" s="113" t="n"/>
      <c r="K497" s="111" t="n"/>
      <c r="L497" s="111" t="n"/>
      <c r="M497" s="111" t="n"/>
      <c r="N497" s="114" t="str">
        <f>IF(OR(D497="",E497=""),"",D497+IF(E497="NOTIFICAÇÃO DE CONSTATAÇÃO",PrazoConst,PrazoEsc))</f>
        <v/>
      </c>
      <c r="O497" s="115" t="str">
        <f>IF(N497="","",IF(ISNUMBER(L497),N497-L497,IF(OR(G497="DECISÃO D.P",ISNUMBER(M497)),"",N497-TODAY())))</f>
        <v/>
      </c>
      <c r="P497" s="116" t="str">
        <f>IF(B497="","",IF(ISNUMBER(M497),"DECIDIDO – ","")&amp;IF(ISNUMBER(L497),IF(O497="","SEM DATA",IF(O497&gt;=0,"DEFESA NO PRAZO","DEFESA FORA DO PRAZO")),IF(OR(G497="DECISÃO D.P",ISNUMBER(M497)),"SEM DEFESA",IF(G497="","SEM STATUS",IF(O497="","SEM DATA",IF(O497&lt;0,"VENCIDO",IF(O497&lt;=DiasAlerta,"VENCE EM BREVE","NO PRAZO")))))))</f>
        <v/>
      </c>
      <c r="Q497" s="117" t="str">
        <f>IF(D497="","",TODAY()-D497)</f>
        <v/>
      </c>
      <c r="R497" s="110" t="n"/>
    </row>
    <row r="498" ht="18" customHeight="1">
      <c r="A498" s="109" t="n"/>
      <c r="B498" s="110" t="n"/>
      <c r="C498" s="110" t="n"/>
      <c r="D498" s="111" t="n"/>
      <c r="E498" s="110" t="n"/>
      <c r="F498" s="112" t="n"/>
      <c r="G498" s="112" t="n"/>
      <c r="H498" s="110" t="n"/>
      <c r="I498" s="113" t="n"/>
      <c r="J498" s="113" t="n"/>
      <c r="K498" s="111" t="n"/>
      <c r="L498" s="111" t="n"/>
      <c r="M498" s="111" t="n"/>
      <c r="N498" s="114" t="str">
        <f>IF(OR(D498="",E498=""),"",D498+IF(E498="NOTIFICAÇÃO DE CONSTATAÇÃO",PrazoConst,PrazoEsc))</f>
        <v/>
      </c>
      <c r="O498" s="115" t="str">
        <f>IF(N498="","",IF(ISNUMBER(L498),N498-L498,IF(OR(G498="DECISÃO D.P",ISNUMBER(M498)),"",N498-TODAY())))</f>
        <v/>
      </c>
      <c r="P498" s="116" t="str">
        <f>IF(B498="","",IF(ISNUMBER(M498),"DECIDIDO – ","")&amp;IF(ISNUMBER(L498),IF(O498="","SEM DATA",IF(O498&gt;=0,"DEFESA NO PRAZO","DEFESA FORA DO PRAZO")),IF(OR(G498="DECISÃO D.P",ISNUMBER(M498)),"SEM DEFESA",IF(G498="","SEM STATUS",IF(O498="","SEM DATA",IF(O498&lt;0,"VENCIDO",IF(O498&lt;=DiasAlerta,"VENCE EM BREVE","NO PRAZO")))))))</f>
        <v/>
      </c>
      <c r="Q498" s="117" t="str">
        <f>IF(D498="","",TODAY()-D498)</f>
        <v/>
      </c>
      <c r="R498" s="110" t="n"/>
    </row>
    <row r="499" ht="18" customHeight="1">
      <c r="A499" s="109" t="n"/>
      <c r="B499" s="110" t="n"/>
      <c r="C499" s="110" t="n"/>
      <c r="D499" s="111" t="n"/>
      <c r="E499" s="110" t="n"/>
      <c r="F499" s="112" t="n"/>
      <c r="G499" s="112" t="n"/>
      <c r="H499" s="110" t="n"/>
      <c r="I499" s="113" t="n"/>
      <c r="J499" s="113" t="n"/>
      <c r="K499" s="111" t="n"/>
      <c r="L499" s="111" t="n"/>
      <c r="M499" s="111" t="n"/>
      <c r="N499" s="114" t="str">
        <f>IF(OR(D499="",E499=""),"",D499+IF(E499="NOTIFICAÇÃO DE CONSTATAÇÃO",PrazoConst,PrazoEsc))</f>
        <v/>
      </c>
      <c r="O499" s="115" t="str">
        <f>IF(N499="","",IF(ISNUMBER(L499),N499-L499,IF(OR(G499="DECISÃO D.P",ISNUMBER(M499)),"",N499-TODAY())))</f>
        <v/>
      </c>
      <c r="P499" s="116" t="str">
        <f>IF(B499="","",IF(ISNUMBER(M499),"DECIDIDO – ","")&amp;IF(ISNUMBER(L499),IF(O499="","SEM DATA",IF(O499&gt;=0,"DEFESA NO PRAZO","DEFESA FORA DO PRAZO")),IF(OR(G499="DECISÃO D.P",ISNUMBER(M499)),"SEM DEFESA",IF(G499="","SEM STATUS",IF(O499="","SEM DATA",IF(O499&lt;0,"VENCIDO",IF(O499&lt;=DiasAlerta,"VENCE EM BREVE","NO PRAZO")))))))</f>
        <v/>
      </c>
      <c r="Q499" s="117" t="str">
        <f>IF(D499="","",TODAY()-D499)</f>
        <v/>
      </c>
      <c r="R499" s="110" t="n"/>
    </row>
    <row r="500" ht="18" customHeight="1">
      <c r="A500" s="109" t="n"/>
      <c r="B500" s="110" t="n"/>
      <c r="C500" s="110" t="n"/>
      <c r="D500" s="111" t="n"/>
      <c r="E500" s="110" t="n"/>
      <c r="F500" s="112" t="n"/>
      <c r="G500" s="112" t="n"/>
      <c r="H500" s="110" t="n"/>
      <c r="I500" s="113" t="n"/>
      <c r="J500" s="113" t="n"/>
      <c r="K500" s="111" t="n"/>
      <c r="L500" s="111" t="n"/>
      <c r="M500" s="111" t="n"/>
      <c r="N500" s="114" t="str">
        <f>IF(OR(D500="",E500=""),"",D500+IF(E500="NOTIFICAÇÃO DE CONSTATAÇÃO",PrazoConst,PrazoEsc))</f>
        <v/>
      </c>
      <c r="O500" s="115" t="str">
        <f>IF(N500="","",IF(ISNUMBER(L500),N500-L500,IF(OR(G500="DECISÃO D.P",ISNUMBER(M500)),"",N500-TODAY())))</f>
        <v/>
      </c>
      <c r="P500" s="116" t="str">
        <f>IF(B500="","",IF(ISNUMBER(M500),"DECIDIDO – ","")&amp;IF(ISNUMBER(L500),IF(O500="","SEM DATA",IF(O500&gt;=0,"DEFESA NO PRAZO","DEFESA FORA DO PRAZO")),IF(OR(G500="DECISÃO D.P",ISNUMBER(M500)),"SEM DEFESA",IF(G500="","SEM STATUS",IF(O500="","SEM DATA",IF(O500&lt;0,"VENCIDO",IF(O500&lt;=DiasAlerta,"VENCE EM BREVE","NO PRAZO")))))))</f>
        <v/>
      </c>
      <c r="Q500" s="117" t="str">
        <f>IF(D500="","",TODAY()-D500)</f>
        <v/>
      </c>
      <c r="R500" s="110" t="n"/>
    </row>
    <row r="501" ht="18" customHeight="1">
      <c r="A501" s="109" t="n"/>
      <c r="B501" s="110" t="n"/>
      <c r="C501" s="110" t="n"/>
      <c r="D501" s="111" t="n"/>
      <c r="E501" s="110" t="n"/>
      <c r="F501" s="112" t="n"/>
      <c r="G501" s="112" t="n"/>
      <c r="H501" s="110" t="n"/>
      <c r="I501" s="113" t="n"/>
      <c r="J501" s="113" t="n"/>
      <c r="K501" s="111" t="n"/>
      <c r="L501" s="111" t="n"/>
      <c r="M501" s="111" t="n"/>
      <c r="N501" s="114" t="str">
        <f>IF(OR(D501="",E501=""),"",D501+IF(E501="NOTIFICAÇÃO DE CONSTATAÇÃO",PrazoConst,PrazoEsc))</f>
        <v/>
      </c>
      <c r="O501" s="115" t="str">
        <f>IF(N501="","",IF(ISNUMBER(L501),N501-L501,IF(OR(G501="DECISÃO D.P",ISNUMBER(M501)),"",N501-TODAY())))</f>
        <v/>
      </c>
      <c r="P501" s="116" t="str">
        <f>IF(B501="","",IF(ISNUMBER(M501),"DECIDIDO – ","")&amp;IF(ISNUMBER(L501),IF(O501="","SEM DATA",IF(O501&gt;=0,"DEFESA NO PRAZO","DEFESA FORA DO PRAZO")),IF(OR(G501="DECISÃO D.P",ISNUMBER(M501)),"SEM DEFESA",IF(G501="","SEM STATUS",IF(O501="","SEM DATA",IF(O501&lt;0,"VENCIDO",IF(O501&lt;=DiasAlerta,"VENCE EM BREVE","NO PRAZO")))))))</f>
        <v/>
      </c>
      <c r="Q501" s="117" t="str">
        <f>IF(D501="","",TODAY()-D501)</f>
        <v/>
      </c>
      <c r="R501" s="110" t="n"/>
    </row>
    <row r="502" ht="18" customHeight="1">
      <c r="A502" s="109" t="n"/>
      <c r="B502" s="110" t="n"/>
      <c r="C502" s="110" t="n"/>
      <c r="D502" s="111" t="n"/>
      <c r="E502" s="110" t="n"/>
      <c r="F502" s="112" t="n"/>
      <c r="G502" s="112" t="n"/>
      <c r="H502" s="110" t="n"/>
      <c r="I502" s="113" t="n"/>
      <c r="J502" s="113" t="n"/>
      <c r="K502" s="111" t="n"/>
      <c r="L502" s="111" t="n"/>
      <c r="M502" s="111" t="n"/>
      <c r="N502" s="114" t="str">
        <f>IF(OR(D502="",E502=""),"",D502+IF(E502="NOTIFICAÇÃO DE CONSTATAÇÃO",PrazoConst,PrazoEsc))</f>
        <v/>
      </c>
      <c r="O502" s="115" t="str">
        <f>IF(N502="","",IF(ISNUMBER(L502),N502-L502,IF(OR(G502="DECISÃO D.P",ISNUMBER(M502)),"",N502-TODAY())))</f>
        <v/>
      </c>
      <c r="P502" s="116" t="str">
        <f>IF(B502="","",IF(ISNUMBER(M502),"DECIDIDO – ","")&amp;IF(ISNUMBER(L502),IF(O502="","SEM DATA",IF(O502&gt;=0,"DEFESA NO PRAZO","DEFESA FORA DO PRAZO")),IF(OR(G502="DECISÃO D.P",ISNUMBER(M502)),"SEM DEFESA",IF(G502="","SEM STATUS",IF(O502="","SEM DATA",IF(O502&lt;0,"VENCIDO",IF(O502&lt;=DiasAlerta,"VENCE EM BREVE","NO PRAZO")))))))</f>
        <v/>
      </c>
      <c r="Q502" s="117" t="str">
        <f>IF(D502="","",TODAY()-D502)</f>
        <v/>
      </c>
      <c r="R502" s="110" t="n"/>
    </row>
    <row r="503" ht="18" customHeight="1">
      <c r="A503" s="109" t="n"/>
      <c r="B503" s="110" t="n"/>
      <c r="C503" s="110" t="n"/>
      <c r="D503" s="111" t="n"/>
      <c r="E503" s="110" t="n"/>
      <c r="F503" s="112" t="n"/>
      <c r="G503" s="112" t="n"/>
      <c r="H503" s="110" t="n"/>
      <c r="I503" s="113" t="n"/>
      <c r="J503" s="113" t="n"/>
      <c r="K503" s="111" t="n"/>
      <c r="L503" s="111" t="n"/>
      <c r="M503" s="111" t="n"/>
      <c r="N503" s="114" t="str">
        <f>IF(OR(D503="",E503=""),"",D503+IF(E503="NOTIFICAÇÃO DE CONSTATAÇÃO",PrazoConst,PrazoEsc))</f>
        <v/>
      </c>
      <c r="O503" s="115" t="str">
        <f>IF(N503="","",IF(ISNUMBER(L503),N503-L503,IF(OR(G503="DECISÃO D.P",ISNUMBER(M503)),"",N503-TODAY())))</f>
        <v/>
      </c>
      <c r="P503" s="116" t="str">
        <f>IF(B503="","",IF(ISNUMBER(M503),"DECIDIDO – ","")&amp;IF(ISNUMBER(L503),IF(O503="","SEM DATA",IF(O503&gt;=0,"DEFESA NO PRAZO","DEFESA FORA DO PRAZO")),IF(OR(G503="DECISÃO D.P",ISNUMBER(M503)),"SEM DEFESA",IF(G503="","SEM STATUS",IF(O503="","SEM DATA",IF(O503&lt;0,"VENCIDO",IF(O503&lt;=DiasAlerta,"VENCE EM BREVE","NO PRAZO")))))))</f>
        <v/>
      </c>
      <c r="Q503" s="117" t="str">
        <f>IF(D503="","",TODAY()-D503)</f>
        <v/>
      </c>
      <c r="R503" s="110" t="n"/>
    </row>
    <row r="504" ht="18" customHeight="1">
      <c r="A504" s="109" t="n"/>
      <c r="B504" s="110" t="n"/>
      <c r="C504" s="110" t="n"/>
      <c r="D504" s="111" t="n"/>
      <c r="E504" s="110" t="n"/>
      <c r="F504" s="112" t="n"/>
      <c r="G504" s="112" t="n"/>
      <c r="H504" s="110" t="n"/>
      <c r="I504" s="113" t="n"/>
      <c r="J504" s="113" t="n"/>
      <c r="K504" s="111" t="n"/>
      <c r="L504" s="111" t="n"/>
      <c r="M504" s="111" t="n"/>
      <c r="N504" s="114" t="str">
        <f>IF(OR(D504="",E504=""),"",D504+IF(E504="NOTIFICAÇÃO DE CONSTATAÇÃO",PrazoConst,PrazoEsc))</f>
        <v/>
      </c>
      <c r="O504" s="115" t="str">
        <f>IF(N504="","",IF(ISNUMBER(L504),N504-L504,IF(OR(G504="DECISÃO D.P",ISNUMBER(M504)),"",N504-TODAY())))</f>
        <v/>
      </c>
      <c r="P504" s="116" t="str">
        <f>IF(B504="","",IF(ISNUMBER(M504),"DECIDIDO – ","")&amp;IF(ISNUMBER(L504),IF(O504="","SEM DATA",IF(O504&gt;=0,"DEFESA NO PRAZO","DEFESA FORA DO PRAZO")),IF(OR(G504="DECISÃO D.P",ISNUMBER(M504)),"SEM DEFESA",IF(G504="","SEM STATUS",IF(O504="","SEM DATA",IF(O504&lt;0,"VENCIDO",IF(O504&lt;=DiasAlerta,"VENCE EM BREVE","NO PRAZO")))))))</f>
        <v/>
      </c>
      <c r="Q504" s="117" t="str">
        <f>IF(D504="","",TODAY()-D504)</f>
        <v/>
      </c>
      <c r="R504" s="110" t="n"/>
    </row>
    <row r="505" ht="18" customHeight="1">
      <c r="A505" s="109" t="n"/>
      <c r="B505" s="110" t="n"/>
      <c r="C505" s="110" t="n"/>
      <c r="D505" s="111" t="n"/>
      <c r="E505" s="110" t="n"/>
      <c r="F505" s="112" t="n"/>
      <c r="G505" s="112" t="n"/>
      <c r="H505" s="110" t="n"/>
      <c r="I505" s="113" t="n"/>
      <c r="J505" s="113" t="n"/>
      <c r="K505" s="111" t="n"/>
      <c r="L505" s="111" t="n"/>
      <c r="M505" s="111" t="n"/>
      <c r="N505" s="114" t="str">
        <f>IF(OR(D505="",E505=""),"",D505+IF(E505="NOTIFICAÇÃO DE CONSTATAÇÃO",PrazoConst,PrazoEsc))</f>
        <v/>
      </c>
      <c r="O505" s="115" t="str">
        <f>IF(N505="","",IF(ISNUMBER(L505),N505-L505,IF(OR(G505="DECISÃO D.P",ISNUMBER(M505)),"",N505-TODAY())))</f>
        <v/>
      </c>
      <c r="P505" s="116" t="str">
        <f>IF(B505="","",IF(ISNUMBER(M505),"DECIDIDO – ","")&amp;IF(ISNUMBER(L505),IF(O505="","SEM DATA",IF(O505&gt;=0,"DEFESA NO PRAZO","DEFESA FORA DO PRAZO")),IF(OR(G505="DECISÃO D.P",ISNUMBER(M505)),"SEM DEFESA",IF(G505="","SEM STATUS",IF(O505="","SEM DATA",IF(O505&lt;0,"VENCIDO",IF(O505&lt;=DiasAlerta,"VENCE EM BREVE","NO PRAZO")))))))</f>
        <v/>
      </c>
      <c r="Q505" s="117" t="str">
        <f>IF(D505="","",TODAY()-D505)</f>
        <v/>
      </c>
      <c r="R505" s="110" t="n"/>
    </row>
    <row r="506" ht="18" customHeight="1">
      <c r="A506" s="109" t="n"/>
      <c r="B506" s="110" t="n"/>
      <c r="C506" s="110" t="n"/>
      <c r="D506" s="111" t="n"/>
      <c r="E506" s="110" t="n"/>
      <c r="F506" s="112" t="n"/>
      <c r="G506" s="112" t="n"/>
      <c r="H506" s="110" t="n"/>
      <c r="I506" s="113" t="n"/>
      <c r="J506" s="113" t="n"/>
      <c r="K506" s="111" t="n"/>
      <c r="L506" s="111" t="n"/>
      <c r="M506" s="111" t="n"/>
      <c r="N506" s="114" t="str">
        <f>IF(OR(D506="",E506=""),"",D506+IF(E506="NOTIFICAÇÃO DE CONSTATAÇÃO",PrazoConst,PrazoEsc))</f>
        <v/>
      </c>
      <c r="O506" s="115" t="str">
        <f>IF(N506="","",IF(ISNUMBER(L506),N506-L506,IF(OR(G506="DECISÃO D.P",ISNUMBER(M506)),"",N506-TODAY())))</f>
        <v/>
      </c>
      <c r="P506" s="116" t="str">
        <f>IF(B506="","",IF(ISNUMBER(M506),"DECIDIDO – ","")&amp;IF(ISNUMBER(L506),IF(O506="","SEM DATA",IF(O506&gt;=0,"DEFESA NO PRAZO","DEFESA FORA DO PRAZO")),IF(OR(G506="DECISÃO D.P",ISNUMBER(M506)),"SEM DEFESA",IF(G506="","SEM STATUS",IF(O506="","SEM DATA",IF(O506&lt;0,"VENCIDO",IF(O506&lt;=DiasAlerta,"VENCE EM BREVE","NO PRAZO")))))))</f>
        <v/>
      </c>
      <c r="Q506" s="117" t="str">
        <f>IF(D506="","",TODAY()-D506)</f>
        <v/>
      </c>
      <c r="R506" s="110" t="n"/>
    </row>
    <row r="507" ht="18" customHeight="1">
      <c r="A507" s="109" t="n"/>
      <c r="B507" s="110" t="n"/>
      <c r="C507" s="110" t="n"/>
      <c r="D507" s="111" t="n"/>
      <c r="E507" s="110" t="n"/>
      <c r="F507" s="112" t="n"/>
      <c r="G507" s="112" t="n"/>
      <c r="H507" s="110" t="n"/>
      <c r="I507" s="113" t="n"/>
      <c r="J507" s="113" t="n"/>
      <c r="K507" s="111" t="n"/>
      <c r="L507" s="111" t="n"/>
      <c r="M507" s="111" t="n"/>
      <c r="N507" s="114" t="str">
        <f>IF(OR(D507="",E507=""),"",D507+IF(E507="NOTIFICAÇÃO DE CONSTATAÇÃO",PrazoConst,PrazoEsc))</f>
        <v/>
      </c>
      <c r="O507" s="115" t="str">
        <f>IF(N507="","",IF(ISNUMBER(L507),N507-L507,IF(OR(G507="DECISÃO D.P",ISNUMBER(M507)),"",N507-TODAY())))</f>
        <v/>
      </c>
      <c r="P507" s="116" t="str">
        <f>IF(B507="","",IF(ISNUMBER(M507),"DECIDIDO – ","")&amp;IF(ISNUMBER(L507),IF(O507="","SEM DATA",IF(O507&gt;=0,"DEFESA NO PRAZO","DEFESA FORA DO PRAZO")),IF(OR(G507="DECISÃO D.P",ISNUMBER(M507)),"SEM DEFESA",IF(G507="","SEM STATUS",IF(O507="","SEM DATA",IF(O507&lt;0,"VENCIDO",IF(O507&lt;=DiasAlerta,"VENCE EM BREVE","NO PRAZO")))))))</f>
        <v/>
      </c>
      <c r="Q507" s="117" t="str">
        <f>IF(D507="","",TODAY()-D507)</f>
        <v/>
      </c>
      <c r="R507" s="110" t="n"/>
    </row>
    <row r="508" ht="18" customHeight="1">
      <c r="A508" s="109" t="n"/>
      <c r="B508" s="110" t="n"/>
      <c r="C508" s="110" t="n"/>
      <c r="D508" s="111" t="n"/>
      <c r="E508" s="110" t="n"/>
      <c r="F508" s="112" t="n"/>
      <c r="G508" s="112" t="n"/>
      <c r="H508" s="110" t="n"/>
      <c r="I508" s="113" t="n"/>
      <c r="J508" s="113" t="n"/>
      <c r="K508" s="111" t="n"/>
      <c r="L508" s="111" t="n"/>
      <c r="M508" s="111" t="n"/>
      <c r="N508" s="114" t="str">
        <f>IF(OR(D508="",E508=""),"",D508+IF(E508="NOTIFICAÇÃO DE CONSTATAÇÃO",PrazoConst,PrazoEsc))</f>
        <v/>
      </c>
      <c r="O508" s="115" t="str">
        <f>IF(N508="","",IF(ISNUMBER(L508),N508-L508,IF(OR(G508="DECISÃO D.P",ISNUMBER(M508)),"",N508-TODAY())))</f>
        <v/>
      </c>
      <c r="P508" s="116" t="str">
        <f>IF(B508="","",IF(ISNUMBER(M508),"DECIDIDO – ","")&amp;IF(ISNUMBER(L508),IF(O508="","SEM DATA",IF(O508&gt;=0,"DEFESA NO PRAZO","DEFESA FORA DO PRAZO")),IF(OR(G508="DECISÃO D.P",ISNUMBER(M508)),"SEM DEFESA",IF(G508="","SEM STATUS",IF(O508="","SEM DATA",IF(O508&lt;0,"VENCIDO",IF(O508&lt;=DiasAlerta,"VENCE EM BREVE","NO PRAZO")))))))</f>
        <v/>
      </c>
      <c r="Q508" s="117" t="str">
        <f>IF(D508="","",TODAY()-D508)</f>
        <v/>
      </c>
      <c r="R508" s="110" t="n"/>
    </row>
    <row r="509" ht="18" customHeight="1">
      <c r="A509" s="109" t="n"/>
      <c r="B509" s="110" t="n"/>
      <c r="C509" s="110" t="n"/>
      <c r="D509" s="111" t="n"/>
      <c r="E509" s="110" t="n"/>
      <c r="F509" s="112" t="n"/>
      <c r="G509" s="112" t="n"/>
      <c r="H509" s="110" t="n"/>
      <c r="I509" s="113" t="n"/>
      <c r="J509" s="113" t="n"/>
      <c r="K509" s="111" t="n"/>
      <c r="L509" s="111" t="n"/>
      <c r="M509" s="111" t="n"/>
      <c r="N509" s="114" t="str">
        <f>IF(OR(D509="",E509=""),"",D509+IF(E509="NOTIFICAÇÃO DE CONSTATAÇÃO",PrazoConst,PrazoEsc))</f>
        <v/>
      </c>
      <c r="O509" s="115" t="str">
        <f>IF(N509="","",IF(ISNUMBER(L509),N509-L509,IF(OR(G509="DECISÃO D.P",ISNUMBER(M509)),"",N509-TODAY())))</f>
        <v/>
      </c>
      <c r="P509" s="116" t="str">
        <f>IF(B509="","",IF(ISNUMBER(M509),"DECIDIDO – ","")&amp;IF(ISNUMBER(L509),IF(O509="","SEM DATA",IF(O509&gt;=0,"DEFESA NO PRAZO","DEFESA FORA DO PRAZO")),IF(OR(G509="DECISÃO D.P",ISNUMBER(M509)),"SEM DEFESA",IF(G509="","SEM STATUS",IF(O509="","SEM DATA",IF(O509&lt;0,"VENCIDO",IF(O509&lt;=DiasAlerta,"VENCE EM BREVE","NO PRAZO")))))))</f>
        <v/>
      </c>
      <c r="Q509" s="117" t="str">
        <f>IF(D509="","",TODAY()-D509)</f>
        <v/>
      </c>
      <c r="R509" s="110" t="n"/>
    </row>
    <row r="510" ht="18" customHeight="1">
      <c r="A510" s="109" t="n"/>
      <c r="B510" s="110" t="n"/>
      <c r="C510" s="110" t="n"/>
      <c r="D510" s="111" t="n"/>
      <c r="E510" s="110" t="n"/>
      <c r="F510" s="112" t="n"/>
      <c r="G510" s="112" t="n"/>
      <c r="H510" s="110" t="n"/>
      <c r="I510" s="113" t="n"/>
      <c r="J510" s="113" t="n"/>
      <c r="K510" s="111" t="n"/>
      <c r="L510" s="111" t="n"/>
      <c r="M510" s="111" t="n"/>
      <c r="N510" s="114" t="str">
        <f>IF(OR(D510="",E510=""),"",D510+IF(E510="NOTIFICAÇÃO DE CONSTATAÇÃO",PrazoConst,PrazoEsc))</f>
        <v/>
      </c>
      <c r="O510" s="115" t="str">
        <f>IF(N510="","",IF(ISNUMBER(L510),N510-L510,IF(OR(G510="DECISÃO D.P",ISNUMBER(M510)),"",N510-TODAY())))</f>
        <v/>
      </c>
      <c r="P510" s="116" t="str">
        <f>IF(B510="","",IF(ISNUMBER(M510),"DECIDIDO – ","")&amp;IF(ISNUMBER(L510),IF(O510="","SEM DATA",IF(O510&gt;=0,"DEFESA NO PRAZO","DEFESA FORA DO PRAZO")),IF(OR(G510="DECISÃO D.P",ISNUMBER(M510)),"SEM DEFESA",IF(G510="","SEM STATUS",IF(O510="","SEM DATA",IF(O510&lt;0,"VENCIDO",IF(O510&lt;=DiasAlerta,"VENCE EM BREVE","NO PRAZO")))))))</f>
        <v/>
      </c>
      <c r="Q510" s="117" t="str">
        <f>IF(D510="","",TODAY()-D510)</f>
        <v/>
      </c>
      <c r="R510" s="110" t="n"/>
    </row>
    <row r="511" ht="18" customHeight="1">
      <c r="A511" s="109" t="n"/>
      <c r="B511" s="110" t="n"/>
      <c r="C511" s="110" t="n"/>
      <c r="D511" s="111" t="n"/>
      <c r="E511" s="110" t="n"/>
      <c r="F511" s="112" t="n"/>
      <c r="G511" s="112" t="n"/>
      <c r="H511" s="110" t="n"/>
      <c r="I511" s="113" t="n"/>
      <c r="J511" s="113" t="n"/>
      <c r="K511" s="111" t="n"/>
      <c r="L511" s="111" t="n"/>
      <c r="M511" s="111" t="n"/>
      <c r="N511" s="114" t="str">
        <f>IF(OR(D511="",E511=""),"",D511+IF(E511="NOTIFICAÇÃO DE CONSTATAÇÃO",PrazoConst,PrazoEsc))</f>
        <v/>
      </c>
      <c r="O511" s="115" t="str">
        <f>IF(N511="","",IF(ISNUMBER(L511),N511-L511,IF(OR(G511="DECISÃO D.P",ISNUMBER(M511)),"",N511-TODAY())))</f>
        <v/>
      </c>
      <c r="P511" s="116" t="str">
        <f>IF(B511="","",IF(ISNUMBER(M511),"DECIDIDO – ","")&amp;IF(ISNUMBER(L511),IF(O511="","SEM DATA",IF(O511&gt;=0,"DEFESA NO PRAZO","DEFESA FORA DO PRAZO")),IF(OR(G511="DECISÃO D.P",ISNUMBER(M511)),"SEM DEFESA",IF(G511="","SEM STATUS",IF(O511="","SEM DATA",IF(O511&lt;0,"VENCIDO",IF(O511&lt;=DiasAlerta,"VENCE EM BREVE","NO PRAZO")))))))</f>
        <v/>
      </c>
      <c r="Q511" s="117" t="str">
        <f>IF(D511="","",TODAY()-D511)</f>
        <v/>
      </c>
      <c r="R511" s="110" t="n"/>
    </row>
    <row r="512" ht="18" customHeight="1">
      <c r="A512" s="109" t="n"/>
      <c r="B512" s="110" t="n"/>
      <c r="C512" s="110" t="n"/>
      <c r="D512" s="111" t="n"/>
      <c r="E512" s="110" t="n"/>
      <c r="F512" s="112" t="n"/>
      <c r="G512" s="112" t="n"/>
      <c r="H512" s="110" t="n"/>
      <c r="I512" s="113" t="n"/>
      <c r="J512" s="113" t="n"/>
      <c r="K512" s="111" t="n"/>
      <c r="L512" s="111" t="n"/>
      <c r="M512" s="111" t="n"/>
      <c r="N512" s="114" t="str">
        <f>IF(OR(D512="",E512=""),"",D512+IF(E512="NOTIFICAÇÃO DE CONSTATAÇÃO",PrazoConst,PrazoEsc))</f>
        <v/>
      </c>
      <c r="O512" s="115" t="str">
        <f>IF(N512="","",IF(ISNUMBER(L512),N512-L512,IF(OR(G512="DECISÃO D.P",ISNUMBER(M512)),"",N512-TODAY())))</f>
        <v/>
      </c>
      <c r="P512" s="116" t="str">
        <f>IF(B512="","",IF(ISNUMBER(M512),"DECIDIDO – ","")&amp;IF(ISNUMBER(L512),IF(O512="","SEM DATA",IF(O512&gt;=0,"DEFESA NO PRAZO","DEFESA FORA DO PRAZO")),IF(OR(G512="DECISÃO D.P",ISNUMBER(M512)),"SEM DEFESA",IF(G512="","SEM STATUS",IF(O512="","SEM DATA",IF(O512&lt;0,"VENCIDO",IF(O512&lt;=DiasAlerta,"VENCE EM BREVE","NO PRAZO")))))))</f>
        <v/>
      </c>
      <c r="Q512" s="117" t="str">
        <f>IF(D512="","",TODAY()-D512)</f>
        <v/>
      </c>
      <c r="R512" s="110" t="n"/>
    </row>
    <row r="513" ht="18" customHeight="1">
      <c r="A513" s="109" t="n"/>
      <c r="B513" s="110" t="n"/>
      <c r="C513" s="110" t="n"/>
      <c r="D513" s="111" t="n"/>
      <c r="E513" s="110" t="n"/>
      <c r="F513" s="112" t="n"/>
      <c r="G513" s="112" t="n"/>
      <c r="H513" s="110" t="n"/>
      <c r="I513" s="113" t="n"/>
      <c r="J513" s="113" t="n"/>
      <c r="K513" s="111" t="n"/>
      <c r="L513" s="111" t="n"/>
      <c r="M513" s="111" t="n"/>
      <c r="N513" s="114" t="str">
        <f>IF(OR(D513="",E513=""),"",D513+IF(E513="NOTIFICAÇÃO DE CONSTATAÇÃO",PrazoConst,PrazoEsc))</f>
        <v/>
      </c>
      <c r="O513" s="115" t="str">
        <f>IF(N513="","",IF(ISNUMBER(L513),N513-L513,IF(OR(G513="DECISÃO D.P",ISNUMBER(M513)),"",N513-TODAY())))</f>
        <v/>
      </c>
      <c r="P513" s="116" t="str">
        <f>IF(B513="","",IF(ISNUMBER(M513),"DECIDIDO – ","")&amp;IF(ISNUMBER(L513),IF(O513="","SEM DATA",IF(O513&gt;=0,"DEFESA NO PRAZO","DEFESA FORA DO PRAZO")),IF(OR(G513="DECISÃO D.P",ISNUMBER(M513)),"SEM DEFESA",IF(G513="","SEM STATUS",IF(O513="","SEM DATA",IF(O513&lt;0,"VENCIDO",IF(O513&lt;=DiasAlerta,"VENCE EM BREVE","NO PRAZO")))))))</f>
        <v/>
      </c>
      <c r="Q513" s="117" t="str">
        <f>IF(D513="","",TODAY()-D513)</f>
        <v/>
      </c>
      <c r="R513" s="110" t="n"/>
    </row>
    <row r="514" ht="18" customHeight="1">
      <c r="A514" s="109" t="n"/>
      <c r="B514" s="110" t="n"/>
      <c r="C514" s="110" t="n"/>
      <c r="D514" s="111" t="n"/>
      <c r="E514" s="110" t="n"/>
      <c r="F514" s="112" t="n"/>
      <c r="G514" s="112" t="n"/>
      <c r="H514" s="110" t="n"/>
      <c r="I514" s="113" t="n"/>
      <c r="J514" s="113" t="n"/>
      <c r="K514" s="111" t="n"/>
      <c r="L514" s="111" t="n"/>
      <c r="M514" s="111" t="n"/>
      <c r="N514" s="114" t="str">
        <f>IF(OR(D514="",E514=""),"",D514+IF(E514="NOTIFICAÇÃO DE CONSTATAÇÃO",PrazoConst,PrazoEsc))</f>
        <v/>
      </c>
      <c r="O514" s="115" t="str">
        <f>IF(N514="","",IF(ISNUMBER(L514),N514-L514,IF(OR(G514="DECISÃO D.P",ISNUMBER(M514)),"",N514-TODAY())))</f>
        <v/>
      </c>
      <c r="P514" s="116" t="str">
        <f>IF(B514="","",IF(ISNUMBER(M514),"DECIDIDO – ","")&amp;IF(ISNUMBER(L514),IF(O514="","SEM DATA",IF(O514&gt;=0,"DEFESA NO PRAZO","DEFESA FORA DO PRAZO")),IF(OR(G514="DECISÃO D.P",ISNUMBER(M514)),"SEM DEFESA",IF(G514="","SEM STATUS",IF(O514="","SEM DATA",IF(O514&lt;0,"VENCIDO",IF(O514&lt;=DiasAlerta,"VENCE EM BREVE","NO PRAZO")))))))</f>
        <v/>
      </c>
      <c r="Q514" s="117" t="str">
        <f>IF(D514="","",TODAY()-D514)</f>
        <v/>
      </c>
      <c r="R514" s="110" t="n"/>
    </row>
    <row r="515" ht="18" customHeight="1">
      <c r="A515" s="109" t="n"/>
      <c r="B515" s="110" t="n"/>
      <c r="C515" s="110" t="n"/>
      <c r="D515" s="111" t="n"/>
      <c r="E515" s="110" t="n"/>
      <c r="F515" s="112" t="n"/>
      <c r="G515" s="112" t="n"/>
      <c r="H515" s="110" t="n"/>
      <c r="I515" s="113" t="n"/>
      <c r="J515" s="113" t="n"/>
      <c r="K515" s="111" t="n"/>
      <c r="L515" s="111" t="n"/>
      <c r="M515" s="111" t="n"/>
      <c r="N515" s="114" t="str">
        <f>IF(OR(D515="",E515=""),"",D515+IF(E515="NOTIFICAÇÃO DE CONSTATAÇÃO",PrazoConst,PrazoEsc))</f>
        <v/>
      </c>
      <c r="O515" s="115" t="str">
        <f>IF(N515="","",IF(ISNUMBER(L515),N515-L515,IF(OR(G515="DECISÃO D.P",ISNUMBER(M515)),"",N515-TODAY())))</f>
        <v/>
      </c>
      <c r="P515" s="116" t="str">
        <f>IF(B515="","",IF(ISNUMBER(M515),"DECIDIDO – ","")&amp;IF(ISNUMBER(L515),IF(O515="","SEM DATA",IF(O515&gt;=0,"DEFESA NO PRAZO","DEFESA FORA DO PRAZO")),IF(OR(G515="DECISÃO D.P",ISNUMBER(M515)),"SEM DEFESA",IF(G515="","SEM STATUS",IF(O515="","SEM DATA",IF(O515&lt;0,"VENCIDO",IF(O515&lt;=DiasAlerta,"VENCE EM BREVE","NO PRAZO")))))))</f>
        <v/>
      </c>
      <c r="Q515" s="117" t="str">
        <f>IF(D515="","",TODAY()-D515)</f>
        <v/>
      </c>
      <c r="R515" s="110" t="n"/>
    </row>
    <row r="516" ht="18" customHeight="1">
      <c r="A516" s="109" t="n"/>
      <c r="B516" s="110" t="n"/>
      <c r="C516" s="110" t="n"/>
      <c r="D516" s="111" t="n"/>
      <c r="E516" s="110" t="n"/>
      <c r="F516" s="112" t="n"/>
      <c r="G516" s="112" t="n"/>
      <c r="H516" s="110" t="n"/>
      <c r="I516" s="113" t="n"/>
      <c r="J516" s="113" t="n"/>
      <c r="K516" s="111" t="n"/>
      <c r="L516" s="111" t="n"/>
      <c r="M516" s="111" t="n"/>
      <c r="N516" s="114" t="str">
        <f>IF(OR(D516="",E516=""),"",D516+IF(E516="NOTIFICAÇÃO DE CONSTATAÇÃO",PrazoConst,PrazoEsc))</f>
        <v/>
      </c>
      <c r="O516" s="115" t="str">
        <f>IF(N516="","",IF(ISNUMBER(L516),N516-L516,IF(OR(G516="DECISÃO D.P",ISNUMBER(M516)),"",N516-TODAY())))</f>
        <v/>
      </c>
      <c r="P516" s="116" t="str">
        <f>IF(B516="","",IF(ISNUMBER(M516),"DECIDIDO – ","")&amp;IF(ISNUMBER(L516),IF(O516="","SEM DATA",IF(O516&gt;=0,"DEFESA NO PRAZO","DEFESA FORA DO PRAZO")),IF(OR(G516="DECISÃO D.P",ISNUMBER(M516)),"SEM DEFESA",IF(G516="","SEM STATUS",IF(O516="","SEM DATA",IF(O516&lt;0,"VENCIDO",IF(O516&lt;=DiasAlerta,"VENCE EM BREVE","NO PRAZO")))))))</f>
        <v/>
      </c>
      <c r="Q516" s="117" t="str">
        <f>IF(D516="","",TODAY()-D516)</f>
        <v/>
      </c>
      <c r="R516" s="110" t="n"/>
    </row>
    <row r="517" ht="18" customHeight="1">
      <c r="A517" s="109" t="n"/>
      <c r="B517" s="110" t="n"/>
      <c r="C517" s="110" t="n"/>
      <c r="D517" s="111" t="n"/>
      <c r="E517" s="110" t="n"/>
      <c r="F517" s="112" t="n"/>
      <c r="G517" s="112" t="n"/>
      <c r="H517" s="110" t="n"/>
      <c r="I517" s="113" t="n"/>
      <c r="J517" s="113" t="n"/>
      <c r="K517" s="111" t="n"/>
      <c r="L517" s="111" t="n"/>
      <c r="M517" s="111" t="n"/>
      <c r="N517" s="114" t="str">
        <f>IF(OR(D517="",E517=""),"",D517+IF(E517="NOTIFICAÇÃO DE CONSTATAÇÃO",PrazoConst,PrazoEsc))</f>
        <v/>
      </c>
      <c r="O517" s="115" t="str">
        <f>IF(N517="","",IF(ISNUMBER(L517),N517-L517,IF(OR(G517="DECISÃO D.P",ISNUMBER(M517)),"",N517-TODAY())))</f>
        <v/>
      </c>
      <c r="P517" s="116" t="str">
        <f>IF(B517="","",IF(ISNUMBER(M517),"DECIDIDO – ","")&amp;IF(ISNUMBER(L517),IF(O517="","SEM DATA",IF(O517&gt;=0,"DEFESA NO PRAZO","DEFESA FORA DO PRAZO")),IF(OR(G517="DECISÃO D.P",ISNUMBER(M517)),"SEM DEFESA",IF(G517="","SEM STATUS",IF(O517="","SEM DATA",IF(O517&lt;0,"VENCIDO",IF(O517&lt;=DiasAlerta,"VENCE EM BREVE","NO PRAZO")))))))</f>
        <v/>
      </c>
      <c r="Q517" s="117" t="str">
        <f>IF(D517="","",TODAY()-D517)</f>
        <v/>
      </c>
      <c r="R517" s="110" t="n"/>
    </row>
    <row r="518" ht="18" customHeight="1">
      <c r="A518" s="109" t="n"/>
      <c r="B518" s="110" t="n"/>
      <c r="C518" s="110" t="n"/>
      <c r="D518" s="111" t="n"/>
      <c r="E518" s="110" t="n"/>
      <c r="F518" s="112" t="n"/>
      <c r="G518" s="112" t="n"/>
      <c r="H518" s="110" t="n"/>
      <c r="I518" s="113" t="n"/>
      <c r="J518" s="113" t="n"/>
      <c r="K518" s="111" t="n"/>
      <c r="L518" s="111" t="n"/>
      <c r="M518" s="111" t="n"/>
      <c r="N518" s="114" t="str">
        <f>IF(OR(D518="",E518=""),"",D518+IF(E518="NOTIFICAÇÃO DE CONSTATAÇÃO",PrazoConst,PrazoEsc))</f>
        <v/>
      </c>
      <c r="O518" s="115" t="str">
        <f>IF(N518="","",IF(ISNUMBER(L518),N518-L518,IF(OR(G518="DECISÃO D.P",ISNUMBER(M518)),"",N518-TODAY())))</f>
        <v/>
      </c>
      <c r="P518" s="116" t="str">
        <f>IF(B518="","",IF(ISNUMBER(M518),"DECIDIDO – ","")&amp;IF(ISNUMBER(L518),IF(O518="","SEM DATA",IF(O518&gt;=0,"DEFESA NO PRAZO","DEFESA FORA DO PRAZO")),IF(OR(G518="DECISÃO D.P",ISNUMBER(M518)),"SEM DEFESA",IF(G518="","SEM STATUS",IF(O518="","SEM DATA",IF(O518&lt;0,"VENCIDO",IF(O518&lt;=DiasAlerta,"VENCE EM BREVE","NO PRAZO")))))))</f>
        <v/>
      </c>
      <c r="Q518" s="117" t="str">
        <f>IF(D518="","",TODAY()-D518)</f>
        <v/>
      </c>
      <c r="R518" s="110" t="n"/>
    </row>
    <row r="519" ht="18" customHeight="1">
      <c r="A519" s="109" t="n"/>
      <c r="B519" s="110" t="n"/>
      <c r="C519" s="110" t="n"/>
      <c r="D519" s="111" t="n"/>
      <c r="E519" s="110" t="n"/>
      <c r="F519" s="112" t="n"/>
      <c r="G519" s="112" t="n"/>
      <c r="H519" s="110" t="n"/>
      <c r="I519" s="113" t="n"/>
      <c r="J519" s="113" t="n"/>
      <c r="K519" s="111" t="n"/>
      <c r="L519" s="111" t="n"/>
      <c r="M519" s="111" t="n"/>
      <c r="N519" s="114" t="str">
        <f>IF(OR(D519="",E519=""),"",D519+IF(E519="NOTIFICAÇÃO DE CONSTATAÇÃO",PrazoConst,PrazoEsc))</f>
        <v/>
      </c>
      <c r="O519" s="115" t="str">
        <f>IF(N519="","",IF(ISNUMBER(L519),N519-L519,IF(OR(G519="DECISÃO D.P",ISNUMBER(M519)),"",N519-TODAY())))</f>
        <v/>
      </c>
      <c r="P519" s="116" t="str">
        <f>IF(B519="","",IF(ISNUMBER(M519),"DECIDIDO – ","")&amp;IF(ISNUMBER(L519),IF(O519="","SEM DATA",IF(O519&gt;=0,"DEFESA NO PRAZO","DEFESA FORA DO PRAZO")),IF(OR(G519="DECISÃO D.P",ISNUMBER(M519)),"SEM DEFESA",IF(G519="","SEM STATUS",IF(O519="","SEM DATA",IF(O519&lt;0,"VENCIDO",IF(O519&lt;=DiasAlerta,"VENCE EM BREVE","NO PRAZO")))))))</f>
        <v/>
      </c>
      <c r="Q519" s="117" t="str">
        <f>IF(D519="","",TODAY()-D519)</f>
        <v/>
      </c>
      <c r="R519" s="110" t="n"/>
    </row>
    <row r="520" ht="18" customHeight="1">
      <c r="A520" s="109" t="n"/>
      <c r="B520" s="110" t="n"/>
      <c r="C520" s="110" t="n"/>
      <c r="D520" s="111" t="n"/>
      <c r="E520" s="110" t="n"/>
      <c r="F520" s="112" t="n"/>
      <c r="G520" s="112" t="n"/>
      <c r="H520" s="110" t="n"/>
      <c r="I520" s="113" t="n"/>
      <c r="J520" s="113" t="n"/>
      <c r="K520" s="111" t="n"/>
      <c r="L520" s="111" t="n"/>
      <c r="M520" s="111" t="n"/>
      <c r="N520" s="114" t="str">
        <f>IF(OR(D520="",E520=""),"",D520+IF(E520="NOTIFICAÇÃO DE CONSTATAÇÃO",PrazoConst,PrazoEsc))</f>
        <v/>
      </c>
      <c r="O520" s="115" t="str">
        <f>IF(N520="","",IF(ISNUMBER(L520),N520-L520,IF(OR(G520="DECISÃO D.P",ISNUMBER(M520)),"",N520-TODAY())))</f>
        <v/>
      </c>
      <c r="P520" s="116" t="str">
        <f>IF(B520="","",IF(ISNUMBER(M520),"DECIDIDO – ","")&amp;IF(ISNUMBER(L520),IF(O520="","SEM DATA",IF(O520&gt;=0,"DEFESA NO PRAZO","DEFESA FORA DO PRAZO")),IF(OR(G520="DECISÃO D.P",ISNUMBER(M520)),"SEM DEFESA",IF(G520="","SEM STATUS",IF(O520="","SEM DATA",IF(O520&lt;0,"VENCIDO",IF(O520&lt;=DiasAlerta,"VENCE EM BREVE","NO PRAZO")))))))</f>
        <v/>
      </c>
      <c r="Q520" s="117" t="str">
        <f>IF(D520="","",TODAY()-D520)</f>
        <v/>
      </c>
      <c r="R520" s="110" t="n"/>
    </row>
    <row r="521" ht="18" customHeight="1">
      <c r="A521" s="109" t="n"/>
      <c r="B521" s="110" t="n"/>
      <c r="C521" s="110" t="n"/>
      <c r="D521" s="111" t="n"/>
      <c r="E521" s="110" t="n"/>
      <c r="F521" s="112" t="n"/>
      <c r="G521" s="112" t="n"/>
      <c r="H521" s="110" t="n"/>
      <c r="I521" s="113" t="n"/>
      <c r="J521" s="113" t="n"/>
      <c r="K521" s="111" t="n"/>
      <c r="L521" s="111" t="n"/>
      <c r="M521" s="111" t="n"/>
      <c r="N521" s="114" t="str">
        <f>IF(OR(D521="",E521=""),"",D521+IF(E521="NOTIFICAÇÃO DE CONSTATAÇÃO",PrazoConst,PrazoEsc))</f>
        <v/>
      </c>
      <c r="O521" s="115" t="str">
        <f>IF(N521="","",IF(ISNUMBER(L521),N521-L521,IF(OR(G521="DECISÃO D.P",ISNUMBER(M521)),"",N521-TODAY())))</f>
        <v/>
      </c>
      <c r="P521" s="116" t="str">
        <f>IF(B521="","",IF(ISNUMBER(M521),"DECIDIDO – ","")&amp;IF(ISNUMBER(L521),IF(O521="","SEM DATA",IF(O521&gt;=0,"DEFESA NO PRAZO","DEFESA FORA DO PRAZO")),IF(OR(G521="DECISÃO D.P",ISNUMBER(M521)),"SEM DEFESA",IF(G521="","SEM STATUS",IF(O521="","SEM DATA",IF(O521&lt;0,"VENCIDO",IF(O521&lt;=DiasAlerta,"VENCE EM BREVE","NO PRAZO")))))))</f>
        <v/>
      </c>
      <c r="Q521" s="117" t="str">
        <f>IF(D521="","",TODAY()-D521)</f>
        <v/>
      </c>
      <c r="R521" s="110" t="n"/>
    </row>
    <row r="522" ht="18" customHeight="1">
      <c r="A522" s="109" t="n"/>
      <c r="B522" s="110" t="n"/>
      <c r="C522" s="110" t="n"/>
      <c r="D522" s="111" t="n"/>
      <c r="E522" s="110" t="n"/>
      <c r="F522" s="112" t="n"/>
      <c r="G522" s="112" t="n"/>
      <c r="H522" s="110" t="n"/>
      <c r="I522" s="113" t="n"/>
      <c r="J522" s="113" t="n"/>
      <c r="K522" s="111" t="n"/>
      <c r="L522" s="111" t="n"/>
      <c r="M522" s="111" t="n"/>
      <c r="N522" s="114" t="str">
        <f>IF(OR(D522="",E522=""),"",D522+IF(E522="NOTIFICAÇÃO DE CONSTATAÇÃO",PrazoConst,PrazoEsc))</f>
        <v/>
      </c>
      <c r="O522" s="115" t="str">
        <f>IF(N522="","",IF(ISNUMBER(L522),N522-L522,IF(OR(G522="DECISÃO D.P",ISNUMBER(M522)),"",N522-TODAY())))</f>
        <v/>
      </c>
      <c r="P522" s="116" t="str">
        <f>IF(B522="","",IF(ISNUMBER(M522),"DECIDIDO – ","")&amp;IF(ISNUMBER(L522),IF(O522="","SEM DATA",IF(O522&gt;=0,"DEFESA NO PRAZO","DEFESA FORA DO PRAZO")),IF(OR(G522="DECISÃO D.P",ISNUMBER(M522)),"SEM DEFESA",IF(G522="","SEM STATUS",IF(O522="","SEM DATA",IF(O522&lt;0,"VENCIDO",IF(O522&lt;=DiasAlerta,"VENCE EM BREVE","NO PRAZO")))))))</f>
        <v/>
      </c>
      <c r="Q522" s="117" t="str">
        <f>IF(D522="","",TODAY()-D522)</f>
        <v/>
      </c>
      <c r="R522" s="110" t="n"/>
    </row>
    <row r="523" ht="18" customHeight="1">
      <c r="A523" s="109" t="n"/>
      <c r="B523" s="110" t="n"/>
      <c r="C523" s="110" t="n"/>
      <c r="D523" s="111" t="n"/>
      <c r="E523" s="110" t="n"/>
      <c r="F523" s="112" t="n"/>
      <c r="G523" s="112" t="n"/>
      <c r="H523" s="110" t="n"/>
      <c r="I523" s="113" t="n"/>
      <c r="J523" s="113" t="n"/>
      <c r="K523" s="111" t="n"/>
      <c r="L523" s="111" t="n"/>
      <c r="M523" s="111" t="n"/>
      <c r="N523" s="114" t="str">
        <f>IF(OR(D523="",E523=""),"",D523+IF(E523="NOTIFICAÇÃO DE CONSTATAÇÃO",PrazoConst,PrazoEsc))</f>
        <v/>
      </c>
      <c r="O523" s="115" t="str">
        <f>IF(N523="","",IF(ISNUMBER(L523),N523-L523,IF(OR(G523="DECISÃO D.P",ISNUMBER(M523)),"",N523-TODAY())))</f>
        <v/>
      </c>
      <c r="P523" s="116" t="str">
        <f>IF(B523="","",IF(ISNUMBER(M523),"DECIDIDO – ","")&amp;IF(ISNUMBER(L523),IF(O523="","SEM DATA",IF(O523&gt;=0,"DEFESA NO PRAZO","DEFESA FORA DO PRAZO")),IF(OR(G523="DECISÃO D.P",ISNUMBER(M523)),"SEM DEFESA",IF(G523="","SEM STATUS",IF(O523="","SEM DATA",IF(O523&lt;0,"VENCIDO",IF(O523&lt;=DiasAlerta,"VENCE EM BREVE","NO PRAZO")))))))</f>
        <v/>
      </c>
      <c r="Q523" s="117" t="str">
        <f>IF(D523="","",TODAY()-D523)</f>
        <v/>
      </c>
      <c r="R523" s="110" t="n"/>
    </row>
    <row r="524" ht="18" customHeight="1">
      <c r="A524" s="109" t="n"/>
      <c r="B524" s="110" t="n"/>
      <c r="C524" s="110" t="n"/>
      <c r="D524" s="111" t="n"/>
      <c r="E524" s="110" t="n"/>
      <c r="F524" s="112" t="n"/>
      <c r="G524" s="112" t="n"/>
      <c r="H524" s="110" t="n"/>
      <c r="I524" s="113" t="n"/>
      <c r="J524" s="113" t="n"/>
      <c r="K524" s="111" t="n"/>
      <c r="L524" s="111" t="n"/>
      <c r="M524" s="111" t="n"/>
      <c r="N524" s="114" t="str">
        <f>IF(OR(D524="",E524=""),"",D524+IF(E524="NOTIFICAÇÃO DE CONSTATAÇÃO",PrazoConst,PrazoEsc))</f>
        <v/>
      </c>
      <c r="O524" s="115" t="str">
        <f>IF(N524="","",IF(ISNUMBER(L524),N524-L524,IF(OR(G524="DECISÃO D.P",ISNUMBER(M524)),"",N524-TODAY())))</f>
        <v/>
      </c>
      <c r="P524" s="116" t="str">
        <f>IF(B524="","",IF(ISNUMBER(M524),"DECIDIDO – ","")&amp;IF(ISNUMBER(L524),IF(O524="","SEM DATA",IF(O524&gt;=0,"DEFESA NO PRAZO","DEFESA FORA DO PRAZO")),IF(OR(G524="DECISÃO D.P",ISNUMBER(M524)),"SEM DEFESA",IF(G524="","SEM STATUS",IF(O524="","SEM DATA",IF(O524&lt;0,"VENCIDO",IF(O524&lt;=DiasAlerta,"VENCE EM BREVE","NO PRAZO")))))))</f>
        <v/>
      </c>
      <c r="Q524" s="117" t="str">
        <f>IF(D524="","",TODAY()-D524)</f>
        <v/>
      </c>
      <c r="R524" s="110" t="n"/>
    </row>
    <row r="525" ht="18" customHeight="1">
      <c r="A525" s="109" t="n"/>
      <c r="B525" s="110" t="n"/>
      <c r="C525" s="110" t="n"/>
      <c r="D525" s="111" t="n"/>
      <c r="E525" s="110" t="n"/>
      <c r="F525" s="112" t="n"/>
      <c r="G525" s="112" t="n"/>
      <c r="H525" s="110" t="n"/>
      <c r="I525" s="113" t="n"/>
      <c r="J525" s="113" t="n"/>
      <c r="K525" s="111" t="n"/>
      <c r="L525" s="111" t="n"/>
      <c r="M525" s="111" t="n"/>
      <c r="N525" s="114" t="str">
        <f>IF(OR(D525="",E525=""),"",D525+IF(E525="NOTIFICAÇÃO DE CONSTATAÇÃO",PrazoConst,PrazoEsc))</f>
        <v/>
      </c>
      <c r="O525" s="115" t="str">
        <f>IF(N525="","",IF(ISNUMBER(L525),N525-L525,IF(OR(G525="DECISÃO D.P",ISNUMBER(M525)),"",N525-TODAY())))</f>
        <v/>
      </c>
      <c r="P525" s="116" t="str">
        <f>IF(B525="","",IF(ISNUMBER(M525),"DECIDIDO – ","")&amp;IF(ISNUMBER(L525),IF(O525="","SEM DATA",IF(O525&gt;=0,"DEFESA NO PRAZO","DEFESA FORA DO PRAZO")),IF(OR(G525="DECISÃO D.P",ISNUMBER(M525)),"SEM DEFESA",IF(G525="","SEM STATUS",IF(O525="","SEM DATA",IF(O525&lt;0,"VENCIDO",IF(O525&lt;=DiasAlerta,"VENCE EM BREVE","NO PRAZO")))))))</f>
        <v/>
      </c>
      <c r="Q525" s="117" t="str">
        <f>IF(D525="","",TODAY()-D525)</f>
        <v/>
      </c>
      <c r="R525" s="110" t="n"/>
    </row>
    <row r="526" ht="18" customHeight="1">
      <c r="A526" s="109" t="n"/>
      <c r="B526" s="110" t="n"/>
      <c r="C526" s="110" t="n"/>
      <c r="D526" s="111" t="n"/>
      <c r="E526" s="110" t="n"/>
      <c r="F526" s="112" t="n"/>
      <c r="G526" s="112" t="n"/>
      <c r="H526" s="110" t="n"/>
      <c r="I526" s="113" t="n"/>
      <c r="J526" s="113" t="n"/>
      <c r="K526" s="111" t="n"/>
      <c r="L526" s="111" t="n"/>
      <c r="M526" s="111" t="n"/>
      <c r="N526" s="114" t="str">
        <f>IF(OR(D526="",E526=""),"",D526+IF(E526="NOTIFICAÇÃO DE CONSTATAÇÃO",PrazoConst,PrazoEsc))</f>
        <v/>
      </c>
      <c r="O526" s="115" t="str">
        <f>IF(N526="","",IF(ISNUMBER(L526),N526-L526,IF(OR(G526="DECISÃO D.P",ISNUMBER(M526)),"",N526-TODAY())))</f>
        <v/>
      </c>
      <c r="P526" s="116" t="str">
        <f>IF(B526="","",IF(ISNUMBER(M526),"DECIDIDO – ","")&amp;IF(ISNUMBER(L526),IF(O526="","SEM DATA",IF(O526&gt;=0,"DEFESA NO PRAZO","DEFESA FORA DO PRAZO")),IF(OR(G526="DECISÃO D.P",ISNUMBER(M526)),"SEM DEFESA",IF(G526="","SEM STATUS",IF(O526="","SEM DATA",IF(O526&lt;0,"VENCIDO",IF(O526&lt;=DiasAlerta,"VENCE EM BREVE","NO PRAZO")))))))</f>
        <v/>
      </c>
      <c r="Q526" s="117" t="str">
        <f>IF(D526="","",TODAY()-D526)</f>
        <v/>
      </c>
      <c r="R526" s="110" t="n"/>
    </row>
    <row r="527" ht="18" customHeight="1">
      <c r="A527" s="109" t="n"/>
      <c r="B527" s="110" t="n"/>
      <c r="C527" s="110" t="n"/>
      <c r="D527" s="111" t="n"/>
      <c r="E527" s="110" t="n"/>
      <c r="F527" s="112" t="n"/>
      <c r="G527" s="112" t="n"/>
      <c r="H527" s="110" t="n"/>
      <c r="I527" s="113" t="n"/>
      <c r="J527" s="113" t="n"/>
      <c r="K527" s="111" t="n"/>
      <c r="L527" s="111" t="n"/>
      <c r="M527" s="111" t="n"/>
      <c r="N527" s="114" t="str">
        <f>IF(OR(D527="",E527=""),"",D527+IF(E527="NOTIFICAÇÃO DE CONSTATAÇÃO",PrazoConst,PrazoEsc))</f>
        <v/>
      </c>
      <c r="O527" s="115" t="str">
        <f>IF(N527="","",IF(ISNUMBER(L527),N527-L527,IF(OR(G527="DECISÃO D.P",ISNUMBER(M527)),"",N527-TODAY())))</f>
        <v/>
      </c>
      <c r="P527" s="116" t="str">
        <f>IF(B527="","",IF(ISNUMBER(M527),"DECIDIDO – ","")&amp;IF(ISNUMBER(L527),IF(O527="","SEM DATA",IF(O527&gt;=0,"DEFESA NO PRAZO","DEFESA FORA DO PRAZO")),IF(OR(G527="DECISÃO D.P",ISNUMBER(M527)),"SEM DEFESA",IF(G527="","SEM STATUS",IF(O527="","SEM DATA",IF(O527&lt;0,"VENCIDO",IF(O527&lt;=DiasAlerta,"VENCE EM BREVE","NO PRAZO")))))))</f>
        <v/>
      </c>
      <c r="Q527" s="117" t="str">
        <f>IF(D527="","",TODAY()-D527)</f>
        <v/>
      </c>
      <c r="R527" s="110" t="n"/>
    </row>
    <row r="528" ht="18" customHeight="1">
      <c r="A528" s="109" t="n"/>
      <c r="B528" s="110" t="n"/>
      <c r="C528" s="110" t="n"/>
      <c r="D528" s="111" t="n"/>
      <c r="E528" s="110" t="n"/>
      <c r="F528" s="112" t="n"/>
      <c r="G528" s="112" t="n"/>
      <c r="H528" s="110" t="n"/>
      <c r="I528" s="113" t="n"/>
      <c r="J528" s="113" t="n"/>
      <c r="K528" s="111" t="n"/>
      <c r="L528" s="111" t="n"/>
      <c r="M528" s="111" t="n"/>
      <c r="N528" s="114" t="str">
        <f>IF(OR(D528="",E528=""),"",D528+IF(E528="NOTIFICAÇÃO DE CONSTATAÇÃO",PrazoConst,PrazoEsc))</f>
        <v/>
      </c>
      <c r="O528" s="115" t="str">
        <f>IF(N528="","",IF(ISNUMBER(L528),N528-L528,IF(OR(G528="DECISÃO D.P",ISNUMBER(M528)),"",N528-TODAY())))</f>
        <v/>
      </c>
      <c r="P528" s="116" t="str">
        <f>IF(B528="","",IF(ISNUMBER(M528),"DECIDIDO – ","")&amp;IF(ISNUMBER(L528),IF(O528="","SEM DATA",IF(O528&gt;=0,"DEFESA NO PRAZO","DEFESA FORA DO PRAZO")),IF(OR(G528="DECISÃO D.P",ISNUMBER(M528)),"SEM DEFESA",IF(G528="","SEM STATUS",IF(O528="","SEM DATA",IF(O528&lt;0,"VENCIDO",IF(O528&lt;=DiasAlerta,"VENCE EM BREVE","NO PRAZO")))))))</f>
        <v/>
      </c>
      <c r="Q528" s="117" t="str">
        <f>IF(D528="","",TODAY()-D528)</f>
        <v/>
      </c>
      <c r="R528" s="110" t="n"/>
    </row>
    <row r="529" ht="18" customHeight="1">
      <c r="A529" s="109" t="n"/>
      <c r="B529" s="110" t="n"/>
      <c r="C529" s="110" t="n"/>
      <c r="D529" s="111" t="n"/>
      <c r="E529" s="110" t="n"/>
      <c r="F529" s="112" t="n"/>
      <c r="G529" s="112" t="n"/>
      <c r="H529" s="110" t="n"/>
      <c r="I529" s="113" t="n"/>
      <c r="J529" s="113" t="n"/>
      <c r="K529" s="111" t="n"/>
      <c r="L529" s="111" t="n"/>
      <c r="M529" s="111" t="n"/>
      <c r="N529" s="114" t="str">
        <f>IF(OR(D529="",E529=""),"",D529+IF(E529="NOTIFICAÇÃO DE CONSTATAÇÃO",PrazoConst,PrazoEsc))</f>
        <v/>
      </c>
      <c r="O529" s="115" t="str">
        <f>IF(N529="","",IF(ISNUMBER(L529),N529-L529,IF(OR(G529="DECISÃO D.P",ISNUMBER(M529)),"",N529-TODAY())))</f>
        <v/>
      </c>
      <c r="P529" s="116" t="str">
        <f>IF(B529="","",IF(ISNUMBER(M529),"DECIDIDO – ","")&amp;IF(ISNUMBER(L529),IF(O529="","SEM DATA",IF(O529&gt;=0,"DEFESA NO PRAZO","DEFESA FORA DO PRAZO")),IF(OR(G529="DECISÃO D.P",ISNUMBER(M529)),"SEM DEFESA",IF(G529="","SEM STATUS",IF(O529="","SEM DATA",IF(O529&lt;0,"VENCIDO",IF(O529&lt;=DiasAlerta,"VENCE EM BREVE","NO PRAZO")))))))</f>
        <v/>
      </c>
      <c r="Q529" s="117" t="str">
        <f>IF(D529="","",TODAY()-D529)</f>
        <v/>
      </c>
      <c r="R529" s="110" t="n"/>
    </row>
    <row r="530" ht="18" customHeight="1">
      <c r="A530" s="109" t="n"/>
      <c r="B530" s="110" t="n"/>
      <c r="C530" s="110" t="n"/>
      <c r="D530" s="111" t="n"/>
      <c r="E530" s="110" t="n"/>
      <c r="F530" s="112" t="n"/>
      <c r="G530" s="112" t="n"/>
      <c r="H530" s="110" t="n"/>
      <c r="I530" s="113" t="n"/>
      <c r="J530" s="113" t="n"/>
      <c r="K530" s="111" t="n"/>
      <c r="L530" s="111" t="n"/>
      <c r="M530" s="111" t="n"/>
      <c r="N530" s="114" t="str">
        <f>IF(OR(D530="",E530=""),"",D530+IF(E530="NOTIFICAÇÃO DE CONSTATAÇÃO",PrazoConst,PrazoEsc))</f>
        <v/>
      </c>
      <c r="O530" s="115" t="str">
        <f>IF(N530="","",IF(ISNUMBER(L530),N530-L530,IF(OR(G530="DECISÃO D.P",ISNUMBER(M530)),"",N530-TODAY())))</f>
        <v/>
      </c>
      <c r="P530" s="116" t="str">
        <f>IF(B530="","",IF(ISNUMBER(M530),"DECIDIDO – ","")&amp;IF(ISNUMBER(L530),IF(O530="","SEM DATA",IF(O530&gt;=0,"DEFESA NO PRAZO","DEFESA FORA DO PRAZO")),IF(OR(G530="DECISÃO D.P",ISNUMBER(M530)),"SEM DEFESA",IF(G530="","SEM STATUS",IF(O530="","SEM DATA",IF(O530&lt;0,"VENCIDO",IF(O530&lt;=DiasAlerta,"VENCE EM BREVE","NO PRAZO")))))))</f>
        <v/>
      </c>
      <c r="Q530" s="117" t="str">
        <f>IF(D530="","",TODAY()-D530)</f>
        <v/>
      </c>
      <c r="R530" s="110" t="n"/>
    </row>
    <row r="531" ht="18" customHeight="1">
      <c r="A531" s="109" t="n"/>
      <c r="B531" s="110" t="n"/>
      <c r="C531" s="110" t="n"/>
      <c r="D531" s="111" t="n"/>
      <c r="E531" s="110" t="n"/>
      <c r="F531" s="112" t="n"/>
      <c r="G531" s="112" t="n"/>
      <c r="H531" s="110" t="n"/>
      <c r="I531" s="113" t="n"/>
      <c r="J531" s="113" t="n"/>
      <c r="K531" s="111" t="n"/>
      <c r="L531" s="111" t="n"/>
      <c r="M531" s="111" t="n"/>
      <c r="N531" s="114" t="str">
        <f>IF(OR(D531="",E531=""),"",D531+IF(E531="NOTIFICAÇÃO DE CONSTATAÇÃO",PrazoConst,PrazoEsc))</f>
        <v/>
      </c>
      <c r="O531" s="115" t="str">
        <f>IF(N531="","",IF(ISNUMBER(L531),N531-L531,IF(OR(G531="DECISÃO D.P",ISNUMBER(M531)),"",N531-TODAY())))</f>
        <v/>
      </c>
      <c r="P531" s="116" t="str">
        <f>IF(B531="","",IF(ISNUMBER(M531),"DECIDIDO – ","")&amp;IF(ISNUMBER(L531),IF(O531="","SEM DATA",IF(O531&gt;=0,"DEFESA NO PRAZO","DEFESA FORA DO PRAZO")),IF(OR(G531="DECISÃO D.P",ISNUMBER(M531)),"SEM DEFESA",IF(G531="","SEM STATUS",IF(O531="","SEM DATA",IF(O531&lt;0,"VENCIDO",IF(O531&lt;=DiasAlerta,"VENCE EM BREVE","NO PRAZO")))))))</f>
        <v/>
      </c>
      <c r="Q531" s="117" t="str">
        <f>IF(D531="","",TODAY()-D531)</f>
        <v/>
      </c>
      <c r="R531" s="110" t="n"/>
    </row>
    <row r="532" ht="18" customHeight="1">
      <c r="A532" s="109" t="n"/>
      <c r="B532" s="110" t="n"/>
      <c r="C532" s="110" t="n"/>
      <c r="D532" s="111" t="n"/>
      <c r="E532" s="110" t="n"/>
      <c r="F532" s="112" t="n"/>
      <c r="G532" s="112" t="n"/>
      <c r="H532" s="110" t="n"/>
      <c r="I532" s="113" t="n"/>
      <c r="J532" s="113" t="n"/>
      <c r="K532" s="111" t="n"/>
      <c r="L532" s="111" t="n"/>
      <c r="M532" s="111" t="n"/>
      <c r="N532" s="114" t="str">
        <f>IF(OR(D532="",E532=""),"",D532+IF(E532="NOTIFICAÇÃO DE CONSTATAÇÃO",PrazoConst,PrazoEsc))</f>
        <v/>
      </c>
      <c r="O532" s="115" t="str">
        <f>IF(N532="","",IF(ISNUMBER(L532),N532-L532,IF(OR(G532="DECISÃO D.P",ISNUMBER(M532)),"",N532-TODAY())))</f>
        <v/>
      </c>
      <c r="P532" s="116" t="str">
        <f>IF(B532="","",IF(ISNUMBER(M532),"DECIDIDO – ","")&amp;IF(ISNUMBER(L532),IF(O532="","SEM DATA",IF(O532&gt;=0,"DEFESA NO PRAZO","DEFESA FORA DO PRAZO")),IF(OR(G532="DECISÃO D.P",ISNUMBER(M532)),"SEM DEFESA",IF(G532="","SEM STATUS",IF(O532="","SEM DATA",IF(O532&lt;0,"VENCIDO",IF(O532&lt;=DiasAlerta,"VENCE EM BREVE","NO PRAZO")))))))</f>
        <v/>
      </c>
      <c r="Q532" s="117" t="str">
        <f>IF(D532="","",TODAY()-D532)</f>
        <v/>
      </c>
      <c r="R532" s="110" t="n"/>
    </row>
    <row r="533" ht="18" customHeight="1">
      <c r="A533" s="109" t="n"/>
      <c r="B533" s="110" t="n"/>
      <c r="C533" s="110" t="n"/>
      <c r="D533" s="111" t="n"/>
      <c r="E533" s="110" t="n"/>
      <c r="F533" s="112" t="n"/>
      <c r="G533" s="112" t="n"/>
      <c r="H533" s="110" t="n"/>
      <c r="I533" s="113" t="n"/>
      <c r="J533" s="113" t="n"/>
      <c r="K533" s="111" t="n"/>
      <c r="L533" s="111" t="n"/>
      <c r="M533" s="111" t="n"/>
      <c r="N533" s="114" t="str">
        <f>IF(OR(D533="",E533=""),"",D533+IF(E533="NOTIFICAÇÃO DE CONSTATAÇÃO",PrazoConst,PrazoEsc))</f>
        <v/>
      </c>
      <c r="O533" s="115" t="str">
        <f>IF(N533="","",IF(ISNUMBER(L533),N533-L533,IF(OR(G533="DECISÃO D.P",ISNUMBER(M533)),"",N533-TODAY())))</f>
        <v/>
      </c>
      <c r="P533" s="116" t="str">
        <f>IF(B533="","",IF(ISNUMBER(M533),"DECIDIDO – ","")&amp;IF(ISNUMBER(L533),IF(O533="","SEM DATA",IF(O533&gt;=0,"DEFESA NO PRAZO","DEFESA FORA DO PRAZO")),IF(OR(G533="DECISÃO D.P",ISNUMBER(M533)),"SEM DEFESA",IF(G533="","SEM STATUS",IF(O533="","SEM DATA",IF(O533&lt;0,"VENCIDO",IF(O533&lt;=DiasAlerta,"VENCE EM BREVE","NO PRAZO")))))))</f>
        <v/>
      </c>
      <c r="Q533" s="117" t="str">
        <f>IF(D533="","",TODAY()-D533)</f>
        <v/>
      </c>
      <c r="R533" s="110" t="n"/>
    </row>
    <row r="534" ht="18" customHeight="1">
      <c r="A534" s="109" t="n"/>
      <c r="B534" s="110" t="n"/>
      <c r="C534" s="110" t="n"/>
      <c r="D534" s="111" t="n"/>
      <c r="E534" s="110" t="n"/>
      <c r="F534" s="112" t="n"/>
      <c r="G534" s="112" t="n"/>
      <c r="H534" s="110" t="n"/>
      <c r="I534" s="113" t="n"/>
      <c r="J534" s="113" t="n"/>
      <c r="K534" s="111" t="n"/>
      <c r="L534" s="111" t="n"/>
      <c r="M534" s="111" t="n"/>
      <c r="N534" s="114" t="str">
        <f>IF(OR(D534="",E534=""),"",D534+IF(E534="NOTIFICAÇÃO DE CONSTATAÇÃO",PrazoConst,PrazoEsc))</f>
        <v/>
      </c>
      <c r="O534" s="115" t="str">
        <f>IF(N534="","",IF(ISNUMBER(L534),N534-L534,IF(OR(G534="DECISÃO D.P",ISNUMBER(M534)),"",N534-TODAY())))</f>
        <v/>
      </c>
      <c r="P534" s="116" t="str">
        <f>IF(B534="","",IF(ISNUMBER(M534),"DECIDIDO – ","")&amp;IF(ISNUMBER(L534),IF(O534="","SEM DATA",IF(O534&gt;=0,"DEFESA NO PRAZO","DEFESA FORA DO PRAZO")),IF(OR(G534="DECISÃO D.P",ISNUMBER(M534)),"SEM DEFESA",IF(G534="","SEM STATUS",IF(O534="","SEM DATA",IF(O534&lt;0,"VENCIDO",IF(O534&lt;=DiasAlerta,"VENCE EM BREVE","NO PRAZO")))))))</f>
        <v/>
      </c>
      <c r="Q534" s="117" t="str">
        <f>IF(D534="","",TODAY()-D534)</f>
        <v/>
      </c>
      <c r="R534" s="110" t="n"/>
    </row>
    <row r="535" ht="18" customHeight="1">
      <c r="A535" s="109" t="n"/>
      <c r="B535" s="110" t="n"/>
      <c r="C535" s="110" t="n"/>
      <c r="D535" s="111" t="n"/>
      <c r="E535" s="110" t="n"/>
      <c r="F535" s="112" t="n"/>
      <c r="G535" s="112" t="n"/>
      <c r="H535" s="110" t="n"/>
      <c r="I535" s="113" t="n"/>
      <c r="J535" s="113" t="n"/>
      <c r="K535" s="111" t="n"/>
      <c r="L535" s="111" t="n"/>
      <c r="M535" s="111" t="n"/>
      <c r="N535" s="114" t="str">
        <f>IF(OR(D535="",E535=""),"",D535+IF(E535="NOTIFICAÇÃO DE CONSTATAÇÃO",PrazoConst,PrazoEsc))</f>
        <v/>
      </c>
      <c r="O535" s="115" t="str">
        <f>IF(N535="","",IF(ISNUMBER(L535),N535-L535,IF(OR(G535="DECISÃO D.P",ISNUMBER(M535)),"",N535-TODAY())))</f>
        <v/>
      </c>
      <c r="P535" s="116" t="str">
        <f>IF(B535="","",IF(ISNUMBER(M535),"DECIDIDO – ","")&amp;IF(ISNUMBER(L535),IF(O535="","SEM DATA",IF(O535&gt;=0,"DEFESA NO PRAZO","DEFESA FORA DO PRAZO")),IF(OR(G535="DECISÃO D.P",ISNUMBER(M535)),"SEM DEFESA",IF(G535="","SEM STATUS",IF(O535="","SEM DATA",IF(O535&lt;0,"VENCIDO",IF(O535&lt;=DiasAlerta,"VENCE EM BREVE","NO PRAZO")))))))</f>
        <v/>
      </c>
      <c r="Q535" s="117" t="str">
        <f>IF(D535="","",TODAY()-D535)</f>
        <v/>
      </c>
      <c r="R535" s="110" t="n"/>
    </row>
    <row r="536" ht="18" customHeight="1">
      <c r="A536" s="109" t="n"/>
      <c r="B536" s="110" t="n"/>
      <c r="C536" s="110" t="n"/>
      <c r="D536" s="111" t="n"/>
      <c r="E536" s="110" t="n"/>
      <c r="F536" s="112" t="n"/>
      <c r="G536" s="112" t="n"/>
      <c r="H536" s="110" t="n"/>
      <c r="I536" s="113" t="n"/>
      <c r="J536" s="113" t="n"/>
      <c r="K536" s="111" t="n"/>
      <c r="L536" s="111" t="n"/>
      <c r="M536" s="111" t="n"/>
      <c r="N536" s="114" t="str">
        <f>IF(OR(D536="",E536=""),"",D536+IF(E536="NOTIFICAÇÃO DE CONSTATAÇÃO",PrazoConst,PrazoEsc))</f>
        <v/>
      </c>
      <c r="O536" s="115" t="str">
        <f>IF(N536="","",IF(ISNUMBER(L536),N536-L536,IF(OR(G536="DECISÃO D.P",ISNUMBER(M536)),"",N536-TODAY())))</f>
        <v/>
      </c>
      <c r="P536" s="116" t="str">
        <f>IF(B536="","",IF(ISNUMBER(M536),"DECIDIDO – ","")&amp;IF(ISNUMBER(L536),IF(O536="","SEM DATA",IF(O536&gt;=0,"DEFESA NO PRAZO","DEFESA FORA DO PRAZO")),IF(OR(G536="DECISÃO D.P",ISNUMBER(M536)),"SEM DEFESA",IF(G536="","SEM STATUS",IF(O536="","SEM DATA",IF(O536&lt;0,"VENCIDO",IF(O536&lt;=DiasAlerta,"VENCE EM BREVE","NO PRAZO")))))))</f>
        <v/>
      </c>
      <c r="Q536" s="117" t="str">
        <f>IF(D536="","",TODAY()-D536)</f>
        <v/>
      </c>
      <c r="R536" s="110" t="n"/>
    </row>
    <row r="537" ht="18" customHeight="1">
      <c r="A537" s="109" t="n"/>
      <c r="B537" s="110" t="n"/>
      <c r="C537" s="110" t="n"/>
      <c r="D537" s="111" t="n"/>
      <c r="E537" s="110" t="n"/>
      <c r="F537" s="112" t="n"/>
      <c r="G537" s="112" t="n"/>
      <c r="H537" s="110" t="n"/>
      <c r="I537" s="113" t="n"/>
      <c r="J537" s="113" t="n"/>
      <c r="K537" s="111" t="n"/>
      <c r="L537" s="111" t="n"/>
      <c r="M537" s="111" t="n"/>
      <c r="N537" s="114" t="str">
        <f>IF(OR(D537="",E537=""),"",D537+IF(E537="NOTIFICAÇÃO DE CONSTATAÇÃO",PrazoConst,PrazoEsc))</f>
        <v/>
      </c>
      <c r="O537" s="115" t="str">
        <f>IF(N537="","",IF(ISNUMBER(L537),N537-L537,IF(OR(G537="DECISÃO D.P",ISNUMBER(M537)),"",N537-TODAY())))</f>
        <v/>
      </c>
      <c r="P537" s="116" t="str">
        <f>IF(B537="","",IF(ISNUMBER(M537),"DECIDIDO – ","")&amp;IF(ISNUMBER(L537),IF(O537="","SEM DATA",IF(O537&gt;=0,"DEFESA NO PRAZO","DEFESA FORA DO PRAZO")),IF(OR(G537="DECISÃO D.P",ISNUMBER(M537)),"SEM DEFESA",IF(G537="","SEM STATUS",IF(O537="","SEM DATA",IF(O537&lt;0,"VENCIDO",IF(O537&lt;=DiasAlerta,"VENCE EM BREVE","NO PRAZO")))))))</f>
        <v/>
      </c>
      <c r="Q537" s="117" t="str">
        <f>IF(D537="","",TODAY()-D537)</f>
        <v/>
      </c>
      <c r="R537" s="110" t="n"/>
    </row>
    <row r="538" ht="18" customHeight="1">
      <c r="A538" s="109" t="n"/>
      <c r="B538" s="110" t="n"/>
      <c r="C538" s="110" t="n"/>
      <c r="D538" s="111" t="n"/>
      <c r="E538" s="110" t="n"/>
      <c r="F538" s="112" t="n"/>
      <c r="G538" s="112" t="n"/>
      <c r="H538" s="110" t="n"/>
      <c r="I538" s="113" t="n"/>
      <c r="J538" s="113" t="n"/>
      <c r="K538" s="111" t="n"/>
      <c r="L538" s="111" t="n"/>
      <c r="M538" s="111" t="n"/>
      <c r="N538" s="114" t="str">
        <f>IF(OR(D538="",E538=""),"",D538+IF(E538="NOTIFICAÇÃO DE CONSTATAÇÃO",PrazoConst,PrazoEsc))</f>
        <v/>
      </c>
      <c r="O538" s="115" t="str">
        <f>IF(N538="","",IF(ISNUMBER(L538),N538-L538,IF(OR(G538="DECISÃO D.P",ISNUMBER(M538)),"",N538-TODAY())))</f>
        <v/>
      </c>
      <c r="P538" s="116" t="str">
        <f>IF(B538="","",IF(ISNUMBER(M538),"DECIDIDO – ","")&amp;IF(ISNUMBER(L538),IF(O538="","SEM DATA",IF(O538&gt;=0,"DEFESA NO PRAZO","DEFESA FORA DO PRAZO")),IF(OR(G538="DECISÃO D.P",ISNUMBER(M538)),"SEM DEFESA",IF(G538="","SEM STATUS",IF(O538="","SEM DATA",IF(O538&lt;0,"VENCIDO",IF(O538&lt;=DiasAlerta,"VENCE EM BREVE","NO PRAZO")))))))</f>
        <v/>
      </c>
      <c r="Q538" s="117" t="str">
        <f>IF(D538="","",TODAY()-D538)</f>
        <v/>
      </c>
      <c r="R538" s="110" t="n"/>
    </row>
    <row r="539" ht="18" customHeight="1">
      <c r="A539" s="109" t="n"/>
      <c r="B539" s="110" t="n"/>
      <c r="C539" s="110" t="n"/>
      <c r="D539" s="111" t="n"/>
      <c r="E539" s="110" t="n"/>
      <c r="F539" s="112" t="n"/>
      <c r="G539" s="112" t="n"/>
      <c r="H539" s="110" t="n"/>
      <c r="I539" s="113" t="n"/>
      <c r="J539" s="113" t="n"/>
      <c r="K539" s="111" t="n"/>
      <c r="L539" s="111" t="n"/>
      <c r="M539" s="111" t="n"/>
      <c r="N539" s="114" t="str">
        <f>IF(OR(D539="",E539=""),"",D539+IF(E539="NOTIFICAÇÃO DE CONSTATAÇÃO",PrazoConst,PrazoEsc))</f>
        <v/>
      </c>
      <c r="O539" s="115" t="str">
        <f>IF(N539="","",IF(ISNUMBER(L539),N539-L539,IF(OR(G539="DECISÃO D.P",ISNUMBER(M539)),"",N539-TODAY())))</f>
        <v/>
      </c>
      <c r="P539" s="116" t="str">
        <f>IF(B539="","",IF(ISNUMBER(M539),"DECIDIDO – ","")&amp;IF(ISNUMBER(L539),IF(O539="","SEM DATA",IF(O539&gt;=0,"DEFESA NO PRAZO","DEFESA FORA DO PRAZO")),IF(OR(G539="DECISÃO D.P",ISNUMBER(M539)),"SEM DEFESA",IF(G539="","SEM STATUS",IF(O539="","SEM DATA",IF(O539&lt;0,"VENCIDO",IF(O539&lt;=DiasAlerta,"VENCE EM BREVE","NO PRAZO")))))))</f>
        <v/>
      </c>
      <c r="Q539" s="117" t="str">
        <f>IF(D539="","",TODAY()-D539)</f>
        <v/>
      </c>
      <c r="R539" s="110" t="n"/>
    </row>
    <row r="540" ht="18" customHeight="1">
      <c r="A540" s="109" t="n"/>
      <c r="B540" s="110" t="n"/>
      <c r="C540" s="110" t="n"/>
      <c r="D540" s="111" t="n"/>
      <c r="E540" s="110" t="n"/>
      <c r="F540" s="112" t="n"/>
      <c r="G540" s="112" t="n"/>
      <c r="H540" s="110" t="n"/>
      <c r="I540" s="113" t="n"/>
      <c r="J540" s="113" t="n"/>
      <c r="K540" s="111" t="n"/>
      <c r="L540" s="111" t="n"/>
      <c r="M540" s="111" t="n"/>
      <c r="N540" s="114" t="str">
        <f>IF(OR(D540="",E540=""),"",D540+IF(E540="NOTIFICAÇÃO DE CONSTATAÇÃO",PrazoConst,PrazoEsc))</f>
        <v/>
      </c>
      <c r="O540" s="115" t="str">
        <f>IF(N540="","",IF(ISNUMBER(L540),N540-L540,IF(OR(G540="DECISÃO D.P",ISNUMBER(M540)),"",N540-TODAY())))</f>
        <v/>
      </c>
      <c r="P540" s="116" t="str">
        <f>IF(B540="","",IF(ISNUMBER(M540),"DECIDIDO – ","")&amp;IF(ISNUMBER(L540),IF(O540="","SEM DATA",IF(O540&gt;=0,"DEFESA NO PRAZO","DEFESA FORA DO PRAZO")),IF(OR(G540="DECISÃO D.P",ISNUMBER(M540)),"SEM DEFESA",IF(G540="","SEM STATUS",IF(O540="","SEM DATA",IF(O540&lt;0,"VENCIDO",IF(O540&lt;=DiasAlerta,"VENCE EM BREVE","NO PRAZO")))))))</f>
        <v/>
      </c>
      <c r="Q540" s="117" t="str">
        <f>IF(D540="","",TODAY()-D540)</f>
        <v/>
      </c>
      <c r="R540" s="110" t="n"/>
    </row>
    <row r="541" ht="18" customHeight="1">
      <c r="A541" s="109" t="n"/>
      <c r="B541" s="110" t="n"/>
      <c r="C541" s="110" t="n"/>
      <c r="D541" s="111" t="n"/>
      <c r="E541" s="110" t="n"/>
      <c r="F541" s="112" t="n"/>
      <c r="G541" s="112" t="n"/>
      <c r="H541" s="110" t="n"/>
      <c r="I541" s="113" t="n"/>
      <c r="J541" s="113" t="n"/>
      <c r="K541" s="111" t="n"/>
      <c r="L541" s="111" t="n"/>
      <c r="M541" s="111" t="n"/>
      <c r="N541" s="114" t="str">
        <f>IF(OR(D541="",E541=""),"",D541+IF(E541="NOTIFICAÇÃO DE CONSTATAÇÃO",PrazoConst,PrazoEsc))</f>
        <v/>
      </c>
      <c r="O541" s="115" t="str">
        <f>IF(N541="","",IF(ISNUMBER(L541),N541-L541,IF(OR(G541="DECISÃO D.P",ISNUMBER(M541)),"",N541-TODAY())))</f>
        <v/>
      </c>
      <c r="P541" s="116" t="str">
        <f>IF(B541="","",IF(ISNUMBER(M541),"DECIDIDO – ","")&amp;IF(ISNUMBER(L541),IF(O541="","SEM DATA",IF(O541&gt;=0,"DEFESA NO PRAZO","DEFESA FORA DO PRAZO")),IF(OR(G541="DECISÃO D.P",ISNUMBER(M541)),"SEM DEFESA",IF(G541="","SEM STATUS",IF(O541="","SEM DATA",IF(O541&lt;0,"VENCIDO",IF(O541&lt;=DiasAlerta,"VENCE EM BREVE","NO PRAZO")))))))</f>
        <v/>
      </c>
      <c r="Q541" s="117" t="str">
        <f>IF(D541="","",TODAY()-D541)</f>
        <v/>
      </c>
      <c r="R541" s="110" t="n"/>
    </row>
    <row r="542" ht="18" customHeight="1">
      <c r="A542" s="109" t="n"/>
      <c r="B542" s="110" t="n"/>
      <c r="C542" s="110" t="n"/>
      <c r="D542" s="111" t="n"/>
      <c r="E542" s="110" t="n"/>
      <c r="F542" s="112" t="n"/>
      <c r="G542" s="112" t="n"/>
      <c r="H542" s="110" t="n"/>
      <c r="I542" s="113" t="n"/>
      <c r="J542" s="113" t="n"/>
      <c r="K542" s="111" t="n"/>
      <c r="L542" s="111" t="n"/>
      <c r="M542" s="111" t="n"/>
      <c r="N542" s="114" t="str">
        <f>IF(OR(D542="",E542=""),"",D542+IF(E542="NOTIFICAÇÃO DE CONSTATAÇÃO",PrazoConst,PrazoEsc))</f>
        <v/>
      </c>
      <c r="O542" s="115" t="str">
        <f>IF(N542="","",IF(ISNUMBER(L542),N542-L542,IF(OR(G542="DECISÃO D.P",ISNUMBER(M542)),"",N542-TODAY())))</f>
        <v/>
      </c>
      <c r="P542" s="116" t="str">
        <f>IF(B542="","",IF(ISNUMBER(M542),"DECIDIDO – ","")&amp;IF(ISNUMBER(L542),IF(O542="","SEM DATA",IF(O542&gt;=0,"DEFESA NO PRAZO","DEFESA FORA DO PRAZO")),IF(OR(G542="DECISÃO D.P",ISNUMBER(M542)),"SEM DEFESA",IF(G542="","SEM STATUS",IF(O542="","SEM DATA",IF(O542&lt;0,"VENCIDO",IF(O542&lt;=DiasAlerta,"VENCE EM BREVE","NO PRAZO")))))))</f>
        <v/>
      </c>
      <c r="Q542" s="117" t="str">
        <f>IF(D542="","",TODAY()-D542)</f>
        <v/>
      </c>
      <c r="R542" s="110" t="n"/>
    </row>
    <row r="543" ht="18" customHeight="1">
      <c r="A543" s="109" t="n"/>
      <c r="B543" s="110" t="n"/>
      <c r="C543" s="110" t="n"/>
      <c r="D543" s="111" t="n"/>
      <c r="E543" s="110" t="n"/>
      <c r="F543" s="112" t="n"/>
      <c r="G543" s="112" t="n"/>
      <c r="H543" s="110" t="n"/>
      <c r="I543" s="113" t="n"/>
      <c r="J543" s="113" t="n"/>
      <c r="K543" s="111" t="n"/>
      <c r="L543" s="111" t="n"/>
      <c r="M543" s="111" t="n"/>
      <c r="N543" s="114" t="str">
        <f>IF(OR(D543="",E543=""),"",D543+IF(E543="NOTIFICAÇÃO DE CONSTATAÇÃO",PrazoConst,PrazoEsc))</f>
        <v/>
      </c>
      <c r="O543" s="115" t="str">
        <f>IF(N543="","",IF(ISNUMBER(L543),N543-L543,IF(OR(G543="DECISÃO D.P",ISNUMBER(M543)),"",N543-TODAY())))</f>
        <v/>
      </c>
      <c r="P543" s="116" t="str">
        <f>IF(B543="","",IF(ISNUMBER(M543),"DECIDIDO – ","")&amp;IF(ISNUMBER(L543),IF(O543="","SEM DATA",IF(O543&gt;=0,"DEFESA NO PRAZO","DEFESA FORA DO PRAZO")),IF(OR(G543="DECISÃO D.P",ISNUMBER(M543)),"SEM DEFESA",IF(G543="","SEM STATUS",IF(O543="","SEM DATA",IF(O543&lt;0,"VENCIDO",IF(O543&lt;=DiasAlerta,"VENCE EM BREVE","NO PRAZO")))))))</f>
        <v/>
      </c>
      <c r="Q543" s="117" t="str">
        <f>IF(D543="","",TODAY()-D543)</f>
        <v/>
      </c>
      <c r="R543" s="110" t="n"/>
    </row>
    <row r="544" ht="18" customHeight="1">
      <c r="A544" s="109" t="n"/>
      <c r="B544" s="110" t="n"/>
      <c r="C544" s="110" t="n"/>
      <c r="D544" s="111" t="n"/>
      <c r="E544" s="110" t="n"/>
      <c r="F544" s="112" t="n"/>
      <c r="G544" s="112" t="n"/>
      <c r="H544" s="110" t="n"/>
      <c r="I544" s="113" t="n"/>
      <c r="J544" s="113" t="n"/>
      <c r="K544" s="111" t="n"/>
      <c r="L544" s="111" t="n"/>
      <c r="M544" s="111" t="n"/>
      <c r="N544" s="114" t="str">
        <f>IF(OR(D544="",E544=""),"",D544+IF(E544="NOTIFICAÇÃO DE CONSTATAÇÃO",PrazoConst,PrazoEsc))</f>
        <v/>
      </c>
      <c r="O544" s="115" t="str">
        <f>IF(N544="","",IF(ISNUMBER(L544),N544-L544,IF(OR(G544="DECISÃO D.P",ISNUMBER(M544)),"",N544-TODAY())))</f>
        <v/>
      </c>
      <c r="P544" s="116" t="str">
        <f>IF(B544="","",IF(ISNUMBER(M544),"DECIDIDO – ","")&amp;IF(ISNUMBER(L544),IF(O544="","SEM DATA",IF(O544&gt;=0,"DEFESA NO PRAZO","DEFESA FORA DO PRAZO")),IF(OR(G544="DECISÃO D.P",ISNUMBER(M544)),"SEM DEFESA",IF(G544="","SEM STATUS",IF(O544="","SEM DATA",IF(O544&lt;0,"VENCIDO",IF(O544&lt;=DiasAlerta,"VENCE EM BREVE","NO PRAZO")))))))</f>
        <v/>
      </c>
      <c r="Q544" s="117" t="str">
        <f>IF(D544="","",TODAY()-D544)</f>
        <v/>
      </c>
      <c r="R544" s="110" t="n"/>
    </row>
    <row r="545" ht="18" customHeight="1">
      <c r="A545" s="109" t="n"/>
      <c r="B545" s="110" t="n"/>
      <c r="C545" s="110" t="n"/>
      <c r="D545" s="111" t="n"/>
      <c r="E545" s="110" t="n"/>
      <c r="F545" s="112" t="n"/>
      <c r="G545" s="112" t="n"/>
      <c r="H545" s="110" t="n"/>
      <c r="I545" s="113" t="n"/>
      <c r="J545" s="113" t="n"/>
      <c r="K545" s="111" t="n"/>
      <c r="L545" s="111" t="n"/>
      <c r="M545" s="111" t="n"/>
      <c r="N545" s="114" t="str">
        <f>IF(OR(D545="",E545=""),"",D545+IF(E545="NOTIFICAÇÃO DE CONSTATAÇÃO",PrazoConst,PrazoEsc))</f>
        <v/>
      </c>
      <c r="O545" s="115" t="str">
        <f>IF(N545="","",IF(ISNUMBER(L545),N545-L545,IF(OR(G545="DECISÃO D.P",ISNUMBER(M545)),"",N545-TODAY())))</f>
        <v/>
      </c>
      <c r="P545" s="116" t="str">
        <f>IF(B545="","",IF(ISNUMBER(M545),"DECIDIDO – ","")&amp;IF(ISNUMBER(L545),IF(O545="","SEM DATA",IF(O545&gt;=0,"DEFESA NO PRAZO","DEFESA FORA DO PRAZO")),IF(OR(G545="DECISÃO D.P",ISNUMBER(M545)),"SEM DEFESA",IF(G545="","SEM STATUS",IF(O545="","SEM DATA",IF(O545&lt;0,"VENCIDO",IF(O545&lt;=DiasAlerta,"VENCE EM BREVE","NO PRAZO")))))))</f>
        <v/>
      </c>
      <c r="Q545" s="117" t="str">
        <f>IF(D545="","",TODAY()-D545)</f>
        <v/>
      </c>
      <c r="R545" s="110" t="n"/>
    </row>
    <row r="546" ht="18" customHeight="1">
      <c r="A546" s="109" t="n"/>
      <c r="B546" s="110" t="n"/>
      <c r="C546" s="110" t="n"/>
      <c r="D546" s="111" t="n"/>
      <c r="E546" s="110" t="n"/>
      <c r="F546" s="112" t="n"/>
      <c r="G546" s="112" t="n"/>
      <c r="H546" s="110" t="n"/>
      <c r="I546" s="113" t="n"/>
      <c r="J546" s="113" t="n"/>
      <c r="K546" s="111" t="n"/>
      <c r="L546" s="111" t="n"/>
      <c r="M546" s="111" t="n"/>
      <c r="N546" s="114" t="str">
        <f>IF(OR(D546="",E546=""),"",D546+IF(E546="NOTIFICAÇÃO DE CONSTATAÇÃO",PrazoConst,PrazoEsc))</f>
        <v/>
      </c>
      <c r="O546" s="115" t="str">
        <f>IF(N546="","",IF(ISNUMBER(L546),N546-L546,IF(OR(G546="DECISÃO D.P",ISNUMBER(M546)),"",N546-TODAY())))</f>
        <v/>
      </c>
      <c r="P546" s="116" t="str">
        <f>IF(B546="","",IF(ISNUMBER(M546),"DECIDIDO – ","")&amp;IF(ISNUMBER(L546),IF(O546="","SEM DATA",IF(O546&gt;=0,"DEFESA NO PRAZO","DEFESA FORA DO PRAZO")),IF(OR(G546="DECISÃO D.P",ISNUMBER(M546)),"SEM DEFESA",IF(G546="","SEM STATUS",IF(O546="","SEM DATA",IF(O546&lt;0,"VENCIDO",IF(O546&lt;=DiasAlerta,"VENCE EM BREVE","NO PRAZO")))))))</f>
        <v/>
      </c>
      <c r="Q546" s="117" t="str">
        <f>IF(D546="","",TODAY()-D546)</f>
        <v/>
      </c>
      <c r="R546" s="110" t="n"/>
    </row>
    <row r="547" ht="18" customHeight="1">
      <c r="A547" s="109" t="n"/>
      <c r="B547" s="110" t="n"/>
      <c r="C547" s="110" t="n"/>
      <c r="D547" s="111" t="n"/>
      <c r="E547" s="110" t="n"/>
      <c r="F547" s="112" t="n"/>
      <c r="G547" s="112" t="n"/>
      <c r="H547" s="110" t="n"/>
      <c r="I547" s="113" t="n"/>
      <c r="J547" s="113" t="n"/>
      <c r="K547" s="111" t="n"/>
      <c r="L547" s="111" t="n"/>
      <c r="M547" s="111" t="n"/>
      <c r="N547" s="114" t="str">
        <f>IF(OR(D547="",E547=""),"",D547+IF(E547="NOTIFICAÇÃO DE CONSTATAÇÃO",PrazoConst,PrazoEsc))</f>
        <v/>
      </c>
      <c r="O547" s="115" t="str">
        <f>IF(N547="","",IF(ISNUMBER(L547),N547-L547,IF(OR(G547="DECISÃO D.P",ISNUMBER(M547)),"",N547-TODAY())))</f>
        <v/>
      </c>
      <c r="P547" s="116" t="str">
        <f>IF(B547="","",IF(ISNUMBER(M547),"DECIDIDO – ","")&amp;IF(ISNUMBER(L547),IF(O547="","SEM DATA",IF(O547&gt;=0,"DEFESA NO PRAZO","DEFESA FORA DO PRAZO")),IF(OR(G547="DECISÃO D.P",ISNUMBER(M547)),"SEM DEFESA",IF(G547="","SEM STATUS",IF(O547="","SEM DATA",IF(O547&lt;0,"VENCIDO",IF(O547&lt;=DiasAlerta,"VENCE EM BREVE","NO PRAZO")))))))</f>
        <v/>
      </c>
      <c r="Q547" s="117" t="str">
        <f>IF(D547="","",TODAY()-D547)</f>
        <v/>
      </c>
      <c r="R547" s="110" t="n"/>
    </row>
    <row r="548" ht="18" customHeight="1">
      <c r="A548" s="109" t="n"/>
      <c r="B548" s="110" t="n"/>
      <c r="C548" s="110" t="n"/>
      <c r="D548" s="111" t="n"/>
      <c r="E548" s="110" t="n"/>
      <c r="F548" s="112" t="n"/>
      <c r="G548" s="112" t="n"/>
      <c r="H548" s="110" t="n"/>
      <c r="I548" s="113" t="n"/>
      <c r="J548" s="113" t="n"/>
      <c r="K548" s="111" t="n"/>
      <c r="L548" s="111" t="n"/>
      <c r="M548" s="111" t="n"/>
      <c r="N548" s="114" t="str">
        <f>IF(OR(D548="",E548=""),"",D548+IF(E548="NOTIFICAÇÃO DE CONSTATAÇÃO",PrazoConst,PrazoEsc))</f>
        <v/>
      </c>
      <c r="O548" s="115" t="str">
        <f>IF(N548="","",IF(ISNUMBER(L548),N548-L548,IF(OR(G548="DECISÃO D.P",ISNUMBER(M548)),"",N548-TODAY())))</f>
        <v/>
      </c>
      <c r="P548" s="116" t="str">
        <f>IF(B548="","",IF(ISNUMBER(M548),"DECIDIDO – ","")&amp;IF(ISNUMBER(L548),IF(O548="","SEM DATA",IF(O548&gt;=0,"DEFESA NO PRAZO","DEFESA FORA DO PRAZO")),IF(OR(G548="DECISÃO D.P",ISNUMBER(M548)),"SEM DEFESA",IF(G548="","SEM STATUS",IF(O548="","SEM DATA",IF(O548&lt;0,"VENCIDO",IF(O548&lt;=DiasAlerta,"VENCE EM BREVE","NO PRAZO")))))))</f>
        <v/>
      </c>
      <c r="Q548" s="117" t="str">
        <f>IF(D548="","",TODAY()-D548)</f>
        <v/>
      </c>
      <c r="R548" s="110" t="n"/>
    </row>
    <row r="549" ht="18" customHeight="1">
      <c r="A549" s="109" t="n"/>
      <c r="B549" s="110" t="n"/>
      <c r="C549" s="110" t="n"/>
      <c r="D549" s="111" t="n"/>
      <c r="E549" s="110" t="n"/>
      <c r="F549" s="112" t="n"/>
      <c r="G549" s="112" t="n"/>
      <c r="H549" s="110" t="n"/>
      <c r="I549" s="113" t="n"/>
      <c r="J549" s="113" t="n"/>
      <c r="K549" s="111" t="n"/>
      <c r="L549" s="111" t="n"/>
      <c r="M549" s="111" t="n"/>
      <c r="N549" s="114" t="str">
        <f>IF(OR(D549="",E549=""),"",D549+IF(E549="NOTIFICAÇÃO DE CONSTATAÇÃO",PrazoConst,PrazoEsc))</f>
        <v/>
      </c>
      <c r="O549" s="115" t="str">
        <f>IF(N549="","",IF(ISNUMBER(L549),N549-L549,IF(OR(G549="DECISÃO D.P",ISNUMBER(M549)),"",N549-TODAY())))</f>
        <v/>
      </c>
      <c r="P549" s="116" t="str">
        <f>IF(B549="","",IF(ISNUMBER(M549),"DECIDIDO – ","")&amp;IF(ISNUMBER(L549),IF(O549="","SEM DATA",IF(O549&gt;=0,"DEFESA NO PRAZO","DEFESA FORA DO PRAZO")),IF(OR(G549="DECISÃO D.P",ISNUMBER(M549)),"SEM DEFESA",IF(G549="","SEM STATUS",IF(O549="","SEM DATA",IF(O549&lt;0,"VENCIDO",IF(O549&lt;=DiasAlerta,"VENCE EM BREVE","NO PRAZO")))))))</f>
        <v/>
      </c>
      <c r="Q549" s="117" t="str">
        <f>IF(D549="","",TODAY()-D549)</f>
        <v/>
      </c>
      <c r="R549" s="110" t="n"/>
    </row>
    <row r="550" ht="18" customHeight="1">
      <c r="A550" s="109" t="n"/>
      <c r="B550" s="110" t="n"/>
      <c r="C550" s="110" t="n"/>
      <c r="D550" s="111" t="n"/>
      <c r="E550" s="110" t="n"/>
      <c r="F550" s="112" t="n"/>
      <c r="G550" s="112" t="n"/>
      <c r="H550" s="110" t="n"/>
      <c r="I550" s="113" t="n"/>
      <c r="J550" s="113" t="n"/>
      <c r="K550" s="111" t="n"/>
      <c r="L550" s="111" t="n"/>
      <c r="M550" s="111" t="n"/>
      <c r="N550" s="114" t="str">
        <f>IF(OR(D550="",E550=""),"",D550+IF(E550="NOTIFICAÇÃO DE CONSTATAÇÃO",PrazoConst,PrazoEsc))</f>
        <v/>
      </c>
      <c r="O550" s="115" t="str">
        <f>IF(N550="","",IF(ISNUMBER(L550),N550-L550,IF(OR(G550="DECISÃO D.P",ISNUMBER(M550)),"",N550-TODAY())))</f>
        <v/>
      </c>
      <c r="P550" s="116" t="str">
        <f>IF(B550="","",IF(ISNUMBER(M550),"DECIDIDO – ","")&amp;IF(ISNUMBER(L550),IF(O550="","SEM DATA",IF(O550&gt;=0,"DEFESA NO PRAZO","DEFESA FORA DO PRAZO")),IF(OR(G550="DECISÃO D.P",ISNUMBER(M550)),"SEM DEFESA",IF(G550="","SEM STATUS",IF(O550="","SEM DATA",IF(O550&lt;0,"VENCIDO",IF(O550&lt;=DiasAlerta,"VENCE EM BREVE","NO PRAZO")))))))</f>
        <v/>
      </c>
      <c r="Q550" s="117" t="str">
        <f>IF(D550="","",TODAY()-D550)</f>
        <v/>
      </c>
      <c r="R550" s="110" t="n"/>
    </row>
    <row r="551" ht="18" customHeight="1">
      <c r="A551" s="109" t="n"/>
      <c r="B551" s="110" t="n"/>
      <c r="C551" s="110" t="n"/>
      <c r="D551" s="111" t="n"/>
      <c r="E551" s="110" t="n"/>
      <c r="F551" s="112" t="n"/>
      <c r="G551" s="112" t="n"/>
      <c r="H551" s="110" t="n"/>
      <c r="I551" s="113" t="n"/>
      <c r="J551" s="113" t="n"/>
      <c r="K551" s="111" t="n"/>
      <c r="L551" s="111" t="n"/>
      <c r="M551" s="111" t="n"/>
      <c r="N551" s="114" t="str">
        <f>IF(OR(D551="",E551=""),"",D551+IF(E551="NOTIFICAÇÃO DE CONSTATAÇÃO",PrazoConst,PrazoEsc))</f>
        <v/>
      </c>
      <c r="O551" s="115" t="str">
        <f>IF(N551="","",IF(ISNUMBER(L551),N551-L551,IF(OR(G551="DECISÃO D.P",ISNUMBER(M551)),"",N551-TODAY())))</f>
        <v/>
      </c>
      <c r="P551" s="116" t="str">
        <f>IF(B551="","",IF(ISNUMBER(M551),"DECIDIDO – ","")&amp;IF(ISNUMBER(L551),IF(O551="","SEM DATA",IF(O551&gt;=0,"DEFESA NO PRAZO","DEFESA FORA DO PRAZO")),IF(OR(G551="DECISÃO D.P",ISNUMBER(M551)),"SEM DEFESA",IF(G551="","SEM STATUS",IF(O551="","SEM DATA",IF(O551&lt;0,"VENCIDO",IF(O551&lt;=DiasAlerta,"VENCE EM BREVE","NO PRAZO")))))))</f>
        <v/>
      </c>
      <c r="Q551" s="117" t="str">
        <f>IF(D551="","",TODAY()-D551)</f>
        <v/>
      </c>
      <c r="R551" s="110" t="n"/>
    </row>
    <row r="552" ht="18" customHeight="1">
      <c r="A552" s="109" t="n"/>
      <c r="B552" s="110" t="n"/>
      <c r="C552" s="110" t="n"/>
      <c r="D552" s="111" t="n"/>
      <c r="E552" s="110" t="n"/>
      <c r="F552" s="112" t="n"/>
      <c r="G552" s="112" t="n"/>
      <c r="H552" s="110" t="n"/>
      <c r="I552" s="113" t="n"/>
      <c r="J552" s="113" t="n"/>
      <c r="K552" s="111" t="n"/>
      <c r="L552" s="111" t="n"/>
      <c r="M552" s="111" t="n"/>
      <c r="N552" s="114" t="str">
        <f>IF(OR(D552="",E552=""),"",D552+IF(E552="NOTIFICAÇÃO DE CONSTATAÇÃO",PrazoConst,PrazoEsc))</f>
        <v/>
      </c>
      <c r="O552" s="115" t="str">
        <f>IF(N552="","",IF(ISNUMBER(L552),N552-L552,IF(OR(G552="DECISÃO D.P",ISNUMBER(M552)),"",N552-TODAY())))</f>
        <v/>
      </c>
      <c r="P552" s="116" t="str">
        <f>IF(B552="","",IF(ISNUMBER(M552),"DECIDIDO – ","")&amp;IF(ISNUMBER(L552),IF(O552="","SEM DATA",IF(O552&gt;=0,"DEFESA NO PRAZO","DEFESA FORA DO PRAZO")),IF(OR(G552="DECISÃO D.P",ISNUMBER(M552)),"SEM DEFESA",IF(G552="","SEM STATUS",IF(O552="","SEM DATA",IF(O552&lt;0,"VENCIDO",IF(O552&lt;=DiasAlerta,"VENCE EM BREVE","NO PRAZO")))))))</f>
        <v/>
      </c>
      <c r="Q552" s="117" t="str">
        <f>IF(D552="","",TODAY()-D552)</f>
        <v/>
      </c>
      <c r="R552" s="110" t="n"/>
    </row>
    <row r="553" ht="18" customHeight="1">
      <c r="A553" s="109" t="n"/>
      <c r="B553" s="110" t="n"/>
      <c r="C553" s="110" t="n"/>
      <c r="D553" s="111" t="n"/>
      <c r="E553" s="110" t="n"/>
      <c r="F553" s="112" t="n"/>
      <c r="G553" s="112" t="n"/>
      <c r="H553" s="110" t="n"/>
      <c r="I553" s="113" t="n"/>
      <c r="J553" s="113" t="n"/>
      <c r="K553" s="111" t="n"/>
      <c r="L553" s="111" t="n"/>
      <c r="M553" s="111" t="n"/>
      <c r="N553" s="114" t="str">
        <f>IF(OR(D553="",E553=""),"",D553+IF(E553="NOTIFICAÇÃO DE CONSTATAÇÃO",PrazoConst,PrazoEsc))</f>
        <v/>
      </c>
      <c r="O553" s="115" t="str">
        <f>IF(N553="","",IF(ISNUMBER(L553),N553-L553,IF(OR(G553="DECISÃO D.P",ISNUMBER(M553)),"",N553-TODAY())))</f>
        <v/>
      </c>
      <c r="P553" s="116" t="str">
        <f>IF(B553="","",IF(ISNUMBER(M553),"DECIDIDO – ","")&amp;IF(ISNUMBER(L553),IF(O553="","SEM DATA",IF(O553&gt;=0,"DEFESA NO PRAZO","DEFESA FORA DO PRAZO")),IF(OR(G553="DECISÃO D.P",ISNUMBER(M553)),"SEM DEFESA",IF(G553="","SEM STATUS",IF(O553="","SEM DATA",IF(O553&lt;0,"VENCIDO",IF(O553&lt;=DiasAlerta,"VENCE EM BREVE","NO PRAZO")))))))</f>
        <v/>
      </c>
      <c r="Q553" s="117" t="str">
        <f>IF(D553="","",TODAY()-D553)</f>
        <v/>
      </c>
      <c r="R553" s="110" t="n"/>
    </row>
    <row r="554" ht="18" customHeight="1">
      <c r="A554" s="109" t="n"/>
      <c r="B554" s="110" t="n"/>
      <c r="C554" s="110" t="n"/>
      <c r="D554" s="111" t="n"/>
      <c r="E554" s="110" t="n"/>
      <c r="F554" s="112" t="n"/>
      <c r="G554" s="112" t="n"/>
      <c r="H554" s="110" t="n"/>
      <c r="I554" s="113" t="n"/>
      <c r="J554" s="113" t="n"/>
      <c r="K554" s="111" t="n"/>
      <c r="L554" s="111" t="n"/>
      <c r="M554" s="111" t="n"/>
      <c r="N554" s="114" t="str">
        <f>IF(OR(D554="",E554=""),"",D554+IF(E554="NOTIFICAÇÃO DE CONSTATAÇÃO",PrazoConst,PrazoEsc))</f>
        <v/>
      </c>
      <c r="O554" s="115" t="str">
        <f>IF(N554="","",IF(ISNUMBER(L554),N554-L554,IF(OR(G554="DECISÃO D.P",ISNUMBER(M554)),"",N554-TODAY())))</f>
        <v/>
      </c>
      <c r="P554" s="116" t="str">
        <f>IF(B554="","",IF(ISNUMBER(M554),"DECIDIDO – ","")&amp;IF(ISNUMBER(L554),IF(O554="","SEM DATA",IF(O554&gt;=0,"DEFESA NO PRAZO","DEFESA FORA DO PRAZO")),IF(OR(G554="DECISÃO D.P",ISNUMBER(M554)),"SEM DEFESA",IF(G554="","SEM STATUS",IF(O554="","SEM DATA",IF(O554&lt;0,"VENCIDO",IF(O554&lt;=DiasAlerta,"VENCE EM BREVE","NO PRAZO")))))))</f>
        <v/>
      </c>
      <c r="Q554" s="117" t="str">
        <f>IF(D554="","",TODAY()-D554)</f>
        <v/>
      </c>
      <c r="R554" s="110" t="n"/>
    </row>
    <row r="555" ht="18" customHeight="1">
      <c r="A555" s="109" t="n"/>
      <c r="B555" s="110" t="n"/>
      <c r="C555" s="110" t="n"/>
      <c r="D555" s="111" t="n"/>
      <c r="E555" s="110" t="n"/>
      <c r="F555" s="112" t="n"/>
      <c r="G555" s="112" t="n"/>
      <c r="H555" s="110" t="n"/>
      <c r="I555" s="113" t="n"/>
      <c r="J555" s="113" t="n"/>
      <c r="K555" s="111" t="n"/>
      <c r="L555" s="111" t="n"/>
      <c r="M555" s="111" t="n"/>
      <c r="N555" s="114" t="str">
        <f>IF(OR(D555="",E555=""),"",D555+IF(E555="NOTIFICAÇÃO DE CONSTATAÇÃO",PrazoConst,PrazoEsc))</f>
        <v/>
      </c>
      <c r="O555" s="115" t="str">
        <f>IF(N555="","",IF(ISNUMBER(L555),N555-L555,IF(OR(G555="DECISÃO D.P",ISNUMBER(M555)),"",N555-TODAY())))</f>
        <v/>
      </c>
      <c r="P555" s="116" t="str">
        <f>IF(B555="","",IF(ISNUMBER(M555),"DECIDIDO – ","")&amp;IF(ISNUMBER(L555),IF(O555="","SEM DATA",IF(O555&gt;=0,"DEFESA NO PRAZO","DEFESA FORA DO PRAZO")),IF(OR(G555="DECISÃO D.P",ISNUMBER(M555)),"SEM DEFESA",IF(G555="","SEM STATUS",IF(O555="","SEM DATA",IF(O555&lt;0,"VENCIDO",IF(O555&lt;=DiasAlerta,"VENCE EM BREVE","NO PRAZO")))))))</f>
        <v/>
      </c>
      <c r="Q555" s="117" t="str">
        <f>IF(D555="","",TODAY()-D555)</f>
        <v/>
      </c>
      <c r="R555" s="110" t="n"/>
    </row>
    <row r="556" ht="18" customHeight="1">
      <c r="A556" s="109" t="n"/>
      <c r="B556" s="110" t="n"/>
      <c r="C556" s="110" t="n"/>
      <c r="D556" s="111" t="n"/>
      <c r="E556" s="110" t="n"/>
      <c r="F556" s="112" t="n"/>
      <c r="G556" s="112" t="n"/>
      <c r="H556" s="110" t="n"/>
      <c r="I556" s="113" t="n"/>
      <c r="J556" s="113" t="n"/>
      <c r="K556" s="111" t="n"/>
      <c r="L556" s="111" t="n"/>
      <c r="M556" s="111" t="n"/>
      <c r="N556" s="114" t="str">
        <f>IF(OR(D556="",E556=""),"",D556+IF(E556="NOTIFICAÇÃO DE CONSTATAÇÃO",PrazoConst,PrazoEsc))</f>
        <v/>
      </c>
      <c r="O556" s="115" t="str">
        <f>IF(N556="","",IF(ISNUMBER(L556),N556-L556,IF(OR(G556="DECISÃO D.P",ISNUMBER(M556)),"",N556-TODAY())))</f>
        <v/>
      </c>
      <c r="P556" s="116" t="str">
        <f>IF(B556="","",IF(ISNUMBER(M556),"DECIDIDO – ","")&amp;IF(ISNUMBER(L556),IF(O556="","SEM DATA",IF(O556&gt;=0,"DEFESA NO PRAZO","DEFESA FORA DO PRAZO")),IF(OR(G556="DECISÃO D.P",ISNUMBER(M556)),"SEM DEFESA",IF(G556="","SEM STATUS",IF(O556="","SEM DATA",IF(O556&lt;0,"VENCIDO",IF(O556&lt;=DiasAlerta,"VENCE EM BREVE","NO PRAZO")))))))</f>
        <v/>
      </c>
      <c r="Q556" s="117" t="str">
        <f>IF(D556="","",TODAY()-D556)</f>
        <v/>
      </c>
      <c r="R556" s="110" t="n"/>
    </row>
    <row r="557" ht="18" customHeight="1">
      <c r="A557" s="109" t="n"/>
      <c r="B557" s="110" t="n"/>
      <c r="C557" s="110" t="n"/>
      <c r="D557" s="111" t="n"/>
      <c r="E557" s="110" t="n"/>
      <c r="F557" s="112" t="n"/>
      <c r="G557" s="112" t="n"/>
      <c r="H557" s="110" t="n"/>
      <c r="I557" s="113" t="n"/>
      <c r="J557" s="113" t="n"/>
      <c r="K557" s="111" t="n"/>
      <c r="L557" s="111" t="n"/>
      <c r="M557" s="111" t="n"/>
      <c r="N557" s="114" t="str">
        <f>IF(OR(D557="",E557=""),"",D557+IF(E557="NOTIFICAÇÃO DE CONSTATAÇÃO",PrazoConst,PrazoEsc))</f>
        <v/>
      </c>
      <c r="O557" s="115" t="str">
        <f>IF(N557="","",IF(ISNUMBER(L557),N557-L557,IF(OR(G557="DECISÃO D.P",ISNUMBER(M557)),"",N557-TODAY())))</f>
        <v/>
      </c>
      <c r="P557" s="116" t="str">
        <f>IF(B557="","",IF(ISNUMBER(M557),"DECIDIDO – ","")&amp;IF(ISNUMBER(L557),IF(O557="","SEM DATA",IF(O557&gt;=0,"DEFESA NO PRAZO","DEFESA FORA DO PRAZO")),IF(OR(G557="DECISÃO D.P",ISNUMBER(M557)),"SEM DEFESA",IF(G557="","SEM STATUS",IF(O557="","SEM DATA",IF(O557&lt;0,"VENCIDO",IF(O557&lt;=DiasAlerta,"VENCE EM BREVE","NO PRAZO")))))))</f>
        <v/>
      </c>
      <c r="Q557" s="117" t="str">
        <f>IF(D557="","",TODAY()-D557)</f>
        <v/>
      </c>
      <c r="R557" s="110" t="n"/>
    </row>
    <row r="558" ht="18" customHeight="1">
      <c r="A558" s="109" t="n"/>
      <c r="B558" s="110" t="n"/>
      <c r="C558" s="110" t="n"/>
      <c r="D558" s="111" t="n"/>
      <c r="E558" s="110" t="n"/>
      <c r="F558" s="112" t="n"/>
      <c r="G558" s="112" t="n"/>
      <c r="H558" s="110" t="n"/>
      <c r="I558" s="113" t="n"/>
      <c r="J558" s="113" t="n"/>
      <c r="K558" s="111" t="n"/>
      <c r="L558" s="111" t="n"/>
      <c r="M558" s="111" t="n"/>
      <c r="N558" s="114" t="str">
        <f>IF(OR(D558="",E558=""),"",D558+IF(E558="NOTIFICAÇÃO DE CONSTATAÇÃO",PrazoConst,PrazoEsc))</f>
        <v/>
      </c>
      <c r="O558" s="115" t="str">
        <f>IF(N558="","",IF(ISNUMBER(L558),N558-L558,IF(OR(G558="DECISÃO D.P",ISNUMBER(M558)),"",N558-TODAY())))</f>
        <v/>
      </c>
      <c r="P558" s="116" t="str">
        <f>IF(B558="","",IF(ISNUMBER(M558),"DECIDIDO – ","")&amp;IF(ISNUMBER(L558),IF(O558="","SEM DATA",IF(O558&gt;=0,"DEFESA NO PRAZO","DEFESA FORA DO PRAZO")),IF(OR(G558="DECISÃO D.P",ISNUMBER(M558)),"SEM DEFESA",IF(G558="","SEM STATUS",IF(O558="","SEM DATA",IF(O558&lt;0,"VENCIDO",IF(O558&lt;=DiasAlerta,"VENCE EM BREVE","NO PRAZO")))))))</f>
        <v/>
      </c>
      <c r="Q558" s="117" t="str">
        <f>IF(D558="","",TODAY()-D558)</f>
        <v/>
      </c>
      <c r="R558" s="110" t="n"/>
    </row>
    <row r="559" ht="18" customHeight="1">
      <c r="A559" s="109" t="n"/>
      <c r="B559" s="110" t="n"/>
      <c r="C559" s="110" t="n"/>
      <c r="D559" s="111" t="n"/>
      <c r="E559" s="110" t="n"/>
      <c r="F559" s="112" t="n"/>
      <c r="G559" s="112" t="n"/>
      <c r="H559" s="110" t="n"/>
      <c r="I559" s="113" t="n"/>
      <c r="J559" s="113" t="n"/>
      <c r="K559" s="111" t="n"/>
      <c r="L559" s="111" t="n"/>
      <c r="M559" s="111" t="n"/>
      <c r="N559" s="114" t="str">
        <f>IF(OR(D559="",E559=""),"",D559+IF(E559="NOTIFICAÇÃO DE CONSTATAÇÃO",PrazoConst,PrazoEsc))</f>
        <v/>
      </c>
      <c r="O559" s="115" t="str">
        <f>IF(N559="","",IF(ISNUMBER(L559),N559-L559,IF(OR(G559="DECISÃO D.P",ISNUMBER(M559)),"",N559-TODAY())))</f>
        <v/>
      </c>
      <c r="P559" s="116" t="str">
        <f>IF(B559="","",IF(ISNUMBER(M559),"DECIDIDO – ","")&amp;IF(ISNUMBER(L559),IF(O559="","SEM DATA",IF(O559&gt;=0,"DEFESA NO PRAZO","DEFESA FORA DO PRAZO")),IF(OR(G559="DECISÃO D.P",ISNUMBER(M559)),"SEM DEFESA",IF(G559="","SEM STATUS",IF(O559="","SEM DATA",IF(O559&lt;0,"VENCIDO",IF(O559&lt;=DiasAlerta,"VENCE EM BREVE","NO PRAZO")))))))</f>
        <v/>
      </c>
      <c r="Q559" s="117" t="str">
        <f>IF(D559="","",TODAY()-D559)</f>
        <v/>
      </c>
      <c r="R559" s="110" t="n"/>
    </row>
    <row r="560" ht="18" customHeight="1">
      <c r="A560" s="109" t="n"/>
      <c r="B560" s="110" t="n"/>
      <c r="C560" s="110" t="n"/>
      <c r="D560" s="111" t="n"/>
      <c r="E560" s="110" t="n"/>
      <c r="F560" s="112" t="n"/>
      <c r="G560" s="112" t="n"/>
      <c r="H560" s="110" t="n"/>
      <c r="I560" s="113" t="n"/>
      <c r="J560" s="113" t="n"/>
      <c r="K560" s="111" t="n"/>
      <c r="L560" s="111" t="n"/>
      <c r="M560" s="111" t="n"/>
      <c r="N560" s="114" t="str">
        <f>IF(OR(D560="",E560=""),"",D560+IF(E560="NOTIFICAÇÃO DE CONSTATAÇÃO",PrazoConst,PrazoEsc))</f>
        <v/>
      </c>
      <c r="O560" s="115" t="str">
        <f>IF(N560="","",IF(ISNUMBER(L560),N560-L560,IF(OR(G560="DECISÃO D.P",ISNUMBER(M560)),"",N560-TODAY())))</f>
        <v/>
      </c>
      <c r="P560" s="116" t="str">
        <f>IF(B560="","",IF(ISNUMBER(M560),"DECIDIDO – ","")&amp;IF(ISNUMBER(L560),IF(O560="","SEM DATA",IF(O560&gt;=0,"DEFESA NO PRAZO","DEFESA FORA DO PRAZO")),IF(OR(G560="DECISÃO D.P",ISNUMBER(M560)),"SEM DEFESA",IF(G560="","SEM STATUS",IF(O560="","SEM DATA",IF(O560&lt;0,"VENCIDO",IF(O560&lt;=DiasAlerta,"VENCE EM BREVE","NO PRAZO")))))))</f>
        <v/>
      </c>
      <c r="Q560" s="117" t="str">
        <f>IF(D560="","",TODAY()-D560)</f>
        <v/>
      </c>
      <c r="R560" s="110" t="n"/>
    </row>
    <row r="561" ht="18" customHeight="1">
      <c r="A561" s="109" t="n"/>
      <c r="B561" s="110" t="n"/>
      <c r="C561" s="110" t="n"/>
      <c r="D561" s="111" t="n"/>
      <c r="E561" s="110" t="n"/>
      <c r="F561" s="112" t="n"/>
      <c r="G561" s="112" t="n"/>
      <c r="H561" s="110" t="n"/>
      <c r="I561" s="113" t="n"/>
      <c r="J561" s="113" t="n"/>
      <c r="K561" s="111" t="n"/>
      <c r="L561" s="111" t="n"/>
      <c r="M561" s="111" t="n"/>
      <c r="N561" s="114" t="str">
        <f>IF(OR(D561="",E561=""),"",D561+IF(E561="NOTIFICAÇÃO DE CONSTATAÇÃO",PrazoConst,PrazoEsc))</f>
        <v/>
      </c>
      <c r="O561" s="115" t="str">
        <f>IF(N561="","",IF(ISNUMBER(L561),N561-L561,IF(OR(G561="DECISÃO D.P",ISNUMBER(M561)),"",N561-TODAY())))</f>
        <v/>
      </c>
      <c r="P561" s="116" t="str">
        <f>IF(B561="","",IF(ISNUMBER(M561),"DECIDIDO – ","")&amp;IF(ISNUMBER(L561),IF(O561="","SEM DATA",IF(O561&gt;=0,"DEFESA NO PRAZO","DEFESA FORA DO PRAZO")),IF(OR(G561="DECISÃO D.P",ISNUMBER(M561)),"SEM DEFESA",IF(G561="","SEM STATUS",IF(O561="","SEM DATA",IF(O561&lt;0,"VENCIDO",IF(O561&lt;=DiasAlerta,"VENCE EM BREVE","NO PRAZO")))))))</f>
        <v/>
      </c>
      <c r="Q561" s="117" t="str">
        <f>IF(D561="","",TODAY()-D561)</f>
        <v/>
      </c>
      <c r="R561" s="110" t="n"/>
    </row>
    <row r="562" ht="18" customHeight="1">
      <c r="A562" s="109" t="n"/>
      <c r="B562" s="110" t="n"/>
      <c r="C562" s="110" t="n"/>
      <c r="D562" s="111" t="n"/>
      <c r="E562" s="110" t="n"/>
      <c r="F562" s="112" t="n"/>
      <c r="G562" s="112" t="n"/>
      <c r="H562" s="110" t="n"/>
      <c r="I562" s="113" t="n"/>
      <c r="J562" s="113" t="n"/>
      <c r="K562" s="111" t="n"/>
      <c r="L562" s="111" t="n"/>
      <c r="M562" s="111" t="n"/>
      <c r="N562" s="114" t="str">
        <f>IF(OR(D562="",E562=""),"",D562+IF(E562="NOTIFICAÇÃO DE CONSTATAÇÃO",PrazoConst,PrazoEsc))</f>
        <v/>
      </c>
      <c r="O562" s="115" t="str">
        <f>IF(N562="","",IF(ISNUMBER(L562),N562-L562,IF(OR(G562="DECISÃO D.P",ISNUMBER(M562)),"",N562-TODAY())))</f>
        <v/>
      </c>
      <c r="P562" s="116" t="str">
        <f>IF(B562="","",IF(ISNUMBER(M562),"DECIDIDO – ","")&amp;IF(ISNUMBER(L562),IF(O562="","SEM DATA",IF(O562&gt;=0,"DEFESA NO PRAZO","DEFESA FORA DO PRAZO")),IF(OR(G562="DECISÃO D.P",ISNUMBER(M562)),"SEM DEFESA",IF(G562="","SEM STATUS",IF(O562="","SEM DATA",IF(O562&lt;0,"VENCIDO",IF(O562&lt;=DiasAlerta,"VENCE EM BREVE","NO PRAZO")))))))</f>
        <v/>
      </c>
      <c r="Q562" s="117" t="str">
        <f>IF(D562="","",TODAY()-D562)</f>
        <v/>
      </c>
      <c r="R562" s="110" t="n"/>
    </row>
    <row r="563" ht="18" customHeight="1">
      <c r="A563" s="109" t="n"/>
      <c r="B563" s="110" t="n"/>
      <c r="C563" s="110" t="n"/>
      <c r="D563" s="111" t="n"/>
      <c r="E563" s="110" t="n"/>
      <c r="F563" s="112" t="n"/>
      <c r="G563" s="112" t="n"/>
      <c r="H563" s="110" t="n"/>
      <c r="I563" s="113" t="n"/>
      <c r="J563" s="113" t="n"/>
      <c r="K563" s="111" t="n"/>
      <c r="L563" s="111" t="n"/>
      <c r="M563" s="111" t="n"/>
      <c r="N563" s="114" t="str">
        <f>IF(OR(D563="",E563=""),"",D563+IF(E563="NOTIFICAÇÃO DE CONSTATAÇÃO",PrazoConst,PrazoEsc))</f>
        <v/>
      </c>
      <c r="O563" s="115" t="str">
        <f>IF(N563="","",IF(ISNUMBER(L563),N563-L563,IF(OR(G563="DECISÃO D.P",ISNUMBER(M563)),"",N563-TODAY())))</f>
        <v/>
      </c>
      <c r="P563" s="116" t="str">
        <f>IF(B563="","",IF(ISNUMBER(M563),"DECIDIDO – ","")&amp;IF(ISNUMBER(L563),IF(O563="","SEM DATA",IF(O563&gt;=0,"DEFESA NO PRAZO","DEFESA FORA DO PRAZO")),IF(OR(G563="DECISÃO D.P",ISNUMBER(M563)),"SEM DEFESA",IF(G563="","SEM STATUS",IF(O563="","SEM DATA",IF(O563&lt;0,"VENCIDO",IF(O563&lt;=DiasAlerta,"VENCE EM BREVE","NO PRAZO")))))))</f>
        <v/>
      </c>
      <c r="Q563" s="117" t="str">
        <f>IF(D563="","",TODAY()-D563)</f>
        <v/>
      </c>
      <c r="R563" s="110" t="n"/>
    </row>
    <row r="564" ht="18" customHeight="1">
      <c r="A564" s="109" t="n"/>
      <c r="B564" s="110" t="n"/>
      <c r="C564" s="110" t="n"/>
      <c r="D564" s="111" t="n"/>
      <c r="E564" s="110" t="n"/>
      <c r="F564" s="112" t="n"/>
      <c r="G564" s="112" t="n"/>
      <c r="H564" s="110" t="n"/>
      <c r="I564" s="113" t="n"/>
      <c r="J564" s="113" t="n"/>
      <c r="K564" s="111" t="n"/>
      <c r="L564" s="111" t="n"/>
      <c r="M564" s="111" t="n"/>
      <c r="N564" s="114" t="str">
        <f>IF(OR(D564="",E564=""),"",D564+IF(E564="NOTIFICAÇÃO DE CONSTATAÇÃO",PrazoConst,PrazoEsc))</f>
        <v/>
      </c>
      <c r="O564" s="115" t="str">
        <f>IF(N564="","",IF(ISNUMBER(L564),N564-L564,IF(OR(G564="DECISÃO D.P",ISNUMBER(M564)),"",N564-TODAY())))</f>
        <v/>
      </c>
      <c r="P564" s="116" t="str">
        <f>IF(B564="","",IF(ISNUMBER(M564),"DECIDIDO – ","")&amp;IF(ISNUMBER(L564),IF(O564="","SEM DATA",IF(O564&gt;=0,"DEFESA NO PRAZO","DEFESA FORA DO PRAZO")),IF(OR(G564="DECISÃO D.P",ISNUMBER(M564)),"SEM DEFESA",IF(G564="","SEM STATUS",IF(O564="","SEM DATA",IF(O564&lt;0,"VENCIDO",IF(O564&lt;=DiasAlerta,"VENCE EM BREVE","NO PRAZO")))))))</f>
        <v/>
      </c>
      <c r="Q564" s="117" t="str">
        <f>IF(D564="","",TODAY()-D564)</f>
        <v/>
      </c>
      <c r="R564" s="110" t="n"/>
    </row>
    <row r="565" ht="18" customHeight="1">
      <c r="A565" s="109" t="n"/>
      <c r="B565" s="110" t="n"/>
      <c r="C565" s="110" t="n"/>
      <c r="D565" s="111" t="n"/>
      <c r="E565" s="110" t="n"/>
      <c r="F565" s="112" t="n"/>
      <c r="G565" s="112" t="n"/>
      <c r="H565" s="110" t="n"/>
      <c r="I565" s="113" t="n"/>
      <c r="J565" s="113" t="n"/>
      <c r="K565" s="111" t="n"/>
      <c r="L565" s="111" t="n"/>
      <c r="M565" s="111" t="n"/>
      <c r="N565" s="114" t="str">
        <f>IF(OR(D565="",E565=""),"",D565+IF(E565="NOTIFICAÇÃO DE CONSTATAÇÃO",PrazoConst,PrazoEsc))</f>
        <v/>
      </c>
      <c r="O565" s="115" t="str">
        <f>IF(N565="","",IF(ISNUMBER(L565),N565-L565,IF(OR(G565="DECISÃO D.P",ISNUMBER(M565)),"",N565-TODAY())))</f>
        <v/>
      </c>
      <c r="P565" s="116" t="str">
        <f>IF(B565="","",IF(ISNUMBER(M565),"DECIDIDO – ","")&amp;IF(ISNUMBER(L565),IF(O565="","SEM DATA",IF(O565&gt;=0,"DEFESA NO PRAZO","DEFESA FORA DO PRAZO")),IF(OR(G565="DECISÃO D.P",ISNUMBER(M565)),"SEM DEFESA",IF(G565="","SEM STATUS",IF(O565="","SEM DATA",IF(O565&lt;0,"VENCIDO",IF(O565&lt;=DiasAlerta,"VENCE EM BREVE","NO PRAZO")))))))</f>
        <v/>
      </c>
      <c r="Q565" s="117" t="str">
        <f>IF(D565="","",TODAY()-D565)</f>
        <v/>
      </c>
      <c r="R565" s="110" t="n"/>
    </row>
    <row r="566" ht="18" customHeight="1">
      <c r="A566" s="109" t="n"/>
      <c r="B566" s="110" t="n"/>
      <c r="C566" s="110" t="n"/>
      <c r="D566" s="111" t="n"/>
      <c r="E566" s="110" t="n"/>
      <c r="F566" s="112" t="n"/>
      <c r="G566" s="112" t="n"/>
      <c r="H566" s="110" t="n"/>
      <c r="I566" s="113" t="n"/>
      <c r="J566" s="113" t="n"/>
      <c r="K566" s="111" t="n"/>
      <c r="L566" s="111" t="n"/>
      <c r="M566" s="111" t="n"/>
      <c r="N566" s="114" t="str">
        <f>IF(OR(D566="",E566=""),"",D566+IF(E566="NOTIFICAÇÃO DE CONSTATAÇÃO",PrazoConst,PrazoEsc))</f>
        <v/>
      </c>
      <c r="O566" s="115" t="str">
        <f>IF(N566="","",IF(ISNUMBER(L566),N566-L566,IF(OR(G566="DECISÃO D.P",ISNUMBER(M566)),"",N566-TODAY())))</f>
        <v/>
      </c>
      <c r="P566" s="116" t="str">
        <f>IF(B566="","",IF(ISNUMBER(M566),"DECIDIDO – ","")&amp;IF(ISNUMBER(L566),IF(O566="","SEM DATA",IF(O566&gt;=0,"DEFESA NO PRAZO","DEFESA FORA DO PRAZO")),IF(OR(G566="DECISÃO D.P",ISNUMBER(M566)),"SEM DEFESA",IF(G566="","SEM STATUS",IF(O566="","SEM DATA",IF(O566&lt;0,"VENCIDO",IF(O566&lt;=DiasAlerta,"VENCE EM BREVE","NO PRAZO")))))))</f>
        <v/>
      </c>
      <c r="Q566" s="117" t="str">
        <f>IF(D566="","",TODAY()-D566)</f>
        <v/>
      </c>
      <c r="R566" s="110" t="n"/>
    </row>
    <row r="567" ht="18" customHeight="1">
      <c r="A567" s="109" t="n"/>
      <c r="B567" s="110" t="n"/>
      <c r="C567" s="110" t="n"/>
      <c r="D567" s="111" t="n"/>
      <c r="E567" s="110" t="n"/>
      <c r="F567" s="112" t="n"/>
      <c r="G567" s="112" t="n"/>
      <c r="H567" s="110" t="n"/>
      <c r="I567" s="113" t="n"/>
      <c r="J567" s="113" t="n"/>
      <c r="K567" s="111" t="n"/>
      <c r="L567" s="111" t="n"/>
      <c r="M567" s="111" t="n"/>
      <c r="N567" s="114" t="str">
        <f>IF(OR(D567="",E567=""),"",D567+IF(E567="NOTIFICAÇÃO DE CONSTATAÇÃO",PrazoConst,PrazoEsc))</f>
        <v/>
      </c>
      <c r="O567" s="115" t="str">
        <f>IF(N567="","",IF(ISNUMBER(L567),N567-L567,IF(OR(G567="DECISÃO D.P",ISNUMBER(M567)),"",N567-TODAY())))</f>
        <v/>
      </c>
      <c r="P567" s="116" t="str">
        <f>IF(B567="","",IF(ISNUMBER(M567),"DECIDIDO – ","")&amp;IF(ISNUMBER(L567),IF(O567="","SEM DATA",IF(O567&gt;=0,"DEFESA NO PRAZO","DEFESA FORA DO PRAZO")),IF(OR(G567="DECISÃO D.P",ISNUMBER(M567)),"SEM DEFESA",IF(G567="","SEM STATUS",IF(O567="","SEM DATA",IF(O567&lt;0,"VENCIDO",IF(O567&lt;=DiasAlerta,"VENCE EM BREVE","NO PRAZO")))))))</f>
        <v/>
      </c>
      <c r="Q567" s="117" t="str">
        <f>IF(D567="","",TODAY()-D567)</f>
        <v/>
      </c>
      <c r="R567" s="110" t="n"/>
    </row>
    <row r="568" ht="18" customHeight="1">
      <c r="A568" s="109" t="n"/>
      <c r="B568" s="110" t="n"/>
      <c r="C568" s="110" t="n"/>
      <c r="D568" s="111" t="n"/>
      <c r="E568" s="110" t="n"/>
      <c r="F568" s="112" t="n"/>
      <c r="G568" s="112" t="n"/>
      <c r="H568" s="110" t="n"/>
      <c r="I568" s="113" t="n"/>
      <c r="J568" s="113" t="n"/>
      <c r="K568" s="111" t="n"/>
      <c r="L568" s="111" t="n"/>
      <c r="M568" s="111" t="n"/>
      <c r="N568" s="114" t="str">
        <f>IF(OR(D568="",E568=""),"",D568+IF(E568="NOTIFICAÇÃO DE CONSTATAÇÃO",PrazoConst,PrazoEsc))</f>
        <v/>
      </c>
      <c r="O568" s="115" t="str">
        <f>IF(N568="","",IF(ISNUMBER(L568),N568-L568,IF(OR(G568="DECISÃO D.P",ISNUMBER(M568)),"",N568-TODAY())))</f>
        <v/>
      </c>
      <c r="P568" s="116" t="str">
        <f>IF(B568="","",IF(ISNUMBER(M568),"DECIDIDO – ","")&amp;IF(ISNUMBER(L568),IF(O568="","SEM DATA",IF(O568&gt;=0,"DEFESA NO PRAZO","DEFESA FORA DO PRAZO")),IF(OR(G568="DECISÃO D.P",ISNUMBER(M568)),"SEM DEFESA",IF(G568="","SEM STATUS",IF(O568="","SEM DATA",IF(O568&lt;0,"VENCIDO",IF(O568&lt;=DiasAlerta,"VENCE EM BREVE","NO PRAZO")))))))</f>
        <v/>
      </c>
      <c r="Q568" s="117" t="str">
        <f>IF(D568="","",TODAY()-D568)</f>
        <v/>
      </c>
      <c r="R568" s="110" t="n"/>
    </row>
    <row r="569" ht="18" customHeight="1">
      <c r="A569" s="109" t="n"/>
      <c r="B569" s="110" t="n"/>
      <c r="C569" s="110" t="n"/>
      <c r="D569" s="111" t="n"/>
      <c r="E569" s="110" t="n"/>
      <c r="F569" s="112" t="n"/>
      <c r="G569" s="112" t="n"/>
      <c r="H569" s="110" t="n"/>
      <c r="I569" s="113" t="n"/>
      <c r="J569" s="113" t="n"/>
      <c r="K569" s="111" t="n"/>
      <c r="L569" s="111" t="n"/>
      <c r="M569" s="111" t="n"/>
      <c r="N569" s="114" t="str">
        <f>IF(OR(D569="",E569=""),"",D569+IF(E569="NOTIFICAÇÃO DE CONSTATAÇÃO",PrazoConst,PrazoEsc))</f>
        <v/>
      </c>
      <c r="O569" s="115" t="str">
        <f>IF(N569="","",IF(ISNUMBER(L569),N569-L569,IF(OR(G569="DECISÃO D.P",ISNUMBER(M569)),"",N569-TODAY())))</f>
        <v/>
      </c>
      <c r="P569" s="116" t="str">
        <f>IF(B569="","",IF(ISNUMBER(M569),"DECIDIDO – ","")&amp;IF(ISNUMBER(L569),IF(O569="","SEM DATA",IF(O569&gt;=0,"DEFESA NO PRAZO","DEFESA FORA DO PRAZO")),IF(OR(G569="DECISÃO D.P",ISNUMBER(M569)),"SEM DEFESA",IF(G569="","SEM STATUS",IF(O569="","SEM DATA",IF(O569&lt;0,"VENCIDO",IF(O569&lt;=DiasAlerta,"VENCE EM BREVE","NO PRAZO")))))))</f>
        <v/>
      </c>
      <c r="Q569" s="117" t="str">
        <f>IF(D569="","",TODAY()-D569)</f>
        <v/>
      </c>
      <c r="R569" s="110" t="n"/>
    </row>
    <row r="570" ht="18" customHeight="1">
      <c r="A570" s="109" t="n"/>
      <c r="B570" s="110" t="n"/>
      <c r="C570" s="110" t="n"/>
      <c r="D570" s="111" t="n"/>
      <c r="E570" s="110" t="n"/>
      <c r="F570" s="112" t="n"/>
      <c r="G570" s="112" t="n"/>
      <c r="H570" s="110" t="n"/>
      <c r="I570" s="113" t="n"/>
      <c r="J570" s="113" t="n"/>
      <c r="K570" s="111" t="n"/>
      <c r="L570" s="111" t="n"/>
      <c r="M570" s="111" t="n"/>
      <c r="N570" s="114" t="str">
        <f>IF(OR(D570="",E570=""),"",D570+IF(E570="NOTIFICAÇÃO DE CONSTATAÇÃO",PrazoConst,PrazoEsc))</f>
        <v/>
      </c>
      <c r="O570" s="115" t="str">
        <f>IF(N570="","",IF(ISNUMBER(L570),N570-L570,IF(OR(G570="DECISÃO D.P",ISNUMBER(M570)),"",N570-TODAY())))</f>
        <v/>
      </c>
      <c r="P570" s="116" t="str">
        <f>IF(B570="","",IF(ISNUMBER(M570),"DECIDIDO – ","")&amp;IF(ISNUMBER(L570),IF(O570="","SEM DATA",IF(O570&gt;=0,"DEFESA NO PRAZO","DEFESA FORA DO PRAZO")),IF(OR(G570="DECISÃO D.P",ISNUMBER(M570)),"SEM DEFESA",IF(G570="","SEM STATUS",IF(O570="","SEM DATA",IF(O570&lt;0,"VENCIDO",IF(O570&lt;=DiasAlerta,"VENCE EM BREVE","NO PRAZO")))))))</f>
        <v/>
      </c>
      <c r="Q570" s="117" t="str">
        <f>IF(D570="","",TODAY()-D570)</f>
        <v/>
      </c>
      <c r="R570" s="110" t="n"/>
    </row>
    <row r="571" ht="18" customHeight="1">
      <c r="A571" s="109" t="n"/>
      <c r="B571" s="110" t="n"/>
      <c r="C571" s="110" t="n"/>
      <c r="D571" s="111" t="n"/>
      <c r="E571" s="110" t="n"/>
      <c r="F571" s="112" t="n"/>
      <c r="G571" s="112" t="n"/>
      <c r="H571" s="110" t="n"/>
      <c r="I571" s="113" t="n"/>
      <c r="J571" s="113" t="n"/>
      <c r="K571" s="111" t="n"/>
      <c r="L571" s="111" t="n"/>
      <c r="M571" s="111" t="n"/>
      <c r="N571" s="114" t="str">
        <f>IF(OR(D571="",E571=""),"",D571+IF(E571="NOTIFICAÇÃO DE CONSTATAÇÃO",PrazoConst,PrazoEsc))</f>
        <v/>
      </c>
      <c r="O571" s="115" t="str">
        <f>IF(N571="","",IF(ISNUMBER(L571),N571-L571,IF(OR(G571="DECISÃO D.P",ISNUMBER(M571)),"",N571-TODAY())))</f>
        <v/>
      </c>
      <c r="P571" s="116" t="str">
        <f>IF(B571="","",IF(ISNUMBER(M571),"DECIDIDO – ","")&amp;IF(ISNUMBER(L571),IF(O571="","SEM DATA",IF(O571&gt;=0,"DEFESA NO PRAZO","DEFESA FORA DO PRAZO")),IF(OR(G571="DECISÃO D.P",ISNUMBER(M571)),"SEM DEFESA",IF(G571="","SEM STATUS",IF(O571="","SEM DATA",IF(O571&lt;0,"VENCIDO",IF(O571&lt;=DiasAlerta,"VENCE EM BREVE","NO PRAZO")))))))</f>
        <v/>
      </c>
      <c r="Q571" s="117" t="str">
        <f>IF(D571="","",TODAY()-D571)</f>
        <v/>
      </c>
      <c r="R571" s="110" t="n"/>
    </row>
    <row r="572" ht="18" customHeight="1">
      <c r="A572" s="109" t="n"/>
      <c r="B572" s="110" t="n"/>
      <c r="C572" s="110" t="n"/>
      <c r="D572" s="111" t="n"/>
      <c r="E572" s="110" t="n"/>
      <c r="F572" s="112" t="n"/>
      <c r="G572" s="112" t="n"/>
      <c r="H572" s="110" t="n"/>
      <c r="I572" s="113" t="n"/>
      <c r="J572" s="113" t="n"/>
      <c r="K572" s="111" t="n"/>
      <c r="L572" s="111" t="n"/>
      <c r="M572" s="111" t="n"/>
      <c r="N572" s="114" t="str">
        <f>IF(OR(D572="",E572=""),"",D572+IF(E572="NOTIFICAÇÃO DE CONSTATAÇÃO",PrazoConst,PrazoEsc))</f>
        <v/>
      </c>
      <c r="O572" s="115" t="str">
        <f>IF(N572="","",IF(ISNUMBER(L572),N572-L572,IF(OR(G572="DECISÃO D.P",ISNUMBER(M572)),"",N572-TODAY())))</f>
        <v/>
      </c>
      <c r="P572" s="116" t="str">
        <f>IF(B572="","",IF(ISNUMBER(M572),"DECIDIDO – ","")&amp;IF(ISNUMBER(L572),IF(O572="","SEM DATA",IF(O572&gt;=0,"DEFESA NO PRAZO","DEFESA FORA DO PRAZO")),IF(OR(G572="DECISÃO D.P",ISNUMBER(M572)),"SEM DEFESA",IF(G572="","SEM STATUS",IF(O572="","SEM DATA",IF(O572&lt;0,"VENCIDO",IF(O572&lt;=DiasAlerta,"VENCE EM BREVE","NO PRAZO")))))))</f>
        <v/>
      </c>
      <c r="Q572" s="117" t="str">
        <f>IF(D572="","",TODAY()-D572)</f>
        <v/>
      </c>
      <c r="R572" s="110" t="n"/>
    </row>
    <row r="573" ht="18" customHeight="1">
      <c r="A573" s="109" t="n"/>
      <c r="B573" s="110" t="n"/>
      <c r="C573" s="110" t="n"/>
      <c r="D573" s="111" t="n"/>
      <c r="E573" s="110" t="n"/>
      <c r="F573" s="112" t="n"/>
      <c r="G573" s="112" t="n"/>
      <c r="H573" s="110" t="n"/>
      <c r="I573" s="113" t="n"/>
      <c r="J573" s="113" t="n"/>
      <c r="K573" s="111" t="n"/>
      <c r="L573" s="111" t="n"/>
      <c r="M573" s="111" t="n"/>
      <c r="N573" s="114" t="str">
        <f>IF(OR(D573="",E573=""),"",D573+IF(E573="NOTIFICAÇÃO DE CONSTATAÇÃO",PrazoConst,PrazoEsc))</f>
        <v/>
      </c>
      <c r="O573" s="115" t="str">
        <f>IF(N573="","",IF(ISNUMBER(L573),N573-L573,IF(OR(G573="DECISÃO D.P",ISNUMBER(M573)),"",N573-TODAY())))</f>
        <v/>
      </c>
      <c r="P573" s="116" t="str">
        <f>IF(B573="","",IF(ISNUMBER(M573),"DECIDIDO – ","")&amp;IF(ISNUMBER(L573),IF(O573="","SEM DATA",IF(O573&gt;=0,"DEFESA NO PRAZO","DEFESA FORA DO PRAZO")),IF(OR(G573="DECISÃO D.P",ISNUMBER(M573)),"SEM DEFESA",IF(G573="","SEM STATUS",IF(O573="","SEM DATA",IF(O573&lt;0,"VENCIDO",IF(O573&lt;=DiasAlerta,"VENCE EM BREVE","NO PRAZO")))))))</f>
        <v/>
      </c>
      <c r="Q573" s="117" t="str">
        <f>IF(D573="","",TODAY()-D573)</f>
        <v/>
      </c>
      <c r="R573" s="110" t="n"/>
    </row>
    <row r="574" ht="18" customHeight="1">
      <c r="A574" s="109" t="n"/>
      <c r="B574" s="110" t="n"/>
      <c r="C574" s="110" t="n"/>
      <c r="D574" s="111" t="n"/>
      <c r="E574" s="110" t="n"/>
      <c r="F574" s="112" t="n"/>
      <c r="G574" s="112" t="n"/>
      <c r="H574" s="110" t="n"/>
      <c r="I574" s="113" t="n"/>
      <c r="J574" s="113" t="n"/>
      <c r="K574" s="111" t="n"/>
      <c r="L574" s="111" t="n"/>
      <c r="M574" s="111" t="n"/>
      <c r="N574" s="114" t="str">
        <f>IF(OR(D574="",E574=""),"",D574+IF(E574="NOTIFICAÇÃO DE CONSTATAÇÃO",PrazoConst,PrazoEsc))</f>
        <v/>
      </c>
      <c r="O574" s="115" t="str">
        <f>IF(N574="","",IF(ISNUMBER(L574),N574-L574,IF(OR(G574="DECISÃO D.P",ISNUMBER(M574)),"",N574-TODAY())))</f>
        <v/>
      </c>
      <c r="P574" s="116" t="str">
        <f>IF(B574="","",IF(ISNUMBER(M574),"DECIDIDO – ","")&amp;IF(ISNUMBER(L574),IF(O574="","SEM DATA",IF(O574&gt;=0,"DEFESA NO PRAZO","DEFESA FORA DO PRAZO")),IF(OR(G574="DECISÃO D.P",ISNUMBER(M574)),"SEM DEFESA",IF(G574="","SEM STATUS",IF(O574="","SEM DATA",IF(O574&lt;0,"VENCIDO",IF(O574&lt;=DiasAlerta,"VENCE EM BREVE","NO PRAZO")))))))</f>
        <v/>
      </c>
      <c r="Q574" s="117" t="str">
        <f>IF(D574="","",TODAY()-D574)</f>
        <v/>
      </c>
      <c r="R574" s="110" t="n"/>
    </row>
    <row r="575" ht="18" customHeight="1">
      <c r="A575" s="109" t="n"/>
      <c r="B575" s="110" t="n"/>
      <c r="C575" s="110" t="n"/>
      <c r="D575" s="111" t="n"/>
      <c r="E575" s="110" t="n"/>
      <c r="F575" s="112" t="n"/>
      <c r="G575" s="112" t="n"/>
      <c r="H575" s="110" t="n"/>
      <c r="I575" s="113" t="n"/>
      <c r="J575" s="113" t="n"/>
      <c r="K575" s="111" t="n"/>
      <c r="L575" s="111" t="n"/>
      <c r="M575" s="111" t="n"/>
      <c r="N575" s="114" t="str">
        <f>IF(OR(D575="",E575=""),"",D575+IF(E575="NOTIFICAÇÃO DE CONSTATAÇÃO",PrazoConst,PrazoEsc))</f>
        <v/>
      </c>
      <c r="O575" s="115" t="str">
        <f>IF(N575="","",IF(ISNUMBER(L575),N575-L575,IF(OR(G575="DECISÃO D.P",ISNUMBER(M575)),"",N575-TODAY())))</f>
        <v/>
      </c>
      <c r="P575" s="116" t="str">
        <f>IF(B575="","",IF(ISNUMBER(M575),"DECIDIDO – ","")&amp;IF(ISNUMBER(L575),IF(O575="","SEM DATA",IF(O575&gt;=0,"DEFESA NO PRAZO","DEFESA FORA DO PRAZO")),IF(OR(G575="DECISÃO D.P",ISNUMBER(M575)),"SEM DEFESA",IF(G575="","SEM STATUS",IF(O575="","SEM DATA",IF(O575&lt;0,"VENCIDO",IF(O575&lt;=DiasAlerta,"VENCE EM BREVE","NO PRAZO")))))))</f>
        <v/>
      </c>
      <c r="Q575" s="117" t="str">
        <f>IF(D575="","",TODAY()-D575)</f>
        <v/>
      </c>
      <c r="R575" s="110" t="n"/>
    </row>
    <row r="576" ht="18" customHeight="1">
      <c r="A576" s="109" t="n"/>
      <c r="B576" s="110" t="n"/>
      <c r="C576" s="110" t="n"/>
      <c r="D576" s="111" t="n"/>
      <c r="E576" s="110" t="n"/>
      <c r="F576" s="112" t="n"/>
      <c r="G576" s="112" t="n"/>
      <c r="H576" s="110" t="n"/>
      <c r="I576" s="113" t="n"/>
      <c r="J576" s="113" t="n"/>
      <c r="K576" s="111" t="n"/>
      <c r="L576" s="111" t="n"/>
      <c r="M576" s="111" t="n"/>
      <c r="N576" s="114" t="str">
        <f>IF(OR(D576="",E576=""),"",D576+IF(E576="NOTIFICAÇÃO DE CONSTATAÇÃO",PrazoConst,PrazoEsc))</f>
        <v/>
      </c>
      <c r="O576" s="115" t="str">
        <f>IF(N576="","",IF(ISNUMBER(L576),N576-L576,IF(OR(G576="DECISÃO D.P",ISNUMBER(M576)),"",N576-TODAY())))</f>
        <v/>
      </c>
      <c r="P576" s="116" t="str">
        <f>IF(B576="","",IF(ISNUMBER(M576),"DECIDIDO – ","")&amp;IF(ISNUMBER(L576),IF(O576="","SEM DATA",IF(O576&gt;=0,"DEFESA NO PRAZO","DEFESA FORA DO PRAZO")),IF(OR(G576="DECISÃO D.P",ISNUMBER(M576)),"SEM DEFESA",IF(G576="","SEM STATUS",IF(O576="","SEM DATA",IF(O576&lt;0,"VENCIDO",IF(O576&lt;=DiasAlerta,"VENCE EM BREVE","NO PRAZO")))))))</f>
        <v/>
      </c>
      <c r="Q576" s="117" t="str">
        <f>IF(D576="","",TODAY()-D576)</f>
        <v/>
      </c>
      <c r="R576" s="110" t="n"/>
    </row>
    <row r="577" ht="18" customHeight="1">
      <c r="A577" s="109" t="n"/>
      <c r="B577" s="110" t="n"/>
      <c r="C577" s="110" t="n"/>
      <c r="D577" s="111" t="n"/>
      <c r="E577" s="110" t="n"/>
      <c r="F577" s="112" t="n"/>
      <c r="G577" s="112" t="n"/>
      <c r="H577" s="110" t="n"/>
      <c r="I577" s="113" t="n"/>
      <c r="J577" s="113" t="n"/>
      <c r="K577" s="111" t="n"/>
      <c r="L577" s="111" t="n"/>
      <c r="M577" s="111" t="n"/>
      <c r="N577" s="114" t="str">
        <f>IF(OR(D577="",E577=""),"",D577+IF(E577="NOTIFICAÇÃO DE CONSTATAÇÃO",PrazoConst,PrazoEsc))</f>
        <v/>
      </c>
      <c r="O577" s="115" t="str">
        <f>IF(N577="","",IF(ISNUMBER(L577),N577-L577,IF(OR(G577="DECISÃO D.P",ISNUMBER(M577)),"",N577-TODAY())))</f>
        <v/>
      </c>
      <c r="P577" s="116" t="str">
        <f>IF(B577="","",IF(ISNUMBER(M577),"DECIDIDO – ","")&amp;IF(ISNUMBER(L577),IF(O577="","SEM DATA",IF(O577&gt;=0,"DEFESA NO PRAZO","DEFESA FORA DO PRAZO")),IF(OR(G577="DECISÃO D.P",ISNUMBER(M577)),"SEM DEFESA",IF(G577="","SEM STATUS",IF(O577="","SEM DATA",IF(O577&lt;0,"VENCIDO",IF(O577&lt;=DiasAlerta,"VENCE EM BREVE","NO PRAZO")))))))</f>
        <v/>
      </c>
      <c r="Q577" s="117" t="str">
        <f>IF(D577="","",TODAY()-D577)</f>
        <v/>
      </c>
      <c r="R577" s="110" t="n"/>
    </row>
    <row r="578" ht="18" customHeight="1">
      <c r="A578" s="109" t="n"/>
      <c r="B578" s="110" t="n"/>
      <c r="C578" s="110" t="n"/>
      <c r="D578" s="111" t="n"/>
      <c r="E578" s="110" t="n"/>
      <c r="F578" s="112" t="n"/>
      <c r="G578" s="112" t="n"/>
      <c r="H578" s="110" t="n"/>
      <c r="I578" s="113" t="n"/>
      <c r="J578" s="113" t="n"/>
      <c r="K578" s="111" t="n"/>
      <c r="L578" s="111" t="n"/>
      <c r="M578" s="111" t="n"/>
      <c r="N578" s="114" t="str">
        <f>IF(OR(D578="",E578=""),"",D578+IF(E578="NOTIFICAÇÃO DE CONSTATAÇÃO",PrazoConst,PrazoEsc))</f>
        <v/>
      </c>
      <c r="O578" s="115" t="str">
        <f>IF(N578="","",IF(ISNUMBER(L578),N578-L578,IF(OR(G578="DECISÃO D.P",ISNUMBER(M578)),"",N578-TODAY())))</f>
        <v/>
      </c>
      <c r="P578" s="116" t="str">
        <f>IF(B578="","",IF(ISNUMBER(M578),"DECIDIDO – ","")&amp;IF(ISNUMBER(L578),IF(O578="","SEM DATA",IF(O578&gt;=0,"DEFESA NO PRAZO","DEFESA FORA DO PRAZO")),IF(OR(G578="DECISÃO D.P",ISNUMBER(M578)),"SEM DEFESA",IF(G578="","SEM STATUS",IF(O578="","SEM DATA",IF(O578&lt;0,"VENCIDO",IF(O578&lt;=DiasAlerta,"VENCE EM BREVE","NO PRAZO")))))))</f>
        <v/>
      </c>
      <c r="Q578" s="117" t="str">
        <f>IF(D578="","",TODAY()-D578)</f>
        <v/>
      </c>
      <c r="R578" s="110" t="n"/>
    </row>
    <row r="579" ht="18" customHeight="1">
      <c r="A579" s="109" t="n"/>
      <c r="B579" s="110" t="n"/>
      <c r="C579" s="110" t="n"/>
      <c r="D579" s="111" t="n"/>
      <c r="E579" s="110" t="n"/>
      <c r="F579" s="112" t="n"/>
      <c r="G579" s="112" t="n"/>
      <c r="H579" s="110" t="n"/>
      <c r="I579" s="113" t="n"/>
      <c r="J579" s="113" t="n"/>
      <c r="K579" s="111" t="n"/>
      <c r="L579" s="111" t="n"/>
      <c r="M579" s="111" t="n"/>
      <c r="N579" s="114" t="str">
        <f>IF(OR(D579="",E579=""),"",D579+IF(E579="NOTIFICAÇÃO DE CONSTATAÇÃO",PrazoConst,PrazoEsc))</f>
        <v/>
      </c>
      <c r="O579" s="115" t="str">
        <f>IF(N579="","",IF(ISNUMBER(L579),N579-L579,IF(OR(G579="DECISÃO D.P",ISNUMBER(M579)),"",N579-TODAY())))</f>
        <v/>
      </c>
      <c r="P579" s="116" t="str">
        <f>IF(B579="","",IF(ISNUMBER(M579),"DECIDIDO – ","")&amp;IF(ISNUMBER(L579),IF(O579="","SEM DATA",IF(O579&gt;=0,"DEFESA NO PRAZO","DEFESA FORA DO PRAZO")),IF(OR(G579="DECISÃO D.P",ISNUMBER(M579)),"SEM DEFESA",IF(G579="","SEM STATUS",IF(O579="","SEM DATA",IF(O579&lt;0,"VENCIDO",IF(O579&lt;=DiasAlerta,"VENCE EM BREVE","NO PRAZO")))))))</f>
        <v/>
      </c>
      <c r="Q579" s="117" t="str">
        <f>IF(D579="","",TODAY()-D579)</f>
        <v/>
      </c>
      <c r="R579" s="110" t="n"/>
    </row>
    <row r="580" ht="18" customHeight="1">
      <c r="A580" s="109" t="n"/>
      <c r="B580" s="110" t="n"/>
      <c r="C580" s="110" t="n"/>
      <c r="D580" s="111" t="n"/>
      <c r="E580" s="110" t="n"/>
      <c r="F580" s="112" t="n"/>
      <c r="G580" s="112" t="n"/>
      <c r="H580" s="110" t="n"/>
      <c r="I580" s="113" t="n"/>
      <c r="J580" s="113" t="n"/>
      <c r="K580" s="111" t="n"/>
      <c r="L580" s="111" t="n"/>
      <c r="M580" s="111" t="n"/>
      <c r="N580" s="114" t="str">
        <f>IF(OR(D580="",E580=""),"",D580+IF(E580="NOTIFICAÇÃO DE CONSTATAÇÃO",PrazoConst,PrazoEsc))</f>
        <v/>
      </c>
      <c r="O580" s="115" t="str">
        <f>IF(N580="","",IF(ISNUMBER(L580),N580-L580,IF(OR(G580="DECISÃO D.P",ISNUMBER(M580)),"",N580-TODAY())))</f>
        <v/>
      </c>
      <c r="P580" s="116" t="str">
        <f>IF(B580="","",IF(ISNUMBER(M580),"DECIDIDO – ","")&amp;IF(ISNUMBER(L580),IF(O580="","SEM DATA",IF(O580&gt;=0,"DEFESA NO PRAZO","DEFESA FORA DO PRAZO")),IF(OR(G580="DECISÃO D.P",ISNUMBER(M580)),"SEM DEFESA",IF(G580="","SEM STATUS",IF(O580="","SEM DATA",IF(O580&lt;0,"VENCIDO",IF(O580&lt;=DiasAlerta,"VENCE EM BREVE","NO PRAZO")))))))</f>
        <v/>
      </c>
      <c r="Q580" s="117" t="str">
        <f>IF(D580="","",TODAY()-D580)</f>
        <v/>
      </c>
      <c r="R580" s="110" t="n"/>
    </row>
    <row r="581" ht="18" customHeight="1">
      <c r="A581" s="109" t="n"/>
      <c r="B581" s="110" t="n"/>
      <c r="C581" s="110" t="n"/>
      <c r="D581" s="111" t="n"/>
      <c r="E581" s="110" t="n"/>
      <c r="F581" s="112" t="n"/>
      <c r="G581" s="112" t="n"/>
      <c r="H581" s="110" t="n"/>
      <c r="I581" s="113" t="n"/>
      <c r="J581" s="113" t="n"/>
      <c r="K581" s="111" t="n"/>
      <c r="L581" s="111" t="n"/>
      <c r="M581" s="111" t="n"/>
      <c r="N581" s="114" t="str">
        <f>IF(OR(D581="",E581=""),"",D581+IF(E581="NOTIFICAÇÃO DE CONSTATAÇÃO",PrazoConst,PrazoEsc))</f>
        <v/>
      </c>
      <c r="O581" s="115" t="str">
        <f>IF(N581="","",IF(ISNUMBER(L581),N581-L581,IF(OR(G581="DECISÃO D.P",ISNUMBER(M581)),"",N581-TODAY())))</f>
        <v/>
      </c>
      <c r="P581" s="116" t="str">
        <f>IF(B581="","",IF(ISNUMBER(M581),"DECIDIDO – ","")&amp;IF(ISNUMBER(L581),IF(O581="","SEM DATA",IF(O581&gt;=0,"DEFESA NO PRAZO","DEFESA FORA DO PRAZO")),IF(OR(G581="DECISÃO D.P",ISNUMBER(M581)),"SEM DEFESA",IF(G581="","SEM STATUS",IF(O581="","SEM DATA",IF(O581&lt;0,"VENCIDO",IF(O581&lt;=DiasAlerta,"VENCE EM BREVE","NO PRAZO")))))))</f>
        <v/>
      </c>
      <c r="Q581" s="117" t="str">
        <f>IF(D581="","",TODAY()-D581)</f>
        <v/>
      </c>
      <c r="R581" s="110" t="n"/>
    </row>
    <row r="582" ht="18" customHeight="1">
      <c r="A582" s="109" t="n"/>
      <c r="B582" s="110" t="n"/>
      <c r="C582" s="110" t="n"/>
      <c r="D582" s="111" t="n"/>
      <c r="E582" s="110" t="n"/>
      <c r="F582" s="112" t="n"/>
      <c r="G582" s="112" t="n"/>
      <c r="H582" s="110" t="n"/>
      <c r="I582" s="113" t="n"/>
      <c r="J582" s="113" t="n"/>
      <c r="K582" s="111" t="n"/>
      <c r="L582" s="111" t="n"/>
      <c r="M582" s="111" t="n"/>
      <c r="N582" s="114" t="str">
        <f>IF(OR(D582="",E582=""),"",D582+IF(E582="NOTIFICAÇÃO DE CONSTATAÇÃO",PrazoConst,PrazoEsc))</f>
        <v/>
      </c>
      <c r="O582" s="115" t="str">
        <f>IF(N582="","",IF(ISNUMBER(L582),N582-L582,IF(OR(G582="DECISÃO D.P",ISNUMBER(M582)),"",N582-TODAY())))</f>
        <v/>
      </c>
      <c r="P582" s="116" t="str">
        <f>IF(B582="","",IF(ISNUMBER(M582),"DECIDIDO – ","")&amp;IF(ISNUMBER(L582),IF(O582="","SEM DATA",IF(O582&gt;=0,"DEFESA NO PRAZO","DEFESA FORA DO PRAZO")),IF(OR(G582="DECISÃO D.P",ISNUMBER(M582)),"SEM DEFESA",IF(G582="","SEM STATUS",IF(O582="","SEM DATA",IF(O582&lt;0,"VENCIDO",IF(O582&lt;=DiasAlerta,"VENCE EM BREVE","NO PRAZO")))))))</f>
        <v/>
      </c>
      <c r="Q582" s="117" t="str">
        <f>IF(D582="","",TODAY()-D582)</f>
        <v/>
      </c>
      <c r="R582" s="110" t="n"/>
    </row>
    <row r="583" ht="18" customHeight="1">
      <c r="A583" s="109" t="n"/>
      <c r="B583" s="110" t="n"/>
      <c r="C583" s="110" t="n"/>
      <c r="D583" s="111" t="n"/>
      <c r="E583" s="110" t="n"/>
      <c r="F583" s="112" t="n"/>
      <c r="G583" s="112" t="n"/>
      <c r="H583" s="110" t="n"/>
      <c r="I583" s="113" t="n"/>
      <c r="J583" s="113" t="n"/>
      <c r="K583" s="111" t="n"/>
      <c r="L583" s="111" t="n"/>
      <c r="M583" s="111" t="n"/>
      <c r="N583" s="114" t="str">
        <f>IF(OR(D583="",E583=""),"",D583+IF(E583="NOTIFICAÇÃO DE CONSTATAÇÃO",PrazoConst,PrazoEsc))</f>
        <v/>
      </c>
      <c r="O583" s="115" t="str">
        <f>IF(N583="","",IF(ISNUMBER(L583),N583-L583,IF(OR(G583="DECISÃO D.P",ISNUMBER(M583)),"",N583-TODAY())))</f>
        <v/>
      </c>
      <c r="P583" s="116" t="str">
        <f>IF(B583="","",IF(ISNUMBER(M583),"DECIDIDO – ","")&amp;IF(ISNUMBER(L583),IF(O583="","SEM DATA",IF(O583&gt;=0,"DEFESA NO PRAZO","DEFESA FORA DO PRAZO")),IF(OR(G583="DECISÃO D.P",ISNUMBER(M583)),"SEM DEFESA",IF(G583="","SEM STATUS",IF(O583="","SEM DATA",IF(O583&lt;0,"VENCIDO",IF(O583&lt;=DiasAlerta,"VENCE EM BREVE","NO PRAZO")))))))</f>
        <v/>
      </c>
      <c r="Q583" s="117" t="str">
        <f>IF(D583="","",TODAY()-D583)</f>
        <v/>
      </c>
      <c r="R583" s="110" t="n"/>
    </row>
    <row r="584" ht="18" customHeight="1">
      <c r="A584" s="109" t="n"/>
      <c r="B584" s="110" t="n"/>
      <c r="C584" s="110" t="n"/>
      <c r="D584" s="111" t="n"/>
      <c r="E584" s="110" t="n"/>
      <c r="F584" s="112" t="n"/>
      <c r="G584" s="112" t="n"/>
      <c r="H584" s="110" t="n"/>
      <c r="I584" s="113" t="n"/>
      <c r="J584" s="113" t="n"/>
      <c r="K584" s="111" t="n"/>
      <c r="L584" s="111" t="n"/>
      <c r="M584" s="111" t="n"/>
      <c r="N584" s="114" t="str">
        <f>IF(OR(D584="",E584=""),"",D584+IF(E584="NOTIFICAÇÃO DE CONSTATAÇÃO",PrazoConst,PrazoEsc))</f>
        <v/>
      </c>
      <c r="O584" s="115" t="str">
        <f>IF(N584="","",IF(ISNUMBER(L584),N584-L584,IF(OR(G584="DECISÃO D.P",ISNUMBER(M584)),"",N584-TODAY())))</f>
        <v/>
      </c>
      <c r="P584" s="116" t="str">
        <f>IF(B584="","",IF(ISNUMBER(M584),"DECIDIDO – ","")&amp;IF(ISNUMBER(L584),IF(O584="","SEM DATA",IF(O584&gt;=0,"DEFESA NO PRAZO","DEFESA FORA DO PRAZO")),IF(OR(G584="DECISÃO D.P",ISNUMBER(M584)),"SEM DEFESA",IF(G584="","SEM STATUS",IF(O584="","SEM DATA",IF(O584&lt;0,"VENCIDO",IF(O584&lt;=DiasAlerta,"VENCE EM BREVE","NO PRAZO")))))))</f>
        <v/>
      </c>
      <c r="Q584" s="117" t="str">
        <f>IF(D584="","",TODAY()-D584)</f>
        <v/>
      </c>
      <c r="R584" s="110" t="n"/>
    </row>
    <row r="585" ht="18" customHeight="1">
      <c r="A585" s="109" t="n"/>
      <c r="B585" s="110" t="n"/>
      <c r="C585" s="110" t="n"/>
      <c r="D585" s="111" t="n"/>
      <c r="E585" s="110" t="n"/>
      <c r="F585" s="112" t="n"/>
      <c r="G585" s="112" t="n"/>
      <c r="H585" s="110" t="n"/>
      <c r="I585" s="113" t="n"/>
      <c r="J585" s="113" t="n"/>
      <c r="K585" s="111" t="n"/>
      <c r="L585" s="111" t="n"/>
      <c r="M585" s="111" t="n"/>
      <c r="N585" s="114" t="str">
        <f>IF(OR(D585="",E585=""),"",D585+IF(E585="NOTIFICAÇÃO DE CONSTATAÇÃO",PrazoConst,PrazoEsc))</f>
        <v/>
      </c>
      <c r="O585" s="115" t="str">
        <f>IF(N585="","",IF(ISNUMBER(L585),N585-L585,IF(OR(G585="DECISÃO D.P",ISNUMBER(M585)),"",N585-TODAY())))</f>
        <v/>
      </c>
      <c r="P585" s="116" t="str">
        <f>IF(B585="","",IF(ISNUMBER(M585),"DECIDIDO – ","")&amp;IF(ISNUMBER(L585),IF(O585="","SEM DATA",IF(O585&gt;=0,"DEFESA NO PRAZO","DEFESA FORA DO PRAZO")),IF(OR(G585="DECISÃO D.P",ISNUMBER(M585)),"SEM DEFESA",IF(G585="","SEM STATUS",IF(O585="","SEM DATA",IF(O585&lt;0,"VENCIDO",IF(O585&lt;=DiasAlerta,"VENCE EM BREVE","NO PRAZO")))))))</f>
        <v/>
      </c>
      <c r="Q585" s="117" t="str">
        <f>IF(D585="","",TODAY()-D585)</f>
        <v/>
      </c>
      <c r="R585" s="110" t="n"/>
    </row>
    <row r="586" ht="18" customHeight="1">
      <c r="A586" s="109" t="n"/>
      <c r="B586" s="110" t="n"/>
      <c r="C586" s="110" t="n"/>
      <c r="D586" s="111" t="n"/>
      <c r="E586" s="110" t="n"/>
      <c r="F586" s="112" t="n"/>
      <c r="G586" s="112" t="n"/>
      <c r="H586" s="110" t="n"/>
      <c r="I586" s="113" t="n"/>
      <c r="J586" s="113" t="n"/>
      <c r="K586" s="111" t="n"/>
      <c r="L586" s="111" t="n"/>
      <c r="M586" s="111" t="n"/>
      <c r="N586" s="114" t="str">
        <f>IF(OR(D586="",E586=""),"",D586+IF(E586="NOTIFICAÇÃO DE CONSTATAÇÃO",PrazoConst,PrazoEsc))</f>
        <v/>
      </c>
      <c r="O586" s="115" t="str">
        <f>IF(N586="","",IF(ISNUMBER(L586),N586-L586,IF(OR(G586="DECISÃO D.P",ISNUMBER(M586)),"",N586-TODAY())))</f>
        <v/>
      </c>
      <c r="P586" s="116" t="str">
        <f>IF(B586="","",IF(ISNUMBER(M586),"DECIDIDO – ","")&amp;IF(ISNUMBER(L586),IF(O586="","SEM DATA",IF(O586&gt;=0,"DEFESA NO PRAZO","DEFESA FORA DO PRAZO")),IF(OR(G586="DECISÃO D.P",ISNUMBER(M586)),"SEM DEFESA",IF(G586="","SEM STATUS",IF(O586="","SEM DATA",IF(O586&lt;0,"VENCIDO",IF(O586&lt;=DiasAlerta,"VENCE EM BREVE","NO PRAZO")))))))</f>
        <v/>
      </c>
      <c r="Q586" s="117" t="str">
        <f>IF(D586="","",TODAY()-D586)</f>
        <v/>
      </c>
      <c r="R586" s="110" t="n"/>
    </row>
    <row r="587" ht="18" customHeight="1">
      <c r="A587" s="109" t="n"/>
      <c r="B587" s="110" t="n"/>
      <c r="C587" s="110" t="n"/>
      <c r="D587" s="111" t="n"/>
      <c r="E587" s="110" t="n"/>
      <c r="F587" s="112" t="n"/>
      <c r="G587" s="112" t="n"/>
      <c r="H587" s="110" t="n"/>
      <c r="I587" s="113" t="n"/>
      <c r="J587" s="113" t="n"/>
      <c r="K587" s="111" t="n"/>
      <c r="L587" s="111" t="n"/>
      <c r="M587" s="111" t="n"/>
      <c r="N587" s="114" t="str">
        <f>IF(OR(D587="",E587=""),"",D587+IF(E587="NOTIFICAÇÃO DE CONSTATAÇÃO",PrazoConst,PrazoEsc))</f>
        <v/>
      </c>
      <c r="O587" s="115" t="str">
        <f>IF(N587="","",IF(ISNUMBER(L587),N587-L587,IF(OR(G587="DECISÃO D.P",ISNUMBER(M587)),"",N587-TODAY())))</f>
        <v/>
      </c>
      <c r="P587" s="116" t="str">
        <f>IF(B587="","",IF(ISNUMBER(M587),"DECIDIDO – ","")&amp;IF(ISNUMBER(L587),IF(O587="","SEM DATA",IF(O587&gt;=0,"DEFESA NO PRAZO","DEFESA FORA DO PRAZO")),IF(OR(G587="DECISÃO D.P",ISNUMBER(M587)),"SEM DEFESA",IF(G587="","SEM STATUS",IF(O587="","SEM DATA",IF(O587&lt;0,"VENCIDO",IF(O587&lt;=DiasAlerta,"VENCE EM BREVE","NO PRAZO")))))))</f>
        <v/>
      </c>
      <c r="Q587" s="117" t="str">
        <f>IF(D587="","",TODAY()-D587)</f>
        <v/>
      </c>
      <c r="R587" s="110" t="n"/>
    </row>
    <row r="588" ht="18" customHeight="1">
      <c r="A588" s="109" t="n"/>
      <c r="B588" s="110" t="n"/>
      <c r="C588" s="110" t="n"/>
      <c r="D588" s="111" t="n"/>
      <c r="E588" s="110" t="n"/>
      <c r="F588" s="112" t="n"/>
      <c r="G588" s="112" t="n"/>
      <c r="H588" s="110" t="n"/>
      <c r="I588" s="113" t="n"/>
      <c r="J588" s="113" t="n"/>
      <c r="K588" s="111" t="n"/>
      <c r="L588" s="111" t="n"/>
      <c r="M588" s="111" t="n"/>
      <c r="N588" s="114" t="str">
        <f>IF(OR(D588="",E588=""),"",D588+IF(E588="NOTIFICAÇÃO DE CONSTATAÇÃO",PrazoConst,PrazoEsc))</f>
        <v/>
      </c>
      <c r="O588" s="115" t="str">
        <f>IF(N588="","",IF(ISNUMBER(L588),N588-L588,IF(OR(G588="DECISÃO D.P",ISNUMBER(M588)),"",N588-TODAY())))</f>
        <v/>
      </c>
      <c r="P588" s="116" t="str">
        <f>IF(B588="","",IF(ISNUMBER(M588),"DECIDIDO – ","")&amp;IF(ISNUMBER(L588),IF(O588="","SEM DATA",IF(O588&gt;=0,"DEFESA NO PRAZO","DEFESA FORA DO PRAZO")),IF(OR(G588="DECISÃO D.P",ISNUMBER(M588)),"SEM DEFESA",IF(G588="","SEM STATUS",IF(O588="","SEM DATA",IF(O588&lt;0,"VENCIDO",IF(O588&lt;=DiasAlerta,"VENCE EM BREVE","NO PRAZO")))))))</f>
        <v/>
      </c>
      <c r="Q588" s="117" t="str">
        <f>IF(D588="","",TODAY()-D588)</f>
        <v/>
      </c>
      <c r="R588" s="110" t="n"/>
    </row>
    <row r="589" ht="18" customHeight="1">
      <c r="A589" s="109" t="n"/>
      <c r="B589" s="110" t="n"/>
      <c r="C589" s="110" t="n"/>
      <c r="D589" s="111" t="n"/>
      <c r="E589" s="110" t="n"/>
      <c r="F589" s="112" t="n"/>
      <c r="G589" s="112" t="n"/>
      <c r="H589" s="110" t="n"/>
      <c r="I589" s="113" t="n"/>
      <c r="J589" s="113" t="n"/>
      <c r="K589" s="111" t="n"/>
      <c r="L589" s="111" t="n"/>
      <c r="M589" s="111" t="n"/>
      <c r="N589" s="114" t="str">
        <f>IF(OR(D589="",E589=""),"",D589+IF(E589="NOTIFICAÇÃO DE CONSTATAÇÃO",PrazoConst,PrazoEsc))</f>
        <v/>
      </c>
      <c r="O589" s="115" t="str">
        <f>IF(N589="","",IF(ISNUMBER(L589),N589-L589,IF(OR(G589="DECISÃO D.P",ISNUMBER(M589)),"",N589-TODAY())))</f>
        <v/>
      </c>
      <c r="P589" s="116" t="str">
        <f>IF(B589="","",IF(ISNUMBER(M589),"DECIDIDO – ","")&amp;IF(ISNUMBER(L589),IF(O589="","SEM DATA",IF(O589&gt;=0,"DEFESA NO PRAZO","DEFESA FORA DO PRAZO")),IF(OR(G589="DECISÃO D.P",ISNUMBER(M589)),"SEM DEFESA",IF(G589="","SEM STATUS",IF(O589="","SEM DATA",IF(O589&lt;0,"VENCIDO",IF(O589&lt;=DiasAlerta,"VENCE EM BREVE","NO PRAZO")))))))</f>
        <v/>
      </c>
      <c r="Q589" s="117" t="str">
        <f>IF(D589="","",TODAY()-D589)</f>
        <v/>
      </c>
      <c r="R589" s="110" t="n"/>
    </row>
    <row r="590" ht="18" customHeight="1">
      <c r="A590" s="109" t="n"/>
      <c r="B590" s="110" t="n"/>
      <c r="C590" s="110" t="n"/>
      <c r="D590" s="111" t="n"/>
      <c r="E590" s="110" t="n"/>
      <c r="F590" s="112" t="n"/>
      <c r="G590" s="112" t="n"/>
      <c r="H590" s="110" t="n"/>
      <c r="I590" s="113" t="n"/>
      <c r="J590" s="113" t="n"/>
      <c r="K590" s="111" t="n"/>
      <c r="L590" s="111" t="n"/>
      <c r="M590" s="111" t="n"/>
      <c r="N590" s="114" t="str">
        <f>IF(OR(D590="",E590=""),"",D590+IF(E590="NOTIFICAÇÃO DE CONSTATAÇÃO",PrazoConst,PrazoEsc))</f>
        <v/>
      </c>
      <c r="O590" s="115" t="str">
        <f>IF(N590="","",IF(ISNUMBER(L590),N590-L590,IF(OR(G590="DECISÃO D.P",ISNUMBER(M590)),"",N590-TODAY())))</f>
        <v/>
      </c>
      <c r="P590" s="116" t="str">
        <f>IF(B590="","",IF(ISNUMBER(M590),"DECIDIDO – ","")&amp;IF(ISNUMBER(L590),IF(O590="","SEM DATA",IF(O590&gt;=0,"DEFESA NO PRAZO","DEFESA FORA DO PRAZO")),IF(OR(G590="DECISÃO D.P",ISNUMBER(M590)),"SEM DEFESA",IF(G590="","SEM STATUS",IF(O590="","SEM DATA",IF(O590&lt;0,"VENCIDO",IF(O590&lt;=DiasAlerta,"VENCE EM BREVE","NO PRAZO")))))))</f>
        <v/>
      </c>
      <c r="Q590" s="117" t="str">
        <f>IF(D590="","",TODAY()-D590)</f>
        <v/>
      </c>
      <c r="R590" s="110" t="n"/>
    </row>
    <row r="591" ht="18" customHeight="1">
      <c r="A591" s="109" t="n"/>
      <c r="B591" s="110" t="n"/>
      <c r="C591" s="110" t="n"/>
      <c r="D591" s="111" t="n"/>
      <c r="E591" s="110" t="n"/>
      <c r="F591" s="112" t="n"/>
      <c r="G591" s="112" t="n"/>
      <c r="H591" s="110" t="n"/>
      <c r="I591" s="113" t="n"/>
      <c r="J591" s="113" t="n"/>
      <c r="K591" s="111" t="n"/>
      <c r="L591" s="111" t="n"/>
      <c r="M591" s="111" t="n"/>
      <c r="N591" s="114" t="str">
        <f>IF(OR(D591="",E591=""),"",D591+IF(E591="NOTIFICAÇÃO DE CONSTATAÇÃO",PrazoConst,PrazoEsc))</f>
        <v/>
      </c>
      <c r="O591" s="115" t="str">
        <f>IF(N591="","",IF(ISNUMBER(L591),N591-L591,IF(OR(G591="DECISÃO D.P",ISNUMBER(M591)),"",N591-TODAY())))</f>
        <v/>
      </c>
      <c r="P591" s="116" t="str">
        <f>IF(B591="","",IF(ISNUMBER(M591),"DECIDIDO – ","")&amp;IF(ISNUMBER(L591),IF(O591="","SEM DATA",IF(O591&gt;=0,"DEFESA NO PRAZO","DEFESA FORA DO PRAZO")),IF(OR(G591="DECISÃO D.P",ISNUMBER(M591)),"SEM DEFESA",IF(G591="","SEM STATUS",IF(O591="","SEM DATA",IF(O591&lt;0,"VENCIDO",IF(O591&lt;=DiasAlerta,"VENCE EM BREVE","NO PRAZO")))))))</f>
        <v/>
      </c>
      <c r="Q591" s="117" t="str">
        <f>IF(D591="","",TODAY()-D591)</f>
        <v/>
      </c>
      <c r="R591" s="110" t="n"/>
    </row>
    <row r="592" ht="18" customHeight="1">
      <c r="A592" s="109" t="n"/>
      <c r="B592" s="110" t="n"/>
      <c r="C592" s="110" t="n"/>
      <c r="D592" s="111" t="n"/>
      <c r="E592" s="110" t="n"/>
      <c r="F592" s="112" t="n"/>
      <c r="G592" s="112" t="n"/>
      <c r="H592" s="110" t="n"/>
      <c r="I592" s="113" t="n"/>
      <c r="J592" s="113" t="n"/>
      <c r="K592" s="111" t="n"/>
      <c r="L592" s="111" t="n"/>
      <c r="M592" s="111" t="n"/>
      <c r="N592" s="114" t="str">
        <f>IF(OR(D592="",E592=""),"",D592+IF(E592="NOTIFICAÇÃO DE CONSTATAÇÃO",PrazoConst,PrazoEsc))</f>
        <v/>
      </c>
      <c r="O592" s="115" t="str">
        <f>IF(N592="","",IF(ISNUMBER(L592),N592-L592,IF(OR(G592="DECISÃO D.P",ISNUMBER(M592)),"",N592-TODAY())))</f>
        <v/>
      </c>
      <c r="P592" s="116" t="str">
        <f>IF(B592="","",IF(ISNUMBER(M592),"DECIDIDO – ","")&amp;IF(ISNUMBER(L592),IF(O592="","SEM DATA",IF(O592&gt;=0,"DEFESA NO PRAZO","DEFESA FORA DO PRAZO")),IF(OR(G592="DECISÃO D.P",ISNUMBER(M592)),"SEM DEFESA",IF(G592="","SEM STATUS",IF(O592="","SEM DATA",IF(O592&lt;0,"VENCIDO",IF(O592&lt;=DiasAlerta,"VENCE EM BREVE","NO PRAZO")))))))</f>
        <v/>
      </c>
      <c r="Q592" s="117" t="str">
        <f>IF(D592="","",TODAY()-D592)</f>
        <v/>
      </c>
      <c r="R592" s="110" t="n"/>
    </row>
    <row r="593" ht="18" customHeight="1">
      <c r="A593" s="109" t="n"/>
      <c r="B593" s="110" t="n"/>
      <c r="C593" s="110" t="n"/>
      <c r="D593" s="111" t="n"/>
      <c r="E593" s="110" t="n"/>
      <c r="F593" s="112" t="n"/>
      <c r="G593" s="112" t="n"/>
      <c r="H593" s="110" t="n"/>
      <c r="I593" s="113" t="n"/>
      <c r="J593" s="113" t="n"/>
      <c r="K593" s="111" t="n"/>
      <c r="L593" s="111" t="n"/>
      <c r="M593" s="111" t="n"/>
      <c r="N593" s="114" t="str">
        <f>IF(OR(D593="",E593=""),"",D593+IF(E593="NOTIFICAÇÃO DE CONSTATAÇÃO",PrazoConst,PrazoEsc))</f>
        <v/>
      </c>
      <c r="O593" s="115" t="str">
        <f>IF(N593="","",IF(ISNUMBER(L593),N593-L593,IF(OR(G593="DECISÃO D.P",ISNUMBER(M593)),"",N593-TODAY())))</f>
        <v/>
      </c>
      <c r="P593" s="116" t="str">
        <f>IF(B593="","",IF(ISNUMBER(M593),"DECIDIDO – ","")&amp;IF(ISNUMBER(L593),IF(O593="","SEM DATA",IF(O593&gt;=0,"DEFESA NO PRAZO","DEFESA FORA DO PRAZO")),IF(OR(G593="DECISÃO D.P",ISNUMBER(M593)),"SEM DEFESA",IF(G593="","SEM STATUS",IF(O593="","SEM DATA",IF(O593&lt;0,"VENCIDO",IF(O593&lt;=DiasAlerta,"VENCE EM BREVE","NO PRAZO")))))))</f>
        <v/>
      </c>
      <c r="Q593" s="117" t="str">
        <f>IF(D593="","",TODAY()-D593)</f>
        <v/>
      </c>
      <c r="R593" s="110" t="n"/>
    </row>
    <row r="594" ht="18" customHeight="1">
      <c r="A594" s="109" t="n"/>
      <c r="B594" s="110" t="n"/>
      <c r="C594" s="110" t="n"/>
      <c r="D594" s="111" t="n"/>
      <c r="E594" s="110" t="n"/>
      <c r="F594" s="112" t="n"/>
      <c r="G594" s="112" t="n"/>
      <c r="H594" s="110" t="n"/>
      <c r="I594" s="113" t="n"/>
      <c r="J594" s="113" t="n"/>
      <c r="K594" s="111" t="n"/>
      <c r="L594" s="111" t="n"/>
      <c r="M594" s="111" t="n"/>
      <c r="N594" s="114" t="str">
        <f>IF(OR(D594="",E594=""),"",D594+IF(E594="NOTIFICAÇÃO DE CONSTATAÇÃO",PrazoConst,PrazoEsc))</f>
        <v/>
      </c>
      <c r="O594" s="115" t="str">
        <f>IF(N594="","",IF(ISNUMBER(L594),N594-L594,IF(OR(G594="DECISÃO D.P",ISNUMBER(M594)),"",N594-TODAY())))</f>
        <v/>
      </c>
      <c r="P594" s="116" t="str">
        <f>IF(B594="","",IF(ISNUMBER(M594),"DECIDIDO – ","")&amp;IF(ISNUMBER(L594),IF(O594="","SEM DATA",IF(O594&gt;=0,"DEFESA NO PRAZO","DEFESA FORA DO PRAZO")),IF(OR(G594="DECISÃO D.P",ISNUMBER(M594)),"SEM DEFESA",IF(G594="","SEM STATUS",IF(O594="","SEM DATA",IF(O594&lt;0,"VENCIDO",IF(O594&lt;=DiasAlerta,"VENCE EM BREVE","NO PRAZO")))))))</f>
        <v/>
      </c>
      <c r="Q594" s="117" t="str">
        <f>IF(D594="","",TODAY()-D594)</f>
        <v/>
      </c>
      <c r="R594" s="110" t="n"/>
    </row>
    <row r="595" ht="18" customHeight="1">
      <c r="A595" s="109" t="n"/>
      <c r="B595" s="110" t="n"/>
      <c r="C595" s="110" t="n"/>
      <c r="D595" s="111" t="n"/>
      <c r="E595" s="110" t="n"/>
      <c r="F595" s="112" t="n"/>
      <c r="G595" s="112" t="n"/>
      <c r="H595" s="110" t="n"/>
      <c r="I595" s="113" t="n"/>
      <c r="J595" s="113" t="n"/>
      <c r="K595" s="111" t="n"/>
      <c r="L595" s="111" t="n"/>
      <c r="M595" s="111" t="n"/>
      <c r="N595" s="114" t="str">
        <f>IF(OR(D595="",E595=""),"",D595+IF(E595="NOTIFICAÇÃO DE CONSTATAÇÃO",PrazoConst,PrazoEsc))</f>
        <v/>
      </c>
      <c r="O595" s="115" t="str">
        <f>IF(N595="","",IF(ISNUMBER(L595),N595-L595,IF(OR(G595="DECISÃO D.P",ISNUMBER(M595)),"",N595-TODAY())))</f>
        <v/>
      </c>
      <c r="P595" s="116" t="str">
        <f>IF(B595="","",IF(ISNUMBER(M595),"DECIDIDO – ","")&amp;IF(ISNUMBER(L595),IF(O595="","SEM DATA",IF(O595&gt;=0,"DEFESA NO PRAZO","DEFESA FORA DO PRAZO")),IF(OR(G595="DECISÃO D.P",ISNUMBER(M595)),"SEM DEFESA",IF(G595="","SEM STATUS",IF(O595="","SEM DATA",IF(O595&lt;0,"VENCIDO",IF(O595&lt;=DiasAlerta,"VENCE EM BREVE","NO PRAZO")))))))</f>
        <v/>
      </c>
      <c r="Q595" s="117" t="str">
        <f>IF(D595="","",TODAY()-D595)</f>
        <v/>
      </c>
      <c r="R595" s="110" t="n"/>
    </row>
    <row r="596" ht="18" customHeight="1">
      <c r="A596" s="109" t="n"/>
      <c r="B596" s="110" t="n"/>
      <c r="C596" s="110" t="n"/>
      <c r="D596" s="111" t="n"/>
      <c r="E596" s="110" t="n"/>
      <c r="F596" s="112" t="n"/>
      <c r="G596" s="112" t="n"/>
      <c r="H596" s="110" t="n"/>
      <c r="I596" s="113" t="n"/>
      <c r="J596" s="113" t="n"/>
      <c r="K596" s="111" t="n"/>
      <c r="L596" s="111" t="n"/>
      <c r="M596" s="111" t="n"/>
      <c r="N596" s="114" t="str">
        <f>IF(OR(D596="",E596=""),"",D596+IF(E596="NOTIFICAÇÃO DE CONSTATAÇÃO",PrazoConst,PrazoEsc))</f>
        <v/>
      </c>
      <c r="O596" s="115" t="str">
        <f>IF(N596="","",IF(ISNUMBER(L596),N596-L596,IF(OR(G596="DECISÃO D.P",ISNUMBER(M596)),"",N596-TODAY())))</f>
        <v/>
      </c>
      <c r="P596" s="116" t="str">
        <f>IF(B596="","",IF(ISNUMBER(M596),"DECIDIDO – ","")&amp;IF(ISNUMBER(L596),IF(O596="","SEM DATA",IF(O596&gt;=0,"DEFESA NO PRAZO","DEFESA FORA DO PRAZO")),IF(OR(G596="DECISÃO D.P",ISNUMBER(M596)),"SEM DEFESA",IF(G596="","SEM STATUS",IF(O596="","SEM DATA",IF(O596&lt;0,"VENCIDO",IF(O596&lt;=DiasAlerta,"VENCE EM BREVE","NO PRAZO")))))))</f>
        <v/>
      </c>
      <c r="Q596" s="117" t="str">
        <f>IF(D596="","",TODAY()-D596)</f>
        <v/>
      </c>
      <c r="R596" s="110" t="n"/>
    </row>
    <row r="597" ht="18" customHeight="1">
      <c r="A597" s="109" t="n"/>
      <c r="B597" s="110" t="n"/>
      <c r="C597" s="110" t="n"/>
      <c r="D597" s="111" t="n"/>
      <c r="E597" s="110" t="n"/>
      <c r="F597" s="112" t="n"/>
      <c r="G597" s="112" t="n"/>
      <c r="H597" s="110" t="n"/>
      <c r="I597" s="113" t="n"/>
      <c r="J597" s="113" t="n"/>
      <c r="K597" s="111" t="n"/>
      <c r="L597" s="111" t="n"/>
      <c r="M597" s="111" t="n"/>
      <c r="N597" s="114" t="str">
        <f>IF(OR(D597="",E597=""),"",D597+IF(E597="NOTIFICAÇÃO DE CONSTATAÇÃO",PrazoConst,PrazoEsc))</f>
        <v/>
      </c>
      <c r="O597" s="115" t="str">
        <f>IF(N597="","",IF(ISNUMBER(L597),N597-L597,IF(OR(G597="DECISÃO D.P",ISNUMBER(M597)),"",N597-TODAY())))</f>
        <v/>
      </c>
      <c r="P597" s="116" t="str">
        <f>IF(B597="","",IF(ISNUMBER(M597),"DECIDIDO – ","")&amp;IF(ISNUMBER(L597),IF(O597="","SEM DATA",IF(O597&gt;=0,"DEFESA NO PRAZO","DEFESA FORA DO PRAZO")),IF(OR(G597="DECISÃO D.P",ISNUMBER(M597)),"SEM DEFESA",IF(G597="","SEM STATUS",IF(O597="","SEM DATA",IF(O597&lt;0,"VENCIDO",IF(O597&lt;=DiasAlerta,"VENCE EM BREVE","NO PRAZO")))))))</f>
        <v/>
      </c>
      <c r="Q597" s="117" t="str">
        <f>IF(D597="","",TODAY()-D597)</f>
        <v/>
      </c>
      <c r="R597" s="110" t="n"/>
    </row>
    <row r="598" ht="18" customHeight="1">
      <c r="A598" s="109" t="n"/>
      <c r="B598" s="110" t="n"/>
      <c r="C598" s="110" t="n"/>
      <c r="D598" s="111" t="n"/>
      <c r="E598" s="110" t="n"/>
      <c r="F598" s="112" t="n"/>
      <c r="G598" s="112" t="n"/>
      <c r="H598" s="110" t="n"/>
      <c r="I598" s="113" t="n"/>
      <c r="J598" s="113" t="n"/>
      <c r="K598" s="111" t="n"/>
      <c r="L598" s="111" t="n"/>
      <c r="M598" s="111" t="n"/>
      <c r="N598" s="114" t="str">
        <f>IF(OR(D598="",E598=""),"",D598+IF(E598="NOTIFICAÇÃO DE CONSTATAÇÃO",PrazoConst,PrazoEsc))</f>
        <v/>
      </c>
      <c r="O598" s="115" t="str">
        <f>IF(N598="","",IF(ISNUMBER(L598),N598-L598,IF(OR(G598="DECISÃO D.P",ISNUMBER(M598)),"",N598-TODAY())))</f>
        <v/>
      </c>
      <c r="P598" s="116" t="str">
        <f>IF(B598="","",IF(ISNUMBER(M598),"DECIDIDO – ","")&amp;IF(ISNUMBER(L598),IF(O598="","SEM DATA",IF(O598&gt;=0,"DEFESA NO PRAZO","DEFESA FORA DO PRAZO")),IF(OR(G598="DECISÃO D.P",ISNUMBER(M598)),"SEM DEFESA",IF(G598="","SEM STATUS",IF(O598="","SEM DATA",IF(O598&lt;0,"VENCIDO",IF(O598&lt;=DiasAlerta,"VENCE EM BREVE","NO PRAZO")))))))</f>
        <v/>
      </c>
      <c r="Q598" s="117" t="str">
        <f>IF(D598="","",TODAY()-D598)</f>
        <v/>
      </c>
      <c r="R598" s="110" t="n"/>
    </row>
    <row r="599" ht="18" customHeight="1">
      <c r="A599" s="109" t="n"/>
      <c r="B599" s="110" t="n"/>
      <c r="C599" s="110" t="n"/>
      <c r="D599" s="111" t="n"/>
      <c r="E599" s="110" t="n"/>
      <c r="F599" s="112" t="n"/>
      <c r="G599" s="112" t="n"/>
      <c r="H599" s="110" t="n"/>
      <c r="I599" s="113" t="n"/>
      <c r="J599" s="113" t="n"/>
      <c r="K599" s="111" t="n"/>
      <c r="L599" s="111" t="n"/>
      <c r="M599" s="111" t="n"/>
      <c r="N599" s="114" t="str">
        <f>IF(OR(D599="",E599=""),"",D599+IF(E599="NOTIFICAÇÃO DE CONSTATAÇÃO",PrazoConst,PrazoEsc))</f>
        <v/>
      </c>
      <c r="O599" s="115" t="str">
        <f>IF(N599="","",IF(ISNUMBER(L599),N599-L599,IF(OR(G599="DECISÃO D.P",ISNUMBER(M599)),"",N599-TODAY())))</f>
        <v/>
      </c>
      <c r="P599" s="116" t="str">
        <f>IF(B599="","",IF(ISNUMBER(M599),"DECIDIDO – ","")&amp;IF(ISNUMBER(L599),IF(O599="","SEM DATA",IF(O599&gt;=0,"DEFESA NO PRAZO","DEFESA FORA DO PRAZO")),IF(OR(G599="DECISÃO D.P",ISNUMBER(M599)),"SEM DEFESA",IF(G599="","SEM STATUS",IF(O599="","SEM DATA",IF(O599&lt;0,"VENCIDO",IF(O599&lt;=DiasAlerta,"VENCE EM BREVE","NO PRAZO")))))))</f>
        <v/>
      </c>
      <c r="Q599" s="117" t="str">
        <f>IF(D599="","",TODAY()-D599)</f>
        <v/>
      </c>
      <c r="R599" s="110" t="n"/>
    </row>
    <row r="600" ht="18" customHeight="1">
      <c r="A600" s="109" t="n"/>
      <c r="B600" s="110" t="n"/>
      <c r="C600" s="110" t="n"/>
      <c r="D600" s="111" t="n"/>
      <c r="E600" s="110" t="n"/>
      <c r="F600" s="112" t="n"/>
      <c r="G600" s="112" t="n"/>
      <c r="H600" s="110" t="n"/>
      <c r="I600" s="113" t="n"/>
      <c r="J600" s="113" t="n"/>
      <c r="K600" s="111" t="n"/>
      <c r="L600" s="111" t="n"/>
      <c r="M600" s="111" t="n"/>
      <c r="N600" s="114" t="str">
        <f>IF(OR(D600="",E600=""),"",D600+IF(E600="NOTIFICAÇÃO DE CONSTATAÇÃO",PrazoConst,PrazoEsc))</f>
        <v/>
      </c>
      <c r="O600" s="115" t="str">
        <f>IF(N600="","",IF(ISNUMBER(L600),N600-L600,IF(OR(G600="DECISÃO D.P",ISNUMBER(M600)),"",N600-TODAY())))</f>
        <v/>
      </c>
      <c r="P600" s="116" t="str">
        <f>IF(B600="","",IF(ISNUMBER(M600),"DECIDIDO – ","")&amp;IF(ISNUMBER(L600),IF(O600="","SEM DATA",IF(O600&gt;=0,"DEFESA NO PRAZO","DEFESA FORA DO PRAZO")),IF(OR(G600="DECISÃO D.P",ISNUMBER(M600)),"SEM DEFESA",IF(G600="","SEM STATUS",IF(O600="","SEM DATA",IF(O600&lt;0,"VENCIDO",IF(O600&lt;=DiasAlerta,"VENCE EM BREVE","NO PRAZO")))))))</f>
        <v/>
      </c>
      <c r="Q600" s="117" t="str">
        <f>IF(D600="","",TODAY()-D600)</f>
        <v/>
      </c>
      <c r="R600" s="110" t="n"/>
    </row>
    <row r="601" ht="18" customHeight="1">
      <c r="A601" s="109" t="n"/>
      <c r="B601" s="110" t="n"/>
      <c r="C601" s="110" t="n"/>
      <c r="D601" s="111" t="n"/>
      <c r="E601" s="110" t="n"/>
      <c r="F601" s="112" t="n"/>
      <c r="G601" s="112" t="n"/>
      <c r="H601" s="110" t="n"/>
      <c r="I601" s="113" t="n"/>
      <c r="J601" s="113" t="n"/>
      <c r="K601" s="111" t="n"/>
      <c r="L601" s="111" t="n"/>
      <c r="M601" s="111" t="n"/>
      <c r="N601" s="114" t="str">
        <f>IF(OR(D601="",E601=""),"",D601+IF(E601="NOTIFICAÇÃO DE CONSTATAÇÃO",PrazoConst,PrazoEsc))</f>
        <v/>
      </c>
      <c r="O601" s="115" t="str">
        <f>IF(N601="","",IF(ISNUMBER(L601),N601-L601,IF(OR(G601="DECISÃO D.P",ISNUMBER(M601)),"",N601-TODAY())))</f>
        <v/>
      </c>
      <c r="P601" s="116" t="str">
        <f>IF(B601="","",IF(ISNUMBER(M601),"DECIDIDO – ","")&amp;IF(ISNUMBER(L601),IF(O601="","SEM DATA",IF(O601&gt;=0,"DEFESA NO PRAZO","DEFESA FORA DO PRAZO")),IF(OR(G601="DECISÃO D.P",ISNUMBER(M601)),"SEM DEFESA",IF(G601="","SEM STATUS",IF(O601="","SEM DATA",IF(O601&lt;0,"VENCIDO",IF(O601&lt;=DiasAlerta,"VENCE EM BREVE","NO PRAZO")))))))</f>
        <v/>
      </c>
      <c r="Q601" s="117" t="str">
        <f>IF(D601="","",TODAY()-D601)</f>
        <v/>
      </c>
      <c r="R601" s="110" t="n"/>
    </row>
    <row r="602" ht="18" customHeight="1">
      <c r="A602" s="109" t="n"/>
      <c r="B602" s="110" t="n"/>
      <c r="C602" s="110" t="n"/>
      <c r="D602" s="111" t="n"/>
      <c r="E602" s="110" t="n"/>
      <c r="F602" s="112" t="n"/>
      <c r="G602" s="112" t="n"/>
      <c r="H602" s="110" t="n"/>
      <c r="I602" s="113" t="n"/>
      <c r="J602" s="113" t="n"/>
      <c r="K602" s="111" t="n"/>
      <c r="L602" s="111" t="n"/>
      <c r="M602" s="111" t="n"/>
      <c r="N602" s="114" t="str">
        <f>IF(OR(D602="",E602=""),"",D602+IF(E602="NOTIFICAÇÃO DE CONSTATAÇÃO",PrazoConst,PrazoEsc))</f>
        <v/>
      </c>
      <c r="O602" s="115" t="str">
        <f>IF(N602="","",IF(ISNUMBER(L602),N602-L602,IF(OR(G602="DECISÃO D.P",ISNUMBER(M602)),"",N602-TODAY())))</f>
        <v/>
      </c>
      <c r="P602" s="116" t="str">
        <f>IF(B602="","",IF(ISNUMBER(M602),"DECIDIDO – ","")&amp;IF(ISNUMBER(L602),IF(O602="","SEM DATA",IF(O602&gt;=0,"DEFESA NO PRAZO","DEFESA FORA DO PRAZO")),IF(OR(G602="DECISÃO D.P",ISNUMBER(M602)),"SEM DEFESA",IF(G602="","SEM STATUS",IF(O602="","SEM DATA",IF(O602&lt;0,"VENCIDO",IF(O602&lt;=DiasAlerta,"VENCE EM BREVE","NO PRAZO")))))))</f>
        <v/>
      </c>
      <c r="Q602" s="117" t="str">
        <f>IF(D602="","",TODAY()-D602)</f>
        <v/>
      </c>
      <c r="R602" s="110" t="n"/>
    </row>
    <row r="603" ht="18" customHeight="1">
      <c r="A603" s="109" t="n"/>
      <c r="B603" s="110" t="n"/>
      <c r="C603" s="110" t="n"/>
      <c r="D603" s="111" t="n"/>
      <c r="E603" s="110" t="n"/>
      <c r="F603" s="112" t="n"/>
      <c r="G603" s="112" t="n"/>
      <c r="H603" s="110" t="n"/>
      <c r="I603" s="113" t="n"/>
      <c r="J603" s="113" t="n"/>
      <c r="K603" s="111" t="n"/>
      <c r="L603" s="111" t="n"/>
      <c r="M603" s="111" t="n"/>
      <c r="N603" s="114" t="str">
        <f>IF(OR(D603="",E603=""),"",D603+IF(E603="NOTIFICAÇÃO DE CONSTATAÇÃO",PrazoConst,PrazoEsc))</f>
        <v/>
      </c>
      <c r="O603" s="115" t="str">
        <f>IF(N603="","",IF(ISNUMBER(L603),N603-L603,IF(OR(G603="DECISÃO D.P",ISNUMBER(M603)),"",N603-TODAY())))</f>
        <v/>
      </c>
      <c r="P603" s="116" t="str">
        <f>IF(B603="","",IF(ISNUMBER(M603),"DECIDIDO – ","")&amp;IF(ISNUMBER(L603),IF(O603="","SEM DATA",IF(O603&gt;=0,"DEFESA NO PRAZO","DEFESA FORA DO PRAZO")),IF(OR(G603="DECISÃO D.P",ISNUMBER(M603)),"SEM DEFESA",IF(G603="","SEM STATUS",IF(O603="","SEM DATA",IF(O603&lt;0,"VENCIDO",IF(O603&lt;=DiasAlerta,"VENCE EM BREVE","NO PRAZO")))))))</f>
        <v/>
      </c>
      <c r="Q603" s="117" t="str">
        <f>IF(D603="","",TODAY()-D603)</f>
        <v/>
      </c>
      <c r="R603" s="110" t="n"/>
    </row>
    <row r="604" ht="18" customHeight="1">
      <c r="A604" s="109" t="n"/>
      <c r="B604" s="110" t="n"/>
      <c r="C604" s="110" t="n"/>
      <c r="D604" s="111" t="n"/>
      <c r="E604" s="110" t="n"/>
      <c r="F604" s="112" t="n"/>
      <c r="G604" s="112" t="n"/>
      <c r="H604" s="110" t="n"/>
      <c r="I604" s="113" t="n"/>
      <c r="J604" s="113" t="n"/>
      <c r="K604" s="111" t="n"/>
      <c r="L604" s="111" t="n"/>
      <c r="M604" s="111" t="n"/>
      <c r="N604" s="114" t="str">
        <f>IF(OR(D604="",E604=""),"",D604+IF(E604="NOTIFICAÇÃO DE CONSTATAÇÃO",PrazoConst,PrazoEsc))</f>
        <v/>
      </c>
      <c r="O604" s="115" t="str">
        <f>IF(N604="","",IF(ISNUMBER(L604),N604-L604,IF(OR(G604="DECISÃO D.P",ISNUMBER(M604)),"",N604-TODAY())))</f>
        <v/>
      </c>
      <c r="P604" s="116" t="str">
        <f>IF(B604="","",IF(ISNUMBER(M604),"DECIDIDO – ","")&amp;IF(ISNUMBER(L604),IF(O604="","SEM DATA",IF(O604&gt;=0,"DEFESA NO PRAZO","DEFESA FORA DO PRAZO")),IF(OR(G604="DECISÃO D.P",ISNUMBER(M604)),"SEM DEFESA",IF(G604="","SEM STATUS",IF(O604="","SEM DATA",IF(O604&lt;0,"VENCIDO",IF(O604&lt;=DiasAlerta,"VENCE EM BREVE","NO PRAZO")))))))</f>
        <v/>
      </c>
      <c r="Q604" s="117" t="str">
        <f>IF(D604="","",TODAY()-D604)</f>
        <v/>
      </c>
      <c r="R604" s="110" t="n"/>
    </row>
    <row r="605" ht="18" customHeight="1">
      <c r="A605" s="109" t="n"/>
      <c r="B605" s="110" t="n"/>
      <c r="C605" s="110" t="n"/>
      <c r="D605" s="111" t="n"/>
      <c r="E605" s="110" t="n"/>
      <c r="F605" s="112" t="n"/>
      <c r="G605" s="112" t="n"/>
      <c r="H605" s="110" t="n"/>
      <c r="I605" s="113" t="n"/>
      <c r="J605" s="113" t="n"/>
      <c r="K605" s="111" t="n"/>
      <c r="L605" s="111" t="n"/>
      <c r="M605" s="111" t="n"/>
      <c r="N605" s="114" t="str">
        <f>IF(OR(D605="",E605=""),"",D605+IF(E605="NOTIFICAÇÃO DE CONSTATAÇÃO",PrazoConst,PrazoEsc))</f>
        <v/>
      </c>
      <c r="O605" s="115" t="str">
        <f>IF(N605="","",IF(ISNUMBER(L605),N605-L605,IF(OR(G605="DECISÃO D.P",ISNUMBER(M605)),"",N605-TODAY())))</f>
        <v/>
      </c>
      <c r="P605" s="116" t="str">
        <f>IF(B605="","",IF(ISNUMBER(M605),"DECIDIDO – ","")&amp;IF(ISNUMBER(L605),IF(O605="","SEM DATA",IF(O605&gt;=0,"DEFESA NO PRAZO","DEFESA FORA DO PRAZO")),IF(OR(G605="DECISÃO D.P",ISNUMBER(M605)),"SEM DEFESA",IF(G605="","SEM STATUS",IF(O605="","SEM DATA",IF(O605&lt;0,"VENCIDO",IF(O605&lt;=DiasAlerta,"VENCE EM BREVE","NO PRAZO")))))))</f>
        <v/>
      </c>
      <c r="Q605" s="117" t="str">
        <f>IF(D605="","",TODAY()-D605)</f>
        <v/>
      </c>
      <c r="R605" s="110" t="n"/>
    </row>
    <row r="606" ht="18" customHeight="1">
      <c r="A606" s="109" t="n"/>
      <c r="B606" s="110" t="n"/>
      <c r="C606" s="110" t="n"/>
      <c r="D606" s="111" t="n"/>
      <c r="E606" s="110" t="n"/>
      <c r="F606" s="112" t="n"/>
      <c r="G606" s="112" t="n"/>
      <c r="H606" s="110" t="n"/>
      <c r="I606" s="113" t="n"/>
      <c r="J606" s="113" t="n"/>
      <c r="K606" s="111" t="n"/>
      <c r="L606" s="111" t="n"/>
      <c r="M606" s="111" t="n"/>
      <c r="N606" s="114" t="str">
        <f>IF(OR(D606="",E606=""),"",D606+IF(E606="NOTIFICAÇÃO DE CONSTATAÇÃO",PrazoConst,PrazoEsc))</f>
        <v/>
      </c>
      <c r="O606" s="115" t="str">
        <f>IF(N606="","",IF(ISNUMBER(L606),N606-L606,IF(OR(G606="DECISÃO D.P",ISNUMBER(M606)),"",N606-TODAY())))</f>
        <v/>
      </c>
      <c r="P606" s="116" t="str">
        <f>IF(B606="","",IF(ISNUMBER(M606),"DECIDIDO – ","")&amp;IF(ISNUMBER(L606),IF(O606="","SEM DATA",IF(O606&gt;=0,"DEFESA NO PRAZO","DEFESA FORA DO PRAZO")),IF(OR(G606="DECISÃO D.P",ISNUMBER(M606)),"SEM DEFESA",IF(G606="","SEM STATUS",IF(O606="","SEM DATA",IF(O606&lt;0,"VENCIDO",IF(O606&lt;=DiasAlerta,"VENCE EM BREVE","NO PRAZO")))))))</f>
        <v/>
      </c>
      <c r="Q606" s="117" t="str">
        <f>IF(D606="","",TODAY()-D606)</f>
        <v/>
      </c>
      <c r="R606" s="110" t="n"/>
    </row>
    <row r="607" ht="18" customHeight="1">
      <c r="A607" s="109" t="n"/>
      <c r="B607" s="110" t="n"/>
      <c r="C607" s="110" t="n"/>
      <c r="D607" s="111" t="n"/>
      <c r="E607" s="110" t="n"/>
      <c r="F607" s="112" t="n"/>
      <c r="G607" s="112" t="n"/>
      <c r="H607" s="110" t="n"/>
      <c r="I607" s="113" t="n"/>
      <c r="J607" s="113" t="n"/>
      <c r="K607" s="111" t="n"/>
      <c r="L607" s="111" t="n"/>
      <c r="M607" s="111" t="n"/>
      <c r="N607" s="114" t="str">
        <f>IF(OR(D607="",E607=""),"",D607+IF(E607="NOTIFICAÇÃO DE CONSTATAÇÃO",PrazoConst,PrazoEsc))</f>
        <v/>
      </c>
      <c r="O607" s="115" t="str">
        <f>IF(N607="","",IF(ISNUMBER(L607),N607-L607,IF(OR(G607="DECISÃO D.P",ISNUMBER(M607)),"",N607-TODAY())))</f>
        <v/>
      </c>
      <c r="P607" s="116" t="str">
        <f>IF(B607="","",IF(ISNUMBER(M607),"DECIDIDO – ","")&amp;IF(ISNUMBER(L607),IF(O607="","SEM DATA",IF(O607&gt;=0,"DEFESA NO PRAZO","DEFESA FORA DO PRAZO")),IF(OR(G607="DECISÃO D.P",ISNUMBER(M607)),"SEM DEFESA",IF(G607="","SEM STATUS",IF(O607="","SEM DATA",IF(O607&lt;0,"VENCIDO",IF(O607&lt;=DiasAlerta,"VENCE EM BREVE","NO PRAZO")))))))</f>
        <v/>
      </c>
      <c r="Q607" s="117" t="str">
        <f>IF(D607="","",TODAY()-D607)</f>
        <v/>
      </c>
      <c r="R607" s="110" t="n"/>
    </row>
    <row r="608" ht="18" customHeight="1">
      <c r="A608" s="109" t="n"/>
      <c r="B608" s="110" t="n"/>
      <c r="C608" s="110" t="n"/>
      <c r="D608" s="111" t="n"/>
      <c r="E608" s="110" t="n"/>
      <c r="F608" s="112" t="n"/>
      <c r="G608" s="112" t="n"/>
      <c r="H608" s="110" t="n"/>
      <c r="I608" s="113" t="n"/>
      <c r="J608" s="113" t="n"/>
      <c r="K608" s="111" t="n"/>
      <c r="L608" s="111" t="n"/>
      <c r="M608" s="111" t="n"/>
      <c r="N608" s="114" t="str">
        <f>IF(OR(D608="",E608=""),"",D608+IF(E608="NOTIFICAÇÃO DE CONSTATAÇÃO",PrazoConst,PrazoEsc))</f>
        <v/>
      </c>
      <c r="O608" s="115" t="str">
        <f>IF(N608="","",IF(ISNUMBER(L608),N608-L608,IF(OR(G608="DECISÃO D.P",ISNUMBER(M608)),"",N608-TODAY())))</f>
        <v/>
      </c>
      <c r="P608" s="116" t="str">
        <f>IF(B608="","",IF(ISNUMBER(M608),"DECIDIDO – ","")&amp;IF(ISNUMBER(L608),IF(O608="","SEM DATA",IF(O608&gt;=0,"DEFESA NO PRAZO","DEFESA FORA DO PRAZO")),IF(OR(G608="DECISÃO D.P",ISNUMBER(M608)),"SEM DEFESA",IF(G608="","SEM STATUS",IF(O608="","SEM DATA",IF(O608&lt;0,"VENCIDO",IF(O608&lt;=DiasAlerta,"VENCE EM BREVE","NO PRAZO")))))))</f>
        <v/>
      </c>
      <c r="Q608" s="117" t="str">
        <f>IF(D608="","",TODAY()-D608)</f>
        <v/>
      </c>
      <c r="R608" s="110" t="n"/>
    </row>
    <row r="609" ht="18" customHeight="1">
      <c r="A609" s="109" t="n"/>
      <c r="B609" s="110" t="n"/>
      <c r="C609" s="110" t="n"/>
      <c r="D609" s="111" t="n"/>
      <c r="E609" s="110" t="n"/>
      <c r="F609" s="112" t="n"/>
      <c r="G609" s="112" t="n"/>
      <c r="H609" s="110" t="n"/>
      <c r="I609" s="113" t="n"/>
      <c r="J609" s="113" t="n"/>
      <c r="K609" s="111" t="n"/>
      <c r="L609" s="111" t="n"/>
      <c r="M609" s="111" t="n"/>
      <c r="N609" s="114" t="str">
        <f>IF(OR(D609="",E609=""),"",D609+IF(E609="NOTIFICAÇÃO DE CONSTATAÇÃO",PrazoConst,PrazoEsc))</f>
        <v/>
      </c>
      <c r="O609" s="115" t="str">
        <f>IF(N609="","",IF(ISNUMBER(L609),N609-L609,IF(OR(G609="DECISÃO D.P",ISNUMBER(M609)),"",N609-TODAY())))</f>
        <v/>
      </c>
      <c r="P609" s="116" t="str">
        <f>IF(B609="","",IF(ISNUMBER(M609),"DECIDIDO – ","")&amp;IF(ISNUMBER(L609),IF(O609="","SEM DATA",IF(O609&gt;=0,"DEFESA NO PRAZO","DEFESA FORA DO PRAZO")),IF(OR(G609="DECISÃO D.P",ISNUMBER(M609)),"SEM DEFESA",IF(G609="","SEM STATUS",IF(O609="","SEM DATA",IF(O609&lt;0,"VENCIDO",IF(O609&lt;=DiasAlerta,"VENCE EM BREVE","NO PRAZO")))))))</f>
        <v/>
      </c>
      <c r="Q609" s="117" t="str">
        <f>IF(D609="","",TODAY()-D609)</f>
        <v/>
      </c>
      <c r="R609" s="110" t="n"/>
    </row>
    <row r="610" ht="18" customHeight="1">
      <c r="A610" s="109" t="n"/>
      <c r="B610" s="110" t="n"/>
      <c r="C610" s="110" t="n"/>
      <c r="D610" s="111" t="n"/>
      <c r="E610" s="110" t="n"/>
      <c r="F610" s="112" t="n"/>
      <c r="G610" s="112" t="n"/>
      <c r="H610" s="110" t="n"/>
      <c r="I610" s="113" t="n"/>
      <c r="J610" s="113" t="n"/>
      <c r="K610" s="111" t="n"/>
      <c r="L610" s="111" t="n"/>
      <c r="M610" s="111" t="n"/>
      <c r="N610" s="114" t="str">
        <f>IF(OR(D610="",E610=""),"",D610+IF(E610="NOTIFICAÇÃO DE CONSTATAÇÃO",PrazoConst,PrazoEsc))</f>
        <v/>
      </c>
      <c r="O610" s="115" t="str">
        <f>IF(N610="","",IF(ISNUMBER(L610),N610-L610,IF(OR(G610="DECISÃO D.P",ISNUMBER(M610)),"",N610-TODAY())))</f>
        <v/>
      </c>
      <c r="P610" s="116" t="str">
        <f>IF(B610="","",IF(ISNUMBER(M610),"DECIDIDO – ","")&amp;IF(ISNUMBER(L610),IF(O610="","SEM DATA",IF(O610&gt;=0,"DEFESA NO PRAZO","DEFESA FORA DO PRAZO")),IF(OR(G610="DECISÃO D.P",ISNUMBER(M610)),"SEM DEFESA",IF(G610="","SEM STATUS",IF(O610="","SEM DATA",IF(O610&lt;0,"VENCIDO",IF(O610&lt;=DiasAlerta,"VENCE EM BREVE","NO PRAZO")))))))</f>
        <v/>
      </c>
      <c r="Q610" s="117" t="str">
        <f>IF(D610="","",TODAY()-D610)</f>
        <v/>
      </c>
      <c r="R610" s="110" t="n"/>
    </row>
    <row r="611" ht="18" customHeight="1">
      <c r="A611" s="109" t="n"/>
      <c r="B611" s="110" t="n"/>
      <c r="C611" s="110" t="n"/>
      <c r="D611" s="111" t="n"/>
      <c r="E611" s="110" t="n"/>
      <c r="F611" s="112" t="n"/>
      <c r="G611" s="112" t="n"/>
      <c r="H611" s="110" t="n"/>
      <c r="I611" s="113" t="n"/>
      <c r="J611" s="113" t="n"/>
      <c r="K611" s="111" t="n"/>
      <c r="L611" s="111" t="n"/>
      <c r="M611" s="111" t="n"/>
      <c r="N611" s="114" t="str">
        <f>IF(OR(D611="",E611=""),"",D611+IF(E611="NOTIFICAÇÃO DE CONSTATAÇÃO",PrazoConst,PrazoEsc))</f>
        <v/>
      </c>
      <c r="O611" s="115" t="str">
        <f>IF(N611="","",IF(ISNUMBER(L611),N611-L611,IF(OR(G611="DECISÃO D.P",ISNUMBER(M611)),"",N611-TODAY())))</f>
        <v/>
      </c>
      <c r="P611" s="116" t="str">
        <f>IF(B611="","",IF(ISNUMBER(M611),"DECIDIDO – ","")&amp;IF(ISNUMBER(L611),IF(O611="","SEM DATA",IF(O611&gt;=0,"DEFESA NO PRAZO","DEFESA FORA DO PRAZO")),IF(OR(G611="DECISÃO D.P",ISNUMBER(M611)),"SEM DEFESA",IF(G611="","SEM STATUS",IF(O611="","SEM DATA",IF(O611&lt;0,"VENCIDO",IF(O611&lt;=DiasAlerta,"VENCE EM BREVE","NO PRAZO")))))))</f>
        <v/>
      </c>
      <c r="Q611" s="117" t="str">
        <f>IF(D611="","",TODAY()-D611)</f>
        <v/>
      </c>
      <c r="R611" s="110" t="n"/>
    </row>
    <row r="612" ht="18" customHeight="1">
      <c r="A612" s="109" t="n"/>
      <c r="B612" s="110" t="n"/>
      <c r="C612" s="110" t="n"/>
      <c r="D612" s="111" t="n"/>
      <c r="E612" s="110" t="n"/>
      <c r="F612" s="112" t="n"/>
      <c r="G612" s="112" t="n"/>
      <c r="H612" s="110" t="n"/>
      <c r="I612" s="113" t="n"/>
      <c r="J612" s="113" t="n"/>
      <c r="K612" s="111" t="n"/>
      <c r="L612" s="111" t="n"/>
      <c r="M612" s="111" t="n"/>
      <c r="N612" s="114" t="str">
        <f>IF(OR(D612="",E612=""),"",D612+IF(E612="NOTIFICAÇÃO DE CONSTATAÇÃO",PrazoConst,PrazoEsc))</f>
        <v/>
      </c>
      <c r="O612" s="115" t="str">
        <f>IF(N612="","",IF(ISNUMBER(L612),N612-L612,IF(OR(G612="DECISÃO D.P",ISNUMBER(M612)),"",N612-TODAY())))</f>
        <v/>
      </c>
      <c r="P612" s="116" t="str">
        <f>IF(B612="","",IF(ISNUMBER(M612),"DECIDIDO – ","")&amp;IF(ISNUMBER(L612),IF(O612="","SEM DATA",IF(O612&gt;=0,"DEFESA NO PRAZO","DEFESA FORA DO PRAZO")),IF(OR(G612="DECISÃO D.P",ISNUMBER(M612)),"SEM DEFESA",IF(G612="","SEM STATUS",IF(O612="","SEM DATA",IF(O612&lt;0,"VENCIDO",IF(O612&lt;=DiasAlerta,"VENCE EM BREVE","NO PRAZO")))))))</f>
        <v/>
      </c>
      <c r="Q612" s="117" t="str">
        <f>IF(D612="","",TODAY()-D612)</f>
        <v/>
      </c>
      <c r="R612" s="110" t="n"/>
    </row>
    <row r="613" ht="18" customHeight="1">
      <c r="A613" s="109" t="n"/>
      <c r="B613" s="110" t="n"/>
      <c r="C613" s="110" t="n"/>
      <c r="D613" s="111" t="n"/>
      <c r="E613" s="110" t="n"/>
      <c r="F613" s="112" t="n"/>
      <c r="G613" s="112" t="n"/>
      <c r="H613" s="110" t="n"/>
      <c r="I613" s="113" t="n"/>
      <c r="J613" s="113" t="n"/>
      <c r="K613" s="111" t="n"/>
      <c r="L613" s="111" t="n"/>
      <c r="M613" s="111" t="n"/>
      <c r="N613" s="114" t="str">
        <f>IF(OR(D613="",E613=""),"",D613+IF(E613="NOTIFICAÇÃO DE CONSTATAÇÃO",PrazoConst,PrazoEsc))</f>
        <v/>
      </c>
      <c r="O613" s="115" t="str">
        <f>IF(N613="","",IF(ISNUMBER(L613),N613-L613,IF(OR(G613="DECISÃO D.P",ISNUMBER(M613)),"",N613-TODAY())))</f>
        <v/>
      </c>
      <c r="P613" s="116" t="str">
        <f>IF(B613="","",IF(ISNUMBER(M613),"DECIDIDO – ","")&amp;IF(ISNUMBER(L613),IF(O613="","SEM DATA",IF(O613&gt;=0,"DEFESA NO PRAZO","DEFESA FORA DO PRAZO")),IF(OR(G613="DECISÃO D.P",ISNUMBER(M613)),"SEM DEFESA",IF(G613="","SEM STATUS",IF(O613="","SEM DATA",IF(O613&lt;0,"VENCIDO",IF(O613&lt;=DiasAlerta,"VENCE EM BREVE","NO PRAZO")))))))</f>
        <v/>
      </c>
      <c r="Q613" s="117" t="str">
        <f>IF(D613="","",TODAY()-D613)</f>
        <v/>
      </c>
      <c r="R613" s="110" t="n"/>
    </row>
    <row r="614" ht="18" customHeight="1">
      <c r="A614" s="109" t="n"/>
      <c r="B614" s="110" t="n"/>
      <c r="C614" s="110" t="n"/>
      <c r="D614" s="111" t="n"/>
      <c r="E614" s="110" t="n"/>
      <c r="F614" s="112" t="n"/>
      <c r="G614" s="112" t="n"/>
      <c r="H614" s="110" t="n"/>
      <c r="I614" s="113" t="n"/>
      <c r="J614" s="113" t="n"/>
      <c r="K614" s="111" t="n"/>
      <c r="L614" s="111" t="n"/>
      <c r="M614" s="111" t="n"/>
      <c r="N614" s="114" t="str">
        <f>IF(OR(D614="",E614=""),"",D614+IF(E614="NOTIFICAÇÃO DE CONSTATAÇÃO",PrazoConst,PrazoEsc))</f>
        <v/>
      </c>
      <c r="O614" s="115" t="str">
        <f>IF(N614="","",IF(ISNUMBER(L614),N614-L614,IF(OR(G614="DECISÃO D.P",ISNUMBER(M614)),"",N614-TODAY())))</f>
        <v/>
      </c>
      <c r="P614" s="116" t="str">
        <f>IF(B614="","",IF(ISNUMBER(M614),"DECIDIDO – ","")&amp;IF(ISNUMBER(L614),IF(O614="","SEM DATA",IF(O614&gt;=0,"DEFESA NO PRAZO","DEFESA FORA DO PRAZO")),IF(OR(G614="DECISÃO D.P",ISNUMBER(M614)),"SEM DEFESA",IF(G614="","SEM STATUS",IF(O614="","SEM DATA",IF(O614&lt;0,"VENCIDO",IF(O614&lt;=DiasAlerta,"VENCE EM BREVE","NO PRAZO")))))))</f>
        <v/>
      </c>
      <c r="Q614" s="117" t="str">
        <f>IF(D614="","",TODAY()-D614)</f>
        <v/>
      </c>
      <c r="R614" s="110" t="n"/>
    </row>
    <row r="615" ht="18" customHeight="1">
      <c r="A615" s="109" t="n"/>
      <c r="B615" s="110" t="n"/>
      <c r="C615" s="110" t="n"/>
      <c r="D615" s="111" t="n"/>
      <c r="E615" s="110" t="n"/>
      <c r="F615" s="112" t="n"/>
      <c r="G615" s="112" t="n"/>
      <c r="H615" s="110" t="n"/>
      <c r="I615" s="113" t="n"/>
      <c r="J615" s="113" t="n"/>
      <c r="K615" s="111" t="n"/>
      <c r="L615" s="111" t="n"/>
      <c r="M615" s="111" t="n"/>
      <c r="N615" s="114" t="str">
        <f>IF(OR(D615="",E615=""),"",D615+IF(E615="NOTIFICAÇÃO DE CONSTATAÇÃO",PrazoConst,PrazoEsc))</f>
        <v/>
      </c>
      <c r="O615" s="115" t="str">
        <f>IF(N615="","",IF(ISNUMBER(L615),N615-L615,IF(OR(G615="DECISÃO D.P",ISNUMBER(M615)),"",N615-TODAY())))</f>
        <v/>
      </c>
      <c r="P615" s="116" t="str">
        <f>IF(B615="","",IF(ISNUMBER(M615),"DECIDIDO – ","")&amp;IF(ISNUMBER(L615),IF(O615="","SEM DATA",IF(O615&gt;=0,"DEFESA NO PRAZO","DEFESA FORA DO PRAZO")),IF(OR(G615="DECISÃO D.P",ISNUMBER(M615)),"SEM DEFESA",IF(G615="","SEM STATUS",IF(O615="","SEM DATA",IF(O615&lt;0,"VENCIDO",IF(O615&lt;=DiasAlerta,"VENCE EM BREVE","NO PRAZO")))))))</f>
        <v/>
      </c>
      <c r="Q615" s="117" t="str">
        <f>IF(D615="","",TODAY()-D615)</f>
        <v/>
      </c>
      <c r="R615" s="110" t="n"/>
    </row>
    <row r="616" ht="18" customHeight="1">
      <c r="A616" s="109" t="n"/>
      <c r="B616" s="110" t="n"/>
      <c r="C616" s="110" t="n"/>
      <c r="D616" s="111" t="n"/>
      <c r="E616" s="110" t="n"/>
      <c r="F616" s="112" t="n"/>
      <c r="G616" s="112" t="n"/>
      <c r="H616" s="110" t="n"/>
      <c r="I616" s="113" t="n"/>
      <c r="J616" s="113" t="n"/>
      <c r="K616" s="111" t="n"/>
      <c r="L616" s="111" t="n"/>
      <c r="M616" s="111" t="n"/>
      <c r="N616" s="114" t="str">
        <f>IF(OR(D616="",E616=""),"",D616+IF(E616="NOTIFICAÇÃO DE CONSTATAÇÃO",PrazoConst,PrazoEsc))</f>
        <v/>
      </c>
      <c r="O616" s="115" t="str">
        <f>IF(N616="","",IF(ISNUMBER(L616),N616-L616,IF(OR(G616="DECISÃO D.P",ISNUMBER(M616)),"",N616-TODAY())))</f>
        <v/>
      </c>
      <c r="P616" s="116" t="str">
        <f>IF(B616="","",IF(ISNUMBER(M616),"DECIDIDO – ","")&amp;IF(ISNUMBER(L616),IF(O616="","SEM DATA",IF(O616&gt;=0,"DEFESA NO PRAZO","DEFESA FORA DO PRAZO")),IF(OR(G616="DECISÃO D.P",ISNUMBER(M616)),"SEM DEFESA",IF(G616="","SEM STATUS",IF(O616="","SEM DATA",IF(O616&lt;0,"VENCIDO",IF(O616&lt;=DiasAlerta,"VENCE EM BREVE","NO PRAZO")))))))</f>
        <v/>
      </c>
      <c r="Q616" s="117" t="str">
        <f>IF(D616="","",TODAY()-D616)</f>
        <v/>
      </c>
      <c r="R616" s="110" t="n"/>
    </row>
    <row r="617" ht="18" customHeight="1">
      <c r="A617" s="109" t="n"/>
      <c r="B617" s="110" t="n"/>
      <c r="C617" s="110" t="n"/>
      <c r="D617" s="111" t="n"/>
      <c r="E617" s="110" t="n"/>
      <c r="F617" s="112" t="n"/>
      <c r="G617" s="112" t="n"/>
      <c r="H617" s="110" t="n"/>
      <c r="I617" s="113" t="n"/>
      <c r="J617" s="113" t="n"/>
      <c r="K617" s="111" t="n"/>
      <c r="L617" s="111" t="n"/>
      <c r="M617" s="111" t="n"/>
      <c r="N617" s="114" t="str">
        <f>IF(OR(D617="",E617=""),"",D617+IF(E617="NOTIFICAÇÃO DE CONSTATAÇÃO",PrazoConst,PrazoEsc))</f>
        <v/>
      </c>
      <c r="O617" s="115" t="str">
        <f>IF(N617="","",IF(ISNUMBER(L617),N617-L617,IF(OR(G617="DECISÃO D.P",ISNUMBER(M617)),"",N617-TODAY())))</f>
        <v/>
      </c>
      <c r="P617" s="116" t="str">
        <f>IF(B617="","",IF(ISNUMBER(M617),"DECIDIDO – ","")&amp;IF(ISNUMBER(L617),IF(O617="","SEM DATA",IF(O617&gt;=0,"DEFESA NO PRAZO","DEFESA FORA DO PRAZO")),IF(OR(G617="DECISÃO D.P",ISNUMBER(M617)),"SEM DEFESA",IF(G617="","SEM STATUS",IF(O617="","SEM DATA",IF(O617&lt;0,"VENCIDO",IF(O617&lt;=DiasAlerta,"VENCE EM BREVE","NO PRAZO")))))))</f>
        <v/>
      </c>
      <c r="Q617" s="117" t="str">
        <f>IF(D617="","",TODAY()-D617)</f>
        <v/>
      </c>
      <c r="R617" s="110" t="n"/>
    </row>
    <row r="618" ht="18" customHeight="1">
      <c r="A618" s="109" t="n"/>
      <c r="B618" s="110" t="n"/>
      <c r="C618" s="110" t="n"/>
      <c r="D618" s="111" t="n"/>
      <c r="E618" s="110" t="n"/>
      <c r="F618" s="112" t="n"/>
      <c r="G618" s="112" t="n"/>
      <c r="H618" s="110" t="n"/>
      <c r="I618" s="113" t="n"/>
      <c r="J618" s="113" t="n"/>
      <c r="K618" s="111" t="n"/>
      <c r="L618" s="111" t="n"/>
      <c r="M618" s="111" t="n"/>
      <c r="N618" s="114" t="str">
        <f>IF(OR(D618="",E618=""),"",D618+IF(E618="NOTIFICAÇÃO DE CONSTATAÇÃO",PrazoConst,PrazoEsc))</f>
        <v/>
      </c>
      <c r="O618" s="115" t="str">
        <f>IF(N618="","",IF(ISNUMBER(L618),N618-L618,IF(OR(G618="DECISÃO D.P",ISNUMBER(M618)),"",N618-TODAY())))</f>
        <v/>
      </c>
      <c r="P618" s="116" t="str">
        <f>IF(B618="","",IF(ISNUMBER(M618),"DECIDIDO – ","")&amp;IF(ISNUMBER(L618),IF(O618="","SEM DATA",IF(O618&gt;=0,"DEFESA NO PRAZO","DEFESA FORA DO PRAZO")),IF(OR(G618="DECISÃO D.P",ISNUMBER(M618)),"SEM DEFESA",IF(G618="","SEM STATUS",IF(O618="","SEM DATA",IF(O618&lt;0,"VENCIDO",IF(O618&lt;=DiasAlerta,"VENCE EM BREVE","NO PRAZO")))))))</f>
        <v/>
      </c>
      <c r="Q618" s="117" t="str">
        <f>IF(D618="","",TODAY()-D618)</f>
        <v/>
      </c>
      <c r="R618" s="110" t="n"/>
    </row>
    <row r="619" ht="18" customHeight="1">
      <c r="A619" s="109" t="n"/>
      <c r="B619" s="110" t="n"/>
      <c r="C619" s="110" t="n"/>
      <c r="D619" s="111" t="n"/>
      <c r="E619" s="110" t="n"/>
      <c r="F619" s="112" t="n"/>
      <c r="G619" s="112" t="n"/>
      <c r="H619" s="110" t="n"/>
      <c r="I619" s="113" t="n"/>
      <c r="J619" s="113" t="n"/>
      <c r="K619" s="111" t="n"/>
      <c r="L619" s="111" t="n"/>
      <c r="M619" s="111" t="n"/>
      <c r="N619" s="114" t="str">
        <f>IF(OR(D619="",E619=""),"",D619+IF(E619="NOTIFICAÇÃO DE CONSTATAÇÃO",PrazoConst,PrazoEsc))</f>
        <v/>
      </c>
      <c r="O619" s="115" t="str">
        <f>IF(N619="","",IF(ISNUMBER(L619),N619-L619,IF(OR(G619="DECISÃO D.P",ISNUMBER(M619)),"",N619-TODAY())))</f>
        <v/>
      </c>
      <c r="P619" s="116" t="str">
        <f>IF(B619="","",IF(ISNUMBER(M619),"DECIDIDO – ","")&amp;IF(ISNUMBER(L619),IF(O619="","SEM DATA",IF(O619&gt;=0,"DEFESA NO PRAZO","DEFESA FORA DO PRAZO")),IF(OR(G619="DECISÃO D.P",ISNUMBER(M619)),"SEM DEFESA",IF(G619="","SEM STATUS",IF(O619="","SEM DATA",IF(O619&lt;0,"VENCIDO",IF(O619&lt;=DiasAlerta,"VENCE EM BREVE","NO PRAZO")))))))</f>
        <v/>
      </c>
      <c r="Q619" s="117" t="str">
        <f>IF(D619="","",TODAY()-D619)</f>
        <v/>
      </c>
      <c r="R619" s="110" t="n"/>
    </row>
    <row r="620" ht="18" customHeight="1">
      <c r="A620" s="109" t="n"/>
      <c r="B620" s="110" t="n"/>
      <c r="C620" s="110" t="n"/>
      <c r="D620" s="111" t="n"/>
      <c r="E620" s="110" t="n"/>
      <c r="F620" s="112" t="n"/>
      <c r="G620" s="112" t="n"/>
      <c r="H620" s="110" t="n"/>
      <c r="I620" s="113" t="n"/>
      <c r="J620" s="113" t="n"/>
      <c r="K620" s="111" t="n"/>
      <c r="L620" s="111" t="n"/>
      <c r="M620" s="111" t="n"/>
      <c r="N620" s="114" t="str">
        <f>IF(OR(D620="",E620=""),"",D620+IF(E620="NOTIFICAÇÃO DE CONSTATAÇÃO",PrazoConst,PrazoEsc))</f>
        <v/>
      </c>
      <c r="O620" s="115" t="str">
        <f>IF(N620="","",IF(ISNUMBER(L620),N620-L620,IF(OR(G620="DECISÃO D.P",ISNUMBER(M620)),"",N620-TODAY())))</f>
        <v/>
      </c>
      <c r="P620" s="116" t="str">
        <f>IF(B620="","",IF(ISNUMBER(M620),"DECIDIDO – ","")&amp;IF(ISNUMBER(L620),IF(O620="","SEM DATA",IF(O620&gt;=0,"DEFESA NO PRAZO","DEFESA FORA DO PRAZO")),IF(OR(G620="DECISÃO D.P",ISNUMBER(M620)),"SEM DEFESA",IF(G620="","SEM STATUS",IF(O620="","SEM DATA",IF(O620&lt;0,"VENCIDO",IF(O620&lt;=DiasAlerta,"VENCE EM BREVE","NO PRAZO")))))))</f>
        <v/>
      </c>
      <c r="Q620" s="117" t="str">
        <f>IF(D620="","",TODAY()-D620)</f>
        <v/>
      </c>
      <c r="R620" s="110" t="n"/>
    </row>
    <row r="621" ht="18" customHeight="1">
      <c r="A621" s="109" t="n"/>
      <c r="B621" s="110" t="n"/>
      <c r="C621" s="110" t="n"/>
      <c r="D621" s="111" t="n"/>
      <c r="E621" s="110" t="n"/>
      <c r="F621" s="112" t="n"/>
      <c r="G621" s="112" t="n"/>
      <c r="H621" s="110" t="n"/>
      <c r="I621" s="113" t="n"/>
      <c r="J621" s="113" t="n"/>
      <c r="K621" s="111" t="n"/>
      <c r="L621" s="111" t="n"/>
      <c r="M621" s="111" t="n"/>
      <c r="N621" s="114" t="str">
        <f>IF(OR(D621="",E621=""),"",D621+IF(E621="NOTIFICAÇÃO DE CONSTATAÇÃO",PrazoConst,PrazoEsc))</f>
        <v/>
      </c>
      <c r="O621" s="115" t="str">
        <f>IF(N621="","",IF(ISNUMBER(L621),N621-L621,IF(OR(G621="DECISÃO D.P",ISNUMBER(M621)),"",N621-TODAY())))</f>
        <v/>
      </c>
      <c r="P621" s="116" t="str">
        <f>IF(B621="","",IF(ISNUMBER(M621),"DECIDIDO – ","")&amp;IF(ISNUMBER(L621),IF(O621="","SEM DATA",IF(O621&gt;=0,"DEFESA NO PRAZO","DEFESA FORA DO PRAZO")),IF(OR(G621="DECISÃO D.P",ISNUMBER(M621)),"SEM DEFESA",IF(G621="","SEM STATUS",IF(O621="","SEM DATA",IF(O621&lt;0,"VENCIDO",IF(O621&lt;=DiasAlerta,"VENCE EM BREVE","NO PRAZO")))))))</f>
        <v/>
      </c>
      <c r="Q621" s="117" t="str">
        <f>IF(D621="","",TODAY()-D621)</f>
        <v/>
      </c>
      <c r="R621" s="110" t="n"/>
    </row>
    <row r="622" ht="18" customHeight="1">
      <c r="A622" s="109" t="n"/>
      <c r="B622" s="110" t="n"/>
      <c r="C622" s="110" t="n"/>
      <c r="D622" s="111" t="n"/>
      <c r="E622" s="110" t="n"/>
      <c r="F622" s="112" t="n"/>
      <c r="G622" s="112" t="n"/>
      <c r="H622" s="110" t="n"/>
      <c r="I622" s="113" t="n"/>
      <c r="J622" s="113" t="n"/>
      <c r="K622" s="111" t="n"/>
      <c r="L622" s="111" t="n"/>
      <c r="M622" s="111" t="n"/>
      <c r="N622" s="114" t="str">
        <f>IF(OR(D622="",E622=""),"",D622+IF(E622="NOTIFICAÇÃO DE CONSTATAÇÃO",PrazoConst,PrazoEsc))</f>
        <v/>
      </c>
      <c r="O622" s="115" t="str">
        <f>IF(N622="","",IF(ISNUMBER(L622),N622-L622,IF(OR(G622="DECISÃO D.P",ISNUMBER(M622)),"",N622-TODAY())))</f>
        <v/>
      </c>
      <c r="P622" s="116" t="str">
        <f>IF(B622="","",IF(ISNUMBER(M622),"DECIDIDO – ","")&amp;IF(ISNUMBER(L622),IF(O622="","SEM DATA",IF(O622&gt;=0,"DEFESA NO PRAZO","DEFESA FORA DO PRAZO")),IF(OR(G622="DECISÃO D.P",ISNUMBER(M622)),"SEM DEFESA",IF(G622="","SEM STATUS",IF(O622="","SEM DATA",IF(O622&lt;0,"VENCIDO",IF(O622&lt;=DiasAlerta,"VENCE EM BREVE","NO PRAZO")))))))</f>
        <v/>
      </c>
      <c r="Q622" s="117" t="str">
        <f>IF(D622="","",TODAY()-D622)</f>
        <v/>
      </c>
      <c r="R622" s="110" t="n"/>
    </row>
    <row r="623" ht="18" customHeight="1">
      <c r="A623" s="109" t="n"/>
      <c r="B623" s="110" t="n"/>
      <c r="C623" s="110" t="n"/>
      <c r="D623" s="111" t="n"/>
      <c r="E623" s="110" t="n"/>
      <c r="F623" s="112" t="n"/>
      <c r="G623" s="112" t="n"/>
      <c r="H623" s="110" t="n"/>
      <c r="I623" s="113" t="n"/>
      <c r="J623" s="113" t="n"/>
      <c r="K623" s="111" t="n"/>
      <c r="L623" s="111" t="n"/>
      <c r="M623" s="111" t="n"/>
      <c r="N623" s="114" t="str">
        <f>IF(OR(D623="",E623=""),"",D623+IF(E623="NOTIFICAÇÃO DE CONSTATAÇÃO",PrazoConst,PrazoEsc))</f>
        <v/>
      </c>
      <c r="O623" s="115" t="str">
        <f>IF(N623="","",IF(ISNUMBER(L623),N623-L623,IF(OR(G623="DECISÃO D.P",ISNUMBER(M623)),"",N623-TODAY())))</f>
        <v/>
      </c>
      <c r="P623" s="116" t="str">
        <f>IF(B623="","",IF(ISNUMBER(M623),"DECIDIDO – ","")&amp;IF(ISNUMBER(L623),IF(O623="","SEM DATA",IF(O623&gt;=0,"DEFESA NO PRAZO","DEFESA FORA DO PRAZO")),IF(OR(G623="DECISÃO D.P",ISNUMBER(M623)),"SEM DEFESA",IF(G623="","SEM STATUS",IF(O623="","SEM DATA",IF(O623&lt;0,"VENCIDO",IF(O623&lt;=DiasAlerta,"VENCE EM BREVE","NO PRAZO")))))))</f>
        <v/>
      </c>
      <c r="Q623" s="117" t="str">
        <f>IF(D623="","",TODAY()-D623)</f>
        <v/>
      </c>
      <c r="R623" s="110" t="n"/>
    </row>
    <row r="624" ht="18" customHeight="1">
      <c r="A624" s="109" t="n"/>
      <c r="B624" s="110" t="n"/>
      <c r="C624" s="110" t="n"/>
      <c r="D624" s="111" t="n"/>
      <c r="E624" s="110" t="n"/>
      <c r="F624" s="112" t="n"/>
      <c r="G624" s="112" t="n"/>
      <c r="H624" s="110" t="n"/>
      <c r="I624" s="113" t="n"/>
      <c r="J624" s="113" t="n"/>
      <c r="K624" s="111" t="n"/>
      <c r="L624" s="111" t="n"/>
      <c r="M624" s="111" t="n"/>
      <c r="N624" s="114" t="str">
        <f>IF(OR(D624="",E624=""),"",D624+IF(E624="NOTIFICAÇÃO DE CONSTATAÇÃO",PrazoConst,PrazoEsc))</f>
        <v/>
      </c>
      <c r="O624" s="115" t="str">
        <f>IF(N624="","",IF(ISNUMBER(L624),N624-L624,IF(OR(G624="DECISÃO D.P",ISNUMBER(M624)),"",N624-TODAY())))</f>
        <v/>
      </c>
      <c r="P624" s="116" t="str">
        <f>IF(B624="","",IF(ISNUMBER(M624),"DECIDIDO – ","")&amp;IF(ISNUMBER(L624),IF(O624="","SEM DATA",IF(O624&gt;=0,"DEFESA NO PRAZO","DEFESA FORA DO PRAZO")),IF(OR(G624="DECISÃO D.P",ISNUMBER(M624)),"SEM DEFESA",IF(G624="","SEM STATUS",IF(O624="","SEM DATA",IF(O624&lt;0,"VENCIDO",IF(O624&lt;=DiasAlerta,"VENCE EM BREVE","NO PRAZO")))))))</f>
        <v/>
      </c>
      <c r="Q624" s="117" t="str">
        <f>IF(D624="","",TODAY()-D624)</f>
        <v/>
      </c>
      <c r="R624" s="110" t="n"/>
    </row>
    <row r="625" ht="18" customHeight="1">
      <c r="A625" s="109" t="n"/>
      <c r="B625" s="110" t="n"/>
      <c r="C625" s="110" t="n"/>
      <c r="D625" s="111" t="n"/>
      <c r="E625" s="110" t="n"/>
      <c r="F625" s="112" t="n"/>
      <c r="G625" s="112" t="n"/>
      <c r="H625" s="110" t="n"/>
      <c r="I625" s="113" t="n"/>
      <c r="J625" s="113" t="n"/>
      <c r="K625" s="111" t="n"/>
      <c r="L625" s="111" t="n"/>
      <c r="M625" s="111" t="n"/>
      <c r="N625" s="114" t="str">
        <f>IF(OR(D625="",E625=""),"",D625+IF(E625="NOTIFICAÇÃO DE CONSTATAÇÃO",PrazoConst,PrazoEsc))</f>
        <v/>
      </c>
      <c r="O625" s="115" t="str">
        <f>IF(N625="","",IF(ISNUMBER(L625),N625-L625,IF(OR(G625="DECISÃO D.P",ISNUMBER(M625)),"",N625-TODAY())))</f>
        <v/>
      </c>
      <c r="P625" s="116" t="str">
        <f>IF(B625="","",IF(ISNUMBER(M625),"DECIDIDO – ","")&amp;IF(ISNUMBER(L625),IF(O625="","SEM DATA",IF(O625&gt;=0,"DEFESA NO PRAZO","DEFESA FORA DO PRAZO")),IF(OR(G625="DECISÃO D.P",ISNUMBER(M625)),"SEM DEFESA",IF(G625="","SEM STATUS",IF(O625="","SEM DATA",IF(O625&lt;0,"VENCIDO",IF(O625&lt;=DiasAlerta,"VENCE EM BREVE","NO PRAZO")))))))</f>
        <v/>
      </c>
      <c r="Q625" s="117" t="str">
        <f>IF(D625="","",TODAY()-D625)</f>
        <v/>
      </c>
      <c r="R625" s="110" t="n"/>
    </row>
    <row r="626" ht="18" customHeight="1">
      <c r="A626" s="109" t="n"/>
      <c r="B626" s="110" t="n"/>
      <c r="C626" s="110" t="n"/>
      <c r="D626" s="111" t="n"/>
      <c r="E626" s="110" t="n"/>
      <c r="F626" s="112" t="n"/>
      <c r="G626" s="112" t="n"/>
      <c r="H626" s="110" t="n"/>
      <c r="I626" s="113" t="n"/>
      <c r="J626" s="113" t="n"/>
      <c r="K626" s="111" t="n"/>
      <c r="L626" s="111" t="n"/>
      <c r="M626" s="111" t="n"/>
      <c r="N626" s="114" t="str">
        <f>IF(OR(D626="",E626=""),"",D626+IF(E626="NOTIFICAÇÃO DE CONSTATAÇÃO",PrazoConst,PrazoEsc))</f>
        <v/>
      </c>
      <c r="O626" s="115" t="str">
        <f>IF(N626="","",IF(ISNUMBER(L626),N626-L626,IF(OR(G626="DECISÃO D.P",ISNUMBER(M626)),"",N626-TODAY())))</f>
        <v/>
      </c>
      <c r="P626" s="116" t="str">
        <f>IF(B626="","",IF(ISNUMBER(M626),"DECIDIDO – ","")&amp;IF(ISNUMBER(L626),IF(O626="","SEM DATA",IF(O626&gt;=0,"DEFESA NO PRAZO","DEFESA FORA DO PRAZO")),IF(OR(G626="DECISÃO D.P",ISNUMBER(M626)),"SEM DEFESA",IF(G626="","SEM STATUS",IF(O626="","SEM DATA",IF(O626&lt;0,"VENCIDO",IF(O626&lt;=DiasAlerta,"VENCE EM BREVE","NO PRAZO")))))))</f>
        <v/>
      </c>
      <c r="Q626" s="117" t="str">
        <f>IF(D626="","",TODAY()-D626)</f>
        <v/>
      </c>
      <c r="R626" s="110" t="n"/>
    </row>
    <row r="627" ht="18" customHeight="1">
      <c r="A627" s="109" t="n"/>
      <c r="B627" s="110" t="n"/>
      <c r="C627" s="110" t="n"/>
      <c r="D627" s="111" t="n"/>
      <c r="E627" s="110" t="n"/>
      <c r="F627" s="112" t="n"/>
      <c r="G627" s="112" t="n"/>
      <c r="H627" s="110" t="n"/>
      <c r="I627" s="113" t="n"/>
      <c r="J627" s="113" t="n"/>
      <c r="K627" s="111" t="n"/>
      <c r="L627" s="111" t="n"/>
      <c r="M627" s="111" t="n"/>
      <c r="N627" s="114" t="str">
        <f>IF(OR(D627="",E627=""),"",D627+IF(E627="NOTIFICAÇÃO DE CONSTATAÇÃO",PrazoConst,PrazoEsc))</f>
        <v/>
      </c>
      <c r="O627" s="115" t="str">
        <f>IF(N627="","",IF(ISNUMBER(L627),N627-L627,IF(OR(G627="DECISÃO D.P",ISNUMBER(M627)),"",N627-TODAY())))</f>
        <v/>
      </c>
      <c r="P627" s="116" t="str">
        <f>IF(B627="","",IF(ISNUMBER(M627),"DECIDIDO – ","")&amp;IF(ISNUMBER(L627),IF(O627="","SEM DATA",IF(O627&gt;=0,"DEFESA NO PRAZO","DEFESA FORA DO PRAZO")),IF(OR(G627="DECISÃO D.P",ISNUMBER(M627)),"SEM DEFESA",IF(G627="","SEM STATUS",IF(O627="","SEM DATA",IF(O627&lt;0,"VENCIDO",IF(O627&lt;=DiasAlerta,"VENCE EM BREVE","NO PRAZO")))))))</f>
        <v/>
      </c>
      <c r="Q627" s="117" t="str">
        <f>IF(D627="","",TODAY()-D627)</f>
        <v/>
      </c>
      <c r="R627" s="110" t="n"/>
    </row>
    <row r="628" ht="18" customHeight="1">
      <c r="A628" s="109" t="n"/>
      <c r="B628" s="110" t="n"/>
      <c r="C628" s="110" t="n"/>
      <c r="D628" s="111" t="n"/>
      <c r="E628" s="110" t="n"/>
      <c r="F628" s="112" t="n"/>
      <c r="G628" s="112" t="n"/>
      <c r="H628" s="110" t="n"/>
      <c r="I628" s="113" t="n"/>
      <c r="J628" s="113" t="n"/>
      <c r="K628" s="111" t="n"/>
      <c r="L628" s="111" t="n"/>
      <c r="M628" s="111" t="n"/>
      <c r="N628" s="114" t="str">
        <f>IF(OR(D628="",E628=""),"",D628+IF(E628="NOTIFICAÇÃO DE CONSTATAÇÃO",PrazoConst,PrazoEsc))</f>
        <v/>
      </c>
      <c r="O628" s="115" t="str">
        <f>IF(N628="","",IF(ISNUMBER(L628),N628-L628,IF(OR(G628="DECISÃO D.P",ISNUMBER(M628)),"",N628-TODAY())))</f>
        <v/>
      </c>
      <c r="P628" s="116" t="str">
        <f>IF(B628="","",IF(ISNUMBER(M628),"DECIDIDO – ","")&amp;IF(ISNUMBER(L628),IF(O628="","SEM DATA",IF(O628&gt;=0,"DEFESA NO PRAZO","DEFESA FORA DO PRAZO")),IF(OR(G628="DECISÃO D.P",ISNUMBER(M628)),"SEM DEFESA",IF(G628="","SEM STATUS",IF(O628="","SEM DATA",IF(O628&lt;0,"VENCIDO",IF(O628&lt;=DiasAlerta,"VENCE EM BREVE","NO PRAZO")))))))</f>
        <v/>
      </c>
      <c r="Q628" s="117" t="str">
        <f>IF(D628="","",TODAY()-D628)</f>
        <v/>
      </c>
      <c r="R628" s="110" t="n"/>
    </row>
    <row r="629" ht="18" customHeight="1">
      <c r="A629" s="109" t="n"/>
      <c r="B629" s="110" t="n"/>
      <c r="C629" s="110" t="n"/>
      <c r="D629" s="111" t="n"/>
      <c r="E629" s="110" t="n"/>
      <c r="F629" s="112" t="n"/>
      <c r="G629" s="112" t="n"/>
      <c r="H629" s="110" t="n"/>
      <c r="I629" s="113" t="n"/>
      <c r="J629" s="113" t="n"/>
      <c r="K629" s="111" t="n"/>
      <c r="L629" s="111" t="n"/>
      <c r="M629" s="111" t="n"/>
      <c r="N629" s="114" t="str">
        <f>IF(OR(D629="",E629=""),"",D629+IF(E629="NOTIFICAÇÃO DE CONSTATAÇÃO",PrazoConst,PrazoEsc))</f>
        <v/>
      </c>
      <c r="O629" s="115" t="str">
        <f>IF(N629="","",IF(ISNUMBER(L629),N629-L629,IF(OR(G629="DECISÃO D.P",ISNUMBER(M629)),"",N629-TODAY())))</f>
        <v/>
      </c>
      <c r="P629" s="116" t="str">
        <f>IF(B629="","",IF(ISNUMBER(M629),"DECIDIDO – ","")&amp;IF(ISNUMBER(L629),IF(O629="","SEM DATA",IF(O629&gt;=0,"DEFESA NO PRAZO","DEFESA FORA DO PRAZO")),IF(OR(G629="DECISÃO D.P",ISNUMBER(M629)),"SEM DEFESA",IF(G629="","SEM STATUS",IF(O629="","SEM DATA",IF(O629&lt;0,"VENCIDO",IF(O629&lt;=DiasAlerta,"VENCE EM BREVE","NO PRAZO")))))))</f>
        <v/>
      </c>
      <c r="Q629" s="117" t="str">
        <f>IF(D629="","",TODAY()-D629)</f>
        <v/>
      </c>
      <c r="R629" s="110" t="n"/>
    </row>
    <row r="630" ht="18" customHeight="1">
      <c r="A630" s="109" t="n"/>
      <c r="B630" s="110" t="n"/>
      <c r="C630" s="110" t="n"/>
      <c r="D630" s="111" t="n"/>
      <c r="E630" s="110" t="n"/>
      <c r="F630" s="112" t="n"/>
      <c r="G630" s="112" t="n"/>
      <c r="H630" s="110" t="n"/>
      <c r="I630" s="113" t="n"/>
      <c r="J630" s="113" t="n"/>
      <c r="K630" s="111" t="n"/>
      <c r="L630" s="111" t="n"/>
      <c r="M630" s="111" t="n"/>
      <c r="N630" s="114" t="str">
        <f>IF(OR(D630="",E630=""),"",D630+IF(E630="NOTIFICAÇÃO DE CONSTATAÇÃO",PrazoConst,PrazoEsc))</f>
        <v/>
      </c>
      <c r="O630" s="115" t="str">
        <f>IF(N630="","",IF(ISNUMBER(L630),N630-L630,IF(OR(G630="DECISÃO D.P",ISNUMBER(M630)),"",N630-TODAY())))</f>
        <v/>
      </c>
      <c r="P630" s="116" t="str">
        <f>IF(B630="","",IF(ISNUMBER(M630),"DECIDIDO – ","")&amp;IF(ISNUMBER(L630),IF(O630="","SEM DATA",IF(O630&gt;=0,"DEFESA NO PRAZO","DEFESA FORA DO PRAZO")),IF(OR(G630="DECISÃO D.P",ISNUMBER(M630)),"SEM DEFESA",IF(G630="","SEM STATUS",IF(O630="","SEM DATA",IF(O630&lt;0,"VENCIDO",IF(O630&lt;=DiasAlerta,"VENCE EM BREVE","NO PRAZO")))))))</f>
        <v/>
      </c>
      <c r="Q630" s="117" t="str">
        <f>IF(D630="","",TODAY()-D630)</f>
        <v/>
      </c>
      <c r="R630" s="110" t="n"/>
    </row>
    <row r="631" ht="18" customHeight="1">
      <c r="A631" s="109" t="n"/>
      <c r="B631" s="110" t="n"/>
      <c r="C631" s="110" t="n"/>
      <c r="D631" s="111" t="n"/>
      <c r="E631" s="110" t="n"/>
      <c r="F631" s="112" t="n"/>
      <c r="G631" s="112" t="n"/>
      <c r="H631" s="110" t="n"/>
      <c r="I631" s="113" t="n"/>
      <c r="J631" s="113" t="n"/>
      <c r="K631" s="111" t="n"/>
      <c r="L631" s="111" t="n"/>
      <c r="M631" s="111" t="n"/>
      <c r="N631" s="114" t="str">
        <f>IF(OR(D631="",E631=""),"",D631+IF(E631="NOTIFICAÇÃO DE CONSTATAÇÃO",PrazoConst,PrazoEsc))</f>
        <v/>
      </c>
      <c r="O631" s="115" t="str">
        <f>IF(N631="","",IF(ISNUMBER(L631),N631-L631,IF(OR(G631="DECISÃO D.P",ISNUMBER(M631)),"",N631-TODAY())))</f>
        <v/>
      </c>
      <c r="P631" s="116" t="str">
        <f>IF(B631="","",IF(ISNUMBER(M631),"DECIDIDO – ","")&amp;IF(ISNUMBER(L631),IF(O631="","SEM DATA",IF(O631&gt;=0,"DEFESA NO PRAZO","DEFESA FORA DO PRAZO")),IF(OR(G631="DECISÃO D.P",ISNUMBER(M631)),"SEM DEFESA",IF(G631="","SEM STATUS",IF(O631="","SEM DATA",IF(O631&lt;0,"VENCIDO",IF(O631&lt;=DiasAlerta,"VENCE EM BREVE","NO PRAZO")))))))</f>
        <v/>
      </c>
      <c r="Q631" s="117" t="str">
        <f>IF(D631="","",TODAY()-D631)</f>
        <v/>
      </c>
      <c r="R631" s="110" t="n"/>
    </row>
    <row r="632" ht="18" customHeight="1">
      <c r="A632" s="109" t="n"/>
      <c r="B632" s="110" t="n"/>
      <c r="C632" s="110" t="n"/>
      <c r="D632" s="111" t="n"/>
      <c r="E632" s="110" t="n"/>
      <c r="F632" s="112" t="n"/>
      <c r="G632" s="112" t="n"/>
      <c r="H632" s="110" t="n"/>
      <c r="I632" s="113" t="n"/>
      <c r="J632" s="113" t="n"/>
      <c r="K632" s="111" t="n"/>
      <c r="L632" s="111" t="n"/>
      <c r="M632" s="111" t="n"/>
      <c r="N632" s="114" t="str">
        <f>IF(OR(D632="",E632=""),"",D632+IF(E632="NOTIFICAÇÃO DE CONSTATAÇÃO",PrazoConst,PrazoEsc))</f>
        <v/>
      </c>
      <c r="O632" s="115" t="str">
        <f>IF(N632="","",IF(ISNUMBER(L632),N632-L632,IF(OR(G632="DECISÃO D.P",ISNUMBER(M632)),"",N632-TODAY())))</f>
        <v/>
      </c>
      <c r="P632" s="116" t="str">
        <f>IF(B632="","",IF(ISNUMBER(M632),"DECIDIDO – ","")&amp;IF(ISNUMBER(L632),IF(O632="","SEM DATA",IF(O632&gt;=0,"DEFESA NO PRAZO","DEFESA FORA DO PRAZO")),IF(OR(G632="DECISÃO D.P",ISNUMBER(M632)),"SEM DEFESA",IF(G632="","SEM STATUS",IF(O632="","SEM DATA",IF(O632&lt;0,"VENCIDO",IF(O632&lt;=DiasAlerta,"VENCE EM BREVE","NO PRAZO")))))))</f>
        <v/>
      </c>
      <c r="Q632" s="117" t="str">
        <f>IF(D632="","",TODAY()-D632)</f>
        <v/>
      </c>
      <c r="R632" s="110" t="n"/>
    </row>
    <row r="633" ht="18" customHeight="1">
      <c r="A633" s="109" t="n"/>
      <c r="B633" s="110" t="n"/>
      <c r="C633" s="110" t="n"/>
      <c r="D633" s="111" t="n"/>
      <c r="E633" s="110" t="n"/>
      <c r="F633" s="112" t="n"/>
      <c r="G633" s="112" t="n"/>
      <c r="H633" s="110" t="n"/>
      <c r="I633" s="113" t="n"/>
      <c r="J633" s="113" t="n"/>
      <c r="K633" s="111" t="n"/>
      <c r="L633" s="111" t="n"/>
      <c r="M633" s="111" t="n"/>
      <c r="N633" s="114" t="str">
        <f>IF(OR(D633="",E633=""),"",D633+IF(E633="NOTIFICAÇÃO DE CONSTATAÇÃO",PrazoConst,PrazoEsc))</f>
        <v/>
      </c>
      <c r="O633" s="115" t="str">
        <f>IF(N633="","",IF(ISNUMBER(L633),N633-L633,IF(OR(G633="DECISÃO D.P",ISNUMBER(M633)),"",N633-TODAY())))</f>
        <v/>
      </c>
      <c r="P633" s="116" t="str">
        <f>IF(B633="","",IF(ISNUMBER(M633),"DECIDIDO – ","")&amp;IF(ISNUMBER(L633),IF(O633="","SEM DATA",IF(O633&gt;=0,"DEFESA NO PRAZO","DEFESA FORA DO PRAZO")),IF(OR(G633="DECISÃO D.P",ISNUMBER(M633)),"SEM DEFESA",IF(G633="","SEM STATUS",IF(O633="","SEM DATA",IF(O633&lt;0,"VENCIDO",IF(O633&lt;=DiasAlerta,"VENCE EM BREVE","NO PRAZO")))))))</f>
        <v/>
      </c>
      <c r="Q633" s="117" t="str">
        <f>IF(D633="","",TODAY()-D633)</f>
        <v/>
      </c>
      <c r="R633" s="110" t="n"/>
    </row>
    <row r="634" ht="18" customHeight="1">
      <c r="A634" s="109" t="n"/>
      <c r="B634" s="110" t="n"/>
      <c r="C634" s="110" t="n"/>
      <c r="D634" s="111" t="n"/>
      <c r="E634" s="110" t="n"/>
      <c r="F634" s="112" t="n"/>
      <c r="G634" s="112" t="n"/>
      <c r="H634" s="110" t="n"/>
      <c r="I634" s="113" t="n"/>
      <c r="J634" s="113" t="n"/>
      <c r="K634" s="111" t="n"/>
      <c r="L634" s="111" t="n"/>
      <c r="M634" s="111" t="n"/>
      <c r="N634" s="114" t="str">
        <f>IF(OR(D634="",E634=""),"",D634+IF(E634="NOTIFICAÇÃO DE CONSTATAÇÃO",PrazoConst,PrazoEsc))</f>
        <v/>
      </c>
      <c r="O634" s="115" t="str">
        <f>IF(N634="","",IF(ISNUMBER(L634),N634-L634,IF(OR(G634="DECISÃO D.P",ISNUMBER(M634)),"",N634-TODAY())))</f>
        <v/>
      </c>
      <c r="P634" s="116" t="str">
        <f>IF(B634="","",IF(ISNUMBER(M634),"DECIDIDO – ","")&amp;IF(ISNUMBER(L634),IF(O634="","SEM DATA",IF(O634&gt;=0,"DEFESA NO PRAZO","DEFESA FORA DO PRAZO")),IF(OR(G634="DECISÃO D.P",ISNUMBER(M634)),"SEM DEFESA",IF(G634="","SEM STATUS",IF(O634="","SEM DATA",IF(O634&lt;0,"VENCIDO",IF(O634&lt;=DiasAlerta,"VENCE EM BREVE","NO PRAZO")))))))</f>
        <v/>
      </c>
      <c r="Q634" s="117" t="str">
        <f>IF(D634="","",TODAY()-D634)</f>
        <v/>
      </c>
      <c r="R634" s="110" t="n"/>
    </row>
    <row r="635" ht="18" customHeight="1">
      <c r="A635" s="109" t="n"/>
      <c r="B635" s="110" t="n"/>
      <c r="C635" s="110" t="n"/>
      <c r="D635" s="111" t="n"/>
      <c r="E635" s="110" t="n"/>
      <c r="F635" s="112" t="n"/>
      <c r="G635" s="112" t="n"/>
      <c r="H635" s="110" t="n"/>
      <c r="I635" s="113" t="n"/>
      <c r="J635" s="113" t="n"/>
      <c r="K635" s="111" t="n"/>
      <c r="L635" s="111" t="n"/>
      <c r="M635" s="111" t="n"/>
      <c r="N635" s="114" t="str">
        <f>IF(OR(D635="",E635=""),"",D635+IF(E635="NOTIFICAÇÃO DE CONSTATAÇÃO",PrazoConst,PrazoEsc))</f>
        <v/>
      </c>
      <c r="O635" s="115" t="str">
        <f>IF(N635="","",IF(ISNUMBER(L635),N635-L635,IF(OR(G635="DECISÃO D.P",ISNUMBER(M635)),"",N635-TODAY())))</f>
        <v/>
      </c>
      <c r="P635" s="116" t="str">
        <f>IF(B635="","",IF(ISNUMBER(M635),"DECIDIDO – ","")&amp;IF(ISNUMBER(L635),IF(O635="","SEM DATA",IF(O635&gt;=0,"DEFESA NO PRAZO","DEFESA FORA DO PRAZO")),IF(OR(G635="DECISÃO D.P",ISNUMBER(M635)),"SEM DEFESA",IF(G635="","SEM STATUS",IF(O635="","SEM DATA",IF(O635&lt;0,"VENCIDO",IF(O635&lt;=DiasAlerta,"VENCE EM BREVE","NO PRAZO")))))))</f>
        <v/>
      </c>
      <c r="Q635" s="117" t="str">
        <f>IF(D635="","",TODAY()-D635)</f>
        <v/>
      </c>
      <c r="R635" s="110" t="n"/>
    </row>
    <row r="636" ht="18" customHeight="1">
      <c r="A636" s="109" t="n"/>
      <c r="B636" s="110" t="n"/>
      <c r="C636" s="110" t="n"/>
      <c r="D636" s="111" t="n"/>
      <c r="E636" s="110" t="n"/>
      <c r="F636" s="112" t="n"/>
      <c r="G636" s="112" t="n"/>
      <c r="H636" s="110" t="n"/>
      <c r="I636" s="113" t="n"/>
      <c r="J636" s="113" t="n"/>
      <c r="K636" s="111" t="n"/>
      <c r="L636" s="111" t="n"/>
      <c r="M636" s="111" t="n"/>
      <c r="N636" s="114" t="str">
        <f>IF(OR(D636="",E636=""),"",D636+IF(E636="NOTIFICAÇÃO DE CONSTATAÇÃO",PrazoConst,PrazoEsc))</f>
        <v/>
      </c>
      <c r="O636" s="115" t="str">
        <f>IF(N636="","",IF(ISNUMBER(L636),N636-L636,IF(OR(G636="DECISÃO D.P",ISNUMBER(M636)),"",N636-TODAY())))</f>
        <v/>
      </c>
      <c r="P636" s="116" t="str">
        <f>IF(B636="","",IF(ISNUMBER(M636),"DECIDIDO – ","")&amp;IF(ISNUMBER(L636),IF(O636="","SEM DATA",IF(O636&gt;=0,"DEFESA NO PRAZO","DEFESA FORA DO PRAZO")),IF(OR(G636="DECISÃO D.P",ISNUMBER(M636)),"SEM DEFESA",IF(G636="","SEM STATUS",IF(O636="","SEM DATA",IF(O636&lt;0,"VENCIDO",IF(O636&lt;=DiasAlerta,"VENCE EM BREVE","NO PRAZO")))))))</f>
        <v/>
      </c>
      <c r="Q636" s="117" t="str">
        <f>IF(D636="","",TODAY()-D636)</f>
        <v/>
      </c>
      <c r="R636" s="110" t="n"/>
    </row>
    <row r="637" ht="18" customHeight="1">
      <c r="A637" s="109" t="n"/>
      <c r="B637" s="110" t="n"/>
      <c r="C637" s="110" t="n"/>
      <c r="D637" s="111" t="n"/>
      <c r="E637" s="110" t="n"/>
      <c r="F637" s="112" t="n"/>
      <c r="G637" s="112" t="n"/>
      <c r="H637" s="110" t="n"/>
      <c r="I637" s="113" t="n"/>
      <c r="J637" s="113" t="n"/>
      <c r="K637" s="111" t="n"/>
      <c r="L637" s="111" t="n"/>
      <c r="M637" s="111" t="n"/>
      <c r="N637" s="114" t="str">
        <f>IF(OR(D637="",E637=""),"",D637+IF(E637="NOTIFICAÇÃO DE CONSTATAÇÃO",PrazoConst,PrazoEsc))</f>
        <v/>
      </c>
      <c r="O637" s="115" t="str">
        <f>IF(N637="","",IF(ISNUMBER(L637),N637-L637,IF(OR(G637="DECISÃO D.P",ISNUMBER(M637)),"",N637-TODAY())))</f>
        <v/>
      </c>
      <c r="P637" s="116" t="str">
        <f>IF(B637="","",IF(ISNUMBER(M637),"DECIDIDO – ","")&amp;IF(ISNUMBER(L637),IF(O637="","SEM DATA",IF(O637&gt;=0,"DEFESA NO PRAZO","DEFESA FORA DO PRAZO")),IF(OR(G637="DECISÃO D.P",ISNUMBER(M637)),"SEM DEFESA",IF(G637="","SEM STATUS",IF(O637="","SEM DATA",IF(O637&lt;0,"VENCIDO",IF(O637&lt;=DiasAlerta,"VENCE EM BREVE","NO PRAZO")))))))</f>
        <v/>
      </c>
      <c r="Q637" s="117" t="str">
        <f>IF(D637="","",TODAY()-D637)</f>
        <v/>
      </c>
      <c r="R637" s="110" t="n"/>
    </row>
    <row r="638" ht="18" customHeight="1">
      <c r="A638" s="109" t="n"/>
      <c r="B638" s="110" t="n"/>
      <c r="C638" s="110" t="n"/>
      <c r="D638" s="111" t="n"/>
      <c r="E638" s="110" t="n"/>
      <c r="F638" s="112" t="n"/>
      <c r="G638" s="112" t="n"/>
      <c r="H638" s="110" t="n"/>
      <c r="I638" s="113" t="n"/>
      <c r="J638" s="113" t="n"/>
      <c r="K638" s="111" t="n"/>
      <c r="L638" s="111" t="n"/>
      <c r="M638" s="111" t="n"/>
      <c r="N638" s="114" t="str">
        <f>IF(OR(D638="",E638=""),"",D638+IF(E638="NOTIFICAÇÃO DE CONSTATAÇÃO",PrazoConst,PrazoEsc))</f>
        <v/>
      </c>
      <c r="O638" s="115" t="str">
        <f>IF(N638="","",IF(ISNUMBER(L638),N638-L638,IF(OR(G638="DECISÃO D.P",ISNUMBER(M638)),"",N638-TODAY())))</f>
        <v/>
      </c>
      <c r="P638" s="116" t="str">
        <f>IF(B638="","",IF(ISNUMBER(M638),"DECIDIDO – ","")&amp;IF(ISNUMBER(L638),IF(O638="","SEM DATA",IF(O638&gt;=0,"DEFESA NO PRAZO","DEFESA FORA DO PRAZO")),IF(OR(G638="DECISÃO D.P",ISNUMBER(M638)),"SEM DEFESA",IF(G638="","SEM STATUS",IF(O638="","SEM DATA",IF(O638&lt;0,"VENCIDO",IF(O638&lt;=DiasAlerta,"VENCE EM BREVE","NO PRAZO")))))))</f>
        <v/>
      </c>
      <c r="Q638" s="117" t="str">
        <f>IF(D638="","",TODAY()-D638)</f>
        <v/>
      </c>
      <c r="R638" s="110" t="n"/>
    </row>
    <row r="639" ht="18" customHeight="1">
      <c r="A639" s="109" t="n"/>
      <c r="B639" s="110" t="n"/>
      <c r="C639" s="110" t="n"/>
      <c r="D639" s="111" t="n"/>
      <c r="E639" s="110" t="n"/>
      <c r="F639" s="112" t="n"/>
      <c r="G639" s="112" t="n"/>
      <c r="H639" s="110" t="n"/>
      <c r="I639" s="113" t="n"/>
      <c r="J639" s="113" t="n"/>
      <c r="K639" s="111" t="n"/>
      <c r="L639" s="111" t="n"/>
      <c r="M639" s="111" t="n"/>
      <c r="N639" s="114" t="str">
        <f>IF(OR(D639="",E639=""),"",D639+IF(E639="NOTIFICAÇÃO DE CONSTATAÇÃO",PrazoConst,PrazoEsc))</f>
        <v/>
      </c>
      <c r="O639" s="115" t="str">
        <f>IF(N639="","",IF(ISNUMBER(L639),N639-L639,IF(OR(G639="DECISÃO D.P",ISNUMBER(M639)),"",N639-TODAY())))</f>
        <v/>
      </c>
      <c r="P639" s="116" t="str">
        <f>IF(B639="","",IF(ISNUMBER(M639),"DECIDIDO – ","")&amp;IF(ISNUMBER(L639),IF(O639="","SEM DATA",IF(O639&gt;=0,"DEFESA NO PRAZO","DEFESA FORA DO PRAZO")),IF(OR(G639="DECISÃO D.P",ISNUMBER(M639)),"SEM DEFESA",IF(G639="","SEM STATUS",IF(O639="","SEM DATA",IF(O639&lt;0,"VENCIDO",IF(O639&lt;=DiasAlerta,"VENCE EM BREVE","NO PRAZO")))))))</f>
        <v/>
      </c>
      <c r="Q639" s="117" t="str">
        <f>IF(D639="","",TODAY()-D639)</f>
        <v/>
      </c>
      <c r="R639" s="110" t="n"/>
    </row>
    <row r="640" ht="18" customHeight="1">
      <c r="A640" s="109" t="n"/>
      <c r="B640" s="110" t="n"/>
      <c r="C640" s="110" t="n"/>
      <c r="D640" s="111" t="n"/>
      <c r="E640" s="110" t="n"/>
      <c r="F640" s="112" t="n"/>
      <c r="G640" s="112" t="n"/>
      <c r="H640" s="110" t="n"/>
      <c r="I640" s="113" t="n"/>
      <c r="J640" s="113" t="n"/>
      <c r="K640" s="111" t="n"/>
      <c r="L640" s="111" t="n"/>
      <c r="M640" s="111" t="n"/>
      <c r="N640" s="114" t="str">
        <f>IF(OR(D640="",E640=""),"",D640+IF(E640="NOTIFICAÇÃO DE CONSTATAÇÃO",PrazoConst,PrazoEsc))</f>
        <v/>
      </c>
      <c r="O640" s="115" t="str">
        <f>IF(N640="","",IF(ISNUMBER(L640),N640-L640,IF(OR(G640="DECISÃO D.P",ISNUMBER(M640)),"",N640-TODAY())))</f>
        <v/>
      </c>
      <c r="P640" s="116" t="str">
        <f>IF(B640="","",IF(ISNUMBER(M640),"DECIDIDO – ","")&amp;IF(ISNUMBER(L640),IF(O640="","SEM DATA",IF(O640&gt;=0,"DEFESA NO PRAZO","DEFESA FORA DO PRAZO")),IF(OR(G640="DECISÃO D.P",ISNUMBER(M640)),"SEM DEFESA",IF(G640="","SEM STATUS",IF(O640="","SEM DATA",IF(O640&lt;0,"VENCIDO",IF(O640&lt;=DiasAlerta,"VENCE EM BREVE","NO PRAZO")))))))</f>
        <v/>
      </c>
      <c r="Q640" s="117" t="str">
        <f>IF(D640="","",TODAY()-D640)</f>
        <v/>
      </c>
      <c r="R640" s="110" t="n"/>
    </row>
    <row r="641" ht="18" customHeight="1">
      <c r="A641" s="109" t="n"/>
      <c r="B641" s="110" t="n"/>
      <c r="C641" s="110" t="n"/>
      <c r="D641" s="111" t="n"/>
      <c r="E641" s="110" t="n"/>
      <c r="F641" s="112" t="n"/>
      <c r="G641" s="112" t="n"/>
      <c r="H641" s="110" t="n"/>
      <c r="I641" s="113" t="n"/>
      <c r="J641" s="113" t="n"/>
      <c r="K641" s="111" t="n"/>
      <c r="L641" s="111" t="n"/>
      <c r="M641" s="111" t="n"/>
      <c r="N641" s="114" t="str">
        <f>IF(OR(D641="",E641=""),"",D641+IF(E641="NOTIFICAÇÃO DE CONSTATAÇÃO",PrazoConst,PrazoEsc))</f>
        <v/>
      </c>
      <c r="O641" s="115" t="str">
        <f>IF(N641="","",IF(ISNUMBER(L641),N641-L641,IF(OR(G641="DECISÃO D.P",ISNUMBER(M641)),"",N641-TODAY())))</f>
        <v/>
      </c>
      <c r="P641" s="116" t="str">
        <f>IF(B641="","",IF(ISNUMBER(M641),"DECIDIDO – ","")&amp;IF(ISNUMBER(L641),IF(O641="","SEM DATA",IF(O641&gt;=0,"DEFESA NO PRAZO","DEFESA FORA DO PRAZO")),IF(OR(G641="DECISÃO D.P",ISNUMBER(M641)),"SEM DEFESA",IF(G641="","SEM STATUS",IF(O641="","SEM DATA",IF(O641&lt;0,"VENCIDO",IF(O641&lt;=DiasAlerta,"VENCE EM BREVE","NO PRAZO")))))))</f>
        <v/>
      </c>
      <c r="Q641" s="117" t="str">
        <f>IF(D641="","",TODAY()-D641)</f>
        <v/>
      </c>
      <c r="R641" s="110" t="n"/>
    </row>
    <row r="642" ht="18" customHeight="1">
      <c r="A642" s="109" t="n"/>
      <c r="B642" s="110" t="n"/>
      <c r="C642" s="110" t="n"/>
      <c r="D642" s="111" t="n"/>
      <c r="E642" s="110" t="n"/>
      <c r="F642" s="112" t="n"/>
      <c r="G642" s="112" t="n"/>
      <c r="H642" s="110" t="n"/>
      <c r="I642" s="113" t="n"/>
      <c r="J642" s="113" t="n"/>
      <c r="K642" s="111" t="n"/>
      <c r="L642" s="111" t="n"/>
      <c r="M642" s="111" t="n"/>
      <c r="N642" s="114" t="str">
        <f>IF(OR(D642="",E642=""),"",D642+IF(E642="NOTIFICAÇÃO DE CONSTATAÇÃO",PrazoConst,PrazoEsc))</f>
        <v/>
      </c>
      <c r="O642" s="115" t="str">
        <f>IF(N642="","",IF(ISNUMBER(L642),N642-L642,IF(OR(G642="DECISÃO D.P",ISNUMBER(M642)),"",N642-TODAY())))</f>
        <v/>
      </c>
      <c r="P642" s="116" t="str">
        <f>IF(B642="","",IF(ISNUMBER(M642),"DECIDIDO – ","")&amp;IF(ISNUMBER(L642),IF(O642="","SEM DATA",IF(O642&gt;=0,"DEFESA NO PRAZO","DEFESA FORA DO PRAZO")),IF(OR(G642="DECISÃO D.P",ISNUMBER(M642)),"SEM DEFESA",IF(G642="","SEM STATUS",IF(O642="","SEM DATA",IF(O642&lt;0,"VENCIDO",IF(O642&lt;=DiasAlerta,"VENCE EM BREVE","NO PRAZO")))))))</f>
        <v/>
      </c>
      <c r="Q642" s="117" t="str">
        <f>IF(D642="","",TODAY()-D642)</f>
        <v/>
      </c>
      <c r="R642" s="110" t="n"/>
    </row>
    <row r="643" ht="18" customHeight="1">
      <c r="A643" s="109" t="n"/>
      <c r="B643" s="110" t="n"/>
      <c r="C643" s="110" t="n"/>
      <c r="D643" s="111" t="n"/>
      <c r="E643" s="110" t="n"/>
      <c r="F643" s="112" t="n"/>
      <c r="G643" s="112" t="n"/>
      <c r="H643" s="110" t="n"/>
      <c r="I643" s="113" t="n"/>
      <c r="J643" s="113" t="n"/>
      <c r="K643" s="111" t="n"/>
      <c r="L643" s="111" t="n"/>
      <c r="M643" s="111" t="n"/>
      <c r="N643" s="114" t="str">
        <f>IF(OR(D643="",E643=""),"",D643+IF(E643="NOTIFICAÇÃO DE CONSTATAÇÃO",PrazoConst,PrazoEsc))</f>
        <v/>
      </c>
      <c r="O643" s="115" t="str">
        <f>IF(N643="","",IF(ISNUMBER(L643),N643-L643,IF(OR(G643="DECISÃO D.P",ISNUMBER(M643)),"",N643-TODAY())))</f>
        <v/>
      </c>
      <c r="P643" s="116" t="str">
        <f>IF(B643="","",IF(ISNUMBER(M643),"DECIDIDO – ","")&amp;IF(ISNUMBER(L643),IF(O643="","SEM DATA",IF(O643&gt;=0,"DEFESA NO PRAZO","DEFESA FORA DO PRAZO")),IF(OR(G643="DECISÃO D.P",ISNUMBER(M643)),"SEM DEFESA",IF(G643="","SEM STATUS",IF(O643="","SEM DATA",IF(O643&lt;0,"VENCIDO",IF(O643&lt;=DiasAlerta,"VENCE EM BREVE","NO PRAZO")))))))</f>
        <v/>
      </c>
      <c r="Q643" s="117" t="str">
        <f>IF(D643="","",TODAY()-D643)</f>
        <v/>
      </c>
      <c r="R643" s="110" t="n"/>
    </row>
    <row r="644" ht="18" customHeight="1">
      <c r="A644" s="109" t="n"/>
      <c r="B644" s="110" t="n"/>
      <c r="C644" s="110" t="n"/>
      <c r="D644" s="111" t="n"/>
      <c r="E644" s="110" t="n"/>
      <c r="F644" s="112" t="n"/>
      <c r="G644" s="112" t="n"/>
      <c r="H644" s="110" t="n"/>
      <c r="I644" s="113" t="n"/>
      <c r="J644" s="113" t="n"/>
      <c r="K644" s="111" t="n"/>
      <c r="L644" s="111" t="n"/>
      <c r="M644" s="111" t="n"/>
      <c r="N644" s="114" t="str">
        <f>IF(OR(D644="",E644=""),"",D644+IF(E644="NOTIFICAÇÃO DE CONSTATAÇÃO",PrazoConst,PrazoEsc))</f>
        <v/>
      </c>
      <c r="O644" s="115" t="str">
        <f>IF(N644="","",IF(ISNUMBER(L644),N644-L644,IF(OR(G644="DECISÃO D.P",ISNUMBER(M644)),"",N644-TODAY())))</f>
        <v/>
      </c>
      <c r="P644" s="116" t="str">
        <f>IF(B644="","",IF(ISNUMBER(M644),"DECIDIDO – ","")&amp;IF(ISNUMBER(L644),IF(O644="","SEM DATA",IF(O644&gt;=0,"DEFESA NO PRAZO","DEFESA FORA DO PRAZO")),IF(OR(G644="DECISÃO D.P",ISNUMBER(M644)),"SEM DEFESA",IF(G644="","SEM STATUS",IF(O644="","SEM DATA",IF(O644&lt;0,"VENCIDO",IF(O644&lt;=DiasAlerta,"VENCE EM BREVE","NO PRAZO")))))))</f>
        <v/>
      </c>
      <c r="Q644" s="117" t="str">
        <f>IF(D644="","",TODAY()-D644)</f>
        <v/>
      </c>
      <c r="R644" s="110" t="n"/>
    </row>
    <row r="645" ht="18" customHeight="1">
      <c r="A645" s="109" t="n"/>
      <c r="B645" s="110" t="n"/>
      <c r="C645" s="110" t="n"/>
      <c r="D645" s="111" t="n"/>
      <c r="E645" s="110" t="n"/>
      <c r="F645" s="112" t="n"/>
      <c r="G645" s="112" t="n"/>
      <c r="H645" s="110" t="n"/>
      <c r="I645" s="113" t="n"/>
      <c r="J645" s="113" t="n"/>
      <c r="K645" s="111" t="n"/>
      <c r="L645" s="111" t="n"/>
      <c r="M645" s="111" t="n"/>
      <c r="N645" s="114" t="str">
        <f>IF(OR(D645="",E645=""),"",D645+IF(E645="NOTIFICAÇÃO DE CONSTATAÇÃO",PrazoConst,PrazoEsc))</f>
        <v/>
      </c>
      <c r="O645" s="115" t="str">
        <f>IF(N645="","",IF(ISNUMBER(L645),N645-L645,IF(OR(G645="DECISÃO D.P",ISNUMBER(M645)),"",N645-TODAY())))</f>
        <v/>
      </c>
      <c r="P645" s="116" t="str">
        <f>IF(B645="","",IF(ISNUMBER(M645),"DECIDIDO – ","")&amp;IF(ISNUMBER(L645),IF(O645="","SEM DATA",IF(O645&gt;=0,"DEFESA NO PRAZO","DEFESA FORA DO PRAZO")),IF(OR(G645="DECISÃO D.P",ISNUMBER(M645)),"SEM DEFESA",IF(G645="","SEM STATUS",IF(O645="","SEM DATA",IF(O645&lt;0,"VENCIDO",IF(O645&lt;=DiasAlerta,"VENCE EM BREVE","NO PRAZO")))))))</f>
        <v/>
      </c>
      <c r="Q645" s="117" t="str">
        <f>IF(D645="","",TODAY()-D645)</f>
        <v/>
      </c>
      <c r="R645" s="110" t="n"/>
    </row>
    <row r="646" ht="18" customHeight="1">
      <c r="A646" s="109" t="n"/>
      <c r="B646" s="110" t="n"/>
      <c r="C646" s="110" t="n"/>
      <c r="D646" s="111" t="n"/>
      <c r="E646" s="110" t="n"/>
      <c r="F646" s="112" t="n"/>
      <c r="G646" s="112" t="n"/>
      <c r="H646" s="110" t="n"/>
      <c r="I646" s="113" t="n"/>
      <c r="J646" s="113" t="n"/>
      <c r="K646" s="111" t="n"/>
      <c r="L646" s="111" t="n"/>
      <c r="M646" s="111" t="n"/>
      <c r="N646" s="114" t="str">
        <f>IF(OR(D646="",E646=""),"",D646+IF(E646="NOTIFICAÇÃO DE CONSTATAÇÃO",PrazoConst,PrazoEsc))</f>
        <v/>
      </c>
      <c r="O646" s="115" t="str">
        <f>IF(N646="","",IF(ISNUMBER(L646),N646-L646,IF(OR(G646="DECISÃO D.P",ISNUMBER(M646)),"",N646-TODAY())))</f>
        <v/>
      </c>
      <c r="P646" s="116" t="str">
        <f>IF(B646="","",IF(ISNUMBER(M646),"DECIDIDO – ","")&amp;IF(ISNUMBER(L646),IF(O646="","SEM DATA",IF(O646&gt;=0,"DEFESA NO PRAZO","DEFESA FORA DO PRAZO")),IF(OR(G646="DECISÃO D.P",ISNUMBER(M646)),"SEM DEFESA",IF(G646="","SEM STATUS",IF(O646="","SEM DATA",IF(O646&lt;0,"VENCIDO",IF(O646&lt;=DiasAlerta,"VENCE EM BREVE","NO PRAZO")))))))</f>
        <v/>
      </c>
      <c r="Q646" s="117" t="str">
        <f>IF(D646="","",TODAY()-D646)</f>
        <v/>
      </c>
      <c r="R646" s="110" t="n"/>
    </row>
    <row r="647" ht="18" customHeight="1">
      <c r="A647" s="109" t="n"/>
      <c r="B647" s="110" t="n"/>
      <c r="C647" s="110" t="n"/>
      <c r="D647" s="111" t="n"/>
      <c r="E647" s="110" t="n"/>
      <c r="F647" s="112" t="n"/>
      <c r="G647" s="112" t="n"/>
      <c r="H647" s="110" t="n"/>
      <c r="I647" s="113" t="n"/>
      <c r="J647" s="113" t="n"/>
      <c r="K647" s="111" t="n"/>
      <c r="L647" s="111" t="n"/>
      <c r="M647" s="111" t="n"/>
      <c r="N647" s="114" t="str">
        <f>IF(OR(D647="",E647=""),"",D647+IF(E647="NOTIFICAÇÃO DE CONSTATAÇÃO",PrazoConst,PrazoEsc))</f>
        <v/>
      </c>
      <c r="O647" s="115" t="str">
        <f>IF(N647="","",IF(ISNUMBER(L647),N647-L647,IF(OR(G647="DECISÃO D.P",ISNUMBER(M647)),"",N647-TODAY())))</f>
        <v/>
      </c>
      <c r="P647" s="116" t="str">
        <f>IF(B647="","",IF(ISNUMBER(M647),"DECIDIDO – ","")&amp;IF(ISNUMBER(L647),IF(O647="","SEM DATA",IF(O647&gt;=0,"DEFESA NO PRAZO","DEFESA FORA DO PRAZO")),IF(OR(G647="DECISÃO D.P",ISNUMBER(M647)),"SEM DEFESA",IF(G647="","SEM STATUS",IF(O647="","SEM DATA",IF(O647&lt;0,"VENCIDO",IF(O647&lt;=DiasAlerta,"VENCE EM BREVE","NO PRAZO")))))))</f>
        <v/>
      </c>
      <c r="Q647" s="117" t="str">
        <f>IF(D647="","",TODAY()-D647)</f>
        <v/>
      </c>
      <c r="R647" s="110" t="n"/>
    </row>
    <row r="648" ht="18" customHeight="1">
      <c r="A648" s="109" t="n"/>
      <c r="B648" s="110" t="n"/>
      <c r="C648" s="110" t="n"/>
      <c r="D648" s="111" t="n"/>
      <c r="E648" s="110" t="n"/>
      <c r="F648" s="112" t="n"/>
      <c r="G648" s="112" t="n"/>
      <c r="H648" s="110" t="n"/>
      <c r="I648" s="113" t="n"/>
      <c r="J648" s="113" t="n"/>
      <c r="K648" s="111" t="n"/>
      <c r="L648" s="111" t="n"/>
      <c r="M648" s="111" t="n"/>
      <c r="N648" s="114" t="str">
        <f>IF(OR(D648="",E648=""),"",D648+IF(E648="NOTIFICAÇÃO DE CONSTATAÇÃO",PrazoConst,PrazoEsc))</f>
        <v/>
      </c>
      <c r="O648" s="115" t="str">
        <f>IF(N648="","",IF(ISNUMBER(L648),N648-L648,IF(OR(G648="DECISÃO D.P",ISNUMBER(M648)),"",N648-TODAY())))</f>
        <v/>
      </c>
      <c r="P648" s="116" t="str">
        <f>IF(B648="","",IF(ISNUMBER(M648),"DECIDIDO – ","")&amp;IF(ISNUMBER(L648),IF(O648="","SEM DATA",IF(O648&gt;=0,"DEFESA NO PRAZO","DEFESA FORA DO PRAZO")),IF(OR(G648="DECISÃO D.P",ISNUMBER(M648)),"SEM DEFESA",IF(G648="","SEM STATUS",IF(O648="","SEM DATA",IF(O648&lt;0,"VENCIDO",IF(O648&lt;=DiasAlerta,"VENCE EM BREVE","NO PRAZO")))))))</f>
        <v/>
      </c>
      <c r="Q648" s="117" t="str">
        <f>IF(D648="","",TODAY()-D648)</f>
        <v/>
      </c>
      <c r="R648" s="110" t="n"/>
    </row>
    <row r="649" ht="18" customHeight="1">
      <c r="A649" s="109" t="n"/>
      <c r="B649" s="110" t="n"/>
      <c r="C649" s="110" t="n"/>
      <c r="D649" s="111" t="n"/>
      <c r="E649" s="110" t="n"/>
      <c r="F649" s="112" t="n"/>
      <c r="G649" s="112" t="n"/>
      <c r="H649" s="110" t="n"/>
      <c r="I649" s="113" t="n"/>
      <c r="J649" s="113" t="n"/>
      <c r="K649" s="111" t="n"/>
      <c r="L649" s="111" t="n"/>
      <c r="M649" s="111" t="n"/>
      <c r="N649" s="114" t="str">
        <f>IF(OR(D649="",E649=""),"",D649+IF(E649="NOTIFICAÇÃO DE CONSTATAÇÃO",PrazoConst,PrazoEsc))</f>
        <v/>
      </c>
      <c r="O649" s="115" t="str">
        <f>IF(N649="","",IF(ISNUMBER(L649),N649-L649,IF(OR(G649="DECISÃO D.P",ISNUMBER(M649)),"",N649-TODAY())))</f>
        <v/>
      </c>
      <c r="P649" s="116" t="str">
        <f>IF(B649="","",IF(ISNUMBER(M649),"DECIDIDO – ","")&amp;IF(ISNUMBER(L649),IF(O649="","SEM DATA",IF(O649&gt;=0,"DEFESA NO PRAZO","DEFESA FORA DO PRAZO")),IF(OR(G649="DECISÃO D.P",ISNUMBER(M649)),"SEM DEFESA",IF(G649="","SEM STATUS",IF(O649="","SEM DATA",IF(O649&lt;0,"VENCIDO",IF(O649&lt;=DiasAlerta,"VENCE EM BREVE","NO PRAZO")))))))</f>
        <v/>
      </c>
      <c r="Q649" s="117" t="str">
        <f>IF(D649="","",TODAY()-D649)</f>
        <v/>
      </c>
      <c r="R649" s="110" t="n"/>
    </row>
    <row r="650" ht="18" customHeight="1">
      <c r="A650" s="109" t="n"/>
      <c r="B650" s="110" t="n"/>
      <c r="C650" s="110" t="n"/>
      <c r="D650" s="111" t="n"/>
      <c r="E650" s="110" t="n"/>
      <c r="F650" s="112" t="n"/>
      <c r="G650" s="112" t="n"/>
      <c r="H650" s="110" t="n"/>
      <c r="I650" s="113" t="n"/>
      <c r="J650" s="113" t="n"/>
      <c r="K650" s="111" t="n"/>
      <c r="L650" s="111" t="n"/>
      <c r="M650" s="111" t="n"/>
      <c r="N650" s="114" t="str">
        <f>IF(OR(D650="",E650=""),"",D650+IF(E650="NOTIFICAÇÃO DE CONSTATAÇÃO",PrazoConst,PrazoEsc))</f>
        <v/>
      </c>
      <c r="O650" s="115" t="str">
        <f>IF(N650="","",IF(ISNUMBER(L650),N650-L650,IF(OR(G650="DECISÃO D.P",ISNUMBER(M650)),"",N650-TODAY())))</f>
        <v/>
      </c>
      <c r="P650" s="116" t="str">
        <f>IF(B650="","",IF(ISNUMBER(M650),"DECIDIDO – ","")&amp;IF(ISNUMBER(L650),IF(O650="","SEM DATA",IF(O650&gt;=0,"DEFESA NO PRAZO","DEFESA FORA DO PRAZO")),IF(OR(G650="DECISÃO D.P",ISNUMBER(M650)),"SEM DEFESA",IF(G650="","SEM STATUS",IF(O650="","SEM DATA",IF(O650&lt;0,"VENCIDO",IF(O650&lt;=DiasAlerta,"VENCE EM BREVE","NO PRAZO")))))))</f>
        <v/>
      </c>
      <c r="Q650" s="117" t="str">
        <f>IF(D650="","",TODAY()-D650)</f>
        <v/>
      </c>
      <c r="R650" s="110" t="n"/>
    </row>
    <row r="651" ht="18" customHeight="1">
      <c r="A651" s="109" t="n"/>
      <c r="B651" s="110" t="n"/>
      <c r="C651" s="110" t="n"/>
      <c r="D651" s="111" t="n"/>
      <c r="E651" s="110" t="n"/>
      <c r="F651" s="112" t="n"/>
      <c r="G651" s="112" t="n"/>
      <c r="H651" s="110" t="n"/>
      <c r="I651" s="113" t="n"/>
      <c r="J651" s="113" t="n"/>
      <c r="K651" s="111" t="n"/>
      <c r="L651" s="111" t="n"/>
      <c r="M651" s="111" t="n"/>
      <c r="N651" s="114" t="str">
        <f>IF(OR(D651="",E651=""),"",D651+IF(E651="NOTIFICAÇÃO DE CONSTATAÇÃO",PrazoConst,PrazoEsc))</f>
        <v/>
      </c>
      <c r="O651" s="115" t="str">
        <f>IF(N651="","",IF(ISNUMBER(L651),N651-L651,IF(OR(G651="DECISÃO D.P",ISNUMBER(M651)),"",N651-TODAY())))</f>
        <v/>
      </c>
      <c r="P651" s="116" t="str">
        <f>IF(B651="","",IF(ISNUMBER(M651),"DECIDIDO – ","")&amp;IF(ISNUMBER(L651),IF(O651="","SEM DATA",IF(O651&gt;=0,"DEFESA NO PRAZO","DEFESA FORA DO PRAZO")),IF(OR(G651="DECISÃO D.P",ISNUMBER(M651)),"SEM DEFESA",IF(G651="","SEM STATUS",IF(O651="","SEM DATA",IF(O651&lt;0,"VENCIDO",IF(O651&lt;=DiasAlerta,"VENCE EM BREVE","NO PRAZO")))))))</f>
        <v/>
      </c>
      <c r="Q651" s="117" t="str">
        <f>IF(D651="","",TODAY()-D651)</f>
        <v/>
      </c>
      <c r="R651" s="110" t="n"/>
    </row>
    <row r="652" ht="18" customHeight="1">
      <c r="A652" s="109" t="n"/>
      <c r="B652" s="110" t="n"/>
      <c r="C652" s="110" t="n"/>
      <c r="D652" s="111" t="n"/>
      <c r="E652" s="110" t="n"/>
      <c r="F652" s="112" t="n"/>
      <c r="G652" s="112" t="n"/>
      <c r="H652" s="110" t="n"/>
      <c r="I652" s="113" t="n"/>
      <c r="J652" s="113" t="n"/>
      <c r="K652" s="111" t="n"/>
      <c r="L652" s="111" t="n"/>
      <c r="M652" s="111" t="n"/>
      <c r="N652" s="114" t="str">
        <f>IF(OR(D652="",E652=""),"",D652+IF(E652="NOTIFICAÇÃO DE CONSTATAÇÃO",PrazoConst,PrazoEsc))</f>
        <v/>
      </c>
      <c r="O652" s="115" t="str">
        <f>IF(N652="","",IF(ISNUMBER(L652),N652-L652,IF(OR(G652="DECISÃO D.P",ISNUMBER(M652)),"",N652-TODAY())))</f>
        <v/>
      </c>
      <c r="P652" s="116" t="str">
        <f>IF(B652="","",IF(ISNUMBER(M652),"DECIDIDO – ","")&amp;IF(ISNUMBER(L652),IF(O652="","SEM DATA",IF(O652&gt;=0,"DEFESA NO PRAZO","DEFESA FORA DO PRAZO")),IF(OR(G652="DECISÃO D.P",ISNUMBER(M652)),"SEM DEFESA",IF(G652="","SEM STATUS",IF(O652="","SEM DATA",IF(O652&lt;0,"VENCIDO",IF(O652&lt;=DiasAlerta,"VENCE EM BREVE","NO PRAZO")))))))</f>
        <v/>
      </c>
      <c r="Q652" s="117" t="str">
        <f>IF(D652="","",TODAY()-D652)</f>
        <v/>
      </c>
      <c r="R652" s="110" t="n"/>
    </row>
    <row r="653" ht="18" customHeight="1">
      <c r="A653" s="109" t="n"/>
      <c r="B653" s="110" t="n"/>
      <c r="C653" s="110" t="n"/>
      <c r="D653" s="111" t="n"/>
      <c r="E653" s="110" t="n"/>
      <c r="F653" s="112" t="n"/>
      <c r="G653" s="112" t="n"/>
      <c r="H653" s="110" t="n"/>
      <c r="I653" s="113" t="n"/>
      <c r="J653" s="113" t="n"/>
      <c r="K653" s="111" t="n"/>
      <c r="L653" s="111" t="n"/>
      <c r="M653" s="111" t="n"/>
      <c r="N653" s="114" t="str">
        <f>IF(OR(D653="",E653=""),"",D653+IF(E653="NOTIFICAÇÃO DE CONSTATAÇÃO",PrazoConst,PrazoEsc))</f>
        <v/>
      </c>
      <c r="O653" s="115" t="str">
        <f>IF(N653="","",IF(ISNUMBER(L653),N653-L653,IF(OR(G653="DECISÃO D.P",ISNUMBER(M653)),"",N653-TODAY())))</f>
        <v/>
      </c>
      <c r="P653" s="116" t="str">
        <f>IF(B653="","",IF(ISNUMBER(M653),"DECIDIDO – ","")&amp;IF(ISNUMBER(L653),IF(O653="","SEM DATA",IF(O653&gt;=0,"DEFESA NO PRAZO","DEFESA FORA DO PRAZO")),IF(OR(G653="DECISÃO D.P",ISNUMBER(M653)),"SEM DEFESA",IF(G653="","SEM STATUS",IF(O653="","SEM DATA",IF(O653&lt;0,"VENCIDO",IF(O653&lt;=DiasAlerta,"VENCE EM BREVE","NO PRAZO")))))))</f>
        <v/>
      </c>
      <c r="Q653" s="117" t="str">
        <f>IF(D653="","",TODAY()-D653)</f>
        <v/>
      </c>
      <c r="R653" s="110" t="n"/>
    </row>
    <row r="654" ht="18" customHeight="1">
      <c r="A654" s="109" t="n"/>
      <c r="B654" s="110" t="n"/>
      <c r="C654" s="110" t="n"/>
      <c r="D654" s="111" t="n"/>
      <c r="E654" s="110" t="n"/>
      <c r="F654" s="112" t="n"/>
      <c r="G654" s="112" t="n"/>
      <c r="H654" s="110" t="n"/>
      <c r="I654" s="113" t="n"/>
      <c r="J654" s="113" t="n"/>
      <c r="K654" s="111" t="n"/>
      <c r="L654" s="111" t="n"/>
      <c r="M654" s="111" t="n"/>
      <c r="N654" s="114" t="str">
        <f>IF(OR(D654="",E654=""),"",D654+IF(E654="NOTIFICAÇÃO DE CONSTATAÇÃO",PrazoConst,PrazoEsc))</f>
        <v/>
      </c>
      <c r="O654" s="115" t="str">
        <f>IF(N654="","",IF(ISNUMBER(L654),N654-L654,IF(OR(G654="DECISÃO D.P",ISNUMBER(M654)),"",N654-TODAY())))</f>
        <v/>
      </c>
      <c r="P654" s="116" t="str">
        <f>IF(B654="","",IF(ISNUMBER(M654),"DECIDIDO – ","")&amp;IF(ISNUMBER(L654),IF(O654="","SEM DATA",IF(O654&gt;=0,"DEFESA NO PRAZO","DEFESA FORA DO PRAZO")),IF(OR(G654="DECISÃO D.P",ISNUMBER(M654)),"SEM DEFESA",IF(G654="","SEM STATUS",IF(O654="","SEM DATA",IF(O654&lt;0,"VENCIDO",IF(O654&lt;=DiasAlerta,"VENCE EM BREVE","NO PRAZO")))))))</f>
        <v/>
      </c>
      <c r="Q654" s="117" t="str">
        <f>IF(D654="","",TODAY()-D654)</f>
        <v/>
      </c>
      <c r="R654" s="110" t="n"/>
    </row>
    <row r="655" ht="18" customHeight="1">
      <c r="A655" s="109" t="n"/>
      <c r="B655" s="110" t="n"/>
      <c r="C655" s="110" t="n"/>
      <c r="D655" s="111" t="n"/>
      <c r="E655" s="110" t="n"/>
      <c r="F655" s="112" t="n"/>
      <c r="G655" s="112" t="n"/>
      <c r="H655" s="110" t="n"/>
      <c r="I655" s="113" t="n"/>
      <c r="J655" s="113" t="n"/>
      <c r="K655" s="111" t="n"/>
      <c r="L655" s="111" t="n"/>
      <c r="M655" s="111" t="n"/>
      <c r="N655" s="114" t="str">
        <f>IF(OR(D655="",E655=""),"",D655+IF(E655="NOTIFICAÇÃO DE CONSTATAÇÃO",PrazoConst,PrazoEsc))</f>
        <v/>
      </c>
      <c r="O655" s="115" t="str">
        <f>IF(N655="","",IF(ISNUMBER(L655),N655-L655,IF(OR(G655="DECISÃO D.P",ISNUMBER(M655)),"",N655-TODAY())))</f>
        <v/>
      </c>
      <c r="P655" s="116" t="str">
        <f>IF(B655="","",IF(ISNUMBER(M655),"DECIDIDO – ","")&amp;IF(ISNUMBER(L655),IF(O655="","SEM DATA",IF(O655&gt;=0,"DEFESA NO PRAZO","DEFESA FORA DO PRAZO")),IF(OR(G655="DECISÃO D.P",ISNUMBER(M655)),"SEM DEFESA",IF(G655="","SEM STATUS",IF(O655="","SEM DATA",IF(O655&lt;0,"VENCIDO",IF(O655&lt;=DiasAlerta,"VENCE EM BREVE","NO PRAZO")))))))</f>
        <v/>
      </c>
      <c r="Q655" s="117" t="str">
        <f>IF(D655="","",TODAY()-D655)</f>
        <v/>
      </c>
      <c r="R655" s="110" t="n"/>
    </row>
    <row r="656" ht="18" customHeight="1">
      <c r="A656" s="109" t="n"/>
      <c r="B656" s="110" t="n"/>
      <c r="C656" s="110" t="n"/>
      <c r="D656" s="111" t="n"/>
      <c r="E656" s="110" t="n"/>
      <c r="F656" s="112" t="n"/>
      <c r="G656" s="112" t="n"/>
      <c r="H656" s="110" t="n"/>
      <c r="I656" s="113" t="n"/>
      <c r="J656" s="113" t="n"/>
      <c r="K656" s="111" t="n"/>
      <c r="L656" s="111" t="n"/>
      <c r="M656" s="111" t="n"/>
      <c r="N656" s="114" t="str">
        <f>IF(OR(D656="",E656=""),"",D656+IF(E656="NOTIFICAÇÃO DE CONSTATAÇÃO",PrazoConst,PrazoEsc))</f>
        <v/>
      </c>
      <c r="O656" s="115" t="str">
        <f>IF(N656="","",IF(ISNUMBER(L656),N656-L656,IF(OR(G656="DECISÃO D.P",ISNUMBER(M656)),"",N656-TODAY())))</f>
        <v/>
      </c>
      <c r="P656" s="116" t="str">
        <f>IF(B656="","",IF(ISNUMBER(M656),"DECIDIDO – ","")&amp;IF(ISNUMBER(L656),IF(O656="","SEM DATA",IF(O656&gt;=0,"DEFESA NO PRAZO","DEFESA FORA DO PRAZO")),IF(OR(G656="DECISÃO D.P",ISNUMBER(M656)),"SEM DEFESA",IF(G656="","SEM STATUS",IF(O656="","SEM DATA",IF(O656&lt;0,"VENCIDO",IF(O656&lt;=DiasAlerta,"VENCE EM BREVE","NO PRAZO")))))))</f>
        <v/>
      </c>
      <c r="Q656" s="117" t="str">
        <f>IF(D656="","",TODAY()-D656)</f>
        <v/>
      </c>
      <c r="R656" s="110" t="n"/>
    </row>
    <row r="657" ht="18" customHeight="1">
      <c r="A657" s="109" t="n"/>
      <c r="B657" s="110" t="n"/>
      <c r="C657" s="110" t="n"/>
      <c r="D657" s="111" t="n"/>
      <c r="E657" s="110" t="n"/>
      <c r="F657" s="112" t="n"/>
      <c r="G657" s="112" t="n"/>
      <c r="H657" s="110" t="n"/>
      <c r="I657" s="113" t="n"/>
      <c r="J657" s="113" t="n"/>
      <c r="K657" s="111" t="n"/>
      <c r="L657" s="111" t="n"/>
      <c r="M657" s="111" t="n"/>
      <c r="N657" s="114" t="str">
        <f>IF(OR(D657="",E657=""),"",D657+IF(E657="NOTIFICAÇÃO DE CONSTATAÇÃO",PrazoConst,PrazoEsc))</f>
        <v/>
      </c>
      <c r="O657" s="115" t="str">
        <f>IF(N657="","",IF(ISNUMBER(L657),N657-L657,IF(OR(G657="DECISÃO D.P",ISNUMBER(M657)),"",N657-TODAY())))</f>
        <v/>
      </c>
      <c r="P657" s="116" t="str">
        <f>IF(B657="","",IF(ISNUMBER(M657),"DECIDIDO – ","")&amp;IF(ISNUMBER(L657),IF(O657="","SEM DATA",IF(O657&gt;=0,"DEFESA NO PRAZO","DEFESA FORA DO PRAZO")),IF(OR(G657="DECISÃO D.P",ISNUMBER(M657)),"SEM DEFESA",IF(G657="","SEM STATUS",IF(O657="","SEM DATA",IF(O657&lt;0,"VENCIDO",IF(O657&lt;=DiasAlerta,"VENCE EM BREVE","NO PRAZO")))))))</f>
        <v/>
      </c>
      <c r="Q657" s="117" t="str">
        <f>IF(D657="","",TODAY()-D657)</f>
        <v/>
      </c>
      <c r="R657" s="110" t="n"/>
    </row>
    <row r="658" ht="18" customHeight="1">
      <c r="A658" s="109" t="n"/>
      <c r="B658" s="110" t="n"/>
      <c r="C658" s="110" t="n"/>
      <c r="D658" s="111" t="n"/>
      <c r="E658" s="110" t="n"/>
      <c r="F658" s="112" t="n"/>
      <c r="G658" s="112" t="n"/>
      <c r="H658" s="110" t="n"/>
      <c r="I658" s="113" t="n"/>
      <c r="J658" s="113" t="n"/>
      <c r="K658" s="111" t="n"/>
      <c r="L658" s="111" t="n"/>
      <c r="M658" s="111" t="n"/>
      <c r="N658" s="114" t="str">
        <f>IF(OR(D658="",E658=""),"",D658+IF(E658="NOTIFICAÇÃO DE CONSTATAÇÃO",PrazoConst,PrazoEsc))</f>
        <v/>
      </c>
      <c r="O658" s="115" t="str">
        <f>IF(N658="","",IF(ISNUMBER(L658),N658-L658,IF(OR(G658="DECISÃO D.P",ISNUMBER(M658)),"",N658-TODAY())))</f>
        <v/>
      </c>
      <c r="P658" s="116" t="str">
        <f>IF(B658="","",IF(ISNUMBER(M658),"DECIDIDO – ","")&amp;IF(ISNUMBER(L658),IF(O658="","SEM DATA",IF(O658&gt;=0,"DEFESA NO PRAZO","DEFESA FORA DO PRAZO")),IF(OR(G658="DECISÃO D.P",ISNUMBER(M658)),"SEM DEFESA",IF(G658="","SEM STATUS",IF(O658="","SEM DATA",IF(O658&lt;0,"VENCIDO",IF(O658&lt;=DiasAlerta,"VENCE EM BREVE","NO PRAZO")))))))</f>
        <v/>
      </c>
      <c r="Q658" s="117" t="str">
        <f>IF(D658="","",TODAY()-D658)</f>
        <v/>
      </c>
      <c r="R658" s="110" t="n"/>
    </row>
    <row r="659" ht="18" customHeight="1">
      <c r="A659" s="109" t="n"/>
      <c r="B659" s="110" t="n"/>
      <c r="C659" s="110" t="n"/>
      <c r="D659" s="111" t="n"/>
      <c r="E659" s="110" t="n"/>
      <c r="F659" s="112" t="n"/>
      <c r="G659" s="112" t="n"/>
      <c r="H659" s="110" t="n"/>
      <c r="I659" s="113" t="n"/>
      <c r="J659" s="113" t="n"/>
      <c r="K659" s="111" t="n"/>
      <c r="L659" s="111" t="n"/>
      <c r="M659" s="111" t="n"/>
      <c r="N659" s="114" t="str">
        <f>IF(OR(D659="",E659=""),"",D659+IF(E659="NOTIFICAÇÃO DE CONSTATAÇÃO",PrazoConst,PrazoEsc))</f>
        <v/>
      </c>
      <c r="O659" s="115" t="str">
        <f>IF(N659="","",IF(ISNUMBER(L659),N659-L659,IF(OR(G659="DECISÃO D.P",ISNUMBER(M659)),"",N659-TODAY())))</f>
        <v/>
      </c>
      <c r="P659" s="116" t="str">
        <f>IF(B659="","",IF(ISNUMBER(M659),"DECIDIDO – ","")&amp;IF(ISNUMBER(L659),IF(O659="","SEM DATA",IF(O659&gt;=0,"DEFESA NO PRAZO","DEFESA FORA DO PRAZO")),IF(OR(G659="DECISÃO D.P",ISNUMBER(M659)),"SEM DEFESA",IF(G659="","SEM STATUS",IF(O659="","SEM DATA",IF(O659&lt;0,"VENCIDO",IF(O659&lt;=DiasAlerta,"VENCE EM BREVE","NO PRAZO")))))))</f>
        <v/>
      </c>
      <c r="Q659" s="117" t="str">
        <f>IF(D659="","",TODAY()-D659)</f>
        <v/>
      </c>
      <c r="R659" s="110" t="n"/>
    </row>
    <row r="660" ht="18" customHeight="1">
      <c r="A660" s="109" t="n"/>
      <c r="B660" s="110" t="n"/>
      <c r="C660" s="110" t="n"/>
      <c r="D660" s="111" t="n"/>
      <c r="E660" s="110" t="n"/>
      <c r="F660" s="112" t="n"/>
      <c r="G660" s="112" t="n"/>
      <c r="H660" s="110" t="n"/>
      <c r="I660" s="113" t="n"/>
      <c r="J660" s="113" t="n"/>
      <c r="K660" s="111" t="n"/>
      <c r="L660" s="111" t="n"/>
      <c r="M660" s="111" t="n"/>
      <c r="N660" s="114" t="str">
        <f>IF(OR(D660="",E660=""),"",D660+IF(E660="NOTIFICAÇÃO DE CONSTATAÇÃO",PrazoConst,PrazoEsc))</f>
        <v/>
      </c>
      <c r="O660" s="115" t="str">
        <f>IF(N660="","",IF(ISNUMBER(L660),N660-L660,IF(OR(G660="DECISÃO D.P",ISNUMBER(M660)),"",N660-TODAY())))</f>
        <v/>
      </c>
      <c r="P660" s="116" t="str">
        <f>IF(B660="","",IF(ISNUMBER(M660),"DECIDIDO – ","")&amp;IF(ISNUMBER(L660),IF(O660="","SEM DATA",IF(O660&gt;=0,"DEFESA NO PRAZO","DEFESA FORA DO PRAZO")),IF(OR(G660="DECISÃO D.P",ISNUMBER(M660)),"SEM DEFESA",IF(G660="","SEM STATUS",IF(O660="","SEM DATA",IF(O660&lt;0,"VENCIDO",IF(O660&lt;=DiasAlerta,"VENCE EM BREVE","NO PRAZO")))))))</f>
        <v/>
      </c>
      <c r="Q660" s="117" t="str">
        <f>IF(D660="","",TODAY()-D660)</f>
        <v/>
      </c>
      <c r="R660" s="110" t="n"/>
    </row>
    <row r="661" ht="18" customHeight="1">
      <c r="A661" s="109" t="n"/>
      <c r="B661" s="110" t="n"/>
      <c r="C661" s="110" t="n"/>
      <c r="D661" s="111" t="n"/>
      <c r="E661" s="110" t="n"/>
      <c r="F661" s="112" t="n"/>
      <c r="G661" s="112" t="n"/>
      <c r="H661" s="110" t="n"/>
      <c r="I661" s="113" t="n"/>
      <c r="J661" s="113" t="n"/>
      <c r="K661" s="111" t="n"/>
      <c r="L661" s="111" t="n"/>
      <c r="M661" s="111" t="n"/>
      <c r="N661" s="114" t="str">
        <f>IF(OR(D661="",E661=""),"",D661+IF(E661="NOTIFICAÇÃO DE CONSTATAÇÃO",PrazoConst,PrazoEsc))</f>
        <v/>
      </c>
      <c r="O661" s="115" t="str">
        <f>IF(N661="","",IF(ISNUMBER(L661),N661-L661,IF(OR(G661="DECISÃO D.P",ISNUMBER(M661)),"",N661-TODAY())))</f>
        <v/>
      </c>
      <c r="P661" s="116" t="str">
        <f>IF(B661="","",IF(ISNUMBER(M661),"DECIDIDO – ","")&amp;IF(ISNUMBER(L661),IF(O661="","SEM DATA",IF(O661&gt;=0,"DEFESA NO PRAZO","DEFESA FORA DO PRAZO")),IF(OR(G661="DECISÃO D.P",ISNUMBER(M661)),"SEM DEFESA",IF(G661="","SEM STATUS",IF(O661="","SEM DATA",IF(O661&lt;0,"VENCIDO",IF(O661&lt;=DiasAlerta,"VENCE EM BREVE","NO PRAZO")))))))</f>
        <v/>
      </c>
      <c r="Q661" s="117" t="str">
        <f>IF(D661="","",TODAY()-D661)</f>
        <v/>
      </c>
      <c r="R661" s="110" t="n"/>
    </row>
    <row r="662" ht="18" customHeight="1">
      <c r="A662" s="109" t="n"/>
      <c r="B662" s="110" t="n"/>
      <c r="C662" s="110" t="n"/>
      <c r="D662" s="111" t="n"/>
      <c r="E662" s="110" t="n"/>
      <c r="F662" s="112" t="n"/>
      <c r="G662" s="112" t="n"/>
      <c r="H662" s="110" t="n"/>
      <c r="I662" s="113" t="n"/>
      <c r="J662" s="113" t="n"/>
      <c r="K662" s="111" t="n"/>
      <c r="L662" s="111" t="n"/>
      <c r="M662" s="111" t="n"/>
      <c r="N662" s="114" t="str">
        <f>IF(OR(D662="",E662=""),"",D662+IF(E662="NOTIFICAÇÃO DE CONSTATAÇÃO",PrazoConst,PrazoEsc))</f>
        <v/>
      </c>
      <c r="O662" s="115" t="str">
        <f>IF(N662="","",IF(ISNUMBER(L662),N662-L662,IF(OR(G662="DECISÃO D.P",ISNUMBER(M662)),"",N662-TODAY())))</f>
        <v/>
      </c>
      <c r="P662" s="116" t="str">
        <f>IF(B662="","",IF(ISNUMBER(M662),"DECIDIDO – ","")&amp;IF(ISNUMBER(L662),IF(O662="","SEM DATA",IF(O662&gt;=0,"DEFESA NO PRAZO","DEFESA FORA DO PRAZO")),IF(OR(G662="DECISÃO D.P",ISNUMBER(M662)),"SEM DEFESA",IF(G662="","SEM STATUS",IF(O662="","SEM DATA",IF(O662&lt;0,"VENCIDO",IF(O662&lt;=DiasAlerta,"VENCE EM BREVE","NO PRAZO")))))))</f>
        <v/>
      </c>
      <c r="Q662" s="117" t="str">
        <f>IF(D662="","",TODAY()-D662)</f>
        <v/>
      </c>
      <c r="R662" s="110" t="n"/>
    </row>
    <row r="663" ht="18" customHeight="1">
      <c r="A663" s="109" t="n"/>
      <c r="B663" s="110" t="n"/>
      <c r="C663" s="110" t="n"/>
      <c r="D663" s="111" t="n"/>
      <c r="E663" s="110" t="n"/>
      <c r="F663" s="112" t="n"/>
      <c r="G663" s="112" t="n"/>
      <c r="H663" s="110" t="n"/>
      <c r="I663" s="113" t="n"/>
      <c r="J663" s="113" t="n"/>
      <c r="K663" s="111" t="n"/>
      <c r="L663" s="111" t="n"/>
      <c r="M663" s="111" t="n"/>
      <c r="N663" s="114" t="str">
        <f>IF(OR(D663="",E663=""),"",D663+IF(E663="NOTIFICAÇÃO DE CONSTATAÇÃO",PrazoConst,PrazoEsc))</f>
        <v/>
      </c>
      <c r="O663" s="115" t="str">
        <f>IF(N663="","",IF(ISNUMBER(L663),N663-L663,IF(OR(G663="DECISÃO D.P",ISNUMBER(M663)),"",N663-TODAY())))</f>
        <v/>
      </c>
      <c r="P663" s="116" t="str">
        <f>IF(B663="","",IF(ISNUMBER(M663),"DECIDIDO – ","")&amp;IF(ISNUMBER(L663),IF(O663="","SEM DATA",IF(O663&gt;=0,"DEFESA NO PRAZO","DEFESA FORA DO PRAZO")),IF(OR(G663="DECISÃO D.P",ISNUMBER(M663)),"SEM DEFESA",IF(G663="","SEM STATUS",IF(O663="","SEM DATA",IF(O663&lt;0,"VENCIDO",IF(O663&lt;=DiasAlerta,"VENCE EM BREVE","NO PRAZO")))))))</f>
        <v/>
      </c>
      <c r="Q663" s="117" t="str">
        <f>IF(D663="","",TODAY()-D663)</f>
        <v/>
      </c>
      <c r="R663" s="110" t="n"/>
    </row>
    <row r="664" ht="18" customHeight="1">
      <c r="A664" s="109" t="n"/>
      <c r="B664" s="110" t="n"/>
      <c r="C664" s="110" t="n"/>
      <c r="D664" s="111" t="n"/>
      <c r="E664" s="110" t="n"/>
      <c r="F664" s="112" t="n"/>
      <c r="G664" s="112" t="n"/>
      <c r="H664" s="110" t="n"/>
      <c r="I664" s="113" t="n"/>
      <c r="J664" s="113" t="n"/>
      <c r="K664" s="111" t="n"/>
      <c r="L664" s="111" t="n"/>
      <c r="M664" s="111" t="n"/>
      <c r="N664" s="114" t="str">
        <f>IF(OR(D664="",E664=""),"",D664+IF(E664="NOTIFICAÇÃO DE CONSTATAÇÃO",PrazoConst,PrazoEsc))</f>
        <v/>
      </c>
      <c r="O664" s="115" t="str">
        <f>IF(N664="","",IF(ISNUMBER(L664),N664-L664,IF(OR(G664="DECISÃO D.P",ISNUMBER(M664)),"",N664-TODAY())))</f>
        <v/>
      </c>
      <c r="P664" s="116" t="str">
        <f>IF(B664="","",IF(ISNUMBER(M664),"DECIDIDO – ","")&amp;IF(ISNUMBER(L664),IF(O664="","SEM DATA",IF(O664&gt;=0,"DEFESA NO PRAZO","DEFESA FORA DO PRAZO")),IF(OR(G664="DECISÃO D.P",ISNUMBER(M664)),"SEM DEFESA",IF(G664="","SEM STATUS",IF(O664="","SEM DATA",IF(O664&lt;0,"VENCIDO",IF(O664&lt;=DiasAlerta,"VENCE EM BREVE","NO PRAZO")))))))</f>
        <v/>
      </c>
      <c r="Q664" s="117" t="str">
        <f>IF(D664="","",TODAY()-D664)</f>
        <v/>
      </c>
      <c r="R664" s="110" t="n"/>
    </row>
    <row r="665" ht="18" customHeight="1">
      <c r="A665" s="109" t="n"/>
      <c r="B665" s="110" t="n"/>
      <c r="C665" s="110" t="n"/>
      <c r="D665" s="111" t="n"/>
      <c r="E665" s="110" t="n"/>
      <c r="F665" s="112" t="n"/>
      <c r="G665" s="112" t="n"/>
      <c r="H665" s="110" t="n"/>
      <c r="I665" s="113" t="n"/>
      <c r="J665" s="113" t="n"/>
      <c r="K665" s="111" t="n"/>
      <c r="L665" s="111" t="n"/>
      <c r="M665" s="111" t="n"/>
      <c r="N665" s="114" t="str">
        <f>IF(OR(D665="",E665=""),"",D665+IF(E665="NOTIFICAÇÃO DE CONSTATAÇÃO",PrazoConst,PrazoEsc))</f>
        <v/>
      </c>
      <c r="O665" s="115" t="str">
        <f>IF(N665="","",IF(ISNUMBER(L665),N665-L665,IF(OR(G665="DECISÃO D.P",ISNUMBER(M665)),"",N665-TODAY())))</f>
        <v/>
      </c>
      <c r="P665" s="116" t="str">
        <f>IF(B665="","",IF(ISNUMBER(M665),"DECIDIDO – ","")&amp;IF(ISNUMBER(L665),IF(O665="","SEM DATA",IF(O665&gt;=0,"DEFESA NO PRAZO","DEFESA FORA DO PRAZO")),IF(OR(G665="DECISÃO D.P",ISNUMBER(M665)),"SEM DEFESA",IF(G665="","SEM STATUS",IF(O665="","SEM DATA",IF(O665&lt;0,"VENCIDO",IF(O665&lt;=DiasAlerta,"VENCE EM BREVE","NO PRAZO")))))))</f>
        <v/>
      </c>
      <c r="Q665" s="117" t="str">
        <f>IF(D665="","",TODAY()-D665)</f>
        <v/>
      </c>
      <c r="R665" s="110" t="n"/>
    </row>
    <row r="666" ht="18" customHeight="1">
      <c r="A666" s="109" t="n"/>
      <c r="B666" s="110" t="n"/>
      <c r="C666" s="110" t="n"/>
      <c r="D666" s="111" t="n"/>
      <c r="E666" s="110" t="n"/>
      <c r="F666" s="112" t="n"/>
      <c r="G666" s="112" t="n"/>
      <c r="H666" s="110" t="n"/>
      <c r="I666" s="113" t="n"/>
      <c r="J666" s="113" t="n"/>
      <c r="K666" s="111" t="n"/>
      <c r="L666" s="111" t="n"/>
      <c r="M666" s="111" t="n"/>
      <c r="N666" s="114" t="str">
        <f>IF(OR(D666="",E666=""),"",D666+IF(E666="NOTIFICAÇÃO DE CONSTATAÇÃO",PrazoConst,PrazoEsc))</f>
        <v/>
      </c>
      <c r="O666" s="115" t="str">
        <f>IF(N666="","",IF(ISNUMBER(L666),N666-L666,IF(OR(G666="DECISÃO D.P",ISNUMBER(M666)),"",N666-TODAY())))</f>
        <v/>
      </c>
      <c r="P666" s="116" t="str">
        <f>IF(B666="","",IF(ISNUMBER(M666),"DECIDIDO – ","")&amp;IF(ISNUMBER(L666),IF(O666="","SEM DATA",IF(O666&gt;=0,"DEFESA NO PRAZO","DEFESA FORA DO PRAZO")),IF(OR(G666="DECISÃO D.P",ISNUMBER(M666)),"SEM DEFESA",IF(G666="","SEM STATUS",IF(O666="","SEM DATA",IF(O666&lt;0,"VENCIDO",IF(O666&lt;=DiasAlerta,"VENCE EM BREVE","NO PRAZO")))))))</f>
        <v/>
      </c>
      <c r="Q666" s="117" t="str">
        <f>IF(D666="","",TODAY()-D666)</f>
        <v/>
      </c>
      <c r="R666" s="110" t="n"/>
    </row>
    <row r="667" ht="18" customHeight="1">
      <c r="A667" s="109" t="n"/>
      <c r="B667" s="110" t="n"/>
      <c r="C667" s="110" t="n"/>
      <c r="D667" s="111" t="n"/>
      <c r="E667" s="110" t="n"/>
      <c r="F667" s="112" t="n"/>
      <c r="G667" s="112" t="n"/>
      <c r="H667" s="110" t="n"/>
      <c r="I667" s="113" t="n"/>
      <c r="J667" s="113" t="n"/>
      <c r="K667" s="111" t="n"/>
      <c r="L667" s="111" t="n"/>
      <c r="M667" s="111" t="n"/>
      <c r="N667" s="114" t="str">
        <f>IF(OR(D667="",E667=""),"",D667+IF(E667="NOTIFICAÇÃO DE CONSTATAÇÃO",PrazoConst,PrazoEsc))</f>
        <v/>
      </c>
      <c r="O667" s="115" t="str">
        <f>IF(N667="","",IF(ISNUMBER(L667),N667-L667,IF(OR(G667="DECISÃO D.P",ISNUMBER(M667)),"",N667-TODAY())))</f>
        <v/>
      </c>
      <c r="P667" s="116" t="str">
        <f>IF(B667="","",IF(ISNUMBER(M667),"DECIDIDO – ","")&amp;IF(ISNUMBER(L667),IF(O667="","SEM DATA",IF(O667&gt;=0,"DEFESA NO PRAZO","DEFESA FORA DO PRAZO")),IF(OR(G667="DECISÃO D.P",ISNUMBER(M667)),"SEM DEFESA",IF(G667="","SEM STATUS",IF(O667="","SEM DATA",IF(O667&lt;0,"VENCIDO",IF(O667&lt;=DiasAlerta,"VENCE EM BREVE","NO PRAZO")))))))</f>
        <v/>
      </c>
      <c r="Q667" s="117" t="str">
        <f>IF(D667="","",TODAY()-D667)</f>
        <v/>
      </c>
      <c r="R667" s="110" t="n"/>
    </row>
    <row r="668" ht="18" customHeight="1">
      <c r="A668" s="109" t="n"/>
      <c r="B668" s="110" t="n"/>
      <c r="C668" s="110" t="n"/>
      <c r="D668" s="111" t="n"/>
      <c r="E668" s="110" t="n"/>
      <c r="F668" s="112" t="n"/>
      <c r="G668" s="112" t="n"/>
      <c r="H668" s="110" t="n"/>
      <c r="I668" s="113" t="n"/>
      <c r="J668" s="113" t="n"/>
      <c r="K668" s="111" t="n"/>
      <c r="L668" s="111" t="n"/>
      <c r="M668" s="111" t="n"/>
      <c r="N668" s="114" t="str">
        <f>IF(OR(D668="",E668=""),"",D668+IF(E668="NOTIFICAÇÃO DE CONSTATAÇÃO",PrazoConst,PrazoEsc))</f>
        <v/>
      </c>
      <c r="O668" s="115" t="str">
        <f>IF(N668="","",IF(ISNUMBER(L668),N668-L668,IF(OR(G668="DECISÃO D.P",ISNUMBER(M668)),"",N668-TODAY())))</f>
        <v/>
      </c>
      <c r="P668" s="116" t="str">
        <f>IF(B668="","",IF(ISNUMBER(M668),"DECIDIDO – ","")&amp;IF(ISNUMBER(L668),IF(O668="","SEM DATA",IF(O668&gt;=0,"DEFESA NO PRAZO","DEFESA FORA DO PRAZO")),IF(OR(G668="DECISÃO D.P",ISNUMBER(M668)),"SEM DEFESA",IF(G668="","SEM STATUS",IF(O668="","SEM DATA",IF(O668&lt;0,"VENCIDO",IF(O668&lt;=DiasAlerta,"VENCE EM BREVE","NO PRAZO")))))))</f>
        <v/>
      </c>
      <c r="Q668" s="117" t="str">
        <f>IF(D668="","",TODAY()-D668)</f>
        <v/>
      </c>
      <c r="R668" s="110" t="n"/>
    </row>
    <row r="669" ht="18" customHeight="1">
      <c r="A669" s="109" t="n"/>
      <c r="B669" s="110" t="n"/>
      <c r="C669" s="110" t="n"/>
      <c r="D669" s="111" t="n"/>
      <c r="E669" s="110" t="n"/>
      <c r="F669" s="112" t="n"/>
      <c r="G669" s="112" t="n"/>
      <c r="H669" s="110" t="n"/>
      <c r="I669" s="113" t="n"/>
      <c r="J669" s="113" t="n"/>
      <c r="K669" s="111" t="n"/>
      <c r="L669" s="111" t="n"/>
      <c r="M669" s="111" t="n"/>
      <c r="N669" s="114" t="str">
        <f>IF(OR(D669="",E669=""),"",D669+IF(E669="NOTIFICAÇÃO DE CONSTATAÇÃO",PrazoConst,PrazoEsc))</f>
        <v/>
      </c>
      <c r="O669" s="115" t="str">
        <f>IF(N669="","",IF(ISNUMBER(L669),N669-L669,IF(OR(G669="DECISÃO D.P",ISNUMBER(M669)),"",N669-TODAY())))</f>
        <v/>
      </c>
      <c r="P669" s="116" t="str">
        <f>IF(B669="","",IF(ISNUMBER(M669),"DECIDIDO – ","")&amp;IF(ISNUMBER(L669),IF(O669="","SEM DATA",IF(O669&gt;=0,"DEFESA NO PRAZO","DEFESA FORA DO PRAZO")),IF(OR(G669="DECISÃO D.P",ISNUMBER(M669)),"SEM DEFESA",IF(G669="","SEM STATUS",IF(O669="","SEM DATA",IF(O669&lt;0,"VENCIDO",IF(O669&lt;=DiasAlerta,"VENCE EM BREVE","NO PRAZO")))))))</f>
        <v/>
      </c>
      <c r="Q669" s="117" t="str">
        <f>IF(D669="","",TODAY()-D669)</f>
        <v/>
      </c>
      <c r="R669" s="110" t="n"/>
    </row>
    <row r="670" ht="18" customHeight="1">
      <c r="A670" s="109" t="n"/>
      <c r="B670" s="110" t="n"/>
      <c r="C670" s="110" t="n"/>
      <c r="D670" s="111" t="n"/>
      <c r="E670" s="110" t="n"/>
      <c r="F670" s="112" t="n"/>
      <c r="G670" s="112" t="n"/>
      <c r="H670" s="110" t="n"/>
      <c r="I670" s="113" t="n"/>
      <c r="J670" s="113" t="n"/>
      <c r="K670" s="111" t="n"/>
      <c r="L670" s="111" t="n"/>
      <c r="M670" s="111" t="n"/>
      <c r="N670" s="114" t="str">
        <f>IF(OR(D670="",E670=""),"",D670+IF(E670="NOTIFICAÇÃO DE CONSTATAÇÃO",PrazoConst,PrazoEsc))</f>
        <v/>
      </c>
      <c r="O670" s="115" t="str">
        <f>IF(N670="","",IF(ISNUMBER(L670),N670-L670,IF(OR(G670="DECISÃO D.P",ISNUMBER(M670)),"",N670-TODAY())))</f>
        <v/>
      </c>
      <c r="P670" s="116" t="str">
        <f>IF(B670="","",IF(ISNUMBER(M670),"DECIDIDO – ","")&amp;IF(ISNUMBER(L670),IF(O670="","SEM DATA",IF(O670&gt;=0,"DEFESA NO PRAZO","DEFESA FORA DO PRAZO")),IF(OR(G670="DECISÃO D.P",ISNUMBER(M670)),"SEM DEFESA",IF(G670="","SEM STATUS",IF(O670="","SEM DATA",IF(O670&lt;0,"VENCIDO",IF(O670&lt;=DiasAlerta,"VENCE EM BREVE","NO PRAZO")))))))</f>
        <v/>
      </c>
      <c r="Q670" s="117" t="str">
        <f>IF(D670="","",TODAY()-D670)</f>
        <v/>
      </c>
      <c r="R670" s="110" t="n"/>
    </row>
    <row r="671" ht="18" customHeight="1">
      <c r="A671" s="109" t="n"/>
      <c r="B671" s="110" t="n"/>
      <c r="C671" s="110" t="n"/>
      <c r="D671" s="111" t="n"/>
      <c r="E671" s="110" t="n"/>
      <c r="F671" s="112" t="n"/>
      <c r="G671" s="112" t="n"/>
      <c r="H671" s="110" t="n"/>
      <c r="I671" s="113" t="n"/>
      <c r="J671" s="113" t="n"/>
      <c r="K671" s="111" t="n"/>
      <c r="L671" s="111" t="n"/>
      <c r="M671" s="111" t="n"/>
      <c r="N671" s="114" t="str">
        <f>IF(OR(D671="",E671=""),"",D671+IF(E671="NOTIFICAÇÃO DE CONSTATAÇÃO",PrazoConst,PrazoEsc))</f>
        <v/>
      </c>
      <c r="O671" s="115" t="str">
        <f>IF(N671="","",IF(ISNUMBER(L671),N671-L671,IF(OR(G671="DECISÃO D.P",ISNUMBER(M671)),"",N671-TODAY())))</f>
        <v/>
      </c>
      <c r="P671" s="116" t="str">
        <f>IF(B671="","",IF(ISNUMBER(M671),"DECIDIDO – ","")&amp;IF(ISNUMBER(L671),IF(O671="","SEM DATA",IF(O671&gt;=0,"DEFESA NO PRAZO","DEFESA FORA DO PRAZO")),IF(OR(G671="DECISÃO D.P",ISNUMBER(M671)),"SEM DEFESA",IF(G671="","SEM STATUS",IF(O671="","SEM DATA",IF(O671&lt;0,"VENCIDO",IF(O671&lt;=DiasAlerta,"VENCE EM BREVE","NO PRAZO")))))))</f>
        <v/>
      </c>
      <c r="Q671" s="117" t="str">
        <f>IF(D671="","",TODAY()-D671)</f>
        <v/>
      </c>
      <c r="R671" s="110" t="n"/>
    </row>
    <row r="672" ht="18" customHeight="1">
      <c r="A672" s="109" t="n"/>
      <c r="B672" s="110" t="n"/>
      <c r="C672" s="110" t="n"/>
      <c r="D672" s="111" t="n"/>
      <c r="E672" s="110" t="n"/>
      <c r="F672" s="112" t="n"/>
      <c r="G672" s="112" t="n"/>
      <c r="H672" s="110" t="n"/>
      <c r="I672" s="113" t="n"/>
      <c r="J672" s="113" t="n"/>
      <c r="K672" s="111" t="n"/>
      <c r="L672" s="111" t="n"/>
      <c r="M672" s="111" t="n"/>
      <c r="N672" s="114" t="str">
        <f>IF(OR(D672="",E672=""),"",D672+IF(E672="NOTIFICAÇÃO DE CONSTATAÇÃO",PrazoConst,PrazoEsc))</f>
        <v/>
      </c>
      <c r="O672" s="115" t="str">
        <f>IF(N672="","",IF(ISNUMBER(L672),N672-L672,IF(OR(G672="DECISÃO D.P",ISNUMBER(M672)),"",N672-TODAY())))</f>
        <v/>
      </c>
      <c r="P672" s="116" t="str">
        <f>IF(B672="","",IF(ISNUMBER(M672),"DECIDIDO – ","")&amp;IF(ISNUMBER(L672),IF(O672="","SEM DATA",IF(O672&gt;=0,"DEFESA NO PRAZO","DEFESA FORA DO PRAZO")),IF(OR(G672="DECISÃO D.P",ISNUMBER(M672)),"SEM DEFESA",IF(G672="","SEM STATUS",IF(O672="","SEM DATA",IF(O672&lt;0,"VENCIDO",IF(O672&lt;=DiasAlerta,"VENCE EM BREVE","NO PRAZO")))))))</f>
        <v/>
      </c>
      <c r="Q672" s="117" t="str">
        <f>IF(D672="","",TODAY()-D672)</f>
        <v/>
      </c>
      <c r="R672" s="110" t="n"/>
    </row>
    <row r="673" ht="18" customHeight="1">
      <c r="A673" s="109" t="n"/>
      <c r="B673" s="110" t="n"/>
      <c r="C673" s="110" t="n"/>
      <c r="D673" s="111" t="n"/>
      <c r="E673" s="110" t="n"/>
      <c r="F673" s="112" t="n"/>
      <c r="G673" s="112" t="n"/>
      <c r="H673" s="110" t="n"/>
      <c r="I673" s="113" t="n"/>
      <c r="J673" s="113" t="n"/>
      <c r="K673" s="111" t="n"/>
      <c r="L673" s="111" t="n"/>
      <c r="M673" s="111" t="n"/>
      <c r="N673" s="114" t="str">
        <f>IF(OR(D673="",E673=""),"",D673+IF(E673="NOTIFICAÇÃO DE CONSTATAÇÃO",PrazoConst,PrazoEsc))</f>
        <v/>
      </c>
      <c r="O673" s="115" t="str">
        <f>IF(N673="","",IF(ISNUMBER(L673),N673-L673,IF(OR(G673="DECISÃO D.P",ISNUMBER(M673)),"",N673-TODAY())))</f>
        <v/>
      </c>
      <c r="P673" s="116" t="str">
        <f>IF(B673="","",IF(ISNUMBER(M673),"DECIDIDO – ","")&amp;IF(ISNUMBER(L673),IF(O673="","SEM DATA",IF(O673&gt;=0,"DEFESA NO PRAZO","DEFESA FORA DO PRAZO")),IF(OR(G673="DECISÃO D.P",ISNUMBER(M673)),"SEM DEFESA",IF(G673="","SEM STATUS",IF(O673="","SEM DATA",IF(O673&lt;0,"VENCIDO",IF(O673&lt;=DiasAlerta,"VENCE EM BREVE","NO PRAZO")))))))</f>
        <v/>
      </c>
      <c r="Q673" s="117" t="str">
        <f>IF(D673="","",TODAY()-D673)</f>
        <v/>
      </c>
      <c r="R673" s="110" t="n"/>
    </row>
    <row r="674" ht="18" customHeight="1">
      <c r="A674" s="109" t="n"/>
      <c r="B674" s="110" t="n"/>
      <c r="C674" s="110" t="n"/>
      <c r="D674" s="111" t="n"/>
      <c r="E674" s="110" t="n"/>
      <c r="F674" s="112" t="n"/>
      <c r="G674" s="112" t="n"/>
      <c r="H674" s="110" t="n"/>
      <c r="I674" s="113" t="n"/>
      <c r="J674" s="113" t="n"/>
      <c r="K674" s="111" t="n"/>
      <c r="L674" s="111" t="n"/>
      <c r="M674" s="111" t="n"/>
      <c r="N674" s="114" t="str">
        <f>IF(OR(D674="",E674=""),"",D674+IF(E674="NOTIFICAÇÃO DE CONSTATAÇÃO",PrazoConst,PrazoEsc))</f>
        <v/>
      </c>
      <c r="O674" s="115" t="str">
        <f>IF(N674="","",IF(ISNUMBER(L674),N674-L674,IF(OR(G674="DECISÃO D.P",ISNUMBER(M674)),"",N674-TODAY())))</f>
        <v/>
      </c>
      <c r="P674" s="116" t="str">
        <f>IF(B674="","",IF(ISNUMBER(M674),"DECIDIDO – ","")&amp;IF(ISNUMBER(L674),IF(O674="","SEM DATA",IF(O674&gt;=0,"DEFESA NO PRAZO","DEFESA FORA DO PRAZO")),IF(OR(G674="DECISÃO D.P",ISNUMBER(M674)),"SEM DEFESA",IF(G674="","SEM STATUS",IF(O674="","SEM DATA",IF(O674&lt;0,"VENCIDO",IF(O674&lt;=DiasAlerta,"VENCE EM BREVE","NO PRAZO")))))))</f>
        <v/>
      </c>
      <c r="Q674" s="117" t="str">
        <f>IF(D674="","",TODAY()-D674)</f>
        <v/>
      </c>
      <c r="R674" s="110" t="n"/>
    </row>
    <row r="675" ht="18" customHeight="1">
      <c r="A675" s="109" t="n"/>
      <c r="B675" s="110" t="n"/>
      <c r="C675" s="110" t="n"/>
      <c r="D675" s="111" t="n"/>
      <c r="E675" s="110" t="n"/>
      <c r="F675" s="112" t="n"/>
      <c r="G675" s="112" t="n"/>
      <c r="H675" s="110" t="n"/>
      <c r="I675" s="113" t="n"/>
      <c r="J675" s="113" t="n"/>
      <c r="K675" s="111" t="n"/>
      <c r="L675" s="111" t="n"/>
      <c r="M675" s="111" t="n"/>
      <c r="N675" s="114" t="str">
        <f>IF(OR(D675="",E675=""),"",D675+IF(E675="NOTIFICAÇÃO DE CONSTATAÇÃO",PrazoConst,PrazoEsc))</f>
        <v/>
      </c>
      <c r="O675" s="115" t="str">
        <f>IF(N675="","",IF(ISNUMBER(L675),N675-L675,IF(OR(G675="DECISÃO D.P",ISNUMBER(M675)),"",N675-TODAY())))</f>
        <v/>
      </c>
      <c r="P675" s="116" t="str">
        <f>IF(B675="","",IF(ISNUMBER(M675),"DECIDIDO – ","")&amp;IF(ISNUMBER(L675),IF(O675="","SEM DATA",IF(O675&gt;=0,"DEFESA NO PRAZO","DEFESA FORA DO PRAZO")),IF(OR(G675="DECISÃO D.P",ISNUMBER(M675)),"SEM DEFESA",IF(G675="","SEM STATUS",IF(O675="","SEM DATA",IF(O675&lt;0,"VENCIDO",IF(O675&lt;=DiasAlerta,"VENCE EM BREVE","NO PRAZO")))))))</f>
        <v/>
      </c>
      <c r="Q675" s="117" t="str">
        <f>IF(D675="","",TODAY()-D675)</f>
        <v/>
      </c>
      <c r="R675" s="110" t="n"/>
    </row>
    <row r="676" ht="18" customHeight="1">
      <c r="A676" s="109" t="n"/>
      <c r="B676" s="110" t="n"/>
      <c r="C676" s="110" t="n"/>
      <c r="D676" s="111" t="n"/>
      <c r="E676" s="110" t="n"/>
      <c r="F676" s="112" t="n"/>
      <c r="G676" s="112" t="n"/>
      <c r="H676" s="110" t="n"/>
      <c r="I676" s="113" t="n"/>
      <c r="J676" s="113" t="n"/>
      <c r="K676" s="111" t="n"/>
      <c r="L676" s="111" t="n"/>
      <c r="M676" s="111" t="n"/>
      <c r="N676" s="114" t="str">
        <f>IF(OR(D676="",E676=""),"",D676+IF(E676="NOTIFICAÇÃO DE CONSTATAÇÃO",PrazoConst,PrazoEsc))</f>
        <v/>
      </c>
      <c r="O676" s="115" t="str">
        <f>IF(N676="","",IF(ISNUMBER(L676),N676-L676,IF(OR(G676="DECISÃO D.P",ISNUMBER(M676)),"",N676-TODAY())))</f>
        <v/>
      </c>
      <c r="P676" s="116" t="str">
        <f>IF(B676="","",IF(ISNUMBER(M676),"DECIDIDO – ","")&amp;IF(ISNUMBER(L676),IF(O676="","SEM DATA",IF(O676&gt;=0,"DEFESA NO PRAZO","DEFESA FORA DO PRAZO")),IF(OR(G676="DECISÃO D.P",ISNUMBER(M676)),"SEM DEFESA",IF(G676="","SEM STATUS",IF(O676="","SEM DATA",IF(O676&lt;0,"VENCIDO",IF(O676&lt;=DiasAlerta,"VENCE EM BREVE","NO PRAZO")))))))</f>
        <v/>
      </c>
      <c r="Q676" s="117" t="str">
        <f>IF(D676="","",TODAY()-D676)</f>
        <v/>
      </c>
      <c r="R676" s="110" t="n"/>
    </row>
    <row r="677" ht="18" customHeight="1">
      <c r="A677" s="109" t="n"/>
      <c r="B677" s="110" t="n"/>
      <c r="C677" s="110" t="n"/>
      <c r="D677" s="111" t="n"/>
      <c r="E677" s="110" t="n"/>
      <c r="F677" s="112" t="n"/>
      <c r="G677" s="112" t="n"/>
      <c r="H677" s="110" t="n"/>
      <c r="I677" s="113" t="n"/>
      <c r="J677" s="113" t="n"/>
      <c r="K677" s="111" t="n"/>
      <c r="L677" s="111" t="n"/>
      <c r="M677" s="111" t="n"/>
      <c r="N677" s="114" t="str">
        <f>IF(OR(D677="",E677=""),"",D677+IF(E677="NOTIFICAÇÃO DE CONSTATAÇÃO",PrazoConst,PrazoEsc))</f>
        <v/>
      </c>
      <c r="O677" s="115" t="str">
        <f>IF(N677="","",IF(ISNUMBER(L677),N677-L677,IF(OR(G677="DECISÃO D.P",ISNUMBER(M677)),"",N677-TODAY())))</f>
        <v/>
      </c>
      <c r="P677" s="116" t="str">
        <f>IF(B677="","",IF(ISNUMBER(M677),"DECIDIDO – ","")&amp;IF(ISNUMBER(L677),IF(O677="","SEM DATA",IF(O677&gt;=0,"DEFESA NO PRAZO","DEFESA FORA DO PRAZO")),IF(OR(G677="DECISÃO D.P",ISNUMBER(M677)),"SEM DEFESA",IF(G677="","SEM STATUS",IF(O677="","SEM DATA",IF(O677&lt;0,"VENCIDO",IF(O677&lt;=DiasAlerta,"VENCE EM BREVE","NO PRAZO")))))))</f>
        <v/>
      </c>
      <c r="Q677" s="117" t="str">
        <f>IF(D677="","",TODAY()-D677)</f>
        <v/>
      </c>
      <c r="R677" s="110" t="n"/>
    </row>
    <row r="678" ht="18" customHeight="1">
      <c r="A678" s="109" t="n"/>
      <c r="B678" s="110" t="n"/>
      <c r="C678" s="110" t="n"/>
      <c r="D678" s="111" t="n"/>
      <c r="E678" s="110" t="n"/>
      <c r="F678" s="112" t="n"/>
      <c r="G678" s="112" t="n"/>
      <c r="H678" s="110" t="n"/>
      <c r="I678" s="113" t="n"/>
      <c r="J678" s="113" t="n"/>
      <c r="K678" s="111" t="n"/>
      <c r="L678" s="111" t="n"/>
      <c r="M678" s="111" t="n"/>
      <c r="N678" s="114" t="str">
        <f>IF(OR(D678="",E678=""),"",D678+IF(E678="NOTIFICAÇÃO DE CONSTATAÇÃO",PrazoConst,PrazoEsc))</f>
        <v/>
      </c>
      <c r="O678" s="115" t="str">
        <f>IF(N678="","",IF(ISNUMBER(L678),N678-L678,IF(OR(G678="DECISÃO D.P",ISNUMBER(M678)),"",N678-TODAY())))</f>
        <v/>
      </c>
      <c r="P678" s="116" t="str">
        <f>IF(B678="","",IF(ISNUMBER(M678),"DECIDIDO – ","")&amp;IF(ISNUMBER(L678),IF(O678="","SEM DATA",IF(O678&gt;=0,"DEFESA NO PRAZO","DEFESA FORA DO PRAZO")),IF(OR(G678="DECISÃO D.P",ISNUMBER(M678)),"SEM DEFESA",IF(G678="","SEM STATUS",IF(O678="","SEM DATA",IF(O678&lt;0,"VENCIDO",IF(O678&lt;=DiasAlerta,"VENCE EM BREVE","NO PRAZO")))))))</f>
        <v/>
      </c>
      <c r="Q678" s="117" t="str">
        <f>IF(D678="","",TODAY()-D678)</f>
        <v/>
      </c>
      <c r="R678" s="110" t="n"/>
    </row>
    <row r="679" ht="18" customHeight="1">
      <c r="A679" s="109" t="n"/>
      <c r="B679" s="110" t="n"/>
      <c r="C679" s="110" t="n"/>
      <c r="D679" s="111" t="n"/>
      <c r="E679" s="110" t="n"/>
      <c r="F679" s="112" t="n"/>
      <c r="G679" s="112" t="n"/>
      <c r="H679" s="110" t="n"/>
      <c r="I679" s="113" t="n"/>
      <c r="J679" s="113" t="n"/>
      <c r="K679" s="111" t="n"/>
      <c r="L679" s="111" t="n"/>
      <c r="M679" s="111" t="n"/>
      <c r="N679" s="114" t="str">
        <f>IF(OR(D679="",E679=""),"",D679+IF(E679="NOTIFICAÇÃO DE CONSTATAÇÃO",PrazoConst,PrazoEsc))</f>
        <v/>
      </c>
      <c r="O679" s="115" t="str">
        <f>IF(N679="","",IF(ISNUMBER(L679),N679-L679,IF(OR(G679="DECISÃO D.P",ISNUMBER(M679)),"",N679-TODAY())))</f>
        <v/>
      </c>
      <c r="P679" s="116" t="str">
        <f>IF(B679="","",IF(ISNUMBER(M679),"DECIDIDO – ","")&amp;IF(ISNUMBER(L679),IF(O679="","SEM DATA",IF(O679&gt;=0,"DEFESA NO PRAZO","DEFESA FORA DO PRAZO")),IF(OR(G679="DECISÃO D.P",ISNUMBER(M679)),"SEM DEFESA",IF(G679="","SEM STATUS",IF(O679="","SEM DATA",IF(O679&lt;0,"VENCIDO",IF(O679&lt;=DiasAlerta,"VENCE EM BREVE","NO PRAZO")))))))</f>
        <v/>
      </c>
      <c r="Q679" s="117" t="str">
        <f>IF(D679="","",TODAY()-D679)</f>
        <v/>
      </c>
      <c r="R679" s="110" t="n"/>
    </row>
    <row r="680" ht="18" customHeight="1">
      <c r="A680" s="109" t="n"/>
      <c r="B680" s="110" t="n"/>
      <c r="C680" s="110" t="n"/>
      <c r="D680" s="111" t="n"/>
      <c r="E680" s="110" t="n"/>
      <c r="F680" s="112" t="n"/>
      <c r="G680" s="112" t="n"/>
      <c r="H680" s="110" t="n"/>
      <c r="I680" s="113" t="n"/>
      <c r="J680" s="113" t="n"/>
      <c r="K680" s="111" t="n"/>
      <c r="L680" s="111" t="n"/>
      <c r="M680" s="111" t="n"/>
      <c r="N680" s="114" t="str">
        <f>IF(OR(D680="",E680=""),"",D680+IF(E680="NOTIFICAÇÃO DE CONSTATAÇÃO",PrazoConst,PrazoEsc))</f>
        <v/>
      </c>
      <c r="O680" s="115" t="str">
        <f>IF(N680="","",IF(ISNUMBER(L680),N680-L680,IF(OR(G680="DECISÃO D.P",ISNUMBER(M680)),"",N680-TODAY())))</f>
        <v/>
      </c>
      <c r="P680" s="116" t="str">
        <f>IF(B680="","",IF(ISNUMBER(M680),"DECIDIDO – ","")&amp;IF(ISNUMBER(L680),IF(O680="","SEM DATA",IF(O680&gt;=0,"DEFESA NO PRAZO","DEFESA FORA DO PRAZO")),IF(OR(G680="DECISÃO D.P",ISNUMBER(M680)),"SEM DEFESA",IF(G680="","SEM STATUS",IF(O680="","SEM DATA",IF(O680&lt;0,"VENCIDO",IF(O680&lt;=DiasAlerta,"VENCE EM BREVE","NO PRAZO")))))))</f>
        <v/>
      </c>
      <c r="Q680" s="117" t="str">
        <f>IF(D680="","",TODAY()-D680)</f>
        <v/>
      </c>
      <c r="R680" s="110" t="n"/>
    </row>
    <row r="681" ht="18" customHeight="1">
      <c r="A681" s="109" t="n"/>
      <c r="B681" s="110" t="n"/>
      <c r="C681" s="110" t="n"/>
      <c r="D681" s="111" t="n"/>
      <c r="E681" s="110" t="n"/>
      <c r="F681" s="112" t="n"/>
      <c r="G681" s="112" t="n"/>
      <c r="H681" s="110" t="n"/>
      <c r="I681" s="113" t="n"/>
      <c r="J681" s="113" t="n"/>
      <c r="K681" s="111" t="n"/>
      <c r="L681" s="111" t="n"/>
      <c r="M681" s="111" t="n"/>
      <c r="N681" s="114" t="str">
        <f>IF(OR(D681="",E681=""),"",D681+IF(E681="NOTIFICAÇÃO DE CONSTATAÇÃO",PrazoConst,PrazoEsc))</f>
        <v/>
      </c>
      <c r="O681" s="115" t="str">
        <f>IF(N681="","",IF(ISNUMBER(L681),N681-L681,IF(OR(G681="DECISÃO D.P",ISNUMBER(M681)),"",N681-TODAY())))</f>
        <v/>
      </c>
      <c r="P681" s="116" t="str">
        <f>IF(B681="","",IF(ISNUMBER(M681),"DECIDIDO – ","")&amp;IF(ISNUMBER(L681),IF(O681="","SEM DATA",IF(O681&gt;=0,"DEFESA NO PRAZO","DEFESA FORA DO PRAZO")),IF(OR(G681="DECISÃO D.P",ISNUMBER(M681)),"SEM DEFESA",IF(G681="","SEM STATUS",IF(O681="","SEM DATA",IF(O681&lt;0,"VENCIDO",IF(O681&lt;=DiasAlerta,"VENCE EM BREVE","NO PRAZO")))))))</f>
        <v/>
      </c>
      <c r="Q681" s="117" t="str">
        <f>IF(D681="","",TODAY()-D681)</f>
        <v/>
      </c>
      <c r="R681" s="110" t="n"/>
    </row>
    <row r="682" ht="18" customHeight="1">
      <c r="A682" s="109" t="n"/>
      <c r="B682" s="110" t="n"/>
      <c r="C682" s="110" t="n"/>
      <c r="D682" s="111" t="n"/>
      <c r="E682" s="110" t="n"/>
      <c r="F682" s="112" t="n"/>
      <c r="G682" s="112" t="n"/>
      <c r="H682" s="110" t="n"/>
      <c r="I682" s="113" t="n"/>
      <c r="J682" s="113" t="n"/>
      <c r="K682" s="111" t="n"/>
      <c r="L682" s="111" t="n"/>
      <c r="M682" s="111" t="n"/>
      <c r="N682" s="114" t="str">
        <f>IF(OR(D682="",E682=""),"",D682+IF(E682="NOTIFICAÇÃO DE CONSTATAÇÃO",PrazoConst,PrazoEsc))</f>
        <v/>
      </c>
      <c r="O682" s="115" t="str">
        <f>IF(N682="","",IF(ISNUMBER(L682),N682-L682,IF(OR(G682="DECISÃO D.P",ISNUMBER(M682)),"",N682-TODAY())))</f>
        <v/>
      </c>
      <c r="P682" s="116" t="str">
        <f>IF(B682="","",IF(ISNUMBER(M682),"DECIDIDO – ","")&amp;IF(ISNUMBER(L682),IF(O682="","SEM DATA",IF(O682&gt;=0,"DEFESA NO PRAZO","DEFESA FORA DO PRAZO")),IF(OR(G682="DECISÃO D.P",ISNUMBER(M682)),"SEM DEFESA",IF(G682="","SEM STATUS",IF(O682="","SEM DATA",IF(O682&lt;0,"VENCIDO",IF(O682&lt;=DiasAlerta,"VENCE EM BREVE","NO PRAZO")))))))</f>
        <v/>
      </c>
      <c r="Q682" s="117" t="str">
        <f>IF(D682="","",TODAY()-D682)</f>
        <v/>
      </c>
      <c r="R682" s="110" t="n"/>
    </row>
    <row r="683" ht="18" customHeight="1">
      <c r="A683" s="109" t="n"/>
      <c r="B683" s="110" t="n"/>
      <c r="C683" s="110" t="n"/>
      <c r="D683" s="111" t="n"/>
      <c r="E683" s="110" t="n"/>
      <c r="F683" s="112" t="n"/>
      <c r="G683" s="112" t="n"/>
      <c r="H683" s="110" t="n"/>
      <c r="I683" s="113" t="n"/>
      <c r="J683" s="113" t="n"/>
      <c r="K683" s="111" t="n"/>
      <c r="L683" s="111" t="n"/>
      <c r="M683" s="111" t="n"/>
      <c r="N683" s="114" t="str">
        <f>IF(OR(D683="",E683=""),"",D683+IF(E683="NOTIFICAÇÃO DE CONSTATAÇÃO",PrazoConst,PrazoEsc))</f>
        <v/>
      </c>
      <c r="O683" s="115" t="str">
        <f>IF(N683="","",IF(ISNUMBER(L683),N683-L683,IF(OR(G683="DECISÃO D.P",ISNUMBER(M683)),"",N683-TODAY())))</f>
        <v/>
      </c>
      <c r="P683" s="116" t="str">
        <f>IF(B683="","",IF(ISNUMBER(M683),"DECIDIDO – ","")&amp;IF(ISNUMBER(L683),IF(O683="","SEM DATA",IF(O683&gt;=0,"DEFESA NO PRAZO","DEFESA FORA DO PRAZO")),IF(OR(G683="DECISÃO D.P",ISNUMBER(M683)),"SEM DEFESA",IF(G683="","SEM STATUS",IF(O683="","SEM DATA",IF(O683&lt;0,"VENCIDO",IF(O683&lt;=DiasAlerta,"VENCE EM BREVE","NO PRAZO")))))))</f>
        <v/>
      </c>
      <c r="Q683" s="117" t="str">
        <f>IF(D683="","",TODAY()-D683)</f>
        <v/>
      </c>
      <c r="R683" s="110" t="n"/>
    </row>
    <row r="684" ht="18" customHeight="1">
      <c r="A684" s="109" t="n"/>
      <c r="B684" s="110" t="n"/>
      <c r="C684" s="110" t="n"/>
      <c r="D684" s="111" t="n"/>
      <c r="E684" s="110" t="n"/>
      <c r="F684" s="112" t="n"/>
      <c r="G684" s="112" t="n"/>
      <c r="H684" s="110" t="n"/>
      <c r="I684" s="113" t="n"/>
      <c r="J684" s="113" t="n"/>
      <c r="K684" s="111" t="n"/>
      <c r="L684" s="111" t="n"/>
      <c r="M684" s="111" t="n"/>
      <c r="N684" s="114" t="str">
        <f>IF(OR(D684="",E684=""),"",D684+IF(E684="NOTIFICAÇÃO DE CONSTATAÇÃO",PrazoConst,PrazoEsc))</f>
        <v/>
      </c>
      <c r="O684" s="115" t="str">
        <f>IF(N684="","",IF(ISNUMBER(L684),N684-L684,IF(OR(G684="DECISÃO D.P",ISNUMBER(M684)),"",N684-TODAY())))</f>
        <v/>
      </c>
      <c r="P684" s="116" t="str">
        <f>IF(B684="","",IF(ISNUMBER(M684),"DECIDIDO – ","")&amp;IF(ISNUMBER(L684),IF(O684="","SEM DATA",IF(O684&gt;=0,"DEFESA NO PRAZO","DEFESA FORA DO PRAZO")),IF(OR(G684="DECISÃO D.P",ISNUMBER(M684)),"SEM DEFESA",IF(G684="","SEM STATUS",IF(O684="","SEM DATA",IF(O684&lt;0,"VENCIDO",IF(O684&lt;=DiasAlerta,"VENCE EM BREVE","NO PRAZO")))))))</f>
        <v/>
      </c>
      <c r="Q684" s="117" t="str">
        <f>IF(D684="","",TODAY()-D684)</f>
        <v/>
      </c>
      <c r="R684" s="110" t="n"/>
    </row>
    <row r="685" ht="18" customHeight="1">
      <c r="A685" s="109" t="n"/>
      <c r="B685" s="110" t="n"/>
      <c r="C685" s="110" t="n"/>
      <c r="D685" s="111" t="n"/>
      <c r="E685" s="110" t="n"/>
      <c r="F685" s="112" t="n"/>
      <c r="G685" s="112" t="n"/>
      <c r="H685" s="110" t="n"/>
      <c r="I685" s="113" t="n"/>
      <c r="J685" s="113" t="n"/>
      <c r="K685" s="111" t="n"/>
      <c r="L685" s="111" t="n"/>
      <c r="M685" s="111" t="n"/>
      <c r="N685" s="114" t="str">
        <f>IF(OR(D685="",E685=""),"",D685+IF(E685="NOTIFICAÇÃO DE CONSTATAÇÃO",PrazoConst,PrazoEsc))</f>
        <v/>
      </c>
      <c r="O685" s="115" t="str">
        <f>IF(N685="","",IF(ISNUMBER(L685),N685-L685,IF(OR(G685="DECISÃO D.P",ISNUMBER(M685)),"",N685-TODAY())))</f>
        <v/>
      </c>
      <c r="P685" s="116" t="str">
        <f>IF(B685="","",IF(ISNUMBER(M685),"DECIDIDO – ","")&amp;IF(ISNUMBER(L685),IF(O685="","SEM DATA",IF(O685&gt;=0,"DEFESA NO PRAZO","DEFESA FORA DO PRAZO")),IF(OR(G685="DECISÃO D.P",ISNUMBER(M685)),"SEM DEFESA",IF(G685="","SEM STATUS",IF(O685="","SEM DATA",IF(O685&lt;0,"VENCIDO",IF(O685&lt;=DiasAlerta,"VENCE EM BREVE","NO PRAZO")))))))</f>
        <v/>
      </c>
      <c r="Q685" s="117" t="str">
        <f>IF(D685="","",TODAY()-D685)</f>
        <v/>
      </c>
      <c r="R685" s="110" t="n"/>
    </row>
    <row r="686" ht="18" customHeight="1">
      <c r="A686" s="109" t="n"/>
      <c r="B686" s="110" t="n"/>
      <c r="C686" s="110" t="n"/>
      <c r="D686" s="111" t="n"/>
      <c r="E686" s="110" t="n"/>
      <c r="F686" s="112" t="n"/>
      <c r="G686" s="112" t="n"/>
      <c r="H686" s="110" t="n"/>
      <c r="I686" s="113" t="n"/>
      <c r="J686" s="113" t="n"/>
      <c r="K686" s="111" t="n"/>
      <c r="L686" s="111" t="n"/>
      <c r="M686" s="111" t="n"/>
      <c r="N686" s="114" t="str">
        <f>IF(OR(D686="",E686=""),"",D686+IF(E686="NOTIFICAÇÃO DE CONSTATAÇÃO",PrazoConst,PrazoEsc))</f>
        <v/>
      </c>
      <c r="O686" s="115" t="str">
        <f>IF(N686="","",IF(ISNUMBER(L686),N686-L686,IF(OR(G686="DECISÃO D.P",ISNUMBER(M686)),"",N686-TODAY())))</f>
        <v/>
      </c>
      <c r="P686" s="116" t="str">
        <f>IF(B686="","",IF(ISNUMBER(M686),"DECIDIDO – ","")&amp;IF(ISNUMBER(L686),IF(O686="","SEM DATA",IF(O686&gt;=0,"DEFESA NO PRAZO","DEFESA FORA DO PRAZO")),IF(OR(G686="DECISÃO D.P",ISNUMBER(M686)),"SEM DEFESA",IF(G686="","SEM STATUS",IF(O686="","SEM DATA",IF(O686&lt;0,"VENCIDO",IF(O686&lt;=DiasAlerta,"VENCE EM BREVE","NO PRAZO")))))))</f>
        <v/>
      </c>
      <c r="Q686" s="117" t="str">
        <f>IF(D686="","",TODAY()-D686)</f>
        <v/>
      </c>
      <c r="R686" s="110" t="n"/>
    </row>
    <row r="687" ht="18" customHeight="1">
      <c r="A687" s="109" t="n"/>
      <c r="B687" s="110" t="n"/>
      <c r="C687" s="110" t="n"/>
      <c r="D687" s="111" t="n"/>
      <c r="E687" s="110" t="n"/>
      <c r="F687" s="112" t="n"/>
      <c r="G687" s="112" t="n"/>
      <c r="H687" s="110" t="n"/>
      <c r="I687" s="113" t="n"/>
      <c r="J687" s="113" t="n"/>
      <c r="K687" s="111" t="n"/>
      <c r="L687" s="111" t="n"/>
      <c r="M687" s="111" t="n"/>
      <c r="N687" s="114" t="str">
        <f>IF(OR(D687="",E687=""),"",D687+IF(E687="NOTIFICAÇÃO DE CONSTATAÇÃO",PrazoConst,PrazoEsc))</f>
        <v/>
      </c>
      <c r="O687" s="115" t="str">
        <f>IF(N687="","",IF(ISNUMBER(L687),N687-L687,IF(OR(G687="DECISÃO D.P",ISNUMBER(M687)),"",N687-TODAY())))</f>
        <v/>
      </c>
      <c r="P687" s="116" t="str">
        <f>IF(B687="","",IF(ISNUMBER(M687),"DECIDIDO – ","")&amp;IF(ISNUMBER(L687),IF(O687="","SEM DATA",IF(O687&gt;=0,"DEFESA NO PRAZO","DEFESA FORA DO PRAZO")),IF(OR(G687="DECISÃO D.P",ISNUMBER(M687)),"SEM DEFESA",IF(G687="","SEM STATUS",IF(O687="","SEM DATA",IF(O687&lt;0,"VENCIDO",IF(O687&lt;=DiasAlerta,"VENCE EM BREVE","NO PRAZO")))))))</f>
        <v/>
      </c>
      <c r="Q687" s="117" t="str">
        <f>IF(D687="","",TODAY()-D687)</f>
        <v/>
      </c>
      <c r="R687" s="110" t="n"/>
    </row>
    <row r="688" ht="18" customHeight="1">
      <c r="A688" s="109" t="n"/>
      <c r="B688" s="110" t="n"/>
      <c r="C688" s="110" t="n"/>
      <c r="D688" s="111" t="n"/>
      <c r="E688" s="110" t="n"/>
      <c r="F688" s="112" t="n"/>
      <c r="G688" s="112" t="n"/>
      <c r="H688" s="110" t="n"/>
      <c r="I688" s="113" t="n"/>
      <c r="J688" s="113" t="n"/>
      <c r="K688" s="111" t="n"/>
      <c r="L688" s="111" t="n"/>
      <c r="M688" s="111" t="n"/>
      <c r="N688" s="114" t="str">
        <f>IF(OR(D688="",E688=""),"",D688+IF(E688="NOTIFICAÇÃO DE CONSTATAÇÃO",PrazoConst,PrazoEsc))</f>
        <v/>
      </c>
      <c r="O688" s="115" t="str">
        <f>IF(N688="","",IF(ISNUMBER(L688),N688-L688,IF(OR(G688="DECISÃO D.P",ISNUMBER(M688)),"",N688-TODAY())))</f>
        <v/>
      </c>
      <c r="P688" s="116" t="str">
        <f>IF(B688="","",IF(ISNUMBER(M688),"DECIDIDO – ","")&amp;IF(ISNUMBER(L688),IF(O688="","SEM DATA",IF(O688&gt;=0,"DEFESA NO PRAZO","DEFESA FORA DO PRAZO")),IF(OR(G688="DECISÃO D.P",ISNUMBER(M688)),"SEM DEFESA",IF(G688="","SEM STATUS",IF(O688="","SEM DATA",IF(O688&lt;0,"VENCIDO",IF(O688&lt;=DiasAlerta,"VENCE EM BREVE","NO PRAZO")))))))</f>
        <v/>
      </c>
      <c r="Q688" s="117" t="str">
        <f>IF(D688="","",TODAY()-D688)</f>
        <v/>
      </c>
      <c r="R688" s="110" t="n"/>
    </row>
    <row r="689" ht="18" customHeight="1">
      <c r="A689" s="109" t="n"/>
      <c r="B689" s="110" t="n"/>
      <c r="C689" s="110" t="n"/>
      <c r="D689" s="111" t="n"/>
      <c r="E689" s="110" t="n"/>
      <c r="F689" s="112" t="n"/>
      <c r="G689" s="112" t="n"/>
      <c r="H689" s="110" t="n"/>
      <c r="I689" s="113" t="n"/>
      <c r="J689" s="113" t="n"/>
      <c r="K689" s="111" t="n"/>
      <c r="L689" s="111" t="n"/>
      <c r="M689" s="111" t="n"/>
      <c r="N689" s="114" t="str">
        <f>IF(OR(D689="",E689=""),"",D689+IF(E689="NOTIFICAÇÃO DE CONSTATAÇÃO",PrazoConst,PrazoEsc))</f>
        <v/>
      </c>
      <c r="O689" s="115" t="str">
        <f>IF(N689="","",IF(ISNUMBER(L689),N689-L689,IF(OR(G689="DECISÃO D.P",ISNUMBER(M689)),"",N689-TODAY())))</f>
        <v/>
      </c>
      <c r="P689" s="116" t="str">
        <f>IF(B689="","",IF(ISNUMBER(M689),"DECIDIDO – ","")&amp;IF(ISNUMBER(L689),IF(O689="","SEM DATA",IF(O689&gt;=0,"DEFESA NO PRAZO","DEFESA FORA DO PRAZO")),IF(OR(G689="DECISÃO D.P",ISNUMBER(M689)),"SEM DEFESA",IF(G689="","SEM STATUS",IF(O689="","SEM DATA",IF(O689&lt;0,"VENCIDO",IF(O689&lt;=DiasAlerta,"VENCE EM BREVE","NO PRAZO")))))))</f>
        <v/>
      </c>
      <c r="Q689" s="117" t="str">
        <f>IF(D689="","",TODAY()-D689)</f>
        <v/>
      </c>
      <c r="R689" s="110" t="n"/>
    </row>
    <row r="690" ht="18" customHeight="1">
      <c r="A690" s="109" t="n"/>
      <c r="B690" s="110" t="n"/>
      <c r="C690" s="110" t="n"/>
      <c r="D690" s="111" t="n"/>
      <c r="E690" s="110" t="n"/>
      <c r="F690" s="112" t="n"/>
      <c r="G690" s="112" t="n"/>
      <c r="H690" s="110" t="n"/>
      <c r="I690" s="113" t="n"/>
      <c r="J690" s="113" t="n"/>
      <c r="K690" s="111" t="n"/>
      <c r="L690" s="111" t="n"/>
      <c r="M690" s="111" t="n"/>
      <c r="N690" s="114" t="str">
        <f>IF(OR(D690="",E690=""),"",D690+IF(E690="NOTIFICAÇÃO DE CONSTATAÇÃO",PrazoConst,PrazoEsc))</f>
        <v/>
      </c>
      <c r="O690" s="115" t="str">
        <f>IF(N690="","",IF(ISNUMBER(L690),N690-L690,IF(OR(G690="DECISÃO D.P",ISNUMBER(M690)),"",N690-TODAY())))</f>
        <v/>
      </c>
      <c r="P690" s="116" t="str">
        <f>IF(B690="","",IF(ISNUMBER(M690),"DECIDIDO – ","")&amp;IF(ISNUMBER(L690),IF(O690="","SEM DATA",IF(O690&gt;=0,"DEFESA NO PRAZO","DEFESA FORA DO PRAZO")),IF(OR(G690="DECISÃO D.P",ISNUMBER(M690)),"SEM DEFESA",IF(G690="","SEM STATUS",IF(O690="","SEM DATA",IF(O690&lt;0,"VENCIDO",IF(O690&lt;=DiasAlerta,"VENCE EM BREVE","NO PRAZO")))))))</f>
        <v/>
      </c>
      <c r="Q690" s="117" t="str">
        <f>IF(D690="","",TODAY()-D690)</f>
        <v/>
      </c>
      <c r="R690" s="110" t="n"/>
    </row>
    <row r="691" ht="18" customHeight="1">
      <c r="A691" s="109" t="n"/>
      <c r="B691" s="110" t="n"/>
      <c r="C691" s="110" t="n"/>
      <c r="D691" s="111" t="n"/>
      <c r="E691" s="110" t="n"/>
      <c r="F691" s="112" t="n"/>
      <c r="G691" s="112" t="n"/>
      <c r="H691" s="110" t="n"/>
      <c r="I691" s="113" t="n"/>
      <c r="J691" s="113" t="n"/>
      <c r="K691" s="111" t="n"/>
      <c r="L691" s="111" t="n"/>
      <c r="M691" s="111" t="n"/>
      <c r="N691" s="114" t="str">
        <f>IF(OR(D691="",E691=""),"",D691+IF(E691="NOTIFICAÇÃO DE CONSTATAÇÃO",PrazoConst,PrazoEsc))</f>
        <v/>
      </c>
      <c r="O691" s="115" t="str">
        <f>IF(N691="","",IF(ISNUMBER(L691),N691-L691,IF(OR(G691="DECISÃO D.P",ISNUMBER(M691)),"",N691-TODAY())))</f>
        <v/>
      </c>
      <c r="P691" s="116" t="str">
        <f>IF(B691="","",IF(ISNUMBER(M691),"DECIDIDO – ","")&amp;IF(ISNUMBER(L691),IF(O691="","SEM DATA",IF(O691&gt;=0,"DEFESA NO PRAZO","DEFESA FORA DO PRAZO")),IF(OR(G691="DECISÃO D.P",ISNUMBER(M691)),"SEM DEFESA",IF(G691="","SEM STATUS",IF(O691="","SEM DATA",IF(O691&lt;0,"VENCIDO",IF(O691&lt;=DiasAlerta,"VENCE EM BREVE","NO PRAZO")))))))</f>
        <v/>
      </c>
      <c r="Q691" s="117" t="str">
        <f>IF(D691="","",TODAY()-D691)</f>
        <v/>
      </c>
      <c r="R691" s="110" t="n"/>
    </row>
    <row r="692" ht="18" customHeight="1">
      <c r="A692" s="109" t="n"/>
      <c r="B692" s="110" t="n"/>
      <c r="C692" s="110" t="n"/>
      <c r="D692" s="111" t="n"/>
      <c r="E692" s="110" t="n"/>
      <c r="F692" s="112" t="n"/>
      <c r="G692" s="112" t="n"/>
      <c r="H692" s="110" t="n"/>
      <c r="I692" s="113" t="n"/>
      <c r="J692" s="113" t="n"/>
      <c r="K692" s="111" t="n"/>
      <c r="L692" s="111" t="n"/>
      <c r="M692" s="111" t="n"/>
      <c r="N692" s="114" t="str">
        <f>IF(OR(D692="",E692=""),"",D692+IF(E692="NOTIFICAÇÃO DE CONSTATAÇÃO",PrazoConst,PrazoEsc))</f>
        <v/>
      </c>
      <c r="O692" s="115" t="str">
        <f>IF(N692="","",IF(ISNUMBER(L692),N692-L692,IF(OR(G692="DECISÃO D.P",ISNUMBER(M692)),"",N692-TODAY())))</f>
        <v/>
      </c>
      <c r="P692" s="116" t="str">
        <f>IF(B692="","",IF(ISNUMBER(M692),"DECIDIDO – ","")&amp;IF(ISNUMBER(L692),IF(O692="","SEM DATA",IF(O692&gt;=0,"DEFESA NO PRAZO","DEFESA FORA DO PRAZO")),IF(OR(G692="DECISÃO D.P",ISNUMBER(M692)),"SEM DEFESA",IF(G692="","SEM STATUS",IF(O692="","SEM DATA",IF(O692&lt;0,"VENCIDO",IF(O692&lt;=DiasAlerta,"VENCE EM BREVE","NO PRAZO")))))))</f>
        <v/>
      </c>
      <c r="Q692" s="117" t="str">
        <f>IF(D692="","",TODAY()-D692)</f>
        <v/>
      </c>
      <c r="R692" s="110" t="n"/>
    </row>
    <row r="693" ht="18" customHeight="1">
      <c r="A693" s="109" t="n"/>
      <c r="B693" s="110" t="n"/>
      <c r="C693" s="110" t="n"/>
      <c r="D693" s="111" t="n"/>
      <c r="E693" s="110" t="n"/>
      <c r="F693" s="112" t="n"/>
      <c r="G693" s="112" t="n"/>
      <c r="H693" s="110" t="n"/>
      <c r="I693" s="113" t="n"/>
      <c r="J693" s="113" t="n"/>
      <c r="K693" s="111" t="n"/>
      <c r="L693" s="111" t="n"/>
      <c r="M693" s="111" t="n"/>
      <c r="N693" s="114" t="str">
        <f>IF(OR(D693="",E693=""),"",D693+IF(E693="NOTIFICAÇÃO DE CONSTATAÇÃO",PrazoConst,PrazoEsc))</f>
        <v/>
      </c>
      <c r="O693" s="115" t="str">
        <f>IF(N693="","",IF(ISNUMBER(L693),N693-L693,IF(OR(G693="DECISÃO D.P",ISNUMBER(M693)),"",N693-TODAY())))</f>
        <v/>
      </c>
      <c r="P693" s="116" t="str">
        <f>IF(B693="","",IF(ISNUMBER(M693),"DECIDIDO – ","")&amp;IF(ISNUMBER(L693),IF(O693="","SEM DATA",IF(O693&gt;=0,"DEFESA NO PRAZO","DEFESA FORA DO PRAZO")),IF(OR(G693="DECISÃO D.P",ISNUMBER(M693)),"SEM DEFESA",IF(G693="","SEM STATUS",IF(O693="","SEM DATA",IF(O693&lt;0,"VENCIDO",IF(O693&lt;=DiasAlerta,"VENCE EM BREVE","NO PRAZO")))))))</f>
        <v/>
      </c>
      <c r="Q693" s="117" t="str">
        <f>IF(D693="","",TODAY()-D693)</f>
        <v/>
      </c>
      <c r="R693" s="110" t="n"/>
    </row>
    <row r="694" ht="18" customHeight="1">
      <c r="A694" s="109" t="n"/>
      <c r="B694" s="110" t="n"/>
      <c r="C694" s="110" t="n"/>
      <c r="D694" s="111" t="n"/>
      <c r="E694" s="110" t="n"/>
      <c r="F694" s="112" t="n"/>
      <c r="G694" s="112" t="n"/>
      <c r="H694" s="110" t="n"/>
      <c r="I694" s="113" t="n"/>
      <c r="J694" s="113" t="n"/>
      <c r="K694" s="111" t="n"/>
      <c r="L694" s="111" t="n"/>
      <c r="M694" s="111" t="n"/>
      <c r="N694" s="114" t="str">
        <f>IF(OR(D694="",E694=""),"",D694+IF(E694="NOTIFICAÇÃO DE CONSTATAÇÃO",PrazoConst,PrazoEsc))</f>
        <v/>
      </c>
      <c r="O694" s="115" t="str">
        <f>IF(N694="","",IF(ISNUMBER(L694),N694-L694,IF(OR(G694="DECISÃO D.P",ISNUMBER(M694)),"",N694-TODAY())))</f>
        <v/>
      </c>
      <c r="P694" s="116" t="str">
        <f>IF(B694="","",IF(ISNUMBER(M694),"DECIDIDO – ","")&amp;IF(ISNUMBER(L694),IF(O694="","SEM DATA",IF(O694&gt;=0,"DEFESA NO PRAZO","DEFESA FORA DO PRAZO")),IF(OR(G694="DECISÃO D.P",ISNUMBER(M694)),"SEM DEFESA",IF(G694="","SEM STATUS",IF(O694="","SEM DATA",IF(O694&lt;0,"VENCIDO",IF(O694&lt;=DiasAlerta,"VENCE EM BREVE","NO PRAZO")))))))</f>
        <v/>
      </c>
      <c r="Q694" s="117" t="str">
        <f>IF(D694="","",TODAY()-D694)</f>
        <v/>
      </c>
      <c r="R694" s="110" t="n"/>
    </row>
    <row r="695" ht="18" customHeight="1">
      <c r="A695" s="109" t="n"/>
      <c r="B695" s="110" t="n"/>
      <c r="C695" s="110" t="n"/>
      <c r="D695" s="111" t="n"/>
      <c r="E695" s="110" t="n"/>
      <c r="F695" s="112" t="n"/>
      <c r="G695" s="112" t="n"/>
      <c r="H695" s="110" t="n"/>
      <c r="I695" s="113" t="n"/>
      <c r="J695" s="113" t="n"/>
      <c r="K695" s="111" t="n"/>
      <c r="L695" s="111" t="n"/>
      <c r="M695" s="111" t="n"/>
      <c r="N695" s="114" t="str">
        <f>IF(OR(D695="",E695=""),"",D695+IF(E695="NOTIFICAÇÃO DE CONSTATAÇÃO",PrazoConst,PrazoEsc))</f>
        <v/>
      </c>
      <c r="O695" s="115" t="str">
        <f>IF(N695="","",IF(ISNUMBER(L695),N695-L695,IF(OR(G695="DECISÃO D.P",ISNUMBER(M695)),"",N695-TODAY())))</f>
        <v/>
      </c>
      <c r="P695" s="116" t="str">
        <f>IF(B695="","",IF(ISNUMBER(M695),"DECIDIDO – ","")&amp;IF(ISNUMBER(L695),IF(O695="","SEM DATA",IF(O695&gt;=0,"DEFESA NO PRAZO","DEFESA FORA DO PRAZO")),IF(OR(G695="DECISÃO D.P",ISNUMBER(M695)),"SEM DEFESA",IF(G695="","SEM STATUS",IF(O695="","SEM DATA",IF(O695&lt;0,"VENCIDO",IF(O695&lt;=DiasAlerta,"VENCE EM BREVE","NO PRAZO")))))))</f>
        <v/>
      </c>
      <c r="Q695" s="117" t="str">
        <f>IF(D695="","",TODAY()-D695)</f>
        <v/>
      </c>
      <c r="R695" s="110" t="n"/>
    </row>
    <row r="696" ht="18" customHeight="1">
      <c r="A696" s="109" t="n"/>
      <c r="B696" s="110" t="n"/>
      <c r="C696" s="110" t="n"/>
      <c r="D696" s="111" t="n"/>
      <c r="E696" s="110" t="n"/>
      <c r="F696" s="112" t="n"/>
      <c r="G696" s="112" t="n"/>
      <c r="H696" s="110" t="n"/>
      <c r="I696" s="113" t="n"/>
      <c r="J696" s="113" t="n"/>
      <c r="K696" s="111" t="n"/>
      <c r="L696" s="111" t="n"/>
      <c r="M696" s="111" t="n"/>
      <c r="N696" s="114" t="str">
        <f>IF(OR(D696="",E696=""),"",D696+IF(E696="NOTIFICAÇÃO DE CONSTATAÇÃO",PrazoConst,PrazoEsc))</f>
        <v/>
      </c>
      <c r="O696" s="115" t="str">
        <f>IF(N696="","",IF(ISNUMBER(L696),N696-L696,IF(OR(G696="DECISÃO D.P",ISNUMBER(M696)),"",N696-TODAY())))</f>
        <v/>
      </c>
      <c r="P696" s="116" t="str">
        <f>IF(B696="","",IF(ISNUMBER(M696),"DECIDIDO – ","")&amp;IF(ISNUMBER(L696),IF(O696="","SEM DATA",IF(O696&gt;=0,"DEFESA NO PRAZO","DEFESA FORA DO PRAZO")),IF(OR(G696="DECISÃO D.P",ISNUMBER(M696)),"SEM DEFESA",IF(G696="","SEM STATUS",IF(O696="","SEM DATA",IF(O696&lt;0,"VENCIDO",IF(O696&lt;=DiasAlerta,"VENCE EM BREVE","NO PRAZO")))))))</f>
        <v/>
      </c>
      <c r="Q696" s="117" t="str">
        <f>IF(D696="","",TODAY()-D696)</f>
        <v/>
      </c>
      <c r="R696" s="110" t="n"/>
    </row>
    <row r="697" ht="18" customHeight="1">
      <c r="A697" s="109" t="n"/>
      <c r="B697" s="110" t="n"/>
      <c r="C697" s="110" t="n"/>
      <c r="D697" s="111" t="n"/>
      <c r="E697" s="110" t="n"/>
      <c r="F697" s="112" t="n"/>
      <c r="G697" s="112" t="n"/>
      <c r="H697" s="110" t="n"/>
      <c r="I697" s="113" t="n"/>
      <c r="J697" s="113" t="n"/>
      <c r="K697" s="111" t="n"/>
      <c r="L697" s="111" t="n"/>
      <c r="M697" s="111" t="n"/>
      <c r="N697" s="114" t="str">
        <f>IF(OR(D697="",E697=""),"",D697+IF(E697="NOTIFICAÇÃO DE CONSTATAÇÃO",PrazoConst,PrazoEsc))</f>
        <v/>
      </c>
      <c r="O697" s="115" t="str">
        <f>IF(N697="","",IF(ISNUMBER(L697),N697-L697,IF(OR(G697="DECISÃO D.P",ISNUMBER(M697)),"",N697-TODAY())))</f>
        <v/>
      </c>
      <c r="P697" s="116" t="str">
        <f>IF(B697="","",IF(ISNUMBER(M697),"DECIDIDO – ","")&amp;IF(ISNUMBER(L697),IF(O697="","SEM DATA",IF(O697&gt;=0,"DEFESA NO PRAZO","DEFESA FORA DO PRAZO")),IF(OR(G697="DECISÃO D.P",ISNUMBER(M697)),"SEM DEFESA",IF(G697="","SEM STATUS",IF(O697="","SEM DATA",IF(O697&lt;0,"VENCIDO",IF(O697&lt;=DiasAlerta,"VENCE EM BREVE","NO PRAZO")))))))</f>
        <v/>
      </c>
      <c r="Q697" s="117" t="str">
        <f>IF(D697="","",TODAY()-D697)</f>
        <v/>
      </c>
      <c r="R697" s="110" t="n"/>
    </row>
    <row r="698" ht="18" customHeight="1">
      <c r="A698" s="109" t="n"/>
      <c r="B698" s="110" t="n"/>
      <c r="C698" s="110" t="n"/>
      <c r="D698" s="111" t="n"/>
      <c r="E698" s="110" t="n"/>
      <c r="F698" s="112" t="n"/>
      <c r="G698" s="112" t="n"/>
      <c r="H698" s="110" t="n"/>
      <c r="I698" s="113" t="n"/>
      <c r="J698" s="113" t="n"/>
      <c r="K698" s="111" t="n"/>
      <c r="L698" s="111" t="n"/>
      <c r="M698" s="111" t="n"/>
      <c r="N698" s="114" t="str">
        <f>IF(OR(D698="",E698=""),"",D698+IF(E698="NOTIFICAÇÃO DE CONSTATAÇÃO",PrazoConst,PrazoEsc))</f>
        <v/>
      </c>
      <c r="O698" s="115" t="str">
        <f>IF(N698="","",IF(ISNUMBER(L698),N698-L698,IF(OR(G698="DECISÃO D.P",ISNUMBER(M698)),"",N698-TODAY())))</f>
        <v/>
      </c>
      <c r="P698" s="116" t="str">
        <f>IF(B698="","",IF(ISNUMBER(M698),"DECIDIDO – ","")&amp;IF(ISNUMBER(L698),IF(O698="","SEM DATA",IF(O698&gt;=0,"DEFESA NO PRAZO","DEFESA FORA DO PRAZO")),IF(OR(G698="DECISÃO D.P",ISNUMBER(M698)),"SEM DEFESA",IF(G698="","SEM STATUS",IF(O698="","SEM DATA",IF(O698&lt;0,"VENCIDO",IF(O698&lt;=DiasAlerta,"VENCE EM BREVE","NO PRAZO")))))))</f>
        <v/>
      </c>
      <c r="Q698" s="117" t="str">
        <f>IF(D698="","",TODAY()-D698)</f>
        <v/>
      </c>
      <c r="R698" s="110" t="n"/>
    </row>
    <row r="699" ht="18" customHeight="1">
      <c r="A699" s="109" t="n"/>
      <c r="B699" s="110" t="n"/>
      <c r="C699" s="110" t="n"/>
      <c r="D699" s="111" t="n"/>
      <c r="E699" s="110" t="n"/>
      <c r="F699" s="112" t="n"/>
      <c r="G699" s="112" t="n"/>
      <c r="H699" s="110" t="n"/>
      <c r="I699" s="113" t="n"/>
      <c r="J699" s="113" t="n"/>
      <c r="K699" s="111" t="n"/>
      <c r="L699" s="111" t="n"/>
      <c r="M699" s="111" t="n"/>
      <c r="N699" s="114" t="str">
        <f>IF(OR(D699="",E699=""),"",D699+IF(E699="NOTIFICAÇÃO DE CONSTATAÇÃO",PrazoConst,PrazoEsc))</f>
        <v/>
      </c>
      <c r="O699" s="115" t="str">
        <f>IF(N699="","",IF(ISNUMBER(L699),N699-L699,IF(OR(G699="DECISÃO D.P",ISNUMBER(M699)),"",N699-TODAY())))</f>
        <v/>
      </c>
      <c r="P699" s="116" t="str">
        <f>IF(B699="","",IF(ISNUMBER(M699),"DECIDIDO – ","")&amp;IF(ISNUMBER(L699),IF(O699="","SEM DATA",IF(O699&gt;=0,"DEFESA NO PRAZO","DEFESA FORA DO PRAZO")),IF(OR(G699="DECISÃO D.P",ISNUMBER(M699)),"SEM DEFESA",IF(G699="","SEM STATUS",IF(O699="","SEM DATA",IF(O699&lt;0,"VENCIDO",IF(O699&lt;=DiasAlerta,"VENCE EM BREVE","NO PRAZO")))))))</f>
        <v/>
      </c>
      <c r="Q699" s="117" t="str">
        <f>IF(D699="","",TODAY()-D699)</f>
        <v/>
      </c>
      <c r="R699" s="110" t="n"/>
    </row>
    <row r="700" ht="18" customHeight="1">
      <c r="A700" s="109" t="n"/>
      <c r="B700" s="110" t="n"/>
      <c r="C700" s="110" t="n"/>
      <c r="D700" s="111" t="n"/>
      <c r="E700" s="110" t="n"/>
      <c r="F700" s="112" t="n"/>
      <c r="G700" s="112" t="n"/>
      <c r="H700" s="110" t="n"/>
      <c r="I700" s="113" t="n"/>
      <c r="J700" s="113" t="n"/>
      <c r="K700" s="111" t="n"/>
      <c r="L700" s="111" t="n"/>
      <c r="M700" s="111" t="n"/>
      <c r="N700" s="114" t="str">
        <f>IF(OR(D700="",E700=""),"",D700+IF(E700="NOTIFICAÇÃO DE CONSTATAÇÃO",PrazoConst,PrazoEsc))</f>
        <v/>
      </c>
      <c r="O700" s="115" t="str">
        <f>IF(N700="","",IF(ISNUMBER(L700),N700-L700,IF(OR(G700="DECISÃO D.P",ISNUMBER(M700)),"",N700-TODAY())))</f>
        <v/>
      </c>
      <c r="P700" s="116" t="str">
        <f>IF(B700="","",IF(ISNUMBER(M700),"DECIDIDO – ","")&amp;IF(ISNUMBER(L700),IF(O700="","SEM DATA",IF(O700&gt;=0,"DEFESA NO PRAZO","DEFESA FORA DO PRAZO")),IF(OR(G700="DECISÃO D.P",ISNUMBER(M700)),"SEM DEFESA",IF(G700="","SEM STATUS",IF(O700="","SEM DATA",IF(O700&lt;0,"VENCIDO",IF(O700&lt;=DiasAlerta,"VENCE EM BREVE","NO PRAZO")))))))</f>
        <v/>
      </c>
      <c r="Q700" s="117" t="str">
        <f>IF(D700="","",TODAY()-D700)</f>
        <v/>
      </c>
      <c r="R700" s="110" t="n"/>
    </row>
    <row r="701" ht="18" customHeight="1">
      <c r="A701" s="109" t="n"/>
      <c r="B701" s="110" t="n"/>
      <c r="C701" s="110" t="n"/>
      <c r="D701" s="111" t="n"/>
      <c r="E701" s="110" t="n"/>
      <c r="F701" s="112" t="n"/>
      <c r="G701" s="112" t="n"/>
      <c r="H701" s="110" t="n"/>
      <c r="I701" s="113" t="n"/>
      <c r="J701" s="113" t="n"/>
      <c r="K701" s="111" t="n"/>
      <c r="L701" s="111" t="n"/>
      <c r="M701" s="111" t="n"/>
      <c r="N701" s="114" t="str">
        <f>IF(OR(D701="",E701=""),"",D701+IF(E701="NOTIFICAÇÃO DE CONSTATAÇÃO",PrazoConst,PrazoEsc))</f>
        <v/>
      </c>
      <c r="O701" s="115" t="str">
        <f>IF(N701="","",IF(ISNUMBER(L701),N701-L701,IF(OR(G701="DECISÃO D.P",ISNUMBER(M701)),"",N701-TODAY())))</f>
        <v/>
      </c>
      <c r="P701" s="116" t="str">
        <f>IF(B701="","",IF(ISNUMBER(M701),"DECIDIDO – ","")&amp;IF(ISNUMBER(L701),IF(O701="","SEM DATA",IF(O701&gt;=0,"DEFESA NO PRAZO","DEFESA FORA DO PRAZO")),IF(OR(G701="DECISÃO D.P",ISNUMBER(M701)),"SEM DEFESA",IF(G701="","SEM STATUS",IF(O701="","SEM DATA",IF(O701&lt;0,"VENCIDO",IF(O701&lt;=DiasAlerta,"VENCE EM BREVE","NO PRAZO")))))))</f>
        <v/>
      </c>
      <c r="Q701" s="117" t="str">
        <f>IF(D701="","",TODAY()-D701)</f>
        <v/>
      </c>
      <c r="R701" s="110" t="n"/>
    </row>
    <row r="702" ht="18" customHeight="1">
      <c r="A702" s="109" t="n"/>
      <c r="B702" s="110" t="n"/>
      <c r="C702" s="110" t="n"/>
      <c r="D702" s="111" t="n"/>
      <c r="E702" s="110" t="n"/>
      <c r="F702" s="112" t="n"/>
      <c r="G702" s="112" t="n"/>
      <c r="H702" s="110" t="n"/>
      <c r="I702" s="113" t="n"/>
      <c r="J702" s="113" t="n"/>
      <c r="K702" s="111" t="n"/>
      <c r="L702" s="111" t="n"/>
      <c r="M702" s="111" t="n"/>
      <c r="N702" s="114" t="str">
        <f>IF(OR(D702="",E702=""),"",D702+IF(E702="NOTIFICAÇÃO DE CONSTATAÇÃO",PrazoConst,PrazoEsc))</f>
        <v/>
      </c>
      <c r="O702" s="115" t="str">
        <f>IF(N702="","",IF(ISNUMBER(L702),N702-L702,IF(OR(G702="DECISÃO D.P",ISNUMBER(M702)),"",N702-TODAY())))</f>
        <v/>
      </c>
      <c r="P702" s="116" t="str">
        <f>IF(B702="","",IF(ISNUMBER(M702),"DECIDIDO – ","")&amp;IF(ISNUMBER(L702),IF(O702="","SEM DATA",IF(O702&gt;=0,"DEFESA NO PRAZO","DEFESA FORA DO PRAZO")),IF(OR(G702="DECISÃO D.P",ISNUMBER(M702)),"SEM DEFESA",IF(G702="","SEM STATUS",IF(O702="","SEM DATA",IF(O702&lt;0,"VENCIDO",IF(O702&lt;=DiasAlerta,"VENCE EM BREVE","NO PRAZO")))))))</f>
        <v/>
      </c>
      <c r="Q702" s="117" t="str">
        <f>IF(D702="","",TODAY()-D702)</f>
        <v/>
      </c>
      <c r="R702" s="110" t="n"/>
    </row>
    <row r="703" ht="18" customHeight="1">
      <c r="A703" s="109" t="n"/>
      <c r="B703" s="110" t="n"/>
      <c r="C703" s="110" t="n"/>
      <c r="D703" s="111" t="n"/>
      <c r="E703" s="110" t="n"/>
      <c r="F703" s="112" t="n"/>
      <c r="G703" s="112" t="n"/>
      <c r="H703" s="110" t="n"/>
      <c r="I703" s="113" t="n"/>
      <c r="J703" s="113" t="n"/>
      <c r="K703" s="111" t="n"/>
      <c r="L703" s="111" t="n"/>
      <c r="M703" s="111" t="n"/>
      <c r="N703" s="114" t="str">
        <f>IF(OR(D703="",E703=""),"",D703+IF(E703="NOTIFICAÇÃO DE CONSTATAÇÃO",PrazoConst,PrazoEsc))</f>
        <v/>
      </c>
      <c r="O703" s="115" t="str">
        <f>IF(N703="","",IF(ISNUMBER(L703),N703-L703,IF(OR(G703="DECISÃO D.P",ISNUMBER(M703)),"",N703-TODAY())))</f>
        <v/>
      </c>
      <c r="P703" s="116" t="str">
        <f>IF(B703="","",IF(ISNUMBER(M703),"DECIDIDO – ","")&amp;IF(ISNUMBER(L703),IF(O703="","SEM DATA",IF(O703&gt;=0,"DEFESA NO PRAZO","DEFESA FORA DO PRAZO")),IF(OR(G703="DECISÃO D.P",ISNUMBER(M703)),"SEM DEFESA",IF(G703="","SEM STATUS",IF(O703="","SEM DATA",IF(O703&lt;0,"VENCIDO",IF(O703&lt;=DiasAlerta,"VENCE EM BREVE","NO PRAZO")))))))</f>
        <v/>
      </c>
      <c r="Q703" s="117" t="str">
        <f>IF(D703="","",TODAY()-D703)</f>
        <v/>
      </c>
      <c r="R703" s="110" t="n"/>
    </row>
    <row r="704" ht="18" customHeight="1">
      <c r="A704" s="109" t="n"/>
      <c r="B704" s="110" t="n"/>
      <c r="C704" s="110" t="n"/>
      <c r="D704" s="111" t="n"/>
      <c r="E704" s="110" t="n"/>
      <c r="F704" s="112" t="n"/>
      <c r="G704" s="112" t="n"/>
      <c r="H704" s="110" t="n"/>
      <c r="I704" s="113" t="n"/>
      <c r="J704" s="113" t="n"/>
      <c r="K704" s="111" t="n"/>
      <c r="L704" s="111" t="n"/>
      <c r="M704" s="111" t="n"/>
      <c r="N704" s="114" t="str">
        <f>IF(OR(D704="",E704=""),"",D704+IF(E704="NOTIFICAÇÃO DE CONSTATAÇÃO",PrazoConst,PrazoEsc))</f>
        <v/>
      </c>
      <c r="O704" s="115" t="str">
        <f>IF(N704="","",IF(ISNUMBER(L704),N704-L704,IF(OR(G704="DECISÃO D.P",ISNUMBER(M704)),"",N704-TODAY())))</f>
        <v/>
      </c>
      <c r="P704" s="116" t="str">
        <f>IF(B704="","",IF(ISNUMBER(M704),"DECIDIDO – ","")&amp;IF(ISNUMBER(L704),IF(O704="","SEM DATA",IF(O704&gt;=0,"DEFESA NO PRAZO","DEFESA FORA DO PRAZO")),IF(OR(G704="DECISÃO D.P",ISNUMBER(M704)),"SEM DEFESA",IF(G704="","SEM STATUS",IF(O704="","SEM DATA",IF(O704&lt;0,"VENCIDO",IF(O704&lt;=DiasAlerta,"VENCE EM BREVE","NO PRAZO")))))))</f>
        <v/>
      </c>
      <c r="Q704" s="117" t="str">
        <f>IF(D704="","",TODAY()-D704)</f>
        <v/>
      </c>
      <c r="R704" s="110" t="n"/>
    </row>
    <row r="705" ht="18" customHeight="1">
      <c r="A705" s="109" t="n"/>
      <c r="B705" s="110" t="n"/>
      <c r="C705" s="110" t="n"/>
      <c r="D705" s="111" t="n"/>
      <c r="E705" s="110" t="n"/>
      <c r="F705" s="112" t="n"/>
      <c r="G705" s="112" t="n"/>
      <c r="H705" s="110" t="n"/>
      <c r="I705" s="113" t="n"/>
      <c r="J705" s="113" t="n"/>
      <c r="K705" s="111" t="n"/>
      <c r="L705" s="111" t="n"/>
      <c r="M705" s="111" t="n"/>
      <c r="N705" s="114" t="str">
        <f>IF(OR(D705="",E705=""),"",D705+IF(E705="NOTIFICAÇÃO DE CONSTATAÇÃO",PrazoConst,PrazoEsc))</f>
        <v/>
      </c>
      <c r="O705" s="115" t="str">
        <f>IF(N705="","",IF(ISNUMBER(L705),N705-L705,IF(OR(G705="DECISÃO D.P",ISNUMBER(M705)),"",N705-TODAY())))</f>
        <v/>
      </c>
      <c r="P705" s="116" t="str">
        <f>IF(B705="","",IF(ISNUMBER(M705),"DECIDIDO – ","")&amp;IF(ISNUMBER(L705),IF(O705="","SEM DATA",IF(O705&gt;=0,"DEFESA NO PRAZO","DEFESA FORA DO PRAZO")),IF(OR(G705="DECISÃO D.P",ISNUMBER(M705)),"SEM DEFESA",IF(G705="","SEM STATUS",IF(O705="","SEM DATA",IF(O705&lt;0,"VENCIDO",IF(O705&lt;=DiasAlerta,"VENCE EM BREVE","NO PRAZO")))))))</f>
        <v/>
      </c>
      <c r="Q705" s="117" t="str">
        <f>IF(D705="","",TODAY()-D705)</f>
        <v/>
      </c>
      <c r="R705" s="110" t="n"/>
    </row>
    <row r="706" ht="18" customHeight="1">
      <c r="A706" s="109" t="n"/>
      <c r="B706" s="110" t="n"/>
      <c r="C706" s="110" t="n"/>
      <c r="D706" s="111" t="n"/>
      <c r="E706" s="110" t="n"/>
      <c r="F706" s="112" t="n"/>
      <c r="G706" s="112" t="n"/>
      <c r="H706" s="110" t="n"/>
      <c r="I706" s="113" t="n"/>
      <c r="J706" s="113" t="n"/>
      <c r="K706" s="111" t="n"/>
      <c r="L706" s="111" t="n"/>
      <c r="M706" s="111" t="n"/>
      <c r="N706" s="114" t="str">
        <f>IF(OR(D706="",E706=""),"",D706+IF(E706="NOTIFICAÇÃO DE CONSTATAÇÃO",PrazoConst,PrazoEsc))</f>
        <v/>
      </c>
      <c r="O706" s="115" t="str">
        <f>IF(N706="","",IF(ISNUMBER(L706),N706-L706,IF(OR(G706="DECISÃO D.P",ISNUMBER(M706)),"",N706-TODAY())))</f>
        <v/>
      </c>
      <c r="P706" s="116" t="str">
        <f>IF(B706="","",IF(ISNUMBER(M706),"DECIDIDO – ","")&amp;IF(ISNUMBER(L706),IF(O706="","SEM DATA",IF(O706&gt;=0,"DEFESA NO PRAZO","DEFESA FORA DO PRAZO")),IF(OR(G706="DECISÃO D.P",ISNUMBER(M706)),"SEM DEFESA",IF(G706="","SEM STATUS",IF(O706="","SEM DATA",IF(O706&lt;0,"VENCIDO",IF(O706&lt;=DiasAlerta,"VENCE EM BREVE","NO PRAZO")))))))</f>
        <v/>
      </c>
      <c r="Q706" s="117" t="str">
        <f>IF(D706="","",TODAY()-D706)</f>
        <v/>
      </c>
      <c r="R706" s="110" t="n"/>
    </row>
    <row r="707" ht="18" customHeight="1">
      <c r="A707" s="109" t="n"/>
      <c r="B707" s="110" t="n"/>
      <c r="C707" s="110" t="n"/>
      <c r="D707" s="111" t="n"/>
      <c r="E707" s="110" t="n"/>
      <c r="F707" s="112" t="n"/>
      <c r="G707" s="112" t="n"/>
      <c r="H707" s="110" t="n"/>
      <c r="I707" s="113" t="n"/>
      <c r="J707" s="113" t="n"/>
      <c r="K707" s="111" t="n"/>
      <c r="L707" s="111" t="n"/>
      <c r="M707" s="111" t="n"/>
      <c r="N707" s="114" t="str">
        <f>IF(OR(D707="",E707=""),"",D707+IF(E707="NOTIFICAÇÃO DE CONSTATAÇÃO",PrazoConst,PrazoEsc))</f>
        <v/>
      </c>
      <c r="O707" s="115" t="str">
        <f>IF(N707="","",IF(ISNUMBER(L707),N707-L707,IF(OR(G707="DECISÃO D.P",ISNUMBER(M707)),"",N707-TODAY())))</f>
        <v/>
      </c>
      <c r="P707" s="116" t="str">
        <f>IF(B707="","",IF(ISNUMBER(M707),"DECIDIDO – ","")&amp;IF(ISNUMBER(L707),IF(O707="","SEM DATA",IF(O707&gt;=0,"DEFESA NO PRAZO","DEFESA FORA DO PRAZO")),IF(OR(G707="DECISÃO D.P",ISNUMBER(M707)),"SEM DEFESA",IF(G707="","SEM STATUS",IF(O707="","SEM DATA",IF(O707&lt;0,"VENCIDO",IF(O707&lt;=DiasAlerta,"VENCE EM BREVE","NO PRAZO")))))))</f>
        <v/>
      </c>
      <c r="Q707" s="117" t="str">
        <f>IF(D707="","",TODAY()-D707)</f>
        <v/>
      </c>
      <c r="R707" s="110" t="n"/>
    </row>
    <row r="708" ht="18" customHeight="1">
      <c r="A708" s="109" t="n"/>
      <c r="B708" s="110" t="n"/>
      <c r="C708" s="110" t="n"/>
      <c r="D708" s="111" t="n"/>
      <c r="E708" s="110" t="n"/>
      <c r="F708" s="112" t="n"/>
      <c r="G708" s="112" t="n"/>
      <c r="H708" s="110" t="n"/>
      <c r="I708" s="113" t="n"/>
      <c r="J708" s="113" t="n"/>
      <c r="K708" s="111" t="n"/>
      <c r="L708" s="111" t="n"/>
      <c r="M708" s="111" t="n"/>
      <c r="N708" s="114" t="str">
        <f>IF(OR(D708="",E708=""),"",D708+IF(E708="NOTIFICAÇÃO DE CONSTATAÇÃO",PrazoConst,PrazoEsc))</f>
        <v/>
      </c>
      <c r="O708" s="115" t="str">
        <f>IF(N708="","",IF(ISNUMBER(L708),N708-L708,IF(OR(G708="DECISÃO D.P",ISNUMBER(M708)),"",N708-TODAY())))</f>
        <v/>
      </c>
      <c r="P708" s="116" t="str">
        <f>IF(B708="","",IF(ISNUMBER(M708),"DECIDIDO – ","")&amp;IF(ISNUMBER(L708),IF(O708="","SEM DATA",IF(O708&gt;=0,"DEFESA NO PRAZO","DEFESA FORA DO PRAZO")),IF(OR(G708="DECISÃO D.P",ISNUMBER(M708)),"SEM DEFESA",IF(G708="","SEM STATUS",IF(O708="","SEM DATA",IF(O708&lt;0,"VENCIDO",IF(O708&lt;=DiasAlerta,"VENCE EM BREVE","NO PRAZO")))))))</f>
        <v/>
      </c>
      <c r="Q708" s="117" t="str">
        <f>IF(D708="","",TODAY()-D708)</f>
        <v/>
      </c>
      <c r="R708" s="110" t="n"/>
    </row>
    <row r="709" ht="18" customHeight="1">
      <c r="A709" s="109" t="n"/>
      <c r="B709" s="110" t="n"/>
      <c r="C709" s="110" t="n"/>
      <c r="D709" s="111" t="n"/>
      <c r="E709" s="110" t="n"/>
      <c r="F709" s="112" t="n"/>
      <c r="G709" s="112" t="n"/>
      <c r="H709" s="110" t="n"/>
      <c r="I709" s="113" t="n"/>
      <c r="J709" s="113" t="n"/>
      <c r="K709" s="111" t="n"/>
      <c r="L709" s="111" t="n"/>
      <c r="M709" s="111" t="n"/>
      <c r="N709" s="114" t="str">
        <f>IF(OR(D709="",E709=""),"",D709+IF(E709="NOTIFICAÇÃO DE CONSTATAÇÃO",PrazoConst,PrazoEsc))</f>
        <v/>
      </c>
      <c r="O709" s="115" t="str">
        <f>IF(N709="","",IF(ISNUMBER(L709),N709-L709,IF(OR(G709="DECISÃO D.P",ISNUMBER(M709)),"",N709-TODAY())))</f>
        <v/>
      </c>
      <c r="P709" s="116" t="str">
        <f>IF(B709="","",IF(ISNUMBER(M709),"DECIDIDO – ","")&amp;IF(ISNUMBER(L709),IF(O709="","SEM DATA",IF(O709&gt;=0,"DEFESA NO PRAZO","DEFESA FORA DO PRAZO")),IF(OR(G709="DECISÃO D.P",ISNUMBER(M709)),"SEM DEFESA",IF(G709="","SEM STATUS",IF(O709="","SEM DATA",IF(O709&lt;0,"VENCIDO",IF(O709&lt;=DiasAlerta,"VENCE EM BREVE","NO PRAZO")))))))</f>
        <v/>
      </c>
      <c r="Q709" s="117" t="str">
        <f>IF(D709="","",TODAY()-D709)</f>
        <v/>
      </c>
      <c r="R709" s="110" t="n"/>
    </row>
    <row r="710" ht="18" customHeight="1">
      <c r="A710" s="109" t="n"/>
      <c r="B710" s="110" t="n"/>
      <c r="C710" s="110" t="n"/>
      <c r="D710" s="111" t="n"/>
      <c r="E710" s="110" t="n"/>
      <c r="F710" s="112" t="n"/>
      <c r="G710" s="112" t="n"/>
      <c r="H710" s="110" t="n"/>
      <c r="I710" s="113" t="n"/>
      <c r="J710" s="113" t="n"/>
      <c r="K710" s="111" t="n"/>
      <c r="L710" s="111" t="n"/>
      <c r="M710" s="111" t="n"/>
      <c r="N710" s="114" t="str">
        <f>IF(OR(D710="",E710=""),"",D710+IF(E710="NOTIFICAÇÃO DE CONSTATAÇÃO",PrazoConst,PrazoEsc))</f>
        <v/>
      </c>
      <c r="O710" s="115" t="str">
        <f>IF(N710="","",IF(ISNUMBER(L710),N710-L710,IF(OR(G710="DECISÃO D.P",ISNUMBER(M710)),"",N710-TODAY())))</f>
        <v/>
      </c>
      <c r="P710" s="116" t="str">
        <f>IF(B710="","",IF(ISNUMBER(M710),"DECIDIDO – ","")&amp;IF(ISNUMBER(L710),IF(O710="","SEM DATA",IF(O710&gt;=0,"DEFESA NO PRAZO","DEFESA FORA DO PRAZO")),IF(OR(G710="DECISÃO D.P",ISNUMBER(M710)),"SEM DEFESA",IF(G710="","SEM STATUS",IF(O710="","SEM DATA",IF(O710&lt;0,"VENCIDO",IF(O710&lt;=DiasAlerta,"VENCE EM BREVE","NO PRAZO")))))))</f>
        <v/>
      </c>
      <c r="Q710" s="117" t="str">
        <f>IF(D710="","",TODAY()-D710)</f>
        <v/>
      </c>
      <c r="R710" s="110" t="n"/>
    </row>
    <row r="711" ht="18" customHeight="1">
      <c r="A711" s="109" t="n"/>
      <c r="B711" s="110" t="n"/>
      <c r="C711" s="110" t="n"/>
      <c r="D711" s="111" t="n"/>
      <c r="E711" s="110" t="n"/>
      <c r="F711" s="112" t="n"/>
      <c r="G711" s="112" t="n"/>
      <c r="H711" s="110" t="n"/>
      <c r="I711" s="113" t="n"/>
      <c r="J711" s="113" t="n"/>
      <c r="K711" s="111" t="n"/>
      <c r="L711" s="111" t="n"/>
      <c r="M711" s="111" t="n"/>
      <c r="N711" s="114" t="str">
        <f>IF(OR(D711="",E711=""),"",D711+IF(E711="NOTIFICAÇÃO DE CONSTATAÇÃO",PrazoConst,PrazoEsc))</f>
        <v/>
      </c>
      <c r="O711" s="115" t="str">
        <f>IF(N711="","",IF(ISNUMBER(L711),N711-L711,IF(OR(G711="DECISÃO D.P",ISNUMBER(M711)),"",N711-TODAY())))</f>
        <v/>
      </c>
      <c r="P711" s="116" t="str">
        <f>IF(B711="","",IF(ISNUMBER(M711),"DECIDIDO – ","")&amp;IF(ISNUMBER(L711),IF(O711="","SEM DATA",IF(O711&gt;=0,"DEFESA NO PRAZO","DEFESA FORA DO PRAZO")),IF(OR(G711="DECISÃO D.P",ISNUMBER(M711)),"SEM DEFESA",IF(G711="","SEM STATUS",IF(O711="","SEM DATA",IF(O711&lt;0,"VENCIDO",IF(O711&lt;=DiasAlerta,"VENCE EM BREVE","NO PRAZO")))))))</f>
        <v/>
      </c>
      <c r="Q711" s="117" t="str">
        <f>IF(D711="","",TODAY()-D711)</f>
        <v/>
      </c>
      <c r="R711" s="110" t="n"/>
    </row>
    <row r="712" ht="18" customHeight="1">
      <c r="A712" s="109" t="n"/>
      <c r="B712" s="110" t="n"/>
      <c r="C712" s="110" t="n"/>
      <c r="D712" s="111" t="n"/>
      <c r="E712" s="110" t="n"/>
      <c r="F712" s="112" t="n"/>
      <c r="G712" s="112" t="n"/>
      <c r="H712" s="110" t="n"/>
      <c r="I712" s="113" t="n"/>
      <c r="J712" s="113" t="n"/>
      <c r="K712" s="111" t="n"/>
      <c r="L712" s="111" t="n"/>
      <c r="M712" s="111" t="n"/>
      <c r="N712" s="114" t="str">
        <f>IF(OR(D712="",E712=""),"",D712+IF(E712="NOTIFICAÇÃO DE CONSTATAÇÃO",PrazoConst,PrazoEsc))</f>
        <v/>
      </c>
      <c r="O712" s="115" t="str">
        <f>IF(N712="","",IF(ISNUMBER(L712),N712-L712,IF(OR(G712="DECISÃO D.P",ISNUMBER(M712)),"",N712-TODAY())))</f>
        <v/>
      </c>
      <c r="P712" s="116" t="str">
        <f>IF(B712="","",IF(ISNUMBER(M712),"DECIDIDO – ","")&amp;IF(ISNUMBER(L712),IF(O712="","SEM DATA",IF(O712&gt;=0,"DEFESA NO PRAZO","DEFESA FORA DO PRAZO")),IF(OR(G712="DECISÃO D.P",ISNUMBER(M712)),"SEM DEFESA",IF(G712="","SEM STATUS",IF(O712="","SEM DATA",IF(O712&lt;0,"VENCIDO",IF(O712&lt;=DiasAlerta,"VENCE EM BREVE","NO PRAZO")))))))</f>
        <v/>
      </c>
      <c r="Q712" s="117" t="str">
        <f>IF(D712="","",TODAY()-D712)</f>
        <v/>
      </c>
      <c r="R712" s="110" t="n"/>
    </row>
    <row r="713" ht="18" customHeight="1">
      <c r="A713" s="109" t="n"/>
      <c r="B713" s="110" t="n"/>
      <c r="C713" s="110" t="n"/>
      <c r="D713" s="111" t="n"/>
      <c r="E713" s="110" t="n"/>
      <c r="F713" s="112" t="n"/>
      <c r="G713" s="112" t="n"/>
      <c r="H713" s="110" t="n"/>
      <c r="I713" s="113" t="n"/>
      <c r="J713" s="113" t="n"/>
      <c r="K713" s="111" t="n"/>
      <c r="L713" s="111" t="n"/>
      <c r="M713" s="111" t="n"/>
      <c r="N713" s="114" t="str">
        <f>IF(OR(D713="",E713=""),"",D713+IF(E713="NOTIFICAÇÃO DE CONSTATAÇÃO",PrazoConst,PrazoEsc))</f>
        <v/>
      </c>
      <c r="O713" s="115" t="str">
        <f>IF(N713="","",IF(ISNUMBER(L713),N713-L713,IF(OR(G713="DECISÃO D.P",ISNUMBER(M713)),"",N713-TODAY())))</f>
        <v/>
      </c>
      <c r="P713" s="116" t="str">
        <f>IF(B713="","",IF(ISNUMBER(M713),"DECIDIDO – ","")&amp;IF(ISNUMBER(L713),IF(O713="","SEM DATA",IF(O713&gt;=0,"DEFESA NO PRAZO","DEFESA FORA DO PRAZO")),IF(OR(G713="DECISÃO D.P",ISNUMBER(M713)),"SEM DEFESA",IF(G713="","SEM STATUS",IF(O713="","SEM DATA",IF(O713&lt;0,"VENCIDO",IF(O713&lt;=DiasAlerta,"VENCE EM BREVE","NO PRAZO")))))))</f>
        <v/>
      </c>
      <c r="Q713" s="117" t="str">
        <f>IF(D713="","",TODAY()-D713)</f>
        <v/>
      </c>
      <c r="R713" s="110" t="n"/>
    </row>
    <row r="714" ht="18" customHeight="1">
      <c r="A714" s="109" t="n"/>
      <c r="B714" s="110" t="n"/>
      <c r="C714" s="110" t="n"/>
      <c r="D714" s="111" t="n"/>
      <c r="E714" s="110" t="n"/>
      <c r="F714" s="112" t="n"/>
      <c r="G714" s="112" t="n"/>
      <c r="H714" s="110" t="n"/>
      <c r="I714" s="113" t="n"/>
      <c r="J714" s="113" t="n"/>
      <c r="K714" s="111" t="n"/>
      <c r="L714" s="111" t="n"/>
      <c r="M714" s="111" t="n"/>
      <c r="N714" s="114" t="str">
        <f>IF(OR(D714="",E714=""),"",D714+IF(E714="NOTIFICAÇÃO DE CONSTATAÇÃO",PrazoConst,PrazoEsc))</f>
        <v/>
      </c>
      <c r="O714" s="115" t="str">
        <f>IF(N714="","",IF(ISNUMBER(L714),N714-L714,IF(OR(G714="DECISÃO D.P",ISNUMBER(M714)),"",N714-TODAY())))</f>
        <v/>
      </c>
      <c r="P714" s="116" t="str">
        <f>IF(B714="","",IF(ISNUMBER(M714),"DECIDIDO – ","")&amp;IF(ISNUMBER(L714),IF(O714="","SEM DATA",IF(O714&gt;=0,"DEFESA NO PRAZO","DEFESA FORA DO PRAZO")),IF(OR(G714="DECISÃO D.P",ISNUMBER(M714)),"SEM DEFESA",IF(G714="","SEM STATUS",IF(O714="","SEM DATA",IF(O714&lt;0,"VENCIDO",IF(O714&lt;=DiasAlerta,"VENCE EM BREVE","NO PRAZO")))))))</f>
        <v/>
      </c>
      <c r="Q714" s="117" t="str">
        <f>IF(D714="","",TODAY()-D714)</f>
        <v/>
      </c>
      <c r="R714" s="110" t="n"/>
    </row>
    <row r="715" ht="18" customHeight="1">
      <c r="A715" s="109" t="n"/>
      <c r="B715" s="110" t="n"/>
      <c r="C715" s="110" t="n"/>
      <c r="D715" s="111" t="n"/>
      <c r="E715" s="110" t="n"/>
      <c r="F715" s="112" t="n"/>
      <c r="G715" s="112" t="n"/>
      <c r="H715" s="110" t="n"/>
      <c r="I715" s="113" t="n"/>
      <c r="J715" s="113" t="n"/>
      <c r="K715" s="111" t="n"/>
      <c r="L715" s="111" t="n"/>
      <c r="M715" s="111" t="n"/>
      <c r="N715" s="114" t="str">
        <f>IF(OR(D715="",E715=""),"",D715+IF(E715="NOTIFICAÇÃO DE CONSTATAÇÃO",PrazoConst,PrazoEsc))</f>
        <v/>
      </c>
      <c r="O715" s="115" t="str">
        <f>IF(N715="","",IF(ISNUMBER(L715),N715-L715,IF(OR(G715="DECISÃO D.P",ISNUMBER(M715)),"",N715-TODAY())))</f>
        <v/>
      </c>
      <c r="P715" s="116" t="str">
        <f>IF(B715="","",IF(ISNUMBER(M715),"DECIDIDO – ","")&amp;IF(ISNUMBER(L715),IF(O715="","SEM DATA",IF(O715&gt;=0,"DEFESA NO PRAZO","DEFESA FORA DO PRAZO")),IF(OR(G715="DECISÃO D.P",ISNUMBER(M715)),"SEM DEFESA",IF(G715="","SEM STATUS",IF(O715="","SEM DATA",IF(O715&lt;0,"VENCIDO",IF(O715&lt;=DiasAlerta,"VENCE EM BREVE","NO PRAZO")))))))</f>
        <v/>
      </c>
      <c r="Q715" s="117" t="str">
        <f>IF(D715="","",TODAY()-D715)</f>
        <v/>
      </c>
      <c r="R715" s="110" t="n"/>
    </row>
    <row r="716" ht="18" customHeight="1">
      <c r="A716" s="109" t="n"/>
      <c r="B716" s="110" t="n"/>
      <c r="C716" s="110" t="n"/>
      <c r="D716" s="111" t="n"/>
      <c r="E716" s="110" t="n"/>
      <c r="F716" s="112" t="n"/>
      <c r="G716" s="112" t="n"/>
      <c r="H716" s="110" t="n"/>
      <c r="I716" s="113" t="n"/>
      <c r="J716" s="113" t="n"/>
      <c r="K716" s="111" t="n"/>
      <c r="L716" s="111" t="n"/>
      <c r="M716" s="111" t="n"/>
      <c r="N716" s="114" t="str">
        <f>IF(OR(D716="",E716=""),"",D716+IF(E716="NOTIFICAÇÃO DE CONSTATAÇÃO",PrazoConst,PrazoEsc))</f>
        <v/>
      </c>
      <c r="O716" s="115" t="str">
        <f>IF(N716="","",IF(ISNUMBER(L716),N716-L716,IF(OR(G716="DECISÃO D.P",ISNUMBER(M716)),"",N716-TODAY())))</f>
        <v/>
      </c>
      <c r="P716" s="116" t="str">
        <f>IF(B716="","",IF(ISNUMBER(M716),"DECIDIDO – ","")&amp;IF(ISNUMBER(L716),IF(O716="","SEM DATA",IF(O716&gt;=0,"DEFESA NO PRAZO","DEFESA FORA DO PRAZO")),IF(OR(G716="DECISÃO D.P",ISNUMBER(M716)),"SEM DEFESA",IF(G716="","SEM STATUS",IF(O716="","SEM DATA",IF(O716&lt;0,"VENCIDO",IF(O716&lt;=DiasAlerta,"VENCE EM BREVE","NO PRAZO")))))))</f>
        <v/>
      </c>
      <c r="Q716" s="117" t="str">
        <f>IF(D716="","",TODAY()-D716)</f>
        <v/>
      </c>
      <c r="R716" s="110" t="n"/>
    </row>
    <row r="717" ht="18" customHeight="1">
      <c r="A717" s="109" t="n"/>
      <c r="B717" s="110" t="n"/>
      <c r="C717" s="110" t="n"/>
      <c r="D717" s="111" t="n"/>
      <c r="E717" s="110" t="n"/>
      <c r="F717" s="112" t="n"/>
      <c r="G717" s="112" t="n"/>
      <c r="H717" s="110" t="n"/>
      <c r="I717" s="113" t="n"/>
      <c r="J717" s="113" t="n"/>
      <c r="K717" s="111" t="n"/>
      <c r="L717" s="111" t="n"/>
      <c r="M717" s="111" t="n"/>
      <c r="N717" s="114" t="str">
        <f>IF(OR(D717="",E717=""),"",D717+IF(E717="NOTIFICAÇÃO DE CONSTATAÇÃO",PrazoConst,PrazoEsc))</f>
        <v/>
      </c>
      <c r="O717" s="115" t="str">
        <f>IF(N717="","",IF(ISNUMBER(L717),N717-L717,IF(OR(G717="DECISÃO D.P",ISNUMBER(M717)),"",N717-TODAY())))</f>
        <v/>
      </c>
      <c r="P717" s="116" t="str">
        <f>IF(B717="","",IF(ISNUMBER(M717),"DECIDIDO – ","")&amp;IF(ISNUMBER(L717),IF(O717="","SEM DATA",IF(O717&gt;=0,"DEFESA NO PRAZO","DEFESA FORA DO PRAZO")),IF(OR(G717="DECISÃO D.P",ISNUMBER(M717)),"SEM DEFESA",IF(G717="","SEM STATUS",IF(O717="","SEM DATA",IF(O717&lt;0,"VENCIDO",IF(O717&lt;=DiasAlerta,"VENCE EM BREVE","NO PRAZO")))))))</f>
        <v/>
      </c>
      <c r="Q717" s="117" t="str">
        <f>IF(D717="","",TODAY()-D717)</f>
        <v/>
      </c>
      <c r="R717" s="110" t="n"/>
    </row>
    <row r="718" ht="18" customHeight="1">
      <c r="A718" s="109" t="n"/>
      <c r="B718" s="110" t="n"/>
      <c r="C718" s="110" t="n"/>
      <c r="D718" s="111" t="n"/>
      <c r="E718" s="110" t="n"/>
      <c r="F718" s="112" t="n"/>
      <c r="G718" s="112" t="n"/>
      <c r="H718" s="110" t="n"/>
      <c r="I718" s="113" t="n"/>
      <c r="J718" s="113" t="n"/>
      <c r="K718" s="111" t="n"/>
      <c r="L718" s="111" t="n"/>
      <c r="M718" s="111" t="n"/>
      <c r="N718" s="114" t="str">
        <f>IF(OR(D718="",E718=""),"",D718+IF(E718="NOTIFICAÇÃO DE CONSTATAÇÃO",PrazoConst,PrazoEsc))</f>
        <v/>
      </c>
      <c r="O718" s="115" t="str">
        <f>IF(N718="","",IF(ISNUMBER(L718),N718-L718,IF(OR(G718="DECISÃO D.P",ISNUMBER(M718)),"",N718-TODAY())))</f>
        <v/>
      </c>
      <c r="P718" s="116" t="str">
        <f>IF(B718="","",IF(ISNUMBER(M718),"DECIDIDO – ","")&amp;IF(ISNUMBER(L718),IF(O718="","SEM DATA",IF(O718&gt;=0,"DEFESA NO PRAZO","DEFESA FORA DO PRAZO")),IF(OR(G718="DECISÃO D.P",ISNUMBER(M718)),"SEM DEFESA",IF(G718="","SEM STATUS",IF(O718="","SEM DATA",IF(O718&lt;0,"VENCIDO",IF(O718&lt;=DiasAlerta,"VENCE EM BREVE","NO PRAZO")))))))</f>
        <v/>
      </c>
      <c r="Q718" s="117" t="str">
        <f>IF(D718="","",TODAY()-D718)</f>
        <v/>
      </c>
      <c r="R718" s="110" t="n"/>
    </row>
    <row r="719" ht="18" customHeight="1">
      <c r="A719" s="109" t="n"/>
      <c r="B719" s="110" t="n"/>
      <c r="C719" s="110" t="n"/>
      <c r="D719" s="111" t="n"/>
      <c r="E719" s="110" t="n"/>
      <c r="F719" s="112" t="n"/>
      <c r="G719" s="112" t="n"/>
      <c r="H719" s="110" t="n"/>
      <c r="I719" s="113" t="n"/>
      <c r="J719" s="113" t="n"/>
      <c r="K719" s="111" t="n"/>
      <c r="L719" s="111" t="n"/>
      <c r="M719" s="111" t="n"/>
      <c r="N719" s="114" t="str">
        <f>IF(OR(D719="",E719=""),"",D719+IF(E719="NOTIFICAÇÃO DE CONSTATAÇÃO",PrazoConst,PrazoEsc))</f>
        <v/>
      </c>
      <c r="O719" s="115" t="str">
        <f>IF(N719="","",IF(ISNUMBER(L719),N719-L719,IF(OR(G719="DECISÃO D.P",ISNUMBER(M719)),"",N719-TODAY())))</f>
        <v/>
      </c>
      <c r="P719" s="116" t="str">
        <f>IF(B719="","",IF(ISNUMBER(M719),"DECIDIDO – ","")&amp;IF(ISNUMBER(L719),IF(O719="","SEM DATA",IF(O719&gt;=0,"DEFESA NO PRAZO","DEFESA FORA DO PRAZO")),IF(OR(G719="DECISÃO D.P",ISNUMBER(M719)),"SEM DEFESA",IF(G719="","SEM STATUS",IF(O719="","SEM DATA",IF(O719&lt;0,"VENCIDO",IF(O719&lt;=DiasAlerta,"VENCE EM BREVE","NO PRAZO")))))))</f>
        <v/>
      </c>
      <c r="Q719" s="117" t="str">
        <f>IF(D719="","",TODAY()-D719)</f>
        <v/>
      </c>
      <c r="R719" s="110" t="n"/>
    </row>
    <row r="720" ht="18" customHeight="1">
      <c r="A720" s="109" t="n"/>
      <c r="B720" s="110" t="n"/>
      <c r="C720" s="110" t="n"/>
      <c r="D720" s="111" t="n"/>
      <c r="E720" s="110" t="n"/>
      <c r="F720" s="112" t="n"/>
      <c r="G720" s="112" t="n"/>
      <c r="H720" s="110" t="n"/>
      <c r="I720" s="113" t="n"/>
      <c r="J720" s="113" t="n"/>
      <c r="K720" s="111" t="n"/>
      <c r="L720" s="111" t="n"/>
      <c r="M720" s="111" t="n"/>
      <c r="N720" s="114" t="str">
        <f>IF(OR(D720="",E720=""),"",D720+IF(E720="NOTIFICAÇÃO DE CONSTATAÇÃO",PrazoConst,PrazoEsc))</f>
        <v/>
      </c>
      <c r="O720" s="115" t="str">
        <f>IF(N720="","",IF(ISNUMBER(L720),N720-L720,IF(OR(G720="DECISÃO D.P",ISNUMBER(M720)),"",N720-TODAY())))</f>
        <v/>
      </c>
      <c r="P720" s="116" t="str">
        <f>IF(B720="","",IF(ISNUMBER(M720),"DECIDIDO – ","")&amp;IF(ISNUMBER(L720),IF(O720="","SEM DATA",IF(O720&gt;=0,"DEFESA NO PRAZO","DEFESA FORA DO PRAZO")),IF(OR(G720="DECISÃO D.P",ISNUMBER(M720)),"SEM DEFESA",IF(G720="","SEM STATUS",IF(O720="","SEM DATA",IF(O720&lt;0,"VENCIDO",IF(O720&lt;=DiasAlerta,"VENCE EM BREVE","NO PRAZO")))))))</f>
        <v/>
      </c>
      <c r="Q720" s="117" t="str">
        <f>IF(D720="","",TODAY()-D720)</f>
        <v/>
      </c>
      <c r="R720" s="110" t="n"/>
    </row>
    <row r="721" ht="18" customHeight="1">
      <c r="A721" s="109" t="n"/>
      <c r="B721" s="110" t="n"/>
      <c r="C721" s="110" t="n"/>
      <c r="D721" s="111" t="n"/>
      <c r="E721" s="110" t="n"/>
      <c r="F721" s="112" t="n"/>
      <c r="G721" s="112" t="n"/>
      <c r="H721" s="110" t="n"/>
      <c r="I721" s="113" t="n"/>
      <c r="J721" s="113" t="n"/>
      <c r="K721" s="111" t="n"/>
      <c r="L721" s="111" t="n"/>
      <c r="M721" s="111" t="n"/>
      <c r="N721" s="114" t="str">
        <f>IF(OR(D721="",E721=""),"",D721+IF(E721="NOTIFICAÇÃO DE CONSTATAÇÃO",PrazoConst,PrazoEsc))</f>
        <v/>
      </c>
      <c r="O721" s="115" t="str">
        <f>IF(N721="","",IF(ISNUMBER(L721),N721-L721,IF(OR(G721="DECISÃO D.P",ISNUMBER(M721)),"",N721-TODAY())))</f>
        <v/>
      </c>
      <c r="P721" s="116" t="str">
        <f>IF(B721="","",IF(ISNUMBER(M721),"DECIDIDO – ","")&amp;IF(ISNUMBER(L721),IF(O721="","SEM DATA",IF(O721&gt;=0,"DEFESA NO PRAZO","DEFESA FORA DO PRAZO")),IF(OR(G721="DECISÃO D.P",ISNUMBER(M721)),"SEM DEFESA",IF(G721="","SEM STATUS",IF(O721="","SEM DATA",IF(O721&lt;0,"VENCIDO",IF(O721&lt;=DiasAlerta,"VENCE EM BREVE","NO PRAZO")))))))</f>
        <v/>
      </c>
      <c r="Q721" s="117" t="str">
        <f>IF(D721="","",TODAY()-D721)</f>
        <v/>
      </c>
      <c r="R721" s="110" t="n"/>
    </row>
    <row r="722" ht="18" customHeight="1">
      <c r="A722" s="109" t="n"/>
      <c r="B722" s="110" t="n"/>
      <c r="C722" s="110" t="n"/>
      <c r="D722" s="111" t="n"/>
      <c r="E722" s="110" t="n"/>
      <c r="F722" s="112" t="n"/>
      <c r="G722" s="112" t="n"/>
      <c r="H722" s="110" t="n"/>
      <c r="I722" s="113" t="n"/>
      <c r="J722" s="113" t="n"/>
      <c r="K722" s="111" t="n"/>
      <c r="L722" s="111" t="n"/>
      <c r="M722" s="111" t="n"/>
      <c r="N722" s="114" t="str">
        <f>IF(OR(D722="",E722=""),"",D722+IF(E722="NOTIFICAÇÃO DE CONSTATAÇÃO",PrazoConst,PrazoEsc))</f>
        <v/>
      </c>
      <c r="O722" s="115" t="str">
        <f>IF(N722="","",IF(ISNUMBER(L722),N722-L722,IF(OR(G722="DECISÃO D.P",ISNUMBER(M722)),"",N722-TODAY())))</f>
        <v/>
      </c>
      <c r="P722" s="116" t="str">
        <f>IF(B722="","",IF(ISNUMBER(M722),"DECIDIDO – ","")&amp;IF(ISNUMBER(L722),IF(O722="","SEM DATA",IF(O722&gt;=0,"DEFESA NO PRAZO","DEFESA FORA DO PRAZO")),IF(OR(G722="DECISÃO D.P",ISNUMBER(M722)),"SEM DEFESA",IF(G722="","SEM STATUS",IF(O722="","SEM DATA",IF(O722&lt;0,"VENCIDO",IF(O722&lt;=DiasAlerta,"VENCE EM BREVE","NO PRAZO")))))))</f>
        <v/>
      </c>
      <c r="Q722" s="117" t="str">
        <f>IF(D722="","",TODAY()-D722)</f>
        <v/>
      </c>
      <c r="R722" s="110" t="n"/>
    </row>
    <row r="723" ht="18" customHeight="1">
      <c r="A723" s="109" t="n"/>
      <c r="B723" s="110" t="n"/>
      <c r="C723" s="110" t="n"/>
      <c r="D723" s="111" t="n"/>
      <c r="E723" s="110" t="n"/>
      <c r="F723" s="112" t="n"/>
      <c r="G723" s="112" t="n"/>
      <c r="H723" s="110" t="n"/>
      <c r="I723" s="113" t="n"/>
      <c r="J723" s="113" t="n"/>
      <c r="K723" s="111" t="n"/>
      <c r="L723" s="111" t="n"/>
      <c r="M723" s="111" t="n"/>
      <c r="N723" s="114" t="str">
        <f>IF(OR(D723="",E723=""),"",D723+IF(E723="NOTIFICAÇÃO DE CONSTATAÇÃO",PrazoConst,PrazoEsc))</f>
        <v/>
      </c>
      <c r="O723" s="115" t="str">
        <f>IF(N723="","",IF(ISNUMBER(L723),N723-L723,IF(OR(G723="DECISÃO D.P",ISNUMBER(M723)),"",N723-TODAY())))</f>
        <v/>
      </c>
      <c r="P723" s="116" t="str">
        <f>IF(B723="","",IF(ISNUMBER(M723),"DECIDIDO – ","")&amp;IF(ISNUMBER(L723),IF(O723="","SEM DATA",IF(O723&gt;=0,"DEFESA NO PRAZO","DEFESA FORA DO PRAZO")),IF(OR(G723="DECISÃO D.P",ISNUMBER(M723)),"SEM DEFESA",IF(G723="","SEM STATUS",IF(O723="","SEM DATA",IF(O723&lt;0,"VENCIDO",IF(O723&lt;=DiasAlerta,"VENCE EM BREVE","NO PRAZO")))))))</f>
        <v/>
      </c>
      <c r="Q723" s="117" t="str">
        <f>IF(D723="","",TODAY()-D723)</f>
        <v/>
      </c>
      <c r="R723" s="110" t="n"/>
    </row>
    <row r="724" ht="18" customHeight="1">
      <c r="A724" s="109" t="n"/>
      <c r="B724" s="110" t="n"/>
      <c r="C724" s="110" t="n"/>
      <c r="D724" s="111" t="n"/>
      <c r="E724" s="110" t="n"/>
      <c r="F724" s="112" t="n"/>
      <c r="G724" s="112" t="n"/>
      <c r="H724" s="110" t="n"/>
      <c r="I724" s="113" t="n"/>
      <c r="J724" s="113" t="n"/>
      <c r="K724" s="111" t="n"/>
      <c r="L724" s="111" t="n"/>
      <c r="M724" s="111" t="n"/>
      <c r="N724" s="114" t="str">
        <f>IF(OR(D724="",E724=""),"",D724+IF(E724="NOTIFICAÇÃO DE CONSTATAÇÃO",PrazoConst,PrazoEsc))</f>
        <v/>
      </c>
      <c r="O724" s="115" t="str">
        <f>IF(N724="","",IF(ISNUMBER(L724),N724-L724,IF(OR(G724="DECISÃO D.P",ISNUMBER(M724)),"",N724-TODAY())))</f>
        <v/>
      </c>
      <c r="P724" s="116" t="str">
        <f>IF(B724="","",IF(ISNUMBER(M724),"DECIDIDO – ","")&amp;IF(ISNUMBER(L724),IF(O724="","SEM DATA",IF(O724&gt;=0,"DEFESA NO PRAZO","DEFESA FORA DO PRAZO")),IF(OR(G724="DECISÃO D.P",ISNUMBER(M724)),"SEM DEFESA",IF(G724="","SEM STATUS",IF(O724="","SEM DATA",IF(O724&lt;0,"VENCIDO",IF(O724&lt;=DiasAlerta,"VENCE EM BREVE","NO PRAZO")))))))</f>
        <v/>
      </c>
      <c r="Q724" s="117" t="str">
        <f>IF(D724="","",TODAY()-D724)</f>
        <v/>
      </c>
      <c r="R724" s="110" t="n"/>
    </row>
    <row r="725" ht="18" customHeight="1">
      <c r="A725" s="109" t="n"/>
      <c r="B725" s="110" t="n"/>
      <c r="C725" s="110" t="n"/>
      <c r="D725" s="111" t="n"/>
      <c r="E725" s="110" t="n"/>
      <c r="F725" s="112" t="n"/>
      <c r="G725" s="112" t="n"/>
      <c r="H725" s="110" t="n"/>
      <c r="I725" s="113" t="n"/>
      <c r="J725" s="113" t="n"/>
      <c r="K725" s="111" t="n"/>
      <c r="L725" s="111" t="n"/>
      <c r="M725" s="111" t="n"/>
      <c r="N725" s="114" t="str">
        <f>IF(OR(D725="",E725=""),"",D725+IF(E725="NOTIFICAÇÃO DE CONSTATAÇÃO",PrazoConst,PrazoEsc))</f>
        <v/>
      </c>
      <c r="O725" s="115" t="str">
        <f>IF(N725="","",IF(ISNUMBER(L725),N725-L725,IF(OR(G725="DECISÃO D.P",ISNUMBER(M725)),"",N725-TODAY())))</f>
        <v/>
      </c>
      <c r="P725" s="116" t="str">
        <f>IF(B725="","",IF(ISNUMBER(M725),"DECIDIDO – ","")&amp;IF(ISNUMBER(L725),IF(O725="","SEM DATA",IF(O725&gt;=0,"DEFESA NO PRAZO","DEFESA FORA DO PRAZO")),IF(OR(G725="DECISÃO D.P",ISNUMBER(M725)),"SEM DEFESA",IF(G725="","SEM STATUS",IF(O725="","SEM DATA",IF(O725&lt;0,"VENCIDO",IF(O725&lt;=DiasAlerta,"VENCE EM BREVE","NO PRAZO")))))))</f>
        <v/>
      </c>
      <c r="Q725" s="117" t="str">
        <f>IF(D725="","",TODAY()-D725)</f>
        <v/>
      </c>
      <c r="R725" s="110" t="n"/>
    </row>
    <row r="726" ht="18" customHeight="1">
      <c r="A726" s="109" t="n"/>
      <c r="B726" s="110" t="n"/>
      <c r="C726" s="110" t="n"/>
      <c r="D726" s="111" t="n"/>
      <c r="E726" s="110" t="n"/>
      <c r="F726" s="112" t="n"/>
      <c r="G726" s="112" t="n"/>
      <c r="H726" s="110" t="n"/>
      <c r="I726" s="113" t="n"/>
      <c r="J726" s="113" t="n"/>
      <c r="K726" s="111" t="n"/>
      <c r="L726" s="111" t="n"/>
      <c r="M726" s="111" t="n"/>
      <c r="N726" s="114" t="str">
        <f>IF(OR(D726="",E726=""),"",D726+IF(E726="NOTIFICAÇÃO DE CONSTATAÇÃO",PrazoConst,PrazoEsc))</f>
        <v/>
      </c>
      <c r="O726" s="115" t="str">
        <f>IF(N726="","",IF(ISNUMBER(L726),N726-L726,IF(OR(G726="DECISÃO D.P",ISNUMBER(M726)),"",N726-TODAY())))</f>
        <v/>
      </c>
      <c r="P726" s="116" t="str">
        <f>IF(B726="","",IF(ISNUMBER(M726),"DECIDIDO – ","")&amp;IF(ISNUMBER(L726),IF(O726="","SEM DATA",IF(O726&gt;=0,"DEFESA NO PRAZO","DEFESA FORA DO PRAZO")),IF(OR(G726="DECISÃO D.P",ISNUMBER(M726)),"SEM DEFESA",IF(G726="","SEM STATUS",IF(O726="","SEM DATA",IF(O726&lt;0,"VENCIDO",IF(O726&lt;=DiasAlerta,"VENCE EM BREVE","NO PRAZO")))))))</f>
        <v/>
      </c>
      <c r="Q726" s="117" t="str">
        <f>IF(D726="","",TODAY()-D726)</f>
        <v/>
      </c>
      <c r="R726" s="110" t="n"/>
    </row>
    <row r="727" ht="18" customHeight="1">
      <c r="A727" s="109" t="n"/>
      <c r="B727" s="110" t="n"/>
      <c r="C727" s="110" t="n"/>
      <c r="D727" s="111" t="n"/>
      <c r="E727" s="110" t="n"/>
      <c r="F727" s="112" t="n"/>
      <c r="G727" s="112" t="n"/>
      <c r="H727" s="110" t="n"/>
      <c r="I727" s="113" t="n"/>
      <c r="J727" s="113" t="n"/>
      <c r="K727" s="111" t="n"/>
      <c r="L727" s="111" t="n"/>
      <c r="M727" s="111" t="n"/>
      <c r="N727" s="114" t="str">
        <f>IF(OR(D727="",E727=""),"",D727+IF(E727="NOTIFICAÇÃO DE CONSTATAÇÃO",PrazoConst,PrazoEsc))</f>
        <v/>
      </c>
      <c r="O727" s="115" t="str">
        <f>IF(N727="","",IF(ISNUMBER(L727),N727-L727,IF(OR(G727="DECISÃO D.P",ISNUMBER(M727)),"",N727-TODAY())))</f>
        <v/>
      </c>
      <c r="P727" s="116" t="str">
        <f>IF(B727="","",IF(ISNUMBER(M727),"DECIDIDO – ","")&amp;IF(ISNUMBER(L727),IF(O727="","SEM DATA",IF(O727&gt;=0,"DEFESA NO PRAZO","DEFESA FORA DO PRAZO")),IF(OR(G727="DECISÃO D.P",ISNUMBER(M727)),"SEM DEFESA",IF(G727="","SEM STATUS",IF(O727="","SEM DATA",IF(O727&lt;0,"VENCIDO",IF(O727&lt;=DiasAlerta,"VENCE EM BREVE","NO PRAZO")))))))</f>
        <v/>
      </c>
      <c r="Q727" s="117" t="str">
        <f>IF(D727="","",TODAY()-D727)</f>
        <v/>
      </c>
      <c r="R727" s="110" t="n"/>
    </row>
    <row r="728" ht="18" customHeight="1">
      <c r="A728" s="109" t="n"/>
      <c r="B728" s="110" t="n"/>
      <c r="C728" s="110" t="n"/>
      <c r="D728" s="111" t="n"/>
      <c r="E728" s="110" t="n"/>
      <c r="F728" s="112" t="n"/>
      <c r="G728" s="112" t="n"/>
      <c r="H728" s="110" t="n"/>
      <c r="I728" s="113" t="n"/>
      <c r="J728" s="113" t="n"/>
      <c r="K728" s="111" t="n"/>
      <c r="L728" s="111" t="n"/>
      <c r="M728" s="111" t="n"/>
      <c r="N728" s="114" t="str">
        <f>IF(OR(D728="",E728=""),"",D728+IF(E728="NOTIFICAÇÃO DE CONSTATAÇÃO",PrazoConst,PrazoEsc))</f>
        <v/>
      </c>
      <c r="O728" s="115" t="str">
        <f>IF(N728="","",IF(ISNUMBER(L728),N728-L728,IF(OR(G728="DECISÃO D.P",ISNUMBER(M728)),"",N728-TODAY())))</f>
        <v/>
      </c>
      <c r="P728" s="116" t="str">
        <f>IF(B728="","",IF(ISNUMBER(M728),"DECIDIDO – ","")&amp;IF(ISNUMBER(L728),IF(O728="","SEM DATA",IF(O728&gt;=0,"DEFESA NO PRAZO","DEFESA FORA DO PRAZO")),IF(OR(G728="DECISÃO D.P",ISNUMBER(M728)),"SEM DEFESA",IF(G728="","SEM STATUS",IF(O728="","SEM DATA",IF(O728&lt;0,"VENCIDO",IF(O728&lt;=DiasAlerta,"VENCE EM BREVE","NO PRAZO")))))))</f>
        <v/>
      </c>
      <c r="Q728" s="117" t="str">
        <f>IF(D728="","",TODAY()-D728)</f>
        <v/>
      </c>
      <c r="R728" s="110" t="n"/>
    </row>
    <row r="729" ht="18" customHeight="1">
      <c r="A729" s="109" t="n"/>
      <c r="B729" s="110" t="n"/>
      <c r="C729" s="110" t="n"/>
      <c r="D729" s="111" t="n"/>
      <c r="E729" s="110" t="n"/>
      <c r="F729" s="112" t="n"/>
      <c r="G729" s="112" t="n"/>
      <c r="H729" s="110" t="n"/>
      <c r="I729" s="113" t="n"/>
      <c r="J729" s="113" t="n"/>
      <c r="K729" s="111" t="n"/>
      <c r="L729" s="111" t="n"/>
      <c r="M729" s="111" t="n"/>
      <c r="N729" s="114" t="str">
        <f>IF(OR(D729="",E729=""),"",D729+IF(E729="NOTIFICAÇÃO DE CONSTATAÇÃO",PrazoConst,PrazoEsc))</f>
        <v/>
      </c>
      <c r="O729" s="115" t="str">
        <f>IF(N729="","",IF(ISNUMBER(L729),N729-L729,IF(OR(G729="DECISÃO D.P",ISNUMBER(M729)),"",N729-TODAY())))</f>
        <v/>
      </c>
      <c r="P729" s="116" t="str">
        <f>IF(B729="","",IF(ISNUMBER(M729),"DECIDIDO – ","")&amp;IF(ISNUMBER(L729),IF(O729="","SEM DATA",IF(O729&gt;=0,"DEFESA NO PRAZO","DEFESA FORA DO PRAZO")),IF(OR(G729="DECISÃO D.P",ISNUMBER(M729)),"SEM DEFESA",IF(G729="","SEM STATUS",IF(O729="","SEM DATA",IF(O729&lt;0,"VENCIDO",IF(O729&lt;=DiasAlerta,"VENCE EM BREVE","NO PRAZO")))))))</f>
        <v/>
      </c>
      <c r="Q729" s="117" t="str">
        <f>IF(D729="","",TODAY()-D729)</f>
        <v/>
      </c>
      <c r="R729" s="110" t="n"/>
    </row>
    <row r="730" ht="18" customHeight="1">
      <c r="A730" s="109" t="n"/>
      <c r="B730" s="110" t="n"/>
      <c r="C730" s="110" t="n"/>
      <c r="D730" s="111" t="n"/>
      <c r="E730" s="110" t="n"/>
      <c r="F730" s="112" t="n"/>
      <c r="G730" s="112" t="n"/>
      <c r="H730" s="110" t="n"/>
      <c r="I730" s="113" t="n"/>
      <c r="J730" s="113" t="n"/>
      <c r="K730" s="111" t="n"/>
      <c r="L730" s="111" t="n"/>
      <c r="M730" s="111" t="n"/>
      <c r="N730" s="114" t="str">
        <f>IF(OR(D730="",E730=""),"",D730+IF(E730="NOTIFICAÇÃO DE CONSTATAÇÃO",PrazoConst,PrazoEsc))</f>
        <v/>
      </c>
      <c r="O730" s="115" t="str">
        <f>IF(N730="","",IF(ISNUMBER(L730),N730-L730,IF(OR(G730="DECISÃO D.P",ISNUMBER(M730)),"",N730-TODAY())))</f>
        <v/>
      </c>
      <c r="P730" s="116" t="str">
        <f>IF(B730="","",IF(ISNUMBER(M730),"DECIDIDO – ","")&amp;IF(ISNUMBER(L730),IF(O730="","SEM DATA",IF(O730&gt;=0,"DEFESA NO PRAZO","DEFESA FORA DO PRAZO")),IF(OR(G730="DECISÃO D.P",ISNUMBER(M730)),"SEM DEFESA",IF(G730="","SEM STATUS",IF(O730="","SEM DATA",IF(O730&lt;0,"VENCIDO",IF(O730&lt;=DiasAlerta,"VENCE EM BREVE","NO PRAZO")))))))</f>
        <v/>
      </c>
      <c r="Q730" s="117" t="str">
        <f>IF(D730="","",TODAY()-D730)</f>
        <v/>
      </c>
      <c r="R730" s="110" t="n"/>
    </row>
    <row r="731" ht="18" customHeight="1">
      <c r="A731" s="109" t="n"/>
      <c r="B731" s="110" t="n"/>
      <c r="C731" s="110" t="n"/>
      <c r="D731" s="111" t="n"/>
      <c r="E731" s="110" t="n"/>
      <c r="F731" s="112" t="n"/>
      <c r="G731" s="112" t="n"/>
      <c r="H731" s="110" t="n"/>
      <c r="I731" s="113" t="n"/>
      <c r="J731" s="113" t="n"/>
      <c r="K731" s="111" t="n"/>
      <c r="L731" s="111" t="n"/>
      <c r="M731" s="111" t="n"/>
      <c r="N731" s="114" t="str">
        <f>IF(OR(D731="",E731=""),"",D731+IF(E731="NOTIFICAÇÃO DE CONSTATAÇÃO",PrazoConst,PrazoEsc))</f>
        <v/>
      </c>
      <c r="O731" s="115" t="str">
        <f>IF(N731="","",IF(ISNUMBER(L731),N731-L731,IF(OR(G731="DECISÃO D.P",ISNUMBER(M731)),"",N731-TODAY())))</f>
        <v/>
      </c>
      <c r="P731" s="116" t="str">
        <f>IF(B731="","",IF(ISNUMBER(M731),"DECIDIDO – ","")&amp;IF(ISNUMBER(L731),IF(O731="","SEM DATA",IF(O731&gt;=0,"DEFESA NO PRAZO","DEFESA FORA DO PRAZO")),IF(OR(G731="DECISÃO D.P",ISNUMBER(M731)),"SEM DEFESA",IF(G731="","SEM STATUS",IF(O731="","SEM DATA",IF(O731&lt;0,"VENCIDO",IF(O731&lt;=DiasAlerta,"VENCE EM BREVE","NO PRAZO")))))))</f>
        <v/>
      </c>
      <c r="Q731" s="117" t="str">
        <f>IF(D731="","",TODAY()-D731)</f>
        <v/>
      </c>
      <c r="R731" s="110" t="n"/>
    </row>
    <row r="732" ht="18" customHeight="1">
      <c r="A732" s="109" t="n"/>
      <c r="B732" s="110" t="n"/>
      <c r="C732" s="110" t="n"/>
      <c r="D732" s="111" t="n"/>
      <c r="E732" s="110" t="n"/>
      <c r="F732" s="112" t="n"/>
      <c r="G732" s="112" t="n"/>
      <c r="H732" s="110" t="n"/>
      <c r="I732" s="113" t="n"/>
      <c r="J732" s="113" t="n"/>
      <c r="K732" s="111" t="n"/>
      <c r="L732" s="111" t="n"/>
      <c r="M732" s="111" t="n"/>
      <c r="N732" s="114" t="str">
        <f>IF(OR(D732="",E732=""),"",D732+IF(E732="NOTIFICAÇÃO DE CONSTATAÇÃO",PrazoConst,PrazoEsc))</f>
        <v/>
      </c>
      <c r="O732" s="115" t="str">
        <f>IF(N732="","",IF(ISNUMBER(L732),N732-L732,IF(OR(G732="DECISÃO D.P",ISNUMBER(M732)),"",N732-TODAY())))</f>
        <v/>
      </c>
      <c r="P732" s="116" t="str">
        <f>IF(B732="","",IF(ISNUMBER(M732),"DECIDIDO – ","")&amp;IF(ISNUMBER(L732),IF(O732="","SEM DATA",IF(O732&gt;=0,"DEFESA NO PRAZO","DEFESA FORA DO PRAZO")),IF(OR(G732="DECISÃO D.P",ISNUMBER(M732)),"SEM DEFESA",IF(G732="","SEM STATUS",IF(O732="","SEM DATA",IF(O732&lt;0,"VENCIDO",IF(O732&lt;=DiasAlerta,"VENCE EM BREVE","NO PRAZO")))))))</f>
        <v/>
      </c>
      <c r="Q732" s="117" t="str">
        <f>IF(D732="","",TODAY()-D732)</f>
        <v/>
      </c>
      <c r="R732" s="110" t="n"/>
    </row>
    <row r="733" ht="18" customHeight="1">
      <c r="A733" s="109" t="n"/>
      <c r="B733" s="110" t="n"/>
      <c r="C733" s="110" t="n"/>
      <c r="D733" s="111" t="n"/>
      <c r="E733" s="110" t="n"/>
      <c r="F733" s="112" t="n"/>
      <c r="G733" s="112" t="n"/>
      <c r="H733" s="110" t="n"/>
      <c r="I733" s="113" t="n"/>
      <c r="J733" s="113" t="n"/>
      <c r="K733" s="111" t="n"/>
      <c r="L733" s="111" t="n"/>
      <c r="M733" s="111" t="n"/>
      <c r="N733" s="114" t="str">
        <f>IF(OR(D733="",E733=""),"",D733+IF(E733="NOTIFICAÇÃO DE CONSTATAÇÃO",PrazoConst,PrazoEsc))</f>
        <v/>
      </c>
      <c r="O733" s="115" t="str">
        <f>IF(N733="","",IF(ISNUMBER(L733),N733-L733,IF(OR(G733="DECISÃO D.P",ISNUMBER(M733)),"",N733-TODAY())))</f>
        <v/>
      </c>
      <c r="P733" s="116" t="str">
        <f>IF(B733="","",IF(ISNUMBER(M733),"DECIDIDO – ","")&amp;IF(ISNUMBER(L733),IF(O733="","SEM DATA",IF(O733&gt;=0,"DEFESA NO PRAZO","DEFESA FORA DO PRAZO")),IF(OR(G733="DECISÃO D.P",ISNUMBER(M733)),"SEM DEFESA",IF(G733="","SEM STATUS",IF(O733="","SEM DATA",IF(O733&lt;0,"VENCIDO",IF(O733&lt;=DiasAlerta,"VENCE EM BREVE","NO PRAZO")))))))</f>
        <v/>
      </c>
      <c r="Q733" s="117" t="str">
        <f>IF(D733="","",TODAY()-D733)</f>
        <v/>
      </c>
      <c r="R733" s="110" t="n"/>
    </row>
    <row r="734" ht="18" customHeight="1">
      <c r="A734" s="109" t="n"/>
      <c r="B734" s="110" t="n"/>
      <c r="C734" s="110" t="n"/>
      <c r="D734" s="111" t="n"/>
      <c r="E734" s="110" t="n"/>
      <c r="F734" s="112" t="n"/>
      <c r="G734" s="112" t="n"/>
      <c r="H734" s="110" t="n"/>
      <c r="I734" s="113" t="n"/>
      <c r="J734" s="113" t="n"/>
      <c r="K734" s="111" t="n"/>
      <c r="L734" s="111" t="n"/>
      <c r="M734" s="111" t="n"/>
      <c r="N734" s="114" t="str">
        <f>IF(OR(D734="",E734=""),"",D734+IF(E734="NOTIFICAÇÃO DE CONSTATAÇÃO",PrazoConst,PrazoEsc))</f>
        <v/>
      </c>
      <c r="O734" s="115" t="str">
        <f>IF(N734="","",IF(ISNUMBER(L734),N734-L734,IF(OR(G734="DECISÃO D.P",ISNUMBER(M734)),"",N734-TODAY())))</f>
        <v/>
      </c>
      <c r="P734" s="116" t="str">
        <f>IF(B734="","",IF(ISNUMBER(M734),"DECIDIDO – ","")&amp;IF(ISNUMBER(L734),IF(O734="","SEM DATA",IF(O734&gt;=0,"DEFESA NO PRAZO","DEFESA FORA DO PRAZO")),IF(OR(G734="DECISÃO D.P",ISNUMBER(M734)),"SEM DEFESA",IF(G734="","SEM STATUS",IF(O734="","SEM DATA",IF(O734&lt;0,"VENCIDO",IF(O734&lt;=DiasAlerta,"VENCE EM BREVE","NO PRAZO")))))))</f>
        <v/>
      </c>
      <c r="Q734" s="117" t="str">
        <f>IF(D734="","",TODAY()-D734)</f>
        <v/>
      </c>
      <c r="R734" s="110" t="n"/>
    </row>
    <row r="735" ht="18" customHeight="1">
      <c r="A735" s="109" t="n"/>
      <c r="B735" s="110" t="n"/>
      <c r="C735" s="110" t="n"/>
      <c r="D735" s="111" t="n"/>
      <c r="E735" s="110" t="n"/>
      <c r="F735" s="112" t="n"/>
      <c r="G735" s="112" t="n"/>
      <c r="H735" s="110" t="n"/>
      <c r="I735" s="113" t="n"/>
      <c r="J735" s="113" t="n"/>
      <c r="K735" s="111" t="n"/>
      <c r="L735" s="111" t="n"/>
      <c r="M735" s="111" t="n"/>
      <c r="N735" s="114" t="str">
        <f>IF(OR(D735="",E735=""),"",D735+IF(E735="NOTIFICAÇÃO DE CONSTATAÇÃO",PrazoConst,PrazoEsc))</f>
        <v/>
      </c>
      <c r="O735" s="115" t="str">
        <f>IF(N735="","",IF(ISNUMBER(L735),N735-L735,IF(OR(G735="DECISÃO D.P",ISNUMBER(M735)),"",N735-TODAY())))</f>
        <v/>
      </c>
      <c r="P735" s="116" t="str">
        <f>IF(B735="","",IF(ISNUMBER(M735),"DECIDIDO – ","")&amp;IF(ISNUMBER(L735),IF(O735="","SEM DATA",IF(O735&gt;=0,"DEFESA NO PRAZO","DEFESA FORA DO PRAZO")),IF(OR(G735="DECISÃO D.P",ISNUMBER(M735)),"SEM DEFESA",IF(G735="","SEM STATUS",IF(O735="","SEM DATA",IF(O735&lt;0,"VENCIDO",IF(O735&lt;=DiasAlerta,"VENCE EM BREVE","NO PRAZO")))))))</f>
        <v/>
      </c>
      <c r="Q735" s="117" t="str">
        <f>IF(D735="","",TODAY()-D735)</f>
        <v/>
      </c>
      <c r="R735" s="110" t="n"/>
    </row>
    <row r="736" ht="18" customHeight="1">
      <c r="A736" s="109" t="n"/>
      <c r="B736" s="110" t="n"/>
      <c r="C736" s="110" t="n"/>
      <c r="D736" s="111" t="n"/>
      <c r="E736" s="110" t="n"/>
      <c r="F736" s="112" t="n"/>
      <c r="G736" s="112" t="n"/>
      <c r="H736" s="110" t="n"/>
      <c r="I736" s="113" t="n"/>
      <c r="J736" s="113" t="n"/>
      <c r="K736" s="111" t="n"/>
      <c r="L736" s="111" t="n"/>
      <c r="M736" s="111" t="n"/>
      <c r="N736" s="114" t="str">
        <f>IF(OR(D736="",E736=""),"",D736+IF(E736="NOTIFICAÇÃO DE CONSTATAÇÃO",PrazoConst,PrazoEsc))</f>
        <v/>
      </c>
      <c r="O736" s="115" t="str">
        <f>IF(N736="","",IF(ISNUMBER(L736),N736-L736,IF(OR(G736="DECISÃO D.P",ISNUMBER(M736)),"",N736-TODAY())))</f>
        <v/>
      </c>
      <c r="P736" s="116" t="str">
        <f>IF(B736="","",IF(ISNUMBER(M736),"DECIDIDO – ","")&amp;IF(ISNUMBER(L736),IF(O736="","SEM DATA",IF(O736&gt;=0,"DEFESA NO PRAZO","DEFESA FORA DO PRAZO")),IF(OR(G736="DECISÃO D.P",ISNUMBER(M736)),"SEM DEFESA",IF(G736="","SEM STATUS",IF(O736="","SEM DATA",IF(O736&lt;0,"VENCIDO",IF(O736&lt;=DiasAlerta,"VENCE EM BREVE","NO PRAZO")))))))</f>
        <v/>
      </c>
      <c r="Q736" s="117" t="str">
        <f>IF(D736="","",TODAY()-D736)</f>
        <v/>
      </c>
      <c r="R736" s="110" t="n"/>
    </row>
    <row r="737" ht="18" customHeight="1">
      <c r="A737" s="109" t="n"/>
      <c r="B737" s="110" t="n"/>
      <c r="C737" s="110" t="n"/>
      <c r="D737" s="111" t="n"/>
      <c r="E737" s="110" t="n"/>
      <c r="F737" s="112" t="n"/>
      <c r="G737" s="112" t="n"/>
      <c r="H737" s="110" t="n"/>
      <c r="I737" s="113" t="n"/>
      <c r="J737" s="113" t="n"/>
      <c r="K737" s="111" t="n"/>
      <c r="L737" s="111" t="n"/>
      <c r="M737" s="111" t="n"/>
      <c r="N737" s="114" t="str">
        <f>IF(OR(D737="",E737=""),"",D737+IF(E737="NOTIFICAÇÃO DE CONSTATAÇÃO",PrazoConst,PrazoEsc))</f>
        <v/>
      </c>
      <c r="O737" s="115" t="str">
        <f>IF(N737="","",IF(ISNUMBER(L737),N737-L737,IF(OR(G737="DECISÃO D.P",ISNUMBER(M737)),"",N737-TODAY())))</f>
        <v/>
      </c>
      <c r="P737" s="116" t="str">
        <f>IF(B737="","",IF(ISNUMBER(M737),"DECIDIDO – ","")&amp;IF(ISNUMBER(L737),IF(O737="","SEM DATA",IF(O737&gt;=0,"DEFESA NO PRAZO","DEFESA FORA DO PRAZO")),IF(OR(G737="DECISÃO D.P",ISNUMBER(M737)),"SEM DEFESA",IF(G737="","SEM STATUS",IF(O737="","SEM DATA",IF(O737&lt;0,"VENCIDO",IF(O737&lt;=DiasAlerta,"VENCE EM BREVE","NO PRAZO")))))))</f>
        <v/>
      </c>
      <c r="Q737" s="117" t="str">
        <f>IF(D737="","",TODAY()-D737)</f>
        <v/>
      </c>
      <c r="R737" s="110" t="n"/>
    </row>
    <row r="738" ht="18" customHeight="1">
      <c r="A738" s="109" t="n"/>
      <c r="B738" s="110" t="n"/>
      <c r="C738" s="110" t="n"/>
      <c r="D738" s="111" t="n"/>
      <c r="E738" s="110" t="n"/>
      <c r="F738" s="112" t="n"/>
      <c r="G738" s="112" t="n"/>
      <c r="H738" s="110" t="n"/>
      <c r="I738" s="113" t="n"/>
      <c r="J738" s="113" t="n"/>
      <c r="K738" s="111" t="n"/>
      <c r="L738" s="111" t="n"/>
      <c r="M738" s="111" t="n"/>
      <c r="N738" s="114" t="str">
        <f>IF(OR(D738="",E738=""),"",D738+IF(E738="NOTIFICAÇÃO DE CONSTATAÇÃO",PrazoConst,PrazoEsc))</f>
        <v/>
      </c>
      <c r="O738" s="115" t="str">
        <f>IF(N738="","",IF(ISNUMBER(L738),N738-L738,IF(OR(G738="DECISÃO D.P",ISNUMBER(M738)),"",N738-TODAY())))</f>
        <v/>
      </c>
      <c r="P738" s="116" t="str">
        <f>IF(B738="","",IF(ISNUMBER(M738),"DECIDIDO – ","")&amp;IF(ISNUMBER(L738),IF(O738="","SEM DATA",IF(O738&gt;=0,"DEFESA NO PRAZO","DEFESA FORA DO PRAZO")),IF(OR(G738="DECISÃO D.P",ISNUMBER(M738)),"SEM DEFESA",IF(G738="","SEM STATUS",IF(O738="","SEM DATA",IF(O738&lt;0,"VENCIDO",IF(O738&lt;=DiasAlerta,"VENCE EM BREVE","NO PRAZO")))))))</f>
        <v/>
      </c>
      <c r="Q738" s="117" t="str">
        <f>IF(D738="","",TODAY()-D738)</f>
        <v/>
      </c>
      <c r="R738" s="110" t="n"/>
    </row>
    <row r="739" ht="18" customHeight="1">
      <c r="A739" s="109" t="n"/>
      <c r="B739" s="110" t="n"/>
      <c r="C739" s="110" t="n"/>
      <c r="D739" s="111" t="n"/>
      <c r="E739" s="110" t="n"/>
      <c r="F739" s="112" t="n"/>
      <c r="G739" s="112" t="n"/>
      <c r="H739" s="110" t="n"/>
      <c r="I739" s="113" t="n"/>
      <c r="J739" s="113" t="n"/>
      <c r="K739" s="111" t="n"/>
      <c r="L739" s="111" t="n"/>
      <c r="M739" s="111" t="n"/>
      <c r="N739" s="114" t="str">
        <f>IF(OR(D739="",E739=""),"",D739+IF(E739="NOTIFICAÇÃO DE CONSTATAÇÃO",PrazoConst,PrazoEsc))</f>
        <v/>
      </c>
      <c r="O739" s="115" t="str">
        <f>IF(N739="","",IF(ISNUMBER(L739),N739-L739,IF(OR(G739="DECISÃO D.P",ISNUMBER(M739)),"",N739-TODAY())))</f>
        <v/>
      </c>
      <c r="P739" s="116" t="str">
        <f>IF(B739="","",IF(ISNUMBER(M739),"DECIDIDO – ","")&amp;IF(ISNUMBER(L739),IF(O739="","SEM DATA",IF(O739&gt;=0,"DEFESA NO PRAZO","DEFESA FORA DO PRAZO")),IF(OR(G739="DECISÃO D.P",ISNUMBER(M739)),"SEM DEFESA",IF(G739="","SEM STATUS",IF(O739="","SEM DATA",IF(O739&lt;0,"VENCIDO",IF(O739&lt;=DiasAlerta,"VENCE EM BREVE","NO PRAZO")))))))</f>
        <v/>
      </c>
      <c r="Q739" s="117" t="str">
        <f>IF(D739="","",TODAY()-D739)</f>
        <v/>
      </c>
      <c r="R739" s="110" t="n"/>
    </row>
    <row r="740" ht="18" customHeight="1">
      <c r="A740" s="109" t="n"/>
      <c r="B740" s="110" t="n"/>
      <c r="C740" s="110" t="n"/>
      <c r="D740" s="111" t="n"/>
      <c r="E740" s="110" t="n"/>
      <c r="F740" s="112" t="n"/>
      <c r="G740" s="112" t="n"/>
      <c r="H740" s="110" t="n"/>
      <c r="I740" s="113" t="n"/>
      <c r="J740" s="113" t="n"/>
      <c r="K740" s="111" t="n"/>
      <c r="L740" s="111" t="n"/>
      <c r="M740" s="111" t="n"/>
      <c r="N740" s="114" t="str">
        <f>IF(OR(D740="",E740=""),"",D740+IF(E740="NOTIFICAÇÃO DE CONSTATAÇÃO",PrazoConst,PrazoEsc))</f>
        <v/>
      </c>
      <c r="O740" s="115" t="str">
        <f>IF(N740="","",IF(ISNUMBER(L740),N740-L740,IF(OR(G740="DECISÃO D.P",ISNUMBER(M740)),"",N740-TODAY())))</f>
        <v/>
      </c>
      <c r="P740" s="116" t="str">
        <f>IF(B740="","",IF(ISNUMBER(M740),"DECIDIDO – ","")&amp;IF(ISNUMBER(L740),IF(O740="","SEM DATA",IF(O740&gt;=0,"DEFESA NO PRAZO","DEFESA FORA DO PRAZO")),IF(OR(G740="DECISÃO D.P",ISNUMBER(M740)),"SEM DEFESA",IF(G740="","SEM STATUS",IF(O740="","SEM DATA",IF(O740&lt;0,"VENCIDO",IF(O740&lt;=DiasAlerta,"VENCE EM BREVE","NO PRAZO")))))))</f>
        <v/>
      </c>
      <c r="Q740" s="117" t="str">
        <f>IF(D740="","",TODAY()-D740)</f>
        <v/>
      </c>
      <c r="R740" s="110" t="n"/>
    </row>
    <row r="741" ht="18" customHeight="1">
      <c r="A741" s="109" t="n"/>
      <c r="B741" s="110" t="n"/>
      <c r="C741" s="110" t="n"/>
      <c r="D741" s="111" t="n"/>
      <c r="E741" s="110" t="n"/>
      <c r="F741" s="112" t="n"/>
      <c r="G741" s="112" t="n"/>
      <c r="H741" s="110" t="n"/>
      <c r="I741" s="113" t="n"/>
      <c r="J741" s="113" t="n"/>
      <c r="K741" s="111" t="n"/>
      <c r="L741" s="111" t="n"/>
      <c r="M741" s="111" t="n"/>
      <c r="N741" s="114" t="str">
        <f>IF(OR(D741="",E741=""),"",D741+IF(E741="NOTIFICAÇÃO DE CONSTATAÇÃO",PrazoConst,PrazoEsc))</f>
        <v/>
      </c>
      <c r="O741" s="115" t="str">
        <f>IF(N741="","",IF(ISNUMBER(L741),N741-L741,IF(OR(G741="DECISÃO D.P",ISNUMBER(M741)),"",N741-TODAY())))</f>
        <v/>
      </c>
      <c r="P741" s="116" t="str">
        <f>IF(B741="","",IF(ISNUMBER(M741),"DECIDIDO – ","")&amp;IF(ISNUMBER(L741),IF(O741="","SEM DATA",IF(O741&gt;=0,"DEFESA NO PRAZO","DEFESA FORA DO PRAZO")),IF(OR(G741="DECISÃO D.P",ISNUMBER(M741)),"SEM DEFESA",IF(G741="","SEM STATUS",IF(O741="","SEM DATA",IF(O741&lt;0,"VENCIDO",IF(O741&lt;=DiasAlerta,"VENCE EM BREVE","NO PRAZO")))))))</f>
        <v/>
      </c>
      <c r="Q741" s="117" t="str">
        <f>IF(D741="","",TODAY()-D741)</f>
        <v/>
      </c>
      <c r="R741" s="110" t="n"/>
    </row>
    <row r="742" ht="18" customHeight="1">
      <c r="A742" s="109" t="n"/>
      <c r="B742" s="110" t="n"/>
      <c r="C742" s="110" t="n"/>
      <c r="D742" s="111" t="n"/>
      <c r="E742" s="110" t="n"/>
      <c r="F742" s="112" t="n"/>
      <c r="G742" s="112" t="n"/>
      <c r="H742" s="110" t="n"/>
      <c r="I742" s="113" t="n"/>
      <c r="J742" s="113" t="n"/>
      <c r="K742" s="111" t="n"/>
      <c r="L742" s="111" t="n"/>
      <c r="M742" s="111" t="n"/>
      <c r="N742" s="114" t="str">
        <f>IF(OR(D742="",E742=""),"",D742+IF(E742="NOTIFICAÇÃO DE CONSTATAÇÃO",PrazoConst,PrazoEsc))</f>
        <v/>
      </c>
      <c r="O742" s="115" t="str">
        <f>IF(N742="","",IF(ISNUMBER(L742),N742-L742,IF(OR(G742="DECISÃO D.P",ISNUMBER(M742)),"",N742-TODAY())))</f>
        <v/>
      </c>
      <c r="P742" s="116" t="str">
        <f>IF(B742="","",IF(ISNUMBER(M742),"DECIDIDO – ","")&amp;IF(ISNUMBER(L742),IF(O742="","SEM DATA",IF(O742&gt;=0,"DEFESA NO PRAZO","DEFESA FORA DO PRAZO")),IF(OR(G742="DECISÃO D.P",ISNUMBER(M742)),"SEM DEFESA",IF(G742="","SEM STATUS",IF(O742="","SEM DATA",IF(O742&lt;0,"VENCIDO",IF(O742&lt;=DiasAlerta,"VENCE EM BREVE","NO PRAZO")))))))</f>
        <v/>
      </c>
      <c r="Q742" s="117" t="str">
        <f>IF(D742="","",TODAY()-D742)</f>
        <v/>
      </c>
      <c r="R742" s="110" t="n"/>
    </row>
    <row r="743" ht="18" customHeight="1">
      <c r="A743" s="109" t="n"/>
      <c r="B743" s="110" t="n"/>
      <c r="C743" s="110" t="n"/>
      <c r="D743" s="111" t="n"/>
      <c r="E743" s="110" t="n"/>
      <c r="F743" s="112" t="n"/>
      <c r="G743" s="112" t="n"/>
      <c r="H743" s="110" t="n"/>
      <c r="I743" s="113" t="n"/>
      <c r="J743" s="113" t="n"/>
      <c r="K743" s="111" t="n"/>
      <c r="L743" s="111" t="n"/>
      <c r="M743" s="111" t="n"/>
      <c r="N743" s="114" t="str">
        <f>IF(OR(D743="",E743=""),"",D743+IF(E743="NOTIFICAÇÃO DE CONSTATAÇÃO",PrazoConst,PrazoEsc))</f>
        <v/>
      </c>
      <c r="O743" s="115" t="str">
        <f>IF(N743="","",IF(ISNUMBER(L743),N743-L743,IF(OR(G743="DECISÃO D.P",ISNUMBER(M743)),"",N743-TODAY())))</f>
        <v/>
      </c>
      <c r="P743" s="116" t="str">
        <f>IF(B743="","",IF(ISNUMBER(M743),"DECIDIDO – ","")&amp;IF(ISNUMBER(L743),IF(O743="","SEM DATA",IF(O743&gt;=0,"DEFESA NO PRAZO","DEFESA FORA DO PRAZO")),IF(OR(G743="DECISÃO D.P",ISNUMBER(M743)),"SEM DEFESA",IF(G743="","SEM STATUS",IF(O743="","SEM DATA",IF(O743&lt;0,"VENCIDO",IF(O743&lt;=DiasAlerta,"VENCE EM BREVE","NO PRAZO")))))))</f>
        <v/>
      </c>
      <c r="Q743" s="117" t="str">
        <f>IF(D743="","",TODAY()-D743)</f>
        <v/>
      </c>
      <c r="R743" s="110" t="n"/>
    </row>
    <row r="744" ht="18" customHeight="1">
      <c r="A744" s="109" t="n"/>
      <c r="B744" s="110" t="n"/>
      <c r="C744" s="110" t="n"/>
      <c r="D744" s="111" t="n"/>
      <c r="E744" s="110" t="n"/>
      <c r="F744" s="112" t="n"/>
      <c r="G744" s="112" t="n"/>
      <c r="H744" s="110" t="n"/>
      <c r="I744" s="113" t="n"/>
      <c r="J744" s="113" t="n"/>
      <c r="K744" s="111" t="n"/>
      <c r="L744" s="111" t="n"/>
      <c r="M744" s="111" t="n"/>
      <c r="N744" s="114" t="str">
        <f>IF(OR(D744="",E744=""),"",D744+IF(E744="NOTIFICAÇÃO DE CONSTATAÇÃO",PrazoConst,PrazoEsc))</f>
        <v/>
      </c>
      <c r="O744" s="115" t="str">
        <f>IF(N744="","",IF(ISNUMBER(L744),N744-L744,IF(OR(G744="DECISÃO D.P",ISNUMBER(M744)),"",N744-TODAY())))</f>
        <v/>
      </c>
      <c r="P744" s="116" t="str">
        <f>IF(B744="","",IF(ISNUMBER(M744),"DECIDIDO – ","")&amp;IF(ISNUMBER(L744),IF(O744="","SEM DATA",IF(O744&gt;=0,"DEFESA NO PRAZO","DEFESA FORA DO PRAZO")),IF(OR(G744="DECISÃO D.P",ISNUMBER(M744)),"SEM DEFESA",IF(G744="","SEM STATUS",IF(O744="","SEM DATA",IF(O744&lt;0,"VENCIDO",IF(O744&lt;=DiasAlerta,"VENCE EM BREVE","NO PRAZO")))))))</f>
        <v/>
      </c>
      <c r="Q744" s="117" t="str">
        <f>IF(D744="","",TODAY()-D744)</f>
        <v/>
      </c>
      <c r="R744" s="110" t="n"/>
    </row>
    <row r="745" ht="18" customHeight="1">
      <c r="A745" s="109" t="n"/>
      <c r="B745" s="110" t="n"/>
      <c r="C745" s="110" t="n"/>
      <c r="D745" s="111" t="n"/>
      <c r="E745" s="110" t="n"/>
      <c r="F745" s="112" t="n"/>
      <c r="G745" s="112" t="n"/>
      <c r="H745" s="110" t="n"/>
      <c r="I745" s="113" t="n"/>
      <c r="J745" s="113" t="n"/>
      <c r="K745" s="111" t="n"/>
      <c r="L745" s="111" t="n"/>
      <c r="M745" s="111" t="n"/>
      <c r="N745" s="114" t="str">
        <f>IF(OR(D745="",E745=""),"",D745+IF(E745="NOTIFICAÇÃO DE CONSTATAÇÃO",PrazoConst,PrazoEsc))</f>
        <v/>
      </c>
      <c r="O745" s="115" t="str">
        <f>IF(N745="","",IF(ISNUMBER(L745),N745-L745,IF(OR(G745="DECISÃO D.P",ISNUMBER(M745)),"",N745-TODAY())))</f>
        <v/>
      </c>
      <c r="P745" s="116" t="str">
        <f>IF(B745="","",IF(ISNUMBER(M745),"DECIDIDO – ","")&amp;IF(ISNUMBER(L745),IF(O745="","SEM DATA",IF(O745&gt;=0,"DEFESA NO PRAZO","DEFESA FORA DO PRAZO")),IF(OR(G745="DECISÃO D.P",ISNUMBER(M745)),"SEM DEFESA",IF(G745="","SEM STATUS",IF(O745="","SEM DATA",IF(O745&lt;0,"VENCIDO",IF(O745&lt;=DiasAlerta,"VENCE EM BREVE","NO PRAZO")))))))</f>
        <v/>
      </c>
      <c r="Q745" s="117" t="str">
        <f>IF(D745="","",TODAY()-D745)</f>
        <v/>
      </c>
      <c r="R745" s="110" t="n"/>
    </row>
    <row r="746" ht="18" customHeight="1">
      <c r="A746" s="109" t="n"/>
      <c r="B746" s="110" t="n"/>
      <c r="C746" s="110" t="n"/>
      <c r="D746" s="111" t="n"/>
      <c r="E746" s="110" t="n"/>
      <c r="F746" s="112" t="n"/>
      <c r="G746" s="112" t="n"/>
      <c r="H746" s="110" t="n"/>
      <c r="I746" s="113" t="n"/>
      <c r="J746" s="113" t="n"/>
      <c r="K746" s="111" t="n"/>
      <c r="L746" s="111" t="n"/>
      <c r="M746" s="111" t="n"/>
      <c r="N746" s="114" t="str">
        <f>IF(OR(D746="",E746=""),"",D746+IF(E746="NOTIFICAÇÃO DE CONSTATAÇÃO",PrazoConst,PrazoEsc))</f>
        <v/>
      </c>
      <c r="O746" s="115" t="str">
        <f>IF(N746="","",IF(ISNUMBER(L746),N746-L746,IF(OR(G746="DECISÃO D.P",ISNUMBER(M746)),"",N746-TODAY())))</f>
        <v/>
      </c>
      <c r="P746" s="116" t="str">
        <f>IF(B746="","",IF(ISNUMBER(M746),"DECIDIDO – ","")&amp;IF(ISNUMBER(L746),IF(O746="","SEM DATA",IF(O746&gt;=0,"DEFESA NO PRAZO","DEFESA FORA DO PRAZO")),IF(OR(G746="DECISÃO D.P",ISNUMBER(M746)),"SEM DEFESA",IF(G746="","SEM STATUS",IF(O746="","SEM DATA",IF(O746&lt;0,"VENCIDO",IF(O746&lt;=DiasAlerta,"VENCE EM BREVE","NO PRAZO")))))))</f>
        <v/>
      </c>
      <c r="Q746" s="117" t="str">
        <f>IF(D746="","",TODAY()-D746)</f>
        <v/>
      </c>
      <c r="R746" s="110" t="n"/>
    </row>
    <row r="747" ht="18" customHeight="1">
      <c r="A747" s="109" t="n"/>
      <c r="B747" s="110" t="n"/>
      <c r="C747" s="110" t="n"/>
      <c r="D747" s="111" t="n"/>
      <c r="E747" s="110" t="n"/>
      <c r="F747" s="112" t="n"/>
      <c r="G747" s="112" t="n"/>
      <c r="H747" s="110" t="n"/>
      <c r="I747" s="113" t="n"/>
      <c r="J747" s="113" t="n"/>
      <c r="K747" s="111" t="n"/>
      <c r="L747" s="111" t="n"/>
      <c r="M747" s="111" t="n"/>
      <c r="N747" s="114" t="str">
        <f>IF(OR(D747="",E747=""),"",D747+IF(E747="NOTIFICAÇÃO DE CONSTATAÇÃO",PrazoConst,PrazoEsc))</f>
        <v/>
      </c>
      <c r="O747" s="115" t="str">
        <f>IF(N747="","",IF(ISNUMBER(L747),N747-L747,IF(OR(G747="DECISÃO D.P",ISNUMBER(M747)),"",N747-TODAY())))</f>
        <v/>
      </c>
      <c r="P747" s="116" t="str">
        <f>IF(B747="","",IF(ISNUMBER(M747),"DECIDIDO – ","")&amp;IF(ISNUMBER(L747),IF(O747="","SEM DATA",IF(O747&gt;=0,"DEFESA NO PRAZO","DEFESA FORA DO PRAZO")),IF(OR(G747="DECISÃO D.P",ISNUMBER(M747)),"SEM DEFESA",IF(G747="","SEM STATUS",IF(O747="","SEM DATA",IF(O747&lt;0,"VENCIDO",IF(O747&lt;=DiasAlerta,"VENCE EM BREVE","NO PRAZO")))))))</f>
        <v/>
      </c>
      <c r="Q747" s="117" t="str">
        <f>IF(D747="","",TODAY()-D747)</f>
        <v/>
      </c>
      <c r="R747" s="110" t="n"/>
    </row>
    <row r="748" ht="18" customHeight="1">
      <c r="A748" s="109" t="n"/>
      <c r="B748" s="110" t="n"/>
      <c r="C748" s="110" t="n"/>
      <c r="D748" s="111" t="n"/>
      <c r="E748" s="110" t="n"/>
      <c r="F748" s="112" t="n"/>
      <c r="G748" s="112" t="n"/>
      <c r="H748" s="110" t="n"/>
      <c r="I748" s="113" t="n"/>
      <c r="J748" s="113" t="n"/>
      <c r="K748" s="111" t="n"/>
      <c r="L748" s="111" t="n"/>
      <c r="M748" s="111" t="n"/>
      <c r="N748" s="114" t="str">
        <f>IF(OR(D748="",E748=""),"",D748+IF(E748="NOTIFICAÇÃO DE CONSTATAÇÃO",PrazoConst,PrazoEsc))</f>
        <v/>
      </c>
      <c r="O748" s="115" t="str">
        <f>IF(N748="","",IF(ISNUMBER(L748),N748-L748,IF(OR(G748="DECISÃO D.P",ISNUMBER(M748)),"",N748-TODAY())))</f>
        <v/>
      </c>
      <c r="P748" s="116" t="str">
        <f>IF(B748="","",IF(ISNUMBER(M748),"DECIDIDO – ","")&amp;IF(ISNUMBER(L748),IF(O748="","SEM DATA",IF(O748&gt;=0,"DEFESA NO PRAZO","DEFESA FORA DO PRAZO")),IF(OR(G748="DECISÃO D.P",ISNUMBER(M748)),"SEM DEFESA",IF(G748="","SEM STATUS",IF(O748="","SEM DATA",IF(O748&lt;0,"VENCIDO",IF(O748&lt;=DiasAlerta,"VENCE EM BREVE","NO PRAZO")))))))</f>
        <v/>
      </c>
      <c r="Q748" s="117" t="str">
        <f>IF(D748="","",TODAY()-D748)</f>
        <v/>
      </c>
      <c r="R748" s="110" t="n"/>
    </row>
    <row r="749" ht="18" customHeight="1">
      <c r="A749" s="109" t="n"/>
      <c r="B749" s="110" t="n"/>
      <c r="C749" s="110" t="n"/>
      <c r="D749" s="111" t="n"/>
      <c r="E749" s="110" t="n"/>
      <c r="F749" s="112" t="n"/>
      <c r="G749" s="112" t="n"/>
      <c r="H749" s="110" t="n"/>
      <c r="I749" s="113" t="n"/>
      <c r="J749" s="113" t="n"/>
      <c r="K749" s="111" t="n"/>
      <c r="L749" s="111" t="n"/>
      <c r="M749" s="111" t="n"/>
      <c r="N749" s="114" t="str">
        <f>IF(OR(D749="",E749=""),"",D749+IF(E749="NOTIFICAÇÃO DE CONSTATAÇÃO",PrazoConst,PrazoEsc))</f>
        <v/>
      </c>
      <c r="O749" s="115" t="str">
        <f>IF(N749="","",IF(ISNUMBER(L749),N749-L749,IF(OR(G749="DECISÃO D.P",ISNUMBER(M749)),"",N749-TODAY())))</f>
        <v/>
      </c>
      <c r="P749" s="116" t="str">
        <f>IF(B749="","",IF(ISNUMBER(M749),"DECIDIDO – ","")&amp;IF(ISNUMBER(L749),IF(O749="","SEM DATA",IF(O749&gt;=0,"DEFESA NO PRAZO","DEFESA FORA DO PRAZO")),IF(OR(G749="DECISÃO D.P",ISNUMBER(M749)),"SEM DEFESA",IF(G749="","SEM STATUS",IF(O749="","SEM DATA",IF(O749&lt;0,"VENCIDO",IF(O749&lt;=DiasAlerta,"VENCE EM BREVE","NO PRAZO")))))))</f>
        <v/>
      </c>
      <c r="Q749" s="117" t="str">
        <f>IF(D749="","",TODAY()-D749)</f>
        <v/>
      </c>
      <c r="R749" s="110" t="n"/>
    </row>
    <row r="750" ht="18" customHeight="1">
      <c r="A750" s="109" t="n"/>
      <c r="B750" s="110" t="n"/>
      <c r="C750" s="110" t="n"/>
      <c r="D750" s="111" t="n"/>
      <c r="E750" s="110" t="n"/>
      <c r="F750" s="112" t="n"/>
      <c r="G750" s="112" t="n"/>
      <c r="H750" s="110" t="n"/>
      <c r="I750" s="113" t="n"/>
      <c r="J750" s="113" t="n"/>
      <c r="K750" s="111" t="n"/>
      <c r="L750" s="111" t="n"/>
      <c r="M750" s="111" t="n"/>
      <c r="N750" s="114" t="str">
        <f>IF(OR(D750="",E750=""),"",D750+IF(E750="NOTIFICAÇÃO DE CONSTATAÇÃO",PrazoConst,PrazoEsc))</f>
        <v/>
      </c>
      <c r="O750" s="115" t="str">
        <f>IF(N750="","",IF(ISNUMBER(L750),N750-L750,IF(OR(G750="DECISÃO D.P",ISNUMBER(M750)),"",N750-TODAY())))</f>
        <v/>
      </c>
      <c r="P750" s="116" t="str">
        <f>IF(B750="","",IF(ISNUMBER(M750),"DECIDIDO – ","")&amp;IF(ISNUMBER(L750),IF(O750="","SEM DATA",IF(O750&gt;=0,"DEFESA NO PRAZO","DEFESA FORA DO PRAZO")),IF(OR(G750="DECISÃO D.P",ISNUMBER(M750)),"SEM DEFESA",IF(G750="","SEM STATUS",IF(O750="","SEM DATA",IF(O750&lt;0,"VENCIDO",IF(O750&lt;=DiasAlerta,"VENCE EM BREVE","NO PRAZO")))))))</f>
        <v/>
      </c>
      <c r="Q750" s="117" t="str">
        <f>IF(D750="","",TODAY()-D750)</f>
        <v/>
      </c>
      <c r="R750" s="110" t="n"/>
    </row>
    <row r="751" ht="18" customHeight="1">
      <c r="A751" s="109" t="n"/>
      <c r="B751" s="110" t="n"/>
      <c r="C751" s="110" t="n"/>
      <c r="D751" s="111" t="n"/>
      <c r="E751" s="110" t="n"/>
      <c r="F751" s="112" t="n"/>
      <c r="G751" s="112" t="n"/>
      <c r="H751" s="110" t="n"/>
      <c r="I751" s="113" t="n"/>
      <c r="J751" s="113" t="n"/>
      <c r="K751" s="111" t="n"/>
      <c r="L751" s="111" t="n"/>
      <c r="M751" s="111" t="n"/>
      <c r="N751" s="114" t="str">
        <f>IF(OR(D751="",E751=""),"",D751+IF(E751="NOTIFICAÇÃO DE CONSTATAÇÃO",PrazoConst,PrazoEsc))</f>
        <v/>
      </c>
      <c r="O751" s="115" t="str">
        <f>IF(N751="","",IF(ISNUMBER(L751),N751-L751,IF(OR(G751="DECISÃO D.P",ISNUMBER(M751)),"",N751-TODAY())))</f>
        <v/>
      </c>
      <c r="P751" s="116" t="str">
        <f>IF(B751="","",IF(ISNUMBER(M751),"DECIDIDO – ","")&amp;IF(ISNUMBER(L751),IF(O751="","SEM DATA",IF(O751&gt;=0,"DEFESA NO PRAZO","DEFESA FORA DO PRAZO")),IF(OR(G751="DECISÃO D.P",ISNUMBER(M751)),"SEM DEFESA",IF(G751="","SEM STATUS",IF(O751="","SEM DATA",IF(O751&lt;0,"VENCIDO",IF(O751&lt;=DiasAlerta,"VENCE EM BREVE","NO PRAZO")))))))</f>
        <v/>
      </c>
      <c r="Q751" s="117" t="str">
        <f>IF(D751="","",TODAY()-D751)</f>
        <v/>
      </c>
      <c r="R751" s="110" t="n"/>
    </row>
    <row r="752" ht="18" customHeight="1">
      <c r="A752" s="109" t="n"/>
      <c r="B752" s="110" t="n"/>
      <c r="C752" s="110" t="n"/>
      <c r="D752" s="111" t="n"/>
      <c r="E752" s="110" t="n"/>
      <c r="F752" s="112" t="n"/>
      <c r="G752" s="112" t="n"/>
      <c r="H752" s="110" t="n"/>
      <c r="I752" s="113" t="n"/>
      <c r="J752" s="113" t="n"/>
      <c r="K752" s="111" t="n"/>
      <c r="L752" s="111" t="n"/>
      <c r="M752" s="111" t="n"/>
      <c r="N752" s="114" t="str">
        <f>IF(OR(D752="",E752=""),"",D752+IF(E752="NOTIFICAÇÃO DE CONSTATAÇÃO",PrazoConst,PrazoEsc))</f>
        <v/>
      </c>
      <c r="O752" s="115" t="str">
        <f>IF(N752="","",IF(ISNUMBER(L752),N752-L752,IF(OR(G752="DECISÃO D.P",ISNUMBER(M752)),"",N752-TODAY())))</f>
        <v/>
      </c>
      <c r="P752" s="116" t="str">
        <f>IF(B752="","",IF(ISNUMBER(M752),"DECIDIDO – ","")&amp;IF(ISNUMBER(L752),IF(O752="","SEM DATA",IF(O752&gt;=0,"DEFESA NO PRAZO","DEFESA FORA DO PRAZO")),IF(OR(G752="DECISÃO D.P",ISNUMBER(M752)),"SEM DEFESA",IF(G752="","SEM STATUS",IF(O752="","SEM DATA",IF(O752&lt;0,"VENCIDO",IF(O752&lt;=DiasAlerta,"VENCE EM BREVE","NO PRAZO")))))))</f>
        <v/>
      </c>
      <c r="Q752" s="117" t="str">
        <f>IF(D752="","",TODAY()-D752)</f>
        <v/>
      </c>
      <c r="R752" s="110" t="n"/>
    </row>
    <row r="753" ht="18" customHeight="1">
      <c r="A753" s="109" t="n"/>
      <c r="B753" s="110" t="n"/>
      <c r="C753" s="110" t="n"/>
      <c r="D753" s="111" t="n"/>
      <c r="E753" s="110" t="n"/>
      <c r="F753" s="112" t="n"/>
      <c r="G753" s="112" t="n"/>
      <c r="H753" s="110" t="n"/>
      <c r="I753" s="113" t="n"/>
      <c r="J753" s="113" t="n"/>
      <c r="K753" s="111" t="n"/>
      <c r="L753" s="111" t="n"/>
      <c r="M753" s="111" t="n"/>
      <c r="N753" s="114" t="str">
        <f>IF(OR(D753="",E753=""),"",D753+IF(E753="NOTIFICAÇÃO DE CONSTATAÇÃO",PrazoConst,PrazoEsc))</f>
        <v/>
      </c>
      <c r="O753" s="115" t="str">
        <f>IF(N753="","",IF(ISNUMBER(L753),N753-L753,IF(OR(G753="DECISÃO D.P",ISNUMBER(M753)),"",N753-TODAY())))</f>
        <v/>
      </c>
      <c r="P753" s="116" t="str">
        <f>IF(B753="","",IF(ISNUMBER(M753),"DECIDIDO – ","")&amp;IF(ISNUMBER(L753),IF(O753="","SEM DATA",IF(O753&gt;=0,"DEFESA NO PRAZO","DEFESA FORA DO PRAZO")),IF(OR(G753="DECISÃO D.P",ISNUMBER(M753)),"SEM DEFESA",IF(G753="","SEM STATUS",IF(O753="","SEM DATA",IF(O753&lt;0,"VENCIDO",IF(O753&lt;=DiasAlerta,"VENCE EM BREVE","NO PRAZO")))))))</f>
        <v/>
      </c>
      <c r="Q753" s="117" t="str">
        <f>IF(D753="","",TODAY()-D753)</f>
        <v/>
      </c>
      <c r="R753" s="110" t="n"/>
    </row>
    <row r="754" ht="18" customHeight="1">
      <c r="A754" s="109" t="n"/>
      <c r="B754" s="110" t="n"/>
      <c r="C754" s="110" t="n"/>
      <c r="D754" s="111" t="n"/>
      <c r="E754" s="110" t="n"/>
      <c r="F754" s="112" t="n"/>
      <c r="G754" s="112" t="n"/>
      <c r="H754" s="110" t="n"/>
      <c r="I754" s="113" t="n"/>
      <c r="J754" s="113" t="n"/>
      <c r="K754" s="111" t="n"/>
      <c r="L754" s="111" t="n"/>
      <c r="M754" s="111" t="n"/>
      <c r="N754" s="114" t="str">
        <f>IF(OR(D754="",E754=""),"",D754+IF(E754="NOTIFICAÇÃO DE CONSTATAÇÃO",PrazoConst,PrazoEsc))</f>
        <v/>
      </c>
      <c r="O754" s="115" t="str">
        <f>IF(N754="","",IF(ISNUMBER(L754),N754-L754,IF(OR(G754="DECISÃO D.P",ISNUMBER(M754)),"",N754-TODAY())))</f>
        <v/>
      </c>
      <c r="P754" s="116" t="str">
        <f>IF(B754="","",IF(ISNUMBER(M754),"DECIDIDO – ","")&amp;IF(ISNUMBER(L754),IF(O754="","SEM DATA",IF(O754&gt;=0,"DEFESA NO PRAZO","DEFESA FORA DO PRAZO")),IF(OR(G754="DECISÃO D.P",ISNUMBER(M754)),"SEM DEFESA",IF(G754="","SEM STATUS",IF(O754="","SEM DATA",IF(O754&lt;0,"VENCIDO",IF(O754&lt;=DiasAlerta,"VENCE EM BREVE","NO PRAZO")))))))</f>
        <v/>
      </c>
      <c r="Q754" s="117" t="str">
        <f>IF(D754="","",TODAY()-D754)</f>
        <v/>
      </c>
      <c r="R754" s="110" t="n"/>
    </row>
    <row r="755" ht="18" customHeight="1">
      <c r="A755" s="109" t="n"/>
      <c r="B755" s="110" t="n"/>
      <c r="C755" s="110" t="n"/>
      <c r="D755" s="111" t="n"/>
      <c r="E755" s="110" t="n"/>
      <c r="F755" s="112" t="n"/>
      <c r="G755" s="112" t="n"/>
      <c r="H755" s="110" t="n"/>
      <c r="I755" s="113" t="n"/>
      <c r="J755" s="113" t="n"/>
      <c r="K755" s="111" t="n"/>
      <c r="L755" s="111" t="n"/>
      <c r="M755" s="111" t="n"/>
      <c r="N755" s="114" t="str">
        <f>IF(OR(D755="",E755=""),"",D755+IF(E755="NOTIFICAÇÃO DE CONSTATAÇÃO",PrazoConst,PrazoEsc))</f>
        <v/>
      </c>
      <c r="O755" s="115" t="str">
        <f>IF(N755="","",IF(ISNUMBER(L755),N755-L755,IF(OR(G755="DECISÃO D.P",ISNUMBER(M755)),"",N755-TODAY())))</f>
        <v/>
      </c>
      <c r="P755" s="116" t="str">
        <f>IF(B755="","",IF(ISNUMBER(M755),"DECIDIDO – ","")&amp;IF(ISNUMBER(L755),IF(O755="","SEM DATA",IF(O755&gt;=0,"DEFESA NO PRAZO","DEFESA FORA DO PRAZO")),IF(OR(G755="DECISÃO D.P",ISNUMBER(M755)),"SEM DEFESA",IF(G755="","SEM STATUS",IF(O755="","SEM DATA",IF(O755&lt;0,"VENCIDO",IF(O755&lt;=DiasAlerta,"VENCE EM BREVE","NO PRAZO")))))))</f>
        <v/>
      </c>
      <c r="Q755" s="117" t="str">
        <f>IF(D755="","",TODAY()-D755)</f>
        <v/>
      </c>
      <c r="R755" s="110" t="n"/>
    </row>
    <row r="756" ht="18" customHeight="1">
      <c r="A756" s="109" t="n"/>
      <c r="B756" s="110" t="n"/>
      <c r="C756" s="110" t="n"/>
      <c r="D756" s="111" t="n"/>
      <c r="E756" s="110" t="n"/>
      <c r="F756" s="112" t="n"/>
      <c r="G756" s="112" t="n"/>
      <c r="H756" s="110" t="n"/>
      <c r="I756" s="113" t="n"/>
      <c r="J756" s="113" t="n"/>
      <c r="K756" s="111" t="n"/>
      <c r="L756" s="111" t="n"/>
      <c r="M756" s="111" t="n"/>
      <c r="N756" s="114" t="str">
        <f>IF(OR(D756="",E756=""),"",D756+IF(E756="NOTIFICAÇÃO DE CONSTATAÇÃO",PrazoConst,PrazoEsc))</f>
        <v/>
      </c>
      <c r="O756" s="115" t="str">
        <f>IF(N756="","",IF(ISNUMBER(L756),N756-L756,IF(OR(G756="DECISÃO D.P",ISNUMBER(M756)),"",N756-TODAY())))</f>
        <v/>
      </c>
      <c r="P756" s="116" t="str">
        <f>IF(B756="","",IF(ISNUMBER(M756),"DECIDIDO – ","")&amp;IF(ISNUMBER(L756),IF(O756="","SEM DATA",IF(O756&gt;=0,"DEFESA NO PRAZO","DEFESA FORA DO PRAZO")),IF(OR(G756="DECISÃO D.P",ISNUMBER(M756)),"SEM DEFESA",IF(G756="","SEM STATUS",IF(O756="","SEM DATA",IF(O756&lt;0,"VENCIDO",IF(O756&lt;=DiasAlerta,"VENCE EM BREVE","NO PRAZO")))))))</f>
        <v/>
      </c>
      <c r="Q756" s="117" t="str">
        <f>IF(D756="","",TODAY()-D756)</f>
        <v/>
      </c>
      <c r="R756" s="110" t="n"/>
    </row>
    <row r="757" ht="18" customHeight="1">
      <c r="A757" s="109" t="n"/>
      <c r="B757" s="110" t="n"/>
      <c r="C757" s="110" t="n"/>
      <c r="D757" s="111" t="n"/>
      <c r="E757" s="110" t="n"/>
      <c r="F757" s="112" t="n"/>
      <c r="G757" s="112" t="n"/>
      <c r="H757" s="110" t="n"/>
      <c r="I757" s="113" t="n"/>
      <c r="J757" s="113" t="n"/>
      <c r="K757" s="111" t="n"/>
      <c r="L757" s="111" t="n"/>
      <c r="M757" s="111" t="n"/>
      <c r="N757" s="114" t="str">
        <f>IF(OR(D757="",E757=""),"",D757+IF(E757="NOTIFICAÇÃO DE CONSTATAÇÃO",PrazoConst,PrazoEsc))</f>
        <v/>
      </c>
      <c r="O757" s="115" t="str">
        <f>IF(N757="","",IF(ISNUMBER(L757),N757-L757,IF(OR(G757="DECISÃO D.P",ISNUMBER(M757)),"",N757-TODAY())))</f>
        <v/>
      </c>
      <c r="P757" s="116" t="str">
        <f>IF(B757="","",IF(ISNUMBER(M757),"DECIDIDO – ","")&amp;IF(ISNUMBER(L757),IF(O757="","SEM DATA",IF(O757&gt;=0,"DEFESA NO PRAZO","DEFESA FORA DO PRAZO")),IF(OR(G757="DECISÃO D.P",ISNUMBER(M757)),"SEM DEFESA",IF(G757="","SEM STATUS",IF(O757="","SEM DATA",IF(O757&lt;0,"VENCIDO",IF(O757&lt;=DiasAlerta,"VENCE EM BREVE","NO PRAZO")))))))</f>
        <v/>
      </c>
      <c r="Q757" s="117" t="str">
        <f>IF(D757="","",TODAY()-D757)</f>
        <v/>
      </c>
      <c r="R757" s="110" t="n"/>
    </row>
    <row r="758" ht="18" customHeight="1">
      <c r="A758" s="109" t="n"/>
      <c r="B758" s="110" t="n"/>
      <c r="C758" s="110" t="n"/>
      <c r="D758" s="111" t="n"/>
      <c r="E758" s="110" t="n"/>
      <c r="F758" s="112" t="n"/>
      <c r="G758" s="112" t="n"/>
      <c r="H758" s="110" t="n"/>
      <c r="I758" s="113" t="n"/>
      <c r="J758" s="113" t="n"/>
      <c r="K758" s="111" t="n"/>
      <c r="L758" s="111" t="n"/>
      <c r="M758" s="111" t="n"/>
      <c r="N758" s="114" t="str">
        <f>IF(OR(D758="",E758=""),"",D758+IF(E758="NOTIFICAÇÃO DE CONSTATAÇÃO",PrazoConst,PrazoEsc))</f>
        <v/>
      </c>
      <c r="O758" s="115" t="str">
        <f>IF(N758="","",IF(ISNUMBER(L758),N758-L758,IF(OR(G758="DECISÃO D.P",ISNUMBER(M758)),"",N758-TODAY())))</f>
        <v/>
      </c>
      <c r="P758" s="116" t="str">
        <f>IF(B758="","",IF(ISNUMBER(M758),"DECIDIDO – ","")&amp;IF(ISNUMBER(L758),IF(O758="","SEM DATA",IF(O758&gt;=0,"DEFESA NO PRAZO","DEFESA FORA DO PRAZO")),IF(OR(G758="DECISÃO D.P",ISNUMBER(M758)),"SEM DEFESA",IF(G758="","SEM STATUS",IF(O758="","SEM DATA",IF(O758&lt;0,"VENCIDO",IF(O758&lt;=DiasAlerta,"VENCE EM BREVE","NO PRAZO")))))))</f>
        <v/>
      </c>
      <c r="Q758" s="117" t="str">
        <f>IF(D758="","",TODAY()-D758)</f>
        <v/>
      </c>
      <c r="R758" s="110" t="n"/>
    </row>
    <row r="759" ht="18" customHeight="1">
      <c r="A759" s="109" t="n"/>
      <c r="B759" s="110" t="n"/>
      <c r="C759" s="110" t="n"/>
      <c r="D759" s="111" t="n"/>
      <c r="E759" s="110" t="n"/>
      <c r="F759" s="112" t="n"/>
      <c r="G759" s="112" t="n"/>
      <c r="H759" s="110" t="n"/>
      <c r="I759" s="113" t="n"/>
      <c r="J759" s="113" t="n"/>
      <c r="K759" s="111" t="n"/>
      <c r="L759" s="111" t="n"/>
      <c r="M759" s="111" t="n"/>
      <c r="N759" s="114" t="str">
        <f>IF(OR(D759="",E759=""),"",D759+IF(E759="NOTIFICAÇÃO DE CONSTATAÇÃO",PrazoConst,PrazoEsc))</f>
        <v/>
      </c>
      <c r="O759" s="115" t="str">
        <f>IF(N759="","",IF(ISNUMBER(L759),N759-L759,IF(OR(G759="DECISÃO D.P",ISNUMBER(M759)),"",N759-TODAY())))</f>
        <v/>
      </c>
      <c r="P759" s="116" t="str">
        <f>IF(B759="","",IF(ISNUMBER(M759),"DECIDIDO – ","")&amp;IF(ISNUMBER(L759),IF(O759="","SEM DATA",IF(O759&gt;=0,"DEFESA NO PRAZO","DEFESA FORA DO PRAZO")),IF(OR(G759="DECISÃO D.P",ISNUMBER(M759)),"SEM DEFESA",IF(G759="","SEM STATUS",IF(O759="","SEM DATA",IF(O759&lt;0,"VENCIDO",IF(O759&lt;=DiasAlerta,"VENCE EM BREVE","NO PRAZO")))))))</f>
        <v/>
      </c>
      <c r="Q759" s="117" t="str">
        <f>IF(D759="","",TODAY()-D759)</f>
        <v/>
      </c>
      <c r="R759" s="110" t="n"/>
    </row>
    <row r="760" ht="18" customHeight="1">
      <c r="A760" s="109" t="n"/>
      <c r="B760" s="110" t="n"/>
      <c r="C760" s="110" t="n"/>
      <c r="D760" s="111" t="n"/>
      <c r="E760" s="110" t="n"/>
      <c r="F760" s="112" t="n"/>
      <c r="G760" s="112" t="n"/>
      <c r="H760" s="110" t="n"/>
      <c r="I760" s="113" t="n"/>
      <c r="J760" s="113" t="n"/>
      <c r="K760" s="111" t="n"/>
      <c r="L760" s="111" t="n"/>
      <c r="M760" s="111" t="n"/>
      <c r="N760" s="114" t="str">
        <f>IF(OR(D760="",E760=""),"",D760+IF(E760="NOTIFICAÇÃO DE CONSTATAÇÃO",PrazoConst,PrazoEsc))</f>
        <v/>
      </c>
      <c r="O760" s="115" t="str">
        <f>IF(N760="","",IF(ISNUMBER(L760),N760-L760,IF(OR(G760="DECISÃO D.P",ISNUMBER(M760)),"",N760-TODAY())))</f>
        <v/>
      </c>
      <c r="P760" s="116" t="str">
        <f>IF(B760="","",IF(ISNUMBER(M760),"DECIDIDO – ","")&amp;IF(ISNUMBER(L760),IF(O760="","SEM DATA",IF(O760&gt;=0,"DEFESA NO PRAZO","DEFESA FORA DO PRAZO")),IF(OR(G760="DECISÃO D.P",ISNUMBER(M760)),"SEM DEFESA",IF(G760="","SEM STATUS",IF(O760="","SEM DATA",IF(O760&lt;0,"VENCIDO",IF(O760&lt;=DiasAlerta,"VENCE EM BREVE","NO PRAZO")))))))</f>
        <v/>
      </c>
      <c r="Q760" s="117" t="str">
        <f>IF(D760="","",TODAY()-D760)</f>
        <v/>
      </c>
      <c r="R760" s="110" t="n"/>
    </row>
    <row r="761" ht="18" customHeight="1">
      <c r="A761" s="109" t="n"/>
      <c r="B761" s="110" t="n"/>
      <c r="C761" s="110" t="n"/>
      <c r="D761" s="111" t="n"/>
      <c r="E761" s="110" t="n"/>
      <c r="F761" s="112" t="n"/>
      <c r="G761" s="112" t="n"/>
      <c r="H761" s="110" t="n"/>
      <c r="I761" s="113" t="n"/>
      <c r="J761" s="113" t="n"/>
      <c r="K761" s="111" t="n"/>
      <c r="L761" s="111" t="n"/>
      <c r="M761" s="111" t="n"/>
      <c r="N761" s="114" t="str">
        <f>IF(OR(D761="",E761=""),"",D761+IF(E761="NOTIFICAÇÃO DE CONSTATAÇÃO",PrazoConst,PrazoEsc))</f>
        <v/>
      </c>
      <c r="O761" s="115" t="str">
        <f>IF(N761="","",IF(ISNUMBER(L761),N761-L761,IF(OR(G761="DECISÃO D.P",ISNUMBER(M761)),"",N761-TODAY())))</f>
        <v/>
      </c>
      <c r="P761" s="116" t="str">
        <f>IF(B761="","",IF(ISNUMBER(M761),"DECIDIDO – ","")&amp;IF(ISNUMBER(L761),IF(O761="","SEM DATA",IF(O761&gt;=0,"DEFESA NO PRAZO","DEFESA FORA DO PRAZO")),IF(OR(G761="DECISÃO D.P",ISNUMBER(M761)),"SEM DEFESA",IF(G761="","SEM STATUS",IF(O761="","SEM DATA",IF(O761&lt;0,"VENCIDO",IF(O761&lt;=DiasAlerta,"VENCE EM BREVE","NO PRAZO")))))))</f>
        <v/>
      </c>
      <c r="Q761" s="117" t="str">
        <f>IF(D761="","",TODAY()-D761)</f>
        <v/>
      </c>
      <c r="R761" s="110" t="n"/>
    </row>
    <row r="762" ht="18" customHeight="1">
      <c r="A762" s="109" t="n"/>
      <c r="B762" s="110" t="n"/>
      <c r="C762" s="110" t="n"/>
      <c r="D762" s="111" t="n"/>
      <c r="E762" s="110" t="n"/>
      <c r="F762" s="112" t="n"/>
      <c r="G762" s="112" t="n"/>
      <c r="H762" s="110" t="n"/>
      <c r="I762" s="113" t="n"/>
      <c r="J762" s="113" t="n"/>
      <c r="K762" s="111" t="n"/>
      <c r="L762" s="111" t="n"/>
      <c r="M762" s="111" t="n"/>
      <c r="N762" s="114" t="str">
        <f>IF(OR(D762="",E762=""),"",D762+IF(E762="NOTIFICAÇÃO DE CONSTATAÇÃO",PrazoConst,PrazoEsc))</f>
        <v/>
      </c>
      <c r="O762" s="115" t="str">
        <f>IF(N762="","",IF(ISNUMBER(L762),N762-L762,IF(OR(G762="DECISÃO D.P",ISNUMBER(M762)),"",N762-TODAY())))</f>
        <v/>
      </c>
      <c r="P762" s="116" t="str">
        <f>IF(B762="","",IF(ISNUMBER(M762),"DECIDIDO – ","")&amp;IF(ISNUMBER(L762),IF(O762="","SEM DATA",IF(O762&gt;=0,"DEFESA NO PRAZO","DEFESA FORA DO PRAZO")),IF(OR(G762="DECISÃO D.P",ISNUMBER(M762)),"SEM DEFESA",IF(G762="","SEM STATUS",IF(O762="","SEM DATA",IF(O762&lt;0,"VENCIDO",IF(O762&lt;=DiasAlerta,"VENCE EM BREVE","NO PRAZO")))))))</f>
        <v/>
      </c>
      <c r="Q762" s="117" t="str">
        <f>IF(D762="","",TODAY()-D762)</f>
        <v/>
      </c>
      <c r="R762" s="110" t="n"/>
    </row>
    <row r="763" ht="18" customHeight="1">
      <c r="A763" s="109" t="n"/>
      <c r="B763" s="110" t="n"/>
      <c r="C763" s="110" t="n"/>
      <c r="D763" s="111" t="n"/>
      <c r="E763" s="110" t="n"/>
      <c r="F763" s="112" t="n"/>
      <c r="G763" s="112" t="n"/>
      <c r="H763" s="110" t="n"/>
      <c r="I763" s="113" t="n"/>
      <c r="J763" s="113" t="n"/>
      <c r="K763" s="111" t="n"/>
      <c r="L763" s="111" t="n"/>
      <c r="M763" s="111" t="n"/>
      <c r="N763" s="114" t="str">
        <f>IF(OR(D763="",E763=""),"",D763+IF(E763="NOTIFICAÇÃO DE CONSTATAÇÃO",PrazoConst,PrazoEsc))</f>
        <v/>
      </c>
      <c r="O763" s="115" t="str">
        <f>IF(N763="","",IF(ISNUMBER(L763),N763-L763,IF(OR(G763="DECISÃO D.P",ISNUMBER(M763)),"",N763-TODAY())))</f>
        <v/>
      </c>
      <c r="P763" s="116" t="str">
        <f>IF(B763="","",IF(ISNUMBER(M763),"DECIDIDO – ","")&amp;IF(ISNUMBER(L763),IF(O763="","SEM DATA",IF(O763&gt;=0,"DEFESA NO PRAZO","DEFESA FORA DO PRAZO")),IF(OR(G763="DECISÃO D.P",ISNUMBER(M763)),"SEM DEFESA",IF(G763="","SEM STATUS",IF(O763="","SEM DATA",IF(O763&lt;0,"VENCIDO",IF(O763&lt;=DiasAlerta,"VENCE EM BREVE","NO PRAZO")))))))</f>
        <v/>
      </c>
      <c r="Q763" s="117" t="str">
        <f>IF(D763="","",TODAY()-D763)</f>
        <v/>
      </c>
      <c r="R763" s="110" t="n"/>
    </row>
    <row r="764" ht="18" customHeight="1">
      <c r="A764" s="109" t="n"/>
      <c r="B764" s="110" t="n"/>
      <c r="C764" s="110" t="n"/>
      <c r="D764" s="111" t="n"/>
      <c r="E764" s="110" t="n"/>
      <c r="F764" s="112" t="n"/>
      <c r="G764" s="112" t="n"/>
      <c r="H764" s="110" t="n"/>
      <c r="I764" s="113" t="n"/>
      <c r="J764" s="113" t="n"/>
      <c r="K764" s="111" t="n"/>
      <c r="L764" s="111" t="n"/>
      <c r="M764" s="111" t="n"/>
      <c r="N764" s="114" t="str">
        <f>IF(OR(D764="",E764=""),"",D764+IF(E764="NOTIFICAÇÃO DE CONSTATAÇÃO",PrazoConst,PrazoEsc))</f>
        <v/>
      </c>
      <c r="O764" s="115" t="str">
        <f>IF(N764="","",IF(ISNUMBER(L764),N764-L764,IF(OR(G764="DECISÃO D.P",ISNUMBER(M764)),"",N764-TODAY())))</f>
        <v/>
      </c>
      <c r="P764" s="116" t="str">
        <f>IF(B764="","",IF(ISNUMBER(M764),"DECIDIDO – ","")&amp;IF(ISNUMBER(L764),IF(O764="","SEM DATA",IF(O764&gt;=0,"DEFESA NO PRAZO","DEFESA FORA DO PRAZO")),IF(OR(G764="DECISÃO D.P",ISNUMBER(M764)),"SEM DEFESA",IF(G764="","SEM STATUS",IF(O764="","SEM DATA",IF(O764&lt;0,"VENCIDO",IF(O764&lt;=DiasAlerta,"VENCE EM BREVE","NO PRAZO")))))))</f>
        <v/>
      </c>
      <c r="Q764" s="117" t="str">
        <f>IF(D764="","",TODAY()-D764)</f>
        <v/>
      </c>
      <c r="R764" s="110" t="n"/>
    </row>
    <row r="765" ht="18" customHeight="1">
      <c r="A765" s="109" t="n"/>
      <c r="B765" s="110" t="n"/>
      <c r="C765" s="110" t="n"/>
      <c r="D765" s="111" t="n"/>
      <c r="E765" s="110" t="n"/>
      <c r="F765" s="112" t="n"/>
      <c r="G765" s="112" t="n"/>
      <c r="H765" s="110" t="n"/>
      <c r="I765" s="113" t="n"/>
      <c r="J765" s="113" t="n"/>
      <c r="K765" s="111" t="n"/>
      <c r="L765" s="111" t="n"/>
      <c r="M765" s="111" t="n"/>
      <c r="N765" s="114" t="str">
        <f>IF(OR(D765="",E765=""),"",D765+IF(E765="NOTIFICAÇÃO DE CONSTATAÇÃO",PrazoConst,PrazoEsc))</f>
        <v/>
      </c>
      <c r="O765" s="115" t="str">
        <f>IF(N765="","",IF(ISNUMBER(L765),N765-L765,IF(OR(G765="DECISÃO D.P",ISNUMBER(M765)),"",N765-TODAY())))</f>
        <v/>
      </c>
      <c r="P765" s="116" t="str">
        <f>IF(B765="","",IF(ISNUMBER(M765),"DECIDIDO – ","")&amp;IF(ISNUMBER(L765),IF(O765="","SEM DATA",IF(O765&gt;=0,"DEFESA NO PRAZO","DEFESA FORA DO PRAZO")),IF(OR(G765="DECISÃO D.P",ISNUMBER(M765)),"SEM DEFESA",IF(G765="","SEM STATUS",IF(O765="","SEM DATA",IF(O765&lt;0,"VENCIDO",IF(O765&lt;=DiasAlerta,"VENCE EM BREVE","NO PRAZO")))))))</f>
        <v/>
      </c>
      <c r="Q765" s="117" t="str">
        <f>IF(D765="","",TODAY()-D765)</f>
        <v/>
      </c>
      <c r="R765" s="110" t="n"/>
    </row>
    <row r="766" ht="18" customHeight="1">
      <c r="A766" s="109" t="n"/>
      <c r="B766" s="110" t="n"/>
      <c r="C766" s="110" t="n"/>
      <c r="D766" s="111" t="n"/>
      <c r="E766" s="110" t="n"/>
      <c r="F766" s="112" t="n"/>
      <c r="G766" s="112" t="n"/>
      <c r="H766" s="110" t="n"/>
      <c r="I766" s="113" t="n"/>
      <c r="J766" s="113" t="n"/>
      <c r="K766" s="111" t="n"/>
      <c r="L766" s="111" t="n"/>
      <c r="M766" s="111" t="n"/>
      <c r="N766" s="114" t="str">
        <f>IF(OR(D766="",E766=""),"",D766+IF(E766="NOTIFICAÇÃO DE CONSTATAÇÃO",PrazoConst,PrazoEsc))</f>
        <v/>
      </c>
      <c r="O766" s="115" t="str">
        <f>IF(N766="","",IF(ISNUMBER(L766),N766-L766,IF(OR(G766="DECISÃO D.P",ISNUMBER(M766)),"",N766-TODAY())))</f>
        <v/>
      </c>
      <c r="P766" s="116" t="str">
        <f>IF(B766="","",IF(ISNUMBER(M766),"DECIDIDO – ","")&amp;IF(ISNUMBER(L766),IF(O766="","SEM DATA",IF(O766&gt;=0,"DEFESA NO PRAZO","DEFESA FORA DO PRAZO")),IF(OR(G766="DECISÃO D.P",ISNUMBER(M766)),"SEM DEFESA",IF(G766="","SEM STATUS",IF(O766="","SEM DATA",IF(O766&lt;0,"VENCIDO",IF(O766&lt;=DiasAlerta,"VENCE EM BREVE","NO PRAZO")))))))</f>
        <v/>
      </c>
      <c r="Q766" s="117" t="str">
        <f>IF(D766="","",TODAY()-D766)</f>
        <v/>
      </c>
      <c r="R766" s="110" t="n"/>
    </row>
    <row r="767" ht="18" customHeight="1">
      <c r="A767" s="109" t="n"/>
      <c r="B767" s="110" t="n"/>
      <c r="C767" s="110" t="n"/>
      <c r="D767" s="111" t="n"/>
      <c r="E767" s="110" t="n"/>
      <c r="F767" s="112" t="n"/>
      <c r="G767" s="112" t="n"/>
      <c r="H767" s="110" t="n"/>
      <c r="I767" s="113" t="n"/>
      <c r="J767" s="113" t="n"/>
      <c r="K767" s="111" t="n"/>
      <c r="L767" s="111" t="n"/>
      <c r="M767" s="111" t="n"/>
      <c r="N767" s="114" t="str">
        <f>IF(OR(D767="",E767=""),"",D767+IF(E767="NOTIFICAÇÃO DE CONSTATAÇÃO",PrazoConst,PrazoEsc))</f>
        <v/>
      </c>
      <c r="O767" s="115" t="str">
        <f>IF(N767="","",IF(ISNUMBER(L767),N767-L767,IF(OR(G767="DECISÃO D.P",ISNUMBER(M767)),"",N767-TODAY())))</f>
        <v/>
      </c>
      <c r="P767" s="116" t="str">
        <f>IF(B767="","",IF(ISNUMBER(M767),"DECIDIDO – ","")&amp;IF(ISNUMBER(L767),IF(O767="","SEM DATA",IF(O767&gt;=0,"DEFESA NO PRAZO","DEFESA FORA DO PRAZO")),IF(OR(G767="DECISÃO D.P",ISNUMBER(M767)),"SEM DEFESA",IF(G767="","SEM STATUS",IF(O767="","SEM DATA",IF(O767&lt;0,"VENCIDO",IF(O767&lt;=DiasAlerta,"VENCE EM BREVE","NO PRAZO")))))))</f>
        <v/>
      </c>
      <c r="Q767" s="117" t="str">
        <f>IF(D767="","",TODAY()-D767)</f>
        <v/>
      </c>
      <c r="R767" s="110" t="n"/>
    </row>
    <row r="768" ht="18" customHeight="1">
      <c r="A768" s="109" t="n"/>
      <c r="B768" s="110" t="n"/>
      <c r="C768" s="110" t="n"/>
      <c r="D768" s="111" t="n"/>
      <c r="E768" s="110" t="n"/>
      <c r="F768" s="112" t="n"/>
      <c r="G768" s="112" t="n"/>
      <c r="H768" s="110" t="n"/>
      <c r="I768" s="113" t="n"/>
      <c r="J768" s="113" t="n"/>
      <c r="K768" s="111" t="n"/>
      <c r="L768" s="111" t="n"/>
      <c r="M768" s="111" t="n"/>
      <c r="N768" s="114" t="str">
        <f>IF(OR(D768="",E768=""),"",D768+IF(E768="NOTIFICAÇÃO DE CONSTATAÇÃO",PrazoConst,PrazoEsc))</f>
        <v/>
      </c>
      <c r="O768" s="115" t="str">
        <f>IF(N768="","",IF(ISNUMBER(L768),N768-L768,IF(OR(G768="DECISÃO D.P",ISNUMBER(M768)),"",N768-TODAY())))</f>
        <v/>
      </c>
      <c r="P768" s="116" t="str">
        <f>IF(B768="","",IF(ISNUMBER(M768),"DECIDIDO – ","")&amp;IF(ISNUMBER(L768),IF(O768="","SEM DATA",IF(O768&gt;=0,"DEFESA NO PRAZO","DEFESA FORA DO PRAZO")),IF(OR(G768="DECISÃO D.P",ISNUMBER(M768)),"SEM DEFESA",IF(G768="","SEM STATUS",IF(O768="","SEM DATA",IF(O768&lt;0,"VENCIDO",IF(O768&lt;=DiasAlerta,"VENCE EM BREVE","NO PRAZO")))))))</f>
        <v/>
      </c>
      <c r="Q768" s="117" t="str">
        <f>IF(D768="","",TODAY()-D768)</f>
        <v/>
      </c>
      <c r="R768" s="110" t="n"/>
    </row>
    <row r="769" ht="18" customHeight="1">
      <c r="A769" s="109" t="n"/>
      <c r="B769" s="110" t="n"/>
      <c r="C769" s="110" t="n"/>
      <c r="D769" s="111" t="n"/>
      <c r="E769" s="110" t="n"/>
      <c r="F769" s="112" t="n"/>
      <c r="G769" s="112" t="n"/>
      <c r="H769" s="110" t="n"/>
      <c r="I769" s="113" t="n"/>
      <c r="J769" s="113" t="n"/>
      <c r="K769" s="111" t="n"/>
      <c r="L769" s="111" t="n"/>
      <c r="M769" s="111" t="n"/>
      <c r="N769" s="114" t="str">
        <f>IF(OR(D769="",E769=""),"",D769+IF(E769="NOTIFICAÇÃO DE CONSTATAÇÃO",PrazoConst,PrazoEsc))</f>
        <v/>
      </c>
      <c r="O769" s="115" t="str">
        <f>IF(N769="","",IF(ISNUMBER(L769),N769-L769,IF(OR(G769="DECISÃO D.P",ISNUMBER(M769)),"",N769-TODAY())))</f>
        <v/>
      </c>
      <c r="P769" s="116" t="str">
        <f>IF(B769="","",IF(ISNUMBER(M769),"DECIDIDO – ","")&amp;IF(ISNUMBER(L769),IF(O769="","SEM DATA",IF(O769&gt;=0,"DEFESA NO PRAZO","DEFESA FORA DO PRAZO")),IF(OR(G769="DECISÃO D.P",ISNUMBER(M769)),"SEM DEFESA",IF(G769="","SEM STATUS",IF(O769="","SEM DATA",IF(O769&lt;0,"VENCIDO",IF(O769&lt;=DiasAlerta,"VENCE EM BREVE","NO PRAZO")))))))</f>
        <v/>
      </c>
      <c r="Q769" s="117" t="str">
        <f>IF(D769="","",TODAY()-D769)</f>
        <v/>
      </c>
      <c r="R769" s="110" t="n"/>
    </row>
    <row r="770" ht="18" customHeight="1">
      <c r="A770" s="109" t="n"/>
      <c r="B770" s="110" t="n"/>
      <c r="C770" s="110" t="n"/>
      <c r="D770" s="111" t="n"/>
      <c r="E770" s="110" t="n"/>
      <c r="F770" s="112" t="n"/>
      <c r="G770" s="112" t="n"/>
      <c r="H770" s="110" t="n"/>
      <c r="I770" s="113" t="n"/>
      <c r="J770" s="113" t="n"/>
      <c r="K770" s="111" t="n"/>
      <c r="L770" s="111" t="n"/>
      <c r="M770" s="111" t="n"/>
      <c r="N770" s="114" t="str">
        <f>IF(OR(D770="",E770=""),"",D770+IF(E770="NOTIFICAÇÃO DE CONSTATAÇÃO",PrazoConst,PrazoEsc))</f>
        <v/>
      </c>
      <c r="O770" s="115" t="str">
        <f>IF(N770="","",IF(ISNUMBER(L770),N770-L770,IF(OR(G770="DECISÃO D.P",ISNUMBER(M770)),"",N770-TODAY())))</f>
        <v/>
      </c>
      <c r="P770" s="116" t="str">
        <f>IF(B770="","",IF(ISNUMBER(M770),"DECIDIDO – ","")&amp;IF(ISNUMBER(L770),IF(O770="","SEM DATA",IF(O770&gt;=0,"DEFESA NO PRAZO","DEFESA FORA DO PRAZO")),IF(OR(G770="DECISÃO D.P",ISNUMBER(M770)),"SEM DEFESA",IF(G770="","SEM STATUS",IF(O770="","SEM DATA",IF(O770&lt;0,"VENCIDO",IF(O770&lt;=DiasAlerta,"VENCE EM BREVE","NO PRAZO")))))))</f>
        <v/>
      </c>
      <c r="Q770" s="117" t="str">
        <f>IF(D770="","",TODAY()-D770)</f>
        <v/>
      </c>
      <c r="R770" s="110" t="n"/>
    </row>
    <row r="771" ht="18" customHeight="1">
      <c r="A771" s="109" t="n"/>
      <c r="B771" s="110" t="n"/>
      <c r="C771" s="110" t="n"/>
      <c r="D771" s="111" t="n"/>
      <c r="E771" s="110" t="n"/>
      <c r="F771" s="112" t="n"/>
      <c r="G771" s="112" t="n"/>
      <c r="H771" s="110" t="n"/>
      <c r="I771" s="113" t="n"/>
      <c r="J771" s="113" t="n"/>
      <c r="K771" s="111" t="n"/>
      <c r="L771" s="111" t="n"/>
      <c r="M771" s="111" t="n"/>
      <c r="N771" s="114" t="str">
        <f>IF(OR(D771="",E771=""),"",D771+IF(E771="NOTIFICAÇÃO DE CONSTATAÇÃO",PrazoConst,PrazoEsc))</f>
        <v/>
      </c>
      <c r="O771" s="115" t="str">
        <f>IF(N771="","",IF(ISNUMBER(L771),N771-L771,IF(OR(G771="DECISÃO D.P",ISNUMBER(M771)),"",N771-TODAY())))</f>
        <v/>
      </c>
      <c r="P771" s="116" t="str">
        <f>IF(B771="","",IF(ISNUMBER(M771),"DECIDIDO – ","")&amp;IF(ISNUMBER(L771),IF(O771="","SEM DATA",IF(O771&gt;=0,"DEFESA NO PRAZO","DEFESA FORA DO PRAZO")),IF(OR(G771="DECISÃO D.P",ISNUMBER(M771)),"SEM DEFESA",IF(G771="","SEM STATUS",IF(O771="","SEM DATA",IF(O771&lt;0,"VENCIDO",IF(O771&lt;=DiasAlerta,"VENCE EM BREVE","NO PRAZO")))))))</f>
        <v/>
      </c>
      <c r="Q771" s="117" t="str">
        <f>IF(D771="","",TODAY()-D771)</f>
        <v/>
      </c>
      <c r="R771" s="110" t="n"/>
    </row>
    <row r="772" ht="18" customHeight="1">
      <c r="A772" s="109" t="n"/>
      <c r="B772" s="110" t="n"/>
      <c r="C772" s="110" t="n"/>
      <c r="D772" s="111" t="n"/>
      <c r="E772" s="110" t="n"/>
      <c r="F772" s="112" t="n"/>
      <c r="G772" s="112" t="n"/>
      <c r="H772" s="110" t="n"/>
      <c r="I772" s="113" t="n"/>
      <c r="J772" s="113" t="n"/>
      <c r="K772" s="111" t="n"/>
      <c r="L772" s="111" t="n"/>
      <c r="M772" s="111" t="n"/>
      <c r="N772" s="114" t="str">
        <f>IF(OR(D772="",E772=""),"",D772+IF(E772="NOTIFICAÇÃO DE CONSTATAÇÃO",PrazoConst,PrazoEsc))</f>
        <v/>
      </c>
      <c r="O772" s="115" t="str">
        <f>IF(N772="","",IF(ISNUMBER(L772),N772-L772,IF(OR(G772="DECISÃO D.P",ISNUMBER(M772)),"",N772-TODAY())))</f>
        <v/>
      </c>
      <c r="P772" s="116" t="str">
        <f>IF(B772="","",IF(ISNUMBER(M772),"DECIDIDO – ","")&amp;IF(ISNUMBER(L772),IF(O772="","SEM DATA",IF(O772&gt;=0,"DEFESA NO PRAZO","DEFESA FORA DO PRAZO")),IF(OR(G772="DECISÃO D.P",ISNUMBER(M772)),"SEM DEFESA",IF(G772="","SEM STATUS",IF(O772="","SEM DATA",IF(O772&lt;0,"VENCIDO",IF(O772&lt;=DiasAlerta,"VENCE EM BREVE","NO PRAZO")))))))</f>
        <v/>
      </c>
      <c r="Q772" s="117" t="str">
        <f>IF(D772="","",TODAY()-D772)</f>
        <v/>
      </c>
      <c r="R772" s="110" t="n"/>
    </row>
    <row r="773" ht="18" customHeight="1">
      <c r="A773" s="109" t="n"/>
      <c r="B773" s="110" t="n"/>
      <c r="C773" s="110" t="n"/>
      <c r="D773" s="111" t="n"/>
      <c r="E773" s="110" t="n"/>
      <c r="F773" s="112" t="n"/>
      <c r="G773" s="112" t="n"/>
      <c r="H773" s="110" t="n"/>
      <c r="I773" s="113" t="n"/>
      <c r="J773" s="113" t="n"/>
      <c r="K773" s="111" t="n"/>
      <c r="L773" s="111" t="n"/>
      <c r="M773" s="111" t="n"/>
      <c r="N773" s="114" t="str">
        <f>IF(OR(D773="",E773=""),"",D773+IF(E773="NOTIFICAÇÃO DE CONSTATAÇÃO",PrazoConst,PrazoEsc))</f>
        <v/>
      </c>
      <c r="O773" s="115" t="str">
        <f>IF(N773="","",IF(ISNUMBER(L773),N773-L773,IF(OR(G773="DECISÃO D.P",ISNUMBER(M773)),"",N773-TODAY())))</f>
        <v/>
      </c>
      <c r="P773" s="116" t="str">
        <f>IF(B773="","",IF(ISNUMBER(M773),"DECIDIDO – ","")&amp;IF(ISNUMBER(L773),IF(O773="","SEM DATA",IF(O773&gt;=0,"DEFESA NO PRAZO","DEFESA FORA DO PRAZO")),IF(OR(G773="DECISÃO D.P",ISNUMBER(M773)),"SEM DEFESA",IF(G773="","SEM STATUS",IF(O773="","SEM DATA",IF(O773&lt;0,"VENCIDO",IF(O773&lt;=DiasAlerta,"VENCE EM BREVE","NO PRAZO")))))))</f>
        <v/>
      </c>
      <c r="Q773" s="117" t="str">
        <f>IF(D773="","",TODAY()-D773)</f>
        <v/>
      </c>
      <c r="R773" s="110" t="n"/>
    </row>
    <row r="774" ht="18" customHeight="1">
      <c r="A774" s="109" t="n"/>
      <c r="B774" s="110" t="n"/>
      <c r="C774" s="110" t="n"/>
      <c r="D774" s="111" t="n"/>
      <c r="E774" s="110" t="n"/>
      <c r="F774" s="112" t="n"/>
      <c r="G774" s="112" t="n"/>
      <c r="H774" s="110" t="n"/>
      <c r="I774" s="113" t="n"/>
      <c r="J774" s="113" t="n"/>
      <c r="K774" s="111" t="n"/>
      <c r="L774" s="111" t="n"/>
      <c r="M774" s="111" t="n"/>
      <c r="N774" s="114" t="str">
        <f>IF(OR(D774="",E774=""),"",D774+IF(E774="NOTIFICAÇÃO DE CONSTATAÇÃO",PrazoConst,PrazoEsc))</f>
        <v/>
      </c>
      <c r="O774" s="115" t="str">
        <f>IF(N774="","",IF(ISNUMBER(L774),N774-L774,IF(OR(G774="DECISÃO D.P",ISNUMBER(M774)),"",N774-TODAY())))</f>
        <v/>
      </c>
      <c r="P774" s="116" t="str">
        <f>IF(B774="","",IF(ISNUMBER(M774),"DECIDIDO – ","")&amp;IF(ISNUMBER(L774),IF(O774="","SEM DATA",IF(O774&gt;=0,"DEFESA NO PRAZO","DEFESA FORA DO PRAZO")),IF(OR(G774="DECISÃO D.P",ISNUMBER(M774)),"SEM DEFESA",IF(G774="","SEM STATUS",IF(O774="","SEM DATA",IF(O774&lt;0,"VENCIDO",IF(O774&lt;=DiasAlerta,"VENCE EM BREVE","NO PRAZO")))))))</f>
        <v/>
      </c>
      <c r="Q774" s="117" t="str">
        <f>IF(D774="","",TODAY()-D774)</f>
        <v/>
      </c>
      <c r="R774" s="110" t="n"/>
    </row>
    <row r="775" ht="18" customHeight="1">
      <c r="A775" s="109" t="n"/>
      <c r="B775" s="110" t="n"/>
      <c r="C775" s="110" t="n"/>
      <c r="D775" s="111" t="n"/>
      <c r="E775" s="110" t="n"/>
      <c r="F775" s="112" t="n"/>
      <c r="G775" s="112" t="n"/>
      <c r="H775" s="110" t="n"/>
      <c r="I775" s="113" t="n"/>
      <c r="J775" s="113" t="n"/>
      <c r="K775" s="111" t="n"/>
      <c r="L775" s="111" t="n"/>
      <c r="M775" s="111" t="n"/>
      <c r="N775" s="114" t="str">
        <f>IF(OR(D775="",E775=""),"",D775+IF(E775="NOTIFICAÇÃO DE CONSTATAÇÃO",PrazoConst,PrazoEsc))</f>
        <v/>
      </c>
      <c r="O775" s="115" t="str">
        <f>IF(N775="","",IF(ISNUMBER(L775),N775-L775,IF(OR(G775="DECISÃO D.P",ISNUMBER(M775)),"",N775-TODAY())))</f>
        <v/>
      </c>
      <c r="P775" s="116" t="str">
        <f>IF(B775="","",IF(ISNUMBER(M775),"DECIDIDO – ","")&amp;IF(ISNUMBER(L775),IF(O775="","SEM DATA",IF(O775&gt;=0,"DEFESA NO PRAZO","DEFESA FORA DO PRAZO")),IF(OR(G775="DECISÃO D.P",ISNUMBER(M775)),"SEM DEFESA",IF(G775="","SEM STATUS",IF(O775="","SEM DATA",IF(O775&lt;0,"VENCIDO",IF(O775&lt;=DiasAlerta,"VENCE EM BREVE","NO PRAZO")))))))</f>
        <v/>
      </c>
      <c r="Q775" s="117" t="str">
        <f>IF(D775="","",TODAY()-D775)</f>
        <v/>
      </c>
      <c r="R775" s="110" t="n"/>
    </row>
    <row r="776" ht="18" customHeight="1">
      <c r="A776" s="109" t="n"/>
      <c r="B776" s="110" t="n"/>
      <c r="C776" s="110" t="n"/>
      <c r="D776" s="111" t="n"/>
      <c r="E776" s="110" t="n"/>
      <c r="F776" s="112" t="n"/>
      <c r="G776" s="112" t="n"/>
      <c r="H776" s="110" t="n"/>
      <c r="I776" s="113" t="n"/>
      <c r="J776" s="113" t="n"/>
      <c r="K776" s="111" t="n"/>
      <c r="L776" s="111" t="n"/>
      <c r="M776" s="111" t="n"/>
      <c r="N776" s="114" t="str">
        <f>IF(OR(D776="",E776=""),"",D776+IF(E776="NOTIFICAÇÃO DE CONSTATAÇÃO",PrazoConst,PrazoEsc))</f>
        <v/>
      </c>
      <c r="O776" s="115" t="str">
        <f>IF(N776="","",IF(ISNUMBER(L776),N776-L776,IF(OR(G776="DECISÃO D.P",ISNUMBER(M776)),"",N776-TODAY())))</f>
        <v/>
      </c>
      <c r="P776" s="116" t="str">
        <f>IF(B776="","",IF(ISNUMBER(M776),"DECIDIDO – ","")&amp;IF(ISNUMBER(L776),IF(O776="","SEM DATA",IF(O776&gt;=0,"DEFESA NO PRAZO","DEFESA FORA DO PRAZO")),IF(OR(G776="DECISÃO D.P",ISNUMBER(M776)),"SEM DEFESA",IF(G776="","SEM STATUS",IF(O776="","SEM DATA",IF(O776&lt;0,"VENCIDO",IF(O776&lt;=DiasAlerta,"VENCE EM BREVE","NO PRAZO")))))))</f>
        <v/>
      </c>
      <c r="Q776" s="117" t="str">
        <f>IF(D776="","",TODAY()-D776)</f>
        <v/>
      </c>
      <c r="R776" s="110" t="n"/>
    </row>
    <row r="777" ht="18" customHeight="1">
      <c r="A777" s="109" t="n"/>
      <c r="B777" s="110" t="n"/>
      <c r="C777" s="110" t="n"/>
      <c r="D777" s="111" t="n"/>
      <c r="E777" s="110" t="n"/>
      <c r="F777" s="112" t="n"/>
      <c r="G777" s="112" t="n"/>
      <c r="H777" s="110" t="n"/>
      <c r="I777" s="113" t="n"/>
      <c r="J777" s="113" t="n"/>
      <c r="K777" s="111" t="n"/>
      <c r="L777" s="111" t="n"/>
      <c r="M777" s="111" t="n"/>
      <c r="N777" s="114" t="str">
        <f>IF(OR(D777="",E777=""),"",D777+IF(E777="NOTIFICAÇÃO DE CONSTATAÇÃO",PrazoConst,PrazoEsc))</f>
        <v/>
      </c>
      <c r="O777" s="115" t="str">
        <f>IF(N777="","",IF(ISNUMBER(L777),N777-L777,IF(OR(G777="DECISÃO D.P",ISNUMBER(M777)),"",N777-TODAY())))</f>
        <v/>
      </c>
      <c r="P777" s="116" t="str">
        <f>IF(B777="","",IF(ISNUMBER(M777),"DECIDIDO – ","")&amp;IF(ISNUMBER(L777),IF(O777="","SEM DATA",IF(O777&gt;=0,"DEFESA NO PRAZO","DEFESA FORA DO PRAZO")),IF(OR(G777="DECISÃO D.P",ISNUMBER(M777)),"SEM DEFESA",IF(G777="","SEM STATUS",IF(O777="","SEM DATA",IF(O777&lt;0,"VENCIDO",IF(O777&lt;=DiasAlerta,"VENCE EM BREVE","NO PRAZO")))))))</f>
        <v/>
      </c>
      <c r="Q777" s="117" t="str">
        <f>IF(D777="","",TODAY()-D777)</f>
        <v/>
      </c>
      <c r="R777" s="110" t="n"/>
    </row>
    <row r="778" ht="18" customHeight="1">
      <c r="A778" s="109" t="n"/>
      <c r="B778" s="110" t="n"/>
      <c r="C778" s="110" t="n"/>
      <c r="D778" s="111" t="n"/>
      <c r="E778" s="110" t="n"/>
      <c r="F778" s="112" t="n"/>
      <c r="G778" s="112" t="n"/>
      <c r="H778" s="110" t="n"/>
      <c r="I778" s="113" t="n"/>
      <c r="J778" s="113" t="n"/>
      <c r="K778" s="111" t="n"/>
      <c r="L778" s="111" t="n"/>
      <c r="M778" s="111" t="n"/>
      <c r="N778" s="114" t="str">
        <f>IF(OR(D778="",E778=""),"",D778+IF(E778="NOTIFICAÇÃO DE CONSTATAÇÃO",PrazoConst,PrazoEsc))</f>
        <v/>
      </c>
      <c r="O778" s="115" t="str">
        <f>IF(N778="","",IF(ISNUMBER(L778),N778-L778,IF(OR(G778="DECISÃO D.P",ISNUMBER(M778)),"",N778-TODAY())))</f>
        <v/>
      </c>
      <c r="P778" s="116" t="str">
        <f>IF(B778="","",IF(ISNUMBER(M778),"DECIDIDO – ","")&amp;IF(ISNUMBER(L778),IF(O778="","SEM DATA",IF(O778&gt;=0,"DEFESA NO PRAZO","DEFESA FORA DO PRAZO")),IF(OR(G778="DECISÃO D.P",ISNUMBER(M778)),"SEM DEFESA",IF(G778="","SEM STATUS",IF(O778="","SEM DATA",IF(O778&lt;0,"VENCIDO",IF(O778&lt;=DiasAlerta,"VENCE EM BREVE","NO PRAZO")))))))</f>
        <v/>
      </c>
      <c r="Q778" s="117" t="str">
        <f>IF(D778="","",TODAY()-D778)</f>
        <v/>
      </c>
      <c r="R778" s="110" t="n"/>
    </row>
    <row r="779" ht="18" customHeight="1">
      <c r="A779" s="109" t="n"/>
      <c r="B779" s="110" t="n"/>
      <c r="C779" s="110" t="n"/>
      <c r="D779" s="111" t="n"/>
      <c r="E779" s="110" t="n"/>
      <c r="F779" s="112" t="n"/>
      <c r="G779" s="112" t="n"/>
      <c r="H779" s="110" t="n"/>
      <c r="I779" s="113" t="n"/>
      <c r="J779" s="113" t="n"/>
      <c r="K779" s="111" t="n"/>
      <c r="L779" s="111" t="n"/>
      <c r="M779" s="111" t="n"/>
      <c r="N779" s="114" t="str">
        <f>IF(OR(D779="",E779=""),"",D779+IF(E779="NOTIFICAÇÃO DE CONSTATAÇÃO",PrazoConst,PrazoEsc))</f>
        <v/>
      </c>
      <c r="O779" s="115" t="str">
        <f>IF(N779="","",IF(ISNUMBER(L779),N779-L779,IF(OR(G779="DECISÃO D.P",ISNUMBER(M779)),"",N779-TODAY())))</f>
        <v/>
      </c>
      <c r="P779" s="116" t="str">
        <f>IF(B779="","",IF(ISNUMBER(M779),"DECIDIDO – ","")&amp;IF(ISNUMBER(L779),IF(O779="","SEM DATA",IF(O779&gt;=0,"DEFESA NO PRAZO","DEFESA FORA DO PRAZO")),IF(OR(G779="DECISÃO D.P",ISNUMBER(M779)),"SEM DEFESA",IF(G779="","SEM STATUS",IF(O779="","SEM DATA",IF(O779&lt;0,"VENCIDO",IF(O779&lt;=DiasAlerta,"VENCE EM BREVE","NO PRAZO")))))))</f>
        <v/>
      </c>
      <c r="Q779" s="117" t="str">
        <f>IF(D779="","",TODAY()-D779)</f>
        <v/>
      </c>
      <c r="R779" s="110" t="n"/>
    </row>
    <row r="780" ht="18" customHeight="1">
      <c r="A780" s="109" t="n"/>
      <c r="B780" s="110" t="n"/>
      <c r="C780" s="110" t="n"/>
      <c r="D780" s="111" t="n"/>
      <c r="E780" s="110" t="n"/>
      <c r="F780" s="112" t="n"/>
      <c r="G780" s="112" t="n"/>
      <c r="H780" s="110" t="n"/>
      <c r="I780" s="113" t="n"/>
      <c r="J780" s="113" t="n"/>
      <c r="K780" s="111" t="n"/>
      <c r="L780" s="111" t="n"/>
      <c r="M780" s="111" t="n"/>
      <c r="N780" s="114" t="str">
        <f>IF(OR(D780="",E780=""),"",D780+IF(E780="NOTIFICAÇÃO DE CONSTATAÇÃO",PrazoConst,PrazoEsc))</f>
        <v/>
      </c>
      <c r="O780" s="115" t="str">
        <f>IF(N780="","",IF(ISNUMBER(L780),N780-L780,IF(OR(G780="DECISÃO D.P",ISNUMBER(M780)),"",N780-TODAY())))</f>
        <v/>
      </c>
      <c r="P780" s="116" t="str">
        <f>IF(B780="","",IF(ISNUMBER(M780),"DECIDIDO – ","")&amp;IF(ISNUMBER(L780),IF(O780="","SEM DATA",IF(O780&gt;=0,"DEFESA NO PRAZO","DEFESA FORA DO PRAZO")),IF(OR(G780="DECISÃO D.P",ISNUMBER(M780)),"SEM DEFESA",IF(G780="","SEM STATUS",IF(O780="","SEM DATA",IF(O780&lt;0,"VENCIDO",IF(O780&lt;=DiasAlerta,"VENCE EM BREVE","NO PRAZO")))))))</f>
        <v/>
      </c>
      <c r="Q780" s="117" t="str">
        <f>IF(D780="","",TODAY()-D780)</f>
        <v/>
      </c>
      <c r="R780" s="110" t="n"/>
    </row>
    <row r="781" ht="18" customHeight="1">
      <c r="A781" s="109" t="n"/>
      <c r="B781" s="110" t="n"/>
      <c r="C781" s="110" t="n"/>
      <c r="D781" s="111" t="n"/>
      <c r="E781" s="110" t="n"/>
      <c r="F781" s="112" t="n"/>
      <c r="G781" s="112" t="n"/>
      <c r="H781" s="110" t="n"/>
      <c r="I781" s="113" t="n"/>
      <c r="J781" s="113" t="n"/>
      <c r="K781" s="111" t="n"/>
      <c r="L781" s="111" t="n"/>
      <c r="M781" s="111" t="n"/>
      <c r="N781" s="114" t="str">
        <f>IF(OR(D781="",E781=""),"",D781+IF(E781="NOTIFICAÇÃO DE CONSTATAÇÃO",PrazoConst,PrazoEsc))</f>
        <v/>
      </c>
      <c r="O781" s="115" t="str">
        <f>IF(N781="","",IF(ISNUMBER(L781),N781-L781,IF(OR(G781="DECISÃO D.P",ISNUMBER(M781)),"",N781-TODAY())))</f>
        <v/>
      </c>
      <c r="P781" s="116" t="str">
        <f>IF(B781="","",IF(ISNUMBER(M781),"DECIDIDO – ","")&amp;IF(ISNUMBER(L781),IF(O781="","SEM DATA",IF(O781&gt;=0,"DEFESA NO PRAZO","DEFESA FORA DO PRAZO")),IF(OR(G781="DECISÃO D.P",ISNUMBER(M781)),"SEM DEFESA",IF(G781="","SEM STATUS",IF(O781="","SEM DATA",IF(O781&lt;0,"VENCIDO",IF(O781&lt;=DiasAlerta,"VENCE EM BREVE","NO PRAZO")))))))</f>
        <v/>
      </c>
      <c r="Q781" s="117" t="str">
        <f>IF(D781="","",TODAY()-D781)</f>
        <v/>
      </c>
      <c r="R781" s="110" t="n"/>
    </row>
    <row r="782" ht="18" customHeight="1">
      <c r="A782" s="109" t="n"/>
      <c r="B782" s="110" t="n"/>
      <c r="C782" s="110" t="n"/>
      <c r="D782" s="111" t="n"/>
      <c r="E782" s="110" t="n"/>
      <c r="F782" s="112" t="n"/>
      <c r="G782" s="112" t="n"/>
      <c r="H782" s="110" t="n"/>
      <c r="I782" s="113" t="n"/>
      <c r="J782" s="113" t="n"/>
      <c r="K782" s="111" t="n"/>
      <c r="L782" s="111" t="n"/>
      <c r="M782" s="111" t="n"/>
      <c r="N782" s="114" t="str">
        <f>IF(OR(D782="",E782=""),"",D782+IF(E782="NOTIFICAÇÃO DE CONSTATAÇÃO",PrazoConst,PrazoEsc))</f>
        <v/>
      </c>
      <c r="O782" s="115" t="str">
        <f>IF(N782="","",IF(ISNUMBER(L782),N782-L782,IF(OR(G782="DECISÃO D.P",ISNUMBER(M782)),"",N782-TODAY())))</f>
        <v/>
      </c>
      <c r="P782" s="116" t="str">
        <f>IF(B782="","",IF(ISNUMBER(M782),"DECIDIDO – ","")&amp;IF(ISNUMBER(L782),IF(O782="","SEM DATA",IF(O782&gt;=0,"DEFESA NO PRAZO","DEFESA FORA DO PRAZO")),IF(OR(G782="DECISÃO D.P",ISNUMBER(M782)),"SEM DEFESA",IF(G782="","SEM STATUS",IF(O782="","SEM DATA",IF(O782&lt;0,"VENCIDO",IF(O782&lt;=DiasAlerta,"VENCE EM BREVE","NO PRAZO")))))))</f>
        <v/>
      </c>
      <c r="Q782" s="117" t="str">
        <f>IF(D782="","",TODAY()-D782)</f>
        <v/>
      </c>
      <c r="R782" s="110" t="n"/>
    </row>
    <row r="783" ht="18" customHeight="1">
      <c r="A783" s="109" t="n"/>
      <c r="B783" s="110" t="n"/>
      <c r="C783" s="110" t="n"/>
      <c r="D783" s="111" t="n"/>
      <c r="E783" s="110" t="n"/>
      <c r="F783" s="112" t="n"/>
      <c r="G783" s="112" t="n"/>
      <c r="H783" s="110" t="n"/>
      <c r="I783" s="113" t="n"/>
      <c r="J783" s="113" t="n"/>
      <c r="K783" s="111" t="n"/>
      <c r="L783" s="111" t="n"/>
      <c r="M783" s="111" t="n"/>
      <c r="N783" s="114" t="str">
        <f>IF(OR(D783="",E783=""),"",D783+IF(E783="NOTIFICAÇÃO DE CONSTATAÇÃO",PrazoConst,PrazoEsc))</f>
        <v/>
      </c>
      <c r="O783" s="115" t="str">
        <f>IF(N783="","",IF(ISNUMBER(L783),N783-L783,IF(OR(G783="DECISÃO D.P",ISNUMBER(M783)),"",N783-TODAY())))</f>
        <v/>
      </c>
      <c r="P783" s="116" t="str">
        <f>IF(B783="","",IF(ISNUMBER(M783),"DECIDIDO – ","")&amp;IF(ISNUMBER(L783),IF(O783="","SEM DATA",IF(O783&gt;=0,"DEFESA NO PRAZO","DEFESA FORA DO PRAZO")),IF(OR(G783="DECISÃO D.P",ISNUMBER(M783)),"SEM DEFESA",IF(G783="","SEM STATUS",IF(O783="","SEM DATA",IF(O783&lt;0,"VENCIDO",IF(O783&lt;=DiasAlerta,"VENCE EM BREVE","NO PRAZO")))))))</f>
        <v/>
      </c>
      <c r="Q783" s="117" t="str">
        <f>IF(D783="","",TODAY()-D783)</f>
        <v/>
      </c>
      <c r="R783" s="110" t="n"/>
    </row>
    <row r="784" ht="18" customHeight="1">
      <c r="A784" s="109" t="n"/>
      <c r="B784" s="110" t="n"/>
      <c r="C784" s="110" t="n"/>
      <c r="D784" s="111" t="n"/>
      <c r="E784" s="110" t="n"/>
      <c r="F784" s="112" t="n"/>
      <c r="G784" s="112" t="n"/>
      <c r="H784" s="110" t="n"/>
      <c r="I784" s="113" t="n"/>
      <c r="J784" s="113" t="n"/>
      <c r="K784" s="111" t="n"/>
      <c r="L784" s="111" t="n"/>
      <c r="M784" s="111" t="n"/>
      <c r="N784" s="114" t="str">
        <f>IF(OR(D784="",E784=""),"",D784+IF(E784="NOTIFICAÇÃO DE CONSTATAÇÃO",PrazoConst,PrazoEsc))</f>
        <v/>
      </c>
      <c r="O784" s="115" t="str">
        <f>IF(N784="","",IF(ISNUMBER(L784),N784-L784,IF(OR(G784="DECISÃO D.P",ISNUMBER(M784)),"",N784-TODAY())))</f>
        <v/>
      </c>
      <c r="P784" s="116" t="str">
        <f>IF(B784="","",IF(ISNUMBER(M784),"DECIDIDO – ","")&amp;IF(ISNUMBER(L784),IF(O784="","SEM DATA",IF(O784&gt;=0,"DEFESA NO PRAZO","DEFESA FORA DO PRAZO")),IF(OR(G784="DECISÃO D.P",ISNUMBER(M784)),"SEM DEFESA",IF(G784="","SEM STATUS",IF(O784="","SEM DATA",IF(O784&lt;0,"VENCIDO",IF(O784&lt;=DiasAlerta,"VENCE EM BREVE","NO PRAZO")))))))</f>
        <v/>
      </c>
      <c r="Q784" s="117" t="str">
        <f>IF(D784="","",TODAY()-D784)</f>
        <v/>
      </c>
      <c r="R784" s="110" t="n"/>
    </row>
    <row r="785" ht="18" customHeight="1">
      <c r="A785" s="109" t="n"/>
      <c r="B785" s="110" t="n"/>
      <c r="C785" s="110" t="n"/>
      <c r="D785" s="111" t="n"/>
      <c r="E785" s="110" t="n"/>
      <c r="F785" s="112" t="n"/>
      <c r="G785" s="112" t="n"/>
      <c r="H785" s="110" t="n"/>
      <c r="I785" s="113" t="n"/>
      <c r="J785" s="113" t="n"/>
      <c r="K785" s="111" t="n"/>
      <c r="L785" s="111" t="n"/>
      <c r="M785" s="111" t="n"/>
      <c r="N785" s="114" t="str">
        <f>IF(OR(D785="",E785=""),"",D785+IF(E785="NOTIFICAÇÃO DE CONSTATAÇÃO",PrazoConst,PrazoEsc))</f>
        <v/>
      </c>
      <c r="O785" s="115" t="str">
        <f>IF(N785="","",IF(ISNUMBER(L785),N785-L785,IF(OR(G785="DECISÃO D.P",ISNUMBER(M785)),"",N785-TODAY())))</f>
        <v/>
      </c>
      <c r="P785" s="116" t="str">
        <f>IF(B785="","",IF(ISNUMBER(M785),"DECIDIDO – ","")&amp;IF(ISNUMBER(L785),IF(O785="","SEM DATA",IF(O785&gt;=0,"DEFESA NO PRAZO","DEFESA FORA DO PRAZO")),IF(OR(G785="DECISÃO D.P",ISNUMBER(M785)),"SEM DEFESA",IF(G785="","SEM STATUS",IF(O785="","SEM DATA",IF(O785&lt;0,"VENCIDO",IF(O785&lt;=DiasAlerta,"VENCE EM BREVE","NO PRAZO")))))))</f>
        <v/>
      </c>
      <c r="Q785" s="117" t="str">
        <f>IF(D785="","",TODAY()-D785)</f>
        <v/>
      </c>
      <c r="R785" s="110" t="n"/>
    </row>
    <row r="786" ht="18" customHeight="1">
      <c r="A786" s="109" t="n"/>
      <c r="B786" s="110" t="n"/>
      <c r="C786" s="110" t="n"/>
      <c r="D786" s="111" t="n"/>
      <c r="E786" s="110" t="n"/>
      <c r="F786" s="112" t="n"/>
      <c r="G786" s="112" t="n"/>
      <c r="H786" s="110" t="n"/>
      <c r="I786" s="113" t="n"/>
      <c r="J786" s="113" t="n"/>
      <c r="K786" s="111" t="n"/>
      <c r="L786" s="111" t="n"/>
      <c r="M786" s="111" t="n"/>
      <c r="N786" s="114" t="str">
        <f>IF(OR(D786="",E786=""),"",D786+IF(E786="NOTIFICAÇÃO DE CONSTATAÇÃO",PrazoConst,PrazoEsc))</f>
        <v/>
      </c>
      <c r="O786" s="115" t="str">
        <f>IF(N786="","",IF(ISNUMBER(L786),N786-L786,IF(OR(G786="DECISÃO D.P",ISNUMBER(M786)),"",N786-TODAY())))</f>
        <v/>
      </c>
      <c r="P786" s="116" t="str">
        <f>IF(B786="","",IF(ISNUMBER(M786),"DECIDIDO – ","")&amp;IF(ISNUMBER(L786),IF(O786="","SEM DATA",IF(O786&gt;=0,"DEFESA NO PRAZO","DEFESA FORA DO PRAZO")),IF(OR(G786="DECISÃO D.P",ISNUMBER(M786)),"SEM DEFESA",IF(G786="","SEM STATUS",IF(O786="","SEM DATA",IF(O786&lt;0,"VENCIDO",IF(O786&lt;=DiasAlerta,"VENCE EM BREVE","NO PRAZO")))))))</f>
        <v/>
      </c>
      <c r="Q786" s="117" t="str">
        <f>IF(D786="","",TODAY()-D786)</f>
        <v/>
      </c>
      <c r="R786" s="110" t="n"/>
    </row>
    <row r="787" ht="18" customHeight="1">
      <c r="A787" s="109" t="n"/>
      <c r="B787" s="110" t="n"/>
      <c r="C787" s="110" t="n"/>
      <c r="D787" s="111" t="n"/>
      <c r="E787" s="110" t="n"/>
      <c r="F787" s="112" t="n"/>
      <c r="G787" s="112" t="n"/>
      <c r="H787" s="110" t="n"/>
      <c r="I787" s="113" t="n"/>
      <c r="J787" s="113" t="n"/>
      <c r="K787" s="111" t="n"/>
      <c r="L787" s="111" t="n"/>
      <c r="M787" s="111" t="n"/>
      <c r="N787" s="114" t="str">
        <f>IF(OR(D787="",E787=""),"",D787+IF(E787="NOTIFICAÇÃO DE CONSTATAÇÃO",PrazoConst,PrazoEsc))</f>
        <v/>
      </c>
      <c r="O787" s="115" t="str">
        <f>IF(N787="","",IF(ISNUMBER(L787),N787-L787,IF(OR(G787="DECISÃO D.P",ISNUMBER(M787)),"",N787-TODAY())))</f>
        <v/>
      </c>
      <c r="P787" s="116" t="str">
        <f>IF(B787="","",IF(ISNUMBER(M787),"DECIDIDO – ","")&amp;IF(ISNUMBER(L787),IF(O787="","SEM DATA",IF(O787&gt;=0,"DEFESA NO PRAZO","DEFESA FORA DO PRAZO")),IF(OR(G787="DECISÃO D.P",ISNUMBER(M787)),"SEM DEFESA",IF(G787="","SEM STATUS",IF(O787="","SEM DATA",IF(O787&lt;0,"VENCIDO",IF(O787&lt;=DiasAlerta,"VENCE EM BREVE","NO PRAZO")))))))</f>
        <v/>
      </c>
      <c r="Q787" s="117" t="str">
        <f>IF(D787="","",TODAY()-D787)</f>
        <v/>
      </c>
      <c r="R787" s="110" t="n"/>
    </row>
    <row r="788" ht="18" customHeight="1">
      <c r="A788" s="109" t="n"/>
      <c r="B788" s="110" t="n"/>
      <c r="C788" s="110" t="n"/>
      <c r="D788" s="111" t="n"/>
      <c r="E788" s="110" t="n"/>
      <c r="F788" s="112" t="n"/>
      <c r="G788" s="112" t="n"/>
      <c r="H788" s="110" t="n"/>
      <c r="I788" s="113" t="n"/>
      <c r="J788" s="113" t="n"/>
      <c r="K788" s="111" t="n"/>
      <c r="L788" s="111" t="n"/>
      <c r="M788" s="111" t="n"/>
      <c r="N788" s="114" t="str">
        <f>IF(OR(D788="",E788=""),"",D788+IF(E788="NOTIFICAÇÃO DE CONSTATAÇÃO",PrazoConst,PrazoEsc))</f>
        <v/>
      </c>
      <c r="O788" s="115" t="str">
        <f>IF(N788="","",IF(ISNUMBER(L788),N788-L788,IF(OR(G788="DECISÃO D.P",ISNUMBER(M788)),"",N788-TODAY())))</f>
        <v/>
      </c>
      <c r="P788" s="116" t="str">
        <f>IF(B788="","",IF(ISNUMBER(M788),"DECIDIDO – ","")&amp;IF(ISNUMBER(L788),IF(O788="","SEM DATA",IF(O788&gt;=0,"DEFESA NO PRAZO","DEFESA FORA DO PRAZO")),IF(OR(G788="DECISÃO D.P",ISNUMBER(M788)),"SEM DEFESA",IF(G788="","SEM STATUS",IF(O788="","SEM DATA",IF(O788&lt;0,"VENCIDO",IF(O788&lt;=DiasAlerta,"VENCE EM BREVE","NO PRAZO")))))))</f>
        <v/>
      </c>
      <c r="Q788" s="117" t="str">
        <f>IF(D788="","",TODAY()-D788)</f>
        <v/>
      </c>
      <c r="R788" s="110" t="n"/>
    </row>
    <row r="789" ht="18" customHeight="1">
      <c r="A789" s="109" t="n"/>
      <c r="B789" s="110" t="n"/>
      <c r="C789" s="110" t="n"/>
      <c r="D789" s="111" t="n"/>
      <c r="E789" s="110" t="n"/>
      <c r="F789" s="112" t="n"/>
      <c r="G789" s="112" t="n"/>
      <c r="H789" s="110" t="n"/>
      <c r="I789" s="113" t="n"/>
      <c r="J789" s="113" t="n"/>
      <c r="K789" s="111" t="n"/>
      <c r="L789" s="111" t="n"/>
      <c r="M789" s="111" t="n"/>
      <c r="N789" s="114" t="str">
        <f>IF(OR(D789="",E789=""),"",D789+IF(E789="NOTIFICAÇÃO DE CONSTATAÇÃO",PrazoConst,PrazoEsc))</f>
        <v/>
      </c>
      <c r="O789" s="115" t="str">
        <f>IF(N789="","",IF(ISNUMBER(L789),N789-L789,IF(OR(G789="DECISÃO D.P",ISNUMBER(M789)),"",N789-TODAY())))</f>
        <v/>
      </c>
      <c r="P789" s="116" t="str">
        <f>IF(B789="","",IF(ISNUMBER(M789),"DECIDIDO – ","")&amp;IF(ISNUMBER(L789),IF(O789="","SEM DATA",IF(O789&gt;=0,"DEFESA NO PRAZO","DEFESA FORA DO PRAZO")),IF(OR(G789="DECISÃO D.P",ISNUMBER(M789)),"SEM DEFESA",IF(G789="","SEM STATUS",IF(O789="","SEM DATA",IF(O789&lt;0,"VENCIDO",IF(O789&lt;=DiasAlerta,"VENCE EM BREVE","NO PRAZO")))))))</f>
        <v/>
      </c>
      <c r="Q789" s="117" t="str">
        <f>IF(D789="","",TODAY()-D789)</f>
        <v/>
      </c>
      <c r="R789" s="110" t="n"/>
    </row>
    <row r="790" ht="18" customHeight="1">
      <c r="A790" s="109" t="n"/>
      <c r="B790" s="110" t="n"/>
      <c r="C790" s="110" t="n"/>
      <c r="D790" s="111" t="n"/>
      <c r="E790" s="110" t="n"/>
      <c r="F790" s="112" t="n"/>
      <c r="G790" s="112" t="n"/>
      <c r="H790" s="110" t="n"/>
      <c r="I790" s="113" t="n"/>
      <c r="J790" s="113" t="n"/>
      <c r="K790" s="111" t="n"/>
      <c r="L790" s="111" t="n"/>
      <c r="M790" s="111" t="n"/>
      <c r="N790" s="114" t="str">
        <f>IF(OR(D790="",E790=""),"",D790+IF(E790="NOTIFICAÇÃO DE CONSTATAÇÃO",PrazoConst,PrazoEsc))</f>
        <v/>
      </c>
      <c r="O790" s="115" t="str">
        <f>IF(N790="","",IF(ISNUMBER(L790),N790-L790,IF(OR(G790="DECISÃO D.P",ISNUMBER(M790)),"",N790-TODAY())))</f>
        <v/>
      </c>
      <c r="P790" s="116" t="str">
        <f>IF(B790="","",IF(ISNUMBER(M790),"DECIDIDO – ","")&amp;IF(ISNUMBER(L790),IF(O790="","SEM DATA",IF(O790&gt;=0,"DEFESA NO PRAZO","DEFESA FORA DO PRAZO")),IF(OR(G790="DECISÃO D.P",ISNUMBER(M790)),"SEM DEFESA",IF(G790="","SEM STATUS",IF(O790="","SEM DATA",IF(O790&lt;0,"VENCIDO",IF(O790&lt;=DiasAlerta,"VENCE EM BREVE","NO PRAZO")))))))</f>
        <v/>
      </c>
      <c r="Q790" s="117" t="str">
        <f>IF(D790="","",TODAY()-D790)</f>
        <v/>
      </c>
      <c r="R790" s="110" t="n"/>
    </row>
    <row r="791" ht="18" customHeight="1">
      <c r="A791" s="109" t="n"/>
      <c r="B791" s="110" t="n"/>
      <c r="C791" s="110" t="n"/>
      <c r="D791" s="111" t="n"/>
      <c r="E791" s="110" t="n"/>
      <c r="F791" s="112" t="n"/>
      <c r="G791" s="112" t="n"/>
      <c r="H791" s="110" t="n"/>
      <c r="I791" s="113" t="n"/>
      <c r="J791" s="113" t="n"/>
      <c r="K791" s="111" t="n"/>
      <c r="L791" s="111" t="n"/>
      <c r="M791" s="111" t="n"/>
      <c r="N791" s="114" t="str">
        <f>IF(OR(D791="",E791=""),"",D791+IF(E791="NOTIFICAÇÃO DE CONSTATAÇÃO",PrazoConst,PrazoEsc))</f>
        <v/>
      </c>
      <c r="O791" s="115" t="str">
        <f>IF(N791="","",IF(ISNUMBER(L791),N791-L791,IF(OR(G791="DECISÃO D.P",ISNUMBER(M791)),"",N791-TODAY())))</f>
        <v/>
      </c>
      <c r="P791" s="116" t="str">
        <f>IF(B791="","",IF(ISNUMBER(M791),"DECIDIDO – ","")&amp;IF(ISNUMBER(L791),IF(O791="","SEM DATA",IF(O791&gt;=0,"DEFESA NO PRAZO","DEFESA FORA DO PRAZO")),IF(OR(G791="DECISÃO D.P",ISNUMBER(M791)),"SEM DEFESA",IF(G791="","SEM STATUS",IF(O791="","SEM DATA",IF(O791&lt;0,"VENCIDO",IF(O791&lt;=DiasAlerta,"VENCE EM BREVE","NO PRAZO")))))))</f>
        <v/>
      </c>
      <c r="Q791" s="117" t="str">
        <f>IF(D791="","",TODAY()-D791)</f>
        <v/>
      </c>
      <c r="R791" s="110" t="n"/>
    </row>
    <row r="792" ht="18" customHeight="1">
      <c r="A792" s="109" t="n"/>
      <c r="B792" s="110" t="n"/>
      <c r="C792" s="110" t="n"/>
      <c r="D792" s="111" t="n"/>
      <c r="E792" s="110" t="n"/>
      <c r="F792" s="112" t="n"/>
      <c r="G792" s="112" t="n"/>
      <c r="H792" s="110" t="n"/>
      <c r="I792" s="113" t="n"/>
      <c r="J792" s="113" t="n"/>
      <c r="K792" s="111" t="n"/>
      <c r="L792" s="111" t="n"/>
      <c r="M792" s="111" t="n"/>
      <c r="N792" s="114" t="str">
        <f>IF(OR(D792="",E792=""),"",D792+IF(E792="NOTIFICAÇÃO DE CONSTATAÇÃO",PrazoConst,PrazoEsc))</f>
        <v/>
      </c>
      <c r="O792" s="115" t="str">
        <f>IF(N792="","",IF(ISNUMBER(L792),N792-L792,IF(OR(G792="DECISÃO D.P",ISNUMBER(M792)),"",N792-TODAY())))</f>
        <v/>
      </c>
      <c r="P792" s="116" t="str">
        <f>IF(B792="","",IF(ISNUMBER(M792),"DECIDIDO – ","")&amp;IF(ISNUMBER(L792),IF(O792="","SEM DATA",IF(O792&gt;=0,"DEFESA NO PRAZO","DEFESA FORA DO PRAZO")),IF(OR(G792="DECISÃO D.P",ISNUMBER(M792)),"SEM DEFESA",IF(G792="","SEM STATUS",IF(O792="","SEM DATA",IF(O792&lt;0,"VENCIDO",IF(O792&lt;=DiasAlerta,"VENCE EM BREVE","NO PRAZO")))))))</f>
        <v/>
      </c>
      <c r="Q792" s="117" t="str">
        <f>IF(D792="","",TODAY()-D792)</f>
        <v/>
      </c>
      <c r="R792" s="110" t="n"/>
    </row>
    <row r="793" ht="18" customHeight="1">
      <c r="A793" s="109" t="n"/>
      <c r="B793" s="110" t="n"/>
      <c r="C793" s="110" t="n"/>
      <c r="D793" s="111" t="n"/>
      <c r="E793" s="110" t="n"/>
      <c r="F793" s="112" t="n"/>
      <c r="G793" s="112" t="n"/>
      <c r="H793" s="110" t="n"/>
      <c r="I793" s="113" t="n"/>
      <c r="J793" s="113" t="n"/>
      <c r="K793" s="111" t="n"/>
      <c r="L793" s="111" t="n"/>
      <c r="M793" s="111" t="n"/>
      <c r="N793" s="114" t="str">
        <f>IF(OR(D793="",E793=""),"",D793+IF(E793="NOTIFICAÇÃO DE CONSTATAÇÃO",PrazoConst,PrazoEsc))</f>
        <v/>
      </c>
      <c r="O793" s="115" t="str">
        <f>IF(N793="","",IF(ISNUMBER(L793),N793-L793,IF(OR(G793="DECISÃO D.P",ISNUMBER(M793)),"",N793-TODAY())))</f>
        <v/>
      </c>
      <c r="P793" s="116" t="str">
        <f>IF(B793="","",IF(ISNUMBER(M793),"DECIDIDO – ","")&amp;IF(ISNUMBER(L793),IF(O793="","SEM DATA",IF(O793&gt;=0,"DEFESA NO PRAZO","DEFESA FORA DO PRAZO")),IF(OR(G793="DECISÃO D.P",ISNUMBER(M793)),"SEM DEFESA",IF(G793="","SEM STATUS",IF(O793="","SEM DATA",IF(O793&lt;0,"VENCIDO",IF(O793&lt;=DiasAlerta,"VENCE EM BREVE","NO PRAZO")))))))</f>
        <v/>
      </c>
      <c r="Q793" s="117" t="str">
        <f>IF(D793="","",TODAY()-D793)</f>
        <v/>
      </c>
      <c r="R793" s="110" t="n"/>
    </row>
    <row r="794" ht="18" customHeight="1">
      <c r="A794" s="109" t="n"/>
      <c r="B794" s="110" t="n"/>
      <c r="C794" s="110" t="n"/>
      <c r="D794" s="111" t="n"/>
      <c r="E794" s="110" t="n"/>
      <c r="F794" s="112" t="n"/>
      <c r="G794" s="112" t="n"/>
      <c r="H794" s="110" t="n"/>
      <c r="I794" s="113" t="n"/>
      <c r="J794" s="113" t="n"/>
      <c r="K794" s="111" t="n"/>
      <c r="L794" s="111" t="n"/>
      <c r="M794" s="111" t="n"/>
      <c r="N794" s="114" t="str">
        <f>IF(OR(D794="",E794=""),"",D794+IF(E794="NOTIFICAÇÃO DE CONSTATAÇÃO",PrazoConst,PrazoEsc))</f>
        <v/>
      </c>
      <c r="O794" s="115" t="str">
        <f>IF(N794="","",IF(ISNUMBER(L794),N794-L794,IF(OR(G794="DECISÃO D.P",ISNUMBER(M794)),"",N794-TODAY())))</f>
        <v/>
      </c>
      <c r="P794" s="116" t="str">
        <f>IF(B794="","",IF(ISNUMBER(M794),"DECIDIDO – ","")&amp;IF(ISNUMBER(L794),IF(O794="","SEM DATA",IF(O794&gt;=0,"DEFESA NO PRAZO","DEFESA FORA DO PRAZO")),IF(OR(G794="DECISÃO D.P",ISNUMBER(M794)),"SEM DEFESA",IF(G794="","SEM STATUS",IF(O794="","SEM DATA",IF(O794&lt;0,"VENCIDO",IF(O794&lt;=DiasAlerta,"VENCE EM BREVE","NO PRAZO")))))))</f>
        <v/>
      </c>
      <c r="Q794" s="117" t="str">
        <f>IF(D794="","",TODAY()-D794)</f>
        <v/>
      </c>
      <c r="R794" s="110" t="n"/>
    </row>
    <row r="795" ht="18" customHeight="1">
      <c r="A795" s="109" t="n"/>
      <c r="B795" s="110" t="n"/>
      <c r="C795" s="110" t="n"/>
      <c r="D795" s="111" t="n"/>
      <c r="E795" s="110" t="n"/>
      <c r="F795" s="112" t="n"/>
      <c r="G795" s="112" t="n"/>
      <c r="H795" s="110" t="n"/>
      <c r="I795" s="113" t="n"/>
      <c r="J795" s="113" t="n"/>
      <c r="K795" s="111" t="n"/>
      <c r="L795" s="111" t="n"/>
      <c r="M795" s="111" t="n"/>
      <c r="N795" s="114" t="str">
        <f>IF(OR(D795="",E795=""),"",D795+IF(E795="NOTIFICAÇÃO DE CONSTATAÇÃO",PrazoConst,PrazoEsc))</f>
        <v/>
      </c>
      <c r="O795" s="115" t="str">
        <f>IF(N795="","",IF(ISNUMBER(L795),N795-L795,IF(OR(G795="DECISÃO D.P",ISNUMBER(M795)),"",N795-TODAY())))</f>
        <v/>
      </c>
      <c r="P795" s="116" t="str">
        <f>IF(B795="","",IF(ISNUMBER(M795),"DECIDIDO – ","")&amp;IF(ISNUMBER(L795),IF(O795="","SEM DATA",IF(O795&gt;=0,"DEFESA NO PRAZO","DEFESA FORA DO PRAZO")),IF(OR(G795="DECISÃO D.P",ISNUMBER(M795)),"SEM DEFESA",IF(G795="","SEM STATUS",IF(O795="","SEM DATA",IF(O795&lt;0,"VENCIDO",IF(O795&lt;=DiasAlerta,"VENCE EM BREVE","NO PRAZO")))))))</f>
        <v/>
      </c>
      <c r="Q795" s="117" t="str">
        <f>IF(D795="","",TODAY()-D795)</f>
        <v/>
      </c>
      <c r="R795" s="110" t="n"/>
    </row>
    <row r="796" ht="18" customHeight="1">
      <c r="A796" s="109" t="n"/>
      <c r="B796" s="110" t="n"/>
      <c r="C796" s="110" t="n"/>
      <c r="D796" s="111" t="n"/>
      <c r="E796" s="110" t="n"/>
      <c r="F796" s="112" t="n"/>
      <c r="G796" s="112" t="n"/>
      <c r="H796" s="110" t="n"/>
      <c r="I796" s="113" t="n"/>
      <c r="J796" s="113" t="n"/>
      <c r="K796" s="111" t="n"/>
      <c r="L796" s="111" t="n"/>
      <c r="M796" s="111" t="n"/>
      <c r="N796" s="114" t="str">
        <f>IF(OR(D796="",E796=""),"",D796+IF(E796="NOTIFICAÇÃO DE CONSTATAÇÃO",PrazoConst,PrazoEsc))</f>
        <v/>
      </c>
      <c r="O796" s="115" t="str">
        <f>IF(N796="","",IF(ISNUMBER(L796),N796-L796,IF(OR(G796="DECISÃO D.P",ISNUMBER(M796)),"",N796-TODAY())))</f>
        <v/>
      </c>
      <c r="P796" s="116" t="str">
        <f>IF(B796="","",IF(ISNUMBER(M796),"DECIDIDO – ","")&amp;IF(ISNUMBER(L796),IF(O796="","SEM DATA",IF(O796&gt;=0,"DEFESA NO PRAZO","DEFESA FORA DO PRAZO")),IF(OR(G796="DECISÃO D.P",ISNUMBER(M796)),"SEM DEFESA",IF(G796="","SEM STATUS",IF(O796="","SEM DATA",IF(O796&lt;0,"VENCIDO",IF(O796&lt;=DiasAlerta,"VENCE EM BREVE","NO PRAZO")))))))</f>
        <v/>
      </c>
      <c r="Q796" s="117" t="str">
        <f>IF(D796="","",TODAY()-D796)</f>
        <v/>
      </c>
      <c r="R796" s="110" t="n"/>
    </row>
    <row r="797" ht="18" customHeight="1">
      <c r="A797" s="109" t="n"/>
      <c r="B797" s="110" t="n"/>
      <c r="C797" s="110" t="n"/>
      <c r="D797" s="111" t="n"/>
      <c r="E797" s="110" t="n"/>
      <c r="F797" s="112" t="n"/>
      <c r="G797" s="112" t="n"/>
      <c r="H797" s="110" t="n"/>
      <c r="I797" s="113" t="n"/>
      <c r="J797" s="113" t="n"/>
      <c r="K797" s="111" t="n"/>
      <c r="L797" s="111" t="n"/>
      <c r="M797" s="111" t="n"/>
      <c r="N797" s="114" t="str">
        <f>IF(OR(D797="",E797=""),"",D797+IF(E797="NOTIFICAÇÃO DE CONSTATAÇÃO",PrazoConst,PrazoEsc))</f>
        <v/>
      </c>
      <c r="O797" s="115" t="str">
        <f>IF(N797="","",IF(ISNUMBER(L797),N797-L797,IF(OR(G797="DECISÃO D.P",ISNUMBER(M797)),"",N797-TODAY())))</f>
        <v/>
      </c>
      <c r="P797" s="116" t="str">
        <f>IF(B797="","",IF(ISNUMBER(M797),"DECIDIDO – ","")&amp;IF(ISNUMBER(L797),IF(O797="","SEM DATA",IF(O797&gt;=0,"DEFESA NO PRAZO","DEFESA FORA DO PRAZO")),IF(OR(G797="DECISÃO D.P",ISNUMBER(M797)),"SEM DEFESA",IF(G797="","SEM STATUS",IF(O797="","SEM DATA",IF(O797&lt;0,"VENCIDO",IF(O797&lt;=DiasAlerta,"VENCE EM BREVE","NO PRAZO")))))))</f>
        <v/>
      </c>
      <c r="Q797" s="117" t="str">
        <f>IF(D797="","",TODAY()-D797)</f>
        <v/>
      </c>
      <c r="R797" s="110" t="n"/>
    </row>
    <row r="798" ht="18" customHeight="1">
      <c r="A798" s="109" t="n"/>
      <c r="B798" s="110" t="n"/>
      <c r="C798" s="110" t="n"/>
      <c r="D798" s="111" t="n"/>
      <c r="E798" s="110" t="n"/>
      <c r="F798" s="112" t="n"/>
      <c r="G798" s="112" t="n"/>
      <c r="H798" s="110" t="n"/>
      <c r="I798" s="113" t="n"/>
      <c r="J798" s="113" t="n"/>
      <c r="K798" s="111" t="n"/>
      <c r="L798" s="111" t="n"/>
      <c r="M798" s="111" t="n"/>
      <c r="N798" s="114" t="str">
        <f>IF(OR(D798="",E798=""),"",D798+IF(E798="NOTIFICAÇÃO DE CONSTATAÇÃO",PrazoConst,PrazoEsc))</f>
        <v/>
      </c>
      <c r="O798" s="115" t="str">
        <f>IF(N798="","",IF(ISNUMBER(L798),N798-L798,IF(OR(G798="DECISÃO D.P",ISNUMBER(M798)),"",N798-TODAY())))</f>
        <v/>
      </c>
      <c r="P798" s="116" t="str">
        <f>IF(B798="","",IF(ISNUMBER(M798),"DECIDIDO – ","")&amp;IF(ISNUMBER(L798),IF(O798="","SEM DATA",IF(O798&gt;=0,"DEFESA NO PRAZO","DEFESA FORA DO PRAZO")),IF(OR(G798="DECISÃO D.P",ISNUMBER(M798)),"SEM DEFESA",IF(G798="","SEM STATUS",IF(O798="","SEM DATA",IF(O798&lt;0,"VENCIDO",IF(O798&lt;=DiasAlerta,"VENCE EM BREVE","NO PRAZO")))))))</f>
        <v/>
      </c>
      <c r="Q798" s="117" t="str">
        <f>IF(D798="","",TODAY()-D798)</f>
        <v/>
      </c>
      <c r="R798" s="110" t="n"/>
    </row>
    <row r="799" ht="18" customHeight="1">
      <c r="A799" s="109" t="n"/>
      <c r="B799" s="110" t="n"/>
      <c r="C799" s="110" t="n"/>
      <c r="D799" s="111" t="n"/>
      <c r="E799" s="110" t="n"/>
      <c r="F799" s="112" t="n"/>
      <c r="G799" s="112" t="n"/>
      <c r="H799" s="110" t="n"/>
      <c r="I799" s="113" t="n"/>
      <c r="J799" s="113" t="n"/>
      <c r="K799" s="111" t="n"/>
      <c r="L799" s="111" t="n"/>
      <c r="M799" s="111" t="n"/>
      <c r="N799" s="114" t="str">
        <f>IF(OR(D799="",E799=""),"",D799+IF(E799="NOTIFICAÇÃO DE CONSTATAÇÃO",PrazoConst,PrazoEsc))</f>
        <v/>
      </c>
      <c r="O799" s="115" t="str">
        <f>IF(N799="","",IF(ISNUMBER(L799),N799-L799,IF(OR(G799="DECISÃO D.P",ISNUMBER(M799)),"",N799-TODAY())))</f>
        <v/>
      </c>
      <c r="P799" s="116" t="str">
        <f>IF(B799="","",IF(ISNUMBER(M799),"DECIDIDO – ","")&amp;IF(ISNUMBER(L799),IF(O799="","SEM DATA",IF(O799&gt;=0,"DEFESA NO PRAZO","DEFESA FORA DO PRAZO")),IF(OR(G799="DECISÃO D.P",ISNUMBER(M799)),"SEM DEFESA",IF(G799="","SEM STATUS",IF(O799="","SEM DATA",IF(O799&lt;0,"VENCIDO",IF(O799&lt;=DiasAlerta,"VENCE EM BREVE","NO PRAZO")))))))</f>
        <v/>
      </c>
      <c r="Q799" s="117" t="str">
        <f>IF(D799="","",TODAY()-D799)</f>
        <v/>
      </c>
      <c r="R799" s="110" t="n"/>
    </row>
    <row r="800" ht="18" customHeight="1">
      <c r="A800" s="109" t="n"/>
      <c r="B800" s="110" t="n"/>
      <c r="C800" s="110" t="n"/>
      <c r="D800" s="111" t="n"/>
      <c r="E800" s="110" t="n"/>
      <c r="F800" s="112" t="n"/>
      <c r="G800" s="112" t="n"/>
      <c r="H800" s="110" t="n"/>
      <c r="I800" s="113" t="n"/>
      <c r="J800" s="113" t="n"/>
      <c r="K800" s="111" t="n"/>
      <c r="L800" s="111" t="n"/>
      <c r="M800" s="111" t="n"/>
      <c r="N800" s="114" t="str">
        <f>IF(OR(D800="",E800=""),"",D800+IF(E800="NOTIFICAÇÃO DE CONSTATAÇÃO",PrazoConst,PrazoEsc))</f>
        <v/>
      </c>
      <c r="O800" s="115" t="str">
        <f>IF(N800="","",IF(ISNUMBER(L800),N800-L800,IF(OR(G800="DECISÃO D.P",ISNUMBER(M800)),"",N800-TODAY())))</f>
        <v/>
      </c>
      <c r="P800" s="116" t="str">
        <f>IF(B800="","",IF(ISNUMBER(M800),"DECIDIDO – ","")&amp;IF(ISNUMBER(L800),IF(O800="","SEM DATA",IF(O800&gt;=0,"DEFESA NO PRAZO","DEFESA FORA DO PRAZO")),IF(OR(G800="DECISÃO D.P",ISNUMBER(M800)),"SEM DEFESA",IF(G800="","SEM STATUS",IF(O800="","SEM DATA",IF(O800&lt;0,"VENCIDO",IF(O800&lt;=DiasAlerta,"VENCE EM BREVE","NO PRAZO")))))))</f>
        <v/>
      </c>
      <c r="Q800" s="117" t="str">
        <f>IF(D800="","",TODAY()-D800)</f>
        <v/>
      </c>
      <c r="R800" s="110" t="n"/>
    </row>
    <row r="801" ht="18" customHeight="1">
      <c r="A801" s="109" t="n"/>
      <c r="B801" s="110" t="n"/>
      <c r="C801" s="110" t="n"/>
      <c r="D801" s="111" t="n"/>
      <c r="E801" s="110" t="n"/>
      <c r="F801" s="112" t="n"/>
      <c r="G801" s="112" t="n"/>
      <c r="H801" s="110" t="n"/>
      <c r="I801" s="113" t="n"/>
      <c r="J801" s="113" t="n"/>
      <c r="K801" s="111" t="n"/>
      <c r="L801" s="111" t="n"/>
      <c r="M801" s="111" t="n"/>
      <c r="N801" s="114" t="str">
        <f>IF(OR(D801="",E801=""),"",D801+IF(E801="NOTIFICAÇÃO DE CONSTATAÇÃO",PrazoConst,PrazoEsc))</f>
        <v/>
      </c>
      <c r="O801" s="115" t="str">
        <f>IF(N801="","",IF(ISNUMBER(L801),N801-L801,IF(OR(G801="DECISÃO D.P",ISNUMBER(M801)),"",N801-TODAY())))</f>
        <v/>
      </c>
      <c r="P801" s="116" t="str">
        <f>IF(B801="","",IF(ISNUMBER(M801),"DECIDIDO – ","")&amp;IF(ISNUMBER(L801),IF(O801="","SEM DATA",IF(O801&gt;=0,"DEFESA NO PRAZO","DEFESA FORA DO PRAZO")),IF(OR(G801="DECISÃO D.P",ISNUMBER(M801)),"SEM DEFESA",IF(G801="","SEM STATUS",IF(O801="","SEM DATA",IF(O801&lt;0,"VENCIDO",IF(O801&lt;=DiasAlerta,"VENCE EM BREVE","NO PRAZO")))))))</f>
        <v/>
      </c>
      <c r="Q801" s="117" t="str">
        <f>IF(D801="","",TODAY()-D801)</f>
        <v/>
      </c>
      <c r="R801" s="110" t="n"/>
    </row>
    <row r="802" ht="18" customHeight="1">
      <c r="A802" s="109" t="n"/>
      <c r="B802" s="110" t="n"/>
      <c r="C802" s="110" t="n"/>
      <c r="D802" s="111" t="n"/>
      <c r="E802" s="110" t="n"/>
      <c r="F802" s="112" t="n"/>
      <c r="G802" s="112" t="n"/>
      <c r="H802" s="110" t="n"/>
      <c r="I802" s="113" t="n"/>
      <c r="J802" s="113" t="n"/>
      <c r="K802" s="111" t="n"/>
      <c r="L802" s="111" t="n"/>
      <c r="M802" s="111" t="n"/>
      <c r="N802" s="114" t="str">
        <f>IF(OR(D802="",E802=""),"",D802+IF(E802="NOTIFICAÇÃO DE CONSTATAÇÃO",PrazoConst,PrazoEsc))</f>
        <v/>
      </c>
      <c r="O802" s="115" t="str">
        <f>IF(N802="","",IF(ISNUMBER(L802),N802-L802,IF(OR(G802="DECISÃO D.P",ISNUMBER(M802)),"",N802-TODAY())))</f>
        <v/>
      </c>
      <c r="P802" s="116" t="str">
        <f>IF(B802="","",IF(ISNUMBER(M802),"DECIDIDO – ","")&amp;IF(ISNUMBER(L802),IF(O802="","SEM DATA",IF(O802&gt;=0,"DEFESA NO PRAZO","DEFESA FORA DO PRAZO")),IF(OR(G802="DECISÃO D.P",ISNUMBER(M802)),"SEM DEFESA",IF(G802="","SEM STATUS",IF(O802="","SEM DATA",IF(O802&lt;0,"VENCIDO",IF(O802&lt;=DiasAlerta,"VENCE EM BREVE","NO PRAZO")))))))</f>
        <v/>
      </c>
      <c r="Q802" s="117" t="str">
        <f>IF(D802="","",TODAY()-D802)</f>
        <v/>
      </c>
      <c r="R802" s="110" t="n"/>
    </row>
    <row r="803" ht="18" customHeight="1">
      <c r="A803" s="109" t="n"/>
      <c r="B803" s="110" t="n"/>
      <c r="C803" s="110" t="n"/>
      <c r="D803" s="111" t="n"/>
      <c r="E803" s="110" t="n"/>
      <c r="F803" s="112" t="n"/>
      <c r="G803" s="112" t="n"/>
      <c r="H803" s="110" t="n"/>
      <c r="I803" s="113" t="n"/>
      <c r="J803" s="113" t="n"/>
      <c r="K803" s="111" t="n"/>
      <c r="L803" s="111" t="n"/>
      <c r="M803" s="111" t="n"/>
      <c r="N803" s="114" t="str">
        <f>IF(OR(D803="",E803=""),"",D803+IF(E803="NOTIFICAÇÃO DE CONSTATAÇÃO",PrazoConst,PrazoEsc))</f>
        <v/>
      </c>
      <c r="O803" s="115" t="str">
        <f>IF(N803="","",IF(ISNUMBER(L803),N803-L803,IF(OR(G803="DECISÃO D.P",ISNUMBER(M803)),"",N803-TODAY())))</f>
        <v/>
      </c>
      <c r="P803" s="116" t="str">
        <f>IF(B803="","",IF(ISNUMBER(M803),"DECIDIDO – ","")&amp;IF(ISNUMBER(L803),IF(O803="","SEM DATA",IF(O803&gt;=0,"DEFESA NO PRAZO","DEFESA FORA DO PRAZO")),IF(OR(G803="DECISÃO D.P",ISNUMBER(M803)),"SEM DEFESA",IF(G803="","SEM STATUS",IF(O803="","SEM DATA",IF(O803&lt;0,"VENCIDO",IF(O803&lt;=DiasAlerta,"VENCE EM BREVE","NO PRAZO")))))))</f>
        <v/>
      </c>
      <c r="Q803" s="117" t="str">
        <f>IF(D803="","",TODAY()-D803)</f>
        <v/>
      </c>
      <c r="R803" s="110" t="n"/>
    </row>
    <row r="804" ht="18" customHeight="1">
      <c r="A804" s="109" t="n"/>
      <c r="B804" s="110" t="n"/>
      <c r="C804" s="110" t="n"/>
      <c r="D804" s="111" t="n"/>
      <c r="E804" s="110" t="n"/>
      <c r="F804" s="112" t="n"/>
      <c r="G804" s="112" t="n"/>
      <c r="H804" s="110" t="n"/>
      <c r="I804" s="113" t="n"/>
      <c r="J804" s="113" t="n"/>
      <c r="K804" s="111" t="n"/>
      <c r="L804" s="111" t="n"/>
      <c r="M804" s="111" t="n"/>
      <c r="N804" s="114" t="str">
        <f>IF(OR(D804="",E804=""),"",D804+IF(E804="NOTIFICAÇÃO DE CONSTATAÇÃO",PrazoConst,PrazoEsc))</f>
        <v/>
      </c>
      <c r="O804" s="115" t="str">
        <f>IF(N804="","",IF(ISNUMBER(L804),N804-L804,IF(OR(G804="DECISÃO D.P",ISNUMBER(M804)),"",N804-TODAY())))</f>
        <v/>
      </c>
      <c r="P804" s="116" t="str">
        <f>IF(B804="","",IF(ISNUMBER(M804),"DECIDIDO – ","")&amp;IF(ISNUMBER(L804),IF(O804="","SEM DATA",IF(O804&gt;=0,"DEFESA NO PRAZO","DEFESA FORA DO PRAZO")),IF(OR(G804="DECISÃO D.P",ISNUMBER(M804)),"SEM DEFESA",IF(G804="","SEM STATUS",IF(O804="","SEM DATA",IF(O804&lt;0,"VENCIDO",IF(O804&lt;=DiasAlerta,"VENCE EM BREVE","NO PRAZO")))))))</f>
        <v/>
      </c>
      <c r="Q804" s="117" t="str">
        <f>IF(D804="","",TODAY()-D804)</f>
        <v/>
      </c>
      <c r="R804" s="110" t="n"/>
    </row>
    <row r="805" ht="18" customHeight="1">
      <c r="A805" s="109" t="n"/>
      <c r="B805" s="110" t="n"/>
      <c r="C805" s="110" t="n"/>
      <c r="D805" s="111" t="n"/>
      <c r="E805" s="110" t="n"/>
      <c r="F805" s="112" t="n"/>
      <c r="G805" s="112" t="n"/>
      <c r="H805" s="110" t="n"/>
      <c r="I805" s="113" t="n"/>
      <c r="J805" s="113" t="n"/>
      <c r="K805" s="111" t="n"/>
      <c r="L805" s="111" t="n"/>
      <c r="M805" s="111" t="n"/>
      <c r="N805" s="114" t="str">
        <f>IF(OR(D805="",E805=""),"",D805+IF(E805="NOTIFICAÇÃO DE CONSTATAÇÃO",PrazoConst,PrazoEsc))</f>
        <v/>
      </c>
      <c r="O805" s="115" t="str">
        <f>IF(N805="","",IF(ISNUMBER(L805),N805-L805,IF(OR(G805="DECISÃO D.P",ISNUMBER(M805)),"",N805-TODAY())))</f>
        <v/>
      </c>
      <c r="P805" s="116" t="str">
        <f>IF(B805="","",IF(ISNUMBER(M805),"DECIDIDO – ","")&amp;IF(ISNUMBER(L805),IF(O805="","SEM DATA",IF(O805&gt;=0,"DEFESA NO PRAZO","DEFESA FORA DO PRAZO")),IF(OR(G805="DECISÃO D.P",ISNUMBER(M805)),"SEM DEFESA",IF(G805="","SEM STATUS",IF(O805="","SEM DATA",IF(O805&lt;0,"VENCIDO",IF(O805&lt;=DiasAlerta,"VENCE EM BREVE","NO PRAZO")))))))</f>
        <v/>
      </c>
      <c r="Q805" s="117" t="str">
        <f>IF(D805="","",TODAY()-D805)</f>
        <v/>
      </c>
      <c r="R805" s="110" t="n"/>
    </row>
    <row r="806" ht="18" customHeight="1">
      <c r="A806" s="109" t="n"/>
      <c r="B806" s="110" t="n"/>
      <c r="C806" s="110" t="n"/>
      <c r="D806" s="111" t="n"/>
      <c r="E806" s="110" t="n"/>
      <c r="F806" s="112" t="n"/>
      <c r="G806" s="112" t="n"/>
      <c r="H806" s="110" t="n"/>
      <c r="I806" s="113" t="n"/>
      <c r="J806" s="113" t="n"/>
      <c r="K806" s="111" t="n"/>
      <c r="L806" s="111" t="n"/>
      <c r="M806" s="111" t="n"/>
      <c r="N806" s="114" t="str">
        <f>IF(OR(D806="",E806=""),"",D806+IF(E806="NOTIFICAÇÃO DE CONSTATAÇÃO",PrazoConst,PrazoEsc))</f>
        <v/>
      </c>
      <c r="O806" s="115" t="str">
        <f>IF(N806="","",IF(ISNUMBER(L806),N806-L806,IF(OR(G806="DECISÃO D.P",ISNUMBER(M806)),"",N806-TODAY())))</f>
        <v/>
      </c>
      <c r="P806" s="116" t="str">
        <f>IF(B806="","",IF(ISNUMBER(M806),"DECIDIDO – ","")&amp;IF(ISNUMBER(L806),IF(O806="","SEM DATA",IF(O806&gt;=0,"DEFESA NO PRAZO","DEFESA FORA DO PRAZO")),IF(OR(G806="DECISÃO D.P",ISNUMBER(M806)),"SEM DEFESA",IF(G806="","SEM STATUS",IF(O806="","SEM DATA",IF(O806&lt;0,"VENCIDO",IF(O806&lt;=DiasAlerta,"VENCE EM BREVE","NO PRAZO")))))))</f>
        <v/>
      </c>
      <c r="Q806" s="117" t="str">
        <f>IF(D806="","",TODAY()-D806)</f>
        <v/>
      </c>
      <c r="R806" s="110" t="n"/>
    </row>
    <row r="807" ht="18" customHeight="1">
      <c r="A807" s="109" t="n"/>
      <c r="B807" s="110" t="n"/>
      <c r="C807" s="110" t="n"/>
      <c r="D807" s="111" t="n"/>
      <c r="E807" s="110" t="n"/>
      <c r="F807" s="112" t="n"/>
      <c r="G807" s="112" t="n"/>
      <c r="H807" s="110" t="n"/>
      <c r="I807" s="113" t="n"/>
      <c r="J807" s="113" t="n"/>
      <c r="K807" s="111" t="n"/>
      <c r="L807" s="111" t="n"/>
      <c r="M807" s="111" t="n"/>
      <c r="N807" s="114" t="str">
        <f>IF(OR(D807="",E807=""),"",D807+IF(E807="NOTIFICAÇÃO DE CONSTATAÇÃO",PrazoConst,PrazoEsc))</f>
        <v/>
      </c>
      <c r="O807" s="115" t="str">
        <f>IF(N807="","",IF(ISNUMBER(L807),N807-L807,IF(OR(G807="DECISÃO D.P",ISNUMBER(M807)),"",N807-TODAY())))</f>
        <v/>
      </c>
      <c r="P807" s="116" t="str">
        <f>IF(B807="","",IF(ISNUMBER(M807),"DECIDIDO – ","")&amp;IF(ISNUMBER(L807),IF(O807="","SEM DATA",IF(O807&gt;=0,"DEFESA NO PRAZO","DEFESA FORA DO PRAZO")),IF(OR(G807="DECISÃO D.P",ISNUMBER(M807)),"SEM DEFESA",IF(G807="","SEM STATUS",IF(O807="","SEM DATA",IF(O807&lt;0,"VENCIDO",IF(O807&lt;=DiasAlerta,"VENCE EM BREVE","NO PRAZO")))))))</f>
        <v/>
      </c>
      <c r="Q807" s="117" t="str">
        <f>IF(D807="","",TODAY()-D807)</f>
        <v/>
      </c>
      <c r="R807" s="110" t="n"/>
    </row>
    <row r="808" ht="18" customHeight="1">
      <c r="A808" s="109" t="n"/>
      <c r="B808" s="110" t="n"/>
      <c r="C808" s="110" t="n"/>
      <c r="D808" s="111" t="n"/>
      <c r="E808" s="110" t="n"/>
      <c r="F808" s="112" t="n"/>
      <c r="G808" s="112" t="n"/>
      <c r="H808" s="110" t="n"/>
      <c r="I808" s="113" t="n"/>
      <c r="J808" s="113" t="n"/>
      <c r="K808" s="111" t="n"/>
      <c r="L808" s="111" t="n"/>
      <c r="M808" s="111" t="n"/>
      <c r="N808" s="114" t="str">
        <f>IF(OR(D808="",E808=""),"",D808+IF(E808="NOTIFICAÇÃO DE CONSTATAÇÃO",PrazoConst,PrazoEsc))</f>
        <v/>
      </c>
      <c r="O808" s="115" t="str">
        <f>IF(N808="","",IF(ISNUMBER(L808),N808-L808,IF(OR(G808="DECISÃO D.P",ISNUMBER(M808)),"",N808-TODAY())))</f>
        <v/>
      </c>
      <c r="P808" s="116" t="str">
        <f>IF(B808="","",IF(ISNUMBER(M808),"DECIDIDO – ","")&amp;IF(ISNUMBER(L808),IF(O808="","SEM DATA",IF(O808&gt;=0,"DEFESA NO PRAZO","DEFESA FORA DO PRAZO")),IF(OR(G808="DECISÃO D.P",ISNUMBER(M808)),"SEM DEFESA",IF(G808="","SEM STATUS",IF(O808="","SEM DATA",IF(O808&lt;0,"VENCIDO",IF(O808&lt;=DiasAlerta,"VENCE EM BREVE","NO PRAZO")))))))</f>
        <v/>
      </c>
      <c r="Q808" s="117" t="str">
        <f>IF(D808="","",TODAY()-D808)</f>
        <v/>
      </c>
      <c r="R808" s="110" t="n"/>
    </row>
    <row r="809" ht="18" customHeight="1">
      <c r="A809" s="109" t="n"/>
      <c r="B809" s="110" t="n"/>
      <c r="C809" s="110" t="n"/>
      <c r="D809" s="111" t="n"/>
      <c r="E809" s="110" t="n"/>
      <c r="F809" s="112" t="n"/>
      <c r="G809" s="112" t="n"/>
      <c r="H809" s="110" t="n"/>
      <c r="I809" s="113" t="n"/>
      <c r="J809" s="113" t="n"/>
      <c r="K809" s="111" t="n"/>
      <c r="L809" s="111" t="n"/>
      <c r="M809" s="111" t="n"/>
      <c r="N809" s="114" t="str">
        <f>IF(OR(D809="",E809=""),"",D809+IF(E809="NOTIFICAÇÃO DE CONSTATAÇÃO",PrazoConst,PrazoEsc))</f>
        <v/>
      </c>
      <c r="O809" s="115" t="str">
        <f>IF(N809="","",IF(ISNUMBER(L809),N809-L809,IF(OR(G809="DECISÃO D.P",ISNUMBER(M809)),"",N809-TODAY())))</f>
        <v/>
      </c>
      <c r="P809" s="116" t="str">
        <f>IF(B809="","",IF(ISNUMBER(M809),"DECIDIDO – ","")&amp;IF(ISNUMBER(L809),IF(O809="","SEM DATA",IF(O809&gt;=0,"DEFESA NO PRAZO","DEFESA FORA DO PRAZO")),IF(OR(G809="DECISÃO D.P",ISNUMBER(M809)),"SEM DEFESA",IF(G809="","SEM STATUS",IF(O809="","SEM DATA",IF(O809&lt;0,"VENCIDO",IF(O809&lt;=DiasAlerta,"VENCE EM BREVE","NO PRAZO")))))))</f>
        <v/>
      </c>
      <c r="Q809" s="117" t="str">
        <f>IF(D809="","",TODAY()-D809)</f>
        <v/>
      </c>
      <c r="R809" s="110" t="n"/>
    </row>
    <row r="810" ht="18" customHeight="1">
      <c r="A810" s="109" t="n"/>
      <c r="B810" s="110" t="n"/>
      <c r="C810" s="110" t="n"/>
      <c r="D810" s="111" t="n"/>
      <c r="E810" s="110" t="n"/>
      <c r="F810" s="112" t="n"/>
      <c r="G810" s="112" t="n"/>
      <c r="H810" s="110" t="n"/>
      <c r="I810" s="113" t="n"/>
      <c r="J810" s="113" t="n"/>
      <c r="K810" s="111" t="n"/>
      <c r="L810" s="111" t="n"/>
      <c r="M810" s="111" t="n"/>
      <c r="N810" s="114" t="str">
        <f>IF(OR(D810="",E810=""),"",D810+IF(E810="NOTIFICAÇÃO DE CONSTATAÇÃO",PrazoConst,PrazoEsc))</f>
        <v/>
      </c>
      <c r="O810" s="115" t="str">
        <f>IF(N810="","",IF(ISNUMBER(L810),N810-L810,IF(OR(G810="DECISÃO D.P",ISNUMBER(M810)),"",N810-TODAY())))</f>
        <v/>
      </c>
      <c r="P810" s="116" t="str">
        <f>IF(B810="","",IF(ISNUMBER(M810),"DECIDIDO – ","")&amp;IF(ISNUMBER(L810),IF(O810="","SEM DATA",IF(O810&gt;=0,"DEFESA NO PRAZO","DEFESA FORA DO PRAZO")),IF(OR(G810="DECISÃO D.P",ISNUMBER(M810)),"SEM DEFESA",IF(G810="","SEM STATUS",IF(O810="","SEM DATA",IF(O810&lt;0,"VENCIDO",IF(O810&lt;=DiasAlerta,"VENCE EM BREVE","NO PRAZO")))))))</f>
        <v/>
      </c>
      <c r="Q810" s="117" t="str">
        <f>IF(D810="","",TODAY()-D810)</f>
        <v/>
      </c>
      <c r="R810" s="110" t="n"/>
    </row>
    <row r="811" ht="18" customHeight="1">
      <c r="A811" s="109" t="n"/>
      <c r="B811" s="110" t="n"/>
      <c r="C811" s="110" t="n"/>
      <c r="D811" s="111" t="n"/>
      <c r="E811" s="110" t="n"/>
      <c r="F811" s="112" t="n"/>
      <c r="G811" s="112" t="n"/>
      <c r="H811" s="110" t="n"/>
      <c r="I811" s="113" t="n"/>
      <c r="J811" s="113" t="n"/>
      <c r="K811" s="111" t="n"/>
      <c r="L811" s="111" t="n"/>
      <c r="M811" s="111" t="n"/>
      <c r="N811" s="114" t="str">
        <f>IF(OR(D811="",E811=""),"",D811+IF(E811="NOTIFICAÇÃO DE CONSTATAÇÃO",PrazoConst,PrazoEsc))</f>
        <v/>
      </c>
      <c r="O811" s="115" t="str">
        <f>IF(N811="","",IF(ISNUMBER(L811),N811-L811,IF(OR(G811="DECISÃO D.P",ISNUMBER(M811)),"",N811-TODAY())))</f>
        <v/>
      </c>
      <c r="P811" s="116" t="str">
        <f>IF(B811="","",IF(ISNUMBER(M811),"DECIDIDO – ","")&amp;IF(ISNUMBER(L811),IF(O811="","SEM DATA",IF(O811&gt;=0,"DEFESA NO PRAZO","DEFESA FORA DO PRAZO")),IF(OR(G811="DECISÃO D.P",ISNUMBER(M811)),"SEM DEFESA",IF(G811="","SEM STATUS",IF(O811="","SEM DATA",IF(O811&lt;0,"VENCIDO",IF(O811&lt;=DiasAlerta,"VENCE EM BREVE","NO PRAZO")))))))</f>
        <v/>
      </c>
      <c r="Q811" s="117" t="str">
        <f>IF(D811="","",TODAY()-D811)</f>
        <v/>
      </c>
      <c r="R811" s="110" t="n"/>
    </row>
    <row r="812" ht="18" customHeight="1">
      <c r="A812" s="109" t="n"/>
      <c r="B812" s="110" t="n"/>
      <c r="C812" s="110" t="n"/>
      <c r="D812" s="111" t="n"/>
      <c r="E812" s="110" t="n"/>
      <c r="F812" s="112" t="n"/>
      <c r="G812" s="112" t="n"/>
      <c r="H812" s="110" t="n"/>
      <c r="I812" s="113" t="n"/>
      <c r="J812" s="113" t="n"/>
      <c r="K812" s="111" t="n"/>
      <c r="L812" s="111" t="n"/>
      <c r="M812" s="111" t="n"/>
      <c r="N812" s="114" t="str">
        <f>IF(OR(D812="",E812=""),"",D812+IF(E812="NOTIFICAÇÃO DE CONSTATAÇÃO",PrazoConst,PrazoEsc))</f>
        <v/>
      </c>
      <c r="O812" s="115" t="str">
        <f>IF(N812="","",IF(ISNUMBER(L812),N812-L812,IF(OR(G812="DECISÃO D.P",ISNUMBER(M812)),"",N812-TODAY())))</f>
        <v/>
      </c>
      <c r="P812" s="116" t="str">
        <f>IF(B812="","",IF(ISNUMBER(M812),"DECIDIDO – ","")&amp;IF(ISNUMBER(L812),IF(O812="","SEM DATA",IF(O812&gt;=0,"DEFESA NO PRAZO","DEFESA FORA DO PRAZO")),IF(OR(G812="DECISÃO D.P",ISNUMBER(M812)),"SEM DEFESA",IF(G812="","SEM STATUS",IF(O812="","SEM DATA",IF(O812&lt;0,"VENCIDO",IF(O812&lt;=DiasAlerta,"VENCE EM BREVE","NO PRAZO")))))))</f>
        <v/>
      </c>
      <c r="Q812" s="117" t="str">
        <f>IF(D812="","",TODAY()-D812)</f>
        <v/>
      </c>
      <c r="R812" s="110" t="n"/>
    </row>
    <row r="813" ht="18" customHeight="1">
      <c r="A813" s="109" t="n"/>
      <c r="B813" s="110" t="n"/>
      <c r="C813" s="110" t="n"/>
      <c r="D813" s="111" t="n"/>
      <c r="E813" s="110" t="n"/>
      <c r="F813" s="112" t="n"/>
      <c r="G813" s="112" t="n"/>
      <c r="H813" s="110" t="n"/>
      <c r="I813" s="113" t="n"/>
      <c r="J813" s="113" t="n"/>
      <c r="K813" s="111" t="n"/>
      <c r="L813" s="111" t="n"/>
      <c r="M813" s="111" t="n"/>
      <c r="N813" s="114" t="str">
        <f>IF(OR(D813="",E813=""),"",D813+IF(E813="NOTIFICAÇÃO DE CONSTATAÇÃO",PrazoConst,PrazoEsc))</f>
        <v/>
      </c>
      <c r="O813" s="115" t="str">
        <f>IF(N813="","",IF(ISNUMBER(L813),N813-L813,IF(OR(G813="DECISÃO D.P",ISNUMBER(M813)),"",N813-TODAY())))</f>
        <v/>
      </c>
      <c r="P813" s="116" t="str">
        <f>IF(B813="","",IF(ISNUMBER(M813),"DECIDIDO – ","")&amp;IF(ISNUMBER(L813),IF(O813="","SEM DATA",IF(O813&gt;=0,"DEFESA NO PRAZO","DEFESA FORA DO PRAZO")),IF(OR(G813="DECISÃO D.P",ISNUMBER(M813)),"SEM DEFESA",IF(G813="","SEM STATUS",IF(O813="","SEM DATA",IF(O813&lt;0,"VENCIDO",IF(O813&lt;=DiasAlerta,"VENCE EM BREVE","NO PRAZO")))))))</f>
        <v/>
      </c>
      <c r="Q813" s="117" t="str">
        <f>IF(D813="","",TODAY()-D813)</f>
        <v/>
      </c>
      <c r="R813" s="110" t="n"/>
    </row>
    <row r="814" ht="18" customHeight="1">
      <c r="A814" s="109" t="n"/>
      <c r="B814" s="110" t="n"/>
      <c r="C814" s="110" t="n"/>
      <c r="D814" s="111" t="n"/>
      <c r="E814" s="110" t="n"/>
      <c r="F814" s="112" t="n"/>
      <c r="G814" s="112" t="n"/>
      <c r="H814" s="110" t="n"/>
      <c r="I814" s="113" t="n"/>
      <c r="J814" s="113" t="n"/>
      <c r="K814" s="111" t="n"/>
      <c r="L814" s="111" t="n"/>
      <c r="M814" s="111" t="n"/>
      <c r="N814" s="114" t="str">
        <f>IF(OR(D814="",E814=""),"",D814+IF(E814="NOTIFICAÇÃO DE CONSTATAÇÃO",PrazoConst,PrazoEsc))</f>
        <v/>
      </c>
      <c r="O814" s="115" t="str">
        <f>IF(N814="","",IF(ISNUMBER(L814),N814-L814,IF(OR(G814="DECISÃO D.P",ISNUMBER(M814)),"",N814-TODAY())))</f>
        <v/>
      </c>
      <c r="P814" s="116" t="str">
        <f>IF(B814="","",IF(ISNUMBER(M814),"DECIDIDO – ","")&amp;IF(ISNUMBER(L814),IF(O814="","SEM DATA",IF(O814&gt;=0,"DEFESA NO PRAZO","DEFESA FORA DO PRAZO")),IF(OR(G814="DECISÃO D.P",ISNUMBER(M814)),"SEM DEFESA",IF(G814="","SEM STATUS",IF(O814="","SEM DATA",IF(O814&lt;0,"VENCIDO",IF(O814&lt;=DiasAlerta,"VENCE EM BREVE","NO PRAZO")))))))</f>
        <v/>
      </c>
      <c r="Q814" s="117" t="str">
        <f>IF(D814="","",TODAY()-D814)</f>
        <v/>
      </c>
      <c r="R814" s="110" t="n"/>
    </row>
    <row r="815" ht="18" customHeight="1">
      <c r="A815" s="109" t="n"/>
      <c r="B815" s="110" t="n"/>
      <c r="C815" s="110" t="n"/>
      <c r="D815" s="111" t="n"/>
      <c r="E815" s="110" t="n"/>
      <c r="F815" s="112" t="n"/>
      <c r="G815" s="112" t="n"/>
      <c r="H815" s="110" t="n"/>
      <c r="I815" s="113" t="n"/>
      <c r="J815" s="113" t="n"/>
      <c r="K815" s="111" t="n"/>
      <c r="L815" s="111" t="n"/>
      <c r="M815" s="111" t="n"/>
      <c r="N815" s="114" t="str">
        <f>IF(OR(D815="",E815=""),"",D815+IF(E815="NOTIFICAÇÃO DE CONSTATAÇÃO",PrazoConst,PrazoEsc))</f>
        <v/>
      </c>
      <c r="O815" s="115" t="str">
        <f>IF(N815="","",IF(ISNUMBER(L815),N815-L815,IF(OR(G815="DECISÃO D.P",ISNUMBER(M815)),"",N815-TODAY())))</f>
        <v/>
      </c>
      <c r="P815" s="116" t="str">
        <f>IF(B815="","",IF(ISNUMBER(M815),"DECIDIDO – ","")&amp;IF(ISNUMBER(L815),IF(O815="","SEM DATA",IF(O815&gt;=0,"DEFESA NO PRAZO","DEFESA FORA DO PRAZO")),IF(OR(G815="DECISÃO D.P",ISNUMBER(M815)),"SEM DEFESA",IF(G815="","SEM STATUS",IF(O815="","SEM DATA",IF(O815&lt;0,"VENCIDO",IF(O815&lt;=DiasAlerta,"VENCE EM BREVE","NO PRAZO")))))))</f>
        <v/>
      </c>
      <c r="Q815" s="117" t="str">
        <f>IF(D815="","",TODAY()-D815)</f>
        <v/>
      </c>
      <c r="R815" s="110" t="n"/>
    </row>
    <row r="816" ht="18" customHeight="1">
      <c r="A816" s="109" t="n"/>
      <c r="B816" s="110" t="n"/>
      <c r="C816" s="110" t="n"/>
      <c r="D816" s="111" t="n"/>
      <c r="E816" s="110" t="n"/>
      <c r="F816" s="112" t="n"/>
      <c r="G816" s="112" t="n"/>
      <c r="H816" s="110" t="n"/>
      <c r="I816" s="113" t="n"/>
      <c r="J816" s="113" t="n"/>
      <c r="K816" s="111" t="n"/>
      <c r="L816" s="111" t="n"/>
      <c r="M816" s="111" t="n"/>
      <c r="N816" s="114" t="str">
        <f>IF(OR(D816="",E816=""),"",D816+IF(E816="NOTIFICAÇÃO DE CONSTATAÇÃO",PrazoConst,PrazoEsc))</f>
        <v/>
      </c>
      <c r="O816" s="115" t="str">
        <f>IF(N816="","",IF(ISNUMBER(L816),N816-L816,IF(OR(G816="DECISÃO D.P",ISNUMBER(M816)),"",N816-TODAY())))</f>
        <v/>
      </c>
      <c r="P816" s="116" t="str">
        <f>IF(B816="","",IF(ISNUMBER(M816),"DECIDIDO – ","")&amp;IF(ISNUMBER(L816),IF(O816="","SEM DATA",IF(O816&gt;=0,"DEFESA NO PRAZO","DEFESA FORA DO PRAZO")),IF(OR(G816="DECISÃO D.P",ISNUMBER(M816)),"SEM DEFESA",IF(G816="","SEM STATUS",IF(O816="","SEM DATA",IF(O816&lt;0,"VENCIDO",IF(O816&lt;=DiasAlerta,"VENCE EM BREVE","NO PRAZO")))))))</f>
        <v/>
      </c>
      <c r="Q816" s="117" t="str">
        <f>IF(D816="","",TODAY()-D816)</f>
        <v/>
      </c>
      <c r="R816" s="110" t="n"/>
    </row>
    <row r="817" ht="18" customHeight="1">
      <c r="A817" s="109" t="n"/>
      <c r="B817" s="110" t="n"/>
      <c r="C817" s="110" t="n"/>
      <c r="D817" s="111" t="n"/>
      <c r="E817" s="110" t="n"/>
      <c r="F817" s="112" t="n"/>
      <c r="G817" s="112" t="n"/>
      <c r="H817" s="110" t="n"/>
      <c r="I817" s="113" t="n"/>
      <c r="J817" s="113" t="n"/>
      <c r="K817" s="111" t="n"/>
      <c r="L817" s="111" t="n"/>
      <c r="M817" s="111" t="n"/>
      <c r="N817" s="114" t="str">
        <f>IF(OR(D817="",E817=""),"",D817+IF(E817="NOTIFICAÇÃO DE CONSTATAÇÃO",PrazoConst,PrazoEsc))</f>
        <v/>
      </c>
      <c r="O817" s="115" t="str">
        <f>IF(N817="","",IF(ISNUMBER(L817),N817-L817,IF(OR(G817="DECISÃO D.P",ISNUMBER(M817)),"",N817-TODAY())))</f>
        <v/>
      </c>
      <c r="P817" s="116" t="str">
        <f>IF(B817="","",IF(ISNUMBER(M817),"DECIDIDO – ","")&amp;IF(ISNUMBER(L817),IF(O817="","SEM DATA",IF(O817&gt;=0,"DEFESA NO PRAZO","DEFESA FORA DO PRAZO")),IF(OR(G817="DECISÃO D.P",ISNUMBER(M817)),"SEM DEFESA",IF(G817="","SEM STATUS",IF(O817="","SEM DATA",IF(O817&lt;0,"VENCIDO",IF(O817&lt;=DiasAlerta,"VENCE EM BREVE","NO PRAZO")))))))</f>
        <v/>
      </c>
      <c r="Q817" s="117" t="str">
        <f>IF(D817="","",TODAY()-D817)</f>
        <v/>
      </c>
      <c r="R817" s="110" t="n"/>
    </row>
    <row r="818" ht="18" customHeight="1">
      <c r="A818" s="109" t="n"/>
      <c r="B818" s="110" t="n"/>
      <c r="C818" s="110" t="n"/>
      <c r="D818" s="111" t="n"/>
      <c r="E818" s="110" t="n"/>
      <c r="F818" s="112" t="n"/>
      <c r="G818" s="112" t="n"/>
      <c r="H818" s="110" t="n"/>
      <c r="I818" s="113" t="n"/>
      <c r="J818" s="113" t="n"/>
      <c r="K818" s="111" t="n"/>
      <c r="L818" s="111" t="n"/>
      <c r="M818" s="111" t="n"/>
      <c r="N818" s="114" t="str">
        <f>IF(OR(D818="",E818=""),"",D818+IF(E818="NOTIFICAÇÃO DE CONSTATAÇÃO",PrazoConst,PrazoEsc))</f>
        <v/>
      </c>
      <c r="O818" s="115" t="str">
        <f>IF(N818="","",IF(ISNUMBER(L818),N818-L818,IF(OR(G818="DECISÃO D.P",ISNUMBER(M818)),"",N818-TODAY())))</f>
        <v/>
      </c>
      <c r="P818" s="116" t="str">
        <f>IF(B818="","",IF(ISNUMBER(M818),"DECIDIDO – ","")&amp;IF(ISNUMBER(L818),IF(O818="","SEM DATA",IF(O818&gt;=0,"DEFESA NO PRAZO","DEFESA FORA DO PRAZO")),IF(OR(G818="DECISÃO D.P",ISNUMBER(M818)),"SEM DEFESA",IF(G818="","SEM STATUS",IF(O818="","SEM DATA",IF(O818&lt;0,"VENCIDO",IF(O818&lt;=DiasAlerta,"VENCE EM BREVE","NO PRAZO")))))))</f>
        <v/>
      </c>
      <c r="Q818" s="117" t="str">
        <f>IF(D818="","",TODAY()-D818)</f>
        <v/>
      </c>
      <c r="R818" s="110" t="n"/>
    </row>
    <row r="819" ht="18" customHeight="1">
      <c r="A819" s="109" t="n"/>
      <c r="B819" s="110" t="n"/>
      <c r="C819" s="110" t="n"/>
      <c r="D819" s="111" t="n"/>
      <c r="E819" s="110" t="n"/>
      <c r="F819" s="112" t="n"/>
      <c r="G819" s="112" t="n"/>
      <c r="H819" s="110" t="n"/>
      <c r="I819" s="113" t="n"/>
      <c r="J819" s="113" t="n"/>
      <c r="K819" s="111" t="n"/>
      <c r="L819" s="111" t="n"/>
      <c r="M819" s="111" t="n"/>
      <c r="N819" s="114" t="str">
        <f>IF(OR(D819="",E819=""),"",D819+IF(E819="NOTIFICAÇÃO DE CONSTATAÇÃO",PrazoConst,PrazoEsc))</f>
        <v/>
      </c>
      <c r="O819" s="115" t="str">
        <f>IF(N819="","",IF(ISNUMBER(L819),N819-L819,IF(OR(G819="DECISÃO D.P",ISNUMBER(M819)),"",N819-TODAY())))</f>
        <v/>
      </c>
      <c r="P819" s="116" t="str">
        <f>IF(B819="","",IF(ISNUMBER(M819),"DECIDIDO – ","")&amp;IF(ISNUMBER(L819),IF(O819="","SEM DATA",IF(O819&gt;=0,"DEFESA NO PRAZO","DEFESA FORA DO PRAZO")),IF(OR(G819="DECISÃO D.P",ISNUMBER(M819)),"SEM DEFESA",IF(G819="","SEM STATUS",IF(O819="","SEM DATA",IF(O819&lt;0,"VENCIDO",IF(O819&lt;=DiasAlerta,"VENCE EM BREVE","NO PRAZO")))))))</f>
        <v/>
      </c>
      <c r="Q819" s="117" t="str">
        <f>IF(D819="","",TODAY()-D819)</f>
        <v/>
      </c>
      <c r="R819" s="110" t="n"/>
    </row>
    <row r="820" ht="18" customHeight="1">
      <c r="A820" s="109" t="n"/>
      <c r="B820" s="110" t="n"/>
      <c r="C820" s="110" t="n"/>
      <c r="D820" s="111" t="n"/>
      <c r="E820" s="110" t="n"/>
      <c r="F820" s="112" t="n"/>
      <c r="G820" s="112" t="n"/>
      <c r="H820" s="110" t="n"/>
      <c r="I820" s="113" t="n"/>
      <c r="J820" s="113" t="n"/>
      <c r="K820" s="111" t="n"/>
      <c r="L820" s="111" t="n"/>
      <c r="M820" s="111" t="n"/>
      <c r="N820" s="114" t="str">
        <f>IF(OR(D820="",E820=""),"",D820+IF(E820="NOTIFICAÇÃO DE CONSTATAÇÃO",PrazoConst,PrazoEsc))</f>
        <v/>
      </c>
      <c r="O820" s="115" t="str">
        <f>IF(N820="","",IF(ISNUMBER(L820),N820-L820,IF(OR(G820="DECISÃO D.P",ISNUMBER(M820)),"",N820-TODAY())))</f>
        <v/>
      </c>
      <c r="P820" s="116" t="str">
        <f>IF(B820="","",IF(ISNUMBER(M820),"DECIDIDO – ","")&amp;IF(ISNUMBER(L820),IF(O820="","SEM DATA",IF(O820&gt;=0,"DEFESA NO PRAZO","DEFESA FORA DO PRAZO")),IF(OR(G820="DECISÃO D.P",ISNUMBER(M820)),"SEM DEFESA",IF(G820="","SEM STATUS",IF(O820="","SEM DATA",IF(O820&lt;0,"VENCIDO",IF(O820&lt;=DiasAlerta,"VENCE EM BREVE","NO PRAZO")))))))</f>
        <v/>
      </c>
      <c r="Q820" s="117" t="str">
        <f>IF(D820="","",TODAY()-D820)</f>
        <v/>
      </c>
      <c r="R820" s="110" t="n"/>
    </row>
    <row r="821" ht="18" customHeight="1">
      <c r="A821" s="109" t="n"/>
      <c r="B821" s="110" t="n"/>
      <c r="C821" s="110" t="n"/>
      <c r="D821" s="111" t="n"/>
      <c r="E821" s="110" t="n"/>
      <c r="F821" s="112" t="n"/>
      <c r="G821" s="112" t="n"/>
      <c r="H821" s="110" t="n"/>
      <c r="I821" s="113" t="n"/>
      <c r="J821" s="113" t="n"/>
      <c r="K821" s="111" t="n"/>
      <c r="L821" s="111" t="n"/>
      <c r="M821" s="111" t="n"/>
      <c r="N821" s="114" t="str">
        <f>IF(OR(D821="",E821=""),"",D821+IF(E821="NOTIFICAÇÃO DE CONSTATAÇÃO",PrazoConst,PrazoEsc))</f>
        <v/>
      </c>
      <c r="O821" s="115" t="str">
        <f>IF(N821="","",IF(ISNUMBER(L821),N821-L821,IF(OR(G821="DECISÃO D.P",ISNUMBER(M821)),"",N821-TODAY())))</f>
        <v/>
      </c>
      <c r="P821" s="116" t="str">
        <f>IF(B821="","",IF(ISNUMBER(M821),"DECIDIDO – ","")&amp;IF(ISNUMBER(L821),IF(O821="","SEM DATA",IF(O821&gt;=0,"DEFESA NO PRAZO","DEFESA FORA DO PRAZO")),IF(OR(G821="DECISÃO D.P",ISNUMBER(M821)),"SEM DEFESA",IF(G821="","SEM STATUS",IF(O821="","SEM DATA",IF(O821&lt;0,"VENCIDO",IF(O821&lt;=DiasAlerta,"VENCE EM BREVE","NO PRAZO")))))))</f>
        <v/>
      </c>
      <c r="Q821" s="117" t="str">
        <f>IF(D821="","",TODAY()-D821)</f>
        <v/>
      </c>
      <c r="R821" s="110" t="n"/>
    </row>
    <row r="822" ht="18" customHeight="1">
      <c r="A822" s="109" t="n"/>
      <c r="B822" s="110" t="n"/>
      <c r="C822" s="110" t="n"/>
      <c r="D822" s="111" t="n"/>
      <c r="E822" s="110" t="n"/>
      <c r="F822" s="112" t="n"/>
      <c r="G822" s="112" t="n"/>
      <c r="H822" s="110" t="n"/>
      <c r="I822" s="113" t="n"/>
      <c r="J822" s="113" t="n"/>
      <c r="K822" s="111" t="n"/>
      <c r="L822" s="111" t="n"/>
      <c r="M822" s="111" t="n"/>
      <c r="N822" s="114" t="str">
        <f>IF(OR(D822="",E822=""),"",D822+IF(E822="NOTIFICAÇÃO DE CONSTATAÇÃO",PrazoConst,PrazoEsc))</f>
        <v/>
      </c>
      <c r="O822" s="115" t="str">
        <f>IF(N822="","",IF(ISNUMBER(L822),N822-L822,IF(OR(G822="DECISÃO D.P",ISNUMBER(M822)),"",N822-TODAY())))</f>
        <v/>
      </c>
      <c r="P822" s="116" t="str">
        <f>IF(B822="","",IF(ISNUMBER(M822),"DECIDIDO – ","")&amp;IF(ISNUMBER(L822),IF(O822="","SEM DATA",IF(O822&gt;=0,"DEFESA NO PRAZO","DEFESA FORA DO PRAZO")),IF(OR(G822="DECISÃO D.P",ISNUMBER(M822)),"SEM DEFESA",IF(G822="","SEM STATUS",IF(O822="","SEM DATA",IF(O822&lt;0,"VENCIDO",IF(O822&lt;=DiasAlerta,"VENCE EM BREVE","NO PRAZO")))))))</f>
        <v/>
      </c>
      <c r="Q822" s="117" t="str">
        <f>IF(D822="","",TODAY()-D822)</f>
        <v/>
      </c>
      <c r="R822" s="110" t="n"/>
    </row>
    <row r="823" ht="18" customHeight="1">
      <c r="A823" s="109" t="n"/>
      <c r="B823" s="110" t="n"/>
      <c r="C823" s="110" t="n"/>
      <c r="D823" s="111" t="n"/>
      <c r="E823" s="110" t="n"/>
      <c r="F823" s="112" t="n"/>
      <c r="G823" s="112" t="n"/>
      <c r="H823" s="110" t="n"/>
      <c r="I823" s="113" t="n"/>
      <c r="J823" s="113" t="n"/>
      <c r="K823" s="111" t="n"/>
      <c r="L823" s="111" t="n"/>
      <c r="M823" s="111" t="n"/>
      <c r="N823" s="114" t="str">
        <f>IF(OR(D823="",E823=""),"",D823+IF(E823="NOTIFICAÇÃO DE CONSTATAÇÃO",PrazoConst,PrazoEsc))</f>
        <v/>
      </c>
      <c r="O823" s="115" t="str">
        <f>IF(N823="","",IF(ISNUMBER(L823),N823-L823,IF(OR(G823="DECISÃO D.P",ISNUMBER(M823)),"",N823-TODAY())))</f>
        <v/>
      </c>
      <c r="P823" s="116" t="str">
        <f>IF(B823="","",IF(ISNUMBER(M823),"DECIDIDO – ","")&amp;IF(ISNUMBER(L823),IF(O823="","SEM DATA",IF(O823&gt;=0,"DEFESA NO PRAZO","DEFESA FORA DO PRAZO")),IF(OR(G823="DECISÃO D.P",ISNUMBER(M823)),"SEM DEFESA",IF(G823="","SEM STATUS",IF(O823="","SEM DATA",IF(O823&lt;0,"VENCIDO",IF(O823&lt;=DiasAlerta,"VENCE EM BREVE","NO PRAZO")))))))</f>
        <v/>
      </c>
      <c r="Q823" s="117" t="str">
        <f>IF(D823="","",TODAY()-D823)</f>
        <v/>
      </c>
      <c r="R823" s="110" t="n"/>
    </row>
    <row r="824" ht="18" customHeight="1">
      <c r="A824" s="109" t="n"/>
      <c r="B824" s="110" t="n"/>
      <c r="C824" s="110" t="n"/>
      <c r="D824" s="111" t="n"/>
      <c r="E824" s="110" t="n"/>
      <c r="F824" s="112" t="n"/>
      <c r="G824" s="112" t="n"/>
      <c r="H824" s="110" t="n"/>
      <c r="I824" s="113" t="n"/>
      <c r="J824" s="113" t="n"/>
      <c r="K824" s="111" t="n"/>
      <c r="L824" s="111" t="n"/>
      <c r="M824" s="111" t="n"/>
      <c r="N824" s="114" t="str">
        <f>IF(OR(D824="",E824=""),"",D824+IF(E824="NOTIFICAÇÃO DE CONSTATAÇÃO",PrazoConst,PrazoEsc))</f>
        <v/>
      </c>
      <c r="O824" s="115" t="str">
        <f>IF(N824="","",IF(ISNUMBER(L824),N824-L824,IF(OR(G824="DECISÃO D.P",ISNUMBER(M824)),"",N824-TODAY())))</f>
        <v/>
      </c>
      <c r="P824" s="116" t="str">
        <f>IF(B824="","",IF(ISNUMBER(M824),"DECIDIDO – ","")&amp;IF(ISNUMBER(L824),IF(O824="","SEM DATA",IF(O824&gt;=0,"DEFESA NO PRAZO","DEFESA FORA DO PRAZO")),IF(OR(G824="DECISÃO D.P",ISNUMBER(M824)),"SEM DEFESA",IF(G824="","SEM STATUS",IF(O824="","SEM DATA",IF(O824&lt;0,"VENCIDO",IF(O824&lt;=DiasAlerta,"VENCE EM BREVE","NO PRAZO")))))))</f>
        <v/>
      </c>
      <c r="Q824" s="117" t="str">
        <f>IF(D824="","",TODAY()-D824)</f>
        <v/>
      </c>
      <c r="R824" s="110" t="n"/>
    </row>
    <row r="825" ht="18" customHeight="1">
      <c r="A825" s="109" t="n"/>
      <c r="B825" s="110" t="n"/>
      <c r="C825" s="110" t="n"/>
      <c r="D825" s="111" t="n"/>
      <c r="E825" s="110" t="n"/>
      <c r="F825" s="112" t="n"/>
      <c r="G825" s="112" t="n"/>
      <c r="H825" s="110" t="n"/>
      <c r="I825" s="113" t="n"/>
      <c r="J825" s="113" t="n"/>
      <c r="K825" s="111" t="n"/>
      <c r="L825" s="111" t="n"/>
      <c r="M825" s="111" t="n"/>
      <c r="N825" s="114" t="str">
        <f>IF(OR(D825="",E825=""),"",D825+IF(E825="NOTIFICAÇÃO DE CONSTATAÇÃO",PrazoConst,PrazoEsc))</f>
        <v/>
      </c>
      <c r="O825" s="115" t="str">
        <f>IF(N825="","",IF(ISNUMBER(L825),N825-L825,IF(OR(G825="DECISÃO D.P",ISNUMBER(M825)),"",N825-TODAY())))</f>
        <v/>
      </c>
      <c r="P825" s="116" t="str">
        <f>IF(B825="","",IF(ISNUMBER(M825),"DECIDIDO – ","")&amp;IF(ISNUMBER(L825),IF(O825="","SEM DATA",IF(O825&gt;=0,"DEFESA NO PRAZO","DEFESA FORA DO PRAZO")),IF(OR(G825="DECISÃO D.P",ISNUMBER(M825)),"SEM DEFESA",IF(G825="","SEM STATUS",IF(O825="","SEM DATA",IF(O825&lt;0,"VENCIDO",IF(O825&lt;=DiasAlerta,"VENCE EM BREVE","NO PRAZO")))))))</f>
        <v/>
      </c>
      <c r="Q825" s="117" t="str">
        <f>IF(D825="","",TODAY()-D825)</f>
        <v/>
      </c>
      <c r="R825" s="110" t="n"/>
    </row>
    <row r="826" ht="18" customHeight="1">
      <c r="A826" s="109" t="n"/>
      <c r="B826" s="110" t="n"/>
      <c r="C826" s="110" t="n"/>
      <c r="D826" s="111" t="n"/>
      <c r="E826" s="110" t="n"/>
      <c r="F826" s="112" t="n"/>
      <c r="G826" s="112" t="n"/>
      <c r="H826" s="110" t="n"/>
      <c r="I826" s="113" t="n"/>
      <c r="J826" s="113" t="n"/>
      <c r="K826" s="111" t="n"/>
      <c r="L826" s="111" t="n"/>
      <c r="M826" s="111" t="n"/>
      <c r="N826" s="114" t="str">
        <f>IF(OR(D826="",E826=""),"",D826+IF(E826="NOTIFICAÇÃO DE CONSTATAÇÃO",PrazoConst,PrazoEsc))</f>
        <v/>
      </c>
      <c r="O826" s="115" t="str">
        <f>IF(N826="","",IF(ISNUMBER(L826),N826-L826,IF(OR(G826="DECISÃO D.P",ISNUMBER(M826)),"",N826-TODAY())))</f>
        <v/>
      </c>
      <c r="P826" s="116" t="str">
        <f>IF(B826="","",IF(ISNUMBER(M826),"DECIDIDO – ","")&amp;IF(ISNUMBER(L826),IF(O826="","SEM DATA",IF(O826&gt;=0,"DEFESA NO PRAZO","DEFESA FORA DO PRAZO")),IF(OR(G826="DECISÃO D.P",ISNUMBER(M826)),"SEM DEFESA",IF(G826="","SEM STATUS",IF(O826="","SEM DATA",IF(O826&lt;0,"VENCIDO",IF(O826&lt;=DiasAlerta,"VENCE EM BREVE","NO PRAZO")))))))</f>
        <v/>
      </c>
      <c r="Q826" s="117" t="str">
        <f>IF(D826="","",TODAY()-D826)</f>
        <v/>
      </c>
      <c r="R826" s="110" t="n"/>
    </row>
    <row r="827" ht="18" customHeight="1">
      <c r="A827" s="109" t="n"/>
      <c r="B827" s="110" t="n"/>
      <c r="C827" s="110" t="n"/>
      <c r="D827" s="111" t="n"/>
      <c r="E827" s="110" t="n"/>
      <c r="F827" s="112" t="n"/>
      <c r="G827" s="112" t="n"/>
      <c r="H827" s="110" t="n"/>
      <c r="I827" s="113" t="n"/>
      <c r="J827" s="113" t="n"/>
      <c r="K827" s="111" t="n"/>
      <c r="L827" s="111" t="n"/>
      <c r="M827" s="111" t="n"/>
      <c r="N827" s="114" t="str">
        <f>IF(OR(D827="",E827=""),"",D827+IF(E827="NOTIFICAÇÃO DE CONSTATAÇÃO",PrazoConst,PrazoEsc))</f>
        <v/>
      </c>
      <c r="O827" s="115" t="str">
        <f>IF(N827="","",IF(ISNUMBER(L827),N827-L827,IF(OR(G827="DECISÃO D.P",ISNUMBER(M827)),"",N827-TODAY())))</f>
        <v/>
      </c>
      <c r="P827" s="116" t="str">
        <f>IF(B827="","",IF(ISNUMBER(M827),"DECIDIDO – ","")&amp;IF(ISNUMBER(L827),IF(O827="","SEM DATA",IF(O827&gt;=0,"DEFESA NO PRAZO","DEFESA FORA DO PRAZO")),IF(OR(G827="DECISÃO D.P",ISNUMBER(M827)),"SEM DEFESA",IF(G827="","SEM STATUS",IF(O827="","SEM DATA",IF(O827&lt;0,"VENCIDO",IF(O827&lt;=DiasAlerta,"VENCE EM BREVE","NO PRAZO")))))))</f>
        <v/>
      </c>
      <c r="Q827" s="117" t="str">
        <f>IF(D827="","",TODAY()-D827)</f>
        <v/>
      </c>
      <c r="R827" s="110" t="n"/>
    </row>
    <row r="828" ht="18" customHeight="1">
      <c r="A828" s="109" t="n"/>
      <c r="B828" s="110" t="n"/>
      <c r="C828" s="110" t="n"/>
      <c r="D828" s="111" t="n"/>
      <c r="E828" s="110" t="n"/>
      <c r="F828" s="112" t="n"/>
      <c r="G828" s="112" t="n"/>
      <c r="H828" s="110" t="n"/>
      <c r="I828" s="113" t="n"/>
      <c r="J828" s="113" t="n"/>
      <c r="K828" s="111" t="n"/>
      <c r="L828" s="111" t="n"/>
      <c r="M828" s="111" t="n"/>
      <c r="N828" s="114" t="str">
        <f>IF(OR(D828="",E828=""),"",D828+IF(E828="NOTIFICAÇÃO DE CONSTATAÇÃO",PrazoConst,PrazoEsc))</f>
        <v/>
      </c>
      <c r="O828" s="115" t="str">
        <f>IF(N828="","",IF(ISNUMBER(L828),N828-L828,IF(OR(G828="DECISÃO D.P",ISNUMBER(M828)),"",N828-TODAY())))</f>
        <v/>
      </c>
      <c r="P828" s="116" t="str">
        <f>IF(B828="","",IF(ISNUMBER(M828),"DECIDIDO – ","")&amp;IF(ISNUMBER(L828),IF(O828="","SEM DATA",IF(O828&gt;=0,"DEFESA NO PRAZO","DEFESA FORA DO PRAZO")),IF(OR(G828="DECISÃO D.P",ISNUMBER(M828)),"SEM DEFESA",IF(G828="","SEM STATUS",IF(O828="","SEM DATA",IF(O828&lt;0,"VENCIDO",IF(O828&lt;=DiasAlerta,"VENCE EM BREVE","NO PRAZO")))))))</f>
        <v/>
      </c>
      <c r="Q828" s="117" t="str">
        <f>IF(D828="","",TODAY()-D828)</f>
        <v/>
      </c>
      <c r="R828" s="110" t="n"/>
    </row>
    <row r="829" ht="18" customHeight="1">
      <c r="A829" s="109" t="n"/>
      <c r="B829" s="110" t="n"/>
      <c r="C829" s="110" t="n"/>
      <c r="D829" s="111" t="n"/>
      <c r="E829" s="110" t="n"/>
      <c r="F829" s="112" t="n"/>
      <c r="G829" s="112" t="n"/>
      <c r="H829" s="110" t="n"/>
      <c r="I829" s="113" t="n"/>
      <c r="J829" s="113" t="n"/>
      <c r="K829" s="111" t="n"/>
      <c r="L829" s="111" t="n"/>
      <c r="M829" s="111" t="n"/>
      <c r="N829" s="114" t="str">
        <f>IF(OR(D829="",E829=""),"",D829+IF(E829="NOTIFICAÇÃO DE CONSTATAÇÃO",PrazoConst,PrazoEsc))</f>
        <v/>
      </c>
      <c r="O829" s="115" t="str">
        <f>IF(N829="","",IF(ISNUMBER(L829),N829-L829,IF(OR(G829="DECISÃO D.P",ISNUMBER(M829)),"",N829-TODAY())))</f>
        <v/>
      </c>
      <c r="P829" s="116" t="str">
        <f>IF(B829="","",IF(ISNUMBER(M829),"DECIDIDO – ","")&amp;IF(ISNUMBER(L829),IF(O829="","SEM DATA",IF(O829&gt;=0,"DEFESA NO PRAZO","DEFESA FORA DO PRAZO")),IF(OR(G829="DECISÃO D.P",ISNUMBER(M829)),"SEM DEFESA",IF(G829="","SEM STATUS",IF(O829="","SEM DATA",IF(O829&lt;0,"VENCIDO",IF(O829&lt;=DiasAlerta,"VENCE EM BREVE","NO PRAZO")))))))</f>
        <v/>
      </c>
      <c r="Q829" s="117" t="str">
        <f>IF(D829="","",TODAY()-D829)</f>
        <v/>
      </c>
      <c r="R829" s="110" t="n"/>
    </row>
    <row r="830" ht="18" customHeight="1">
      <c r="A830" s="109" t="n"/>
      <c r="B830" s="110" t="n"/>
      <c r="C830" s="110" t="n"/>
      <c r="D830" s="111" t="n"/>
      <c r="E830" s="110" t="n"/>
      <c r="F830" s="112" t="n"/>
      <c r="G830" s="112" t="n"/>
      <c r="H830" s="110" t="n"/>
      <c r="I830" s="113" t="n"/>
      <c r="J830" s="113" t="n"/>
      <c r="K830" s="111" t="n"/>
      <c r="L830" s="111" t="n"/>
      <c r="M830" s="111" t="n"/>
      <c r="N830" s="114" t="str">
        <f>IF(OR(D830="",E830=""),"",D830+IF(E830="NOTIFICAÇÃO DE CONSTATAÇÃO",PrazoConst,PrazoEsc))</f>
        <v/>
      </c>
      <c r="O830" s="115" t="str">
        <f>IF(N830="","",IF(ISNUMBER(L830),N830-L830,IF(OR(G830="DECISÃO D.P",ISNUMBER(M830)),"",N830-TODAY())))</f>
        <v/>
      </c>
      <c r="P830" s="116" t="str">
        <f>IF(B830="","",IF(ISNUMBER(M830),"DECIDIDO – ","")&amp;IF(ISNUMBER(L830),IF(O830="","SEM DATA",IF(O830&gt;=0,"DEFESA NO PRAZO","DEFESA FORA DO PRAZO")),IF(OR(G830="DECISÃO D.P",ISNUMBER(M830)),"SEM DEFESA",IF(G830="","SEM STATUS",IF(O830="","SEM DATA",IF(O830&lt;0,"VENCIDO",IF(O830&lt;=DiasAlerta,"VENCE EM BREVE","NO PRAZO")))))))</f>
        <v/>
      </c>
      <c r="Q830" s="117" t="str">
        <f>IF(D830="","",TODAY()-D830)</f>
        <v/>
      </c>
      <c r="R830" s="110" t="n"/>
    </row>
    <row r="831" ht="18" customHeight="1">
      <c r="A831" s="109" t="n"/>
      <c r="B831" s="110" t="n"/>
      <c r="C831" s="110" t="n"/>
      <c r="D831" s="111" t="n"/>
      <c r="E831" s="110" t="n"/>
      <c r="F831" s="112" t="n"/>
      <c r="G831" s="112" t="n"/>
      <c r="H831" s="110" t="n"/>
      <c r="I831" s="113" t="n"/>
      <c r="J831" s="113" t="n"/>
      <c r="K831" s="111" t="n"/>
      <c r="L831" s="111" t="n"/>
      <c r="M831" s="111" t="n"/>
      <c r="N831" s="114" t="str">
        <f>IF(OR(D831="",E831=""),"",D831+IF(E831="NOTIFICAÇÃO DE CONSTATAÇÃO",PrazoConst,PrazoEsc))</f>
        <v/>
      </c>
      <c r="O831" s="115" t="str">
        <f>IF(N831="","",IF(ISNUMBER(L831),N831-L831,IF(OR(G831="DECISÃO D.P",ISNUMBER(M831)),"",N831-TODAY())))</f>
        <v/>
      </c>
      <c r="P831" s="116" t="str">
        <f>IF(B831="","",IF(ISNUMBER(M831),"DECIDIDO – ","")&amp;IF(ISNUMBER(L831),IF(O831="","SEM DATA",IF(O831&gt;=0,"DEFESA NO PRAZO","DEFESA FORA DO PRAZO")),IF(OR(G831="DECISÃO D.P",ISNUMBER(M831)),"SEM DEFESA",IF(G831="","SEM STATUS",IF(O831="","SEM DATA",IF(O831&lt;0,"VENCIDO",IF(O831&lt;=DiasAlerta,"VENCE EM BREVE","NO PRAZO")))))))</f>
        <v/>
      </c>
      <c r="Q831" s="117" t="str">
        <f>IF(D831="","",TODAY()-D831)</f>
        <v/>
      </c>
      <c r="R831" s="110" t="n"/>
    </row>
    <row r="832" ht="18" customHeight="1">
      <c r="A832" s="109" t="n"/>
      <c r="B832" s="110" t="n"/>
      <c r="C832" s="110" t="n"/>
      <c r="D832" s="111" t="n"/>
      <c r="E832" s="110" t="n"/>
      <c r="F832" s="112" t="n"/>
      <c r="G832" s="112" t="n"/>
      <c r="H832" s="110" t="n"/>
      <c r="I832" s="113" t="n"/>
      <c r="J832" s="113" t="n"/>
      <c r="K832" s="111" t="n"/>
      <c r="L832" s="111" t="n"/>
      <c r="M832" s="111" t="n"/>
      <c r="N832" s="114" t="str">
        <f>IF(OR(D832="",E832=""),"",D832+IF(E832="NOTIFICAÇÃO DE CONSTATAÇÃO",PrazoConst,PrazoEsc))</f>
        <v/>
      </c>
      <c r="O832" s="115" t="str">
        <f>IF(N832="","",IF(ISNUMBER(L832),N832-L832,IF(OR(G832="DECISÃO D.P",ISNUMBER(M832)),"",N832-TODAY())))</f>
        <v/>
      </c>
      <c r="P832" s="116" t="str">
        <f>IF(B832="","",IF(ISNUMBER(M832),"DECIDIDO – ","")&amp;IF(ISNUMBER(L832),IF(O832="","SEM DATA",IF(O832&gt;=0,"DEFESA NO PRAZO","DEFESA FORA DO PRAZO")),IF(OR(G832="DECISÃO D.P",ISNUMBER(M832)),"SEM DEFESA",IF(G832="","SEM STATUS",IF(O832="","SEM DATA",IF(O832&lt;0,"VENCIDO",IF(O832&lt;=DiasAlerta,"VENCE EM BREVE","NO PRAZO")))))))</f>
        <v/>
      </c>
      <c r="Q832" s="117" t="str">
        <f>IF(D832="","",TODAY()-D832)</f>
        <v/>
      </c>
      <c r="R832" s="110" t="n"/>
    </row>
    <row r="833" ht="18" customHeight="1">
      <c r="A833" s="109" t="n"/>
      <c r="B833" s="110" t="n"/>
      <c r="C833" s="110" t="n"/>
      <c r="D833" s="111" t="n"/>
      <c r="E833" s="110" t="n"/>
      <c r="F833" s="112" t="n"/>
      <c r="G833" s="112" t="n"/>
      <c r="H833" s="110" t="n"/>
      <c r="I833" s="113" t="n"/>
      <c r="J833" s="113" t="n"/>
      <c r="K833" s="111" t="n"/>
      <c r="L833" s="111" t="n"/>
      <c r="M833" s="111" t="n"/>
      <c r="N833" s="114" t="str">
        <f>IF(OR(D833="",E833=""),"",D833+IF(E833="NOTIFICAÇÃO DE CONSTATAÇÃO",PrazoConst,PrazoEsc))</f>
        <v/>
      </c>
      <c r="O833" s="115" t="str">
        <f>IF(N833="","",IF(ISNUMBER(L833),N833-L833,IF(OR(G833="DECISÃO D.P",ISNUMBER(M833)),"",N833-TODAY())))</f>
        <v/>
      </c>
      <c r="P833" s="116" t="str">
        <f>IF(B833="","",IF(ISNUMBER(M833),"DECIDIDO – ","")&amp;IF(ISNUMBER(L833),IF(O833="","SEM DATA",IF(O833&gt;=0,"DEFESA NO PRAZO","DEFESA FORA DO PRAZO")),IF(OR(G833="DECISÃO D.P",ISNUMBER(M833)),"SEM DEFESA",IF(G833="","SEM STATUS",IF(O833="","SEM DATA",IF(O833&lt;0,"VENCIDO",IF(O833&lt;=DiasAlerta,"VENCE EM BREVE","NO PRAZO")))))))</f>
        <v/>
      </c>
      <c r="Q833" s="117" t="str">
        <f>IF(D833="","",TODAY()-D833)</f>
        <v/>
      </c>
      <c r="R833" s="110" t="n"/>
    </row>
    <row r="834" ht="18" customHeight="1">
      <c r="A834" s="109" t="n"/>
      <c r="B834" s="110" t="n"/>
      <c r="C834" s="110" t="n"/>
      <c r="D834" s="111" t="n"/>
      <c r="E834" s="110" t="n"/>
      <c r="F834" s="112" t="n"/>
      <c r="G834" s="112" t="n"/>
      <c r="H834" s="110" t="n"/>
      <c r="I834" s="113" t="n"/>
      <c r="J834" s="113" t="n"/>
      <c r="K834" s="111" t="n"/>
      <c r="L834" s="111" t="n"/>
      <c r="M834" s="111" t="n"/>
      <c r="N834" s="114" t="str">
        <f>IF(OR(D834="",E834=""),"",D834+IF(E834="NOTIFICAÇÃO DE CONSTATAÇÃO",PrazoConst,PrazoEsc))</f>
        <v/>
      </c>
      <c r="O834" s="115" t="str">
        <f>IF(N834="","",IF(ISNUMBER(L834),N834-L834,IF(OR(G834="DECISÃO D.P",ISNUMBER(M834)),"",N834-TODAY())))</f>
        <v/>
      </c>
      <c r="P834" s="116" t="str">
        <f>IF(B834="","",IF(ISNUMBER(M834),"DECIDIDO – ","")&amp;IF(ISNUMBER(L834),IF(O834="","SEM DATA",IF(O834&gt;=0,"DEFESA NO PRAZO","DEFESA FORA DO PRAZO")),IF(OR(G834="DECISÃO D.P",ISNUMBER(M834)),"SEM DEFESA",IF(G834="","SEM STATUS",IF(O834="","SEM DATA",IF(O834&lt;0,"VENCIDO",IF(O834&lt;=DiasAlerta,"VENCE EM BREVE","NO PRAZO")))))))</f>
        <v/>
      </c>
      <c r="Q834" s="117" t="str">
        <f>IF(D834="","",TODAY()-D834)</f>
        <v/>
      </c>
      <c r="R834" s="110" t="n"/>
    </row>
    <row r="835" ht="18" customHeight="1">
      <c r="A835" s="109" t="n"/>
      <c r="B835" s="110" t="n"/>
      <c r="C835" s="110" t="n"/>
      <c r="D835" s="111" t="n"/>
      <c r="E835" s="110" t="n"/>
      <c r="F835" s="112" t="n"/>
      <c r="G835" s="112" t="n"/>
      <c r="H835" s="110" t="n"/>
      <c r="I835" s="113" t="n"/>
      <c r="J835" s="113" t="n"/>
      <c r="K835" s="111" t="n"/>
      <c r="L835" s="111" t="n"/>
      <c r="M835" s="111" t="n"/>
      <c r="N835" s="114" t="str">
        <f>IF(OR(D835="",E835=""),"",D835+IF(E835="NOTIFICAÇÃO DE CONSTATAÇÃO",PrazoConst,PrazoEsc))</f>
        <v/>
      </c>
      <c r="O835" s="115" t="str">
        <f>IF(N835="","",IF(ISNUMBER(L835),N835-L835,IF(OR(G835="DECISÃO D.P",ISNUMBER(M835)),"",N835-TODAY())))</f>
        <v/>
      </c>
      <c r="P835" s="116" t="str">
        <f>IF(B835="","",IF(ISNUMBER(M835),"DECIDIDO – ","")&amp;IF(ISNUMBER(L835),IF(O835="","SEM DATA",IF(O835&gt;=0,"DEFESA NO PRAZO","DEFESA FORA DO PRAZO")),IF(OR(G835="DECISÃO D.P",ISNUMBER(M835)),"SEM DEFESA",IF(G835="","SEM STATUS",IF(O835="","SEM DATA",IF(O835&lt;0,"VENCIDO",IF(O835&lt;=DiasAlerta,"VENCE EM BREVE","NO PRAZO")))))))</f>
        <v/>
      </c>
      <c r="Q835" s="117" t="str">
        <f>IF(D835="","",TODAY()-D835)</f>
        <v/>
      </c>
      <c r="R835" s="110" t="n"/>
    </row>
    <row r="836" ht="18" customHeight="1">
      <c r="A836" s="109" t="n"/>
      <c r="B836" s="110" t="n"/>
      <c r="C836" s="110" t="n"/>
      <c r="D836" s="111" t="n"/>
      <c r="E836" s="110" t="n"/>
      <c r="F836" s="112" t="n"/>
      <c r="G836" s="112" t="n"/>
      <c r="H836" s="110" t="n"/>
      <c r="I836" s="113" t="n"/>
      <c r="J836" s="113" t="n"/>
      <c r="K836" s="111" t="n"/>
      <c r="L836" s="111" t="n"/>
      <c r="M836" s="111" t="n"/>
      <c r="N836" s="114" t="str">
        <f>IF(OR(D836="",E836=""),"",D836+IF(E836="NOTIFICAÇÃO DE CONSTATAÇÃO",PrazoConst,PrazoEsc))</f>
        <v/>
      </c>
      <c r="O836" s="115" t="str">
        <f>IF(N836="","",IF(ISNUMBER(L836),N836-L836,IF(OR(G836="DECISÃO D.P",ISNUMBER(M836)),"",N836-TODAY())))</f>
        <v/>
      </c>
      <c r="P836" s="116" t="str">
        <f>IF(B836="","",IF(ISNUMBER(M836),"DECIDIDO – ","")&amp;IF(ISNUMBER(L836),IF(O836="","SEM DATA",IF(O836&gt;=0,"DEFESA NO PRAZO","DEFESA FORA DO PRAZO")),IF(OR(G836="DECISÃO D.P",ISNUMBER(M836)),"SEM DEFESA",IF(G836="","SEM STATUS",IF(O836="","SEM DATA",IF(O836&lt;0,"VENCIDO",IF(O836&lt;=DiasAlerta,"VENCE EM BREVE","NO PRAZO")))))))</f>
        <v/>
      </c>
      <c r="Q836" s="117" t="str">
        <f>IF(D836="","",TODAY()-D836)</f>
        <v/>
      </c>
      <c r="R836" s="110" t="n"/>
    </row>
    <row r="837" ht="18" customHeight="1">
      <c r="A837" s="109" t="n"/>
      <c r="B837" s="110" t="n"/>
      <c r="C837" s="110" t="n"/>
      <c r="D837" s="111" t="n"/>
      <c r="E837" s="110" t="n"/>
      <c r="F837" s="112" t="n"/>
      <c r="G837" s="112" t="n"/>
      <c r="H837" s="110" t="n"/>
      <c r="I837" s="113" t="n"/>
      <c r="J837" s="113" t="n"/>
      <c r="K837" s="111" t="n"/>
      <c r="L837" s="111" t="n"/>
      <c r="M837" s="111" t="n"/>
      <c r="N837" s="114" t="str">
        <f>IF(OR(D837="",E837=""),"",D837+IF(E837="NOTIFICAÇÃO DE CONSTATAÇÃO",PrazoConst,PrazoEsc))</f>
        <v/>
      </c>
      <c r="O837" s="115" t="str">
        <f>IF(N837="","",IF(ISNUMBER(L837),N837-L837,IF(OR(G837="DECISÃO D.P",ISNUMBER(M837)),"",N837-TODAY())))</f>
        <v/>
      </c>
      <c r="P837" s="116" t="str">
        <f>IF(B837="","",IF(ISNUMBER(M837),"DECIDIDO – ","")&amp;IF(ISNUMBER(L837),IF(O837="","SEM DATA",IF(O837&gt;=0,"DEFESA NO PRAZO","DEFESA FORA DO PRAZO")),IF(OR(G837="DECISÃO D.P",ISNUMBER(M837)),"SEM DEFESA",IF(G837="","SEM STATUS",IF(O837="","SEM DATA",IF(O837&lt;0,"VENCIDO",IF(O837&lt;=DiasAlerta,"VENCE EM BREVE","NO PRAZO")))))))</f>
        <v/>
      </c>
      <c r="Q837" s="117" t="str">
        <f>IF(D837="","",TODAY()-D837)</f>
        <v/>
      </c>
      <c r="R837" s="110" t="n"/>
    </row>
    <row r="838" ht="18" customHeight="1">
      <c r="A838" s="109" t="n"/>
      <c r="B838" s="110" t="n"/>
      <c r="C838" s="110" t="n"/>
      <c r="D838" s="111" t="n"/>
      <c r="E838" s="110" t="n"/>
      <c r="F838" s="112" t="n"/>
      <c r="G838" s="112" t="n"/>
      <c r="H838" s="110" t="n"/>
      <c r="I838" s="113" t="n"/>
      <c r="J838" s="113" t="n"/>
      <c r="K838" s="111" t="n"/>
      <c r="L838" s="111" t="n"/>
      <c r="M838" s="111" t="n"/>
      <c r="N838" s="114" t="str">
        <f>IF(OR(D838="",E838=""),"",D838+IF(E838="NOTIFICAÇÃO DE CONSTATAÇÃO",PrazoConst,PrazoEsc))</f>
        <v/>
      </c>
      <c r="O838" s="115" t="str">
        <f>IF(N838="","",IF(ISNUMBER(L838),N838-L838,IF(OR(G838="DECISÃO D.P",ISNUMBER(M838)),"",N838-TODAY())))</f>
        <v/>
      </c>
      <c r="P838" s="116" t="str">
        <f>IF(B838="","",IF(ISNUMBER(M838),"DECIDIDO – ","")&amp;IF(ISNUMBER(L838),IF(O838="","SEM DATA",IF(O838&gt;=0,"DEFESA NO PRAZO","DEFESA FORA DO PRAZO")),IF(OR(G838="DECISÃO D.P",ISNUMBER(M838)),"SEM DEFESA",IF(G838="","SEM STATUS",IF(O838="","SEM DATA",IF(O838&lt;0,"VENCIDO",IF(O838&lt;=DiasAlerta,"VENCE EM BREVE","NO PRAZO")))))))</f>
        <v/>
      </c>
      <c r="Q838" s="117" t="str">
        <f>IF(D838="","",TODAY()-D838)</f>
        <v/>
      </c>
      <c r="R838" s="110" t="n"/>
    </row>
    <row r="839" ht="18" customHeight="1">
      <c r="A839" s="109" t="n"/>
      <c r="B839" s="110" t="n"/>
      <c r="C839" s="110" t="n"/>
      <c r="D839" s="111" t="n"/>
      <c r="E839" s="110" t="n"/>
      <c r="F839" s="112" t="n"/>
      <c r="G839" s="112" t="n"/>
      <c r="H839" s="110" t="n"/>
      <c r="I839" s="113" t="n"/>
      <c r="J839" s="113" t="n"/>
      <c r="K839" s="111" t="n"/>
      <c r="L839" s="111" t="n"/>
      <c r="M839" s="111" t="n"/>
      <c r="N839" s="114" t="str">
        <f>IF(OR(D839="",E839=""),"",D839+IF(E839="NOTIFICAÇÃO DE CONSTATAÇÃO",PrazoConst,PrazoEsc))</f>
        <v/>
      </c>
      <c r="O839" s="115" t="str">
        <f>IF(N839="","",IF(ISNUMBER(L839),N839-L839,IF(OR(G839="DECISÃO D.P",ISNUMBER(M839)),"",N839-TODAY())))</f>
        <v/>
      </c>
      <c r="P839" s="116" t="str">
        <f>IF(B839="","",IF(ISNUMBER(M839),"DECIDIDO – ","")&amp;IF(ISNUMBER(L839),IF(O839="","SEM DATA",IF(O839&gt;=0,"DEFESA NO PRAZO","DEFESA FORA DO PRAZO")),IF(OR(G839="DECISÃO D.P",ISNUMBER(M839)),"SEM DEFESA",IF(G839="","SEM STATUS",IF(O839="","SEM DATA",IF(O839&lt;0,"VENCIDO",IF(O839&lt;=DiasAlerta,"VENCE EM BREVE","NO PRAZO")))))))</f>
        <v/>
      </c>
      <c r="Q839" s="117" t="str">
        <f>IF(D839="","",TODAY()-D839)</f>
        <v/>
      </c>
      <c r="R839" s="110" t="n"/>
    </row>
    <row r="840" ht="18" customHeight="1">
      <c r="A840" s="109" t="n"/>
      <c r="B840" s="110" t="n"/>
      <c r="C840" s="110" t="n"/>
      <c r="D840" s="111" t="n"/>
      <c r="E840" s="110" t="n"/>
      <c r="F840" s="112" t="n"/>
      <c r="G840" s="112" t="n"/>
      <c r="H840" s="110" t="n"/>
      <c r="I840" s="113" t="n"/>
      <c r="J840" s="113" t="n"/>
      <c r="K840" s="111" t="n"/>
      <c r="L840" s="111" t="n"/>
      <c r="M840" s="111" t="n"/>
      <c r="N840" s="114" t="str">
        <f>IF(OR(D840="",E840=""),"",D840+IF(E840="NOTIFICAÇÃO DE CONSTATAÇÃO",PrazoConst,PrazoEsc))</f>
        <v/>
      </c>
      <c r="O840" s="115" t="str">
        <f>IF(N840="","",IF(ISNUMBER(L840),N840-L840,IF(OR(G840="DECISÃO D.P",ISNUMBER(M840)),"",N840-TODAY())))</f>
        <v/>
      </c>
      <c r="P840" s="116" t="str">
        <f>IF(B840="","",IF(ISNUMBER(M840),"DECIDIDO – ","")&amp;IF(ISNUMBER(L840),IF(O840="","SEM DATA",IF(O840&gt;=0,"DEFESA NO PRAZO","DEFESA FORA DO PRAZO")),IF(OR(G840="DECISÃO D.P",ISNUMBER(M840)),"SEM DEFESA",IF(G840="","SEM STATUS",IF(O840="","SEM DATA",IF(O840&lt;0,"VENCIDO",IF(O840&lt;=DiasAlerta,"VENCE EM BREVE","NO PRAZO")))))))</f>
        <v/>
      </c>
      <c r="Q840" s="117" t="str">
        <f>IF(D840="","",TODAY()-D840)</f>
        <v/>
      </c>
      <c r="R840" s="110" t="n"/>
    </row>
    <row r="841" ht="18" customHeight="1">
      <c r="A841" s="109" t="n"/>
      <c r="B841" s="110" t="n"/>
      <c r="C841" s="110" t="n"/>
      <c r="D841" s="111" t="n"/>
      <c r="E841" s="110" t="n"/>
      <c r="F841" s="112" t="n"/>
      <c r="G841" s="112" t="n"/>
      <c r="H841" s="110" t="n"/>
      <c r="I841" s="113" t="n"/>
      <c r="J841" s="113" t="n"/>
      <c r="K841" s="111" t="n"/>
      <c r="L841" s="111" t="n"/>
      <c r="M841" s="111" t="n"/>
      <c r="N841" s="114" t="str">
        <f>IF(OR(D841="",E841=""),"",D841+IF(E841="NOTIFICAÇÃO DE CONSTATAÇÃO",PrazoConst,PrazoEsc))</f>
        <v/>
      </c>
      <c r="O841" s="115" t="str">
        <f>IF(N841="","",IF(ISNUMBER(L841),N841-L841,IF(OR(G841="DECISÃO D.P",ISNUMBER(M841)),"",N841-TODAY())))</f>
        <v/>
      </c>
      <c r="P841" s="116" t="str">
        <f>IF(B841="","",IF(ISNUMBER(M841),"DECIDIDO – ","")&amp;IF(ISNUMBER(L841),IF(O841="","SEM DATA",IF(O841&gt;=0,"DEFESA NO PRAZO","DEFESA FORA DO PRAZO")),IF(OR(G841="DECISÃO D.P",ISNUMBER(M841)),"SEM DEFESA",IF(G841="","SEM STATUS",IF(O841="","SEM DATA",IF(O841&lt;0,"VENCIDO",IF(O841&lt;=DiasAlerta,"VENCE EM BREVE","NO PRAZO")))))))</f>
        <v/>
      </c>
      <c r="Q841" s="117" t="str">
        <f>IF(D841="","",TODAY()-D841)</f>
        <v/>
      </c>
      <c r="R841" s="110" t="n"/>
    </row>
    <row r="842" ht="18" customHeight="1">
      <c r="A842" s="109" t="n"/>
      <c r="B842" s="110" t="n"/>
      <c r="C842" s="110" t="n"/>
      <c r="D842" s="111" t="n"/>
      <c r="E842" s="110" t="n"/>
      <c r="F842" s="112" t="n"/>
      <c r="G842" s="112" t="n"/>
      <c r="H842" s="110" t="n"/>
      <c r="I842" s="113" t="n"/>
      <c r="J842" s="113" t="n"/>
      <c r="K842" s="111" t="n"/>
      <c r="L842" s="111" t="n"/>
      <c r="M842" s="111" t="n"/>
      <c r="N842" s="114" t="str">
        <f>IF(OR(D842="",E842=""),"",D842+IF(E842="NOTIFICAÇÃO DE CONSTATAÇÃO",PrazoConst,PrazoEsc))</f>
        <v/>
      </c>
      <c r="O842" s="115" t="str">
        <f>IF(N842="","",IF(ISNUMBER(L842),N842-L842,IF(OR(G842="DECISÃO D.P",ISNUMBER(M842)),"",N842-TODAY())))</f>
        <v/>
      </c>
      <c r="P842" s="116" t="str">
        <f>IF(B842="","",IF(ISNUMBER(M842),"DECIDIDO – ","")&amp;IF(ISNUMBER(L842),IF(O842="","SEM DATA",IF(O842&gt;=0,"DEFESA NO PRAZO","DEFESA FORA DO PRAZO")),IF(OR(G842="DECISÃO D.P",ISNUMBER(M842)),"SEM DEFESA",IF(G842="","SEM STATUS",IF(O842="","SEM DATA",IF(O842&lt;0,"VENCIDO",IF(O842&lt;=DiasAlerta,"VENCE EM BREVE","NO PRAZO")))))))</f>
        <v/>
      </c>
      <c r="Q842" s="117" t="str">
        <f>IF(D842="","",TODAY()-D842)</f>
        <v/>
      </c>
      <c r="R842" s="110" t="n"/>
    </row>
    <row r="843" ht="18" customHeight="1">
      <c r="A843" s="109" t="n"/>
      <c r="B843" s="110" t="n"/>
      <c r="C843" s="110" t="n"/>
      <c r="D843" s="111" t="n"/>
      <c r="E843" s="110" t="n"/>
      <c r="F843" s="112" t="n"/>
      <c r="G843" s="112" t="n"/>
      <c r="H843" s="110" t="n"/>
      <c r="I843" s="113" t="n"/>
      <c r="J843" s="113" t="n"/>
      <c r="K843" s="111" t="n"/>
      <c r="L843" s="111" t="n"/>
      <c r="M843" s="111" t="n"/>
      <c r="N843" s="114" t="str">
        <f>IF(OR(D843="",E843=""),"",D843+IF(E843="NOTIFICAÇÃO DE CONSTATAÇÃO",PrazoConst,PrazoEsc))</f>
        <v/>
      </c>
      <c r="O843" s="115" t="str">
        <f>IF(N843="","",IF(ISNUMBER(L843),N843-L843,IF(OR(G843="DECISÃO D.P",ISNUMBER(M843)),"",N843-TODAY())))</f>
        <v/>
      </c>
      <c r="P843" s="116" t="str">
        <f>IF(B843="","",IF(ISNUMBER(M843),"DECIDIDO – ","")&amp;IF(ISNUMBER(L843),IF(O843="","SEM DATA",IF(O843&gt;=0,"DEFESA NO PRAZO","DEFESA FORA DO PRAZO")),IF(OR(G843="DECISÃO D.P",ISNUMBER(M843)),"SEM DEFESA",IF(G843="","SEM STATUS",IF(O843="","SEM DATA",IF(O843&lt;0,"VENCIDO",IF(O843&lt;=DiasAlerta,"VENCE EM BREVE","NO PRAZO")))))))</f>
        <v/>
      </c>
      <c r="Q843" s="117" t="str">
        <f>IF(D843="","",TODAY()-D843)</f>
        <v/>
      </c>
      <c r="R843" s="110" t="n"/>
    </row>
    <row r="844" ht="18" customHeight="1">
      <c r="A844" s="109" t="n"/>
      <c r="B844" s="110" t="n"/>
      <c r="C844" s="110" t="n"/>
      <c r="D844" s="111" t="n"/>
      <c r="E844" s="110" t="n"/>
      <c r="F844" s="112" t="n"/>
      <c r="G844" s="112" t="n"/>
      <c r="H844" s="110" t="n"/>
      <c r="I844" s="113" t="n"/>
      <c r="J844" s="113" t="n"/>
      <c r="K844" s="111" t="n"/>
      <c r="L844" s="111" t="n"/>
      <c r="M844" s="111" t="n"/>
      <c r="N844" s="114" t="str">
        <f>IF(OR(D844="",E844=""),"",D844+IF(E844="NOTIFICAÇÃO DE CONSTATAÇÃO",PrazoConst,PrazoEsc))</f>
        <v/>
      </c>
      <c r="O844" s="115" t="str">
        <f>IF(N844="","",IF(ISNUMBER(L844),N844-L844,IF(OR(G844="DECISÃO D.P",ISNUMBER(M844)),"",N844-TODAY())))</f>
        <v/>
      </c>
      <c r="P844" s="116" t="str">
        <f>IF(B844="","",IF(ISNUMBER(M844),"DECIDIDO – ","")&amp;IF(ISNUMBER(L844),IF(O844="","SEM DATA",IF(O844&gt;=0,"DEFESA NO PRAZO","DEFESA FORA DO PRAZO")),IF(OR(G844="DECISÃO D.P",ISNUMBER(M844)),"SEM DEFESA",IF(G844="","SEM STATUS",IF(O844="","SEM DATA",IF(O844&lt;0,"VENCIDO",IF(O844&lt;=DiasAlerta,"VENCE EM BREVE","NO PRAZO")))))))</f>
        <v/>
      </c>
      <c r="Q844" s="117" t="str">
        <f>IF(D844="","",TODAY()-D844)</f>
        <v/>
      </c>
      <c r="R844" s="110" t="n"/>
    </row>
    <row r="845" ht="18" customHeight="1">
      <c r="A845" s="109" t="n"/>
      <c r="B845" s="110" t="n"/>
      <c r="C845" s="110" t="n"/>
      <c r="D845" s="111" t="n"/>
      <c r="E845" s="110" t="n"/>
      <c r="F845" s="112" t="n"/>
      <c r="G845" s="112" t="n"/>
      <c r="H845" s="110" t="n"/>
      <c r="I845" s="113" t="n"/>
      <c r="J845" s="113" t="n"/>
      <c r="K845" s="111" t="n"/>
      <c r="L845" s="111" t="n"/>
      <c r="M845" s="111" t="n"/>
      <c r="N845" s="114" t="str">
        <f>IF(OR(D845="",E845=""),"",D845+IF(E845="NOTIFICAÇÃO DE CONSTATAÇÃO",PrazoConst,PrazoEsc))</f>
        <v/>
      </c>
      <c r="O845" s="115" t="str">
        <f>IF(N845="","",IF(ISNUMBER(L845),N845-L845,IF(OR(G845="DECISÃO D.P",ISNUMBER(M845)),"",N845-TODAY())))</f>
        <v/>
      </c>
      <c r="P845" s="116" t="str">
        <f>IF(B845="","",IF(ISNUMBER(M845),"DECIDIDO – ","")&amp;IF(ISNUMBER(L845),IF(O845="","SEM DATA",IF(O845&gt;=0,"DEFESA NO PRAZO","DEFESA FORA DO PRAZO")),IF(OR(G845="DECISÃO D.P",ISNUMBER(M845)),"SEM DEFESA",IF(G845="","SEM STATUS",IF(O845="","SEM DATA",IF(O845&lt;0,"VENCIDO",IF(O845&lt;=DiasAlerta,"VENCE EM BREVE","NO PRAZO")))))))</f>
        <v/>
      </c>
      <c r="Q845" s="117" t="str">
        <f>IF(D845="","",TODAY()-D845)</f>
        <v/>
      </c>
      <c r="R845" s="110" t="n"/>
    </row>
    <row r="846" ht="18" customHeight="1">
      <c r="A846" s="109" t="n"/>
      <c r="B846" s="110" t="n"/>
      <c r="C846" s="110" t="n"/>
      <c r="D846" s="111" t="n"/>
      <c r="E846" s="110" t="n"/>
      <c r="F846" s="112" t="n"/>
      <c r="G846" s="112" t="n"/>
      <c r="H846" s="110" t="n"/>
      <c r="I846" s="113" t="n"/>
      <c r="J846" s="113" t="n"/>
      <c r="K846" s="111" t="n"/>
      <c r="L846" s="111" t="n"/>
      <c r="M846" s="111" t="n"/>
      <c r="N846" s="114" t="str">
        <f>IF(OR(D846="",E846=""),"",D846+IF(E846="NOTIFICAÇÃO DE CONSTATAÇÃO",PrazoConst,PrazoEsc))</f>
        <v/>
      </c>
      <c r="O846" s="115" t="str">
        <f>IF(N846="","",IF(ISNUMBER(L846),N846-L846,IF(OR(G846="DECISÃO D.P",ISNUMBER(M846)),"",N846-TODAY())))</f>
        <v/>
      </c>
      <c r="P846" s="116" t="str">
        <f>IF(B846="","",IF(ISNUMBER(M846),"DECIDIDO – ","")&amp;IF(ISNUMBER(L846),IF(O846="","SEM DATA",IF(O846&gt;=0,"DEFESA NO PRAZO","DEFESA FORA DO PRAZO")),IF(OR(G846="DECISÃO D.P",ISNUMBER(M846)),"SEM DEFESA",IF(G846="","SEM STATUS",IF(O846="","SEM DATA",IF(O846&lt;0,"VENCIDO",IF(O846&lt;=DiasAlerta,"VENCE EM BREVE","NO PRAZO")))))))</f>
        <v/>
      </c>
      <c r="Q846" s="117" t="str">
        <f>IF(D846="","",TODAY()-D846)</f>
        <v/>
      </c>
      <c r="R846" s="110" t="n"/>
    </row>
    <row r="847" ht="18" customHeight="1">
      <c r="A847" s="109" t="n"/>
      <c r="B847" s="110" t="n"/>
      <c r="C847" s="110" t="n"/>
      <c r="D847" s="111" t="n"/>
      <c r="E847" s="110" t="n"/>
      <c r="F847" s="112" t="n"/>
      <c r="G847" s="112" t="n"/>
      <c r="H847" s="110" t="n"/>
      <c r="I847" s="113" t="n"/>
      <c r="J847" s="113" t="n"/>
      <c r="K847" s="111" t="n"/>
      <c r="L847" s="111" t="n"/>
      <c r="M847" s="111" t="n"/>
      <c r="N847" s="114" t="str">
        <f>IF(OR(D847="",E847=""),"",D847+IF(E847="NOTIFICAÇÃO DE CONSTATAÇÃO",PrazoConst,PrazoEsc))</f>
        <v/>
      </c>
      <c r="O847" s="115" t="str">
        <f>IF(N847="","",IF(ISNUMBER(L847),N847-L847,IF(OR(G847="DECISÃO D.P",ISNUMBER(M847)),"",N847-TODAY())))</f>
        <v/>
      </c>
      <c r="P847" s="116" t="str">
        <f>IF(B847="","",IF(ISNUMBER(M847),"DECIDIDO – ","")&amp;IF(ISNUMBER(L847),IF(O847="","SEM DATA",IF(O847&gt;=0,"DEFESA NO PRAZO","DEFESA FORA DO PRAZO")),IF(OR(G847="DECISÃO D.P",ISNUMBER(M847)),"SEM DEFESA",IF(G847="","SEM STATUS",IF(O847="","SEM DATA",IF(O847&lt;0,"VENCIDO",IF(O847&lt;=DiasAlerta,"VENCE EM BREVE","NO PRAZO")))))))</f>
        <v/>
      </c>
      <c r="Q847" s="117" t="str">
        <f>IF(D847="","",TODAY()-D847)</f>
        <v/>
      </c>
      <c r="R847" s="110" t="n"/>
    </row>
    <row r="848" ht="18" customHeight="1">
      <c r="A848" s="109" t="n"/>
      <c r="B848" s="110" t="n"/>
      <c r="C848" s="110" t="n"/>
      <c r="D848" s="111" t="n"/>
      <c r="E848" s="110" t="n"/>
      <c r="F848" s="112" t="n"/>
      <c r="G848" s="112" t="n"/>
      <c r="H848" s="110" t="n"/>
      <c r="I848" s="113" t="n"/>
      <c r="J848" s="113" t="n"/>
      <c r="K848" s="111" t="n"/>
      <c r="L848" s="111" t="n"/>
      <c r="M848" s="111" t="n"/>
      <c r="N848" s="114" t="str">
        <f>IF(OR(D848="",E848=""),"",D848+IF(E848="NOTIFICAÇÃO DE CONSTATAÇÃO",PrazoConst,PrazoEsc))</f>
        <v/>
      </c>
      <c r="O848" s="115" t="str">
        <f>IF(N848="","",IF(ISNUMBER(L848),N848-L848,IF(OR(G848="DECISÃO D.P",ISNUMBER(M848)),"",N848-TODAY())))</f>
        <v/>
      </c>
      <c r="P848" s="116" t="str">
        <f>IF(B848="","",IF(ISNUMBER(M848),"DECIDIDO – ","")&amp;IF(ISNUMBER(L848),IF(O848="","SEM DATA",IF(O848&gt;=0,"DEFESA NO PRAZO","DEFESA FORA DO PRAZO")),IF(OR(G848="DECISÃO D.P",ISNUMBER(M848)),"SEM DEFESA",IF(G848="","SEM STATUS",IF(O848="","SEM DATA",IF(O848&lt;0,"VENCIDO",IF(O848&lt;=DiasAlerta,"VENCE EM BREVE","NO PRAZO")))))))</f>
        <v/>
      </c>
      <c r="Q848" s="117" t="str">
        <f>IF(D848="","",TODAY()-D848)</f>
        <v/>
      </c>
      <c r="R848" s="110" t="n"/>
    </row>
    <row r="849" ht="18" customHeight="1">
      <c r="A849" s="109" t="n"/>
      <c r="B849" s="110" t="n"/>
      <c r="C849" s="110" t="n"/>
      <c r="D849" s="111" t="n"/>
      <c r="E849" s="110" t="n"/>
      <c r="F849" s="112" t="n"/>
      <c r="G849" s="112" t="n"/>
      <c r="H849" s="110" t="n"/>
      <c r="I849" s="113" t="n"/>
      <c r="J849" s="113" t="n"/>
      <c r="K849" s="111" t="n"/>
      <c r="L849" s="111" t="n"/>
      <c r="M849" s="111" t="n"/>
      <c r="N849" s="114" t="str">
        <f>IF(OR(D849="",E849=""),"",D849+IF(E849="NOTIFICAÇÃO DE CONSTATAÇÃO",PrazoConst,PrazoEsc))</f>
        <v/>
      </c>
      <c r="O849" s="115" t="str">
        <f>IF(N849="","",IF(ISNUMBER(L849),N849-L849,IF(OR(G849="DECISÃO D.P",ISNUMBER(M849)),"",N849-TODAY())))</f>
        <v/>
      </c>
      <c r="P849" s="116" t="str">
        <f>IF(B849="","",IF(ISNUMBER(M849),"DECIDIDO – ","")&amp;IF(ISNUMBER(L849),IF(O849="","SEM DATA",IF(O849&gt;=0,"DEFESA NO PRAZO","DEFESA FORA DO PRAZO")),IF(OR(G849="DECISÃO D.P",ISNUMBER(M849)),"SEM DEFESA",IF(G849="","SEM STATUS",IF(O849="","SEM DATA",IF(O849&lt;0,"VENCIDO",IF(O849&lt;=DiasAlerta,"VENCE EM BREVE","NO PRAZO")))))))</f>
        <v/>
      </c>
      <c r="Q849" s="117" t="str">
        <f>IF(D849="","",TODAY()-D849)</f>
        <v/>
      </c>
      <c r="R849" s="110" t="n"/>
    </row>
    <row r="850" ht="18" customHeight="1">
      <c r="A850" s="109" t="n"/>
      <c r="B850" s="110" t="n"/>
      <c r="C850" s="110" t="n"/>
      <c r="D850" s="111" t="n"/>
      <c r="E850" s="110" t="n"/>
      <c r="F850" s="112" t="n"/>
      <c r="G850" s="112" t="n"/>
      <c r="H850" s="110" t="n"/>
      <c r="I850" s="113" t="n"/>
      <c r="J850" s="113" t="n"/>
      <c r="K850" s="111" t="n"/>
      <c r="L850" s="111" t="n"/>
      <c r="M850" s="111" t="n"/>
      <c r="N850" s="114" t="str">
        <f>IF(OR(D850="",E850=""),"",D850+IF(E850="NOTIFICAÇÃO DE CONSTATAÇÃO",PrazoConst,PrazoEsc))</f>
        <v/>
      </c>
      <c r="O850" s="115" t="str">
        <f>IF(N850="","",IF(ISNUMBER(L850),N850-L850,IF(OR(G850="DECISÃO D.P",ISNUMBER(M850)),"",N850-TODAY())))</f>
        <v/>
      </c>
      <c r="P850" s="116" t="str">
        <f>IF(B850="","",IF(ISNUMBER(M850),"DECIDIDO – ","")&amp;IF(ISNUMBER(L850),IF(O850="","SEM DATA",IF(O850&gt;=0,"DEFESA NO PRAZO","DEFESA FORA DO PRAZO")),IF(OR(G850="DECISÃO D.P",ISNUMBER(M850)),"SEM DEFESA",IF(G850="","SEM STATUS",IF(O850="","SEM DATA",IF(O850&lt;0,"VENCIDO",IF(O850&lt;=DiasAlerta,"VENCE EM BREVE","NO PRAZO")))))))</f>
        <v/>
      </c>
      <c r="Q850" s="117" t="str">
        <f>IF(D850="","",TODAY()-D850)</f>
        <v/>
      </c>
      <c r="R850" s="110" t="n"/>
    </row>
    <row r="851" ht="18" customHeight="1">
      <c r="A851" s="109" t="n"/>
      <c r="B851" s="110" t="n"/>
      <c r="C851" s="110" t="n"/>
      <c r="D851" s="111" t="n"/>
      <c r="E851" s="110" t="n"/>
      <c r="F851" s="112" t="n"/>
      <c r="G851" s="112" t="n"/>
      <c r="H851" s="110" t="n"/>
      <c r="I851" s="113" t="n"/>
      <c r="J851" s="113" t="n"/>
      <c r="K851" s="111" t="n"/>
      <c r="L851" s="111" t="n"/>
      <c r="M851" s="111" t="n"/>
      <c r="N851" s="114" t="str">
        <f>IF(OR(D851="",E851=""),"",D851+IF(E851="NOTIFICAÇÃO DE CONSTATAÇÃO",PrazoConst,PrazoEsc))</f>
        <v/>
      </c>
      <c r="O851" s="115" t="str">
        <f>IF(N851="","",IF(ISNUMBER(L851),N851-L851,IF(OR(G851="DECISÃO D.P",ISNUMBER(M851)),"",N851-TODAY())))</f>
        <v/>
      </c>
      <c r="P851" s="116" t="str">
        <f>IF(B851="","",IF(ISNUMBER(M851),"DECIDIDO – ","")&amp;IF(ISNUMBER(L851),IF(O851="","SEM DATA",IF(O851&gt;=0,"DEFESA NO PRAZO","DEFESA FORA DO PRAZO")),IF(OR(G851="DECISÃO D.P",ISNUMBER(M851)),"SEM DEFESA",IF(G851="","SEM STATUS",IF(O851="","SEM DATA",IF(O851&lt;0,"VENCIDO",IF(O851&lt;=DiasAlerta,"VENCE EM BREVE","NO PRAZO")))))))</f>
        <v/>
      </c>
      <c r="Q851" s="117" t="str">
        <f>IF(D851="","",TODAY()-D851)</f>
        <v/>
      </c>
      <c r="R851" s="110" t="n"/>
    </row>
    <row r="852" ht="18" customHeight="1">
      <c r="A852" s="109" t="n"/>
      <c r="B852" s="110" t="n"/>
      <c r="C852" s="110" t="n"/>
      <c r="D852" s="111" t="n"/>
      <c r="E852" s="110" t="n"/>
      <c r="F852" s="112" t="n"/>
      <c r="G852" s="112" t="n"/>
      <c r="H852" s="110" t="n"/>
      <c r="I852" s="113" t="n"/>
      <c r="J852" s="113" t="n"/>
      <c r="K852" s="111" t="n"/>
      <c r="L852" s="111" t="n"/>
      <c r="M852" s="111" t="n"/>
      <c r="N852" s="114" t="str">
        <f>IF(OR(D852="",E852=""),"",D852+IF(E852="NOTIFICAÇÃO DE CONSTATAÇÃO",PrazoConst,PrazoEsc))</f>
        <v/>
      </c>
      <c r="O852" s="115" t="str">
        <f>IF(N852="","",IF(ISNUMBER(L852),N852-L852,IF(OR(G852="DECISÃO D.P",ISNUMBER(M852)),"",N852-TODAY())))</f>
        <v/>
      </c>
      <c r="P852" s="116" t="str">
        <f>IF(B852="","",IF(ISNUMBER(M852),"DECIDIDO – ","")&amp;IF(ISNUMBER(L852),IF(O852="","SEM DATA",IF(O852&gt;=0,"DEFESA NO PRAZO","DEFESA FORA DO PRAZO")),IF(OR(G852="DECISÃO D.P",ISNUMBER(M852)),"SEM DEFESA",IF(G852="","SEM STATUS",IF(O852="","SEM DATA",IF(O852&lt;0,"VENCIDO",IF(O852&lt;=DiasAlerta,"VENCE EM BREVE","NO PRAZO")))))))</f>
        <v/>
      </c>
      <c r="Q852" s="117" t="str">
        <f>IF(D852="","",TODAY()-D852)</f>
        <v/>
      </c>
      <c r="R852" s="110" t="n"/>
    </row>
    <row r="853" ht="18" customHeight="1">
      <c r="A853" s="109" t="n"/>
      <c r="B853" s="110" t="n"/>
      <c r="C853" s="110" t="n"/>
      <c r="D853" s="111" t="n"/>
      <c r="E853" s="110" t="n"/>
      <c r="F853" s="112" t="n"/>
      <c r="G853" s="112" t="n"/>
      <c r="H853" s="110" t="n"/>
      <c r="I853" s="113" t="n"/>
      <c r="J853" s="113" t="n"/>
      <c r="K853" s="111" t="n"/>
      <c r="L853" s="111" t="n"/>
      <c r="M853" s="111" t="n"/>
      <c r="N853" s="114" t="str">
        <f>IF(OR(D853="",E853=""),"",D853+IF(E853="NOTIFICAÇÃO DE CONSTATAÇÃO",PrazoConst,PrazoEsc))</f>
        <v/>
      </c>
      <c r="O853" s="115" t="str">
        <f>IF(N853="","",IF(ISNUMBER(L853),N853-L853,IF(OR(G853="DECISÃO D.P",ISNUMBER(M853)),"",N853-TODAY())))</f>
        <v/>
      </c>
      <c r="P853" s="116" t="str">
        <f>IF(B853="","",IF(ISNUMBER(M853),"DECIDIDO – ","")&amp;IF(ISNUMBER(L853),IF(O853="","SEM DATA",IF(O853&gt;=0,"DEFESA NO PRAZO","DEFESA FORA DO PRAZO")),IF(OR(G853="DECISÃO D.P",ISNUMBER(M853)),"SEM DEFESA",IF(G853="","SEM STATUS",IF(O853="","SEM DATA",IF(O853&lt;0,"VENCIDO",IF(O853&lt;=DiasAlerta,"VENCE EM BREVE","NO PRAZO")))))))</f>
        <v/>
      </c>
      <c r="Q853" s="117" t="str">
        <f>IF(D853="","",TODAY()-D853)</f>
        <v/>
      </c>
      <c r="R853" s="110" t="n"/>
    </row>
    <row r="854" ht="18" customHeight="1">
      <c r="A854" s="109" t="n"/>
      <c r="B854" s="110" t="n"/>
      <c r="C854" s="110" t="n"/>
      <c r="D854" s="111" t="n"/>
      <c r="E854" s="110" t="n"/>
      <c r="F854" s="112" t="n"/>
      <c r="G854" s="112" t="n"/>
      <c r="H854" s="110" t="n"/>
      <c r="I854" s="113" t="n"/>
      <c r="J854" s="113" t="n"/>
      <c r="K854" s="111" t="n"/>
      <c r="L854" s="111" t="n"/>
      <c r="M854" s="111" t="n"/>
      <c r="N854" s="114" t="str">
        <f>IF(OR(D854="",E854=""),"",D854+IF(E854="NOTIFICAÇÃO DE CONSTATAÇÃO",PrazoConst,PrazoEsc))</f>
        <v/>
      </c>
      <c r="O854" s="115" t="str">
        <f>IF(N854="","",IF(ISNUMBER(L854),N854-L854,IF(OR(G854="DECISÃO D.P",ISNUMBER(M854)),"",N854-TODAY())))</f>
        <v/>
      </c>
      <c r="P854" s="116" t="str">
        <f>IF(B854="","",IF(ISNUMBER(M854),"DECIDIDO – ","")&amp;IF(ISNUMBER(L854),IF(O854="","SEM DATA",IF(O854&gt;=0,"DEFESA NO PRAZO","DEFESA FORA DO PRAZO")),IF(OR(G854="DECISÃO D.P",ISNUMBER(M854)),"SEM DEFESA",IF(G854="","SEM STATUS",IF(O854="","SEM DATA",IF(O854&lt;0,"VENCIDO",IF(O854&lt;=DiasAlerta,"VENCE EM BREVE","NO PRAZO")))))))</f>
        <v/>
      </c>
      <c r="Q854" s="117" t="str">
        <f>IF(D854="","",TODAY()-D854)</f>
        <v/>
      </c>
      <c r="R854" s="110" t="n"/>
    </row>
    <row r="855" ht="18" customHeight="1">
      <c r="A855" s="109" t="n"/>
      <c r="B855" s="110" t="n"/>
      <c r="C855" s="110" t="n"/>
      <c r="D855" s="111" t="n"/>
      <c r="E855" s="110" t="n"/>
      <c r="F855" s="112" t="n"/>
      <c r="G855" s="112" t="n"/>
      <c r="H855" s="110" t="n"/>
      <c r="I855" s="113" t="n"/>
      <c r="J855" s="113" t="n"/>
      <c r="K855" s="111" t="n"/>
      <c r="L855" s="111" t="n"/>
      <c r="M855" s="111" t="n"/>
      <c r="N855" s="114" t="str">
        <f>IF(OR(D855="",E855=""),"",D855+IF(E855="NOTIFICAÇÃO DE CONSTATAÇÃO",PrazoConst,PrazoEsc))</f>
        <v/>
      </c>
      <c r="O855" s="115" t="str">
        <f>IF(N855="","",IF(ISNUMBER(L855),N855-L855,IF(OR(G855="DECISÃO D.P",ISNUMBER(M855)),"",N855-TODAY())))</f>
        <v/>
      </c>
      <c r="P855" s="116" t="str">
        <f>IF(B855="","",IF(ISNUMBER(M855),"DECIDIDO – ","")&amp;IF(ISNUMBER(L855),IF(O855="","SEM DATA",IF(O855&gt;=0,"DEFESA NO PRAZO","DEFESA FORA DO PRAZO")),IF(OR(G855="DECISÃO D.P",ISNUMBER(M855)),"SEM DEFESA",IF(G855="","SEM STATUS",IF(O855="","SEM DATA",IF(O855&lt;0,"VENCIDO",IF(O855&lt;=DiasAlerta,"VENCE EM BREVE","NO PRAZO")))))))</f>
        <v/>
      </c>
      <c r="Q855" s="117" t="str">
        <f>IF(D855="","",TODAY()-D855)</f>
        <v/>
      </c>
      <c r="R855" s="110" t="n"/>
    </row>
    <row r="856" ht="18" customHeight="1">
      <c r="A856" s="109" t="n"/>
      <c r="B856" s="110" t="n"/>
      <c r="C856" s="110" t="n"/>
      <c r="D856" s="111" t="n"/>
      <c r="E856" s="110" t="n"/>
      <c r="F856" s="112" t="n"/>
      <c r="G856" s="112" t="n"/>
      <c r="H856" s="110" t="n"/>
      <c r="I856" s="113" t="n"/>
      <c r="J856" s="113" t="n"/>
      <c r="K856" s="111" t="n"/>
      <c r="L856" s="111" t="n"/>
      <c r="M856" s="111" t="n"/>
      <c r="N856" s="114" t="str">
        <f>IF(OR(D856="",E856=""),"",D856+IF(E856="NOTIFICAÇÃO DE CONSTATAÇÃO",PrazoConst,PrazoEsc))</f>
        <v/>
      </c>
      <c r="O856" s="115" t="str">
        <f>IF(N856="","",IF(ISNUMBER(L856),N856-L856,IF(OR(G856="DECISÃO D.P",ISNUMBER(M856)),"",N856-TODAY())))</f>
        <v/>
      </c>
      <c r="P856" s="116" t="str">
        <f>IF(B856="","",IF(ISNUMBER(M856),"DECIDIDO – ","")&amp;IF(ISNUMBER(L856),IF(O856="","SEM DATA",IF(O856&gt;=0,"DEFESA NO PRAZO","DEFESA FORA DO PRAZO")),IF(OR(G856="DECISÃO D.P",ISNUMBER(M856)),"SEM DEFESA",IF(G856="","SEM STATUS",IF(O856="","SEM DATA",IF(O856&lt;0,"VENCIDO",IF(O856&lt;=DiasAlerta,"VENCE EM BREVE","NO PRAZO")))))))</f>
        <v/>
      </c>
      <c r="Q856" s="117" t="str">
        <f>IF(D856="","",TODAY()-D856)</f>
        <v/>
      </c>
      <c r="R856" s="110" t="n"/>
    </row>
    <row r="857" ht="18" customHeight="1">
      <c r="A857" s="109" t="n"/>
      <c r="B857" s="110" t="n"/>
      <c r="C857" s="110" t="n"/>
      <c r="D857" s="111" t="n"/>
      <c r="E857" s="110" t="n"/>
      <c r="F857" s="112" t="n"/>
      <c r="G857" s="112" t="n"/>
      <c r="H857" s="110" t="n"/>
      <c r="I857" s="113" t="n"/>
      <c r="J857" s="113" t="n"/>
      <c r="K857" s="111" t="n"/>
      <c r="L857" s="111" t="n"/>
      <c r="M857" s="111" t="n"/>
      <c r="N857" s="114" t="str">
        <f>IF(OR(D857="",E857=""),"",D857+IF(E857="NOTIFICAÇÃO DE CONSTATAÇÃO",PrazoConst,PrazoEsc))</f>
        <v/>
      </c>
      <c r="O857" s="115" t="str">
        <f>IF(N857="","",IF(ISNUMBER(L857),N857-L857,IF(OR(G857="DECISÃO D.P",ISNUMBER(M857)),"",N857-TODAY())))</f>
        <v/>
      </c>
      <c r="P857" s="116" t="str">
        <f>IF(B857="","",IF(ISNUMBER(M857),"DECIDIDO – ","")&amp;IF(ISNUMBER(L857),IF(O857="","SEM DATA",IF(O857&gt;=0,"DEFESA NO PRAZO","DEFESA FORA DO PRAZO")),IF(OR(G857="DECISÃO D.P",ISNUMBER(M857)),"SEM DEFESA",IF(G857="","SEM STATUS",IF(O857="","SEM DATA",IF(O857&lt;0,"VENCIDO",IF(O857&lt;=DiasAlerta,"VENCE EM BREVE","NO PRAZO")))))))</f>
        <v/>
      </c>
      <c r="Q857" s="117" t="str">
        <f>IF(D857="","",TODAY()-D857)</f>
        <v/>
      </c>
      <c r="R857" s="110" t="n"/>
    </row>
    <row r="858" ht="18" customHeight="1">
      <c r="A858" s="109" t="n"/>
      <c r="B858" s="110" t="n"/>
      <c r="C858" s="110" t="n"/>
      <c r="D858" s="111" t="n"/>
      <c r="E858" s="110" t="n"/>
      <c r="F858" s="112" t="n"/>
      <c r="G858" s="112" t="n"/>
      <c r="H858" s="110" t="n"/>
      <c r="I858" s="113" t="n"/>
      <c r="J858" s="113" t="n"/>
      <c r="K858" s="111" t="n"/>
      <c r="L858" s="111" t="n"/>
      <c r="M858" s="111" t="n"/>
      <c r="N858" s="114" t="str">
        <f>IF(OR(D858="",E858=""),"",D858+IF(E858="NOTIFICAÇÃO DE CONSTATAÇÃO",PrazoConst,PrazoEsc))</f>
        <v/>
      </c>
      <c r="O858" s="115" t="str">
        <f>IF(N858="","",IF(ISNUMBER(L858),N858-L858,IF(OR(G858="DECISÃO D.P",ISNUMBER(M858)),"",N858-TODAY())))</f>
        <v/>
      </c>
      <c r="P858" s="116" t="str">
        <f>IF(B858="","",IF(ISNUMBER(M858),"DECIDIDO – ","")&amp;IF(ISNUMBER(L858),IF(O858="","SEM DATA",IF(O858&gt;=0,"DEFESA NO PRAZO","DEFESA FORA DO PRAZO")),IF(OR(G858="DECISÃO D.P",ISNUMBER(M858)),"SEM DEFESA",IF(G858="","SEM STATUS",IF(O858="","SEM DATA",IF(O858&lt;0,"VENCIDO",IF(O858&lt;=DiasAlerta,"VENCE EM BREVE","NO PRAZO")))))))</f>
        <v/>
      </c>
      <c r="Q858" s="117" t="str">
        <f>IF(D858="","",TODAY()-D858)</f>
        <v/>
      </c>
      <c r="R858" s="110" t="n"/>
    </row>
    <row r="859" ht="18" customHeight="1">
      <c r="A859" s="109" t="n"/>
      <c r="B859" s="110" t="n"/>
      <c r="C859" s="110" t="n"/>
      <c r="D859" s="111" t="n"/>
      <c r="E859" s="110" t="n"/>
      <c r="F859" s="112" t="n"/>
      <c r="G859" s="112" t="n"/>
      <c r="H859" s="110" t="n"/>
      <c r="I859" s="113" t="n"/>
      <c r="J859" s="113" t="n"/>
      <c r="K859" s="111" t="n"/>
      <c r="L859" s="111" t="n"/>
      <c r="M859" s="111" t="n"/>
      <c r="N859" s="114" t="str">
        <f>IF(OR(D859="",E859=""),"",D859+IF(E859="NOTIFICAÇÃO DE CONSTATAÇÃO",PrazoConst,PrazoEsc))</f>
        <v/>
      </c>
      <c r="O859" s="115" t="str">
        <f>IF(N859="","",IF(ISNUMBER(L859),N859-L859,IF(OR(G859="DECISÃO D.P",ISNUMBER(M859)),"",N859-TODAY())))</f>
        <v/>
      </c>
      <c r="P859" s="116" t="str">
        <f>IF(B859="","",IF(ISNUMBER(M859),"DECIDIDO – ","")&amp;IF(ISNUMBER(L859),IF(O859="","SEM DATA",IF(O859&gt;=0,"DEFESA NO PRAZO","DEFESA FORA DO PRAZO")),IF(OR(G859="DECISÃO D.P",ISNUMBER(M859)),"SEM DEFESA",IF(G859="","SEM STATUS",IF(O859="","SEM DATA",IF(O859&lt;0,"VENCIDO",IF(O859&lt;=DiasAlerta,"VENCE EM BREVE","NO PRAZO")))))))</f>
        <v/>
      </c>
      <c r="Q859" s="117" t="str">
        <f>IF(D859="","",TODAY()-D859)</f>
        <v/>
      </c>
      <c r="R859" s="110" t="n"/>
    </row>
    <row r="860" ht="18" customHeight="1">
      <c r="A860" s="109" t="n"/>
      <c r="B860" s="110" t="n"/>
      <c r="C860" s="110" t="n"/>
      <c r="D860" s="111" t="n"/>
      <c r="E860" s="110" t="n"/>
      <c r="F860" s="112" t="n"/>
      <c r="G860" s="112" t="n"/>
      <c r="H860" s="110" t="n"/>
      <c r="I860" s="113" t="n"/>
      <c r="J860" s="113" t="n"/>
      <c r="K860" s="111" t="n"/>
      <c r="L860" s="111" t="n"/>
      <c r="M860" s="111" t="n"/>
      <c r="N860" s="114" t="str">
        <f>IF(OR(D860="",E860=""),"",D860+IF(E860="NOTIFICAÇÃO DE CONSTATAÇÃO",PrazoConst,PrazoEsc))</f>
        <v/>
      </c>
      <c r="O860" s="115" t="str">
        <f>IF(N860="","",IF(ISNUMBER(L860),N860-L860,IF(OR(G860="DECISÃO D.P",ISNUMBER(M860)),"",N860-TODAY())))</f>
        <v/>
      </c>
      <c r="P860" s="116" t="str">
        <f>IF(B860="","",IF(ISNUMBER(M860),"DECIDIDO – ","")&amp;IF(ISNUMBER(L860),IF(O860="","SEM DATA",IF(O860&gt;=0,"DEFESA NO PRAZO","DEFESA FORA DO PRAZO")),IF(OR(G860="DECISÃO D.P",ISNUMBER(M860)),"SEM DEFESA",IF(G860="","SEM STATUS",IF(O860="","SEM DATA",IF(O860&lt;0,"VENCIDO",IF(O860&lt;=DiasAlerta,"VENCE EM BREVE","NO PRAZO")))))))</f>
        <v/>
      </c>
      <c r="Q860" s="117" t="str">
        <f>IF(D860="","",TODAY()-D860)</f>
        <v/>
      </c>
      <c r="R860" s="110" t="n"/>
    </row>
    <row r="861" ht="18" customHeight="1">
      <c r="A861" s="109" t="n"/>
      <c r="B861" s="110" t="n"/>
      <c r="C861" s="110" t="n"/>
      <c r="D861" s="111" t="n"/>
      <c r="E861" s="110" t="n"/>
      <c r="F861" s="112" t="n"/>
      <c r="G861" s="112" t="n"/>
      <c r="H861" s="110" t="n"/>
      <c r="I861" s="113" t="n"/>
      <c r="J861" s="113" t="n"/>
      <c r="K861" s="111" t="n"/>
      <c r="L861" s="111" t="n"/>
      <c r="M861" s="111" t="n"/>
      <c r="N861" s="114" t="str">
        <f>IF(OR(D861="",E861=""),"",D861+IF(E861="NOTIFICAÇÃO DE CONSTATAÇÃO",PrazoConst,PrazoEsc))</f>
        <v/>
      </c>
      <c r="O861" s="115" t="str">
        <f>IF(N861="","",IF(ISNUMBER(L861),N861-L861,IF(OR(G861="DECISÃO D.P",ISNUMBER(M861)),"",N861-TODAY())))</f>
        <v/>
      </c>
      <c r="P861" s="116" t="str">
        <f>IF(B861="","",IF(ISNUMBER(M861),"DECIDIDO – ","")&amp;IF(ISNUMBER(L861),IF(O861="","SEM DATA",IF(O861&gt;=0,"DEFESA NO PRAZO","DEFESA FORA DO PRAZO")),IF(OR(G861="DECISÃO D.P",ISNUMBER(M861)),"SEM DEFESA",IF(G861="","SEM STATUS",IF(O861="","SEM DATA",IF(O861&lt;0,"VENCIDO",IF(O861&lt;=DiasAlerta,"VENCE EM BREVE","NO PRAZO")))))))</f>
        <v/>
      </c>
      <c r="Q861" s="117" t="str">
        <f>IF(D861="","",TODAY()-D861)</f>
        <v/>
      </c>
      <c r="R861" s="110" t="n"/>
    </row>
    <row r="862" ht="18" customHeight="1">
      <c r="A862" s="109" t="n"/>
      <c r="B862" s="110" t="n"/>
      <c r="C862" s="110" t="n"/>
      <c r="D862" s="111" t="n"/>
      <c r="E862" s="110" t="n"/>
      <c r="F862" s="112" t="n"/>
      <c r="G862" s="112" t="n"/>
      <c r="H862" s="110" t="n"/>
      <c r="I862" s="113" t="n"/>
      <c r="J862" s="113" t="n"/>
      <c r="K862" s="111" t="n"/>
      <c r="L862" s="111" t="n"/>
      <c r="M862" s="111" t="n"/>
      <c r="N862" s="114" t="str">
        <f>IF(OR(D862="",E862=""),"",D862+IF(E862="NOTIFICAÇÃO DE CONSTATAÇÃO",PrazoConst,PrazoEsc))</f>
        <v/>
      </c>
      <c r="O862" s="115" t="str">
        <f>IF(N862="","",IF(ISNUMBER(L862),N862-L862,IF(OR(G862="DECISÃO D.P",ISNUMBER(M862)),"",N862-TODAY())))</f>
        <v/>
      </c>
      <c r="P862" s="116" t="str">
        <f>IF(B862="","",IF(ISNUMBER(M862),"DECIDIDO – ","")&amp;IF(ISNUMBER(L862),IF(O862="","SEM DATA",IF(O862&gt;=0,"DEFESA NO PRAZO","DEFESA FORA DO PRAZO")),IF(OR(G862="DECISÃO D.P",ISNUMBER(M862)),"SEM DEFESA",IF(G862="","SEM STATUS",IF(O862="","SEM DATA",IF(O862&lt;0,"VENCIDO",IF(O862&lt;=DiasAlerta,"VENCE EM BREVE","NO PRAZO")))))))</f>
        <v/>
      </c>
      <c r="Q862" s="117" t="str">
        <f>IF(D862="","",TODAY()-D862)</f>
        <v/>
      </c>
      <c r="R862" s="110" t="n"/>
    </row>
    <row r="863" ht="18" customHeight="1">
      <c r="A863" s="109" t="n"/>
      <c r="B863" s="110" t="n"/>
      <c r="C863" s="110" t="n"/>
      <c r="D863" s="111" t="n"/>
      <c r="E863" s="110" t="n"/>
      <c r="F863" s="112" t="n"/>
      <c r="G863" s="112" t="n"/>
      <c r="H863" s="110" t="n"/>
      <c r="I863" s="113" t="n"/>
      <c r="J863" s="113" t="n"/>
      <c r="K863" s="111" t="n"/>
      <c r="L863" s="111" t="n"/>
      <c r="M863" s="111" t="n"/>
      <c r="N863" s="114" t="str">
        <f>IF(OR(D863="",E863=""),"",D863+IF(E863="NOTIFICAÇÃO DE CONSTATAÇÃO",PrazoConst,PrazoEsc))</f>
        <v/>
      </c>
      <c r="O863" s="115" t="str">
        <f>IF(N863="","",IF(ISNUMBER(L863),N863-L863,IF(OR(G863="DECISÃO D.P",ISNUMBER(M863)),"",N863-TODAY())))</f>
        <v/>
      </c>
      <c r="P863" s="116" t="str">
        <f>IF(B863="","",IF(ISNUMBER(M863),"DECIDIDO – ","")&amp;IF(ISNUMBER(L863),IF(O863="","SEM DATA",IF(O863&gt;=0,"DEFESA NO PRAZO","DEFESA FORA DO PRAZO")),IF(OR(G863="DECISÃO D.P",ISNUMBER(M863)),"SEM DEFESA",IF(G863="","SEM STATUS",IF(O863="","SEM DATA",IF(O863&lt;0,"VENCIDO",IF(O863&lt;=DiasAlerta,"VENCE EM BREVE","NO PRAZO")))))))</f>
        <v/>
      </c>
      <c r="Q863" s="117" t="str">
        <f>IF(D863="","",TODAY()-D863)</f>
        <v/>
      </c>
      <c r="R863" s="110" t="n"/>
    </row>
    <row r="864" ht="18" customHeight="1">
      <c r="A864" s="109" t="n"/>
      <c r="B864" s="110" t="n"/>
      <c r="C864" s="110" t="n"/>
      <c r="D864" s="111" t="n"/>
      <c r="E864" s="110" t="n"/>
      <c r="F864" s="112" t="n"/>
      <c r="G864" s="112" t="n"/>
      <c r="H864" s="110" t="n"/>
      <c r="I864" s="113" t="n"/>
      <c r="J864" s="113" t="n"/>
      <c r="K864" s="111" t="n"/>
      <c r="L864" s="111" t="n"/>
      <c r="M864" s="111" t="n"/>
      <c r="N864" s="114" t="str">
        <f>IF(OR(D864="",E864=""),"",D864+IF(E864="NOTIFICAÇÃO DE CONSTATAÇÃO",PrazoConst,PrazoEsc))</f>
        <v/>
      </c>
      <c r="O864" s="115" t="str">
        <f>IF(N864="","",IF(ISNUMBER(L864),N864-L864,IF(OR(G864="DECISÃO D.P",ISNUMBER(M864)),"",N864-TODAY())))</f>
        <v/>
      </c>
      <c r="P864" s="116" t="str">
        <f>IF(B864="","",IF(ISNUMBER(M864),"DECIDIDO – ","")&amp;IF(ISNUMBER(L864),IF(O864="","SEM DATA",IF(O864&gt;=0,"DEFESA NO PRAZO","DEFESA FORA DO PRAZO")),IF(OR(G864="DECISÃO D.P",ISNUMBER(M864)),"SEM DEFESA",IF(G864="","SEM STATUS",IF(O864="","SEM DATA",IF(O864&lt;0,"VENCIDO",IF(O864&lt;=DiasAlerta,"VENCE EM BREVE","NO PRAZO")))))))</f>
        <v/>
      </c>
      <c r="Q864" s="117" t="str">
        <f>IF(D864="","",TODAY()-D864)</f>
        <v/>
      </c>
      <c r="R864" s="110" t="n"/>
    </row>
    <row r="865" ht="18" customHeight="1">
      <c r="A865" s="109" t="n"/>
      <c r="B865" s="110" t="n"/>
      <c r="C865" s="110" t="n"/>
      <c r="D865" s="111" t="n"/>
      <c r="E865" s="110" t="n"/>
      <c r="F865" s="112" t="n"/>
      <c r="G865" s="112" t="n"/>
      <c r="H865" s="110" t="n"/>
      <c r="I865" s="113" t="n"/>
      <c r="J865" s="113" t="n"/>
      <c r="K865" s="111" t="n"/>
      <c r="L865" s="111" t="n"/>
      <c r="M865" s="111" t="n"/>
      <c r="N865" s="114" t="str">
        <f>IF(OR(D865="",E865=""),"",D865+IF(E865="NOTIFICAÇÃO DE CONSTATAÇÃO",PrazoConst,PrazoEsc))</f>
        <v/>
      </c>
      <c r="O865" s="115" t="str">
        <f>IF(N865="","",IF(ISNUMBER(L865),N865-L865,IF(OR(G865="DECISÃO D.P",ISNUMBER(M865)),"",N865-TODAY())))</f>
        <v/>
      </c>
      <c r="P865" s="116" t="str">
        <f>IF(B865="","",IF(ISNUMBER(M865),"DECIDIDO – ","")&amp;IF(ISNUMBER(L865),IF(O865="","SEM DATA",IF(O865&gt;=0,"DEFESA NO PRAZO","DEFESA FORA DO PRAZO")),IF(OR(G865="DECISÃO D.P",ISNUMBER(M865)),"SEM DEFESA",IF(G865="","SEM STATUS",IF(O865="","SEM DATA",IF(O865&lt;0,"VENCIDO",IF(O865&lt;=DiasAlerta,"VENCE EM BREVE","NO PRAZO")))))))</f>
        <v/>
      </c>
      <c r="Q865" s="117" t="str">
        <f>IF(D865="","",TODAY()-D865)</f>
        <v/>
      </c>
      <c r="R865" s="110" t="n"/>
    </row>
    <row r="866" ht="18" customHeight="1">
      <c r="A866" s="109" t="n"/>
      <c r="B866" s="110" t="n"/>
      <c r="C866" s="110" t="n"/>
      <c r="D866" s="111" t="n"/>
      <c r="E866" s="110" t="n"/>
      <c r="F866" s="112" t="n"/>
      <c r="G866" s="112" t="n"/>
      <c r="H866" s="110" t="n"/>
      <c r="I866" s="113" t="n"/>
      <c r="J866" s="113" t="n"/>
      <c r="K866" s="111" t="n"/>
      <c r="L866" s="111" t="n"/>
      <c r="M866" s="111" t="n"/>
      <c r="N866" s="114" t="str">
        <f>IF(OR(D866="",E866=""),"",D866+IF(E866="NOTIFICAÇÃO DE CONSTATAÇÃO",PrazoConst,PrazoEsc))</f>
        <v/>
      </c>
      <c r="O866" s="115" t="str">
        <f>IF(N866="","",IF(ISNUMBER(L866),N866-L866,IF(OR(G866="DECISÃO D.P",ISNUMBER(M866)),"",N866-TODAY())))</f>
        <v/>
      </c>
      <c r="P866" s="116" t="str">
        <f>IF(B866="","",IF(ISNUMBER(M866),"DECIDIDO – ","")&amp;IF(ISNUMBER(L866),IF(O866="","SEM DATA",IF(O866&gt;=0,"DEFESA NO PRAZO","DEFESA FORA DO PRAZO")),IF(OR(G866="DECISÃO D.P",ISNUMBER(M866)),"SEM DEFESA",IF(G866="","SEM STATUS",IF(O866="","SEM DATA",IF(O866&lt;0,"VENCIDO",IF(O866&lt;=DiasAlerta,"VENCE EM BREVE","NO PRAZO")))))))</f>
        <v/>
      </c>
      <c r="Q866" s="117" t="str">
        <f>IF(D866="","",TODAY()-D866)</f>
        <v/>
      </c>
      <c r="R866" s="110" t="n"/>
    </row>
    <row r="867" ht="18" customHeight="1">
      <c r="A867" s="109" t="n"/>
      <c r="B867" s="110" t="n"/>
      <c r="C867" s="110" t="n"/>
      <c r="D867" s="111" t="n"/>
      <c r="E867" s="110" t="n"/>
      <c r="F867" s="112" t="n"/>
      <c r="G867" s="112" t="n"/>
      <c r="H867" s="110" t="n"/>
      <c r="I867" s="113" t="n"/>
      <c r="J867" s="113" t="n"/>
      <c r="K867" s="111" t="n"/>
      <c r="L867" s="111" t="n"/>
      <c r="M867" s="111" t="n"/>
      <c r="N867" s="114" t="str">
        <f>IF(OR(D867="",E867=""),"",D867+IF(E867="NOTIFICAÇÃO DE CONSTATAÇÃO",PrazoConst,PrazoEsc))</f>
        <v/>
      </c>
      <c r="O867" s="115" t="str">
        <f>IF(N867="","",IF(ISNUMBER(L867),N867-L867,IF(OR(G867="DECISÃO D.P",ISNUMBER(M867)),"",N867-TODAY())))</f>
        <v/>
      </c>
      <c r="P867" s="116" t="str">
        <f>IF(B867="","",IF(ISNUMBER(M867),"DECIDIDO – ","")&amp;IF(ISNUMBER(L867),IF(O867="","SEM DATA",IF(O867&gt;=0,"DEFESA NO PRAZO","DEFESA FORA DO PRAZO")),IF(OR(G867="DECISÃO D.P",ISNUMBER(M867)),"SEM DEFESA",IF(G867="","SEM STATUS",IF(O867="","SEM DATA",IF(O867&lt;0,"VENCIDO",IF(O867&lt;=DiasAlerta,"VENCE EM BREVE","NO PRAZO")))))))</f>
        <v/>
      </c>
      <c r="Q867" s="117" t="str">
        <f>IF(D867="","",TODAY()-D867)</f>
        <v/>
      </c>
      <c r="R867" s="110" t="n"/>
    </row>
    <row r="868" ht="18" customHeight="1">
      <c r="A868" s="109" t="n"/>
      <c r="B868" s="110" t="n"/>
      <c r="C868" s="110" t="n"/>
      <c r="D868" s="111" t="n"/>
      <c r="E868" s="110" t="n"/>
      <c r="F868" s="112" t="n"/>
      <c r="G868" s="112" t="n"/>
      <c r="H868" s="110" t="n"/>
      <c r="I868" s="113" t="n"/>
      <c r="J868" s="113" t="n"/>
      <c r="K868" s="111" t="n"/>
      <c r="L868" s="111" t="n"/>
      <c r="M868" s="111" t="n"/>
      <c r="N868" s="114" t="str">
        <f>IF(OR(D868="",E868=""),"",D868+IF(E868="NOTIFICAÇÃO DE CONSTATAÇÃO",PrazoConst,PrazoEsc))</f>
        <v/>
      </c>
      <c r="O868" s="115" t="str">
        <f>IF(N868="","",IF(ISNUMBER(L868),N868-L868,IF(OR(G868="DECISÃO D.P",ISNUMBER(M868)),"",N868-TODAY())))</f>
        <v/>
      </c>
      <c r="P868" s="116" t="str">
        <f>IF(B868="","",IF(ISNUMBER(M868),"DECIDIDO – ","")&amp;IF(ISNUMBER(L868),IF(O868="","SEM DATA",IF(O868&gt;=0,"DEFESA NO PRAZO","DEFESA FORA DO PRAZO")),IF(OR(G868="DECISÃO D.P",ISNUMBER(M868)),"SEM DEFESA",IF(G868="","SEM STATUS",IF(O868="","SEM DATA",IF(O868&lt;0,"VENCIDO",IF(O868&lt;=DiasAlerta,"VENCE EM BREVE","NO PRAZO")))))))</f>
        <v/>
      </c>
      <c r="Q868" s="117" t="str">
        <f>IF(D868="","",TODAY()-D868)</f>
        <v/>
      </c>
      <c r="R868" s="110" t="n"/>
    </row>
    <row r="869" ht="18" customHeight="1">
      <c r="A869" s="109" t="n"/>
      <c r="B869" s="110" t="n"/>
      <c r="C869" s="110" t="n"/>
      <c r="D869" s="111" t="n"/>
      <c r="E869" s="110" t="n"/>
      <c r="F869" s="112" t="n"/>
      <c r="G869" s="112" t="n"/>
      <c r="H869" s="110" t="n"/>
      <c r="I869" s="113" t="n"/>
      <c r="J869" s="113" t="n"/>
      <c r="K869" s="111" t="n"/>
      <c r="L869" s="111" t="n"/>
      <c r="M869" s="111" t="n"/>
      <c r="N869" s="114" t="str">
        <f>IF(OR(D869="",E869=""),"",D869+IF(E869="NOTIFICAÇÃO DE CONSTATAÇÃO",PrazoConst,PrazoEsc))</f>
        <v/>
      </c>
      <c r="O869" s="115" t="str">
        <f>IF(N869="","",IF(ISNUMBER(L869),N869-L869,IF(OR(G869="DECISÃO D.P",ISNUMBER(M869)),"",N869-TODAY())))</f>
        <v/>
      </c>
      <c r="P869" s="116" t="str">
        <f>IF(B869="","",IF(ISNUMBER(M869),"DECIDIDO – ","")&amp;IF(ISNUMBER(L869),IF(O869="","SEM DATA",IF(O869&gt;=0,"DEFESA NO PRAZO","DEFESA FORA DO PRAZO")),IF(OR(G869="DECISÃO D.P",ISNUMBER(M869)),"SEM DEFESA",IF(G869="","SEM STATUS",IF(O869="","SEM DATA",IF(O869&lt;0,"VENCIDO",IF(O869&lt;=DiasAlerta,"VENCE EM BREVE","NO PRAZO")))))))</f>
        <v/>
      </c>
      <c r="Q869" s="117" t="str">
        <f>IF(D869="","",TODAY()-D869)</f>
        <v/>
      </c>
      <c r="R869" s="110" t="n"/>
    </row>
    <row r="870" ht="18" customHeight="1">
      <c r="A870" s="109" t="n"/>
      <c r="B870" s="110" t="n"/>
      <c r="C870" s="110" t="n"/>
      <c r="D870" s="111" t="n"/>
      <c r="E870" s="110" t="n"/>
      <c r="F870" s="112" t="n"/>
      <c r="G870" s="112" t="n"/>
      <c r="H870" s="110" t="n"/>
      <c r="I870" s="113" t="n"/>
      <c r="J870" s="113" t="n"/>
      <c r="K870" s="111" t="n"/>
      <c r="L870" s="111" t="n"/>
      <c r="M870" s="111" t="n"/>
      <c r="N870" s="114" t="str">
        <f>IF(OR(D870="",E870=""),"",D870+IF(E870="NOTIFICAÇÃO DE CONSTATAÇÃO",PrazoConst,PrazoEsc))</f>
        <v/>
      </c>
      <c r="O870" s="115" t="str">
        <f>IF(N870="","",IF(ISNUMBER(L870),N870-L870,IF(OR(G870="DECISÃO D.P",ISNUMBER(M870)),"",N870-TODAY())))</f>
        <v/>
      </c>
      <c r="P870" s="116" t="str">
        <f>IF(B870="","",IF(ISNUMBER(M870),"DECIDIDO – ","")&amp;IF(ISNUMBER(L870),IF(O870="","SEM DATA",IF(O870&gt;=0,"DEFESA NO PRAZO","DEFESA FORA DO PRAZO")),IF(OR(G870="DECISÃO D.P",ISNUMBER(M870)),"SEM DEFESA",IF(G870="","SEM STATUS",IF(O870="","SEM DATA",IF(O870&lt;0,"VENCIDO",IF(O870&lt;=DiasAlerta,"VENCE EM BREVE","NO PRAZO")))))))</f>
        <v/>
      </c>
      <c r="Q870" s="117" t="str">
        <f>IF(D870="","",TODAY()-D870)</f>
        <v/>
      </c>
      <c r="R870" s="110" t="n"/>
    </row>
    <row r="871" ht="18" customHeight="1">
      <c r="A871" s="109" t="n"/>
      <c r="B871" s="110" t="n"/>
      <c r="C871" s="110" t="n"/>
      <c r="D871" s="111" t="n"/>
      <c r="E871" s="110" t="n"/>
      <c r="F871" s="112" t="n"/>
      <c r="G871" s="112" t="n"/>
      <c r="H871" s="110" t="n"/>
      <c r="I871" s="113" t="n"/>
      <c r="J871" s="113" t="n"/>
      <c r="K871" s="111" t="n"/>
      <c r="L871" s="111" t="n"/>
      <c r="M871" s="111" t="n"/>
      <c r="N871" s="114" t="str">
        <f>IF(OR(D871="",E871=""),"",D871+IF(E871="NOTIFICAÇÃO DE CONSTATAÇÃO",PrazoConst,PrazoEsc))</f>
        <v/>
      </c>
      <c r="O871" s="115" t="str">
        <f>IF(N871="","",IF(ISNUMBER(L871),N871-L871,IF(OR(G871="DECISÃO D.P",ISNUMBER(M871)),"",N871-TODAY())))</f>
        <v/>
      </c>
      <c r="P871" s="116" t="str">
        <f>IF(B871="","",IF(ISNUMBER(M871),"DECIDIDO – ","")&amp;IF(ISNUMBER(L871),IF(O871="","SEM DATA",IF(O871&gt;=0,"DEFESA NO PRAZO","DEFESA FORA DO PRAZO")),IF(OR(G871="DECISÃO D.P",ISNUMBER(M871)),"SEM DEFESA",IF(G871="","SEM STATUS",IF(O871="","SEM DATA",IF(O871&lt;0,"VENCIDO",IF(O871&lt;=DiasAlerta,"VENCE EM BREVE","NO PRAZO")))))))</f>
        <v/>
      </c>
      <c r="Q871" s="117" t="str">
        <f>IF(D871="","",TODAY()-D871)</f>
        <v/>
      </c>
      <c r="R871" s="110" t="n"/>
    </row>
    <row r="872" ht="18" customHeight="1">
      <c r="A872" s="109" t="n"/>
      <c r="B872" s="110" t="n"/>
      <c r="C872" s="110" t="n"/>
      <c r="D872" s="111" t="n"/>
      <c r="E872" s="110" t="n"/>
      <c r="F872" s="112" t="n"/>
      <c r="G872" s="112" t="n"/>
      <c r="H872" s="110" t="n"/>
      <c r="I872" s="113" t="n"/>
      <c r="J872" s="113" t="n"/>
      <c r="K872" s="111" t="n"/>
      <c r="L872" s="111" t="n"/>
      <c r="M872" s="111" t="n"/>
      <c r="N872" s="114" t="str">
        <f>IF(OR(D872="",E872=""),"",D872+IF(E872="NOTIFICAÇÃO DE CONSTATAÇÃO",PrazoConst,PrazoEsc))</f>
        <v/>
      </c>
      <c r="O872" s="115" t="str">
        <f>IF(N872="","",IF(ISNUMBER(L872),N872-L872,IF(OR(G872="DECISÃO D.P",ISNUMBER(M872)),"",N872-TODAY())))</f>
        <v/>
      </c>
      <c r="P872" s="116" t="str">
        <f>IF(B872="","",IF(ISNUMBER(M872),"DECIDIDO – ","")&amp;IF(ISNUMBER(L872),IF(O872="","SEM DATA",IF(O872&gt;=0,"DEFESA NO PRAZO","DEFESA FORA DO PRAZO")),IF(OR(G872="DECISÃO D.P",ISNUMBER(M872)),"SEM DEFESA",IF(G872="","SEM STATUS",IF(O872="","SEM DATA",IF(O872&lt;0,"VENCIDO",IF(O872&lt;=DiasAlerta,"VENCE EM BREVE","NO PRAZO")))))))</f>
        <v/>
      </c>
      <c r="Q872" s="117" t="str">
        <f>IF(D872="","",TODAY()-D872)</f>
        <v/>
      </c>
      <c r="R872" s="110" t="n"/>
    </row>
    <row r="873" ht="18" customHeight="1">
      <c r="A873" s="109" t="n"/>
      <c r="B873" s="110" t="n"/>
      <c r="C873" s="110" t="n"/>
      <c r="D873" s="111" t="n"/>
      <c r="E873" s="110" t="n"/>
      <c r="F873" s="112" t="n"/>
      <c r="G873" s="112" t="n"/>
      <c r="H873" s="110" t="n"/>
      <c r="I873" s="113" t="n"/>
      <c r="J873" s="113" t="n"/>
      <c r="K873" s="111" t="n"/>
      <c r="L873" s="111" t="n"/>
      <c r="M873" s="111" t="n"/>
      <c r="N873" s="114" t="str">
        <f>IF(OR(D873="",E873=""),"",D873+IF(E873="NOTIFICAÇÃO DE CONSTATAÇÃO",PrazoConst,PrazoEsc))</f>
        <v/>
      </c>
      <c r="O873" s="115" t="str">
        <f>IF(N873="","",IF(ISNUMBER(L873),N873-L873,IF(OR(G873="DECISÃO D.P",ISNUMBER(M873)),"",N873-TODAY())))</f>
        <v/>
      </c>
      <c r="P873" s="116" t="str">
        <f>IF(B873="","",IF(ISNUMBER(M873),"DECIDIDO – ","")&amp;IF(ISNUMBER(L873),IF(O873="","SEM DATA",IF(O873&gt;=0,"DEFESA NO PRAZO","DEFESA FORA DO PRAZO")),IF(OR(G873="DECISÃO D.P",ISNUMBER(M873)),"SEM DEFESA",IF(G873="","SEM STATUS",IF(O873="","SEM DATA",IF(O873&lt;0,"VENCIDO",IF(O873&lt;=DiasAlerta,"VENCE EM BREVE","NO PRAZO")))))))</f>
        <v/>
      </c>
      <c r="Q873" s="117" t="str">
        <f>IF(D873="","",TODAY()-D873)</f>
        <v/>
      </c>
      <c r="R873" s="110" t="n"/>
    </row>
    <row r="874" ht="18" customHeight="1">
      <c r="A874" s="109" t="n"/>
      <c r="B874" s="110" t="n"/>
      <c r="C874" s="110" t="n"/>
      <c r="D874" s="111" t="n"/>
      <c r="E874" s="110" t="n"/>
      <c r="F874" s="112" t="n"/>
      <c r="G874" s="112" t="n"/>
      <c r="H874" s="110" t="n"/>
      <c r="I874" s="113" t="n"/>
      <c r="J874" s="113" t="n"/>
      <c r="K874" s="111" t="n"/>
      <c r="L874" s="111" t="n"/>
      <c r="M874" s="111" t="n"/>
      <c r="N874" s="114" t="str">
        <f>IF(OR(D874="",E874=""),"",D874+IF(E874="NOTIFICAÇÃO DE CONSTATAÇÃO",PrazoConst,PrazoEsc))</f>
        <v/>
      </c>
      <c r="O874" s="115" t="str">
        <f>IF(N874="","",IF(ISNUMBER(L874),N874-L874,IF(OR(G874="DECISÃO D.P",ISNUMBER(M874)),"",N874-TODAY())))</f>
        <v/>
      </c>
      <c r="P874" s="116" t="str">
        <f>IF(B874="","",IF(ISNUMBER(M874),"DECIDIDO – ","")&amp;IF(ISNUMBER(L874),IF(O874="","SEM DATA",IF(O874&gt;=0,"DEFESA NO PRAZO","DEFESA FORA DO PRAZO")),IF(OR(G874="DECISÃO D.P",ISNUMBER(M874)),"SEM DEFESA",IF(G874="","SEM STATUS",IF(O874="","SEM DATA",IF(O874&lt;0,"VENCIDO",IF(O874&lt;=DiasAlerta,"VENCE EM BREVE","NO PRAZO")))))))</f>
        <v/>
      </c>
      <c r="Q874" s="117" t="str">
        <f>IF(D874="","",TODAY()-D874)</f>
        <v/>
      </c>
      <c r="R874" s="110" t="n"/>
    </row>
    <row r="875" ht="18" customHeight="1">
      <c r="A875" s="109" t="n"/>
      <c r="B875" s="110" t="n"/>
      <c r="C875" s="110" t="n"/>
      <c r="D875" s="111" t="n"/>
      <c r="E875" s="110" t="n"/>
      <c r="F875" s="112" t="n"/>
      <c r="G875" s="112" t="n"/>
      <c r="H875" s="110" t="n"/>
      <c r="I875" s="113" t="n"/>
      <c r="J875" s="113" t="n"/>
      <c r="K875" s="111" t="n"/>
      <c r="L875" s="111" t="n"/>
      <c r="M875" s="111" t="n"/>
      <c r="N875" s="114" t="str">
        <f>IF(OR(D875="",E875=""),"",D875+IF(E875="NOTIFICAÇÃO DE CONSTATAÇÃO",PrazoConst,PrazoEsc))</f>
        <v/>
      </c>
      <c r="O875" s="115" t="str">
        <f>IF(N875="","",IF(ISNUMBER(L875),N875-L875,IF(OR(G875="DECISÃO D.P",ISNUMBER(M875)),"",N875-TODAY())))</f>
        <v/>
      </c>
      <c r="P875" s="116" t="str">
        <f>IF(B875="","",IF(ISNUMBER(M875),"DECIDIDO – ","")&amp;IF(ISNUMBER(L875),IF(O875="","SEM DATA",IF(O875&gt;=0,"DEFESA NO PRAZO","DEFESA FORA DO PRAZO")),IF(OR(G875="DECISÃO D.P",ISNUMBER(M875)),"SEM DEFESA",IF(G875="","SEM STATUS",IF(O875="","SEM DATA",IF(O875&lt;0,"VENCIDO",IF(O875&lt;=DiasAlerta,"VENCE EM BREVE","NO PRAZO")))))))</f>
        <v/>
      </c>
      <c r="Q875" s="117" t="str">
        <f>IF(D875="","",TODAY()-D875)</f>
        <v/>
      </c>
      <c r="R875" s="110" t="n"/>
    </row>
    <row r="876" ht="18" customHeight="1">
      <c r="A876" s="109" t="n"/>
      <c r="B876" s="110" t="n"/>
      <c r="C876" s="110" t="n"/>
      <c r="D876" s="111" t="n"/>
      <c r="E876" s="110" t="n"/>
      <c r="F876" s="112" t="n"/>
      <c r="G876" s="112" t="n"/>
      <c r="H876" s="110" t="n"/>
      <c r="I876" s="113" t="n"/>
      <c r="J876" s="113" t="n"/>
      <c r="K876" s="111" t="n"/>
      <c r="L876" s="111" t="n"/>
      <c r="M876" s="111" t="n"/>
      <c r="N876" s="114" t="str">
        <f>IF(OR(D876="",E876=""),"",D876+IF(E876="NOTIFICAÇÃO DE CONSTATAÇÃO",PrazoConst,PrazoEsc))</f>
        <v/>
      </c>
      <c r="O876" s="115" t="str">
        <f>IF(N876="","",IF(ISNUMBER(L876),N876-L876,IF(OR(G876="DECISÃO D.P",ISNUMBER(M876)),"",N876-TODAY())))</f>
        <v/>
      </c>
      <c r="P876" s="116" t="str">
        <f>IF(B876="","",IF(ISNUMBER(M876),"DECIDIDO – ","")&amp;IF(ISNUMBER(L876),IF(O876="","SEM DATA",IF(O876&gt;=0,"DEFESA NO PRAZO","DEFESA FORA DO PRAZO")),IF(OR(G876="DECISÃO D.P",ISNUMBER(M876)),"SEM DEFESA",IF(G876="","SEM STATUS",IF(O876="","SEM DATA",IF(O876&lt;0,"VENCIDO",IF(O876&lt;=DiasAlerta,"VENCE EM BREVE","NO PRAZO")))))))</f>
        <v/>
      </c>
      <c r="Q876" s="117" t="str">
        <f>IF(D876="","",TODAY()-D876)</f>
        <v/>
      </c>
      <c r="R876" s="110" t="n"/>
    </row>
    <row r="877" ht="18" customHeight="1">
      <c r="A877" s="109" t="n"/>
      <c r="B877" s="110" t="n"/>
      <c r="C877" s="110" t="n"/>
      <c r="D877" s="111" t="n"/>
      <c r="E877" s="110" t="n"/>
      <c r="F877" s="112" t="n"/>
      <c r="G877" s="112" t="n"/>
      <c r="H877" s="110" t="n"/>
      <c r="I877" s="113" t="n"/>
      <c r="J877" s="113" t="n"/>
      <c r="K877" s="111" t="n"/>
      <c r="L877" s="111" t="n"/>
      <c r="M877" s="111" t="n"/>
      <c r="N877" s="114" t="str">
        <f>IF(OR(D877="",E877=""),"",D877+IF(E877="NOTIFICAÇÃO DE CONSTATAÇÃO",PrazoConst,PrazoEsc))</f>
        <v/>
      </c>
      <c r="O877" s="115" t="str">
        <f>IF(N877="","",IF(ISNUMBER(L877),N877-L877,IF(OR(G877="DECISÃO D.P",ISNUMBER(M877)),"",N877-TODAY())))</f>
        <v/>
      </c>
      <c r="P877" s="116" t="str">
        <f>IF(B877="","",IF(ISNUMBER(M877),"DECIDIDO – ","")&amp;IF(ISNUMBER(L877),IF(O877="","SEM DATA",IF(O877&gt;=0,"DEFESA NO PRAZO","DEFESA FORA DO PRAZO")),IF(OR(G877="DECISÃO D.P",ISNUMBER(M877)),"SEM DEFESA",IF(G877="","SEM STATUS",IF(O877="","SEM DATA",IF(O877&lt;0,"VENCIDO",IF(O877&lt;=DiasAlerta,"VENCE EM BREVE","NO PRAZO")))))))</f>
        <v/>
      </c>
      <c r="Q877" s="117" t="str">
        <f>IF(D877="","",TODAY()-D877)</f>
        <v/>
      </c>
      <c r="R877" s="110" t="n"/>
    </row>
    <row r="878" ht="18" customHeight="1">
      <c r="A878" s="109" t="n"/>
      <c r="B878" s="110" t="n"/>
      <c r="C878" s="110" t="n"/>
      <c r="D878" s="111" t="n"/>
      <c r="E878" s="110" t="n"/>
      <c r="F878" s="112" t="n"/>
      <c r="G878" s="112" t="n"/>
      <c r="H878" s="110" t="n"/>
      <c r="I878" s="113" t="n"/>
      <c r="J878" s="113" t="n"/>
      <c r="K878" s="111" t="n"/>
      <c r="L878" s="111" t="n"/>
      <c r="M878" s="111" t="n"/>
      <c r="N878" s="114" t="str">
        <f>IF(OR(D878="",E878=""),"",D878+IF(E878="NOTIFICAÇÃO DE CONSTATAÇÃO",PrazoConst,PrazoEsc))</f>
        <v/>
      </c>
      <c r="O878" s="115" t="str">
        <f>IF(N878="","",IF(ISNUMBER(L878),N878-L878,IF(OR(G878="DECISÃO D.P",ISNUMBER(M878)),"",N878-TODAY())))</f>
        <v/>
      </c>
      <c r="P878" s="116" t="str">
        <f>IF(B878="","",IF(ISNUMBER(M878),"DECIDIDO – ","")&amp;IF(ISNUMBER(L878),IF(O878="","SEM DATA",IF(O878&gt;=0,"DEFESA NO PRAZO","DEFESA FORA DO PRAZO")),IF(OR(G878="DECISÃO D.P",ISNUMBER(M878)),"SEM DEFESA",IF(G878="","SEM STATUS",IF(O878="","SEM DATA",IF(O878&lt;0,"VENCIDO",IF(O878&lt;=DiasAlerta,"VENCE EM BREVE","NO PRAZO")))))))</f>
        <v/>
      </c>
      <c r="Q878" s="117" t="str">
        <f>IF(D878="","",TODAY()-D878)</f>
        <v/>
      </c>
      <c r="R878" s="110" t="n"/>
    </row>
    <row r="879" ht="18" customHeight="1">
      <c r="A879" s="109" t="n"/>
      <c r="B879" s="110" t="n"/>
      <c r="C879" s="110" t="n"/>
      <c r="D879" s="111" t="n"/>
      <c r="E879" s="110" t="n"/>
      <c r="F879" s="112" t="n"/>
      <c r="G879" s="112" t="n"/>
      <c r="H879" s="110" t="n"/>
      <c r="I879" s="113" t="n"/>
      <c r="J879" s="113" t="n"/>
      <c r="K879" s="111" t="n"/>
      <c r="L879" s="111" t="n"/>
      <c r="M879" s="111" t="n"/>
      <c r="N879" s="114" t="str">
        <f>IF(OR(D879="",E879=""),"",D879+IF(E879="NOTIFICAÇÃO DE CONSTATAÇÃO",PrazoConst,PrazoEsc))</f>
        <v/>
      </c>
      <c r="O879" s="115" t="str">
        <f>IF(N879="","",IF(ISNUMBER(L879),N879-L879,IF(OR(G879="DECISÃO D.P",ISNUMBER(M879)),"",N879-TODAY())))</f>
        <v/>
      </c>
      <c r="P879" s="116" t="str">
        <f>IF(B879="","",IF(ISNUMBER(M879),"DECIDIDO – ","")&amp;IF(ISNUMBER(L879),IF(O879="","SEM DATA",IF(O879&gt;=0,"DEFESA NO PRAZO","DEFESA FORA DO PRAZO")),IF(OR(G879="DECISÃO D.P",ISNUMBER(M879)),"SEM DEFESA",IF(G879="","SEM STATUS",IF(O879="","SEM DATA",IF(O879&lt;0,"VENCIDO",IF(O879&lt;=DiasAlerta,"VENCE EM BREVE","NO PRAZO")))))))</f>
        <v/>
      </c>
      <c r="Q879" s="117" t="str">
        <f>IF(D879="","",TODAY()-D879)</f>
        <v/>
      </c>
      <c r="R879" s="110" t="n"/>
    </row>
    <row r="880" ht="18" customHeight="1">
      <c r="A880" s="109" t="n"/>
      <c r="B880" s="110" t="n"/>
      <c r="C880" s="110" t="n"/>
      <c r="D880" s="111" t="n"/>
      <c r="E880" s="110" t="n"/>
      <c r="F880" s="112" t="n"/>
      <c r="G880" s="112" t="n"/>
      <c r="H880" s="110" t="n"/>
      <c r="I880" s="113" t="n"/>
      <c r="J880" s="113" t="n"/>
      <c r="K880" s="111" t="n"/>
      <c r="L880" s="111" t="n"/>
      <c r="M880" s="111" t="n"/>
      <c r="N880" s="114" t="str">
        <f>IF(OR(D880="",E880=""),"",D880+IF(E880="NOTIFICAÇÃO DE CONSTATAÇÃO",PrazoConst,PrazoEsc))</f>
        <v/>
      </c>
      <c r="O880" s="115" t="str">
        <f>IF(N880="","",IF(ISNUMBER(L880),N880-L880,IF(OR(G880="DECISÃO D.P",ISNUMBER(M880)),"",N880-TODAY())))</f>
        <v/>
      </c>
      <c r="P880" s="116" t="str">
        <f>IF(B880="","",IF(ISNUMBER(M880),"DECIDIDO – ","")&amp;IF(ISNUMBER(L880),IF(O880="","SEM DATA",IF(O880&gt;=0,"DEFESA NO PRAZO","DEFESA FORA DO PRAZO")),IF(OR(G880="DECISÃO D.P",ISNUMBER(M880)),"SEM DEFESA",IF(G880="","SEM STATUS",IF(O880="","SEM DATA",IF(O880&lt;0,"VENCIDO",IF(O880&lt;=DiasAlerta,"VENCE EM BREVE","NO PRAZO")))))))</f>
        <v/>
      </c>
      <c r="Q880" s="117" t="str">
        <f>IF(D880="","",TODAY()-D880)</f>
        <v/>
      </c>
      <c r="R880" s="110" t="n"/>
    </row>
    <row r="881" ht="18" customHeight="1">
      <c r="A881" s="109" t="n"/>
      <c r="B881" s="110" t="n"/>
      <c r="C881" s="110" t="n"/>
      <c r="D881" s="111" t="n"/>
      <c r="E881" s="110" t="n"/>
      <c r="F881" s="112" t="n"/>
      <c r="G881" s="112" t="n"/>
      <c r="H881" s="110" t="n"/>
      <c r="I881" s="113" t="n"/>
      <c r="J881" s="113" t="n"/>
      <c r="K881" s="111" t="n"/>
      <c r="L881" s="111" t="n"/>
      <c r="M881" s="111" t="n"/>
      <c r="N881" s="114" t="str">
        <f>IF(OR(D881="",E881=""),"",D881+IF(E881="NOTIFICAÇÃO DE CONSTATAÇÃO",PrazoConst,PrazoEsc))</f>
        <v/>
      </c>
      <c r="O881" s="115" t="str">
        <f>IF(N881="","",IF(ISNUMBER(L881),N881-L881,IF(OR(G881="DECISÃO D.P",ISNUMBER(M881)),"",N881-TODAY())))</f>
        <v/>
      </c>
      <c r="P881" s="116" t="str">
        <f>IF(B881="","",IF(ISNUMBER(M881),"DECIDIDO – ","")&amp;IF(ISNUMBER(L881),IF(O881="","SEM DATA",IF(O881&gt;=0,"DEFESA NO PRAZO","DEFESA FORA DO PRAZO")),IF(OR(G881="DECISÃO D.P",ISNUMBER(M881)),"SEM DEFESA",IF(G881="","SEM STATUS",IF(O881="","SEM DATA",IF(O881&lt;0,"VENCIDO",IF(O881&lt;=DiasAlerta,"VENCE EM BREVE","NO PRAZO")))))))</f>
        <v/>
      </c>
      <c r="Q881" s="117" t="str">
        <f>IF(D881="","",TODAY()-D881)</f>
        <v/>
      </c>
      <c r="R881" s="110" t="n"/>
    </row>
    <row r="882" ht="18" customHeight="1">
      <c r="A882" s="109" t="n"/>
      <c r="B882" s="110" t="n"/>
      <c r="C882" s="110" t="n"/>
      <c r="D882" s="111" t="n"/>
      <c r="E882" s="110" t="n"/>
      <c r="F882" s="112" t="n"/>
      <c r="G882" s="112" t="n"/>
      <c r="H882" s="110" t="n"/>
      <c r="I882" s="113" t="n"/>
      <c r="J882" s="113" t="n"/>
      <c r="K882" s="111" t="n"/>
      <c r="L882" s="111" t="n"/>
      <c r="M882" s="111" t="n"/>
      <c r="N882" s="114" t="str">
        <f>IF(OR(D882="",E882=""),"",D882+IF(E882="NOTIFICAÇÃO DE CONSTATAÇÃO",PrazoConst,PrazoEsc))</f>
        <v/>
      </c>
      <c r="O882" s="115" t="str">
        <f>IF(N882="","",IF(ISNUMBER(L882),N882-L882,IF(OR(G882="DECISÃO D.P",ISNUMBER(M882)),"",N882-TODAY())))</f>
        <v/>
      </c>
      <c r="P882" s="116" t="str">
        <f>IF(B882="","",IF(ISNUMBER(M882),"DECIDIDO – ","")&amp;IF(ISNUMBER(L882),IF(O882="","SEM DATA",IF(O882&gt;=0,"DEFESA NO PRAZO","DEFESA FORA DO PRAZO")),IF(OR(G882="DECISÃO D.P",ISNUMBER(M882)),"SEM DEFESA",IF(G882="","SEM STATUS",IF(O882="","SEM DATA",IF(O882&lt;0,"VENCIDO",IF(O882&lt;=DiasAlerta,"VENCE EM BREVE","NO PRAZO")))))))</f>
        <v/>
      </c>
      <c r="Q882" s="117" t="str">
        <f>IF(D882="","",TODAY()-D882)</f>
        <v/>
      </c>
      <c r="R882" s="110" t="n"/>
    </row>
    <row r="883" ht="18" customHeight="1">
      <c r="A883" s="109" t="n"/>
      <c r="B883" s="110" t="n"/>
      <c r="C883" s="110" t="n"/>
      <c r="D883" s="111" t="n"/>
      <c r="E883" s="110" t="n"/>
      <c r="F883" s="112" t="n"/>
      <c r="G883" s="112" t="n"/>
      <c r="H883" s="110" t="n"/>
      <c r="I883" s="113" t="n"/>
      <c r="J883" s="113" t="n"/>
      <c r="K883" s="111" t="n"/>
      <c r="L883" s="111" t="n"/>
      <c r="M883" s="111" t="n"/>
      <c r="N883" s="114" t="str">
        <f>IF(OR(D883="",E883=""),"",D883+IF(E883="NOTIFICAÇÃO DE CONSTATAÇÃO",PrazoConst,PrazoEsc))</f>
        <v/>
      </c>
      <c r="O883" s="115" t="str">
        <f>IF(N883="","",IF(ISNUMBER(L883),N883-L883,IF(OR(G883="DECISÃO D.P",ISNUMBER(M883)),"",N883-TODAY())))</f>
        <v/>
      </c>
      <c r="P883" s="116" t="str">
        <f>IF(B883="","",IF(ISNUMBER(M883),"DECIDIDO – ","")&amp;IF(ISNUMBER(L883),IF(O883="","SEM DATA",IF(O883&gt;=0,"DEFESA NO PRAZO","DEFESA FORA DO PRAZO")),IF(OR(G883="DECISÃO D.P",ISNUMBER(M883)),"SEM DEFESA",IF(G883="","SEM STATUS",IF(O883="","SEM DATA",IF(O883&lt;0,"VENCIDO",IF(O883&lt;=DiasAlerta,"VENCE EM BREVE","NO PRAZO")))))))</f>
        <v/>
      </c>
      <c r="Q883" s="117" t="str">
        <f>IF(D883="","",TODAY()-D883)</f>
        <v/>
      </c>
      <c r="R883" s="110" t="n"/>
    </row>
    <row r="884" ht="18" customHeight="1">
      <c r="A884" s="109" t="n"/>
      <c r="B884" s="110" t="n"/>
      <c r="C884" s="110" t="n"/>
      <c r="D884" s="111" t="n"/>
      <c r="E884" s="110" t="n"/>
      <c r="F884" s="112" t="n"/>
      <c r="G884" s="112" t="n"/>
      <c r="H884" s="110" t="n"/>
      <c r="I884" s="113" t="n"/>
      <c r="J884" s="113" t="n"/>
      <c r="K884" s="111" t="n"/>
      <c r="L884" s="111" t="n"/>
      <c r="M884" s="111" t="n"/>
      <c r="N884" s="114" t="str">
        <f>IF(OR(D884="",E884=""),"",D884+IF(E884="NOTIFICAÇÃO DE CONSTATAÇÃO",PrazoConst,PrazoEsc))</f>
        <v/>
      </c>
      <c r="O884" s="115" t="str">
        <f>IF(N884="","",IF(ISNUMBER(L884),N884-L884,IF(OR(G884="DECISÃO D.P",ISNUMBER(M884)),"",N884-TODAY())))</f>
        <v/>
      </c>
      <c r="P884" s="116" t="str">
        <f>IF(B884="","",IF(ISNUMBER(M884),"DECIDIDO – ","")&amp;IF(ISNUMBER(L884),IF(O884="","SEM DATA",IF(O884&gt;=0,"DEFESA NO PRAZO","DEFESA FORA DO PRAZO")),IF(OR(G884="DECISÃO D.P",ISNUMBER(M884)),"SEM DEFESA",IF(G884="","SEM STATUS",IF(O884="","SEM DATA",IF(O884&lt;0,"VENCIDO",IF(O884&lt;=DiasAlerta,"VENCE EM BREVE","NO PRAZO")))))))</f>
        <v/>
      </c>
      <c r="Q884" s="117" t="str">
        <f>IF(D884="","",TODAY()-D884)</f>
        <v/>
      </c>
      <c r="R884" s="110" t="n"/>
    </row>
    <row r="885" ht="18" customHeight="1">
      <c r="A885" s="109" t="n"/>
      <c r="B885" s="110" t="n"/>
      <c r="C885" s="110" t="n"/>
      <c r="D885" s="111" t="n"/>
      <c r="E885" s="110" t="n"/>
      <c r="F885" s="112" t="n"/>
      <c r="G885" s="112" t="n"/>
      <c r="H885" s="110" t="n"/>
      <c r="I885" s="113" t="n"/>
      <c r="J885" s="113" t="n"/>
      <c r="K885" s="111" t="n"/>
      <c r="L885" s="111" t="n"/>
      <c r="M885" s="111" t="n"/>
      <c r="N885" s="114" t="str">
        <f>IF(OR(D885="",E885=""),"",D885+IF(E885="NOTIFICAÇÃO DE CONSTATAÇÃO",PrazoConst,PrazoEsc))</f>
        <v/>
      </c>
      <c r="O885" s="115" t="str">
        <f>IF(N885="","",IF(ISNUMBER(L885),N885-L885,IF(OR(G885="DECISÃO D.P",ISNUMBER(M885)),"",N885-TODAY())))</f>
        <v/>
      </c>
      <c r="P885" s="116" t="str">
        <f>IF(B885="","",IF(ISNUMBER(M885),"DECIDIDO – ","")&amp;IF(ISNUMBER(L885),IF(O885="","SEM DATA",IF(O885&gt;=0,"DEFESA NO PRAZO","DEFESA FORA DO PRAZO")),IF(OR(G885="DECISÃO D.P",ISNUMBER(M885)),"SEM DEFESA",IF(G885="","SEM STATUS",IF(O885="","SEM DATA",IF(O885&lt;0,"VENCIDO",IF(O885&lt;=DiasAlerta,"VENCE EM BREVE","NO PRAZO")))))))</f>
        <v/>
      </c>
      <c r="Q885" s="117" t="str">
        <f>IF(D885="","",TODAY()-D885)</f>
        <v/>
      </c>
      <c r="R885" s="110" t="n"/>
    </row>
    <row r="886" ht="18" customHeight="1">
      <c r="A886" s="109" t="n"/>
      <c r="B886" s="110" t="n"/>
      <c r="C886" s="110" t="n"/>
      <c r="D886" s="111" t="n"/>
      <c r="E886" s="110" t="n"/>
      <c r="F886" s="112" t="n"/>
      <c r="G886" s="112" t="n"/>
      <c r="H886" s="110" t="n"/>
      <c r="I886" s="113" t="n"/>
      <c r="J886" s="113" t="n"/>
      <c r="K886" s="111" t="n"/>
      <c r="L886" s="111" t="n"/>
      <c r="M886" s="111" t="n"/>
      <c r="N886" s="114" t="str">
        <f>IF(OR(D886="",E886=""),"",D886+IF(E886="NOTIFICAÇÃO DE CONSTATAÇÃO",PrazoConst,PrazoEsc))</f>
        <v/>
      </c>
      <c r="O886" s="115" t="str">
        <f>IF(N886="","",IF(ISNUMBER(L886),N886-L886,IF(OR(G886="DECISÃO D.P",ISNUMBER(M886)),"",N886-TODAY())))</f>
        <v/>
      </c>
      <c r="P886" s="116" t="str">
        <f>IF(B886="","",IF(ISNUMBER(M886),"DECIDIDO – ","")&amp;IF(ISNUMBER(L886),IF(O886="","SEM DATA",IF(O886&gt;=0,"DEFESA NO PRAZO","DEFESA FORA DO PRAZO")),IF(OR(G886="DECISÃO D.P",ISNUMBER(M886)),"SEM DEFESA",IF(G886="","SEM STATUS",IF(O886="","SEM DATA",IF(O886&lt;0,"VENCIDO",IF(O886&lt;=DiasAlerta,"VENCE EM BREVE","NO PRAZO")))))))</f>
        <v/>
      </c>
      <c r="Q886" s="117" t="str">
        <f>IF(D886="","",TODAY()-D886)</f>
        <v/>
      </c>
      <c r="R886" s="110" t="n"/>
    </row>
    <row r="887" ht="18" customHeight="1">
      <c r="A887" s="109" t="n"/>
      <c r="B887" s="110" t="n"/>
      <c r="C887" s="110" t="n"/>
      <c r="D887" s="111" t="n"/>
      <c r="E887" s="110" t="n"/>
      <c r="F887" s="112" t="n"/>
      <c r="G887" s="112" t="n"/>
      <c r="H887" s="110" t="n"/>
      <c r="I887" s="113" t="n"/>
      <c r="J887" s="113" t="n"/>
      <c r="K887" s="111" t="n"/>
      <c r="L887" s="111" t="n"/>
      <c r="M887" s="111" t="n"/>
      <c r="N887" s="114" t="str">
        <f>IF(OR(D887="",E887=""),"",D887+IF(E887="NOTIFICAÇÃO DE CONSTATAÇÃO",PrazoConst,PrazoEsc))</f>
        <v/>
      </c>
      <c r="O887" s="115" t="str">
        <f>IF(N887="","",IF(ISNUMBER(L887),N887-L887,IF(OR(G887="DECISÃO D.P",ISNUMBER(M887)),"",N887-TODAY())))</f>
        <v/>
      </c>
      <c r="P887" s="116" t="str">
        <f>IF(B887="","",IF(ISNUMBER(M887),"DECIDIDO – ","")&amp;IF(ISNUMBER(L887),IF(O887="","SEM DATA",IF(O887&gt;=0,"DEFESA NO PRAZO","DEFESA FORA DO PRAZO")),IF(OR(G887="DECISÃO D.P",ISNUMBER(M887)),"SEM DEFESA",IF(G887="","SEM STATUS",IF(O887="","SEM DATA",IF(O887&lt;0,"VENCIDO",IF(O887&lt;=DiasAlerta,"VENCE EM BREVE","NO PRAZO")))))))</f>
        <v/>
      </c>
      <c r="Q887" s="117" t="str">
        <f>IF(D887="","",TODAY()-D887)</f>
        <v/>
      </c>
      <c r="R887" s="110" t="n"/>
    </row>
    <row r="888" ht="18" customHeight="1">
      <c r="A888" s="109" t="n"/>
      <c r="B888" s="110" t="n"/>
      <c r="C888" s="110" t="n"/>
      <c r="D888" s="111" t="n"/>
      <c r="E888" s="110" t="n"/>
      <c r="F888" s="112" t="n"/>
      <c r="G888" s="112" t="n"/>
      <c r="H888" s="110" t="n"/>
      <c r="I888" s="113" t="n"/>
      <c r="J888" s="113" t="n"/>
      <c r="K888" s="111" t="n"/>
      <c r="L888" s="111" t="n"/>
      <c r="M888" s="111" t="n"/>
      <c r="N888" s="114" t="str">
        <f>IF(OR(D888="",E888=""),"",D888+IF(E888="NOTIFICAÇÃO DE CONSTATAÇÃO",PrazoConst,PrazoEsc))</f>
        <v/>
      </c>
      <c r="O888" s="115" t="str">
        <f>IF(N888="","",IF(ISNUMBER(L888),N888-L888,IF(OR(G888="DECISÃO D.P",ISNUMBER(M888)),"",N888-TODAY())))</f>
        <v/>
      </c>
      <c r="P888" s="116" t="str">
        <f>IF(B888="","",IF(ISNUMBER(M888),"DECIDIDO – ","")&amp;IF(ISNUMBER(L888),IF(O888="","SEM DATA",IF(O888&gt;=0,"DEFESA NO PRAZO","DEFESA FORA DO PRAZO")),IF(OR(G888="DECISÃO D.P",ISNUMBER(M888)),"SEM DEFESA",IF(G888="","SEM STATUS",IF(O888="","SEM DATA",IF(O888&lt;0,"VENCIDO",IF(O888&lt;=DiasAlerta,"VENCE EM BREVE","NO PRAZO")))))))</f>
        <v/>
      </c>
      <c r="Q888" s="117" t="str">
        <f>IF(D888="","",TODAY()-D888)</f>
        <v/>
      </c>
      <c r="R888" s="110" t="n"/>
    </row>
    <row r="889" ht="18" customHeight="1">
      <c r="A889" s="109" t="n"/>
      <c r="B889" s="110" t="n"/>
      <c r="C889" s="110" t="n"/>
      <c r="D889" s="111" t="n"/>
      <c r="E889" s="110" t="n"/>
      <c r="F889" s="112" t="n"/>
      <c r="G889" s="112" t="n"/>
      <c r="H889" s="110" t="n"/>
      <c r="I889" s="113" t="n"/>
      <c r="J889" s="113" t="n"/>
      <c r="K889" s="111" t="n"/>
      <c r="L889" s="111" t="n"/>
      <c r="M889" s="111" t="n"/>
      <c r="N889" s="114" t="str">
        <f>IF(OR(D889="",E889=""),"",D889+IF(E889="NOTIFICAÇÃO DE CONSTATAÇÃO",PrazoConst,PrazoEsc))</f>
        <v/>
      </c>
      <c r="O889" s="115" t="str">
        <f>IF(N889="","",IF(ISNUMBER(L889),N889-L889,IF(OR(G889="DECISÃO D.P",ISNUMBER(M889)),"",N889-TODAY())))</f>
        <v/>
      </c>
      <c r="P889" s="116" t="str">
        <f>IF(B889="","",IF(ISNUMBER(M889),"DECIDIDO – ","")&amp;IF(ISNUMBER(L889),IF(O889="","SEM DATA",IF(O889&gt;=0,"DEFESA NO PRAZO","DEFESA FORA DO PRAZO")),IF(OR(G889="DECISÃO D.P",ISNUMBER(M889)),"SEM DEFESA",IF(G889="","SEM STATUS",IF(O889="","SEM DATA",IF(O889&lt;0,"VENCIDO",IF(O889&lt;=DiasAlerta,"VENCE EM BREVE","NO PRAZO")))))))</f>
        <v/>
      </c>
      <c r="Q889" s="117" t="str">
        <f>IF(D889="","",TODAY()-D889)</f>
        <v/>
      </c>
      <c r="R889" s="110" t="n"/>
    </row>
    <row r="890" ht="18" customHeight="1">
      <c r="A890" s="109" t="n"/>
      <c r="B890" s="110" t="n"/>
      <c r="C890" s="110" t="n"/>
      <c r="D890" s="111" t="n"/>
      <c r="E890" s="110" t="n"/>
      <c r="F890" s="112" t="n"/>
      <c r="G890" s="112" t="n"/>
      <c r="H890" s="110" t="n"/>
      <c r="I890" s="113" t="n"/>
      <c r="J890" s="113" t="n"/>
      <c r="K890" s="111" t="n"/>
      <c r="L890" s="111" t="n"/>
      <c r="M890" s="111" t="n"/>
      <c r="N890" s="114" t="str">
        <f>IF(OR(D890="",E890=""),"",D890+IF(E890="NOTIFICAÇÃO DE CONSTATAÇÃO",PrazoConst,PrazoEsc))</f>
        <v/>
      </c>
      <c r="O890" s="115" t="str">
        <f>IF(N890="","",IF(ISNUMBER(L890),N890-L890,IF(OR(G890="DECISÃO D.P",ISNUMBER(M890)),"",N890-TODAY())))</f>
        <v/>
      </c>
      <c r="P890" s="116" t="str">
        <f>IF(B890="","",IF(ISNUMBER(M890),"DECIDIDO – ","")&amp;IF(ISNUMBER(L890),IF(O890="","SEM DATA",IF(O890&gt;=0,"DEFESA NO PRAZO","DEFESA FORA DO PRAZO")),IF(OR(G890="DECISÃO D.P",ISNUMBER(M890)),"SEM DEFESA",IF(G890="","SEM STATUS",IF(O890="","SEM DATA",IF(O890&lt;0,"VENCIDO",IF(O890&lt;=DiasAlerta,"VENCE EM BREVE","NO PRAZO")))))))</f>
        <v/>
      </c>
      <c r="Q890" s="117" t="str">
        <f>IF(D890="","",TODAY()-D890)</f>
        <v/>
      </c>
      <c r="R890" s="110" t="n"/>
    </row>
    <row r="891" ht="18" customHeight="1">
      <c r="A891" s="109" t="n"/>
      <c r="B891" s="110" t="n"/>
      <c r="C891" s="110" t="n"/>
      <c r="D891" s="111" t="n"/>
      <c r="E891" s="110" t="n"/>
      <c r="F891" s="112" t="n"/>
      <c r="G891" s="112" t="n"/>
      <c r="H891" s="110" t="n"/>
      <c r="I891" s="113" t="n"/>
      <c r="J891" s="113" t="n"/>
      <c r="K891" s="111" t="n"/>
      <c r="L891" s="111" t="n"/>
      <c r="M891" s="111" t="n"/>
      <c r="N891" s="114" t="str">
        <f>IF(OR(D891="",E891=""),"",D891+IF(E891="NOTIFICAÇÃO DE CONSTATAÇÃO",PrazoConst,PrazoEsc))</f>
        <v/>
      </c>
      <c r="O891" s="115" t="str">
        <f>IF(N891="","",IF(ISNUMBER(L891),N891-L891,IF(OR(G891="DECISÃO D.P",ISNUMBER(M891)),"",N891-TODAY())))</f>
        <v/>
      </c>
      <c r="P891" s="116" t="str">
        <f>IF(B891="","",IF(ISNUMBER(M891),"DECIDIDO – ","")&amp;IF(ISNUMBER(L891),IF(O891="","SEM DATA",IF(O891&gt;=0,"DEFESA NO PRAZO","DEFESA FORA DO PRAZO")),IF(OR(G891="DECISÃO D.P",ISNUMBER(M891)),"SEM DEFESA",IF(G891="","SEM STATUS",IF(O891="","SEM DATA",IF(O891&lt;0,"VENCIDO",IF(O891&lt;=DiasAlerta,"VENCE EM BREVE","NO PRAZO")))))))</f>
        <v/>
      </c>
      <c r="Q891" s="117" t="str">
        <f>IF(D891="","",TODAY()-D891)</f>
        <v/>
      </c>
      <c r="R891" s="110" t="n"/>
    </row>
    <row r="892" ht="18" customHeight="1">
      <c r="A892" s="109" t="n"/>
      <c r="B892" s="110" t="n"/>
      <c r="C892" s="110" t="n"/>
      <c r="D892" s="111" t="n"/>
      <c r="E892" s="110" t="n"/>
      <c r="F892" s="112" t="n"/>
      <c r="G892" s="112" t="n"/>
      <c r="H892" s="110" t="n"/>
      <c r="I892" s="113" t="n"/>
      <c r="J892" s="113" t="n"/>
      <c r="K892" s="111" t="n"/>
      <c r="L892" s="111" t="n"/>
      <c r="M892" s="111" t="n"/>
      <c r="N892" s="114" t="str">
        <f>IF(OR(D892="",E892=""),"",D892+IF(E892="NOTIFICAÇÃO DE CONSTATAÇÃO",PrazoConst,PrazoEsc))</f>
        <v/>
      </c>
      <c r="O892" s="115" t="str">
        <f>IF(N892="","",IF(ISNUMBER(L892),N892-L892,IF(OR(G892="DECISÃO D.P",ISNUMBER(M892)),"",N892-TODAY())))</f>
        <v/>
      </c>
      <c r="P892" s="116" t="str">
        <f>IF(B892="","",IF(ISNUMBER(M892),"DECIDIDO – ","")&amp;IF(ISNUMBER(L892),IF(O892="","SEM DATA",IF(O892&gt;=0,"DEFESA NO PRAZO","DEFESA FORA DO PRAZO")),IF(OR(G892="DECISÃO D.P",ISNUMBER(M892)),"SEM DEFESA",IF(G892="","SEM STATUS",IF(O892="","SEM DATA",IF(O892&lt;0,"VENCIDO",IF(O892&lt;=DiasAlerta,"VENCE EM BREVE","NO PRAZO")))))))</f>
        <v/>
      </c>
      <c r="Q892" s="117" t="str">
        <f>IF(D892="","",TODAY()-D892)</f>
        <v/>
      </c>
      <c r="R892" s="110" t="n"/>
    </row>
    <row r="893" ht="18" customHeight="1">
      <c r="A893" s="109" t="n"/>
      <c r="B893" s="110" t="n"/>
      <c r="C893" s="110" t="n"/>
      <c r="D893" s="111" t="n"/>
      <c r="E893" s="110" t="n"/>
      <c r="F893" s="112" t="n"/>
      <c r="G893" s="112" t="n"/>
      <c r="H893" s="110" t="n"/>
      <c r="I893" s="113" t="n"/>
      <c r="J893" s="113" t="n"/>
      <c r="K893" s="111" t="n"/>
      <c r="L893" s="111" t="n"/>
      <c r="M893" s="111" t="n"/>
      <c r="N893" s="114" t="str">
        <f>IF(OR(D893="",E893=""),"",D893+IF(E893="NOTIFICAÇÃO DE CONSTATAÇÃO",PrazoConst,PrazoEsc))</f>
        <v/>
      </c>
      <c r="O893" s="115" t="str">
        <f>IF(N893="","",IF(ISNUMBER(L893),N893-L893,IF(OR(G893="DECISÃO D.P",ISNUMBER(M893)),"",N893-TODAY())))</f>
        <v/>
      </c>
      <c r="P893" s="116" t="str">
        <f>IF(B893="","",IF(ISNUMBER(M893),"DECIDIDO – ","")&amp;IF(ISNUMBER(L893),IF(O893="","SEM DATA",IF(O893&gt;=0,"DEFESA NO PRAZO","DEFESA FORA DO PRAZO")),IF(OR(G893="DECISÃO D.P",ISNUMBER(M893)),"SEM DEFESA",IF(G893="","SEM STATUS",IF(O893="","SEM DATA",IF(O893&lt;0,"VENCIDO",IF(O893&lt;=DiasAlerta,"VENCE EM BREVE","NO PRAZO")))))))</f>
        <v/>
      </c>
      <c r="Q893" s="117" t="str">
        <f>IF(D893="","",TODAY()-D893)</f>
        <v/>
      </c>
      <c r="R893" s="110" t="n"/>
    </row>
    <row r="894" ht="18" customHeight="1">
      <c r="A894" s="109" t="n"/>
      <c r="B894" s="110" t="n"/>
      <c r="C894" s="110" t="n"/>
      <c r="D894" s="111" t="n"/>
      <c r="E894" s="110" t="n"/>
      <c r="F894" s="112" t="n"/>
      <c r="G894" s="112" t="n"/>
      <c r="H894" s="110" t="n"/>
      <c r="I894" s="113" t="n"/>
      <c r="J894" s="113" t="n"/>
      <c r="K894" s="111" t="n"/>
      <c r="L894" s="111" t="n"/>
      <c r="M894" s="111" t="n"/>
      <c r="N894" s="114" t="str">
        <f>IF(OR(D894="",E894=""),"",D894+IF(E894="NOTIFICAÇÃO DE CONSTATAÇÃO",PrazoConst,PrazoEsc))</f>
        <v/>
      </c>
      <c r="O894" s="115" t="str">
        <f>IF(N894="","",IF(ISNUMBER(L894),N894-L894,IF(OR(G894="DECISÃO D.P",ISNUMBER(M894)),"",N894-TODAY())))</f>
        <v/>
      </c>
      <c r="P894" s="116" t="str">
        <f>IF(B894="","",IF(ISNUMBER(M894),"DECIDIDO – ","")&amp;IF(ISNUMBER(L894),IF(O894="","SEM DATA",IF(O894&gt;=0,"DEFESA NO PRAZO","DEFESA FORA DO PRAZO")),IF(OR(G894="DECISÃO D.P",ISNUMBER(M894)),"SEM DEFESA",IF(G894="","SEM STATUS",IF(O894="","SEM DATA",IF(O894&lt;0,"VENCIDO",IF(O894&lt;=DiasAlerta,"VENCE EM BREVE","NO PRAZO")))))))</f>
        <v/>
      </c>
      <c r="Q894" s="117" t="str">
        <f>IF(D894="","",TODAY()-D894)</f>
        <v/>
      </c>
      <c r="R894" s="110" t="n"/>
    </row>
    <row r="895" ht="18" customHeight="1">
      <c r="A895" s="109" t="n"/>
      <c r="B895" s="110" t="n"/>
      <c r="C895" s="110" t="n"/>
      <c r="D895" s="111" t="n"/>
      <c r="E895" s="110" t="n"/>
      <c r="F895" s="112" t="n"/>
      <c r="G895" s="112" t="n"/>
      <c r="H895" s="110" t="n"/>
      <c r="I895" s="113" t="n"/>
      <c r="J895" s="113" t="n"/>
      <c r="K895" s="111" t="n"/>
      <c r="L895" s="111" t="n"/>
      <c r="M895" s="111" t="n"/>
      <c r="N895" s="114" t="str">
        <f>IF(OR(D895="",E895=""),"",D895+IF(E895="NOTIFICAÇÃO DE CONSTATAÇÃO",PrazoConst,PrazoEsc))</f>
        <v/>
      </c>
      <c r="O895" s="115" t="str">
        <f>IF(N895="","",IF(ISNUMBER(L895),N895-L895,IF(OR(G895="DECISÃO D.P",ISNUMBER(M895)),"",N895-TODAY())))</f>
        <v/>
      </c>
      <c r="P895" s="116" t="str">
        <f>IF(B895="","",IF(ISNUMBER(M895),"DECIDIDO – ","")&amp;IF(ISNUMBER(L895),IF(O895="","SEM DATA",IF(O895&gt;=0,"DEFESA NO PRAZO","DEFESA FORA DO PRAZO")),IF(OR(G895="DECISÃO D.P",ISNUMBER(M895)),"SEM DEFESA",IF(G895="","SEM STATUS",IF(O895="","SEM DATA",IF(O895&lt;0,"VENCIDO",IF(O895&lt;=DiasAlerta,"VENCE EM BREVE","NO PRAZO")))))))</f>
        <v/>
      </c>
      <c r="Q895" s="117" t="str">
        <f>IF(D895="","",TODAY()-D895)</f>
        <v/>
      </c>
      <c r="R895" s="110" t="n"/>
    </row>
    <row r="896" ht="18" customHeight="1">
      <c r="A896" s="109" t="n"/>
      <c r="B896" s="110" t="n"/>
      <c r="C896" s="110" t="n"/>
      <c r="D896" s="111" t="n"/>
      <c r="E896" s="110" t="n"/>
      <c r="F896" s="112" t="n"/>
      <c r="G896" s="112" t="n"/>
      <c r="H896" s="110" t="n"/>
      <c r="I896" s="113" t="n"/>
      <c r="J896" s="113" t="n"/>
      <c r="K896" s="111" t="n"/>
      <c r="L896" s="111" t="n"/>
      <c r="M896" s="111" t="n"/>
      <c r="N896" s="114" t="str">
        <f>IF(OR(D896="",E896=""),"",D896+IF(E896="NOTIFICAÇÃO DE CONSTATAÇÃO",PrazoConst,PrazoEsc))</f>
        <v/>
      </c>
      <c r="O896" s="115" t="str">
        <f>IF(N896="","",IF(ISNUMBER(L896),N896-L896,IF(OR(G896="DECISÃO D.P",ISNUMBER(M896)),"",N896-TODAY())))</f>
        <v/>
      </c>
      <c r="P896" s="116" t="str">
        <f>IF(B896="","",IF(ISNUMBER(M896),"DECIDIDO – ","")&amp;IF(ISNUMBER(L896),IF(O896="","SEM DATA",IF(O896&gt;=0,"DEFESA NO PRAZO","DEFESA FORA DO PRAZO")),IF(OR(G896="DECISÃO D.P",ISNUMBER(M896)),"SEM DEFESA",IF(G896="","SEM STATUS",IF(O896="","SEM DATA",IF(O896&lt;0,"VENCIDO",IF(O896&lt;=DiasAlerta,"VENCE EM BREVE","NO PRAZO")))))))</f>
        <v/>
      </c>
      <c r="Q896" s="117" t="str">
        <f>IF(D896="","",TODAY()-D896)</f>
        <v/>
      </c>
      <c r="R896" s="110" t="n"/>
    </row>
    <row r="897" ht="18" customHeight="1">
      <c r="A897" s="109" t="n"/>
      <c r="B897" s="110" t="n"/>
      <c r="C897" s="110" t="n"/>
      <c r="D897" s="111" t="n"/>
      <c r="E897" s="110" t="n"/>
      <c r="F897" s="112" t="n"/>
      <c r="G897" s="112" t="n"/>
      <c r="H897" s="110" t="n"/>
      <c r="I897" s="113" t="n"/>
      <c r="J897" s="113" t="n"/>
      <c r="K897" s="111" t="n"/>
      <c r="L897" s="111" t="n"/>
      <c r="M897" s="111" t="n"/>
      <c r="N897" s="114" t="str">
        <f>IF(OR(D897="",E897=""),"",D897+IF(E897="NOTIFICAÇÃO DE CONSTATAÇÃO",PrazoConst,PrazoEsc))</f>
        <v/>
      </c>
      <c r="O897" s="115" t="str">
        <f>IF(N897="","",IF(ISNUMBER(L897),N897-L897,IF(OR(G897="DECISÃO D.P",ISNUMBER(M897)),"",N897-TODAY())))</f>
        <v/>
      </c>
      <c r="P897" s="116" t="str">
        <f>IF(B897="","",IF(ISNUMBER(M897),"DECIDIDO – ","")&amp;IF(ISNUMBER(L897),IF(O897="","SEM DATA",IF(O897&gt;=0,"DEFESA NO PRAZO","DEFESA FORA DO PRAZO")),IF(OR(G897="DECISÃO D.P",ISNUMBER(M897)),"SEM DEFESA",IF(G897="","SEM STATUS",IF(O897="","SEM DATA",IF(O897&lt;0,"VENCIDO",IF(O897&lt;=DiasAlerta,"VENCE EM BREVE","NO PRAZO")))))))</f>
        <v/>
      </c>
      <c r="Q897" s="117" t="str">
        <f>IF(D897="","",TODAY()-D897)</f>
        <v/>
      </c>
      <c r="R897" s="110" t="n"/>
    </row>
    <row r="898" ht="18" customHeight="1">
      <c r="A898" s="109" t="n"/>
      <c r="B898" s="110" t="n"/>
      <c r="C898" s="110" t="n"/>
      <c r="D898" s="111" t="n"/>
      <c r="E898" s="110" t="n"/>
      <c r="F898" s="112" t="n"/>
      <c r="G898" s="112" t="n"/>
      <c r="H898" s="110" t="n"/>
      <c r="I898" s="113" t="n"/>
      <c r="J898" s="113" t="n"/>
      <c r="K898" s="111" t="n"/>
      <c r="L898" s="111" t="n"/>
      <c r="M898" s="111" t="n"/>
      <c r="N898" s="114" t="str">
        <f>IF(OR(D898="",E898=""),"",D898+IF(E898="NOTIFICAÇÃO DE CONSTATAÇÃO",PrazoConst,PrazoEsc))</f>
        <v/>
      </c>
      <c r="O898" s="115" t="str">
        <f>IF(N898="","",IF(ISNUMBER(L898),N898-L898,IF(OR(G898="DECISÃO D.P",ISNUMBER(M898)),"",N898-TODAY())))</f>
        <v/>
      </c>
      <c r="P898" s="116" t="str">
        <f>IF(B898="","",IF(ISNUMBER(M898),"DECIDIDO – ","")&amp;IF(ISNUMBER(L898),IF(O898="","SEM DATA",IF(O898&gt;=0,"DEFESA NO PRAZO","DEFESA FORA DO PRAZO")),IF(OR(G898="DECISÃO D.P",ISNUMBER(M898)),"SEM DEFESA",IF(G898="","SEM STATUS",IF(O898="","SEM DATA",IF(O898&lt;0,"VENCIDO",IF(O898&lt;=DiasAlerta,"VENCE EM BREVE","NO PRAZO")))))))</f>
        <v/>
      </c>
      <c r="Q898" s="117" t="str">
        <f>IF(D898="","",TODAY()-D898)</f>
        <v/>
      </c>
      <c r="R898" s="110" t="n"/>
    </row>
    <row r="899" ht="18" customHeight="1">
      <c r="A899" s="109" t="n"/>
      <c r="B899" s="110" t="n"/>
      <c r="C899" s="110" t="n"/>
      <c r="D899" s="111" t="n"/>
      <c r="E899" s="110" t="n"/>
      <c r="F899" s="112" t="n"/>
      <c r="G899" s="112" t="n"/>
      <c r="H899" s="110" t="n"/>
      <c r="I899" s="113" t="n"/>
      <c r="J899" s="113" t="n"/>
      <c r="K899" s="111" t="n"/>
      <c r="L899" s="111" t="n"/>
      <c r="M899" s="111" t="n"/>
      <c r="N899" s="114" t="str">
        <f>IF(OR(D899="",E899=""),"",D899+IF(E899="NOTIFICAÇÃO DE CONSTATAÇÃO",PrazoConst,PrazoEsc))</f>
        <v/>
      </c>
      <c r="O899" s="115" t="str">
        <f>IF(N899="","",IF(ISNUMBER(L899),N899-L899,IF(OR(G899="DECISÃO D.P",ISNUMBER(M899)),"",N899-TODAY())))</f>
        <v/>
      </c>
      <c r="P899" s="116" t="str">
        <f>IF(B899="","",IF(ISNUMBER(M899),"DECIDIDO – ","")&amp;IF(ISNUMBER(L899),IF(O899="","SEM DATA",IF(O899&gt;=0,"DEFESA NO PRAZO","DEFESA FORA DO PRAZO")),IF(OR(G899="DECISÃO D.P",ISNUMBER(M899)),"SEM DEFESA",IF(G899="","SEM STATUS",IF(O899="","SEM DATA",IF(O899&lt;0,"VENCIDO",IF(O899&lt;=DiasAlerta,"VENCE EM BREVE","NO PRAZO")))))))</f>
        <v/>
      </c>
      <c r="Q899" s="117" t="str">
        <f>IF(D899="","",TODAY()-D899)</f>
        <v/>
      </c>
      <c r="R899" s="110" t="n"/>
    </row>
    <row r="900" ht="18" customHeight="1">
      <c r="A900" s="109" t="n"/>
      <c r="B900" s="110" t="n"/>
      <c r="C900" s="110" t="n"/>
      <c r="D900" s="111" t="n"/>
      <c r="E900" s="110" t="n"/>
      <c r="F900" s="112" t="n"/>
      <c r="G900" s="112" t="n"/>
      <c r="H900" s="110" t="n"/>
      <c r="I900" s="113" t="n"/>
      <c r="J900" s="113" t="n"/>
      <c r="K900" s="111" t="n"/>
      <c r="L900" s="111" t="n"/>
      <c r="M900" s="111" t="n"/>
      <c r="N900" s="114" t="str">
        <f>IF(OR(D900="",E900=""),"",D900+IF(E900="NOTIFICAÇÃO DE CONSTATAÇÃO",PrazoConst,PrazoEsc))</f>
        <v/>
      </c>
      <c r="O900" s="115" t="str">
        <f>IF(N900="","",IF(ISNUMBER(L900),N900-L900,IF(OR(G900="DECISÃO D.P",ISNUMBER(M900)),"",N900-TODAY())))</f>
        <v/>
      </c>
      <c r="P900" s="116" t="str">
        <f>IF(B900="","",IF(ISNUMBER(M900),"DECIDIDO – ","")&amp;IF(ISNUMBER(L900),IF(O900="","SEM DATA",IF(O900&gt;=0,"DEFESA NO PRAZO","DEFESA FORA DO PRAZO")),IF(OR(G900="DECISÃO D.P",ISNUMBER(M900)),"SEM DEFESA",IF(G900="","SEM STATUS",IF(O900="","SEM DATA",IF(O900&lt;0,"VENCIDO",IF(O900&lt;=DiasAlerta,"VENCE EM BREVE","NO PRAZO")))))))</f>
        <v/>
      </c>
      <c r="Q900" s="117" t="str">
        <f>IF(D900="","",TODAY()-D900)</f>
        <v/>
      </c>
      <c r="R900" s="110" t="n"/>
    </row>
    <row r="901" ht="18" customHeight="1">
      <c r="A901" s="109" t="n"/>
      <c r="B901" s="110" t="n"/>
      <c r="C901" s="110" t="n"/>
      <c r="D901" s="111" t="n"/>
      <c r="E901" s="110" t="n"/>
      <c r="F901" s="112" t="n"/>
      <c r="G901" s="112" t="n"/>
      <c r="H901" s="110" t="n"/>
      <c r="I901" s="113" t="n"/>
      <c r="J901" s="113" t="n"/>
      <c r="K901" s="111" t="n"/>
      <c r="L901" s="111" t="n"/>
      <c r="M901" s="111" t="n"/>
      <c r="N901" s="114" t="str">
        <f>IF(OR(D901="",E901=""),"",D901+IF(E901="NOTIFICAÇÃO DE CONSTATAÇÃO",PrazoConst,PrazoEsc))</f>
        <v/>
      </c>
      <c r="O901" s="115" t="str">
        <f>IF(N901="","",IF(ISNUMBER(L901),N901-L901,IF(OR(G901="DECISÃO D.P",ISNUMBER(M901)),"",N901-TODAY())))</f>
        <v/>
      </c>
      <c r="P901" s="116" t="str">
        <f>IF(B901="","",IF(ISNUMBER(M901),"DECIDIDO – ","")&amp;IF(ISNUMBER(L901),IF(O901="","SEM DATA",IF(O901&gt;=0,"DEFESA NO PRAZO","DEFESA FORA DO PRAZO")),IF(OR(G901="DECISÃO D.P",ISNUMBER(M901)),"SEM DEFESA",IF(G901="","SEM STATUS",IF(O901="","SEM DATA",IF(O901&lt;0,"VENCIDO",IF(O901&lt;=DiasAlerta,"VENCE EM BREVE","NO PRAZO")))))))</f>
        <v/>
      </c>
      <c r="Q901" s="117" t="str">
        <f>IF(D901="","",TODAY()-D901)</f>
        <v/>
      </c>
      <c r="R901" s="110" t="n"/>
    </row>
    <row r="902" ht="18" customHeight="1">
      <c r="A902" s="109" t="n"/>
      <c r="B902" s="110" t="n"/>
      <c r="C902" s="110" t="n"/>
      <c r="D902" s="111" t="n"/>
      <c r="E902" s="110" t="n"/>
      <c r="F902" s="112" t="n"/>
      <c r="G902" s="112" t="n"/>
      <c r="H902" s="110" t="n"/>
      <c r="I902" s="113" t="n"/>
      <c r="J902" s="113" t="n"/>
      <c r="K902" s="111" t="n"/>
      <c r="L902" s="111" t="n"/>
      <c r="M902" s="111" t="n"/>
      <c r="N902" s="114" t="str">
        <f>IF(OR(D902="",E902=""),"",D902+IF(E902="NOTIFICAÇÃO DE CONSTATAÇÃO",PrazoConst,PrazoEsc))</f>
        <v/>
      </c>
      <c r="O902" s="115" t="str">
        <f>IF(N902="","",IF(ISNUMBER(L902),N902-L902,IF(OR(G902="DECISÃO D.P",ISNUMBER(M902)),"",N902-TODAY())))</f>
        <v/>
      </c>
      <c r="P902" s="116" t="str">
        <f>IF(B902="","",IF(ISNUMBER(M902),"DECIDIDO – ","")&amp;IF(ISNUMBER(L902),IF(O902="","SEM DATA",IF(O902&gt;=0,"DEFESA NO PRAZO","DEFESA FORA DO PRAZO")),IF(OR(G902="DECISÃO D.P",ISNUMBER(M902)),"SEM DEFESA",IF(G902="","SEM STATUS",IF(O902="","SEM DATA",IF(O902&lt;0,"VENCIDO",IF(O902&lt;=DiasAlerta,"VENCE EM BREVE","NO PRAZO")))))))</f>
        <v/>
      </c>
      <c r="Q902" s="117" t="str">
        <f>IF(D902="","",TODAY()-D902)</f>
        <v/>
      </c>
      <c r="R902" s="110" t="n"/>
    </row>
    <row r="903" ht="18" customHeight="1">
      <c r="A903" s="109" t="n"/>
      <c r="B903" s="110" t="n"/>
      <c r="C903" s="110" t="n"/>
      <c r="D903" s="111" t="n"/>
      <c r="E903" s="110" t="n"/>
      <c r="F903" s="112" t="n"/>
      <c r="G903" s="112" t="n"/>
      <c r="H903" s="110" t="n"/>
      <c r="I903" s="113" t="n"/>
      <c r="J903" s="113" t="n"/>
      <c r="K903" s="111" t="n"/>
      <c r="L903" s="111" t="n"/>
      <c r="M903" s="111" t="n"/>
      <c r="N903" s="114" t="str">
        <f>IF(OR(D903="",E903=""),"",D903+IF(E903="NOTIFICAÇÃO DE CONSTATAÇÃO",PrazoConst,PrazoEsc))</f>
        <v/>
      </c>
      <c r="O903" s="115" t="str">
        <f>IF(N903="","",IF(ISNUMBER(L903),N903-L903,IF(OR(G903="DECISÃO D.P",ISNUMBER(M903)),"",N903-TODAY())))</f>
        <v/>
      </c>
      <c r="P903" s="116" t="str">
        <f>IF(B903="","",IF(ISNUMBER(M903),"DECIDIDO – ","")&amp;IF(ISNUMBER(L903),IF(O903="","SEM DATA",IF(O903&gt;=0,"DEFESA NO PRAZO","DEFESA FORA DO PRAZO")),IF(OR(G903="DECISÃO D.P",ISNUMBER(M903)),"SEM DEFESA",IF(G903="","SEM STATUS",IF(O903="","SEM DATA",IF(O903&lt;0,"VENCIDO",IF(O903&lt;=DiasAlerta,"VENCE EM BREVE","NO PRAZO")))))))</f>
        <v/>
      </c>
      <c r="Q903" s="117" t="str">
        <f>IF(D903="","",TODAY()-D903)</f>
        <v/>
      </c>
      <c r="R903" s="110" t="n"/>
    </row>
    <row r="904" ht="18" customHeight="1">
      <c r="A904" s="109" t="n"/>
      <c r="B904" s="110" t="n"/>
      <c r="C904" s="110" t="n"/>
      <c r="D904" s="111" t="n"/>
      <c r="E904" s="110" t="n"/>
      <c r="F904" s="112" t="n"/>
      <c r="G904" s="112" t="n"/>
      <c r="H904" s="110" t="n"/>
      <c r="I904" s="113" t="n"/>
      <c r="J904" s="113" t="n"/>
      <c r="K904" s="111" t="n"/>
      <c r="L904" s="111" t="n"/>
      <c r="M904" s="111" t="n"/>
      <c r="N904" s="114" t="str">
        <f>IF(OR(D904="",E904=""),"",D904+IF(E904="NOTIFICAÇÃO DE CONSTATAÇÃO",PrazoConst,PrazoEsc))</f>
        <v/>
      </c>
      <c r="O904" s="115" t="str">
        <f>IF(N904="","",IF(ISNUMBER(L904),N904-L904,IF(OR(G904="DECISÃO D.P",ISNUMBER(M904)),"",N904-TODAY())))</f>
        <v/>
      </c>
      <c r="P904" s="116" t="str">
        <f>IF(B904="","",IF(ISNUMBER(M904),"DECIDIDO – ","")&amp;IF(ISNUMBER(L904),IF(O904="","SEM DATA",IF(O904&gt;=0,"DEFESA NO PRAZO","DEFESA FORA DO PRAZO")),IF(OR(G904="DECISÃO D.P",ISNUMBER(M904)),"SEM DEFESA",IF(G904="","SEM STATUS",IF(O904="","SEM DATA",IF(O904&lt;0,"VENCIDO",IF(O904&lt;=DiasAlerta,"VENCE EM BREVE","NO PRAZO")))))))</f>
        <v/>
      </c>
      <c r="Q904" s="117" t="str">
        <f>IF(D904="","",TODAY()-D904)</f>
        <v/>
      </c>
      <c r="R904" s="110" t="n"/>
    </row>
    <row r="905" ht="18" customHeight="1">
      <c r="A905" s="109" t="n"/>
      <c r="B905" s="110" t="n"/>
      <c r="C905" s="110" t="n"/>
      <c r="D905" s="111" t="n"/>
      <c r="E905" s="110" t="n"/>
      <c r="F905" s="112" t="n"/>
      <c r="G905" s="112" t="n"/>
      <c r="H905" s="110" t="n"/>
      <c r="I905" s="113" t="n"/>
      <c r="J905" s="113" t="n"/>
      <c r="K905" s="111" t="n"/>
      <c r="L905" s="111" t="n"/>
      <c r="M905" s="111" t="n"/>
      <c r="N905" s="114" t="str">
        <f>IF(OR(D905="",E905=""),"",D905+IF(E905="NOTIFICAÇÃO DE CONSTATAÇÃO",PrazoConst,PrazoEsc))</f>
        <v/>
      </c>
      <c r="O905" s="115" t="str">
        <f>IF(N905="","",IF(ISNUMBER(L905),N905-L905,IF(OR(G905="DECISÃO D.P",ISNUMBER(M905)),"",N905-TODAY())))</f>
        <v/>
      </c>
      <c r="P905" s="116" t="str">
        <f>IF(B905="","",IF(ISNUMBER(M905),"DECIDIDO – ","")&amp;IF(ISNUMBER(L905),IF(O905="","SEM DATA",IF(O905&gt;=0,"DEFESA NO PRAZO","DEFESA FORA DO PRAZO")),IF(OR(G905="DECISÃO D.P",ISNUMBER(M905)),"SEM DEFESA",IF(G905="","SEM STATUS",IF(O905="","SEM DATA",IF(O905&lt;0,"VENCIDO",IF(O905&lt;=DiasAlerta,"VENCE EM BREVE","NO PRAZO")))))))</f>
        <v/>
      </c>
      <c r="Q905" s="117" t="str">
        <f>IF(D905="","",TODAY()-D905)</f>
        <v/>
      </c>
      <c r="R905" s="110" t="n"/>
    </row>
    <row r="906" ht="18" customHeight="1">
      <c r="A906" s="109" t="n"/>
      <c r="B906" s="110" t="n"/>
      <c r="C906" s="110" t="n"/>
      <c r="D906" s="111" t="n"/>
      <c r="E906" s="110" t="n"/>
      <c r="F906" s="112" t="n"/>
      <c r="G906" s="112" t="n"/>
      <c r="H906" s="110" t="n"/>
      <c r="I906" s="113" t="n"/>
      <c r="J906" s="113" t="n"/>
      <c r="K906" s="111" t="n"/>
      <c r="L906" s="111" t="n"/>
      <c r="M906" s="111" t="n"/>
      <c r="N906" s="114" t="str">
        <f>IF(OR(D906="",E906=""),"",D906+IF(E906="NOTIFICAÇÃO DE CONSTATAÇÃO",PrazoConst,PrazoEsc))</f>
        <v/>
      </c>
      <c r="O906" s="115" t="str">
        <f>IF(N906="","",IF(ISNUMBER(L906),N906-L906,IF(OR(G906="DECISÃO D.P",ISNUMBER(M906)),"",N906-TODAY())))</f>
        <v/>
      </c>
      <c r="P906" s="116" t="str">
        <f>IF(B906="","",IF(ISNUMBER(M906),"DECIDIDO – ","")&amp;IF(ISNUMBER(L906),IF(O906="","SEM DATA",IF(O906&gt;=0,"DEFESA NO PRAZO","DEFESA FORA DO PRAZO")),IF(OR(G906="DECISÃO D.P",ISNUMBER(M906)),"SEM DEFESA",IF(G906="","SEM STATUS",IF(O906="","SEM DATA",IF(O906&lt;0,"VENCIDO",IF(O906&lt;=DiasAlerta,"VENCE EM BREVE","NO PRAZO")))))))</f>
        <v/>
      </c>
      <c r="Q906" s="117" t="str">
        <f>IF(D906="","",TODAY()-D906)</f>
        <v/>
      </c>
      <c r="R906" s="110" t="n"/>
    </row>
    <row r="907" ht="18" customHeight="1">
      <c r="A907" s="109" t="n"/>
      <c r="B907" s="110" t="n"/>
      <c r="C907" s="110" t="n"/>
      <c r="D907" s="111" t="n"/>
      <c r="E907" s="110" t="n"/>
      <c r="F907" s="112" t="n"/>
      <c r="G907" s="112" t="n"/>
      <c r="H907" s="110" t="n"/>
      <c r="I907" s="113" t="n"/>
      <c r="J907" s="113" t="n"/>
      <c r="K907" s="111" t="n"/>
      <c r="L907" s="111" t="n"/>
      <c r="M907" s="111" t="n"/>
      <c r="N907" s="114" t="str">
        <f>IF(OR(D907="",E907=""),"",D907+IF(E907="NOTIFICAÇÃO DE CONSTATAÇÃO",PrazoConst,PrazoEsc))</f>
        <v/>
      </c>
      <c r="O907" s="115" t="str">
        <f>IF(N907="","",IF(ISNUMBER(L907),N907-L907,IF(OR(G907="DECISÃO D.P",ISNUMBER(M907)),"",N907-TODAY())))</f>
        <v/>
      </c>
      <c r="P907" s="116" t="str">
        <f>IF(B907="","",IF(ISNUMBER(M907),"DECIDIDO – ","")&amp;IF(ISNUMBER(L907),IF(O907="","SEM DATA",IF(O907&gt;=0,"DEFESA NO PRAZO","DEFESA FORA DO PRAZO")),IF(OR(G907="DECISÃO D.P",ISNUMBER(M907)),"SEM DEFESA",IF(G907="","SEM STATUS",IF(O907="","SEM DATA",IF(O907&lt;0,"VENCIDO",IF(O907&lt;=DiasAlerta,"VENCE EM BREVE","NO PRAZO")))))))</f>
        <v/>
      </c>
      <c r="Q907" s="117" t="str">
        <f>IF(D907="","",TODAY()-D907)</f>
        <v/>
      </c>
      <c r="R907" s="110" t="n"/>
    </row>
    <row r="908" ht="18" customHeight="1">
      <c r="A908" s="109" t="n"/>
      <c r="B908" s="110" t="n"/>
      <c r="C908" s="110" t="n"/>
      <c r="D908" s="111" t="n"/>
      <c r="E908" s="110" t="n"/>
      <c r="F908" s="112" t="n"/>
      <c r="G908" s="112" t="n"/>
      <c r="H908" s="110" t="n"/>
      <c r="I908" s="113" t="n"/>
      <c r="J908" s="113" t="n"/>
      <c r="K908" s="111" t="n"/>
      <c r="L908" s="111" t="n"/>
      <c r="M908" s="111" t="n"/>
      <c r="N908" s="114" t="str">
        <f>IF(OR(D908="",E908=""),"",D908+IF(E908="NOTIFICAÇÃO DE CONSTATAÇÃO",PrazoConst,PrazoEsc))</f>
        <v/>
      </c>
      <c r="O908" s="115" t="str">
        <f>IF(N908="","",IF(ISNUMBER(L908),N908-L908,IF(OR(G908="DECISÃO D.P",ISNUMBER(M908)),"",N908-TODAY())))</f>
        <v/>
      </c>
      <c r="P908" s="116" t="str">
        <f>IF(B908="","",IF(ISNUMBER(M908),"DECIDIDO – ","")&amp;IF(ISNUMBER(L908),IF(O908="","SEM DATA",IF(O908&gt;=0,"DEFESA NO PRAZO","DEFESA FORA DO PRAZO")),IF(OR(G908="DECISÃO D.P",ISNUMBER(M908)),"SEM DEFESA",IF(G908="","SEM STATUS",IF(O908="","SEM DATA",IF(O908&lt;0,"VENCIDO",IF(O908&lt;=DiasAlerta,"VENCE EM BREVE","NO PRAZO")))))))</f>
        <v/>
      </c>
      <c r="Q908" s="117" t="str">
        <f>IF(D908="","",TODAY()-D908)</f>
        <v/>
      </c>
      <c r="R908" s="110" t="n"/>
    </row>
    <row r="909" ht="18" customHeight="1">
      <c r="A909" s="109" t="n"/>
      <c r="B909" s="110" t="n"/>
      <c r="C909" s="110" t="n"/>
      <c r="D909" s="111" t="n"/>
      <c r="E909" s="110" t="n"/>
      <c r="F909" s="112" t="n"/>
      <c r="G909" s="112" t="n"/>
      <c r="H909" s="110" t="n"/>
      <c r="I909" s="113" t="n"/>
      <c r="J909" s="113" t="n"/>
      <c r="K909" s="111" t="n"/>
      <c r="L909" s="111" t="n"/>
      <c r="M909" s="111" t="n"/>
      <c r="N909" s="114" t="str">
        <f>IF(OR(D909="",E909=""),"",D909+IF(E909="NOTIFICAÇÃO DE CONSTATAÇÃO",PrazoConst,PrazoEsc))</f>
        <v/>
      </c>
      <c r="O909" s="115" t="str">
        <f>IF(N909="","",IF(ISNUMBER(L909),N909-L909,IF(OR(G909="DECISÃO D.P",ISNUMBER(M909)),"",N909-TODAY())))</f>
        <v/>
      </c>
      <c r="P909" s="116" t="str">
        <f>IF(B909="","",IF(ISNUMBER(M909),"DECIDIDO – ","")&amp;IF(ISNUMBER(L909),IF(O909="","SEM DATA",IF(O909&gt;=0,"DEFESA NO PRAZO","DEFESA FORA DO PRAZO")),IF(OR(G909="DECISÃO D.P",ISNUMBER(M909)),"SEM DEFESA",IF(G909="","SEM STATUS",IF(O909="","SEM DATA",IF(O909&lt;0,"VENCIDO",IF(O909&lt;=DiasAlerta,"VENCE EM BREVE","NO PRAZO")))))))</f>
        <v/>
      </c>
      <c r="Q909" s="117" t="str">
        <f>IF(D909="","",TODAY()-D909)</f>
        <v/>
      </c>
      <c r="R909" s="110" t="n"/>
    </row>
    <row r="910" ht="18" customHeight="1">
      <c r="A910" s="109" t="n"/>
      <c r="B910" s="110" t="n"/>
      <c r="C910" s="110" t="n"/>
      <c r="D910" s="111" t="n"/>
      <c r="E910" s="110" t="n"/>
      <c r="F910" s="112" t="n"/>
      <c r="G910" s="112" t="n"/>
      <c r="H910" s="110" t="n"/>
      <c r="I910" s="113" t="n"/>
      <c r="J910" s="113" t="n"/>
      <c r="K910" s="111" t="n"/>
      <c r="L910" s="111" t="n"/>
      <c r="M910" s="111" t="n"/>
      <c r="N910" s="114" t="str">
        <f>IF(OR(D910="",E910=""),"",D910+IF(E910="NOTIFICAÇÃO DE CONSTATAÇÃO",PrazoConst,PrazoEsc))</f>
        <v/>
      </c>
      <c r="O910" s="115" t="str">
        <f>IF(N910="","",IF(ISNUMBER(L910),N910-L910,IF(OR(G910="DECISÃO D.P",ISNUMBER(M910)),"",N910-TODAY())))</f>
        <v/>
      </c>
      <c r="P910" s="116" t="str">
        <f>IF(B910="","",IF(ISNUMBER(M910),"DECIDIDO – ","")&amp;IF(ISNUMBER(L910),IF(O910="","SEM DATA",IF(O910&gt;=0,"DEFESA NO PRAZO","DEFESA FORA DO PRAZO")),IF(OR(G910="DECISÃO D.P",ISNUMBER(M910)),"SEM DEFESA",IF(G910="","SEM STATUS",IF(O910="","SEM DATA",IF(O910&lt;0,"VENCIDO",IF(O910&lt;=DiasAlerta,"VENCE EM BREVE","NO PRAZO")))))))</f>
        <v/>
      </c>
      <c r="Q910" s="117" t="str">
        <f>IF(D910="","",TODAY()-D910)</f>
        <v/>
      </c>
      <c r="R910" s="110" t="n"/>
    </row>
    <row r="911" ht="18" customHeight="1">
      <c r="A911" s="109" t="n"/>
      <c r="B911" s="110" t="n"/>
      <c r="C911" s="110" t="n"/>
      <c r="D911" s="111" t="n"/>
      <c r="E911" s="110" t="n"/>
      <c r="F911" s="112" t="n"/>
      <c r="G911" s="112" t="n"/>
      <c r="H911" s="110" t="n"/>
      <c r="I911" s="113" t="n"/>
      <c r="J911" s="113" t="n"/>
      <c r="K911" s="111" t="n"/>
      <c r="L911" s="111" t="n"/>
      <c r="M911" s="111" t="n"/>
      <c r="N911" s="114" t="str">
        <f>IF(OR(D911="",E911=""),"",D911+IF(E911="NOTIFICAÇÃO DE CONSTATAÇÃO",PrazoConst,PrazoEsc))</f>
        <v/>
      </c>
      <c r="O911" s="115" t="str">
        <f>IF(N911="","",IF(ISNUMBER(L911),N911-L911,IF(OR(G911="DECISÃO D.P",ISNUMBER(M911)),"",N911-TODAY())))</f>
        <v/>
      </c>
      <c r="P911" s="116" t="str">
        <f>IF(B911="","",IF(ISNUMBER(M911),"DECIDIDO – ","")&amp;IF(ISNUMBER(L911),IF(O911="","SEM DATA",IF(O911&gt;=0,"DEFESA NO PRAZO","DEFESA FORA DO PRAZO")),IF(OR(G911="DECISÃO D.P",ISNUMBER(M911)),"SEM DEFESA",IF(G911="","SEM STATUS",IF(O911="","SEM DATA",IF(O911&lt;0,"VENCIDO",IF(O911&lt;=DiasAlerta,"VENCE EM BREVE","NO PRAZO")))))))</f>
        <v/>
      </c>
      <c r="Q911" s="117" t="str">
        <f>IF(D911="","",TODAY()-D911)</f>
        <v/>
      </c>
      <c r="R911" s="110" t="n"/>
    </row>
    <row r="912" ht="18" customHeight="1">
      <c r="A912" s="109" t="n"/>
      <c r="B912" s="110" t="n"/>
      <c r="C912" s="110" t="n"/>
      <c r="D912" s="111" t="n"/>
      <c r="E912" s="110" t="n"/>
      <c r="F912" s="112" t="n"/>
      <c r="G912" s="112" t="n"/>
      <c r="H912" s="110" t="n"/>
      <c r="I912" s="113" t="n"/>
      <c r="J912" s="113" t="n"/>
      <c r="K912" s="111" t="n"/>
      <c r="L912" s="111" t="n"/>
      <c r="M912" s="111" t="n"/>
      <c r="N912" s="114" t="str">
        <f>IF(OR(D912="",E912=""),"",D912+IF(E912="NOTIFICAÇÃO DE CONSTATAÇÃO",PrazoConst,PrazoEsc))</f>
        <v/>
      </c>
      <c r="O912" s="115" t="str">
        <f>IF(N912="","",IF(ISNUMBER(L912),N912-L912,IF(OR(G912="DECISÃO D.P",ISNUMBER(M912)),"",N912-TODAY())))</f>
        <v/>
      </c>
      <c r="P912" s="116" t="str">
        <f>IF(B912="","",IF(ISNUMBER(M912),"DECIDIDO – ","")&amp;IF(ISNUMBER(L912),IF(O912="","SEM DATA",IF(O912&gt;=0,"DEFESA NO PRAZO","DEFESA FORA DO PRAZO")),IF(OR(G912="DECISÃO D.P",ISNUMBER(M912)),"SEM DEFESA",IF(G912="","SEM STATUS",IF(O912="","SEM DATA",IF(O912&lt;0,"VENCIDO",IF(O912&lt;=DiasAlerta,"VENCE EM BREVE","NO PRAZO")))))))</f>
        <v/>
      </c>
      <c r="Q912" s="117" t="str">
        <f>IF(D912="","",TODAY()-D912)</f>
        <v/>
      </c>
      <c r="R912" s="110" t="n"/>
    </row>
    <row r="913" ht="18" customHeight="1">
      <c r="A913" s="109" t="n"/>
      <c r="B913" s="110" t="n"/>
      <c r="C913" s="110" t="n"/>
      <c r="D913" s="111" t="n"/>
      <c r="E913" s="110" t="n"/>
      <c r="F913" s="112" t="n"/>
      <c r="G913" s="112" t="n"/>
      <c r="H913" s="110" t="n"/>
      <c r="I913" s="113" t="n"/>
      <c r="J913" s="113" t="n"/>
      <c r="K913" s="111" t="n"/>
      <c r="L913" s="111" t="n"/>
      <c r="M913" s="111" t="n"/>
      <c r="N913" s="114" t="str">
        <f>IF(OR(D913="",E913=""),"",D913+IF(E913="NOTIFICAÇÃO DE CONSTATAÇÃO",PrazoConst,PrazoEsc))</f>
        <v/>
      </c>
      <c r="O913" s="115" t="str">
        <f>IF(N913="","",IF(ISNUMBER(L913),N913-L913,IF(OR(G913="DECISÃO D.P",ISNUMBER(M913)),"",N913-TODAY())))</f>
        <v/>
      </c>
      <c r="P913" s="116" t="str">
        <f>IF(B913="","",IF(ISNUMBER(M913),"DECIDIDO – ","")&amp;IF(ISNUMBER(L913),IF(O913="","SEM DATA",IF(O913&gt;=0,"DEFESA NO PRAZO","DEFESA FORA DO PRAZO")),IF(OR(G913="DECISÃO D.P",ISNUMBER(M913)),"SEM DEFESA",IF(G913="","SEM STATUS",IF(O913="","SEM DATA",IF(O913&lt;0,"VENCIDO",IF(O913&lt;=DiasAlerta,"VENCE EM BREVE","NO PRAZO")))))))</f>
        <v/>
      </c>
      <c r="Q913" s="117" t="str">
        <f>IF(D913="","",TODAY()-D913)</f>
        <v/>
      </c>
      <c r="R913" s="110" t="n"/>
    </row>
    <row r="914" ht="18" customHeight="1">
      <c r="A914" s="109" t="n"/>
      <c r="B914" s="110" t="n"/>
      <c r="C914" s="110" t="n"/>
      <c r="D914" s="111" t="n"/>
      <c r="E914" s="110" t="n"/>
      <c r="F914" s="112" t="n"/>
      <c r="G914" s="112" t="n"/>
      <c r="H914" s="110" t="n"/>
      <c r="I914" s="113" t="n"/>
      <c r="J914" s="113" t="n"/>
      <c r="K914" s="111" t="n"/>
      <c r="L914" s="111" t="n"/>
      <c r="M914" s="111" t="n"/>
      <c r="N914" s="114" t="str">
        <f>IF(OR(D914="",E914=""),"",D914+IF(E914="NOTIFICAÇÃO DE CONSTATAÇÃO",PrazoConst,PrazoEsc))</f>
        <v/>
      </c>
      <c r="O914" s="115" t="str">
        <f>IF(N914="","",IF(ISNUMBER(L914),N914-L914,IF(OR(G914="DECISÃO D.P",ISNUMBER(M914)),"",N914-TODAY())))</f>
        <v/>
      </c>
      <c r="P914" s="116" t="str">
        <f>IF(B914="","",IF(ISNUMBER(M914),"DECIDIDO – ","")&amp;IF(ISNUMBER(L914),IF(O914="","SEM DATA",IF(O914&gt;=0,"DEFESA NO PRAZO","DEFESA FORA DO PRAZO")),IF(OR(G914="DECISÃO D.P",ISNUMBER(M914)),"SEM DEFESA",IF(G914="","SEM STATUS",IF(O914="","SEM DATA",IF(O914&lt;0,"VENCIDO",IF(O914&lt;=DiasAlerta,"VENCE EM BREVE","NO PRAZO")))))))</f>
        <v/>
      </c>
      <c r="Q914" s="117" t="str">
        <f>IF(D914="","",TODAY()-D914)</f>
        <v/>
      </c>
      <c r="R914" s="110" t="n"/>
    </row>
    <row r="915" ht="18" customHeight="1">
      <c r="A915" s="109" t="n"/>
      <c r="B915" s="110" t="n"/>
      <c r="C915" s="110" t="n"/>
      <c r="D915" s="111" t="n"/>
      <c r="E915" s="110" t="n"/>
      <c r="F915" s="112" t="n"/>
      <c r="G915" s="112" t="n"/>
      <c r="H915" s="110" t="n"/>
      <c r="I915" s="113" t="n"/>
      <c r="J915" s="113" t="n"/>
      <c r="K915" s="111" t="n"/>
      <c r="L915" s="111" t="n"/>
      <c r="M915" s="111" t="n"/>
      <c r="N915" s="114" t="str">
        <f>IF(OR(D915="",E915=""),"",D915+IF(E915="NOTIFICAÇÃO DE CONSTATAÇÃO",PrazoConst,PrazoEsc))</f>
        <v/>
      </c>
      <c r="O915" s="115" t="str">
        <f>IF(N915="","",IF(ISNUMBER(L915),N915-L915,IF(OR(G915="DECISÃO D.P",ISNUMBER(M915)),"",N915-TODAY())))</f>
        <v/>
      </c>
      <c r="P915" s="116" t="str">
        <f>IF(B915="","",IF(ISNUMBER(M915),"DECIDIDO – ","")&amp;IF(ISNUMBER(L915),IF(O915="","SEM DATA",IF(O915&gt;=0,"DEFESA NO PRAZO","DEFESA FORA DO PRAZO")),IF(OR(G915="DECISÃO D.P",ISNUMBER(M915)),"SEM DEFESA",IF(G915="","SEM STATUS",IF(O915="","SEM DATA",IF(O915&lt;0,"VENCIDO",IF(O915&lt;=DiasAlerta,"VENCE EM BREVE","NO PRAZO")))))))</f>
        <v/>
      </c>
      <c r="Q915" s="117" t="str">
        <f>IF(D915="","",TODAY()-D915)</f>
        <v/>
      </c>
      <c r="R915" s="110" t="n"/>
    </row>
    <row r="916" ht="18" customHeight="1">
      <c r="A916" s="109" t="n"/>
      <c r="B916" s="110" t="n"/>
      <c r="C916" s="110" t="n"/>
      <c r="D916" s="111" t="n"/>
      <c r="E916" s="110" t="n"/>
      <c r="F916" s="112" t="n"/>
      <c r="G916" s="112" t="n"/>
      <c r="H916" s="110" t="n"/>
      <c r="I916" s="113" t="n"/>
      <c r="J916" s="113" t="n"/>
      <c r="K916" s="111" t="n"/>
      <c r="L916" s="111" t="n"/>
      <c r="M916" s="111" t="n"/>
      <c r="N916" s="114" t="str">
        <f>IF(OR(D916="",E916=""),"",D916+IF(E916="NOTIFICAÇÃO DE CONSTATAÇÃO",PrazoConst,PrazoEsc))</f>
        <v/>
      </c>
      <c r="O916" s="115" t="str">
        <f>IF(N916="","",IF(ISNUMBER(L916),N916-L916,IF(OR(G916="DECISÃO D.P",ISNUMBER(M916)),"",N916-TODAY())))</f>
        <v/>
      </c>
      <c r="P916" s="116" t="str">
        <f>IF(B916="","",IF(ISNUMBER(M916),"DECIDIDO – ","")&amp;IF(ISNUMBER(L916),IF(O916="","SEM DATA",IF(O916&gt;=0,"DEFESA NO PRAZO","DEFESA FORA DO PRAZO")),IF(OR(G916="DECISÃO D.P",ISNUMBER(M916)),"SEM DEFESA",IF(G916="","SEM STATUS",IF(O916="","SEM DATA",IF(O916&lt;0,"VENCIDO",IF(O916&lt;=DiasAlerta,"VENCE EM BREVE","NO PRAZO")))))))</f>
        <v/>
      </c>
      <c r="Q916" s="117" t="str">
        <f>IF(D916="","",TODAY()-D916)</f>
        <v/>
      </c>
      <c r="R916" s="110" t="n"/>
    </row>
    <row r="917" ht="18" customHeight="1">
      <c r="A917" s="109" t="n"/>
      <c r="B917" s="110" t="n"/>
      <c r="C917" s="110" t="n"/>
      <c r="D917" s="111" t="n"/>
      <c r="E917" s="110" t="n"/>
      <c r="F917" s="112" t="n"/>
      <c r="G917" s="112" t="n"/>
      <c r="H917" s="110" t="n"/>
      <c r="I917" s="113" t="n"/>
      <c r="J917" s="113" t="n"/>
      <c r="K917" s="111" t="n"/>
      <c r="L917" s="111" t="n"/>
      <c r="M917" s="111" t="n"/>
      <c r="N917" s="114" t="str">
        <f>IF(OR(D917="",E917=""),"",D917+IF(E917="NOTIFICAÇÃO DE CONSTATAÇÃO",PrazoConst,PrazoEsc))</f>
        <v/>
      </c>
      <c r="O917" s="115" t="str">
        <f>IF(N917="","",IF(ISNUMBER(L917),N917-L917,IF(OR(G917="DECISÃO D.P",ISNUMBER(M917)),"",N917-TODAY())))</f>
        <v/>
      </c>
      <c r="P917" s="116" t="str">
        <f>IF(B917="","",IF(ISNUMBER(M917),"DECIDIDO – ","")&amp;IF(ISNUMBER(L917),IF(O917="","SEM DATA",IF(O917&gt;=0,"DEFESA NO PRAZO","DEFESA FORA DO PRAZO")),IF(OR(G917="DECISÃO D.P",ISNUMBER(M917)),"SEM DEFESA",IF(G917="","SEM STATUS",IF(O917="","SEM DATA",IF(O917&lt;0,"VENCIDO",IF(O917&lt;=DiasAlerta,"VENCE EM BREVE","NO PRAZO")))))))</f>
        <v/>
      </c>
      <c r="Q917" s="117" t="str">
        <f>IF(D917="","",TODAY()-D917)</f>
        <v/>
      </c>
      <c r="R917" s="110" t="n"/>
    </row>
    <row r="918" ht="18" customHeight="1">
      <c r="A918" s="109" t="n"/>
      <c r="B918" s="110" t="n"/>
      <c r="C918" s="110" t="n"/>
      <c r="D918" s="111" t="n"/>
      <c r="E918" s="110" t="n"/>
      <c r="F918" s="112" t="n"/>
      <c r="G918" s="112" t="n"/>
      <c r="H918" s="110" t="n"/>
      <c r="I918" s="113" t="n"/>
      <c r="J918" s="113" t="n"/>
      <c r="K918" s="111" t="n"/>
      <c r="L918" s="111" t="n"/>
      <c r="M918" s="111" t="n"/>
      <c r="N918" s="114" t="str">
        <f>IF(OR(D918="",E918=""),"",D918+IF(E918="NOTIFICAÇÃO DE CONSTATAÇÃO",PrazoConst,PrazoEsc))</f>
        <v/>
      </c>
      <c r="O918" s="115" t="str">
        <f>IF(N918="","",IF(ISNUMBER(L918),N918-L918,IF(OR(G918="DECISÃO D.P",ISNUMBER(M918)),"",N918-TODAY())))</f>
        <v/>
      </c>
      <c r="P918" s="116" t="str">
        <f>IF(B918="","",IF(ISNUMBER(M918),"DECIDIDO – ","")&amp;IF(ISNUMBER(L918),IF(O918="","SEM DATA",IF(O918&gt;=0,"DEFESA NO PRAZO","DEFESA FORA DO PRAZO")),IF(OR(G918="DECISÃO D.P",ISNUMBER(M918)),"SEM DEFESA",IF(G918="","SEM STATUS",IF(O918="","SEM DATA",IF(O918&lt;0,"VENCIDO",IF(O918&lt;=DiasAlerta,"VENCE EM BREVE","NO PRAZO")))))))</f>
        <v/>
      </c>
      <c r="Q918" s="117" t="str">
        <f>IF(D918="","",TODAY()-D918)</f>
        <v/>
      </c>
      <c r="R918" s="110" t="n"/>
    </row>
    <row r="919" ht="18" customHeight="1">
      <c r="A919" s="109" t="n"/>
      <c r="B919" s="110" t="n"/>
      <c r="C919" s="110" t="n"/>
      <c r="D919" s="111" t="n"/>
      <c r="E919" s="110" t="n"/>
      <c r="F919" s="112" t="n"/>
      <c r="G919" s="112" t="n"/>
      <c r="H919" s="110" t="n"/>
      <c r="I919" s="113" t="n"/>
      <c r="J919" s="113" t="n"/>
      <c r="K919" s="111" t="n"/>
      <c r="L919" s="111" t="n"/>
      <c r="M919" s="111" t="n"/>
      <c r="N919" s="114" t="str">
        <f>IF(OR(D919="",E919=""),"",D919+IF(E919="NOTIFICAÇÃO DE CONSTATAÇÃO",PrazoConst,PrazoEsc))</f>
        <v/>
      </c>
      <c r="O919" s="115" t="str">
        <f>IF(N919="","",IF(ISNUMBER(L919),N919-L919,IF(OR(G919="DECISÃO D.P",ISNUMBER(M919)),"",N919-TODAY())))</f>
        <v/>
      </c>
      <c r="P919" s="116" t="str">
        <f>IF(B919="","",IF(ISNUMBER(M919),"DECIDIDO – ","")&amp;IF(ISNUMBER(L919),IF(O919="","SEM DATA",IF(O919&gt;=0,"DEFESA NO PRAZO","DEFESA FORA DO PRAZO")),IF(OR(G919="DECISÃO D.P",ISNUMBER(M919)),"SEM DEFESA",IF(G919="","SEM STATUS",IF(O919="","SEM DATA",IF(O919&lt;0,"VENCIDO",IF(O919&lt;=DiasAlerta,"VENCE EM BREVE","NO PRAZO")))))))</f>
        <v/>
      </c>
      <c r="Q919" s="117" t="str">
        <f>IF(D919="","",TODAY()-D919)</f>
        <v/>
      </c>
      <c r="R919" s="110" t="n"/>
    </row>
    <row r="920" ht="18" customHeight="1">
      <c r="A920" s="109" t="n"/>
      <c r="B920" s="110" t="n"/>
      <c r="C920" s="110" t="n"/>
      <c r="D920" s="111" t="n"/>
      <c r="E920" s="110" t="n"/>
      <c r="F920" s="112" t="n"/>
      <c r="G920" s="112" t="n"/>
      <c r="H920" s="110" t="n"/>
      <c r="I920" s="113" t="n"/>
      <c r="J920" s="113" t="n"/>
      <c r="K920" s="111" t="n"/>
      <c r="L920" s="111" t="n"/>
      <c r="M920" s="111" t="n"/>
      <c r="N920" s="114" t="str">
        <f>IF(OR(D920="",E920=""),"",D920+IF(E920="NOTIFICAÇÃO DE CONSTATAÇÃO",PrazoConst,PrazoEsc))</f>
        <v/>
      </c>
      <c r="O920" s="115" t="str">
        <f>IF(N920="","",IF(ISNUMBER(L920),N920-L920,IF(OR(G920="DECISÃO D.P",ISNUMBER(M920)),"",N920-TODAY())))</f>
        <v/>
      </c>
      <c r="P920" s="116" t="str">
        <f>IF(B920="","",IF(ISNUMBER(M920),"DECIDIDO – ","")&amp;IF(ISNUMBER(L920),IF(O920="","SEM DATA",IF(O920&gt;=0,"DEFESA NO PRAZO","DEFESA FORA DO PRAZO")),IF(OR(G920="DECISÃO D.P",ISNUMBER(M920)),"SEM DEFESA",IF(G920="","SEM STATUS",IF(O920="","SEM DATA",IF(O920&lt;0,"VENCIDO",IF(O920&lt;=DiasAlerta,"VENCE EM BREVE","NO PRAZO")))))))</f>
        <v/>
      </c>
      <c r="Q920" s="117" t="str">
        <f>IF(D920="","",TODAY()-D920)</f>
        <v/>
      </c>
      <c r="R920" s="110" t="n"/>
    </row>
    <row r="921" ht="18" customHeight="1">
      <c r="A921" s="109" t="n"/>
      <c r="B921" s="110" t="n"/>
      <c r="C921" s="110" t="n"/>
      <c r="D921" s="111" t="n"/>
      <c r="E921" s="110" t="n"/>
      <c r="F921" s="112" t="n"/>
      <c r="G921" s="112" t="n"/>
      <c r="H921" s="110" t="n"/>
      <c r="I921" s="113" t="n"/>
      <c r="J921" s="113" t="n"/>
      <c r="K921" s="111" t="n"/>
      <c r="L921" s="111" t="n"/>
      <c r="M921" s="111" t="n"/>
      <c r="N921" s="114" t="str">
        <f>IF(OR(D921="",E921=""),"",D921+IF(E921="NOTIFICAÇÃO DE CONSTATAÇÃO",PrazoConst,PrazoEsc))</f>
        <v/>
      </c>
      <c r="O921" s="115" t="str">
        <f>IF(N921="","",IF(ISNUMBER(L921),N921-L921,IF(OR(G921="DECISÃO D.P",ISNUMBER(M921)),"",N921-TODAY())))</f>
        <v/>
      </c>
      <c r="P921" s="116" t="str">
        <f>IF(B921="","",IF(ISNUMBER(M921),"DECIDIDO – ","")&amp;IF(ISNUMBER(L921),IF(O921="","SEM DATA",IF(O921&gt;=0,"DEFESA NO PRAZO","DEFESA FORA DO PRAZO")),IF(OR(G921="DECISÃO D.P",ISNUMBER(M921)),"SEM DEFESA",IF(G921="","SEM STATUS",IF(O921="","SEM DATA",IF(O921&lt;0,"VENCIDO",IF(O921&lt;=DiasAlerta,"VENCE EM BREVE","NO PRAZO")))))))</f>
        <v/>
      </c>
      <c r="Q921" s="117" t="str">
        <f>IF(D921="","",TODAY()-D921)</f>
        <v/>
      </c>
      <c r="R921" s="110" t="n"/>
    </row>
    <row r="922" ht="18" customHeight="1">
      <c r="A922" s="109" t="n"/>
      <c r="B922" s="110" t="n"/>
      <c r="C922" s="110" t="n"/>
      <c r="D922" s="111" t="n"/>
      <c r="E922" s="110" t="n"/>
      <c r="F922" s="112" t="n"/>
      <c r="G922" s="112" t="n"/>
      <c r="H922" s="110" t="n"/>
      <c r="I922" s="113" t="n"/>
      <c r="J922" s="113" t="n"/>
      <c r="K922" s="111" t="n"/>
      <c r="L922" s="111" t="n"/>
      <c r="M922" s="111" t="n"/>
      <c r="N922" s="114" t="str">
        <f>IF(OR(D922="",E922=""),"",D922+IF(E922="NOTIFICAÇÃO DE CONSTATAÇÃO",PrazoConst,PrazoEsc))</f>
        <v/>
      </c>
      <c r="O922" s="115" t="str">
        <f>IF(N922="","",IF(ISNUMBER(L922),N922-L922,IF(OR(G922="DECISÃO D.P",ISNUMBER(M922)),"",N922-TODAY())))</f>
        <v/>
      </c>
      <c r="P922" s="116" t="str">
        <f>IF(B922="","",IF(ISNUMBER(M922),"DECIDIDO – ","")&amp;IF(ISNUMBER(L922),IF(O922="","SEM DATA",IF(O922&gt;=0,"DEFESA NO PRAZO","DEFESA FORA DO PRAZO")),IF(OR(G922="DECISÃO D.P",ISNUMBER(M922)),"SEM DEFESA",IF(G922="","SEM STATUS",IF(O922="","SEM DATA",IF(O922&lt;0,"VENCIDO",IF(O922&lt;=DiasAlerta,"VENCE EM BREVE","NO PRAZO")))))))</f>
        <v/>
      </c>
      <c r="Q922" s="117" t="str">
        <f>IF(D922="","",TODAY()-D922)</f>
        <v/>
      </c>
      <c r="R922" s="110" t="n"/>
    </row>
    <row r="923" ht="18" customHeight="1">
      <c r="A923" s="109" t="n"/>
      <c r="B923" s="110" t="n"/>
      <c r="C923" s="110" t="n"/>
      <c r="D923" s="111" t="n"/>
      <c r="E923" s="110" t="n"/>
      <c r="F923" s="112" t="n"/>
      <c r="G923" s="112" t="n"/>
      <c r="H923" s="110" t="n"/>
      <c r="I923" s="113" t="n"/>
      <c r="J923" s="113" t="n"/>
      <c r="K923" s="111" t="n"/>
      <c r="L923" s="111" t="n"/>
      <c r="M923" s="111" t="n"/>
      <c r="N923" s="114" t="str">
        <f>IF(OR(D923="",E923=""),"",D923+IF(E923="NOTIFICAÇÃO DE CONSTATAÇÃO",PrazoConst,PrazoEsc))</f>
        <v/>
      </c>
      <c r="O923" s="115" t="str">
        <f>IF(N923="","",IF(ISNUMBER(L923),N923-L923,IF(OR(G923="DECISÃO D.P",ISNUMBER(M923)),"",N923-TODAY())))</f>
        <v/>
      </c>
      <c r="P923" s="116" t="str">
        <f>IF(B923="","",IF(ISNUMBER(M923),"DECIDIDO – ","")&amp;IF(ISNUMBER(L923),IF(O923="","SEM DATA",IF(O923&gt;=0,"DEFESA NO PRAZO","DEFESA FORA DO PRAZO")),IF(OR(G923="DECISÃO D.P",ISNUMBER(M923)),"SEM DEFESA",IF(G923="","SEM STATUS",IF(O923="","SEM DATA",IF(O923&lt;0,"VENCIDO",IF(O923&lt;=DiasAlerta,"VENCE EM BREVE","NO PRAZO")))))))</f>
        <v/>
      </c>
      <c r="Q923" s="117" t="str">
        <f>IF(D923="","",TODAY()-D923)</f>
        <v/>
      </c>
      <c r="R923" s="110" t="n"/>
    </row>
    <row r="924" ht="18" customHeight="1">
      <c r="A924" s="109" t="n"/>
      <c r="B924" s="110" t="n"/>
      <c r="C924" s="110" t="n"/>
      <c r="D924" s="111" t="n"/>
      <c r="E924" s="110" t="n"/>
      <c r="F924" s="112" t="n"/>
      <c r="G924" s="112" t="n"/>
      <c r="H924" s="110" t="n"/>
      <c r="I924" s="113" t="n"/>
      <c r="J924" s="113" t="n"/>
      <c r="K924" s="111" t="n"/>
      <c r="L924" s="111" t="n"/>
      <c r="M924" s="111" t="n"/>
      <c r="N924" s="114" t="str">
        <f>IF(OR(D924="",E924=""),"",D924+IF(E924="NOTIFICAÇÃO DE CONSTATAÇÃO",PrazoConst,PrazoEsc))</f>
        <v/>
      </c>
      <c r="O924" s="115" t="str">
        <f>IF(N924="","",IF(ISNUMBER(L924),N924-L924,IF(OR(G924="DECISÃO D.P",ISNUMBER(M924)),"",N924-TODAY())))</f>
        <v/>
      </c>
      <c r="P924" s="116" t="str">
        <f>IF(B924="","",IF(ISNUMBER(M924),"DECIDIDO – ","")&amp;IF(ISNUMBER(L924),IF(O924="","SEM DATA",IF(O924&gt;=0,"DEFESA NO PRAZO","DEFESA FORA DO PRAZO")),IF(OR(G924="DECISÃO D.P",ISNUMBER(M924)),"SEM DEFESA",IF(G924="","SEM STATUS",IF(O924="","SEM DATA",IF(O924&lt;0,"VENCIDO",IF(O924&lt;=DiasAlerta,"VENCE EM BREVE","NO PRAZO")))))))</f>
        <v/>
      </c>
      <c r="Q924" s="117" t="str">
        <f>IF(D924="","",TODAY()-D924)</f>
        <v/>
      </c>
      <c r="R924" s="110" t="n"/>
    </row>
    <row r="925" ht="18" customHeight="1">
      <c r="A925" s="109" t="n"/>
      <c r="B925" s="110" t="n"/>
      <c r="C925" s="110" t="n"/>
      <c r="D925" s="111" t="n"/>
      <c r="E925" s="110" t="n"/>
      <c r="F925" s="112" t="n"/>
      <c r="G925" s="112" t="n"/>
      <c r="H925" s="110" t="n"/>
      <c r="I925" s="113" t="n"/>
      <c r="J925" s="113" t="n"/>
      <c r="K925" s="111" t="n"/>
      <c r="L925" s="111" t="n"/>
      <c r="M925" s="111" t="n"/>
      <c r="N925" s="114" t="str">
        <f>IF(OR(D925="",E925=""),"",D925+IF(E925="NOTIFICAÇÃO DE CONSTATAÇÃO",PrazoConst,PrazoEsc))</f>
        <v/>
      </c>
      <c r="O925" s="115" t="str">
        <f>IF(N925="","",IF(ISNUMBER(L925),N925-L925,IF(OR(G925="DECISÃO D.P",ISNUMBER(M925)),"",N925-TODAY())))</f>
        <v/>
      </c>
      <c r="P925" s="116" t="str">
        <f>IF(B925="","",IF(ISNUMBER(M925),"DECIDIDO – ","")&amp;IF(ISNUMBER(L925),IF(O925="","SEM DATA",IF(O925&gt;=0,"DEFESA NO PRAZO","DEFESA FORA DO PRAZO")),IF(OR(G925="DECISÃO D.P",ISNUMBER(M925)),"SEM DEFESA",IF(G925="","SEM STATUS",IF(O925="","SEM DATA",IF(O925&lt;0,"VENCIDO",IF(O925&lt;=DiasAlerta,"VENCE EM BREVE","NO PRAZO")))))))</f>
        <v/>
      </c>
      <c r="Q925" s="117" t="str">
        <f>IF(D925="","",TODAY()-D925)</f>
        <v/>
      </c>
      <c r="R925" s="110" t="n"/>
    </row>
    <row r="926" ht="18" customHeight="1">
      <c r="A926" s="109" t="n"/>
      <c r="B926" s="110" t="n"/>
      <c r="C926" s="110" t="n"/>
      <c r="D926" s="111" t="n"/>
      <c r="E926" s="110" t="n"/>
      <c r="F926" s="112" t="n"/>
      <c r="G926" s="112" t="n"/>
      <c r="H926" s="110" t="n"/>
      <c r="I926" s="113" t="n"/>
      <c r="J926" s="113" t="n"/>
      <c r="K926" s="111" t="n"/>
      <c r="L926" s="111" t="n"/>
      <c r="M926" s="111" t="n"/>
      <c r="N926" s="114" t="str">
        <f>IF(OR(D926="",E926=""),"",D926+IF(E926="NOTIFICAÇÃO DE CONSTATAÇÃO",PrazoConst,PrazoEsc))</f>
        <v/>
      </c>
      <c r="O926" s="115" t="str">
        <f>IF(N926="","",IF(ISNUMBER(L926),N926-L926,IF(OR(G926="DECISÃO D.P",ISNUMBER(M926)),"",N926-TODAY())))</f>
        <v/>
      </c>
      <c r="P926" s="116" t="str">
        <f>IF(B926="","",IF(ISNUMBER(M926),"DECIDIDO – ","")&amp;IF(ISNUMBER(L926),IF(O926="","SEM DATA",IF(O926&gt;=0,"DEFESA NO PRAZO","DEFESA FORA DO PRAZO")),IF(OR(G926="DECISÃO D.P",ISNUMBER(M926)),"SEM DEFESA",IF(G926="","SEM STATUS",IF(O926="","SEM DATA",IF(O926&lt;0,"VENCIDO",IF(O926&lt;=DiasAlerta,"VENCE EM BREVE","NO PRAZO")))))))</f>
        <v/>
      </c>
      <c r="Q926" s="117" t="str">
        <f>IF(D926="","",TODAY()-D926)</f>
        <v/>
      </c>
      <c r="R926" s="110" t="n"/>
    </row>
    <row r="927" ht="18" customHeight="1">
      <c r="A927" s="109" t="n"/>
      <c r="B927" s="110" t="n"/>
      <c r="C927" s="110" t="n"/>
      <c r="D927" s="111" t="n"/>
      <c r="E927" s="110" t="n"/>
      <c r="F927" s="112" t="n"/>
      <c r="G927" s="112" t="n"/>
      <c r="H927" s="110" t="n"/>
      <c r="I927" s="113" t="n"/>
      <c r="J927" s="113" t="n"/>
      <c r="K927" s="111" t="n"/>
      <c r="L927" s="111" t="n"/>
      <c r="M927" s="111" t="n"/>
      <c r="N927" s="114" t="str">
        <f>IF(OR(D927="",E927=""),"",D927+IF(E927="NOTIFICAÇÃO DE CONSTATAÇÃO",PrazoConst,PrazoEsc))</f>
        <v/>
      </c>
      <c r="O927" s="115" t="str">
        <f>IF(N927="","",IF(ISNUMBER(L927),N927-L927,IF(OR(G927="DECISÃO D.P",ISNUMBER(M927)),"",N927-TODAY())))</f>
        <v/>
      </c>
      <c r="P927" s="116" t="str">
        <f>IF(B927="","",IF(ISNUMBER(M927),"DECIDIDO – ","")&amp;IF(ISNUMBER(L927),IF(O927="","SEM DATA",IF(O927&gt;=0,"DEFESA NO PRAZO","DEFESA FORA DO PRAZO")),IF(OR(G927="DECISÃO D.P",ISNUMBER(M927)),"SEM DEFESA",IF(G927="","SEM STATUS",IF(O927="","SEM DATA",IF(O927&lt;0,"VENCIDO",IF(O927&lt;=DiasAlerta,"VENCE EM BREVE","NO PRAZO")))))))</f>
        <v/>
      </c>
      <c r="Q927" s="117" t="str">
        <f>IF(D927="","",TODAY()-D927)</f>
        <v/>
      </c>
      <c r="R927" s="110" t="n"/>
    </row>
    <row r="928" ht="18" customHeight="1">
      <c r="A928" s="109" t="n"/>
      <c r="B928" s="110" t="n"/>
      <c r="C928" s="110" t="n"/>
      <c r="D928" s="111" t="n"/>
      <c r="E928" s="110" t="n"/>
      <c r="F928" s="112" t="n"/>
      <c r="G928" s="112" t="n"/>
      <c r="H928" s="110" t="n"/>
      <c r="I928" s="113" t="n"/>
      <c r="J928" s="113" t="n"/>
      <c r="K928" s="111" t="n"/>
      <c r="L928" s="111" t="n"/>
      <c r="M928" s="111" t="n"/>
      <c r="N928" s="114" t="str">
        <f>IF(OR(D928="",E928=""),"",D928+IF(E928="NOTIFICAÇÃO DE CONSTATAÇÃO",PrazoConst,PrazoEsc))</f>
        <v/>
      </c>
      <c r="O928" s="115" t="str">
        <f>IF(N928="","",IF(ISNUMBER(L928),N928-L928,IF(OR(G928="DECISÃO D.P",ISNUMBER(M928)),"",N928-TODAY())))</f>
        <v/>
      </c>
      <c r="P928" s="116" t="str">
        <f>IF(B928="","",IF(ISNUMBER(M928),"DECIDIDO – ","")&amp;IF(ISNUMBER(L928),IF(O928="","SEM DATA",IF(O928&gt;=0,"DEFESA NO PRAZO","DEFESA FORA DO PRAZO")),IF(OR(G928="DECISÃO D.P",ISNUMBER(M928)),"SEM DEFESA",IF(G928="","SEM STATUS",IF(O928="","SEM DATA",IF(O928&lt;0,"VENCIDO",IF(O928&lt;=DiasAlerta,"VENCE EM BREVE","NO PRAZO")))))))</f>
        <v/>
      </c>
      <c r="Q928" s="117" t="str">
        <f>IF(D928="","",TODAY()-D928)</f>
        <v/>
      </c>
      <c r="R928" s="110" t="n"/>
    </row>
    <row r="929" ht="18" customHeight="1">
      <c r="A929" s="109" t="n"/>
      <c r="B929" s="110" t="n"/>
      <c r="C929" s="110" t="n"/>
      <c r="D929" s="111" t="n"/>
      <c r="E929" s="110" t="n"/>
      <c r="F929" s="112" t="n"/>
      <c r="G929" s="112" t="n"/>
      <c r="H929" s="110" t="n"/>
      <c r="I929" s="113" t="n"/>
      <c r="J929" s="113" t="n"/>
      <c r="K929" s="111" t="n"/>
      <c r="L929" s="111" t="n"/>
      <c r="M929" s="111" t="n"/>
      <c r="N929" s="114" t="str">
        <f>IF(OR(D929="",E929=""),"",D929+IF(E929="NOTIFICAÇÃO DE CONSTATAÇÃO",PrazoConst,PrazoEsc))</f>
        <v/>
      </c>
      <c r="O929" s="115" t="str">
        <f>IF(N929="","",IF(ISNUMBER(L929),N929-L929,IF(OR(G929="DECISÃO D.P",ISNUMBER(M929)),"",N929-TODAY())))</f>
        <v/>
      </c>
      <c r="P929" s="116" t="str">
        <f>IF(B929="","",IF(ISNUMBER(M929),"DECIDIDO – ","")&amp;IF(ISNUMBER(L929),IF(O929="","SEM DATA",IF(O929&gt;=0,"DEFESA NO PRAZO","DEFESA FORA DO PRAZO")),IF(OR(G929="DECISÃO D.P",ISNUMBER(M929)),"SEM DEFESA",IF(G929="","SEM STATUS",IF(O929="","SEM DATA",IF(O929&lt;0,"VENCIDO",IF(O929&lt;=DiasAlerta,"VENCE EM BREVE","NO PRAZO")))))))</f>
        <v/>
      </c>
      <c r="Q929" s="117" t="str">
        <f>IF(D929="","",TODAY()-D929)</f>
        <v/>
      </c>
      <c r="R929" s="110" t="n"/>
    </row>
    <row r="930" ht="18" customHeight="1">
      <c r="A930" s="109" t="n"/>
      <c r="B930" s="110" t="n"/>
      <c r="C930" s="110" t="n"/>
      <c r="D930" s="111" t="n"/>
      <c r="E930" s="110" t="n"/>
      <c r="F930" s="112" t="n"/>
      <c r="G930" s="112" t="n"/>
      <c r="H930" s="110" t="n"/>
      <c r="I930" s="113" t="n"/>
      <c r="J930" s="113" t="n"/>
      <c r="K930" s="111" t="n"/>
      <c r="L930" s="111" t="n"/>
      <c r="M930" s="111" t="n"/>
      <c r="N930" s="114" t="str">
        <f>IF(OR(D930="",E930=""),"",D930+IF(E930="NOTIFICAÇÃO DE CONSTATAÇÃO",PrazoConst,PrazoEsc))</f>
        <v/>
      </c>
      <c r="O930" s="115" t="str">
        <f>IF(N930="","",IF(ISNUMBER(L930),N930-L930,IF(OR(G930="DECISÃO D.P",ISNUMBER(M930)),"",N930-TODAY())))</f>
        <v/>
      </c>
      <c r="P930" s="116" t="str">
        <f>IF(B930="","",IF(ISNUMBER(M930),"DECIDIDO – ","")&amp;IF(ISNUMBER(L930),IF(O930="","SEM DATA",IF(O930&gt;=0,"DEFESA NO PRAZO","DEFESA FORA DO PRAZO")),IF(OR(G930="DECISÃO D.P",ISNUMBER(M930)),"SEM DEFESA",IF(G930="","SEM STATUS",IF(O930="","SEM DATA",IF(O930&lt;0,"VENCIDO",IF(O930&lt;=DiasAlerta,"VENCE EM BREVE","NO PRAZO")))))))</f>
        <v/>
      </c>
      <c r="Q930" s="117" t="str">
        <f>IF(D930="","",TODAY()-D930)</f>
        <v/>
      </c>
      <c r="R930" s="110" t="n"/>
    </row>
    <row r="931" ht="18" customHeight="1">
      <c r="A931" s="109" t="n"/>
      <c r="B931" s="110" t="n"/>
      <c r="C931" s="110" t="n"/>
      <c r="D931" s="111" t="n"/>
      <c r="E931" s="110" t="n"/>
      <c r="F931" s="112" t="n"/>
      <c r="G931" s="112" t="n"/>
      <c r="H931" s="110" t="n"/>
      <c r="I931" s="113" t="n"/>
      <c r="J931" s="113" t="n"/>
      <c r="K931" s="111" t="n"/>
      <c r="L931" s="111" t="n"/>
      <c r="M931" s="111" t="n"/>
      <c r="N931" s="114" t="str">
        <f>IF(OR(D931="",E931=""),"",D931+IF(E931="NOTIFICAÇÃO DE CONSTATAÇÃO",PrazoConst,PrazoEsc))</f>
        <v/>
      </c>
      <c r="O931" s="115" t="str">
        <f>IF(N931="","",IF(ISNUMBER(L931),N931-L931,IF(OR(G931="DECISÃO D.P",ISNUMBER(M931)),"",N931-TODAY())))</f>
        <v/>
      </c>
      <c r="P931" s="116" t="str">
        <f>IF(B931="","",IF(ISNUMBER(M931),"DECIDIDO – ","")&amp;IF(ISNUMBER(L931),IF(O931="","SEM DATA",IF(O931&gt;=0,"DEFESA NO PRAZO","DEFESA FORA DO PRAZO")),IF(OR(G931="DECISÃO D.P",ISNUMBER(M931)),"SEM DEFESA",IF(G931="","SEM STATUS",IF(O931="","SEM DATA",IF(O931&lt;0,"VENCIDO",IF(O931&lt;=DiasAlerta,"VENCE EM BREVE","NO PRAZO")))))))</f>
        <v/>
      </c>
      <c r="Q931" s="117" t="str">
        <f>IF(D931="","",TODAY()-D931)</f>
        <v/>
      </c>
      <c r="R931" s="110" t="n"/>
    </row>
    <row r="932" ht="18" customHeight="1">
      <c r="A932" s="109" t="n"/>
      <c r="B932" s="110" t="n"/>
      <c r="C932" s="110" t="n"/>
      <c r="D932" s="111" t="n"/>
      <c r="E932" s="110" t="n"/>
      <c r="F932" s="112" t="n"/>
      <c r="G932" s="112" t="n"/>
      <c r="H932" s="110" t="n"/>
      <c r="I932" s="113" t="n"/>
      <c r="J932" s="113" t="n"/>
      <c r="K932" s="111" t="n"/>
      <c r="L932" s="111" t="n"/>
      <c r="M932" s="111" t="n"/>
      <c r="N932" s="114" t="str">
        <f>IF(OR(D932="",E932=""),"",D932+IF(E932="NOTIFICAÇÃO DE CONSTATAÇÃO",PrazoConst,PrazoEsc))</f>
        <v/>
      </c>
      <c r="O932" s="115" t="str">
        <f>IF(N932="","",IF(ISNUMBER(L932),N932-L932,IF(OR(G932="DECISÃO D.P",ISNUMBER(M932)),"",N932-TODAY())))</f>
        <v/>
      </c>
      <c r="P932" s="116" t="str">
        <f>IF(B932="","",IF(ISNUMBER(M932),"DECIDIDO – ","")&amp;IF(ISNUMBER(L932),IF(O932="","SEM DATA",IF(O932&gt;=0,"DEFESA NO PRAZO","DEFESA FORA DO PRAZO")),IF(OR(G932="DECISÃO D.P",ISNUMBER(M932)),"SEM DEFESA",IF(G932="","SEM STATUS",IF(O932="","SEM DATA",IF(O932&lt;0,"VENCIDO",IF(O932&lt;=DiasAlerta,"VENCE EM BREVE","NO PRAZO")))))))</f>
        <v/>
      </c>
      <c r="Q932" s="117" t="str">
        <f>IF(D932="","",TODAY()-D932)</f>
        <v/>
      </c>
      <c r="R932" s="110" t="n"/>
    </row>
    <row r="933" ht="18" customHeight="1">
      <c r="A933" s="109" t="n"/>
      <c r="B933" s="110" t="n"/>
      <c r="C933" s="110" t="n"/>
      <c r="D933" s="111" t="n"/>
      <c r="E933" s="110" t="n"/>
      <c r="F933" s="112" t="n"/>
      <c r="G933" s="112" t="n"/>
      <c r="H933" s="110" t="n"/>
      <c r="I933" s="113" t="n"/>
      <c r="J933" s="113" t="n"/>
      <c r="K933" s="111" t="n"/>
      <c r="L933" s="111" t="n"/>
      <c r="M933" s="111" t="n"/>
      <c r="N933" s="114" t="str">
        <f>IF(OR(D933="",E933=""),"",D933+IF(E933="NOTIFICAÇÃO DE CONSTATAÇÃO",PrazoConst,PrazoEsc))</f>
        <v/>
      </c>
      <c r="O933" s="115" t="str">
        <f>IF(N933="","",IF(ISNUMBER(L933),N933-L933,IF(OR(G933="DECISÃO D.P",ISNUMBER(M933)),"",N933-TODAY())))</f>
        <v/>
      </c>
      <c r="P933" s="116" t="str">
        <f>IF(B933="","",IF(ISNUMBER(M933),"DECIDIDO – ","")&amp;IF(ISNUMBER(L933),IF(O933="","SEM DATA",IF(O933&gt;=0,"DEFESA NO PRAZO","DEFESA FORA DO PRAZO")),IF(OR(G933="DECISÃO D.P",ISNUMBER(M933)),"SEM DEFESA",IF(G933="","SEM STATUS",IF(O933="","SEM DATA",IF(O933&lt;0,"VENCIDO",IF(O933&lt;=DiasAlerta,"VENCE EM BREVE","NO PRAZO")))))))</f>
        <v/>
      </c>
      <c r="Q933" s="117" t="str">
        <f>IF(D933="","",TODAY()-D933)</f>
        <v/>
      </c>
      <c r="R933" s="110" t="n"/>
    </row>
    <row r="934" ht="18" customHeight="1">
      <c r="A934" s="109" t="n"/>
      <c r="B934" s="110" t="n"/>
      <c r="C934" s="110" t="n"/>
      <c r="D934" s="111" t="n"/>
      <c r="E934" s="110" t="n"/>
      <c r="F934" s="112" t="n"/>
      <c r="G934" s="112" t="n"/>
      <c r="H934" s="110" t="n"/>
      <c r="I934" s="113" t="n"/>
      <c r="J934" s="113" t="n"/>
      <c r="K934" s="111" t="n"/>
      <c r="L934" s="111" t="n"/>
      <c r="M934" s="111" t="n"/>
      <c r="N934" s="114" t="str">
        <f>IF(OR(D934="",E934=""),"",D934+IF(E934="NOTIFICAÇÃO DE CONSTATAÇÃO",PrazoConst,PrazoEsc))</f>
        <v/>
      </c>
      <c r="O934" s="115" t="str">
        <f>IF(N934="","",IF(ISNUMBER(L934),N934-L934,IF(OR(G934="DECISÃO D.P",ISNUMBER(M934)),"",N934-TODAY())))</f>
        <v/>
      </c>
      <c r="P934" s="116" t="str">
        <f>IF(B934="","",IF(ISNUMBER(M934),"DECIDIDO – ","")&amp;IF(ISNUMBER(L934),IF(O934="","SEM DATA",IF(O934&gt;=0,"DEFESA NO PRAZO","DEFESA FORA DO PRAZO")),IF(OR(G934="DECISÃO D.P",ISNUMBER(M934)),"SEM DEFESA",IF(G934="","SEM STATUS",IF(O934="","SEM DATA",IF(O934&lt;0,"VENCIDO",IF(O934&lt;=DiasAlerta,"VENCE EM BREVE","NO PRAZO")))))))</f>
        <v/>
      </c>
      <c r="Q934" s="117" t="str">
        <f>IF(D934="","",TODAY()-D934)</f>
        <v/>
      </c>
      <c r="R934" s="110" t="n"/>
    </row>
    <row r="935" ht="18" customHeight="1">
      <c r="A935" s="109" t="n"/>
      <c r="B935" s="110" t="n"/>
      <c r="C935" s="110" t="n"/>
      <c r="D935" s="111" t="n"/>
      <c r="E935" s="110" t="n"/>
      <c r="F935" s="112" t="n"/>
      <c r="G935" s="112" t="n"/>
      <c r="H935" s="110" t="n"/>
      <c r="I935" s="113" t="n"/>
      <c r="J935" s="113" t="n"/>
      <c r="K935" s="111" t="n"/>
      <c r="L935" s="111" t="n"/>
      <c r="M935" s="111" t="n"/>
      <c r="N935" s="114" t="str">
        <f>IF(OR(D935="",E935=""),"",D935+IF(E935="NOTIFICAÇÃO DE CONSTATAÇÃO",PrazoConst,PrazoEsc))</f>
        <v/>
      </c>
      <c r="O935" s="115" t="str">
        <f>IF(N935="","",IF(ISNUMBER(L935),N935-L935,IF(OR(G935="DECISÃO D.P",ISNUMBER(M935)),"",N935-TODAY())))</f>
        <v/>
      </c>
      <c r="P935" s="116" t="str">
        <f>IF(B935="","",IF(ISNUMBER(M935),"DECIDIDO – ","")&amp;IF(ISNUMBER(L935),IF(O935="","SEM DATA",IF(O935&gt;=0,"DEFESA NO PRAZO","DEFESA FORA DO PRAZO")),IF(OR(G935="DECISÃO D.P",ISNUMBER(M935)),"SEM DEFESA",IF(G935="","SEM STATUS",IF(O935="","SEM DATA",IF(O935&lt;0,"VENCIDO",IF(O935&lt;=DiasAlerta,"VENCE EM BREVE","NO PRAZO")))))))</f>
        <v/>
      </c>
      <c r="Q935" s="117" t="str">
        <f>IF(D935="","",TODAY()-D935)</f>
        <v/>
      </c>
      <c r="R935" s="110" t="n"/>
    </row>
    <row r="936" ht="18" customHeight="1">
      <c r="A936" s="109" t="n"/>
      <c r="B936" s="110" t="n"/>
      <c r="C936" s="110" t="n"/>
      <c r="D936" s="111" t="n"/>
      <c r="E936" s="110" t="n"/>
      <c r="F936" s="112" t="n"/>
      <c r="G936" s="112" t="n"/>
      <c r="H936" s="110" t="n"/>
      <c r="I936" s="113" t="n"/>
      <c r="J936" s="113" t="n"/>
      <c r="K936" s="111" t="n"/>
      <c r="L936" s="111" t="n"/>
      <c r="M936" s="111" t="n"/>
      <c r="N936" s="114" t="str">
        <f>IF(OR(D936="",E936=""),"",D936+IF(E936="NOTIFICAÇÃO DE CONSTATAÇÃO",PrazoConst,PrazoEsc))</f>
        <v/>
      </c>
      <c r="O936" s="115" t="str">
        <f>IF(N936="","",IF(ISNUMBER(L936),N936-L936,IF(OR(G936="DECISÃO D.P",ISNUMBER(M936)),"",N936-TODAY())))</f>
        <v/>
      </c>
      <c r="P936" s="116" t="str">
        <f>IF(B936="","",IF(ISNUMBER(M936),"DECIDIDO – ","")&amp;IF(ISNUMBER(L936),IF(O936="","SEM DATA",IF(O936&gt;=0,"DEFESA NO PRAZO","DEFESA FORA DO PRAZO")),IF(OR(G936="DECISÃO D.P",ISNUMBER(M936)),"SEM DEFESA",IF(G936="","SEM STATUS",IF(O936="","SEM DATA",IF(O936&lt;0,"VENCIDO",IF(O936&lt;=DiasAlerta,"VENCE EM BREVE","NO PRAZO")))))))</f>
        <v/>
      </c>
      <c r="Q936" s="117" t="str">
        <f>IF(D936="","",TODAY()-D936)</f>
        <v/>
      </c>
      <c r="R936" s="110" t="n"/>
    </row>
    <row r="937" ht="18" customHeight="1">
      <c r="A937" s="109" t="n"/>
      <c r="B937" s="110" t="n"/>
      <c r="C937" s="110" t="n"/>
      <c r="D937" s="111" t="n"/>
      <c r="E937" s="110" t="n"/>
      <c r="F937" s="112" t="n"/>
      <c r="G937" s="112" t="n"/>
      <c r="H937" s="110" t="n"/>
      <c r="I937" s="113" t="n"/>
      <c r="J937" s="113" t="n"/>
      <c r="K937" s="111" t="n"/>
      <c r="L937" s="111" t="n"/>
      <c r="M937" s="111" t="n"/>
      <c r="N937" s="114" t="str">
        <f>IF(OR(D937="",E937=""),"",D937+IF(E937="NOTIFICAÇÃO DE CONSTATAÇÃO",PrazoConst,PrazoEsc))</f>
        <v/>
      </c>
      <c r="O937" s="115" t="str">
        <f>IF(N937="","",IF(ISNUMBER(L937),N937-L937,IF(OR(G937="DECISÃO D.P",ISNUMBER(M937)),"",N937-TODAY())))</f>
        <v/>
      </c>
      <c r="P937" s="116" t="str">
        <f>IF(B937="","",IF(ISNUMBER(M937),"DECIDIDO – ","")&amp;IF(ISNUMBER(L937),IF(O937="","SEM DATA",IF(O937&gt;=0,"DEFESA NO PRAZO","DEFESA FORA DO PRAZO")),IF(OR(G937="DECISÃO D.P",ISNUMBER(M937)),"SEM DEFESA",IF(G937="","SEM STATUS",IF(O937="","SEM DATA",IF(O937&lt;0,"VENCIDO",IF(O937&lt;=DiasAlerta,"VENCE EM BREVE","NO PRAZO")))))))</f>
        <v/>
      </c>
      <c r="Q937" s="117" t="str">
        <f>IF(D937="","",TODAY()-D937)</f>
        <v/>
      </c>
      <c r="R937" s="110" t="n"/>
    </row>
    <row r="938" ht="18" customHeight="1">
      <c r="A938" s="109" t="n"/>
      <c r="B938" s="110" t="n"/>
      <c r="C938" s="110" t="n"/>
      <c r="D938" s="111" t="n"/>
      <c r="E938" s="110" t="n"/>
      <c r="F938" s="112" t="n"/>
      <c r="G938" s="112" t="n"/>
      <c r="H938" s="110" t="n"/>
      <c r="I938" s="113" t="n"/>
      <c r="J938" s="113" t="n"/>
      <c r="K938" s="111" t="n"/>
      <c r="L938" s="111" t="n"/>
      <c r="M938" s="111" t="n"/>
      <c r="N938" s="114" t="str">
        <f>IF(OR(D938="",E938=""),"",D938+IF(E938="NOTIFICAÇÃO DE CONSTATAÇÃO",PrazoConst,PrazoEsc))</f>
        <v/>
      </c>
      <c r="O938" s="115" t="str">
        <f>IF(N938="","",IF(ISNUMBER(L938),N938-L938,IF(OR(G938="DECISÃO D.P",ISNUMBER(M938)),"",N938-TODAY())))</f>
        <v/>
      </c>
      <c r="P938" s="116" t="str">
        <f>IF(B938="","",IF(ISNUMBER(M938),"DECIDIDO – ","")&amp;IF(ISNUMBER(L938),IF(O938="","SEM DATA",IF(O938&gt;=0,"DEFESA NO PRAZO","DEFESA FORA DO PRAZO")),IF(OR(G938="DECISÃO D.P",ISNUMBER(M938)),"SEM DEFESA",IF(G938="","SEM STATUS",IF(O938="","SEM DATA",IF(O938&lt;0,"VENCIDO",IF(O938&lt;=DiasAlerta,"VENCE EM BREVE","NO PRAZO")))))))</f>
        <v/>
      </c>
      <c r="Q938" s="117" t="str">
        <f>IF(D938="","",TODAY()-D938)</f>
        <v/>
      </c>
      <c r="R938" s="110" t="n"/>
    </row>
    <row r="939" ht="18" customHeight="1">
      <c r="A939" s="109" t="n"/>
      <c r="B939" s="110" t="n"/>
      <c r="C939" s="110" t="n"/>
      <c r="D939" s="111" t="n"/>
      <c r="E939" s="110" t="n"/>
      <c r="F939" s="112" t="n"/>
      <c r="G939" s="112" t="n"/>
      <c r="H939" s="110" t="n"/>
      <c r="I939" s="113" t="n"/>
      <c r="J939" s="113" t="n"/>
      <c r="K939" s="111" t="n"/>
      <c r="L939" s="111" t="n"/>
      <c r="M939" s="111" t="n"/>
      <c r="N939" s="114" t="str">
        <f>IF(OR(D939="",E939=""),"",D939+IF(E939="NOTIFICAÇÃO DE CONSTATAÇÃO",PrazoConst,PrazoEsc))</f>
        <v/>
      </c>
      <c r="O939" s="115" t="str">
        <f>IF(N939="","",IF(ISNUMBER(L939),N939-L939,IF(OR(G939="DECISÃO D.P",ISNUMBER(M939)),"",N939-TODAY())))</f>
        <v/>
      </c>
      <c r="P939" s="116" t="str">
        <f>IF(B939="","",IF(ISNUMBER(M939),"DECIDIDO – ","")&amp;IF(ISNUMBER(L939),IF(O939="","SEM DATA",IF(O939&gt;=0,"DEFESA NO PRAZO","DEFESA FORA DO PRAZO")),IF(OR(G939="DECISÃO D.P",ISNUMBER(M939)),"SEM DEFESA",IF(G939="","SEM STATUS",IF(O939="","SEM DATA",IF(O939&lt;0,"VENCIDO",IF(O939&lt;=DiasAlerta,"VENCE EM BREVE","NO PRAZO")))))))</f>
        <v/>
      </c>
      <c r="Q939" s="117" t="str">
        <f>IF(D939="","",TODAY()-D939)</f>
        <v/>
      </c>
      <c r="R939" s="110" t="n"/>
    </row>
    <row r="940" ht="18" customHeight="1">
      <c r="A940" s="109" t="n"/>
      <c r="B940" s="110" t="n"/>
      <c r="C940" s="110" t="n"/>
      <c r="D940" s="111" t="n"/>
      <c r="E940" s="110" t="n"/>
      <c r="F940" s="112" t="n"/>
      <c r="G940" s="112" t="n"/>
      <c r="H940" s="110" t="n"/>
      <c r="I940" s="113" t="n"/>
      <c r="J940" s="113" t="n"/>
      <c r="K940" s="111" t="n"/>
      <c r="L940" s="111" t="n"/>
      <c r="M940" s="111" t="n"/>
      <c r="N940" s="114" t="str">
        <f>IF(OR(D940="",E940=""),"",D940+IF(E940="NOTIFICAÇÃO DE CONSTATAÇÃO",PrazoConst,PrazoEsc))</f>
        <v/>
      </c>
      <c r="O940" s="115" t="str">
        <f>IF(N940="","",IF(ISNUMBER(L940),N940-L940,IF(OR(G940="DECISÃO D.P",ISNUMBER(M940)),"",N940-TODAY())))</f>
        <v/>
      </c>
      <c r="P940" s="116" t="str">
        <f>IF(B940="","",IF(ISNUMBER(M940),"DECIDIDO – ","")&amp;IF(ISNUMBER(L940),IF(O940="","SEM DATA",IF(O940&gt;=0,"DEFESA NO PRAZO","DEFESA FORA DO PRAZO")),IF(OR(G940="DECISÃO D.P",ISNUMBER(M940)),"SEM DEFESA",IF(G940="","SEM STATUS",IF(O940="","SEM DATA",IF(O940&lt;0,"VENCIDO",IF(O940&lt;=DiasAlerta,"VENCE EM BREVE","NO PRAZO")))))))</f>
        <v/>
      </c>
      <c r="Q940" s="117" t="str">
        <f>IF(D940="","",TODAY()-D940)</f>
        <v/>
      </c>
      <c r="R940" s="110" t="n"/>
    </row>
    <row r="941" ht="18" customHeight="1">
      <c r="A941" s="109" t="n"/>
      <c r="B941" s="110" t="n"/>
      <c r="C941" s="110" t="n"/>
      <c r="D941" s="111" t="n"/>
      <c r="E941" s="110" t="n"/>
      <c r="F941" s="112" t="n"/>
      <c r="G941" s="112" t="n"/>
      <c r="H941" s="110" t="n"/>
      <c r="I941" s="113" t="n"/>
      <c r="J941" s="113" t="n"/>
      <c r="K941" s="111" t="n"/>
      <c r="L941" s="111" t="n"/>
      <c r="M941" s="111" t="n"/>
      <c r="N941" s="114" t="str">
        <f>IF(OR(D941="",E941=""),"",D941+IF(E941="NOTIFICAÇÃO DE CONSTATAÇÃO",PrazoConst,PrazoEsc))</f>
        <v/>
      </c>
      <c r="O941" s="115" t="str">
        <f>IF(N941="","",IF(ISNUMBER(L941),N941-L941,IF(OR(G941="DECISÃO D.P",ISNUMBER(M941)),"",N941-TODAY())))</f>
        <v/>
      </c>
      <c r="P941" s="116" t="str">
        <f>IF(B941="","",IF(ISNUMBER(M941),"DECIDIDO – ","")&amp;IF(ISNUMBER(L941),IF(O941="","SEM DATA",IF(O941&gt;=0,"DEFESA NO PRAZO","DEFESA FORA DO PRAZO")),IF(OR(G941="DECISÃO D.P",ISNUMBER(M941)),"SEM DEFESA",IF(G941="","SEM STATUS",IF(O941="","SEM DATA",IF(O941&lt;0,"VENCIDO",IF(O941&lt;=DiasAlerta,"VENCE EM BREVE","NO PRAZO")))))))</f>
        <v/>
      </c>
      <c r="Q941" s="117" t="str">
        <f>IF(D941="","",TODAY()-D941)</f>
        <v/>
      </c>
      <c r="R941" s="110" t="n"/>
    </row>
    <row r="942" ht="18" customHeight="1">
      <c r="A942" s="109" t="n"/>
      <c r="B942" s="110" t="n"/>
      <c r="C942" s="110" t="n"/>
      <c r="D942" s="111" t="n"/>
      <c r="E942" s="110" t="n"/>
      <c r="F942" s="112" t="n"/>
      <c r="G942" s="112" t="n"/>
      <c r="H942" s="110" t="n"/>
      <c r="I942" s="113" t="n"/>
      <c r="J942" s="113" t="n"/>
      <c r="K942" s="111" t="n"/>
      <c r="L942" s="111" t="n"/>
      <c r="M942" s="111" t="n"/>
      <c r="N942" s="114" t="str">
        <f>IF(OR(D942="",E942=""),"",D942+IF(E942="NOTIFICAÇÃO DE CONSTATAÇÃO",PrazoConst,PrazoEsc))</f>
        <v/>
      </c>
      <c r="O942" s="115" t="str">
        <f>IF(N942="","",IF(ISNUMBER(L942),N942-L942,IF(OR(G942="DECISÃO D.P",ISNUMBER(M942)),"",N942-TODAY())))</f>
        <v/>
      </c>
      <c r="P942" s="116" t="str">
        <f>IF(B942="","",IF(ISNUMBER(M942),"DECIDIDO – ","")&amp;IF(ISNUMBER(L942),IF(O942="","SEM DATA",IF(O942&gt;=0,"DEFESA NO PRAZO","DEFESA FORA DO PRAZO")),IF(OR(G942="DECISÃO D.P",ISNUMBER(M942)),"SEM DEFESA",IF(G942="","SEM STATUS",IF(O942="","SEM DATA",IF(O942&lt;0,"VENCIDO",IF(O942&lt;=DiasAlerta,"VENCE EM BREVE","NO PRAZO")))))))</f>
        <v/>
      </c>
      <c r="Q942" s="117" t="str">
        <f>IF(D942="","",TODAY()-D942)</f>
        <v/>
      </c>
      <c r="R942" s="110" t="n"/>
    </row>
    <row r="943" ht="18" customHeight="1">
      <c r="A943" s="109" t="n"/>
      <c r="B943" s="110" t="n"/>
      <c r="C943" s="110" t="n"/>
      <c r="D943" s="111" t="n"/>
      <c r="E943" s="110" t="n"/>
      <c r="F943" s="112" t="n"/>
      <c r="G943" s="112" t="n"/>
      <c r="H943" s="110" t="n"/>
      <c r="I943" s="113" t="n"/>
      <c r="J943" s="113" t="n"/>
      <c r="K943" s="111" t="n"/>
      <c r="L943" s="111" t="n"/>
      <c r="M943" s="111" t="n"/>
      <c r="N943" s="114" t="str">
        <f>IF(OR(D943="",E943=""),"",D943+IF(E943="NOTIFICAÇÃO DE CONSTATAÇÃO",PrazoConst,PrazoEsc))</f>
        <v/>
      </c>
      <c r="O943" s="115" t="str">
        <f>IF(N943="","",IF(ISNUMBER(L943),N943-L943,IF(OR(G943="DECISÃO D.P",ISNUMBER(M943)),"",N943-TODAY())))</f>
        <v/>
      </c>
      <c r="P943" s="116" t="str">
        <f>IF(B943="","",IF(ISNUMBER(M943),"DECIDIDO – ","")&amp;IF(ISNUMBER(L943),IF(O943="","SEM DATA",IF(O943&gt;=0,"DEFESA NO PRAZO","DEFESA FORA DO PRAZO")),IF(OR(G943="DECISÃO D.P",ISNUMBER(M943)),"SEM DEFESA",IF(G943="","SEM STATUS",IF(O943="","SEM DATA",IF(O943&lt;0,"VENCIDO",IF(O943&lt;=DiasAlerta,"VENCE EM BREVE","NO PRAZO")))))))</f>
        <v/>
      </c>
      <c r="Q943" s="117" t="str">
        <f>IF(D943="","",TODAY()-D943)</f>
        <v/>
      </c>
      <c r="R943" s="110" t="n"/>
    </row>
    <row r="944" ht="18" customHeight="1">
      <c r="A944" s="109" t="n"/>
      <c r="B944" s="110" t="n"/>
      <c r="C944" s="110" t="n"/>
      <c r="D944" s="111" t="n"/>
      <c r="E944" s="110" t="n"/>
      <c r="F944" s="112" t="n"/>
      <c r="G944" s="112" t="n"/>
      <c r="H944" s="110" t="n"/>
      <c r="I944" s="113" t="n"/>
      <c r="J944" s="113" t="n"/>
      <c r="K944" s="111" t="n"/>
      <c r="L944" s="111" t="n"/>
      <c r="M944" s="111" t="n"/>
      <c r="N944" s="114" t="str">
        <f>IF(OR(D944="",E944=""),"",D944+IF(E944="NOTIFICAÇÃO DE CONSTATAÇÃO",PrazoConst,PrazoEsc))</f>
        <v/>
      </c>
      <c r="O944" s="115" t="str">
        <f>IF(N944="","",IF(ISNUMBER(L944),N944-L944,IF(OR(G944="DECISÃO D.P",ISNUMBER(M944)),"",N944-TODAY())))</f>
        <v/>
      </c>
      <c r="P944" s="116" t="str">
        <f>IF(B944="","",IF(ISNUMBER(M944),"DECIDIDO – ","")&amp;IF(ISNUMBER(L944),IF(O944="","SEM DATA",IF(O944&gt;=0,"DEFESA NO PRAZO","DEFESA FORA DO PRAZO")),IF(OR(G944="DECISÃO D.P",ISNUMBER(M944)),"SEM DEFESA",IF(G944="","SEM STATUS",IF(O944="","SEM DATA",IF(O944&lt;0,"VENCIDO",IF(O944&lt;=DiasAlerta,"VENCE EM BREVE","NO PRAZO")))))))</f>
        <v/>
      </c>
      <c r="Q944" s="117" t="str">
        <f>IF(D944="","",TODAY()-D944)</f>
        <v/>
      </c>
      <c r="R944" s="110" t="n"/>
    </row>
    <row r="945" ht="18" customHeight="1">
      <c r="A945" s="109" t="n"/>
      <c r="B945" s="110" t="n"/>
      <c r="C945" s="110" t="n"/>
      <c r="D945" s="111" t="n"/>
      <c r="E945" s="110" t="n"/>
      <c r="F945" s="112" t="n"/>
      <c r="G945" s="112" t="n"/>
      <c r="H945" s="110" t="n"/>
      <c r="I945" s="113" t="n"/>
      <c r="J945" s="113" t="n"/>
      <c r="K945" s="111" t="n"/>
      <c r="L945" s="111" t="n"/>
      <c r="M945" s="111" t="n"/>
      <c r="N945" s="114" t="str">
        <f>IF(OR(D945="",E945=""),"",D945+IF(E945="NOTIFICAÇÃO DE CONSTATAÇÃO",PrazoConst,PrazoEsc))</f>
        <v/>
      </c>
      <c r="O945" s="115" t="str">
        <f>IF(N945="","",IF(ISNUMBER(L945),N945-L945,IF(OR(G945="DECISÃO D.P",ISNUMBER(M945)),"",N945-TODAY())))</f>
        <v/>
      </c>
      <c r="P945" s="116" t="str">
        <f>IF(B945="","",IF(ISNUMBER(M945),"DECIDIDO – ","")&amp;IF(ISNUMBER(L945),IF(O945="","SEM DATA",IF(O945&gt;=0,"DEFESA NO PRAZO","DEFESA FORA DO PRAZO")),IF(OR(G945="DECISÃO D.P",ISNUMBER(M945)),"SEM DEFESA",IF(G945="","SEM STATUS",IF(O945="","SEM DATA",IF(O945&lt;0,"VENCIDO",IF(O945&lt;=DiasAlerta,"VENCE EM BREVE","NO PRAZO")))))))</f>
        <v/>
      </c>
      <c r="Q945" s="117" t="str">
        <f>IF(D945="","",TODAY()-D945)</f>
        <v/>
      </c>
      <c r="R945" s="110" t="n"/>
    </row>
    <row r="946" ht="18" customHeight="1">
      <c r="A946" s="109" t="n"/>
      <c r="B946" s="110" t="n"/>
      <c r="C946" s="110" t="n"/>
      <c r="D946" s="111" t="n"/>
      <c r="E946" s="110" t="n"/>
      <c r="F946" s="112" t="n"/>
      <c r="G946" s="112" t="n"/>
      <c r="H946" s="110" t="n"/>
      <c r="I946" s="113" t="n"/>
      <c r="J946" s="113" t="n"/>
      <c r="K946" s="111" t="n"/>
      <c r="L946" s="111" t="n"/>
      <c r="M946" s="111" t="n"/>
      <c r="N946" s="114" t="str">
        <f>IF(OR(D946="",E946=""),"",D946+IF(E946="NOTIFICAÇÃO DE CONSTATAÇÃO",PrazoConst,PrazoEsc))</f>
        <v/>
      </c>
      <c r="O946" s="115" t="str">
        <f>IF(N946="","",IF(ISNUMBER(L946),N946-L946,IF(OR(G946="DECISÃO D.P",ISNUMBER(M946)),"",N946-TODAY())))</f>
        <v/>
      </c>
      <c r="P946" s="116" t="str">
        <f>IF(B946="","",IF(ISNUMBER(M946),"DECIDIDO – ","")&amp;IF(ISNUMBER(L946),IF(O946="","SEM DATA",IF(O946&gt;=0,"DEFESA NO PRAZO","DEFESA FORA DO PRAZO")),IF(OR(G946="DECISÃO D.P",ISNUMBER(M946)),"SEM DEFESA",IF(G946="","SEM STATUS",IF(O946="","SEM DATA",IF(O946&lt;0,"VENCIDO",IF(O946&lt;=DiasAlerta,"VENCE EM BREVE","NO PRAZO")))))))</f>
        <v/>
      </c>
      <c r="Q946" s="117" t="str">
        <f>IF(D946="","",TODAY()-D946)</f>
        <v/>
      </c>
      <c r="R946" s="110" t="n"/>
    </row>
    <row r="947" ht="18" customHeight="1">
      <c r="A947" s="109" t="n"/>
      <c r="B947" s="110" t="n"/>
      <c r="C947" s="110" t="n"/>
      <c r="D947" s="111" t="n"/>
      <c r="E947" s="110" t="n"/>
      <c r="F947" s="112" t="n"/>
      <c r="G947" s="112" t="n"/>
      <c r="H947" s="110" t="n"/>
      <c r="I947" s="113" t="n"/>
      <c r="J947" s="113" t="n"/>
      <c r="K947" s="111" t="n"/>
      <c r="L947" s="111" t="n"/>
      <c r="M947" s="111" t="n"/>
      <c r="N947" s="114" t="str">
        <f>IF(OR(D947="",E947=""),"",D947+IF(E947="NOTIFICAÇÃO DE CONSTATAÇÃO",PrazoConst,PrazoEsc))</f>
        <v/>
      </c>
      <c r="O947" s="115" t="str">
        <f>IF(N947="","",IF(ISNUMBER(L947),N947-L947,IF(OR(G947="DECISÃO D.P",ISNUMBER(M947)),"",N947-TODAY())))</f>
        <v/>
      </c>
      <c r="P947" s="116" t="str">
        <f>IF(B947="","",IF(ISNUMBER(M947),"DECIDIDO – ","")&amp;IF(ISNUMBER(L947),IF(O947="","SEM DATA",IF(O947&gt;=0,"DEFESA NO PRAZO","DEFESA FORA DO PRAZO")),IF(OR(G947="DECISÃO D.P",ISNUMBER(M947)),"SEM DEFESA",IF(G947="","SEM STATUS",IF(O947="","SEM DATA",IF(O947&lt;0,"VENCIDO",IF(O947&lt;=DiasAlerta,"VENCE EM BREVE","NO PRAZO")))))))</f>
        <v/>
      </c>
      <c r="Q947" s="117" t="str">
        <f>IF(D947="","",TODAY()-D947)</f>
        <v/>
      </c>
      <c r="R947" s="110" t="n"/>
    </row>
    <row r="948" ht="18" customHeight="1">
      <c r="A948" s="109" t="n"/>
      <c r="B948" s="110" t="n"/>
      <c r="C948" s="110" t="n"/>
      <c r="D948" s="111" t="n"/>
      <c r="E948" s="110" t="n"/>
      <c r="F948" s="112" t="n"/>
      <c r="G948" s="112" t="n"/>
      <c r="H948" s="110" t="n"/>
      <c r="I948" s="113" t="n"/>
      <c r="J948" s="113" t="n"/>
      <c r="K948" s="111" t="n"/>
      <c r="L948" s="111" t="n"/>
      <c r="M948" s="111" t="n"/>
      <c r="N948" s="114" t="str">
        <f>IF(OR(D948="",E948=""),"",D948+IF(E948="NOTIFICAÇÃO DE CONSTATAÇÃO",PrazoConst,PrazoEsc))</f>
        <v/>
      </c>
      <c r="O948" s="115" t="str">
        <f>IF(N948="","",IF(ISNUMBER(L948),N948-L948,IF(OR(G948="DECISÃO D.P",ISNUMBER(M948)),"",N948-TODAY())))</f>
        <v/>
      </c>
      <c r="P948" s="116" t="str">
        <f>IF(B948="","",IF(ISNUMBER(M948),"DECIDIDO – ","")&amp;IF(ISNUMBER(L948),IF(O948="","SEM DATA",IF(O948&gt;=0,"DEFESA NO PRAZO","DEFESA FORA DO PRAZO")),IF(OR(G948="DECISÃO D.P",ISNUMBER(M948)),"SEM DEFESA",IF(G948="","SEM STATUS",IF(O948="","SEM DATA",IF(O948&lt;0,"VENCIDO",IF(O948&lt;=DiasAlerta,"VENCE EM BREVE","NO PRAZO")))))))</f>
        <v/>
      </c>
      <c r="Q948" s="117" t="str">
        <f>IF(D948="","",TODAY()-D948)</f>
        <v/>
      </c>
      <c r="R948" s="110" t="n"/>
    </row>
    <row r="949" ht="18" customHeight="1">
      <c r="A949" s="109" t="n"/>
      <c r="B949" s="110" t="n"/>
      <c r="C949" s="110" t="n"/>
      <c r="D949" s="111" t="n"/>
      <c r="E949" s="110" t="n"/>
      <c r="F949" s="112" t="n"/>
      <c r="G949" s="112" t="n"/>
      <c r="H949" s="110" t="n"/>
      <c r="I949" s="113" t="n"/>
      <c r="J949" s="113" t="n"/>
      <c r="K949" s="111" t="n"/>
      <c r="L949" s="111" t="n"/>
      <c r="M949" s="111" t="n"/>
      <c r="N949" s="114" t="str">
        <f>IF(OR(D949="",E949=""),"",D949+IF(E949="NOTIFICAÇÃO DE CONSTATAÇÃO",PrazoConst,PrazoEsc))</f>
        <v/>
      </c>
      <c r="O949" s="115" t="str">
        <f>IF(N949="","",IF(ISNUMBER(L949),N949-L949,IF(OR(G949="DECISÃO D.P",ISNUMBER(M949)),"",N949-TODAY())))</f>
        <v/>
      </c>
      <c r="P949" s="116" t="str">
        <f>IF(B949="","",IF(ISNUMBER(M949),"DECIDIDO – ","")&amp;IF(ISNUMBER(L949),IF(O949="","SEM DATA",IF(O949&gt;=0,"DEFESA NO PRAZO","DEFESA FORA DO PRAZO")),IF(OR(G949="DECISÃO D.P",ISNUMBER(M949)),"SEM DEFESA",IF(G949="","SEM STATUS",IF(O949="","SEM DATA",IF(O949&lt;0,"VENCIDO",IF(O949&lt;=DiasAlerta,"VENCE EM BREVE","NO PRAZO")))))))</f>
        <v/>
      </c>
      <c r="Q949" s="117" t="str">
        <f>IF(D949="","",TODAY()-D949)</f>
        <v/>
      </c>
      <c r="R949" s="110" t="n"/>
    </row>
    <row r="950" ht="18" customHeight="1">
      <c r="A950" s="109" t="n"/>
      <c r="B950" s="110" t="n"/>
      <c r="C950" s="110" t="n"/>
      <c r="D950" s="111" t="n"/>
      <c r="E950" s="110" t="n"/>
      <c r="F950" s="112" t="n"/>
      <c r="G950" s="112" t="n"/>
      <c r="H950" s="110" t="n"/>
      <c r="I950" s="113" t="n"/>
      <c r="J950" s="113" t="n"/>
      <c r="K950" s="111" t="n"/>
      <c r="L950" s="111" t="n"/>
      <c r="M950" s="111" t="n"/>
      <c r="N950" s="114" t="str">
        <f>IF(OR(D950="",E950=""),"",D950+IF(E950="NOTIFICAÇÃO DE CONSTATAÇÃO",PrazoConst,PrazoEsc))</f>
        <v/>
      </c>
      <c r="O950" s="115" t="str">
        <f>IF(N950="","",IF(ISNUMBER(L950),N950-L950,IF(OR(G950="DECISÃO D.P",ISNUMBER(M950)),"",N950-TODAY())))</f>
        <v/>
      </c>
      <c r="P950" s="116" t="str">
        <f>IF(B950="","",IF(ISNUMBER(M950),"DECIDIDO – ","")&amp;IF(ISNUMBER(L950),IF(O950="","SEM DATA",IF(O950&gt;=0,"DEFESA NO PRAZO","DEFESA FORA DO PRAZO")),IF(OR(G950="DECISÃO D.P",ISNUMBER(M950)),"SEM DEFESA",IF(G950="","SEM STATUS",IF(O950="","SEM DATA",IF(O950&lt;0,"VENCIDO",IF(O950&lt;=DiasAlerta,"VENCE EM BREVE","NO PRAZO")))))))</f>
        <v/>
      </c>
      <c r="Q950" s="117" t="str">
        <f>IF(D950="","",TODAY()-D950)</f>
        <v/>
      </c>
      <c r="R950" s="110" t="n"/>
    </row>
    <row r="951" ht="18" customHeight="1">
      <c r="A951" s="109" t="n"/>
      <c r="B951" s="110" t="n"/>
      <c r="C951" s="110" t="n"/>
      <c r="D951" s="111" t="n"/>
      <c r="E951" s="110" t="n"/>
      <c r="F951" s="112" t="n"/>
      <c r="G951" s="112" t="n"/>
      <c r="H951" s="110" t="n"/>
      <c r="I951" s="113" t="n"/>
      <c r="J951" s="113" t="n"/>
      <c r="K951" s="111" t="n"/>
      <c r="L951" s="111" t="n"/>
      <c r="M951" s="111" t="n"/>
      <c r="N951" s="114" t="str">
        <f>IF(OR(D951="",E951=""),"",D951+IF(E951="NOTIFICAÇÃO DE CONSTATAÇÃO",PrazoConst,PrazoEsc))</f>
        <v/>
      </c>
      <c r="O951" s="115" t="str">
        <f>IF(N951="","",IF(ISNUMBER(L951),N951-L951,IF(OR(G951="DECISÃO D.P",ISNUMBER(M951)),"",N951-TODAY())))</f>
        <v/>
      </c>
      <c r="P951" s="116" t="str">
        <f>IF(B951="","",IF(ISNUMBER(M951),"DECIDIDO – ","")&amp;IF(ISNUMBER(L951),IF(O951="","SEM DATA",IF(O951&gt;=0,"DEFESA NO PRAZO","DEFESA FORA DO PRAZO")),IF(OR(G951="DECISÃO D.P",ISNUMBER(M951)),"SEM DEFESA",IF(G951="","SEM STATUS",IF(O951="","SEM DATA",IF(O951&lt;0,"VENCIDO",IF(O951&lt;=DiasAlerta,"VENCE EM BREVE","NO PRAZO")))))))</f>
        <v/>
      </c>
      <c r="Q951" s="117" t="str">
        <f>IF(D951="","",TODAY()-D951)</f>
        <v/>
      </c>
      <c r="R951" s="110" t="n"/>
    </row>
    <row r="952" ht="18" customHeight="1">
      <c r="A952" s="109" t="n"/>
      <c r="B952" s="110" t="n"/>
      <c r="C952" s="110" t="n"/>
      <c r="D952" s="111" t="n"/>
      <c r="E952" s="110" t="n"/>
      <c r="F952" s="112" t="n"/>
      <c r="G952" s="112" t="n"/>
      <c r="H952" s="110" t="n"/>
      <c r="I952" s="113" t="n"/>
      <c r="J952" s="113" t="n"/>
      <c r="K952" s="111" t="n"/>
      <c r="L952" s="111" t="n"/>
      <c r="M952" s="111" t="n"/>
      <c r="N952" s="114" t="str">
        <f>IF(OR(D952="",E952=""),"",D952+IF(E952="NOTIFICAÇÃO DE CONSTATAÇÃO",PrazoConst,PrazoEsc))</f>
        <v/>
      </c>
      <c r="O952" s="115" t="str">
        <f>IF(N952="","",IF(ISNUMBER(L952),N952-L952,IF(OR(G952="DECISÃO D.P",ISNUMBER(M952)),"",N952-TODAY())))</f>
        <v/>
      </c>
      <c r="P952" s="116" t="str">
        <f>IF(B952="","",IF(ISNUMBER(M952),"DECIDIDO – ","")&amp;IF(ISNUMBER(L952),IF(O952="","SEM DATA",IF(O952&gt;=0,"DEFESA NO PRAZO","DEFESA FORA DO PRAZO")),IF(OR(G952="DECISÃO D.P",ISNUMBER(M952)),"SEM DEFESA",IF(G952="","SEM STATUS",IF(O952="","SEM DATA",IF(O952&lt;0,"VENCIDO",IF(O952&lt;=DiasAlerta,"VENCE EM BREVE","NO PRAZO")))))))</f>
        <v/>
      </c>
      <c r="Q952" s="117" t="str">
        <f>IF(D952="","",TODAY()-D952)</f>
        <v/>
      </c>
      <c r="R952" s="110" t="n"/>
    </row>
    <row r="953" ht="18" customHeight="1">
      <c r="A953" s="109" t="n"/>
      <c r="B953" s="110" t="n"/>
      <c r="C953" s="110" t="n"/>
      <c r="D953" s="111" t="n"/>
      <c r="E953" s="110" t="n"/>
      <c r="F953" s="112" t="n"/>
      <c r="G953" s="112" t="n"/>
      <c r="H953" s="110" t="n"/>
      <c r="I953" s="113" t="n"/>
      <c r="J953" s="113" t="n"/>
      <c r="K953" s="111" t="n"/>
      <c r="L953" s="111" t="n"/>
      <c r="M953" s="111" t="n"/>
      <c r="N953" s="114" t="str">
        <f>IF(OR(D953="",E953=""),"",D953+IF(E953="NOTIFICAÇÃO DE CONSTATAÇÃO",PrazoConst,PrazoEsc))</f>
        <v/>
      </c>
      <c r="O953" s="115" t="str">
        <f>IF(N953="","",IF(ISNUMBER(L953),N953-L953,IF(OR(G953="DECISÃO D.P",ISNUMBER(M953)),"",N953-TODAY())))</f>
        <v/>
      </c>
      <c r="P953" s="116" t="str">
        <f>IF(B953="","",IF(ISNUMBER(M953),"DECIDIDO – ","")&amp;IF(ISNUMBER(L953),IF(O953="","SEM DATA",IF(O953&gt;=0,"DEFESA NO PRAZO","DEFESA FORA DO PRAZO")),IF(OR(G953="DECISÃO D.P",ISNUMBER(M953)),"SEM DEFESA",IF(G953="","SEM STATUS",IF(O953="","SEM DATA",IF(O953&lt;0,"VENCIDO",IF(O953&lt;=DiasAlerta,"VENCE EM BREVE","NO PRAZO")))))))</f>
        <v/>
      </c>
      <c r="Q953" s="117" t="str">
        <f>IF(D953="","",TODAY()-D953)</f>
        <v/>
      </c>
      <c r="R953" s="110" t="n"/>
    </row>
    <row r="954" ht="18" customHeight="1">
      <c r="A954" s="109" t="n"/>
      <c r="B954" s="110" t="n"/>
      <c r="C954" s="110" t="n"/>
      <c r="D954" s="111" t="n"/>
      <c r="E954" s="110" t="n"/>
      <c r="F954" s="112" t="n"/>
      <c r="G954" s="112" t="n"/>
      <c r="H954" s="110" t="n"/>
      <c r="I954" s="113" t="n"/>
      <c r="J954" s="113" t="n"/>
      <c r="K954" s="111" t="n"/>
      <c r="L954" s="111" t="n"/>
      <c r="M954" s="111" t="n"/>
      <c r="N954" s="114" t="str">
        <f>IF(OR(D954="",E954=""),"",D954+IF(E954="NOTIFICAÇÃO DE CONSTATAÇÃO",PrazoConst,PrazoEsc))</f>
        <v/>
      </c>
      <c r="O954" s="115" t="str">
        <f>IF(N954="","",IF(ISNUMBER(L954),N954-L954,IF(OR(G954="DECISÃO D.P",ISNUMBER(M954)),"",N954-TODAY())))</f>
        <v/>
      </c>
      <c r="P954" s="116" t="str">
        <f>IF(B954="","",IF(ISNUMBER(M954),"DECIDIDO – ","")&amp;IF(ISNUMBER(L954),IF(O954="","SEM DATA",IF(O954&gt;=0,"DEFESA NO PRAZO","DEFESA FORA DO PRAZO")),IF(OR(G954="DECISÃO D.P",ISNUMBER(M954)),"SEM DEFESA",IF(G954="","SEM STATUS",IF(O954="","SEM DATA",IF(O954&lt;0,"VENCIDO",IF(O954&lt;=DiasAlerta,"VENCE EM BREVE","NO PRAZO")))))))</f>
        <v/>
      </c>
      <c r="Q954" s="117" t="str">
        <f>IF(D954="","",TODAY()-D954)</f>
        <v/>
      </c>
      <c r="R954" s="110" t="n"/>
    </row>
    <row r="955" ht="18" customHeight="1">
      <c r="A955" s="109" t="n"/>
      <c r="B955" s="110" t="n"/>
      <c r="C955" s="110" t="n"/>
      <c r="D955" s="111" t="n"/>
      <c r="E955" s="110" t="n"/>
      <c r="F955" s="112" t="n"/>
      <c r="G955" s="112" t="n"/>
      <c r="H955" s="110" t="n"/>
      <c r="I955" s="113" t="n"/>
      <c r="J955" s="113" t="n"/>
      <c r="K955" s="111" t="n"/>
      <c r="L955" s="111" t="n"/>
      <c r="M955" s="111" t="n"/>
      <c r="N955" s="114" t="str">
        <f>IF(OR(D955="",E955=""),"",D955+IF(E955="NOTIFICAÇÃO DE CONSTATAÇÃO",PrazoConst,PrazoEsc))</f>
        <v/>
      </c>
      <c r="O955" s="115" t="str">
        <f>IF(N955="","",IF(ISNUMBER(L955),N955-L955,IF(OR(G955="DECISÃO D.P",ISNUMBER(M955)),"",N955-TODAY())))</f>
        <v/>
      </c>
      <c r="P955" s="116" t="str">
        <f>IF(B955="","",IF(ISNUMBER(M955),"DECIDIDO – ","")&amp;IF(ISNUMBER(L955),IF(O955="","SEM DATA",IF(O955&gt;=0,"DEFESA NO PRAZO","DEFESA FORA DO PRAZO")),IF(OR(G955="DECISÃO D.P",ISNUMBER(M955)),"SEM DEFESA",IF(G955="","SEM STATUS",IF(O955="","SEM DATA",IF(O955&lt;0,"VENCIDO",IF(O955&lt;=DiasAlerta,"VENCE EM BREVE","NO PRAZO")))))))</f>
        <v/>
      </c>
      <c r="Q955" s="117" t="str">
        <f>IF(D955="","",TODAY()-D955)</f>
        <v/>
      </c>
      <c r="R955" s="110" t="n"/>
    </row>
    <row r="956" ht="18" customHeight="1">
      <c r="A956" s="109" t="n"/>
      <c r="B956" s="110" t="n"/>
      <c r="C956" s="110" t="n"/>
      <c r="D956" s="111" t="n"/>
      <c r="E956" s="110" t="n"/>
      <c r="F956" s="112" t="n"/>
      <c r="G956" s="112" t="n"/>
      <c r="H956" s="110" t="n"/>
      <c r="I956" s="113" t="n"/>
      <c r="J956" s="113" t="n"/>
      <c r="K956" s="111" t="n"/>
      <c r="L956" s="111" t="n"/>
      <c r="M956" s="111" t="n"/>
      <c r="N956" s="114" t="str">
        <f>IF(OR(D956="",E956=""),"",D956+IF(E956="NOTIFICAÇÃO DE CONSTATAÇÃO",PrazoConst,PrazoEsc))</f>
        <v/>
      </c>
      <c r="O956" s="115" t="str">
        <f>IF(N956="","",IF(ISNUMBER(L956),N956-L956,IF(OR(G956="DECISÃO D.P",ISNUMBER(M956)),"",N956-TODAY())))</f>
        <v/>
      </c>
      <c r="P956" s="116" t="str">
        <f>IF(B956="","",IF(ISNUMBER(M956),"DECIDIDO – ","")&amp;IF(ISNUMBER(L956),IF(O956="","SEM DATA",IF(O956&gt;=0,"DEFESA NO PRAZO","DEFESA FORA DO PRAZO")),IF(OR(G956="DECISÃO D.P",ISNUMBER(M956)),"SEM DEFESA",IF(G956="","SEM STATUS",IF(O956="","SEM DATA",IF(O956&lt;0,"VENCIDO",IF(O956&lt;=DiasAlerta,"VENCE EM BREVE","NO PRAZO")))))))</f>
        <v/>
      </c>
      <c r="Q956" s="117" t="str">
        <f>IF(D956="","",TODAY()-D956)</f>
        <v/>
      </c>
      <c r="R956" s="110" t="n"/>
    </row>
    <row r="957" ht="18" customHeight="1">
      <c r="A957" s="109" t="n"/>
      <c r="B957" s="110" t="n"/>
      <c r="C957" s="110" t="n"/>
      <c r="D957" s="111" t="n"/>
      <c r="E957" s="110" t="n"/>
      <c r="F957" s="112" t="n"/>
      <c r="G957" s="112" t="n"/>
      <c r="H957" s="110" t="n"/>
      <c r="I957" s="113" t="n"/>
      <c r="J957" s="113" t="n"/>
      <c r="K957" s="111" t="n"/>
      <c r="L957" s="111" t="n"/>
      <c r="M957" s="111" t="n"/>
      <c r="N957" s="114" t="str">
        <f>IF(OR(D957="",E957=""),"",D957+IF(E957="NOTIFICAÇÃO DE CONSTATAÇÃO",PrazoConst,PrazoEsc))</f>
        <v/>
      </c>
      <c r="O957" s="115" t="str">
        <f>IF(N957="","",IF(ISNUMBER(L957),N957-L957,IF(OR(G957="DECISÃO D.P",ISNUMBER(M957)),"",N957-TODAY())))</f>
        <v/>
      </c>
      <c r="P957" s="116" t="str">
        <f>IF(B957="","",IF(ISNUMBER(M957),"DECIDIDO – ","")&amp;IF(ISNUMBER(L957),IF(O957="","SEM DATA",IF(O957&gt;=0,"DEFESA NO PRAZO","DEFESA FORA DO PRAZO")),IF(OR(G957="DECISÃO D.P",ISNUMBER(M957)),"SEM DEFESA",IF(G957="","SEM STATUS",IF(O957="","SEM DATA",IF(O957&lt;0,"VENCIDO",IF(O957&lt;=DiasAlerta,"VENCE EM BREVE","NO PRAZO")))))))</f>
        <v/>
      </c>
      <c r="Q957" s="117" t="str">
        <f>IF(D957="","",TODAY()-D957)</f>
        <v/>
      </c>
      <c r="R957" s="110" t="n"/>
    </row>
    <row r="958" ht="18" customHeight="1">
      <c r="A958" s="109" t="n"/>
      <c r="B958" s="110" t="n"/>
      <c r="C958" s="110" t="n"/>
      <c r="D958" s="111" t="n"/>
      <c r="E958" s="110" t="n"/>
      <c r="F958" s="112" t="n"/>
      <c r="G958" s="112" t="n"/>
      <c r="H958" s="110" t="n"/>
      <c r="I958" s="113" t="n"/>
      <c r="J958" s="113" t="n"/>
      <c r="K958" s="111" t="n"/>
      <c r="L958" s="111" t="n"/>
      <c r="M958" s="111" t="n"/>
      <c r="N958" s="114" t="str">
        <f>IF(OR(D958="",E958=""),"",D958+IF(E958="NOTIFICAÇÃO DE CONSTATAÇÃO",PrazoConst,PrazoEsc))</f>
        <v/>
      </c>
      <c r="O958" s="115" t="str">
        <f>IF(N958="","",IF(ISNUMBER(L958),N958-L958,IF(OR(G958="DECISÃO D.P",ISNUMBER(M958)),"",N958-TODAY())))</f>
        <v/>
      </c>
      <c r="P958" s="116" t="str">
        <f>IF(B958="","",IF(ISNUMBER(M958),"DECIDIDO – ","")&amp;IF(ISNUMBER(L958),IF(O958="","SEM DATA",IF(O958&gt;=0,"DEFESA NO PRAZO","DEFESA FORA DO PRAZO")),IF(OR(G958="DECISÃO D.P",ISNUMBER(M958)),"SEM DEFESA",IF(G958="","SEM STATUS",IF(O958="","SEM DATA",IF(O958&lt;0,"VENCIDO",IF(O958&lt;=DiasAlerta,"VENCE EM BREVE","NO PRAZO")))))))</f>
        <v/>
      </c>
      <c r="Q958" s="117" t="str">
        <f>IF(D958="","",TODAY()-D958)</f>
        <v/>
      </c>
      <c r="R958" s="110" t="n"/>
    </row>
    <row r="959" ht="18" customHeight="1">
      <c r="A959" s="109" t="n"/>
      <c r="B959" s="110" t="n"/>
      <c r="C959" s="110" t="n"/>
      <c r="D959" s="111" t="n"/>
      <c r="E959" s="110" t="n"/>
      <c r="F959" s="112" t="n"/>
      <c r="G959" s="112" t="n"/>
      <c r="H959" s="110" t="n"/>
      <c r="I959" s="113" t="n"/>
      <c r="J959" s="113" t="n"/>
      <c r="K959" s="111" t="n"/>
      <c r="L959" s="111" t="n"/>
      <c r="M959" s="111" t="n"/>
      <c r="N959" s="114" t="str">
        <f>IF(OR(D959="",E959=""),"",D959+IF(E959="NOTIFICAÇÃO DE CONSTATAÇÃO",PrazoConst,PrazoEsc))</f>
        <v/>
      </c>
      <c r="O959" s="115" t="str">
        <f>IF(N959="","",IF(ISNUMBER(L959),N959-L959,IF(OR(G959="DECISÃO D.P",ISNUMBER(M959)),"",N959-TODAY())))</f>
        <v/>
      </c>
      <c r="P959" s="116" t="str">
        <f>IF(B959="","",IF(ISNUMBER(M959),"DECIDIDO – ","")&amp;IF(ISNUMBER(L959),IF(O959="","SEM DATA",IF(O959&gt;=0,"DEFESA NO PRAZO","DEFESA FORA DO PRAZO")),IF(OR(G959="DECISÃO D.P",ISNUMBER(M959)),"SEM DEFESA",IF(G959="","SEM STATUS",IF(O959="","SEM DATA",IF(O959&lt;0,"VENCIDO",IF(O959&lt;=DiasAlerta,"VENCE EM BREVE","NO PRAZO")))))))</f>
        <v/>
      </c>
      <c r="Q959" s="117" t="str">
        <f>IF(D959="","",TODAY()-D959)</f>
        <v/>
      </c>
      <c r="R959" s="110" t="n"/>
    </row>
    <row r="960" ht="18" customHeight="1">
      <c r="A960" s="109" t="n"/>
      <c r="B960" s="110" t="n"/>
      <c r="C960" s="110" t="n"/>
      <c r="D960" s="111" t="n"/>
      <c r="E960" s="110" t="n"/>
      <c r="F960" s="112" t="n"/>
      <c r="G960" s="112" t="n"/>
      <c r="H960" s="110" t="n"/>
      <c r="I960" s="113" t="n"/>
      <c r="J960" s="113" t="n"/>
      <c r="K960" s="111" t="n"/>
      <c r="L960" s="111" t="n"/>
      <c r="M960" s="111" t="n"/>
      <c r="N960" s="114" t="str">
        <f>IF(OR(D960="",E960=""),"",D960+IF(E960="NOTIFICAÇÃO DE CONSTATAÇÃO",PrazoConst,PrazoEsc))</f>
        <v/>
      </c>
      <c r="O960" s="115" t="str">
        <f>IF(N960="","",IF(ISNUMBER(L960),N960-L960,IF(OR(G960="DECISÃO D.P",ISNUMBER(M960)),"",N960-TODAY())))</f>
        <v/>
      </c>
      <c r="P960" s="116" t="str">
        <f>IF(B960="","",IF(ISNUMBER(M960),"DECIDIDO – ","")&amp;IF(ISNUMBER(L960),IF(O960="","SEM DATA",IF(O960&gt;=0,"DEFESA NO PRAZO","DEFESA FORA DO PRAZO")),IF(OR(G960="DECISÃO D.P",ISNUMBER(M960)),"SEM DEFESA",IF(G960="","SEM STATUS",IF(O960="","SEM DATA",IF(O960&lt;0,"VENCIDO",IF(O960&lt;=DiasAlerta,"VENCE EM BREVE","NO PRAZO")))))))</f>
        <v/>
      </c>
      <c r="Q960" s="117" t="str">
        <f>IF(D960="","",TODAY()-D960)</f>
        <v/>
      </c>
      <c r="R960" s="110" t="n"/>
    </row>
    <row r="961" ht="18" customHeight="1">
      <c r="A961" s="109" t="n"/>
      <c r="B961" s="110" t="n"/>
      <c r="C961" s="110" t="n"/>
      <c r="D961" s="111" t="n"/>
      <c r="E961" s="110" t="n"/>
      <c r="F961" s="112" t="n"/>
      <c r="G961" s="112" t="n"/>
      <c r="H961" s="110" t="n"/>
      <c r="I961" s="113" t="n"/>
      <c r="J961" s="113" t="n"/>
      <c r="K961" s="111" t="n"/>
      <c r="L961" s="111" t="n"/>
      <c r="M961" s="111" t="n"/>
      <c r="N961" s="114" t="str">
        <f>IF(OR(D961="",E961=""),"",D961+IF(E961="NOTIFICAÇÃO DE CONSTATAÇÃO",PrazoConst,PrazoEsc))</f>
        <v/>
      </c>
      <c r="O961" s="115" t="str">
        <f>IF(N961="","",IF(ISNUMBER(L961),N961-L961,IF(OR(G961="DECISÃO D.P",ISNUMBER(M961)),"",N961-TODAY())))</f>
        <v/>
      </c>
      <c r="P961" s="116" t="str">
        <f>IF(B961="","",IF(ISNUMBER(M961),"DECIDIDO – ","")&amp;IF(ISNUMBER(L961),IF(O961="","SEM DATA",IF(O961&gt;=0,"DEFESA NO PRAZO","DEFESA FORA DO PRAZO")),IF(OR(G961="DECISÃO D.P",ISNUMBER(M961)),"SEM DEFESA",IF(G961="","SEM STATUS",IF(O961="","SEM DATA",IF(O961&lt;0,"VENCIDO",IF(O961&lt;=DiasAlerta,"VENCE EM BREVE","NO PRAZO")))))))</f>
        <v/>
      </c>
      <c r="Q961" s="117" t="str">
        <f>IF(D961="","",TODAY()-D961)</f>
        <v/>
      </c>
      <c r="R961" s="110" t="n"/>
    </row>
    <row r="962" ht="18" customHeight="1">
      <c r="A962" s="109" t="n"/>
      <c r="B962" s="110" t="n"/>
      <c r="C962" s="110" t="n"/>
      <c r="D962" s="111" t="n"/>
      <c r="E962" s="110" t="n"/>
      <c r="F962" s="112" t="n"/>
      <c r="G962" s="112" t="n"/>
      <c r="H962" s="110" t="n"/>
      <c r="I962" s="113" t="n"/>
      <c r="J962" s="113" t="n"/>
      <c r="K962" s="111" t="n"/>
      <c r="L962" s="111" t="n"/>
      <c r="M962" s="111" t="n"/>
      <c r="N962" s="114" t="str">
        <f>IF(OR(D962="",E962=""),"",D962+IF(E962="NOTIFICAÇÃO DE CONSTATAÇÃO",PrazoConst,PrazoEsc))</f>
        <v/>
      </c>
      <c r="O962" s="115" t="str">
        <f>IF(N962="","",IF(ISNUMBER(L962),N962-L962,IF(OR(G962="DECISÃO D.P",ISNUMBER(M962)),"",N962-TODAY())))</f>
        <v/>
      </c>
      <c r="P962" s="116" t="str">
        <f>IF(B962="","",IF(ISNUMBER(M962),"DECIDIDO – ","")&amp;IF(ISNUMBER(L962),IF(O962="","SEM DATA",IF(O962&gt;=0,"DEFESA NO PRAZO","DEFESA FORA DO PRAZO")),IF(OR(G962="DECISÃO D.P",ISNUMBER(M962)),"SEM DEFESA",IF(G962="","SEM STATUS",IF(O962="","SEM DATA",IF(O962&lt;0,"VENCIDO",IF(O962&lt;=DiasAlerta,"VENCE EM BREVE","NO PRAZO")))))))</f>
        <v/>
      </c>
      <c r="Q962" s="117" t="str">
        <f>IF(D962="","",TODAY()-D962)</f>
        <v/>
      </c>
      <c r="R962" s="110" t="n"/>
    </row>
    <row r="963" ht="18" customHeight="1">
      <c r="A963" s="109" t="n"/>
      <c r="B963" s="110" t="n"/>
      <c r="C963" s="110" t="n"/>
      <c r="D963" s="111" t="n"/>
      <c r="E963" s="110" t="n"/>
      <c r="F963" s="112" t="n"/>
      <c r="G963" s="112" t="n"/>
      <c r="H963" s="110" t="n"/>
      <c r="I963" s="113" t="n"/>
      <c r="J963" s="113" t="n"/>
      <c r="K963" s="111" t="n"/>
      <c r="L963" s="111" t="n"/>
      <c r="M963" s="111" t="n"/>
      <c r="N963" s="114" t="str">
        <f>IF(OR(D963="",E963=""),"",D963+IF(E963="NOTIFICAÇÃO DE CONSTATAÇÃO",PrazoConst,PrazoEsc))</f>
        <v/>
      </c>
      <c r="O963" s="115" t="str">
        <f>IF(N963="","",IF(ISNUMBER(L963),N963-L963,IF(OR(G963="DECISÃO D.P",ISNUMBER(M963)),"",N963-TODAY())))</f>
        <v/>
      </c>
      <c r="P963" s="116" t="str">
        <f>IF(B963="","",IF(ISNUMBER(M963),"DECIDIDO – ","")&amp;IF(ISNUMBER(L963),IF(O963="","SEM DATA",IF(O963&gt;=0,"DEFESA NO PRAZO","DEFESA FORA DO PRAZO")),IF(OR(G963="DECISÃO D.P",ISNUMBER(M963)),"SEM DEFESA",IF(G963="","SEM STATUS",IF(O963="","SEM DATA",IF(O963&lt;0,"VENCIDO",IF(O963&lt;=DiasAlerta,"VENCE EM BREVE","NO PRAZO")))))))</f>
        <v/>
      </c>
      <c r="Q963" s="117" t="str">
        <f>IF(D963="","",TODAY()-D963)</f>
        <v/>
      </c>
      <c r="R963" s="110" t="n"/>
    </row>
    <row r="964" ht="18" customHeight="1">
      <c r="A964" s="109" t="n"/>
      <c r="B964" s="110" t="n"/>
      <c r="C964" s="110" t="n"/>
      <c r="D964" s="111" t="n"/>
      <c r="E964" s="110" t="n"/>
      <c r="F964" s="112" t="n"/>
      <c r="G964" s="112" t="n"/>
      <c r="H964" s="110" t="n"/>
      <c r="I964" s="113" t="n"/>
      <c r="J964" s="113" t="n"/>
      <c r="K964" s="111" t="n"/>
      <c r="L964" s="111" t="n"/>
      <c r="M964" s="111" t="n"/>
      <c r="N964" s="114" t="str">
        <f>IF(OR(D964="",E964=""),"",D964+IF(E964="NOTIFICAÇÃO DE CONSTATAÇÃO",PrazoConst,PrazoEsc))</f>
        <v/>
      </c>
      <c r="O964" s="115" t="str">
        <f>IF(N964="","",IF(ISNUMBER(L964),N964-L964,IF(OR(G964="DECISÃO D.P",ISNUMBER(M964)),"",N964-TODAY())))</f>
        <v/>
      </c>
      <c r="P964" s="116" t="str">
        <f>IF(B964="","",IF(ISNUMBER(M964),"DECIDIDO – ","")&amp;IF(ISNUMBER(L964),IF(O964="","SEM DATA",IF(O964&gt;=0,"DEFESA NO PRAZO","DEFESA FORA DO PRAZO")),IF(OR(G964="DECISÃO D.P",ISNUMBER(M964)),"SEM DEFESA",IF(G964="","SEM STATUS",IF(O964="","SEM DATA",IF(O964&lt;0,"VENCIDO",IF(O964&lt;=DiasAlerta,"VENCE EM BREVE","NO PRAZO")))))))</f>
        <v/>
      </c>
      <c r="Q964" s="117" t="str">
        <f>IF(D964="","",TODAY()-D964)</f>
        <v/>
      </c>
      <c r="R964" s="110" t="n"/>
    </row>
    <row r="965" ht="18" customHeight="1">
      <c r="A965" s="109" t="n"/>
      <c r="B965" s="110" t="n"/>
      <c r="C965" s="110" t="n"/>
      <c r="D965" s="111" t="n"/>
      <c r="E965" s="110" t="n"/>
      <c r="F965" s="112" t="n"/>
      <c r="G965" s="112" t="n"/>
      <c r="H965" s="110" t="n"/>
      <c r="I965" s="113" t="n"/>
      <c r="J965" s="113" t="n"/>
      <c r="K965" s="111" t="n"/>
      <c r="L965" s="111" t="n"/>
      <c r="M965" s="111" t="n"/>
      <c r="N965" s="114" t="str">
        <f>IF(OR(D965="",E965=""),"",D965+IF(E965="NOTIFICAÇÃO DE CONSTATAÇÃO",PrazoConst,PrazoEsc))</f>
        <v/>
      </c>
      <c r="O965" s="115" t="str">
        <f>IF(N965="","",IF(ISNUMBER(L965),N965-L965,IF(OR(G965="DECISÃO D.P",ISNUMBER(M965)),"",N965-TODAY())))</f>
        <v/>
      </c>
      <c r="P965" s="116" t="str">
        <f>IF(B965="","",IF(ISNUMBER(M965),"DECIDIDO – ","")&amp;IF(ISNUMBER(L965),IF(O965="","SEM DATA",IF(O965&gt;=0,"DEFESA NO PRAZO","DEFESA FORA DO PRAZO")),IF(OR(G965="DECISÃO D.P",ISNUMBER(M965)),"SEM DEFESA",IF(G965="","SEM STATUS",IF(O965="","SEM DATA",IF(O965&lt;0,"VENCIDO",IF(O965&lt;=DiasAlerta,"VENCE EM BREVE","NO PRAZO")))))))</f>
        <v/>
      </c>
      <c r="Q965" s="117" t="str">
        <f>IF(D965="","",TODAY()-D965)</f>
        <v/>
      </c>
      <c r="R965" s="110" t="n"/>
    </row>
    <row r="966" ht="18" customHeight="1">
      <c r="A966" s="109" t="n"/>
      <c r="B966" s="110" t="n"/>
      <c r="C966" s="110" t="n"/>
      <c r="D966" s="111" t="n"/>
      <c r="E966" s="110" t="n"/>
      <c r="F966" s="112" t="n"/>
      <c r="G966" s="112" t="n"/>
      <c r="H966" s="110" t="n"/>
      <c r="I966" s="113" t="n"/>
      <c r="J966" s="113" t="n"/>
      <c r="K966" s="111" t="n"/>
      <c r="L966" s="111" t="n"/>
      <c r="M966" s="111" t="n"/>
      <c r="N966" s="114" t="str">
        <f>IF(OR(D966="",E966=""),"",D966+IF(E966="NOTIFICAÇÃO DE CONSTATAÇÃO",PrazoConst,PrazoEsc))</f>
        <v/>
      </c>
      <c r="O966" s="115" t="str">
        <f>IF(N966="","",IF(ISNUMBER(L966),N966-L966,IF(OR(G966="DECISÃO D.P",ISNUMBER(M966)),"",N966-TODAY())))</f>
        <v/>
      </c>
      <c r="P966" s="116" t="str">
        <f>IF(B966="","",IF(ISNUMBER(M966),"DECIDIDO – ","")&amp;IF(ISNUMBER(L966),IF(O966="","SEM DATA",IF(O966&gt;=0,"DEFESA NO PRAZO","DEFESA FORA DO PRAZO")),IF(OR(G966="DECISÃO D.P",ISNUMBER(M966)),"SEM DEFESA",IF(G966="","SEM STATUS",IF(O966="","SEM DATA",IF(O966&lt;0,"VENCIDO",IF(O966&lt;=DiasAlerta,"VENCE EM BREVE","NO PRAZO")))))))</f>
        <v/>
      </c>
      <c r="Q966" s="117" t="str">
        <f>IF(D966="","",TODAY()-D966)</f>
        <v/>
      </c>
      <c r="R966" s="110" t="n"/>
    </row>
    <row r="967" ht="18" customHeight="1">
      <c r="A967" s="109" t="n"/>
      <c r="B967" s="110" t="n"/>
      <c r="C967" s="110" t="n"/>
      <c r="D967" s="111" t="n"/>
      <c r="E967" s="110" t="n"/>
      <c r="F967" s="112" t="n"/>
      <c r="G967" s="112" t="n"/>
      <c r="H967" s="110" t="n"/>
      <c r="I967" s="113" t="n"/>
      <c r="J967" s="113" t="n"/>
      <c r="K967" s="111" t="n"/>
      <c r="L967" s="111" t="n"/>
      <c r="M967" s="111" t="n"/>
      <c r="N967" s="114" t="str">
        <f>IF(OR(D967="",E967=""),"",D967+IF(E967="NOTIFICAÇÃO DE CONSTATAÇÃO",PrazoConst,PrazoEsc))</f>
        <v/>
      </c>
      <c r="O967" s="115" t="str">
        <f>IF(N967="","",IF(ISNUMBER(L967),N967-L967,IF(OR(G967="DECISÃO D.P",ISNUMBER(M967)),"",N967-TODAY())))</f>
        <v/>
      </c>
      <c r="P967" s="116" t="str">
        <f>IF(B967="","",IF(ISNUMBER(M967),"DECIDIDO – ","")&amp;IF(ISNUMBER(L967),IF(O967="","SEM DATA",IF(O967&gt;=0,"DEFESA NO PRAZO","DEFESA FORA DO PRAZO")),IF(OR(G967="DECISÃO D.P",ISNUMBER(M967)),"SEM DEFESA",IF(G967="","SEM STATUS",IF(O967="","SEM DATA",IF(O967&lt;0,"VENCIDO",IF(O967&lt;=DiasAlerta,"VENCE EM BREVE","NO PRAZO")))))))</f>
        <v/>
      </c>
      <c r="Q967" s="117" t="str">
        <f>IF(D967="","",TODAY()-D967)</f>
        <v/>
      </c>
      <c r="R967" s="110" t="n"/>
    </row>
    <row r="968" ht="18" customHeight="1">
      <c r="A968" s="109" t="n"/>
      <c r="B968" s="110" t="n"/>
      <c r="C968" s="110" t="n"/>
      <c r="D968" s="111" t="n"/>
      <c r="E968" s="110" t="n"/>
      <c r="F968" s="112" t="n"/>
      <c r="G968" s="112" t="n"/>
      <c r="H968" s="110" t="n"/>
      <c r="I968" s="113" t="n"/>
      <c r="J968" s="113" t="n"/>
      <c r="K968" s="111" t="n"/>
      <c r="L968" s="111" t="n"/>
      <c r="M968" s="111" t="n"/>
      <c r="N968" s="114" t="str">
        <f>IF(OR(D968="",E968=""),"",D968+IF(E968="NOTIFICAÇÃO DE CONSTATAÇÃO",PrazoConst,PrazoEsc))</f>
        <v/>
      </c>
      <c r="O968" s="115" t="str">
        <f>IF(N968="","",IF(ISNUMBER(L968),N968-L968,IF(OR(G968="DECISÃO D.P",ISNUMBER(M968)),"",N968-TODAY())))</f>
        <v/>
      </c>
      <c r="P968" s="116" t="str">
        <f>IF(B968="","",IF(ISNUMBER(M968),"DECIDIDO – ","")&amp;IF(ISNUMBER(L968),IF(O968="","SEM DATA",IF(O968&gt;=0,"DEFESA NO PRAZO","DEFESA FORA DO PRAZO")),IF(OR(G968="DECISÃO D.P",ISNUMBER(M968)),"SEM DEFESA",IF(G968="","SEM STATUS",IF(O968="","SEM DATA",IF(O968&lt;0,"VENCIDO",IF(O968&lt;=DiasAlerta,"VENCE EM BREVE","NO PRAZO")))))))</f>
        <v/>
      </c>
      <c r="Q968" s="117" t="str">
        <f>IF(D968="","",TODAY()-D968)</f>
        <v/>
      </c>
      <c r="R968" s="110" t="n"/>
    </row>
    <row r="969" ht="18" customHeight="1">
      <c r="A969" s="109" t="n"/>
      <c r="B969" s="110" t="n"/>
      <c r="C969" s="110" t="n"/>
      <c r="D969" s="111" t="n"/>
      <c r="E969" s="110" t="n"/>
      <c r="F969" s="112" t="n"/>
      <c r="G969" s="112" t="n"/>
      <c r="H969" s="110" t="n"/>
      <c r="I969" s="113" t="n"/>
      <c r="J969" s="113" t="n"/>
      <c r="K969" s="111" t="n"/>
      <c r="L969" s="111" t="n"/>
      <c r="M969" s="111" t="n"/>
      <c r="N969" s="114" t="str">
        <f>IF(OR(D969="",E969=""),"",D969+IF(E969="NOTIFICAÇÃO DE CONSTATAÇÃO",PrazoConst,PrazoEsc))</f>
        <v/>
      </c>
      <c r="O969" s="115" t="str">
        <f>IF(N969="","",IF(ISNUMBER(L969),N969-L969,IF(OR(G969="DECISÃO D.P",ISNUMBER(M969)),"",N969-TODAY())))</f>
        <v/>
      </c>
      <c r="P969" s="116" t="str">
        <f>IF(B969="","",IF(ISNUMBER(M969),"DECIDIDO – ","")&amp;IF(ISNUMBER(L969),IF(O969="","SEM DATA",IF(O969&gt;=0,"DEFESA NO PRAZO","DEFESA FORA DO PRAZO")),IF(OR(G969="DECISÃO D.P",ISNUMBER(M969)),"SEM DEFESA",IF(G969="","SEM STATUS",IF(O969="","SEM DATA",IF(O969&lt;0,"VENCIDO",IF(O969&lt;=DiasAlerta,"VENCE EM BREVE","NO PRAZO")))))))</f>
        <v/>
      </c>
      <c r="Q969" s="117" t="str">
        <f>IF(D969="","",TODAY()-D969)</f>
        <v/>
      </c>
      <c r="R969" s="110" t="n"/>
    </row>
    <row r="970" ht="18" customHeight="1">
      <c r="A970" s="109" t="n"/>
      <c r="B970" s="110" t="n"/>
      <c r="C970" s="110" t="n"/>
      <c r="D970" s="111" t="n"/>
      <c r="E970" s="110" t="n"/>
      <c r="F970" s="112" t="n"/>
      <c r="G970" s="112" t="n"/>
      <c r="H970" s="110" t="n"/>
      <c r="I970" s="113" t="n"/>
      <c r="J970" s="113" t="n"/>
      <c r="K970" s="111" t="n"/>
      <c r="L970" s="111" t="n"/>
      <c r="M970" s="111" t="n"/>
      <c r="N970" s="114" t="str">
        <f>IF(OR(D970="",E970=""),"",D970+IF(E970="NOTIFICAÇÃO DE CONSTATAÇÃO",PrazoConst,PrazoEsc))</f>
        <v/>
      </c>
      <c r="O970" s="115" t="str">
        <f>IF(N970="","",IF(ISNUMBER(L970),N970-L970,IF(OR(G970="DECISÃO D.P",ISNUMBER(M970)),"",N970-TODAY())))</f>
        <v/>
      </c>
      <c r="P970" s="116" t="str">
        <f>IF(B970="","",IF(ISNUMBER(M970),"DECIDIDO – ","")&amp;IF(ISNUMBER(L970),IF(O970="","SEM DATA",IF(O970&gt;=0,"DEFESA NO PRAZO","DEFESA FORA DO PRAZO")),IF(OR(G970="DECISÃO D.P",ISNUMBER(M970)),"SEM DEFESA",IF(G970="","SEM STATUS",IF(O970="","SEM DATA",IF(O970&lt;0,"VENCIDO",IF(O970&lt;=DiasAlerta,"VENCE EM BREVE","NO PRAZO")))))))</f>
        <v/>
      </c>
      <c r="Q970" s="117" t="str">
        <f>IF(D970="","",TODAY()-D970)</f>
        <v/>
      </c>
      <c r="R970" s="110" t="n"/>
    </row>
    <row r="971" ht="18" customHeight="1">
      <c r="A971" s="109" t="n"/>
      <c r="B971" s="110" t="n"/>
      <c r="C971" s="110" t="n"/>
      <c r="D971" s="111" t="n"/>
      <c r="E971" s="110" t="n"/>
      <c r="F971" s="112" t="n"/>
      <c r="G971" s="112" t="n"/>
      <c r="H971" s="110" t="n"/>
      <c r="I971" s="113" t="n"/>
      <c r="J971" s="113" t="n"/>
      <c r="K971" s="111" t="n"/>
      <c r="L971" s="111" t="n"/>
      <c r="M971" s="111" t="n"/>
      <c r="N971" s="114" t="str">
        <f>IF(OR(D971="",E971=""),"",D971+IF(E971="NOTIFICAÇÃO DE CONSTATAÇÃO",PrazoConst,PrazoEsc))</f>
        <v/>
      </c>
      <c r="O971" s="115" t="str">
        <f>IF(N971="","",IF(ISNUMBER(L971),N971-L971,IF(OR(G971="DECISÃO D.P",ISNUMBER(M971)),"",N971-TODAY())))</f>
        <v/>
      </c>
      <c r="P971" s="116" t="str">
        <f>IF(B971="","",IF(ISNUMBER(M971),"DECIDIDO – ","")&amp;IF(ISNUMBER(L971),IF(O971="","SEM DATA",IF(O971&gt;=0,"DEFESA NO PRAZO","DEFESA FORA DO PRAZO")),IF(OR(G971="DECISÃO D.P",ISNUMBER(M971)),"SEM DEFESA",IF(G971="","SEM STATUS",IF(O971="","SEM DATA",IF(O971&lt;0,"VENCIDO",IF(O971&lt;=DiasAlerta,"VENCE EM BREVE","NO PRAZO")))))))</f>
        <v/>
      </c>
      <c r="Q971" s="117" t="str">
        <f>IF(D971="","",TODAY()-D971)</f>
        <v/>
      </c>
      <c r="R971" s="110" t="n"/>
    </row>
    <row r="972" ht="18" customHeight="1">
      <c r="A972" s="109" t="n"/>
      <c r="B972" s="110" t="n"/>
      <c r="C972" s="110" t="n"/>
      <c r="D972" s="111" t="n"/>
      <c r="E972" s="110" t="n"/>
      <c r="F972" s="112" t="n"/>
      <c r="G972" s="112" t="n"/>
      <c r="H972" s="110" t="n"/>
      <c r="I972" s="113" t="n"/>
      <c r="J972" s="113" t="n"/>
      <c r="K972" s="111" t="n"/>
      <c r="L972" s="111" t="n"/>
      <c r="M972" s="111" t="n"/>
      <c r="N972" s="114" t="str">
        <f>IF(OR(D972="",E972=""),"",D972+IF(E972="NOTIFICAÇÃO DE CONSTATAÇÃO",PrazoConst,PrazoEsc))</f>
        <v/>
      </c>
      <c r="O972" s="115" t="str">
        <f>IF(N972="","",IF(ISNUMBER(L972),N972-L972,IF(OR(G972="DECISÃO D.P",ISNUMBER(M972)),"",N972-TODAY())))</f>
        <v/>
      </c>
      <c r="P972" s="116" t="str">
        <f>IF(B972="","",IF(ISNUMBER(M972),"DECIDIDO – ","")&amp;IF(ISNUMBER(L972),IF(O972="","SEM DATA",IF(O972&gt;=0,"DEFESA NO PRAZO","DEFESA FORA DO PRAZO")),IF(OR(G972="DECISÃO D.P",ISNUMBER(M972)),"SEM DEFESA",IF(G972="","SEM STATUS",IF(O972="","SEM DATA",IF(O972&lt;0,"VENCIDO",IF(O972&lt;=DiasAlerta,"VENCE EM BREVE","NO PRAZO")))))))</f>
        <v/>
      </c>
      <c r="Q972" s="117" t="str">
        <f>IF(D972="","",TODAY()-D972)</f>
        <v/>
      </c>
      <c r="R972" s="110" t="n"/>
    </row>
    <row r="973" ht="18" customHeight="1">
      <c r="A973" s="109" t="n"/>
      <c r="B973" s="110" t="n"/>
      <c r="C973" s="110" t="n"/>
      <c r="D973" s="111" t="n"/>
      <c r="E973" s="110" t="n"/>
      <c r="F973" s="112" t="n"/>
      <c r="G973" s="112" t="n"/>
      <c r="H973" s="110" t="n"/>
      <c r="I973" s="113" t="n"/>
      <c r="J973" s="113" t="n"/>
      <c r="K973" s="111" t="n"/>
      <c r="L973" s="111" t="n"/>
      <c r="M973" s="111" t="n"/>
      <c r="N973" s="114" t="str">
        <f>IF(OR(D973="",E973=""),"",D973+IF(E973="NOTIFICAÇÃO DE CONSTATAÇÃO",PrazoConst,PrazoEsc))</f>
        <v/>
      </c>
      <c r="O973" s="115" t="str">
        <f>IF(N973="","",IF(ISNUMBER(L973),N973-L973,IF(OR(G973="DECISÃO D.P",ISNUMBER(M973)),"",N973-TODAY())))</f>
        <v/>
      </c>
      <c r="P973" s="116" t="str">
        <f>IF(B973="","",IF(ISNUMBER(M973),"DECIDIDO – ","")&amp;IF(ISNUMBER(L973),IF(O973="","SEM DATA",IF(O973&gt;=0,"DEFESA NO PRAZO","DEFESA FORA DO PRAZO")),IF(OR(G973="DECISÃO D.P",ISNUMBER(M973)),"SEM DEFESA",IF(G973="","SEM STATUS",IF(O973="","SEM DATA",IF(O973&lt;0,"VENCIDO",IF(O973&lt;=DiasAlerta,"VENCE EM BREVE","NO PRAZO")))))))</f>
        <v/>
      </c>
      <c r="Q973" s="117" t="str">
        <f>IF(D973="","",TODAY()-D973)</f>
        <v/>
      </c>
      <c r="R973" s="110" t="n"/>
    </row>
    <row r="974" ht="18" customHeight="1">
      <c r="A974" s="109" t="n"/>
      <c r="B974" s="110" t="n"/>
      <c r="C974" s="110" t="n"/>
      <c r="D974" s="111" t="n"/>
      <c r="E974" s="110" t="n"/>
      <c r="F974" s="112" t="n"/>
      <c r="G974" s="112" t="n"/>
      <c r="H974" s="110" t="n"/>
      <c r="I974" s="113" t="n"/>
      <c r="J974" s="113" t="n"/>
      <c r="K974" s="111" t="n"/>
      <c r="L974" s="111" t="n"/>
      <c r="M974" s="111" t="n"/>
      <c r="N974" s="114" t="str">
        <f>IF(OR(D974="",E974=""),"",D974+IF(E974="NOTIFICAÇÃO DE CONSTATAÇÃO",PrazoConst,PrazoEsc))</f>
        <v/>
      </c>
      <c r="O974" s="115" t="str">
        <f>IF(N974="","",IF(ISNUMBER(L974),N974-L974,IF(OR(G974="DECISÃO D.P",ISNUMBER(M974)),"",N974-TODAY())))</f>
        <v/>
      </c>
      <c r="P974" s="116" t="str">
        <f>IF(B974="","",IF(ISNUMBER(M974),"DECIDIDO – ","")&amp;IF(ISNUMBER(L974),IF(O974="","SEM DATA",IF(O974&gt;=0,"DEFESA NO PRAZO","DEFESA FORA DO PRAZO")),IF(OR(G974="DECISÃO D.P",ISNUMBER(M974)),"SEM DEFESA",IF(G974="","SEM STATUS",IF(O974="","SEM DATA",IF(O974&lt;0,"VENCIDO",IF(O974&lt;=DiasAlerta,"VENCE EM BREVE","NO PRAZO")))))))</f>
        <v/>
      </c>
      <c r="Q974" s="117" t="str">
        <f>IF(D974="","",TODAY()-D974)</f>
        <v/>
      </c>
      <c r="R974" s="110" t="n"/>
    </row>
    <row r="975" ht="18" customHeight="1">
      <c r="A975" s="109" t="n"/>
      <c r="B975" s="110" t="n"/>
      <c r="C975" s="110" t="n"/>
      <c r="D975" s="111" t="n"/>
      <c r="E975" s="110" t="n"/>
      <c r="F975" s="112" t="n"/>
      <c r="G975" s="112" t="n"/>
      <c r="H975" s="110" t="n"/>
      <c r="I975" s="113" t="n"/>
      <c r="J975" s="113" t="n"/>
      <c r="K975" s="111" t="n"/>
      <c r="L975" s="111" t="n"/>
      <c r="M975" s="111" t="n"/>
      <c r="N975" s="114" t="str">
        <f>IF(OR(D975="",E975=""),"",D975+IF(E975="NOTIFICAÇÃO DE CONSTATAÇÃO",PrazoConst,PrazoEsc))</f>
        <v/>
      </c>
      <c r="O975" s="115" t="str">
        <f>IF(N975="","",IF(ISNUMBER(L975),N975-L975,IF(OR(G975="DECISÃO D.P",ISNUMBER(M975)),"",N975-TODAY())))</f>
        <v/>
      </c>
      <c r="P975" s="116" t="str">
        <f>IF(B975="","",IF(ISNUMBER(M975),"DECIDIDO – ","")&amp;IF(ISNUMBER(L975),IF(O975="","SEM DATA",IF(O975&gt;=0,"DEFESA NO PRAZO","DEFESA FORA DO PRAZO")),IF(OR(G975="DECISÃO D.P",ISNUMBER(M975)),"SEM DEFESA",IF(G975="","SEM STATUS",IF(O975="","SEM DATA",IF(O975&lt;0,"VENCIDO",IF(O975&lt;=DiasAlerta,"VENCE EM BREVE","NO PRAZO")))))))</f>
        <v/>
      </c>
      <c r="Q975" s="117" t="str">
        <f>IF(D975="","",TODAY()-D975)</f>
        <v/>
      </c>
      <c r="R975" s="110" t="n"/>
    </row>
    <row r="976" ht="18" customHeight="1">
      <c r="A976" s="109" t="n"/>
      <c r="B976" s="110" t="n"/>
      <c r="C976" s="110" t="n"/>
      <c r="D976" s="111" t="n"/>
      <c r="E976" s="110" t="n"/>
      <c r="F976" s="112" t="n"/>
      <c r="G976" s="112" t="n"/>
      <c r="H976" s="110" t="n"/>
      <c r="I976" s="113" t="n"/>
      <c r="J976" s="113" t="n"/>
      <c r="K976" s="111" t="n"/>
      <c r="L976" s="111" t="n"/>
      <c r="M976" s="111" t="n"/>
      <c r="N976" s="114" t="str">
        <f>IF(OR(D976="",E976=""),"",D976+IF(E976="NOTIFICAÇÃO DE CONSTATAÇÃO",PrazoConst,PrazoEsc))</f>
        <v/>
      </c>
      <c r="O976" s="115" t="str">
        <f>IF(N976="","",IF(ISNUMBER(L976),N976-L976,IF(OR(G976="DECISÃO D.P",ISNUMBER(M976)),"",N976-TODAY())))</f>
        <v/>
      </c>
      <c r="P976" s="116" t="str">
        <f>IF(B976="","",IF(ISNUMBER(M976),"DECIDIDO – ","")&amp;IF(ISNUMBER(L976),IF(O976="","SEM DATA",IF(O976&gt;=0,"DEFESA NO PRAZO","DEFESA FORA DO PRAZO")),IF(OR(G976="DECISÃO D.P",ISNUMBER(M976)),"SEM DEFESA",IF(G976="","SEM STATUS",IF(O976="","SEM DATA",IF(O976&lt;0,"VENCIDO",IF(O976&lt;=DiasAlerta,"VENCE EM BREVE","NO PRAZO")))))))</f>
        <v/>
      </c>
      <c r="Q976" s="117" t="str">
        <f>IF(D976="","",TODAY()-D976)</f>
        <v/>
      </c>
      <c r="R976" s="110" t="n"/>
    </row>
    <row r="977" ht="18" customHeight="1">
      <c r="A977" s="109" t="n"/>
      <c r="B977" s="110" t="n"/>
      <c r="C977" s="110" t="n"/>
      <c r="D977" s="111" t="n"/>
      <c r="E977" s="110" t="n"/>
      <c r="F977" s="112" t="n"/>
      <c r="G977" s="112" t="n"/>
      <c r="H977" s="110" t="n"/>
      <c r="I977" s="113" t="n"/>
      <c r="J977" s="113" t="n"/>
      <c r="K977" s="111" t="n"/>
      <c r="L977" s="111" t="n"/>
      <c r="M977" s="111" t="n"/>
      <c r="N977" s="114" t="str">
        <f>IF(OR(D977="",E977=""),"",D977+IF(E977="NOTIFICAÇÃO DE CONSTATAÇÃO",PrazoConst,PrazoEsc))</f>
        <v/>
      </c>
      <c r="O977" s="115" t="str">
        <f>IF(N977="","",IF(ISNUMBER(L977),N977-L977,IF(OR(G977="DECISÃO D.P",ISNUMBER(M977)),"",N977-TODAY())))</f>
        <v/>
      </c>
      <c r="P977" s="116" t="str">
        <f>IF(B977="","",IF(ISNUMBER(M977),"DECIDIDO – ","")&amp;IF(ISNUMBER(L977),IF(O977="","SEM DATA",IF(O977&gt;=0,"DEFESA NO PRAZO","DEFESA FORA DO PRAZO")),IF(OR(G977="DECISÃO D.P",ISNUMBER(M977)),"SEM DEFESA",IF(G977="","SEM STATUS",IF(O977="","SEM DATA",IF(O977&lt;0,"VENCIDO",IF(O977&lt;=DiasAlerta,"VENCE EM BREVE","NO PRAZO")))))))</f>
        <v/>
      </c>
      <c r="Q977" s="117" t="str">
        <f>IF(D977="","",TODAY()-D977)</f>
        <v/>
      </c>
      <c r="R977" s="110" t="n"/>
    </row>
    <row r="978" ht="18" customHeight="1">
      <c r="A978" s="109" t="n"/>
      <c r="B978" s="110" t="n"/>
      <c r="C978" s="110" t="n"/>
      <c r="D978" s="111" t="n"/>
      <c r="E978" s="110" t="n"/>
      <c r="F978" s="112" t="n"/>
      <c r="G978" s="112" t="n"/>
      <c r="H978" s="110" t="n"/>
      <c r="I978" s="113" t="n"/>
      <c r="J978" s="113" t="n"/>
      <c r="K978" s="111" t="n"/>
      <c r="L978" s="111" t="n"/>
      <c r="M978" s="111" t="n"/>
      <c r="N978" s="114" t="str">
        <f>IF(OR(D978="",E978=""),"",D978+IF(E978="NOTIFICAÇÃO DE CONSTATAÇÃO",PrazoConst,PrazoEsc))</f>
        <v/>
      </c>
      <c r="O978" s="115" t="str">
        <f>IF(N978="","",IF(ISNUMBER(L978),N978-L978,IF(OR(G978="DECISÃO D.P",ISNUMBER(M978)),"",N978-TODAY())))</f>
        <v/>
      </c>
      <c r="P978" s="116" t="str">
        <f>IF(B978="","",IF(ISNUMBER(M978),"DECIDIDO – ","")&amp;IF(ISNUMBER(L978),IF(O978="","SEM DATA",IF(O978&gt;=0,"DEFESA NO PRAZO","DEFESA FORA DO PRAZO")),IF(OR(G978="DECISÃO D.P",ISNUMBER(M978)),"SEM DEFESA",IF(G978="","SEM STATUS",IF(O978="","SEM DATA",IF(O978&lt;0,"VENCIDO",IF(O978&lt;=DiasAlerta,"VENCE EM BREVE","NO PRAZO")))))))</f>
        <v/>
      </c>
      <c r="Q978" s="117" t="str">
        <f>IF(D978="","",TODAY()-D978)</f>
        <v/>
      </c>
      <c r="R978" s="110" t="n"/>
    </row>
    <row r="979" ht="18" customHeight="1">
      <c r="A979" s="109" t="n"/>
      <c r="B979" s="110" t="n"/>
      <c r="C979" s="110" t="n"/>
      <c r="D979" s="111" t="n"/>
      <c r="E979" s="110" t="n"/>
      <c r="F979" s="112" t="n"/>
      <c r="G979" s="112" t="n"/>
      <c r="H979" s="110" t="n"/>
      <c r="I979" s="113" t="n"/>
      <c r="J979" s="113" t="n"/>
      <c r="K979" s="111" t="n"/>
      <c r="L979" s="111" t="n"/>
      <c r="M979" s="111" t="n"/>
      <c r="N979" s="114" t="str">
        <f>IF(OR(D979="",E979=""),"",D979+IF(E979="NOTIFICAÇÃO DE CONSTATAÇÃO",PrazoConst,PrazoEsc))</f>
        <v/>
      </c>
      <c r="O979" s="115" t="str">
        <f>IF(N979="","",IF(ISNUMBER(L979),N979-L979,IF(OR(G979="DECISÃO D.P",ISNUMBER(M979)),"",N979-TODAY())))</f>
        <v/>
      </c>
      <c r="P979" s="116" t="str">
        <f>IF(B979="","",IF(ISNUMBER(M979),"DECIDIDO – ","")&amp;IF(ISNUMBER(L979),IF(O979="","SEM DATA",IF(O979&gt;=0,"DEFESA NO PRAZO","DEFESA FORA DO PRAZO")),IF(OR(G979="DECISÃO D.P",ISNUMBER(M979)),"SEM DEFESA",IF(G979="","SEM STATUS",IF(O979="","SEM DATA",IF(O979&lt;0,"VENCIDO",IF(O979&lt;=DiasAlerta,"VENCE EM BREVE","NO PRAZO")))))))</f>
        <v/>
      </c>
      <c r="Q979" s="117" t="str">
        <f>IF(D979="","",TODAY()-D979)</f>
        <v/>
      </c>
      <c r="R979" s="110" t="n"/>
    </row>
    <row r="980" ht="18" customHeight="1">
      <c r="A980" s="109" t="n"/>
      <c r="B980" s="110" t="n"/>
      <c r="C980" s="110" t="n"/>
      <c r="D980" s="111" t="n"/>
      <c r="E980" s="110" t="n"/>
      <c r="F980" s="112" t="n"/>
      <c r="G980" s="112" t="n"/>
      <c r="H980" s="110" t="n"/>
      <c r="I980" s="113" t="n"/>
      <c r="J980" s="113" t="n"/>
      <c r="K980" s="111" t="n"/>
      <c r="L980" s="111" t="n"/>
      <c r="M980" s="111" t="n"/>
      <c r="N980" s="114" t="str">
        <f>IF(OR(D980="",E980=""),"",D980+IF(E980="NOTIFICAÇÃO DE CONSTATAÇÃO",PrazoConst,PrazoEsc))</f>
        <v/>
      </c>
      <c r="O980" s="115" t="str">
        <f>IF(N980="","",IF(ISNUMBER(L980),N980-L980,IF(OR(G980="DECISÃO D.P",ISNUMBER(M980)),"",N980-TODAY())))</f>
        <v/>
      </c>
      <c r="P980" s="116" t="str">
        <f>IF(B980="","",IF(ISNUMBER(M980),"DECIDIDO – ","")&amp;IF(ISNUMBER(L980),IF(O980="","SEM DATA",IF(O980&gt;=0,"DEFESA NO PRAZO","DEFESA FORA DO PRAZO")),IF(OR(G980="DECISÃO D.P",ISNUMBER(M980)),"SEM DEFESA",IF(G980="","SEM STATUS",IF(O980="","SEM DATA",IF(O980&lt;0,"VENCIDO",IF(O980&lt;=DiasAlerta,"VENCE EM BREVE","NO PRAZO")))))))</f>
        <v/>
      </c>
      <c r="Q980" s="117" t="str">
        <f>IF(D980="","",TODAY()-D980)</f>
        <v/>
      </c>
      <c r="R980" s="110" t="n"/>
    </row>
    <row r="981" ht="18" customHeight="1">
      <c r="A981" s="109" t="n"/>
      <c r="B981" s="110" t="n"/>
      <c r="C981" s="110" t="n"/>
      <c r="D981" s="111" t="n"/>
      <c r="E981" s="110" t="n"/>
      <c r="F981" s="112" t="n"/>
      <c r="G981" s="112" t="n"/>
      <c r="H981" s="110" t="n"/>
      <c r="I981" s="113" t="n"/>
      <c r="J981" s="113" t="n"/>
      <c r="K981" s="111" t="n"/>
      <c r="L981" s="111" t="n"/>
      <c r="M981" s="111" t="n"/>
      <c r="N981" s="114" t="str">
        <f>IF(OR(D981="",E981=""),"",D981+IF(E981="NOTIFICAÇÃO DE CONSTATAÇÃO",PrazoConst,PrazoEsc))</f>
        <v/>
      </c>
      <c r="O981" s="115" t="str">
        <f>IF(N981="","",IF(ISNUMBER(L981),N981-L981,IF(OR(G981="DECISÃO D.P",ISNUMBER(M981)),"",N981-TODAY())))</f>
        <v/>
      </c>
      <c r="P981" s="116" t="str">
        <f>IF(B981="","",IF(ISNUMBER(M981),"DECIDIDO – ","")&amp;IF(ISNUMBER(L981),IF(O981="","SEM DATA",IF(O981&gt;=0,"DEFESA NO PRAZO","DEFESA FORA DO PRAZO")),IF(OR(G981="DECISÃO D.P",ISNUMBER(M981)),"SEM DEFESA",IF(G981="","SEM STATUS",IF(O981="","SEM DATA",IF(O981&lt;0,"VENCIDO",IF(O981&lt;=DiasAlerta,"VENCE EM BREVE","NO PRAZO")))))))</f>
        <v/>
      </c>
      <c r="Q981" s="117" t="str">
        <f>IF(D981="","",TODAY()-D981)</f>
        <v/>
      </c>
      <c r="R981" s="110" t="n"/>
    </row>
    <row r="982" ht="18" customHeight="1">
      <c r="A982" s="109" t="n"/>
      <c r="B982" s="110" t="n"/>
      <c r="C982" s="110" t="n"/>
      <c r="D982" s="111" t="n"/>
      <c r="E982" s="110" t="n"/>
      <c r="F982" s="112" t="n"/>
      <c r="G982" s="112" t="n"/>
      <c r="H982" s="110" t="n"/>
      <c r="I982" s="113" t="n"/>
      <c r="J982" s="113" t="n"/>
      <c r="K982" s="111" t="n"/>
      <c r="L982" s="111" t="n"/>
      <c r="M982" s="111" t="n"/>
      <c r="N982" s="114" t="str">
        <f>IF(OR(D982="",E982=""),"",D982+IF(E982="NOTIFICAÇÃO DE CONSTATAÇÃO",PrazoConst,PrazoEsc))</f>
        <v/>
      </c>
      <c r="O982" s="115" t="str">
        <f>IF(N982="","",IF(ISNUMBER(L982),N982-L982,IF(OR(G982="DECISÃO D.P",ISNUMBER(M982)),"",N982-TODAY())))</f>
        <v/>
      </c>
      <c r="P982" s="116" t="str">
        <f>IF(B982="","",IF(ISNUMBER(M982),"DECIDIDO – ","")&amp;IF(ISNUMBER(L982),IF(O982="","SEM DATA",IF(O982&gt;=0,"DEFESA NO PRAZO","DEFESA FORA DO PRAZO")),IF(OR(G982="DECISÃO D.P",ISNUMBER(M982)),"SEM DEFESA",IF(G982="","SEM STATUS",IF(O982="","SEM DATA",IF(O982&lt;0,"VENCIDO",IF(O982&lt;=DiasAlerta,"VENCE EM BREVE","NO PRAZO")))))))</f>
        <v/>
      </c>
      <c r="Q982" s="117" t="str">
        <f>IF(D982="","",TODAY()-D982)</f>
        <v/>
      </c>
      <c r="R982" s="110" t="n"/>
    </row>
    <row r="983" ht="18" customHeight="1">
      <c r="A983" s="109" t="n"/>
      <c r="B983" s="110" t="n"/>
      <c r="C983" s="110" t="n"/>
      <c r="D983" s="111" t="n"/>
      <c r="E983" s="110" t="n"/>
      <c r="F983" s="112" t="n"/>
      <c r="G983" s="112" t="n"/>
      <c r="H983" s="110" t="n"/>
      <c r="I983" s="113" t="n"/>
      <c r="J983" s="113" t="n"/>
      <c r="K983" s="111" t="n"/>
      <c r="L983" s="111" t="n"/>
      <c r="M983" s="111" t="n"/>
      <c r="N983" s="114" t="str">
        <f>IF(OR(D983="",E983=""),"",D983+IF(E983="NOTIFICAÇÃO DE CONSTATAÇÃO",PrazoConst,PrazoEsc))</f>
        <v/>
      </c>
      <c r="O983" s="115" t="str">
        <f>IF(N983="","",IF(ISNUMBER(L983),N983-L983,IF(OR(G983="DECISÃO D.P",ISNUMBER(M983)),"",N983-TODAY())))</f>
        <v/>
      </c>
      <c r="P983" s="116" t="str">
        <f>IF(B983="","",IF(ISNUMBER(M983),"DECIDIDO – ","")&amp;IF(ISNUMBER(L983),IF(O983="","SEM DATA",IF(O983&gt;=0,"DEFESA NO PRAZO","DEFESA FORA DO PRAZO")),IF(OR(G983="DECISÃO D.P",ISNUMBER(M983)),"SEM DEFESA",IF(G983="","SEM STATUS",IF(O983="","SEM DATA",IF(O983&lt;0,"VENCIDO",IF(O983&lt;=DiasAlerta,"VENCE EM BREVE","NO PRAZO")))))))</f>
        <v/>
      </c>
      <c r="Q983" s="117" t="str">
        <f>IF(D983="","",TODAY()-D983)</f>
        <v/>
      </c>
      <c r="R983" s="110" t="n"/>
    </row>
    <row r="984" ht="18" customHeight="1">
      <c r="A984" s="109" t="n"/>
      <c r="B984" s="110" t="n"/>
      <c r="C984" s="110" t="n"/>
      <c r="D984" s="111" t="n"/>
      <c r="E984" s="110" t="n"/>
      <c r="F984" s="112" t="n"/>
      <c r="G984" s="112" t="n"/>
      <c r="H984" s="110" t="n"/>
      <c r="I984" s="113" t="n"/>
      <c r="J984" s="113" t="n"/>
      <c r="K984" s="111" t="n"/>
      <c r="L984" s="111" t="n"/>
      <c r="M984" s="111" t="n"/>
      <c r="N984" s="114" t="str">
        <f>IF(OR(D984="",E984=""),"",D984+IF(E984="NOTIFICAÇÃO DE CONSTATAÇÃO",PrazoConst,PrazoEsc))</f>
        <v/>
      </c>
      <c r="O984" s="115" t="str">
        <f>IF(N984="","",IF(ISNUMBER(L984),N984-L984,IF(OR(G984="DECISÃO D.P",ISNUMBER(M984)),"",N984-TODAY())))</f>
        <v/>
      </c>
      <c r="P984" s="116" t="str">
        <f>IF(B984="","",IF(ISNUMBER(M984),"DECIDIDO – ","")&amp;IF(ISNUMBER(L984),IF(O984="","SEM DATA",IF(O984&gt;=0,"DEFESA NO PRAZO","DEFESA FORA DO PRAZO")),IF(OR(G984="DECISÃO D.P",ISNUMBER(M984)),"SEM DEFESA",IF(G984="","SEM STATUS",IF(O984="","SEM DATA",IF(O984&lt;0,"VENCIDO",IF(O984&lt;=DiasAlerta,"VENCE EM BREVE","NO PRAZO")))))))</f>
        <v/>
      </c>
      <c r="Q984" s="117" t="str">
        <f>IF(D984="","",TODAY()-D984)</f>
        <v/>
      </c>
      <c r="R984" s="110" t="n"/>
    </row>
    <row r="985" ht="18" customHeight="1">
      <c r="A985" s="109" t="n"/>
      <c r="B985" s="110" t="n"/>
      <c r="C985" s="110" t="n"/>
      <c r="D985" s="111" t="n"/>
      <c r="E985" s="110" t="n"/>
      <c r="F985" s="112" t="n"/>
      <c r="G985" s="112" t="n"/>
      <c r="H985" s="110" t="n"/>
      <c r="I985" s="113" t="n"/>
      <c r="J985" s="113" t="n"/>
      <c r="K985" s="111" t="n"/>
      <c r="L985" s="111" t="n"/>
      <c r="M985" s="111" t="n"/>
      <c r="N985" s="114" t="str">
        <f>IF(OR(D985="",E985=""),"",D985+IF(E985="NOTIFICAÇÃO DE CONSTATAÇÃO",PrazoConst,PrazoEsc))</f>
        <v/>
      </c>
      <c r="O985" s="115" t="str">
        <f>IF(N985="","",IF(ISNUMBER(L985),N985-L985,IF(OR(G985="DECISÃO D.P",ISNUMBER(M985)),"",N985-TODAY())))</f>
        <v/>
      </c>
      <c r="P985" s="116" t="str">
        <f>IF(B985="","",IF(ISNUMBER(M985),"DECIDIDO – ","")&amp;IF(ISNUMBER(L985),IF(O985="","SEM DATA",IF(O985&gt;=0,"DEFESA NO PRAZO","DEFESA FORA DO PRAZO")),IF(OR(G985="DECISÃO D.P",ISNUMBER(M985)),"SEM DEFESA",IF(G985="","SEM STATUS",IF(O985="","SEM DATA",IF(O985&lt;0,"VENCIDO",IF(O985&lt;=DiasAlerta,"VENCE EM BREVE","NO PRAZO")))))))</f>
        <v/>
      </c>
      <c r="Q985" s="117" t="str">
        <f>IF(D985="","",TODAY()-D985)</f>
        <v/>
      </c>
      <c r="R985" s="110" t="n"/>
    </row>
    <row r="986" ht="18" customHeight="1">
      <c r="A986" s="109" t="n"/>
      <c r="B986" s="110" t="n"/>
      <c r="C986" s="110" t="n"/>
      <c r="D986" s="111" t="n"/>
      <c r="E986" s="110" t="n"/>
      <c r="F986" s="112" t="n"/>
      <c r="G986" s="112" t="n"/>
      <c r="H986" s="110" t="n"/>
      <c r="I986" s="113" t="n"/>
      <c r="J986" s="113" t="n"/>
      <c r="K986" s="111" t="n"/>
      <c r="L986" s="111" t="n"/>
      <c r="M986" s="111" t="n"/>
      <c r="N986" s="114" t="str">
        <f>IF(OR(D986="",E986=""),"",D986+IF(E986="NOTIFICAÇÃO DE CONSTATAÇÃO",PrazoConst,PrazoEsc))</f>
        <v/>
      </c>
      <c r="O986" s="115" t="str">
        <f>IF(N986="","",IF(ISNUMBER(L986),N986-L986,IF(OR(G986="DECISÃO D.P",ISNUMBER(M986)),"",N986-TODAY())))</f>
        <v/>
      </c>
      <c r="P986" s="116" t="str">
        <f>IF(B986="","",IF(ISNUMBER(M986),"DECIDIDO – ","")&amp;IF(ISNUMBER(L986),IF(O986="","SEM DATA",IF(O986&gt;=0,"DEFESA NO PRAZO","DEFESA FORA DO PRAZO")),IF(OR(G986="DECISÃO D.P",ISNUMBER(M986)),"SEM DEFESA",IF(G986="","SEM STATUS",IF(O986="","SEM DATA",IF(O986&lt;0,"VENCIDO",IF(O986&lt;=DiasAlerta,"VENCE EM BREVE","NO PRAZO")))))))</f>
        <v/>
      </c>
      <c r="Q986" s="117" t="str">
        <f>IF(D986="","",TODAY()-D986)</f>
        <v/>
      </c>
      <c r="R986" s="110" t="n"/>
    </row>
    <row r="987" ht="18" customHeight="1">
      <c r="A987" s="109" t="n"/>
      <c r="B987" s="110" t="n"/>
      <c r="C987" s="110" t="n"/>
      <c r="D987" s="111" t="n"/>
      <c r="E987" s="110" t="n"/>
      <c r="F987" s="112" t="n"/>
      <c r="G987" s="112" t="n"/>
      <c r="H987" s="110" t="n"/>
      <c r="I987" s="113" t="n"/>
      <c r="J987" s="113" t="n"/>
      <c r="K987" s="111" t="n"/>
      <c r="L987" s="111" t="n"/>
      <c r="M987" s="111" t="n"/>
      <c r="N987" s="114" t="str">
        <f>IF(OR(D987="",E987=""),"",D987+IF(E987="NOTIFICAÇÃO DE CONSTATAÇÃO",PrazoConst,PrazoEsc))</f>
        <v/>
      </c>
      <c r="O987" s="115" t="str">
        <f>IF(N987="","",IF(ISNUMBER(L987),N987-L987,IF(OR(G987="DECISÃO D.P",ISNUMBER(M987)),"",N987-TODAY())))</f>
        <v/>
      </c>
      <c r="P987" s="116" t="str">
        <f>IF(B987="","",IF(ISNUMBER(M987),"DECIDIDO – ","")&amp;IF(ISNUMBER(L987),IF(O987="","SEM DATA",IF(O987&gt;=0,"DEFESA NO PRAZO","DEFESA FORA DO PRAZO")),IF(OR(G987="DECISÃO D.P",ISNUMBER(M987)),"SEM DEFESA",IF(G987="","SEM STATUS",IF(O987="","SEM DATA",IF(O987&lt;0,"VENCIDO",IF(O987&lt;=DiasAlerta,"VENCE EM BREVE","NO PRAZO")))))))</f>
        <v/>
      </c>
      <c r="Q987" s="117" t="str">
        <f>IF(D987="","",TODAY()-D987)</f>
        <v/>
      </c>
      <c r="R987" s="110" t="n"/>
    </row>
    <row r="988" ht="18" customHeight="1">
      <c r="A988" s="109" t="n"/>
      <c r="B988" s="110" t="n"/>
      <c r="C988" s="110" t="n"/>
      <c r="D988" s="111" t="n"/>
      <c r="E988" s="110" t="n"/>
      <c r="F988" s="112" t="n"/>
      <c r="G988" s="112" t="n"/>
      <c r="H988" s="110" t="n"/>
      <c r="I988" s="113" t="n"/>
      <c r="J988" s="113" t="n"/>
      <c r="K988" s="111" t="n"/>
      <c r="L988" s="111" t="n"/>
      <c r="M988" s="111" t="n"/>
      <c r="N988" s="114" t="str">
        <f>IF(OR(D988="",E988=""),"",D988+IF(E988="NOTIFICAÇÃO DE CONSTATAÇÃO",PrazoConst,PrazoEsc))</f>
        <v/>
      </c>
      <c r="O988" s="115" t="str">
        <f>IF(N988="","",IF(ISNUMBER(L988),N988-L988,IF(OR(G988="DECISÃO D.P",ISNUMBER(M988)),"",N988-TODAY())))</f>
        <v/>
      </c>
      <c r="P988" s="116" t="str">
        <f>IF(B988="","",IF(ISNUMBER(M988),"DECIDIDO – ","")&amp;IF(ISNUMBER(L988),IF(O988="","SEM DATA",IF(O988&gt;=0,"DEFESA NO PRAZO","DEFESA FORA DO PRAZO")),IF(OR(G988="DECISÃO D.P",ISNUMBER(M988)),"SEM DEFESA",IF(G988="","SEM STATUS",IF(O988="","SEM DATA",IF(O988&lt;0,"VENCIDO",IF(O988&lt;=DiasAlerta,"VENCE EM BREVE","NO PRAZO")))))))</f>
        <v/>
      </c>
      <c r="Q988" s="117" t="str">
        <f>IF(D988="","",TODAY()-D988)</f>
        <v/>
      </c>
      <c r="R988" s="110" t="n"/>
    </row>
    <row r="989" ht="18" customHeight="1">
      <c r="A989" s="109" t="n"/>
      <c r="B989" s="110" t="n"/>
      <c r="C989" s="110" t="n"/>
      <c r="D989" s="111" t="n"/>
      <c r="E989" s="110" t="n"/>
      <c r="F989" s="112" t="n"/>
      <c r="G989" s="112" t="n"/>
      <c r="H989" s="110" t="n"/>
      <c r="I989" s="113" t="n"/>
      <c r="J989" s="113" t="n"/>
      <c r="K989" s="111" t="n"/>
      <c r="L989" s="111" t="n"/>
      <c r="M989" s="111" t="n"/>
      <c r="N989" s="114" t="str">
        <f>IF(OR(D989="",E989=""),"",D989+IF(E989="NOTIFICAÇÃO DE CONSTATAÇÃO",PrazoConst,PrazoEsc))</f>
        <v/>
      </c>
      <c r="O989" s="115" t="str">
        <f>IF(N989="","",IF(ISNUMBER(L989),N989-L989,IF(OR(G989="DECISÃO D.P",ISNUMBER(M989)),"",N989-TODAY())))</f>
        <v/>
      </c>
      <c r="P989" s="116" t="str">
        <f>IF(B989="","",IF(ISNUMBER(M989),"DECIDIDO – ","")&amp;IF(ISNUMBER(L989),IF(O989="","SEM DATA",IF(O989&gt;=0,"DEFESA NO PRAZO","DEFESA FORA DO PRAZO")),IF(OR(G989="DECISÃO D.P",ISNUMBER(M989)),"SEM DEFESA",IF(G989="","SEM STATUS",IF(O989="","SEM DATA",IF(O989&lt;0,"VENCIDO",IF(O989&lt;=DiasAlerta,"VENCE EM BREVE","NO PRAZO")))))))</f>
        <v/>
      </c>
      <c r="Q989" s="117" t="str">
        <f>IF(D989="","",TODAY()-D989)</f>
        <v/>
      </c>
      <c r="R989" s="110" t="n"/>
    </row>
    <row r="990" ht="18" customHeight="1">
      <c r="A990" s="109" t="n"/>
      <c r="B990" s="110" t="n"/>
      <c r="C990" s="110" t="n"/>
      <c r="D990" s="111" t="n"/>
      <c r="E990" s="110" t="n"/>
      <c r="F990" s="112" t="n"/>
      <c r="G990" s="112" t="n"/>
      <c r="H990" s="110" t="n"/>
      <c r="I990" s="113" t="n"/>
      <c r="J990" s="113" t="n"/>
      <c r="K990" s="111" t="n"/>
      <c r="L990" s="111" t="n"/>
      <c r="M990" s="111" t="n"/>
      <c r="N990" s="114" t="str">
        <f>IF(OR(D990="",E990=""),"",D990+IF(E990="NOTIFICAÇÃO DE CONSTATAÇÃO",PrazoConst,PrazoEsc))</f>
        <v/>
      </c>
      <c r="O990" s="115" t="str">
        <f>IF(N990="","",IF(ISNUMBER(L990),N990-L990,IF(OR(G990="DECISÃO D.P",ISNUMBER(M990)),"",N990-TODAY())))</f>
        <v/>
      </c>
      <c r="P990" s="116" t="str">
        <f>IF(B990="","",IF(ISNUMBER(M990),"DECIDIDO – ","")&amp;IF(ISNUMBER(L990),IF(O990="","SEM DATA",IF(O990&gt;=0,"DEFESA NO PRAZO","DEFESA FORA DO PRAZO")),IF(OR(G990="DECISÃO D.P",ISNUMBER(M990)),"SEM DEFESA",IF(G990="","SEM STATUS",IF(O990="","SEM DATA",IF(O990&lt;0,"VENCIDO",IF(O990&lt;=DiasAlerta,"VENCE EM BREVE","NO PRAZO")))))))</f>
        <v/>
      </c>
      <c r="Q990" s="117" t="str">
        <f>IF(D990="","",TODAY()-D990)</f>
        <v/>
      </c>
      <c r="R990" s="110" t="n"/>
    </row>
    <row r="991" ht="18" customHeight="1">
      <c r="A991" s="109" t="n"/>
      <c r="B991" s="110" t="n"/>
      <c r="C991" s="110" t="n"/>
      <c r="D991" s="111" t="n"/>
      <c r="E991" s="110" t="n"/>
      <c r="F991" s="112" t="n"/>
      <c r="G991" s="112" t="n"/>
      <c r="H991" s="110" t="n"/>
      <c r="I991" s="113" t="n"/>
      <c r="J991" s="113" t="n"/>
      <c r="K991" s="111" t="n"/>
      <c r="L991" s="111" t="n"/>
      <c r="M991" s="111" t="n"/>
      <c r="N991" s="114" t="str">
        <f>IF(OR(D991="",E991=""),"",D991+IF(E991="NOTIFICAÇÃO DE CONSTATAÇÃO",PrazoConst,PrazoEsc))</f>
        <v/>
      </c>
      <c r="O991" s="115" t="str">
        <f>IF(N991="","",IF(ISNUMBER(L991),N991-L991,IF(OR(G991="DECISÃO D.P",ISNUMBER(M991)),"",N991-TODAY())))</f>
        <v/>
      </c>
      <c r="P991" s="116" t="str">
        <f>IF(B991="","",IF(ISNUMBER(M991),"DECIDIDO – ","")&amp;IF(ISNUMBER(L991),IF(O991="","SEM DATA",IF(O991&gt;=0,"DEFESA NO PRAZO","DEFESA FORA DO PRAZO")),IF(OR(G991="DECISÃO D.P",ISNUMBER(M991)),"SEM DEFESA",IF(G991="","SEM STATUS",IF(O991="","SEM DATA",IF(O991&lt;0,"VENCIDO",IF(O991&lt;=DiasAlerta,"VENCE EM BREVE","NO PRAZO")))))))</f>
        <v/>
      </c>
      <c r="Q991" s="117" t="str">
        <f>IF(D991="","",TODAY()-D991)</f>
        <v/>
      </c>
      <c r="R991" s="110" t="n"/>
    </row>
    <row r="992" ht="18" customHeight="1">
      <c r="A992" s="109" t="n"/>
      <c r="B992" s="110" t="n"/>
      <c r="C992" s="110" t="n"/>
      <c r="D992" s="111" t="n"/>
      <c r="E992" s="110" t="n"/>
      <c r="F992" s="112" t="n"/>
      <c r="G992" s="112" t="n"/>
      <c r="H992" s="110" t="n"/>
      <c r="I992" s="113" t="n"/>
      <c r="J992" s="113" t="n"/>
      <c r="K992" s="111" t="n"/>
      <c r="L992" s="111" t="n"/>
      <c r="M992" s="111" t="n"/>
      <c r="N992" s="114" t="str">
        <f>IF(OR(D992="",E992=""),"",D992+IF(E992="NOTIFICAÇÃO DE CONSTATAÇÃO",PrazoConst,PrazoEsc))</f>
        <v/>
      </c>
      <c r="O992" s="115" t="str">
        <f>IF(N992="","",IF(ISNUMBER(L992),N992-L992,IF(OR(G992="DECISÃO D.P",ISNUMBER(M992)),"",N992-TODAY())))</f>
        <v/>
      </c>
      <c r="P992" s="116" t="str">
        <f>IF(B992="","",IF(ISNUMBER(M992),"DECIDIDO – ","")&amp;IF(ISNUMBER(L992),IF(O992="","SEM DATA",IF(O992&gt;=0,"DEFESA NO PRAZO","DEFESA FORA DO PRAZO")),IF(OR(G992="DECISÃO D.P",ISNUMBER(M992)),"SEM DEFESA",IF(G992="","SEM STATUS",IF(O992="","SEM DATA",IF(O992&lt;0,"VENCIDO",IF(O992&lt;=DiasAlerta,"VENCE EM BREVE","NO PRAZO")))))))</f>
        <v/>
      </c>
      <c r="Q992" s="117" t="str">
        <f>IF(D992="","",TODAY()-D992)</f>
        <v/>
      </c>
      <c r="R992" s="110" t="n"/>
    </row>
    <row r="993" ht="18" customHeight="1">
      <c r="A993" s="109" t="n"/>
      <c r="B993" s="110" t="n"/>
      <c r="C993" s="110" t="n"/>
      <c r="D993" s="111" t="n"/>
      <c r="E993" s="110" t="n"/>
      <c r="F993" s="112" t="n"/>
      <c r="G993" s="112" t="n"/>
      <c r="H993" s="110" t="n"/>
      <c r="I993" s="113" t="n"/>
      <c r="J993" s="113" t="n"/>
      <c r="K993" s="111" t="n"/>
      <c r="L993" s="111" t="n"/>
      <c r="M993" s="111" t="n"/>
      <c r="N993" s="114" t="str">
        <f>IF(OR(D993="",E993=""),"",D993+IF(E993="NOTIFICAÇÃO DE CONSTATAÇÃO",PrazoConst,PrazoEsc))</f>
        <v/>
      </c>
      <c r="O993" s="115" t="str">
        <f>IF(N993="","",IF(ISNUMBER(L993),N993-L993,IF(OR(G993="DECISÃO D.P",ISNUMBER(M993)),"",N993-TODAY())))</f>
        <v/>
      </c>
      <c r="P993" s="116" t="str">
        <f>IF(B993="","",IF(ISNUMBER(M993),"DECIDIDO – ","")&amp;IF(ISNUMBER(L993),IF(O993="","SEM DATA",IF(O993&gt;=0,"DEFESA NO PRAZO","DEFESA FORA DO PRAZO")),IF(OR(G993="DECISÃO D.P",ISNUMBER(M993)),"SEM DEFESA",IF(G993="","SEM STATUS",IF(O993="","SEM DATA",IF(O993&lt;0,"VENCIDO",IF(O993&lt;=DiasAlerta,"VENCE EM BREVE","NO PRAZO")))))))</f>
        <v/>
      </c>
      <c r="Q993" s="117" t="str">
        <f>IF(D993="","",TODAY()-D993)</f>
        <v/>
      </c>
      <c r="R993" s="110" t="n"/>
    </row>
    <row r="994" ht="18" customHeight="1">
      <c r="A994" s="109" t="n"/>
      <c r="B994" s="110" t="n"/>
      <c r="C994" s="110" t="n"/>
      <c r="D994" s="111" t="n"/>
      <c r="E994" s="110" t="n"/>
      <c r="F994" s="112" t="n"/>
      <c r="G994" s="112" t="n"/>
      <c r="H994" s="110" t="n"/>
      <c r="I994" s="113" t="n"/>
      <c r="J994" s="113" t="n"/>
      <c r="K994" s="111" t="n"/>
      <c r="L994" s="111" t="n"/>
      <c r="M994" s="111" t="n"/>
      <c r="N994" s="114" t="str">
        <f>IF(OR(D994="",E994=""),"",D994+IF(E994="NOTIFICAÇÃO DE CONSTATAÇÃO",PrazoConst,PrazoEsc))</f>
        <v/>
      </c>
      <c r="O994" s="115" t="str">
        <f>IF(N994="","",IF(ISNUMBER(L994),N994-L994,IF(OR(G994="DECISÃO D.P",ISNUMBER(M994)),"",N994-TODAY())))</f>
        <v/>
      </c>
      <c r="P994" s="116" t="str">
        <f>IF(B994="","",IF(ISNUMBER(M994),"DECIDIDO – ","")&amp;IF(ISNUMBER(L994),IF(O994="","SEM DATA",IF(O994&gt;=0,"DEFESA NO PRAZO","DEFESA FORA DO PRAZO")),IF(OR(G994="DECISÃO D.P",ISNUMBER(M994)),"SEM DEFESA",IF(G994="","SEM STATUS",IF(O994="","SEM DATA",IF(O994&lt;0,"VENCIDO",IF(O994&lt;=DiasAlerta,"VENCE EM BREVE","NO PRAZO")))))))</f>
        <v/>
      </c>
      <c r="Q994" s="117" t="str">
        <f>IF(D994="","",TODAY()-D994)</f>
        <v/>
      </c>
      <c r="R994" s="110" t="n"/>
    </row>
    <row r="995" ht="18" customHeight="1">
      <c r="A995" s="109" t="n"/>
      <c r="B995" s="110" t="n"/>
      <c r="C995" s="110" t="n"/>
      <c r="D995" s="111" t="n"/>
      <c r="E995" s="110" t="n"/>
      <c r="F995" s="112" t="n"/>
      <c r="G995" s="112" t="n"/>
      <c r="H995" s="110" t="n"/>
      <c r="I995" s="113" t="n"/>
      <c r="J995" s="113" t="n"/>
      <c r="K995" s="111" t="n"/>
      <c r="L995" s="111" t="n"/>
      <c r="M995" s="111" t="n"/>
      <c r="N995" s="114" t="str">
        <f>IF(OR(D995="",E995=""),"",D995+IF(E995="NOTIFICAÇÃO DE CONSTATAÇÃO",PrazoConst,PrazoEsc))</f>
        <v/>
      </c>
      <c r="O995" s="115" t="str">
        <f>IF(N995="","",IF(ISNUMBER(L995),N995-L995,IF(OR(G995="DECISÃO D.P",ISNUMBER(M995)),"",N995-TODAY())))</f>
        <v/>
      </c>
      <c r="P995" s="116" t="str">
        <f>IF(B995="","",IF(ISNUMBER(M995),"DECIDIDO – ","")&amp;IF(ISNUMBER(L995),IF(O995="","SEM DATA",IF(O995&gt;=0,"DEFESA NO PRAZO","DEFESA FORA DO PRAZO")),IF(OR(G995="DECISÃO D.P",ISNUMBER(M995)),"SEM DEFESA",IF(G995="","SEM STATUS",IF(O995="","SEM DATA",IF(O995&lt;0,"VENCIDO",IF(O995&lt;=DiasAlerta,"VENCE EM BREVE","NO PRAZO")))))))</f>
        <v/>
      </c>
      <c r="Q995" s="117" t="str">
        <f>IF(D995="","",TODAY()-D995)</f>
        <v/>
      </c>
      <c r="R995" s="110" t="n"/>
    </row>
    <row r="996" ht="18" customHeight="1">
      <c r="A996" s="109" t="n"/>
      <c r="B996" s="110" t="n"/>
      <c r="C996" s="110" t="n"/>
      <c r="D996" s="111" t="n"/>
      <c r="E996" s="110" t="n"/>
      <c r="F996" s="112" t="n"/>
      <c r="G996" s="112" t="n"/>
      <c r="H996" s="110" t="n"/>
      <c r="I996" s="113" t="n"/>
      <c r="J996" s="113" t="n"/>
      <c r="K996" s="111" t="n"/>
      <c r="L996" s="111" t="n"/>
      <c r="M996" s="111" t="n"/>
      <c r="N996" s="114" t="str">
        <f>IF(OR(D996="",E996=""),"",D996+IF(E996="NOTIFICAÇÃO DE CONSTATAÇÃO",PrazoConst,PrazoEsc))</f>
        <v/>
      </c>
      <c r="O996" s="115" t="str">
        <f>IF(N996="","",IF(ISNUMBER(L996),N996-L996,IF(OR(G996="DECISÃO D.P",ISNUMBER(M996)),"",N996-TODAY())))</f>
        <v/>
      </c>
      <c r="P996" s="116" t="str">
        <f>IF(B996="","",IF(ISNUMBER(M996),"DECIDIDO – ","")&amp;IF(ISNUMBER(L996),IF(O996="","SEM DATA",IF(O996&gt;=0,"DEFESA NO PRAZO","DEFESA FORA DO PRAZO")),IF(OR(G996="DECISÃO D.P",ISNUMBER(M996)),"SEM DEFESA",IF(G996="","SEM STATUS",IF(O996="","SEM DATA",IF(O996&lt;0,"VENCIDO",IF(O996&lt;=DiasAlerta,"VENCE EM BREVE","NO PRAZO")))))))</f>
        <v/>
      </c>
      <c r="Q996" s="117" t="str">
        <f>IF(D996="","",TODAY()-D996)</f>
        <v/>
      </c>
      <c r="R996" s="110" t="n"/>
    </row>
    <row r="997" ht="18" customHeight="1">
      <c r="A997" s="109" t="n"/>
      <c r="B997" s="110" t="n"/>
      <c r="C997" s="110" t="n"/>
      <c r="D997" s="111" t="n"/>
      <c r="E997" s="110" t="n"/>
      <c r="F997" s="112" t="n"/>
      <c r="G997" s="112" t="n"/>
      <c r="H997" s="110" t="n"/>
      <c r="I997" s="113" t="n"/>
      <c r="J997" s="113" t="n"/>
      <c r="K997" s="111" t="n"/>
      <c r="L997" s="111" t="n"/>
      <c r="M997" s="111" t="n"/>
      <c r="N997" s="114" t="str">
        <f>IF(OR(D997="",E997=""),"",D997+IF(E997="NOTIFICAÇÃO DE CONSTATAÇÃO",PrazoConst,PrazoEsc))</f>
        <v/>
      </c>
      <c r="O997" s="115" t="str">
        <f>IF(N997="","",IF(ISNUMBER(L997),N997-L997,IF(OR(G997="DECISÃO D.P",ISNUMBER(M997)),"",N997-TODAY())))</f>
        <v/>
      </c>
      <c r="P997" s="116" t="str">
        <f>IF(B997="","",IF(ISNUMBER(M997),"DECIDIDO – ","")&amp;IF(ISNUMBER(L997),IF(O997="","SEM DATA",IF(O997&gt;=0,"DEFESA NO PRAZO","DEFESA FORA DO PRAZO")),IF(OR(G997="DECISÃO D.P",ISNUMBER(M997)),"SEM DEFESA",IF(G997="","SEM STATUS",IF(O997="","SEM DATA",IF(O997&lt;0,"VENCIDO",IF(O997&lt;=DiasAlerta,"VENCE EM BREVE","NO PRAZO")))))))</f>
        <v/>
      </c>
      <c r="Q997" s="117" t="str">
        <f>IF(D997="","",TODAY()-D997)</f>
        <v/>
      </c>
      <c r="R997" s="110" t="n"/>
    </row>
    <row r="998" ht="18" customHeight="1">
      <c r="A998" s="109" t="n"/>
      <c r="B998" s="110" t="n"/>
      <c r="C998" s="110" t="n"/>
      <c r="D998" s="111" t="n"/>
      <c r="E998" s="110" t="n"/>
      <c r="F998" s="112" t="n"/>
      <c r="G998" s="112" t="n"/>
      <c r="H998" s="110" t="n"/>
      <c r="I998" s="113" t="n"/>
      <c r="J998" s="113" t="n"/>
      <c r="K998" s="111" t="n"/>
      <c r="L998" s="111" t="n"/>
      <c r="M998" s="111" t="n"/>
      <c r="N998" s="114" t="str">
        <f>IF(OR(D998="",E998=""),"",D998+IF(E998="NOTIFICAÇÃO DE CONSTATAÇÃO",PrazoConst,PrazoEsc))</f>
        <v/>
      </c>
      <c r="O998" s="115" t="str">
        <f>IF(N998="","",IF(ISNUMBER(L998),N998-L998,IF(OR(G998="DECISÃO D.P",ISNUMBER(M998)),"",N998-TODAY())))</f>
        <v/>
      </c>
      <c r="P998" s="116" t="str">
        <f>IF(B998="","",IF(ISNUMBER(M998),"DECIDIDO – ","")&amp;IF(ISNUMBER(L998),IF(O998="","SEM DATA",IF(O998&gt;=0,"DEFESA NO PRAZO","DEFESA FORA DO PRAZO")),IF(OR(G998="DECISÃO D.P",ISNUMBER(M998)),"SEM DEFESA",IF(G998="","SEM STATUS",IF(O998="","SEM DATA",IF(O998&lt;0,"VENCIDO",IF(O998&lt;=DiasAlerta,"VENCE EM BREVE","NO PRAZO")))))))</f>
        <v/>
      </c>
      <c r="Q998" s="117" t="str">
        <f>IF(D998="","",TODAY()-D998)</f>
        <v/>
      </c>
      <c r="R998" s="110" t="n"/>
    </row>
    <row r="999" ht="18" customHeight="1">
      <c r="A999" s="109" t="n"/>
      <c r="B999" s="110" t="n"/>
      <c r="C999" s="110" t="n"/>
      <c r="D999" s="111" t="n"/>
      <c r="E999" s="110" t="n"/>
      <c r="F999" s="112" t="n"/>
      <c r="G999" s="112" t="n"/>
      <c r="H999" s="110" t="n"/>
      <c r="I999" s="113" t="n"/>
      <c r="J999" s="113" t="n"/>
      <c r="K999" s="111" t="n"/>
      <c r="L999" s="111" t="n"/>
      <c r="M999" s="111" t="n"/>
      <c r="N999" s="114" t="str">
        <f>IF(OR(D999="",E999=""),"",D999+IF(E999="NOTIFICAÇÃO DE CONSTATAÇÃO",PrazoConst,PrazoEsc))</f>
        <v/>
      </c>
      <c r="O999" s="115" t="str">
        <f>IF(N999="","",IF(ISNUMBER(L999),N999-L999,IF(OR(G999="DECISÃO D.P",ISNUMBER(M999)),"",N999-TODAY())))</f>
        <v/>
      </c>
      <c r="P999" s="116" t="str">
        <f>IF(B999="","",IF(ISNUMBER(M999),"DECIDIDO – ","")&amp;IF(ISNUMBER(L999),IF(O999="","SEM DATA",IF(O999&gt;=0,"DEFESA NO PRAZO","DEFESA FORA DO PRAZO")),IF(OR(G999="DECISÃO D.P",ISNUMBER(M999)),"SEM DEFESA",IF(G999="","SEM STATUS",IF(O999="","SEM DATA",IF(O999&lt;0,"VENCIDO",IF(O999&lt;=DiasAlerta,"VENCE EM BREVE","NO PRAZO")))))))</f>
        <v/>
      </c>
      <c r="Q999" s="117" t="str">
        <f>IF(D999="","",TODAY()-D999)</f>
        <v/>
      </c>
      <c r="R999" s="110" t="n"/>
    </row>
    <row r="1000" ht="18" customHeight="1">
      <c r="A1000" s="109" t="n"/>
      <c r="B1000" s="110" t="n"/>
      <c r="C1000" s="110" t="n"/>
      <c r="D1000" s="111" t="n"/>
      <c r="E1000" s="110" t="n"/>
      <c r="F1000" s="112" t="n"/>
      <c r="G1000" s="112" t="n"/>
      <c r="H1000" s="110" t="n"/>
      <c r="I1000" s="113" t="n"/>
      <c r="J1000" s="113" t="n"/>
      <c r="K1000" s="111" t="n"/>
      <c r="L1000" s="111" t="n"/>
      <c r="M1000" s="111" t="n"/>
      <c r="N1000" s="114" t="str">
        <f>IF(OR(D1000="",E1000=""),"",D1000+IF(E1000="NOTIFICAÇÃO DE CONSTATAÇÃO",PrazoConst,PrazoEsc))</f>
        <v/>
      </c>
      <c r="O1000" s="115" t="str">
        <f>IF(N1000="","",IF(ISNUMBER(L1000),N1000-L1000,IF(OR(G1000="DECISÃO D.P",ISNUMBER(M1000)),"",N1000-TODAY())))</f>
        <v/>
      </c>
      <c r="P1000" s="116" t="str">
        <f>IF(B1000="","",IF(ISNUMBER(M1000),"DECIDIDO – ","")&amp;IF(ISNUMBER(L1000),IF(O1000="","SEM DATA",IF(O1000&gt;=0,"DEFESA NO PRAZO","DEFESA FORA DO PRAZO")),IF(OR(G1000="DECISÃO D.P",ISNUMBER(M1000)),"SEM DEFESA",IF(G1000="","SEM STATUS",IF(O1000="","SEM DATA",IF(O1000&lt;0,"VENCIDO",IF(O1000&lt;=DiasAlerta,"VENCE EM BREVE","NO PRAZO")))))))</f>
        <v/>
      </c>
      <c r="Q1000" s="117" t="str">
        <f>IF(D1000="","",TODAY()-D1000)</f>
        <v/>
      </c>
      <c r="R1000" s="110" t="n"/>
    </row>
    <row r="1001" ht="18" customHeight="1">
      <c r="A1001" s="109" t="n"/>
      <c r="B1001" s="110" t="n"/>
      <c r="C1001" s="110" t="n"/>
      <c r="D1001" s="111" t="n"/>
      <c r="E1001" s="110" t="n"/>
      <c r="F1001" s="112" t="n"/>
      <c r="G1001" s="112" t="n"/>
      <c r="H1001" s="110" t="n"/>
      <c r="I1001" s="113" t="n"/>
      <c r="J1001" s="113" t="n"/>
      <c r="K1001" s="111" t="n"/>
      <c r="L1001" s="111" t="n"/>
      <c r="M1001" s="111" t="n"/>
      <c r="N1001" s="114" t="str">
        <f>IF(OR(D1001="",E1001=""),"",D1001+IF(E1001="NOTIFICAÇÃO DE CONSTATAÇÃO",PrazoConst,PrazoEsc))</f>
        <v/>
      </c>
      <c r="O1001" s="115" t="str">
        <f>IF(N1001="","",IF(ISNUMBER(L1001),N1001-L1001,IF(OR(G1001="DECISÃO D.P",ISNUMBER(M1001)),"",N1001-TODAY())))</f>
        <v/>
      </c>
      <c r="P1001" s="116" t="str">
        <f>IF(B1001="","",IF(ISNUMBER(M1001),"DECIDIDO – ","")&amp;IF(ISNUMBER(L1001),IF(O1001="","SEM DATA",IF(O1001&gt;=0,"DEFESA NO PRAZO","DEFESA FORA DO PRAZO")),IF(OR(G1001="DECISÃO D.P",ISNUMBER(M1001)),"SEM DEFESA",IF(G1001="","SEM STATUS",IF(O1001="","SEM DATA",IF(O1001&lt;0,"VENCIDO",IF(O1001&lt;=DiasAlerta,"VENCE EM BREVE","NO PRAZO")))))))</f>
        <v/>
      </c>
      <c r="Q1001" s="117" t="str">
        <f>IF(D1001="","",TODAY()-D1001)</f>
        <v/>
      </c>
      <c r="R1001" s="110" t="n"/>
    </row>
    <row r="1002" ht="18" customHeight="1">
      <c r="A1002" s="109" t="n"/>
      <c r="B1002" s="110" t="n"/>
      <c r="C1002" s="110" t="n"/>
      <c r="D1002" s="111" t="n"/>
      <c r="E1002" s="110" t="n"/>
      <c r="F1002" s="112" t="n"/>
      <c r="G1002" s="112" t="n"/>
      <c r="H1002" s="110" t="n"/>
      <c r="I1002" s="113" t="n"/>
      <c r="J1002" s="113" t="n"/>
      <c r="K1002" s="111" t="n"/>
      <c r="L1002" s="111" t="n"/>
      <c r="M1002" s="111" t="n"/>
      <c r="N1002" s="114" t="str">
        <f>IF(OR(D1002="",E1002=""),"",D1002+IF(E1002="NOTIFICAÇÃO DE CONSTATAÇÃO",PrazoConst,PrazoEsc))</f>
        <v/>
      </c>
      <c r="O1002" s="115" t="str">
        <f>IF(N1002="","",IF(ISNUMBER(L1002),N1002-L1002,IF(OR(G1002="DECISÃO D.P",ISNUMBER(M1002)),"",N1002-TODAY())))</f>
        <v/>
      </c>
      <c r="P1002" s="116" t="str">
        <f>IF(B1002="","",IF(ISNUMBER(M1002),"DECIDIDO – ","")&amp;IF(ISNUMBER(L1002),IF(O1002="","SEM DATA",IF(O1002&gt;=0,"DEFESA NO PRAZO","DEFESA FORA DO PRAZO")),IF(OR(G1002="DECISÃO D.P",ISNUMBER(M1002)),"SEM DEFESA",IF(G1002="","SEM STATUS",IF(O1002="","SEM DATA",IF(O1002&lt;0,"VENCIDO",IF(O1002&lt;=DiasAlerta,"VENCE EM BREVE","NO PRAZO")))))))</f>
        <v/>
      </c>
      <c r="Q1002" s="117" t="str">
        <f>IF(D1002="","",TODAY()-D1002)</f>
        <v/>
      </c>
      <c r="R1002" s="110" t="n"/>
    </row>
    <row r="1003" ht="18" customHeight="1">
      <c r="A1003" s="109" t="n"/>
      <c r="B1003" s="110" t="n"/>
      <c r="C1003" s="110" t="n"/>
      <c r="D1003" s="111" t="n"/>
      <c r="E1003" s="110" t="n"/>
      <c r="F1003" s="112" t="n"/>
      <c r="G1003" s="112" t="n"/>
      <c r="H1003" s="110" t="n"/>
      <c r="I1003" s="113" t="n"/>
      <c r="J1003" s="113" t="n"/>
      <c r="K1003" s="111" t="n"/>
      <c r="L1003" s="111" t="n"/>
      <c r="M1003" s="111" t="n"/>
      <c r="N1003" s="114" t="str">
        <f>IF(OR(D1003="",E1003=""),"",D1003+IF(E1003="NOTIFICAÇÃO DE CONSTATAÇÃO",PrazoConst,PrazoEsc))</f>
        <v/>
      </c>
      <c r="O1003" s="115" t="str">
        <f>IF(N1003="","",IF(ISNUMBER(L1003),N1003-L1003,IF(OR(G1003="DECISÃO D.P",ISNUMBER(M1003)),"",N1003-TODAY())))</f>
        <v/>
      </c>
      <c r="P1003" s="116" t="str">
        <f>IF(B1003="","",IF(ISNUMBER(M1003),"DECIDIDO – ","")&amp;IF(ISNUMBER(L1003),IF(O1003="","SEM DATA",IF(O1003&gt;=0,"DEFESA NO PRAZO","DEFESA FORA DO PRAZO")),IF(OR(G1003="DECISÃO D.P",ISNUMBER(M1003)),"SEM DEFESA",IF(G1003="","SEM STATUS",IF(O1003="","SEM DATA",IF(O1003&lt;0,"VENCIDO",IF(O1003&lt;=DiasAlerta,"VENCE EM BREVE","NO PRAZO")))))))</f>
        <v/>
      </c>
      <c r="Q1003" s="117" t="str">
        <f>IF(D1003="","",TODAY()-D1003)</f>
        <v/>
      </c>
      <c r="R1003" s="110" t="n"/>
    </row>
    <row r="1004" ht="18" customHeight="1">
      <c r="A1004" s="109" t="n"/>
      <c r="B1004" s="110" t="n"/>
      <c r="C1004" s="110" t="n"/>
      <c r="D1004" s="111" t="n"/>
      <c r="E1004" s="110" t="n"/>
      <c r="F1004" s="112" t="n"/>
      <c r="G1004" s="112" t="n"/>
      <c r="H1004" s="110" t="n"/>
      <c r="I1004" s="113" t="n"/>
      <c r="J1004" s="113" t="n"/>
      <c r="K1004" s="111" t="n"/>
      <c r="L1004" s="111" t="n"/>
      <c r="M1004" s="111" t="n"/>
      <c r="N1004" s="114" t="str">
        <f>IF(OR(D1004="",E1004=""),"",D1004+IF(E1004="NOTIFICAÇÃO DE CONSTATAÇÃO",PrazoConst,PrazoEsc))</f>
        <v/>
      </c>
      <c r="O1004" s="115" t="str">
        <f>IF(N1004="","",IF(ISNUMBER(L1004),N1004-L1004,IF(OR(G1004="DECISÃO D.P",ISNUMBER(M1004)),"",N1004-TODAY())))</f>
        <v/>
      </c>
      <c r="P1004" s="116" t="str">
        <f>IF(B1004="","",IF(ISNUMBER(M1004),"DECIDIDO – ","")&amp;IF(ISNUMBER(L1004),IF(O1004="","SEM DATA",IF(O1004&gt;=0,"DEFESA NO PRAZO","DEFESA FORA DO PRAZO")),IF(OR(G1004="DECISÃO D.P",ISNUMBER(M1004)),"SEM DEFESA",IF(G1004="","SEM STATUS",IF(O1004="","SEM DATA",IF(O1004&lt;0,"VENCIDO",IF(O1004&lt;=DiasAlerta,"VENCE EM BREVE","NO PRAZO")))))))</f>
        <v/>
      </c>
      <c r="Q1004" s="117" t="str">
        <f>IF(D1004="","",TODAY()-D1004)</f>
        <v/>
      </c>
      <c r="R1004" s="110" t="n"/>
    </row>
  </sheetData>
  <autoFilter ref="A4:R1004"/>
  <mergeCells count="3">
    <mergeCell ref="A3:R3"/>
    <mergeCell ref="A2:R2"/>
    <mergeCell ref="A1:R1"/>
  </mergeCells>
  <conditionalFormatting sqref="P5:P1004">
    <cfRule type="expression" priority="1" dxfId="1" stopIfTrue="1">
      <formula>$P5="VENCIDO"</formula>
    </cfRule>
    <cfRule type="expression" priority="2" dxfId="1" stopIfTrue="1">
      <formula>ISNUMBER(SEARCH("SEM DEFESA",$P5))</formula>
    </cfRule>
    <cfRule type="expression" priority="3" dxfId="1" stopIfTrue="1">
      <formula>ISNUMBER(SEARCH("FORA DO PRAZO",$P5))</formula>
    </cfRule>
    <cfRule type="expression" priority="4" dxfId="0" stopIfTrue="1">
      <formula>$P5="VENCE EM BREVE"</formula>
    </cfRule>
    <cfRule type="expression" priority="5" dxfId="2" stopIfTrue="1">
      <formula>$P5="NO PRAZO"</formula>
    </cfRule>
    <cfRule type="expression" priority="6" dxfId="2" stopIfTrue="1">
      <formula>ISNUMBER(SEARCH("DEFESA NO PRAZO",$P5))</formula>
    </cfRule>
  </conditionalFormatting>
  <conditionalFormatting sqref="M5:M1004">
    <cfRule type="expression" priority="7" dxfId="3">
      <formula>AND($B5&lt;&gt;"",$G5="DECISÃO D.P",$M5="")</formula>
    </cfRule>
  </conditionalFormatting>
  <conditionalFormatting sqref="O5:O1004">
    <cfRule type="expression" priority="8" dxfId="4">
      <formula>AND(ISNUMBER($O5),$O5&lt;0)</formula>
    </cfRule>
  </conditionalFormatting>
  <conditionalFormatting sqref="A5:R1004">
    <cfRule type="expression" priority="9" dxfId="5">
      <formula>AND($B5&lt;&gt;"",MOD(ROW(),2)=0)</formula>
    </cfRule>
  </conditionalFormatting>
  <dataValidations count="12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K5:K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AND(ISNUMBER(L5),L5&gt;=36526,L5&lt;=73051,OR(D5="",L5&gt;=D5))</formula1>
    </dataValidation>
    <dataValidation sqref="M5:M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AND(ISNUMBER(M5),M5&gt;=36526,M5&lt;=73051,OR(D5="",M5&gt;=D5))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G5:G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H5:H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I5:I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LEN(SUBSTITUTE(SUBSTITUTE(SUBSTITUTE(SUBSTITUTE(SUBSTITUTE(SUBSTITUTE(SUBSTITUTE(SUBSTITUTE(SUBSTITUTE(SUBSTITUTE(SUBSTITUTE(I5,"0",""),"1",""),"2",""),"3",""),"4",""),"5",""),"6",""),"7",""),"8",""),"9",""),"/",""))=0</formula1>
    </dataValidation>
    <dataValidation sqref="J5:J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SUMPRODUCT(--ISERROR(FIND(MID(J5,ROW(INDIRECT("A1:A"&amp;LEN(J5))),1),"0123456789/.-")))=0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5" t="inlineStr">
        <is>
          <t>CADASTROS E PARÂMETROS</t>
        </is>
      </c>
    </row>
    <row r="2" ht="20" customHeight="1">
      <c r="A2" s="2" t="n"/>
      <c r="B2" s="106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8" t="inlineStr">
        <is>
          <t>RAMOS DE ATIVIDADE</t>
        </is>
      </c>
      <c r="D5" s="118" t="inlineStr">
        <is>
          <t>RESPONSÁVEIS</t>
        </is>
      </c>
      <c r="F5" s="118" t="inlineStr">
        <is>
          <t>NOTIFICAÇÃO (fixo)</t>
        </is>
      </c>
      <c r="H5" s="118" t="inlineStr">
        <is>
          <t>TIPO (fixo)</t>
        </is>
      </c>
      <c r="J5" s="118" t="inlineStr">
        <is>
          <t>STATUS (fixo)</t>
        </is>
      </c>
      <c r="L5" s="119" t="inlineStr">
        <is>
          <t>PARÂMETROS DE PRAZO E METAS</t>
        </is>
      </c>
      <c r="M5" s="119" t="inlineStr">
        <is>
          <t>VALOR</t>
        </is>
      </c>
      <c r="O5" s="119" t="inlineStr">
        <is>
          <t>OBSERVAÇÃO</t>
        </is>
      </c>
    </row>
    <row r="6">
      <c r="B6" s="120" t="inlineStr">
        <is>
          <t>LOJA</t>
        </is>
      </c>
      <c r="D6" s="120" t="inlineStr">
        <is>
          <t>ANA PAULA SOUZA</t>
        </is>
      </c>
      <c r="F6" s="121" t="inlineStr">
        <is>
          <t>NOTIFICAÇÃO DE CONSTATAÇÃO</t>
        </is>
      </c>
      <c r="H6" s="121" t="inlineStr">
        <is>
          <t>PRESENCIAL</t>
        </is>
      </c>
      <c r="J6" s="121" t="inlineStr">
        <is>
          <t>PRAZO D.P</t>
        </is>
      </c>
      <c r="L6" s="122" t="inlineStr">
        <is>
          <t>Prazo de resposta — Notificação de Constatação (dias corridos)</t>
        </is>
      </c>
      <c r="M6" s="123" t="n">
        <v>10</v>
      </c>
      <c r="O6" s="124" t="inlineStr">
        <is>
          <t>Premissa editável: prazo contado a partir da DATA DA FISCALIZAÇÃO.</t>
        </is>
      </c>
    </row>
    <row r="7">
      <c r="B7" s="120" t="inlineStr">
        <is>
          <t>POSTO DE COMBUSTÍVEL</t>
        </is>
      </c>
      <c r="D7" s="120" t="inlineStr">
        <is>
          <t>BRUNO CARVALHO</t>
        </is>
      </c>
      <c r="F7" s="121" t="inlineStr">
        <is>
          <t>NOTIFICAÇÃO DE ESCLARECIMENTO</t>
        </is>
      </c>
      <c r="H7" s="121" t="inlineStr">
        <is>
          <t>ELETRÔNICA</t>
        </is>
      </c>
      <c r="J7" s="121" t="inlineStr">
        <is>
          <t>DECISÃO D.P</t>
        </is>
      </c>
      <c r="L7" s="122" t="inlineStr">
        <is>
          <t>Prazo de resposta — Notificação de Esclarecimento (dias corridos)</t>
        </is>
      </c>
      <c r="M7" s="123" t="n">
        <v>15</v>
      </c>
      <c r="O7" s="124" t="inlineStr">
        <is>
          <t>Premissa editável: prazo contado a partir da DATA DA FISCALIZAÇÃO.</t>
        </is>
      </c>
    </row>
    <row r="8">
      <c r="B8" s="120" t="inlineStr">
        <is>
          <t>SAÚDE</t>
        </is>
      </c>
      <c r="D8" s="120" t="inlineStr">
        <is>
          <t>CARLA MENDES</t>
        </is>
      </c>
      <c r="L8" s="122" t="inlineStr">
        <is>
          <t>Antecedência para alerta 'VENCE EM BREVE' (dias)</t>
        </is>
      </c>
      <c r="M8" s="123" t="n">
        <v>5</v>
      </c>
      <c r="O8" s="124" t="inlineStr">
        <is>
          <t>Processos com prazo a vencer em até N dias recebem alerta.</t>
        </is>
      </c>
    </row>
    <row r="9">
      <c r="B9" s="120" t="inlineStr">
        <is>
          <t>ACADEMIA</t>
        </is>
      </c>
      <c r="D9" s="120" t="inlineStr">
        <is>
          <t>DIEGO RIBEIRO</t>
        </is>
      </c>
      <c r="L9" s="122" t="inlineStr">
        <is>
          <t>Meta mensal de fiscalizações</t>
        </is>
      </c>
      <c r="M9" s="123" t="n">
        <v>12</v>
      </c>
      <c r="O9" s="124" t="inlineStr">
        <is>
          <t>Usada no painel e nos gráficos de atingimento de meta.</t>
        </is>
      </c>
    </row>
    <row r="10">
      <c r="B10" s="120" t="inlineStr">
        <is>
          <t>SUPERMERCADO</t>
        </is>
      </c>
      <c r="D10" s="120" t="inlineStr">
        <is>
          <t>EDUARDA LIMA</t>
        </is>
      </c>
    </row>
    <row r="11">
      <c r="B11" s="120" t="inlineStr">
        <is>
          <t>RESTAURANTE</t>
        </is>
      </c>
      <c r="D11" s="120" t="inlineStr">
        <is>
          <t>FELIPE ARAÚJO</t>
        </is>
      </c>
      <c r="L11" s="125" t="inlineStr">
        <is>
          <t>Células em dourado claro são editáveis.</t>
        </is>
      </c>
    </row>
    <row r="12">
      <c r="B12" s="120" t="inlineStr">
        <is>
          <t>FARMÁCIA</t>
        </is>
      </c>
      <c r="D12" s="120" t="inlineStr">
        <is>
          <t>GABRIELA NUNES</t>
        </is>
      </c>
    </row>
    <row r="13">
      <c r="B13" s="120" t="inlineStr">
        <is>
          <t>BANCO</t>
        </is>
      </c>
      <c r="D13" s="120" t="inlineStr">
        <is>
          <t>HENRIQUE COSTA</t>
        </is>
      </c>
    </row>
    <row r="14">
      <c r="B14" s="120" t="inlineStr">
        <is>
          <t>ESCOLA</t>
        </is>
      </c>
      <c r="D14" s="120" t="n"/>
    </row>
    <row r="15">
      <c r="B15" s="120" t="inlineStr">
        <is>
          <t>TELEFONIA</t>
        </is>
      </c>
      <c r="D15" s="120" t="n"/>
    </row>
    <row r="16">
      <c r="B16" s="120" t="inlineStr">
        <is>
          <t>CONCESSIONÁRIA</t>
        </is>
      </c>
      <c r="D16" s="120" t="n"/>
    </row>
    <row r="17">
      <c r="B17" s="120" t="inlineStr">
        <is>
          <t>OUTROS</t>
        </is>
      </c>
      <c r="D17" s="120" t="n"/>
    </row>
    <row r="18">
      <c r="B18" s="120" t="n"/>
      <c r="D18" s="120" t="n"/>
    </row>
    <row r="19">
      <c r="B19" s="120" t="n"/>
      <c r="D19" s="120" t="n"/>
    </row>
    <row r="20">
      <c r="B20" s="120" t="n"/>
      <c r="D20" s="120" t="n"/>
    </row>
    <row r="21">
      <c r="B21" s="120" t="n"/>
    </row>
    <row r="22">
      <c r="B22" s="120" t="n"/>
      <c r="D22" s="125" t="inlineStr">
        <is>
          <t>↑ Inclua novos responsáveis nas linhas em branco (até 15).</t>
        </is>
      </c>
    </row>
    <row r="23">
      <c r="B23" s="120" t="n"/>
    </row>
    <row r="24">
      <c r="B24" s="120" t="n"/>
    </row>
    <row r="25">
      <c r="B25" s="120" t="n"/>
    </row>
    <row r="26">
      <c r="B26" s="120" t="n"/>
    </row>
    <row r="27">
      <c r="B27" s="120" t="n"/>
    </row>
    <row r="28">
      <c r="B28" s="120" t="n"/>
    </row>
    <row r="29">
      <c r="B29" s="120" t="n"/>
    </row>
    <row r="30">
      <c r="B30" s="120" t="n"/>
    </row>
    <row r="31">
      <c r="B31" s="120" t="n"/>
    </row>
    <row r="32">
      <c r="B32" s="120" t="n"/>
    </row>
    <row r="33">
      <c r="B33" s="120" t="n"/>
    </row>
    <row r="34">
      <c r="B34" s="120" t="n"/>
    </row>
    <row r="35">
      <c r="B35" s="120" t="n"/>
    </row>
    <row r="37">
      <c r="B37" s="125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1">
    <dataValidation sqref="M6:M9" showDropDown="0" showInputMessage="0" showErrorMessage="1" allowBlank="0" errorTitle="Valor inválido" error="Informe um número inteiro de 0 a 365." type="whole" operator="between">
      <formula1>0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5" t="inlineStr">
        <is>
          <t>GUIA DE USO DA PLANILHA</t>
        </is>
      </c>
    </row>
    <row r="2">
      <c r="A2" s="106" t="inlineStr">
        <is>
          <t>Como registrar processos e interpretar os indicadores</t>
        </is>
      </c>
    </row>
    <row r="3" ht="4" customHeight="1">
      <c r="A3" s="8" t="n"/>
    </row>
    <row r="5" ht="22" customHeight="1">
      <c r="B5" s="126" t="inlineStr">
        <is>
          <t>1. ESTRUTURA DAS ABAS</t>
        </is>
      </c>
      <c r="C5" s="19" t="n"/>
      <c r="D5" s="19" t="n"/>
    </row>
    <row r="6">
      <c r="B6" s="127" t="inlineStr">
        <is>
          <t>ABA</t>
        </is>
      </c>
      <c r="C6" s="127" t="inlineStr">
        <is>
          <t>FINALIDADE</t>
        </is>
      </c>
      <c r="D6" s="127" t="inlineStr">
        <is>
          <t>DETALHES</t>
        </is>
      </c>
    </row>
    <row r="7">
      <c r="B7" s="128" t="inlineStr">
        <is>
          <t>PAINEL</t>
        </is>
      </c>
      <c r="C7" s="129" t="inlineStr">
        <is>
          <t>Visão diária do Gerente</t>
        </is>
      </c>
      <c r="D7" s="129" t="inlineStr">
        <is>
          <t>Indicadores, alertas de prazo, carga da equipe, ramos e evolução mensal. Filtros por responsável e ano.</t>
        </is>
      </c>
    </row>
    <row r="8">
      <c r="B8" s="130" t="inlineStr">
        <is>
          <t>GRÁFICOS</t>
        </is>
      </c>
      <c r="C8" s="131" t="inlineStr">
        <is>
          <t>Dashboard analítico</t>
        </is>
      </c>
      <c r="D8" s="131" t="inlineStr">
        <is>
          <t>8 gráficos dinâmicos que acompanham os filtros definidos no PAINEL.</t>
        </is>
      </c>
    </row>
    <row r="9">
      <c r="B9" s="128" t="inlineStr">
        <is>
          <t>PROCESSOS</t>
        </is>
      </c>
      <c r="C9" s="129" t="inlineStr">
        <is>
          <t>Base de registros</t>
        </is>
      </c>
      <c r="D9" s="129" t="inlineStr">
        <is>
          <t>Única aba onde os processos são cadastrados (até 1.000 linhas formatadas e validadas).</t>
        </is>
      </c>
    </row>
    <row r="10">
      <c r="B10" s="130" t="inlineStr">
        <is>
          <t>CADASTROS</t>
        </is>
      </c>
      <c r="C10" s="131" t="inlineStr">
        <is>
          <t>Listas e parâmetros</t>
        </is>
      </c>
      <c r="D10" s="131" t="inlineStr">
        <is>
          <t>Ramos, responsáveis, prazos de resposta (dias), antecedência de alerta e meta mensal.</t>
        </is>
      </c>
    </row>
    <row r="11">
      <c r="B11" s="128" t="inlineStr">
        <is>
          <t>INSTRUÇÕES</t>
        </is>
      </c>
      <c r="C11" s="129" t="inlineStr">
        <is>
          <t>Este guia</t>
        </is>
      </c>
      <c r="D11" s="129" t="inlineStr">
        <is>
          <t>Regras de preenchimento e definição de cada indicador.</t>
        </is>
      </c>
    </row>
    <row r="13" ht="22" customHeight="1">
      <c r="B13" s="126" t="inlineStr">
        <is>
          <t>2. COMO CADASTRAR UM PROCESSO (aba PROCESSOS)</t>
        </is>
      </c>
      <c r="C13" s="19" t="n"/>
      <c r="D13" s="19" t="n"/>
    </row>
    <row r="14">
      <c r="B14" s="132" t="inlineStr">
        <is>
          <t>1) Vá até a primeira linha vazia e informe o N° (inteiro, sequencial e sem repetição).</t>
        </is>
      </c>
    </row>
    <row r="15">
      <c r="B15" s="132" t="inlineStr">
        <is>
          <t>2) Preencha EMPRESA (nome fantasia — texto livre) e selecione o RAMO no menu suspenso.</t>
        </is>
      </c>
    </row>
    <row r="16">
      <c r="B16" s="132" t="inlineStr">
        <is>
          <t>3) Digite a DATA DA FISCALIZAÇÃO no formato DD/MM/AAAA.</t>
        </is>
      </c>
    </row>
    <row r="17">
      <c r="B17" s="132" t="inlineStr">
        <is>
          <t>4) Selecione NOTIFICAÇÃO, TIPO, STATUS e RESPONSÁVEL nos menus suspensos.</t>
        </is>
      </c>
    </row>
    <row r="18">
      <c r="B18" s="132" t="inlineStr">
        <is>
          <t>5) Informe N° NOTIFICAÇÃO, PROCESSO ORIGEM e DATA P. ORIGEM.</t>
        </is>
      </c>
    </row>
    <row r="19">
      <c r="B19" s="132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2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2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26" t="inlineStr">
        <is>
          <t>3. REGRAS DE VALIDAÇÃO (bloqueios de digitação)</t>
        </is>
      </c>
      <c r="C23" s="19" t="n"/>
      <c r="D23" s="19" t="n"/>
    </row>
    <row r="24">
      <c r="B24" s="127" t="inlineStr">
        <is>
          <t>COLUNA</t>
        </is>
      </c>
      <c r="C24" s="127" t="inlineStr">
        <is>
          <t>TIPO DE CAMPO</t>
        </is>
      </c>
      <c r="D24" s="127" t="inlineStr">
        <is>
          <t>REGRA APLICADA</t>
        </is>
      </c>
    </row>
    <row r="25">
      <c r="B25" s="128" t="inlineStr">
        <is>
          <t>N°</t>
        </is>
      </c>
      <c r="C25" s="129" t="inlineStr">
        <is>
          <t>Número inteiro</t>
        </is>
      </c>
      <c r="D25" s="129" t="inlineStr">
        <is>
          <t>Aceita apenas inteiros positivos; letras, decimais e números repetidos são bloqueados.</t>
        </is>
      </c>
    </row>
    <row r="26">
      <c r="B26" s="130" t="inlineStr">
        <is>
          <t>EMPRESA</t>
        </is>
      </c>
      <c r="C26" s="131" t="inlineStr">
        <is>
          <t>Texto livre</t>
        </is>
      </c>
      <c r="D26" s="131" t="inlineStr">
        <is>
          <t>Sem bloqueio (aceita letras e números).</t>
        </is>
      </c>
    </row>
    <row r="27">
      <c r="B27" s="128" t="inlineStr">
        <is>
          <t>RAMO</t>
        </is>
      </c>
      <c r="C27" s="129" t="inlineStr">
        <is>
          <t>Menu suspenso</t>
        </is>
      </c>
      <c r="D27" s="129" t="inlineStr">
        <is>
          <t>Lista da aba CADASTROS (pode ser ampliada).</t>
        </is>
      </c>
    </row>
    <row r="28">
      <c r="B28" s="130" t="inlineStr">
        <is>
          <t>DATA DA FISCALIZAÇÃO</t>
        </is>
      </c>
      <c r="C28" s="131" t="inlineStr">
        <is>
          <t>Data</t>
        </is>
      </c>
      <c r="D28" s="131" t="inlineStr">
        <is>
          <t>Somente datas reais entre 01/01/2000 e 31/12/2099; textos são bloqueados.</t>
        </is>
      </c>
    </row>
    <row r="29">
      <c r="B29" s="128" t="inlineStr">
        <is>
          <t>NOTIFICAÇÃO</t>
        </is>
      </c>
      <c r="C29" s="129" t="inlineStr">
        <is>
          <t>Menu suspenso</t>
        </is>
      </c>
      <c r="D29" s="129" t="inlineStr">
        <is>
          <t>NOTIFICAÇÃO DE CONSTATAÇÃO | NOTIFICAÇÃO DE ESCLARECIMENTO.</t>
        </is>
      </c>
    </row>
    <row r="30">
      <c r="B30" s="130" t="inlineStr">
        <is>
          <t>TIPO</t>
        </is>
      </c>
      <c r="C30" s="131" t="inlineStr">
        <is>
          <t>Menu suspenso</t>
        </is>
      </c>
      <c r="D30" s="131" t="inlineStr">
        <is>
          <t>PRESENCIAL | ELETRÔNICA.</t>
        </is>
      </c>
    </row>
    <row r="31">
      <c r="B31" s="128" t="inlineStr">
        <is>
          <t>STATUS</t>
        </is>
      </c>
      <c r="C31" s="129" t="inlineStr">
        <is>
          <t>Menu suspenso</t>
        </is>
      </c>
      <c r="D31" s="129" t="inlineStr">
        <is>
          <t>DECISÃO D.P | PRAZO D.P.</t>
        </is>
      </c>
    </row>
    <row r="32">
      <c r="B32" s="130" t="inlineStr">
        <is>
          <t>RESPONSÁVEL</t>
        </is>
      </c>
      <c r="C32" s="131" t="inlineStr">
        <is>
          <t>Menu suspenso</t>
        </is>
      </c>
      <c r="D32" s="131" t="inlineStr">
        <is>
          <t>Lista da aba CADASTROS (pode ser ampliada).</t>
        </is>
      </c>
    </row>
    <row r="33">
      <c r="B33" s="128" t="inlineStr">
        <is>
          <t>N° NOTIFICAÇÃO</t>
        </is>
      </c>
      <c r="C33" s="129" t="inlineStr">
        <is>
          <t>Números e "/"</t>
        </is>
      </c>
      <c r="D33" s="129" t="inlineStr">
        <is>
          <t>Qualquer outro caractere é bloqueado. Ex.: 0123/2026.</t>
        </is>
      </c>
    </row>
    <row r="34">
      <c r="B34" s="130" t="inlineStr">
        <is>
          <t>PROCESSO ORIGEM</t>
        </is>
      </c>
      <c r="C34" s="131" t="inlineStr">
        <is>
          <t>Números, "/", "." e "-"</t>
        </is>
      </c>
      <c r="D34" s="131" t="inlineStr">
        <is>
          <t>Qualquer outro caractere é bloqueado. Ex.: 2026.004512-7/01.</t>
        </is>
      </c>
    </row>
    <row r="35">
      <c r="B35" s="128" t="inlineStr">
        <is>
          <t>DATA P. ORIGEM</t>
        </is>
      </c>
      <c r="C35" s="129" t="inlineStr">
        <is>
          <t>Data</t>
        </is>
      </c>
      <c r="D35" s="129" t="inlineStr">
        <is>
          <t>Somente datas reais entre 01/01/2000 e 31/12/2099; textos são bloqueados.</t>
        </is>
      </c>
    </row>
    <row r="36">
      <c r="B36" s="130" t="inlineStr">
        <is>
          <t>DATA DA DEFESA</t>
        </is>
      </c>
      <c r="C36" s="131" t="inlineStr">
        <is>
          <t>Data</t>
        </is>
      </c>
      <c r="D36" s="131" t="inlineStr">
        <is>
          <t>Somente datas reais, não anteriores à DATA DA FISCALIZAÇÃO; textos são bloqueados.</t>
        </is>
      </c>
    </row>
    <row r="37">
      <c r="B37" s="128" t="inlineStr">
        <is>
          <t>DATA DA DECISÃO</t>
        </is>
      </c>
      <c r="C37" s="129" t="inlineStr">
        <is>
          <t>Data</t>
        </is>
      </c>
      <c r="D37" s="129" t="inlineStr">
        <is>
          <t>Somente datas reais, não anteriores à DATA DA FISCALIZAÇÃO; textos são bloqueados.</t>
        </is>
      </c>
    </row>
    <row r="38">
      <c r="B38" s="130" t="inlineStr">
        <is>
          <t>OBSERVAÇÕES</t>
        </is>
      </c>
      <c r="C38" s="131" t="inlineStr">
        <is>
          <t>Texto livre</t>
        </is>
      </c>
      <c r="D38" s="131" t="inlineStr">
        <is>
          <t>Campo opcional para anotações.</t>
        </is>
      </c>
    </row>
    <row r="40" ht="22" customHeight="1">
      <c r="B40" s="126" t="inlineStr">
        <is>
          <t>4. DEFINIÇÃO DOS INDICADORES</t>
        </is>
      </c>
      <c r="C40" s="19" t="n"/>
      <c r="D40" s="19" t="n"/>
    </row>
    <row r="41">
      <c r="B41" s="127" t="inlineStr">
        <is>
          <t>INDICADOR</t>
        </is>
      </c>
      <c r="C41" s="127" t="inlineStr">
        <is>
          <t>CÁLCULO</t>
        </is>
      </c>
      <c r="D41" s="127" t="inlineStr">
        <is>
          <t>LEITURA</t>
        </is>
      </c>
    </row>
    <row r="42">
      <c r="B42" s="130" t="inlineStr">
        <is>
          <t>Prazo final</t>
        </is>
      </c>
      <c r="C42" s="131" t="inlineStr">
        <is>
          <t>Data da fiscalização + prazo (CADASTROS)</t>
        </is>
      </c>
      <c r="D42" s="131" t="inlineStr">
        <is>
          <t>Constatação: 10 dias; Esclarecimento: 15 dias (premissas editáveis).</t>
        </is>
      </c>
    </row>
    <row r="43">
      <c r="B43" s="128" t="inlineStr">
        <is>
          <t>Dias restantes</t>
        </is>
      </c>
      <c r="C43" s="129" t="inlineStr">
        <is>
          <t>Prazo final − hoje (sem defesa) ou − data da defesa</t>
        </is>
      </c>
      <c r="D43" s="129" t="inlineStr">
        <is>
          <t>Congela quando a DATA DA DEFESA é informada; negativo = defesa entregue com atraso.</t>
        </is>
      </c>
    </row>
    <row r="44">
      <c r="B44" s="130" t="inlineStr">
        <is>
          <t>Vence em breve</t>
        </is>
      </c>
      <c r="C44" s="131" t="inlineStr">
        <is>
          <t>Prazo final em até N dias (CADASTROS)</t>
        </is>
      </c>
      <c r="D44" s="131" t="inlineStr">
        <is>
          <t>Alerta preventivo para a equipe.</t>
        </is>
      </c>
    </row>
    <row r="45">
      <c r="B45" s="128" t="inlineStr">
        <is>
          <t>Vencido</t>
        </is>
      </c>
      <c r="C45" s="129" t="inlineStr">
        <is>
          <t>PRAZO D.P, sem defesa e prazo final &lt; hoje</t>
        </is>
      </c>
      <c r="D45" s="129" t="inlineStr">
        <is>
          <t>A empresa não apresentou a defesa prévia no prazo estipulado.</t>
        </is>
      </c>
    </row>
    <row r="46">
      <c r="B46" s="130" t="inlineStr">
        <is>
          <t>Defesa no prazo / fora do prazo</t>
        </is>
      </c>
      <c r="C46" s="131" t="inlineStr">
        <is>
          <t>Data da defesa ≤ / &gt; prazo final</t>
        </is>
      </c>
      <c r="D46" s="131" t="inlineStr">
        <is>
          <t>Resultado congelado da entrega da defesa prévia.</t>
        </is>
      </c>
    </row>
    <row r="47">
      <c r="B47" s="128" t="inlineStr">
        <is>
          <t>Sem defesa</t>
        </is>
      </c>
      <c r="C47" s="129" t="inlineStr">
        <is>
          <t>DECISÃO D.P sem DATA DA DEFESA</t>
        </is>
      </c>
      <c r="D47" s="129" t="inlineStr">
        <is>
          <t>Processo seguiu para decisão sem defesa apresentada.</t>
        </is>
      </c>
    </row>
    <row r="48">
      <c r="B48" s="130" t="inlineStr">
        <is>
          <t>DECIDIDO – ...</t>
        </is>
      </c>
      <c r="C48" s="131" t="inlineStr">
        <is>
          <t>DATA DA DECISÃO preenchida</t>
        </is>
      </c>
      <c r="D48" s="131" t="inlineStr">
        <is>
          <t>Decisão já proferida; mantém o resultado da defesa (ex.: DECIDIDO – DEFESA NO PRAZO, DECIDIDO – SEM DEFESA).</t>
        </is>
      </c>
    </row>
    <row r="49">
      <c r="B49" s="128" t="inlineStr">
        <is>
          <t>Tempo médio p/ entrega da defesa</t>
        </is>
      </c>
      <c r="C49" s="129" t="inlineStr">
        <is>
          <t>Média de (Data da defesa − Data da fiscalização)</t>
        </is>
      </c>
      <c r="D49" s="129" t="inlineStr">
        <is>
          <t>Calculado no PAINEL; respeita o filtro de responsável.</t>
        </is>
      </c>
    </row>
    <row r="50">
      <c r="B50" s="130" t="inlineStr">
        <is>
          <t>Tempo médio até a decisão</t>
        </is>
      </c>
      <c r="C50" s="131" t="inlineStr">
        <is>
          <t>Média de (Data da decisão − Data da fiscalização)</t>
        </is>
      </c>
      <c r="D50" s="131" t="inlineStr">
        <is>
          <t>Calculado no PAINEL; respeita o filtro de responsável.</t>
        </is>
      </c>
    </row>
    <row r="51">
      <c r="B51" s="128" t="inlineStr">
        <is>
          <t>Em decisão</t>
        </is>
      </c>
      <c r="C51" s="129" t="inlineStr">
        <is>
          <t>STATUS = DECISÃO D.P</t>
        </is>
      </c>
      <c r="D51" s="129" t="inlineStr">
        <is>
          <t>Processo aguardando decisão; fora do controle de prazo.</t>
        </is>
      </c>
    </row>
    <row r="52">
      <c r="B52" s="130" t="inlineStr">
        <is>
          <t>Idade média</t>
        </is>
      </c>
      <c r="C52" s="131" t="inlineStr">
        <is>
          <t>Média de dias desde a fiscalização</t>
        </is>
      </c>
      <c r="D52" s="131" t="inlineStr">
        <is>
          <t>Mede o tempo de permanência dos processos na base.</t>
        </is>
      </c>
    </row>
    <row r="53">
      <c r="B53" s="128" t="inlineStr">
        <is>
          <t>Atingimento da meta</t>
        </is>
      </c>
      <c r="C53" s="129" t="inlineStr">
        <is>
          <t>Fiscalizações do mês ÷ meta mensal</t>
        </is>
      </c>
      <c r="D53" s="129" t="inlineStr">
        <is>
          <t>Meta definida na aba CADASTROS.</t>
        </is>
      </c>
    </row>
    <row r="54">
      <c r="B54" s="130" t="inlineStr">
        <is>
          <t>% equipe</t>
        </is>
      </c>
      <c r="C54" s="131" t="inlineStr">
        <is>
          <t>Processos do responsável ÷ total</t>
        </is>
      </c>
      <c r="D54" s="131" t="inlineStr">
        <is>
          <t>Equilíbrio da distribuição de carga.</t>
        </is>
      </c>
    </row>
    <row r="56" ht="22" customHeight="1">
      <c r="B56" s="126" t="inlineStr">
        <is>
          <t>5. OBSERVAÇÕES</t>
        </is>
      </c>
      <c r="C56" s="19" t="n"/>
      <c r="D56" s="19" t="n"/>
    </row>
    <row r="57" ht="30" customHeight="1">
      <c r="B57" s="132" t="inlineStr">
        <is>
          <t>• A planilha vem com 96 registros FICTÍCIOS de exemplo para demonstrar o painel. Para começar a usar, apague o conteúdo das colunas A–M e R da aba PROCESSOS (não apague as colunas N–Q, que contêm fórmulas).</t>
        </is>
      </c>
    </row>
    <row r="58" ht="30" customHeight="1">
      <c r="B58" s="132" t="inlineStr">
        <is>
          <t>• Os filtros (Responsável e Ano) ficam no topo do PAINEL e se aplicam também à aba GRÁFICOS.</t>
        </is>
      </c>
    </row>
    <row r="59" ht="30" customHeight="1">
      <c r="B59" s="132" t="inlineStr">
        <is>
          <t>• A tabela 'Carga por responsável' mostra sempre a equipe inteira, independentemente do filtro.</t>
        </is>
      </c>
    </row>
    <row r="60" ht="30" customHeight="1">
      <c r="B60" s="132" t="inlineStr">
        <is>
          <t>• Os indicadores usam a data de HOJE e são recalculados automaticamente ao abrir o arquivo.</t>
        </is>
      </c>
    </row>
    <row r="61" ht="30" customHeight="1">
      <c r="B61" s="132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61:D61"/>
    <mergeCell ref="B57:D57"/>
    <mergeCell ref="B17:D17"/>
    <mergeCell ref="B13:D13"/>
    <mergeCell ref="B19:D19"/>
    <mergeCell ref="B40:D40"/>
    <mergeCell ref="B15:D15"/>
    <mergeCell ref="B20:D20"/>
    <mergeCell ref="A1:D1"/>
    <mergeCell ref="B5:D5"/>
    <mergeCell ref="B16:D16"/>
    <mergeCell ref="B59:D59"/>
    <mergeCell ref="A3:D3"/>
    <mergeCell ref="B18:D18"/>
    <mergeCell ref="B56:D56"/>
    <mergeCell ref="B58:D5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3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4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IF(AND(OR(PROCESSOS!P5="NO PRAZO",PROCESSOS!P5="VENCE EM BREVE"),OR(FiltroResp="TODOS",FiltroResp="",PROCESSOS!H5=FiltroResp)),PROCESSOS!N5+ROW()/1000000,"")</f>
        <v/>
      </c>
      <c r="BG5">
        <f>IF(AND(PROCESSOS!B5&lt;&gt;"",ISNUMBER(PROCESSOS!D5),OR(FiltroResp="TODOS",FiltroResp="",PROCESSOS!H5=FiltroResp)),PROCESSOS!D5+ROW()/1000000,"")</f>
        <v>46055.000005</v>
      </c>
      <c r="BI5" t="n">
        <v>1</v>
      </c>
      <c r="BJ5">
        <f>IFERROR(MATCH(SMALL(hProx,BI5),hProx,0),"")</f>
        <v>82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32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0</v>
      </c>
      <c r="O6">
        <f>COUNTIFS(rEmpresa,"&lt;&gt;",rResp,critResp,rDataFisc,"&gt;="&amp;DATE(FiltroAno,L6,1),rDataFisc,"&lt;"&amp;DATE(FiltroAno,L6+1,1),rNotif,"NOTIFICAÇÃO DE CONSTATAÇÃO")</f>
        <v>0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0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0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21</v>
      </c>
      <c r="Y6">
        <f>IF(W6="",0,COUNTIFS(rResp,W6,rEmpresa,"&lt;&gt;",rStatus,"PRAZO D.P"))</f>
        <v>8</v>
      </c>
      <c r="Z6">
        <f>IF(W6="",0,COUNTIFS(rResp,W6,rEmpresa,"&lt;&gt;",rStatus,"DECISÃO D.P"))</f>
        <v>13</v>
      </c>
      <c r="AA6">
        <f>IF(W6="",0,COUNTIFS(rResp,W6,rEmpresa,"&lt;&gt;",rSit,"NO PRAZO"))</f>
        <v>0</v>
      </c>
      <c r="AB6">
        <f>IF(W6="",0,COUNTIFS(rResp,W6,rEmpresa,"&lt;&gt;",rSit,"VENCE EM BREVE"))</f>
        <v>3</v>
      </c>
      <c r="AC6">
        <f>IF(W6="",-1,X6+(100-ROW())/1000)</f>
        <v>21.094</v>
      </c>
      <c r="AE6" t="n">
        <v>1</v>
      </c>
      <c r="AF6" t="str">
        <f>IF(AM6="","",INDEX($W$6:$W$20,AM6))</f>
        <v>ANA PAULA SOUZA</v>
      </c>
      <c r="AG6">
        <f>IF(AM6="","",INDEX($X$6:$X$20,AM6))</f>
        <v>21</v>
      </c>
      <c r="AH6">
        <f>IF(AM6="","",INDEX($Y$6:$Y$20,AM6))</f>
        <v>8</v>
      </c>
      <c r="AI6">
        <f>IF(AM6="","",INDEX($Z$6:$Z$20,AM6))</f>
        <v>13</v>
      </c>
      <c r="AJ6">
        <f>IF(AM6="","",INDEX($AA$6:$AA$20,AM6))</f>
        <v>0</v>
      </c>
      <c r="AK6">
        <f>IF(AM6="","",INDEX($AB$6:$AB$20,AM6))</f>
        <v>3</v>
      </c>
      <c r="AL6">
        <f>IF(AM6="","",IFERROR(AG6/SUM($X$6:$X$20),0))</f>
        <v>0.21875</v>
      </c>
      <c r="AM6">
        <f>IF(LARGE($AC$6:$AC$20,AE6)&lt;0,"",MATCH(LARGE($AC$6:$AC$20,AE6),$AC$6:$AC$20,0))</f>
        <v>1</v>
      </c>
      <c r="AO6" t="str">
        <f>IF(CADASTROS!$B$6="","",CADASTROS!$B$6)</f>
        <v>LOJA</v>
      </c>
      <c r="AP6">
        <f>IF(AO6="",0,COUNTIFS(rEmpresa,"&lt;&gt;",rResp,critResp,rRamo,AO6))</f>
        <v>11</v>
      </c>
      <c r="AQ6">
        <f>IF(AO6="",0,COUNTIFS(rEmpresa,"&lt;&gt;",rResp,critResp,rRamo,AO6,rNotif,"NOTIFICAÇÃO DE CONSTATAÇÃO"))</f>
        <v>5</v>
      </c>
      <c r="AR6">
        <f>IF(AO6="",0,COUNTIFS(rEmpresa,"&lt;&gt;",rResp,critResp,rRamo,AO6,rNotif,"NOTIFICAÇÃO DE ESCLARECIMENTO"))</f>
        <v>6</v>
      </c>
      <c r="AS6">
        <f>IF(AO6="",0,COUNTIFS(rEmpresa,"&lt;&gt;",rResp,critResp,rRamo,AO6,rStatus,"PRAZO D.P"))</f>
        <v>4</v>
      </c>
      <c r="AT6">
        <f>IF(AO6="",-1,AP6+(100-ROW())/1000)</f>
        <v>11.094</v>
      </c>
      <c r="AV6" t="n">
        <v>1</v>
      </c>
      <c r="AW6" t="str">
        <f>IF(BC6="","",INDEX($AO$6:$AO$35,BC6))</f>
        <v>SAÚDE</v>
      </c>
      <c r="AX6">
        <f>IF(BC6="","",INDEX($AP$6:$AP$35,BC6))</f>
        <v>15</v>
      </c>
      <c r="AY6">
        <f>IF(BC6="","",INDEX($AQ$6:$AQ$35,BC6))</f>
        <v>8</v>
      </c>
      <c r="AZ6">
        <f>IF(BC6="","",INDEX($AR$6:$AR$35,BC6))</f>
        <v>7</v>
      </c>
      <c r="BA6">
        <f>IF(BC6="","",INDEX($AS$6:$AS$35,BC6))</f>
        <v>4</v>
      </c>
      <c r="BB6">
        <f>IF(BC6="","",IFERROR(AX6/SUM($AP$6:$AP$35),0))</f>
        <v>0.15625</v>
      </c>
      <c r="BC6">
        <f>IF(LARGE($AT$6:$AT$35,AV6)&lt;0,"",MATCH(LARGE($AT$6:$AT$35,AV6),$AT$6:$AT$35,0))</f>
        <v>3</v>
      </c>
      <c r="BF6" t="str">
        <f>IF(AND(OR(PROCESSOS!P6="NO PRAZO",PROCESSOS!P6="VENCE EM BREVE"),OR(FiltroResp="TODOS",FiltroResp="",PROCESSOS!H6=FiltroResp)),PROCESSOS!N6+ROW()/1000000,"")</f>
        <v/>
      </c>
      <c r="BG6">
        <f>IF(AND(PROCESSOS!B6&lt;&gt;"",ISNUMBER(PROCESSOS!D6),OR(FiltroResp="TODOS",FiltroResp="",PROCESSOS!H6=FiltroResp)),PROCESSOS!D6+ROW()/1000000,"")</f>
        <v>46062.00000599537</v>
      </c>
      <c r="BI6" t="n">
        <v>2</v>
      </c>
      <c r="BJ6">
        <f>IFERROR(MATCH(SMALL(hProx,BI6),hProx,0),"")</f>
        <v>79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64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6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4</v>
      </c>
      <c r="Q7">
        <f>COUNTIFS(rEmpresa,"&lt;&gt;",rResp,critResp,rDataFisc,"&gt;="&amp;DATE(FiltroAno,L7,1),rDataFisc,"&lt;"&amp;DATE(FiltroAno,L7+1,1),rTipo,"PRESENCIAL")</f>
        <v>2</v>
      </c>
      <c r="R7">
        <f>COUNTIFS(rEmpresa,"&lt;&gt;",rResp,critResp,rDataFisc,"&gt;="&amp;DATE(FiltroAno,L7,1),rDataFisc,"&lt;"&amp;DATE(FiltroAno,L7+1,1),rTipo,"ELETRÔNICA")</f>
        <v>4</v>
      </c>
      <c r="S7">
        <f>MetaMensal</f>
        <v>12</v>
      </c>
      <c r="T7">
        <f>SUM($N$6:N7)</f>
        <v>6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8</v>
      </c>
      <c r="Y7">
        <f>IF(W7="",0,COUNTIFS(rResp,W7,rEmpresa,"&lt;&gt;",rStatus,"PRAZO D.P"))</f>
        <v>5</v>
      </c>
      <c r="Z7">
        <f>IF(W7="",0,COUNTIFS(rResp,W7,rEmpresa,"&lt;&gt;",rStatus,"DECISÃO D.P"))</f>
        <v>3</v>
      </c>
      <c r="AA7">
        <f>IF(W7="",0,COUNTIFS(rResp,W7,rEmpresa,"&lt;&gt;",rSit,"NO PRAZO"))</f>
        <v>1</v>
      </c>
      <c r="AB7">
        <f>IF(W7="",0,COUNTIFS(rResp,W7,rEmpresa,"&lt;&gt;",rSit,"VENCE EM BREVE"))</f>
        <v>0</v>
      </c>
      <c r="AC7">
        <f>IF(W7="",-1,X7+(100-ROW())/1000)</f>
        <v>8.093</v>
      </c>
      <c r="AE7" t="n">
        <v>2</v>
      </c>
      <c r="AF7" t="str">
        <f>IF(AM7="","",INDEX($W$6:$W$20,AM7))</f>
        <v>CARLA MENDES</v>
      </c>
      <c r="AG7">
        <f>IF(AM7="","",INDEX($X$6:$X$20,AM7))</f>
        <v>17</v>
      </c>
      <c r="AH7">
        <f>IF(AM7="","",INDEX($Y$6:$Y$20,AM7))</f>
        <v>3</v>
      </c>
      <c r="AI7">
        <f>IF(AM7="","",INDEX($Z$6:$Z$20,AM7))</f>
        <v>14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0.177083333333333</v>
      </c>
      <c r="AM7">
        <f>IF(LARGE($AC$6:$AC$20,AE7)&lt;0,"",MATCH(LARGE($AC$6:$AC$20,AE7),$AC$6:$AC$20,0))</f>
        <v>3</v>
      </c>
      <c r="AO7" t="str">
        <f>IF(CADASTROS!$B$7="","",CADASTROS!$B$7)</f>
        <v>POSTO DE COMBUSTÍVEL</v>
      </c>
      <c r="AP7">
        <f>IF(AO7="",0,COUNTIFS(rEmpresa,"&lt;&gt;",rResp,critResp,rRamo,AO7))</f>
        <v>6</v>
      </c>
      <c r="AQ7">
        <f>IF(AO7="",0,COUNTIFS(rEmpresa,"&lt;&gt;",rResp,critResp,rRamo,AO7,rNotif,"NOTIFICAÇÃO DE CONSTATAÇÃO"))</f>
        <v>1</v>
      </c>
      <c r="AR7">
        <f>IF(AO7="",0,COUNTIFS(rEmpresa,"&lt;&gt;",rResp,critResp,rRamo,AO7,rNotif,"NOTIFICAÇÃO DE ESCLARECIMENTO"))</f>
        <v>5</v>
      </c>
      <c r="AS7">
        <f>IF(AO7="",0,COUNTIFS(rEmpresa,"&lt;&gt;",rResp,critResp,rRamo,AO7,rStatus,"PRAZO D.P"))</f>
        <v>3</v>
      </c>
      <c r="AT7">
        <f>IF(AO7="",-1,AP7+(100-ROW())/1000)</f>
        <v>6.093</v>
      </c>
      <c r="AV7" t="n">
        <v>2</v>
      </c>
      <c r="AW7" t="str">
        <f>IF(BC7="","",INDEX($AO$6:$AO$35,BC7))</f>
        <v>ACADEMIA</v>
      </c>
      <c r="AX7">
        <f>IF(BC7="","",INDEX($AP$6:$AP$35,BC7))</f>
        <v>12</v>
      </c>
      <c r="AY7">
        <f>IF(BC7="","",INDEX($AQ$6:$AQ$35,BC7))</f>
        <v>5</v>
      </c>
      <c r="AZ7">
        <f>IF(BC7="","",INDEX($AR$6:$AR$35,BC7))</f>
        <v>7</v>
      </c>
      <c r="BA7">
        <f>IF(BC7="","",INDEX($AS$6:$AS$35,BC7))</f>
        <v>3</v>
      </c>
      <c r="BB7">
        <f>IF(BC7="","",IFERROR(AX7/SUM($AP$6:$AP$35),0))</f>
        <v>0.125</v>
      </c>
      <c r="BC7">
        <f>IF(LARGE($AT$6:$AT$35,AV7)&lt;0,"",MATCH(LARGE($AT$6:$AT$35,AV7),$AT$6:$AT$35,0))</f>
        <v>4</v>
      </c>
      <c r="BF7" t="str">
        <f>IF(AND(OR(PROCESSOS!P7="NO PRAZO",PROCESSOS!P7="VENCE EM BREVE"),OR(FiltroResp="TODOS",FiltroResp="",PROCESSOS!H7=FiltroResp)),PROCESSOS!N7+ROW()/1000000,"")</f>
        <v/>
      </c>
      <c r="BG7">
        <f>IF(AND(PROCESSOS!B7&lt;&gt;"",ISNUMBER(PROCESSOS!D7),OR(FiltroResp="TODOS",FiltroResp="",PROCESSOS!H7=FiltroResp)),PROCESSOS!D7+ROW()/1000000,"")</f>
        <v>46072.000007002316</v>
      </c>
      <c r="BI7" t="n">
        <v>3</v>
      </c>
      <c r="BJ7">
        <f>IFERROR(MATCH(SMALL(hProx,BI7),hProx,0),"")</f>
        <v>83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2</v>
      </c>
      <c r="O8">
        <f>COUNTIFS(rEmpresa,"&lt;&gt;",rResp,critResp,rDataFisc,"&gt;="&amp;DATE(FiltroAno,L8,1),rDataFisc,"&lt;"&amp;DATE(FiltroAno,L8+1,1),rNotif,"NOTIFICAÇÃO DE CONSTATAÇÃO")</f>
        <v>2</v>
      </c>
      <c r="P8">
        <f>COUNTIFS(rEmpresa,"&lt;&gt;",rResp,critResp,rDataFisc,"&gt;="&amp;DATE(FiltroAno,L8,1),rDataFisc,"&lt;"&amp;DATE(FiltroAno,L8+1,1),rNotif,"NOTIFICAÇÃO DE ESCLARECIMENTO")</f>
        <v>0</v>
      </c>
      <c r="Q8">
        <f>COUNTIFS(rEmpresa,"&lt;&gt;",rResp,critResp,rDataFisc,"&gt;="&amp;DATE(FiltroAno,L8,1),rDataFisc,"&lt;"&amp;DATE(FiltroAno,L8+1,1),rTipo,"PRESENCIAL")</f>
        <v>0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17</v>
      </c>
      <c r="Y8">
        <f>IF(W8="",0,COUNTIFS(rResp,W8,rEmpresa,"&lt;&gt;",rStatus,"PRAZO D.P"))</f>
        <v>3</v>
      </c>
      <c r="Z8">
        <f>IF(W8="",0,COUNTIFS(rResp,W8,rEmpresa,"&lt;&gt;",rStatus,"DECISÃO D.P"))</f>
        <v>14</v>
      </c>
      <c r="AA8">
        <f>IF(W8="",0,COUNTIFS(rResp,W8,rEmpresa,"&lt;&gt;",rSit,"NO PRAZO"))</f>
        <v>1</v>
      </c>
      <c r="AB8">
        <f>IF(W8="",0,COUNTIFS(rResp,W8,rEmpresa,"&lt;&gt;",rSit,"VENCE EM BREVE"))</f>
        <v>1</v>
      </c>
      <c r="AC8">
        <f>IF(W8="",-1,X8+(100-ROW())/1000)</f>
        <v>17.092</v>
      </c>
      <c r="AE8" t="n">
        <v>3</v>
      </c>
      <c r="AF8" t="str">
        <f>IF(AM8="","",INDEX($W$6:$W$20,AM8))</f>
        <v>DIEGO RIBEIRO</v>
      </c>
      <c r="AG8">
        <f>IF(AM8="","",INDEX($X$6:$X$20,AM8))</f>
        <v>15</v>
      </c>
      <c r="AH8">
        <f>IF(AM8="","",INDEX($Y$6:$Y$20,AM8))</f>
        <v>5</v>
      </c>
      <c r="AI8">
        <f>IF(AM8="","",INDEX($Z$6:$Z$20,AM8))</f>
        <v>10</v>
      </c>
      <c r="AJ8">
        <f>IF(AM8="","",INDEX($AA$6:$AA$20,AM8))</f>
        <v>1</v>
      </c>
      <c r="AK8">
        <f>IF(AM8="","",INDEX($AB$6:$AB$20,AM8))</f>
        <v>0</v>
      </c>
      <c r="AL8">
        <f>IF(AM8="","",IFERROR(AG8/SUM($X$6:$X$20),0))</f>
        <v>0.15625</v>
      </c>
      <c r="AM8">
        <f>IF(LARGE($AC$6:$AC$20,AE8)&lt;0,"",MATCH(LARGE($AC$6:$AC$20,AE8),$AC$6:$AC$20,0))</f>
        <v>4</v>
      </c>
      <c r="AO8" t="str">
        <f>IF(CADASTROS!$B$8="","",CADASTROS!$B$8)</f>
        <v>SAÚDE</v>
      </c>
      <c r="AP8">
        <f>IF(AO8="",0,COUNTIFS(rEmpresa,"&lt;&gt;",rResp,critResp,rRamo,AO8))</f>
        <v>15</v>
      </c>
      <c r="AQ8">
        <f>IF(AO8="",0,COUNTIFS(rEmpresa,"&lt;&gt;",rResp,critResp,rRamo,AO8,rNotif,"NOTIFICAÇÃO DE CONSTATAÇÃO"))</f>
        <v>8</v>
      </c>
      <c r="AR8">
        <f>IF(AO8="",0,COUNTIFS(rEmpresa,"&lt;&gt;",rResp,critResp,rRamo,AO8,rNotif,"NOTIFICAÇÃO DE ESCLARECIMENTO"))</f>
        <v>7</v>
      </c>
      <c r="AS8">
        <f>IF(AO8="",0,COUNTIFS(rEmpresa,"&lt;&gt;",rResp,critResp,rRamo,AO8,rStatus,"PRAZO D.P"))</f>
        <v>4</v>
      </c>
      <c r="AT8">
        <f>IF(AO8="",-1,AP8+(100-ROW())/1000)</f>
        <v>15.092</v>
      </c>
      <c r="AV8" t="n">
        <v>3</v>
      </c>
      <c r="AW8" t="str">
        <f>IF(BC8="","",INDEX($AO$6:$AO$35,BC8))</f>
        <v>LOJA</v>
      </c>
      <c r="AX8">
        <f>IF(BC8="","",INDEX($AP$6:$AP$35,BC8))</f>
        <v>11</v>
      </c>
      <c r="AY8">
        <f>IF(BC8="","",INDEX($AQ$6:$AQ$35,BC8))</f>
        <v>5</v>
      </c>
      <c r="AZ8">
        <f>IF(BC8="","",INDEX($AR$6:$AR$35,BC8))</f>
        <v>6</v>
      </c>
      <c r="BA8">
        <f>IF(BC8="","",INDEX($AS$6:$AS$35,BC8))</f>
        <v>4</v>
      </c>
      <c r="BB8">
        <f>IF(BC8="","",IFERROR(AX8/SUM($AP$6:$AP$35),0))</f>
        <v>0.114583333333333</v>
      </c>
      <c r="BC8">
        <f>IF(LARGE($AT$6:$AT$35,AV8)&lt;0,"",MATCH(LARGE($AT$6:$AT$35,AV8),$AT$6:$AT$35,0))</f>
        <v>1</v>
      </c>
      <c r="BF8" t="str">
        <f>IF(AND(OR(PROCESSOS!P8="NO PRAZO",PROCESSOS!P8="VENCE EM BREVE"),OR(FiltroResp="TODOS",FiltroResp="",PROCESSOS!H8=FiltroResp)),PROCESSOS!N8+ROW()/1000000,"")</f>
        <v/>
      </c>
      <c r="BG8">
        <f>IF(AND(PROCESSOS!B8&lt;&gt;"",ISNUMBER(PROCESSOS!D8),OR(FiltroResp="TODOS",FiltroResp="",PROCESSOS!H8=FiltroResp)),PROCESSOS!D8+ROW()/1000000,"")</f>
        <v>46073.00000799768</v>
      </c>
      <c r="BI8" t="n">
        <v>4</v>
      </c>
      <c r="BJ8">
        <f>IFERROR(MATCH(SMALL(hProx,BI8),hProx,0),"")</f>
        <v>80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7</v>
      </c>
      <c r="O9">
        <f>COUNTIFS(rEmpresa,"&lt;&gt;",rResp,critResp,rDataFisc,"&gt;="&amp;DATE(FiltroAno,L9,1),rDataFisc,"&lt;"&amp;DATE(FiltroAno,L9+1,1),rNotif,"NOTIFICAÇÃO DE CONSTATAÇÃO")</f>
        <v>3</v>
      </c>
      <c r="P9">
        <f>COUNTIFS(rEmpresa,"&lt;&gt;",rResp,critResp,rDataFisc,"&gt;="&amp;DATE(FiltroAno,L9,1),rDataFisc,"&lt;"&amp;DATE(FiltroAno,L9+1,1),rNotif,"NOTIFICAÇÃO DE ESCLARECIMENTO")</f>
        <v>4</v>
      </c>
      <c r="Q9">
        <f>COUNTIFS(rEmpresa,"&lt;&gt;",rResp,critResp,rDataFisc,"&gt;="&amp;DATE(FiltroAno,L9,1),rDataFisc,"&lt;"&amp;DATE(FiltroAno,L9+1,1),rTipo,"PRESENCIAL")</f>
        <v>6</v>
      </c>
      <c r="R9">
        <f>COUNTIFS(rEmpresa,"&lt;&gt;",rResp,critResp,rDataFisc,"&gt;="&amp;DATE(FiltroAno,L9,1),rDataFisc,"&lt;"&amp;DATE(FiltroAno,L9+1,1),rTipo,"ELETRÔNICA")</f>
        <v>1</v>
      </c>
      <c r="S9">
        <f>MetaMensal</f>
        <v>12</v>
      </c>
      <c r="T9">
        <f>SUM($N$6:N9)</f>
        <v>15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15</v>
      </c>
      <c r="Y9">
        <f>IF(W9="",0,COUNTIFS(rResp,W9,rEmpresa,"&lt;&gt;",rStatus,"PRAZO D.P"))</f>
        <v>5</v>
      </c>
      <c r="Z9">
        <f>IF(W9="",0,COUNTIFS(rResp,W9,rEmpresa,"&lt;&gt;",rStatus,"DECISÃO D.P"))</f>
        <v>10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15.091</v>
      </c>
      <c r="AE9" t="n">
        <v>4</v>
      </c>
      <c r="AF9" t="str">
        <f>IF(AM9="","",INDEX($W$6:$W$20,AM9))</f>
        <v>GABRIELA NUNES</v>
      </c>
      <c r="AG9">
        <f>IF(AM9="","",INDEX($X$6:$X$20,AM9))</f>
        <v>13</v>
      </c>
      <c r="AH9">
        <f>IF(AM9="","",INDEX($Y$6:$Y$20,AM9))</f>
        <v>6</v>
      </c>
      <c r="AI9">
        <f>IF(AM9="","",INDEX($Z$6:$Z$20,AM9))</f>
        <v>7</v>
      </c>
      <c r="AJ9">
        <f>IF(AM9="","",INDEX($AA$6:$AA$20,AM9))</f>
        <v>2</v>
      </c>
      <c r="AK9">
        <f>IF(AM9="","",INDEX($AB$6:$AB$20,AM9))</f>
        <v>0</v>
      </c>
      <c r="AL9">
        <f>IF(AM9="","",IFERROR(AG9/SUM($X$6:$X$20),0))</f>
        <v>0.135416666666667</v>
      </c>
      <c r="AM9">
        <f>IF(LARGE($AC$6:$AC$20,AE9)&lt;0,"",MATCH(LARGE($AC$6:$AC$20,AE9),$AC$6:$AC$20,0))</f>
        <v>7</v>
      </c>
      <c r="AO9" t="str">
        <f>IF(CADASTROS!$B$9="","",CADASTROS!$B$9)</f>
        <v>ACADEMIA</v>
      </c>
      <c r="AP9">
        <f>IF(AO9="",0,COUNTIFS(rEmpresa,"&lt;&gt;",rResp,critResp,rRamo,AO9))</f>
        <v>12</v>
      </c>
      <c r="AQ9">
        <f>IF(AO9="",0,COUNTIFS(rEmpresa,"&lt;&gt;",rResp,critResp,rRamo,AO9,rNotif,"NOTIFICAÇÃO DE CONSTATAÇÃO"))</f>
        <v>5</v>
      </c>
      <c r="AR9">
        <f>IF(AO9="",0,COUNTIFS(rEmpresa,"&lt;&gt;",rResp,critResp,rRamo,AO9,rNotif,"NOTIFICAÇÃO DE ESCLARECIMENTO"))</f>
        <v>7</v>
      </c>
      <c r="AS9">
        <f>IF(AO9="",0,COUNTIFS(rEmpresa,"&lt;&gt;",rResp,critResp,rRamo,AO9,rStatus,"PRAZO D.P"))</f>
        <v>3</v>
      </c>
      <c r="AT9">
        <f>IF(AO9="",-1,AP9+(100-ROW())/1000)</f>
        <v>12.091</v>
      </c>
      <c r="AV9" t="n">
        <v>4</v>
      </c>
      <c r="AW9" t="str">
        <f>IF(BC9="","",INDEX($AO$6:$AO$35,BC9))</f>
        <v>FARMÁCIA</v>
      </c>
      <c r="AX9">
        <f>IF(BC9="","",INDEX($AP$6:$AP$35,BC9))</f>
        <v>9</v>
      </c>
      <c r="AY9">
        <f>IF(BC9="","",INDEX($AQ$6:$AQ$35,BC9))</f>
        <v>3</v>
      </c>
      <c r="AZ9">
        <f>IF(BC9="","",INDEX($AR$6:$AR$35,BC9))</f>
        <v>6</v>
      </c>
      <c r="BA9">
        <f>IF(BC9="","",INDEX($AS$6:$AS$35,BC9))</f>
        <v>4</v>
      </c>
      <c r="BB9">
        <f>IF(BC9="","",IFERROR(AX9/SUM($AP$6:$AP$35),0))</f>
        <v>0.09375</v>
      </c>
      <c r="BC9">
        <f>IF(LARGE($AT$6:$AT$35,AV9)&lt;0,"",MATCH(LARGE($AT$6:$AT$35,AV9),$AT$6:$AT$35,0))</f>
        <v>7</v>
      </c>
      <c r="BF9" t="str">
        <f>IF(AND(OR(PROCESSOS!P9="NO PRAZO",PROCESSOS!P9="VENCE EM BREVE"),OR(FiltroResp="TODOS",FiltroResp="",PROCESSOS!H9=FiltroResp)),PROCESSOS!N9+ROW()/1000000,"")</f>
        <v/>
      </c>
      <c r="BG9">
        <f>IF(AND(PROCESSOS!B9&lt;&gt;"",ISNUMBER(PROCESSOS!D9),OR(FiltroResp="TODOS",FiltroResp="",PROCESSOS!H9=FiltroResp)),PROCESSOS!D9+ROW()/1000000,"")</f>
        <v>46079.00000900463</v>
      </c>
      <c r="BI9" t="n">
        <v>5</v>
      </c>
      <c r="BJ9">
        <f>IFERROR(MATCH(SMALL(hProx,BI9),hProx,0),"")</f>
        <v>85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4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12</v>
      </c>
      <c r="O10">
        <f>COUNTIFS(rEmpresa,"&lt;&gt;",rResp,critResp,rDataFisc,"&gt;="&amp;DATE(FiltroAno,L10,1),rDataFisc,"&lt;"&amp;DATE(FiltroAno,L10+1,1),rNotif,"NOTIFICAÇÃO DE CONSTATAÇÃO")</f>
        <v>6</v>
      </c>
      <c r="P10">
        <f>COUNTIFS(rEmpresa,"&lt;&gt;",rResp,critResp,rDataFisc,"&gt;="&amp;DATE(FiltroAno,L10,1),rDataFisc,"&lt;"&amp;DATE(FiltroAno,L10+1,1),rNotif,"NOTIFICAÇÃO DE ESCLARECIMENTO")</f>
        <v>6</v>
      </c>
      <c r="Q10">
        <f>COUNTIFS(rEmpresa,"&lt;&gt;",rResp,critResp,rDataFisc,"&gt;="&amp;DATE(FiltroAno,L10,1),rDataFisc,"&lt;"&amp;DATE(FiltroAno,L10+1,1),rTipo,"PRESENCIAL")</f>
        <v>9</v>
      </c>
      <c r="R10">
        <f>COUNTIFS(rEmpresa,"&lt;&gt;",rResp,critResp,rDataFisc,"&gt;="&amp;DATE(FiltroAno,L10,1),rDataFisc,"&lt;"&amp;DATE(FiltroAno,L10+1,1),rTipo,"ELETRÔNICA")</f>
        <v>3</v>
      </c>
      <c r="S10">
        <f>MetaMensal</f>
        <v>12</v>
      </c>
      <c r="T10">
        <f>SUM($N$6:N10)</f>
        <v>27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6</v>
      </c>
      <c r="Y10">
        <f>IF(W10="",0,COUNTIFS(rResp,W10,rEmpresa,"&lt;&gt;",rStatus,"PRAZO D.P"))</f>
        <v>1</v>
      </c>
      <c r="Z10">
        <f>IF(W10="",0,COUNTIFS(rResp,W10,rEmpresa,"&lt;&gt;",rStatus,"DECISÃO D.P"))</f>
        <v>5</v>
      </c>
      <c r="AA10">
        <f>IF(W10="",0,COUNTIFS(rResp,W10,rEmpresa,"&lt;&gt;",rSit,"NO PRAZO"))</f>
        <v>0</v>
      </c>
      <c r="AB10">
        <f>IF(W10="",0,COUNTIFS(rResp,W10,rEmpresa,"&lt;&gt;",rSit,"VENCE EM BREVE"))</f>
        <v>1</v>
      </c>
      <c r="AC10">
        <f>IF(W10="",-1,X10+(100-ROW())/1000)</f>
        <v>6.09</v>
      </c>
      <c r="AE10" t="n">
        <v>5</v>
      </c>
      <c r="AF10" t="str">
        <f>IF(AM10="","",INDEX($W$6:$W$20,AM10))</f>
        <v>BRUNO CARVALHO</v>
      </c>
      <c r="AG10">
        <f>IF(AM10="","",INDEX($X$6:$X$20,AM10))</f>
        <v>8</v>
      </c>
      <c r="AH10">
        <f>IF(AM10="","",INDEX($Y$6:$Y$20,AM10))</f>
        <v>5</v>
      </c>
      <c r="AI10">
        <f>IF(AM10="","",INDEX($Z$6:$Z$20,AM10))</f>
        <v>3</v>
      </c>
      <c r="AJ10">
        <f>IF(AM10="","",INDEX($AA$6:$AA$20,AM10))</f>
        <v>1</v>
      </c>
      <c r="AK10">
        <f>IF(AM10="","",INDEX($AB$6:$AB$20,AM10))</f>
        <v>0</v>
      </c>
      <c r="AL10">
        <f>IF(AM10="","",IFERROR(AG10/SUM($X$6:$X$20),0))</f>
        <v>0.0833333333333333</v>
      </c>
      <c r="AM10">
        <f>IF(LARGE($AC$6:$AC$20,AE10)&lt;0,"",MATCH(LARGE($AC$6:$AC$20,AE10),$AC$6:$AC$20,0))</f>
        <v>2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7</v>
      </c>
      <c r="AR10">
        <f>IF(AO10="",0,COUNTIFS(rEmpresa,"&lt;&gt;",rResp,critResp,rRamo,AO10,rNotif,"NOTIFICAÇÃO DE ESCLARECIMENTO"))</f>
        <v>1</v>
      </c>
      <c r="AS10">
        <f>IF(AO10="",0,COUNTIFS(rEmpresa,"&lt;&gt;",rResp,critResp,rRamo,AO10,rStatus,"PRAZO D.P"))</f>
        <v>1</v>
      </c>
      <c r="AT10">
        <f>IF(AO10="",-1,AP10+(100-ROW())/1000)</f>
        <v>8.09</v>
      </c>
      <c r="AV10" t="n">
        <v>5</v>
      </c>
      <c r="AW10" t="str">
        <f>IF(BC10="","",INDEX($AO$6:$AO$35,BC10))</f>
        <v>SUPERMERCADO</v>
      </c>
      <c r="AX10">
        <f>IF(BC10="","",INDEX($AP$6:$AP$35,BC10))</f>
        <v>8</v>
      </c>
      <c r="AY10">
        <f>IF(BC10="","",INDEX($AQ$6:$AQ$35,BC10))</f>
        <v>7</v>
      </c>
      <c r="AZ10">
        <f>IF(BC10="","",INDEX($AR$6:$AR$35,BC10))</f>
        <v>1</v>
      </c>
      <c r="BA10">
        <f>IF(BC10="","",INDEX($AS$6:$AS$35,BC10))</f>
        <v>1</v>
      </c>
      <c r="BB10">
        <f>IF(BC10="","",IFERROR(AX10/SUM($AP$6:$AP$35),0))</f>
        <v>0.0833333333333333</v>
      </c>
      <c r="BC10">
        <f>IF(LARGE($AT$6:$AT$35,AV10)&lt;0,"",MATCH(LARGE($AT$6:$AT$35,AV10),$AT$6:$AT$35,0))</f>
        <v>5</v>
      </c>
      <c r="BF10" t="str">
        <f>IF(AND(OR(PROCESSOS!P10="NO PRAZO",PROCESSOS!P10="VENCE EM BREVE"),OR(FiltroResp="TODOS",FiltroResp="",PROCESSOS!H10=FiltroResp)),PROCESSOS!N10+ROW()/1000000,"")</f>
        <v/>
      </c>
      <c r="BG10">
        <f>IF(AND(PROCESSOS!B10&lt;&gt;"",ISNUMBER(PROCESSOS!D10),OR(FiltroResp="TODOS",FiltroResp="",PROCESSOS!H10=FiltroResp)),PROCESSOS!D10+ROW()/1000000,"")</f>
        <v>46079.00001</v>
      </c>
      <c r="BI10" t="n">
        <v>6</v>
      </c>
      <c r="BJ10">
        <f>IFERROR(MATCH(SMALL(hProx,BI10),hProx,0),"")</f>
        <v>87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6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6</v>
      </c>
      <c r="P11">
        <f>COUNTIFS(rEmpresa,"&lt;&gt;",rResp,critResp,rDataFisc,"&gt;="&amp;DATE(FiltroAno,L11,1),rDataFisc,"&lt;"&amp;DATE(FiltroAno,L11+1,1),rNotif,"NOTIFICAÇÃO DE ESCLARECIMENTO")</f>
        <v>3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36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8</v>
      </c>
      <c r="Y11">
        <f>IF(W11="",0,COUNTIFS(rResp,W11,rEmpresa,"&lt;&gt;",rStatus,"PRAZO D.P"))</f>
        <v>1</v>
      </c>
      <c r="Z11">
        <f>IF(W11="",0,COUNTIFS(rResp,W11,rEmpresa,"&lt;&gt;",rStatus,"DECISÃO D.P"))</f>
        <v>7</v>
      </c>
      <c r="AA11">
        <f>IF(W11="",0,COUNTIFS(rResp,W11,rEmpresa,"&lt;&gt;",rSit,"NO PRAZO"))</f>
        <v>0</v>
      </c>
      <c r="AB11">
        <f>IF(W11="",0,COUNTIFS(rResp,W11,rEmpresa,"&lt;&gt;",rSit,"VENCE EM BREVE"))</f>
        <v>1</v>
      </c>
      <c r="AC11">
        <f>IF(W11="",-1,X11+(100-ROW())/1000)</f>
        <v>8.089</v>
      </c>
      <c r="AE11" t="n">
        <v>6</v>
      </c>
      <c r="AF11" t="str">
        <f>IF(AM11="","",INDEX($W$6:$W$20,AM11))</f>
        <v>FELIPE ARAÚJO</v>
      </c>
      <c r="AG11">
        <f>IF(AM11="","",INDEX($X$6:$X$20,AM11))</f>
        <v>8</v>
      </c>
      <c r="AH11">
        <f>IF(AM11="","",INDEX($Y$6:$Y$20,AM11))</f>
        <v>1</v>
      </c>
      <c r="AI11">
        <f>IF(AM11="","",INDEX($Z$6:$Z$20,AM11))</f>
        <v>7</v>
      </c>
      <c r="AJ11">
        <f>IF(AM11="","",INDEX($AA$6:$AA$20,AM11))</f>
        <v>0</v>
      </c>
      <c r="AK11">
        <f>IF(AM11="","",INDEX($AB$6:$AB$20,AM11))</f>
        <v>1</v>
      </c>
      <c r="AL11">
        <f>IF(AM11="","",IFERROR(AG11/SUM($X$6:$X$20),0))</f>
        <v>0.0833333333333333</v>
      </c>
      <c r="AM11">
        <f>IF(LARGE($AC$6:$AC$20,AE11)&lt;0,"",MATCH(LARGE($AC$6:$AC$20,AE11),$AC$6:$AC$20,0))</f>
        <v>6</v>
      </c>
      <c r="AO11" t="str">
        <f>IF(CADASTROS!$B$11="","",CADASTROS!$B$11)</f>
        <v>RESTAURANTE</v>
      </c>
      <c r="AP11">
        <f>IF(AO11="",0,COUNTIFS(rEmpresa,"&lt;&gt;",rResp,critResp,rRamo,AO11))</f>
        <v>7</v>
      </c>
      <c r="AQ11">
        <f>IF(AO11="",0,COUNTIFS(rEmpresa,"&lt;&gt;",rResp,critResp,rRamo,AO11,rNotif,"NOTIFICAÇÃO DE CONSTATAÇÃO"))</f>
        <v>5</v>
      </c>
      <c r="AR11">
        <f>IF(AO11="",0,COUNTIFS(rEmpresa,"&lt;&gt;",rResp,critResp,rRamo,AO11,rNotif,"NOTIFICAÇÃO DE ESCLARECIMENTO"))</f>
        <v>2</v>
      </c>
      <c r="AS11">
        <f>IF(AO11="",0,COUNTIFS(rEmpresa,"&lt;&gt;",rResp,critResp,rRamo,AO11,rStatus,"PRAZO D.P"))</f>
        <v>2</v>
      </c>
      <c r="AT11">
        <f>IF(AO11="",-1,AP11+(100-ROW())/1000)</f>
        <v>7.089</v>
      </c>
      <c r="AV11" t="n">
        <v>6</v>
      </c>
      <c r="AW11" t="str">
        <f>IF(BC11="","",INDEX($AO$6:$AO$35,BC11))</f>
        <v>ESCOLA</v>
      </c>
      <c r="AX11">
        <f>IF(BC11="","",INDEX($AP$6:$AP$35,BC11))</f>
        <v>8</v>
      </c>
      <c r="AY11">
        <f>IF(BC11="","",INDEX($AQ$6:$AQ$35,BC11))</f>
        <v>8</v>
      </c>
      <c r="AZ11">
        <f>IF(BC11="","",INDEX($AR$6:$AR$35,BC11))</f>
        <v>0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9</v>
      </c>
      <c r="BF11" t="str">
        <f>IF(AND(OR(PROCESSOS!P11="NO PRAZO",PROCESSOS!P11="VENCE EM BREVE"),OR(FiltroResp="TODOS",FiltroResp="",PROCESSOS!H11=FiltroResp)),PROCESSOS!N11+ROW()/1000000,"")</f>
        <v/>
      </c>
      <c r="BG11">
        <f>IF(AND(PROCESSOS!B11&lt;&gt;"",ISNUMBER(PROCESSOS!D11),OR(FiltroResp="TODOS",FiltroResp="",PROCESSOS!H11=FiltroResp)),PROCESSOS!D11+ROW()/1000000,"")</f>
        <v>46096.00001099537</v>
      </c>
      <c r="BI11" t="n">
        <v>7</v>
      </c>
      <c r="BJ11">
        <f>IFERROR(MATCH(SMALL(hProx,BI11),hProx,0),"")</f>
        <v>90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6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12</v>
      </c>
      <c r="O12">
        <f>COUNTIFS(rEmpresa,"&lt;&gt;",rResp,critResp,rDataFisc,"&gt;="&amp;DATE(FiltroAno,L12,1),rDataFisc,"&lt;"&amp;DATE(FiltroAno,L12+1,1),rNotif,"NOTIFICAÇÃO DE CONSTATAÇÃO")</f>
        <v>6</v>
      </c>
      <c r="P12">
        <f>COUNTIFS(rEmpresa,"&lt;&gt;",rResp,critResp,rDataFisc,"&gt;="&amp;DATE(FiltroAno,L12,1),rDataFisc,"&lt;"&amp;DATE(FiltroAno,L12+1,1),rNotif,"NOTIFICAÇÃO DE ESCLARECIMENTO")</f>
        <v>6</v>
      </c>
      <c r="Q12">
        <f>COUNTIFS(rEmpresa,"&lt;&gt;",rResp,critResp,rDataFisc,"&gt;="&amp;DATE(FiltroAno,L12,1),rDataFisc,"&lt;"&amp;DATE(FiltroAno,L12+1,1),rTipo,"PRESENCIAL")</f>
        <v>8</v>
      </c>
      <c r="R12">
        <f>COUNTIFS(rEmpresa,"&lt;&gt;",rResp,critResp,rDataFisc,"&gt;="&amp;DATE(FiltroAno,L12,1),rDataFisc,"&lt;"&amp;DATE(FiltroAno,L12+1,1),rTipo,"ELETRÔNICA")</f>
        <v>4</v>
      </c>
      <c r="S12">
        <f>MetaMensal</f>
        <v>12</v>
      </c>
      <c r="T12">
        <f>SUM($N$6:N12)</f>
        <v>48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13</v>
      </c>
      <c r="Y12">
        <f>IF(W12="",0,COUNTIFS(rResp,W12,rEmpresa,"&lt;&gt;",rStatus,"PRAZO D.P"))</f>
        <v>6</v>
      </c>
      <c r="Z12">
        <f>IF(W12="",0,COUNTIFS(rResp,W12,rEmpresa,"&lt;&gt;",rStatus,"DECISÃO D.P"))</f>
        <v>7</v>
      </c>
      <c r="AA12">
        <f>IF(W12="",0,COUNTIFS(rResp,W12,rEmpresa,"&lt;&gt;",rSit,"NO PRAZO"))</f>
        <v>2</v>
      </c>
      <c r="AB12">
        <f>IF(W12="",0,COUNTIFS(rResp,W12,rEmpresa,"&lt;&gt;",rSit,"VENCE EM BREVE"))</f>
        <v>0</v>
      </c>
      <c r="AC12">
        <f>IF(W12="",-1,X12+(100-ROW())/1000)</f>
        <v>13.088</v>
      </c>
      <c r="AE12" t="n">
        <v>7</v>
      </c>
      <c r="AF12" t="str">
        <f>IF(AM12="","",INDEX($W$6:$W$20,AM12))</f>
        <v>HENRIQUE COSTA</v>
      </c>
      <c r="AG12">
        <f>IF(AM12="","",INDEX($X$6:$X$20,AM12))</f>
        <v>8</v>
      </c>
      <c r="AH12">
        <f>IF(AM12="","",INDEX($Y$6:$Y$20,AM12))</f>
        <v>3</v>
      </c>
      <c r="AI12">
        <f>IF(AM12="","",INDEX($Z$6:$Z$20,AM12))</f>
        <v>5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0.0833333333333333</v>
      </c>
      <c r="AM12">
        <f>IF(LARGE($AC$6:$AC$20,AE12)&lt;0,"",MATCH(LARGE($AC$6:$AC$20,AE12),$AC$6:$AC$20,0))</f>
        <v>8</v>
      </c>
      <c r="AO12" t="str">
        <f>IF(CADASTROS!$B$12="","",CADASTROS!$B$12)</f>
        <v>FARMÁCIA</v>
      </c>
      <c r="AP12">
        <f>IF(AO12="",0,COUNTIFS(rEmpresa,"&lt;&gt;",rResp,critResp,rRamo,AO12))</f>
        <v>9</v>
      </c>
      <c r="AQ12">
        <f>IF(AO12="",0,COUNTIFS(rEmpresa,"&lt;&gt;",rResp,critResp,rRamo,AO12,rNotif,"NOTIFICAÇÃO DE CONSTATAÇÃO"))</f>
        <v>3</v>
      </c>
      <c r="AR12">
        <f>IF(AO12="",0,COUNTIFS(rEmpresa,"&lt;&gt;",rResp,critResp,rRamo,AO12,rNotif,"NOTIFICAÇÃO DE ESCLARECIMENTO"))</f>
        <v>6</v>
      </c>
      <c r="AS12">
        <f>IF(AO12="",0,COUNTIFS(rEmpresa,"&lt;&gt;",rResp,critResp,rRamo,AO12,rStatus,"PRAZO D.P"))</f>
        <v>4</v>
      </c>
      <c r="AT12">
        <f>IF(AO12="",-1,AP12+(100-ROW())/1000)</f>
        <v>9.088</v>
      </c>
      <c r="AV12" t="n">
        <v>7</v>
      </c>
      <c r="AW12" t="str">
        <f>IF(BC12="","",INDEX($AO$6:$AO$35,BC12))</f>
        <v>RESTAURANTE</v>
      </c>
      <c r="AX12">
        <f>IF(BC12="","",INDEX($AP$6:$AP$35,BC12))</f>
        <v>7</v>
      </c>
      <c r="AY12">
        <f>IF(BC12="","",INDEX($AQ$6:$AQ$35,BC12))</f>
        <v>5</v>
      </c>
      <c r="AZ12">
        <f>IF(BC12="","",INDEX($AR$6:$AR$35,BC12))</f>
        <v>2</v>
      </c>
      <c r="BA12">
        <f>IF(BC12="","",INDEX($AS$6:$AS$35,BC12))</f>
        <v>2</v>
      </c>
      <c r="BB12">
        <f>IF(BC12="","",IFERROR(AX12/SUM($AP$6:$AP$35),0))</f>
        <v>0.0729166666666667</v>
      </c>
      <c r="BC12">
        <f>IF(LARGE($AT$6:$AT$35,AV12)&lt;0,"",MATCH(LARGE($AT$6:$AT$35,AV12),$AT$6:$AT$35,0))</f>
        <v>6</v>
      </c>
      <c r="BF12" t="str">
        <f>IF(AND(OR(PROCESSOS!P12="NO PRAZO",PROCESSOS!P12="VENCE EM BREVE"),OR(FiltroResp="TODOS",FiltroResp="",PROCESSOS!H12=FiltroResp)),PROCESSOS!N12+ROW()/1000000,"")</f>
        <v/>
      </c>
      <c r="BG12">
        <f>IF(AND(PROCESSOS!B12&lt;&gt;"",ISNUMBER(PROCESSOS!D12),OR(FiltroResp="TODOS",FiltroResp="",PROCESSOS!H12=FiltroResp)),PROCESSOS!D12+ROW()/1000000,"")</f>
        <v>46099.00001200232</v>
      </c>
      <c r="BI12" t="n">
        <v>8</v>
      </c>
      <c r="BJ12">
        <f>IFERROR(MATCH(SMALL(hProx,BI12),hProx,0),"")</f>
        <v>92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64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16</v>
      </c>
      <c r="O13">
        <f>COUNTIFS(rEmpresa,"&lt;&gt;",rResp,critResp,rDataFisc,"&gt;="&amp;DATE(FiltroAno,L13,1),rDataFisc,"&lt;"&amp;DATE(FiltroAno,L13+1,1),rNotif,"NOTIFICAÇÃO DE CONSTATAÇÃO")</f>
        <v>11</v>
      </c>
      <c r="P13">
        <f>COUNTIFS(rEmpresa,"&lt;&gt;",rResp,critResp,rDataFisc,"&gt;="&amp;DATE(FiltroAno,L13,1),rDataFisc,"&lt;"&amp;DATE(FiltroAno,L13+1,1),rNotif,"NOTIFICAÇÃO DE ESCLARECIMENTO")</f>
        <v>5</v>
      </c>
      <c r="Q13">
        <f>COUNTIFS(rEmpresa,"&lt;&gt;",rResp,critResp,rDataFisc,"&gt;="&amp;DATE(FiltroAno,L13,1),rDataFisc,"&lt;"&amp;DATE(FiltroAno,L13+1,1),rTipo,"PRESENCIAL")</f>
        <v>11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64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8</v>
      </c>
      <c r="Y13">
        <f>IF(W13="",0,COUNTIFS(rResp,W13,rEmpresa,"&lt;&gt;",rStatus,"PRAZO D.P"))</f>
        <v>3</v>
      </c>
      <c r="Z13">
        <f>IF(W13="",0,COUNTIFS(rResp,W13,rEmpresa,"&lt;&gt;",rStatus,"DECISÃO D.P"))</f>
        <v>5</v>
      </c>
      <c r="AA13">
        <f>IF(W13="",0,COUNTIFS(rResp,W13,rEmpresa,"&lt;&gt;",rSit,"NO PRAZO"))</f>
        <v>1</v>
      </c>
      <c r="AB13">
        <f>IF(W13="",0,COUNTIFS(rResp,W13,rEmpresa,"&lt;&gt;",rSit,"VENCE EM BREVE"))</f>
        <v>0</v>
      </c>
      <c r="AC13">
        <f>IF(W13="",-1,X13+(100-ROW())/1000)</f>
        <v>8.087</v>
      </c>
      <c r="AE13" t="n">
        <v>8</v>
      </c>
      <c r="AF13" t="str">
        <f>IF(AM13="","",INDEX($W$6:$W$20,AM13))</f>
        <v>EDUARDA LIMA</v>
      </c>
      <c r="AG13">
        <f>IF(AM13="","",INDEX($X$6:$X$20,AM13))</f>
        <v>6</v>
      </c>
      <c r="AH13">
        <f>IF(AM13="","",INDEX($Y$6:$Y$20,AM13))</f>
        <v>1</v>
      </c>
      <c r="AI13">
        <f>IF(AM13="","",INDEX($Z$6:$Z$20,AM13))</f>
        <v>5</v>
      </c>
      <c r="AJ13">
        <f>IF(AM13="","",INDEX($AA$6:$AA$20,AM13))</f>
        <v>0</v>
      </c>
      <c r="AK13">
        <f>IF(AM13="","",INDEX($AB$6:$AB$20,AM13))</f>
        <v>1</v>
      </c>
      <c r="AL13">
        <f>IF(AM13="","",IFERROR(AG13/SUM($X$6:$X$20),0))</f>
        <v>0.0625</v>
      </c>
      <c r="AM13">
        <f>IF(LARGE($AC$6:$AC$20,AE13)&lt;0,"",MATCH(LARGE($AC$6:$AC$20,AE13),$AC$6:$AC$20,0))</f>
        <v>5</v>
      </c>
      <c r="AO13" t="str">
        <f>IF(CADASTROS!$B$13="","",CADASTROS!$B$13)</f>
        <v>BANCO</v>
      </c>
      <c r="AP13">
        <f>IF(AO13="",0,COUNTIFS(rEmpresa,"&lt;&gt;",rResp,critResp,rRamo,AO13))</f>
        <v>5</v>
      </c>
      <c r="AQ13">
        <f>IF(AO13="",0,COUNTIFS(rEmpresa,"&lt;&gt;",rResp,critResp,rRamo,AO13,rNotif,"NOTIFICAÇÃO DE CONSTATAÇÃO"))</f>
        <v>4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2</v>
      </c>
      <c r="AT13">
        <f>IF(AO13="",-1,AP13+(100-ROW())/1000)</f>
        <v>5.087</v>
      </c>
      <c r="AV13" t="n">
        <v>8</v>
      </c>
      <c r="AW13" t="str">
        <f>IF(BC13="","",INDEX($AO$6:$AO$35,BC13))</f>
        <v>OUTROS</v>
      </c>
      <c r="AX13">
        <f>IF(BC13="","",INDEX($AP$6:$AP$35,BC13))</f>
        <v>7</v>
      </c>
      <c r="AY13">
        <f>IF(BC13="","",INDEX($AQ$6:$AQ$35,BC13))</f>
        <v>4</v>
      </c>
      <c r="AZ13">
        <f>IF(BC13="","",INDEX($AR$6:$AR$35,BC13))</f>
        <v>3</v>
      </c>
      <c r="BA13">
        <f>IF(BC13="","",INDEX($AS$6:$AS$35,BC13))</f>
        <v>3</v>
      </c>
      <c r="BB13">
        <f>IF(BC13="","",IFERROR(AX13/SUM($AP$6:$AP$35),0))</f>
        <v>0.0729166666666667</v>
      </c>
      <c r="BC13">
        <f>IF(LARGE($AT$6:$AT$35,AV13)&lt;0,"",MATCH(LARGE($AT$6:$AT$35,AV13),$AT$6:$AT$35,0))</f>
        <v>12</v>
      </c>
      <c r="BF13" t="str">
        <f>IF(AND(OR(PROCESSOS!P13="NO PRAZO",PROCESSOS!P13="VENCE EM BREVE"),OR(FiltroResp="TODOS",FiltroResp="",PROCESSOS!H13=FiltroResp)),PROCESSOS!N13+ROW()/1000000,"")</f>
        <v/>
      </c>
      <c r="BG13">
        <f>IF(AND(PROCESSOS!B13&lt;&gt;"",ISNUMBER(PROCESSOS!D13),OR(FiltroResp="TODOS",FiltroResp="",PROCESSOS!H13=FiltroResp)),PROCESSOS!D13+ROW()/1000000,"")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19</v>
      </c>
      <c r="O14">
        <f>COUNTIFS(rEmpresa,"&lt;&gt;",rResp,critResp,rDataFisc,"&gt;="&amp;DATE(FiltroAno,L14,1),rDataFisc,"&lt;"&amp;DATE(FiltroAno,L14+1,1),rNotif,"NOTIFICAÇÃO DE CONSTATAÇÃO")</f>
        <v>12</v>
      </c>
      <c r="P14">
        <f>COUNTIFS(rEmpresa,"&lt;&gt;",rResp,critResp,rDataFisc,"&gt;="&amp;DATE(FiltroAno,L14,1),rDataFisc,"&lt;"&amp;DATE(FiltroAno,L14+1,1),rNotif,"NOTIFICAÇÃO DE ESCLARECIMENTO")</f>
        <v>7</v>
      </c>
      <c r="Q14">
        <f>COUNTIFS(rEmpresa,"&lt;&gt;",rResp,critResp,rDataFisc,"&gt;="&amp;DATE(FiltroAno,L14,1),rDataFisc,"&lt;"&amp;DATE(FiltroAno,L14+1,1),rTipo,"PRESENCIAL")</f>
        <v>7</v>
      </c>
      <c r="R14">
        <f>COUNTIFS(rEmpresa,"&lt;&gt;",rResp,critResp,rDataFisc,"&gt;="&amp;DATE(FiltroAno,L14,1),rDataFisc,"&lt;"&amp;DATE(FiltroAno,L14+1,1),rTipo,"ELETRÔNICA")</f>
        <v>12</v>
      </c>
      <c r="S14">
        <f>MetaMensal</f>
        <v>12</v>
      </c>
      <c r="T14">
        <f>SUM($N$6:N14)</f>
        <v>83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8</v>
      </c>
      <c r="AQ14">
        <f>IF(AO14="",0,COUNTIFS(rEmpresa,"&lt;&gt;",rResp,critResp,rRamo,AO14,rNotif,"NOTIFICAÇÃO DE CONSTATAÇÃO"))</f>
        <v>8</v>
      </c>
      <c r="AR14">
        <f>IF(AO14="",0,COUNTIFS(rEmpresa,"&lt;&gt;",rResp,critResp,rRamo,AO14,rNotif,"NOTIFICAÇÃO DE ESCLARECIMENTO"))</f>
        <v>0</v>
      </c>
      <c r="AS14">
        <f>IF(AO14="",0,COUNTIFS(rEmpresa,"&lt;&gt;",rResp,critResp,rRamo,AO14,rStatus,"PRAZO D.P"))</f>
        <v>3</v>
      </c>
      <c r="AT14">
        <f>IF(AO14="",-1,AP14+(100-ROW())/1000)</f>
        <v>8.086</v>
      </c>
      <c r="AV14" t="n">
        <v>9</v>
      </c>
      <c r="AW14" t="str">
        <f>IF(BC14="","",INDEX($AO$6:$AO$35,BC14))</f>
        <v>POSTO DE COMBUSTÍVEL</v>
      </c>
      <c r="AX14">
        <f>IF(BC14="","",INDEX($AP$6:$AP$35,BC14))</f>
        <v>6</v>
      </c>
      <c r="AY14">
        <f>IF(BC14="","",INDEX($AQ$6:$AQ$35,BC14))</f>
        <v>1</v>
      </c>
      <c r="AZ14">
        <f>IF(BC14="","",INDEX($AR$6:$AR$35,BC14))</f>
        <v>5</v>
      </c>
      <c r="BA14">
        <f>IF(BC14="","",INDEX($AS$6:$AS$35,BC14))</f>
        <v>3</v>
      </c>
      <c r="BB14">
        <f>IF(BC14="","",IFERROR(AX14/SUM($AP$6:$AP$35),0))</f>
        <v>0.0625</v>
      </c>
      <c r="BC14">
        <f>IF(LARGE($AT$6:$AT$35,AV14)&lt;0,"",MATCH(LARGE($AT$6:$AT$35,AV14),$AT$6:$AT$35,0))</f>
        <v>2</v>
      </c>
      <c r="BF14" t="str">
        <f>IF(AND(OR(PROCESSOS!P14="NO PRAZO",PROCESSOS!P14="VENCE EM BREVE"),OR(FiltroResp="TODOS",FiltroResp="",PROCESSOS!H14=FiltroResp)),PROCESSOS!N14+ROW()/1000000,"")</f>
        <v/>
      </c>
      <c r="BG14">
        <f>IF(AND(PROCESSOS!B14&lt;&gt;"",ISNUMBER(PROCESSOS!D14),OR(FiltroResp="TODOS",FiltroResp="",PROCESSOS!H14=FiltroResp)),PROCESSOS!D14+ROW()/1000000,"")</f>
        <v>46121.00001400463</v>
      </c>
      <c r="BI14" t="n">
        <v>10</v>
      </c>
      <c r="BJ14">
        <f>IFERROR(MATCH(SMALL(hProx,BI14),hProx,0),"")</f>
        <v>96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13</v>
      </c>
      <c r="O15">
        <f>COUNTIFS(rEmpresa,"&lt;&gt;",rResp,critResp,rDataFisc,"&gt;="&amp;DATE(FiltroAno,L15,1),rDataFisc,"&lt;"&amp;DATE(FiltroAno,L15+1,1),rNotif,"NOTIFICAÇÃO DE CONSTATAÇÃO")</f>
        <v>6</v>
      </c>
      <c r="P15">
        <f>COUNTIFS(rEmpresa,"&lt;&gt;",rResp,critResp,rDataFisc,"&gt;="&amp;DATE(FiltroAno,L15,1),rDataFisc,"&lt;"&amp;DATE(FiltroAno,L15+1,1),rNotif,"NOTIFICAÇÃO DE ESCLARECIMENTO")</f>
        <v>7</v>
      </c>
      <c r="Q15">
        <f>COUNTIFS(rEmpresa,"&lt;&gt;",rResp,critResp,rDataFisc,"&gt;="&amp;DATE(FiltroAno,L15,1),rDataFisc,"&lt;"&amp;DATE(FiltroAno,L15+1,1),rTipo,"PRESENCIAL")</f>
        <v>7</v>
      </c>
      <c r="R15">
        <f>COUNTIFS(rEmpresa,"&lt;&gt;",rResp,critResp,rDataFisc,"&gt;="&amp;DATE(FiltroAno,L15,1),rDataFisc,"&lt;"&amp;DATE(FiltroAno,L15+1,1),rTipo,"ELETRÔNICA")</f>
        <v>6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5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3</v>
      </c>
      <c r="AS15">
        <f>IF(AO15="",0,COUNTIFS(rEmpresa,"&lt;&gt;",rResp,critResp,rRamo,AO15,rStatus,"PRAZO D.P"))</f>
        <v>1</v>
      </c>
      <c r="AT15">
        <f>IF(AO15="",-1,AP15+(100-ROW())/1000)</f>
        <v>5.085</v>
      </c>
      <c r="AV15" t="n">
        <v>10</v>
      </c>
      <c r="AW15" t="str">
        <f>IF(BC15="","",INDEX($AO$6:$AO$35,BC15))</f>
        <v>BANCO</v>
      </c>
      <c r="AX15">
        <f>IF(BC15="","",INDEX($AP$6:$AP$35,BC15))</f>
        <v>5</v>
      </c>
      <c r="AY15">
        <f>IF(BC15="","",INDEX($AQ$6:$AQ$35,BC15))</f>
        <v>4</v>
      </c>
      <c r="AZ15">
        <f>IF(BC15="","",INDEX($AR$6:$AR$35,BC15))</f>
        <v>1</v>
      </c>
      <c r="BA15">
        <f>IF(BC15="","",INDEX($AS$6:$AS$35,BC15))</f>
        <v>2</v>
      </c>
      <c r="BB15">
        <f>IF(BC15="","",IFERROR(AX15/SUM($AP$6:$AP$35),0))</f>
        <v>0.0520833333333333</v>
      </c>
      <c r="BC15">
        <f>IF(LARGE($AT$6:$AT$35,AV15)&lt;0,"",MATCH(LARGE($AT$6:$AT$35,AV15),$AT$6:$AT$35,0))</f>
        <v>8</v>
      </c>
      <c r="BF15" t="str">
        <f>IF(AND(OR(PROCESSOS!P15="NO PRAZO",PROCESSOS!P15="VENCE EM BREVE"),OR(FiltroResp="TODOS",FiltroResp="",PROCESSOS!H15=FiltroResp)),PROCESSOS!N15+ROW()/1000000,"")</f>
        <v/>
      </c>
      <c r="BG15">
        <f>IF(AND(PROCESSOS!B15&lt;&gt;"",ISNUMBER(PROCESSOS!D15),OR(FiltroResp="TODOS",FiltroResp="",PROCESSOS!H15=FiltroResp)),PROCESSOS!D15+ROW()/1000000,"")</f>
        <v>46130.000015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2</v>
      </c>
      <c r="AR16">
        <f>IF(AO16="",0,COUNTIFS(rEmpresa,"&lt;&gt;",rResp,critResp,rRamo,AO16,rNotif,"NOTIFICAÇÃO DE ESCLARECIMENTO"))</f>
        <v>1</v>
      </c>
      <c r="AS16">
        <f>IF(AO16="",0,COUNTIFS(rEmpresa,"&lt;&gt;",rResp,critResp,rRamo,AO16,rStatus,"PRAZO D.P"))</f>
        <v>2</v>
      </c>
      <c r="AT16">
        <f>IF(AO16="",-1,AP16+(100-ROW())/1000)</f>
        <v>3.084</v>
      </c>
      <c r="AV16" t="n">
        <v>11</v>
      </c>
      <c r="AW16" t="str">
        <f>IF(BC16="","",INDEX($AO$6:$AO$35,BC16))</f>
        <v>TELEFONIA</v>
      </c>
      <c r="AX16">
        <f>IF(BC16="","",INDEX($AP$6:$AP$35,BC16))</f>
        <v>5</v>
      </c>
      <c r="AY16">
        <f>IF(BC16="","",INDEX($AQ$6:$AQ$35,BC16))</f>
        <v>2</v>
      </c>
      <c r="AZ16">
        <f>IF(BC16="","",INDEX($AR$6:$AR$35,BC16))</f>
        <v>3</v>
      </c>
      <c r="BA16">
        <f>IF(BC16="","",INDEX($AS$6:$AS$35,BC16))</f>
        <v>1</v>
      </c>
      <c r="BB16">
        <f>IF(BC16="","",IFERROR(AX16/SUM($AP$6:$AP$35),0))</f>
        <v>0.0520833333333333</v>
      </c>
      <c r="BC16">
        <f>IF(LARGE($AT$6:$AT$35,AV16)&lt;0,"",MATCH(LARGE($AT$6:$AT$35,AV16),$AT$6:$AT$35,0))</f>
        <v>10</v>
      </c>
      <c r="BF16" t="str">
        <f>IF(AND(OR(PROCESSOS!P16="NO PRAZO",PROCESSOS!P16="VENCE EM BREVE"),OR(FiltroResp="TODOS",FiltroResp="",PROCESSOS!H16=FiltroResp)),PROCESSOS!N16+ROW()/1000000,"")</f>
        <v/>
      </c>
      <c r="BG16">
        <f>IF(AND(PROCESSOS!B16&lt;&gt;"",ISNUMBER(PROCESSOS!D16),OR(FiltroResp="TODOS",FiltroResp="",PROCESSOS!H16=FiltroResp)),PROCESSOS!D16+ROW()/1000000,"")</f>
        <v>46134.00001599537</v>
      </c>
    </row>
    <row r="17">
      <c r="E17" t="str">
        <f>IF(CADASTROS!$D$17="","",CADASTROS!$D$17)</f>
        <v/>
      </c>
      <c r="I17" s="134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7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3</v>
      </c>
      <c r="AS17">
        <f>IF(AO17="",0,COUNTIFS(rEmpresa,"&lt;&gt;",rResp,critResp,rRamo,AO17,rStatus,"PRAZO D.P"))</f>
        <v>3</v>
      </c>
      <c r="AT17">
        <f>IF(AO17="",-1,AP17+(100-ROW())/1000)</f>
        <v>7.083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2</v>
      </c>
      <c r="AZ17">
        <f>IF(BC17="","",INDEX($AR$6:$AR$35,BC17))</f>
        <v>1</v>
      </c>
      <c r="BA17">
        <f>IF(BC17="","",INDEX($AS$6:$AS$35,BC17))</f>
        <v>2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IF(AND(OR(PROCESSOS!P17="NO PRAZO",PROCESSOS!P17="VENCE EM BREVE"),OR(FiltroResp="TODOS",FiltroResp="",PROCESSOS!H17=FiltroResp)),PROCESSOS!N17+ROW()/1000000,"")</f>
        <v/>
      </c>
      <c r="BG17">
        <f>IF(AND(PROCESSOS!B17&lt;&gt;"",ISNUMBER(PROCESSOS!D17),OR(FiltroResp="TODOS",FiltroResp="",PROCESSOS!H17=FiltroResp)),PROCESSOS!D17+ROW()/1000000,"")</f>
        <v>46138.00001700231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54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IF(AND(OR(PROCESSOS!P18="NO PRAZO",PROCESSOS!P18="VENCE EM BREVE"),OR(FiltroResp="TODOS",FiltroResp="",PROCESSOS!H18=FiltroResp)),PROCESSOS!N18+ROW()/1000000,"")</f>
        <v/>
      </c>
      <c r="BG18">
        <f>IF(AND(PROCESSOS!B18&lt;&gt;"",ISNUMBER(PROCESSOS!D18),OR(FiltroResp="TODOS",FiltroResp="",PROCESSOS!H18=FiltroResp)),PROCESSOS!D18+ROW()/1000000,"")</f>
        <v>46140.000017997685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42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IF(AND(OR(PROCESSOS!P19="NO PRAZO",PROCESSOS!P19="VENCE EM BREVE"),OR(FiltroResp="TODOS",FiltroResp="",PROCESSOS!H19=FiltroResp)),PROCESSOS!N19+ROW()/1000000,"")</f>
        <v/>
      </c>
      <c r="BG19">
        <f>IF(AND(PROCESSOS!B19&lt;&gt;"",ISNUMBER(PROCESSOS!D19),OR(FiltroResp="TODOS",FiltroResp="",PROCESSOS!H19=FiltroResp)),PROCESSOS!D19+ROW()/1000000,"")</f>
        <v>46141.00001900463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IF(AND(OR(PROCESSOS!P20="NO PRAZO",PROCESSOS!P20="VENCE EM BREVE"),OR(FiltroResp="TODOS",FiltroResp="",PROCESSOS!H20=FiltroResp)),PROCESSOS!N20+ROW()/1000000,"")</f>
        <v/>
      </c>
      <c r="BG20">
        <f>IF(AND(PROCESSOS!B20&lt;&gt;"",ISNUMBER(PROCESSOS!D20),OR(FiltroResp="TODOS",FiltroResp="",PROCESSOS!H20=FiltroResp)),PROCESSOS!D20+ROW()/1000000,"")</f>
        <v>46146.00002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IF(AND(OR(PROCESSOS!P21="NO PRAZO",PROCESSOS!P21="VENCE EM BREVE"),OR(FiltroResp="TODOS",FiltroResp="",PROCESSOS!H21=FiltroResp)),PROCESSOS!N21+ROW()/1000000,"")</f>
        <v/>
      </c>
      <c r="BG21">
        <f>IF(AND(PROCESSOS!B21&lt;&gt;"",ISNUMBER(PROCESSOS!D21),OR(FiltroResp="TODOS",FiltroResp="",PROCESSOS!H21=FiltroResp)),PROCESSOS!D21+ROW()/1000000,"")</f>
        <v>46150.00002099537</v>
      </c>
    </row>
    <row r="22">
      <c r="I22" s="134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IF(AND(OR(PROCESSOS!P22="NO PRAZO",PROCESSOS!P22="VENCE EM BREVE"),OR(FiltroResp="TODOS",FiltroResp="",PROCESSOS!H22=FiltroResp)),PROCESSOS!N22+ROW()/1000000,"")</f>
        <v/>
      </c>
      <c r="BG22">
        <f>IF(AND(PROCESSOS!B22&lt;&gt;"",ISNUMBER(PROCESSOS!D22),OR(FiltroResp="TODOS",FiltroResp="",PROCESSOS!H22=FiltroResp)),PROCESSOS!D22+ROW()/1000000,"")</f>
        <v>46151.000022002314</v>
      </c>
    </row>
    <row r="23">
      <c r="I23" t="inlineStr">
        <is>
          <t>Presencial</t>
        </is>
      </c>
      <c r="J23">
        <f>COUNTIFS(rEmpresa,"&lt;&gt;",rResp,critResp,rTipo,"PRESENCIAL")</f>
        <v>56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IF(AND(OR(PROCESSOS!P23="NO PRAZO",PROCESSOS!P23="VENCE EM BREVE"),OR(FiltroResp="TODOS",FiltroResp="",PROCESSOS!H23=FiltroResp)),PROCESSOS!N23+ROW()/1000000,"")</f>
        <v/>
      </c>
      <c r="BG23">
        <f>IF(AND(PROCESSOS!B23&lt;&gt;"",ISNUMBER(PROCESSOS!D23),OR(FiltroResp="TODOS",FiltroResp="",PROCESSOS!H23=FiltroResp)),PROCESSOS!D23+ROW()/1000000,"")</f>
        <v>46152.00002299769</v>
      </c>
    </row>
    <row r="24">
      <c r="I24" t="inlineStr">
        <is>
          <t>Eletrônica</t>
        </is>
      </c>
      <c r="J24">
        <f>COUNTIFS(rEmpresa,"&lt;&gt;",rResp,critResp,rTipo,"ELETRÔNICA")</f>
        <v>40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IF(AND(OR(PROCESSOS!P24="NO PRAZO",PROCESSOS!P24="VENCE EM BREVE"),OR(FiltroResp="TODOS",FiltroResp="",PROCESSOS!H24=FiltroResp)),PROCESSOS!N24+ROW()/1000000,"")</f>
        <v/>
      </c>
      <c r="BG24">
        <f>IF(AND(PROCESSOS!B24&lt;&gt;"",ISNUMBER(PROCESSOS!D24),OR(FiltroResp="TODOS",FiltroResp="",PROCESSOS!H24=FiltroResp)),PROCESSOS!D24+ROW()/1000000,"")</f>
        <v>46156.00002400463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IF(AND(OR(PROCESSOS!P25="NO PRAZO",PROCESSOS!P25="VENCE EM BREVE"),OR(FiltroResp="TODOS",FiltroResp="",PROCESSOS!H25=FiltroResp)),PROCESSOS!N25+ROW()/1000000,"")</f>
        <v/>
      </c>
      <c r="BG25">
        <f>IF(AND(PROCESSOS!B25&lt;&gt;"",ISNUMBER(PROCESSOS!D25),OR(FiltroResp="TODOS",FiltroResp="",PROCESSOS!H25=FiltroResp)),PROCESSOS!D25+ROW()/1000000,"")</f>
        <v>46156.000025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IF(AND(OR(PROCESSOS!P26="NO PRAZO",PROCESSOS!P26="VENCE EM BREVE"),OR(FiltroResp="TODOS",FiltroResp="",PROCESSOS!H26=FiltroResp)),PROCESSOS!N26+ROW()/1000000,"")</f>
        <v/>
      </c>
      <c r="BG26">
        <f>IF(AND(PROCESSOS!B26&lt;&gt;"",ISNUMBER(PROCESSOS!D26),OR(FiltroResp="TODOS",FiltroResp="",PROCESSOS!H26=FiltroResp)),PROCESSOS!D26+ROW()/1000000,"")</f>
        <v>46157.00002599537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IF(AND(OR(PROCESSOS!P27="NO PRAZO",PROCESSOS!P27="VENCE EM BREVE"),OR(FiltroResp="TODOS",FiltroResp="",PROCESSOS!H27=FiltroResp)),PROCESSOS!N27+ROW()/1000000,"")</f>
        <v/>
      </c>
      <c r="BG27">
        <f>IF(AND(PROCESSOS!B27&lt;&gt;"",ISNUMBER(PROCESSOS!D27),OR(FiltroResp="TODOS",FiltroResp="",PROCESSOS!H27=FiltroResp)),PROCESSOS!D27+ROW()/1000000,"")</f>
        <v>46162.000027002316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32</v>
      </c>
      <c r="K28">
        <f>COUNTIFS(rEmpresa,"&lt;&gt;",rResp,critResp,rNotif,"NOTIFICAÇÃO DE CONSTATAÇÃO",rTipo,"ELETRÔNICA")</f>
        <v>22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IF(AND(OR(PROCESSOS!P28="NO PRAZO",PROCESSOS!P28="VENCE EM BREVE"),OR(FiltroResp="TODOS",FiltroResp="",PROCESSOS!H28=FiltroResp)),PROCESSOS!N28+ROW()/1000000,"")</f>
        <v/>
      </c>
      <c r="BG28">
        <f>IF(AND(PROCESSOS!B28&lt;&gt;"",ISNUMBER(PROCESSOS!D28),OR(FiltroResp="TODOS",FiltroResp="",PROCESSOS!H28=FiltroResp)),PROCESSOS!D28+ROW()/1000000,"")</f>
        <v>46163.00002799769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24</v>
      </c>
      <c r="K29">
        <f>COUNTIFS(rEmpresa,"&lt;&gt;",rResp,critResp,rNotif,"NOTIFICAÇÃO DE ESCLARECIMENTO",rTipo,"ELETRÔNICA")</f>
        <v>18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IF(AND(OR(PROCESSOS!P29="NO PRAZO",PROCESSOS!P29="VENCE EM BREVE"),OR(FiltroResp="TODOS",FiltroResp="",PROCESSOS!H29=FiltroResp)),PROCESSOS!N29+ROW()/1000000,"")</f>
        <v/>
      </c>
      <c r="BG29">
        <f>IF(AND(PROCESSOS!B29&lt;&gt;"",ISNUMBER(PROCESSOS!D29),OR(FiltroResp="TODOS",FiltroResp="",PROCESSOS!H29=FiltroResp)),PROCESSOS!D29+ROW()/1000000,"")</f>
        <v>46165.00002900463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IF(AND(OR(PROCESSOS!P30="NO PRAZO",PROCESSOS!P30="VENCE EM BREVE"),OR(FiltroResp="TODOS",FiltroResp="",PROCESSOS!H30=FiltroResp)),PROCESSOS!N30+ROW()/1000000,"")</f>
        <v/>
      </c>
      <c r="BG30">
        <f>IF(AND(PROCESSOS!B30&lt;&gt;"",ISNUMBER(PROCESSOS!D30),OR(FiltroResp="TODOS",FiltroResp="",PROCESSOS!H30=FiltroResp)),PROCESSOS!D30+ROW()/1000000,"")</f>
        <v>46167.00003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IF(AND(OR(PROCESSOS!P31="NO PRAZO",PROCESSOS!P31="VENCE EM BREVE"),OR(FiltroResp="TODOS",FiltroResp="",PROCESSOS!H31=FiltroResp)),PROCESSOS!N31+ROW()/1000000,"")</f>
        <v/>
      </c>
      <c r="BG31">
        <f>IF(AND(PROCESSOS!B31&lt;&gt;"",ISNUMBER(PROCESSOS!D31),OR(FiltroResp="TODOS",FiltroResp="",PROCESSOS!H31=FiltroResp)),PROCESSOS!D31+ROW()/1000000,"")</f>
        <v>46169.00003099537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IF(AND(OR(PROCESSOS!P32="NO PRAZO",PROCESSOS!P32="VENCE EM BREVE"),OR(FiltroResp="TODOS",FiltroResp="",PROCESSOS!H32=FiltroResp)),PROCESSOS!N32+ROW()/1000000,"")</f>
        <v/>
      </c>
      <c r="BG32">
        <f>IF(AND(PROCESSOS!B32&lt;&gt;"",ISNUMBER(PROCESSOS!D32),OR(FiltroResp="TODOS",FiltroResp="",PROCESSOS!H32=FiltroResp)),PROCESSOS!D32+ROW()/1000000,"")</f>
        <v>46177.00003200232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IF(AND(OR(PROCESSOS!P33="NO PRAZO",PROCESSOS!P33="VENCE EM BREVE"),OR(FiltroResp="TODOS",FiltroResp="",PROCESSOS!H33=FiltroResp)),PROCESSOS!N33+ROW()/1000000,"")</f>
        <v/>
      </c>
      <c r="BG33">
        <f>IF(AND(PROCESSOS!B33&lt;&gt;"",ISNUMBER(PROCESSOS!D33),OR(FiltroResp="TODOS",FiltroResp="",PROCESSOS!H33=FiltroResp)),PROCESSOS!D33+ROW()/1000000,"")</f>
        <v>46178.00003299768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IF(AND(OR(PROCESSOS!P34="NO PRAZO",PROCESSOS!P34="VENCE EM BREVE"),OR(FiltroResp="TODOS",FiltroResp="",PROCESSOS!H34=FiltroResp)),PROCESSOS!N34+ROW()/1000000,"")</f>
        <v/>
      </c>
      <c r="BG34">
        <f>IF(AND(PROCESSOS!B34&lt;&gt;"",ISNUMBER(PROCESSOS!D34),OR(FiltroResp="TODOS",FiltroResp="",PROCESSOS!H34=FiltroResp)),PROCESSOS!D34+ROW()/1000000,"")</f>
        <v>46183.00003400463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IF(AND(OR(PROCESSOS!P35="NO PRAZO",PROCESSOS!P35="VENCE EM BREVE"),OR(FiltroResp="TODOS",FiltroResp="",PROCESSOS!H35=FiltroResp)),PROCESSOS!N35+ROW()/1000000,"")</f>
        <v/>
      </c>
      <c r="BG35">
        <f>IF(AND(PROCESSOS!B35&lt;&gt;"",ISNUMBER(PROCESSOS!D35),OR(FiltroResp="TODOS",FiltroResp="",PROCESSOS!H35=FiltroResp)),PROCESSOS!D35+ROW()/1000000,"")</f>
        <v>46186.000035</v>
      </c>
    </row>
    <row r="36">
      <c r="BF36" t="str">
        <f>IF(AND(OR(PROCESSOS!P36="NO PRAZO",PROCESSOS!P36="VENCE EM BREVE"),OR(FiltroResp="TODOS",FiltroResp="",PROCESSOS!H36=FiltroResp)),PROCESSOS!N36+ROW()/1000000,"")</f>
        <v/>
      </c>
      <c r="BG36">
        <f>IF(AND(PROCESSOS!B36&lt;&gt;"",ISNUMBER(PROCESSOS!D36),OR(FiltroResp="TODOS",FiltroResp="",PROCESSOS!H36=FiltroResp)),PROCESSOS!D36+ROW()/1000000,"")</f>
        <v>46196.00003599537</v>
      </c>
    </row>
    <row r="37">
      <c r="BF37" t="str">
        <f>IF(AND(OR(PROCESSOS!P37="NO PRAZO",PROCESSOS!P37="VENCE EM BREVE"),OR(FiltroResp="TODOS",FiltroResp="",PROCESSOS!H37=FiltroResp)),PROCESSOS!N37+ROW()/1000000,"")</f>
        <v/>
      </c>
      <c r="BG37">
        <f>IF(AND(PROCESSOS!B37&lt;&gt;"",ISNUMBER(PROCESSOS!D37),OR(FiltroResp="TODOS",FiltroResp="",PROCESSOS!H37=FiltroResp)),PROCESSOS!D37+ROW()/1000000,"")</f>
        <v>46196.00003700231</v>
      </c>
    </row>
    <row r="38">
      <c r="BF38" t="str">
        <f>IF(AND(OR(PROCESSOS!P38="NO PRAZO",PROCESSOS!P38="VENCE EM BREVE"),OR(FiltroResp="TODOS",FiltroResp="",PROCESSOS!H38=FiltroResp)),PROCESSOS!N38+ROW()/1000000,"")</f>
        <v/>
      </c>
      <c r="BG38">
        <f>IF(AND(PROCESSOS!B38&lt;&gt;"",ISNUMBER(PROCESSOS!D38),OR(FiltroResp="TODOS",FiltroResp="",PROCESSOS!H38=FiltroResp)),PROCESSOS!D38+ROW()/1000000,"")</f>
        <v>46196.000037997685</v>
      </c>
    </row>
    <row r="39">
      <c r="BF39" t="str">
        <f>IF(AND(OR(PROCESSOS!P39="NO PRAZO",PROCESSOS!P39="VENCE EM BREVE"),OR(FiltroResp="TODOS",FiltroResp="",PROCESSOS!H39=FiltroResp)),PROCESSOS!N39+ROW()/1000000,"")</f>
        <v/>
      </c>
      <c r="BG39">
        <f>IF(AND(PROCESSOS!B39&lt;&gt;"",ISNUMBER(PROCESSOS!D39),OR(FiltroResp="TODOS",FiltroResp="",PROCESSOS!H39=FiltroResp)),PROCESSOS!D39+ROW()/1000000,"")</f>
        <v>46197.000039004626</v>
      </c>
    </row>
    <row r="40">
      <c r="BF40" t="str">
        <f>IF(AND(OR(PROCESSOS!P40="NO PRAZO",PROCESSOS!P40="VENCE EM BREVE"),OR(FiltroResp="TODOS",FiltroResp="",PROCESSOS!H40=FiltroResp)),PROCESSOS!N40+ROW()/1000000,"")</f>
        <v/>
      </c>
      <c r="BG40">
        <f>IF(AND(PROCESSOS!B40&lt;&gt;"",ISNUMBER(PROCESSOS!D40),OR(FiltroResp="TODOS",FiltroResp="",PROCESSOS!H40=FiltroResp)),PROCESSOS!D40+ROW()/1000000,"")</f>
        <v>46201.00004</v>
      </c>
    </row>
    <row r="41">
      <c r="BF41" t="str">
        <f>IF(AND(OR(PROCESSOS!P41="NO PRAZO",PROCESSOS!P41="VENCE EM BREVE"),OR(FiltroResp="TODOS",FiltroResp="",PROCESSOS!H41=FiltroResp)),PROCESSOS!N41+ROW()/1000000,"")</f>
        <v/>
      </c>
      <c r="BG41">
        <f>IF(AND(PROCESSOS!B41&lt;&gt;"",ISNUMBER(PROCESSOS!D41),OR(FiltroResp="TODOS",FiltroResp="",PROCESSOS!H41=FiltroResp)),PROCESSOS!D41+ROW()/1000000,"")</f>
        <v>46206.00004099537</v>
      </c>
    </row>
    <row r="42">
      <c r="BF42" t="str">
        <f>IF(AND(OR(PROCESSOS!P42="NO PRAZO",PROCESSOS!P42="VENCE EM BREVE"),OR(FiltroResp="TODOS",FiltroResp="",PROCESSOS!H42=FiltroResp)),PROCESSOS!N42+ROW()/1000000,"")</f>
        <v/>
      </c>
      <c r="BG42">
        <f>IF(AND(PROCESSOS!B42&lt;&gt;"",ISNUMBER(PROCESSOS!D42),OR(FiltroResp="TODOS",FiltroResp="",PROCESSOS!H42=FiltroResp)),PROCESSOS!D42+ROW()/1000000,"")</f>
        <v>46207.00004200231</v>
      </c>
    </row>
    <row r="43">
      <c r="BF43" t="str">
        <f>IF(AND(OR(PROCESSOS!P43="NO PRAZO",PROCESSOS!P43="VENCE EM BREVE"),OR(FiltroResp="TODOS",FiltroResp="",PROCESSOS!H43=FiltroResp)),PROCESSOS!N43+ROW()/1000000,"")</f>
        <v/>
      </c>
      <c r="BG43">
        <f>IF(AND(PROCESSOS!B43&lt;&gt;"",ISNUMBER(PROCESSOS!D43),OR(FiltroResp="TODOS",FiltroResp="",PROCESSOS!H43=FiltroResp)),PROCESSOS!D43+ROW()/1000000,"")</f>
        <v>46211.000042997686</v>
      </c>
    </row>
    <row r="44">
      <c r="BF44" t="str">
        <f>IF(AND(OR(PROCESSOS!P44="NO PRAZO",PROCESSOS!P44="VENCE EM BREVE"),OR(FiltroResp="TODOS",FiltroResp="",PROCESSOS!H44=FiltroResp)),PROCESSOS!N44+ROW()/1000000,"")</f>
        <v/>
      </c>
      <c r="BG44">
        <f>IF(AND(PROCESSOS!B44&lt;&gt;"",ISNUMBER(PROCESSOS!D44),OR(FiltroResp="TODOS",FiltroResp="",PROCESSOS!H44=FiltroResp)),PROCESSOS!D44+ROW()/1000000,"")</f>
        <v>46215.00004400463</v>
      </c>
    </row>
    <row r="45">
      <c r="BF45" t="str">
        <f>IF(AND(OR(PROCESSOS!P45="NO PRAZO",PROCESSOS!P45="VENCE EM BREVE"),OR(FiltroResp="TODOS",FiltroResp="",PROCESSOS!H45=FiltroResp)),PROCESSOS!N45+ROW()/1000000,"")</f>
        <v/>
      </c>
      <c r="BG45">
        <f>IF(AND(PROCESSOS!B45&lt;&gt;"",ISNUMBER(PROCESSOS!D45),OR(FiltroResp="TODOS",FiltroResp="",PROCESSOS!H45=FiltroResp)),PROCESSOS!D45+ROW()/1000000,"")</f>
        <v>46215.000045</v>
      </c>
    </row>
    <row r="46">
      <c r="BF46" t="str">
        <f>IF(AND(OR(PROCESSOS!P46="NO PRAZO",PROCESSOS!P46="VENCE EM BREVE"),OR(FiltroResp="TODOS",FiltroResp="",PROCESSOS!H46=FiltroResp)),PROCESSOS!N46+ROW()/1000000,"")</f>
        <v/>
      </c>
      <c r="BG46">
        <f>IF(AND(PROCESSOS!B46&lt;&gt;"",ISNUMBER(PROCESSOS!D46),OR(FiltroResp="TODOS",FiltroResp="",PROCESSOS!H46=FiltroResp)),PROCESSOS!D46+ROW()/1000000,"")</f>
        <v>46225.00004599537</v>
      </c>
    </row>
    <row r="47">
      <c r="BF47" t="str">
        <f>IF(AND(OR(PROCESSOS!P47="NO PRAZO",PROCESSOS!P47="VENCE EM BREVE"),OR(FiltroResp="TODOS",FiltroResp="",PROCESSOS!H47=FiltroResp)),PROCESSOS!N47+ROW()/1000000,"")</f>
        <v/>
      </c>
      <c r="BG47">
        <f>IF(AND(PROCESSOS!B47&lt;&gt;"",ISNUMBER(PROCESSOS!D47),OR(FiltroResp="TODOS",FiltroResp="",PROCESSOS!H47=FiltroResp)),PROCESSOS!D47+ROW()/1000000,"")</f>
        <v>46226.000047002315</v>
      </c>
    </row>
    <row r="48">
      <c r="BF48" t="str">
        <f>IF(AND(OR(PROCESSOS!P48="NO PRAZO",PROCESSOS!P48="VENCE EM BREVE"),OR(FiltroResp="TODOS",FiltroResp="",PROCESSOS!H48=FiltroResp)),PROCESSOS!N48+ROW()/1000000,"")</f>
        <v/>
      </c>
      <c r="BG48">
        <f>IF(AND(PROCESSOS!B48&lt;&gt;"",ISNUMBER(PROCESSOS!D48),OR(FiltroResp="TODOS",FiltroResp="",PROCESSOS!H48=FiltroResp)),PROCESSOS!D48+ROW()/1000000,"")</f>
        <v>46229.00004799769</v>
      </c>
    </row>
    <row r="49">
      <c r="BF49" t="str">
        <f>IF(AND(OR(PROCESSOS!P49="NO PRAZO",PROCESSOS!P49="VENCE EM BREVE"),OR(FiltroResp="TODOS",FiltroResp="",PROCESSOS!H49=FiltroResp)),PROCESSOS!N49+ROW()/1000000,"")</f>
        <v/>
      </c>
      <c r="BG49">
        <f>IF(AND(PROCESSOS!B49&lt;&gt;"",ISNUMBER(PROCESSOS!D49),OR(FiltroResp="TODOS",FiltroResp="",PROCESSOS!H49=FiltroResp)),PROCESSOS!D49+ROW()/1000000,"")</f>
        <v>46229.00004900463</v>
      </c>
    </row>
    <row r="50">
      <c r="BF50" t="str">
        <f>IF(AND(OR(PROCESSOS!P50="NO PRAZO",PROCESSOS!P50="VENCE EM BREVE"),OR(FiltroResp="TODOS",FiltroResp="",PROCESSOS!H50=FiltroResp)),PROCESSOS!N50+ROW()/1000000,"")</f>
        <v/>
      </c>
      <c r="BG50">
        <f>IF(AND(PROCESSOS!B50&lt;&gt;"",ISNUMBER(PROCESSOS!D50),OR(FiltroResp="TODOS",FiltroResp="",PROCESSOS!H50=FiltroResp)),PROCESSOS!D50+ROW()/1000000,"")</f>
        <v>46230.00005</v>
      </c>
    </row>
    <row r="51">
      <c r="BF51" t="str">
        <f>IF(AND(OR(PROCESSOS!P51="NO PRAZO",PROCESSOS!P51="VENCE EM BREVE"),OR(FiltroResp="TODOS",FiltroResp="",PROCESSOS!H51=FiltroResp)),PROCESSOS!N51+ROW()/1000000,"")</f>
        <v/>
      </c>
      <c r="BG51">
        <f>IF(AND(PROCESSOS!B51&lt;&gt;"",ISNUMBER(PROCESSOS!D51),OR(FiltroResp="TODOS",FiltroResp="",PROCESSOS!H51=FiltroResp)),PROCESSOS!D51+ROW()/1000000,"")</f>
        <v>46230.00005099537</v>
      </c>
    </row>
    <row r="52">
      <c r="BF52" t="str">
        <f>IF(AND(OR(PROCESSOS!P52="NO PRAZO",PROCESSOS!P52="VENCE EM BREVE"),OR(FiltroResp="TODOS",FiltroResp="",PROCESSOS!H52=FiltroResp)),PROCESSOS!N52+ROW()/1000000,"")</f>
        <v/>
      </c>
      <c r="BG52">
        <f>IF(AND(PROCESSOS!B52&lt;&gt;"",ISNUMBER(PROCESSOS!D52),OR(FiltroResp="TODOS",FiltroResp="",PROCESSOS!H52=FiltroResp)),PROCESSOS!D52+ROW()/1000000,"")</f>
        <v>46232.00005200232</v>
      </c>
    </row>
    <row r="53">
      <c r="BF53" t="str">
        <f>IF(AND(OR(PROCESSOS!P53="NO PRAZO",PROCESSOS!P53="VENCE EM BREVE"),OR(FiltroResp="TODOS",FiltroResp="",PROCESSOS!H53=FiltroResp)),PROCESSOS!N53+ROW()/1000000,"")</f>
        <v/>
      </c>
      <c r="BG53">
        <f>IF(AND(PROCESSOS!B53&lt;&gt;"",ISNUMBER(PROCESSOS!D53),OR(FiltroResp="TODOS",FiltroResp="",PROCESSOS!H53=FiltroResp)),PROCESSOS!D53+ROW()/1000000,"")</f>
        <v>46236.00005299768</v>
      </c>
    </row>
    <row r="54">
      <c r="BF54" t="str">
        <f>IF(AND(OR(PROCESSOS!P54="NO PRAZO",PROCESSOS!P54="VENCE EM BREVE"),OR(FiltroResp="TODOS",FiltroResp="",PROCESSOS!H54=FiltroResp)),PROCESSOS!N54+ROW()/1000000,"")</f>
        <v/>
      </c>
      <c r="BG54">
        <f>IF(AND(PROCESSOS!B54&lt;&gt;"",ISNUMBER(PROCESSOS!D54),OR(FiltroResp="TODOS",FiltroResp="",PROCESSOS!H54=FiltroResp)),PROCESSOS!D54+ROW()/1000000,"")</f>
        <v>46237.00005400463</v>
      </c>
    </row>
    <row r="55">
      <c r="BF55" t="str">
        <f>IF(AND(OR(PROCESSOS!P55="NO PRAZO",PROCESSOS!P55="VENCE EM BREVE"),OR(FiltroResp="TODOS",FiltroResp="",PROCESSOS!H55=FiltroResp)),PROCESSOS!N55+ROW()/1000000,"")</f>
        <v/>
      </c>
      <c r="BG55">
        <f>IF(AND(PROCESSOS!B55&lt;&gt;"",ISNUMBER(PROCESSOS!D55),OR(FiltroResp="TODOS",FiltroResp="",PROCESSOS!H55=FiltroResp)),PROCESSOS!D55+ROW()/1000000,"")</f>
        <v>46237.000055</v>
      </c>
    </row>
    <row r="56">
      <c r="BF56" t="str">
        <f>IF(AND(OR(PROCESSOS!P56="NO PRAZO",PROCESSOS!P56="VENCE EM BREVE"),OR(FiltroResp="TODOS",FiltroResp="",PROCESSOS!H56=FiltroResp)),PROCESSOS!N56+ROW()/1000000,"")</f>
        <v/>
      </c>
      <c r="BG56">
        <f>IF(AND(PROCESSOS!B56&lt;&gt;"",ISNUMBER(PROCESSOS!D56),OR(FiltroResp="TODOS",FiltroResp="",PROCESSOS!H56=FiltroResp)),PROCESSOS!D56+ROW()/1000000,"")</f>
        <v>46242.00005599537</v>
      </c>
    </row>
    <row r="57">
      <c r="BF57" t="str">
        <f>IF(AND(OR(PROCESSOS!P57="NO PRAZO",PROCESSOS!P57="VENCE EM BREVE"),OR(FiltroResp="TODOS",FiltroResp="",PROCESSOS!H57=FiltroResp)),PROCESSOS!N57+ROW()/1000000,"")</f>
        <v/>
      </c>
      <c r="BG57">
        <f>IF(AND(PROCESSOS!B57&lt;&gt;"",ISNUMBER(PROCESSOS!D57),OR(FiltroResp="TODOS",FiltroResp="",PROCESSOS!H57=FiltroResp)),PROCESSOS!D57+ROW()/1000000,"")</f>
        <v>46245.00005700231</v>
      </c>
    </row>
    <row r="58">
      <c r="BF58" t="str">
        <f>IF(AND(OR(PROCESSOS!P58="NO PRAZO",PROCESSOS!P58="VENCE EM BREVE"),OR(FiltroResp="TODOS",FiltroResp="",PROCESSOS!H58=FiltroResp)),PROCESSOS!N58+ROW()/1000000,"")</f>
        <v/>
      </c>
      <c r="BG58">
        <f>IF(AND(PROCESSOS!B58&lt;&gt;"",ISNUMBER(PROCESSOS!D58),OR(FiltroResp="TODOS",FiltroResp="",PROCESSOS!H58=FiltroResp)),PROCESSOS!D58+ROW()/1000000,"")</f>
        <v>46247.000057997684</v>
      </c>
    </row>
    <row r="59">
      <c r="BF59" t="str">
        <f>IF(AND(OR(PROCESSOS!P59="NO PRAZO",PROCESSOS!P59="VENCE EM BREVE"),OR(FiltroResp="TODOS",FiltroResp="",PROCESSOS!H59=FiltroResp)),PROCESSOS!N59+ROW()/1000000,"")</f>
        <v/>
      </c>
      <c r="BG59">
        <f>IF(AND(PROCESSOS!B59&lt;&gt;"",ISNUMBER(PROCESSOS!D59),OR(FiltroResp="TODOS",FiltroResp="",PROCESSOS!H59=FiltroResp)),PROCESSOS!D59+ROW()/1000000,"")</f>
        <v>46252.00005900463</v>
      </c>
    </row>
    <row r="60">
      <c r="BF60" t="str">
        <f>IF(AND(OR(PROCESSOS!P60="NO PRAZO",PROCESSOS!P60="VENCE EM BREVE"),OR(FiltroResp="TODOS",FiltroResp="",PROCESSOS!H60=FiltroResp)),PROCESSOS!N60+ROW()/1000000,"")</f>
        <v/>
      </c>
      <c r="BG60">
        <f>IF(AND(PROCESSOS!B60&lt;&gt;"",ISNUMBER(PROCESSOS!D60),OR(FiltroResp="TODOS",FiltroResp="",PROCESSOS!H60=FiltroResp)),PROCESSOS!D60+ROW()/1000000,"")</f>
        <v>46253.00006</v>
      </c>
    </row>
    <row r="61">
      <c r="BF61" t="str">
        <f>IF(AND(OR(PROCESSOS!P61="NO PRAZO",PROCESSOS!P61="VENCE EM BREVE"),OR(FiltroResp="TODOS",FiltroResp="",PROCESSOS!H61=FiltroResp)),PROCESSOS!N61+ROW()/1000000,"")</f>
        <v/>
      </c>
      <c r="BG61">
        <f>IF(AND(PROCESSOS!B61&lt;&gt;"",ISNUMBER(PROCESSOS!D61),OR(FiltroResp="TODOS",FiltroResp="",PROCESSOS!H61=FiltroResp)),PROCESSOS!D61+ROW()/1000000,"")</f>
        <v>46253.00006099537</v>
      </c>
    </row>
    <row r="62">
      <c r="BF62" t="str">
        <f>IF(AND(OR(PROCESSOS!P62="NO PRAZO",PROCESSOS!P62="VENCE EM BREVE"),OR(FiltroResp="TODOS",FiltroResp="",PROCESSOS!H62=FiltroResp)),PROCESSOS!N62+ROW()/1000000,"")</f>
        <v/>
      </c>
      <c r="BG62">
        <f>IF(AND(PROCESSOS!B62&lt;&gt;"",ISNUMBER(PROCESSOS!D62),OR(FiltroResp="TODOS",FiltroResp="",PROCESSOS!H62=FiltroResp)),PROCESSOS!D62+ROW()/1000000,"")</f>
        <v>46257.00006200231</v>
      </c>
    </row>
    <row r="63">
      <c r="BF63" t="str">
        <f>IF(AND(OR(PROCESSOS!P63="NO PRAZO",PROCESSOS!P63="VENCE EM BREVE"),OR(FiltroResp="TODOS",FiltroResp="",PROCESSOS!H63=FiltroResp)),PROCESSOS!N63+ROW()/1000000,"")</f>
        <v/>
      </c>
      <c r="BG63">
        <f>IF(AND(PROCESSOS!B63&lt;&gt;"",ISNUMBER(PROCESSOS!D63),OR(FiltroResp="TODOS",FiltroResp="",PROCESSOS!H63=FiltroResp)),PROCESSOS!D63+ROW()/1000000,"")</f>
        <v>46257.000062997686</v>
      </c>
    </row>
    <row r="64">
      <c r="BF64" t="str">
        <f>IF(AND(OR(PROCESSOS!P64="NO PRAZO",PROCESSOS!P64="VENCE EM BREVE"),OR(FiltroResp="TODOS",FiltroResp="",PROCESSOS!H64=FiltroResp)),PROCESSOS!N64+ROW()/1000000,"")</f>
        <v/>
      </c>
      <c r="BG64">
        <f>IF(AND(PROCESSOS!B64&lt;&gt;"",ISNUMBER(PROCESSOS!D64),OR(FiltroResp="TODOS",FiltroResp="",PROCESSOS!H64=FiltroResp)),PROCESSOS!D64+ROW()/1000000,"")</f>
        <v>46257.00006400463</v>
      </c>
    </row>
    <row r="65">
      <c r="BF65" t="str">
        <f>IF(AND(OR(PROCESSOS!P65="NO PRAZO",PROCESSOS!P65="VENCE EM BREVE"),OR(FiltroResp="TODOS",FiltroResp="",PROCESSOS!H65=FiltroResp)),PROCESSOS!N65+ROW()/1000000,"")</f>
        <v/>
      </c>
      <c r="BG65">
        <f>IF(AND(PROCESSOS!B65&lt;&gt;"",ISNUMBER(PROCESSOS!D65),OR(FiltroResp="TODOS",FiltroResp="",PROCESSOS!H65=FiltroResp)),PROCESSOS!D65+ROW()/1000000,"")</f>
        <v>46257.000065</v>
      </c>
    </row>
    <row r="66">
      <c r="BF66" t="str">
        <f>IF(AND(OR(PROCESSOS!P66="NO PRAZO",PROCESSOS!P66="VENCE EM BREVE"),OR(FiltroResp="TODOS",FiltroResp="",PROCESSOS!H66=FiltroResp)),PROCESSOS!N66+ROW()/1000000,"")</f>
        <v/>
      </c>
      <c r="BG66">
        <f>IF(AND(PROCESSOS!B66&lt;&gt;"",ISNUMBER(PROCESSOS!D66),OR(FiltroResp="TODOS",FiltroResp="",PROCESSOS!H66=FiltroResp)),PROCESSOS!D66+ROW()/1000000,"")</f>
        <v>46259.00006599537</v>
      </c>
    </row>
    <row r="67">
      <c r="BF67" t="str">
        <f>IF(AND(OR(PROCESSOS!P67="NO PRAZO",PROCESSOS!P67="VENCE EM BREVE"),OR(FiltroResp="TODOS",FiltroResp="",PROCESSOS!H67=FiltroResp)),PROCESSOS!N67+ROW()/1000000,"")</f>
        <v/>
      </c>
      <c r="BG67">
        <f>IF(AND(PROCESSOS!B67&lt;&gt;"",ISNUMBER(PROCESSOS!D67),OR(FiltroResp="TODOS",FiltroResp="",PROCESSOS!H67=FiltroResp)),PROCESSOS!D67+ROW()/1000000,"")</f>
        <v>46263.000067002315</v>
      </c>
    </row>
    <row r="68">
      <c r="BF68" t="str">
        <f>IF(AND(OR(PROCESSOS!P68="NO PRAZO",PROCESSOS!P68="VENCE EM BREVE"),OR(FiltroResp="TODOS",FiltroResp="",PROCESSOS!H68=FiltroResp)),PROCESSOS!N68+ROW()/1000000,"")</f>
        <v/>
      </c>
      <c r="BG68">
        <f>IF(AND(PROCESSOS!B68&lt;&gt;"",ISNUMBER(PROCESSOS!D68),OR(FiltroResp="TODOS",FiltroResp="",PROCESSOS!H68=FiltroResp)),PROCESSOS!D68+ROW()/1000000,"")</f>
        <v>46264.00006799769</v>
      </c>
    </row>
    <row r="69">
      <c r="BF69" t="str">
        <f>IF(AND(OR(PROCESSOS!P69="NO PRAZO",PROCESSOS!P69="VENCE EM BREVE"),OR(FiltroResp="TODOS",FiltroResp="",PROCESSOS!H69=FiltroResp)),PROCESSOS!N69+ROW()/1000000,"")</f>
        <v/>
      </c>
      <c r="BG69">
        <f>IF(AND(PROCESSOS!B69&lt;&gt;"",ISNUMBER(PROCESSOS!D69),OR(FiltroResp="TODOS",FiltroResp="",PROCESSOS!H69=FiltroResp)),PROCESSOS!D69+ROW()/1000000,"")</f>
        <v>46267.00006900463</v>
      </c>
    </row>
    <row r="70">
      <c r="BF70" t="str">
        <f>IF(AND(OR(PROCESSOS!P70="NO PRAZO",PROCESSOS!P70="VENCE EM BREVE"),OR(FiltroResp="TODOS",FiltroResp="",PROCESSOS!H70=FiltroResp)),PROCESSOS!N70+ROW()/1000000,"")</f>
        <v/>
      </c>
      <c r="BG70">
        <f>IF(AND(PROCESSOS!B70&lt;&gt;"",ISNUMBER(PROCESSOS!D70),OR(FiltroResp="TODOS",FiltroResp="",PROCESSOS!H70=FiltroResp)),PROCESSOS!D70+ROW()/1000000,"")</f>
        <v>46267.00007</v>
      </c>
    </row>
    <row r="71">
      <c r="BF71" t="str">
        <f>IF(AND(OR(PROCESSOS!P71="NO PRAZO",PROCESSOS!P71="VENCE EM BREVE"),OR(FiltroResp="TODOS",FiltroResp="",PROCESSOS!H71=FiltroResp)),PROCESSOS!N71+ROW()/1000000,"")</f>
        <v/>
      </c>
      <c r="BG71">
        <f>IF(AND(PROCESSOS!B71&lt;&gt;"",ISNUMBER(PROCESSOS!D71),OR(FiltroResp="TODOS",FiltroResp="",PROCESSOS!H71=FiltroResp)),PROCESSOS!D71+ROW()/1000000,"")</f>
        <v>46268.00007099537</v>
      </c>
    </row>
    <row r="72">
      <c r="BF72" t="str">
        <f>IF(AND(OR(PROCESSOS!P72="NO PRAZO",PROCESSOS!P72="VENCE EM BREVE"),OR(FiltroResp="TODOS",FiltroResp="",PROCESSOS!H72=FiltroResp)),PROCESSOS!N72+ROW()/1000000,"")</f>
        <v/>
      </c>
      <c r="BG72">
        <f>IF(AND(PROCESSOS!B72&lt;&gt;"",ISNUMBER(PROCESSOS!D72),OR(FiltroResp="TODOS",FiltroResp="",PROCESSOS!H72=FiltroResp)),PROCESSOS!D72+ROW()/1000000,"")</f>
        <v>46271.000072002316</v>
      </c>
    </row>
    <row r="73">
      <c r="BF73" t="str">
        <f>IF(AND(OR(PROCESSOS!P73="NO PRAZO",PROCESSOS!P73="VENCE EM BREVE"),OR(FiltroResp="TODOS",FiltroResp="",PROCESSOS!H73=FiltroResp)),PROCESSOS!N73+ROW()/1000000,"")</f>
        <v/>
      </c>
      <c r="BG73">
        <f>IF(AND(PROCESSOS!B73&lt;&gt;"",ISNUMBER(PROCESSOS!D73),OR(FiltroResp="TODOS",FiltroResp="",PROCESSOS!H73=FiltroResp)),PROCESSOS!D73+ROW()/1000000,"")</f>
        <v>46272.00007299768</v>
      </c>
    </row>
    <row r="74">
      <c r="BF74" t="str">
        <f>IF(AND(OR(PROCESSOS!P74="NO PRAZO",PROCESSOS!P74="VENCE EM BREVE"),OR(FiltroResp="TODOS",FiltroResp="",PROCESSOS!H74=FiltroResp)),PROCESSOS!N74+ROW()/1000000,"")</f>
        <v/>
      </c>
      <c r="BG74">
        <f>IF(AND(PROCESSOS!B74&lt;&gt;"",ISNUMBER(PROCESSOS!D74),OR(FiltroResp="TODOS",FiltroResp="",PROCESSOS!H74=FiltroResp)),PROCESSOS!D74+ROW()/1000000,"")</f>
        <v>46274.00007400463</v>
      </c>
    </row>
    <row r="75">
      <c r="BF75" t="str">
        <f>IF(AND(OR(PROCESSOS!P75="NO PRAZO",PROCESSOS!P75="VENCE EM BREVE"),OR(FiltroResp="TODOS",FiltroResp="",PROCESSOS!H75=FiltroResp)),PROCESSOS!N75+ROW()/1000000,"")</f>
        <v/>
      </c>
      <c r="BG75">
        <f>IF(AND(PROCESSOS!B75&lt;&gt;"",ISNUMBER(PROCESSOS!D75),OR(FiltroResp="TODOS",FiltroResp="",PROCESSOS!H75=FiltroResp)),PROCESSOS!D75+ROW()/1000000,"")</f>
        <v>46278.000075</v>
      </c>
    </row>
    <row r="76">
      <c r="BF76" t="str">
        <f>IF(AND(OR(PROCESSOS!P76="NO PRAZO",PROCESSOS!P76="VENCE EM BREVE"),OR(FiltroResp="TODOS",FiltroResp="",PROCESSOS!H76=FiltroResp)),PROCESSOS!N76+ROW()/1000000,"")</f>
        <v/>
      </c>
      <c r="BG76">
        <f>IF(AND(PROCESSOS!B76&lt;&gt;"",ISNUMBER(PROCESSOS!D76),OR(FiltroResp="TODOS",FiltroResp="",PROCESSOS!H76=FiltroResp)),PROCESSOS!D76+ROW()/1000000,"")</f>
        <v>46279.00007599537</v>
      </c>
    </row>
    <row r="77">
      <c r="BF77" t="str">
        <f>IF(AND(OR(PROCESSOS!P77="NO PRAZO",PROCESSOS!P77="VENCE EM BREVE"),OR(FiltroResp="TODOS",FiltroResp="",PROCESSOS!H77=FiltroResp)),PROCESSOS!N77+ROW()/1000000,"")</f>
        <v/>
      </c>
      <c r="BG77">
        <f>IF(AND(PROCESSOS!B77&lt;&gt;"",ISNUMBER(PROCESSOS!D77),OR(FiltroResp="TODOS",FiltroResp="",PROCESSOS!H77=FiltroResp)),PROCESSOS!D77+ROW()/1000000,"")</f>
        <v>46282.00007700232</v>
      </c>
    </row>
    <row r="78">
      <c r="BF78" t="str">
        <f>IF(AND(OR(PROCESSOS!P78="NO PRAZO",PROCESSOS!P78="VENCE EM BREVE"),OR(FiltroResp="TODOS",FiltroResp="",PROCESSOS!H78=FiltroResp)),PROCESSOS!N78+ROW()/1000000,"")</f>
        <v/>
      </c>
      <c r="BG78">
        <f>IF(AND(PROCESSOS!B78&lt;&gt;"",ISNUMBER(PROCESSOS!D78),OR(FiltroResp="TODOS",FiltroResp="",PROCESSOS!H78=FiltroResp)),PROCESSOS!D78+ROW()/1000000,"")</f>
        <v>46282.00007799768</v>
      </c>
    </row>
    <row r="79">
      <c r="BF79" t="str">
        <f>IF(AND(OR(PROCESSOS!P79="NO PRAZO",PROCESSOS!P79="VENCE EM BREVE"),OR(FiltroResp="TODOS",FiltroResp="",PROCESSOS!H79=FiltroResp)),PROCESSOS!N79+ROW()/1000000,"")</f>
        <v/>
      </c>
      <c r="BG79">
        <f>IF(AND(PROCESSOS!B79&lt;&gt;"",ISNUMBER(PROCESSOS!D79),OR(FiltroResp="TODOS",FiltroResp="",PROCESSOS!H79=FiltroResp)),PROCESSOS!D79+ROW()/1000000,"")</f>
        <v>46283.00007900463</v>
      </c>
    </row>
    <row r="80">
      <c r="BF80" t="str">
        <f>IF(AND(OR(PROCESSOS!P80="NO PRAZO",PROCESSOS!P80="VENCE EM BREVE"),OR(FiltroResp="TODOS",FiltroResp="",PROCESSOS!H80=FiltroResp)),PROCESSOS!N80+ROW()/1000000,"")</f>
        <v/>
      </c>
      <c r="BG80">
        <f>IF(AND(PROCESSOS!B80&lt;&gt;"",ISNUMBER(PROCESSOS!D80),OR(FiltroResp="TODOS",FiltroResp="",PROCESSOS!H80=FiltroResp)),PROCESSOS!D80+ROW()/1000000,"")</f>
        <v>46284.00008</v>
      </c>
    </row>
    <row r="81">
      <c r="BF81" t="str">
        <f>IF(AND(OR(PROCESSOS!P81="NO PRAZO",PROCESSOS!P81="VENCE EM BREVE"),OR(FiltroResp="TODOS",FiltroResp="",PROCESSOS!H81=FiltroResp)),PROCESSOS!N81+ROW()/1000000,"")</f>
        <v/>
      </c>
      <c r="BG81">
        <f>IF(AND(PROCESSOS!B81&lt;&gt;"",ISNUMBER(PROCESSOS!D81),OR(FiltroResp="TODOS",FiltroResp="",PROCESSOS!H81=FiltroResp)),PROCESSOS!D81+ROW()/1000000,"")</f>
        <v>46287.00008099537</v>
      </c>
    </row>
    <row r="82">
      <c r="BF82" t="str">
        <f>IF(AND(OR(PROCESSOS!P82="NO PRAZO",PROCESSOS!P82="VENCE EM BREVE"),OR(FiltroResp="TODOS",FiltroResp="",PROCESSOS!H82=FiltroResp)),PROCESSOS!N82+ROW()/1000000,"")</f>
        <v/>
      </c>
      <c r="BG82">
        <f>IF(AND(PROCESSOS!B82&lt;&gt;"",ISNUMBER(PROCESSOS!D82),OR(FiltroResp="TODOS",FiltroResp="",PROCESSOS!H82=FiltroResp)),PROCESSOS!D82+ROW()/1000000,"")</f>
        <v>46289.00008200231</v>
      </c>
    </row>
    <row r="83">
      <c r="BF83">
        <f>IF(AND(OR(PROCESSOS!P83="NO PRAZO",PROCESSOS!P83="VENCE EM BREVE"),OR(FiltroResp="TODOS",FiltroResp="",PROCESSOS!H83=FiltroResp)),PROCESSOS!N83+ROW()/1000000,"")</f>
        <v>46305.000082997685</v>
      </c>
      <c r="BG83">
        <f>IF(AND(PROCESSOS!B83&lt;&gt;"",ISNUMBER(PROCESSOS!D83),OR(FiltroResp="TODOS",FiltroResp="",PROCESSOS!H83=FiltroResp)),PROCESSOS!D83+ROW()/1000000,"")</f>
        <v>46290.000082997685</v>
      </c>
    </row>
    <row r="84">
      <c r="BF84">
        <f>IF(AND(OR(PROCESSOS!P84="NO PRAZO",PROCESSOS!P84="VENCE EM BREVE"),OR(FiltroResp="TODOS",FiltroResp="",PROCESSOS!H84=FiltroResp)),PROCESSOS!N84+ROW()/1000000,"")</f>
        <v>46306.00008400463</v>
      </c>
      <c r="BG84">
        <f>IF(AND(PROCESSOS!B84&lt;&gt;"",ISNUMBER(PROCESSOS!D84),OR(FiltroResp="TODOS",FiltroResp="",PROCESSOS!H84=FiltroResp)),PROCESSOS!D84+ROW()/1000000,"")</f>
        <v>46291.00008400463</v>
      </c>
    </row>
    <row r="85">
      <c r="BF85" t="str">
        <f>IF(AND(OR(PROCESSOS!P85="NO PRAZO",PROCESSOS!P85="VENCE EM BREVE"),OR(FiltroResp="TODOS",FiltroResp="",PROCESSOS!H85=FiltroResp)),PROCESSOS!N85+ROW()/1000000,"")</f>
        <v/>
      </c>
      <c r="BG85">
        <f>IF(AND(PROCESSOS!B85&lt;&gt;"",ISNUMBER(PROCESSOS!D85),OR(FiltroResp="TODOS",FiltroResp="",PROCESSOS!H85=FiltroResp)),PROCESSOS!D85+ROW()/1000000,"")</f>
        <v>46292.000085</v>
      </c>
    </row>
    <row r="86">
      <c r="BF86">
        <f>IF(AND(OR(PROCESSOS!P86="NO PRAZO",PROCESSOS!P86="VENCE EM BREVE"),OR(FiltroResp="TODOS",FiltroResp="",PROCESSOS!H86=FiltroResp)),PROCESSOS!N86+ROW()/1000000,"")</f>
        <v>46304.00008599537</v>
      </c>
      <c r="BG86">
        <f>IF(AND(PROCESSOS!B86&lt;&gt;"",ISNUMBER(PROCESSOS!D86),OR(FiltroResp="TODOS",FiltroResp="",PROCESSOS!H86=FiltroResp)),PROCESSOS!D86+ROW()/1000000,"")</f>
        <v>46294.00008599537</v>
      </c>
    </row>
    <row r="87">
      <c r="BF87">
        <f>IF(AND(OR(PROCESSOS!P87="NO PRAZO",PROCESSOS!P87="VENCE EM BREVE"),OR(FiltroResp="TODOS",FiltroResp="",PROCESSOS!H87=FiltroResp)),PROCESSOS!N87+ROW()/1000000,"")</f>
        <v>46305.000087002314</v>
      </c>
      <c r="BG87">
        <f>IF(AND(PROCESSOS!B87&lt;&gt;"",ISNUMBER(PROCESSOS!D87),OR(FiltroResp="TODOS",FiltroResp="",PROCESSOS!H87=FiltroResp)),PROCESSOS!D87+ROW()/1000000,"")</f>
        <v>46295.000087002314</v>
      </c>
    </row>
    <row r="88">
      <c r="BF88" t="str">
        <f>IF(AND(OR(PROCESSOS!P88="NO PRAZO",PROCESSOS!P88="VENCE EM BREVE"),OR(FiltroResp="TODOS",FiltroResp="",PROCESSOS!H88=FiltroResp)),PROCESSOS!N88+ROW()/1000000,"")</f>
        <v/>
      </c>
      <c r="BG88">
        <f>IF(AND(PROCESSOS!B88&lt;&gt;"",ISNUMBER(PROCESSOS!D88),OR(FiltroResp="TODOS",FiltroResp="",PROCESSOS!H88=FiltroResp)),PROCESSOS!D88+ROW()/1000000,"")</f>
        <v>46296.00008799769</v>
      </c>
    </row>
    <row r="89">
      <c r="BF89">
        <f>IF(AND(OR(PROCESSOS!P89="NO PRAZO",PROCESSOS!P89="VENCE EM BREVE"),OR(FiltroResp="TODOS",FiltroResp="",PROCESSOS!H89=FiltroResp)),PROCESSOS!N89+ROW()/1000000,"")</f>
        <v>46307.00008900463</v>
      </c>
      <c r="BG89">
        <f>IF(AND(PROCESSOS!B89&lt;&gt;"",ISNUMBER(PROCESSOS!D89),OR(FiltroResp="TODOS",FiltroResp="",PROCESSOS!H89=FiltroResp)),PROCESSOS!D89+ROW()/1000000,"")</f>
        <v>46297.00008900463</v>
      </c>
    </row>
    <row r="90">
      <c r="BF90" t="str">
        <f>IF(AND(OR(PROCESSOS!P90="NO PRAZO",PROCESSOS!P90="VENCE EM BREVE"),OR(FiltroResp="TODOS",FiltroResp="",PROCESSOS!H90=FiltroResp)),PROCESSOS!N90+ROW()/1000000,"")</f>
        <v/>
      </c>
      <c r="BG90">
        <f>IF(AND(PROCESSOS!B90&lt;&gt;"",ISNUMBER(PROCESSOS!D90),OR(FiltroResp="TODOS",FiltroResp="",PROCESSOS!H90=FiltroResp)),PROCESSOS!D90+ROW()/1000000,"")</f>
        <v>46297.00009</v>
      </c>
    </row>
    <row r="91">
      <c r="BF91">
        <f>IF(AND(OR(PROCESSOS!P91="NO PRAZO",PROCESSOS!P91="VENCE EM BREVE"),OR(FiltroResp="TODOS",FiltroResp="",PROCESSOS!H91=FiltroResp)),PROCESSOS!N91+ROW()/1000000,"")</f>
        <v>46307.00009099537</v>
      </c>
      <c r="BG91">
        <f>IF(AND(PROCESSOS!B91&lt;&gt;"",ISNUMBER(PROCESSOS!D91),OR(FiltroResp="TODOS",FiltroResp="",PROCESSOS!H91=FiltroResp)),PROCESSOS!D91+ROW()/1000000,"")</f>
        <v>46297.00009099537</v>
      </c>
    </row>
    <row r="92">
      <c r="BF92" t="str">
        <f>IF(AND(OR(PROCESSOS!P92="NO PRAZO",PROCESSOS!P92="VENCE EM BREVE"),OR(FiltroResp="TODOS",FiltroResp="",PROCESSOS!H92=FiltroResp)),PROCESSOS!N92+ROW()/1000000,"")</f>
        <v/>
      </c>
      <c r="BG92">
        <f>IF(AND(PROCESSOS!B92&lt;&gt;"",ISNUMBER(PROCESSOS!D92),OR(FiltroResp="TODOS",FiltroResp="",PROCESSOS!H92=FiltroResp)),PROCESSOS!D92+ROW()/1000000,"")</f>
        <v>46299.000092002316</v>
      </c>
    </row>
    <row r="93">
      <c r="BF93" t="str">
        <f>IF(AND(OR(PROCESSOS!P93="NO PRAZO",PROCESSOS!P93="VENCE EM BREVE"),OR(FiltroResp="TODOS",FiltroResp="",PROCESSOS!H93=FiltroResp)),PROCESSOS!N93+ROW()/1000000,"")</f>
        <v/>
      </c>
      <c r="BG93">
        <f>IF(AND(PROCESSOS!B93&lt;&gt;"",ISNUMBER(PROCESSOS!D93),OR(FiltroResp="TODOS",FiltroResp="",PROCESSOS!H93=FiltroResp)),PROCESSOS!D93+ROW()/1000000,"")</f>
        <v>46300.00009299769</v>
      </c>
    </row>
    <row r="94">
      <c r="BF94">
        <f>IF(AND(OR(PROCESSOS!P94="NO PRAZO",PROCESSOS!P94="VENCE EM BREVE"),OR(FiltroResp="TODOS",FiltroResp="",PROCESSOS!H94=FiltroResp)),PROCESSOS!N94+ROW()/1000000,"")</f>
        <v>46311.00009400463</v>
      </c>
      <c r="BG94">
        <f>IF(AND(PROCESSOS!B94&lt;&gt;"",ISNUMBER(PROCESSOS!D94),OR(FiltroResp="TODOS",FiltroResp="",PROCESSOS!H94=FiltroResp)),PROCESSOS!D94+ROW()/1000000,"")</f>
        <v>46301.00009400463</v>
      </c>
    </row>
    <row r="95">
      <c r="BF95">
        <f>IF(AND(OR(PROCESSOS!P95="NO PRAZO",PROCESSOS!P95="VENCE EM BREVE"),OR(FiltroResp="TODOS",FiltroResp="",PROCESSOS!H95=FiltroResp)),PROCESSOS!N95+ROW()/1000000,"")</f>
        <v>46318.000095</v>
      </c>
      <c r="BG95">
        <f>IF(AND(PROCESSOS!B95&lt;&gt;"",ISNUMBER(PROCESSOS!D95),OR(FiltroResp="TODOS",FiltroResp="",PROCESSOS!H95=FiltroResp)),PROCESSOS!D95+ROW()/1000000,"")</f>
        <v>46303.000095</v>
      </c>
    </row>
    <row r="96">
      <c r="BF96">
        <f>IF(AND(OR(PROCESSOS!P96="NO PRAZO",PROCESSOS!P96="VENCE EM BREVE"),OR(FiltroResp="TODOS",FiltroResp="",PROCESSOS!H96=FiltroResp)),PROCESSOS!N96+ROW()/1000000,"")</f>
        <v>46313.00009599537</v>
      </c>
      <c r="BG96">
        <f>IF(AND(PROCESSOS!B96&lt;&gt;"",ISNUMBER(PROCESSOS!D96),OR(FiltroResp="TODOS",FiltroResp="",PROCESSOS!H96=FiltroResp)),PROCESSOS!D96+ROW()/1000000,"")</f>
        <v>46303.00009599537</v>
      </c>
    </row>
    <row r="97">
      <c r="BF97">
        <f>IF(AND(OR(PROCESSOS!P97="NO PRAZO",PROCESSOS!P97="VENCE EM BREVE"),OR(FiltroResp="TODOS",FiltroResp="",PROCESSOS!H97=FiltroResp)),PROCESSOS!N97+ROW()/1000000,"")</f>
        <v>46318.00009700232</v>
      </c>
      <c r="BG97">
        <f>IF(AND(PROCESSOS!B97&lt;&gt;"",ISNUMBER(PROCESSOS!D97),OR(FiltroResp="TODOS",FiltroResp="",PROCESSOS!H97=FiltroResp)),PROCESSOS!D97+ROW()/1000000,"")</f>
        <v>46303.00009700232</v>
      </c>
    </row>
    <row r="98">
      <c r="BF98">
        <f>IF(AND(OR(PROCESSOS!P98="NO PRAZO",PROCESSOS!P98="VENCE EM BREVE"),OR(FiltroResp="TODOS",FiltroResp="",PROCESSOS!H98=FiltroResp)),PROCESSOS!N98+ROW()/1000000,"")</f>
        <v>46314.00009799768</v>
      </c>
      <c r="BG98">
        <f>IF(AND(PROCESSOS!B98&lt;&gt;"",ISNUMBER(PROCESSOS!D98),OR(FiltroResp="TODOS",FiltroResp="",PROCESSOS!H98=FiltroResp)),PROCESSOS!D98+ROW()/1000000,"")</f>
        <v>46304.00009799768</v>
      </c>
    </row>
    <row r="99">
      <c r="BF99" t="str">
        <f>IF(AND(OR(PROCESSOS!P99="NO PRAZO",PROCESSOS!P99="VENCE EM BREVE"),OR(FiltroResp="TODOS",FiltroResp="",PROCESSOS!H99=FiltroResp)),PROCESSOS!N99+ROW()/1000000,"")</f>
        <v/>
      </c>
      <c r="BG99">
        <f>IF(AND(PROCESSOS!B99&lt;&gt;"",ISNUMBER(PROCESSOS!D99),OR(FiltroResp="TODOS",FiltroResp="",PROCESSOS!H99=FiltroResp)),PROCESSOS!D99+ROW()/1000000,"")</f>
        <v>46304.00009900463</v>
      </c>
    </row>
    <row r="100">
      <c r="BF100">
        <f>IF(AND(OR(PROCESSOS!P100="NO PRAZO",PROCESSOS!P100="VENCE EM BREVE"),OR(FiltroResp="TODOS",FiltroResp="",PROCESSOS!H100=FiltroResp)),PROCESSOS!N100+ROW()/1000000,"")</f>
        <v>46314.0001</v>
      </c>
      <c r="BG100">
        <f>IF(AND(PROCESSOS!B100&lt;&gt;"",ISNUMBER(PROCESSOS!D100),OR(FiltroResp="TODOS",FiltroResp="",PROCESSOS!H100=FiltroResp)),PROCESSOS!D100+ROW()/1000000,"")</f>
        <v>46304.0001</v>
      </c>
    </row>
    <row r="101">
      <c r="BF101" t="str">
        <f>IF(AND(OR(PROCESSOS!P101="NO PRAZO",PROCESSOS!P101="VENCE EM BREVE"),OR(FiltroResp="TODOS",FiltroResp="",PROCESSOS!H101=FiltroResp)),PROCESSOS!N101+ROW()/1000000,"")</f>
        <v/>
      </c>
      <c r="BG101" t="str">
        <f>IF(AND(PROCESSOS!B101&lt;&gt;"",ISNUMBER(PROCESSOS!D101),OR(FiltroResp="TODOS",FiltroResp="",PROCESSOS!H101=FiltroResp)),PROCESSOS!D101+ROW()/1000000,"")</f>
        <v/>
      </c>
    </row>
    <row r="102">
      <c r="BF102" t="str">
        <f>IF(AND(OR(PROCESSOS!P102="NO PRAZO",PROCESSOS!P102="VENCE EM BREVE"),OR(FiltroResp="TODOS",FiltroResp="",PROCESSOS!H102=FiltroResp)),PROCESSOS!N102+ROW()/1000000,"")</f>
        <v/>
      </c>
      <c r="BG102" t="str">
        <f>IF(AND(PROCESSOS!B102&lt;&gt;"",ISNUMBER(PROCESSOS!D102),OR(FiltroResp="TODOS",FiltroResp="",PROCESSOS!H102=FiltroResp)),PROCESSOS!D102+ROW()/1000000,"")</f>
        <v/>
      </c>
    </row>
    <row r="103">
      <c r="BF103" t="str">
        <f>IF(AND(OR(PROCESSOS!P103="NO PRAZO",PROCESSOS!P103="VENCE EM BREVE"),OR(FiltroResp="TODOS",FiltroResp="",PROCESSOS!H103=FiltroResp)),PROCESSOS!N103+ROW()/1000000,"")</f>
        <v/>
      </c>
      <c r="BG103" t="str">
        <f>IF(AND(PROCESSOS!B103&lt;&gt;"",ISNUMBER(PROCESSOS!D103),OR(FiltroResp="TODOS",FiltroResp="",PROCESSOS!H103=FiltroResp)),PROCESSOS!D103+ROW()/1000000,"")</f>
        <v/>
      </c>
    </row>
    <row r="104">
      <c r="BF104" t="str">
        <f>IF(AND(OR(PROCESSOS!P104="NO PRAZO",PROCESSOS!P104="VENCE EM BREVE"),OR(FiltroResp="TODOS",FiltroResp="",PROCESSOS!H104=FiltroResp)),PROCESSOS!N104+ROW()/1000000,"")</f>
        <v/>
      </c>
      <c r="BG104" t="str">
        <f>IF(AND(PROCESSOS!B104&lt;&gt;"",ISNUMBER(PROCESSOS!D104),OR(FiltroResp="TODOS",FiltroResp="",PROCESSOS!H104=FiltroResp)),PROCESSOS!D104+ROW()/1000000,"")</f>
        <v/>
      </c>
    </row>
    <row r="105">
      <c r="BF105" t="str">
        <f>IF(AND(OR(PROCESSOS!P105="NO PRAZO",PROCESSOS!P105="VENCE EM BREVE"),OR(FiltroResp="TODOS",FiltroResp="",PROCESSOS!H105=FiltroResp)),PROCESSOS!N105+ROW()/1000000,"")</f>
        <v/>
      </c>
      <c r="BG105" t="str">
        <f>IF(AND(PROCESSOS!B105&lt;&gt;"",ISNUMBER(PROCESSOS!D105),OR(FiltroResp="TODOS",FiltroResp="",PROCESSOS!H105=FiltroResp)),PROCESSOS!D105+ROW()/1000000,"")</f>
        <v/>
      </c>
    </row>
    <row r="106">
      <c r="BF106" t="str">
        <f>IF(AND(OR(PROCESSOS!P106="NO PRAZO",PROCESSOS!P106="VENCE EM BREVE"),OR(FiltroResp="TODOS",FiltroResp="",PROCESSOS!H106=FiltroResp)),PROCESSOS!N106+ROW()/1000000,"")</f>
        <v/>
      </c>
      <c r="BG106" t="str">
        <f>IF(AND(PROCESSOS!B106&lt;&gt;"",ISNUMBER(PROCESSOS!D106),OR(FiltroResp="TODOS",FiltroResp="",PROCESSOS!H106=FiltroResp)),PROCESSOS!D106+ROW()/1000000,"")</f>
        <v/>
      </c>
    </row>
    <row r="107">
      <c r="BF107" t="str">
        <f>IF(AND(OR(PROCESSOS!P107="NO PRAZO",PROCESSOS!P107="VENCE EM BREVE"),OR(FiltroResp="TODOS",FiltroResp="",PROCESSOS!H107=FiltroResp)),PROCESSOS!N107+ROW()/1000000,"")</f>
        <v/>
      </c>
      <c r="BG107" t="str">
        <f>IF(AND(PROCESSOS!B107&lt;&gt;"",ISNUMBER(PROCESSOS!D107),OR(FiltroResp="TODOS",FiltroResp="",PROCESSOS!H107=FiltroResp)),PROCESSOS!D107+ROW()/1000000,"")</f>
        <v/>
      </c>
    </row>
    <row r="108">
      <c r="BF108" t="str">
        <f>IF(AND(OR(PROCESSOS!P108="NO PRAZO",PROCESSOS!P108="VENCE EM BREVE"),OR(FiltroResp="TODOS",FiltroResp="",PROCESSOS!H108=FiltroResp)),PROCESSOS!N108+ROW()/1000000,"")</f>
        <v/>
      </c>
      <c r="BG108" t="str">
        <f>IF(AND(PROCESSOS!B108&lt;&gt;"",ISNUMBER(PROCESSOS!D108),OR(FiltroResp="TODOS",FiltroResp="",PROCESSOS!H108=FiltroResp)),PROCESSOS!D108+ROW()/1000000,"")</f>
        <v/>
      </c>
    </row>
    <row r="109">
      <c r="BF109" t="str">
        <f>IF(AND(OR(PROCESSOS!P109="NO PRAZO",PROCESSOS!P109="VENCE EM BREVE"),OR(FiltroResp="TODOS",FiltroResp="",PROCESSOS!H109=FiltroResp)),PROCESSOS!N109+ROW()/1000000,"")</f>
        <v/>
      </c>
      <c r="BG109" t="str">
        <f>IF(AND(PROCESSOS!B109&lt;&gt;"",ISNUMBER(PROCESSOS!D109),OR(FiltroResp="TODOS",FiltroResp="",PROCESSOS!H109=FiltroResp)),PROCESSOS!D109+ROW()/1000000,"")</f>
        <v/>
      </c>
    </row>
    <row r="110">
      <c r="BF110" t="str">
        <f>IF(AND(OR(PROCESSOS!P110="NO PRAZO",PROCESSOS!P110="VENCE EM BREVE"),OR(FiltroResp="TODOS",FiltroResp="",PROCESSOS!H110=FiltroResp)),PROCESSOS!N110+ROW()/1000000,"")</f>
        <v/>
      </c>
      <c r="BG110" t="str">
        <f>IF(AND(PROCESSOS!B110&lt;&gt;"",ISNUMBER(PROCESSOS!D110),OR(FiltroResp="TODOS",FiltroResp="",PROCESSOS!H110=FiltroResp)),PROCESSOS!D110+ROW()/1000000,"")</f>
        <v/>
      </c>
    </row>
    <row r="111">
      <c r="BF111" t="str">
        <f>IF(AND(OR(PROCESSOS!P111="NO PRAZO",PROCESSOS!P111="VENCE EM BREVE"),OR(FiltroResp="TODOS",FiltroResp="",PROCESSOS!H111=FiltroResp)),PROCESSOS!N111+ROW()/1000000,"")</f>
        <v/>
      </c>
      <c r="BG111" t="str">
        <f>IF(AND(PROCESSOS!B111&lt;&gt;"",ISNUMBER(PROCESSOS!D111),OR(FiltroResp="TODOS",FiltroResp="",PROCESSOS!H111=FiltroResp)),PROCESSOS!D111+ROW()/1000000,"")</f>
        <v/>
      </c>
    </row>
    <row r="112">
      <c r="BF112" t="str">
        <f>IF(AND(OR(PROCESSOS!P112="NO PRAZO",PROCESSOS!P112="VENCE EM BREVE"),OR(FiltroResp="TODOS",FiltroResp="",PROCESSOS!H112=FiltroResp)),PROCESSOS!N112+ROW()/1000000,"")</f>
        <v/>
      </c>
      <c r="BG112" t="str">
        <f>IF(AND(PROCESSOS!B112&lt;&gt;"",ISNUMBER(PROCESSOS!D112),OR(FiltroResp="TODOS",FiltroResp="",PROCESSOS!H112=FiltroResp)),PROCESSOS!D112+ROW()/1000000,"")</f>
        <v/>
      </c>
    </row>
    <row r="113">
      <c r="BF113" t="str">
        <f>IF(AND(OR(PROCESSOS!P113="NO PRAZO",PROCESSOS!P113="VENCE EM BREVE"),OR(FiltroResp="TODOS",FiltroResp="",PROCESSOS!H113=FiltroResp)),PROCESSOS!N113+ROW()/1000000,"")</f>
        <v/>
      </c>
      <c r="BG113" t="str">
        <f>IF(AND(PROCESSOS!B113&lt;&gt;"",ISNUMBER(PROCESSOS!D113),OR(FiltroResp="TODOS",FiltroResp="",PROCESSOS!H113=FiltroResp)),PROCESSOS!D113+ROW()/1000000,"")</f>
        <v/>
      </c>
    </row>
    <row r="114">
      <c r="BF114" t="str">
        <f>IF(AND(OR(PROCESSOS!P114="NO PRAZO",PROCESSOS!P114="VENCE EM BREVE"),OR(FiltroResp="TODOS",FiltroResp="",PROCESSOS!H114=FiltroResp)),PROCESSOS!N114+ROW()/1000000,"")</f>
        <v/>
      </c>
      <c r="BG114" t="str">
        <f>IF(AND(PROCESSOS!B114&lt;&gt;"",ISNUMBER(PROCESSOS!D114),OR(FiltroResp="TODOS",FiltroResp="",PROCESSOS!H114=FiltroResp)),PROCESSOS!D114+ROW()/1000000,"")</f>
        <v/>
      </c>
    </row>
    <row r="115">
      <c r="BF115" t="str">
        <f>IF(AND(OR(PROCESSOS!P115="NO PRAZO",PROCESSOS!P115="VENCE EM BREVE"),OR(FiltroResp="TODOS",FiltroResp="",PROCESSOS!H115=FiltroResp)),PROCESSOS!N115+ROW()/1000000,"")</f>
        <v/>
      </c>
      <c r="BG115" t="str">
        <f>IF(AND(PROCESSOS!B115&lt;&gt;"",ISNUMBER(PROCESSOS!D115),OR(FiltroResp="TODOS",FiltroResp="",PROCESSOS!H115=FiltroResp)),PROCESSOS!D115+ROW()/1000000,"")</f>
        <v/>
      </c>
    </row>
    <row r="116">
      <c r="BF116" t="str">
        <f>IF(AND(OR(PROCESSOS!P116="NO PRAZO",PROCESSOS!P116="VENCE EM BREVE"),OR(FiltroResp="TODOS",FiltroResp="",PROCESSOS!H116=FiltroResp)),PROCESSOS!N116+ROW()/1000000,"")</f>
        <v/>
      </c>
      <c r="BG116" t="str">
        <f>IF(AND(PROCESSOS!B116&lt;&gt;"",ISNUMBER(PROCESSOS!D116),OR(FiltroResp="TODOS",FiltroResp="",PROCESSOS!H116=FiltroResp)),PROCESSOS!D116+ROW()/1000000,"")</f>
        <v/>
      </c>
    </row>
    <row r="117">
      <c r="BF117" t="str">
        <f>IF(AND(OR(PROCESSOS!P117="NO PRAZO",PROCESSOS!P117="VENCE EM BREVE"),OR(FiltroResp="TODOS",FiltroResp="",PROCESSOS!H117=FiltroResp)),PROCESSOS!N117+ROW()/1000000,"")</f>
        <v/>
      </c>
      <c r="BG117" t="str">
        <f>IF(AND(PROCESSOS!B117&lt;&gt;"",ISNUMBER(PROCESSOS!D117),OR(FiltroResp="TODOS",FiltroResp="",PROCESSOS!H117=FiltroResp)),PROCESSOS!D117+ROW()/1000000,"")</f>
        <v/>
      </c>
    </row>
    <row r="118">
      <c r="BF118" t="str">
        <f>IF(AND(OR(PROCESSOS!P118="NO PRAZO",PROCESSOS!P118="VENCE EM BREVE"),OR(FiltroResp="TODOS",FiltroResp="",PROCESSOS!H118=FiltroResp)),PROCESSOS!N118+ROW()/1000000,"")</f>
        <v/>
      </c>
      <c r="BG118" t="str">
        <f>IF(AND(PROCESSOS!B118&lt;&gt;"",ISNUMBER(PROCESSOS!D118),OR(FiltroResp="TODOS",FiltroResp="",PROCESSOS!H118=FiltroResp)),PROCESSOS!D118+ROW()/1000000,"")</f>
        <v/>
      </c>
    </row>
    <row r="119">
      <c r="BF119" t="str">
        <f>IF(AND(OR(PROCESSOS!P119="NO PRAZO",PROCESSOS!P119="VENCE EM BREVE"),OR(FiltroResp="TODOS",FiltroResp="",PROCESSOS!H119=FiltroResp)),PROCESSOS!N119+ROW()/1000000,"")</f>
        <v/>
      </c>
      <c r="BG119" t="str">
        <f>IF(AND(PROCESSOS!B119&lt;&gt;"",ISNUMBER(PROCESSOS!D119),OR(FiltroResp="TODOS",FiltroResp="",PROCESSOS!H119=FiltroResp)),PROCESSOS!D119+ROW()/1000000,"")</f>
        <v/>
      </c>
    </row>
    <row r="120">
      <c r="BF120" t="str">
        <f>IF(AND(OR(PROCESSOS!P120="NO PRAZO",PROCESSOS!P120="VENCE EM BREVE"),OR(FiltroResp="TODOS",FiltroResp="",PROCESSOS!H120=FiltroResp)),PROCESSOS!N120+ROW()/1000000,"")</f>
        <v/>
      </c>
      <c r="BG120" t="str">
        <f>IF(AND(PROCESSOS!B120&lt;&gt;"",ISNUMBER(PROCESSOS!D120),OR(FiltroResp="TODOS",FiltroResp="",PROCESSOS!H120=FiltroResp)),PROCESSOS!D120+ROW()/1000000,"")</f>
        <v/>
      </c>
    </row>
    <row r="121">
      <c r="BF121" t="str">
        <f>IF(AND(OR(PROCESSOS!P121="NO PRAZO",PROCESSOS!P121="VENCE EM BREVE"),OR(FiltroResp="TODOS",FiltroResp="",PROCESSOS!H121=FiltroResp)),PROCESSOS!N121+ROW()/1000000,"")</f>
        <v/>
      </c>
      <c r="BG121" t="str">
        <f>IF(AND(PROCESSOS!B121&lt;&gt;"",ISNUMBER(PROCESSOS!D121),OR(FiltroResp="TODOS",FiltroResp="",PROCESSOS!H121=FiltroResp)),PROCESSOS!D121+ROW()/1000000,"")</f>
        <v/>
      </c>
    </row>
    <row r="122">
      <c r="BF122" t="str">
        <f>IF(AND(OR(PROCESSOS!P122="NO PRAZO",PROCESSOS!P122="VENCE EM BREVE"),OR(FiltroResp="TODOS",FiltroResp="",PROCESSOS!H122=FiltroResp)),PROCESSOS!N122+ROW()/1000000,"")</f>
        <v/>
      </c>
      <c r="BG122" t="str">
        <f>IF(AND(PROCESSOS!B122&lt;&gt;"",ISNUMBER(PROCESSOS!D122),OR(FiltroResp="TODOS",FiltroResp="",PROCESSOS!H122=FiltroResp)),PROCESSOS!D122+ROW()/1000000,"")</f>
        <v/>
      </c>
    </row>
    <row r="123">
      <c r="BF123" t="str">
        <f>IF(AND(OR(PROCESSOS!P123="NO PRAZO",PROCESSOS!P123="VENCE EM BREVE"),OR(FiltroResp="TODOS",FiltroResp="",PROCESSOS!H123=FiltroResp)),PROCESSOS!N123+ROW()/1000000,"")</f>
        <v/>
      </c>
      <c r="BG123" t="str">
        <f>IF(AND(PROCESSOS!B123&lt;&gt;"",ISNUMBER(PROCESSOS!D123),OR(FiltroResp="TODOS",FiltroResp="",PROCESSOS!H123=FiltroResp)),PROCESSOS!D123+ROW()/1000000,"")</f>
        <v/>
      </c>
    </row>
    <row r="124">
      <c r="BF124" t="str">
        <f>IF(AND(OR(PROCESSOS!P124="NO PRAZO",PROCESSOS!P124="VENCE EM BREVE"),OR(FiltroResp="TODOS",FiltroResp="",PROCESSOS!H124=FiltroResp)),PROCESSOS!N124+ROW()/1000000,"")</f>
        <v/>
      </c>
      <c r="BG124" t="str">
        <f>IF(AND(PROCESSOS!B124&lt;&gt;"",ISNUMBER(PROCESSOS!D124),OR(FiltroResp="TODOS",FiltroResp="",PROCESSOS!H124=FiltroResp)),PROCESSOS!D124+ROW()/1000000,"")</f>
        <v/>
      </c>
    </row>
    <row r="125">
      <c r="BF125" t="str">
        <f>IF(AND(OR(PROCESSOS!P125="NO PRAZO",PROCESSOS!P125="VENCE EM BREVE"),OR(FiltroResp="TODOS",FiltroResp="",PROCESSOS!H125=FiltroResp)),PROCESSOS!N125+ROW()/1000000,"")</f>
        <v/>
      </c>
      <c r="BG125" t="str">
        <f>IF(AND(PROCESSOS!B125&lt;&gt;"",ISNUMBER(PROCESSOS!D125),OR(FiltroResp="TODOS",FiltroResp="",PROCESSOS!H125=FiltroResp)),PROCESSOS!D125+ROW()/1000000,"")</f>
        <v/>
      </c>
    </row>
    <row r="126">
      <c r="BF126" t="str">
        <f>IF(AND(OR(PROCESSOS!P126="NO PRAZO",PROCESSOS!P126="VENCE EM BREVE"),OR(FiltroResp="TODOS",FiltroResp="",PROCESSOS!H126=FiltroResp)),PROCESSOS!N126+ROW()/1000000,"")</f>
        <v/>
      </c>
      <c r="BG126" t="str">
        <f>IF(AND(PROCESSOS!B126&lt;&gt;"",ISNUMBER(PROCESSOS!D126),OR(FiltroResp="TODOS",FiltroResp="",PROCESSOS!H126=FiltroResp)),PROCESSOS!D126+ROW()/1000000,"")</f>
        <v/>
      </c>
    </row>
    <row r="127">
      <c r="BF127" t="str">
        <f>IF(AND(OR(PROCESSOS!P127="NO PRAZO",PROCESSOS!P127="VENCE EM BREVE"),OR(FiltroResp="TODOS",FiltroResp="",PROCESSOS!H127=FiltroResp)),PROCESSOS!N127+ROW()/1000000,"")</f>
        <v/>
      </c>
      <c r="BG127" t="str">
        <f>IF(AND(PROCESSOS!B127&lt;&gt;"",ISNUMBER(PROCESSOS!D127),OR(FiltroResp="TODOS",FiltroResp="",PROCESSOS!H127=FiltroResp)),PROCESSOS!D127+ROW()/1000000,"")</f>
        <v/>
      </c>
    </row>
    <row r="128">
      <c r="BF128" t="str">
        <f>IF(AND(OR(PROCESSOS!P128="NO PRAZO",PROCESSOS!P128="VENCE EM BREVE"),OR(FiltroResp="TODOS",FiltroResp="",PROCESSOS!H128=FiltroResp)),PROCESSOS!N128+ROW()/1000000,"")</f>
        <v/>
      </c>
      <c r="BG128" t="str">
        <f>IF(AND(PROCESSOS!B128&lt;&gt;"",ISNUMBER(PROCESSOS!D128),OR(FiltroResp="TODOS",FiltroResp="",PROCESSOS!H128=FiltroResp)),PROCESSOS!D128+ROW()/1000000,"")</f>
        <v/>
      </c>
    </row>
    <row r="129">
      <c r="BF129" t="str">
        <f>IF(AND(OR(PROCESSOS!P129="NO PRAZO",PROCESSOS!P129="VENCE EM BREVE"),OR(FiltroResp="TODOS",FiltroResp="",PROCESSOS!H129=FiltroResp)),PROCESSOS!N129+ROW()/1000000,"")</f>
        <v/>
      </c>
      <c r="BG129" t="str">
        <f>IF(AND(PROCESSOS!B129&lt;&gt;"",ISNUMBER(PROCESSOS!D129),OR(FiltroResp="TODOS",FiltroResp="",PROCESSOS!H129=FiltroResp)),PROCESSOS!D129+ROW()/1000000,"")</f>
        <v/>
      </c>
    </row>
    <row r="130">
      <c r="BF130" t="str">
        <f>IF(AND(OR(PROCESSOS!P130="NO PRAZO",PROCESSOS!P130="VENCE EM BREVE"),OR(FiltroResp="TODOS",FiltroResp="",PROCESSOS!H130=FiltroResp)),PROCESSOS!N130+ROW()/1000000,"")</f>
        <v/>
      </c>
      <c r="BG130" t="str">
        <f>IF(AND(PROCESSOS!B130&lt;&gt;"",ISNUMBER(PROCESSOS!D130),OR(FiltroResp="TODOS",FiltroResp="",PROCESSOS!H130=FiltroResp)),PROCESSOS!D130+ROW()/1000000,"")</f>
        <v/>
      </c>
    </row>
    <row r="131">
      <c r="BF131" t="str">
        <f>IF(AND(OR(PROCESSOS!P131="NO PRAZO",PROCESSOS!P131="VENCE EM BREVE"),OR(FiltroResp="TODOS",FiltroResp="",PROCESSOS!H131=FiltroResp)),PROCESSOS!N131+ROW()/1000000,"")</f>
        <v/>
      </c>
      <c r="BG131" t="str">
        <f>IF(AND(PROCESSOS!B131&lt;&gt;"",ISNUMBER(PROCESSOS!D131),OR(FiltroResp="TODOS",FiltroResp="",PROCESSOS!H131=FiltroResp)),PROCESSOS!D131+ROW()/1000000,"")</f>
        <v/>
      </c>
    </row>
    <row r="132">
      <c r="BF132" t="str">
        <f>IF(AND(OR(PROCESSOS!P132="NO PRAZO",PROCESSOS!P132="VENCE EM BREVE"),OR(FiltroResp="TODOS",FiltroResp="",PROCESSOS!H132=FiltroResp)),PROCESSOS!N132+ROW()/1000000,"")</f>
        <v/>
      </c>
      <c r="BG132" t="str">
        <f>IF(AND(PROCESSOS!B132&lt;&gt;"",ISNUMBER(PROCESSOS!D132),OR(FiltroResp="TODOS",FiltroResp="",PROCESSOS!H132=FiltroResp)),PROCESSOS!D132+ROW()/1000000,"")</f>
        <v/>
      </c>
    </row>
    <row r="133">
      <c r="BF133" t="str">
        <f>IF(AND(OR(PROCESSOS!P133="NO PRAZO",PROCESSOS!P133="VENCE EM BREVE"),OR(FiltroResp="TODOS",FiltroResp="",PROCESSOS!H133=FiltroResp)),PROCESSOS!N133+ROW()/1000000,"")</f>
        <v/>
      </c>
      <c r="BG133" t="str">
        <f>IF(AND(PROCESSOS!B133&lt;&gt;"",ISNUMBER(PROCESSOS!D133),OR(FiltroResp="TODOS",FiltroResp="",PROCESSOS!H133=FiltroResp)),PROCESSOS!D133+ROW()/1000000,"")</f>
        <v/>
      </c>
    </row>
    <row r="134">
      <c r="BF134" t="str">
        <f>IF(AND(OR(PROCESSOS!P134="NO PRAZO",PROCESSOS!P134="VENCE EM BREVE"),OR(FiltroResp="TODOS",FiltroResp="",PROCESSOS!H134=FiltroResp)),PROCESSOS!N134+ROW()/1000000,"")</f>
        <v/>
      </c>
      <c r="BG134" t="str">
        <f>IF(AND(PROCESSOS!B134&lt;&gt;"",ISNUMBER(PROCESSOS!D134),OR(FiltroResp="TODOS",FiltroResp="",PROCESSOS!H134=FiltroResp)),PROCESSOS!D134+ROW()/1000000,"")</f>
        <v/>
      </c>
    </row>
    <row r="135">
      <c r="BF135" t="str">
        <f>IF(AND(OR(PROCESSOS!P135="NO PRAZO",PROCESSOS!P135="VENCE EM BREVE"),OR(FiltroResp="TODOS",FiltroResp="",PROCESSOS!H135=FiltroResp)),PROCESSOS!N135+ROW()/1000000,"")</f>
        <v/>
      </c>
      <c r="BG135" t="str">
        <f>IF(AND(PROCESSOS!B135&lt;&gt;"",ISNUMBER(PROCESSOS!D135),OR(FiltroResp="TODOS",FiltroResp="",PROCESSOS!H135=FiltroResp)),PROCESSOS!D135+ROW()/1000000,"")</f>
        <v/>
      </c>
    </row>
    <row r="136">
      <c r="BF136" t="str">
        <f>IF(AND(OR(PROCESSOS!P136="NO PRAZO",PROCESSOS!P136="VENCE EM BREVE"),OR(FiltroResp="TODOS",FiltroResp="",PROCESSOS!H136=FiltroResp)),PROCESSOS!N136+ROW()/1000000,"")</f>
        <v/>
      </c>
      <c r="BG136" t="str">
        <f>IF(AND(PROCESSOS!B136&lt;&gt;"",ISNUMBER(PROCESSOS!D136),OR(FiltroResp="TODOS",FiltroResp="",PROCESSOS!H136=FiltroResp)),PROCESSOS!D136+ROW()/1000000,"")</f>
        <v/>
      </c>
    </row>
    <row r="137">
      <c r="BF137" t="str">
        <f>IF(AND(OR(PROCESSOS!P137="NO PRAZO",PROCESSOS!P137="VENCE EM BREVE"),OR(FiltroResp="TODOS",FiltroResp="",PROCESSOS!H137=FiltroResp)),PROCESSOS!N137+ROW()/1000000,"")</f>
        <v/>
      </c>
      <c r="BG137" t="str">
        <f>IF(AND(PROCESSOS!B137&lt;&gt;"",ISNUMBER(PROCESSOS!D137),OR(FiltroResp="TODOS",FiltroResp="",PROCESSOS!H137=FiltroResp)),PROCESSOS!D137+ROW()/1000000,"")</f>
        <v/>
      </c>
    </row>
    <row r="138">
      <c r="BF138" t="str">
        <f>IF(AND(OR(PROCESSOS!P138="NO PRAZO",PROCESSOS!P138="VENCE EM BREVE"),OR(FiltroResp="TODOS",FiltroResp="",PROCESSOS!H138=FiltroResp)),PROCESSOS!N138+ROW()/1000000,"")</f>
        <v/>
      </c>
      <c r="BG138" t="str">
        <f>IF(AND(PROCESSOS!B138&lt;&gt;"",ISNUMBER(PROCESSOS!D138),OR(FiltroResp="TODOS",FiltroResp="",PROCESSOS!H138=FiltroResp)),PROCESSOS!D138+ROW()/1000000,"")</f>
        <v/>
      </c>
    </row>
    <row r="139">
      <c r="BF139" t="str">
        <f>IF(AND(OR(PROCESSOS!P139="NO PRAZO",PROCESSOS!P139="VENCE EM BREVE"),OR(FiltroResp="TODOS",FiltroResp="",PROCESSOS!H139=FiltroResp)),PROCESSOS!N139+ROW()/1000000,"")</f>
        <v/>
      </c>
      <c r="BG139" t="str">
        <f>IF(AND(PROCESSOS!B139&lt;&gt;"",ISNUMBER(PROCESSOS!D139),OR(FiltroResp="TODOS",FiltroResp="",PROCESSOS!H139=FiltroResp)),PROCESSOS!D139+ROW()/1000000,"")</f>
        <v/>
      </c>
    </row>
    <row r="140">
      <c r="BF140" t="str">
        <f>IF(AND(OR(PROCESSOS!P140="NO PRAZO",PROCESSOS!P140="VENCE EM BREVE"),OR(FiltroResp="TODOS",FiltroResp="",PROCESSOS!H140=FiltroResp)),PROCESSOS!N140+ROW()/1000000,"")</f>
        <v/>
      </c>
      <c r="BG140" t="str">
        <f>IF(AND(PROCESSOS!B140&lt;&gt;"",ISNUMBER(PROCESSOS!D140),OR(FiltroResp="TODOS",FiltroResp="",PROCESSOS!H140=FiltroResp)),PROCESSOS!D140+ROW()/1000000,"")</f>
        <v/>
      </c>
    </row>
    <row r="141">
      <c r="BF141" t="str">
        <f>IF(AND(OR(PROCESSOS!P141="NO PRAZO",PROCESSOS!P141="VENCE EM BREVE"),OR(FiltroResp="TODOS",FiltroResp="",PROCESSOS!H141=FiltroResp)),PROCESSOS!N141+ROW()/1000000,"")</f>
        <v/>
      </c>
      <c r="BG141" t="str">
        <f>IF(AND(PROCESSOS!B141&lt;&gt;"",ISNUMBER(PROCESSOS!D141),OR(FiltroResp="TODOS",FiltroResp="",PROCESSOS!H141=FiltroResp)),PROCESSOS!D141+ROW()/1000000,"")</f>
        <v/>
      </c>
    </row>
    <row r="142">
      <c r="BF142" t="str">
        <f>IF(AND(OR(PROCESSOS!P142="NO PRAZO",PROCESSOS!P142="VENCE EM BREVE"),OR(FiltroResp="TODOS",FiltroResp="",PROCESSOS!H142=FiltroResp)),PROCESSOS!N142+ROW()/1000000,"")</f>
        <v/>
      </c>
      <c r="BG142" t="str">
        <f>IF(AND(PROCESSOS!B142&lt;&gt;"",ISNUMBER(PROCESSOS!D142),OR(FiltroResp="TODOS",FiltroResp="",PROCESSOS!H142=FiltroResp)),PROCESSOS!D142+ROW()/1000000,"")</f>
        <v/>
      </c>
    </row>
    <row r="143">
      <c r="BF143" t="str">
        <f>IF(AND(OR(PROCESSOS!P143="NO PRAZO",PROCESSOS!P143="VENCE EM BREVE"),OR(FiltroResp="TODOS",FiltroResp="",PROCESSOS!H143=FiltroResp)),PROCESSOS!N143+ROW()/1000000,"")</f>
        <v/>
      </c>
      <c r="BG143" t="str">
        <f>IF(AND(PROCESSOS!B143&lt;&gt;"",ISNUMBER(PROCESSOS!D143),OR(FiltroResp="TODOS",FiltroResp="",PROCESSOS!H143=FiltroResp)),PROCESSOS!D143+ROW()/1000000,"")</f>
        <v/>
      </c>
    </row>
    <row r="144">
      <c r="BF144" t="str">
        <f>IF(AND(OR(PROCESSOS!P144="NO PRAZO",PROCESSOS!P144="VENCE EM BREVE"),OR(FiltroResp="TODOS",FiltroResp="",PROCESSOS!H144=FiltroResp)),PROCESSOS!N144+ROW()/1000000,"")</f>
        <v/>
      </c>
      <c r="BG144" t="str">
        <f>IF(AND(PROCESSOS!B144&lt;&gt;"",ISNUMBER(PROCESSOS!D144),OR(FiltroResp="TODOS",FiltroResp="",PROCESSOS!H144=FiltroResp)),PROCESSOS!D144+ROW()/1000000,"")</f>
        <v/>
      </c>
    </row>
    <row r="145">
      <c r="BF145" t="str">
        <f>IF(AND(OR(PROCESSOS!P145="NO PRAZO",PROCESSOS!P145="VENCE EM BREVE"),OR(FiltroResp="TODOS",FiltroResp="",PROCESSOS!H145=FiltroResp)),PROCESSOS!N145+ROW()/1000000,"")</f>
        <v/>
      </c>
      <c r="BG145" t="str">
        <f>IF(AND(PROCESSOS!B145&lt;&gt;"",ISNUMBER(PROCESSOS!D145),OR(FiltroResp="TODOS",FiltroResp="",PROCESSOS!H145=FiltroResp)),PROCESSOS!D145+ROW()/1000000,"")</f>
        <v/>
      </c>
    </row>
    <row r="146">
      <c r="BF146" t="str">
        <f>IF(AND(OR(PROCESSOS!P146="NO PRAZO",PROCESSOS!P146="VENCE EM BREVE"),OR(FiltroResp="TODOS",FiltroResp="",PROCESSOS!H146=FiltroResp)),PROCESSOS!N146+ROW()/1000000,"")</f>
        <v/>
      </c>
      <c r="BG146" t="str">
        <f>IF(AND(PROCESSOS!B146&lt;&gt;"",ISNUMBER(PROCESSOS!D146),OR(FiltroResp="TODOS",FiltroResp="",PROCESSOS!H146=FiltroResp)),PROCESSOS!D146+ROW()/1000000,"")</f>
        <v/>
      </c>
    </row>
    <row r="147">
      <c r="BF147" t="str">
        <f>IF(AND(OR(PROCESSOS!P147="NO PRAZO",PROCESSOS!P147="VENCE EM BREVE"),OR(FiltroResp="TODOS",FiltroResp="",PROCESSOS!H147=FiltroResp)),PROCESSOS!N147+ROW()/1000000,"")</f>
        <v/>
      </c>
      <c r="BG147" t="str">
        <f>IF(AND(PROCESSOS!B147&lt;&gt;"",ISNUMBER(PROCESSOS!D147),OR(FiltroResp="TODOS",FiltroResp="",PROCESSOS!H147=FiltroResp)),PROCESSOS!D147+ROW()/1000000,"")</f>
        <v/>
      </c>
    </row>
    <row r="148">
      <c r="BF148" t="str">
        <f>IF(AND(OR(PROCESSOS!P148="NO PRAZO",PROCESSOS!P148="VENCE EM BREVE"),OR(FiltroResp="TODOS",FiltroResp="",PROCESSOS!H148=FiltroResp)),PROCESSOS!N148+ROW()/1000000,"")</f>
        <v/>
      </c>
      <c r="BG148" t="str">
        <f>IF(AND(PROCESSOS!B148&lt;&gt;"",ISNUMBER(PROCESSOS!D148),OR(FiltroResp="TODOS",FiltroResp="",PROCESSOS!H148=FiltroResp)),PROCESSOS!D148+ROW()/1000000,"")</f>
        <v/>
      </c>
    </row>
    <row r="149">
      <c r="BF149" t="str">
        <f>IF(AND(OR(PROCESSOS!P149="NO PRAZO",PROCESSOS!P149="VENCE EM BREVE"),OR(FiltroResp="TODOS",FiltroResp="",PROCESSOS!H149=FiltroResp)),PROCESSOS!N149+ROW()/1000000,"")</f>
        <v/>
      </c>
      <c r="BG149" t="str">
        <f>IF(AND(PROCESSOS!B149&lt;&gt;"",ISNUMBER(PROCESSOS!D149),OR(FiltroResp="TODOS",FiltroResp="",PROCESSOS!H149=FiltroResp)),PROCESSOS!D149+ROW()/1000000,"")</f>
        <v/>
      </c>
    </row>
    <row r="150">
      <c r="BF150" t="str">
        <f>IF(AND(OR(PROCESSOS!P150="NO PRAZO",PROCESSOS!P150="VENCE EM BREVE"),OR(FiltroResp="TODOS",FiltroResp="",PROCESSOS!H150=FiltroResp)),PROCESSOS!N150+ROW()/1000000,"")</f>
        <v/>
      </c>
      <c r="BG150" t="str">
        <f>IF(AND(PROCESSOS!B150&lt;&gt;"",ISNUMBER(PROCESSOS!D150),OR(FiltroResp="TODOS",FiltroResp="",PROCESSOS!H150=FiltroResp)),PROCESSOS!D150+ROW()/1000000,"")</f>
        <v/>
      </c>
    </row>
    <row r="151">
      <c r="BF151" t="str">
        <f>IF(AND(OR(PROCESSOS!P151="NO PRAZO",PROCESSOS!P151="VENCE EM BREVE"),OR(FiltroResp="TODOS",FiltroResp="",PROCESSOS!H151=FiltroResp)),PROCESSOS!N151+ROW()/1000000,"")</f>
        <v/>
      </c>
      <c r="BG151" t="str">
        <f>IF(AND(PROCESSOS!B151&lt;&gt;"",ISNUMBER(PROCESSOS!D151),OR(FiltroResp="TODOS",FiltroResp="",PROCESSOS!H151=FiltroResp)),PROCESSOS!D151+ROW()/1000000,"")</f>
        <v/>
      </c>
    </row>
    <row r="152">
      <c r="BF152" t="str">
        <f>IF(AND(OR(PROCESSOS!P152="NO PRAZO",PROCESSOS!P152="VENCE EM BREVE"),OR(FiltroResp="TODOS",FiltroResp="",PROCESSOS!H152=FiltroResp)),PROCESSOS!N152+ROW()/1000000,"")</f>
        <v/>
      </c>
      <c r="BG152" t="str">
        <f>IF(AND(PROCESSOS!B152&lt;&gt;"",ISNUMBER(PROCESSOS!D152),OR(FiltroResp="TODOS",FiltroResp="",PROCESSOS!H152=FiltroResp)),PROCESSOS!D152+ROW()/1000000,"")</f>
        <v/>
      </c>
    </row>
    <row r="153">
      <c r="BF153" t="str">
        <f>IF(AND(OR(PROCESSOS!P153="NO PRAZO",PROCESSOS!P153="VENCE EM BREVE"),OR(FiltroResp="TODOS",FiltroResp="",PROCESSOS!H153=FiltroResp)),PROCESSOS!N153+ROW()/1000000,"")</f>
        <v/>
      </c>
      <c r="BG153" t="str">
        <f>IF(AND(PROCESSOS!B153&lt;&gt;"",ISNUMBER(PROCESSOS!D153),OR(FiltroResp="TODOS",FiltroResp="",PROCESSOS!H153=FiltroResp)),PROCESSOS!D153+ROW()/1000000,"")</f>
        <v/>
      </c>
    </row>
    <row r="154">
      <c r="BF154" t="str">
        <f>IF(AND(OR(PROCESSOS!P154="NO PRAZO",PROCESSOS!P154="VENCE EM BREVE"),OR(FiltroResp="TODOS",FiltroResp="",PROCESSOS!H154=FiltroResp)),PROCESSOS!N154+ROW()/1000000,"")</f>
        <v/>
      </c>
      <c r="BG154" t="str">
        <f>IF(AND(PROCESSOS!B154&lt;&gt;"",ISNUMBER(PROCESSOS!D154),OR(FiltroResp="TODOS",FiltroResp="",PROCESSOS!H154=FiltroResp)),PROCESSOS!D154+ROW()/1000000,"")</f>
        <v/>
      </c>
    </row>
    <row r="155">
      <c r="BF155" t="str">
        <f>IF(AND(OR(PROCESSOS!P155="NO PRAZO",PROCESSOS!P155="VENCE EM BREVE"),OR(FiltroResp="TODOS",FiltroResp="",PROCESSOS!H155=FiltroResp)),PROCESSOS!N155+ROW()/1000000,"")</f>
        <v/>
      </c>
      <c r="BG155" t="str">
        <f>IF(AND(PROCESSOS!B155&lt;&gt;"",ISNUMBER(PROCESSOS!D155),OR(FiltroResp="TODOS",FiltroResp="",PROCESSOS!H155=FiltroResp)),PROCESSOS!D155+ROW()/1000000,"")</f>
        <v/>
      </c>
    </row>
    <row r="156">
      <c r="BF156" t="str">
        <f>IF(AND(OR(PROCESSOS!P156="NO PRAZO",PROCESSOS!P156="VENCE EM BREVE"),OR(FiltroResp="TODOS",FiltroResp="",PROCESSOS!H156=FiltroResp)),PROCESSOS!N156+ROW()/1000000,"")</f>
        <v/>
      </c>
      <c r="BG156" t="str">
        <f>IF(AND(PROCESSOS!B156&lt;&gt;"",ISNUMBER(PROCESSOS!D156),OR(FiltroResp="TODOS",FiltroResp="",PROCESSOS!H156=FiltroResp)),PROCESSOS!D156+ROW()/1000000,"")</f>
        <v/>
      </c>
    </row>
    <row r="157">
      <c r="BF157" t="str">
        <f>IF(AND(OR(PROCESSOS!P157="NO PRAZO",PROCESSOS!P157="VENCE EM BREVE"),OR(FiltroResp="TODOS",FiltroResp="",PROCESSOS!H157=FiltroResp)),PROCESSOS!N157+ROW()/1000000,"")</f>
        <v/>
      </c>
      <c r="BG157" t="str">
        <f>IF(AND(PROCESSOS!B157&lt;&gt;"",ISNUMBER(PROCESSOS!D157),OR(FiltroResp="TODOS",FiltroResp="",PROCESSOS!H157=FiltroResp)),PROCESSOS!D157+ROW()/1000000,"")</f>
        <v/>
      </c>
    </row>
    <row r="158">
      <c r="BF158" t="str">
        <f>IF(AND(OR(PROCESSOS!P158="NO PRAZO",PROCESSOS!P158="VENCE EM BREVE"),OR(FiltroResp="TODOS",FiltroResp="",PROCESSOS!H158=FiltroResp)),PROCESSOS!N158+ROW()/1000000,"")</f>
        <v/>
      </c>
      <c r="BG158" t="str">
        <f>IF(AND(PROCESSOS!B158&lt;&gt;"",ISNUMBER(PROCESSOS!D158),OR(FiltroResp="TODOS",FiltroResp="",PROCESSOS!H158=FiltroResp)),PROCESSOS!D158+ROW()/1000000,"")</f>
        <v/>
      </c>
    </row>
    <row r="159">
      <c r="BF159" t="str">
        <f>IF(AND(OR(PROCESSOS!P159="NO PRAZO",PROCESSOS!P159="VENCE EM BREVE"),OR(FiltroResp="TODOS",FiltroResp="",PROCESSOS!H159=FiltroResp)),PROCESSOS!N159+ROW()/1000000,"")</f>
        <v/>
      </c>
      <c r="BG159" t="str">
        <f>IF(AND(PROCESSOS!B159&lt;&gt;"",ISNUMBER(PROCESSOS!D159),OR(FiltroResp="TODOS",FiltroResp="",PROCESSOS!H159=FiltroResp)),PROCESSOS!D159+ROW()/1000000,"")</f>
        <v/>
      </c>
    </row>
    <row r="160">
      <c r="BF160" t="str">
        <f>IF(AND(OR(PROCESSOS!P160="NO PRAZO",PROCESSOS!P160="VENCE EM BREVE"),OR(FiltroResp="TODOS",FiltroResp="",PROCESSOS!H160=FiltroResp)),PROCESSOS!N160+ROW()/1000000,"")</f>
        <v/>
      </c>
      <c r="BG160" t="str">
        <f>IF(AND(PROCESSOS!B160&lt;&gt;"",ISNUMBER(PROCESSOS!D160),OR(FiltroResp="TODOS",FiltroResp="",PROCESSOS!H160=FiltroResp)),PROCESSOS!D160+ROW()/1000000,"")</f>
        <v/>
      </c>
    </row>
    <row r="161">
      <c r="BF161" t="str">
        <f>IF(AND(OR(PROCESSOS!P161="NO PRAZO",PROCESSOS!P161="VENCE EM BREVE"),OR(FiltroResp="TODOS",FiltroResp="",PROCESSOS!H161=FiltroResp)),PROCESSOS!N161+ROW()/1000000,"")</f>
        <v/>
      </c>
      <c r="BG161" t="str">
        <f>IF(AND(PROCESSOS!B161&lt;&gt;"",ISNUMBER(PROCESSOS!D161),OR(FiltroResp="TODOS",FiltroResp="",PROCESSOS!H161=FiltroResp)),PROCESSOS!D161+ROW()/1000000,"")</f>
        <v/>
      </c>
    </row>
    <row r="162">
      <c r="BF162" t="str">
        <f>IF(AND(OR(PROCESSOS!P162="NO PRAZO",PROCESSOS!P162="VENCE EM BREVE"),OR(FiltroResp="TODOS",FiltroResp="",PROCESSOS!H162=FiltroResp)),PROCESSOS!N162+ROW()/1000000,"")</f>
        <v/>
      </c>
      <c r="BG162" t="str">
        <f>IF(AND(PROCESSOS!B162&lt;&gt;"",ISNUMBER(PROCESSOS!D162),OR(FiltroResp="TODOS",FiltroResp="",PROCESSOS!H162=FiltroResp)),PROCESSOS!D162+ROW()/1000000,"")</f>
        <v/>
      </c>
    </row>
    <row r="163">
      <c r="BF163" t="str">
        <f>IF(AND(OR(PROCESSOS!P163="NO PRAZO",PROCESSOS!P163="VENCE EM BREVE"),OR(FiltroResp="TODOS",FiltroResp="",PROCESSOS!H163=FiltroResp)),PROCESSOS!N163+ROW()/1000000,"")</f>
        <v/>
      </c>
      <c r="BG163" t="str">
        <f>IF(AND(PROCESSOS!B163&lt;&gt;"",ISNUMBER(PROCESSOS!D163),OR(FiltroResp="TODOS",FiltroResp="",PROCESSOS!H163=FiltroResp)),PROCESSOS!D163+ROW()/1000000,"")</f>
        <v/>
      </c>
    </row>
    <row r="164">
      <c r="BF164" t="str">
        <f>IF(AND(OR(PROCESSOS!P164="NO PRAZO",PROCESSOS!P164="VENCE EM BREVE"),OR(FiltroResp="TODOS",FiltroResp="",PROCESSOS!H164=FiltroResp)),PROCESSOS!N164+ROW()/1000000,"")</f>
        <v/>
      </c>
      <c r="BG164" t="str">
        <f>IF(AND(PROCESSOS!B164&lt;&gt;"",ISNUMBER(PROCESSOS!D164),OR(FiltroResp="TODOS",FiltroResp="",PROCESSOS!H164=FiltroResp)),PROCESSOS!D164+ROW()/1000000,"")</f>
        <v/>
      </c>
    </row>
    <row r="165">
      <c r="BF165" t="str">
        <f>IF(AND(OR(PROCESSOS!P165="NO PRAZO",PROCESSOS!P165="VENCE EM BREVE"),OR(FiltroResp="TODOS",FiltroResp="",PROCESSOS!H165=FiltroResp)),PROCESSOS!N165+ROW()/1000000,"")</f>
        <v/>
      </c>
      <c r="BG165" t="str">
        <f>IF(AND(PROCESSOS!B165&lt;&gt;"",ISNUMBER(PROCESSOS!D165),OR(FiltroResp="TODOS",FiltroResp="",PROCESSOS!H165=FiltroResp)),PROCESSOS!D165+ROW()/1000000,"")</f>
        <v/>
      </c>
    </row>
    <row r="166">
      <c r="BF166" t="str">
        <f>IF(AND(OR(PROCESSOS!P166="NO PRAZO",PROCESSOS!P166="VENCE EM BREVE"),OR(FiltroResp="TODOS",FiltroResp="",PROCESSOS!H166=FiltroResp)),PROCESSOS!N166+ROW()/1000000,"")</f>
        <v/>
      </c>
      <c r="BG166" t="str">
        <f>IF(AND(PROCESSOS!B166&lt;&gt;"",ISNUMBER(PROCESSOS!D166),OR(FiltroResp="TODOS",FiltroResp="",PROCESSOS!H166=FiltroResp)),PROCESSOS!D166+ROW()/1000000,"")</f>
        <v/>
      </c>
    </row>
    <row r="167">
      <c r="BF167" t="str">
        <f>IF(AND(OR(PROCESSOS!P167="NO PRAZO",PROCESSOS!P167="VENCE EM BREVE"),OR(FiltroResp="TODOS",FiltroResp="",PROCESSOS!H167=FiltroResp)),PROCESSOS!N167+ROW()/1000000,"")</f>
        <v/>
      </c>
      <c r="BG167" t="str">
        <f>IF(AND(PROCESSOS!B167&lt;&gt;"",ISNUMBER(PROCESSOS!D167),OR(FiltroResp="TODOS",FiltroResp="",PROCESSOS!H167=FiltroResp)),PROCESSOS!D167+ROW()/1000000,"")</f>
        <v/>
      </c>
    </row>
    <row r="168">
      <c r="BF168" t="str">
        <f>IF(AND(OR(PROCESSOS!P168="NO PRAZO",PROCESSOS!P168="VENCE EM BREVE"),OR(FiltroResp="TODOS",FiltroResp="",PROCESSOS!H168=FiltroResp)),PROCESSOS!N168+ROW()/1000000,"")</f>
        <v/>
      </c>
      <c r="BG168" t="str">
        <f>IF(AND(PROCESSOS!B168&lt;&gt;"",ISNUMBER(PROCESSOS!D168),OR(FiltroResp="TODOS",FiltroResp="",PROCESSOS!H168=FiltroResp)),PROCESSOS!D168+ROW()/1000000,"")</f>
        <v/>
      </c>
    </row>
    <row r="169">
      <c r="BF169" t="str">
        <f>IF(AND(OR(PROCESSOS!P169="NO PRAZO",PROCESSOS!P169="VENCE EM BREVE"),OR(FiltroResp="TODOS",FiltroResp="",PROCESSOS!H169=FiltroResp)),PROCESSOS!N169+ROW()/1000000,"")</f>
        <v/>
      </c>
      <c r="BG169" t="str">
        <f>IF(AND(PROCESSOS!B169&lt;&gt;"",ISNUMBER(PROCESSOS!D169),OR(FiltroResp="TODOS",FiltroResp="",PROCESSOS!H169=FiltroResp)),PROCESSOS!D169+ROW()/1000000,"")</f>
        <v/>
      </c>
    </row>
    <row r="170">
      <c r="BF170" t="str">
        <f>IF(AND(OR(PROCESSOS!P170="NO PRAZO",PROCESSOS!P170="VENCE EM BREVE"),OR(FiltroResp="TODOS",FiltroResp="",PROCESSOS!H170=FiltroResp)),PROCESSOS!N170+ROW()/1000000,"")</f>
        <v/>
      </c>
      <c r="BG170" t="str">
        <f>IF(AND(PROCESSOS!B170&lt;&gt;"",ISNUMBER(PROCESSOS!D170),OR(FiltroResp="TODOS",FiltroResp="",PROCESSOS!H170=FiltroResp)),PROCESSOS!D170+ROW()/1000000,"")</f>
        <v/>
      </c>
    </row>
    <row r="171">
      <c r="BF171" t="str">
        <f>IF(AND(OR(PROCESSOS!P171="NO PRAZO",PROCESSOS!P171="VENCE EM BREVE"),OR(FiltroResp="TODOS",FiltroResp="",PROCESSOS!H171=FiltroResp)),PROCESSOS!N171+ROW()/1000000,"")</f>
        <v/>
      </c>
      <c r="BG171" t="str">
        <f>IF(AND(PROCESSOS!B171&lt;&gt;"",ISNUMBER(PROCESSOS!D171),OR(FiltroResp="TODOS",FiltroResp="",PROCESSOS!H171=FiltroResp)),PROCESSOS!D171+ROW()/1000000,"")</f>
        <v/>
      </c>
    </row>
    <row r="172">
      <c r="BF172" t="str">
        <f>IF(AND(OR(PROCESSOS!P172="NO PRAZO",PROCESSOS!P172="VENCE EM BREVE"),OR(FiltroResp="TODOS",FiltroResp="",PROCESSOS!H172=FiltroResp)),PROCESSOS!N172+ROW()/1000000,"")</f>
        <v/>
      </c>
      <c r="BG172" t="str">
        <f>IF(AND(PROCESSOS!B172&lt;&gt;"",ISNUMBER(PROCESSOS!D172),OR(FiltroResp="TODOS",FiltroResp="",PROCESSOS!H172=FiltroResp)),PROCESSOS!D172+ROW()/1000000,"")</f>
        <v/>
      </c>
    </row>
    <row r="173">
      <c r="BF173" t="str">
        <f>IF(AND(OR(PROCESSOS!P173="NO PRAZO",PROCESSOS!P173="VENCE EM BREVE"),OR(FiltroResp="TODOS",FiltroResp="",PROCESSOS!H173=FiltroResp)),PROCESSOS!N173+ROW()/1000000,"")</f>
        <v/>
      </c>
      <c r="BG173" t="str">
        <f>IF(AND(PROCESSOS!B173&lt;&gt;"",ISNUMBER(PROCESSOS!D173),OR(FiltroResp="TODOS",FiltroResp="",PROCESSOS!H173=FiltroResp)),PROCESSOS!D173+ROW()/1000000,"")</f>
        <v/>
      </c>
    </row>
    <row r="174">
      <c r="BF174" t="str">
        <f>IF(AND(OR(PROCESSOS!P174="NO PRAZO",PROCESSOS!P174="VENCE EM BREVE"),OR(FiltroResp="TODOS",FiltroResp="",PROCESSOS!H174=FiltroResp)),PROCESSOS!N174+ROW()/1000000,"")</f>
        <v/>
      </c>
      <c r="BG174" t="str">
        <f>IF(AND(PROCESSOS!B174&lt;&gt;"",ISNUMBER(PROCESSOS!D174),OR(FiltroResp="TODOS",FiltroResp="",PROCESSOS!H174=FiltroResp)),PROCESSOS!D174+ROW()/1000000,"")</f>
        <v/>
      </c>
    </row>
    <row r="175">
      <c r="BF175" t="str">
        <f>IF(AND(OR(PROCESSOS!P175="NO PRAZO",PROCESSOS!P175="VENCE EM BREVE"),OR(FiltroResp="TODOS",FiltroResp="",PROCESSOS!H175=FiltroResp)),PROCESSOS!N175+ROW()/1000000,"")</f>
        <v/>
      </c>
      <c r="BG175" t="str">
        <f>IF(AND(PROCESSOS!B175&lt;&gt;"",ISNUMBER(PROCESSOS!D175),OR(FiltroResp="TODOS",FiltroResp="",PROCESSOS!H175=FiltroResp)),PROCESSOS!D175+ROW()/1000000,"")</f>
        <v/>
      </c>
    </row>
    <row r="176">
      <c r="BF176" t="str">
        <f>IF(AND(OR(PROCESSOS!P176="NO PRAZO",PROCESSOS!P176="VENCE EM BREVE"),OR(FiltroResp="TODOS",FiltroResp="",PROCESSOS!H176=FiltroResp)),PROCESSOS!N176+ROW()/1000000,"")</f>
        <v/>
      </c>
      <c r="BG176" t="str">
        <f>IF(AND(PROCESSOS!B176&lt;&gt;"",ISNUMBER(PROCESSOS!D176),OR(FiltroResp="TODOS",FiltroResp="",PROCESSOS!H176=FiltroResp)),PROCESSOS!D176+ROW()/1000000,"")</f>
        <v/>
      </c>
    </row>
    <row r="177">
      <c r="BF177" t="str">
        <f>IF(AND(OR(PROCESSOS!P177="NO PRAZO",PROCESSOS!P177="VENCE EM BREVE"),OR(FiltroResp="TODOS",FiltroResp="",PROCESSOS!H177=FiltroResp)),PROCESSOS!N177+ROW()/1000000,"")</f>
        <v/>
      </c>
      <c r="BG177" t="str">
        <f>IF(AND(PROCESSOS!B177&lt;&gt;"",ISNUMBER(PROCESSOS!D177),OR(FiltroResp="TODOS",FiltroResp="",PROCESSOS!H177=FiltroResp)),PROCESSOS!D177+ROW()/1000000,"")</f>
        <v/>
      </c>
    </row>
    <row r="178">
      <c r="BF178" t="str">
        <f>IF(AND(OR(PROCESSOS!P178="NO PRAZO",PROCESSOS!P178="VENCE EM BREVE"),OR(FiltroResp="TODOS",FiltroResp="",PROCESSOS!H178=FiltroResp)),PROCESSOS!N178+ROW()/1000000,"")</f>
        <v/>
      </c>
      <c r="BG178" t="str">
        <f>IF(AND(PROCESSOS!B178&lt;&gt;"",ISNUMBER(PROCESSOS!D178),OR(FiltroResp="TODOS",FiltroResp="",PROCESSOS!H178=FiltroResp)),PROCESSOS!D178+ROW()/1000000,"")</f>
        <v/>
      </c>
    </row>
    <row r="179">
      <c r="BF179" t="str">
        <f>IF(AND(OR(PROCESSOS!P179="NO PRAZO",PROCESSOS!P179="VENCE EM BREVE"),OR(FiltroResp="TODOS",FiltroResp="",PROCESSOS!H179=FiltroResp)),PROCESSOS!N179+ROW()/1000000,"")</f>
        <v/>
      </c>
      <c r="BG179" t="str">
        <f>IF(AND(PROCESSOS!B179&lt;&gt;"",ISNUMBER(PROCESSOS!D179),OR(FiltroResp="TODOS",FiltroResp="",PROCESSOS!H179=FiltroResp)),PROCESSOS!D179+ROW()/1000000,"")</f>
        <v/>
      </c>
    </row>
    <row r="180">
      <c r="BF180" t="str">
        <f>IF(AND(OR(PROCESSOS!P180="NO PRAZO",PROCESSOS!P180="VENCE EM BREVE"),OR(FiltroResp="TODOS",FiltroResp="",PROCESSOS!H180=FiltroResp)),PROCESSOS!N180+ROW()/1000000,"")</f>
        <v/>
      </c>
      <c r="BG180" t="str">
        <f>IF(AND(PROCESSOS!B180&lt;&gt;"",ISNUMBER(PROCESSOS!D180),OR(FiltroResp="TODOS",FiltroResp="",PROCESSOS!H180=FiltroResp)),PROCESSOS!D180+ROW()/1000000,"")</f>
        <v/>
      </c>
    </row>
    <row r="181">
      <c r="BF181" t="str">
        <f>IF(AND(OR(PROCESSOS!P181="NO PRAZO",PROCESSOS!P181="VENCE EM BREVE"),OR(FiltroResp="TODOS",FiltroResp="",PROCESSOS!H181=FiltroResp)),PROCESSOS!N181+ROW()/1000000,"")</f>
        <v/>
      </c>
      <c r="BG181" t="str">
        <f>IF(AND(PROCESSOS!B181&lt;&gt;"",ISNUMBER(PROCESSOS!D181),OR(FiltroResp="TODOS",FiltroResp="",PROCESSOS!H181=FiltroResp)),PROCESSOS!D181+ROW()/1000000,"")</f>
        <v/>
      </c>
    </row>
    <row r="182">
      <c r="BF182" t="str">
        <f>IF(AND(OR(PROCESSOS!P182="NO PRAZO",PROCESSOS!P182="VENCE EM BREVE"),OR(FiltroResp="TODOS",FiltroResp="",PROCESSOS!H182=FiltroResp)),PROCESSOS!N182+ROW()/1000000,"")</f>
        <v/>
      </c>
      <c r="BG182" t="str">
        <f>IF(AND(PROCESSOS!B182&lt;&gt;"",ISNUMBER(PROCESSOS!D182),OR(FiltroResp="TODOS",FiltroResp="",PROCESSOS!H182=FiltroResp)),PROCESSOS!D182+ROW()/1000000,"")</f>
        <v/>
      </c>
    </row>
    <row r="183">
      <c r="BF183" t="str">
        <f>IF(AND(OR(PROCESSOS!P183="NO PRAZO",PROCESSOS!P183="VENCE EM BREVE"),OR(FiltroResp="TODOS",FiltroResp="",PROCESSOS!H183=FiltroResp)),PROCESSOS!N183+ROW()/1000000,"")</f>
        <v/>
      </c>
      <c r="BG183" t="str">
        <f>IF(AND(PROCESSOS!B183&lt;&gt;"",ISNUMBER(PROCESSOS!D183),OR(FiltroResp="TODOS",FiltroResp="",PROCESSOS!H183=FiltroResp)),PROCESSOS!D183+ROW()/1000000,"")</f>
        <v/>
      </c>
    </row>
    <row r="184">
      <c r="BF184" t="str">
        <f>IF(AND(OR(PROCESSOS!P184="NO PRAZO",PROCESSOS!P184="VENCE EM BREVE"),OR(FiltroResp="TODOS",FiltroResp="",PROCESSOS!H184=FiltroResp)),PROCESSOS!N184+ROW()/1000000,"")</f>
        <v/>
      </c>
      <c r="BG184" t="str">
        <f>IF(AND(PROCESSOS!B184&lt;&gt;"",ISNUMBER(PROCESSOS!D184),OR(FiltroResp="TODOS",FiltroResp="",PROCESSOS!H184=FiltroResp)),PROCESSOS!D184+ROW()/1000000,"")</f>
        <v/>
      </c>
    </row>
    <row r="185">
      <c r="BF185" t="str">
        <f>IF(AND(OR(PROCESSOS!P185="NO PRAZO",PROCESSOS!P185="VENCE EM BREVE"),OR(FiltroResp="TODOS",FiltroResp="",PROCESSOS!H185=FiltroResp)),PROCESSOS!N185+ROW()/1000000,"")</f>
        <v/>
      </c>
      <c r="BG185" t="str">
        <f>IF(AND(PROCESSOS!B185&lt;&gt;"",ISNUMBER(PROCESSOS!D185),OR(FiltroResp="TODOS",FiltroResp="",PROCESSOS!H185=FiltroResp)),PROCESSOS!D185+ROW()/1000000,"")</f>
        <v/>
      </c>
    </row>
    <row r="186">
      <c r="BF186" t="str">
        <f>IF(AND(OR(PROCESSOS!P186="NO PRAZO",PROCESSOS!P186="VENCE EM BREVE"),OR(FiltroResp="TODOS",FiltroResp="",PROCESSOS!H186=FiltroResp)),PROCESSOS!N186+ROW()/1000000,"")</f>
        <v/>
      </c>
      <c r="BG186" t="str">
        <f>IF(AND(PROCESSOS!B186&lt;&gt;"",ISNUMBER(PROCESSOS!D186),OR(FiltroResp="TODOS",FiltroResp="",PROCESSOS!H186=FiltroResp)),PROCESSOS!D186+ROW()/1000000,"")</f>
        <v/>
      </c>
    </row>
    <row r="187">
      <c r="BF187" t="str">
        <f>IF(AND(OR(PROCESSOS!P187="NO PRAZO",PROCESSOS!P187="VENCE EM BREVE"),OR(FiltroResp="TODOS",FiltroResp="",PROCESSOS!H187=FiltroResp)),PROCESSOS!N187+ROW()/1000000,"")</f>
        <v/>
      </c>
      <c r="BG187" t="str">
        <f>IF(AND(PROCESSOS!B187&lt;&gt;"",ISNUMBER(PROCESSOS!D187),OR(FiltroResp="TODOS",FiltroResp="",PROCESSOS!H187=FiltroResp)),PROCESSOS!D187+ROW()/1000000,"")</f>
        <v/>
      </c>
    </row>
    <row r="188">
      <c r="BF188" t="str">
        <f>IF(AND(OR(PROCESSOS!P188="NO PRAZO",PROCESSOS!P188="VENCE EM BREVE"),OR(FiltroResp="TODOS",FiltroResp="",PROCESSOS!H188=FiltroResp)),PROCESSOS!N188+ROW()/1000000,"")</f>
        <v/>
      </c>
      <c r="BG188" t="str">
        <f>IF(AND(PROCESSOS!B188&lt;&gt;"",ISNUMBER(PROCESSOS!D188),OR(FiltroResp="TODOS",FiltroResp="",PROCESSOS!H188=FiltroResp)),PROCESSOS!D188+ROW()/1000000,"")</f>
        <v/>
      </c>
    </row>
    <row r="189">
      <c r="BF189" t="str">
        <f>IF(AND(OR(PROCESSOS!P189="NO PRAZO",PROCESSOS!P189="VENCE EM BREVE"),OR(FiltroResp="TODOS",FiltroResp="",PROCESSOS!H189=FiltroResp)),PROCESSOS!N189+ROW()/1000000,"")</f>
        <v/>
      </c>
      <c r="BG189" t="str">
        <f>IF(AND(PROCESSOS!B189&lt;&gt;"",ISNUMBER(PROCESSOS!D189),OR(FiltroResp="TODOS",FiltroResp="",PROCESSOS!H189=FiltroResp)),PROCESSOS!D189+ROW()/1000000,"")</f>
        <v/>
      </c>
    </row>
    <row r="190">
      <c r="BF190" t="str">
        <f>IF(AND(OR(PROCESSOS!P190="NO PRAZO",PROCESSOS!P190="VENCE EM BREVE"),OR(FiltroResp="TODOS",FiltroResp="",PROCESSOS!H190=FiltroResp)),PROCESSOS!N190+ROW()/1000000,"")</f>
        <v/>
      </c>
      <c r="BG190" t="str">
        <f>IF(AND(PROCESSOS!B190&lt;&gt;"",ISNUMBER(PROCESSOS!D190),OR(FiltroResp="TODOS",FiltroResp="",PROCESSOS!H190=FiltroResp)),PROCESSOS!D190+ROW()/1000000,"")</f>
        <v/>
      </c>
    </row>
    <row r="191">
      <c r="BF191" t="str">
        <f>IF(AND(OR(PROCESSOS!P191="NO PRAZO",PROCESSOS!P191="VENCE EM BREVE"),OR(FiltroResp="TODOS",FiltroResp="",PROCESSOS!H191=FiltroResp)),PROCESSOS!N191+ROW()/1000000,"")</f>
        <v/>
      </c>
      <c r="BG191" t="str">
        <f>IF(AND(PROCESSOS!B191&lt;&gt;"",ISNUMBER(PROCESSOS!D191),OR(FiltroResp="TODOS",FiltroResp="",PROCESSOS!H191=FiltroResp)),PROCESSOS!D191+ROW()/1000000,"")</f>
        <v/>
      </c>
    </row>
    <row r="192">
      <c r="BF192" t="str">
        <f>IF(AND(OR(PROCESSOS!P192="NO PRAZO",PROCESSOS!P192="VENCE EM BREVE"),OR(FiltroResp="TODOS",FiltroResp="",PROCESSOS!H192=FiltroResp)),PROCESSOS!N192+ROW()/1000000,"")</f>
        <v/>
      </c>
      <c r="BG192" t="str">
        <f>IF(AND(PROCESSOS!B192&lt;&gt;"",ISNUMBER(PROCESSOS!D192),OR(FiltroResp="TODOS",FiltroResp="",PROCESSOS!H192=FiltroResp)),PROCESSOS!D192+ROW()/1000000,"")</f>
        <v/>
      </c>
    </row>
    <row r="193">
      <c r="BF193" t="str">
        <f>IF(AND(OR(PROCESSOS!P193="NO PRAZO",PROCESSOS!P193="VENCE EM BREVE"),OR(FiltroResp="TODOS",FiltroResp="",PROCESSOS!H193=FiltroResp)),PROCESSOS!N193+ROW()/1000000,"")</f>
        <v/>
      </c>
      <c r="BG193" t="str">
        <f>IF(AND(PROCESSOS!B193&lt;&gt;"",ISNUMBER(PROCESSOS!D193),OR(FiltroResp="TODOS",FiltroResp="",PROCESSOS!H193=FiltroResp)),PROCESSOS!D193+ROW()/1000000,"")</f>
        <v/>
      </c>
    </row>
    <row r="194">
      <c r="BF194" t="str">
        <f>IF(AND(OR(PROCESSOS!P194="NO PRAZO",PROCESSOS!P194="VENCE EM BREVE"),OR(FiltroResp="TODOS",FiltroResp="",PROCESSOS!H194=FiltroResp)),PROCESSOS!N194+ROW()/1000000,"")</f>
        <v/>
      </c>
      <c r="BG194" t="str">
        <f>IF(AND(PROCESSOS!B194&lt;&gt;"",ISNUMBER(PROCESSOS!D194),OR(FiltroResp="TODOS",FiltroResp="",PROCESSOS!H194=FiltroResp)),PROCESSOS!D194+ROW()/1000000,"")</f>
        <v/>
      </c>
    </row>
    <row r="195">
      <c r="BF195" t="str">
        <f>IF(AND(OR(PROCESSOS!P195="NO PRAZO",PROCESSOS!P195="VENCE EM BREVE"),OR(FiltroResp="TODOS",FiltroResp="",PROCESSOS!H195=FiltroResp)),PROCESSOS!N195+ROW()/1000000,"")</f>
        <v/>
      </c>
      <c r="BG195" t="str">
        <f>IF(AND(PROCESSOS!B195&lt;&gt;"",ISNUMBER(PROCESSOS!D195),OR(FiltroResp="TODOS",FiltroResp="",PROCESSOS!H195=FiltroResp)),PROCESSOS!D195+ROW()/1000000,"")</f>
        <v/>
      </c>
    </row>
    <row r="196">
      <c r="BF196" t="str">
        <f>IF(AND(OR(PROCESSOS!P196="NO PRAZO",PROCESSOS!P196="VENCE EM BREVE"),OR(FiltroResp="TODOS",FiltroResp="",PROCESSOS!H196=FiltroResp)),PROCESSOS!N196+ROW()/1000000,"")</f>
        <v/>
      </c>
      <c r="BG196" t="str">
        <f>IF(AND(PROCESSOS!B196&lt;&gt;"",ISNUMBER(PROCESSOS!D196),OR(FiltroResp="TODOS",FiltroResp="",PROCESSOS!H196=FiltroResp)),PROCESSOS!D196+ROW()/1000000,"")</f>
        <v/>
      </c>
    </row>
    <row r="197">
      <c r="BF197" t="str">
        <f>IF(AND(OR(PROCESSOS!P197="NO PRAZO",PROCESSOS!P197="VENCE EM BREVE"),OR(FiltroResp="TODOS",FiltroResp="",PROCESSOS!H197=FiltroResp)),PROCESSOS!N197+ROW()/1000000,"")</f>
        <v/>
      </c>
      <c r="BG197" t="str">
        <f>IF(AND(PROCESSOS!B197&lt;&gt;"",ISNUMBER(PROCESSOS!D197),OR(FiltroResp="TODOS",FiltroResp="",PROCESSOS!H197=FiltroResp)),PROCESSOS!D197+ROW()/1000000,"")</f>
        <v/>
      </c>
    </row>
    <row r="198">
      <c r="BF198" t="str">
        <f>IF(AND(OR(PROCESSOS!P198="NO PRAZO",PROCESSOS!P198="VENCE EM BREVE"),OR(FiltroResp="TODOS",FiltroResp="",PROCESSOS!H198=FiltroResp)),PROCESSOS!N198+ROW()/1000000,"")</f>
        <v/>
      </c>
      <c r="BG198" t="str">
        <f>IF(AND(PROCESSOS!B198&lt;&gt;"",ISNUMBER(PROCESSOS!D198),OR(FiltroResp="TODOS",FiltroResp="",PROCESSOS!H198=FiltroResp)),PROCESSOS!D198+ROW()/1000000,"")</f>
        <v/>
      </c>
    </row>
    <row r="199">
      <c r="BF199" t="str">
        <f>IF(AND(OR(PROCESSOS!P199="NO PRAZO",PROCESSOS!P199="VENCE EM BREVE"),OR(FiltroResp="TODOS",FiltroResp="",PROCESSOS!H199=FiltroResp)),PROCESSOS!N199+ROW()/1000000,"")</f>
        <v/>
      </c>
      <c r="BG199" t="str">
        <f>IF(AND(PROCESSOS!B199&lt;&gt;"",ISNUMBER(PROCESSOS!D199),OR(FiltroResp="TODOS",FiltroResp="",PROCESSOS!H199=FiltroResp)),PROCESSOS!D199+ROW()/1000000,"")</f>
        <v/>
      </c>
    </row>
    <row r="200">
      <c r="BF200" t="str">
        <f>IF(AND(OR(PROCESSOS!P200="NO PRAZO",PROCESSOS!P200="VENCE EM BREVE"),OR(FiltroResp="TODOS",FiltroResp="",PROCESSOS!H200=FiltroResp)),PROCESSOS!N200+ROW()/1000000,"")</f>
        <v/>
      </c>
      <c r="BG200" t="str">
        <f>IF(AND(PROCESSOS!B200&lt;&gt;"",ISNUMBER(PROCESSOS!D200),OR(FiltroResp="TODOS",FiltroResp="",PROCESSOS!H200=FiltroResp)),PROCESSOS!D200+ROW()/1000000,"")</f>
        <v/>
      </c>
    </row>
    <row r="201">
      <c r="BF201" t="str">
        <f>IF(AND(OR(PROCESSOS!P201="NO PRAZO",PROCESSOS!P201="VENCE EM BREVE"),OR(FiltroResp="TODOS",FiltroResp="",PROCESSOS!H201=FiltroResp)),PROCESSOS!N201+ROW()/1000000,"")</f>
        <v/>
      </c>
      <c r="BG201" t="str">
        <f>IF(AND(PROCESSOS!B201&lt;&gt;"",ISNUMBER(PROCESSOS!D201),OR(FiltroResp="TODOS",FiltroResp="",PROCESSOS!H201=FiltroResp)),PROCESSOS!D201+ROW()/1000000,"")</f>
        <v/>
      </c>
    </row>
    <row r="202">
      <c r="BF202" t="str">
        <f>IF(AND(OR(PROCESSOS!P202="NO PRAZO",PROCESSOS!P202="VENCE EM BREVE"),OR(FiltroResp="TODOS",FiltroResp="",PROCESSOS!H202=FiltroResp)),PROCESSOS!N202+ROW()/1000000,"")</f>
        <v/>
      </c>
      <c r="BG202" t="str">
        <f>IF(AND(PROCESSOS!B202&lt;&gt;"",ISNUMBER(PROCESSOS!D202),OR(FiltroResp="TODOS",FiltroResp="",PROCESSOS!H202=FiltroResp)),PROCESSOS!D202+ROW()/1000000,"")</f>
        <v/>
      </c>
    </row>
    <row r="203">
      <c r="BF203" t="str">
        <f>IF(AND(OR(PROCESSOS!P203="NO PRAZO",PROCESSOS!P203="VENCE EM BREVE"),OR(FiltroResp="TODOS",FiltroResp="",PROCESSOS!H203=FiltroResp)),PROCESSOS!N203+ROW()/1000000,"")</f>
        <v/>
      </c>
      <c r="BG203" t="str">
        <f>IF(AND(PROCESSOS!B203&lt;&gt;"",ISNUMBER(PROCESSOS!D203),OR(FiltroResp="TODOS",FiltroResp="",PROCESSOS!H203=FiltroResp)),PROCESSOS!D203+ROW()/1000000,"")</f>
        <v/>
      </c>
    </row>
    <row r="204">
      <c r="BF204" t="str">
        <f>IF(AND(OR(PROCESSOS!P204="NO PRAZO",PROCESSOS!P204="VENCE EM BREVE"),OR(FiltroResp="TODOS",FiltroResp="",PROCESSOS!H204=FiltroResp)),PROCESSOS!N204+ROW()/1000000,"")</f>
        <v/>
      </c>
      <c r="BG204" t="str">
        <f>IF(AND(PROCESSOS!B204&lt;&gt;"",ISNUMBER(PROCESSOS!D204),OR(FiltroResp="TODOS",FiltroResp="",PROCESSOS!H204=FiltroResp)),PROCESSOS!D204+ROW()/1000000,"")</f>
        <v/>
      </c>
    </row>
    <row r="205">
      <c r="BF205" t="str">
        <f>IF(AND(OR(PROCESSOS!P205="NO PRAZO",PROCESSOS!P205="VENCE EM BREVE"),OR(FiltroResp="TODOS",FiltroResp="",PROCESSOS!H205=FiltroResp)),PROCESSOS!N205+ROW()/1000000,"")</f>
        <v/>
      </c>
      <c r="BG205" t="str">
        <f>IF(AND(PROCESSOS!B205&lt;&gt;"",ISNUMBER(PROCESSOS!D205),OR(FiltroResp="TODOS",FiltroResp="",PROCESSOS!H205=FiltroResp)),PROCESSOS!D205+ROW()/1000000,"")</f>
        <v/>
      </c>
    </row>
    <row r="206">
      <c r="BF206" t="str">
        <f>IF(AND(OR(PROCESSOS!P206="NO PRAZO",PROCESSOS!P206="VENCE EM BREVE"),OR(FiltroResp="TODOS",FiltroResp="",PROCESSOS!H206=FiltroResp)),PROCESSOS!N206+ROW()/1000000,"")</f>
        <v/>
      </c>
      <c r="BG206" t="str">
        <f>IF(AND(PROCESSOS!B206&lt;&gt;"",ISNUMBER(PROCESSOS!D206),OR(FiltroResp="TODOS",FiltroResp="",PROCESSOS!H206=FiltroResp)),PROCESSOS!D206+ROW()/1000000,"")</f>
        <v/>
      </c>
    </row>
    <row r="207">
      <c r="BF207" t="str">
        <f>IF(AND(OR(PROCESSOS!P207="NO PRAZO",PROCESSOS!P207="VENCE EM BREVE"),OR(FiltroResp="TODOS",FiltroResp="",PROCESSOS!H207=FiltroResp)),PROCESSOS!N207+ROW()/1000000,"")</f>
        <v/>
      </c>
      <c r="BG207" t="str">
        <f>IF(AND(PROCESSOS!B207&lt;&gt;"",ISNUMBER(PROCESSOS!D207),OR(FiltroResp="TODOS",FiltroResp="",PROCESSOS!H207=FiltroResp)),PROCESSOS!D207+ROW()/1000000,"")</f>
        <v/>
      </c>
    </row>
    <row r="208">
      <c r="BF208" t="str">
        <f>IF(AND(OR(PROCESSOS!P208="NO PRAZO",PROCESSOS!P208="VENCE EM BREVE"),OR(FiltroResp="TODOS",FiltroResp="",PROCESSOS!H208=FiltroResp)),PROCESSOS!N208+ROW()/1000000,"")</f>
        <v/>
      </c>
      <c r="BG208" t="str">
        <f>IF(AND(PROCESSOS!B208&lt;&gt;"",ISNUMBER(PROCESSOS!D208),OR(FiltroResp="TODOS",FiltroResp="",PROCESSOS!H208=FiltroResp)),PROCESSOS!D208+ROW()/1000000,"")</f>
        <v/>
      </c>
    </row>
    <row r="209">
      <c r="BF209" t="str">
        <f>IF(AND(OR(PROCESSOS!P209="NO PRAZO",PROCESSOS!P209="VENCE EM BREVE"),OR(FiltroResp="TODOS",FiltroResp="",PROCESSOS!H209=FiltroResp)),PROCESSOS!N209+ROW()/1000000,"")</f>
        <v/>
      </c>
      <c r="BG209" t="str">
        <f>IF(AND(PROCESSOS!B209&lt;&gt;"",ISNUMBER(PROCESSOS!D209),OR(FiltroResp="TODOS",FiltroResp="",PROCESSOS!H209=FiltroResp)),PROCESSOS!D209+ROW()/1000000,"")</f>
        <v/>
      </c>
    </row>
    <row r="210">
      <c r="BF210" t="str">
        <f>IF(AND(OR(PROCESSOS!P210="NO PRAZO",PROCESSOS!P210="VENCE EM BREVE"),OR(FiltroResp="TODOS",FiltroResp="",PROCESSOS!H210=FiltroResp)),PROCESSOS!N210+ROW()/1000000,"")</f>
        <v/>
      </c>
      <c r="BG210" t="str">
        <f>IF(AND(PROCESSOS!B210&lt;&gt;"",ISNUMBER(PROCESSOS!D210),OR(FiltroResp="TODOS",FiltroResp="",PROCESSOS!H210=FiltroResp)),PROCESSOS!D210+ROW()/1000000,"")</f>
        <v/>
      </c>
    </row>
    <row r="211">
      <c r="BF211" t="str">
        <f>IF(AND(OR(PROCESSOS!P211="NO PRAZO",PROCESSOS!P211="VENCE EM BREVE"),OR(FiltroResp="TODOS",FiltroResp="",PROCESSOS!H211=FiltroResp)),PROCESSOS!N211+ROW()/1000000,"")</f>
        <v/>
      </c>
      <c r="BG211" t="str">
        <f>IF(AND(PROCESSOS!B211&lt;&gt;"",ISNUMBER(PROCESSOS!D211),OR(FiltroResp="TODOS",FiltroResp="",PROCESSOS!H211=FiltroResp)),PROCESSOS!D211+ROW()/1000000,"")</f>
        <v/>
      </c>
    </row>
    <row r="212">
      <c r="BF212" t="str">
        <f>IF(AND(OR(PROCESSOS!P212="NO PRAZO",PROCESSOS!P212="VENCE EM BREVE"),OR(FiltroResp="TODOS",FiltroResp="",PROCESSOS!H212=FiltroResp)),PROCESSOS!N212+ROW()/1000000,"")</f>
        <v/>
      </c>
      <c r="BG212" t="str">
        <f>IF(AND(PROCESSOS!B212&lt;&gt;"",ISNUMBER(PROCESSOS!D212),OR(FiltroResp="TODOS",FiltroResp="",PROCESSOS!H212=FiltroResp)),PROCESSOS!D212+ROW()/1000000,"")</f>
        <v/>
      </c>
    </row>
    <row r="213">
      <c r="BF213" t="str">
        <f>IF(AND(OR(PROCESSOS!P213="NO PRAZO",PROCESSOS!P213="VENCE EM BREVE"),OR(FiltroResp="TODOS",FiltroResp="",PROCESSOS!H213=FiltroResp)),PROCESSOS!N213+ROW()/1000000,"")</f>
        <v/>
      </c>
      <c r="BG213" t="str">
        <f>IF(AND(PROCESSOS!B213&lt;&gt;"",ISNUMBER(PROCESSOS!D213),OR(FiltroResp="TODOS",FiltroResp="",PROCESSOS!H213=FiltroResp)),PROCESSOS!D213+ROW()/1000000,"")</f>
        <v/>
      </c>
    </row>
    <row r="214">
      <c r="BF214" t="str">
        <f>IF(AND(OR(PROCESSOS!P214="NO PRAZO",PROCESSOS!P214="VENCE EM BREVE"),OR(FiltroResp="TODOS",FiltroResp="",PROCESSOS!H214=FiltroResp)),PROCESSOS!N214+ROW()/1000000,"")</f>
        <v/>
      </c>
      <c r="BG214" t="str">
        <f>IF(AND(PROCESSOS!B214&lt;&gt;"",ISNUMBER(PROCESSOS!D214),OR(FiltroResp="TODOS",FiltroResp="",PROCESSOS!H214=FiltroResp)),PROCESSOS!D214+ROW()/1000000,"")</f>
        <v/>
      </c>
    </row>
    <row r="215">
      <c r="BF215" t="str">
        <f>IF(AND(OR(PROCESSOS!P215="NO PRAZO",PROCESSOS!P215="VENCE EM BREVE"),OR(FiltroResp="TODOS",FiltroResp="",PROCESSOS!H215=FiltroResp)),PROCESSOS!N215+ROW()/1000000,"")</f>
        <v/>
      </c>
      <c r="BG215" t="str">
        <f>IF(AND(PROCESSOS!B215&lt;&gt;"",ISNUMBER(PROCESSOS!D215),OR(FiltroResp="TODOS",FiltroResp="",PROCESSOS!H215=FiltroResp)),PROCESSOS!D215+ROW()/1000000,"")</f>
        <v/>
      </c>
    </row>
    <row r="216">
      <c r="BF216" t="str">
        <f>IF(AND(OR(PROCESSOS!P216="NO PRAZO",PROCESSOS!P216="VENCE EM BREVE"),OR(FiltroResp="TODOS",FiltroResp="",PROCESSOS!H216=FiltroResp)),PROCESSOS!N216+ROW()/1000000,"")</f>
        <v/>
      </c>
      <c r="BG216" t="str">
        <f>IF(AND(PROCESSOS!B216&lt;&gt;"",ISNUMBER(PROCESSOS!D216),OR(FiltroResp="TODOS",FiltroResp="",PROCESSOS!H216=FiltroResp)),PROCESSOS!D216+ROW()/1000000,"")</f>
        <v/>
      </c>
    </row>
    <row r="217">
      <c r="BF217" t="str">
        <f>IF(AND(OR(PROCESSOS!P217="NO PRAZO",PROCESSOS!P217="VENCE EM BREVE"),OR(FiltroResp="TODOS",FiltroResp="",PROCESSOS!H217=FiltroResp)),PROCESSOS!N217+ROW()/1000000,"")</f>
        <v/>
      </c>
      <c r="BG217" t="str">
        <f>IF(AND(PROCESSOS!B217&lt;&gt;"",ISNUMBER(PROCESSOS!D217),OR(FiltroResp="TODOS",FiltroResp="",PROCESSOS!H217=FiltroResp)),PROCESSOS!D217+ROW()/1000000,"")</f>
        <v/>
      </c>
    </row>
    <row r="218">
      <c r="BF218" t="str">
        <f>IF(AND(OR(PROCESSOS!P218="NO PRAZO",PROCESSOS!P218="VENCE EM BREVE"),OR(FiltroResp="TODOS",FiltroResp="",PROCESSOS!H218=FiltroResp)),PROCESSOS!N218+ROW()/1000000,"")</f>
        <v/>
      </c>
      <c r="BG218" t="str">
        <f>IF(AND(PROCESSOS!B218&lt;&gt;"",ISNUMBER(PROCESSOS!D218),OR(FiltroResp="TODOS",FiltroResp="",PROCESSOS!H218=FiltroResp)),PROCESSOS!D218+ROW()/1000000,"")</f>
        <v/>
      </c>
    </row>
    <row r="219">
      <c r="BF219" t="str">
        <f>IF(AND(OR(PROCESSOS!P219="NO PRAZO",PROCESSOS!P219="VENCE EM BREVE"),OR(FiltroResp="TODOS",FiltroResp="",PROCESSOS!H219=FiltroResp)),PROCESSOS!N219+ROW()/1000000,"")</f>
        <v/>
      </c>
      <c r="BG219" t="str">
        <f>IF(AND(PROCESSOS!B219&lt;&gt;"",ISNUMBER(PROCESSOS!D219),OR(FiltroResp="TODOS",FiltroResp="",PROCESSOS!H219=FiltroResp)),PROCESSOS!D219+ROW()/1000000,"")</f>
        <v/>
      </c>
    </row>
    <row r="220">
      <c r="BF220" t="str">
        <f>IF(AND(OR(PROCESSOS!P220="NO PRAZO",PROCESSOS!P220="VENCE EM BREVE"),OR(FiltroResp="TODOS",FiltroResp="",PROCESSOS!H220=FiltroResp)),PROCESSOS!N220+ROW()/1000000,"")</f>
        <v/>
      </c>
      <c r="BG220" t="str">
        <f>IF(AND(PROCESSOS!B220&lt;&gt;"",ISNUMBER(PROCESSOS!D220),OR(FiltroResp="TODOS",FiltroResp="",PROCESSOS!H220=FiltroResp)),PROCESSOS!D220+ROW()/1000000,"")</f>
        <v/>
      </c>
    </row>
    <row r="221">
      <c r="BF221" t="str">
        <f>IF(AND(OR(PROCESSOS!P221="NO PRAZO",PROCESSOS!P221="VENCE EM BREVE"),OR(FiltroResp="TODOS",FiltroResp="",PROCESSOS!H221=FiltroResp)),PROCESSOS!N221+ROW()/1000000,"")</f>
        <v/>
      </c>
      <c r="BG221" t="str">
        <f>IF(AND(PROCESSOS!B221&lt;&gt;"",ISNUMBER(PROCESSOS!D221),OR(FiltroResp="TODOS",FiltroResp="",PROCESSOS!H221=FiltroResp)),PROCESSOS!D221+ROW()/1000000,"")</f>
        <v/>
      </c>
    </row>
    <row r="222">
      <c r="BF222" t="str">
        <f>IF(AND(OR(PROCESSOS!P222="NO PRAZO",PROCESSOS!P222="VENCE EM BREVE"),OR(FiltroResp="TODOS",FiltroResp="",PROCESSOS!H222=FiltroResp)),PROCESSOS!N222+ROW()/1000000,"")</f>
        <v/>
      </c>
      <c r="BG222" t="str">
        <f>IF(AND(PROCESSOS!B222&lt;&gt;"",ISNUMBER(PROCESSOS!D222),OR(FiltroResp="TODOS",FiltroResp="",PROCESSOS!H222=FiltroResp)),PROCESSOS!D222+ROW()/1000000,"")</f>
        <v/>
      </c>
    </row>
    <row r="223">
      <c r="BF223" t="str">
        <f>IF(AND(OR(PROCESSOS!P223="NO PRAZO",PROCESSOS!P223="VENCE EM BREVE"),OR(FiltroResp="TODOS",FiltroResp="",PROCESSOS!H223=FiltroResp)),PROCESSOS!N223+ROW()/1000000,"")</f>
        <v/>
      </c>
      <c r="BG223" t="str">
        <f>IF(AND(PROCESSOS!B223&lt;&gt;"",ISNUMBER(PROCESSOS!D223),OR(FiltroResp="TODOS",FiltroResp="",PROCESSOS!H223=FiltroResp)),PROCESSOS!D223+ROW()/1000000,"")</f>
        <v/>
      </c>
    </row>
    <row r="224">
      <c r="BF224" t="str">
        <f>IF(AND(OR(PROCESSOS!P224="NO PRAZO",PROCESSOS!P224="VENCE EM BREVE"),OR(FiltroResp="TODOS",FiltroResp="",PROCESSOS!H224=FiltroResp)),PROCESSOS!N224+ROW()/1000000,"")</f>
        <v/>
      </c>
      <c r="BG224" t="str">
        <f>IF(AND(PROCESSOS!B224&lt;&gt;"",ISNUMBER(PROCESSOS!D224),OR(FiltroResp="TODOS",FiltroResp="",PROCESSOS!H224=FiltroResp)),PROCESSOS!D224+ROW()/1000000,"")</f>
        <v/>
      </c>
    </row>
    <row r="225">
      <c r="BF225" t="str">
        <f>IF(AND(OR(PROCESSOS!P225="NO PRAZO",PROCESSOS!P225="VENCE EM BREVE"),OR(FiltroResp="TODOS",FiltroResp="",PROCESSOS!H225=FiltroResp)),PROCESSOS!N225+ROW()/1000000,"")</f>
        <v/>
      </c>
      <c r="BG225" t="str">
        <f>IF(AND(PROCESSOS!B225&lt;&gt;"",ISNUMBER(PROCESSOS!D225),OR(FiltroResp="TODOS",FiltroResp="",PROCESSOS!H225=FiltroResp)),PROCESSOS!D225+ROW()/1000000,"")</f>
        <v/>
      </c>
    </row>
    <row r="226">
      <c r="BF226" t="str">
        <f>IF(AND(OR(PROCESSOS!P226="NO PRAZO",PROCESSOS!P226="VENCE EM BREVE"),OR(FiltroResp="TODOS",FiltroResp="",PROCESSOS!H226=FiltroResp)),PROCESSOS!N226+ROW()/1000000,"")</f>
        <v/>
      </c>
      <c r="BG226" t="str">
        <f>IF(AND(PROCESSOS!B226&lt;&gt;"",ISNUMBER(PROCESSOS!D226),OR(FiltroResp="TODOS",FiltroResp="",PROCESSOS!H226=FiltroResp)),PROCESSOS!D226+ROW()/1000000,"")</f>
        <v/>
      </c>
    </row>
    <row r="227">
      <c r="BF227" t="str">
        <f>IF(AND(OR(PROCESSOS!P227="NO PRAZO",PROCESSOS!P227="VENCE EM BREVE"),OR(FiltroResp="TODOS",FiltroResp="",PROCESSOS!H227=FiltroResp)),PROCESSOS!N227+ROW()/1000000,"")</f>
        <v/>
      </c>
      <c r="BG227" t="str">
        <f>IF(AND(PROCESSOS!B227&lt;&gt;"",ISNUMBER(PROCESSOS!D227),OR(FiltroResp="TODOS",FiltroResp="",PROCESSOS!H227=FiltroResp)),PROCESSOS!D227+ROW()/1000000,"")</f>
        <v/>
      </c>
    </row>
    <row r="228">
      <c r="BF228" t="str">
        <f>IF(AND(OR(PROCESSOS!P228="NO PRAZO",PROCESSOS!P228="VENCE EM BREVE"),OR(FiltroResp="TODOS",FiltroResp="",PROCESSOS!H228=FiltroResp)),PROCESSOS!N228+ROW()/1000000,"")</f>
        <v/>
      </c>
      <c r="BG228" t="str">
        <f>IF(AND(PROCESSOS!B228&lt;&gt;"",ISNUMBER(PROCESSOS!D228),OR(FiltroResp="TODOS",FiltroResp="",PROCESSOS!H228=FiltroResp)),PROCESSOS!D228+ROW()/1000000,"")</f>
        <v/>
      </c>
    </row>
    <row r="229">
      <c r="BF229" t="str">
        <f>IF(AND(OR(PROCESSOS!P229="NO PRAZO",PROCESSOS!P229="VENCE EM BREVE"),OR(FiltroResp="TODOS",FiltroResp="",PROCESSOS!H229=FiltroResp)),PROCESSOS!N229+ROW()/1000000,"")</f>
        <v/>
      </c>
      <c r="BG229" t="str">
        <f>IF(AND(PROCESSOS!B229&lt;&gt;"",ISNUMBER(PROCESSOS!D229),OR(FiltroResp="TODOS",FiltroResp="",PROCESSOS!H229=FiltroResp)),PROCESSOS!D229+ROW()/1000000,"")</f>
        <v/>
      </c>
    </row>
    <row r="230">
      <c r="BF230" t="str">
        <f>IF(AND(OR(PROCESSOS!P230="NO PRAZO",PROCESSOS!P230="VENCE EM BREVE"),OR(FiltroResp="TODOS",FiltroResp="",PROCESSOS!H230=FiltroResp)),PROCESSOS!N230+ROW()/1000000,"")</f>
        <v/>
      </c>
      <c r="BG230" t="str">
        <f>IF(AND(PROCESSOS!B230&lt;&gt;"",ISNUMBER(PROCESSOS!D230),OR(FiltroResp="TODOS",FiltroResp="",PROCESSOS!H230=FiltroResp)),PROCESSOS!D230+ROW()/1000000,"")</f>
        <v/>
      </c>
    </row>
    <row r="231">
      <c r="BF231" t="str">
        <f>IF(AND(OR(PROCESSOS!P231="NO PRAZO",PROCESSOS!P231="VENCE EM BREVE"),OR(FiltroResp="TODOS",FiltroResp="",PROCESSOS!H231=FiltroResp)),PROCESSOS!N231+ROW()/1000000,"")</f>
        <v/>
      </c>
      <c r="BG231" t="str">
        <f>IF(AND(PROCESSOS!B231&lt;&gt;"",ISNUMBER(PROCESSOS!D231),OR(FiltroResp="TODOS",FiltroResp="",PROCESSOS!H231=FiltroResp)),PROCESSOS!D231+ROW()/1000000,"")</f>
        <v/>
      </c>
    </row>
    <row r="232">
      <c r="BF232" t="str">
        <f>IF(AND(OR(PROCESSOS!P232="NO PRAZO",PROCESSOS!P232="VENCE EM BREVE"),OR(FiltroResp="TODOS",FiltroResp="",PROCESSOS!H232=FiltroResp)),PROCESSOS!N232+ROW()/1000000,"")</f>
        <v/>
      </c>
      <c r="BG232" t="str">
        <f>IF(AND(PROCESSOS!B232&lt;&gt;"",ISNUMBER(PROCESSOS!D232),OR(FiltroResp="TODOS",FiltroResp="",PROCESSOS!H232=FiltroResp)),PROCESSOS!D232+ROW()/1000000,"")</f>
        <v/>
      </c>
    </row>
    <row r="233">
      <c r="BF233" t="str">
        <f>IF(AND(OR(PROCESSOS!P233="NO PRAZO",PROCESSOS!P233="VENCE EM BREVE"),OR(FiltroResp="TODOS",FiltroResp="",PROCESSOS!H233=FiltroResp)),PROCESSOS!N233+ROW()/1000000,"")</f>
        <v/>
      </c>
      <c r="BG233" t="str">
        <f>IF(AND(PROCESSOS!B233&lt;&gt;"",ISNUMBER(PROCESSOS!D233),OR(FiltroResp="TODOS",FiltroResp="",PROCESSOS!H233=FiltroResp)),PROCESSOS!D233+ROW()/1000000,"")</f>
        <v/>
      </c>
    </row>
    <row r="234">
      <c r="BF234" t="str">
        <f>IF(AND(OR(PROCESSOS!P234="NO PRAZO",PROCESSOS!P234="VENCE EM BREVE"),OR(FiltroResp="TODOS",FiltroResp="",PROCESSOS!H234=FiltroResp)),PROCESSOS!N234+ROW()/1000000,"")</f>
        <v/>
      </c>
      <c r="BG234" t="str">
        <f>IF(AND(PROCESSOS!B234&lt;&gt;"",ISNUMBER(PROCESSOS!D234),OR(FiltroResp="TODOS",FiltroResp="",PROCESSOS!H234=FiltroResp)),PROCESSOS!D234+ROW()/1000000,"")</f>
        <v/>
      </c>
    </row>
    <row r="235">
      <c r="BF235" t="str">
        <f>IF(AND(OR(PROCESSOS!P235="NO PRAZO",PROCESSOS!P235="VENCE EM BREVE"),OR(FiltroResp="TODOS",FiltroResp="",PROCESSOS!H235=FiltroResp)),PROCESSOS!N235+ROW()/1000000,"")</f>
        <v/>
      </c>
      <c r="BG235" t="str">
        <f>IF(AND(PROCESSOS!B235&lt;&gt;"",ISNUMBER(PROCESSOS!D235),OR(FiltroResp="TODOS",FiltroResp="",PROCESSOS!H235=FiltroResp)),PROCESSOS!D235+ROW()/1000000,"")</f>
        <v/>
      </c>
    </row>
    <row r="236">
      <c r="BF236" t="str">
        <f>IF(AND(OR(PROCESSOS!P236="NO PRAZO",PROCESSOS!P236="VENCE EM BREVE"),OR(FiltroResp="TODOS",FiltroResp="",PROCESSOS!H236=FiltroResp)),PROCESSOS!N236+ROW()/1000000,"")</f>
        <v/>
      </c>
      <c r="BG236" t="str">
        <f>IF(AND(PROCESSOS!B236&lt;&gt;"",ISNUMBER(PROCESSOS!D236),OR(FiltroResp="TODOS",FiltroResp="",PROCESSOS!H236=FiltroResp)),PROCESSOS!D236+ROW()/1000000,"")</f>
        <v/>
      </c>
    </row>
    <row r="237">
      <c r="BF237" t="str">
        <f>IF(AND(OR(PROCESSOS!P237="NO PRAZO",PROCESSOS!P237="VENCE EM BREVE"),OR(FiltroResp="TODOS",FiltroResp="",PROCESSOS!H237=FiltroResp)),PROCESSOS!N237+ROW()/1000000,"")</f>
        <v/>
      </c>
      <c r="BG237" t="str">
        <f>IF(AND(PROCESSOS!B237&lt;&gt;"",ISNUMBER(PROCESSOS!D237),OR(FiltroResp="TODOS",FiltroResp="",PROCESSOS!H237=FiltroResp)),PROCESSOS!D237+ROW()/1000000,"")</f>
        <v/>
      </c>
    </row>
    <row r="238">
      <c r="BF238" t="str">
        <f>IF(AND(OR(PROCESSOS!P238="NO PRAZO",PROCESSOS!P238="VENCE EM BREVE"),OR(FiltroResp="TODOS",FiltroResp="",PROCESSOS!H238=FiltroResp)),PROCESSOS!N238+ROW()/1000000,"")</f>
        <v/>
      </c>
      <c r="BG238" t="str">
        <f>IF(AND(PROCESSOS!B238&lt;&gt;"",ISNUMBER(PROCESSOS!D238),OR(FiltroResp="TODOS",FiltroResp="",PROCESSOS!H238=FiltroResp)),PROCESSOS!D238+ROW()/1000000,"")</f>
        <v/>
      </c>
    </row>
    <row r="239">
      <c r="BF239" t="str">
        <f>IF(AND(OR(PROCESSOS!P239="NO PRAZO",PROCESSOS!P239="VENCE EM BREVE"),OR(FiltroResp="TODOS",FiltroResp="",PROCESSOS!H239=FiltroResp)),PROCESSOS!N239+ROW()/1000000,"")</f>
        <v/>
      </c>
      <c r="BG239" t="str">
        <f>IF(AND(PROCESSOS!B239&lt;&gt;"",ISNUMBER(PROCESSOS!D239),OR(FiltroResp="TODOS",FiltroResp="",PROCESSOS!H239=FiltroResp)),PROCESSOS!D239+ROW()/1000000,"")</f>
        <v/>
      </c>
    </row>
    <row r="240">
      <c r="BF240" t="str">
        <f>IF(AND(OR(PROCESSOS!P240="NO PRAZO",PROCESSOS!P240="VENCE EM BREVE"),OR(FiltroResp="TODOS",FiltroResp="",PROCESSOS!H240=FiltroResp)),PROCESSOS!N240+ROW()/1000000,"")</f>
        <v/>
      </c>
      <c r="BG240" t="str">
        <f>IF(AND(PROCESSOS!B240&lt;&gt;"",ISNUMBER(PROCESSOS!D240),OR(FiltroResp="TODOS",FiltroResp="",PROCESSOS!H240=FiltroResp)),PROCESSOS!D240+ROW()/1000000,"")</f>
        <v/>
      </c>
    </row>
    <row r="241">
      <c r="BF241" t="str">
        <f>IF(AND(OR(PROCESSOS!P241="NO PRAZO",PROCESSOS!P241="VENCE EM BREVE"),OR(FiltroResp="TODOS",FiltroResp="",PROCESSOS!H241=FiltroResp)),PROCESSOS!N241+ROW()/1000000,"")</f>
        <v/>
      </c>
      <c r="BG241" t="str">
        <f>IF(AND(PROCESSOS!B241&lt;&gt;"",ISNUMBER(PROCESSOS!D241),OR(FiltroResp="TODOS",FiltroResp="",PROCESSOS!H241=FiltroResp)),PROCESSOS!D241+ROW()/1000000,"")</f>
        <v/>
      </c>
    </row>
    <row r="242">
      <c r="BF242" t="str">
        <f>IF(AND(OR(PROCESSOS!P242="NO PRAZO",PROCESSOS!P242="VENCE EM BREVE"),OR(FiltroResp="TODOS",FiltroResp="",PROCESSOS!H242=FiltroResp)),PROCESSOS!N242+ROW()/1000000,"")</f>
        <v/>
      </c>
      <c r="BG242" t="str">
        <f>IF(AND(PROCESSOS!B242&lt;&gt;"",ISNUMBER(PROCESSOS!D242),OR(FiltroResp="TODOS",FiltroResp="",PROCESSOS!H242=FiltroResp)),PROCESSOS!D242+ROW()/1000000,"")</f>
        <v/>
      </c>
    </row>
    <row r="243">
      <c r="BF243" t="str">
        <f>IF(AND(OR(PROCESSOS!P243="NO PRAZO",PROCESSOS!P243="VENCE EM BREVE"),OR(FiltroResp="TODOS",FiltroResp="",PROCESSOS!H243=FiltroResp)),PROCESSOS!N243+ROW()/1000000,"")</f>
        <v/>
      </c>
      <c r="BG243" t="str">
        <f>IF(AND(PROCESSOS!B243&lt;&gt;"",ISNUMBER(PROCESSOS!D243),OR(FiltroResp="TODOS",FiltroResp="",PROCESSOS!H243=FiltroResp)),PROCESSOS!D243+ROW()/1000000,"")</f>
        <v/>
      </c>
    </row>
    <row r="244">
      <c r="BF244" t="str">
        <f>IF(AND(OR(PROCESSOS!P244="NO PRAZO",PROCESSOS!P244="VENCE EM BREVE"),OR(FiltroResp="TODOS",FiltroResp="",PROCESSOS!H244=FiltroResp)),PROCESSOS!N244+ROW()/1000000,"")</f>
        <v/>
      </c>
      <c r="BG244" t="str">
        <f>IF(AND(PROCESSOS!B244&lt;&gt;"",ISNUMBER(PROCESSOS!D244),OR(FiltroResp="TODOS",FiltroResp="",PROCESSOS!H244=FiltroResp)),PROCESSOS!D244+ROW()/1000000,"")</f>
        <v/>
      </c>
    </row>
    <row r="245">
      <c r="BF245" t="str">
        <f>IF(AND(OR(PROCESSOS!P245="NO PRAZO",PROCESSOS!P245="VENCE EM BREVE"),OR(FiltroResp="TODOS",FiltroResp="",PROCESSOS!H245=FiltroResp)),PROCESSOS!N245+ROW()/1000000,"")</f>
        <v/>
      </c>
      <c r="BG245" t="str">
        <f>IF(AND(PROCESSOS!B245&lt;&gt;"",ISNUMBER(PROCESSOS!D245),OR(FiltroResp="TODOS",FiltroResp="",PROCESSOS!H245=FiltroResp)),PROCESSOS!D245+ROW()/1000000,"")</f>
        <v/>
      </c>
    </row>
    <row r="246">
      <c r="BF246" t="str">
        <f>IF(AND(OR(PROCESSOS!P246="NO PRAZO",PROCESSOS!P246="VENCE EM BREVE"),OR(FiltroResp="TODOS",FiltroResp="",PROCESSOS!H246=FiltroResp)),PROCESSOS!N246+ROW()/1000000,"")</f>
        <v/>
      </c>
      <c r="BG246" t="str">
        <f>IF(AND(PROCESSOS!B246&lt;&gt;"",ISNUMBER(PROCESSOS!D246),OR(FiltroResp="TODOS",FiltroResp="",PROCESSOS!H246=FiltroResp)),PROCESSOS!D246+ROW()/1000000,"")</f>
        <v/>
      </c>
    </row>
    <row r="247">
      <c r="BF247" t="str">
        <f>IF(AND(OR(PROCESSOS!P247="NO PRAZO",PROCESSOS!P247="VENCE EM BREVE"),OR(FiltroResp="TODOS",FiltroResp="",PROCESSOS!H247=FiltroResp)),PROCESSOS!N247+ROW()/1000000,"")</f>
        <v/>
      </c>
      <c r="BG247" t="str">
        <f>IF(AND(PROCESSOS!B247&lt;&gt;"",ISNUMBER(PROCESSOS!D247),OR(FiltroResp="TODOS",FiltroResp="",PROCESSOS!H247=FiltroResp)),PROCESSOS!D247+ROW()/1000000,"")</f>
        <v/>
      </c>
    </row>
    <row r="248">
      <c r="BF248" t="str">
        <f>IF(AND(OR(PROCESSOS!P248="NO PRAZO",PROCESSOS!P248="VENCE EM BREVE"),OR(FiltroResp="TODOS",FiltroResp="",PROCESSOS!H248=FiltroResp)),PROCESSOS!N248+ROW()/1000000,"")</f>
        <v/>
      </c>
      <c r="BG248" t="str">
        <f>IF(AND(PROCESSOS!B248&lt;&gt;"",ISNUMBER(PROCESSOS!D248),OR(FiltroResp="TODOS",FiltroResp="",PROCESSOS!H248=FiltroResp)),PROCESSOS!D248+ROW()/1000000,"")</f>
        <v/>
      </c>
    </row>
    <row r="249">
      <c r="BF249" t="str">
        <f>IF(AND(OR(PROCESSOS!P249="NO PRAZO",PROCESSOS!P249="VENCE EM BREVE"),OR(FiltroResp="TODOS",FiltroResp="",PROCESSOS!H249=FiltroResp)),PROCESSOS!N249+ROW()/1000000,"")</f>
        <v/>
      </c>
      <c r="BG249" t="str">
        <f>IF(AND(PROCESSOS!B249&lt;&gt;"",ISNUMBER(PROCESSOS!D249),OR(FiltroResp="TODOS",FiltroResp="",PROCESSOS!H249=FiltroResp)),PROCESSOS!D249+ROW()/1000000,"")</f>
        <v/>
      </c>
    </row>
    <row r="250">
      <c r="BF250" t="str">
        <f>IF(AND(OR(PROCESSOS!P250="NO PRAZO",PROCESSOS!P250="VENCE EM BREVE"),OR(FiltroResp="TODOS",FiltroResp="",PROCESSOS!H250=FiltroResp)),PROCESSOS!N250+ROW()/1000000,"")</f>
        <v/>
      </c>
      <c r="BG250" t="str">
        <f>IF(AND(PROCESSOS!B250&lt;&gt;"",ISNUMBER(PROCESSOS!D250),OR(FiltroResp="TODOS",FiltroResp="",PROCESSOS!H250=FiltroResp)),PROCESSOS!D250+ROW()/1000000,"")</f>
        <v/>
      </c>
    </row>
    <row r="251">
      <c r="BF251" t="str">
        <f>IF(AND(OR(PROCESSOS!P251="NO PRAZO",PROCESSOS!P251="VENCE EM BREVE"),OR(FiltroResp="TODOS",FiltroResp="",PROCESSOS!H251=FiltroResp)),PROCESSOS!N251+ROW()/1000000,"")</f>
        <v/>
      </c>
      <c r="BG251" t="str">
        <f>IF(AND(PROCESSOS!B251&lt;&gt;"",ISNUMBER(PROCESSOS!D251),OR(FiltroResp="TODOS",FiltroResp="",PROCESSOS!H251=FiltroResp)),PROCESSOS!D251+ROW()/1000000,"")</f>
        <v/>
      </c>
    </row>
    <row r="252">
      <c r="BF252" t="str">
        <f>IF(AND(OR(PROCESSOS!P252="NO PRAZO",PROCESSOS!P252="VENCE EM BREVE"),OR(FiltroResp="TODOS",FiltroResp="",PROCESSOS!H252=FiltroResp)),PROCESSOS!N252+ROW()/1000000,"")</f>
        <v/>
      </c>
      <c r="BG252" t="str">
        <f>IF(AND(PROCESSOS!B252&lt;&gt;"",ISNUMBER(PROCESSOS!D252),OR(FiltroResp="TODOS",FiltroResp="",PROCESSOS!H252=FiltroResp)),PROCESSOS!D252+ROW()/1000000,"")</f>
        <v/>
      </c>
    </row>
    <row r="253">
      <c r="BF253" t="str">
        <f>IF(AND(OR(PROCESSOS!P253="NO PRAZO",PROCESSOS!P253="VENCE EM BREVE"),OR(FiltroResp="TODOS",FiltroResp="",PROCESSOS!H253=FiltroResp)),PROCESSOS!N253+ROW()/1000000,"")</f>
        <v/>
      </c>
      <c r="BG253" t="str">
        <f>IF(AND(PROCESSOS!B253&lt;&gt;"",ISNUMBER(PROCESSOS!D253),OR(FiltroResp="TODOS",FiltroResp="",PROCESSOS!H253=FiltroResp)),PROCESSOS!D253+ROW()/1000000,"")</f>
        <v/>
      </c>
    </row>
    <row r="254">
      <c r="BF254" t="str">
        <f>IF(AND(OR(PROCESSOS!P254="NO PRAZO",PROCESSOS!P254="VENCE EM BREVE"),OR(FiltroResp="TODOS",FiltroResp="",PROCESSOS!H254=FiltroResp)),PROCESSOS!N254+ROW()/1000000,"")</f>
        <v/>
      </c>
      <c r="BG254" t="str">
        <f>IF(AND(PROCESSOS!B254&lt;&gt;"",ISNUMBER(PROCESSOS!D254),OR(FiltroResp="TODOS",FiltroResp="",PROCESSOS!H254=FiltroResp)),PROCESSOS!D254+ROW()/1000000,"")</f>
        <v/>
      </c>
    </row>
    <row r="255">
      <c r="BF255" t="str">
        <f>IF(AND(OR(PROCESSOS!P255="NO PRAZO",PROCESSOS!P255="VENCE EM BREVE"),OR(FiltroResp="TODOS",FiltroResp="",PROCESSOS!H255=FiltroResp)),PROCESSOS!N255+ROW()/1000000,"")</f>
        <v/>
      </c>
      <c r="BG255" t="str">
        <f>IF(AND(PROCESSOS!B255&lt;&gt;"",ISNUMBER(PROCESSOS!D255),OR(FiltroResp="TODOS",FiltroResp="",PROCESSOS!H255=FiltroResp)),PROCESSOS!D255+ROW()/1000000,"")</f>
        <v/>
      </c>
    </row>
    <row r="256">
      <c r="BF256" t="str">
        <f>IF(AND(OR(PROCESSOS!P256="NO PRAZO",PROCESSOS!P256="VENCE EM BREVE"),OR(FiltroResp="TODOS",FiltroResp="",PROCESSOS!H256=FiltroResp)),PROCESSOS!N256+ROW()/1000000,"")</f>
        <v/>
      </c>
      <c r="BG256" t="str">
        <f>IF(AND(PROCESSOS!B256&lt;&gt;"",ISNUMBER(PROCESSOS!D256),OR(FiltroResp="TODOS",FiltroResp="",PROCESSOS!H256=FiltroResp)),PROCESSOS!D256+ROW()/1000000,"")</f>
        <v/>
      </c>
    </row>
    <row r="257">
      <c r="BF257" t="str">
        <f>IF(AND(OR(PROCESSOS!P257="NO PRAZO",PROCESSOS!P257="VENCE EM BREVE"),OR(FiltroResp="TODOS",FiltroResp="",PROCESSOS!H257=FiltroResp)),PROCESSOS!N257+ROW()/1000000,"")</f>
        <v/>
      </c>
      <c r="BG257" t="str">
        <f>IF(AND(PROCESSOS!B257&lt;&gt;"",ISNUMBER(PROCESSOS!D257),OR(FiltroResp="TODOS",FiltroResp="",PROCESSOS!H257=FiltroResp)),PROCESSOS!D257+ROW()/1000000,"")</f>
        <v/>
      </c>
    </row>
    <row r="258">
      <c r="BF258" t="str">
        <f>IF(AND(OR(PROCESSOS!P258="NO PRAZO",PROCESSOS!P258="VENCE EM BREVE"),OR(FiltroResp="TODOS",FiltroResp="",PROCESSOS!H258=FiltroResp)),PROCESSOS!N258+ROW()/1000000,"")</f>
        <v/>
      </c>
      <c r="BG258" t="str">
        <f>IF(AND(PROCESSOS!B258&lt;&gt;"",ISNUMBER(PROCESSOS!D258),OR(FiltroResp="TODOS",FiltroResp="",PROCESSOS!H258=FiltroResp)),PROCESSOS!D258+ROW()/1000000,"")</f>
        <v/>
      </c>
    </row>
    <row r="259">
      <c r="BF259" t="str">
        <f>IF(AND(OR(PROCESSOS!P259="NO PRAZO",PROCESSOS!P259="VENCE EM BREVE"),OR(FiltroResp="TODOS",FiltroResp="",PROCESSOS!H259=FiltroResp)),PROCESSOS!N259+ROW()/1000000,"")</f>
        <v/>
      </c>
      <c r="BG259" t="str">
        <f>IF(AND(PROCESSOS!B259&lt;&gt;"",ISNUMBER(PROCESSOS!D259),OR(FiltroResp="TODOS",FiltroResp="",PROCESSOS!H259=FiltroResp)),PROCESSOS!D259+ROW()/1000000,"")</f>
        <v/>
      </c>
    </row>
    <row r="260">
      <c r="BF260" t="str">
        <f>IF(AND(OR(PROCESSOS!P260="NO PRAZO",PROCESSOS!P260="VENCE EM BREVE"),OR(FiltroResp="TODOS",FiltroResp="",PROCESSOS!H260=FiltroResp)),PROCESSOS!N260+ROW()/1000000,"")</f>
        <v/>
      </c>
      <c r="BG260" t="str">
        <f>IF(AND(PROCESSOS!B260&lt;&gt;"",ISNUMBER(PROCESSOS!D260),OR(FiltroResp="TODOS",FiltroResp="",PROCESSOS!H260=FiltroResp)),PROCESSOS!D260+ROW()/1000000,"")</f>
        <v/>
      </c>
    </row>
    <row r="261">
      <c r="BF261" t="str">
        <f>IF(AND(OR(PROCESSOS!P261="NO PRAZO",PROCESSOS!P261="VENCE EM BREVE"),OR(FiltroResp="TODOS",FiltroResp="",PROCESSOS!H261=FiltroResp)),PROCESSOS!N261+ROW()/1000000,"")</f>
        <v/>
      </c>
      <c r="BG261" t="str">
        <f>IF(AND(PROCESSOS!B261&lt;&gt;"",ISNUMBER(PROCESSOS!D261),OR(FiltroResp="TODOS",FiltroResp="",PROCESSOS!H261=FiltroResp)),PROCESSOS!D261+ROW()/1000000,"")</f>
        <v/>
      </c>
    </row>
    <row r="262">
      <c r="BF262" t="str">
        <f>IF(AND(OR(PROCESSOS!P262="NO PRAZO",PROCESSOS!P262="VENCE EM BREVE"),OR(FiltroResp="TODOS",FiltroResp="",PROCESSOS!H262=FiltroResp)),PROCESSOS!N262+ROW()/1000000,"")</f>
        <v/>
      </c>
      <c r="BG262" t="str">
        <f>IF(AND(PROCESSOS!B262&lt;&gt;"",ISNUMBER(PROCESSOS!D262),OR(FiltroResp="TODOS",FiltroResp="",PROCESSOS!H262=FiltroResp)),PROCESSOS!D262+ROW()/1000000,"")</f>
        <v/>
      </c>
    </row>
    <row r="263">
      <c r="BF263" t="str">
        <f>IF(AND(OR(PROCESSOS!P263="NO PRAZO",PROCESSOS!P263="VENCE EM BREVE"),OR(FiltroResp="TODOS",FiltroResp="",PROCESSOS!H263=FiltroResp)),PROCESSOS!N263+ROW()/1000000,"")</f>
        <v/>
      </c>
      <c r="BG263" t="str">
        <f>IF(AND(PROCESSOS!B263&lt;&gt;"",ISNUMBER(PROCESSOS!D263),OR(FiltroResp="TODOS",FiltroResp="",PROCESSOS!H263=FiltroResp)),PROCESSOS!D263+ROW()/1000000,"")</f>
        <v/>
      </c>
    </row>
    <row r="264">
      <c r="BF264" t="str">
        <f>IF(AND(OR(PROCESSOS!P264="NO PRAZO",PROCESSOS!P264="VENCE EM BREVE"),OR(FiltroResp="TODOS",FiltroResp="",PROCESSOS!H264=FiltroResp)),PROCESSOS!N264+ROW()/1000000,"")</f>
        <v/>
      </c>
      <c r="BG264" t="str">
        <f>IF(AND(PROCESSOS!B264&lt;&gt;"",ISNUMBER(PROCESSOS!D264),OR(FiltroResp="TODOS",FiltroResp="",PROCESSOS!H264=FiltroResp)),PROCESSOS!D264+ROW()/1000000,"")</f>
        <v/>
      </c>
    </row>
    <row r="265">
      <c r="BF265" t="str">
        <f>IF(AND(OR(PROCESSOS!P265="NO PRAZO",PROCESSOS!P265="VENCE EM BREVE"),OR(FiltroResp="TODOS",FiltroResp="",PROCESSOS!H265=FiltroResp)),PROCESSOS!N265+ROW()/1000000,"")</f>
        <v/>
      </c>
      <c r="BG265" t="str">
        <f>IF(AND(PROCESSOS!B265&lt;&gt;"",ISNUMBER(PROCESSOS!D265),OR(FiltroResp="TODOS",FiltroResp="",PROCESSOS!H265=FiltroResp)),PROCESSOS!D265+ROW()/1000000,"")</f>
        <v/>
      </c>
    </row>
    <row r="266">
      <c r="BF266" t="str">
        <f>IF(AND(OR(PROCESSOS!P266="NO PRAZO",PROCESSOS!P266="VENCE EM BREVE"),OR(FiltroResp="TODOS",FiltroResp="",PROCESSOS!H266=FiltroResp)),PROCESSOS!N266+ROW()/1000000,"")</f>
        <v/>
      </c>
      <c r="BG266" t="str">
        <f>IF(AND(PROCESSOS!B266&lt;&gt;"",ISNUMBER(PROCESSOS!D266),OR(FiltroResp="TODOS",FiltroResp="",PROCESSOS!H266=FiltroResp)),PROCESSOS!D266+ROW()/1000000,"")</f>
        <v/>
      </c>
    </row>
    <row r="267">
      <c r="BF267" t="str">
        <f>IF(AND(OR(PROCESSOS!P267="NO PRAZO",PROCESSOS!P267="VENCE EM BREVE"),OR(FiltroResp="TODOS",FiltroResp="",PROCESSOS!H267=FiltroResp)),PROCESSOS!N267+ROW()/1000000,"")</f>
        <v/>
      </c>
      <c r="BG267" t="str">
        <f>IF(AND(PROCESSOS!B267&lt;&gt;"",ISNUMBER(PROCESSOS!D267),OR(FiltroResp="TODOS",FiltroResp="",PROCESSOS!H267=FiltroResp)),PROCESSOS!D267+ROW()/1000000,"")</f>
        <v/>
      </c>
    </row>
    <row r="268">
      <c r="BF268" t="str">
        <f>IF(AND(OR(PROCESSOS!P268="NO PRAZO",PROCESSOS!P268="VENCE EM BREVE"),OR(FiltroResp="TODOS",FiltroResp="",PROCESSOS!H268=FiltroResp)),PROCESSOS!N268+ROW()/1000000,"")</f>
        <v/>
      </c>
      <c r="BG268" t="str">
        <f>IF(AND(PROCESSOS!B268&lt;&gt;"",ISNUMBER(PROCESSOS!D268),OR(FiltroResp="TODOS",FiltroResp="",PROCESSOS!H268=FiltroResp)),PROCESSOS!D268+ROW()/1000000,"")</f>
        <v/>
      </c>
    </row>
    <row r="269">
      <c r="BF269" t="str">
        <f>IF(AND(OR(PROCESSOS!P269="NO PRAZO",PROCESSOS!P269="VENCE EM BREVE"),OR(FiltroResp="TODOS",FiltroResp="",PROCESSOS!H269=FiltroResp)),PROCESSOS!N269+ROW()/1000000,"")</f>
        <v/>
      </c>
      <c r="BG269" t="str">
        <f>IF(AND(PROCESSOS!B269&lt;&gt;"",ISNUMBER(PROCESSOS!D269),OR(FiltroResp="TODOS",FiltroResp="",PROCESSOS!H269=FiltroResp)),PROCESSOS!D269+ROW()/1000000,"")</f>
        <v/>
      </c>
    </row>
    <row r="270">
      <c r="BF270" t="str">
        <f>IF(AND(OR(PROCESSOS!P270="NO PRAZO",PROCESSOS!P270="VENCE EM BREVE"),OR(FiltroResp="TODOS",FiltroResp="",PROCESSOS!H270=FiltroResp)),PROCESSOS!N270+ROW()/1000000,"")</f>
        <v/>
      </c>
      <c r="BG270" t="str">
        <f>IF(AND(PROCESSOS!B270&lt;&gt;"",ISNUMBER(PROCESSOS!D270),OR(FiltroResp="TODOS",FiltroResp="",PROCESSOS!H270=FiltroResp)),PROCESSOS!D270+ROW()/1000000,"")</f>
        <v/>
      </c>
    </row>
    <row r="271">
      <c r="BF271" t="str">
        <f>IF(AND(OR(PROCESSOS!P271="NO PRAZO",PROCESSOS!P271="VENCE EM BREVE"),OR(FiltroResp="TODOS",FiltroResp="",PROCESSOS!H271=FiltroResp)),PROCESSOS!N271+ROW()/1000000,"")</f>
        <v/>
      </c>
      <c r="BG271" t="str">
        <f>IF(AND(PROCESSOS!B271&lt;&gt;"",ISNUMBER(PROCESSOS!D271),OR(FiltroResp="TODOS",FiltroResp="",PROCESSOS!H271=FiltroResp)),PROCESSOS!D271+ROW()/1000000,"")</f>
        <v/>
      </c>
    </row>
    <row r="272">
      <c r="BF272" t="str">
        <f>IF(AND(OR(PROCESSOS!P272="NO PRAZO",PROCESSOS!P272="VENCE EM BREVE"),OR(FiltroResp="TODOS",FiltroResp="",PROCESSOS!H272=FiltroResp)),PROCESSOS!N272+ROW()/1000000,"")</f>
        <v/>
      </c>
      <c r="BG272" t="str">
        <f>IF(AND(PROCESSOS!B272&lt;&gt;"",ISNUMBER(PROCESSOS!D272),OR(FiltroResp="TODOS",FiltroResp="",PROCESSOS!H272=FiltroResp)),PROCESSOS!D272+ROW()/1000000,"")</f>
        <v/>
      </c>
    </row>
    <row r="273">
      <c r="BF273" t="str">
        <f>IF(AND(OR(PROCESSOS!P273="NO PRAZO",PROCESSOS!P273="VENCE EM BREVE"),OR(FiltroResp="TODOS",FiltroResp="",PROCESSOS!H273=FiltroResp)),PROCESSOS!N273+ROW()/1000000,"")</f>
        <v/>
      </c>
      <c r="BG273" t="str">
        <f>IF(AND(PROCESSOS!B273&lt;&gt;"",ISNUMBER(PROCESSOS!D273),OR(FiltroResp="TODOS",FiltroResp="",PROCESSOS!H273=FiltroResp)),PROCESSOS!D273+ROW()/1000000,"")</f>
        <v/>
      </c>
    </row>
    <row r="274">
      <c r="BF274" t="str">
        <f>IF(AND(OR(PROCESSOS!P274="NO PRAZO",PROCESSOS!P274="VENCE EM BREVE"),OR(FiltroResp="TODOS",FiltroResp="",PROCESSOS!H274=FiltroResp)),PROCESSOS!N274+ROW()/1000000,"")</f>
        <v/>
      </c>
      <c r="BG274" t="str">
        <f>IF(AND(PROCESSOS!B274&lt;&gt;"",ISNUMBER(PROCESSOS!D274),OR(FiltroResp="TODOS",FiltroResp="",PROCESSOS!H274=FiltroResp)),PROCESSOS!D274+ROW()/1000000,"")</f>
        <v/>
      </c>
    </row>
    <row r="275">
      <c r="BF275" t="str">
        <f>IF(AND(OR(PROCESSOS!P275="NO PRAZO",PROCESSOS!P275="VENCE EM BREVE"),OR(FiltroResp="TODOS",FiltroResp="",PROCESSOS!H275=FiltroResp)),PROCESSOS!N275+ROW()/1000000,"")</f>
        <v/>
      </c>
      <c r="BG275" t="str">
        <f>IF(AND(PROCESSOS!B275&lt;&gt;"",ISNUMBER(PROCESSOS!D275),OR(FiltroResp="TODOS",FiltroResp="",PROCESSOS!H275=FiltroResp)),PROCESSOS!D275+ROW()/1000000,"")</f>
        <v/>
      </c>
    </row>
    <row r="276">
      <c r="BF276" t="str">
        <f>IF(AND(OR(PROCESSOS!P276="NO PRAZO",PROCESSOS!P276="VENCE EM BREVE"),OR(FiltroResp="TODOS",FiltroResp="",PROCESSOS!H276=FiltroResp)),PROCESSOS!N276+ROW()/1000000,"")</f>
        <v/>
      </c>
      <c r="BG276" t="str">
        <f>IF(AND(PROCESSOS!B276&lt;&gt;"",ISNUMBER(PROCESSOS!D276),OR(FiltroResp="TODOS",FiltroResp="",PROCESSOS!H276=FiltroResp)),PROCESSOS!D276+ROW()/1000000,"")</f>
        <v/>
      </c>
    </row>
    <row r="277">
      <c r="BF277" t="str">
        <f>IF(AND(OR(PROCESSOS!P277="NO PRAZO",PROCESSOS!P277="VENCE EM BREVE"),OR(FiltroResp="TODOS",FiltroResp="",PROCESSOS!H277=FiltroResp)),PROCESSOS!N277+ROW()/1000000,"")</f>
        <v/>
      </c>
      <c r="BG277" t="str">
        <f>IF(AND(PROCESSOS!B277&lt;&gt;"",ISNUMBER(PROCESSOS!D277),OR(FiltroResp="TODOS",FiltroResp="",PROCESSOS!H277=FiltroResp)),PROCESSOS!D277+ROW()/1000000,"")</f>
        <v/>
      </c>
    </row>
    <row r="278">
      <c r="BF278" t="str">
        <f>IF(AND(OR(PROCESSOS!P278="NO PRAZO",PROCESSOS!P278="VENCE EM BREVE"),OR(FiltroResp="TODOS",FiltroResp="",PROCESSOS!H278=FiltroResp)),PROCESSOS!N278+ROW()/1000000,"")</f>
        <v/>
      </c>
      <c r="BG278" t="str">
        <f>IF(AND(PROCESSOS!B278&lt;&gt;"",ISNUMBER(PROCESSOS!D278),OR(FiltroResp="TODOS",FiltroResp="",PROCESSOS!H278=FiltroResp)),PROCESSOS!D278+ROW()/1000000,"")</f>
        <v/>
      </c>
    </row>
    <row r="279">
      <c r="BF279" t="str">
        <f>IF(AND(OR(PROCESSOS!P279="NO PRAZO",PROCESSOS!P279="VENCE EM BREVE"),OR(FiltroResp="TODOS",FiltroResp="",PROCESSOS!H279=FiltroResp)),PROCESSOS!N279+ROW()/1000000,"")</f>
        <v/>
      </c>
      <c r="BG279" t="str">
        <f>IF(AND(PROCESSOS!B279&lt;&gt;"",ISNUMBER(PROCESSOS!D279),OR(FiltroResp="TODOS",FiltroResp="",PROCESSOS!H279=FiltroResp)),PROCESSOS!D279+ROW()/1000000,"")</f>
        <v/>
      </c>
    </row>
    <row r="280">
      <c r="BF280" t="str">
        <f>IF(AND(OR(PROCESSOS!P280="NO PRAZO",PROCESSOS!P280="VENCE EM BREVE"),OR(FiltroResp="TODOS",FiltroResp="",PROCESSOS!H280=FiltroResp)),PROCESSOS!N280+ROW()/1000000,"")</f>
        <v/>
      </c>
      <c r="BG280" t="str">
        <f>IF(AND(PROCESSOS!B280&lt;&gt;"",ISNUMBER(PROCESSOS!D280),OR(FiltroResp="TODOS",FiltroResp="",PROCESSOS!H280=FiltroResp)),PROCESSOS!D280+ROW()/1000000,"")</f>
        <v/>
      </c>
    </row>
    <row r="281">
      <c r="BF281" t="str">
        <f>IF(AND(OR(PROCESSOS!P281="NO PRAZO",PROCESSOS!P281="VENCE EM BREVE"),OR(FiltroResp="TODOS",FiltroResp="",PROCESSOS!H281=FiltroResp)),PROCESSOS!N281+ROW()/1000000,"")</f>
        <v/>
      </c>
      <c r="BG281" t="str">
        <f>IF(AND(PROCESSOS!B281&lt;&gt;"",ISNUMBER(PROCESSOS!D281),OR(FiltroResp="TODOS",FiltroResp="",PROCESSOS!H281=FiltroResp)),PROCESSOS!D281+ROW()/1000000,"")</f>
        <v/>
      </c>
    </row>
    <row r="282">
      <c r="BF282" t="str">
        <f>IF(AND(OR(PROCESSOS!P282="NO PRAZO",PROCESSOS!P282="VENCE EM BREVE"),OR(FiltroResp="TODOS",FiltroResp="",PROCESSOS!H282=FiltroResp)),PROCESSOS!N282+ROW()/1000000,"")</f>
        <v/>
      </c>
      <c r="BG282" t="str">
        <f>IF(AND(PROCESSOS!B282&lt;&gt;"",ISNUMBER(PROCESSOS!D282),OR(FiltroResp="TODOS",FiltroResp="",PROCESSOS!H282=FiltroResp)),PROCESSOS!D282+ROW()/1000000,"")</f>
        <v/>
      </c>
    </row>
    <row r="283">
      <c r="BF283" t="str">
        <f>IF(AND(OR(PROCESSOS!P283="NO PRAZO",PROCESSOS!P283="VENCE EM BREVE"),OR(FiltroResp="TODOS",FiltroResp="",PROCESSOS!H283=FiltroResp)),PROCESSOS!N283+ROW()/1000000,"")</f>
        <v/>
      </c>
      <c r="BG283" t="str">
        <f>IF(AND(PROCESSOS!B283&lt;&gt;"",ISNUMBER(PROCESSOS!D283),OR(FiltroResp="TODOS",FiltroResp="",PROCESSOS!H283=FiltroResp)),PROCESSOS!D283+ROW()/1000000,"")</f>
        <v/>
      </c>
    </row>
    <row r="284">
      <c r="BF284" t="str">
        <f>IF(AND(OR(PROCESSOS!P284="NO PRAZO",PROCESSOS!P284="VENCE EM BREVE"),OR(FiltroResp="TODOS",FiltroResp="",PROCESSOS!H284=FiltroResp)),PROCESSOS!N284+ROW()/1000000,"")</f>
        <v/>
      </c>
      <c r="BG284" t="str">
        <f>IF(AND(PROCESSOS!B284&lt;&gt;"",ISNUMBER(PROCESSOS!D284),OR(FiltroResp="TODOS",FiltroResp="",PROCESSOS!H284=FiltroResp)),PROCESSOS!D284+ROW()/1000000,"")</f>
        <v/>
      </c>
    </row>
    <row r="285">
      <c r="BF285" t="str">
        <f>IF(AND(OR(PROCESSOS!P285="NO PRAZO",PROCESSOS!P285="VENCE EM BREVE"),OR(FiltroResp="TODOS",FiltroResp="",PROCESSOS!H285=FiltroResp)),PROCESSOS!N285+ROW()/1000000,"")</f>
        <v/>
      </c>
      <c r="BG285" t="str">
        <f>IF(AND(PROCESSOS!B285&lt;&gt;"",ISNUMBER(PROCESSOS!D285),OR(FiltroResp="TODOS",FiltroResp="",PROCESSOS!H285=FiltroResp)),PROCESSOS!D285+ROW()/1000000,"")</f>
        <v/>
      </c>
    </row>
    <row r="286">
      <c r="BF286" t="str">
        <f>IF(AND(OR(PROCESSOS!P286="NO PRAZO",PROCESSOS!P286="VENCE EM BREVE"),OR(FiltroResp="TODOS",FiltroResp="",PROCESSOS!H286=FiltroResp)),PROCESSOS!N286+ROW()/1000000,"")</f>
        <v/>
      </c>
      <c r="BG286" t="str">
        <f>IF(AND(PROCESSOS!B286&lt;&gt;"",ISNUMBER(PROCESSOS!D286),OR(FiltroResp="TODOS",FiltroResp="",PROCESSOS!H286=FiltroResp)),PROCESSOS!D286+ROW()/1000000,"")</f>
        <v/>
      </c>
    </row>
    <row r="287">
      <c r="BF287" t="str">
        <f>IF(AND(OR(PROCESSOS!P287="NO PRAZO",PROCESSOS!P287="VENCE EM BREVE"),OR(FiltroResp="TODOS",FiltroResp="",PROCESSOS!H287=FiltroResp)),PROCESSOS!N287+ROW()/1000000,"")</f>
        <v/>
      </c>
      <c r="BG287" t="str">
        <f>IF(AND(PROCESSOS!B287&lt;&gt;"",ISNUMBER(PROCESSOS!D287),OR(FiltroResp="TODOS",FiltroResp="",PROCESSOS!H287=FiltroResp)),PROCESSOS!D287+ROW()/1000000,"")</f>
        <v/>
      </c>
    </row>
    <row r="288">
      <c r="BF288" t="str">
        <f>IF(AND(OR(PROCESSOS!P288="NO PRAZO",PROCESSOS!P288="VENCE EM BREVE"),OR(FiltroResp="TODOS",FiltroResp="",PROCESSOS!H288=FiltroResp)),PROCESSOS!N288+ROW()/1000000,"")</f>
        <v/>
      </c>
      <c r="BG288" t="str">
        <f>IF(AND(PROCESSOS!B288&lt;&gt;"",ISNUMBER(PROCESSOS!D288),OR(FiltroResp="TODOS",FiltroResp="",PROCESSOS!H288=FiltroResp)),PROCESSOS!D288+ROW()/1000000,"")</f>
        <v/>
      </c>
    </row>
    <row r="289">
      <c r="BF289" t="str">
        <f>IF(AND(OR(PROCESSOS!P289="NO PRAZO",PROCESSOS!P289="VENCE EM BREVE"),OR(FiltroResp="TODOS",FiltroResp="",PROCESSOS!H289=FiltroResp)),PROCESSOS!N289+ROW()/1000000,"")</f>
        <v/>
      </c>
      <c r="BG289" t="str">
        <f>IF(AND(PROCESSOS!B289&lt;&gt;"",ISNUMBER(PROCESSOS!D289),OR(FiltroResp="TODOS",FiltroResp="",PROCESSOS!H289=FiltroResp)),PROCESSOS!D289+ROW()/1000000,"")</f>
        <v/>
      </c>
    </row>
    <row r="290">
      <c r="BF290" t="str">
        <f>IF(AND(OR(PROCESSOS!P290="NO PRAZO",PROCESSOS!P290="VENCE EM BREVE"),OR(FiltroResp="TODOS",FiltroResp="",PROCESSOS!H290=FiltroResp)),PROCESSOS!N290+ROW()/1000000,"")</f>
        <v/>
      </c>
      <c r="BG290" t="str">
        <f>IF(AND(PROCESSOS!B290&lt;&gt;"",ISNUMBER(PROCESSOS!D290),OR(FiltroResp="TODOS",FiltroResp="",PROCESSOS!H290=FiltroResp)),PROCESSOS!D290+ROW()/1000000,"")</f>
        <v/>
      </c>
    </row>
    <row r="291">
      <c r="BF291" t="str">
        <f>IF(AND(OR(PROCESSOS!P291="NO PRAZO",PROCESSOS!P291="VENCE EM BREVE"),OR(FiltroResp="TODOS",FiltroResp="",PROCESSOS!H291=FiltroResp)),PROCESSOS!N291+ROW()/1000000,"")</f>
        <v/>
      </c>
      <c r="BG291" t="str">
        <f>IF(AND(PROCESSOS!B291&lt;&gt;"",ISNUMBER(PROCESSOS!D291),OR(FiltroResp="TODOS",FiltroResp="",PROCESSOS!H291=FiltroResp)),PROCESSOS!D291+ROW()/1000000,"")</f>
        <v/>
      </c>
    </row>
    <row r="292">
      <c r="BF292" t="str">
        <f>IF(AND(OR(PROCESSOS!P292="NO PRAZO",PROCESSOS!P292="VENCE EM BREVE"),OR(FiltroResp="TODOS",FiltroResp="",PROCESSOS!H292=FiltroResp)),PROCESSOS!N292+ROW()/1000000,"")</f>
        <v/>
      </c>
      <c r="BG292" t="str">
        <f>IF(AND(PROCESSOS!B292&lt;&gt;"",ISNUMBER(PROCESSOS!D292),OR(FiltroResp="TODOS",FiltroResp="",PROCESSOS!H292=FiltroResp)),PROCESSOS!D292+ROW()/1000000,"")</f>
        <v/>
      </c>
    </row>
    <row r="293">
      <c r="BF293" t="str">
        <f>IF(AND(OR(PROCESSOS!P293="NO PRAZO",PROCESSOS!P293="VENCE EM BREVE"),OR(FiltroResp="TODOS",FiltroResp="",PROCESSOS!H293=FiltroResp)),PROCESSOS!N293+ROW()/1000000,"")</f>
        <v/>
      </c>
      <c r="BG293" t="str">
        <f>IF(AND(PROCESSOS!B293&lt;&gt;"",ISNUMBER(PROCESSOS!D293),OR(FiltroResp="TODOS",FiltroResp="",PROCESSOS!H293=FiltroResp)),PROCESSOS!D293+ROW()/1000000,"")</f>
        <v/>
      </c>
    </row>
    <row r="294">
      <c r="BF294" t="str">
        <f>IF(AND(OR(PROCESSOS!P294="NO PRAZO",PROCESSOS!P294="VENCE EM BREVE"),OR(FiltroResp="TODOS",FiltroResp="",PROCESSOS!H294=FiltroResp)),PROCESSOS!N294+ROW()/1000000,"")</f>
        <v/>
      </c>
      <c r="BG294" t="str">
        <f>IF(AND(PROCESSOS!B294&lt;&gt;"",ISNUMBER(PROCESSOS!D294),OR(FiltroResp="TODOS",FiltroResp="",PROCESSOS!H294=FiltroResp)),PROCESSOS!D294+ROW()/1000000,"")</f>
        <v/>
      </c>
    </row>
    <row r="295">
      <c r="BF295" t="str">
        <f>IF(AND(OR(PROCESSOS!P295="NO PRAZO",PROCESSOS!P295="VENCE EM BREVE"),OR(FiltroResp="TODOS",FiltroResp="",PROCESSOS!H295=FiltroResp)),PROCESSOS!N295+ROW()/1000000,"")</f>
        <v/>
      </c>
      <c r="BG295" t="str">
        <f>IF(AND(PROCESSOS!B295&lt;&gt;"",ISNUMBER(PROCESSOS!D295),OR(FiltroResp="TODOS",FiltroResp="",PROCESSOS!H295=FiltroResp)),PROCESSOS!D295+ROW()/1000000,"")</f>
        <v/>
      </c>
    </row>
    <row r="296">
      <c r="BF296" t="str">
        <f>IF(AND(OR(PROCESSOS!P296="NO PRAZO",PROCESSOS!P296="VENCE EM BREVE"),OR(FiltroResp="TODOS",FiltroResp="",PROCESSOS!H296=FiltroResp)),PROCESSOS!N296+ROW()/1000000,"")</f>
        <v/>
      </c>
      <c r="BG296" t="str">
        <f>IF(AND(PROCESSOS!B296&lt;&gt;"",ISNUMBER(PROCESSOS!D296),OR(FiltroResp="TODOS",FiltroResp="",PROCESSOS!H296=FiltroResp)),PROCESSOS!D296+ROW()/1000000,"")</f>
        <v/>
      </c>
    </row>
    <row r="297">
      <c r="BF297" t="str">
        <f>IF(AND(OR(PROCESSOS!P297="NO PRAZO",PROCESSOS!P297="VENCE EM BREVE"),OR(FiltroResp="TODOS",FiltroResp="",PROCESSOS!H297=FiltroResp)),PROCESSOS!N297+ROW()/1000000,"")</f>
        <v/>
      </c>
      <c r="BG297" t="str">
        <f>IF(AND(PROCESSOS!B297&lt;&gt;"",ISNUMBER(PROCESSOS!D297),OR(FiltroResp="TODOS",FiltroResp="",PROCESSOS!H297=FiltroResp)),PROCESSOS!D297+ROW()/1000000,"")</f>
        <v/>
      </c>
    </row>
    <row r="298">
      <c r="BF298" t="str">
        <f>IF(AND(OR(PROCESSOS!P298="NO PRAZO",PROCESSOS!P298="VENCE EM BREVE"),OR(FiltroResp="TODOS",FiltroResp="",PROCESSOS!H298=FiltroResp)),PROCESSOS!N298+ROW()/1000000,"")</f>
        <v/>
      </c>
      <c r="BG298" t="str">
        <f>IF(AND(PROCESSOS!B298&lt;&gt;"",ISNUMBER(PROCESSOS!D298),OR(FiltroResp="TODOS",FiltroResp="",PROCESSOS!H298=FiltroResp)),PROCESSOS!D298+ROW()/1000000,"")</f>
        <v/>
      </c>
    </row>
    <row r="299">
      <c r="BF299" t="str">
        <f>IF(AND(OR(PROCESSOS!P299="NO PRAZO",PROCESSOS!P299="VENCE EM BREVE"),OR(FiltroResp="TODOS",FiltroResp="",PROCESSOS!H299=FiltroResp)),PROCESSOS!N299+ROW()/1000000,"")</f>
        <v/>
      </c>
      <c r="BG299" t="str">
        <f>IF(AND(PROCESSOS!B299&lt;&gt;"",ISNUMBER(PROCESSOS!D299),OR(FiltroResp="TODOS",FiltroResp="",PROCESSOS!H299=FiltroResp)),PROCESSOS!D299+ROW()/1000000,"")</f>
        <v/>
      </c>
    </row>
    <row r="300">
      <c r="BF300" t="str">
        <f>IF(AND(OR(PROCESSOS!P300="NO PRAZO",PROCESSOS!P300="VENCE EM BREVE"),OR(FiltroResp="TODOS",FiltroResp="",PROCESSOS!H300=FiltroResp)),PROCESSOS!N300+ROW()/1000000,"")</f>
        <v/>
      </c>
      <c r="BG300" t="str">
        <f>IF(AND(PROCESSOS!B300&lt;&gt;"",ISNUMBER(PROCESSOS!D300),OR(FiltroResp="TODOS",FiltroResp="",PROCESSOS!H300=FiltroResp)),PROCESSOS!D300+ROW()/1000000,"")</f>
        <v/>
      </c>
    </row>
    <row r="301">
      <c r="BF301" t="str">
        <f>IF(AND(OR(PROCESSOS!P301="NO PRAZO",PROCESSOS!P301="VENCE EM BREVE"),OR(FiltroResp="TODOS",FiltroResp="",PROCESSOS!H301=FiltroResp)),PROCESSOS!N301+ROW()/1000000,"")</f>
        <v/>
      </c>
      <c r="BG301" t="str">
        <f>IF(AND(PROCESSOS!B301&lt;&gt;"",ISNUMBER(PROCESSOS!D301),OR(FiltroResp="TODOS",FiltroResp="",PROCESSOS!H301=FiltroResp)),PROCESSOS!D301+ROW()/1000000,"")</f>
        <v/>
      </c>
    </row>
    <row r="302">
      <c r="BF302" t="str">
        <f>IF(AND(OR(PROCESSOS!P302="NO PRAZO",PROCESSOS!P302="VENCE EM BREVE"),OR(FiltroResp="TODOS",FiltroResp="",PROCESSOS!H302=FiltroResp)),PROCESSOS!N302+ROW()/1000000,"")</f>
        <v/>
      </c>
      <c r="BG302" t="str">
        <f>IF(AND(PROCESSOS!B302&lt;&gt;"",ISNUMBER(PROCESSOS!D302),OR(FiltroResp="TODOS",FiltroResp="",PROCESSOS!H302=FiltroResp)),PROCESSOS!D302+ROW()/1000000,"")</f>
        <v/>
      </c>
    </row>
    <row r="303">
      <c r="BF303" t="str">
        <f>IF(AND(OR(PROCESSOS!P303="NO PRAZO",PROCESSOS!P303="VENCE EM BREVE"),OR(FiltroResp="TODOS",FiltroResp="",PROCESSOS!H303=FiltroResp)),PROCESSOS!N303+ROW()/1000000,"")</f>
        <v/>
      </c>
      <c r="BG303" t="str">
        <f>IF(AND(PROCESSOS!B303&lt;&gt;"",ISNUMBER(PROCESSOS!D303),OR(FiltroResp="TODOS",FiltroResp="",PROCESSOS!H303=FiltroResp)),PROCESSOS!D303+ROW()/1000000,"")</f>
        <v/>
      </c>
    </row>
    <row r="304">
      <c r="BF304" t="str">
        <f>IF(AND(OR(PROCESSOS!P304="NO PRAZO",PROCESSOS!P304="VENCE EM BREVE"),OR(FiltroResp="TODOS",FiltroResp="",PROCESSOS!H304=FiltroResp)),PROCESSOS!N304+ROW()/1000000,"")</f>
        <v/>
      </c>
      <c r="BG304" t="str">
        <f>IF(AND(PROCESSOS!B304&lt;&gt;"",ISNUMBER(PROCESSOS!D304),OR(FiltroResp="TODOS",FiltroResp="",PROCESSOS!H304=FiltroResp)),PROCESSOS!D304+ROW()/1000000,"")</f>
        <v/>
      </c>
    </row>
    <row r="305">
      <c r="BF305" t="str">
        <f>IF(AND(OR(PROCESSOS!P305="NO PRAZO",PROCESSOS!P305="VENCE EM BREVE"),OR(FiltroResp="TODOS",FiltroResp="",PROCESSOS!H305=FiltroResp)),PROCESSOS!N305+ROW()/1000000,"")</f>
        <v/>
      </c>
      <c r="BG305" t="str">
        <f>IF(AND(PROCESSOS!B305&lt;&gt;"",ISNUMBER(PROCESSOS!D305),OR(FiltroResp="TODOS",FiltroResp="",PROCESSOS!H305=FiltroResp)),PROCESSOS!D305+ROW()/1000000,"")</f>
        <v/>
      </c>
    </row>
    <row r="306">
      <c r="BF306" t="str">
        <f>IF(AND(OR(PROCESSOS!P306="NO PRAZO",PROCESSOS!P306="VENCE EM BREVE"),OR(FiltroResp="TODOS",FiltroResp="",PROCESSOS!H306=FiltroResp)),PROCESSOS!N306+ROW()/1000000,"")</f>
        <v/>
      </c>
      <c r="BG306" t="str">
        <f>IF(AND(PROCESSOS!B306&lt;&gt;"",ISNUMBER(PROCESSOS!D306),OR(FiltroResp="TODOS",FiltroResp="",PROCESSOS!H306=FiltroResp)),PROCESSOS!D306+ROW()/1000000,"")</f>
        <v/>
      </c>
    </row>
    <row r="307">
      <c r="BF307" t="str">
        <f>IF(AND(OR(PROCESSOS!P307="NO PRAZO",PROCESSOS!P307="VENCE EM BREVE"),OR(FiltroResp="TODOS",FiltroResp="",PROCESSOS!H307=FiltroResp)),PROCESSOS!N307+ROW()/1000000,"")</f>
        <v/>
      </c>
      <c r="BG307" t="str">
        <f>IF(AND(PROCESSOS!B307&lt;&gt;"",ISNUMBER(PROCESSOS!D307),OR(FiltroResp="TODOS",FiltroResp="",PROCESSOS!H307=FiltroResp)),PROCESSOS!D307+ROW()/1000000,"")</f>
        <v/>
      </c>
    </row>
    <row r="308">
      <c r="BF308" t="str">
        <f>IF(AND(OR(PROCESSOS!P308="NO PRAZO",PROCESSOS!P308="VENCE EM BREVE"),OR(FiltroResp="TODOS",FiltroResp="",PROCESSOS!H308=FiltroResp)),PROCESSOS!N308+ROW()/1000000,"")</f>
        <v/>
      </c>
      <c r="BG308" t="str">
        <f>IF(AND(PROCESSOS!B308&lt;&gt;"",ISNUMBER(PROCESSOS!D308),OR(FiltroResp="TODOS",FiltroResp="",PROCESSOS!H308=FiltroResp)),PROCESSOS!D308+ROW()/1000000,"")</f>
        <v/>
      </c>
    </row>
    <row r="309">
      <c r="BF309" t="str">
        <f>IF(AND(OR(PROCESSOS!P309="NO PRAZO",PROCESSOS!P309="VENCE EM BREVE"),OR(FiltroResp="TODOS",FiltroResp="",PROCESSOS!H309=FiltroResp)),PROCESSOS!N309+ROW()/1000000,"")</f>
        <v/>
      </c>
      <c r="BG309" t="str">
        <f>IF(AND(PROCESSOS!B309&lt;&gt;"",ISNUMBER(PROCESSOS!D309),OR(FiltroResp="TODOS",FiltroResp="",PROCESSOS!H309=FiltroResp)),PROCESSOS!D309+ROW()/1000000,"")</f>
        <v/>
      </c>
    </row>
    <row r="310">
      <c r="BF310" t="str">
        <f>IF(AND(OR(PROCESSOS!P310="NO PRAZO",PROCESSOS!P310="VENCE EM BREVE"),OR(FiltroResp="TODOS",FiltroResp="",PROCESSOS!H310=FiltroResp)),PROCESSOS!N310+ROW()/1000000,"")</f>
        <v/>
      </c>
      <c r="BG310" t="str">
        <f>IF(AND(PROCESSOS!B310&lt;&gt;"",ISNUMBER(PROCESSOS!D310),OR(FiltroResp="TODOS",FiltroResp="",PROCESSOS!H310=FiltroResp)),PROCESSOS!D310+ROW()/1000000,"")</f>
        <v/>
      </c>
    </row>
    <row r="311">
      <c r="BF311" t="str">
        <f>IF(AND(OR(PROCESSOS!P311="NO PRAZO",PROCESSOS!P311="VENCE EM BREVE"),OR(FiltroResp="TODOS",FiltroResp="",PROCESSOS!H311=FiltroResp)),PROCESSOS!N311+ROW()/1000000,"")</f>
        <v/>
      </c>
      <c r="BG311" t="str">
        <f>IF(AND(PROCESSOS!B311&lt;&gt;"",ISNUMBER(PROCESSOS!D311),OR(FiltroResp="TODOS",FiltroResp="",PROCESSOS!H311=FiltroResp)),PROCESSOS!D311+ROW()/1000000,"")</f>
        <v/>
      </c>
    </row>
    <row r="312">
      <c r="BF312" t="str">
        <f>IF(AND(OR(PROCESSOS!P312="NO PRAZO",PROCESSOS!P312="VENCE EM BREVE"),OR(FiltroResp="TODOS",FiltroResp="",PROCESSOS!H312=FiltroResp)),PROCESSOS!N312+ROW()/1000000,"")</f>
        <v/>
      </c>
      <c r="BG312" t="str">
        <f>IF(AND(PROCESSOS!B312&lt;&gt;"",ISNUMBER(PROCESSOS!D312),OR(FiltroResp="TODOS",FiltroResp="",PROCESSOS!H312=FiltroResp)),PROCESSOS!D312+ROW()/1000000,"")</f>
        <v/>
      </c>
    </row>
    <row r="313">
      <c r="BF313" t="str">
        <f>IF(AND(OR(PROCESSOS!P313="NO PRAZO",PROCESSOS!P313="VENCE EM BREVE"),OR(FiltroResp="TODOS",FiltroResp="",PROCESSOS!H313=FiltroResp)),PROCESSOS!N313+ROW()/1000000,"")</f>
        <v/>
      </c>
      <c r="BG313" t="str">
        <f>IF(AND(PROCESSOS!B313&lt;&gt;"",ISNUMBER(PROCESSOS!D313),OR(FiltroResp="TODOS",FiltroResp="",PROCESSOS!H313=FiltroResp)),PROCESSOS!D313+ROW()/1000000,"")</f>
        <v/>
      </c>
    </row>
    <row r="314">
      <c r="BF314" t="str">
        <f>IF(AND(OR(PROCESSOS!P314="NO PRAZO",PROCESSOS!P314="VENCE EM BREVE"),OR(FiltroResp="TODOS",FiltroResp="",PROCESSOS!H314=FiltroResp)),PROCESSOS!N314+ROW()/1000000,"")</f>
        <v/>
      </c>
      <c r="BG314" t="str">
        <f>IF(AND(PROCESSOS!B314&lt;&gt;"",ISNUMBER(PROCESSOS!D314),OR(FiltroResp="TODOS",FiltroResp="",PROCESSOS!H314=FiltroResp)),PROCESSOS!D314+ROW()/1000000,"")</f>
        <v/>
      </c>
    </row>
    <row r="315">
      <c r="BF315" t="str">
        <f>IF(AND(OR(PROCESSOS!P315="NO PRAZO",PROCESSOS!P315="VENCE EM BREVE"),OR(FiltroResp="TODOS",FiltroResp="",PROCESSOS!H315=FiltroResp)),PROCESSOS!N315+ROW()/1000000,"")</f>
        <v/>
      </c>
      <c r="BG315" t="str">
        <f>IF(AND(PROCESSOS!B315&lt;&gt;"",ISNUMBER(PROCESSOS!D315),OR(FiltroResp="TODOS",FiltroResp="",PROCESSOS!H315=FiltroResp)),PROCESSOS!D315+ROW()/1000000,"")</f>
        <v/>
      </c>
    </row>
    <row r="316">
      <c r="BF316" t="str">
        <f>IF(AND(OR(PROCESSOS!P316="NO PRAZO",PROCESSOS!P316="VENCE EM BREVE"),OR(FiltroResp="TODOS",FiltroResp="",PROCESSOS!H316=FiltroResp)),PROCESSOS!N316+ROW()/1000000,"")</f>
        <v/>
      </c>
      <c r="BG316" t="str">
        <f>IF(AND(PROCESSOS!B316&lt;&gt;"",ISNUMBER(PROCESSOS!D316),OR(FiltroResp="TODOS",FiltroResp="",PROCESSOS!H316=FiltroResp)),PROCESSOS!D316+ROW()/1000000,"")</f>
        <v/>
      </c>
    </row>
    <row r="317">
      <c r="BF317" t="str">
        <f>IF(AND(OR(PROCESSOS!P317="NO PRAZO",PROCESSOS!P317="VENCE EM BREVE"),OR(FiltroResp="TODOS",FiltroResp="",PROCESSOS!H317=FiltroResp)),PROCESSOS!N317+ROW()/1000000,"")</f>
        <v/>
      </c>
      <c r="BG317" t="str">
        <f>IF(AND(PROCESSOS!B317&lt;&gt;"",ISNUMBER(PROCESSOS!D317),OR(FiltroResp="TODOS",FiltroResp="",PROCESSOS!H317=FiltroResp)),PROCESSOS!D317+ROW()/1000000,"")</f>
        <v/>
      </c>
    </row>
    <row r="318">
      <c r="BF318" t="str">
        <f>IF(AND(OR(PROCESSOS!P318="NO PRAZO",PROCESSOS!P318="VENCE EM BREVE"),OR(FiltroResp="TODOS",FiltroResp="",PROCESSOS!H318=FiltroResp)),PROCESSOS!N318+ROW()/1000000,"")</f>
        <v/>
      </c>
      <c r="BG318" t="str">
        <f>IF(AND(PROCESSOS!B318&lt;&gt;"",ISNUMBER(PROCESSOS!D318),OR(FiltroResp="TODOS",FiltroResp="",PROCESSOS!H318=FiltroResp)),PROCESSOS!D318+ROW()/1000000,"")</f>
        <v/>
      </c>
    </row>
    <row r="319">
      <c r="BF319" t="str">
        <f>IF(AND(OR(PROCESSOS!P319="NO PRAZO",PROCESSOS!P319="VENCE EM BREVE"),OR(FiltroResp="TODOS",FiltroResp="",PROCESSOS!H319=FiltroResp)),PROCESSOS!N319+ROW()/1000000,"")</f>
        <v/>
      </c>
      <c r="BG319" t="str">
        <f>IF(AND(PROCESSOS!B319&lt;&gt;"",ISNUMBER(PROCESSOS!D319),OR(FiltroResp="TODOS",FiltroResp="",PROCESSOS!H319=FiltroResp)),PROCESSOS!D319+ROW()/1000000,"")</f>
        <v/>
      </c>
    </row>
    <row r="320">
      <c r="BF320" t="str">
        <f>IF(AND(OR(PROCESSOS!P320="NO PRAZO",PROCESSOS!P320="VENCE EM BREVE"),OR(FiltroResp="TODOS",FiltroResp="",PROCESSOS!H320=FiltroResp)),PROCESSOS!N320+ROW()/1000000,"")</f>
        <v/>
      </c>
      <c r="BG320" t="str">
        <f>IF(AND(PROCESSOS!B320&lt;&gt;"",ISNUMBER(PROCESSOS!D320),OR(FiltroResp="TODOS",FiltroResp="",PROCESSOS!H320=FiltroResp)),PROCESSOS!D320+ROW()/1000000,"")</f>
        <v/>
      </c>
    </row>
    <row r="321">
      <c r="BF321" t="str">
        <f>IF(AND(OR(PROCESSOS!P321="NO PRAZO",PROCESSOS!P321="VENCE EM BREVE"),OR(FiltroResp="TODOS",FiltroResp="",PROCESSOS!H321=FiltroResp)),PROCESSOS!N321+ROW()/1000000,"")</f>
        <v/>
      </c>
      <c r="BG321" t="str">
        <f>IF(AND(PROCESSOS!B321&lt;&gt;"",ISNUMBER(PROCESSOS!D321),OR(FiltroResp="TODOS",FiltroResp="",PROCESSOS!H321=FiltroResp)),PROCESSOS!D321+ROW()/1000000,"")</f>
        <v/>
      </c>
    </row>
    <row r="322">
      <c r="BF322" t="str">
        <f>IF(AND(OR(PROCESSOS!P322="NO PRAZO",PROCESSOS!P322="VENCE EM BREVE"),OR(FiltroResp="TODOS",FiltroResp="",PROCESSOS!H322=FiltroResp)),PROCESSOS!N322+ROW()/1000000,"")</f>
        <v/>
      </c>
      <c r="BG322" t="str">
        <f>IF(AND(PROCESSOS!B322&lt;&gt;"",ISNUMBER(PROCESSOS!D322),OR(FiltroResp="TODOS",FiltroResp="",PROCESSOS!H322=FiltroResp)),PROCESSOS!D322+ROW()/1000000,"")</f>
        <v/>
      </c>
    </row>
    <row r="323">
      <c r="BF323" t="str">
        <f>IF(AND(OR(PROCESSOS!P323="NO PRAZO",PROCESSOS!P323="VENCE EM BREVE"),OR(FiltroResp="TODOS",FiltroResp="",PROCESSOS!H323=FiltroResp)),PROCESSOS!N323+ROW()/1000000,"")</f>
        <v/>
      </c>
      <c r="BG323" t="str">
        <f>IF(AND(PROCESSOS!B323&lt;&gt;"",ISNUMBER(PROCESSOS!D323),OR(FiltroResp="TODOS",FiltroResp="",PROCESSOS!H323=FiltroResp)),PROCESSOS!D323+ROW()/1000000,"")</f>
        <v/>
      </c>
    </row>
    <row r="324">
      <c r="BF324" t="str">
        <f>IF(AND(OR(PROCESSOS!P324="NO PRAZO",PROCESSOS!P324="VENCE EM BREVE"),OR(FiltroResp="TODOS",FiltroResp="",PROCESSOS!H324=FiltroResp)),PROCESSOS!N324+ROW()/1000000,"")</f>
        <v/>
      </c>
      <c r="BG324" t="str">
        <f>IF(AND(PROCESSOS!B324&lt;&gt;"",ISNUMBER(PROCESSOS!D324),OR(FiltroResp="TODOS",FiltroResp="",PROCESSOS!H324=FiltroResp)),PROCESSOS!D324+ROW()/1000000,"")</f>
        <v/>
      </c>
    </row>
    <row r="325">
      <c r="BF325" t="str">
        <f>IF(AND(OR(PROCESSOS!P325="NO PRAZO",PROCESSOS!P325="VENCE EM BREVE"),OR(FiltroResp="TODOS",FiltroResp="",PROCESSOS!H325=FiltroResp)),PROCESSOS!N325+ROW()/1000000,"")</f>
        <v/>
      </c>
      <c r="BG325" t="str">
        <f>IF(AND(PROCESSOS!B325&lt;&gt;"",ISNUMBER(PROCESSOS!D325),OR(FiltroResp="TODOS",FiltroResp="",PROCESSOS!H325=FiltroResp)),PROCESSOS!D325+ROW()/1000000,"")</f>
        <v/>
      </c>
    </row>
    <row r="326">
      <c r="BF326" t="str">
        <f>IF(AND(OR(PROCESSOS!P326="NO PRAZO",PROCESSOS!P326="VENCE EM BREVE"),OR(FiltroResp="TODOS",FiltroResp="",PROCESSOS!H326=FiltroResp)),PROCESSOS!N326+ROW()/1000000,"")</f>
        <v/>
      </c>
      <c r="BG326" t="str">
        <f>IF(AND(PROCESSOS!B326&lt;&gt;"",ISNUMBER(PROCESSOS!D326),OR(FiltroResp="TODOS",FiltroResp="",PROCESSOS!H326=FiltroResp)),PROCESSOS!D326+ROW()/1000000,"")</f>
        <v/>
      </c>
    </row>
    <row r="327">
      <c r="BF327" t="str">
        <f>IF(AND(OR(PROCESSOS!P327="NO PRAZO",PROCESSOS!P327="VENCE EM BREVE"),OR(FiltroResp="TODOS",FiltroResp="",PROCESSOS!H327=FiltroResp)),PROCESSOS!N327+ROW()/1000000,"")</f>
        <v/>
      </c>
      <c r="BG327" t="str">
        <f>IF(AND(PROCESSOS!B327&lt;&gt;"",ISNUMBER(PROCESSOS!D327),OR(FiltroResp="TODOS",FiltroResp="",PROCESSOS!H327=FiltroResp)),PROCESSOS!D327+ROW()/1000000,"")</f>
        <v/>
      </c>
    </row>
    <row r="328">
      <c r="BF328" t="str">
        <f>IF(AND(OR(PROCESSOS!P328="NO PRAZO",PROCESSOS!P328="VENCE EM BREVE"),OR(FiltroResp="TODOS",FiltroResp="",PROCESSOS!H328=FiltroResp)),PROCESSOS!N328+ROW()/1000000,"")</f>
        <v/>
      </c>
      <c r="BG328" t="str">
        <f>IF(AND(PROCESSOS!B328&lt;&gt;"",ISNUMBER(PROCESSOS!D328),OR(FiltroResp="TODOS",FiltroResp="",PROCESSOS!H328=FiltroResp)),PROCESSOS!D328+ROW()/1000000,"")</f>
        <v/>
      </c>
    </row>
    <row r="329">
      <c r="BF329" t="str">
        <f>IF(AND(OR(PROCESSOS!P329="NO PRAZO",PROCESSOS!P329="VENCE EM BREVE"),OR(FiltroResp="TODOS",FiltroResp="",PROCESSOS!H329=FiltroResp)),PROCESSOS!N329+ROW()/1000000,"")</f>
        <v/>
      </c>
      <c r="BG329" t="str">
        <f>IF(AND(PROCESSOS!B329&lt;&gt;"",ISNUMBER(PROCESSOS!D329),OR(FiltroResp="TODOS",FiltroResp="",PROCESSOS!H329=FiltroResp)),PROCESSOS!D329+ROW()/1000000,"")</f>
        <v/>
      </c>
    </row>
    <row r="330">
      <c r="BF330" t="str">
        <f>IF(AND(OR(PROCESSOS!P330="NO PRAZO",PROCESSOS!P330="VENCE EM BREVE"),OR(FiltroResp="TODOS",FiltroResp="",PROCESSOS!H330=FiltroResp)),PROCESSOS!N330+ROW()/1000000,"")</f>
        <v/>
      </c>
      <c r="BG330" t="str">
        <f>IF(AND(PROCESSOS!B330&lt;&gt;"",ISNUMBER(PROCESSOS!D330),OR(FiltroResp="TODOS",FiltroResp="",PROCESSOS!H330=FiltroResp)),PROCESSOS!D330+ROW()/1000000,"")</f>
        <v/>
      </c>
    </row>
    <row r="331">
      <c r="BF331" t="str">
        <f>IF(AND(OR(PROCESSOS!P331="NO PRAZO",PROCESSOS!P331="VENCE EM BREVE"),OR(FiltroResp="TODOS",FiltroResp="",PROCESSOS!H331=FiltroResp)),PROCESSOS!N331+ROW()/1000000,"")</f>
        <v/>
      </c>
      <c r="BG331" t="str">
        <f>IF(AND(PROCESSOS!B331&lt;&gt;"",ISNUMBER(PROCESSOS!D331),OR(FiltroResp="TODOS",FiltroResp="",PROCESSOS!H331=FiltroResp)),PROCESSOS!D331+ROW()/1000000,"")</f>
        <v/>
      </c>
    </row>
    <row r="332">
      <c r="BF332" t="str">
        <f>IF(AND(OR(PROCESSOS!P332="NO PRAZO",PROCESSOS!P332="VENCE EM BREVE"),OR(FiltroResp="TODOS",FiltroResp="",PROCESSOS!H332=FiltroResp)),PROCESSOS!N332+ROW()/1000000,"")</f>
        <v/>
      </c>
      <c r="BG332" t="str">
        <f>IF(AND(PROCESSOS!B332&lt;&gt;"",ISNUMBER(PROCESSOS!D332),OR(FiltroResp="TODOS",FiltroResp="",PROCESSOS!H332=FiltroResp)),PROCESSOS!D332+ROW()/1000000,"")</f>
        <v/>
      </c>
    </row>
    <row r="333">
      <c r="BF333" t="str">
        <f>IF(AND(OR(PROCESSOS!P333="NO PRAZO",PROCESSOS!P333="VENCE EM BREVE"),OR(FiltroResp="TODOS",FiltroResp="",PROCESSOS!H333=FiltroResp)),PROCESSOS!N333+ROW()/1000000,"")</f>
        <v/>
      </c>
      <c r="BG333" t="str">
        <f>IF(AND(PROCESSOS!B333&lt;&gt;"",ISNUMBER(PROCESSOS!D333),OR(FiltroResp="TODOS",FiltroResp="",PROCESSOS!H333=FiltroResp)),PROCESSOS!D333+ROW()/1000000,"")</f>
        <v/>
      </c>
    </row>
    <row r="334">
      <c r="BF334" t="str">
        <f>IF(AND(OR(PROCESSOS!P334="NO PRAZO",PROCESSOS!P334="VENCE EM BREVE"),OR(FiltroResp="TODOS",FiltroResp="",PROCESSOS!H334=FiltroResp)),PROCESSOS!N334+ROW()/1000000,"")</f>
        <v/>
      </c>
      <c r="BG334" t="str">
        <f>IF(AND(PROCESSOS!B334&lt;&gt;"",ISNUMBER(PROCESSOS!D334),OR(FiltroResp="TODOS",FiltroResp="",PROCESSOS!H334=FiltroResp)),PROCESSOS!D334+ROW()/1000000,"")</f>
        <v/>
      </c>
    </row>
    <row r="335">
      <c r="BF335" t="str">
        <f>IF(AND(OR(PROCESSOS!P335="NO PRAZO",PROCESSOS!P335="VENCE EM BREVE"),OR(FiltroResp="TODOS",FiltroResp="",PROCESSOS!H335=FiltroResp)),PROCESSOS!N335+ROW()/1000000,"")</f>
        <v/>
      </c>
      <c r="BG335" t="str">
        <f>IF(AND(PROCESSOS!B335&lt;&gt;"",ISNUMBER(PROCESSOS!D335),OR(FiltroResp="TODOS",FiltroResp="",PROCESSOS!H335=FiltroResp)),PROCESSOS!D335+ROW()/1000000,"")</f>
        <v/>
      </c>
    </row>
    <row r="336">
      <c r="BF336" t="str">
        <f>IF(AND(OR(PROCESSOS!P336="NO PRAZO",PROCESSOS!P336="VENCE EM BREVE"),OR(FiltroResp="TODOS",FiltroResp="",PROCESSOS!H336=FiltroResp)),PROCESSOS!N336+ROW()/1000000,"")</f>
        <v/>
      </c>
      <c r="BG336" t="str">
        <f>IF(AND(PROCESSOS!B336&lt;&gt;"",ISNUMBER(PROCESSOS!D336),OR(FiltroResp="TODOS",FiltroResp="",PROCESSOS!H336=FiltroResp)),PROCESSOS!D336+ROW()/1000000,"")</f>
        <v/>
      </c>
    </row>
    <row r="337">
      <c r="BF337" t="str">
        <f>IF(AND(OR(PROCESSOS!P337="NO PRAZO",PROCESSOS!P337="VENCE EM BREVE"),OR(FiltroResp="TODOS",FiltroResp="",PROCESSOS!H337=FiltroResp)),PROCESSOS!N337+ROW()/1000000,"")</f>
        <v/>
      </c>
      <c r="BG337" t="str">
        <f>IF(AND(PROCESSOS!B337&lt;&gt;"",ISNUMBER(PROCESSOS!D337),OR(FiltroResp="TODOS",FiltroResp="",PROCESSOS!H337=FiltroResp)),PROCESSOS!D337+ROW()/1000000,"")</f>
        <v/>
      </c>
    </row>
    <row r="338">
      <c r="BF338" t="str">
        <f>IF(AND(OR(PROCESSOS!P338="NO PRAZO",PROCESSOS!P338="VENCE EM BREVE"),OR(FiltroResp="TODOS",FiltroResp="",PROCESSOS!H338=FiltroResp)),PROCESSOS!N338+ROW()/1000000,"")</f>
        <v/>
      </c>
      <c r="BG338" t="str">
        <f>IF(AND(PROCESSOS!B338&lt;&gt;"",ISNUMBER(PROCESSOS!D338),OR(FiltroResp="TODOS",FiltroResp="",PROCESSOS!H338=FiltroResp)),PROCESSOS!D338+ROW()/1000000,"")</f>
        <v/>
      </c>
    </row>
    <row r="339">
      <c r="BF339" t="str">
        <f>IF(AND(OR(PROCESSOS!P339="NO PRAZO",PROCESSOS!P339="VENCE EM BREVE"),OR(FiltroResp="TODOS",FiltroResp="",PROCESSOS!H339=FiltroResp)),PROCESSOS!N339+ROW()/1000000,"")</f>
        <v/>
      </c>
      <c r="BG339" t="str">
        <f>IF(AND(PROCESSOS!B339&lt;&gt;"",ISNUMBER(PROCESSOS!D339),OR(FiltroResp="TODOS",FiltroResp="",PROCESSOS!H339=FiltroResp)),PROCESSOS!D339+ROW()/1000000,"")</f>
        <v/>
      </c>
    </row>
    <row r="340">
      <c r="BF340" t="str">
        <f>IF(AND(OR(PROCESSOS!P340="NO PRAZO",PROCESSOS!P340="VENCE EM BREVE"),OR(FiltroResp="TODOS",FiltroResp="",PROCESSOS!H340=FiltroResp)),PROCESSOS!N340+ROW()/1000000,"")</f>
        <v/>
      </c>
      <c r="BG340" t="str">
        <f>IF(AND(PROCESSOS!B340&lt;&gt;"",ISNUMBER(PROCESSOS!D340),OR(FiltroResp="TODOS",FiltroResp="",PROCESSOS!H340=FiltroResp)),PROCESSOS!D340+ROW()/1000000,"")</f>
        <v/>
      </c>
    </row>
    <row r="341">
      <c r="BF341" t="str">
        <f>IF(AND(OR(PROCESSOS!P341="NO PRAZO",PROCESSOS!P341="VENCE EM BREVE"),OR(FiltroResp="TODOS",FiltroResp="",PROCESSOS!H341=FiltroResp)),PROCESSOS!N341+ROW()/1000000,"")</f>
        <v/>
      </c>
      <c r="BG341" t="str">
        <f>IF(AND(PROCESSOS!B341&lt;&gt;"",ISNUMBER(PROCESSOS!D341),OR(FiltroResp="TODOS",FiltroResp="",PROCESSOS!H341=FiltroResp)),PROCESSOS!D341+ROW()/1000000,"")</f>
        <v/>
      </c>
    </row>
    <row r="342">
      <c r="BF342" t="str">
        <f>IF(AND(OR(PROCESSOS!P342="NO PRAZO",PROCESSOS!P342="VENCE EM BREVE"),OR(FiltroResp="TODOS",FiltroResp="",PROCESSOS!H342=FiltroResp)),PROCESSOS!N342+ROW()/1000000,"")</f>
        <v/>
      </c>
      <c r="BG342" t="str">
        <f>IF(AND(PROCESSOS!B342&lt;&gt;"",ISNUMBER(PROCESSOS!D342),OR(FiltroResp="TODOS",FiltroResp="",PROCESSOS!H342=FiltroResp)),PROCESSOS!D342+ROW()/1000000,"")</f>
        <v/>
      </c>
    </row>
    <row r="343">
      <c r="BF343" t="str">
        <f>IF(AND(OR(PROCESSOS!P343="NO PRAZO",PROCESSOS!P343="VENCE EM BREVE"),OR(FiltroResp="TODOS",FiltroResp="",PROCESSOS!H343=FiltroResp)),PROCESSOS!N343+ROW()/1000000,"")</f>
        <v/>
      </c>
      <c r="BG343" t="str">
        <f>IF(AND(PROCESSOS!B343&lt;&gt;"",ISNUMBER(PROCESSOS!D343),OR(FiltroResp="TODOS",FiltroResp="",PROCESSOS!H343=FiltroResp)),PROCESSOS!D343+ROW()/1000000,"")</f>
        <v/>
      </c>
    </row>
    <row r="344">
      <c r="BF344" t="str">
        <f>IF(AND(OR(PROCESSOS!P344="NO PRAZO",PROCESSOS!P344="VENCE EM BREVE"),OR(FiltroResp="TODOS",FiltroResp="",PROCESSOS!H344=FiltroResp)),PROCESSOS!N344+ROW()/1000000,"")</f>
        <v/>
      </c>
      <c r="BG344" t="str">
        <f>IF(AND(PROCESSOS!B344&lt;&gt;"",ISNUMBER(PROCESSOS!D344),OR(FiltroResp="TODOS",FiltroResp="",PROCESSOS!H344=FiltroResp)),PROCESSOS!D344+ROW()/1000000,"")</f>
        <v/>
      </c>
    </row>
    <row r="345">
      <c r="BF345" t="str">
        <f>IF(AND(OR(PROCESSOS!P345="NO PRAZO",PROCESSOS!P345="VENCE EM BREVE"),OR(FiltroResp="TODOS",FiltroResp="",PROCESSOS!H345=FiltroResp)),PROCESSOS!N345+ROW()/1000000,"")</f>
        <v/>
      </c>
      <c r="BG345" t="str">
        <f>IF(AND(PROCESSOS!B345&lt;&gt;"",ISNUMBER(PROCESSOS!D345),OR(FiltroResp="TODOS",FiltroResp="",PROCESSOS!H345=FiltroResp)),PROCESSOS!D345+ROW()/1000000,"")</f>
        <v/>
      </c>
    </row>
    <row r="346">
      <c r="BF346" t="str">
        <f>IF(AND(OR(PROCESSOS!P346="NO PRAZO",PROCESSOS!P346="VENCE EM BREVE"),OR(FiltroResp="TODOS",FiltroResp="",PROCESSOS!H346=FiltroResp)),PROCESSOS!N346+ROW()/1000000,"")</f>
        <v/>
      </c>
      <c r="BG346" t="str">
        <f>IF(AND(PROCESSOS!B346&lt;&gt;"",ISNUMBER(PROCESSOS!D346),OR(FiltroResp="TODOS",FiltroResp="",PROCESSOS!H346=FiltroResp)),PROCESSOS!D346+ROW()/1000000,"")</f>
        <v/>
      </c>
    </row>
    <row r="347">
      <c r="BF347" t="str">
        <f>IF(AND(OR(PROCESSOS!P347="NO PRAZO",PROCESSOS!P347="VENCE EM BREVE"),OR(FiltroResp="TODOS",FiltroResp="",PROCESSOS!H347=FiltroResp)),PROCESSOS!N347+ROW()/1000000,"")</f>
        <v/>
      </c>
      <c r="BG347" t="str">
        <f>IF(AND(PROCESSOS!B347&lt;&gt;"",ISNUMBER(PROCESSOS!D347),OR(FiltroResp="TODOS",FiltroResp="",PROCESSOS!H347=FiltroResp)),PROCESSOS!D347+ROW()/1000000,"")</f>
        <v/>
      </c>
    </row>
    <row r="348">
      <c r="BF348" t="str">
        <f>IF(AND(OR(PROCESSOS!P348="NO PRAZO",PROCESSOS!P348="VENCE EM BREVE"),OR(FiltroResp="TODOS",FiltroResp="",PROCESSOS!H348=FiltroResp)),PROCESSOS!N348+ROW()/1000000,"")</f>
        <v/>
      </c>
      <c r="BG348" t="str">
        <f>IF(AND(PROCESSOS!B348&lt;&gt;"",ISNUMBER(PROCESSOS!D348),OR(FiltroResp="TODOS",FiltroResp="",PROCESSOS!H348=FiltroResp)),PROCESSOS!D348+ROW()/1000000,"")</f>
        <v/>
      </c>
    </row>
    <row r="349">
      <c r="BF349" t="str">
        <f>IF(AND(OR(PROCESSOS!P349="NO PRAZO",PROCESSOS!P349="VENCE EM BREVE"),OR(FiltroResp="TODOS",FiltroResp="",PROCESSOS!H349=FiltroResp)),PROCESSOS!N349+ROW()/1000000,"")</f>
        <v/>
      </c>
      <c r="BG349" t="str">
        <f>IF(AND(PROCESSOS!B349&lt;&gt;"",ISNUMBER(PROCESSOS!D349),OR(FiltroResp="TODOS",FiltroResp="",PROCESSOS!H349=FiltroResp)),PROCESSOS!D349+ROW()/1000000,"")</f>
        <v/>
      </c>
    </row>
    <row r="350">
      <c r="BF350" t="str">
        <f>IF(AND(OR(PROCESSOS!P350="NO PRAZO",PROCESSOS!P350="VENCE EM BREVE"),OR(FiltroResp="TODOS",FiltroResp="",PROCESSOS!H350=FiltroResp)),PROCESSOS!N350+ROW()/1000000,"")</f>
        <v/>
      </c>
      <c r="BG350" t="str">
        <f>IF(AND(PROCESSOS!B350&lt;&gt;"",ISNUMBER(PROCESSOS!D350),OR(FiltroResp="TODOS",FiltroResp="",PROCESSOS!H350=FiltroResp)),PROCESSOS!D350+ROW()/1000000,"")</f>
        <v/>
      </c>
    </row>
    <row r="351">
      <c r="BF351" t="str">
        <f>IF(AND(OR(PROCESSOS!P351="NO PRAZO",PROCESSOS!P351="VENCE EM BREVE"),OR(FiltroResp="TODOS",FiltroResp="",PROCESSOS!H351=FiltroResp)),PROCESSOS!N351+ROW()/1000000,"")</f>
        <v/>
      </c>
      <c r="BG351" t="str">
        <f>IF(AND(PROCESSOS!B351&lt;&gt;"",ISNUMBER(PROCESSOS!D351),OR(FiltroResp="TODOS",FiltroResp="",PROCESSOS!H351=FiltroResp)),PROCESSOS!D351+ROW()/1000000,"")</f>
        <v/>
      </c>
    </row>
    <row r="352">
      <c r="BF352" t="str">
        <f>IF(AND(OR(PROCESSOS!P352="NO PRAZO",PROCESSOS!P352="VENCE EM BREVE"),OR(FiltroResp="TODOS",FiltroResp="",PROCESSOS!H352=FiltroResp)),PROCESSOS!N352+ROW()/1000000,"")</f>
        <v/>
      </c>
      <c r="BG352" t="str">
        <f>IF(AND(PROCESSOS!B352&lt;&gt;"",ISNUMBER(PROCESSOS!D352),OR(FiltroResp="TODOS",FiltroResp="",PROCESSOS!H352=FiltroResp)),PROCESSOS!D352+ROW()/1000000,"")</f>
        <v/>
      </c>
    </row>
    <row r="353">
      <c r="BF353" t="str">
        <f>IF(AND(OR(PROCESSOS!P353="NO PRAZO",PROCESSOS!P353="VENCE EM BREVE"),OR(FiltroResp="TODOS",FiltroResp="",PROCESSOS!H353=FiltroResp)),PROCESSOS!N353+ROW()/1000000,"")</f>
        <v/>
      </c>
      <c r="BG353" t="str">
        <f>IF(AND(PROCESSOS!B353&lt;&gt;"",ISNUMBER(PROCESSOS!D353),OR(FiltroResp="TODOS",FiltroResp="",PROCESSOS!H353=FiltroResp)),PROCESSOS!D353+ROW()/1000000,"")</f>
        <v/>
      </c>
    </row>
    <row r="354">
      <c r="BF354" t="str">
        <f>IF(AND(OR(PROCESSOS!P354="NO PRAZO",PROCESSOS!P354="VENCE EM BREVE"),OR(FiltroResp="TODOS",FiltroResp="",PROCESSOS!H354=FiltroResp)),PROCESSOS!N354+ROW()/1000000,"")</f>
        <v/>
      </c>
      <c r="BG354" t="str">
        <f>IF(AND(PROCESSOS!B354&lt;&gt;"",ISNUMBER(PROCESSOS!D354),OR(FiltroResp="TODOS",FiltroResp="",PROCESSOS!H354=FiltroResp)),PROCESSOS!D354+ROW()/1000000,"")</f>
        <v/>
      </c>
    </row>
    <row r="355">
      <c r="BF355" t="str">
        <f>IF(AND(OR(PROCESSOS!P355="NO PRAZO",PROCESSOS!P355="VENCE EM BREVE"),OR(FiltroResp="TODOS",FiltroResp="",PROCESSOS!H355=FiltroResp)),PROCESSOS!N355+ROW()/1000000,"")</f>
        <v/>
      </c>
      <c r="BG355" t="str">
        <f>IF(AND(PROCESSOS!B355&lt;&gt;"",ISNUMBER(PROCESSOS!D355),OR(FiltroResp="TODOS",FiltroResp="",PROCESSOS!H355=FiltroResp)),PROCESSOS!D355+ROW()/1000000,"")</f>
        <v/>
      </c>
    </row>
    <row r="356">
      <c r="BF356" t="str">
        <f>IF(AND(OR(PROCESSOS!P356="NO PRAZO",PROCESSOS!P356="VENCE EM BREVE"),OR(FiltroResp="TODOS",FiltroResp="",PROCESSOS!H356=FiltroResp)),PROCESSOS!N356+ROW()/1000000,"")</f>
        <v/>
      </c>
      <c r="BG356" t="str">
        <f>IF(AND(PROCESSOS!B356&lt;&gt;"",ISNUMBER(PROCESSOS!D356),OR(FiltroResp="TODOS",FiltroResp="",PROCESSOS!H356=FiltroResp)),PROCESSOS!D356+ROW()/1000000,"")</f>
        <v/>
      </c>
    </row>
    <row r="357">
      <c r="BF357" t="str">
        <f>IF(AND(OR(PROCESSOS!P357="NO PRAZO",PROCESSOS!P357="VENCE EM BREVE"),OR(FiltroResp="TODOS",FiltroResp="",PROCESSOS!H357=FiltroResp)),PROCESSOS!N357+ROW()/1000000,"")</f>
        <v/>
      </c>
      <c r="BG357" t="str">
        <f>IF(AND(PROCESSOS!B357&lt;&gt;"",ISNUMBER(PROCESSOS!D357),OR(FiltroResp="TODOS",FiltroResp="",PROCESSOS!H357=FiltroResp)),PROCESSOS!D357+ROW()/1000000,"")</f>
        <v/>
      </c>
    </row>
    <row r="358">
      <c r="BF358" t="str">
        <f>IF(AND(OR(PROCESSOS!P358="NO PRAZO",PROCESSOS!P358="VENCE EM BREVE"),OR(FiltroResp="TODOS",FiltroResp="",PROCESSOS!H358=FiltroResp)),PROCESSOS!N358+ROW()/1000000,"")</f>
        <v/>
      </c>
      <c r="BG358" t="str">
        <f>IF(AND(PROCESSOS!B358&lt;&gt;"",ISNUMBER(PROCESSOS!D358),OR(FiltroResp="TODOS",FiltroResp="",PROCESSOS!H358=FiltroResp)),PROCESSOS!D358+ROW()/1000000,"")</f>
        <v/>
      </c>
    </row>
    <row r="359">
      <c r="BF359" t="str">
        <f>IF(AND(OR(PROCESSOS!P359="NO PRAZO",PROCESSOS!P359="VENCE EM BREVE"),OR(FiltroResp="TODOS",FiltroResp="",PROCESSOS!H359=FiltroResp)),PROCESSOS!N359+ROW()/1000000,"")</f>
        <v/>
      </c>
      <c r="BG359" t="str">
        <f>IF(AND(PROCESSOS!B359&lt;&gt;"",ISNUMBER(PROCESSOS!D359),OR(FiltroResp="TODOS",FiltroResp="",PROCESSOS!H359=FiltroResp)),PROCESSOS!D359+ROW()/1000000,"")</f>
        <v/>
      </c>
    </row>
    <row r="360">
      <c r="BF360" t="str">
        <f>IF(AND(OR(PROCESSOS!P360="NO PRAZO",PROCESSOS!P360="VENCE EM BREVE"),OR(FiltroResp="TODOS",FiltroResp="",PROCESSOS!H360=FiltroResp)),PROCESSOS!N360+ROW()/1000000,"")</f>
        <v/>
      </c>
      <c r="BG360" t="str">
        <f>IF(AND(PROCESSOS!B360&lt;&gt;"",ISNUMBER(PROCESSOS!D360),OR(FiltroResp="TODOS",FiltroResp="",PROCESSOS!H360=FiltroResp)),PROCESSOS!D360+ROW()/1000000,"")</f>
        <v/>
      </c>
    </row>
    <row r="361">
      <c r="BF361" t="str">
        <f>IF(AND(OR(PROCESSOS!P361="NO PRAZO",PROCESSOS!P361="VENCE EM BREVE"),OR(FiltroResp="TODOS",FiltroResp="",PROCESSOS!H361=FiltroResp)),PROCESSOS!N361+ROW()/1000000,"")</f>
        <v/>
      </c>
      <c r="BG361" t="str">
        <f>IF(AND(PROCESSOS!B361&lt;&gt;"",ISNUMBER(PROCESSOS!D361),OR(FiltroResp="TODOS",FiltroResp="",PROCESSOS!H361=FiltroResp)),PROCESSOS!D361+ROW()/1000000,"")</f>
        <v/>
      </c>
    </row>
    <row r="362">
      <c r="BF362" t="str">
        <f>IF(AND(OR(PROCESSOS!P362="NO PRAZO",PROCESSOS!P362="VENCE EM BREVE"),OR(FiltroResp="TODOS",FiltroResp="",PROCESSOS!H362=FiltroResp)),PROCESSOS!N362+ROW()/1000000,"")</f>
        <v/>
      </c>
      <c r="BG362" t="str">
        <f>IF(AND(PROCESSOS!B362&lt;&gt;"",ISNUMBER(PROCESSOS!D362),OR(FiltroResp="TODOS",FiltroResp="",PROCESSOS!H362=FiltroResp)),PROCESSOS!D362+ROW()/1000000,"")</f>
        <v/>
      </c>
    </row>
    <row r="363">
      <c r="BF363" t="str">
        <f>IF(AND(OR(PROCESSOS!P363="NO PRAZO",PROCESSOS!P363="VENCE EM BREVE"),OR(FiltroResp="TODOS",FiltroResp="",PROCESSOS!H363=FiltroResp)),PROCESSOS!N363+ROW()/1000000,"")</f>
        <v/>
      </c>
      <c r="BG363" t="str">
        <f>IF(AND(PROCESSOS!B363&lt;&gt;"",ISNUMBER(PROCESSOS!D363),OR(FiltroResp="TODOS",FiltroResp="",PROCESSOS!H363=FiltroResp)),PROCESSOS!D363+ROW()/1000000,"")</f>
        <v/>
      </c>
    </row>
    <row r="364">
      <c r="BF364" t="str">
        <f>IF(AND(OR(PROCESSOS!P364="NO PRAZO",PROCESSOS!P364="VENCE EM BREVE"),OR(FiltroResp="TODOS",FiltroResp="",PROCESSOS!H364=FiltroResp)),PROCESSOS!N364+ROW()/1000000,"")</f>
        <v/>
      </c>
      <c r="BG364" t="str">
        <f>IF(AND(PROCESSOS!B364&lt;&gt;"",ISNUMBER(PROCESSOS!D364),OR(FiltroResp="TODOS",FiltroResp="",PROCESSOS!H364=FiltroResp)),PROCESSOS!D364+ROW()/1000000,"")</f>
        <v/>
      </c>
    </row>
    <row r="365">
      <c r="BF365" t="str">
        <f>IF(AND(OR(PROCESSOS!P365="NO PRAZO",PROCESSOS!P365="VENCE EM BREVE"),OR(FiltroResp="TODOS",FiltroResp="",PROCESSOS!H365=FiltroResp)),PROCESSOS!N365+ROW()/1000000,"")</f>
        <v/>
      </c>
      <c r="BG365" t="str">
        <f>IF(AND(PROCESSOS!B365&lt;&gt;"",ISNUMBER(PROCESSOS!D365),OR(FiltroResp="TODOS",FiltroResp="",PROCESSOS!H365=FiltroResp)),PROCESSOS!D365+ROW()/1000000,"")</f>
        <v/>
      </c>
    </row>
    <row r="366">
      <c r="BF366" t="str">
        <f>IF(AND(OR(PROCESSOS!P366="NO PRAZO",PROCESSOS!P366="VENCE EM BREVE"),OR(FiltroResp="TODOS",FiltroResp="",PROCESSOS!H366=FiltroResp)),PROCESSOS!N366+ROW()/1000000,"")</f>
        <v/>
      </c>
      <c r="BG366" t="str">
        <f>IF(AND(PROCESSOS!B366&lt;&gt;"",ISNUMBER(PROCESSOS!D366),OR(FiltroResp="TODOS",FiltroResp="",PROCESSOS!H366=FiltroResp)),PROCESSOS!D366+ROW()/1000000,"")</f>
        <v/>
      </c>
    </row>
    <row r="367">
      <c r="BF367" t="str">
        <f>IF(AND(OR(PROCESSOS!P367="NO PRAZO",PROCESSOS!P367="VENCE EM BREVE"),OR(FiltroResp="TODOS",FiltroResp="",PROCESSOS!H367=FiltroResp)),PROCESSOS!N367+ROW()/1000000,"")</f>
        <v/>
      </c>
      <c r="BG367" t="str">
        <f>IF(AND(PROCESSOS!B367&lt;&gt;"",ISNUMBER(PROCESSOS!D367),OR(FiltroResp="TODOS",FiltroResp="",PROCESSOS!H367=FiltroResp)),PROCESSOS!D367+ROW()/1000000,"")</f>
        <v/>
      </c>
    </row>
    <row r="368">
      <c r="BF368" t="str">
        <f>IF(AND(OR(PROCESSOS!P368="NO PRAZO",PROCESSOS!P368="VENCE EM BREVE"),OR(FiltroResp="TODOS",FiltroResp="",PROCESSOS!H368=FiltroResp)),PROCESSOS!N368+ROW()/1000000,"")</f>
        <v/>
      </c>
      <c r="BG368" t="str">
        <f>IF(AND(PROCESSOS!B368&lt;&gt;"",ISNUMBER(PROCESSOS!D368),OR(FiltroResp="TODOS",FiltroResp="",PROCESSOS!H368=FiltroResp)),PROCESSOS!D368+ROW()/1000000,"")</f>
        <v/>
      </c>
    </row>
    <row r="369">
      <c r="BF369" t="str">
        <f>IF(AND(OR(PROCESSOS!P369="NO PRAZO",PROCESSOS!P369="VENCE EM BREVE"),OR(FiltroResp="TODOS",FiltroResp="",PROCESSOS!H369=FiltroResp)),PROCESSOS!N369+ROW()/1000000,"")</f>
        <v/>
      </c>
      <c r="BG369" t="str">
        <f>IF(AND(PROCESSOS!B369&lt;&gt;"",ISNUMBER(PROCESSOS!D369),OR(FiltroResp="TODOS",FiltroResp="",PROCESSOS!H369=FiltroResp)),PROCESSOS!D369+ROW()/1000000,"")</f>
        <v/>
      </c>
    </row>
    <row r="370">
      <c r="BF370" t="str">
        <f>IF(AND(OR(PROCESSOS!P370="NO PRAZO",PROCESSOS!P370="VENCE EM BREVE"),OR(FiltroResp="TODOS",FiltroResp="",PROCESSOS!H370=FiltroResp)),PROCESSOS!N370+ROW()/1000000,"")</f>
        <v/>
      </c>
      <c r="BG370" t="str">
        <f>IF(AND(PROCESSOS!B370&lt;&gt;"",ISNUMBER(PROCESSOS!D370),OR(FiltroResp="TODOS",FiltroResp="",PROCESSOS!H370=FiltroResp)),PROCESSOS!D370+ROW()/1000000,"")</f>
        <v/>
      </c>
    </row>
    <row r="371">
      <c r="BF371" t="str">
        <f>IF(AND(OR(PROCESSOS!P371="NO PRAZO",PROCESSOS!P371="VENCE EM BREVE"),OR(FiltroResp="TODOS",FiltroResp="",PROCESSOS!H371=FiltroResp)),PROCESSOS!N371+ROW()/1000000,"")</f>
        <v/>
      </c>
      <c r="BG371" t="str">
        <f>IF(AND(PROCESSOS!B371&lt;&gt;"",ISNUMBER(PROCESSOS!D371),OR(FiltroResp="TODOS",FiltroResp="",PROCESSOS!H371=FiltroResp)),PROCESSOS!D371+ROW()/1000000,"")</f>
        <v/>
      </c>
    </row>
    <row r="372">
      <c r="BF372" t="str">
        <f>IF(AND(OR(PROCESSOS!P372="NO PRAZO",PROCESSOS!P372="VENCE EM BREVE"),OR(FiltroResp="TODOS",FiltroResp="",PROCESSOS!H372=FiltroResp)),PROCESSOS!N372+ROW()/1000000,"")</f>
        <v/>
      </c>
      <c r="BG372" t="str">
        <f>IF(AND(PROCESSOS!B372&lt;&gt;"",ISNUMBER(PROCESSOS!D372),OR(FiltroResp="TODOS",FiltroResp="",PROCESSOS!H372=FiltroResp)),PROCESSOS!D372+ROW()/1000000,"")</f>
        <v/>
      </c>
    </row>
    <row r="373">
      <c r="BF373" t="str">
        <f>IF(AND(OR(PROCESSOS!P373="NO PRAZO",PROCESSOS!P373="VENCE EM BREVE"),OR(FiltroResp="TODOS",FiltroResp="",PROCESSOS!H373=FiltroResp)),PROCESSOS!N373+ROW()/1000000,"")</f>
        <v/>
      </c>
      <c r="BG373" t="str">
        <f>IF(AND(PROCESSOS!B373&lt;&gt;"",ISNUMBER(PROCESSOS!D373),OR(FiltroResp="TODOS",FiltroResp="",PROCESSOS!H373=FiltroResp)),PROCESSOS!D373+ROW()/1000000,"")</f>
        <v/>
      </c>
    </row>
    <row r="374">
      <c r="BF374" t="str">
        <f>IF(AND(OR(PROCESSOS!P374="NO PRAZO",PROCESSOS!P374="VENCE EM BREVE"),OR(FiltroResp="TODOS",FiltroResp="",PROCESSOS!H374=FiltroResp)),PROCESSOS!N374+ROW()/1000000,"")</f>
        <v/>
      </c>
      <c r="BG374" t="str">
        <f>IF(AND(PROCESSOS!B374&lt;&gt;"",ISNUMBER(PROCESSOS!D374),OR(FiltroResp="TODOS",FiltroResp="",PROCESSOS!H374=FiltroResp)),PROCESSOS!D374+ROW()/1000000,"")</f>
        <v/>
      </c>
    </row>
    <row r="375">
      <c r="BF375" t="str">
        <f>IF(AND(OR(PROCESSOS!P375="NO PRAZO",PROCESSOS!P375="VENCE EM BREVE"),OR(FiltroResp="TODOS",FiltroResp="",PROCESSOS!H375=FiltroResp)),PROCESSOS!N375+ROW()/1000000,"")</f>
        <v/>
      </c>
      <c r="BG375" t="str">
        <f>IF(AND(PROCESSOS!B375&lt;&gt;"",ISNUMBER(PROCESSOS!D375),OR(FiltroResp="TODOS",FiltroResp="",PROCESSOS!H375=FiltroResp)),PROCESSOS!D375+ROW()/1000000,"")</f>
        <v/>
      </c>
    </row>
    <row r="376">
      <c r="BF376" t="str">
        <f>IF(AND(OR(PROCESSOS!P376="NO PRAZO",PROCESSOS!P376="VENCE EM BREVE"),OR(FiltroResp="TODOS",FiltroResp="",PROCESSOS!H376=FiltroResp)),PROCESSOS!N376+ROW()/1000000,"")</f>
        <v/>
      </c>
      <c r="BG376" t="str">
        <f>IF(AND(PROCESSOS!B376&lt;&gt;"",ISNUMBER(PROCESSOS!D376),OR(FiltroResp="TODOS",FiltroResp="",PROCESSOS!H376=FiltroResp)),PROCESSOS!D376+ROW()/1000000,"")</f>
        <v/>
      </c>
    </row>
    <row r="377">
      <c r="BF377" t="str">
        <f>IF(AND(OR(PROCESSOS!P377="NO PRAZO",PROCESSOS!P377="VENCE EM BREVE"),OR(FiltroResp="TODOS",FiltroResp="",PROCESSOS!H377=FiltroResp)),PROCESSOS!N377+ROW()/1000000,"")</f>
        <v/>
      </c>
      <c r="BG377" t="str">
        <f>IF(AND(PROCESSOS!B377&lt;&gt;"",ISNUMBER(PROCESSOS!D377),OR(FiltroResp="TODOS",FiltroResp="",PROCESSOS!H377=FiltroResp)),PROCESSOS!D377+ROW()/1000000,"")</f>
        <v/>
      </c>
    </row>
    <row r="378">
      <c r="BF378" t="str">
        <f>IF(AND(OR(PROCESSOS!P378="NO PRAZO",PROCESSOS!P378="VENCE EM BREVE"),OR(FiltroResp="TODOS",FiltroResp="",PROCESSOS!H378=FiltroResp)),PROCESSOS!N378+ROW()/1000000,"")</f>
        <v/>
      </c>
      <c r="BG378" t="str">
        <f>IF(AND(PROCESSOS!B378&lt;&gt;"",ISNUMBER(PROCESSOS!D378),OR(FiltroResp="TODOS",FiltroResp="",PROCESSOS!H378=FiltroResp)),PROCESSOS!D378+ROW()/1000000,"")</f>
        <v/>
      </c>
    </row>
    <row r="379">
      <c r="BF379" t="str">
        <f>IF(AND(OR(PROCESSOS!P379="NO PRAZO",PROCESSOS!P379="VENCE EM BREVE"),OR(FiltroResp="TODOS",FiltroResp="",PROCESSOS!H379=FiltroResp)),PROCESSOS!N379+ROW()/1000000,"")</f>
        <v/>
      </c>
      <c r="BG379" t="str">
        <f>IF(AND(PROCESSOS!B379&lt;&gt;"",ISNUMBER(PROCESSOS!D379),OR(FiltroResp="TODOS",FiltroResp="",PROCESSOS!H379=FiltroResp)),PROCESSOS!D379+ROW()/1000000,"")</f>
        <v/>
      </c>
    </row>
    <row r="380">
      <c r="BF380" t="str">
        <f>IF(AND(OR(PROCESSOS!P380="NO PRAZO",PROCESSOS!P380="VENCE EM BREVE"),OR(FiltroResp="TODOS",FiltroResp="",PROCESSOS!H380=FiltroResp)),PROCESSOS!N380+ROW()/1000000,"")</f>
        <v/>
      </c>
      <c r="BG380" t="str">
        <f>IF(AND(PROCESSOS!B380&lt;&gt;"",ISNUMBER(PROCESSOS!D380),OR(FiltroResp="TODOS",FiltroResp="",PROCESSOS!H380=FiltroResp)),PROCESSOS!D380+ROW()/1000000,"")</f>
        <v/>
      </c>
    </row>
    <row r="381">
      <c r="BF381" t="str">
        <f>IF(AND(OR(PROCESSOS!P381="NO PRAZO",PROCESSOS!P381="VENCE EM BREVE"),OR(FiltroResp="TODOS",FiltroResp="",PROCESSOS!H381=FiltroResp)),PROCESSOS!N381+ROW()/1000000,"")</f>
        <v/>
      </c>
      <c r="BG381" t="str">
        <f>IF(AND(PROCESSOS!B381&lt;&gt;"",ISNUMBER(PROCESSOS!D381),OR(FiltroResp="TODOS",FiltroResp="",PROCESSOS!H381=FiltroResp)),PROCESSOS!D381+ROW()/1000000,"")</f>
        <v/>
      </c>
    </row>
    <row r="382">
      <c r="BF382" t="str">
        <f>IF(AND(OR(PROCESSOS!P382="NO PRAZO",PROCESSOS!P382="VENCE EM BREVE"),OR(FiltroResp="TODOS",FiltroResp="",PROCESSOS!H382=FiltroResp)),PROCESSOS!N382+ROW()/1000000,"")</f>
        <v/>
      </c>
      <c r="BG382" t="str">
        <f>IF(AND(PROCESSOS!B382&lt;&gt;"",ISNUMBER(PROCESSOS!D382),OR(FiltroResp="TODOS",FiltroResp="",PROCESSOS!H382=FiltroResp)),PROCESSOS!D382+ROW()/1000000,"")</f>
        <v/>
      </c>
    </row>
    <row r="383">
      <c r="BF383" t="str">
        <f>IF(AND(OR(PROCESSOS!P383="NO PRAZO",PROCESSOS!P383="VENCE EM BREVE"),OR(FiltroResp="TODOS",FiltroResp="",PROCESSOS!H383=FiltroResp)),PROCESSOS!N383+ROW()/1000000,"")</f>
        <v/>
      </c>
      <c r="BG383" t="str">
        <f>IF(AND(PROCESSOS!B383&lt;&gt;"",ISNUMBER(PROCESSOS!D383),OR(FiltroResp="TODOS",FiltroResp="",PROCESSOS!H383=FiltroResp)),PROCESSOS!D383+ROW()/1000000,"")</f>
        <v/>
      </c>
    </row>
    <row r="384">
      <c r="BF384" t="str">
        <f>IF(AND(OR(PROCESSOS!P384="NO PRAZO",PROCESSOS!P384="VENCE EM BREVE"),OR(FiltroResp="TODOS",FiltroResp="",PROCESSOS!H384=FiltroResp)),PROCESSOS!N384+ROW()/1000000,"")</f>
        <v/>
      </c>
      <c r="BG384" t="str">
        <f>IF(AND(PROCESSOS!B384&lt;&gt;"",ISNUMBER(PROCESSOS!D384),OR(FiltroResp="TODOS",FiltroResp="",PROCESSOS!H384=FiltroResp)),PROCESSOS!D384+ROW()/1000000,"")</f>
        <v/>
      </c>
    </row>
    <row r="385">
      <c r="BF385" t="str">
        <f>IF(AND(OR(PROCESSOS!P385="NO PRAZO",PROCESSOS!P385="VENCE EM BREVE"),OR(FiltroResp="TODOS",FiltroResp="",PROCESSOS!H385=FiltroResp)),PROCESSOS!N385+ROW()/1000000,"")</f>
        <v/>
      </c>
      <c r="BG385" t="str">
        <f>IF(AND(PROCESSOS!B385&lt;&gt;"",ISNUMBER(PROCESSOS!D385),OR(FiltroResp="TODOS",FiltroResp="",PROCESSOS!H385=FiltroResp)),PROCESSOS!D385+ROW()/1000000,"")</f>
        <v/>
      </c>
    </row>
    <row r="386">
      <c r="BF386" t="str">
        <f>IF(AND(OR(PROCESSOS!P386="NO PRAZO",PROCESSOS!P386="VENCE EM BREVE"),OR(FiltroResp="TODOS",FiltroResp="",PROCESSOS!H386=FiltroResp)),PROCESSOS!N386+ROW()/1000000,"")</f>
        <v/>
      </c>
      <c r="BG386" t="str">
        <f>IF(AND(PROCESSOS!B386&lt;&gt;"",ISNUMBER(PROCESSOS!D386),OR(FiltroResp="TODOS",FiltroResp="",PROCESSOS!H386=FiltroResp)),PROCESSOS!D386+ROW()/1000000,"")</f>
        <v/>
      </c>
    </row>
    <row r="387">
      <c r="BF387" t="str">
        <f>IF(AND(OR(PROCESSOS!P387="NO PRAZO",PROCESSOS!P387="VENCE EM BREVE"),OR(FiltroResp="TODOS",FiltroResp="",PROCESSOS!H387=FiltroResp)),PROCESSOS!N387+ROW()/1000000,"")</f>
        <v/>
      </c>
      <c r="BG387" t="str">
        <f>IF(AND(PROCESSOS!B387&lt;&gt;"",ISNUMBER(PROCESSOS!D387),OR(FiltroResp="TODOS",FiltroResp="",PROCESSOS!H387=FiltroResp)),PROCESSOS!D387+ROW()/1000000,"")</f>
        <v/>
      </c>
    </row>
    <row r="388">
      <c r="BF388" t="str">
        <f>IF(AND(OR(PROCESSOS!P388="NO PRAZO",PROCESSOS!P388="VENCE EM BREVE"),OR(FiltroResp="TODOS",FiltroResp="",PROCESSOS!H388=FiltroResp)),PROCESSOS!N388+ROW()/1000000,"")</f>
        <v/>
      </c>
      <c r="BG388" t="str">
        <f>IF(AND(PROCESSOS!B388&lt;&gt;"",ISNUMBER(PROCESSOS!D388),OR(FiltroResp="TODOS",FiltroResp="",PROCESSOS!H388=FiltroResp)),PROCESSOS!D388+ROW()/1000000,"")</f>
        <v/>
      </c>
    </row>
    <row r="389">
      <c r="BF389" t="str">
        <f>IF(AND(OR(PROCESSOS!P389="NO PRAZO",PROCESSOS!P389="VENCE EM BREVE"),OR(FiltroResp="TODOS",FiltroResp="",PROCESSOS!H389=FiltroResp)),PROCESSOS!N389+ROW()/1000000,"")</f>
        <v/>
      </c>
      <c r="BG389" t="str">
        <f>IF(AND(PROCESSOS!B389&lt;&gt;"",ISNUMBER(PROCESSOS!D389),OR(FiltroResp="TODOS",FiltroResp="",PROCESSOS!H389=FiltroResp)),PROCESSOS!D389+ROW()/1000000,"")</f>
        <v/>
      </c>
    </row>
    <row r="390">
      <c r="BF390" t="str">
        <f>IF(AND(OR(PROCESSOS!P390="NO PRAZO",PROCESSOS!P390="VENCE EM BREVE"),OR(FiltroResp="TODOS",FiltroResp="",PROCESSOS!H390=FiltroResp)),PROCESSOS!N390+ROW()/1000000,"")</f>
        <v/>
      </c>
      <c r="BG390" t="str">
        <f>IF(AND(PROCESSOS!B390&lt;&gt;"",ISNUMBER(PROCESSOS!D390),OR(FiltroResp="TODOS",FiltroResp="",PROCESSOS!H390=FiltroResp)),PROCESSOS!D390+ROW()/1000000,"")</f>
        <v/>
      </c>
    </row>
    <row r="391">
      <c r="BF391" t="str">
        <f>IF(AND(OR(PROCESSOS!P391="NO PRAZO",PROCESSOS!P391="VENCE EM BREVE"),OR(FiltroResp="TODOS",FiltroResp="",PROCESSOS!H391=FiltroResp)),PROCESSOS!N391+ROW()/1000000,"")</f>
        <v/>
      </c>
      <c r="BG391" t="str">
        <f>IF(AND(PROCESSOS!B391&lt;&gt;"",ISNUMBER(PROCESSOS!D391),OR(FiltroResp="TODOS",FiltroResp="",PROCESSOS!H391=FiltroResp)),PROCESSOS!D391+ROW()/1000000,"")</f>
        <v/>
      </c>
    </row>
    <row r="392">
      <c r="BF392" t="str">
        <f>IF(AND(OR(PROCESSOS!P392="NO PRAZO",PROCESSOS!P392="VENCE EM BREVE"),OR(FiltroResp="TODOS",FiltroResp="",PROCESSOS!H392=FiltroResp)),PROCESSOS!N392+ROW()/1000000,"")</f>
        <v/>
      </c>
      <c r="BG392" t="str">
        <f>IF(AND(PROCESSOS!B392&lt;&gt;"",ISNUMBER(PROCESSOS!D392),OR(FiltroResp="TODOS",FiltroResp="",PROCESSOS!H392=FiltroResp)),PROCESSOS!D392+ROW()/1000000,"")</f>
        <v/>
      </c>
    </row>
    <row r="393">
      <c r="BF393" t="str">
        <f>IF(AND(OR(PROCESSOS!P393="NO PRAZO",PROCESSOS!P393="VENCE EM BREVE"),OR(FiltroResp="TODOS",FiltroResp="",PROCESSOS!H393=FiltroResp)),PROCESSOS!N393+ROW()/1000000,"")</f>
        <v/>
      </c>
      <c r="BG393" t="str">
        <f>IF(AND(PROCESSOS!B393&lt;&gt;"",ISNUMBER(PROCESSOS!D393),OR(FiltroResp="TODOS",FiltroResp="",PROCESSOS!H393=FiltroResp)),PROCESSOS!D393+ROW()/1000000,"")</f>
        <v/>
      </c>
    </row>
    <row r="394">
      <c r="BF394" t="str">
        <f>IF(AND(OR(PROCESSOS!P394="NO PRAZO",PROCESSOS!P394="VENCE EM BREVE"),OR(FiltroResp="TODOS",FiltroResp="",PROCESSOS!H394=FiltroResp)),PROCESSOS!N394+ROW()/1000000,"")</f>
        <v/>
      </c>
      <c r="BG394" t="str">
        <f>IF(AND(PROCESSOS!B394&lt;&gt;"",ISNUMBER(PROCESSOS!D394),OR(FiltroResp="TODOS",FiltroResp="",PROCESSOS!H394=FiltroResp)),PROCESSOS!D394+ROW()/1000000,"")</f>
        <v/>
      </c>
    </row>
    <row r="395">
      <c r="BF395" t="str">
        <f>IF(AND(OR(PROCESSOS!P395="NO PRAZO",PROCESSOS!P395="VENCE EM BREVE"),OR(FiltroResp="TODOS",FiltroResp="",PROCESSOS!H395=FiltroResp)),PROCESSOS!N395+ROW()/1000000,"")</f>
        <v/>
      </c>
      <c r="BG395" t="str">
        <f>IF(AND(PROCESSOS!B395&lt;&gt;"",ISNUMBER(PROCESSOS!D395),OR(FiltroResp="TODOS",FiltroResp="",PROCESSOS!H395=FiltroResp)),PROCESSOS!D395+ROW()/1000000,"")</f>
        <v/>
      </c>
    </row>
    <row r="396">
      <c r="BF396" t="str">
        <f>IF(AND(OR(PROCESSOS!P396="NO PRAZO",PROCESSOS!P396="VENCE EM BREVE"),OR(FiltroResp="TODOS",FiltroResp="",PROCESSOS!H396=FiltroResp)),PROCESSOS!N396+ROW()/1000000,"")</f>
        <v/>
      </c>
      <c r="BG396" t="str">
        <f>IF(AND(PROCESSOS!B396&lt;&gt;"",ISNUMBER(PROCESSOS!D396),OR(FiltroResp="TODOS",FiltroResp="",PROCESSOS!H396=FiltroResp)),PROCESSOS!D396+ROW()/1000000,"")</f>
        <v/>
      </c>
    </row>
    <row r="397">
      <c r="BF397" t="str">
        <f>IF(AND(OR(PROCESSOS!P397="NO PRAZO",PROCESSOS!P397="VENCE EM BREVE"),OR(FiltroResp="TODOS",FiltroResp="",PROCESSOS!H397=FiltroResp)),PROCESSOS!N397+ROW()/1000000,"")</f>
        <v/>
      </c>
      <c r="BG397" t="str">
        <f>IF(AND(PROCESSOS!B397&lt;&gt;"",ISNUMBER(PROCESSOS!D397),OR(FiltroResp="TODOS",FiltroResp="",PROCESSOS!H397=FiltroResp)),PROCESSOS!D397+ROW()/1000000,"")</f>
        <v/>
      </c>
    </row>
    <row r="398">
      <c r="BF398" t="str">
        <f>IF(AND(OR(PROCESSOS!P398="NO PRAZO",PROCESSOS!P398="VENCE EM BREVE"),OR(FiltroResp="TODOS",FiltroResp="",PROCESSOS!H398=FiltroResp)),PROCESSOS!N398+ROW()/1000000,"")</f>
        <v/>
      </c>
      <c r="BG398" t="str">
        <f>IF(AND(PROCESSOS!B398&lt;&gt;"",ISNUMBER(PROCESSOS!D398),OR(FiltroResp="TODOS",FiltroResp="",PROCESSOS!H398=FiltroResp)),PROCESSOS!D398+ROW()/1000000,"")</f>
        <v/>
      </c>
    </row>
    <row r="399">
      <c r="BF399" t="str">
        <f>IF(AND(OR(PROCESSOS!P399="NO PRAZO",PROCESSOS!P399="VENCE EM BREVE"),OR(FiltroResp="TODOS",FiltroResp="",PROCESSOS!H399=FiltroResp)),PROCESSOS!N399+ROW()/1000000,"")</f>
        <v/>
      </c>
      <c r="BG399" t="str">
        <f>IF(AND(PROCESSOS!B399&lt;&gt;"",ISNUMBER(PROCESSOS!D399),OR(FiltroResp="TODOS",FiltroResp="",PROCESSOS!H399=FiltroResp)),PROCESSOS!D399+ROW()/1000000,"")</f>
        <v/>
      </c>
    </row>
    <row r="400">
      <c r="BF400" t="str">
        <f>IF(AND(OR(PROCESSOS!P400="NO PRAZO",PROCESSOS!P400="VENCE EM BREVE"),OR(FiltroResp="TODOS",FiltroResp="",PROCESSOS!H400=FiltroResp)),PROCESSOS!N400+ROW()/1000000,"")</f>
        <v/>
      </c>
      <c r="BG400" t="str">
        <f>IF(AND(PROCESSOS!B400&lt;&gt;"",ISNUMBER(PROCESSOS!D400),OR(FiltroResp="TODOS",FiltroResp="",PROCESSOS!H400=FiltroResp)),PROCESSOS!D400+ROW()/1000000,"")</f>
        <v/>
      </c>
    </row>
    <row r="401">
      <c r="BF401" t="str">
        <f>IF(AND(OR(PROCESSOS!P401="NO PRAZO",PROCESSOS!P401="VENCE EM BREVE"),OR(FiltroResp="TODOS",FiltroResp="",PROCESSOS!H401=FiltroResp)),PROCESSOS!N401+ROW()/1000000,"")</f>
        <v/>
      </c>
      <c r="BG401" t="str">
        <f>IF(AND(PROCESSOS!B401&lt;&gt;"",ISNUMBER(PROCESSOS!D401),OR(FiltroResp="TODOS",FiltroResp="",PROCESSOS!H401=FiltroResp)),PROCESSOS!D401+ROW()/1000000,"")</f>
        <v/>
      </c>
    </row>
    <row r="402">
      <c r="BF402" t="str">
        <f>IF(AND(OR(PROCESSOS!P402="NO PRAZO",PROCESSOS!P402="VENCE EM BREVE"),OR(FiltroResp="TODOS",FiltroResp="",PROCESSOS!H402=FiltroResp)),PROCESSOS!N402+ROW()/1000000,"")</f>
        <v/>
      </c>
      <c r="BG402" t="str">
        <f>IF(AND(PROCESSOS!B402&lt;&gt;"",ISNUMBER(PROCESSOS!D402),OR(FiltroResp="TODOS",FiltroResp="",PROCESSOS!H402=FiltroResp)),PROCESSOS!D402+ROW()/1000000,"")</f>
        <v/>
      </c>
    </row>
    <row r="403">
      <c r="BF403" t="str">
        <f>IF(AND(OR(PROCESSOS!P403="NO PRAZO",PROCESSOS!P403="VENCE EM BREVE"),OR(FiltroResp="TODOS",FiltroResp="",PROCESSOS!H403=FiltroResp)),PROCESSOS!N403+ROW()/1000000,"")</f>
        <v/>
      </c>
      <c r="BG403" t="str">
        <f>IF(AND(PROCESSOS!B403&lt;&gt;"",ISNUMBER(PROCESSOS!D403),OR(FiltroResp="TODOS",FiltroResp="",PROCESSOS!H403=FiltroResp)),PROCESSOS!D403+ROW()/1000000,"")</f>
        <v/>
      </c>
    </row>
    <row r="404">
      <c r="BF404" t="str">
        <f>IF(AND(OR(PROCESSOS!P404="NO PRAZO",PROCESSOS!P404="VENCE EM BREVE"),OR(FiltroResp="TODOS",FiltroResp="",PROCESSOS!H404=FiltroResp)),PROCESSOS!N404+ROW()/1000000,"")</f>
        <v/>
      </c>
      <c r="BG404" t="str">
        <f>IF(AND(PROCESSOS!B404&lt;&gt;"",ISNUMBER(PROCESSOS!D404),OR(FiltroResp="TODOS",FiltroResp="",PROCESSOS!H404=FiltroResp)),PROCESSOS!D404+ROW()/1000000,"")</f>
        <v/>
      </c>
    </row>
    <row r="405">
      <c r="BF405" t="str">
        <f>IF(AND(OR(PROCESSOS!P405="NO PRAZO",PROCESSOS!P405="VENCE EM BREVE"),OR(FiltroResp="TODOS",FiltroResp="",PROCESSOS!H405=FiltroResp)),PROCESSOS!N405+ROW()/1000000,"")</f>
        <v/>
      </c>
      <c r="BG405" t="str">
        <f>IF(AND(PROCESSOS!B405&lt;&gt;"",ISNUMBER(PROCESSOS!D405),OR(FiltroResp="TODOS",FiltroResp="",PROCESSOS!H405=FiltroResp)),PROCESSOS!D405+ROW()/1000000,"")</f>
        <v/>
      </c>
    </row>
    <row r="406">
      <c r="BF406" t="str">
        <f>IF(AND(OR(PROCESSOS!P406="NO PRAZO",PROCESSOS!P406="VENCE EM BREVE"),OR(FiltroResp="TODOS",FiltroResp="",PROCESSOS!H406=FiltroResp)),PROCESSOS!N406+ROW()/1000000,"")</f>
        <v/>
      </c>
      <c r="BG406" t="str">
        <f>IF(AND(PROCESSOS!B406&lt;&gt;"",ISNUMBER(PROCESSOS!D406),OR(FiltroResp="TODOS",FiltroResp="",PROCESSOS!H406=FiltroResp)),PROCESSOS!D406+ROW()/1000000,"")</f>
        <v/>
      </c>
    </row>
    <row r="407">
      <c r="BF407" t="str">
        <f>IF(AND(OR(PROCESSOS!P407="NO PRAZO",PROCESSOS!P407="VENCE EM BREVE"),OR(FiltroResp="TODOS",FiltroResp="",PROCESSOS!H407=FiltroResp)),PROCESSOS!N407+ROW()/1000000,"")</f>
        <v/>
      </c>
      <c r="BG407" t="str">
        <f>IF(AND(PROCESSOS!B407&lt;&gt;"",ISNUMBER(PROCESSOS!D407),OR(FiltroResp="TODOS",FiltroResp="",PROCESSOS!H407=FiltroResp)),PROCESSOS!D407+ROW()/1000000,"")</f>
        <v/>
      </c>
    </row>
    <row r="408">
      <c r="BF408" t="str">
        <f>IF(AND(OR(PROCESSOS!P408="NO PRAZO",PROCESSOS!P408="VENCE EM BREVE"),OR(FiltroResp="TODOS",FiltroResp="",PROCESSOS!H408=FiltroResp)),PROCESSOS!N408+ROW()/1000000,"")</f>
        <v/>
      </c>
      <c r="BG408" t="str">
        <f>IF(AND(PROCESSOS!B408&lt;&gt;"",ISNUMBER(PROCESSOS!D408),OR(FiltroResp="TODOS",FiltroResp="",PROCESSOS!H408=FiltroResp)),PROCESSOS!D408+ROW()/1000000,"")</f>
        <v/>
      </c>
    </row>
    <row r="409">
      <c r="BF409" t="str">
        <f>IF(AND(OR(PROCESSOS!P409="NO PRAZO",PROCESSOS!P409="VENCE EM BREVE"),OR(FiltroResp="TODOS",FiltroResp="",PROCESSOS!H409=FiltroResp)),PROCESSOS!N409+ROW()/1000000,"")</f>
        <v/>
      </c>
      <c r="BG409" t="str">
        <f>IF(AND(PROCESSOS!B409&lt;&gt;"",ISNUMBER(PROCESSOS!D409),OR(FiltroResp="TODOS",FiltroResp="",PROCESSOS!H409=FiltroResp)),PROCESSOS!D409+ROW()/1000000,"")</f>
        <v/>
      </c>
    </row>
    <row r="410">
      <c r="BF410" t="str">
        <f>IF(AND(OR(PROCESSOS!P410="NO PRAZO",PROCESSOS!P410="VENCE EM BREVE"),OR(FiltroResp="TODOS",FiltroResp="",PROCESSOS!H410=FiltroResp)),PROCESSOS!N410+ROW()/1000000,"")</f>
        <v/>
      </c>
      <c r="BG410" t="str">
        <f>IF(AND(PROCESSOS!B410&lt;&gt;"",ISNUMBER(PROCESSOS!D410),OR(FiltroResp="TODOS",FiltroResp="",PROCESSOS!H410=FiltroResp)),PROCESSOS!D410+ROW()/1000000,"")</f>
        <v/>
      </c>
    </row>
    <row r="411">
      <c r="BF411" t="str">
        <f>IF(AND(OR(PROCESSOS!P411="NO PRAZO",PROCESSOS!P411="VENCE EM BREVE"),OR(FiltroResp="TODOS",FiltroResp="",PROCESSOS!H411=FiltroResp)),PROCESSOS!N411+ROW()/1000000,"")</f>
        <v/>
      </c>
      <c r="BG411" t="str">
        <f>IF(AND(PROCESSOS!B411&lt;&gt;"",ISNUMBER(PROCESSOS!D411),OR(FiltroResp="TODOS",FiltroResp="",PROCESSOS!H411=FiltroResp)),PROCESSOS!D411+ROW()/1000000,"")</f>
        <v/>
      </c>
    </row>
    <row r="412">
      <c r="BF412" t="str">
        <f>IF(AND(OR(PROCESSOS!P412="NO PRAZO",PROCESSOS!P412="VENCE EM BREVE"),OR(FiltroResp="TODOS",FiltroResp="",PROCESSOS!H412=FiltroResp)),PROCESSOS!N412+ROW()/1000000,"")</f>
        <v/>
      </c>
      <c r="BG412" t="str">
        <f>IF(AND(PROCESSOS!B412&lt;&gt;"",ISNUMBER(PROCESSOS!D412),OR(FiltroResp="TODOS",FiltroResp="",PROCESSOS!H412=FiltroResp)),PROCESSOS!D412+ROW()/1000000,"")</f>
        <v/>
      </c>
    </row>
    <row r="413">
      <c r="BF413" t="str">
        <f>IF(AND(OR(PROCESSOS!P413="NO PRAZO",PROCESSOS!P413="VENCE EM BREVE"),OR(FiltroResp="TODOS",FiltroResp="",PROCESSOS!H413=FiltroResp)),PROCESSOS!N413+ROW()/1000000,"")</f>
        <v/>
      </c>
      <c r="BG413" t="str">
        <f>IF(AND(PROCESSOS!B413&lt;&gt;"",ISNUMBER(PROCESSOS!D413),OR(FiltroResp="TODOS",FiltroResp="",PROCESSOS!H413=FiltroResp)),PROCESSOS!D413+ROW()/1000000,"")</f>
        <v/>
      </c>
    </row>
    <row r="414">
      <c r="BF414" t="str">
        <f>IF(AND(OR(PROCESSOS!P414="NO PRAZO",PROCESSOS!P414="VENCE EM BREVE"),OR(FiltroResp="TODOS",FiltroResp="",PROCESSOS!H414=FiltroResp)),PROCESSOS!N414+ROW()/1000000,"")</f>
        <v/>
      </c>
      <c r="BG414" t="str">
        <f>IF(AND(PROCESSOS!B414&lt;&gt;"",ISNUMBER(PROCESSOS!D414),OR(FiltroResp="TODOS",FiltroResp="",PROCESSOS!H414=FiltroResp)),PROCESSOS!D414+ROW()/1000000,"")</f>
        <v/>
      </c>
    </row>
    <row r="415">
      <c r="BF415" t="str">
        <f>IF(AND(OR(PROCESSOS!P415="NO PRAZO",PROCESSOS!P415="VENCE EM BREVE"),OR(FiltroResp="TODOS",FiltroResp="",PROCESSOS!H415=FiltroResp)),PROCESSOS!N415+ROW()/1000000,"")</f>
        <v/>
      </c>
      <c r="BG415" t="str">
        <f>IF(AND(PROCESSOS!B415&lt;&gt;"",ISNUMBER(PROCESSOS!D415),OR(FiltroResp="TODOS",FiltroResp="",PROCESSOS!H415=FiltroResp)),PROCESSOS!D415+ROW()/1000000,"")</f>
        <v/>
      </c>
    </row>
    <row r="416">
      <c r="BF416" t="str">
        <f>IF(AND(OR(PROCESSOS!P416="NO PRAZO",PROCESSOS!P416="VENCE EM BREVE"),OR(FiltroResp="TODOS",FiltroResp="",PROCESSOS!H416=FiltroResp)),PROCESSOS!N416+ROW()/1000000,"")</f>
        <v/>
      </c>
      <c r="BG416" t="str">
        <f>IF(AND(PROCESSOS!B416&lt;&gt;"",ISNUMBER(PROCESSOS!D416),OR(FiltroResp="TODOS",FiltroResp="",PROCESSOS!H416=FiltroResp)),PROCESSOS!D416+ROW()/1000000,"")</f>
        <v/>
      </c>
    </row>
    <row r="417">
      <c r="BF417" t="str">
        <f>IF(AND(OR(PROCESSOS!P417="NO PRAZO",PROCESSOS!P417="VENCE EM BREVE"),OR(FiltroResp="TODOS",FiltroResp="",PROCESSOS!H417=FiltroResp)),PROCESSOS!N417+ROW()/1000000,"")</f>
        <v/>
      </c>
      <c r="BG417" t="str">
        <f>IF(AND(PROCESSOS!B417&lt;&gt;"",ISNUMBER(PROCESSOS!D417),OR(FiltroResp="TODOS",FiltroResp="",PROCESSOS!H417=FiltroResp)),PROCESSOS!D417+ROW()/1000000,"")</f>
        <v/>
      </c>
    </row>
    <row r="418">
      <c r="BF418" t="str">
        <f>IF(AND(OR(PROCESSOS!P418="NO PRAZO",PROCESSOS!P418="VENCE EM BREVE"),OR(FiltroResp="TODOS",FiltroResp="",PROCESSOS!H418=FiltroResp)),PROCESSOS!N418+ROW()/1000000,"")</f>
        <v/>
      </c>
      <c r="BG418" t="str">
        <f>IF(AND(PROCESSOS!B418&lt;&gt;"",ISNUMBER(PROCESSOS!D418),OR(FiltroResp="TODOS",FiltroResp="",PROCESSOS!H418=FiltroResp)),PROCESSOS!D418+ROW()/1000000,"")</f>
        <v/>
      </c>
    </row>
    <row r="419">
      <c r="BF419" t="str">
        <f>IF(AND(OR(PROCESSOS!P419="NO PRAZO",PROCESSOS!P419="VENCE EM BREVE"),OR(FiltroResp="TODOS",FiltroResp="",PROCESSOS!H419=FiltroResp)),PROCESSOS!N419+ROW()/1000000,"")</f>
        <v/>
      </c>
      <c r="BG419" t="str">
        <f>IF(AND(PROCESSOS!B419&lt;&gt;"",ISNUMBER(PROCESSOS!D419),OR(FiltroResp="TODOS",FiltroResp="",PROCESSOS!H419=FiltroResp)),PROCESSOS!D419+ROW()/1000000,"")</f>
        <v/>
      </c>
    </row>
    <row r="420">
      <c r="BF420" t="str">
        <f>IF(AND(OR(PROCESSOS!P420="NO PRAZO",PROCESSOS!P420="VENCE EM BREVE"),OR(FiltroResp="TODOS",FiltroResp="",PROCESSOS!H420=FiltroResp)),PROCESSOS!N420+ROW()/1000000,"")</f>
        <v/>
      </c>
      <c r="BG420" t="str">
        <f>IF(AND(PROCESSOS!B420&lt;&gt;"",ISNUMBER(PROCESSOS!D420),OR(FiltroResp="TODOS",FiltroResp="",PROCESSOS!H420=FiltroResp)),PROCESSOS!D420+ROW()/1000000,"")</f>
        <v/>
      </c>
    </row>
    <row r="421">
      <c r="BF421" t="str">
        <f>IF(AND(OR(PROCESSOS!P421="NO PRAZO",PROCESSOS!P421="VENCE EM BREVE"),OR(FiltroResp="TODOS",FiltroResp="",PROCESSOS!H421=FiltroResp)),PROCESSOS!N421+ROW()/1000000,"")</f>
        <v/>
      </c>
      <c r="BG421" t="str">
        <f>IF(AND(PROCESSOS!B421&lt;&gt;"",ISNUMBER(PROCESSOS!D421),OR(FiltroResp="TODOS",FiltroResp="",PROCESSOS!H421=FiltroResp)),PROCESSOS!D421+ROW()/1000000,"")</f>
        <v/>
      </c>
    </row>
    <row r="422">
      <c r="BF422" t="str">
        <f>IF(AND(OR(PROCESSOS!P422="NO PRAZO",PROCESSOS!P422="VENCE EM BREVE"),OR(FiltroResp="TODOS",FiltroResp="",PROCESSOS!H422=FiltroResp)),PROCESSOS!N422+ROW()/1000000,"")</f>
        <v/>
      </c>
      <c r="BG422" t="str">
        <f>IF(AND(PROCESSOS!B422&lt;&gt;"",ISNUMBER(PROCESSOS!D422),OR(FiltroResp="TODOS",FiltroResp="",PROCESSOS!H422=FiltroResp)),PROCESSOS!D422+ROW()/1000000,"")</f>
        <v/>
      </c>
    </row>
    <row r="423">
      <c r="BF423" t="str">
        <f>IF(AND(OR(PROCESSOS!P423="NO PRAZO",PROCESSOS!P423="VENCE EM BREVE"),OR(FiltroResp="TODOS",FiltroResp="",PROCESSOS!H423=FiltroResp)),PROCESSOS!N423+ROW()/1000000,"")</f>
        <v/>
      </c>
      <c r="BG423" t="str">
        <f>IF(AND(PROCESSOS!B423&lt;&gt;"",ISNUMBER(PROCESSOS!D423),OR(FiltroResp="TODOS",FiltroResp="",PROCESSOS!H423=FiltroResp)),PROCESSOS!D423+ROW()/1000000,"")</f>
        <v/>
      </c>
    </row>
    <row r="424">
      <c r="BF424" t="str">
        <f>IF(AND(OR(PROCESSOS!P424="NO PRAZO",PROCESSOS!P424="VENCE EM BREVE"),OR(FiltroResp="TODOS",FiltroResp="",PROCESSOS!H424=FiltroResp)),PROCESSOS!N424+ROW()/1000000,"")</f>
        <v/>
      </c>
      <c r="BG424" t="str">
        <f>IF(AND(PROCESSOS!B424&lt;&gt;"",ISNUMBER(PROCESSOS!D424),OR(FiltroResp="TODOS",FiltroResp="",PROCESSOS!H424=FiltroResp)),PROCESSOS!D424+ROW()/1000000,"")</f>
        <v/>
      </c>
    </row>
    <row r="425">
      <c r="BF425" t="str">
        <f>IF(AND(OR(PROCESSOS!P425="NO PRAZO",PROCESSOS!P425="VENCE EM BREVE"),OR(FiltroResp="TODOS",FiltroResp="",PROCESSOS!H425=FiltroResp)),PROCESSOS!N425+ROW()/1000000,"")</f>
        <v/>
      </c>
      <c r="BG425" t="str">
        <f>IF(AND(PROCESSOS!B425&lt;&gt;"",ISNUMBER(PROCESSOS!D425),OR(FiltroResp="TODOS",FiltroResp="",PROCESSOS!H425=FiltroResp)),PROCESSOS!D425+ROW()/1000000,"")</f>
        <v/>
      </c>
    </row>
    <row r="426">
      <c r="BF426" t="str">
        <f>IF(AND(OR(PROCESSOS!P426="NO PRAZO",PROCESSOS!P426="VENCE EM BREVE"),OR(FiltroResp="TODOS",FiltroResp="",PROCESSOS!H426=FiltroResp)),PROCESSOS!N426+ROW()/1000000,"")</f>
        <v/>
      </c>
      <c r="BG426" t="str">
        <f>IF(AND(PROCESSOS!B426&lt;&gt;"",ISNUMBER(PROCESSOS!D426),OR(FiltroResp="TODOS",FiltroResp="",PROCESSOS!H426=FiltroResp)),PROCESSOS!D426+ROW()/1000000,"")</f>
        <v/>
      </c>
    </row>
    <row r="427">
      <c r="BF427" t="str">
        <f>IF(AND(OR(PROCESSOS!P427="NO PRAZO",PROCESSOS!P427="VENCE EM BREVE"),OR(FiltroResp="TODOS",FiltroResp="",PROCESSOS!H427=FiltroResp)),PROCESSOS!N427+ROW()/1000000,"")</f>
        <v/>
      </c>
      <c r="BG427" t="str">
        <f>IF(AND(PROCESSOS!B427&lt;&gt;"",ISNUMBER(PROCESSOS!D427),OR(FiltroResp="TODOS",FiltroResp="",PROCESSOS!H427=FiltroResp)),PROCESSOS!D427+ROW()/1000000,"")</f>
        <v/>
      </c>
    </row>
    <row r="428">
      <c r="BF428" t="str">
        <f>IF(AND(OR(PROCESSOS!P428="NO PRAZO",PROCESSOS!P428="VENCE EM BREVE"),OR(FiltroResp="TODOS",FiltroResp="",PROCESSOS!H428=FiltroResp)),PROCESSOS!N428+ROW()/1000000,"")</f>
        <v/>
      </c>
      <c r="BG428" t="str">
        <f>IF(AND(PROCESSOS!B428&lt;&gt;"",ISNUMBER(PROCESSOS!D428),OR(FiltroResp="TODOS",FiltroResp="",PROCESSOS!H428=FiltroResp)),PROCESSOS!D428+ROW()/1000000,"")</f>
        <v/>
      </c>
    </row>
    <row r="429">
      <c r="BF429" t="str">
        <f>IF(AND(OR(PROCESSOS!P429="NO PRAZO",PROCESSOS!P429="VENCE EM BREVE"),OR(FiltroResp="TODOS",FiltroResp="",PROCESSOS!H429=FiltroResp)),PROCESSOS!N429+ROW()/1000000,"")</f>
        <v/>
      </c>
      <c r="BG429" t="str">
        <f>IF(AND(PROCESSOS!B429&lt;&gt;"",ISNUMBER(PROCESSOS!D429),OR(FiltroResp="TODOS",FiltroResp="",PROCESSOS!H429=FiltroResp)),PROCESSOS!D429+ROW()/1000000,"")</f>
        <v/>
      </c>
    </row>
    <row r="430">
      <c r="BF430" t="str">
        <f>IF(AND(OR(PROCESSOS!P430="NO PRAZO",PROCESSOS!P430="VENCE EM BREVE"),OR(FiltroResp="TODOS",FiltroResp="",PROCESSOS!H430=FiltroResp)),PROCESSOS!N430+ROW()/1000000,"")</f>
        <v/>
      </c>
      <c r="BG430" t="str">
        <f>IF(AND(PROCESSOS!B430&lt;&gt;"",ISNUMBER(PROCESSOS!D430),OR(FiltroResp="TODOS",FiltroResp="",PROCESSOS!H430=FiltroResp)),PROCESSOS!D430+ROW()/1000000,"")</f>
        <v/>
      </c>
    </row>
    <row r="431">
      <c r="BF431" t="str">
        <f>IF(AND(OR(PROCESSOS!P431="NO PRAZO",PROCESSOS!P431="VENCE EM BREVE"),OR(FiltroResp="TODOS",FiltroResp="",PROCESSOS!H431=FiltroResp)),PROCESSOS!N431+ROW()/1000000,"")</f>
        <v/>
      </c>
      <c r="BG431" t="str">
        <f>IF(AND(PROCESSOS!B431&lt;&gt;"",ISNUMBER(PROCESSOS!D431),OR(FiltroResp="TODOS",FiltroResp="",PROCESSOS!H431=FiltroResp)),PROCESSOS!D431+ROW()/1000000,"")</f>
        <v/>
      </c>
    </row>
    <row r="432">
      <c r="BF432" t="str">
        <f>IF(AND(OR(PROCESSOS!P432="NO PRAZO",PROCESSOS!P432="VENCE EM BREVE"),OR(FiltroResp="TODOS",FiltroResp="",PROCESSOS!H432=FiltroResp)),PROCESSOS!N432+ROW()/1000000,"")</f>
        <v/>
      </c>
      <c r="BG432" t="str">
        <f>IF(AND(PROCESSOS!B432&lt;&gt;"",ISNUMBER(PROCESSOS!D432),OR(FiltroResp="TODOS",FiltroResp="",PROCESSOS!H432=FiltroResp)),PROCESSOS!D432+ROW()/1000000,"")</f>
        <v/>
      </c>
    </row>
    <row r="433">
      <c r="BF433" t="str">
        <f>IF(AND(OR(PROCESSOS!P433="NO PRAZO",PROCESSOS!P433="VENCE EM BREVE"),OR(FiltroResp="TODOS",FiltroResp="",PROCESSOS!H433=FiltroResp)),PROCESSOS!N433+ROW()/1000000,"")</f>
        <v/>
      </c>
      <c r="BG433" t="str">
        <f>IF(AND(PROCESSOS!B433&lt;&gt;"",ISNUMBER(PROCESSOS!D433),OR(FiltroResp="TODOS",FiltroResp="",PROCESSOS!H433=FiltroResp)),PROCESSOS!D433+ROW()/1000000,"")</f>
        <v/>
      </c>
    </row>
    <row r="434">
      <c r="BF434" t="str">
        <f>IF(AND(OR(PROCESSOS!P434="NO PRAZO",PROCESSOS!P434="VENCE EM BREVE"),OR(FiltroResp="TODOS",FiltroResp="",PROCESSOS!H434=FiltroResp)),PROCESSOS!N434+ROW()/1000000,"")</f>
        <v/>
      </c>
      <c r="BG434" t="str">
        <f>IF(AND(PROCESSOS!B434&lt;&gt;"",ISNUMBER(PROCESSOS!D434),OR(FiltroResp="TODOS",FiltroResp="",PROCESSOS!H434=FiltroResp)),PROCESSOS!D434+ROW()/1000000,"")</f>
        <v/>
      </c>
    </row>
    <row r="435">
      <c r="BF435" t="str">
        <f>IF(AND(OR(PROCESSOS!P435="NO PRAZO",PROCESSOS!P435="VENCE EM BREVE"),OR(FiltroResp="TODOS",FiltroResp="",PROCESSOS!H435=FiltroResp)),PROCESSOS!N435+ROW()/1000000,"")</f>
        <v/>
      </c>
      <c r="BG435" t="str">
        <f>IF(AND(PROCESSOS!B435&lt;&gt;"",ISNUMBER(PROCESSOS!D435),OR(FiltroResp="TODOS",FiltroResp="",PROCESSOS!H435=FiltroResp)),PROCESSOS!D435+ROW()/1000000,"")</f>
        <v/>
      </c>
    </row>
    <row r="436">
      <c r="BF436" t="str">
        <f>IF(AND(OR(PROCESSOS!P436="NO PRAZO",PROCESSOS!P436="VENCE EM BREVE"),OR(FiltroResp="TODOS",FiltroResp="",PROCESSOS!H436=FiltroResp)),PROCESSOS!N436+ROW()/1000000,"")</f>
        <v/>
      </c>
      <c r="BG436" t="str">
        <f>IF(AND(PROCESSOS!B436&lt;&gt;"",ISNUMBER(PROCESSOS!D436),OR(FiltroResp="TODOS",FiltroResp="",PROCESSOS!H436=FiltroResp)),PROCESSOS!D436+ROW()/1000000,"")</f>
        <v/>
      </c>
    </row>
    <row r="437">
      <c r="BF437" t="str">
        <f>IF(AND(OR(PROCESSOS!P437="NO PRAZO",PROCESSOS!P437="VENCE EM BREVE"),OR(FiltroResp="TODOS",FiltroResp="",PROCESSOS!H437=FiltroResp)),PROCESSOS!N437+ROW()/1000000,"")</f>
        <v/>
      </c>
      <c r="BG437" t="str">
        <f>IF(AND(PROCESSOS!B437&lt;&gt;"",ISNUMBER(PROCESSOS!D437),OR(FiltroResp="TODOS",FiltroResp="",PROCESSOS!H437=FiltroResp)),PROCESSOS!D437+ROW()/1000000,"")</f>
        <v/>
      </c>
    </row>
    <row r="438">
      <c r="BF438" t="str">
        <f>IF(AND(OR(PROCESSOS!P438="NO PRAZO",PROCESSOS!P438="VENCE EM BREVE"),OR(FiltroResp="TODOS",FiltroResp="",PROCESSOS!H438=FiltroResp)),PROCESSOS!N438+ROW()/1000000,"")</f>
        <v/>
      </c>
      <c r="BG438" t="str">
        <f>IF(AND(PROCESSOS!B438&lt;&gt;"",ISNUMBER(PROCESSOS!D438),OR(FiltroResp="TODOS",FiltroResp="",PROCESSOS!H438=FiltroResp)),PROCESSOS!D438+ROW()/1000000,"")</f>
        <v/>
      </c>
    </row>
    <row r="439">
      <c r="BF439" t="str">
        <f>IF(AND(OR(PROCESSOS!P439="NO PRAZO",PROCESSOS!P439="VENCE EM BREVE"),OR(FiltroResp="TODOS",FiltroResp="",PROCESSOS!H439=FiltroResp)),PROCESSOS!N439+ROW()/1000000,"")</f>
        <v/>
      </c>
      <c r="BG439" t="str">
        <f>IF(AND(PROCESSOS!B439&lt;&gt;"",ISNUMBER(PROCESSOS!D439),OR(FiltroResp="TODOS",FiltroResp="",PROCESSOS!H439=FiltroResp)),PROCESSOS!D439+ROW()/1000000,"")</f>
        <v/>
      </c>
    </row>
    <row r="440">
      <c r="BF440" t="str">
        <f>IF(AND(OR(PROCESSOS!P440="NO PRAZO",PROCESSOS!P440="VENCE EM BREVE"),OR(FiltroResp="TODOS",FiltroResp="",PROCESSOS!H440=FiltroResp)),PROCESSOS!N440+ROW()/1000000,"")</f>
        <v/>
      </c>
      <c r="BG440" t="str">
        <f>IF(AND(PROCESSOS!B440&lt;&gt;"",ISNUMBER(PROCESSOS!D440),OR(FiltroResp="TODOS",FiltroResp="",PROCESSOS!H440=FiltroResp)),PROCESSOS!D440+ROW()/1000000,"")</f>
        <v/>
      </c>
    </row>
    <row r="441">
      <c r="BF441" t="str">
        <f>IF(AND(OR(PROCESSOS!P441="NO PRAZO",PROCESSOS!P441="VENCE EM BREVE"),OR(FiltroResp="TODOS",FiltroResp="",PROCESSOS!H441=FiltroResp)),PROCESSOS!N441+ROW()/1000000,"")</f>
        <v/>
      </c>
      <c r="BG441" t="str">
        <f>IF(AND(PROCESSOS!B441&lt;&gt;"",ISNUMBER(PROCESSOS!D441),OR(FiltroResp="TODOS",FiltroResp="",PROCESSOS!H441=FiltroResp)),PROCESSOS!D441+ROW()/1000000,"")</f>
        <v/>
      </c>
    </row>
    <row r="442">
      <c r="BF442" t="str">
        <f>IF(AND(OR(PROCESSOS!P442="NO PRAZO",PROCESSOS!P442="VENCE EM BREVE"),OR(FiltroResp="TODOS",FiltroResp="",PROCESSOS!H442=FiltroResp)),PROCESSOS!N442+ROW()/1000000,"")</f>
        <v/>
      </c>
      <c r="BG442" t="str">
        <f>IF(AND(PROCESSOS!B442&lt;&gt;"",ISNUMBER(PROCESSOS!D442),OR(FiltroResp="TODOS",FiltroResp="",PROCESSOS!H442=FiltroResp)),PROCESSOS!D442+ROW()/1000000,"")</f>
        <v/>
      </c>
    </row>
    <row r="443">
      <c r="BF443" t="str">
        <f>IF(AND(OR(PROCESSOS!P443="NO PRAZO",PROCESSOS!P443="VENCE EM BREVE"),OR(FiltroResp="TODOS",FiltroResp="",PROCESSOS!H443=FiltroResp)),PROCESSOS!N443+ROW()/1000000,"")</f>
        <v/>
      </c>
      <c r="BG443" t="str">
        <f>IF(AND(PROCESSOS!B443&lt;&gt;"",ISNUMBER(PROCESSOS!D443),OR(FiltroResp="TODOS",FiltroResp="",PROCESSOS!H443=FiltroResp)),PROCESSOS!D443+ROW()/1000000,"")</f>
        <v/>
      </c>
    </row>
    <row r="444">
      <c r="BF444" t="str">
        <f>IF(AND(OR(PROCESSOS!P444="NO PRAZO",PROCESSOS!P444="VENCE EM BREVE"),OR(FiltroResp="TODOS",FiltroResp="",PROCESSOS!H444=FiltroResp)),PROCESSOS!N444+ROW()/1000000,"")</f>
        <v/>
      </c>
      <c r="BG444" t="str">
        <f>IF(AND(PROCESSOS!B444&lt;&gt;"",ISNUMBER(PROCESSOS!D444),OR(FiltroResp="TODOS",FiltroResp="",PROCESSOS!H444=FiltroResp)),PROCESSOS!D444+ROW()/1000000,"")</f>
        <v/>
      </c>
    </row>
    <row r="445">
      <c r="BF445" t="str">
        <f>IF(AND(OR(PROCESSOS!P445="NO PRAZO",PROCESSOS!P445="VENCE EM BREVE"),OR(FiltroResp="TODOS",FiltroResp="",PROCESSOS!H445=FiltroResp)),PROCESSOS!N445+ROW()/1000000,"")</f>
        <v/>
      </c>
      <c r="BG445" t="str">
        <f>IF(AND(PROCESSOS!B445&lt;&gt;"",ISNUMBER(PROCESSOS!D445),OR(FiltroResp="TODOS",FiltroResp="",PROCESSOS!H445=FiltroResp)),PROCESSOS!D445+ROW()/1000000,"")</f>
        <v/>
      </c>
    </row>
    <row r="446">
      <c r="BF446" t="str">
        <f>IF(AND(OR(PROCESSOS!P446="NO PRAZO",PROCESSOS!P446="VENCE EM BREVE"),OR(FiltroResp="TODOS",FiltroResp="",PROCESSOS!H446=FiltroResp)),PROCESSOS!N446+ROW()/1000000,"")</f>
        <v/>
      </c>
      <c r="BG446" t="str">
        <f>IF(AND(PROCESSOS!B446&lt;&gt;"",ISNUMBER(PROCESSOS!D446),OR(FiltroResp="TODOS",FiltroResp="",PROCESSOS!H446=FiltroResp)),PROCESSOS!D446+ROW()/1000000,"")</f>
        <v/>
      </c>
    </row>
    <row r="447">
      <c r="BF447" t="str">
        <f>IF(AND(OR(PROCESSOS!P447="NO PRAZO",PROCESSOS!P447="VENCE EM BREVE"),OR(FiltroResp="TODOS",FiltroResp="",PROCESSOS!H447=FiltroResp)),PROCESSOS!N447+ROW()/1000000,"")</f>
        <v/>
      </c>
      <c r="BG447" t="str">
        <f>IF(AND(PROCESSOS!B447&lt;&gt;"",ISNUMBER(PROCESSOS!D447),OR(FiltroResp="TODOS",FiltroResp="",PROCESSOS!H447=FiltroResp)),PROCESSOS!D447+ROW()/1000000,"")</f>
        <v/>
      </c>
    </row>
    <row r="448">
      <c r="BF448" t="str">
        <f>IF(AND(OR(PROCESSOS!P448="NO PRAZO",PROCESSOS!P448="VENCE EM BREVE"),OR(FiltroResp="TODOS",FiltroResp="",PROCESSOS!H448=FiltroResp)),PROCESSOS!N448+ROW()/1000000,"")</f>
        <v/>
      </c>
      <c r="BG448" t="str">
        <f>IF(AND(PROCESSOS!B448&lt;&gt;"",ISNUMBER(PROCESSOS!D448),OR(FiltroResp="TODOS",FiltroResp="",PROCESSOS!H448=FiltroResp)),PROCESSOS!D448+ROW()/1000000,"")</f>
        <v/>
      </c>
    </row>
    <row r="449">
      <c r="BF449" t="str">
        <f>IF(AND(OR(PROCESSOS!P449="NO PRAZO",PROCESSOS!P449="VENCE EM BREVE"),OR(FiltroResp="TODOS",FiltroResp="",PROCESSOS!H449=FiltroResp)),PROCESSOS!N449+ROW()/1000000,"")</f>
        <v/>
      </c>
      <c r="BG449" t="str">
        <f>IF(AND(PROCESSOS!B449&lt;&gt;"",ISNUMBER(PROCESSOS!D449),OR(FiltroResp="TODOS",FiltroResp="",PROCESSOS!H449=FiltroResp)),PROCESSOS!D449+ROW()/1000000,"")</f>
        <v/>
      </c>
    </row>
    <row r="450">
      <c r="BF450" t="str">
        <f>IF(AND(OR(PROCESSOS!P450="NO PRAZO",PROCESSOS!P450="VENCE EM BREVE"),OR(FiltroResp="TODOS",FiltroResp="",PROCESSOS!H450=FiltroResp)),PROCESSOS!N450+ROW()/1000000,"")</f>
        <v/>
      </c>
      <c r="BG450" t="str">
        <f>IF(AND(PROCESSOS!B450&lt;&gt;"",ISNUMBER(PROCESSOS!D450),OR(FiltroResp="TODOS",FiltroResp="",PROCESSOS!H450=FiltroResp)),PROCESSOS!D450+ROW()/1000000,"")</f>
        <v/>
      </c>
    </row>
    <row r="451">
      <c r="BF451" t="str">
        <f>IF(AND(OR(PROCESSOS!P451="NO PRAZO",PROCESSOS!P451="VENCE EM BREVE"),OR(FiltroResp="TODOS",FiltroResp="",PROCESSOS!H451=FiltroResp)),PROCESSOS!N451+ROW()/1000000,"")</f>
        <v/>
      </c>
      <c r="BG451" t="str">
        <f>IF(AND(PROCESSOS!B451&lt;&gt;"",ISNUMBER(PROCESSOS!D451),OR(FiltroResp="TODOS",FiltroResp="",PROCESSOS!H451=FiltroResp)),PROCESSOS!D451+ROW()/1000000,"")</f>
        <v/>
      </c>
    </row>
    <row r="452">
      <c r="BF452" t="str">
        <f>IF(AND(OR(PROCESSOS!P452="NO PRAZO",PROCESSOS!P452="VENCE EM BREVE"),OR(FiltroResp="TODOS",FiltroResp="",PROCESSOS!H452=FiltroResp)),PROCESSOS!N452+ROW()/1000000,"")</f>
        <v/>
      </c>
      <c r="BG452" t="str">
        <f>IF(AND(PROCESSOS!B452&lt;&gt;"",ISNUMBER(PROCESSOS!D452),OR(FiltroResp="TODOS",FiltroResp="",PROCESSOS!H452=FiltroResp)),PROCESSOS!D452+ROW()/1000000,"")</f>
        <v/>
      </c>
    </row>
    <row r="453">
      <c r="BF453" t="str">
        <f>IF(AND(OR(PROCESSOS!P453="NO PRAZO",PROCESSOS!P453="VENCE EM BREVE"),OR(FiltroResp="TODOS",FiltroResp="",PROCESSOS!H453=FiltroResp)),PROCESSOS!N453+ROW()/1000000,"")</f>
        <v/>
      </c>
      <c r="BG453" t="str">
        <f>IF(AND(PROCESSOS!B453&lt;&gt;"",ISNUMBER(PROCESSOS!D453),OR(FiltroResp="TODOS",FiltroResp="",PROCESSOS!H453=FiltroResp)),PROCESSOS!D453+ROW()/1000000,"")</f>
        <v/>
      </c>
    </row>
    <row r="454">
      <c r="BF454" t="str">
        <f>IF(AND(OR(PROCESSOS!P454="NO PRAZO",PROCESSOS!P454="VENCE EM BREVE"),OR(FiltroResp="TODOS",FiltroResp="",PROCESSOS!H454=FiltroResp)),PROCESSOS!N454+ROW()/1000000,"")</f>
        <v/>
      </c>
      <c r="BG454" t="str">
        <f>IF(AND(PROCESSOS!B454&lt;&gt;"",ISNUMBER(PROCESSOS!D454),OR(FiltroResp="TODOS",FiltroResp="",PROCESSOS!H454=FiltroResp)),PROCESSOS!D454+ROW()/1000000,"")</f>
        <v/>
      </c>
    </row>
    <row r="455">
      <c r="BF455" t="str">
        <f>IF(AND(OR(PROCESSOS!P455="NO PRAZO",PROCESSOS!P455="VENCE EM BREVE"),OR(FiltroResp="TODOS",FiltroResp="",PROCESSOS!H455=FiltroResp)),PROCESSOS!N455+ROW()/1000000,"")</f>
        <v/>
      </c>
      <c r="BG455" t="str">
        <f>IF(AND(PROCESSOS!B455&lt;&gt;"",ISNUMBER(PROCESSOS!D455),OR(FiltroResp="TODOS",FiltroResp="",PROCESSOS!H455=FiltroResp)),PROCESSOS!D455+ROW()/1000000,"")</f>
        <v/>
      </c>
    </row>
    <row r="456">
      <c r="BF456" t="str">
        <f>IF(AND(OR(PROCESSOS!P456="NO PRAZO",PROCESSOS!P456="VENCE EM BREVE"),OR(FiltroResp="TODOS",FiltroResp="",PROCESSOS!H456=FiltroResp)),PROCESSOS!N456+ROW()/1000000,"")</f>
        <v/>
      </c>
      <c r="BG456" t="str">
        <f>IF(AND(PROCESSOS!B456&lt;&gt;"",ISNUMBER(PROCESSOS!D456),OR(FiltroResp="TODOS",FiltroResp="",PROCESSOS!H456=FiltroResp)),PROCESSOS!D456+ROW()/1000000,"")</f>
        <v/>
      </c>
    </row>
    <row r="457">
      <c r="BF457" t="str">
        <f>IF(AND(OR(PROCESSOS!P457="NO PRAZO",PROCESSOS!P457="VENCE EM BREVE"),OR(FiltroResp="TODOS",FiltroResp="",PROCESSOS!H457=FiltroResp)),PROCESSOS!N457+ROW()/1000000,"")</f>
        <v/>
      </c>
      <c r="BG457" t="str">
        <f>IF(AND(PROCESSOS!B457&lt;&gt;"",ISNUMBER(PROCESSOS!D457),OR(FiltroResp="TODOS",FiltroResp="",PROCESSOS!H457=FiltroResp)),PROCESSOS!D457+ROW()/1000000,"")</f>
        <v/>
      </c>
    </row>
    <row r="458">
      <c r="BF458" t="str">
        <f>IF(AND(OR(PROCESSOS!P458="NO PRAZO",PROCESSOS!P458="VENCE EM BREVE"),OR(FiltroResp="TODOS",FiltroResp="",PROCESSOS!H458=FiltroResp)),PROCESSOS!N458+ROW()/1000000,"")</f>
        <v/>
      </c>
      <c r="BG458" t="str">
        <f>IF(AND(PROCESSOS!B458&lt;&gt;"",ISNUMBER(PROCESSOS!D458),OR(FiltroResp="TODOS",FiltroResp="",PROCESSOS!H458=FiltroResp)),PROCESSOS!D458+ROW()/1000000,"")</f>
        <v/>
      </c>
    </row>
    <row r="459">
      <c r="BF459" t="str">
        <f>IF(AND(OR(PROCESSOS!P459="NO PRAZO",PROCESSOS!P459="VENCE EM BREVE"),OR(FiltroResp="TODOS",FiltroResp="",PROCESSOS!H459=FiltroResp)),PROCESSOS!N459+ROW()/1000000,"")</f>
        <v/>
      </c>
      <c r="BG459" t="str">
        <f>IF(AND(PROCESSOS!B459&lt;&gt;"",ISNUMBER(PROCESSOS!D459),OR(FiltroResp="TODOS",FiltroResp="",PROCESSOS!H459=FiltroResp)),PROCESSOS!D459+ROW()/1000000,"")</f>
        <v/>
      </c>
    </row>
    <row r="460">
      <c r="BF460" t="str">
        <f>IF(AND(OR(PROCESSOS!P460="NO PRAZO",PROCESSOS!P460="VENCE EM BREVE"),OR(FiltroResp="TODOS",FiltroResp="",PROCESSOS!H460=FiltroResp)),PROCESSOS!N460+ROW()/1000000,"")</f>
        <v/>
      </c>
      <c r="BG460" t="str">
        <f>IF(AND(PROCESSOS!B460&lt;&gt;"",ISNUMBER(PROCESSOS!D460),OR(FiltroResp="TODOS",FiltroResp="",PROCESSOS!H460=FiltroResp)),PROCESSOS!D460+ROW()/1000000,"")</f>
        <v/>
      </c>
    </row>
    <row r="461">
      <c r="BF461" t="str">
        <f>IF(AND(OR(PROCESSOS!P461="NO PRAZO",PROCESSOS!P461="VENCE EM BREVE"),OR(FiltroResp="TODOS",FiltroResp="",PROCESSOS!H461=FiltroResp)),PROCESSOS!N461+ROW()/1000000,"")</f>
        <v/>
      </c>
      <c r="BG461" t="str">
        <f>IF(AND(PROCESSOS!B461&lt;&gt;"",ISNUMBER(PROCESSOS!D461),OR(FiltroResp="TODOS",FiltroResp="",PROCESSOS!H461=FiltroResp)),PROCESSOS!D461+ROW()/1000000,"")</f>
        <v/>
      </c>
    </row>
    <row r="462">
      <c r="BF462" t="str">
        <f>IF(AND(OR(PROCESSOS!P462="NO PRAZO",PROCESSOS!P462="VENCE EM BREVE"),OR(FiltroResp="TODOS",FiltroResp="",PROCESSOS!H462=FiltroResp)),PROCESSOS!N462+ROW()/1000000,"")</f>
        <v/>
      </c>
      <c r="BG462" t="str">
        <f>IF(AND(PROCESSOS!B462&lt;&gt;"",ISNUMBER(PROCESSOS!D462),OR(FiltroResp="TODOS",FiltroResp="",PROCESSOS!H462=FiltroResp)),PROCESSOS!D462+ROW()/1000000,"")</f>
        <v/>
      </c>
    </row>
    <row r="463">
      <c r="BF463" t="str">
        <f>IF(AND(OR(PROCESSOS!P463="NO PRAZO",PROCESSOS!P463="VENCE EM BREVE"),OR(FiltroResp="TODOS",FiltroResp="",PROCESSOS!H463=FiltroResp)),PROCESSOS!N463+ROW()/1000000,"")</f>
        <v/>
      </c>
      <c r="BG463" t="str">
        <f>IF(AND(PROCESSOS!B463&lt;&gt;"",ISNUMBER(PROCESSOS!D463),OR(FiltroResp="TODOS",FiltroResp="",PROCESSOS!H463=FiltroResp)),PROCESSOS!D463+ROW()/1000000,"")</f>
        <v/>
      </c>
    </row>
    <row r="464">
      <c r="BF464" t="str">
        <f>IF(AND(OR(PROCESSOS!P464="NO PRAZO",PROCESSOS!P464="VENCE EM BREVE"),OR(FiltroResp="TODOS",FiltroResp="",PROCESSOS!H464=FiltroResp)),PROCESSOS!N464+ROW()/1000000,"")</f>
        <v/>
      </c>
      <c r="BG464" t="str">
        <f>IF(AND(PROCESSOS!B464&lt;&gt;"",ISNUMBER(PROCESSOS!D464),OR(FiltroResp="TODOS",FiltroResp="",PROCESSOS!H464=FiltroResp)),PROCESSOS!D464+ROW()/1000000,"")</f>
        <v/>
      </c>
    </row>
    <row r="465">
      <c r="BF465" t="str">
        <f>IF(AND(OR(PROCESSOS!P465="NO PRAZO",PROCESSOS!P465="VENCE EM BREVE"),OR(FiltroResp="TODOS",FiltroResp="",PROCESSOS!H465=FiltroResp)),PROCESSOS!N465+ROW()/1000000,"")</f>
        <v/>
      </c>
      <c r="BG465" t="str">
        <f>IF(AND(PROCESSOS!B465&lt;&gt;"",ISNUMBER(PROCESSOS!D465),OR(FiltroResp="TODOS",FiltroResp="",PROCESSOS!H465=FiltroResp)),PROCESSOS!D465+ROW()/1000000,"")</f>
        <v/>
      </c>
    </row>
    <row r="466">
      <c r="BF466" t="str">
        <f>IF(AND(OR(PROCESSOS!P466="NO PRAZO",PROCESSOS!P466="VENCE EM BREVE"),OR(FiltroResp="TODOS",FiltroResp="",PROCESSOS!H466=FiltroResp)),PROCESSOS!N466+ROW()/1000000,"")</f>
        <v/>
      </c>
      <c r="BG466" t="str">
        <f>IF(AND(PROCESSOS!B466&lt;&gt;"",ISNUMBER(PROCESSOS!D466),OR(FiltroResp="TODOS",FiltroResp="",PROCESSOS!H466=FiltroResp)),PROCESSOS!D466+ROW()/1000000,"")</f>
        <v/>
      </c>
    </row>
    <row r="467">
      <c r="BF467" t="str">
        <f>IF(AND(OR(PROCESSOS!P467="NO PRAZO",PROCESSOS!P467="VENCE EM BREVE"),OR(FiltroResp="TODOS",FiltroResp="",PROCESSOS!H467=FiltroResp)),PROCESSOS!N467+ROW()/1000000,"")</f>
        <v/>
      </c>
      <c r="BG467" t="str">
        <f>IF(AND(PROCESSOS!B467&lt;&gt;"",ISNUMBER(PROCESSOS!D467),OR(FiltroResp="TODOS",FiltroResp="",PROCESSOS!H467=FiltroResp)),PROCESSOS!D467+ROW()/1000000,"")</f>
        <v/>
      </c>
    </row>
    <row r="468">
      <c r="BF468" t="str">
        <f>IF(AND(OR(PROCESSOS!P468="NO PRAZO",PROCESSOS!P468="VENCE EM BREVE"),OR(FiltroResp="TODOS",FiltroResp="",PROCESSOS!H468=FiltroResp)),PROCESSOS!N468+ROW()/1000000,"")</f>
        <v/>
      </c>
      <c r="BG468" t="str">
        <f>IF(AND(PROCESSOS!B468&lt;&gt;"",ISNUMBER(PROCESSOS!D468),OR(FiltroResp="TODOS",FiltroResp="",PROCESSOS!H468=FiltroResp)),PROCESSOS!D468+ROW()/1000000,"")</f>
        <v/>
      </c>
    </row>
    <row r="469">
      <c r="BF469" t="str">
        <f>IF(AND(OR(PROCESSOS!P469="NO PRAZO",PROCESSOS!P469="VENCE EM BREVE"),OR(FiltroResp="TODOS",FiltroResp="",PROCESSOS!H469=FiltroResp)),PROCESSOS!N469+ROW()/1000000,"")</f>
        <v/>
      </c>
      <c r="BG469" t="str">
        <f>IF(AND(PROCESSOS!B469&lt;&gt;"",ISNUMBER(PROCESSOS!D469),OR(FiltroResp="TODOS",FiltroResp="",PROCESSOS!H469=FiltroResp)),PROCESSOS!D469+ROW()/1000000,"")</f>
        <v/>
      </c>
    </row>
    <row r="470">
      <c r="BF470" t="str">
        <f>IF(AND(OR(PROCESSOS!P470="NO PRAZO",PROCESSOS!P470="VENCE EM BREVE"),OR(FiltroResp="TODOS",FiltroResp="",PROCESSOS!H470=FiltroResp)),PROCESSOS!N470+ROW()/1000000,"")</f>
        <v/>
      </c>
      <c r="BG470" t="str">
        <f>IF(AND(PROCESSOS!B470&lt;&gt;"",ISNUMBER(PROCESSOS!D470),OR(FiltroResp="TODOS",FiltroResp="",PROCESSOS!H470=FiltroResp)),PROCESSOS!D470+ROW()/1000000,"")</f>
        <v/>
      </c>
    </row>
    <row r="471">
      <c r="BF471" t="str">
        <f>IF(AND(OR(PROCESSOS!P471="NO PRAZO",PROCESSOS!P471="VENCE EM BREVE"),OR(FiltroResp="TODOS",FiltroResp="",PROCESSOS!H471=FiltroResp)),PROCESSOS!N471+ROW()/1000000,"")</f>
        <v/>
      </c>
      <c r="BG471" t="str">
        <f>IF(AND(PROCESSOS!B471&lt;&gt;"",ISNUMBER(PROCESSOS!D471),OR(FiltroResp="TODOS",FiltroResp="",PROCESSOS!H471=FiltroResp)),PROCESSOS!D471+ROW()/1000000,"")</f>
        <v/>
      </c>
    </row>
    <row r="472">
      <c r="BF472" t="str">
        <f>IF(AND(OR(PROCESSOS!P472="NO PRAZO",PROCESSOS!P472="VENCE EM BREVE"),OR(FiltroResp="TODOS",FiltroResp="",PROCESSOS!H472=FiltroResp)),PROCESSOS!N472+ROW()/1000000,"")</f>
        <v/>
      </c>
      <c r="BG472" t="str">
        <f>IF(AND(PROCESSOS!B472&lt;&gt;"",ISNUMBER(PROCESSOS!D472),OR(FiltroResp="TODOS",FiltroResp="",PROCESSOS!H472=FiltroResp)),PROCESSOS!D472+ROW()/1000000,"")</f>
        <v/>
      </c>
    </row>
    <row r="473">
      <c r="BF473" t="str">
        <f>IF(AND(OR(PROCESSOS!P473="NO PRAZO",PROCESSOS!P473="VENCE EM BREVE"),OR(FiltroResp="TODOS",FiltroResp="",PROCESSOS!H473=FiltroResp)),PROCESSOS!N473+ROW()/1000000,"")</f>
        <v/>
      </c>
      <c r="BG473" t="str">
        <f>IF(AND(PROCESSOS!B473&lt;&gt;"",ISNUMBER(PROCESSOS!D473),OR(FiltroResp="TODOS",FiltroResp="",PROCESSOS!H473=FiltroResp)),PROCESSOS!D473+ROW()/1000000,"")</f>
        <v/>
      </c>
    </row>
    <row r="474">
      <c r="BF474" t="str">
        <f>IF(AND(OR(PROCESSOS!P474="NO PRAZO",PROCESSOS!P474="VENCE EM BREVE"),OR(FiltroResp="TODOS",FiltroResp="",PROCESSOS!H474=FiltroResp)),PROCESSOS!N474+ROW()/1000000,"")</f>
        <v/>
      </c>
      <c r="BG474" t="str">
        <f>IF(AND(PROCESSOS!B474&lt;&gt;"",ISNUMBER(PROCESSOS!D474),OR(FiltroResp="TODOS",FiltroResp="",PROCESSOS!H474=FiltroResp)),PROCESSOS!D474+ROW()/1000000,"")</f>
        <v/>
      </c>
    </row>
    <row r="475">
      <c r="BF475" t="str">
        <f>IF(AND(OR(PROCESSOS!P475="NO PRAZO",PROCESSOS!P475="VENCE EM BREVE"),OR(FiltroResp="TODOS",FiltroResp="",PROCESSOS!H475=FiltroResp)),PROCESSOS!N475+ROW()/1000000,"")</f>
        <v/>
      </c>
      <c r="BG475" t="str">
        <f>IF(AND(PROCESSOS!B475&lt;&gt;"",ISNUMBER(PROCESSOS!D475),OR(FiltroResp="TODOS",FiltroResp="",PROCESSOS!H475=FiltroResp)),PROCESSOS!D475+ROW()/1000000,"")</f>
        <v/>
      </c>
    </row>
    <row r="476">
      <c r="BF476" t="str">
        <f>IF(AND(OR(PROCESSOS!P476="NO PRAZO",PROCESSOS!P476="VENCE EM BREVE"),OR(FiltroResp="TODOS",FiltroResp="",PROCESSOS!H476=FiltroResp)),PROCESSOS!N476+ROW()/1000000,"")</f>
        <v/>
      </c>
      <c r="BG476" t="str">
        <f>IF(AND(PROCESSOS!B476&lt;&gt;"",ISNUMBER(PROCESSOS!D476),OR(FiltroResp="TODOS",FiltroResp="",PROCESSOS!H476=FiltroResp)),PROCESSOS!D476+ROW()/1000000,"")</f>
        <v/>
      </c>
    </row>
    <row r="477">
      <c r="BF477" t="str">
        <f>IF(AND(OR(PROCESSOS!P477="NO PRAZO",PROCESSOS!P477="VENCE EM BREVE"),OR(FiltroResp="TODOS",FiltroResp="",PROCESSOS!H477=FiltroResp)),PROCESSOS!N477+ROW()/1000000,"")</f>
        <v/>
      </c>
      <c r="BG477" t="str">
        <f>IF(AND(PROCESSOS!B477&lt;&gt;"",ISNUMBER(PROCESSOS!D477),OR(FiltroResp="TODOS",FiltroResp="",PROCESSOS!H477=FiltroResp)),PROCESSOS!D477+ROW()/1000000,"")</f>
        <v/>
      </c>
    </row>
    <row r="478">
      <c r="BF478" t="str">
        <f>IF(AND(OR(PROCESSOS!P478="NO PRAZO",PROCESSOS!P478="VENCE EM BREVE"),OR(FiltroResp="TODOS",FiltroResp="",PROCESSOS!H478=FiltroResp)),PROCESSOS!N478+ROW()/1000000,"")</f>
        <v/>
      </c>
      <c r="BG478" t="str">
        <f>IF(AND(PROCESSOS!B478&lt;&gt;"",ISNUMBER(PROCESSOS!D478),OR(FiltroResp="TODOS",FiltroResp="",PROCESSOS!H478=FiltroResp)),PROCESSOS!D478+ROW()/1000000,"")</f>
        <v/>
      </c>
    </row>
    <row r="479">
      <c r="BF479" t="str">
        <f>IF(AND(OR(PROCESSOS!P479="NO PRAZO",PROCESSOS!P479="VENCE EM BREVE"),OR(FiltroResp="TODOS",FiltroResp="",PROCESSOS!H479=FiltroResp)),PROCESSOS!N479+ROW()/1000000,"")</f>
        <v/>
      </c>
      <c r="BG479" t="str">
        <f>IF(AND(PROCESSOS!B479&lt;&gt;"",ISNUMBER(PROCESSOS!D479),OR(FiltroResp="TODOS",FiltroResp="",PROCESSOS!H479=FiltroResp)),PROCESSOS!D479+ROW()/1000000,"")</f>
        <v/>
      </c>
    </row>
    <row r="480">
      <c r="BF480" t="str">
        <f>IF(AND(OR(PROCESSOS!P480="NO PRAZO",PROCESSOS!P480="VENCE EM BREVE"),OR(FiltroResp="TODOS",FiltroResp="",PROCESSOS!H480=FiltroResp)),PROCESSOS!N480+ROW()/1000000,"")</f>
        <v/>
      </c>
      <c r="BG480" t="str">
        <f>IF(AND(PROCESSOS!B480&lt;&gt;"",ISNUMBER(PROCESSOS!D480),OR(FiltroResp="TODOS",FiltroResp="",PROCESSOS!H480=FiltroResp)),PROCESSOS!D480+ROW()/1000000,"")</f>
        <v/>
      </c>
    </row>
    <row r="481">
      <c r="BF481" t="str">
        <f>IF(AND(OR(PROCESSOS!P481="NO PRAZO",PROCESSOS!P481="VENCE EM BREVE"),OR(FiltroResp="TODOS",FiltroResp="",PROCESSOS!H481=FiltroResp)),PROCESSOS!N481+ROW()/1000000,"")</f>
        <v/>
      </c>
      <c r="BG481" t="str">
        <f>IF(AND(PROCESSOS!B481&lt;&gt;"",ISNUMBER(PROCESSOS!D481),OR(FiltroResp="TODOS",FiltroResp="",PROCESSOS!H481=FiltroResp)),PROCESSOS!D481+ROW()/1000000,"")</f>
        <v/>
      </c>
    </row>
    <row r="482">
      <c r="BF482" t="str">
        <f>IF(AND(OR(PROCESSOS!P482="NO PRAZO",PROCESSOS!P482="VENCE EM BREVE"),OR(FiltroResp="TODOS",FiltroResp="",PROCESSOS!H482=FiltroResp)),PROCESSOS!N482+ROW()/1000000,"")</f>
        <v/>
      </c>
      <c r="BG482" t="str">
        <f>IF(AND(PROCESSOS!B482&lt;&gt;"",ISNUMBER(PROCESSOS!D482),OR(FiltroResp="TODOS",FiltroResp="",PROCESSOS!H482=FiltroResp)),PROCESSOS!D482+ROW()/1000000,"")</f>
        <v/>
      </c>
    </row>
    <row r="483">
      <c r="BF483" t="str">
        <f>IF(AND(OR(PROCESSOS!P483="NO PRAZO",PROCESSOS!P483="VENCE EM BREVE"),OR(FiltroResp="TODOS",FiltroResp="",PROCESSOS!H483=FiltroResp)),PROCESSOS!N483+ROW()/1000000,"")</f>
        <v/>
      </c>
      <c r="BG483" t="str">
        <f>IF(AND(PROCESSOS!B483&lt;&gt;"",ISNUMBER(PROCESSOS!D483),OR(FiltroResp="TODOS",FiltroResp="",PROCESSOS!H483=FiltroResp)),PROCESSOS!D483+ROW()/1000000,"")</f>
        <v/>
      </c>
    </row>
    <row r="484">
      <c r="BF484" t="str">
        <f>IF(AND(OR(PROCESSOS!P484="NO PRAZO",PROCESSOS!P484="VENCE EM BREVE"),OR(FiltroResp="TODOS",FiltroResp="",PROCESSOS!H484=FiltroResp)),PROCESSOS!N484+ROW()/1000000,"")</f>
        <v/>
      </c>
      <c r="BG484" t="str">
        <f>IF(AND(PROCESSOS!B484&lt;&gt;"",ISNUMBER(PROCESSOS!D484),OR(FiltroResp="TODOS",FiltroResp="",PROCESSOS!H484=FiltroResp)),PROCESSOS!D484+ROW()/1000000,"")</f>
        <v/>
      </c>
    </row>
    <row r="485">
      <c r="BF485" t="str">
        <f>IF(AND(OR(PROCESSOS!P485="NO PRAZO",PROCESSOS!P485="VENCE EM BREVE"),OR(FiltroResp="TODOS",FiltroResp="",PROCESSOS!H485=FiltroResp)),PROCESSOS!N485+ROW()/1000000,"")</f>
        <v/>
      </c>
      <c r="BG485" t="str">
        <f>IF(AND(PROCESSOS!B485&lt;&gt;"",ISNUMBER(PROCESSOS!D485),OR(FiltroResp="TODOS",FiltroResp="",PROCESSOS!H485=FiltroResp)),PROCESSOS!D485+ROW()/1000000,"")</f>
        <v/>
      </c>
    </row>
    <row r="486">
      <c r="BF486" t="str">
        <f>IF(AND(OR(PROCESSOS!P486="NO PRAZO",PROCESSOS!P486="VENCE EM BREVE"),OR(FiltroResp="TODOS",FiltroResp="",PROCESSOS!H486=FiltroResp)),PROCESSOS!N486+ROW()/1000000,"")</f>
        <v/>
      </c>
      <c r="BG486" t="str">
        <f>IF(AND(PROCESSOS!B486&lt;&gt;"",ISNUMBER(PROCESSOS!D486),OR(FiltroResp="TODOS",FiltroResp="",PROCESSOS!H486=FiltroResp)),PROCESSOS!D486+ROW()/1000000,"")</f>
        <v/>
      </c>
    </row>
    <row r="487">
      <c r="BF487" t="str">
        <f>IF(AND(OR(PROCESSOS!P487="NO PRAZO",PROCESSOS!P487="VENCE EM BREVE"),OR(FiltroResp="TODOS",FiltroResp="",PROCESSOS!H487=FiltroResp)),PROCESSOS!N487+ROW()/1000000,"")</f>
        <v/>
      </c>
      <c r="BG487" t="str">
        <f>IF(AND(PROCESSOS!B487&lt;&gt;"",ISNUMBER(PROCESSOS!D487),OR(FiltroResp="TODOS",FiltroResp="",PROCESSOS!H487=FiltroResp)),PROCESSOS!D487+ROW()/1000000,"")</f>
        <v/>
      </c>
    </row>
    <row r="488">
      <c r="BF488" t="str">
        <f>IF(AND(OR(PROCESSOS!P488="NO PRAZO",PROCESSOS!P488="VENCE EM BREVE"),OR(FiltroResp="TODOS",FiltroResp="",PROCESSOS!H488=FiltroResp)),PROCESSOS!N488+ROW()/1000000,"")</f>
        <v/>
      </c>
      <c r="BG488" t="str">
        <f>IF(AND(PROCESSOS!B488&lt;&gt;"",ISNUMBER(PROCESSOS!D488),OR(FiltroResp="TODOS",FiltroResp="",PROCESSOS!H488=FiltroResp)),PROCESSOS!D488+ROW()/1000000,"")</f>
        <v/>
      </c>
    </row>
    <row r="489">
      <c r="BF489" t="str">
        <f>IF(AND(OR(PROCESSOS!P489="NO PRAZO",PROCESSOS!P489="VENCE EM BREVE"),OR(FiltroResp="TODOS",FiltroResp="",PROCESSOS!H489=FiltroResp)),PROCESSOS!N489+ROW()/1000000,"")</f>
        <v/>
      </c>
      <c r="BG489" t="str">
        <f>IF(AND(PROCESSOS!B489&lt;&gt;"",ISNUMBER(PROCESSOS!D489),OR(FiltroResp="TODOS",FiltroResp="",PROCESSOS!H489=FiltroResp)),PROCESSOS!D489+ROW()/1000000,"")</f>
        <v/>
      </c>
    </row>
    <row r="490">
      <c r="BF490" t="str">
        <f>IF(AND(OR(PROCESSOS!P490="NO PRAZO",PROCESSOS!P490="VENCE EM BREVE"),OR(FiltroResp="TODOS",FiltroResp="",PROCESSOS!H490=FiltroResp)),PROCESSOS!N490+ROW()/1000000,"")</f>
        <v/>
      </c>
      <c r="BG490" t="str">
        <f>IF(AND(PROCESSOS!B490&lt;&gt;"",ISNUMBER(PROCESSOS!D490),OR(FiltroResp="TODOS",FiltroResp="",PROCESSOS!H490=FiltroResp)),PROCESSOS!D490+ROW()/1000000,"")</f>
        <v/>
      </c>
    </row>
    <row r="491">
      <c r="BF491" t="str">
        <f>IF(AND(OR(PROCESSOS!P491="NO PRAZO",PROCESSOS!P491="VENCE EM BREVE"),OR(FiltroResp="TODOS",FiltroResp="",PROCESSOS!H491=FiltroResp)),PROCESSOS!N491+ROW()/1000000,"")</f>
        <v/>
      </c>
      <c r="BG491" t="str">
        <f>IF(AND(PROCESSOS!B491&lt;&gt;"",ISNUMBER(PROCESSOS!D491),OR(FiltroResp="TODOS",FiltroResp="",PROCESSOS!H491=FiltroResp)),PROCESSOS!D491+ROW()/1000000,"")</f>
        <v/>
      </c>
    </row>
    <row r="492">
      <c r="BF492" t="str">
        <f>IF(AND(OR(PROCESSOS!P492="NO PRAZO",PROCESSOS!P492="VENCE EM BREVE"),OR(FiltroResp="TODOS",FiltroResp="",PROCESSOS!H492=FiltroResp)),PROCESSOS!N492+ROW()/1000000,"")</f>
        <v/>
      </c>
      <c r="BG492" t="str">
        <f>IF(AND(PROCESSOS!B492&lt;&gt;"",ISNUMBER(PROCESSOS!D492),OR(FiltroResp="TODOS",FiltroResp="",PROCESSOS!H492=FiltroResp)),PROCESSOS!D492+ROW()/1000000,"")</f>
        <v/>
      </c>
    </row>
    <row r="493">
      <c r="BF493" t="str">
        <f>IF(AND(OR(PROCESSOS!P493="NO PRAZO",PROCESSOS!P493="VENCE EM BREVE"),OR(FiltroResp="TODOS",FiltroResp="",PROCESSOS!H493=FiltroResp)),PROCESSOS!N493+ROW()/1000000,"")</f>
        <v/>
      </c>
      <c r="BG493" t="str">
        <f>IF(AND(PROCESSOS!B493&lt;&gt;"",ISNUMBER(PROCESSOS!D493),OR(FiltroResp="TODOS",FiltroResp="",PROCESSOS!H493=FiltroResp)),PROCESSOS!D493+ROW()/1000000,"")</f>
        <v/>
      </c>
    </row>
    <row r="494">
      <c r="BF494" t="str">
        <f>IF(AND(OR(PROCESSOS!P494="NO PRAZO",PROCESSOS!P494="VENCE EM BREVE"),OR(FiltroResp="TODOS",FiltroResp="",PROCESSOS!H494=FiltroResp)),PROCESSOS!N494+ROW()/1000000,"")</f>
        <v/>
      </c>
      <c r="BG494" t="str">
        <f>IF(AND(PROCESSOS!B494&lt;&gt;"",ISNUMBER(PROCESSOS!D494),OR(FiltroResp="TODOS",FiltroResp="",PROCESSOS!H494=FiltroResp)),PROCESSOS!D494+ROW()/1000000,"")</f>
        <v/>
      </c>
    </row>
    <row r="495">
      <c r="BF495" t="str">
        <f>IF(AND(OR(PROCESSOS!P495="NO PRAZO",PROCESSOS!P495="VENCE EM BREVE"),OR(FiltroResp="TODOS",FiltroResp="",PROCESSOS!H495=FiltroResp)),PROCESSOS!N495+ROW()/1000000,"")</f>
        <v/>
      </c>
      <c r="BG495" t="str">
        <f>IF(AND(PROCESSOS!B495&lt;&gt;"",ISNUMBER(PROCESSOS!D495),OR(FiltroResp="TODOS",FiltroResp="",PROCESSOS!H495=FiltroResp)),PROCESSOS!D495+ROW()/1000000,"")</f>
        <v/>
      </c>
    </row>
    <row r="496">
      <c r="BF496" t="str">
        <f>IF(AND(OR(PROCESSOS!P496="NO PRAZO",PROCESSOS!P496="VENCE EM BREVE"),OR(FiltroResp="TODOS",FiltroResp="",PROCESSOS!H496=FiltroResp)),PROCESSOS!N496+ROW()/1000000,"")</f>
        <v/>
      </c>
      <c r="BG496" t="str">
        <f>IF(AND(PROCESSOS!B496&lt;&gt;"",ISNUMBER(PROCESSOS!D496),OR(FiltroResp="TODOS",FiltroResp="",PROCESSOS!H496=FiltroResp)),PROCESSOS!D496+ROW()/1000000,"")</f>
        <v/>
      </c>
    </row>
    <row r="497">
      <c r="BF497" t="str">
        <f>IF(AND(OR(PROCESSOS!P497="NO PRAZO",PROCESSOS!P497="VENCE EM BREVE"),OR(FiltroResp="TODOS",FiltroResp="",PROCESSOS!H497=FiltroResp)),PROCESSOS!N497+ROW()/1000000,"")</f>
        <v/>
      </c>
      <c r="BG497" t="str">
        <f>IF(AND(PROCESSOS!B497&lt;&gt;"",ISNUMBER(PROCESSOS!D497),OR(FiltroResp="TODOS",FiltroResp="",PROCESSOS!H497=FiltroResp)),PROCESSOS!D497+ROW()/1000000,"")</f>
        <v/>
      </c>
    </row>
    <row r="498">
      <c r="BF498" t="str">
        <f>IF(AND(OR(PROCESSOS!P498="NO PRAZO",PROCESSOS!P498="VENCE EM BREVE"),OR(FiltroResp="TODOS",FiltroResp="",PROCESSOS!H498=FiltroResp)),PROCESSOS!N498+ROW()/1000000,"")</f>
        <v/>
      </c>
      <c r="BG498" t="str">
        <f>IF(AND(PROCESSOS!B498&lt;&gt;"",ISNUMBER(PROCESSOS!D498),OR(FiltroResp="TODOS",FiltroResp="",PROCESSOS!H498=FiltroResp)),PROCESSOS!D498+ROW()/1000000,"")</f>
        <v/>
      </c>
    </row>
    <row r="499">
      <c r="BF499" t="str">
        <f>IF(AND(OR(PROCESSOS!P499="NO PRAZO",PROCESSOS!P499="VENCE EM BREVE"),OR(FiltroResp="TODOS",FiltroResp="",PROCESSOS!H499=FiltroResp)),PROCESSOS!N499+ROW()/1000000,"")</f>
        <v/>
      </c>
      <c r="BG499" t="str">
        <f>IF(AND(PROCESSOS!B499&lt;&gt;"",ISNUMBER(PROCESSOS!D499),OR(FiltroResp="TODOS",FiltroResp="",PROCESSOS!H499=FiltroResp)),PROCESSOS!D499+ROW()/1000000,"")</f>
        <v/>
      </c>
    </row>
    <row r="500">
      <c r="BF500" t="str">
        <f>IF(AND(OR(PROCESSOS!P500="NO PRAZO",PROCESSOS!P500="VENCE EM BREVE"),OR(FiltroResp="TODOS",FiltroResp="",PROCESSOS!H500=FiltroResp)),PROCESSOS!N500+ROW()/1000000,"")</f>
        <v/>
      </c>
      <c r="BG500" t="str">
        <f>IF(AND(PROCESSOS!B500&lt;&gt;"",ISNUMBER(PROCESSOS!D500),OR(FiltroResp="TODOS",FiltroResp="",PROCESSOS!H500=FiltroResp)),PROCESSOS!D500+ROW()/1000000,"")</f>
        <v/>
      </c>
    </row>
    <row r="501">
      <c r="BF501" t="str">
        <f>IF(AND(OR(PROCESSOS!P501="NO PRAZO",PROCESSOS!P501="VENCE EM BREVE"),OR(FiltroResp="TODOS",FiltroResp="",PROCESSOS!H501=FiltroResp)),PROCESSOS!N501+ROW()/1000000,"")</f>
        <v/>
      </c>
      <c r="BG501" t="str">
        <f>IF(AND(PROCESSOS!B501&lt;&gt;"",ISNUMBER(PROCESSOS!D501),OR(FiltroResp="TODOS",FiltroResp="",PROCESSOS!H501=FiltroResp)),PROCESSOS!D501+ROW()/1000000,"")</f>
        <v/>
      </c>
    </row>
    <row r="502">
      <c r="BF502" t="str">
        <f>IF(AND(OR(PROCESSOS!P502="NO PRAZO",PROCESSOS!P502="VENCE EM BREVE"),OR(FiltroResp="TODOS",FiltroResp="",PROCESSOS!H502=FiltroResp)),PROCESSOS!N502+ROW()/1000000,"")</f>
        <v/>
      </c>
      <c r="BG502" t="str">
        <f>IF(AND(PROCESSOS!B502&lt;&gt;"",ISNUMBER(PROCESSOS!D502),OR(FiltroResp="TODOS",FiltroResp="",PROCESSOS!H502=FiltroResp)),PROCESSOS!D502+ROW()/1000000,"")</f>
        <v/>
      </c>
    </row>
    <row r="503">
      <c r="BF503" t="str">
        <f>IF(AND(OR(PROCESSOS!P503="NO PRAZO",PROCESSOS!P503="VENCE EM BREVE"),OR(FiltroResp="TODOS",FiltroResp="",PROCESSOS!H503=FiltroResp)),PROCESSOS!N503+ROW()/1000000,"")</f>
        <v/>
      </c>
      <c r="BG503" t="str">
        <f>IF(AND(PROCESSOS!B503&lt;&gt;"",ISNUMBER(PROCESSOS!D503),OR(FiltroResp="TODOS",FiltroResp="",PROCESSOS!H503=FiltroResp)),PROCESSOS!D503+ROW()/1000000,"")</f>
        <v/>
      </c>
    </row>
    <row r="504">
      <c r="BF504" t="str">
        <f>IF(AND(OR(PROCESSOS!P504="NO PRAZO",PROCESSOS!P504="VENCE EM BREVE"),OR(FiltroResp="TODOS",FiltroResp="",PROCESSOS!H504=FiltroResp)),PROCESSOS!N504+ROW()/1000000,"")</f>
        <v/>
      </c>
      <c r="BG504" t="str">
        <f>IF(AND(PROCESSOS!B504&lt;&gt;"",ISNUMBER(PROCESSOS!D504),OR(FiltroResp="TODOS",FiltroResp="",PROCESSOS!H504=FiltroResp)),PROCESSOS!D504+ROW()/1000000,"")</f>
        <v/>
      </c>
    </row>
    <row r="505">
      <c r="BF505" t="str">
        <f>IF(AND(OR(PROCESSOS!P505="NO PRAZO",PROCESSOS!P505="VENCE EM BREVE"),OR(FiltroResp="TODOS",FiltroResp="",PROCESSOS!H505=FiltroResp)),PROCESSOS!N505+ROW()/1000000,"")</f>
        <v/>
      </c>
      <c r="BG505" t="str">
        <f>IF(AND(PROCESSOS!B505&lt;&gt;"",ISNUMBER(PROCESSOS!D505),OR(FiltroResp="TODOS",FiltroResp="",PROCESSOS!H505=FiltroResp)),PROCESSOS!D505+ROW()/1000000,"")</f>
        <v/>
      </c>
    </row>
    <row r="506">
      <c r="BF506" t="str">
        <f>IF(AND(OR(PROCESSOS!P506="NO PRAZO",PROCESSOS!P506="VENCE EM BREVE"),OR(FiltroResp="TODOS",FiltroResp="",PROCESSOS!H506=FiltroResp)),PROCESSOS!N506+ROW()/1000000,"")</f>
        <v/>
      </c>
      <c r="BG506" t="str">
        <f>IF(AND(PROCESSOS!B506&lt;&gt;"",ISNUMBER(PROCESSOS!D506),OR(FiltroResp="TODOS",FiltroResp="",PROCESSOS!H506=FiltroResp)),PROCESSOS!D506+ROW()/1000000,"")</f>
        <v/>
      </c>
    </row>
    <row r="507">
      <c r="BF507" t="str">
        <f>IF(AND(OR(PROCESSOS!P507="NO PRAZO",PROCESSOS!P507="VENCE EM BREVE"),OR(FiltroResp="TODOS",FiltroResp="",PROCESSOS!H507=FiltroResp)),PROCESSOS!N507+ROW()/1000000,"")</f>
        <v/>
      </c>
      <c r="BG507" t="str">
        <f>IF(AND(PROCESSOS!B507&lt;&gt;"",ISNUMBER(PROCESSOS!D507),OR(FiltroResp="TODOS",FiltroResp="",PROCESSOS!H507=FiltroResp)),PROCESSOS!D507+ROW()/1000000,"")</f>
        <v/>
      </c>
    </row>
    <row r="508">
      <c r="BF508" t="str">
        <f>IF(AND(OR(PROCESSOS!P508="NO PRAZO",PROCESSOS!P508="VENCE EM BREVE"),OR(FiltroResp="TODOS",FiltroResp="",PROCESSOS!H508=FiltroResp)),PROCESSOS!N508+ROW()/1000000,"")</f>
        <v/>
      </c>
      <c r="BG508" t="str">
        <f>IF(AND(PROCESSOS!B508&lt;&gt;"",ISNUMBER(PROCESSOS!D508),OR(FiltroResp="TODOS",FiltroResp="",PROCESSOS!H508=FiltroResp)),PROCESSOS!D508+ROW()/1000000,"")</f>
        <v/>
      </c>
    </row>
    <row r="509">
      <c r="BF509" t="str">
        <f>IF(AND(OR(PROCESSOS!P509="NO PRAZO",PROCESSOS!P509="VENCE EM BREVE"),OR(FiltroResp="TODOS",FiltroResp="",PROCESSOS!H509=FiltroResp)),PROCESSOS!N509+ROW()/1000000,"")</f>
        <v/>
      </c>
      <c r="BG509" t="str">
        <f>IF(AND(PROCESSOS!B509&lt;&gt;"",ISNUMBER(PROCESSOS!D509),OR(FiltroResp="TODOS",FiltroResp="",PROCESSOS!H509=FiltroResp)),PROCESSOS!D509+ROW()/1000000,"")</f>
        <v/>
      </c>
    </row>
    <row r="510">
      <c r="BF510" t="str">
        <f>IF(AND(OR(PROCESSOS!P510="NO PRAZO",PROCESSOS!P510="VENCE EM BREVE"),OR(FiltroResp="TODOS",FiltroResp="",PROCESSOS!H510=FiltroResp)),PROCESSOS!N510+ROW()/1000000,"")</f>
        <v/>
      </c>
      <c r="BG510" t="str">
        <f>IF(AND(PROCESSOS!B510&lt;&gt;"",ISNUMBER(PROCESSOS!D510),OR(FiltroResp="TODOS",FiltroResp="",PROCESSOS!H510=FiltroResp)),PROCESSOS!D510+ROW()/1000000,"")</f>
        <v/>
      </c>
    </row>
    <row r="511">
      <c r="BF511" t="str">
        <f>IF(AND(OR(PROCESSOS!P511="NO PRAZO",PROCESSOS!P511="VENCE EM BREVE"),OR(FiltroResp="TODOS",FiltroResp="",PROCESSOS!H511=FiltroResp)),PROCESSOS!N511+ROW()/1000000,"")</f>
        <v/>
      </c>
      <c r="BG511" t="str">
        <f>IF(AND(PROCESSOS!B511&lt;&gt;"",ISNUMBER(PROCESSOS!D511),OR(FiltroResp="TODOS",FiltroResp="",PROCESSOS!H511=FiltroResp)),PROCESSOS!D511+ROW()/1000000,"")</f>
        <v/>
      </c>
    </row>
    <row r="512">
      <c r="BF512" t="str">
        <f>IF(AND(OR(PROCESSOS!P512="NO PRAZO",PROCESSOS!P512="VENCE EM BREVE"),OR(FiltroResp="TODOS",FiltroResp="",PROCESSOS!H512=FiltroResp)),PROCESSOS!N512+ROW()/1000000,"")</f>
        <v/>
      </c>
      <c r="BG512" t="str">
        <f>IF(AND(PROCESSOS!B512&lt;&gt;"",ISNUMBER(PROCESSOS!D512),OR(FiltroResp="TODOS",FiltroResp="",PROCESSOS!H512=FiltroResp)),PROCESSOS!D512+ROW()/1000000,"")</f>
        <v/>
      </c>
    </row>
    <row r="513">
      <c r="BF513" t="str">
        <f>IF(AND(OR(PROCESSOS!P513="NO PRAZO",PROCESSOS!P513="VENCE EM BREVE"),OR(FiltroResp="TODOS",FiltroResp="",PROCESSOS!H513=FiltroResp)),PROCESSOS!N513+ROW()/1000000,"")</f>
        <v/>
      </c>
      <c r="BG513" t="str">
        <f>IF(AND(PROCESSOS!B513&lt;&gt;"",ISNUMBER(PROCESSOS!D513),OR(FiltroResp="TODOS",FiltroResp="",PROCESSOS!H513=FiltroResp)),PROCESSOS!D513+ROW()/1000000,"")</f>
        <v/>
      </c>
    </row>
    <row r="514">
      <c r="BF514" t="str">
        <f>IF(AND(OR(PROCESSOS!P514="NO PRAZO",PROCESSOS!P514="VENCE EM BREVE"),OR(FiltroResp="TODOS",FiltroResp="",PROCESSOS!H514=FiltroResp)),PROCESSOS!N514+ROW()/1000000,"")</f>
        <v/>
      </c>
      <c r="BG514" t="str">
        <f>IF(AND(PROCESSOS!B514&lt;&gt;"",ISNUMBER(PROCESSOS!D514),OR(FiltroResp="TODOS",FiltroResp="",PROCESSOS!H514=FiltroResp)),PROCESSOS!D514+ROW()/1000000,"")</f>
        <v/>
      </c>
    </row>
    <row r="515">
      <c r="BF515" t="str">
        <f>IF(AND(OR(PROCESSOS!P515="NO PRAZO",PROCESSOS!P515="VENCE EM BREVE"),OR(FiltroResp="TODOS",FiltroResp="",PROCESSOS!H515=FiltroResp)),PROCESSOS!N515+ROW()/1000000,"")</f>
        <v/>
      </c>
      <c r="BG515" t="str">
        <f>IF(AND(PROCESSOS!B515&lt;&gt;"",ISNUMBER(PROCESSOS!D515),OR(FiltroResp="TODOS",FiltroResp="",PROCESSOS!H515=FiltroResp)),PROCESSOS!D515+ROW()/1000000,"")</f>
        <v/>
      </c>
    </row>
    <row r="516">
      <c r="BF516" t="str">
        <f>IF(AND(OR(PROCESSOS!P516="NO PRAZO",PROCESSOS!P516="VENCE EM BREVE"),OR(FiltroResp="TODOS",FiltroResp="",PROCESSOS!H516=FiltroResp)),PROCESSOS!N516+ROW()/1000000,"")</f>
        <v/>
      </c>
      <c r="BG516" t="str">
        <f>IF(AND(PROCESSOS!B516&lt;&gt;"",ISNUMBER(PROCESSOS!D516),OR(FiltroResp="TODOS",FiltroResp="",PROCESSOS!H516=FiltroResp)),PROCESSOS!D516+ROW()/1000000,"")</f>
        <v/>
      </c>
    </row>
    <row r="517">
      <c r="BF517" t="str">
        <f>IF(AND(OR(PROCESSOS!P517="NO PRAZO",PROCESSOS!P517="VENCE EM BREVE"),OR(FiltroResp="TODOS",FiltroResp="",PROCESSOS!H517=FiltroResp)),PROCESSOS!N517+ROW()/1000000,"")</f>
        <v/>
      </c>
      <c r="BG517" t="str">
        <f>IF(AND(PROCESSOS!B517&lt;&gt;"",ISNUMBER(PROCESSOS!D517),OR(FiltroResp="TODOS",FiltroResp="",PROCESSOS!H517=FiltroResp)),PROCESSOS!D517+ROW()/1000000,"")</f>
        <v/>
      </c>
    </row>
    <row r="518">
      <c r="BF518" t="str">
        <f>IF(AND(OR(PROCESSOS!P518="NO PRAZO",PROCESSOS!P518="VENCE EM BREVE"),OR(FiltroResp="TODOS",FiltroResp="",PROCESSOS!H518=FiltroResp)),PROCESSOS!N518+ROW()/1000000,"")</f>
        <v/>
      </c>
      <c r="BG518" t="str">
        <f>IF(AND(PROCESSOS!B518&lt;&gt;"",ISNUMBER(PROCESSOS!D518),OR(FiltroResp="TODOS",FiltroResp="",PROCESSOS!H518=FiltroResp)),PROCESSOS!D518+ROW()/1000000,"")</f>
        <v/>
      </c>
    </row>
    <row r="519">
      <c r="BF519" t="str">
        <f>IF(AND(OR(PROCESSOS!P519="NO PRAZO",PROCESSOS!P519="VENCE EM BREVE"),OR(FiltroResp="TODOS",FiltroResp="",PROCESSOS!H519=FiltroResp)),PROCESSOS!N519+ROW()/1000000,"")</f>
        <v/>
      </c>
      <c r="BG519" t="str">
        <f>IF(AND(PROCESSOS!B519&lt;&gt;"",ISNUMBER(PROCESSOS!D519),OR(FiltroResp="TODOS",FiltroResp="",PROCESSOS!H519=FiltroResp)),PROCESSOS!D519+ROW()/1000000,"")</f>
        <v/>
      </c>
    </row>
    <row r="520">
      <c r="BF520" t="str">
        <f>IF(AND(OR(PROCESSOS!P520="NO PRAZO",PROCESSOS!P520="VENCE EM BREVE"),OR(FiltroResp="TODOS",FiltroResp="",PROCESSOS!H520=FiltroResp)),PROCESSOS!N520+ROW()/1000000,"")</f>
        <v/>
      </c>
      <c r="BG520" t="str">
        <f>IF(AND(PROCESSOS!B520&lt;&gt;"",ISNUMBER(PROCESSOS!D520),OR(FiltroResp="TODOS",FiltroResp="",PROCESSOS!H520=FiltroResp)),PROCESSOS!D520+ROW()/1000000,"")</f>
        <v/>
      </c>
    </row>
    <row r="521">
      <c r="BF521" t="str">
        <f>IF(AND(OR(PROCESSOS!P521="NO PRAZO",PROCESSOS!P521="VENCE EM BREVE"),OR(FiltroResp="TODOS",FiltroResp="",PROCESSOS!H521=FiltroResp)),PROCESSOS!N521+ROW()/1000000,"")</f>
        <v/>
      </c>
      <c r="BG521" t="str">
        <f>IF(AND(PROCESSOS!B521&lt;&gt;"",ISNUMBER(PROCESSOS!D521),OR(FiltroResp="TODOS",FiltroResp="",PROCESSOS!H521=FiltroResp)),PROCESSOS!D521+ROW()/1000000,"")</f>
        <v/>
      </c>
    </row>
    <row r="522">
      <c r="BF522" t="str">
        <f>IF(AND(OR(PROCESSOS!P522="NO PRAZO",PROCESSOS!P522="VENCE EM BREVE"),OR(FiltroResp="TODOS",FiltroResp="",PROCESSOS!H522=FiltroResp)),PROCESSOS!N522+ROW()/1000000,"")</f>
        <v/>
      </c>
      <c r="BG522" t="str">
        <f>IF(AND(PROCESSOS!B522&lt;&gt;"",ISNUMBER(PROCESSOS!D522),OR(FiltroResp="TODOS",FiltroResp="",PROCESSOS!H522=FiltroResp)),PROCESSOS!D522+ROW()/1000000,"")</f>
        <v/>
      </c>
    </row>
    <row r="523">
      <c r="BF523" t="str">
        <f>IF(AND(OR(PROCESSOS!P523="NO PRAZO",PROCESSOS!P523="VENCE EM BREVE"),OR(FiltroResp="TODOS",FiltroResp="",PROCESSOS!H523=FiltroResp)),PROCESSOS!N523+ROW()/1000000,"")</f>
        <v/>
      </c>
      <c r="BG523" t="str">
        <f>IF(AND(PROCESSOS!B523&lt;&gt;"",ISNUMBER(PROCESSOS!D523),OR(FiltroResp="TODOS",FiltroResp="",PROCESSOS!H523=FiltroResp)),PROCESSOS!D523+ROW()/1000000,"")</f>
        <v/>
      </c>
    </row>
    <row r="524">
      <c r="BF524" t="str">
        <f>IF(AND(OR(PROCESSOS!P524="NO PRAZO",PROCESSOS!P524="VENCE EM BREVE"),OR(FiltroResp="TODOS",FiltroResp="",PROCESSOS!H524=FiltroResp)),PROCESSOS!N524+ROW()/1000000,"")</f>
        <v/>
      </c>
      <c r="BG524" t="str">
        <f>IF(AND(PROCESSOS!B524&lt;&gt;"",ISNUMBER(PROCESSOS!D524),OR(FiltroResp="TODOS",FiltroResp="",PROCESSOS!H524=FiltroResp)),PROCESSOS!D524+ROW()/1000000,"")</f>
        <v/>
      </c>
    </row>
    <row r="525">
      <c r="BF525" t="str">
        <f>IF(AND(OR(PROCESSOS!P525="NO PRAZO",PROCESSOS!P525="VENCE EM BREVE"),OR(FiltroResp="TODOS",FiltroResp="",PROCESSOS!H525=FiltroResp)),PROCESSOS!N525+ROW()/1000000,"")</f>
        <v/>
      </c>
      <c r="BG525" t="str">
        <f>IF(AND(PROCESSOS!B525&lt;&gt;"",ISNUMBER(PROCESSOS!D525),OR(FiltroResp="TODOS",FiltroResp="",PROCESSOS!H525=FiltroResp)),PROCESSOS!D525+ROW()/1000000,"")</f>
        <v/>
      </c>
    </row>
    <row r="526">
      <c r="BF526" t="str">
        <f>IF(AND(OR(PROCESSOS!P526="NO PRAZO",PROCESSOS!P526="VENCE EM BREVE"),OR(FiltroResp="TODOS",FiltroResp="",PROCESSOS!H526=FiltroResp)),PROCESSOS!N526+ROW()/1000000,"")</f>
        <v/>
      </c>
      <c r="BG526" t="str">
        <f>IF(AND(PROCESSOS!B526&lt;&gt;"",ISNUMBER(PROCESSOS!D526),OR(FiltroResp="TODOS",FiltroResp="",PROCESSOS!H526=FiltroResp)),PROCESSOS!D526+ROW()/1000000,"")</f>
        <v/>
      </c>
    </row>
    <row r="527">
      <c r="BF527" t="str">
        <f>IF(AND(OR(PROCESSOS!P527="NO PRAZO",PROCESSOS!P527="VENCE EM BREVE"),OR(FiltroResp="TODOS",FiltroResp="",PROCESSOS!H527=FiltroResp)),PROCESSOS!N527+ROW()/1000000,"")</f>
        <v/>
      </c>
      <c r="BG527" t="str">
        <f>IF(AND(PROCESSOS!B527&lt;&gt;"",ISNUMBER(PROCESSOS!D527),OR(FiltroResp="TODOS",FiltroResp="",PROCESSOS!H527=FiltroResp)),PROCESSOS!D527+ROW()/1000000,"")</f>
        <v/>
      </c>
    </row>
    <row r="528">
      <c r="BF528" t="str">
        <f>IF(AND(OR(PROCESSOS!P528="NO PRAZO",PROCESSOS!P528="VENCE EM BREVE"),OR(FiltroResp="TODOS",FiltroResp="",PROCESSOS!H528=FiltroResp)),PROCESSOS!N528+ROW()/1000000,"")</f>
        <v/>
      </c>
      <c r="BG528" t="str">
        <f>IF(AND(PROCESSOS!B528&lt;&gt;"",ISNUMBER(PROCESSOS!D528),OR(FiltroResp="TODOS",FiltroResp="",PROCESSOS!H528=FiltroResp)),PROCESSOS!D528+ROW()/1000000,"")</f>
        <v/>
      </c>
    </row>
    <row r="529">
      <c r="BF529" t="str">
        <f>IF(AND(OR(PROCESSOS!P529="NO PRAZO",PROCESSOS!P529="VENCE EM BREVE"),OR(FiltroResp="TODOS",FiltroResp="",PROCESSOS!H529=FiltroResp)),PROCESSOS!N529+ROW()/1000000,"")</f>
        <v/>
      </c>
      <c r="BG529" t="str">
        <f>IF(AND(PROCESSOS!B529&lt;&gt;"",ISNUMBER(PROCESSOS!D529),OR(FiltroResp="TODOS",FiltroResp="",PROCESSOS!H529=FiltroResp)),PROCESSOS!D529+ROW()/1000000,"")</f>
        <v/>
      </c>
    </row>
    <row r="530">
      <c r="BF530" t="str">
        <f>IF(AND(OR(PROCESSOS!P530="NO PRAZO",PROCESSOS!P530="VENCE EM BREVE"),OR(FiltroResp="TODOS",FiltroResp="",PROCESSOS!H530=FiltroResp)),PROCESSOS!N530+ROW()/1000000,"")</f>
        <v/>
      </c>
      <c r="BG530" t="str">
        <f>IF(AND(PROCESSOS!B530&lt;&gt;"",ISNUMBER(PROCESSOS!D530),OR(FiltroResp="TODOS",FiltroResp="",PROCESSOS!H530=FiltroResp)),PROCESSOS!D530+ROW()/1000000,"")</f>
        <v/>
      </c>
    </row>
    <row r="531">
      <c r="BF531" t="str">
        <f>IF(AND(OR(PROCESSOS!P531="NO PRAZO",PROCESSOS!P531="VENCE EM BREVE"),OR(FiltroResp="TODOS",FiltroResp="",PROCESSOS!H531=FiltroResp)),PROCESSOS!N531+ROW()/1000000,"")</f>
        <v/>
      </c>
      <c r="BG531" t="str">
        <f>IF(AND(PROCESSOS!B531&lt;&gt;"",ISNUMBER(PROCESSOS!D531),OR(FiltroResp="TODOS",FiltroResp="",PROCESSOS!H531=FiltroResp)),PROCESSOS!D531+ROW()/1000000,"")</f>
        <v/>
      </c>
    </row>
    <row r="532">
      <c r="BF532" t="str">
        <f>IF(AND(OR(PROCESSOS!P532="NO PRAZO",PROCESSOS!P532="VENCE EM BREVE"),OR(FiltroResp="TODOS",FiltroResp="",PROCESSOS!H532=FiltroResp)),PROCESSOS!N532+ROW()/1000000,"")</f>
        <v/>
      </c>
      <c r="BG532" t="str">
        <f>IF(AND(PROCESSOS!B532&lt;&gt;"",ISNUMBER(PROCESSOS!D532),OR(FiltroResp="TODOS",FiltroResp="",PROCESSOS!H532=FiltroResp)),PROCESSOS!D532+ROW()/1000000,"")</f>
        <v/>
      </c>
    </row>
    <row r="533">
      <c r="BF533" t="str">
        <f>IF(AND(OR(PROCESSOS!P533="NO PRAZO",PROCESSOS!P533="VENCE EM BREVE"),OR(FiltroResp="TODOS",FiltroResp="",PROCESSOS!H533=FiltroResp)),PROCESSOS!N533+ROW()/1000000,"")</f>
        <v/>
      </c>
      <c r="BG533" t="str">
        <f>IF(AND(PROCESSOS!B533&lt;&gt;"",ISNUMBER(PROCESSOS!D533),OR(FiltroResp="TODOS",FiltroResp="",PROCESSOS!H533=FiltroResp)),PROCESSOS!D533+ROW()/1000000,"")</f>
        <v/>
      </c>
    </row>
    <row r="534">
      <c r="BF534" t="str">
        <f>IF(AND(OR(PROCESSOS!P534="NO PRAZO",PROCESSOS!P534="VENCE EM BREVE"),OR(FiltroResp="TODOS",FiltroResp="",PROCESSOS!H534=FiltroResp)),PROCESSOS!N534+ROW()/1000000,"")</f>
        <v/>
      </c>
      <c r="BG534" t="str">
        <f>IF(AND(PROCESSOS!B534&lt;&gt;"",ISNUMBER(PROCESSOS!D534),OR(FiltroResp="TODOS",FiltroResp="",PROCESSOS!H534=FiltroResp)),PROCESSOS!D534+ROW()/1000000,"")</f>
        <v/>
      </c>
    </row>
    <row r="535">
      <c r="BF535" t="str">
        <f>IF(AND(OR(PROCESSOS!P535="NO PRAZO",PROCESSOS!P535="VENCE EM BREVE"),OR(FiltroResp="TODOS",FiltroResp="",PROCESSOS!H535=FiltroResp)),PROCESSOS!N535+ROW()/1000000,"")</f>
        <v/>
      </c>
      <c r="BG535" t="str">
        <f>IF(AND(PROCESSOS!B535&lt;&gt;"",ISNUMBER(PROCESSOS!D535),OR(FiltroResp="TODOS",FiltroResp="",PROCESSOS!H535=FiltroResp)),PROCESSOS!D535+ROW()/1000000,"")</f>
        <v/>
      </c>
    </row>
    <row r="536">
      <c r="BF536" t="str">
        <f>IF(AND(OR(PROCESSOS!P536="NO PRAZO",PROCESSOS!P536="VENCE EM BREVE"),OR(FiltroResp="TODOS",FiltroResp="",PROCESSOS!H536=FiltroResp)),PROCESSOS!N536+ROW()/1000000,"")</f>
        <v/>
      </c>
      <c r="BG536" t="str">
        <f>IF(AND(PROCESSOS!B536&lt;&gt;"",ISNUMBER(PROCESSOS!D536),OR(FiltroResp="TODOS",FiltroResp="",PROCESSOS!H536=FiltroResp)),PROCESSOS!D536+ROW()/1000000,"")</f>
        <v/>
      </c>
    </row>
    <row r="537">
      <c r="BF537" t="str">
        <f>IF(AND(OR(PROCESSOS!P537="NO PRAZO",PROCESSOS!P537="VENCE EM BREVE"),OR(FiltroResp="TODOS",FiltroResp="",PROCESSOS!H537=FiltroResp)),PROCESSOS!N537+ROW()/1000000,"")</f>
        <v/>
      </c>
      <c r="BG537" t="str">
        <f>IF(AND(PROCESSOS!B537&lt;&gt;"",ISNUMBER(PROCESSOS!D537),OR(FiltroResp="TODOS",FiltroResp="",PROCESSOS!H537=FiltroResp)),PROCESSOS!D537+ROW()/1000000,"")</f>
        <v/>
      </c>
    </row>
    <row r="538">
      <c r="BF538" t="str">
        <f>IF(AND(OR(PROCESSOS!P538="NO PRAZO",PROCESSOS!P538="VENCE EM BREVE"),OR(FiltroResp="TODOS",FiltroResp="",PROCESSOS!H538=FiltroResp)),PROCESSOS!N538+ROW()/1000000,"")</f>
        <v/>
      </c>
      <c r="BG538" t="str">
        <f>IF(AND(PROCESSOS!B538&lt;&gt;"",ISNUMBER(PROCESSOS!D538),OR(FiltroResp="TODOS",FiltroResp="",PROCESSOS!H538=FiltroResp)),PROCESSOS!D538+ROW()/1000000,"")</f>
        <v/>
      </c>
    </row>
    <row r="539">
      <c r="BF539" t="str">
        <f>IF(AND(OR(PROCESSOS!P539="NO PRAZO",PROCESSOS!P539="VENCE EM BREVE"),OR(FiltroResp="TODOS",FiltroResp="",PROCESSOS!H539=FiltroResp)),PROCESSOS!N539+ROW()/1000000,"")</f>
        <v/>
      </c>
      <c r="BG539" t="str">
        <f>IF(AND(PROCESSOS!B539&lt;&gt;"",ISNUMBER(PROCESSOS!D539),OR(FiltroResp="TODOS",FiltroResp="",PROCESSOS!H539=FiltroResp)),PROCESSOS!D539+ROW()/1000000,"")</f>
        <v/>
      </c>
    </row>
    <row r="540">
      <c r="BF540" t="str">
        <f>IF(AND(OR(PROCESSOS!P540="NO PRAZO",PROCESSOS!P540="VENCE EM BREVE"),OR(FiltroResp="TODOS",FiltroResp="",PROCESSOS!H540=FiltroResp)),PROCESSOS!N540+ROW()/1000000,"")</f>
        <v/>
      </c>
      <c r="BG540" t="str">
        <f>IF(AND(PROCESSOS!B540&lt;&gt;"",ISNUMBER(PROCESSOS!D540),OR(FiltroResp="TODOS",FiltroResp="",PROCESSOS!H540=FiltroResp)),PROCESSOS!D540+ROW()/1000000,"")</f>
        <v/>
      </c>
    </row>
    <row r="541">
      <c r="BF541" t="str">
        <f>IF(AND(OR(PROCESSOS!P541="NO PRAZO",PROCESSOS!P541="VENCE EM BREVE"),OR(FiltroResp="TODOS",FiltroResp="",PROCESSOS!H541=FiltroResp)),PROCESSOS!N541+ROW()/1000000,"")</f>
        <v/>
      </c>
      <c r="BG541" t="str">
        <f>IF(AND(PROCESSOS!B541&lt;&gt;"",ISNUMBER(PROCESSOS!D541),OR(FiltroResp="TODOS",FiltroResp="",PROCESSOS!H541=FiltroResp)),PROCESSOS!D541+ROW()/1000000,"")</f>
        <v/>
      </c>
    </row>
    <row r="542">
      <c r="BF542" t="str">
        <f>IF(AND(OR(PROCESSOS!P542="NO PRAZO",PROCESSOS!P542="VENCE EM BREVE"),OR(FiltroResp="TODOS",FiltroResp="",PROCESSOS!H542=FiltroResp)),PROCESSOS!N542+ROW()/1000000,"")</f>
        <v/>
      </c>
      <c r="BG542" t="str">
        <f>IF(AND(PROCESSOS!B542&lt;&gt;"",ISNUMBER(PROCESSOS!D542),OR(FiltroResp="TODOS",FiltroResp="",PROCESSOS!H542=FiltroResp)),PROCESSOS!D542+ROW()/1000000,"")</f>
        <v/>
      </c>
    </row>
    <row r="543">
      <c r="BF543" t="str">
        <f>IF(AND(OR(PROCESSOS!P543="NO PRAZO",PROCESSOS!P543="VENCE EM BREVE"),OR(FiltroResp="TODOS",FiltroResp="",PROCESSOS!H543=FiltroResp)),PROCESSOS!N543+ROW()/1000000,"")</f>
        <v/>
      </c>
      <c r="BG543" t="str">
        <f>IF(AND(PROCESSOS!B543&lt;&gt;"",ISNUMBER(PROCESSOS!D543),OR(FiltroResp="TODOS",FiltroResp="",PROCESSOS!H543=FiltroResp)),PROCESSOS!D543+ROW()/1000000,"")</f>
        <v/>
      </c>
    </row>
    <row r="544">
      <c r="BF544" t="str">
        <f>IF(AND(OR(PROCESSOS!P544="NO PRAZO",PROCESSOS!P544="VENCE EM BREVE"),OR(FiltroResp="TODOS",FiltroResp="",PROCESSOS!H544=FiltroResp)),PROCESSOS!N544+ROW()/1000000,"")</f>
        <v/>
      </c>
      <c r="BG544" t="str">
        <f>IF(AND(PROCESSOS!B544&lt;&gt;"",ISNUMBER(PROCESSOS!D544),OR(FiltroResp="TODOS",FiltroResp="",PROCESSOS!H544=FiltroResp)),PROCESSOS!D544+ROW()/1000000,"")</f>
        <v/>
      </c>
    </row>
    <row r="545">
      <c r="BF545" t="str">
        <f>IF(AND(OR(PROCESSOS!P545="NO PRAZO",PROCESSOS!P545="VENCE EM BREVE"),OR(FiltroResp="TODOS",FiltroResp="",PROCESSOS!H545=FiltroResp)),PROCESSOS!N545+ROW()/1000000,"")</f>
        <v/>
      </c>
      <c r="BG545" t="str">
        <f>IF(AND(PROCESSOS!B545&lt;&gt;"",ISNUMBER(PROCESSOS!D545),OR(FiltroResp="TODOS",FiltroResp="",PROCESSOS!H545=FiltroResp)),PROCESSOS!D545+ROW()/1000000,"")</f>
        <v/>
      </c>
    </row>
    <row r="546">
      <c r="BF546" t="str">
        <f>IF(AND(OR(PROCESSOS!P546="NO PRAZO",PROCESSOS!P546="VENCE EM BREVE"),OR(FiltroResp="TODOS",FiltroResp="",PROCESSOS!H546=FiltroResp)),PROCESSOS!N546+ROW()/1000000,"")</f>
        <v/>
      </c>
      <c r="BG546" t="str">
        <f>IF(AND(PROCESSOS!B546&lt;&gt;"",ISNUMBER(PROCESSOS!D546),OR(FiltroResp="TODOS",FiltroResp="",PROCESSOS!H546=FiltroResp)),PROCESSOS!D546+ROW()/1000000,"")</f>
        <v/>
      </c>
    </row>
    <row r="547">
      <c r="BF547" t="str">
        <f>IF(AND(OR(PROCESSOS!P547="NO PRAZO",PROCESSOS!P547="VENCE EM BREVE"),OR(FiltroResp="TODOS",FiltroResp="",PROCESSOS!H547=FiltroResp)),PROCESSOS!N547+ROW()/1000000,"")</f>
        <v/>
      </c>
      <c r="BG547" t="str">
        <f>IF(AND(PROCESSOS!B547&lt;&gt;"",ISNUMBER(PROCESSOS!D547),OR(FiltroResp="TODOS",FiltroResp="",PROCESSOS!H547=FiltroResp)),PROCESSOS!D547+ROW()/1000000,"")</f>
        <v/>
      </c>
    </row>
    <row r="548">
      <c r="BF548" t="str">
        <f>IF(AND(OR(PROCESSOS!P548="NO PRAZO",PROCESSOS!P548="VENCE EM BREVE"),OR(FiltroResp="TODOS",FiltroResp="",PROCESSOS!H548=FiltroResp)),PROCESSOS!N548+ROW()/1000000,"")</f>
        <v/>
      </c>
      <c r="BG548" t="str">
        <f>IF(AND(PROCESSOS!B548&lt;&gt;"",ISNUMBER(PROCESSOS!D548),OR(FiltroResp="TODOS",FiltroResp="",PROCESSOS!H548=FiltroResp)),PROCESSOS!D548+ROW()/1000000,"")</f>
        <v/>
      </c>
    </row>
    <row r="549">
      <c r="BF549" t="str">
        <f>IF(AND(OR(PROCESSOS!P549="NO PRAZO",PROCESSOS!P549="VENCE EM BREVE"),OR(FiltroResp="TODOS",FiltroResp="",PROCESSOS!H549=FiltroResp)),PROCESSOS!N549+ROW()/1000000,"")</f>
        <v/>
      </c>
      <c r="BG549" t="str">
        <f>IF(AND(PROCESSOS!B549&lt;&gt;"",ISNUMBER(PROCESSOS!D549),OR(FiltroResp="TODOS",FiltroResp="",PROCESSOS!H549=FiltroResp)),PROCESSOS!D549+ROW()/1000000,"")</f>
        <v/>
      </c>
    </row>
    <row r="550">
      <c r="BF550" t="str">
        <f>IF(AND(OR(PROCESSOS!P550="NO PRAZO",PROCESSOS!P550="VENCE EM BREVE"),OR(FiltroResp="TODOS",FiltroResp="",PROCESSOS!H550=FiltroResp)),PROCESSOS!N550+ROW()/1000000,"")</f>
        <v/>
      </c>
      <c r="BG550" t="str">
        <f>IF(AND(PROCESSOS!B550&lt;&gt;"",ISNUMBER(PROCESSOS!D550),OR(FiltroResp="TODOS",FiltroResp="",PROCESSOS!H550=FiltroResp)),PROCESSOS!D550+ROW()/1000000,"")</f>
        <v/>
      </c>
    </row>
    <row r="551">
      <c r="BF551" t="str">
        <f>IF(AND(OR(PROCESSOS!P551="NO PRAZO",PROCESSOS!P551="VENCE EM BREVE"),OR(FiltroResp="TODOS",FiltroResp="",PROCESSOS!H551=FiltroResp)),PROCESSOS!N551+ROW()/1000000,"")</f>
        <v/>
      </c>
      <c r="BG551" t="str">
        <f>IF(AND(PROCESSOS!B551&lt;&gt;"",ISNUMBER(PROCESSOS!D551),OR(FiltroResp="TODOS",FiltroResp="",PROCESSOS!H551=FiltroResp)),PROCESSOS!D551+ROW()/1000000,"")</f>
        <v/>
      </c>
    </row>
    <row r="552">
      <c r="BF552" t="str">
        <f>IF(AND(OR(PROCESSOS!P552="NO PRAZO",PROCESSOS!P552="VENCE EM BREVE"),OR(FiltroResp="TODOS",FiltroResp="",PROCESSOS!H552=FiltroResp)),PROCESSOS!N552+ROW()/1000000,"")</f>
        <v/>
      </c>
      <c r="BG552" t="str">
        <f>IF(AND(PROCESSOS!B552&lt;&gt;"",ISNUMBER(PROCESSOS!D552),OR(FiltroResp="TODOS",FiltroResp="",PROCESSOS!H552=FiltroResp)),PROCESSOS!D552+ROW()/1000000,"")</f>
        <v/>
      </c>
    </row>
    <row r="553">
      <c r="BF553" t="str">
        <f>IF(AND(OR(PROCESSOS!P553="NO PRAZO",PROCESSOS!P553="VENCE EM BREVE"),OR(FiltroResp="TODOS",FiltroResp="",PROCESSOS!H553=FiltroResp)),PROCESSOS!N553+ROW()/1000000,"")</f>
        <v/>
      </c>
      <c r="BG553" t="str">
        <f>IF(AND(PROCESSOS!B553&lt;&gt;"",ISNUMBER(PROCESSOS!D553),OR(FiltroResp="TODOS",FiltroResp="",PROCESSOS!H553=FiltroResp)),PROCESSOS!D553+ROW()/1000000,"")</f>
        <v/>
      </c>
    </row>
    <row r="554">
      <c r="BF554" t="str">
        <f>IF(AND(OR(PROCESSOS!P554="NO PRAZO",PROCESSOS!P554="VENCE EM BREVE"),OR(FiltroResp="TODOS",FiltroResp="",PROCESSOS!H554=FiltroResp)),PROCESSOS!N554+ROW()/1000000,"")</f>
        <v/>
      </c>
      <c r="BG554" t="str">
        <f>IF(AND(PROCESSOS!B554&lt;&gt;"",ISNUMBER(PROCESSOS!D554),OR(FiltroResp="TODOS",FiltroResp="",PROCESSOS!H554=FiltroResp)),PROCESSOS!D554+ROW()/1000000,"")</f>
        <v/>
      </c>
    </row>
    <row r="555">
      <c r="BF555" t="str">
        <f>IF(AND(OR(PROCESSOS!P555="NO PRAZO",PROCESSOS!P555="VENCE EM BREVE"),OR(FiltroResp="TODOS",FiltroResp="",PROCESSOS!H555=FiltroResp)),PROCESSOS!N555+ROW()/1000000,"")</f>
        <v/>
      </c>
      <c r="BG555" t="str">
        <f>IF(AND(PROCESSOS!B555&lt;&gt;"",ISNUMBER(PROCESSOS!D555),OR(FiltroResp="TODOS",FiltroResp="",PROCESSOS!H555=FiltroResp)),PROCESSOS!D555+ROW()/1000000,"")</f>
        <v/>
      </c>
    </row>
    <row r="556">
      <c r="BF556" t="str">
        <f>IF(AND(OR(PROCESSOS!P556="NO PRAZO",PROCESSOS!P556="VENCE EM BREVE"),OR(FiltroResp="TODOS",FiltroResp="",PROCESSOS!H556=FiltroResp)),PROCESSOS!N556+ROW()/1000000,"")</f>
        <v/>
      </c>
      <c r="BG556" t="str">
        <f>IF(AND(PROCESSOS!B556&lt;&gt;"",ISNUMBER(PROCESSOS!D556),OR(FiltroResp="TODOS",FiltroResp="",PROCESSOS!H556=FiltroResp)),PROCESSOS!D556+ROW()/1000000,"")</f>
        <v/>
      </c>
    </row>
    <row r="557">
      <c r="BF557" t="str">
        <f>IF(AND(OR(PROCESSOS!P557="NO PRAZO",PROCESSOS!P557="VENCE EM BREVE"),OR(FiltroResp="TODOS",FiltroResp="",PROCESSOS!H557=FiltroResp)),PROCESSOS!N557+ROW()/1000000,"")</f>
        <v/>
      </c>
      <c r="BG557" t="str">
        <f>IF(AND(PROCESSOS!B557&lt;&gt;"",ISNUMBER(PROCESSOS!D557),OR(FiltroResp="TODOS",FiltroResp="",PROCESSOS!H557=FiltroResp)),PROCESSOS!D557+ROW()/1000000,"")</f>
        <v/>
      </c>
    </row>
    <row r="558">
      <c r="BF558" t="str">
        <f>IF(AND(OR(PROCESSOS!P558="NO PRAZO",PROCESSOS!P558="VENCE EM BREVE"),OR(FiltroResp="TODOS",FiltroResp="",PROCESSOS!H558=FiltroResp)),PROCESSOS!N558+ROW()/1000000,"")</f>
        <v/>
      </c>
      <c r="BG558" t="str">
        <f>IF(AND(PROCESSOS!B558&lt;&gt;"",ISNUMBER(PROCESSOS!D558),OR(FiltroResp="TODOS",FiltroResp="",PROCESSOS!H558=FiltroResp)),PROCESSOS!D558+ROW()/1000000,"")</f>
        <v/>
      </c>
    </row>
    <row r="559">
      <c r="BF559" t="str">
        <f>IF(AND(OR(PROCESSOS!P559="NO PRAZO",PROCESSOS!P559="VENCE EM BREVE"),OR(FiltroResp="TODOS",FiltroResp="",PROCESSOS!H559=FiltroResp)),PROCESSOS!N559+ROW()/1000000,"")</f>
        <v/>
      </c>
      <c r="BG559" t="str">
        <f>IF(AND(PROCESSOS!B559&lt;&gt;"",ISNUMBER(PROCESSOS!D559),OR(FiltroResp="TODOS",FiltroResp="",PROCESSOS!H559=FiltroResp)),PROCESSOS!D559+ROW()/1000000,"")</f>
        <v/>
      </c>
    </row>
    <row r="560">
      <c r="BF560" t="str">
        <f>IF(AND(OR(PROCESSOS!P560="NO PRAZO",PROCESSOS!P560="VENCE EM BREVE"),OR(FiltroResp="TODOS",FiltroResp="",PROCESSOS!H560=FiltroResp)),PROCESSOS!N560+ROW()/1000000,"")</f>
        <v/>
      </c>
      <c r="BG560" t="str">
        <f>IF(AND(PROCESSOS!B560&lt;&gt;"",ISNUMBER(PROCESSOS!D560),OR(FiltroResp="TODOS",FiltroResp="",PROCESSOS!H560=FiltroResp)),PROCESSOS!D560+ROW()/1000000,"")</f>
        <v/>
      </c>
    </row>
    <row r="561">
      <c r="BF561" t="str">
        <f>IF(AND(OR(PROCESSOS!P561="NO PRAZO",PROCESSOS!P561="VENCE EM BREVE"),OR(FiltroResp="TODOS",FiltroResp="",PROCESSOS!H561=FiltroResp)),PROCESSOS!N561+ROW()/1000000,"")</f>
        <v/>
      </c>
      <c r="BG561" t="str">
        <f>IF(AND(PROCESSOS!B561&lt;&gt;"",ISNUMBER(PROCESSOS!D561),OR(FiltroResp="TODOS",FiltroResp="",PROCESSOS!H561=FiltroResp)),PROCESSOS!D561+ROW()/1000000,"")</f>
        <v/>
      </c>
    </row>
    <row r="562">
      <c r="BF562" t="str">
        <f>IF(AND(OR(PROCESSOS!P562="NO PRAZO",PROCESSOS!P562="VENCE EM BREVE"),OR(FiltroResp="TODOS",FiltroResp="",PROCESSOS!H562=FiltroResp)),PROCESSOS!N562+ROW()/1000000,"")</f>
        <v/>
      </c>
      <c r="BG562" t="str">
        <f>IF(AND(PROCESSOS!B562&lt;&gt;"",ISNUMBER(PROCESSOS!D562),OR(FiltroResp="TODOS",FiltroResp="",PROCESSOS!H562=FiltroResp)),PROCESSOS!D562+ROW()/1000000,"")</f>
        <v/>
      </c>
    </row>
    <row r="563">
      <c r="BF563" t="str">
        <f>IF(AND(OR(PROCESSOS!P563="NO PRAZO",PROCESSOS!P563="VENCE EM BREVE"),OR(FiltroResp="TODOS",FiltroResp="",PROCESSOS!H563=FiltroResp)),PROCESSOS!N563+ROW()/1000000,"")</f>
        <v/>
      </c>
      <c r="BG563" t="str">
        <f>IF(AND(PROCESSOS!B563&lt;&gt;"",ISNUMBER(PROCESSOS!D563),OR(FiltroResp="TODOS",FiltroResp="",PROCESSOS!H563=FiltroResp)),PROCESSOS!D563+ROW()/1000000,"")</f>
        <v/>
      </c>
    </row>
    <row r="564">
      <c r="BF564" t="str">
        <f>IF(AND(OR(PROCESSOS!P564="NO PRAZO",PROCESSOS!P564="VENCE EM BREVE"),OR(FiltroResp="TODOS",FiltroResp="",PROCESSOS!H564=FiltroResp)),PROCESSOS!N564+ROW()/1000000,"")</f>
        <v/>
      </c>
      <c r="BG564" t="str">
        <f>IF(AND(PROCESSOS!B564&lt;&gt;"",ISNUMBER(PROCESSOS!D564),OR(FiltroResp="TODOS",FiltroResp="",PROCESSOS!H564=FiltroResp)),PROCESSOS!D564+ROW()/1000000,"")</f>
        <v/>
      </c>
    </row>
    <row r="565">
      <c r="BF565" t="str">
        <f>IF(AND(OR(PROCESSOS!P565="NO PRAZO",PROCESSOS!P565="VENCE EM BREVE"),OR(FiltroResp="TODOS",FiltroResp="",PROCESSOS!H565=FiltroResp)),PROCESSOS!N565+ROW()/1000000,"")</f>
        <v/>
      </c>
      <c r="BG565" t="str">
        <f>IF(AND(PROCESSOS!B565&lt;&gt;"",ISNUMBER(PROCESSOS!D565),OR(FiltroResp="TODOS",FiltroResp="",PROCESSOS!H565=FiltroResp)),PROCESSOS!D565+ROW()/1000000,"")</f>
        <v/>
      </c>
    </row>
    <row r="566">
      <c r="BF566" t="str">
        <f>IF(AND(OR(PROCESSOS!P566="NO PRAZO",PROCESSOS!P566="VENCE EM BREVE"),OR(FiltroResp="TODOS",FiltroResp="",PROCESSOS!H566=FiltroResp)),PROCESSOS!N566+ROW()/1000000,"")</f>
        <v/>
      </c>
      <c r="BG566" t="str">
        <f>IF(AND(PROCESSOS!B566&lt;&gt;"",ISNUMBER(PROCESSOS!D566),OR(FiltroResp="TODOS",FiltroResp="",PROCESSOS!H566=FiltroResp)),PROCESSOS!D566+ROW()/1000000,"")</f>
        <v/>
      </c>
    </row>
    <row r="567">
      <c r="BF567" t="str">
        <f>IF(AND(OR(PROCESSOS!P567="NO PRAZO",PROCESSOS!P567="VENCE EM BREVE"),OR(FiltroResp="TODOS",FiltroResp="",PROCESSOS!H567=FiltroResp)),PROCESSOS!N567+ROW()/1000000,"")</f>
        <v/>
      </c>
      <c r="BG567" t="str">
        <f>IF(AND(PROCESSOS!B567&lt;&gt;"",ISNUMBER(PROCESSOS!D567),OR(FiltroResp="TODOS",FiltroResp="",PROCESSOS!H567=FiltroResp)),PROCESSOS!D567+ROW()/1000000,"")</f>
        <v/>
      </c>
    </row>
    <row r="568">
      <c r="BF568" t="str">
        <f>IF(AND(OR(PROCESSOS!P568="NO PRAZO",PROCESSOS!P568="VENCE EM BREVE"),OR(FiltroResp="TODOS",FiltroResp="",PROCESSOS!H568=FiltroResp)),PROCESSOS!N568+ROW()/1000000,"")</f>
        <v/>
      </c>
      <c r="BG568" t="str">
        <f>IF(AND(PROCESSOS!B568&lt;&gt;"",ISNUMBER(PROCESSOS!D568),OR(FiltroResp="TODOS",FiltroResp="",PROCESSOS!H568=FiltroResp)),PROCESSOS!D568+ROW()/1000000,"")</f>
        <v/>
      </c>
    </row>
    <row r="569">
      <c r="BF569" t="str">
        <f>IF(AND(OR(PROCESSOS!P569="NO PRAZO",PROCESSOS!P569="VENCE EM BREVE"),OR(FiltroResp="TODOS",FiltroResp="",PROCESSOS!H569=FiltroResp)),PROCESSOS!N569+ROW()/1000000,"")</f>
        <v/>
      </c>
      <c r="BG569" t="str">
        <f>IF(AND(PROCESSOS!B569&lt;&gt;"",ISNUMBER(PROCESSOS!D569),OR(FiltroResp="TODOS",FiltroResp="",PROCESSOS!H569=FiltroResp)),PROCESSOS!D569+ROW()/1000000,"")</f>
        <v/>
      </c>
    </row>
    <row r="570">
      <c r="BF570" t="str">
        <f>IF(AND(OR(PROCESSOS!P570="NO PRAZO",PROCESSOS!P570="VENCE EM BREVE"),OR(FiltroResp="TODOS",FiltroResp="",PROCESSOS!H570=FiltroResp)),PROCESSOS!N570+ROW()/1000000,"")</f>
        <v/>
      </c>
      <c r="BG570" t="str">
        <f>IF(AND(PROCESSOS!B570&lt;&gt;"",ISNUMBER(PROCESSOS!D570),OR(FiltroResp="TODOS",FiltroResp="",PROCESSOS!H570=FiltroResp)),PROCESSOS!D570+ROW()/1000000,"")</f>
        <v/>
      </c>
    </row>
    <row r="571">
      <c r="BF571" t="str">
        <f>IF(AND(OR(PROCESSOS!P571="NO PRAZO",PROCESSOS!P571="VENCE EM BREVE"),OR(FiltroResp="TODOS",FiltroResp="",PROCESSOS!H571=FiltroResp)),PROCESSOS!N571+ROW()/1000000,"")</f>
        <v/>
      </c>
      <c r="BG571" t="str">
        <f>IF(AND(PROCESSOS!B571&lt;&gt;"",ISNUMBER(PROCESSOS!D571),OR(FiltroResp="TODOS",FiltroResp="",PROCESSOS!H571=FiltroResp)),PROCESSOS!D571+ROW()/1000000,"")</f>
        <v/>
      </c>
    </row>
    <row r="572">
      <c r="BF572" t="str">
        <f>IF(AND(OR(PROCESSOS!P572="NO PRAZO",PROCESSOS!P572="VENCE EM BREVE"),OR(FiltroResp="TODOS",FiltroResp="",PROCESSOS!H572=FiltroResp)),PROCESSOS!N572+ROW()/1000000,"")</f>
        <v/>
      </c>
      <c r="BG572" t="str">
        <f>IF(AND(PROCESSOS!B572&lt;&gt;"",ISNUMBER(PROCESSOS!D572),OR(FiltroResp="TODOS",FiltroResp="",PROCESSOS!H572=FiltroResp)),PROCESSOS!D572+ROW()/1000000,"")</f>
        <v/>
      </c>
    </row>
    <row r="573">
      <c r="BF573" t="str">
        <f>IF(AND(OR(PROCESSOS!P573="NO PRAZO",PROCESSOS!P573="VENCE EM BREVE"),OR(FiltroResp="TODOS",FiltroResp="",PROCESSOS!H573=FiltroResp)),PROCESSOS!N573+ROW()/1000000,"")</f>
        <v/>
      </c>
      <c r="BG573" t="str">
        <f>IF(AND(PROCESSOS!B573&lt;&gt;"",ISNUMBER(PROCESSOS!D573),OR(FiltroResp="TODOS",FiltroResp="",PROCESSOS!H573=FiltroResp)),PROCESSOS!D573+ROW()/1000000,"")</f>
        <v/>
      </c>
    </row>
    <row r="574">
      <c r="BF574" t="str">
        <f>IF(AND(OR(PROCESSOS!P574="NO PRAZO",PROCESSOS!P574="VENCE EM BREVE"),OR(FiltroResp="TODOS",FiltroResp="",PROCESSOS!H574=FiltroResp)),PROCESSOS!N574+ROW()/1000000,"")</f>
        <v/>
      </c>
      <c r="BG574" t="str">
        <f>IF(AND(PROCESSOS!B574&lt;&gt;"",ISNUMBER(PROCESSOS!D574),OR(FiltroResp="TODOS",FiltroResp="",PROCESSOS!H574=FiltroResp)),PROCESSOS!D574+ROW()/1000000,"")</f>
        <v/>
      </c>
    </row>
    <row r="575">
      <c r="BF575" t="str">
        <f>IF(AND(OR(PROCESSOS!P575="NO PRAZO",PROCESSOS!P575="VENCE EM BREVE"),OR(FiltroResp="TODOS",FiltroResp="",PROCESSOS!H575=FiltroResp)),PROCESSOS!N575+ROW()/1000000,"")</f>
        <v/>
      </c>
      <c r="BG575" t="str">
        <f>IF(AND(PROCESSOS!B575&lt;&gt;"",ISNUMBER(PROCESSOS!D575),OR(FiltroResp="TODOS",FiltroResp="",PROCESSOS!H575=FiltroResp)),PROCESSOS!D575+ROW()/1000000,"")</f>
        <v/>
      </c>
    </row>
    <row r="576">
      <c r="BF576" t="str">
        <f>IF(AND(OR(PROCESSOS!P576="NO PRAZO",PROCESSOS!P576="VENCE EM BREVE"),OR(FiltroResp="TODOS",FiltroResp="",PROCESSOS!H576=FiltroResp)),PROCESSOS!N576+ROW()/1000000,"")</f>
        <v/>
      </c>
      <c r="BG576" t="str">
        <f>IF(AND(PROCESSOS!B576&lt;&gt;"",ISNUMBER(PROCESSOS!D576),OR(FiltroResp="TODOS",FiltroResp="",PROCESSOS!H576=FiltroResp)),PROCESSOS!D576+ROW()/1000000,"")</f>
        <v/>
      </c>
    </row>
    <row r="577">
      <c r="BF577" t="str">
        <f>IF(AND(OR(PROCESSOS!P577="NO PRAZO",PROCESSOS!P577="VENCE EM BREVE"),OR(FiltroResp="TODOS",FiltroResp="",PROCESSOS!H577=FiltroResp)),PROCESSOS!N577+ROW()/1000000,"")</f>
        <v/>
      </c>
      <c r="BG577" t="str">
        <f>IF(AND(PROCESSOS!B577&lt;&gt;"",ISNUMBER(PROCESSOS!D577),OR(FiltroResp="TODOS",FiltroResp="",PROCESSOS!H577=FiltroResp)),PROCESSOS!D577+ROW()/1000000,"")</f>
        <v/>
      </c>
    </row>
    <row r="578">
      <c r="BF578" t="str">
        <f>IF(AND(OR(PROCESSOS!P578="NO PRAZO",PROCESSOS!P578="VENCE EM BREVE"),OR(FiltroResp="TODOS",FiltroResp="",PROCESSOS!H578=FiltroResp)),PROCESSOS!N578+ROW()/1000000,"")</f>
        <v/>
      </c>
      <c r="BG578" t="str">
        <f>IF(AND(PROCESSOS!B578&lt;&gt;"",ISNUMBER(PROCESSOS!D578),OR(FiltroResp="TODOS",FiltroResp="",PROCESSOS!H578=FiltroResp)),PROCESSOS!D578+ROW()/1000000,"")</f>
        <v/>
      </c>
    </row>
    <row r="579">
      <c r="BF579" t="str">
        <f>IF(AND(OR(PROCESSOS!P579="NO PRAZO",PROCESSOS!P579="VENCE EM BREVE"),OR(FiltroResp="TODOS",FiltroResp="",PROCESSOS!H579=FiltroResp)),PROCESSOS!N579+ROW()/1000000,"")</f>
        <v/>
      </c>
      <c r="BG579" t="str">
        <f>IF(AND(PROCESSOS!B579&lt;&gt;"",ISNUMBER(PROCESSOS!D579),OR(FiltroResp="TODOS",FiltroResp="",PROCESSOS!H579=FiltroResp)),PROCESSOS!D579+ROW()/1000000,"")</f>
        <v/>
      </c>
    </row>
    <row r="580">
      <c r="BF580" t="str">
        <f>IF(AND(OR(PROCESSOS!P580="NO PRAZO",PROCESSOS!P580="VENCE EM BREVE"),OR(FiltroResp="TODOS",FiltroResp="",PROCESSOS!H580=FiltroResp)),PROCESSOS!N580+ROW()/1000000,"")</f>
        <v/>
      </c>
      <c r="BG580" t="str">
        <f>IF(AND(PROCESSOS!B580&lt;&gt;"",ISNUMBER(PROCESSOS!D580),OR(FiltroResp="TODOS",FiltroResp="",PROCESSOS!H580=FiltroResp)),PROCESSOS!D580+ROW()/1000000,"")</f>
        <v/>
      </c>
    </row>
    <row r="581">
      <c r="BF581" t="str">
        <f>IF(AND(OR(PROCESSOS!P581="NO PRAZO",PROCESSOS!P581="VENCE EM BREVE"),OR(FiltroResp="TODOS",FiltroResp="",PROCESSOS!H581=FiltroResp)),PROCESSOS!N581+ROW()/1000000,"")</f>
        <v/>
      </c>
      <c r="BG581" t="str">
        <f>IF(AND(PROCESSOS!B581&lt;&gt;"",ISNUMBER(PROCESSOS!D581),OR(FiltroResp="TODOS",FiltroResp="",PROCESSOS!H581=FiltroResp)),PROCESSOS!D581+ROW()/1000000,"")</f>
        <v/>
      </c>
    </row>
    <row r="582">
      <c r="BF582" t="str">
        <f>IF(AND(OR(PROCESSOS!P582="NO PRAZO",PROCESSOS!P582="VENCE EM BREVE"),OR(FiltroResp="TODOS",FiltroResp="",PROCESSOS!H582=FiltroResp)),PROCESSOS!N582+ROW()/1000000,"")</f>
        <v/>
      </c>
      <c r="BG582" t="str">
        <f>IF(AND(PROCESSOS!B582&lt;&gt;"",ISNUMBER(PROCESSOS!D582),OR(FiltroResp="TODOS",FiltroResp="",PROCESSOS!H582=FiltroResp)),PROCESSOS!D582+ROW()/1000000,"")</f>
        <v/>
      </c>
    </row>
    <row r="583">
      <c r="BF583" t="str">
        <f>IF(AND(OR(PROCESSOS!P583="NO PRAZO",PROCESSOS!P583="VENCE EM BREVE"),OR(FiltroResp="TODOS",FiltroResp="",PROCESSOS!H583=FiltroResp)),PROCESSOS!N583+ROW()/1000000,"")</f>
        <v/>
      </c>
      <c r="BG583" t="str">
        <f>IF(AND(PROCESSOS!B583&lt;&gt;"",ISNUMBER(PROCESSOS!D583),OR(FiltroResp="TODOS",FiltroResp="",PROCESSOS!H583=FiltroResp)),PROCESSOS!D583+ROW()/1000000,"")</f>
        <v/>
      </c>
    </row>
    <row r="584">
      <c r="BF584" t="str">
        <f>IF(AND(OR(PROCESSOS!P584="NO PRAZO",PROCESSOS!P584="VENCE EM BREVE"),OR(FiltroResp="TODOS",FiltroResp="",PROCESSOS!H584=FiltroResp)),PROCESSOS!N584+ROW()/1000000,"")</f>
        <v/>
      </c>
      <c r="BG584" t="str">
        <f>IF(AND(PROCESSOS!B584&lt;&gt;"",ISNUMBER(PROCESSOS!D584),OR(FiltroResp="TODOS",FiltroResp="",PROCESSOS!H584=FiltroResp)),PROCESSOS!D584+ROW()/1000000,"")</f>
        <v/>
      </c>
    </row>
    <row r="585">
      <c r="BF585" t="str">
        <f>IF(AND(OR(PROCESSOS!P585="NO PRAZO",PROCESSOS!P585="VENCE EM BREVE"),OR(FiltroResp="TODOS",FiltroResp="",PROCESSOS!H585=FiltroResp)),PROCESSOS!N585+ROW()/1000000,"")</f>
        <v/>
      </c>
      <c r="BG585" t="str">
        <f>IF(AND(PROCESSOS!B585&lt;&gt;"",ISNUMBER(PROCESSOS!D585),OR(FiltroResp="TODOS",FiltroResp="",PROCESSOS!H585=FiltroResp)),PROCESSOS!D585+ROW()/1000000,"")</f>
        <v/>
      </c>
    </row>
    <row r="586">
      <c r="BF586" t="str">
        <f>IF(AND(OR(PROCESSOS!P586="NO PRAZO",PROCESSOS!P586="VENCE EM BREVE"),OR(FiltroResp="TODOS",FiltroResp="",PROCESSOS!H586=FiltroResp)),PROCESSOS!N586+ROW()/1000000,"")</f>
        <v/>
      </c>
      <c r="BG586" t="str">
        <f>IF(AND(PROCESSOS!B586&lt;&gt;"",ISNUMBER(PROCESSOS!D586),OR(FiltroResp="TODOS",FiltroResp="",PROCESSOS!H586=FiltroResp)),PROCESSOS!D586+ROW()/1000000,"")</f>
        <v/>
      </c>
    </row>
    <row r="587">
      <c r="BF587" t="str">
        <f>IF(AND(OR(PROCESSOS!P587="NO PRAZO",PROCESSOS!P587="VENCE EM BREVE"),OR(FiltroResp="TODOS",FiltroResp="",PROCESSOS!H587=FiltroResp)),PROCESSOS!N587+ROW()/1000000,"")</f>
        <v/>
      </c>
      <c r="BG587" t="str">
        <f>IF(AND(PROCESSOS!B587&lt;&gt;"",ISNUMBER(PROCESSOS!D587),OR(FiltroResp="TODOS",FiltroResp="",PROCESSOS!H587=FiltroResp)),PROCESSOS!D587+ROW()/1000000,"")</f>
        <v/>
      </c>
    </row>
    <row r="588">
      <c r="BF588" t="str">
        <f>IF(AND(OR(PROCESSOS!P588="NO PRAZO",PROCESSOS!P588="VENCE EM BREVE"),OR(FiltroResp="TODOS",FiltroResp="",PROCESSOS!H588=FiltroResp)),PROCESSOS!N588+ROW()/1000000,"")</f>
        <v/>
      </c>
      <c r="BG588" t="str">
        <f>IF(AND(PROCESSOS!B588&lt;&gt;"",ISNUMBER(PROCESSOS!D588),OR(FiltroResp="TODOS",FiltroResp="",PROCESSOS!H588=FiltroResp)),PROCESSOS!D588+ROW()/1000000,"")</f>
        <v/>
      </c>
    </row>
    <row r="589">
      <c r="BF589" t="str">
        <f>IF(AND(OR(PROCESSOS!P589="NO PRAZO",PROCESSOS!P589="VENCE EM BREVE"),OR(FiltroResp="TODOS",FiltroResp="",PROCESSOS!H589=FiltroResp)),PROCESSOS!N589+ROW()/1000000,"")</f>
        <v/>
      </c>
      <c r="BG589" t="str">
        <f>IF(AND(PROCESSOS!B589&lt;&gt;"",ISNUMBER(PROCESSOS!D589),OR(FiltroResp="TODOS",FiltroResp="",PROCESSOS!H589=FiltroResp)),PROCESSOS!D589+ROW()/1000000,"")</f>
        <v/>
      </c>
    </row>
    <row r="590">
      <c r="BF590" t="str">
        <f>IF(AND(OR(PROCESSOS!P590="NO PRAZO",PROCESSOS!P590="VENCE EM BREVE"),OR(FiltroResp="TODOS",FiltroResp="",PROCESSOS!H590=FiltroResp)),PROCESSOS!N590+ROW()/1000000,"")</f>
        <v/>
      </c>
      <c r="BG590" t="str">
        <f>IF(AND(PROCESSOS!B590&lt;&gt;"",ISNUMBER(PROCESSOS!D590),OR(FiltroResp="TODOS",FiltroResp="",PROCESSOS!H590=FiltroResp)),PROCESSOS!D590+ROW()/1000000,"")</f>
        <v/>
      </c>
    </row>
    <row r="591">
      <c r="BF591" t="str">
        <f>IF(AND(OR(PROCESSOS!P591="NO PRAZO",PROCESSOS!P591="VENCE EM BREVE"),OR(FiltroResp="TODOS",FiltroResp="",PROCESSOS!H591=FiltroResp)),PROCESSOS!N591+ROW()/1000000,"")</f>
        <v/>
      </c>
      <c r="BG591" t="str">
        <f>IF(AND(PROCESSOS!B591&lt;&gt;"",ISNUMBER(PROCESSOS!D591),OR(FiltroResp="TODOS",FiltroResp="",PROCESSOS!H591=FiltroResp)),PROCESSOS!D591+ROW()/1000000,"")</f>
        <v/>
      </c>
    </row>
    <row r="592">
      <c r="BF592" t="str">
        <f>IF(AND(OR(PROCESSOS!P592="NO PRAZO",PROCESSOS!P592="VENCE EM BREVE"),OR(FiltroResp="TODOS",FiltroResp="",PROCESSOS!H592=FiltroResp)),PROCESSOS!N592+ROW()/1000000,"")</f>
        <v/>
      </c>
      <c r="BG592" t="str">
        <f>IF(AND(PROCESSOS!B592&lt;&gt;"",ISNUMBER(PROCESSOS!D592),OR(FiltroResp="TODOS",FiltroResp="",PROCESSOS!H592=FiltroResp)),PROCESSOS!D592+ROW()/1000000,"")</f>
        <v/>
      </c>
    </row>
    <row r="593">
      <c r="BF593" t="str">
        <f>IF(AND(OR(PROCESSOS!P593="NO PRAZO",PROCESSOS!P593="VENCE EM BREVE"),OR(FiltroResp="TODOS",FiltroResp="",PROCESSOS!H593=FiltroResp)),PROCESSOS!N593+ROW()/1000000,"")</f>
        <v/>
      </c>
      <c r="BG593" t="str">
        <f>IF(AND(PROCESSOS!B593&lt;&gt;"",ISNUMBER(PROCESSOS!D593),OR(FiltroResp="TODOS",FiltroResp="",PROCESSOS!H593=FiltroResp)),PROCESSOS!D593+ROW()/1000000,"")</f>
        <v/>
      </c>
    </row>
    <row r="594">
      <c r="BF594" t="str">
        <f>IF(AND(OR(PROCESSOS!P594="NO PRAZO",PROCESSOS!P594="VENCE EM BREVE"),OR(FiltroResp="TODOS",FiltroResp="",PROCESSOS!H594=FiltroResp)),PROCESSOS!N594+ROW()/1000000,"")</f>
        <v/>
      </c>
      <c r="BG594" t="str">
        <f>IF(AND(PROCESSOS!B594&lt;&gt;"",ISNUMBER(PROCESSOS!D594),OR(FiltroResp="TODOS",FiltroResp="",PROCESSOS!H594=FiltroResp)),PROCESSOS!D594+ROW()/1000000,"")</f>
        <v/>
      </c>
    </row>
    <row r="595">
      <c r="BF595" t="str">
        <f>IF(AND(OR(PROCESSOS!P595="NO PRAZO",PROCESSOS!P595="VENCE EM BREVE"),OR(FiltroResp="TODOS",FiltroResp="",PROCESSOS!H595=FiltroResp)),PROCESSOS!N595+ROW()/1000000,"")</f>
        <v/>
      </c>
      <c r="BG595" t="str">
        <f>IF(AND(PROCESSOS!B595&lt;&gt;"",ISNUMBER(PROCESSOS!D595),OR(FiltroResp="TODOS",FiltroResp="",PROCESSOS!H595=FiltroResp)),PROCESSOS!D595+ROW()/1000000,"")</f>
        <v/>
      </c>
    </row>
    <row r="596">
      <c r="BF596" t="str">
        <f>IF(AND(OR(PROCESSOS!P596="NO PRAZO",PROCESSOS!P596="VENCE EM BREVE"),OR(FiltroResp="TODOS",FiltroResp="",PROCESSOS!H596=FiltroResp)),PROCESSOS!N596+ROW()/1000000,"")</f>
        <v/>
      </c>
      <c r="BG596" t="str">
        <f>IF(AND(PROCESSOS!B596&lt;&gt;"",ISNUMBER(PROCESSOS!D596),OR(FiltroResp="TODOS",FiltroResp="",PROCESSOS!H596=FiltroResp)),PROCESSOS!D596+ROW()/1000000,"")</f>
        <v/>
      </c>
    </row>
    <row r="597">
      <c r="BF597" t="str">
        <f>IF(AND(OR(PROCESSOS!P597="NO PRAZO",PROCESSOS!P597="VENCE EM BREVE"),OR(FiltroResp="TODOS",FiltroResp="",PROCESSOS!H597=FiltroResp)),PROCESSOS!N597+ROW()/1000000,"")</f>
        <v/>
      </c>
      <c r="BG597" t="str">
        <f>IF(AND(PROCESSOS!B597&lt;&gt;"",ISNUMBER(PROCESSOS!D597),OR(FiltroResp="TODOS",FiltroResp="",PROCESSOS!H597=FiltroResp)),PROCESSOS!D597+ROW()/1000000,"")</f>
        <v/>
      </c>
    </row>
    <row r="598">
      <c r="BF598" t="str">
        <f>IF(AND(OR(PROCESSOS!P598="NO PRAZO",PROCESSOS!P598="VENCE EM BREVE"),OR(FiltroResp="TODOS",FiltroResp="",PROCESSOS!H598=FiltroResp)),PROCESSOS!N598+ROW()/1000000,"")</f>
        <v/>
      </c>
      <c r="BG598" t="str">
        <f>IF(AND(PROCESSOS!B598&lt;&gt;"",ISNUMBER(PROCESSOS!D598),OR(FiltroResp="TODOS",FiltroResp="",PROCESSOS!H598=FiltroResp)),PROCESSOS!D598+ROW()/1000000,"")</f>
        <v/>
      </c>
    </row>
    <row r="599">
      <c r="BF599" t="str">
        <f>IF(AND(OR(PROCESSOS!P599="NO PRAZO",PROCESSOS!P599="VENCE EM BREVE"),OR(FiltroResp="TODOS",FiltroResp="",PROCESSOS!H599=FiltroResp)),PROCESSOS!N599+ROW()/1000000,"")</f>
        <v/>
      </c>
      <c r="BG599" t="str">
        <f>IF(AND(PROCESSOS!B599&lt;&gt;"",ISNUMBER(PROCESSOS!D599),OR(FiltroResp="TODOS",FiltroResp="",PROCESSOS!H599=FiltroResp)),PROCESSOS!D599+ROW()/1000000,"")</f>
        <v/>
      </c>
    </row>
    <row r="600">
      <c r="BF600" t="str">
        <f>IF(AND(OR(PROCESSOS!P600="NO PRAZO",PROCESSOS!P600="VENCE EM BREVE"),OR(FiltroResp="TODOS",FiltroResp="",PROCESSOS!H600=FiltroResp)),PROCESSOS!N600+ROW()/1000000,"")</f>
        <v/>
      </c>
      <c r="BG600" t="str">
        <f>IF(AND(PROCESSOS!B600&lt;&gt;"",ISNUMBER(PROCESSOS!D600),OR(FiltroResp="TODOS",FiltroResp="",PROCESSOS!H600=FiltroResp)),PROCESSOS!D600+ROW()/1000000,"")</f>
        <v/>
      </c>
    </row>
    <row r="601">
      <c r="BF601" t="str">
        <f>IF(AND(OR(PROCESSOS!P601="NO PRAZO",PROCESSOS!P601="VENCE EM BREVE"),OR(FiltroResp="TODOS",FiltroResp="",PROCESSOS!H601=FiltroResp)),PROCESSOS!N601+ROW()/1000000,"")</f>
        <v/>
      </c>
      <c r="BG601" t="str">
        <f>IF(AND(PROCESSOS!B601&lt;&gt;"",ISNUMBER(PROCESSOS!D601),OR(FiltroResp="TODOS",FiltroResp="",PROCESSOS!H601=FiltroResp)),PROCESSOS!D601+ROW()/1000000,"")</f>
        <v/>
      </c>
    </row>
    <row r="602">
      <c r="BF602" t="str">
        <f>IF(AND(OR(PROCESSOS!P602="NO PRAZO",PROCESSOS!P602="VENCE EM BREVE"),OR(FiltroResp="TODOS",FiltroResp="",PROCESSOS!H602=FiltroResp)),PROCESSOS!N602+ROW()/1000000,"")</f>
        <v/>
      </c>
      <c r="BG602" t="str">
        <f>IF(AND(PROCESSOS!B602&lt;&gt;"",ISNUMBER(PROCESSOS!D602),OR(FiltroResp="TODOS",FiltroResp="",PROCESSOS!H602=FiltroResp)),PROCESSOS!D602+ROW()/1000000,"")</f>
        <v/>
      </c>
    </row>
    <row r="603">
      <c r="BF603" t="str">
        <f>IF(AND(OR(PROCESSOS!P603="NO PRAZO",PROCESSOS!P603="VENCE EM BREVE"),OR(FiltroResp="TODOS",FiltroResp="",PROCESSOS!H603=FiltroResp)),PROCESSOS!N603+ROW()/1000000,"")</f>
        <v/>
      </c>
      <c r="BG603" t="str">
        <f>IF(AND(PROCESSOS!B603&lt;&gt;"",ISNUMBER(PROCESSOS!D603),OR(FiltroResp="TODOS",FiltroResp="",PROCESSOS!H603=FiltroResp)),PROCESSOS!D603+ROW()/1000000,"")</f>
        <v/>
      </c>
    </row>
    <row r="604">
      <c r="BF604" t="str">
        <f>IF(AND(OR(PROCESSOS!P604="NO PRAZO",PROCESSOS!P604="VENCE EM BREVE"),OR(FiltroResp="TODOS",FiltroResp="",PROCESSOS!H604=FiltroResp)),PROCESSOS!N604+ROW()/1000000,"")</f>
        <v/>
      </c>
      <c r="BG604" t="str">
        <f>IF(AND(PROCESSOS!B604&lt;&gt;"",ISNUMBER(PROCESSOS!D604),OR(FiltroResp="TODOS",FiltroResp="",PROCESSOS!H604=FiltroResp)),PROCESSOS!D604+ROW()/1000000,"")</f>
        <v/>
      </c>
    </row>
    <row r="605">
      <c r="BF605" t="str">
        <f>IF(AND(OR(PROCESSOS!P605="NO PRAZO",PROCESSOS!P605="VENCE EM BREVE"),OR(FiltroResp="TODOS",FiltroResp="",PROCESSOS!H605=FiltroResp)),PROCESSOS!N605+ROW()/1000000,"")</f>
        <v/>
      </c>
      <c r="BG605" t="str">
        <f>IF(AND(PROCESSOS!B605&lt;&gt;"",ISNUMBER(PROCESSOS!D605),OR(FiltroResp="TODOS",FiltroResp="",PROCESSOS!H605=FiltroResp)),PROCESSOS!D605+ROW()/1000000,"")</f>
        <v/>
      </c>
    </row>
    <row r="606">
      <c r="BF606" t="str">
        <f>IF(AND(OR(PROCESSOS!P606="NO PRAZO",PROCESSOS!P606="VENCE EM BREVE"),OR(FiltroResp="TODOS",FiltroResp="",PROCESSOS!H606=FiltroResp)),PROCESSOS!N606+ROW()/1000000,"")</f>
        <v/>
      </c>
      <c r="BG606" t="str">
        <f>IF(AND(PROCESSOS!B606&lt;&gt;"",ISNUMBER(PROCESSOS!D606),OR(FiltroResp="TODOS",FiltroResp="",PROCESSOS!H606=FiltroResp)),PROCESSOS!D606+ROW()/1000000,"")</f>
        <v/>
      </c>
    </row>
    <row r="607">
      <c r="BF607" t="str">
        <f>IF(AND(OR(PROCESSOS!P607="NO PRAZO",PROCESSOS!P607="VENCE EM BREVE"),OR(FiltroResp="TODOS",FiltroResp="",PROCESSOS!H607=FiltroResp)),PROCESSOS!N607+ROW()/1000000,"")</f>
        <v/>
      </c>
      <c r="BG607" t="str">
        <f>IF(AND(PROCESSOS!B607&lt;&gt;"",ISNUMBER(PROCESSOS!D607),OR(FiltroResp="TODOS",FiltroResp="",PROCESSOS!H607=FiltroResp)),PROCESSOS!D607+ROW()/1000000,"")</f>
        <v/>
      </c>
    </row>
    <row r="608">
      <c r="BF608" t="str">
        <f>IF(AND(OR(PROCESSOS!P608="NO PRAZO",PROCESSOS!P608="VENCE EM BREVE"),OR(FiltroResp="TODOS",FiltroResp="",PROCESSOS!H608=FiltroResp)),PROCESSOS!N608+ROW()/1000000,"")</f>
        <v/>
      </c>
      <c r="BG608" t="str">
        <f>IF(AND(PROCESSOS!B608&lt;&gt;"",ISNUMBER(PROCESSOS!D608),OR(FiltroResp="TODOS",FiltroResp="",PROCESSOS!H608=FiltroResp)),PROCESSOS!D608+ROW()/1000000,"")</f>
        <v/>
      </c>
    </row>
    <row r="609">
      <c r="BF609" t="str">
        <f>IF(AND(OR(PROCESSOS!P609="NO PRAZO",PROCESSOS!P609="VENCE EM BREVE"),OR(FiltroResp="TODOS",FiltroResp="",PROCESSOS!H609=FiltroResp)),PROCESSOS!N609+ROW()/1000000,"")</f>
        <v/>
      </c>
      <c r="BG609" t="str">
        <f>IF(AND(PROCESSOS!B609&lt;&gt;"",ISNUMBER(PROCESSOS!D609),OR(FiltroResp="TODOS",FiltroResp="",PROCESSOS!H609=FiltroResp)),PROCESSOS!D609+ROW()/1000000,"")</f>
        <v/>
      </c>
    </row>
    <row r="610">
      <c r="BF610" t="str">
        <f>IF(AND(OR(PROCESSOS!P610="NO PRAZO",PROCESSOS!P610="VENCE EM BREVE"),OR(FiltroResp="TODOS",FiltroResp="",PROCESSOS!H610=FiltroResp)),PROCESSOS!N610+ROW()/1000000,"")</f>
        <v/>
      </c>
      <c r="BG610" t="str">
        <f>IF(AND(PROCESSOS!B610&lt;&gt;"",ISNUMBER(PROCESSOS!D610),OR(FiltroResp="TODOS",FiltroResp="",PROCESSOS!H610=FiltroResp)),PROCESSOS!D610+ROW()/1000000,"")</f>
        <v/>
      </c>
    </row>
    <row r="611">
      <c r="BF611" t="str">
        <f>IF(AND(OR(PROCESSOS!P611="NO PRAZO",PROCESSOS!P611="VENCE EM BREVE"),OR(FiltroResp="TODOS",FiltroResp="",PROCESSOS!H611=FiltroResp)),PROCESSOS!N611+ROW()/1000000,"")</f>
        <v/>
      </c>
      <c r="BG611" t="str">
        <f>IF(AND(PROCESSOS!B611&lt;&gt;"",ISNUMBER(PROCESSOS!D611),OR(FiltroResp="TODOS",FiltroResp="",PROCESSOS!H611=FiltroResp)),PROCESSOS!D611+ROW()/1000000,"")</f>
        <v/>
      </c>
    </row>
    <row r="612">
      <c r="BF612" t="str">
        <f>IF(AND(OR(PROCESSOS!P612="NO PRAZO",PROCESSOS!P612="VENCE EM BREVE"),OR(FiltroResp="TODOS",FiltroResp="",PROCESSOS!H612=FiltroResp)),PROCESSOS!N612+ROW()/1000000,"")</f>
        <v/>
      </c>
      <c r="BG612" t="str">
        <f>IF(AND(PROCESSOS!B612&lt;&gt;"",ISNUMBER(PROCESSOS!D612),OR(FiltroResp="TODOS",FiltroResp="",PROCESSOS!H612=FiltroResp)),PROCESSOS!D612+ROW()/1000000,"")</f>
        <v/>
      </c>
    </row>
    <row r="613">
      <c r="BF613" t="str">
        <f>IF(AND(OR(PROCESSOS!P613="NO PRAZO",PROCESSOS!P613="VENCE EM BREVE"),OR(FiltroResp="TODOS",FiltroResp="",PROCESSOS!H613=FiltroResp)),PROCESSOS!N613+ROW()/1000000,"")</f>
        <v/>
      </c>
      <c r="BG613" t="str">
        <f>IF(AND(PROCESSOS!B613&lt;&gt;"",ISNUMBER(PROCESSOS!D613),OR(FiltroResp="TODOS",FiltroResp="",PROCESSOS!H613=FiltroResp)),PROCESSOS!D613+ROW()/1000000,"")</f>
        <v/>
      </c>
    </row>
    <row r="614">
      <c r="BF614" t="str">
        <f>IF(AND(OR(PROCESSOS!P614="NO PRAZO",PROCESSOS!P614="VENCE EM BREVE"),OR(FiltroResp="TODOS",FiltroResp="",PROCESSOS!H614=FiltroResp)),PROCESSOS!N614+ROW()/1000000,"")</f>
        <v/>
      </c>
      <c r="BG614" t="str">
        <f>IF(AND(PROCESSOS!B614&lt;&gt;"",ISNUMBER(PROCESSOS!D614),OR(FiltroResp="TODOS",FiltroResp="",PROCESSOS!H614=FiltroResp)),PROCESSOS!D614+ROW()/1000000,"")</f>
        <v/>
      </c>
    </row>
    <row r="615">
      <c r="BF615" t="str">
        <f>IF(AND(OR(PROCESSOS!P615="NO PRAZO",PROCESSOS!P615="VENCE EM BREVE"),OR(FiltroResp="TODOS",FiltroResp="",PROCESSOS!H615=FiltroResp)),PROCESSOS!N615+ROW()/1000000,"")</f>
        <v/>
      </c>
      <c r="BG615" t="str">
        <f>IF(AND(PROCESSOS!B615&lt;&gt;"",ISNUMBER(PROCESSOS!D615),OR(FiltroResp="TODOS",FiltroResp="",PROCESSOS!H615=FiltroResp)),PROCESSOS!D615+ROW()/1000000,"")</f>
        <v/>
      </c>
    </row>
    <row r="616">
      <c r="BF616" t="str">
        <f>IF(AND(OR(PROCESSOS!P616="NO PRAZO",PROCESSOS!P616="VENCE EM BREVE"),OR(FiltroResp="TODOS",FiltroResp="",PROCESSOS!H616=FiltroResp)),PROCESSOS!N616+ROW()/1000000,"")</f>
        <v/>
      </c>
      <c r="BG616" t="str">
        <f>IF(AND(PROCESSOS!B616&lt;&gt;"",ISNUMBER(PROCESSOS!D616),OR(FiltroResp="TODOS",FiltroResp="",PROCESSOS!H616=FiltroResp)),PROCESSOS!D616+ROW()/1000000,"")</f>
        <v/>
      </c>
    </row>
    <row r="617">
      <c r="BF617" t="str">
        <f>IF(AND(OR(PROCESSOS!P617="NO PRAZO",PROCESSOS!P617="VENCE EM BREVE"),OR(FiltroResp="TODOS",FiltroResp="",PROCESSOS!H617=FiltroResp)),PROCESSOS!N617+ROW()/1000000,"")</f>
        <v/>
      </c>
      <c r="BG617" t="str">
        <f>IF(AND(PROCESSOS!B617&lt;&gt;"",ISNUMBER(PROCESSOS!D617),OR(FiltroResp="TODOS",FiltroResp="",PROCESSOS!H617=FiltroResp)),PROCESSOS!D617+ROW()/1000000,"")</f>
        <v/>
      </c>
    </row>
    <row r="618">
      <c r="BF618" t="str">
        <f>IF(AND(OR(PROCESSOS!P618="NO PRAZO",PROCESSOS!P618="VENCE EM BREVE"),OR(FiltroResp="TODOS",FiltroResp="",PROCESSOS!H618=FiltroResp)),PROCESSOS!N618+ROW()/1000000,"")</f>
        <v/>
      </c>
      <c r="BG618" t="str">
        <f>IF(AND(PROCESSOS!B618&lt;&gt;"",ISNUMBER(PROCESSOS!D618),OR(FiltroResp="TODOS",FiltroResp="",PROCESSOS!H618=FiltroResp)),PROCESSOS!D618+ROW()/1000000,"")</f>
        <v/>
      </c>
    </row>
    <row r="619">
      <c r="BF619" t="str">
        <f>IF(AND(OR(PROCESSOS!P619="NO PRAZO",PROCESSOS!P619="VENCE EM BREVE"),OR(FiltroResp="TODOS",FiltroResp="",PROCESSOS!H619=FiltroResp)),PROCESSOS!N619+ROW()/1000000,"")</f>
        <v/>
      </c>
      <c r="BG619" t="str">
        <f>IF(AND(PROCESSOS!B619&lt;&gt;"",ISNUMBER(PROCESSOS!D619),OR(FiltroResp="TODOS",FiltroResp="",PROCESSOS!H619=FiltroResp)),PROCESSOS!D619+ROW()/1000000,"")</f>
        <v/>
      </c>
    </row>
    <row r="620">
      <c r="BF620" t="str">
        <f>IF(AND(OR(PROCESSOS!P620="NO PRAZO",PROCESSOS!P620="VENCE EM BREVE"),OR(FiltroResp="TODOS",FiltroResp="",PROCESSOS!H620=FiltroResp)),PROCESSOS!N620+ROW()/1000000,"")</f>
        <v/>
      </c>
      <c r="BG620" t="str">
        <f>IF(AND(PROCESSOS!B620&lt;&gt;"",ISNUMBER(PROCESSOS!D620),OR(FiltroResp="TODOS",FiltroResp="",PROCESSOS!H620=FiltroResp)),PROCESSOS!D620+ROW()/1000000,"")</f>
        <v/>
      </c>
    </row>
    <row r="621">
      <c r="BF621" t="str">
        <f>IF(AND(OR(PROCESSOS!P621="NO PRAZO",PROCESSOS!P621="VENCE EM BREVE"),OR(FiltroResp="TODOS",FiltroResp="",PROCESSOS!H621=FiltroResp)),PROCESSOS!N621+ROW()/1000000,"")</f>
        <v/>
      </c>
      <c r="BG621" t="str">
        <f>IF(AND(PROCESSOS!B621&lt;&gt;"",ISNUMBER(PROCESSOS!D621),OR(FiltroResp="TODOS",FiltroResp="",PROCESSOS!H621=FiltroResp)),PROCESSOS!D621+ROW()/1000000,"")</f>
        <v/>
      </c>
    </row>
    <row r="622">
      <c r="BF622" t="str">
        <f>IF(AND(OR(PROCESSOS!P622="NO PRAZO",PROCESSOS!P622="VENCE EM BREVE"),OR(FiltroResp="TODOS",FiltroResp="",PROCESSOS!H622=FiltroResp)),PROCESSOS!N622+ROW()/1000000,"")</f>
        <v/>
      </c>
      <c r="BG622" t="str">
        <f>IF(AND(PROCESSOS!B622&lt;&gt;"",ISNUMBER(PROCESSOS!D622),OR(FiltroResp="TODOS",FiltroResp="",PROCESSOS!H622=FiltroResp)),PROCESSOS!D622+ROW()/1000000,"")</f>
        <v/>
      </c>
    </row>
    <row r="623">
      <c r="BF623" t="str">
        <f>IF(AND(OR(PROCESSOS!P623="NO PRAZO",PROCESSOS!P623="VENCE EM BREVE"),OR(FiltroResp="TODOS",FiltroResp="",PROCESSOS!H623=FiltroResp)),PROCESSOS!N623+ROW()/1000000,"")</f>
        <v/>
      </c>
      <c r="BG623" t="str">
        <f>IF(AND(PROCESSOS!B623&lt;&gt;"",ISNUMBER(PROCESSOS!D623),OR(FiltroResp="TODOS",FiltroResp="",PROCESSOS!H623=FiltroResp)),PROCESSOS!D623+ROW()/1000000,"")</f>
        <v/>
      </c>
    </row>
    <row r="624">
      <c r="BF624" t="str">
        <f>IF(AND(OR(PROCESSOS!P624="NO PRAZO",PROCESSOS!P624="VENCE EM BREVE"),OR(FiltroResp="TODOS",FiltroResp="",PROCESSOS!H624=FiltroResp)),PROCESSOS!N624+ROW()/1000000,"")</f>
        <v/>
      </c>
      <c r="BG624" t="str">
        <f>IF(AND(PROCESSOS!B624&lt;&gt;"",ISNUMBER(PROCESSOS!D624),OR(FiltroResp="TODOS",FiltroResp="",PROCESSOS!H624=FiltroResp)),PROCESSOS!D624+ROW()/1000000,"")</f>
        <v/>
      </c>
    </row>
    <row r="625">
      <c r="BF625" t="str">
        <f>IF(AND(OR(PROCESSOS!P625="NO PRAZO",PROCESSOS!P625="VENCE EM BREVE"),OR(FiltroResp="TODOS",FiltroResp="",PROCESSOS!H625=FiltroResp)),PROCESSOS!N625+ROW()/1000000,"")</f>
        <v/>
      </c>
      <c r="BG625" t="str">
        <f>IF(AND(PROCESSOS!B625&lt;&gt;"",ISNUMBER(PROCESSOS!D625),OR(FiltroResp="TODOS",FiltroResp="",PROCESSOS!H625=FiltroResp)),PROCESSOS!D625+ROW()/1000000,"")</f>
        <v/>
      </c>
    </row>
    <row r="626">
      <c r="BF626" t="str">
        <f>IF(AND(OR(PROCESSOS!P626="NO PRAZO",PROCESSOS!P626="VENCE EM BREVE"),OR(FiltroResp="TODOS",FiltroResp="",PROCESSOS!H626=FiltroResp)),PROCESSOS!N626+ROW()/1000000,"")</f>
        <v/>
      </c>
      <c r="BG626" t="str">
        <f>IF(AND(PROCESSOS!B626&lt;&gt;"",ISNUMBER(PROCESSOS!D626),OR(FiltroResp="TODOS",FiltroResp="",PROCESSOS!H626=FiltroResp)),PROCESSOS!D626+ROW()/1000000,"")</f>
        <v/>
      </c>
    </row>
    <row r="627">
      <c r="BF627" t="str">
        <f>IF(AND(OR(PROCESSOS!P627="NO PRAZO",PROCESSOS!P627="VENCE EM BREVE"),OR(FiltroResp="TODOS",FiltroResp="",PROCESSOS!H627=FiltroResp)),PROCESSOS!N627+ROW()/1000000,"")</f>
        <v/>
      </c>
      <c r="BG627" t="str">
        <f>IF(AND(PROCESSOS!B627&lt;&gt;"",ISNUMBER(PROCESSOS!D627),OR(FiltroResp="TODOS",FiltroResp="",PROCESSOS!H627=FiltroResp)),PROCESSOS!D627+ROW()/1000000,"")</f>
        <v/>
      </c>
    </row>
    <row r="628">
      <c r="BF628" t="str">
        <f>IF(AND(OR(PROCESSOS!P628="NO PRAZO",PROCESSOS!P628="VENCE EM BREVE"),OR(FiltroResp="TODOS",FiltroResp="",PROCESSOS!H628=FiltroResp)),PROCESSOS!N628+ROW()/1000000,"")</f>
        <v/>
      </c>
      <c r="BG628" t="str">
        <f>IF(AND(PROCESSOS!B628&lt;&gt;"",ISNUMBER(PROCESSOS!D628),OR(FiltroResp="TODOS",FiltroResp="",PROCESSOS!H628=FiltroResp)),PROCESSOS!D628+ROW()/1000000,"")</f>
        <v/>
      </c>
    </row>
    <row r="629">
      <c r="BF629" t="str">
        <f>IF(AND(OR(PROCESSOS!P629="NO PRAZO",PROCESSOS!P629="VENCE EM BREVE"),OR(FiltroResp="TODOS",FiltroResp="",PROCESSOS!H629=FiltroResp)),PROCESSOS!N629+ROW()/1000000,"")</f>
        <v/>
      </c>
      <c r="BG629" t="str">
        <f>IF(AND(PROCESSOS!B629&lt;&gt;"",ISNUMBER(PROCESSOS!D629),OR(FiltroResp="TODOS",FiltroResp="",PROCESSOS!H629=FiltroResp)),PROCESSOS!D629+ROW()/1000000,"")</f>
        <v/>
      </c>
    </row>
    <row r="630">
      <c r="BF630" t="str">
        <f>IF(AND(OR(PROCESSOS!P630="NO PRAZO",PROCESSOS!P630="VENCE EM BREVE"),OR(FiltroResp="TODOS",FiltroResp="",PROCESSOS!H630=FiltroResp)),PROCESSOS!N630+ROW()/1000000,"")</f>
        <v/>
      </c>
      <c r="BG630" t="str">
        <f>IF(AND(PROCESSOS!B630&lt;&gt;"",ISNUMBER(PROCESSOS!D630),OR(FiltroResp="TODOS",FiltroResp="",PROCESSOS!H630=FiltroResp)),PROCESSOS!D630+ROW()/1000000,"")</f>
        <v/>
      </c>
    </row>
    <row r="631">
      <c r="BF631" t="str">
        <f>IF(AND(OR(PROCESSOS!P631="NO PRAZO",PROCESSOS!P631="VENCE EM BREVE"),OR(FiltroResp="TODOS",FiltroResp="",PROCESSOS!H631=FiltroResp)),PROCESSOS!N631+ROW()/1000000,"")</f>
        <v/>
      </c>
      <c r="BG631" t="str">
        <f>IF(AND(PROCESSOS!B631&lt;&gt;"",ISNUMBER(PROCESSOS!D631),OR(FiltroResp="TODOS",FiltroResp="",PROCESSOS!H631=FiltroResp)),PROCESSOS!D631+ROW()/1000000,"")</f>
        <v/>
      </c>
    </row>
    <row r="632">
      <c r="BF632" t="str">
        <f>IF(AND(OR(PROCESSOS!P632="NO PRAZO",PROCESSOS!P632="VENCE EM BREVE"),OR(FiltroResp="TODOS",FiltroResp="",PROCESSOS!H632=FiltroResp)),PROCESSOS!N632+ROW()/1000000,"")</f>
        <v/>
      </c>
      <c r="BG632" t="str">
        <f>IF(AND(PROCESSOS!B632&lt;&gt;"",ISNUMBER(PROCESSOS!D632),OR(FiltroResp="TODOS",FiltroResp="",PROCESSOS!H632=FiltroResp)),PROCESSOS!D632+ROW()/1000000,"")</f>
        <v/>
      </c>
    </row>
    <row r="633">
      <c r="BF633" t="str">
        <f>IF(AND(OR(PROCESSOS!P633="NO PRAZO",PROCESSOS!P633="VENCE EM BREVE"),OR(FiltroResp="TODOS",FiltroResp="",PROCESSOS!H633=FiltroResp)),PROCESSOS!N633+ROW()/1000000,"")</f>
        <v/>
      </c>
      <c r="BG633" t="str">
        <f>IF(AND(PROCESSOS!B633&lt;&gt;"",ISNUMBER(PROCESSOS!D633),OR(FiltroResp="TODOS",FiltroResp="",PROCESSOS!H633=FiltroResp)),PROCESSOS!D633+ROW()/1000000,"")</f>
        <v/>
      </c>
    </row>
    <row r="634">
      <c r="BF634" t="str">
        <f>IF(AND(OR(PROCESSOS!P634="NO PRAZO",PROCESSOS!P634="VENCE EM BREVE"),OR(FiltroResp="TODOS",FiltroResp="",PROCESSOS!H634=FiltroResp)),PROCESSOS!N634+ROW()/1000000,"")</f>
        <v/>
      </c>
      <c r="BG634" t="str">
        <f>IF(AND(PROCESSOS!B634&lt;&gt;"",ISNUMBER(PROCESSOS!D634),OR(FiltroResp="TODOS",FiltroResp="",PROCESSOS!H634=FiltroResp)),PROCESSOS!D634+ROW()/1000000,"")</f>
        <v/>
      </c>
    </row>
    <row r="635">
      <c r="BF635" t="str">
        <f>IF(AND(OR(PROCESSOS!P635="NO PRAZO",PROCESSOS!P635="VENCE EM BREVE"),OR(FiltroResp="TODOS",FiltroResp="",PROCESSOS!H635=FiltroResp)),PROCESSOS!N635+ROW()/1000000,"")</f>
        <v/>
      </c>
      <c r="BG635" t="str">
        <f>IF(AND(PROCESSOS!B635&lt;&gt;"",ISNUMBER(PROCESSOS!D635),OR(FiltroResp="TODOS",FiltroResp="",PROCESSOS!H635=FiltroResp)),PROCESSOS!D635+ROW()/1000000,"")</f>
        <v/>
      </c>
    </row>
    <row r="636">
      <c r="BF636" t="str">
        <f>IF(AND(OR(PROCESSOS!P636="NO PRAZO",PROCESSOS!P636="VENCE EM BREVE"),OR(FiltroResp="TODOS",FiltroResp="",PROCESSOS!H636=FiltroResp)),PROCESSOS!N636+ROW()/1000000,"")</f>
        <v/>
      </c>
      <c r="BG636" t="str">
        <f>IF(AND(PROCESSOS!B636&lt;&gt;"",ISNUMBER(PROCESSOS!D636),OR(FiltroResp="TODOS",FiltroResp="",PROCESSOS!H636=FiltroResp)),PROCESSOS!D636+ROW()/1000000,"")</f>
        <v/>
      </c>
    </row>
    <row r="637">
      <c r="BF637" t="str">
        <f>IF(AND(OR(PROCESSOS!P637="NO PRAZO",PROCESSOS!P637="VENCE EM BREVE"),OR(FiltroResp="TODOS",FiltroResp="",PROCESSOS!H637=FiltroResp)),PROCESSOS!N637+ROW()/1000000,"")</f>
        <v/>
      </c>
      <c r="BG637" t="str">
        <f>IF(AND(PROCESSOS!B637&lt;&gt;"",ISNUMBER(PROCESSOS!D637),OR(FiltroResp="TODOS",FiltroResp="",PROCESSOS!H637=FiltroResp)),PROCESSOS!D637+ROW()/1000000,"")</f>
        <v/>
      </c>
    </row>
    <row r="638">
      <c r="BF638" t="str">
        <f>IF(AND(OR(PROCESSOS!P638="NO PRAZO",PROCESSOS!P638="VENCE EM BREVE"),OR(FiltroResp="TODOS",FiltroResp="",PROCESSOS!H638=FiltroResp)),PROCESSOS!N638+ROW()/1000000,"")</f>
        <v/>
      </c>
      <c r="BG638" t="str">
        <f>IF(AND(PROCESSOS!B638&lt;&gt;"",ISNUMBER(PROCESSOS!D638),OR(FiltroResp="TODOS",FiltroResp="",PROCESSOS!H638=FiltroResp)),PROCESSOS!D638+ROW()/1000000,"")</f>
        <v/>
      </c>
    </row>
    <row r="639">
      <c r="BF639" t="str">
        <f>IF(AND(OR(PROCESSOS!P639="NO PRAZO",PROCESSOS!P639="VENCE EM BREVE"),OR(FiltroResp="TODOS",FiltroResp="",PROCESSOS!H639=FiltroResp)),PROCESSOS!N639+ROW()/1000000,"")</f>
        <v/>
      </c>
      <c r="BG639" t="str">
        <f>IF(AND(PROCESSOS!B639&lt;&gt;"",ISNUMBER(PROCESSOS!D639),OR(FiltroResp="TODOS",FiltroResp="",PROCESSOS!H639=FiltroResp)),PROCESSOS!D639+ROW()/1000000,"")</f>
        <v/>
      </c>
    </row>
    <row r="640">
      <c r="BF640" t="str">
        <f>IF(AND(OR(PROCESSOS!P640="NO PRAZO",PROCESSOS!P640="VENCE EM BREVE"),OR(FiltroResp="TODOS",FiltroResp="",PROCESSOS!H640=FiltroResp)),PROCESSOS!N640+ROW()/1000000,"")</f>
        <v/>
      </c>
      <c r="BG640" t="str">
        <f>IF(AND(PROCESSOS!B640&lt;&gt;"",ISNUMBER(PROCESSOS!D640),OR(FiltroResp="TODOS",FiltroResp="",PROCESSOS!H640=FiltroResp)),PROCESSOS!D640+ROW()/1000000,"")</f>
        <v/>
      </c>
    </row>
    <row r="641">
      <c r="BF641" t="str">
        <f>IF(AND(OR(PROCESSOS!P641="NO PRAZO",PROCESSOS!P641="VENCE EM BREVE"),OR(FiltroResp="TODOS",FiltroResp="",PROCESSOS!H641=FiltroResp)),PROCESSOS!N641+ROW()/1000000,"")</f>
        <v/>
      </c>
      <c r="BG641" t="str">
        <f>IF(AND(PROCESSOS!B641&lt;&gt;"",ISNUMBER(PROCESSOS!D641),OR(FiltroResp="TODOS",FiltroResp="",PROCESSOS!H641=FiltroResp)),PROCESSOS!D641+ROW()/1000000,"")</f>
        <v/>
      </c>
    </row>
    <row r="642">
      <c r="BF642" t="str">
        <f>IF(AND(OR(PROCESSOS!P642="NO PRAZO",PROCESSOS!P642="VENCE EM BREVE"),OR(FiltroResp="TODOS",FiltroResp="",PROCESSOS!H642=FiltroResp)),PROCESSOS!N642+ROW()/1000000,"")</f>
        <v/>
      </c>
      <c r="BG642" t="str">
        <f>IF(AND(PROCESSOS!B642&lt;&gt;"",ISNUMBER(PROCESSOS!D642),OR(FiltroResp="TODOS",FiltroResp="",PROCESSOS!H642=FiltroResp)),PROCESSOS!D642+ROW()/1000000,"")</f>
        <v/>
      </c>
    </row>
    <row r="643">
      <c r="BF643" t="str">
        <f>IF(AND(OR(PROCESSOS!P643="NO PRAZO",PROCESSOS!P643="VENCE EM BREVE"),OR(FiltroResp="TODOS",FiltroResp="",PROCESSOS!H643=FiltroResp)),PROCESSOS!N643+ROW()/1000000,"")</f>
        <v/>
      </c>
      <c r="BG643" t="str">
        <f>IF(AND(PROCESSOS!B643&lt;&gt;"",ISNUMBER(PROCESSOS!D643),OR(FiltroResp="TODOS",FiltroResp="",PROCESSOS!H643=FiltroResp)),PROCESSOS!D643+ROW()/1000000,"")</f>
        <v/>
      </c>
    </row>
    <row r="644">
      <c r="BF644" t="str">
        <f>IF(AND(OR(PROCESSOS!P644="NO PRAZO",PROCESSOS!P644="VENCE EM BREVE"),OR(FiltroResp="TODOS",FiltroResp="",PROCESSOS!H644=FiltroResp)),PROCESSOS!N644+ROW()/1000000,"")</f>
        <v/>
      </c>
      <c r="BG644" t="str">
        <f>IF(AND(PROCESSOS!B644&lt;&gt;"",ISNUMBER(PROCESSOS!D644),OR(FiltroResp="TODOS",FiltroResp="",PROCESSOS!H644=FiltroResp)),PROCESSOS!D644+ROW()/1000000,"")</f>
        <v/>
      </c>
    </row>
    <row r="645">
      <c r="BF645" t="str">
        <f>IF(AND(OR(PROCESSOS!P645="NO PRAZO",PROCESSOS!P645="VENCE EM BREVE"),OR(FiltroResp="TODOS",FiltroResp="",PROCESSOS!H645=FiltroResp)),PROCESSOS!N645+ROW()/1000000,"")</f>
        <v/>
      </c>
      <c r="BG645" t="str">
        <f>IF(AND(PROCESSOS!B645&lt;&gt;"",ISNUMBER(PROCESSOS!D645),OR(FiltroResp="TODOS",FiltroResp="",PROCESSOS!H645=FiltroResp)),PROCESSOS!D645+ROW()/1000000,"")</f>
        <v/>
      </c>
    </row>
    <row r="646">
      <c r="BF646" t="str">
        <f>IF(AND(OR(PROCESSOS!P646="NO PRAZO",PROCESSOS!P646="VENCE EM BREVE"),OR(FiltroResp="TODOS",FiltroResp="",PROCESSOS!H646=FiltroResp)),PROCESSOS!N646+ROW()/1000000,"")</f>
        <v/>
      </c>
      <c r="BG646" t="str">
        <f>IF(AND(PROCESSOS!B646&lt;&gt;"",ISNUMBER(PROCESSOS!D646),OR(FiltroResp="TODOS",FiltroResp="",PROCESSOS!H646=FiltroResp)),PROCESSOS!D646+ROW()/1000000,"")</f>
        <v/>
      </c>
    </row>
    <row r="647">
      <c r="BF647" t="str">
        <f>IF(AND(OR(PROCESSOS!P647="NO PRAZO",PROCESSOS!P647="VENCE EM BREVE"),OR(FiltroResp="TODOS",FiltroResp="",PROCESSOS!H647=FiltroResp)),PROCESSOS!N647+ROW()/1000000,"")</f>
        <v/>
      </c>
      <c r="BG647" t="str">
        <f>IF(AND(PROCESSOS!B647&lt;&gt;"",ISNUMBER(PROCESSOS!D647),OR(FiltroResp="TODOS",FiltroResp="",PROCESSOS!H647=FiltroResp)),PROCESSOS!D647+ROW()/1000000,"")</f>
        <v/>
      </c>
    </row>
    <row r="648">
      <c r="BF648" t="str">
        <f>IF(AND(OR(PROCESSOS!P648="NO PRAZO",PROCESSOS!P648="VENCE EM BREVE"),OR(FiltroResp="TODOS",FiltroResp="",PROCESSOS!H648=FiltroResp)),PROCESSOS!N648+ROW()/1000000,"")</f>
        <v/>
      </c>
      <c r="BG648" t="str">
        <f>IF(AND(PROCESSOS!B648&lt;&gt;"",ISNUMBER(PROCESSOS!D648),OR(FiltroResp="TODOS",FiltroResp="",PROCESSOS!H648=FiltroResp)),PROCESSOS!D648+ROW()/1000000,"")</f>
        <v/>
      </c>
    </row>
    <row r="649">
      <c r="BF649" t="str">
        <f>IF(AND(OR(PROCESSOS!P649="NO PRAZO",PROCESSOS!P649="VENCE EM BREVE"),OR(FiltroResp="TODOS",FiltroResp="",PROCESSOS!H649=FiltroResp)),PROCESSOS!N649+ROW()/1000000,"")</f>
        <v/>
      </c>
      <c r="BG649" t="str">
        <f>IF(AND(PROCESSOS!B649&lt;&gt;"",ISNUMBER(PROCESSOS!D649),OR(FiltroResp="TODOS",FiltroResp="",PROCESSOS!H649=FiltroResp)),PROCESSOS!D649+ROW()/1000000,"")</f>
        <v/>
      </c>
    </row>
    <row r="650">
      <c r="BF650" t="str">
        <f>IF(AND(OR(PROCESSOS!P650="NO PRAZO",PROCESSOS!P650="VENCE EM BREVE"),OR(FiltroResp="TODOS",FiltroResp="",PROCESSOS!H650=FiltroResp)),PROCESSOS!N650+ROW()/1000000,"")</f>
        <v/>
      </c>
      <c r="BG650" t="str">
        <f>IF(AND(PROCESSOS!B650&lt;&gt;"",ISNUMBER(PROCESSOS!D650),OR(FiltroResp="TODOS",FiltroResp="",PROCESSOS!H650=FiltroResp)),PROCESSOS!D650+ROW()/1000000,"")</f>
        <v/>
      </c>
    </row>
    <row r="651">
      <c r="BF651" t="str">
        <f>IF(AND(OR(PROCESSOS!P651="NO PRAZO",PROCESSOS!P651="VENCE EM BREVE"),OR(FiltroResp="TODOS",FiltroResp="",PROCESSOS!H651=FiltroResp)),PROCESSOS!N651+ROW()/1000000,"")</f>
        <v/>
      </c>
      <c r="BG651" t="str">
        <f>IF(AND(PROCESSOS!B651&lt;&gt;"",ISNUMBER(PROCESSOS!D651),OR(FiltroResp="TODOS",FiltroResp="",PROCESSOS!H651=FiltroResp)),PROCESSOS!D651+ROW()/1000000,"")</f>
        <v/>
      </c>
    </row>
    <row r="652">
      <c r="BF652" t="str">
        <f>IF(AND(OR(PROCESSOS!P652="NO PRAZO",PROCESSOS!P652="VENCE EM BREVE"),OR(FiltroResp="TODOS",FiltroResp="",PROCESSOS!H652=FiltroResp)),PROCESSOS!N652+ROW()/1000000,"")</f>
        <v/>
      </c>
      <c r="BG652" t="str">
        <f>IF(AND(PROCESSOS!B652&lt;&gt;"",ISNUMBER(PROCESSOS!D652),OR(FiltroResp="TODOS",FiltroResp="",PROCESSOS!H652=FiltroResp)),PROCESSOS!D652+ROW()/1000000,"")</f>
        <v/>
      </c>
    </row>
    <row r="653">
      <c r="BF653" t="str">
        <f>IF(AND(OR(PROCESSOS!P653="NO PRAZO",PROCESSOS!P653="VENCE EM BREVE"),OR(FiltroResp="TODOS",FiltroResp="",PROCESSOS!H653=FiltroResp)),PROCESSOS!N653+ROW()/1000000,"")</f>
        <v/>
      </c>
      <c r="BG653" t="str">
        <f>IF(AND(PROCESSOS!B653&lt;&gt;"",ISNUMBER(PROCESSOS!D653),OR(FiltroResp="TODOS",FiltroResp="",PROCESSOS!H653=FiltroResp)),PROCESSOS!D653+ROW()/1000000,"")</f>
        <v/>
      </c>
    </row>
    <row r="654">
      <c r="BF654" t="str">
        <f>IF(AND(OR(PROCESSOS!P654="NO PRAZO",PROCESSOS!P654="VENCE EM BREVE"),OR(FiltroResp="TODOS",FiltroResp="",PROCESSOS!H654=FiltroResp)),PROCESSOS!N654+ROW()/1000000,"")</f>
        <v/>
      </c>
      <c r="BG654" t="str">
        <f>IF(AND(PROCESSOS!B654&lt;&gt;"",ISNUMBER(PROCESSOS!D654),OR(FiltroResp="TODOS",FiltroResp="",PROCESSOS!H654=FiltroResp)),PROCESSOS!D654+ROW()/1000000,"")</f>
        <v/>
      </c>
    </row>
    <row r="655">
      <c r="BF655" t="str">
        <f>IF(AND(OR(PROCESSOS!P655="NO PRAZO",PROCESSOS!P655="VENCE EM BREVE"),OR(FiltroResp="TODOS",FiltroResp="",PROCESSOS!H655=FiltroResp)),PROCESSOS!N655+ROW()/1000000,"")</f>
        <v/>
      </c>
      <c r="BG655" t="str">
        <f>IF(AND(PROCESSOS!B655&lt;&gt;"",ISNUMBER(PROCESSOS!D655),OR(FiltroResp="TODOS",FiltroResp="",PROCESSOS!H655=FiltroResp)),PROCESSOS!D655+ROW()/1000000,"")</f>
        <v/>
      </c>
    </row>
    <row r="656">
      <c r="BF656" t="str">
        <f>IF(AND(OR(PROCESSOS!P656="NO PRAZO",PROCESSOS!P656="VENCE EM BREVE"),OR(FiltroResp="TODOS",FiltroResp="",PROCESSOS!H656=FiltroResp)),PROCESSOS!N656+ROW()/1000000,"")</f>
        <v/>
      </c>
      <c r="BG656" t="str">
        <f>IF(AND(PROCESSOS!B656&lt;&gt;"",ISNUMBER(PROCESSOS!D656),OR(FiltroResp="TODOS",FiltroResp="",PROCESSOS!H656=FiltroResp)),PROCESSOS!D656+ROW()/1000000,"")</f>
        <v/>
      </c>
    </row>
    <row r="657">
      <c r="BF657" t="str">
        <f>IF(AND(OR(PROCESSOS!P657="NO PRAZO",PROCESSOS!P657="VENCE EM BREVE"),OR(FiltroResp="TODOS",FiltroResp="",PROCESSOS!H657=FiltroResp)),PROCESSOS!N657+ROW()/1000000,"")</f>
        <v/>
      </c>
      <c r="BG657" t="str">
        <f>IF(AND(PROCESSOS!B657&lt;&gt;"",ISNUMBER(PROCESSOS!D657),OR(FiltroResp="TODOS",FiltroResp="",PROCESSOS!H657=FiltroResp)),PROCESSOS!D657+ROW()/1000000,"")</f>
        <v/>
      </c>
    </row>
    <row r="658">
      <c r="BF658" t="str">
        <f>IF(AND(OR(PROCESSOS!P658="NO PRAZO",PROCESSOS!P658="VENCE EM BREVE"),OR(FiltroResp="TODOS",FiltroResp="",PROCESSOS!H658=FiltroResp)),PROCESSOS!N658+ROW()/1000000,"")</f>
        <v/>
      </c>
      <c r="BG658" t="str">
        <f>IF(AND(PROCESSOS!B658&lt;&gt;"",ISNUMBER(PROCESSOS!D658),OR(FiltroResp="TODOS",FiltroResp="",PROCESSOS!H658=FiltroResp)),PROCESSOS!D658+ROW()/1000000,"")</f>
        <v/>
      </c>
    </row>
    <row r="659">
      <c r="BF659" t="str">
        <f>IF(AND(OR(PROCESSOS!P659="NO PRAZO",PROCESSOS!P659="VENCE EM BREVE"),OR(FiltroResp="TODOS",FiltroResp="",PROCESSOS!H659=FiltroResp)),PROCESSOS!N659+ROW()/1000000,"")</f>
        <v/>
      </c>
      <c r="BG659" t="str">
        <f>IF(AND(PROCESSOS!B659&lt;&gt;"",ISNUMBER(PROCESSOS!D659),OR(FiltroResp="TODOS",FiltroResp="",PROCESSOS!H659=FiltroResp)),PROCESSOS!D659+ROW()/1000000,"")</f>
        <v/>
      </c>
    </row>
    <row r="660">
      <c r="BF660" t="str">
        <f>IF(AND(OR(PROCESSOS!P660="NO PRAZO",PROCESSOS!P660="VENCE EM BREVE"),OR(FiltroResp="TODOS",FiltroResp="",PROCESSOS!H660=FiltroResp)),PROCESSOS!N660+ROW()/1000000,"")</f>
        <v/>
      </c>
      <c r="BG660" t="str">
        <f>IF(AND(PROCESSOS!B660&lt;&gt;"",ISNUMBER(PROCESSOS!D660),OR(FiltroResp="TODOS",FiltroResp="",PROCESSOS!H660=FiltroResp)),PROCESSOS!D660+ROW()/1000000,"")</f>
        <v/>
      </c>
    </row>
    <row r="661">
      <c r="BF661" t="str">
        <f>IF(AND(OR(PROCESSOS!P661="NO PRAZO",PROCESSOS!P661="VENCE EM BREVE"),OR(FiltroResp="TODOS",FiltroResp="",PROCESSOS!H661=FiltroResp)),PROCESSOS!N661+ROW()/1000000,"")</f>
        <v/>
      </c>
      <c r="BG661" t="str">
        <f>IF(AND(PROCESSOS!B661&lt;&gt;"",ISNUMBER(PROCESSOS!D661),OR(FiltroResp="TODOS",FiltroResp="",PROCESSOS!H661=FiltroResp)),PROCESSOS!D661+ROW()/1000000,"")</f>
        <v/>
      </c>
    </row>
    <row r="662">
      <c r="BF662" t="str">
        <f>IF(AND(OR(PROCESSOS!P662="NO PRAZO",PROCESSOS!P662="VENCE EM BREVE"),OR(FiltroResp="TODOS",FiltroResp="",PROCESSOS!H662=FiltroResp)),PROCESSOS!N662+ROW()/1000000,"")</f>
        <v/>
      </c>
      <c r="BG662" t="str">
        <f>IF(AND(PROCESSOS!B662&lt;&gt;"",ISNUMBER(PROCESSOS!D662),OR(FiltroResp="TODOS",FiltroResp="",PROCESSOS!H662=FiltroResp)),PROCESSOS!D662+ROW()/1000000,"")</f>
        <v/>
      </c>
    </row>
    <row r="663">
      <c r="BF663" t="str">
        <f>IF(AND(OR(PROCESSOS!P663="NO PRAZO",PROCESSOS!P663="VENCE EM BREVE"),OR(FiltroResp="TODOS",FiltroResp="",PROCESSOS!H663=FiltroResp)),PROCESSOS!N663+ROW()/1000000,"")</f>
        <v/>
      </c>
      <c r="BG663" t="str">
        <f>IF(AND(PROCESSOS!B663&lt;&gt;"",ISNUMBER(PROCESSOS!D663),OR(FiltroResp="TODOS",FiltroResp="",PROCESSOS!H663=FiltroResp)),PROCESSOS!D663+ROW()/1000000,"")</f>
        <v/>
      </c>
    </row>
    <row r="664">
      <c r="BF664" t="str">
        <f>IF(AND(OR(PROCESSOS!P664="NO PRAZO",PROCESSOS!P664="VENCE EM BREVE"),OR(FiltroResp="TODOS",FiltroResp="",PROCESSOS!H664=FiltroResp)),PROCESSOS!N664+ROW()/1000000,"")</f>
        <v/>
      </c>
      <c r="BG664" t="str">
        <f>IF(AND(PROCESSOS!B664&lt;&gt;"",ISNUMBER(PROCESSOS!D664),OR(FiltroResp="TODOS",FiltroResp="",PROCESSOS!H664=FiltroResp)),PROCESSOS!D664+ROW()/1000000,"")</f>
        <v/>
      </c>
    </row>
    <row r="665">
      <c r="BF665" t="str">
        <f>IF(AND(OR(PROCESSOS!P665="NO PRAZO",PROCESSOS!P665="VENCE EM BREVE"),OR(FiltroResp="TODOS",FiltroResp="",PROCESSOS!H665=FiltroResp)),PROCESSOS!N665+ROW()/1000000,"")</f>
        <v/>
      </c>
      <c r="BG665" t="str">
        <f>IF(AND(PROCESSOS!B665&lt;&gt;"",ISNUMBER(PROCESSOS!D665),OR(FiltroResp="TODOS",FiltroResp="",PROCESSOS!H665=FiltroResp)),PROCESSOS!D665+ROW()/1000000,"")</f>
        <v/>
      </c>
    </row>
    <row r="666">
      <c r="BF666" t="str">
        <f>IF(AND(OR(PROCESSOS!P666="NO PRAZO",PROCESSOS!P666="VENCE EM BREVE"),OR(FiltroResp="TODOS",FiltroResp="",PROCESSOS!H666=FiltroResp)),PROCESSOS!N666+ROW()/1000000,"")</f>
        <v/>
      </c>
      <c r="BG666" t="str">
        <f>IF(AND(PROCESSOS!B666&lt;&gt;"",ISNUMBER(PROCESSOS!D666),OR(FiltroResp="TODOS",FiltroResp="",PROCESSOS!H666=FiltroResp)),PROCESSOS!D666+ROW()/1000000,"")</f>
        <v/>
      </c>
    </row>
    <row r="667">
      <c r="BF667" t="str">
        <f>IF(AND(OR(PROCESSOS!P667="NO PRAZO",PROCESSOS!P667="VENCE EM BREVE"),OR(FiltroResp="TODOS",FiltroResp="",PROCESSOS!H667=FiltroResp)),PROCESSOS!N667+ROW()/1000000,"")</f>
        <v/>
      </c>
      <c r="BG667" t="str">
        <f>IF(AND(PROCESSOS!B667&lt;&gt;"",ISNUMBER(PROCESSOS!D667),OR(FiltroResp="TODOS",FiltroResp="",PROCESSOS!H667=FiltroResp)),PROCESSOS!D667+ROW()/1000000,"")</f>
        <v/>
      </c>
    </row>
    <row r="668">
      <c r="BF668" t="str">
        <f>IF(AND(OR(PROCESSOS!P668="NO PRAZO",PROCESSOS!P668="VENCE EM BREVE"),OR(FiltroResp="TODOS",FiltroResp="",PROCESSOS!H668=FiltroResp)),PROCESSOS!N668+ROW()/1000000,"")</f>
        <v/>
      </c>
      <c r="BG668" t="str">
        <f>IF(AND(PROCESSOS!B668&lt;&gt;"",ISNUMBER(PROCESSOS!D668),OR(FiltroResp="TODOS",FiltroResp="",PROCESSOS!H668=FiltroResp)),PROCESSOS!D668+ROW()/1000000,"")</f>
        <v/>
      </c>
    </row>
    <row r="669">
      <c r="BF669" t="str">
        <f>IF(AND(OR(PROCESSOS!P669="NO PRAZO",PROCESSOS!P669="VENCE EM BREVE"),OR(FiltroResp="TODOS",FiltroResp="",PROCESSOS!H669=FiltroResp)),PROCESSOS!N669+ROW()/1000000,"")</f>
        <v/>
      </c>
      <c r="BG669" t="str">
        <f>IF(AND(PROCESSOS!B669&lt;&gt;"",ISNUMBER(PROCESSOS!D669),OR(FiltroResp="TODOS",FiltroResp="",PROCESSOS!H669=FiltroResp)),PROCESSOS!D669+ROW()/1000000,"")</f>
        <v/>
      </c>
    </row>
    <row r="670">
      <c r="BF670" t="str">
        <f>IF(AND(OR(PROCESSOS!P670="NO PRAZO",PROCESSOS!P670="VENCE EM BREVE"),OR(FiltroResp="TODOS",FiltroResp="",PROCESSOS!H670=FiltroResp)),PROCESSOS!N670+ROW()/1000000,"")</f>
        <v/>
      </c>
      <c r="BG670" t="str">
        <f>IF(AND(PROCESSOS!B670&lt;&gt;"",ISNUMBER(PROCESSOS!D670),OR(FiltroResp="TODOS",FiltroResp="",PROCESSOS!H670=FiltroResp)),PROCESSOS!D670+ROW()/1000000,"")</f>
        <v/>
      </c>
    </row>
    <row r="671">
      <c r="BF671" t="str">
        <f>IF(AND(OR(PROCESSOS!P671="NO PRAZO",PROCESSOS!P671="VENCE EM BREVE"),OR(FiltroResp="TODOS",FiltroResp="",PROCESSOS!H671=FiltroResp)),PROCESSOS!N671+ROW()/1000000,"")</f>
        <v/>
      </c>
      <c r="BG671" t="str">
        <f>IF(AND(PROCESSOS!B671&lt;&gt;"",ISNUMBER(PROCESSOS!D671),OR(FiltroResp="TODOS",FiltroResp="",PROCESSOS!H671=FiltroResp)),PROCESSOS!D671+ROW()/1000000,"")</f>
        <v/>
      </c>
    </row>
    <row r="672">
      <c r="BF672" t="str">
        <f>IF(AND(OR(PROCESSOS!P672="NO PRAZO",PROCESSOS!P672="VENCE EM BREVE"),OR(FiltroResp="TODOS",FiltroResp="",PROCESSOS!H672=FiltroResp)),PROCESSOS!N672+ROW()/1000000,"")</f>
        <v/>
      </c>
      <c r="BG672" t="str">
        <f>IF(AND(PROCESSOS!B672&lt;&gt;"",ISNUMBER(PROCESSOS!D672),OR(FiltroResp="TODOS",FiltroResp="",PROCESSOS!H672=FiltroResp)),PROCESSOS!D672+ROW()/1000000,"")</f>
        <v/>
      </c>
    </row>
    <row r="673">
      <c r="BF673" t="str">
        <f>IF(AND(OR(PROCESSOS!P673="NO PRAZO",PROCESSOS!P673="VENCE EM BREVE"),OR(FiltroResp="TODOS",FiltroResp="",PROCESSOS!H673=FiltroResp)),PROCESSOS!N673+ROW()/1000000,"")</f>
        <v/>
      </c>
      <c r="BG673" t="str">
        <f>IF(AND(PROCESSOS!B673&lt;&gt;"",ISNUMBER(PROCESSOS!D673),OR(FiltroResp="TODOS",FiltroResp="",PROCESSOS!H673=FiltroResp)),PROCESSOS!D673+ROW()/1000000,"")</f>
        <v/>
      </c>
    </row>
    <row r="674">
      <c r="BF674" t="str">
        <f>IF(AND(OR(PROCESSOS!P674="NO PRAZO",PROCESSOS!P674="VENCE EM BREVE"),OR(FiltroResp="TODOS",FiltroResp="",PROCESSOS!H674=FiltroResp)),PROCESSOS!N674+ROW()/1000000,"")</f>
        <v/>
      </c>
      <c r="BG674" t="str">
        <f>IF(AND(PROCESSOS!B674&lt;&gt;"",ISNUMBER(PROCESSOS!D674),OR(FiltroResp="TODOS",FiltroResp="",PROCESSOS!H674=FiltroResp)),PROCESSOS!D674+ROW()/1000000,"")</f>
        <v/>
      </c>
    </row>
    <row r="675">
      <c r="BF675" t="str">
        <f>IF(AND(OR(PROCESSOS!P675="NO PRAZO",PROCESSOS!P675="VENCE EM BREVE"),OR(FiltroResp="TODOS",FiltroResp="",PROCESSOS!H675=FiltroResp)),PROCESSOS!N675+ROW()/1000000,"")</f>
        <v/>
      </c>
      <c r="BG675" t="str">
        <f>IF(AND(PROCESSOS!B675&lt;&gt;"",ISNUMBER(PROCESSOS!D675),OR(FiltroResp="TODOS",FiltroResp="",PROCESSOS!H675=FiltroResp)),PROCESSOS!D675+ROW()/1000000,"")</f>
        <v/>
      </c>
    </row>
    <row r="676">
      <c r="BF676" t="str">
        <f>IF(AND(OR(PROCESSOS!P676="NO PRAZO",PROCESSOS!P676="VENCE EM BREVE"),OR(FiltroResp="TODOS",FiltroResp="",PROCESSOS!H676=FiltroResp)),PROCESSOS!N676+ROW()/1000000,"")</f>
        <v/>
      </c>
      <c r="BG676" t="str">
        <f>IF(AND(PROCESSOS!B676&lt;&gt;"",ISNUMBER(PROCESSOS!D676),OR(FiltroResp="TODOS",FiltroResp="",PROCESSOS!H676=FiltroResp)),PROCESSOS!D676+ROW()/1000000,"")</f>
        <v/>
      </c>
    </row>
    <row r="677">
      <c r="BF677" t="str">
        <f>IF(AND(OR(PROCESSOS!P677="NO PRAZO",PROCESSOS!P677="VENCE EM BREVE"),OR(FiltroResp="TODOS",FiltroResp="",PROCESSOS!H677=FiltroResp)),PROCESSOS!N677+ROW()/1000000,"")</f>
        <v/>
      </c>
      <c r="BG677" t="str">
        <f>IF(AND(PROCESSOS!B677&lt;&gt;"",ISNUMBER(PROCESSOS!D677),OR(FiltroResp="TODOS",FiltroResp="",PROCESSOS!H677=FiltroResp)),PROCESSOS!D677+ROW()/1000000,"")</f>
        <v/>
      </c>
    </row>
    <row r="678">
      <c r="BF678" t="str">
        <f>IF(AND(OR(PROCESSOS!P678="NO PRAZO",PROCESSOS!P678="VENCE EM BREVE"),OR(FiltroResp="TODOS",FiltroResp="",PROCESSOS!H678=FiltroResp)),PROCESSOS!N678+ROW()/1000000,"")</f>
        <v/>
      </c>
      <c r="BG678" t="str">
        <f>IF(AND(PROCESSOS!B678&lt;&gt;"",ISNUMBER(PROCESSOS!D678),OR(FiltroResp="TODOS",FiltroResp="",PROCESSOS!H678=FiltroResp)),PROCESSOS!D678+ROW()/1000000,"")</f>
        <v/>
      </c>
    </row>
    <row r="679">
      <c r="BF679" t="str">
        <f>IF(AND(OR(PROCESSOS!P679="NO PRAZO",PROCESSOS!P679="VENCE EM BREVE"),OR(FiltroResp="TODOS",FiltroResp="",PROCESSOS!H679=FiltroResp)),PROCESSOS!N679+ROW()/1000000,"")</f>
        <v/>
      </c>
      <c r="BG679" t="str">
        <f>IF(AND(PROCESSOS!B679&lt;&gt;"",ISNUMBER(PROCESSOS!D679),OR(FiltroResp="TODOS",FiltroResp="",PROCESSOS!H679=FiltroResp)),PROCESSOS!D679+ROW()/1000000,"")</f>
        <v/>
      </c>
    </row>
    <row r="680">
      <c r="BF680" t="str">
        <f>IF(AND(OR(PROCESSOS!P680="NO PRAZO",PROCESSOS!P680="VENCE EM BREVE"),OR(FiltroResp="TODOS",FiltroResp="",PROCESSOS!H680=FiltroResp)),PROCESSOS!N680+ROW()/1000000,"")</f>
        <v/>
      </c>
      <c r="BG680" t="str">
        <f>IF(AND(PROCESSOS!B680&lt;&gt;"",ISNUMBER(PROCESSOS!D680),OR(FiltroResp="TODOS",FiltroResp="",PROCESSOS!H680=FiltroResp)),PROCESSOS!D680+ROW()/1000000,"")</f>
        <v/>
      </c>
    </row>
    <row r="681">
      <c r="BF681" t="str">
        <f>IF(AND(OR(PROCESSOS!P681="NO PRAZO",PROCESSOS!P681="VENCE EM BREVE"),OR(FiltroResp="TODOS",FiltroResp="",PROCESSOS!H681=FiltroResp)),PROCESSOS!N681+ROW()/1000000,"")</f>
        <v/>
      </c>
      <c r="BG681" t="str">
        <f>IF(AND(PROCESSOS!B681&lt;&gt;"",ISNUMBER(PROCESSOS!D681),OR(FiltroResp="TODOS",FiltroResp="",PROCESSOS!H681=FiltroResp)),PROCESSOS!D681+ROW()/1000000,"")</f>
        <v/>
      </c>
    </row>
    <row r="682">
      <c r="BF682" t="str">
        <f>IF(AND(OR(PROCESSOS!P682="NO PRAZO",PROCESSOS!P682="VENCE EM BREVE"),OR(FiltroResp="TODOS",FiltroResp="",PROCESSOS!H682=FiltroResp)),PROCESSOS!N682+ROW()/1000000,"")</f>
        <v/>
      </c>
      <c r="BG682" t="str">
        <f>IF(AND(PROCESSOS!B682&lt;&gt;"",ISNUMBER(PROCESSOS!D682),OR(FiltroResp="TODOS",FiltroResp="",PROCESSOS!H682=FiltroResp)),PROCESSOS!D682+ROW()/1000000,"")</f>
        <v/>
      </c>
    </row>
    <row r="683">
      <c r="BF683" t="str">
        <f>IF(AND(OR(PROCESSOS!P683="NO PRAZO",PROCESSOS!P683="VENCE EM BREVE"),OR(FiltroResp="TODOS",FiltroResp="",PROCESSOS!H683=FiltroResp)),PROCESSOS!N683+ROW()/1000000,"")</f>
        <v/>
      </c>
      <c r="BG683" t="str">
        <f>IF(AND(PROCESSOS!B683&lt;&gt;"",ISNUMBER(PROCESSOS!D683),OR(FiltroResp="TODOS",FiltroResp="",PROCESSOS!H683=FiltroResp)),PROCESSOS!D683+ROW()/1000000,"")</f>
        <v/>
      </c>
    </row>
    <row r="684">
      <c r="BF684" t="str">
        <f>IF(AND(OR(PROCESSOS!P684="NO PRAZO",PROCESSOS!P684="VENCE EM BREVE"),OR(FiltroResp="TODOS",FiltroResp="",PROCESSOS!H684=FiltroResp)),PROCESSOS!N684+ROW()/1000000,"")</f>
        <v/>
      </c>
      <c r="BG684" t="str">
        <f>IF(AND(PROCESSOS!B684&lt;&gt;"",ISNUMBER(PROCESSOS!D684),OR(FiltroResp="TODOS",FiltroResp="",PROCESSOS!H684=FiltroResp)),PROCESSOS!D684+ROW()/1000000,"")</f>
        <v/>
      </c>
    </row>
    <row r="685">
      <c r="BF685" t="str">
        <f>IF(AND(OR(PROCESSOS!P685="NO PRAZO",PROCESSOS!P685="VENCE EM BREVE"),OR(FiltroResp="TODOS",FiltroResp="",PROCESSOS!H685=FiltroResp)),PROCESSOS!N685+ROW()/1000000,"")</f>
        <v/>
      </c>
      <c r="BG685" t="str">
        <f>IF(AND(PROCESSOS!B685&lt;&gt;"",ISNUMBER(PROCESSOS!D685),OR(FiltroResp="TODOS",FiltroResp="",PROCESSOS!H685=FiltroResp)),PROCESSOS!D685+ROW()/1000000,"")</f>
        <v/>
      </c>
    </row>
    <row r="686">
      <c r="BF686" t="str">
        <f>IF(AND(OR(PROCESSOS!P686="NO PRAZO",PROCESSOS!P686="VENCE EM BREVE"),OR(FiltroResp="TODOS",FiltroResp="",PROCESSOS!H686=FiltroResp)),PROCESSOS!N686+ROW()/1000000,"")</f>
        <v/>
      </c>
      <c r="BG686" t="str">
        <f>IF(AND(PROCESSOS!B686&lt;&gt;"",ISNUMBER(PROCESSOS!D686),OR(FiltroResp="TODOS",FiltroResp="",PROCESSOS!H686=FiltroResp)),PROCESSOS!D686+ROW()/1000000,"")</f>
        <v/>
      </c>
    </row>
    <row r="687">
      <c r="BF687" t="str">
        <f>IF(AND(OR(PROCESSOS!P687="NO PRAZO",PROCESSOS!P687="VENCE EM BREVE"),OR(FiltroResp="TODOS",FiltroResp="",PROCESSOS!H687=FiltroResp)),PROCESSOS!N687+ROW()/1000000,"")</f>
        <v/>
      </c>
      <c r="BG687" t="str">
        <f>IF(AND(PROCESSOS!B687&lt;&gt;"",ISNUMBER(PROCESSOS!D687),OR(FiltroResp="TODOS",FiltroResp="",PROCESSOS!H687=FiltroResp)),PROCESSOS!D687+ROW()/1000000,"")</f>
        <v/>
      </c>
    </row>
    <row r="688">
      <c r="BF688" t="str">
        <f>IF(AND(OR(PROCESSOS!P688="NO PRAZO",PROCESSOS!P688="VENCE EM BREVE"),OR(FiltroResp="TODOS",FiltroResp="",PROCESSOS!H688=FiltroResp)),PROCESSOS!N688+ROW()/1000000,"")</f>
        <v/>
      </c>
      <c r="BG688" t="str">
        <f>IF(AND(PROCESSOS!B688&lt;&gt;"",ISNUMBER(PROCESSOS!D688),OR(FiltroResp="TODOS",FiltroResp="",PROCESSOS!H688=FiltroResp)),PROCESSOS!D688+ROW()/1000000,"")</f>
        <v/>
      </c>
    </row>
    <row r="689">
      <c r="BF689" t="str">
        <f>IF(AND(OR(PROCESSOS!P689="NO PRAZO",PROCESSOS!P689="VENCE EM BREVE"),OR(FiltroResp="TODOS",FiltroResp="",PROCESSOS!H689=FiltroResp)),PROCESSOS!N689+ROW()/1000000,"")</f>
        <v/>
      </c>
      <c r="BG689" t="str">
        <f>IF(AND(PROCESSOS!B689&lt;&gt;"",ISNUMBER(PROCESSOS!D689),OR(FiltroResp="TODOS",FiltroResp="",PROCESSOS!H689=FiltroResp)),PROCESSOS!D689+ROW()/1000000,"")</f>
        <v/>
      </c>
    </row>
    <row r="690">
      <c r="BF690" t="str">
        <f>IF(AND(OR(PROCESSOS!P690="NO PRAZO",PROCESSOS!P690="VENCE EM BREVE"),OR(FiltroResp="TODOS",FiltroResp="",PROCESSOS!H690=FiltroResp)),PROCESSOS!N690+ROW()/1000000,"")</f>
        <v/>
      </c>
      <c r="BG690" t="str">
        <f>IF(AND(PROCESSOS!B690&lt;&gt;"",ISNUMBER(PROCESSOS!D690),OR(FiltroResp="TODOS",FiltroResp="",PROCESSOS!H690=FiltroResp)),PROCESSOS!D690+ROW()/1000000,"")</f>
        <v/>
      </c>
    </row>
    <row r="691">
      <c r="BF691" t="str">
        <f>IF(AND(OR(PROCESSOS!P691="NO PRAZO",PROCESSOS!P691="VENCE EM BREVE"),OR(FiltroResp="TODOS",FiltroResp="",PROCESSOS!H691=FiltroResp)),PROCESSOS!N691+ROW()/1000000,"")</f>
        <v/>
      </c>
      <c r="BG691" t="str">
        <f>IF(AND(PROCESSOS!B691&lt;&gt;"",ISNUMBER(PROCESSOS!D691),OR(FiltroResp="TODOS",FiltroResp="",PROCESSOS!H691=FiltroResp)),PROCESSOS!D691+ROW()/1000000,"")</f>
        <v/>
      </c>
    </row>
    <row r="692">
      <c r="BF692" t="str">
        <f>IF(AND(OR(PROCESSOS!P692="NO PRAZO",PROCESSOS!P692="VENCE EM BREVE"),OR(FiltroResp="TODOS",FiltroResp="",PROCESSOS!H692=FiltroResp)),PROCESSOS!N692+ROW()/1000000,"")</f>
        <v/>
      </c>
      <c r="BG692" t="str">
        <f>IF(AND(PROCESSOS!B692&lt;&gt;"",ISNUMBER(PROCESSOS!D692),OR(FiltroResp="TODOS",FiltroResp="",PROCESSOS!H692=FiltroResp)),PROCESSOS!D692+ROW()/1000000,"")</f>
        <v/>
      </c>
    </row>
    <row r="693">
      <c r="BF693" t="str">
        <f>IF(AND(OR(PROCESSOS!P693="NO PRAZO",PROCESSOS!P693="VENCE EM BREVE"),OR(FiltroResp="TODOS",FiltroResp="",PROCESSOS!H693=FiltroResp)),PROCESSOS!N693+ROW()/1000000,"")</f>
        <v/>
      </c>
      <c r="BG693" t="str">
        <f>IF(AND(PROCESSOS!B693&lt;&gt;"",ISNUMBER(PROCESSOS!D693),OR(FiltroResp="TODOS",FiltroResp="",PROCESSOS!H693=FiltroResp)),PROCESSOS!D693+ROW()/1000000,"")</f>
        <v/>
      </c>
    </row>
    <row r="694">
      <c r="BF694" t="str">
        <f>IF(AND(OR(PROCESSOS!P694="NO PRAZO",PROCESSOS!P694="VENCE EM BREVE"),OR(FiltroResp="TODOS",FiltroResp="",PROCESSOS!H694=FiltroResp)),PROCESSOS!N694+ROW()/1000000,"")</f>
        <v/>
      </c>
      <c r="BG694" t="str">
        <f>IF(AND(PROCESSOS!B694&lt;&gt;"",ISNUMBER(PROCESSOS!D694),OR(FiltroResp="TODOS",FiltroResp="",PROCESSOS!H694=FiltroResp)),PROCESSOS!D694+ROW()/1000000,"")</f>
        <v/>
      </c>
    </row>
    <row r="695">
      <c r="BF695" t="str">
        <f>IF(AND(OR(PROCESSOS!P695="NO PRAZO",PROCESSOS!P695="VENCE EM BREVE"),OR(FiltroResp="TODOS",FiltroResp="",PROCESSOS!H695=FiltroResp)),PROCESSOS!N695+ROW()/1000000,"")</f>
        <v/>
      </c>
      <c r="BG695" t="str">
        <f>IF(AND(PROCESSOS!B695&lt;&gt;"",ISNUMBER(PROCESSOS!D695),OR(FiltroResp="TODOS",FiltroResp="",PROCESSOS!H695=FiltroResp)),PROCESSOS!D695+ROW()/1000000,"")</f>
        <v/>
      </c>
    </row>
    <row r="696">
      <c r="BF696" t="str">
        <f>IF(AND(OR(PROCESSOS!P696="NO PRAZO",PROCESSOS!P696="VENCE EM BREVE"),OR(FiltroResp="TODOS",FiltroResp="",PROCESSOS!H696=FiltroResp)),PROCESSOS!N696+ROW()/1000000,"")</f>
        <v/>
      </c>
      <c r="BG696" t="str">
        <f>IF(AND(PROCESSOS!B696&lt;&gt;"",ISNUMBER(PROCESSOS!D696),OR(FiltroResp="TODOS",FiltroResp="",PROCESSOS!H696=FiltroResp)),PROCESSOS!D696+ROW()/1000000,"")</f>
        <v/>
      </c>
    </row>
    <row r="697">
      <c r="BF697" t="str">
        <f>IF(AND(OR(PROCESSOS!P697="NO PRAZO",PROCESSOS!P697="VENCE EM BREVE"),OR(FiltroResp="TODOS",FiltroResp="",PROCESSOS!H697=FiltroResp)),PROCESSOS!N697+ROW()/1000000,"")</f>
        <v/>
      </c>
      <c r="BG697" t="str">
        <f>IF(AND(PROCESSOS!B697&lt;&gt;"",ISNUMBER(PROCESSOS!D697),OR(FiltroResp="TODOS",FiltroResp="",PROCESSOS!H697=FiltroResp)),PROCESSOS!D697+ROW()/1000000,"")</f>
        <v/>
      </c>
    </row>
    <row r="698">
      <c r="BF698" t="str">
        <f>IF(AND(OR(PROCESSOS!P698="NO PRAZO",PROCESSOS!P698="VENCE EM BREVE"),OR(FiltroResp="TODOS",FiltroResp="",PROCESSOS!H698=FiltroResp)),PROCESSOS!N698+ROW()/1000000,"")</f>
        <v/>
      </c>
      <c r="BG698" t="str">
        <f>IF(AND(PROCESSOS!B698&lt;&gt;"",ISNUMBER(PROCESSOS!D698),OR(FiltroResp="TODOS",FiltroResp="",PROCESSOS!H698=FiltroResp)),PROCESSOS!D698+ROW()/1000000,"")</f>
        <v/>
      </c>
    </row>
    <row r="699">
      <c r="BF699" t="str">
        <f>IF(AND(OR(PROCESSOS!P699="NO PRAZO",PROCESSOS!P699="VENCE EM BREVE"),OR(FiltroResp="TODOS",FiltroResp="",PROCESSOS!H699=FiltroResp)),PROCESSOS!N699+ROW()/1000000,"")</f>
        <v/>
      </c>
      <c r="BG699" t="str">
        <f>IF(AND(PROCESSOS!B699&lt;&gt;"",ISNUMBER(PROCESSOS!D699),OR(FiltroResp="TODOS",FiltroResp="",PROCESSOS!H699=FiltroResp)),PROCESSOS!D699+ROW()/1000000,"")</f>
        <v/>
      </c>
    </row>
    <row r="700">
      <c r="BF700" t="str">
        <f>IF(AND(OR(PROCESSOS!P700="NO PRAZO",PROCESSOS!P700="VENCE EM BREVE"),OR(FiltroResp="TODOS",FiltroResp="",PROCESSOS!H700=FiltroResp)),PROCESSOS!N700+ROW()/1000000,"")</f>
        <v/>
      </c>
      <c r="BG700" t="str">
        <f>IF(AND(PROCESSOS!B700&lt;&gt;"",ISNUMBER(PROCESSOS!D700),OR(FiltroResp="TODOS",FiltroResp="",PROCESSOS!H700=FiltroResp)),PROCESSOS!D700+ROW()/1000000,"")</f>
        <v/>
      </c>
    </row>
    <row r="701">
      <c r="BF701" t="str">
        <f>IF(AND(OR(PROCESSOS!P701="NO PRAZO",PROCESSOS!P701="VENCE EM BREVE"),OR(FiltroResp="TODOS",FiltroResp="",PROCESSOS!H701=FiltroResp)),PROCESSOS!N701+ROW()/1000000,"")</f>
        <v/>
      </c>
      <c r="BG701" t="str">
        <f>IF(AND(PROCESSOS!B701&lt;&gt;"",ISNUMBER(PROCESSOS!D701),OR(FiltroResp="TODOS",FiltroResp="",PROCESSOS!H701=FiltroResp)),PROCESSOS!D701+ROW()/1000000,"")</f>
        <v/>
      </c>
    </row>
    <row r="702">
      <c r="BF702" t="str">
        <f>IF(AND(OR(PROCESSOS!P702="NO PRAZO",PROCESSOS!P702="VENCE EM BREVE"),OR(FiltroResp="TODOS",FiltroResp="",PROCESSOS!H702=FiltroResp)),PROCESSOS!N702+ROW()/1000000,"")</f>
        <v/>
      </c>
      <c r="BG702" t="str">
        <f>IF(AND(PROCESSOS!B702&lt;&gt;"",ISNUMBER(PROCESSOS!D702),OR(FiltroResp="TODOS",FiltroResp="",PROCESSOS!H702=FiltroResp)),PROCESSOS!D702+ROW()/1000000,"")</f>
        <v/>
      </c>
    </row>
    <row r="703">
      <c r="BF703" t="str">
        <f>IF(AND(OR(PROCESSOS!P703="NO PRAZO",PROCESSOS!P703="VENCE EM BREVE"),OR(FiltroResp="TODOS",FiltroResp="",PROCESSOS!H703=FiltroResp)),PROCESSOS!N703+ROW()/1000000,"")</f>
        <v/>
      </c>
      <c r="BG703" t="str">
        <f>IF(AND(PROCESSOS!B703&lt;&gt;"",ISNUMBER(PROCESSOS!D703),OR(FiltroResp="TODOS",FiltroResp="",PROCESSOS!H703=FiltroResp)),PROCESSOS!D703+ROW()/1000000,"")</f>
        <v/>
      </c>
    </row>
    <row r="704">
      <c r="BF704" t="str">
        <f>IF(AND(OR(PROCESSOS!P704="NO PRAZO",PROCESSOS!P704="VENCE EM BREVE"),OR(FiltroResp="TODOS",FiltroResp="",PROCESSOS!H704=FiltroResp)),PROCESSOS!N704+ROW()/1000000,"")</f>
        <v/>
      </c>
      <c r="BG704" t="str">
        <f>IF(AND(PROCESSOS!B704&lt;&gt;"",ISNUMBER(PROCESSOS!D704),OR(FiltroResp="TODOS",FiltroResp="",PROCESSOS!H704=FiltroResp)),PROCESSOS!D704+ROW()/1000000,"")</f>
        <v/>
      </c>
    </row>
    <row r="705">
      <c r="BF705" t="str">
        <f>IF(AND(OR(PROCESSOS!P705="NO PRAZO",PROCESSOS!P705="VENCE EM BREVE"),OR(FiltroResp="TODOS",FiltroResp="",PROCESSOS!H705=FiltroResp)),PROCESSOS!N705+ROW()/1000000,"")</f>
        <v/>
      </c>
      <c r="BG705" t="str">
        <f>IF(AND(PROCESSOS!B705&lt;&gt;"",ISNUMBER(PROCESSOS!D705),OR(FiltroResp="TODOS",FiltroResp="",PROCESSOS!H705=FiltroResp)),PROCESSOS!D705+ROW()/1000000,"")</f>
        <v/>
      </c>
    </row>
    <row r="706">
      <c r="BF706" t="str">
        <f>IF(AND(OR(PROCESSOS!P706="NO PRAZO",PROCESSOS!P706="VENCE EM BREVE"),OR(FiltroResp="TODOS",FiltroResp="",PROCESSOS!H706=FiltroResp)),PROCESSOS!N706+ROW()/1000000,"")</f>
        <v/>
      </c>
      <c r="BG706" t="str">
        <f>IF(AND(PROCESSOS!B706&lt;&gt;"",ISNUMBER(PROCESSOS!D706),OR(FiltroResp="TODOS",FiltroResp="",PROCESSOS!H706=FiltroResp)),PROCESSOS!D706+ROW()/1000000,"")</f>
        <v/>
      </c>
    </row>
    <row r="707">
      <c r="BF707" t="str">
        <f>IF(AND(OR(PROCESSOS!P707="NO PRAZO",PROCESSOS!P707="VENCE EM BREVE"),OR(FiltroResp="TODOS",FiltroResp="",PROCESSOS!H707=FiltroResp)),PROCESSOS!N707+ROW()/1000000,"")</f>
        <v/>
      </c>
      <c r="BG707" t="str">
        <f>IF(AND(PROCESSOS!B707&lt;&gt;"",ISNUMBER(PROCESSOS!D707),OR(FiltroResp="TODOS",FiltroResp="",PROCESSOS!H707=FiltroResp)),PROCESSOS!D707+ROW()/1000000,"")</f>
        <v/>
      </c>
    </row>
    <row r="708">
      <c r="BF708" t="str">
        <f>IF(AND(OR(PROCESSOS!P708="NO PRAZO",PROCESSOS!P708="VENCE EM BREVE"),OR(FiltroResp="TODOS",FiltroResp="",PROCESSOS!H708=FiltroResp)),PROCESSOS!N708+ROW()/1000000,"")</f>
        <v/>
      </c>
      <c r="BG708" t="str">
        <f>IF(AND(PROCESSOS!B708&lt;&gt;"",ISNUMBER(PROCESSOS!D708),OR(FiltroResp="TODOS",FiltroResp="",PROCESSOS!H708=FiltroResp)),PROCESSOS!D708+ROW()/1000000,"")</f>
        <v/>
      </c>
    </row>
    <row r="709">
      <c r="BF709" t="str">
        <f>IF(AND(OR(PROCESSOS!P709="NO PRAZO",PROCESSOS!P709="VENCE EM BREVE"),OR(FiltroResp="TODOS",FiltroResp="",PROCESSOS!H709=FiltroResp)),PROCESSOS!N709+ROW()/1000000,"")</f>
        <v/>
      </c>
      <c r="BG709" t="str">
        <f>IF(AND(PROCESSOS!B709&lt;&gt;"",ISNUMBER(PROCESSOS!D709),OR(FiltroResp="TODOS",FiltroResp="",PROCESSOS!H709=FiltroResp)),PROCESSOS!D709+ROW()/1000000,"")</f>
        <v/>
      </c>
    </row>
    <row r="710">
      <c r="BF710" t="str">
        <f>IF(AND(OR(PROCESSOS!P710="NO PRAZO",PROCESSOS!P710="VENCE EM BREVE"),OR(FiltroResp="TODOS",FiltroResp="",PROCESSOS!H710=FiltroResp)),PROCESSOS!N710+ROW()/1000000,"")</f>
        <v/>
      </c>
      <c r="BG710" t="str">
        <f>IF(AND(PROCESSOS!B710&lt;&gt;"",ISNUMBER(PROCESSOS!D710),OR(FiltroResp="TODOS",FiltroResp="",PROCESSOS!H710=FiltroResp)),PROCESSOS!D710+ROW()/1000000,"")</f>
        <v/>
      </c>
    </row>
    <row r="711">
      <c r="BF711" t="str">
        <f>IF(AND(OR(PROCESSOS!P711="NO PRAZO",PROCESSOS!P711="VENCE EM BREVE"),OR(FiltroResp="TODOS",FiltroResp="",PROCESSOS!H711=FiltroResp)),PROCESSOS!N711+ROW()/1000000,"")</f>
        <v/>
      </c>
      <c r="BG711" t="str">
        <f>IF(AND(PROCESSOS!B711&lt;&gt;"",ISNUMBER(PROCESSOS!D711),OR(FiltroResp="TODOS",FiltroResp="",PROCESSOS!H711=FiltroResp)),PROCESSOS!D711+ROW()/1000000,"")</f>
        <v/>
      </c>
    </row>
    <row r="712">
      <c r="BF712" t="str">
        <f>IF(AND(OR(PROCESSOS!P712="NO PRAZO",PROCESSOS!P712="VENCE EM BREVE"),OR(FiltroResp="TODOS",FiltroResp="",PROCESSOS!H712=FiltroResp)),PROCESSOS!N712+ROW()/1000000,"")</f>
        <v/>
      </c>
      <c r="BG712" t="str">
        <f>IF(AND(PROCESSOS!B712&lt;&gt;"",ISNUMBER(PROCESSOS!D712),OR(FiltroResp="TODOS",FiltroResp="",PROCESSOS!H712=FiltroResp)),PROCESSOS!D712+ROW()/1000000,"")</f>
        <v/>
      </c>
    </row>
    <row r="713">
      <c r="BF713" t="str">
        <f>IF(AND(OR(PROCESSOS!P713="NO PRAZO",PROCESSOS!P713="VENCE EM BREVE"),OR(FiltroResp="TODOS",FiltroResp="",PROCESSOS!H713=FiltroResp)),PROCESSOS!N713+ROW()/1000000,"")</f>
        <v/>
      </c>
      <c r="BG713" t="str">
        <f>IF(AND(PROCESSOS!B713&lt;&gt;"",ISNUMBER(PROCESSOS!D713),OR(FiltroResp="TODOS",FiltroResp="",PROCESSOS!H713=FiltroResp)),PROCESSOS!D713+ROW()/1000000,"")</f>
        <v/>
      </c>
    </row>
    <row r="714">
      <c r="BF714" t="str">
        <f>IF(AND(OR(PROCESSOS!P714="NO PRAZO",PROCESSOS!P714="VENCE EM BREVE"),OR(FiltroResp="TODOS",FiltroResp="",PROCESSOS!H714=FiltroResp)),PROCESSOS!N714+ROW()/1000000,"")</f>
        <v/>
      </c>
      <c r="BG714" t="str">
        <f>IF(AND(PROCESSOS!B714&lt;&gt;"",ISNUMBER(PROCESSOS!D714),OR(FiltroResp="TODOS",FiltroResp="",PROCESSOS!H714=FiltroResp)),PROCESSOS!D714+ROW()/1000000,"")</f>
        <v/>
      </c>
    </row>
    <row r="715">
      <c r="BF715" t="str">
        <f>IF(AND(OR(PROCESSOS!P715="NO PRAZO",PROCESSOS!P715="VENCE EM BREVE"),OR(FiltroResp="TODOS",FiltroResp="",PROCESSOS!H715=FiltroResp)),PROCESSOS!N715+ROW()/1000000,"")</f>
        <v/>
      </c>
      <c r="BG715" t="str">
        <f>IF(AND(PROCESSOS!B715&lt;&gt;"",ISNUMBER(PROCESSOS!D715),OR(FiltroResp="TODOS",FiltroResp="",PROCESSOS!H715=FiltroResp)),PROCESSOS!D715+ROW()/1000000,"")</f>
        <v/>
      </c>
    </row>
    <row r="716">
      <c r="BF716" t="str">
        <f>IF(AND(OR(PROCESSOS!P716="NO PRAZO",PROCESSOS!P716="VENCE EM BREVE"),OR(FiltroResp="TODOS",FiltroResp="",PROCESSOS!H716=FiltroResp)),PROCESSOS!N716+ROW()/1000000,"")</f>
        <v/>
      </c>
      <c r="BG716" t="str">
        <f>IF(AND(PROCESSOS!B716&lt;&gt;"",ISNUMBER(PROCESSOS!D716),OR(FiltroResp="TODOS",FiltroResp="",PROCESSOS!H716=FiltroResp)),PROCESSOS!D716+ROW()/1000000,"")</f>
        <v/>
      </c>
    </row>
    <row r="717">
      <c r="BF717" t="str">
        <f>IF(AND(OR(PROCESSOS!P717="NO PRAZO",PROCESSOS!P717="VENCE EM BREVE"),OR(FiltroResp="TODOS",FiltroResp="",PROCESSOS!H717=FiltroResp)),PROCESSOS!N717+ROW()/1000000,"")</f>
        <v/>
      </c>
      <c r="BG717" t="str">
        <f>IF(AND(PROCESSOS!B717&lt;&gt;"",ISNUMBER(PROCESSOS!D717),OR(FiltroResp="TODOS",FiltroResp="",PROCESSOS!H717=FiltroResp)),PROCESSOS!D717+ROW()/1000000,"")</f>
        <v/>
      </c>
    </row>
    <row r="718">
      <c r="BF718" t="str">
        <f>IF(AND(OR(PROCESSOS!P718="NO PRAZO",PROCESSOS!P718="VENCE EM BREVE"),OR(FiltroResp="TODOS",FiltroResp="",PROCESSOS!H718=FiltroResp)),PROCESSOS!N718+ROW()/1000000,"")</f>
        <v/>
      </c>
      <c r="BG718" t="str">
        <f>IF(AND(PROCESSOS!B718&lt;&gt;"",ISNUMBER(PROCESSOS!D718),OR(FiltroResp="TODOS",FiltroResp="",PROCESSOS!H718=FiltroResp)),PROCESSOS!D718+ROW()/1000000,"")</f>
        <v/>
      </c>
    </row>
    <row r="719">
      <c r="BF719" t="str">
        <f>IF(AND(OR(PROCESSOS!P719="NO PRAZO",PROCESSOS!P719="VENCE EM BREVE"),OR(FiltroResp="TODOS",FiltroResp="",PROCESSOS!H719=FiltroResp)),PROCESSOS!N719+ROW()/1000000,"")</f>
        <v/>
      </c>
      <c r="BG719" t="str">
        <f>IF(AND(PROCESSOS!B719&lt;&gt;"",ISNUMBER(PROCESSOS!D719),OR(FiltroResp="TODOS",FiltroResp="",PROCESSOS!H719=FiltroResp)),PROCESSOS!D719+ROW()/1000000,"")</f>
        <v/>
      </c>
    </row>
    <row r="720">
      <c r="BF720" t="str">
        <f>IF(AND(OR(PROCESSOS!P720="NO PRAZO",PROCESSOS!P720="VENCE EM BREVE"),OR(FiltroResp="TODOS",FiltroResp="",PROCESSOS!H720=FiltroResp)),PROCESSOS!N720+ROW()/1000000,"")</f>
        <v/>
      </c>
      <c r="BG720" t="str">
        <f>IF(AND(PROCESSOS!B720&lt;&gt;"",ISNUMBER(PROCESSOS!D720),OR(FiltroResp="TODOS",FiltroResp="",PROCESSOS!H720=FiltroResp)),PROCESSOS!D720+ROW()/1000000,"")</f>
        <v/>
      </c>
    </row>
    <row r="721">
      <c r="BF721" t="str">
        <f>IF(AND(OR(PROCESSOS!P721="NO PRAZO",PROCESSOS!P721="VENCE EM BREVE"),OR(FiltroResp="TODOS",FiltroResp="",PROCESSOS!H721=FiltroResp)),PROCESSOS!N721+ROW()/1000000,"")</f>
        <v/>
      </c>
      <c r="BG721" t="str">
        <f>IF(AND(PROCESSOS!B721&lt;&gt;"",ISNUMBER(PROCESSOS!D721),OR(FiltroResp="TODOS",FiltroResp="",PROCESSOS!H721=FiltroResp)),PROCESSOS!D721+ROW()/1000000,"")</f>
        <v/>
      </c>
    </row>
    <row r="722">
      <c r="BF722" t="str">
        <f>IF(AND(OR(PROCESSOS!P722="NO PRAZO",PROCESSOS!P722="VENCE EM BREVE"),OR(FiltroResp="TODOS",FiltroResp="",PROCESSOS!H722=FiltroResp)),PROCESSOS!N722+ROW()/1000000,"")</f>
        <v/>
      </c>
      <c r="BG722" t="str">
        <f>IF(AND(PROCESSOS!B722&lt;&gt;"",ISNUMBER(PROCESSOS!D722),OR(FiltroResp="TODOS",FiltroResp="",PROCESSOS!H722=FiltroResp)),PROCESSOS!D722+ROW()/1000000,"")</f>
        <v/>
      </c>
    </row>
    <row r="723">
      <c r="BF723" t="str">
        <f>IF(AND(OR(PROCESSOS!P723="NO PRAZO",PROCESSOS!P723="VENCE EM BREVE"),OR(FiltroResp="TODOS",FiltroResp="",PROCESSOS!H723=FiltroResp)),PROCESSOS!N723+ROW()/1000000,"")</f>
        <v/>
      </c>
      <c r="BG723" t="str">
        <f>IF(AND(PROCESSOS!B723&lt;&gt;"",ISNUMBER(PROCESSOS!D723),OR(FiltroResp="TODOS",FiltroResp="",PROCESSOS!H723=FiltroResp)),PROCESSOS!D723+ROW()/1000000,"")</f>
        <v/>
      </c>
    </row>
    <row r="724">
      <c r="BF724" t="str">
        <f>IF(AND(OR(PROCESSOS!P724="NO PRAZO",PROCESSOS!P724="VENCE EM BREVE"),OR(FiltroResp="TODOS",FiltroResp="",PROCESSOS!H724=FiltroResp)),PROCESSOS!N724+ROW()/1000000,"")</f>
        <v/>
      </c>
      <c r="BG724" t="str">
        <f>IF(AND(PROCESSOS!B724&lt;&gt;"",ISNUMBER(PROCESSOS!D724),OR(FiltroResp="TODOS",FiltroResp="",PROCESSOS!H724=FiltroResp)),PROCESSOS!D724+ROW()/1000000,"")</f>
        <v/>
      </c>
    </row>
    <row r="725">
      <c r="BF725" t="str">
        <f>IF(AND(OR(PROCESSOS!P725="NO PRAZO",PROCESSOS!P725="VENCE EM BREVE"),OR(FiltroResp="TODOS",FiltroResp="",PROCESSOS!H725=FiltroResp)),PROCESSOS!N725+ROW()/1000000,"")</f>
        <v/>
      </c>
      <c r="BG725" t="str">
        <f>IF(AND(PROCESSOS!B725&lt;&gt;"",ISNUMBER(PROCESSOS!D725),OR(FiltroResp="TODOS",FiltroResp="",PROCESSOS!H725=FiltroResp)),PROCESSOS!D725+ROW()/1000000,"")</f>
        <v/>
      </c>
    </row>
    <row r="726">
      <c r="BF726" t="str">
        <f>IF(AND(OR(PROCESSOS!P726="NO PRAZO",PROCESSOS!P726="VENCE EM BREVE"),OR(FiltroResp="TODOS",FiltroResp="",PROCESSOS!H726=FiltroResp)),PROCESSOS!N726+ROW()/1000000,"")</f>
        <v/>
      </c>
      <c r="BG726" t="str">
        <f>IF(AND(PROCESSOS!B726&lt;&gt;"",ISNUMBER(PROCESSOS!D726),OR(FiltroResp="TODOS",FiltroResp="",PROCESSOS!H726=FiltroResp)),PROCESSOS!D726+ROW()/1000000,"")</f>
        <v/>
      </c>
    </row>
    <row r="727">
      <c r="BF727" t="str">
        <f>IF(AND(OR(PROCESSOS!P727="NO PRAZO",PROCESSOS!P727="VENCE EM BREVE"),OR(FiltroResp="TODOS",FiltroResp="",PROCESSOS!H727=FiltroResp)),PROCESSOS!N727+ROW()/1000000,"")</f>
        <v/>
      </c>
      <c r="BG727" t="str">
        <f>IF(AND(PROCESSOS!B727&lt;&gt;"",ISNUMBER(PROCESSOS!D727),OR(FiltroResp="TODOS",FiltroResp="",PROCESSOS!H727=FiltroResp)),PROCESSOS!D727+ROW()/1000000,"")</f>
        <v/>
      </c>
    </row>
    <row r="728">
      <c r="BF728" t="str">
        <f>IF(AND(OR(PROCESSOS!P728="NO PRAZO",PROCESSOS!P728="VENCE EM BREVE"),OR(FiltroResp="TODOS",FiltroResp="",PROCESSOS!H728=FiltroResp)),PROCESSOS!N728+ROW()/1000000,"")</f>
        <v/>
      </c>
      <c r="BG728" t="str">
        <f>IF(AND(PROCESSOS!B728&lt;&gt;"",ISNUMBER(PROCESSOS!D728),OR(FiltroResp="TODOS",FiltroResp="",PROCESSOS!H728=FiltroResp)),PROCESSOS!D728+ROW()/1000000,"")</f>
        <v/>
      </c>
    </row>
    <row r="729">
      <c r="BF729" t="str">
        <f>IF(AND(OR(PROCESSOS!P729="NO PRAZO",PROCESSOS!P729="VENCE EM BREVE"),OR(FiltroResp="TODOS",FiltroResp="",PROCESSOS!H729=FiltroResp)),PROCESSOS!N729+ROW()/1000000,"")</f>
        <v/>
      </c>
      <c r="BG729" t="str">
        <f>IF(AND(PROCESSOS!B729&lt;&gt;"",ISNUMBER(PROCESSOS!D729),OR(FiltroResp="TODOS",FiltroResp="",PROCESSOS!H729=FiltroResp)),PROCESSOS!D729+ROW()/1000000,"")</f>
        <v/>
      </c>
    </row>
    <row r="730">
      <c r="BF730" t="str">
        <f>IF(AND(OR(PROCESSOS!P730="NO PRAZO",PROCESSOS!P730="VENCE EM BREVE"),OR(FiltroResp="TODOS",FiltroResp="",PROCESSOS!H730=FiltroResp)),PROCESSOS!N730+ROW()/1000000,"")</f>
        <v/>
      </c>
      <c r="BG730" t="str">
        <f>IF(AND(PROCESSOS!B730&lt;&gt;"",ISNUMBER(PROCESSOS!D730),OR(FiltroResp="TODOS",FiltroResp="",PROCESSOS!H730=FiltroResp)),PROCESSOS!D730+ROW()/1000000,"")</f>
        <v/>
      </c>
    </row>
    <row r="731">
      <c r="BF731" t="str">
        <f>IF(AND(OR(PROCESSOS!P731="NO PRAZO",PROCESSOS!P731="VENCE EM BREVE"),OR(FiltroResp="TODOS",FiltroResp="",PROCESSOS!H731=FiltroResp)),PROCESSOS!N731+ROW()/1000000,"")</f>
        <v/>
      </c>
      <c r="BG731" t="str">
        <f>IF(AND(PROCESSOS!B731&lt;&gt;"",ISNUMBER(PROCESSOS!D731),OR(FiltroResp="TODOS",FiltroResp="",PROCESSOS!H731=FiltroResp)),PROCESSOS!D731+ROW()/1000000,"")</f>
        <v/>
      </c>
    </row>
    <row r="732">
      <c r="BF732" t="str">
        <f>IF(AND(OR(PROCESSOS!P732="NO PRAZO",PROCESSOS!P732="VENCE EM BREVE"),OR(FiltroResp="TODOS",FiltroResp="",PROCESSOS!H732=FiltroResp)),PROCESSOS!N732+ROW()/1000000,"")</f>
        <v/>
      </c>
      <c r="BG732" t="str">
        <f>IF(AND(PROCESSOS!B732&lt;&gt;"",ISNUMBER(PROCESSOS!D732),OR(FiltroResp="TODOS",FiltroResp="",PROCESSOS!H732=FiltroResp)),PROCESSOS!D732+ROW()/1000000,"")</f>
        <v/>
      </c>
    </row>
    <row r="733">
      <c r="BF733" t="str">
        <f>IF(AND(OR(PROCESSOS!P733="NO PRAZO",PROCESSOS!P733="VENCE EM BREVE"),OR(FiltroResp="TODOS",FiltroResp="",PROCESSOS!H733=FiltroResp)),PROCESSOS!N733+ROW()/1000000,"")</f>
        <v/>
      </c>
      <c r="BG733" t="str">
        <f>IF(AND(PROCESSOS!B733&lt;&gt;"",ISNUMBER(PROCESSOS!D733),OR(FiltroResp="TODOS",FiltroResp="",PROCESSOS!H733=FiltroResp)),PROCESSOS!D733+ROW()/1000000,"")</f>
        <v/>
      </c>
    </row>
    <row r="734">
      <c r="BF734" t="str">
        <f>IF(AND(OR(PROCESSOS!P734="NO PRAZO",PROCESSOS!P734="VENCE EM BREVE"),OR(FiltroResp="TODOS",FiltroResp="",PROCESSOS!H734=FiltroResp)),PROCESSOS!N734+ROW()/1000000,"")</f>
        <v/>
      </c>
      <c r="BG734" t="str">
        <f>IF(AND(PROCESSOS!B734&lt;&gt;"",ISNUMBER(PROCESSOS!D734),OR(FiltroResp="TODOS",FiltroResp="",PROCESSOS!H734=FiltroResp)),PROCESSOS!D734+ROW()/1000000,"")</f>
        <v/>
      </c>
    </row>
    <row r="735">
      <c r="BF735" t="str">
        <f>IF(AND(OR(PROCESSOS!P735="NO PRAZO",PROCESSOS!P735="VENCE EM BREVE"),OR(FiltroResp="TODOS",FiltroResp="",PROCESSOS!H735=FiltroResp)),PROCESSOS!N735+ROW()/1000000,"")</f>
        <v/>
      </c>
      <c r="BG735" t="str">
        <f>IF(AND(PROCESSOS!B735&lt;&gt;"",ISNUMBER(PROCESSOS!D735),OR(FiltroResp="TODOS",FiltroResp="",PROCESSOS!H735=FiltroResp)),PROCESSOS!D735+ROW()/1000000,"")</f>
        <v/>
      </c>
    </row>
    <row r="736">
      <c r="BF736" t="str">
        <f>IF(AND(OR(PROCESSOS!P736="NO PRAZO",PROCESSOS!P736="VENCE EM BREVE"),OR(FiltroResp="TODOS",FiltroResp="",PROCESSOS!H736=FiltroResp)),PROCESSOS!N736+ROW()/1000000,"")</f>
        <v/>
      </c>
      <c r="BG736" t="str">
        <f>IF(AND(PROCESSOS!B736&lt;&gt;"",ISNUMBER(PROCESSOS!D736),OR(FiltroResp="TODOS",FiltroResp="",PROCESSOS!H736=FiltroResp)),PROCESSOS!D736+ROW()/1000000,"")</f>
        <v/>
      </c>
    </row>
    <row r="737">
      <c r="BF737" t="str">
        <f>IF(AND(OR(PROCESSOS!P737="NO PRAZO",PROCESSOS!P737="VENCE EM BREVE"),OR(FiltroResp="TODOS",FiltroResp="",PROCESSOS!H737=FiltroResp)),PROCESSOS!N737+ROW()/1000000,"")</f>
        <v/>
      </c>
      <c r="BG737" t="str">
        <f>IF(AND(PROCESSOS!B737&lt;&gt;"",ISNUMBER(PROCESSOS!D737),OR(FiltroResp="TODOS",FiltroResp="",PROCESSOS!H737=FiltroResp)),PROCESSOS!D737+ROW()/1000000,"")</f>
        <v/>
      </c>
    </row>
    <row r="738">
      <c r="BF738" t="str">
        <f>IF(AND(OR(PROCESSOS!P738="NO PRAZO",PROCESSOS!P738="VENCE EM BREVE"),OR(FiltroResp="TODOS",FiltroResp="",PROCESSOS!H738=FiltroResp)),PROCESSOS!N738+ROW()/1000000,"")</f>
        <v/>
      </c>
      <c r="BG738" t="str">
        <f>IF(AND(PROCESSOS!B738&lt;&gt;"",ISNUMBER(PROCESSOS!D738),OR(FiltroResp="TODOS",FiltroResp="",PROCESSOS!H738=FiltroResp)),PROCESSOS!D738+ROW()/1000000,"")</f>
        <v/>
      </c>
    </row>
    <row r="739">
      <c r="BF739" t="str">
        <f>IF(AND(OR(PROCESSOS!P739="NO PRAZO",PROCESSOS!P739="VENCE EM BREVE"),OR(FiltroResp="TODOS",FiltroResp="",PROCESSOS!H739=FiltroResp)),PROCESSOS!N739+ROW()/1000000,"")</f>
        <v/>
      </c>
      <c r="BG739" t="str">
        <f>IF(AND(PROCESSOS!B739&lt;&gt;"",ISNUMBER(PROCESSOS!D739),OR(FiltroResp="TODOS",FiltroResp="",PROCESSOS!H739=FiltroResp)),PROCESSOS!D739+ROW()/1000000,"")</f>
        <v/>
      </c>
    </row>
    <row r="740">
      <c r="BF740" t="str">
        <f>IF(AND(OR(PROCESSOS!P740="NO PRAZO",PROCESSOS!P740="VENCE EM BREVE"),OR(FiltroResp="TODOS",FiltroResp="",PROCESSOS!H740=FiltroResp)),PROCESSOS!N740+ROW()/1000000,"")</f>
        <v/>
      </c>
      <c r="BG740" t="str">
        <f>IF(AND(PROCESSOS!B740&lt;&gt;"",ISNUMBER(PROCESSOS!D740),OR(FiltroResp="TODOS",FiltroResp="",PROCESSOS!H740=FiltroResp)),PROCESSOS!D740+ROW()/1000000,"")</f>
        <v/>
      </c>
    </row>
    <row r="741">
      <c r="BF741" t="str">
        <f>IF(AND(OR(PROCESSOS!P741="NO PRAZO",PROCESSOS!P741="VENCE EM BREVE"),OR(FiltroResp="TODOS",FiltroResp="",PROCESSOS!H741=FiltroResp)),PROCESSOS!N741+ROW()/1000000,"")</f>
        <v/>
      </c>
      <c r="BG741" t="str">
        <f>IF(AND(PROCESSOS!B741&lt;&gt;"",ISNUMBER(PROCESSOS!D741),OR(FiltroResp="TODOS",FiltroResp="",PROCESSOS!H741=FiltroResp)),PROCESSOS!D741+ROW()/1000000,"")</f>
        <v/>
      </c>
    </row>
    <row r="742">
      <c r="BF742" t="str">
        <f>IF(AND(OR(PROCESSOS!P742="NO PRAZO",PROCESSOS!P742="VENCE EM BREVE"),OR(FiltroResp="TODOS",FiltroResp="",PROCESSOS!H742=FiltroResp)),PROCESSOS!N742+ROW()/1000000,"")</f>
        <v/>
      </c>
      <c r="BG742" t="str">
        <f>IF(AND(PROCESSOS!B742&lt;&gt;"",ISNUMBER(PROCESSOS!D742),OR(FiltroResp="TODOS",FiltroResp="",PROCESSOS!H742=FiltroResp)),PROCESSOS!D742+ROW()/1000000,"")</f>
        <v/>
      </c>
    </row>
    <row r="743">
      <c r="BF743" t="str">
        <f>IF(AND(OR(PROCESSOS!P743="NO PRAZO",PROCESSOS!P743="VENCE EM BREVE"),OR(FiltroResp="TODOS",FiltroResp="",PROCESSOS!H743=FiltroResp)),PROCESSOS!N743+ROW()/1000000,"")</f>
        <v/>
      </c>
      <c r="BG743" t="str">
        <f>IF(AND(PROCESSOS!B743&lt;&gt;"",ISNUMBER(PROCESSOS!D743),OR(FiltroResp="TODOS",FiltroResp="",PROCESSOS!H743=FiltroResp)),PROCESSOS!D743+ROW()/1000000,"")</f>
        <v/>
      </c>
    </row>
    <row r="744">
      <c r="BF744" t="str">
        <f>IF(AND(OR(PROCESSOS!P744="NO PRAZO",PROCESSOS!P744="VENCE EM BREVE"),OR(FiltroResp="TODOS",FiltroResp="",PROCESSOS!H744=FiltroResp)),PROCESSOS!N744+ROW()/1000000,"")</f>
        <v/>
      </c>
      <c r="BG744" t="str">
        <f>IF(AND(PROCESSOS!B744&lt;&gt;"",ISNUMBER(PROCESSOS!D744),OR(FiltroResp="TODOS",FiltroResp="",PROCESSOS!H744=FiltroResp)),PROCESSOS!D744+ROW()/1000000,"")</f>
        <v/>
      </c>
    </row>
    <row r="745">
      <c r="BF745" t="str">
        <f>IF(AND(OR(PROCESSOS!P745="NO PRAZO",PROCESSOS!P745="VENCE EM BREVE"),OR(FiltroResp="TODOS",FiltroResp="",PROCESSOS!H745=FiltroResp)),PROCESSOS!N745+ROW()/1000000,"")</f>
        <v/>
      </c>
      <c r="BG745" t="str">
        <f>IF(AND(PROCESSOS!B745&lt;&gt;"",ISNUMBER(PROCESSOS!D745),OR(FiltroResp="TODOS",FiltroResp="",PROCESSOS!H745=FiltroResp)),PROCESSOS!D745+ROW()/1000000,"")</f>
        <v/>
      </c>
    </row>
    <row r="746">
      <c r="BF746" t="str">
        <f>IF(AND(OR(PROCESSOS!P746="NO PRAZO",PROCESSOS!P746="VENCE EM BREVE"),OR(FiltroResp="TODOS",FiltroResp="",PROCESSOS!H746=FiltroResp)),PROCESSOS!N746+ROW()/1000000,"")</f>
        <v/>
      </c>
      <c r="BG746" t="str">
        <f>IF(AND(PROCESSOS!B746&lt;&gt;"",ISNUMBER(PROCESSOS!D746),OR(FiltroResp="TODOS",FiltroResp="",PROCESSOS!H746=FiltroResp)),PROCESSOS!D746+ROW()/1000000,"")</f>
        <v/>
      </c>
    </row>
    <row r="747">
      <c r="BF747" t="str">
        <f>IF(AND(OR(PROCESSOS!P747="NO PRAZO",PROCESSOS!P747="VENCE EM BREVE"),OR(FiltroResp="TODOS",FiltroResp="",PROCESSOS!H747=FiltroResp)),PROCESSOS!N747+ROW()/1000000,"")</f>
        <v/>
      </c>
      <c r="BG747" t="str">
        <f>IF(AND(PROCESSOS!B747&lt;&gt;"",ISNUMBER(PROCESSOS!D747),OR(FiltroResp="TODOS",FiltroResp="",PROCESSOS!H747=FiltroResp)),PROCESSOS!D747+ROW()/1000000,"")</f>
        <v/>
      </c>
    </row>
    <row r="748">
      <c r="BF748" t="str">
        <f>IF(AND(OR(PROCESSOS!P748="NO PRAZO",PROCESSOS!P748="VENCE EM BREVE"),OR(FiltroResp="TODOS",FiltroResp="",PROCESSOS!H748=FiltroResp)),PROCESSOS!N748+ROW()/1000000,"")</f>
        <v/>
      </c>
      <c r="BG748" t="str">
        <f>IF(AND(PROCESSOS!B748&lt;&gt;"",ISNUMBER(PROCESSOS!D748),OR(FiltroResp="TODOS",FiltroResp="",PROCESSOS!H748=FiltroResp)),PROCESSOS!D748+ROW()/1000000,"")</f>
        <v/>
      </c>
    </row>
    <row r="749">
      <c r="BF749" t="str">
        <f>IF(AND(OR(PROCESSOS!P749="NO PRAZO",PROCESSOS!P749="VENCE EM BREVE"),OR(FiltroResp="TODOS",FiltroResp="",PROCESSOS!H749=FiltroResp)),PROCESSOS!N749+ROW()/1000000,"")</f>
        <v/>
      </c>
      <c r="BG749" t="str">
        <f>IF(AND(PROCESSOS!B749&lt;&gt;"",ISNUMBER(PROCESSOS!D749),OR(FiltroResp="TODOS",FiltroResp="",PROCESSOS!H749=FiltroResp)),PROCESSOS!D749+ROW()/1000000,"")</f>
        <v/>
      </c>
    </row>
    <row r="750">
      <c r="BF750" t="str">
        <f>IF(AND(OR(PROCESSOS!P750="NO PRAZO",PROCESSOS!P750="VENCE EM BREVE"),OR(FiltroResp="TODOS",FiltroResp="",PROCESSOS!H750=FiltroResp)),PROCESSOS!N750+ROW()/1000000,"")</f>
        <v/>
      </c>
      <c r="BG750" t="str">
        <f>IF(AND(PROCESSOS!B750&lt;&gt;"",ISNUMBER(PROCESSOS!D750),OR(FiltroResp="TODOS",FiltroResp="",PROCESSOS!H750=FiltroResp)),PROCESSOS!D750+ROW()/1000000,"")</f>
        <v/>
      </c>
    </row>
    <row r="751">
      <c r="BF751" t="str">
        <f>IF(AND(OR(PROCESSOS!P751="NO PRAZO",PROCESSOS!P751="VENCE EM BREVE"),OR(FiltroResp="TODOS",FiltroResp="",PROCESSOS!H751=FiltroResp)),PROCESSOS!N751+ROW()/1000000,"")</f>
        <v/>
      </c>
      <c r="BG751" t="str">
        <f>IF(AND(PROCESSOS!B751&lt;&gt;"",ISNUMBER(PROCESSOS!D751),OR(FiltroResp="TODOS",FiltroResp="",PROCESSOS!H751=FiltroResp)),PROCESSOS!D751+ROW()/1000000,"")</f>
        <v/>
      </c>
    </row>
    <row r="752">
      <c r="BF752" t="str">
        <f>IF(AND(OR(PROCESSOS!P752="NO PRAZO",PROCESSOS!P752="VENCE EM BREVE"),OR(FiltroResp="TODOS",FiltroResp="",PROCESSOS!H752=FiltroResp)),PROCESSOS!N752+ROW()/1000000,"")</f>
        <v/>
      </c>
      <c r="BG752" t="str">
        <f>IF(AND(PROCESSOS!B752&lt;&gt;"",ISNUMBER(PROCESSOS!D752),OR(FiltroResp="TODOS",FiltroResp="",PROCESSOS!H752=FiltroResp)),PROCESSOS!D752+ROW()/1000000,"")</f>
        <v/>
      </c>
    </row>
    <row r="753">
      <c r="BF753" t="str">
        <f>IF(AND(OR(PROCESSOS!P753="NO PRAZO",PROCESSOS!P753="VENCE EM BREVE"),OR(FiltroResp="TODOS",FiltroResp="",PROCESSOS!H753=FiltroResp)),PROCESSOS!N753+ROW()/1000000,"")</f>
        <v/>
      </c>
      <c r="BG753" t="str">
        <f>IF(AND(PROCESSOS!B753&lt;&gt;"",ISNUMBER(PROCESSOS!D753),OR(FiltroResp="TODOS",FiltroResp="",PROCESSOS!H753=FiltroResp)),PROCESSOS!D753+ROW()/1000000,"")</f>
        <v/>
      </c>
    </row>
    <row r="754">
      <c r="BF754" t="str">
        <f>IF(AND(OR(PROCESSOS!P754="NO PRAZO",PROCESSOS!P754="VENCE EM BREVE"),OR(FiltroResp="TODOS",FiltroResp="",PROCESSOS!H754=FiltroResp)),PROCESSOS!N754+ROW()/1000000,"")</f>
        <v/>
      </c>
      <c r="BG754" t="str">
        <f>IF(AND(PROCESSOS!B754&lt;&gt;"",ISNUMBER(PROCESSOS!D754),OR(FiltroResp="TODOS",FiltroResp="",PROCESSOS!H754=FiltroResp)),PROCESSOS!D754+ROW()/1000000,"")</f>
        <v/>
      </c>
    </row>
    <row r="755">
      <c r="BF755" t="str">
        <f>IF(AND(OR(PROCESSOS!P755="NO PRAZO",PROCESSOS!P755="VENCE EM BREVE"),OR(FiltroResp="TODOS",FiltroResp="",PROCESSOS!H755=FiltroResp)),PROCESSOS!N755+ROW()/1000000,"")</f>
        <v/>
      </c>
      <c r="BG755" t="str">
        <f>IF(AND(PROCESSOS!B755&lt;&gt;"",ISNUMBER(PROCESSOS!D755),OR(FiltroResp="TODOS",FiltroResp="",PROCESSOS!H755=FiltroResp)),PROCESSOS!D755+ROW()/1000000,"")</f>
        <v/>
      </c>
    </row>
    <row r="756">
      <c r="BF756" t="str">
        <f>IF(AND(OR(PROCESSOS!P756="NO PRAZO",PROCESSOS!P756="VENCE EM BREVE"),OR(FiltroResp="TODOS",FiltroResp="",PROCESSOS!H756=FiltroResp)),PROCESSOS!N756+ROW()/1000000,"")</f>
        <v/>
      </c>
      <c r="BG756" t="str">
        <f>IF(AND(PROCESSOS!B756&lt;&gt;"",ISNUMBER(PROCESSOS!D756),OR(FiltroResp="TODOS",FiltroResp="",PROCESSOS!H756=FiltroResp)),PROCESSOS!D756+ROW()/1000000,"")</f>
        <v/>
      </c>
    </row>
    <row r="757">
      <c r="BF757" t="str">
        <f>IF(AND(OR(PROCESSOS!P757="NO PRAZO",PROCESSOS!P757="VENCE EM BREVE"),OR(FiltroResp="TODOS",FiltroResp="",PROCESSOS!H757=FiltroResp)),PROCESSOS!N757+ROW()/1000000,"")</f>
        <v/>
      </c>
      <c r="BG757" t="str">
        <f>IF(AND(PROCESSOS!B757&lt;&gt;"",ISNUMBER(PROCESSOS!D757),OR(FiltroResp="TODOS",FiltroResp="",PROCESSOS!H757=FiltroResp)),PROCESSOS!D757+ROW()/1000000,"")</f>
        <v/>
      </c>
    </row>
    <row r="758">
      <c r="BF758" t="str">
        <f>IF(AND(OR(PROCESSOS!P758="NO PRAZO",PROCESSOS!P758="VENCE EM BREVE"),OR(FiltroResp="TODOS",FiltroResp="",PROCESSOS!H758=FiltroResp)),PROCESSOS!N758+ROW()/1000000,"")</f>
        <v/>
      </c>
      <c r="BG758" t="str">
        <f>IF(AND(PROCESSOS!B758&lt;&gt;"",ISNUMBER(PROCESSOS!D758),OR(FiltroResp="TODOS",FiltroResp="",PROCESSOS!H758=FiltroResp)),PROCESSOS!D758+ROW()/1000000,"")</f>
        <v/>
      </c>
    </row>
    <row r="759">
      <c r="BF759" t="str">
        <f>IF(AND(OR(PROCESSOS!P759="NO PRAZO",PROCESSOS!P759="VENCE EM BREVE"),OR(FiltroResp="TODOS",FiltroResp="",PROCESSOS!H759=FiltroResp)),PROCESSOS!N759+ROW()/1000000,"")</f>
        <v/>
      </c>
      <c r="BG759" t="str">
        <f>IF(AND(PROCESSOS!B759&lt;&gt;"",ISNUMBER(PROCESSOS!D759),OR(FiltroResp="TODOS",FiltroResp="",PROCESSOS!H759=FiltroResp)),PROCESSOS!D759+ROW()/1000000,"")</f>
        <v/>
      </c>
    </row>
    <row r="760">
      <c r="BF760" t="str">
        <f>IF(AND(OR(PROCESSOS!P760="NO PRAZO",PROCESSOS!P760="VENCE EM BREVE"),OR(FiltroResp="TODOS",FiltroResp="",PROCESSOS!H760=FiltroResp)),PROCESSOS!N760+ROW()/1000000,"")</f>
        <v/>
      </c>
      <c r="BG760" t="str">
        <f>IF(AND(PROCESSOS!B760&lt;&gt;"",ISNUMBER(PROCESSOS!D760),OR(FiltroResp="TODOS",FiltroResp="",PROCESSOS!H760=FiltroResp)),PROCESSOS!D760+ROW()/1000000,"")</f>
        <v/>
      </c>
    </row>
    <row r="761">
      <c r="BF761" t="str">
        <f>IF(AND(OR(PROCESSOS!P761="NO PRAZO",PROCESSOS!P761="VENCE EM BREVE"),OR(FiltroResp="TODOS",FiltroResp="",PROCESSOS!H761=FiltroResp)),PROCESSOS!N761+ROW()/1000000,"")</f>
        <v/>
      </c>
      <c r="BG761" t="str">
        <f>IF(AND(PROCESSOS!B761&lt;&gt;"",ISNUMBER(PROCESSOS!D761),OR(FiltroResp="TODOS",FiltroResp="",PROCESSOS!H761=FiltroResp)),PROCESSOS!D761+ROW()/1000000,"")</f>
        <v/>
      </c>
    </row>
    <row r="762">
      <c r="BF762" t="str">
        <f>IF(AND(OR(PROCESSOS!P762="NO PRAZO",PROCESSOS!P762="VENCE EM BREVE"),OR(FiltroResp="TODOS",FiltroResp="",PROCESSOS!H762=FiltroResp)),PROCESSOS!N762+ROW()/1000000,"")</f>
        <v/>
      </c>
      <c r="BG762" t="str">
        <f>IF(AND(PROCESSOS!B762&lt;&gt;"",ISNUMBER(PROCESSOS!D762),OR(FiltroResp="TODOS",FiltroResp="",PROCESSOS!H762=FiltroResp)),PROCESSOS!D762+ROW()/1000000,"")</f>
        <v/>
      </c>
    </row>
    <row r="763">
      <c r="BF763" t="str">
        <f>IF(AND(OR(PROCESSOS!P763="NO PRAZO",PROCESSOS!P763="VENCE EM BREVE"),OR(FiltroResp="TODOS",FiltroResp="",PROCESSOS!H763=FiltroResp)),PROCESSOS!N763+ROW()/1000000,"")</f>
        <v/>
      </c>
      <c r="BG763" t="str">
        <f>IF(AND(PROCESSOS!B763&lt;&gt;"",ISNUMBER(PROCESSOS!D763),OR(FiltroResp="TODOS",FiltroResp="",PROCESSOS!H763=FiltroResp)),PROCESSOS!D763+ROW()/1000000,"")</f>
        <v/>
      </c>
    </row>
    <row r="764">
      <c r="BF764" t="str">
        <f>IF(AND(OR(PROCESSOS!P764="NO PRAZO",PROCESSOS!P764="VENCE EM BREVE"),OR(FiltroResp="TODOS",FiltroResp="",PROCESSOS!H764=FiltroResp)),PROCESSOS!N764+ROW()/1000000,"")</f>
        <v/>
      </c>
      <c r="BG764" t="str">
        <f>IF(AND(PROCESSOS!B764&lt;&gt;"",ISNUMBER(PROCESSOS!D764),OR(FiltroResp="TODOS",FiltroResp="",PROCESSOS!H764=FiltroResp)),PROCESSOS!D764+ROW()/1000000,"")</f>
        <v/>
      </c>
    </row>
    <row r="765">
      <c r="BF765" t="str">
        <f>IF(AND(OR(PROCESSOS!P765="NO PRAZO",PROCESSOS!P765="VENCE EM BREVE"),OR(FiltroResp="TODOS",FiltroResp="",PROCESSOS!H765=FiltroResp)),PROCESSOS!N765+ROW()/1000000,"")</f>
        <v/>
      </c>
      <c r="BG765" t="str">
        <f>IF(AND(PROCESSOS!B765&lt;&gt;"",ISNUMBER(PROCESSOS!D765),OR(FiltroResp="TODOS",FiltroResp="",PROCESSOS!H765=FiltroResp)),PROCESSOS!D765+ROW()/1000000,"")</f>
        <v/>
      </c>
    </row>
    <row r="766">
      <c r="BF766" t="str">
        <f>IF(AND(OR(PROCESSOS!P766="NO PRAZO",PROCESSOS!P766="VENCE EM BREVE"),OR(FiltroResp="TODOS",FiltroResp="",PROCESSOS!H766=FiltroResp)),PROCESSOS!N766+ROW()/1000000,"")</f>
        <v/>
      </c>
      <c r="BG766" t="str">
        <f>IF(AND(PROCESSOS!B766&lt;&gt;"",ISNUMBER(PROCESSOS!D766),OR(FiltroResp="TODOS",FiltroResp="",PROCESSOS!H766=FiltroResp)),PROCESSOS!D766+ROW()/1000000,"")</f>
        <v/>
      </c>
    </row>
    <row r="767">
      <c r="BF767" t="str">
        <f>IF(AND(OR(PROCESSOS!P767="NO PRAZO",PROCESSOS!P767="VENCE EM BREVE"),OR(FiltroResp="TODOS",FiltroResp="",PROCESSOS!H767=FiltroResp)),PROCESSOS!N767+ROW()/1000000,"")</f>
        <v/>
      </c>
      <c r="BG767" t="str">
        <f>IF(AND(PROCESSOS!B767&lt;&gt;"",ISNUMBER(PROCESSOS!D767),OR(FiltroResp="TODOS",FiltroResp="",PROCESSOS!H767=FiltroResp)),PROCESSOS!D767+ROW()/1000000,"")</f>
        <v/>
      </c>
    </row>
    <row r="768">
      <c r="BF768" t="str">
        <f>IF(AND(OR(PROCESSOS!P768="NO PRAZO",PROCESSOS!P768="VENCE EM BREVE"),OR(FiltroResp="TODOS",FiltroResp="",PROCESSOS!H768=FiltroResp)),PROCESSOS!N768+ROW()/1000000,"")</f>
        <v/>
      </c>
      <c r="BG768" t="str">
        <f>IF(AND(PROCESSOS!B768&lt;&gt;"",ISNUMBER(PROCESSOS!D768),OR(FiltroResp="TODOS",FiltroResp="",PROCESSOS!H768=FiltroResp)),PROCESSOS!D768+ROW()/1000000,"")</f>
        <v/>
      </c>
    </row>
    <row r="769">
      <c r="BF769" t="str">
        <f>IF(AND(OR(PROCESSOS!P769="NO PRAZO",PROCESSOS!P769="VENCE EM BREVE"),OR(FiltroResp="TODOS",FiltroResp="",PROCESSOS!H769=FiltroResp)),PROCESSOS!N769+ROW()/1000000,"")</f>
        <v/>
      </c>
      <c r="BG769" t="str">
        <f>IF(AND(PROCESSOS!B769&lt;&gt;"",ISNUMBER(PROCESSOS!D769),OR(FiltroResp="TODOS",FiltroResp="",PROCESSOS!H769=FiltroResp)),PROCESSOS!D769+ROW()/1000000,"")</f>
        <v/>
      </c>
    </row>
    <row r="770">
      <c r="BF770" t="str">
        <f>IF(AND(OR(PROCESSOS!P770="NO PRAZO",PROCESSOS!P770="VENCE EM BREVE"),OR(FiltroResp="TODOS",FiltroResp="",PROCESSOS!H770=FiltroResp)),PROCESSOS!N770+ROW()/1000000,"")</f>
        <v/>
      </c>
      <c r="BG770" t="str">
        <f>IF(AND(PROCESSOS!B770&lt;&gt;"",ISNUMBER(PROCESSOS!D770),OR(FiltroResp="TODOS",FiltroResp="",PROCESSOS!H770=FiltroResp)),PROCESSOS!D770+ROW()/1000000,"")</f>
        <v/>
      </c>
    </row>
    <row r="771">
      <c r="BF771" t="str">
        <f>IF(AND(OR(PROCESSOS!P771="NO PRAZO",PROCESSOS!P771="VENCE EM BREVE"),OR(FiltroResp="TODOS",FiltroResp="",PROCESSOS!H771=FiltroResp)),PROCESSOS!N771+ROW()/1000000,"")</f>
        <v/>
      </c>
      <c r="BG771" t="str">
        <f>IF(AND(PROCESSOS!B771&lt;&gt;"",ISNUMBER(PROCESSOS!D771),OR(FiltroResp="TODOS",FiltroResp="",PROCESSOS!H771=FiltroResp)),PROCESSOS!D771+ROW()/1000000,"")</f>
        <v/>
      </c>
    </row>
    <row r="772">
      <c r="BF772" t="str">
        <f>IF(AND(OR(PROCESSOS!P772="NO PRAZO",PROCESSOS!P772="VENCE EM BREVE"),OR(FiltroResp="TODOS",FiltroResp="",PROCESSOS!H772=FiltroResp)),PROCESSOS!N772+ROW()/1000000,"")</f>
        <v/>
      </c>
      <c r="BG772" t="str">
        <f>IF(AND(PROCESSOS!B772&lt;&gt;"",ISNUMBER(PROCESSOS!D772),OR(FiltroResp="TODOS",FiltroResp="",PROCESSOS!H772=FiltroResp)),PROCESSOS!D772+ROW()/1000000,"")</f>
        <v/>
      </c>
    </row>
    <row r="773">
      <c r="BF773" t="str">
        <f>IF(AND(OR(PROCESSOS!P773="NO PRAZO",PROCESSOS!P773="VENCE EM BREVE"),OR(FiltroResp="TODOS",FiltroResp="",PROCESSOS!H773=FiltroResp)),PROCESSOS!N773+ROW()/1000000,"")</f>
        <v/>
      </c>
      <c r="BG773" t="str">
        <f>IF(AND(PROCESSOS!B773&lt;&gt;"",ISNUMBER(PROCESSOS!D773),OR(FiltroResp="TODOS",FiltroResp="",PROCESSOS!H773=FiltroResp)),PROCESSOS!D773+ROW()/1000000,"")</f>
        <v/>
      </c>
    </row>
    <row r="774">
      <c r="BF774" t="str">
        <f>IF(AND(OR(PROCESSOS!P774="NO PRAZO",PROCESSOS!P774="VENCE EM BREVE"),OR(FiltroResp="TODOS",FiltroResp="",PROCESSOS!H774=FiltroResp)),PROCESSOS!N774+ROW()/1000000,"")</f>
        <v/>
      </c>
      <c r="BG774" t="str">
        <f>IF(AND(PROCESSOS!B774&lt;&gt;"",ISNUMBER(PROCESSOS!D774),OR(FiltroResp="TODOS",FiltroResp="",PROCESSOS!H774=FiltroResp)),PROCESSOS!D774+ROW()/1000000,"")</f>
        <v/>
      </c>
    </row>
    <row r="775">
      <c r="BF775" t="str">
        <f>IF(AND(OR(PROCESSOS!P775="NO PRAZO",PROCESSOS!P775="VENCE EM BREVE"),OR(FiltroResp="TODOS",FiltroResp="",PROCESSOS!H775=FiltroResp)),PROCESSOS!N775+ROW()/1000000,"")</f>
        <v/>
      </c>
      <c r="BG775" t="str">
        <f>IF(AND(PROCESSOS!B775&lt;&gt;"",ISNUMBER(PROCESSOS!D775),OR(FiltroResp="TODOS",FiltroResp="",PROCESSOS!H775=FiltroResp)),PROCESSOS!D775+ROW()/1000000,"")</f>
        <v/>
      </c>
    </row>
    <row r="776">
      <c r="BF776" t="str">
        <f>IF(AND(OR(PROCESSOS!P776="NO PRAZO",PROCESSOS!P776="VENCE EM BREVE"),OR(FiltroResp="TODOS",FiltroResp="",PROCESSOS!H776=FiltroResp)),PROCESSOS!N776+ROW()/1000000,"")</f>
        <v/>
      </c>
      <c r="BG776" t="str">
        <f>IF(AND(PROCESSOS!B776&lt;&gt;"",ISNUMBER(PROCESSOS!D776),OR(FiltroResp="TODOS",FiltroResp="",PROCESSOS!H776=FiltroResp)),PROCESSOS!D776+ROW()/1000000,"")</f>
        <v/>
      </c>
    </row>
    <row r="777">
      <c r="BF777" t="str">
        <f>IF(AND(OR(PROCESSOS!P777="NO PRAZO",PROCESSOS!P777="VENCE EM BREVE"),OR(FiltroResp="TODOS",FiltroResp="",PROCESSOS!H777=FiltroResp)),PROCESSOS!N777+ROW()/1000000,"")</f>
        <v/>
      </c>
      <c r="BG777" t="str">
        <f>IF(AND(PROCESSOS!B777&lt;&gt;"",ISNUMBER(PROCESSOS!D777),OR(FiltroResp="TODOS",FiltroResp="",PROCESSOS!H777=FiltroResp)),PROCESSOS!D777+ROW()/1000000,"")</f>
        <v/>
      </c>
    </row>
    <row r="778">
      <c r="BF778" t="str">
        <f>IF(AND(OR(PROCESSOS!P778="NO PRAZO",PROCESSOS!P778="VENCE EM BREVE"),OR(FiltroResp="TODOS",FiltroResp="",PROCESSOS!H778=FiltroResp)),PROCESSOS!N778+ROW()/1000000,"")</f>
        <v/>
      </c>
      <c r="BG778" t="str">
        <f>IF(AND(PROCESSOS!B778&lt;&gt;"",ISNUMBER(PROCESSOS!D778),OR(FiltroResp="TODOS",FiltroResp="",PROCESSOS!H778=FiltroResp)),PROCESSOS!D778+ROW()/1000000,"")</f>
        <v/>
      </c>
    </row>
    <row r="779">
      <c r="BF779" t="str">
        <f>IF(AND(OR(PROCESSOS!P779="NO PRAZO",PROCESSOS!P779="VENCE EM BREVE"),OR(FiltroResp="TODOS",FiltroResp="",PROCESSOS!H779=FiltroResp)),PROCESSOS!N779+ROW()/1000000,"")</f>
        <v/>
      </c>
      <c r="BG779" t="str">
        <f>IF(AND(PROCESSOS!B779&lt;&gt;"",ISNUMBER(PROCESSOS!D779),OR(FiltroResp="TODOS",FiltroResp="",PROCESSOS!H779=FiltroResp)),PROCESSOS!D779+ROW()/1000000,"")</f>
        <v/>
      </c>
    </row>
    <row r="780">
      <c r="BF780" t="str">
        <f>IF(AND(OR(PROCESSOS!P780="NO PRAZO",PROCESSOS!P780="VENCE EM BREVE"),OR(FiltroResp="TODOS",FiltroResp="",PROCESSOS!H780=FiltroResp)),PROCESSOS!N780+ROW()/1000000,"")</f>
        <v/>
      </c>
      <c r="BG780" t="str">
        <f>IF(AND(PROCESSOS!B780&lt;&gt;"",ISNUMBER(PROCESSOS!D780),OR(FiltroResp="TODOS",FiltroResp="",PROCESSOS!H780=FiltroResp)),PROCESSOS!D780+ROW()/1000000,"")</f>
        <v/>
      </c>
    </row>
    <row r="781">
      <c r="BF781" t="str">
        <f>IF(AND(OR(PROCESSOS!P781="NO PRAZO",PROCESSOS!P781="VENCE EM BREVE"),OR(FiltroResp="TODOS",FiltroResp="",PROCESSOS!H781=FiltroResp)),PROCESSOS!N781+ROW()/1000000,"")</f>
        <v/>
      </c>
      <c r="BG781" t="str">
        <f>IF(AND(PROCESSOS!B781&lt;&gt;"",ISNUMBER(PROCESSOS!D781),OR(FiltroResp="TODOS",FiltroResp="",PROCESSOS!H781=FiltroResp)),PROCESSOS!D781+ROW()/1000000,"")</f>
        <v/>
      </c>
    </row>
    <row r="782">
      <c r="BF782" t="str">
        <f>IF(AND(OR(PROCESSOS!P782="NO PRAZO",PROCESSOS!P782="VENCE EM BREVE"),OR(FiltroResp="TODOS",FiltroResp="",PROCESSOS!H782=FiltroResp)),PROCESSOS!N782+ROW()/1000000,"")</f>
        <v/>
      </c>
      <c r="BG782" t="str">
        <f>IF(AND(PROCESSOS!B782&lt;&gt;"",ISNUMBER(PROCESSOS!D782),OR(FiltroResp="TODOS",FiltroResp="",PROCESSOS!H782=FiltroResp)),PROCESSOS!D782+ROW()/1000000,"")</f>
        <v/>
      </c>
    </row>
    <row r="783">
      <c r="BF783" t="str">
        <f>IF(AND(OR(PROCESSOS!P783="NO PRAZO",PROCESSOS!P783="VENCE EM BREVE"),OR(FiltroResp="TODOS",FiltroResp="",PROCESSOS!H783=FiltroResp)),PROCESSOS!N783+ROW()/1000000,"")</f>
        <v/>
      </c>
      <c r="BG783" t="str">
        <f>IF(AND(PROCESSOS!B783&lt;&gt;"",ISNUMBER(PROCESSOS!D783),OR(FiltroResp="TODOS",FiltroResp="",PROCESSOS!H783=FiltroResp)),PROCESSOS!D783+ROW()/1000000,"")</f>
        <v/>
      </c>
    </row>
    <row r="784">
      <c r="BF784" t="str">
        <f>IF(AND(OR(PROCESSOS!P784="NO PRAZO",PROCESSOS!P784="VENCE EM BREVE"),OR(FiltroResp="TODOS",FiltroResp="",PROCESSOS!H784=FiltroResp)),PROCESSOS!N784+ROW()/1000000,"")</f>
        <v/>
      </c>
      <c r="BG784" t="str">
        <f>IF(AND(PROCESSOS!B784&lt;&gt;"",ISNUMBER(PROCESSOS!D784),OR(FiltroResp="TODOS",FiltroResp="",PROCESSOS!H784=FiltroResp)),PROCESSOS!D784+ROW()/1000000,"")</f>
        <v/>
      </c>
    </row>
    <row r="785">
      <c r="BF785" t="str">
        <f>IF(AND(OR(PROCESSOS!P785="NO PRAZO",PROCESSOS!P785="VENCE EM BREVE"),OR(FiltroResp="TODOS",FiltroResp="",PROCESSOS!H785=FiltroResp)),PROCESSOS!N785+ROW()/1000000,"")</f>
        <v/>
      </c>
      <c r="BG785" t="str">
        <f>IF(AND(PROCESSOS!B785&lt;&gt;"",ISNUMBER(PROCESSOS!D785),OR(FiltroResp="TODOS",FiltroResp="",PROCESSOS!H785=FiltroResp)),PROCESSOS!D785+ROW()/1000000,"")</f>
        <v/>
      </c>
    </row>
    <row r="786">
      <c r="BF786" t="str">
        <f>IF(AND(OR(PROCESSOS!P786="NO PRAZO",PROCESSOS!P786="VENCE EM BREVE"),OR(FiltroResp="TODOS",FiltroResp="",PROCESSOS!H786=FiltroResp)),PROCESSOS!N786+ROW()/1000000,"")</f>
        <v/>
      </c>
      <c r="BG786" t="str">
        <f>IF(AND(PROCESSOS!B786&lt;&gt;"",ISNUMBER(PROCESSOS!D786),OR(FiltroResp="TODOS",FiltroResp="",PROCESSOS!H786=FiltroResp)),PROCESSOS!D786+ROW()/1000000,"")</f>
        <v/>
      </c>
    </row>
    <row r="787">
      <c r="BF787" t="str">
        <f>IF(AND(OR(PROCESSOS!P787="NO PRAZO",PROCESSOS!P787="VENCE EM BREVE"),OR(FiltroResp="TODOS",FiltroResp="",PROCESSOS!H787=FiltroResp)),PROCESSOS!N787+ROW()/1000000,"")</f>
        <v/>
      </c>
      <c r="BG787" t="str">
        <f>IF(AND(PROCESSOS!B787&lt;&gt;"",ISNUMBER(PROCESSOS!D787),OR(FiltroResp="TODOS",FiltroResp="",PROCESSOS!H787=FiltroResp)),PROCESSOS!D787+ROW()/1000000,"")</f>
        <v/>
      </c>
    </row>
    <row r="788">
      <c r="BF788" t="str">
        <f>IF(AND(OR(PROCESSOS!P788="NO PRAZO",PROCESSOS!P788="VENCE EM BREVE"),OR(FiltroResp="TODOS",FiltroResp="",PROCESSOS!H788=FiltroResp)),PROCESSOS!N788+ROW()/1000000,"")</f>
        <v/>
      </c>
      <c r="BG788" t="str">
        <f>IF(AND(PROCESSOS!B788&lt;&gt;"",ISNUMBER(PROCESSOS!D788),OR(FiltroResp="TODOS",FiltroResp="",PROCESSOS!H788=FiltroResp)),PROCESSOS!D788+ROW()/1000000,"")</f>
        <v/>
      </c>
    </row>
    <row r="789">
      <c r="BF789" t="str">
        <f>IF(AND(OR(PROCESSOS!P789="NO PRAZO",PROCESSOS!P789="VENCE EM BREVE"),OR(FiltroResp="TODOS",FiltroResp="",PROCESSOS!H789=FiltroResp)),PROCESSOS!N789+ROW()/1000000,"")</f>
        <v/>
      </c>
      <c r="BG789" t="str">
        <f>IF(AND(PROCESSOS!B789&lt;&gt;"",ISNUMBER(PROCESSOS!D789),OR(FiltroResp="TODOS",FiltroResp="",PROCESSOS!H789=FiltroResp)),PROCESSOS!D789+ROW()/1000000,"")</f>
        <v/>
      </c>
    </row>
    <row r="790">
      <c r="BF790" t="str">
        <f>IF(AND(OR(PROCESSOS!P790="NO PRAZO",PROCESSOS!P790="VENCE EM BREVE"),OR(FiltroResp="TODOS",FiltroResp="",PROCESSOS!H790=FiltroResp)),PROCESSOS!N790+ROW()/1000000,"")</f>
        <v/>
      </c>
      <c r="BG790" t="str">
        <f>IF(AND(PROCESSOS!B790&lt;&gt;"",ISNUMBER(PROCESSOS!D790),OR(FiltroResp="TODOS",FiltroResp="",PROCESSOS!H790=FiltroResp)),PROCESSOS!D790+ROW()/1000000,"")</f>
        <v/>
      </c>
    </row>
    <row r="791">
      <c r="BF791" t="str">
        <f>IF(AND(OR(PROCESSOS!P791="NO PRAZO",PROCESSOS!P791="VENCE EM BREVE"),OR(FiltroResp="TODOS",FiltroResp="",PROCESSOS!H791=FiltroResp)),PROCESSOS!N791+ROW()/1000000,"")</f>
        <v/>
      </c>
      <c r="BG791" t="str">
        <f>IF(AND(PROCESSOS!B791&lt;&gt;"",ISNUMBER(PROCESSOS!D791),OR(FiltroResp="TODOS",FiltroResp="",PROCESSOS!H791=FiltroResp)),PROCESSOS!D791+ROW()/1000000,"")</f>
        <v/>
      </c>
    </row>
    <row r="792">
      <c r="BF792" t="str">
        <f>IF(AND(OR(PROCESSOS!P792="NO PRAZO",PROCESSOS!P792="VENCE EM BREVE"),OR(FiltroResp="TODOS",FiltroResp="",PROCESSOS!H792=FiltroResp)),PROCESSOS!N792+ROW()/1000000,"")</f>
        <v/>
      </c>
      <c r="BG792" t="str">
        <f>IF(AND(PROCESSOS!B792&lt;&gt;"",ISNUMBER(PROCESSOS!D792),OR(FiltroResp="TODOS",FiltroResp="",PROCESSOS!H792=FiltroResp)),PROCESSOS!D792+ROW()/1000000,"")</f>
        <v/>
      </c>
    </row>
    <row r="793">
      <c r="BF793" t="str">
        <f>IF(AND(OR(PROCESSOS!P793="NO PRAZO",PROCESSOS!P793="VENCE EM BREVE"),OR(FiltroResp="TODOS",FiltroResp="",PROCESSOS!H793=FiltroResp)),PROCESSOS!N793+ROW()/1000000,"")</f>
        <v/>
      </c>
      <c r="BG793" t="str">
        <f>IF(AND(PROCESSOS!B793&lt;&gt;"",ISNUMBER(PROCESSOS!D793),OR(FiltroResp="TODOS",FiltroResp="",PROCESSOS!H793=FiltroResp)),PROCESSOS!D793+ROW()/1000000,"")</f>
        <v/>
      </c>
    </row>
    <row r="794">
      <c r="BF794" t="str">
        <f>IF(AND(OR(PROCESSOS!P794="NO PRAZO",PROCESSOS!P794="VENCE EM BREVE"),OR(FiltroResp="TODOS",FiltroResp="",PROCESSOS!H794=FiltroResp)),PROCESSOS!N794+ROW()/1000000,"")</f>
        <v/>
      </c>
      <c r="BG794" t="str">
        <f>IF(AND(PROCESSOS!B794&lt;&gt;"",ISNUMBER(PROCESSOS!D794),OR(FiltroResp="TODOS",FiltroResp="",PROCESSOS!H794=FiltroResp)),PROCESSOS!D794+ROW()/1000000,"")</f>
        <v/>
      </c>
    </row>
    <row r="795">
      <c r="BF795" t="str">
        <f>IF(AND(OR(PROCESSOS!P795="NO PRAZO",PROCESSOS!P795="VENCE EM BREVE"),OR(FiltroResp="TODOS",FiltroResp="",PROCESSOS!H795=FiltroResp)),PROCESSOS!N795+ROW()/1000000,"")</f>
        <v/>
      </c>
      <c r="BG795" t="str">
        <f>IF(AND(PROCESSOS!B795&lt;&gt;"",ISNUMBER(PROCESSOS!D795),OR(FiltroResp="TODOS",FiltroResp="",PROCESSOS!H795=FiltroResp)),PROCESSOS!D795+ROW()/1000000,"")</f>
        <v/>
      </c>
    </row>
    <row r="796">
      <c r="BF796" t="str">
        <f>IF(AND(OR(PROCESSOS!P796="NO PRAZO",PROCESSOS!P796="VENCE EM BREVE"),OR(FiltroResp="TODOS",FiltroResp="",PROCESSOS!H796=FiltroResp)),PROCESSOS!N796+ROW()/1000000,"")</f>
        <v/>
      </c>
      <c r="BG796" t="str">
        <f>IF(AND(PROCESSOS!B796&lt;&gt;"",ISNUMBER(PROCESSOS!D796),OR(FiltroResp="TODOS",FiltroResp="",PROCESSOS!H796=FiltroResp)),PROCESSOS!D796+ROW()/1000000,"")</f>
        <v/>
      </c>
    </row>
    <row r="797">
      <c r="BF797" t="str">
        <f>IF(AND(OR(PROCESSOS!P797="NO PRAZO",PROCESSOS!P797="VENCE EM BREVE"),OR(FiltroResp="TODOS",FiltroResp="",PROCESSOS!H797=FiltroResp)),PROCESSOS!N797+ROW()/1000000,"")</f>
        <v/>
      </c>
      <c r="BG797" t="str">
        <f>IF(AND(PROCESSOS!B797&lt;&gt;"",ISNUMBER(PROCESSOS!D797),OR(FiltroResp="TODOS",FiltroResp="",PROCESSOS!H797=FiltroResp)),PROCESSOS!D797+ROW()/1000000,"")</f>
        <v/>
      </c>
    </row>
    <row r="798">
      <c r="BF798" t="str">
        <f>IF(AND(OR(PROCESSOS!P798="NO PRAZO",PROCESSOS!P798="VENCE EM BREVE"),OR(FiltroResp="TODOS",FiltroResp="",PROCESSOS!H798=FiltroResp)),PROCESSOS!N798+ROW()/1000000,"")</f>
        <v/>
      </c>
      <c r="BG798" t="str">
        <f>IF(AND(PROCESSOS!B798&lt;&gt;"",ISNUMBER(PROCESSOS!D798),OR(FiltroResp="TODOS",FiltroResp="",PROCESSOS!H798=FiltroResp)),PROCESSOS!D798+ROW()/1000000,"")</f>
        <v/>
      </c>
    </row>
    <row r="799">
      <c r="BF799" t="str">
        <f>IF(AND(OR(PROCESSOS!P799="NO PRAZO",PROCESSOS!P799="VENCE EM BREVE"),OR(FiltroResp="TODOS",FiltroResp="",PROCESSOS!H799=FiltroResp)),PROCESSOS!N799+ROW()/1000000,"")</f>
        <v/>
      </c>
      <c r="BG799" t="str">
        <f>IF(AND(PROCESSOS!B799&lt;&gt;"",ISNUMBER(PROCESSOS!D799),OR(FiltroResp="TODOS",FiltroResp="",PROCESSOS!H799=FiltroResp)),PROCESSOS!D799+ROW()/1000000,"")</f>
        <v/>
      </c>
    </row>
    <row r="800">
      <c r="BF800" t="str">
        <f>IF(AND(OR(PROCESSOS!P800="NO PRAZO",PROCESSOS!P800="VENCE EM BREVE"),OR(FiltroResp="TODOS",FiltroResp="",PROCESSOS!H800=FiltroResp)),PROCESSOS!N800+ROW()/1000000,"")</f>
        <v/>
      </c>
      <c r="BG800" t="str">
        <f>IF(AND(PROCESSOS!B800&lt;&gt;"",ISNUMBER(PROCESSOS!D800),OR(FiltroResp="TODOS",FiltroResp="",PROCESSOS!H800=FiltroResp)),PROCESSOS!D800+ROW()/1000000,"")</f>
        <v/>
      </c>
    </row>
    <row r="801">
      <c r="BF801" t="str">
        <f>IF(AND(OR(PROCESSOS!P801="NO PRAZO",PROCESSOS!P801="VENCE EM BREVE"),OR(FiltroResp="TODOS",FiltroResp="",PROCESSOS!H801=FiltroResp)),PROCESSOS!N801+ROW()/1000000,"")</f>
        <v/>
      </c>
      <c r="BG801" t="str">
        <f>IF(AND(PROCESSOS!B801&lt;&gt;"",ISNUMBER(PROCESSOS!D801),OR(FiltroResp="TODOS",FiltroResp="",PROCESSOS!H801=FiltroResp)),PROCESSOS!D801+ROW()/1000000,"")</f>
        <v/>
      </c>
    </row>
    <row r="802">
      <c r="BF802" t="str">
        <f>IF(AND(OR(PROCESSOS!P802="NO PRAZO",PROCESSOS!P802="VENCE EM BREVE"),OR(FiltroResp="TODOS",FiltroResp="",PROCESSOS!H802=FiltroResp)),PROCESSOS!N802+ROW()/1000000,"")</f>
        <v/>
      </c>
      <c r="BG802" t="str">
        <f>IF(AND(PROCESSOS!B802&lt;&gt;"",ISNUMBER(PROCESSOS!D802),OR(FiltroResp="TODOS",FiltroResp="",PROCESSOS!H802=FiltroResp)),PROCESSOS!D802+ROW()/1000000,"")</f>
        <v/>
      </c>
    </row>
    <row r="803">
      <c r="BF803" t="str">
        <f>IF(AND(OR(PROCESSOS!P803="NO PRAZO",PROCESSOS!P803="VENCE EM BREVE"),OR(FiltroResp="TODOS",FiltroResp="",PROCESSOS!H803=FiltroResp)),PROCESSOS!N803+ROW()/1000000,"")</f>
        <v/>
      </c>
      <c r="BG803" t="str">
        <f>IF(AND(PROCESSOS!B803&lt;&gt;"",ISNUMBER(PROCESSOS!D803),OR(FiltroResp="TODOS",FiltroResp="",PROCESSOS!H803=FiltroResp)),PROCESSOS!D803+ROW()/1000000,"")</f>
        <v/>
      </c>
    </row>
    <row r="804">
      <c r="BF804" t="str">
        <f>IF(AND(OR(PROCESSOS!P804="NO PRAZO",PROCESSOS!P804="VENCE EM BREVE"),OR(FiltroResp="TODOS",FiltroResp="",PROCESSOS!H804=FiltroResp)),PROCESSOS!N804+ROW()/1000000,"")</f>
        <v/>
      </c>
      <c r="BG804" t="str">
        <f>IF(AND(PROCESSOS!B804&lt;&gt;"",ISNUMBER(PROCESSOS!D804),OR(FiltroResp="TODOS",FiltroResp="",PROCESSOS!H804=FiltroResp)),PROCESSOS!D804+ROW()/1000000,"")</f>
        <v/>
      </c>
    </row>
    <row r="805">
      <c r="BF805" t="str">
        <f>IF(AND(OR(PROCESSOS!P805="NO PRAZO",PROCESSOS!P805="VENCE EM BREVE"),OR(FiltroResp="TODOS",FiltroResp="",PROCESSOS!H805=FiltroResp)),PROCESSOS!N805+ROW()/1000000,"")</f>
        <v/>
      </c>
      <c r="BG805" t="str">
        <f>IF(AND(PROCESSOS!B805&lt;&gt;"",ISNUMBER(PROCESSOS!D805),OR(FiltroResp="TODOS",FiltroResp="",PROCESSOS!H805=FiltroResp)),PROCESSOS!D805+ROW()/1000000,"")</f>
        <v/>
      </c>
    </row>
    <row r="806">
      <c r="BF806" t="str">
        <f>IF(AND(OR(PROCESSOS!P806="NO PRAZO",PROCESSOS!P806="VENCE EM BREVE"),OR(FiltroResp="TODOS",FiltroResp="",PROCESSOS!H806=FiltroResp)),PROCESSOS!N806+ROW()/1000000,"")</f>
        <v/>
      </c>
      <c r="BG806" t="str">
        <f>IF(AND(PROCESSOS!B806&lt;&gt;"",ISNUMBER(PROCESSOS!D806),OR(FiltroResp="TODOS",FiltroResp="",PROCESSOS!H806=FiltroResp)),PROCESSOS!D806+ROW()/1000000,"")</f>
        <v/>
      </c>
    </row>
    <row r="807">
      <c r="BF807" t="str">
        <f>IF(AND(OR(PROCESSOS!P807="NO PRAZO",PROCESSOS!P807="VENCE EM BREVE"),OR(FiltroResp="TODOS",FiltroResp="",PROCESSOS!H807=FiltroResp)),PROCESSOS!N807+ROW()/1000000,"")</f>
        <v/>
      </c>
      <c r="BG807" t="str">
        <f>IF(AND(PROCESSOS!B807&lt;&gt;"",ISNUMBER(PROCESSOS!D807),OR(FiltroResp="TODOS",FiltroResp="",PROCESSOS!H807=FiltroResp)),PROCESSOS!D807+ROW()/1000000,"")</f>
        <v/>
      </c>
    </row>
    <row r="808">
      <c r="BF808" t="str">
        <f>IF(AND(OR(PROCESSOS!P808="NO PRAZO",PROCESSOS!P808="VENCE EM BREVE"),OR(FiltroResp="TODOS",FiltroResp="",PROCESSOS!H808=FiltroResp)),PROCESSOS!N808+ROW()/1000000,"")</f>
        <v/>
      </c>
      <c r="BG808" t="str">
        <f>IF(AND(PROCESSOS!B808&lt;&gt;"",ISNUMBER(PROCESSOS!D808),OR(FiltroResp="TODOS",FiltroResp="",PROCESSOS!H808=FiltroResp)),PROCESSOS!D808+ROW()/1000000,"")</f>
        <v/>
      </c>
    </row>
    <row r="809">
      <c r="BF809" t="str">
        <f>IF(AND(OR(PROCESSOS!P809="NO PRAZO",PROCESSOS!P809="VENCE EM BREVE"),OR(FiltroResp="TODOS",FiltroResp="",PROCESSOS!H809=FiltroResp)),PROCESSOS!N809+ROW()/1000000,"")</f>
        <v/>
      </c>
      <c r="BG809" t="str">
        <f>IF(AND(PROCESSOS!B809&lt;&gt;"",ISNUMBER(PROCESSOS!D809),OR(FiltroResp="TODOS",FiltroResp="",PROCESSOS!H809=FiltroResp)),PROCESSOS!D809+ROW()/1000000,"")</f>
        <v/>
      </c>
    </row>
    <row r="810">
      <c r="BF810" t="str">
        <f>IF(AND(OR(PROCESSOS!P810="NO PRAZO",PROCESSOS!P810="VENCE EM BREVE"),OR(FiltroResp="TODOS",FiltroResp="",PROCESSOS!H810=FiltroResp)),PROCESSOS!N810+ROW()/1000000,"")</f>
        <v/>
      </c>
      <c r="BG810" t="str">
        <f>IF(AND(PROCESSOS!B810&lt;&gt;"",ISNUMBER(PROCESSOS!D810),OR(FiltroResp="TODOS",FiltroResp="",PROCESSOS!H810=FiltroResp)),PROCESSOS!D810+ROW()/1000000,"")</f>
        <v/>
      </c>
    </row>
    <row r="811">
      <c r="BF811" t="str">
        <f>IF(AND(OR(PROCESSOS!P811="NO PRAZO",PROCESSOS!P811="VENCE EM BREVE"),OR(FiltroResp="TODOS",FiltroResp="",PROCESSOS!H811=FiltroResp)),PROCESSOS!N811+ROW()/1000000,"")</f>
        <v/>
      </c>
      <c r="BG811" t="str">
        <f>IF(AND(PROCESSOS!B811&lt;&gt;"",ISNUMBER(PROCESSOS!D811),OR(FiltroResp="TODOS",FiltroResp="",PROCESSOS!H811=FiltroResp)),PROCESSOS!D811+ROW()/1000000,"")</f>
        <v/>
      </c>
    </row>
    <row r="812">
      <c r="BF812" t="str">
        <f>IF(AND(OR(PROCESSOS!P812="NO PRAZO",PROCESSOS!P812="VENCE EM BREVE"),OR(FiltroResp="TODOS",FiltroResp="",PROCESSOS!H812=FiltroResp)),PROCESSOS!N812+ROW()/1000000,"")</f>
        <v/>
      </c>
      <c r="BG812" t="str">
        <f>IF(AND(PROCESSOS!B812&lt;&gt;"",ISNUMBER(PROCESSOS!D812),OR(FiltroResp="TODOS",FiltroResp="",PROCESSOS!H812=FiltroResp)),PROCESSOS!D812+ROW()/1000000,"")</f>
        <v/>
      </c>
    </row>
    <row r="813">
      <c r="BF813" t="str">
        <f>IF(AND(OR(PROCESSOS!P813="NO PRAZO",PROCESSOS!P813="VENCE EM BREVE"),OR(FiltroResp="TODOS",FiltroResp="",PROCESSOS!H813=FiltroResp)),PROCESSOS!N813+ROW()/1000000,"")</f>
        <v/>
      </c>
      <c r="BG813" t="str">
        <f>IF(AND(PROCESSOS!B813&lt;&gt;"",ISNUMBER(PROCESSOS!D813),OR(FiltroResp="TODOS",FiltroResp="",PROCESSOS!H813=FiltroResp)),PROCESSOS!D813+ROW()/1000000,"")</f>
        <v/>
      </c>
    </row>
    <row r="814">
      <c r="BF814" t="str">
        <f>IF(AND(OR(PROCESSOS!P814="NO PRAZO",PROCESSOS!P814="VENCE EM BREVE"),OR(FiltroResp="TODOS",FiltroResp="",PROCESSOS!H814=FiltroResp)),PROCESSOS!N814+ROW()/1000000,"")</f>
        <v/>
      </c>
      <c r="BG814" t="str">
        <f>IF(AND(PROCESSOS!B814&lt;&gt;"",ISNUMBER(PROCESSOS!D814),OR(FiltroResp="TODOS",FiltroResp="",PROCESSOS!H814=FiltroResp)),PROCESSOS!D814+ROW()/1000000,"")</f>
        <v/>
      </c>
    </row>
    <row r="815">
      <c r="BF815" t="str">
        <f>IF(AND(OR(PROCESSOS!P815="NO PRAZO",PROCESSOS!P815="VENCE EM BREVE"),OR(FiltroResp="TODOS",FiltroResp="",PROCESSOS!H815=FiltroResp)),PROCESSOS!N815+ROW()/1000000,"")</f>
        <v/>
      </c>
      <c r="BG815" t="str">
        <f>IF(AND(PROCESSOS!B815&lt;&gt;"",ISNUMBER(PROCESSOS!D815),OR(FiltroResp="TODOS",FiltroResp="",PROCESSOS!H815=FiltroResp)),PROCESSOS!D815+ROW()/1000000,"")</f>
        <v/>
      </c>
    </row>
    <row r="816">
      <c r="BF816" t="str">
        <f>IF(AND(OR(PROCESSOS!P816="NO PRAZO",PROCESSOS!P816="VENCE EM BREVE"),OR(FiltroResp="TODOS",FiltroResp="",PROCESSOS!H816=FiltroResp)),PROCESSOS!N816+ROW()/1000000,"")</f>
        <v/>
      </c>
      <c r="BG816" t="str">
        <f>IF(AND(PROCESSOS!B816&lt;&gt;"",ISNUMBER(PROCESSOS!D816),OR(FiltroResp="TODOS",FiltroResp="",PROCESSOS!H816=FiltroResp)),PROCESSOS!D816+ROW()/1000000,"")</f>
        <v/>
      </c>
    </row>
    <row r="817">
      <c r="BF817" t="str">
        <f>IF(AND(OR(PROCESSOS!P817="NO PRAZO",PROCESSOS!P817="VENCE EM BREVE"),OR(FiltroResp="TODOS",FiltroResp="",PROCESSOS!H817=FiltroResp)),PROCESSOS!N817+ROW()/1000000,"")</f>
        <v/>
      </c>
      <c r="BG817" t="str">
        <f>IF(AND(PROCESSOS!B817&lt;&gt;"",ISNUMBER(PROCESSOS!D817),OR(FiltroResp="TODOS",FiltroResp="",PROCESSOS!H817=FiltroResp)),PROCESSOS!D817+ROW()/1000000,"")</f>
        <v/>
      </c>
    </row>
    <row r="818">
      <c r="BF818" t="str">
        <f>IF(AND(OR(PROCESSOS!P818="NO PRAZO",PROCESSOS!P818="VENCE EM BREVE"),OR(FiltroResp="TODOS",FiltroResp="",PROCESSOS!H818=FiltroResp)),PROCESSOS!N818+ROW()/1000000,"")</f>
        <v/>
      </c>
      <c r="BG818" t="str">
        <f>IF(AND(PROCESSOS!B818&lt;&gt;"",ISNUMBER(PROCESSOS!D818),OR(FiltroResp="TODOS",FiltroResp="",PROCESSOS!H818=FiltroResp)),PROCESSOS!D818+ROW()/1000000,"")</f>
        <v/>
      </c>
    </row>
    <row r="819">
      <c r="BF819" t="str">
        <f>IF(AND(OR(PROCESSOS!P819="NO PRAZO",PROCESSOS!P819="VENCE EM BREVE"),OR(FiltroResp="TODOS",FiltroResp="",PROCESSOS!H819=FiltroResp)),PROCESSOS!N819+ROW()/1000000,"")</f>
        <v/>
      </c>
      <c r="BG819" t="str">
        <f>IF(AND(PROCESSOS!B819&lt;&gt;"",ISNUMBER(PROCESSOS!D819),OR(FiltroResp="TODOS",FiltroResp="",PROCESSOS!H819=FiltroResp)),PROCESSOS!D819+ROW()/1000000,"")</f>
        <v/>
      </c>
    </row>
    <row r="820">
      <c r="BF820" t="str">
        <f>IF(AND(OR(PROCESSOS!P820="NO PRAZO",PROCESSOS!P820="VENCE EM BREVE"),OR(FiltroResp="TODOS",FiltroResp="",PROCESSOS!H820=FiltroResp)),PROCESSOS!N820+ROW()/1000000,"")</f>
        <v/>
      </c>
      <c r="BG820" t="str">
        <f>IF(AND(PROCESSOS!B820&lt;&gt;"",ISNUMBER(PROCESSOS!D820),OR(FiltroResp="TODOS",FiltroResp="",PROCESSOS!H820=FiltroResp)),PROCESSOS!D820+ROW()/1000000,"")</f>
        <v/>
      </c>
    </row>
    <row r="821">
      <c r="BF821" t="str">
        <f>IF(AND(OR(PROCESSOS!P821="NO PRAZO",PROCESSOS!P821="VENCE EM BREVE"),OR(FiltroResp="TODOS",FiltroResp="",PROCESSOS!H821=FiltroResp)),PROCESSOS!N821+ROW()/1000000,"")</f>
        <v/>
      </c>
      <c r="BG821" t="str">
        <f>IF(AND(PROCESSOS!B821&lt;&gt;"",ISNUMBER(PROCESSOS!D821),OR(FiltroResp="TODOS",FiltroResp="",PROCESSOS!H821=FiltroResp)),PROCESSOS!D821+ROW()/1000000,"")</f>
        <v/>
      </c>
    </row>
    <row r="822">
      <c r="BF822" t="str">
        <f>IF(AND(OR(PROCESSOS!P822="NO PRAZO",PROCESSOS!P822="VENCE EM BREVE"),OR(FiltroResp="TODOS",FiltroResp="",PROCESSOS!H822=FiltroResp)),PROCESSOS!N822+ROW()/1000000,"")</f>
        <v/>
      </c>
      <c r="BG822" t="str">
        <f>IF(AND(PROCESSOS!B822&lt;&gt;"",ISNUMBER(PROCESSOS!D822),OR(FiltroResp="TODOS",FiltroResp="",PROCESSOS!H822=FiltroResp)),PROCESSOS!D822+ROW()/1000000,"")</f>
        <v/>
      </c>
    </row>
    <row r="823">
      <c r="BF823" t="str">
        <f>IF(AND(OR(PROCESSOS!P823="NO PRAZO",PROCESSOS!P823="VENCE EM BREVE"),OR(FiltroResp="TODOS",FiltroResp="",PROCESSOS!H823=FiltroResp)),PROCESSOS!N823+ROW()/1000000,"")</f>
        <v/>
      </c>
      <c r="BG823" t="str">
        <f>IF(AND(PROCESSOS!B823&lt;&gt;"",ISNUMBER(PROCESSOS!D823),OR(FiltroResp="TODOS",FiltroResp="",PROCESSOS!H823=FiltroResp)),PROCESSOS!D823+ROW()/1000000,"")</f>
        <v/>
      </c>
    </row>
    <row r="824">
      <c r="BF824" t="str">
        <f>IF(AND(OR(PROCESSOS!P824="NO PRAZO",PROCESSOS!P824="VENCE EM BREVE"),OR(FiltroResp="TODOS",FiltroResp="",PROCESSOS!H824=FiltroResp)),PROCESSOS!N824+ROW()/1000000,"")</f>
        <v/>
      </c>
      <c r="BG824" t="str">
        <f>IF(AND(PROCESSOS!B824&lt;&gt;"",ISNUMBER(PROCESSOS!D824),OR(FiltroResp="TODOS",FiltroResp="",PROCESSOS!H824=FiltroResp)),PROCESSOS!D824+ROW()/1000000,"")</f>
        <v/>
      </c>
    </row>
    <row r="825">
      <c r="BF825" t="str">
        <f>IF(AND(OR(PROCESSOS!P825="NO PRAZO",PROCESSOS!P825="VENCE EM BREVE"),OR(FiltroResp="TODOS",FiltroResp="",PROCESSOS!H825=FiltroResp)),PROCESSOS!N825+ROW()/1000000,"")</f>
        <v/>
      </c>
      <c r="BG825" t="str">
        <f>IF(AND(PROCESSOS!B825&lt;&gt;"",ISNUMBER(PROCESSOS!D825),OR(FiltroResp="TODOS",FiltroResp="",PROCESSOS!H825=FiltroResp)),PROCESSOS!D825+ROW()/1000000,"")</f>
        <v/>
      </c>
    </row>
    <row r="826">
      <c r="BF826" t="str">
        <f>IF(AND(OR(PROCESSOS!P826="NO PRAZO",PROCESSOS!P826="VENCE EM BREVE"),OR(FiltroResp="TODOS",FiltroResp="",PROCESSOS!H826=FiltroResp)),PROCESSOS!N826+ROW()/1000000,"")</f>
        <v/>
      </c>
      <c r="BG826" t="str">
        <f>IF(AND(PROCESSOS!B826&lt;&gt;"",ISNUMBER(PROCESSOS!D826),OR(FiltroResp="TODOS",FiltroResp="",PROCESSOS!H826=FiltroResp)),PROCESSOS!D826+ROW()/1000000,"")</f>
        <v/>
      </c>
    </row>
    <row r="827">
      <c r="BF827" t="str">
        <f>IF(AND(OR(PROCESSOS!P827="NO PRAZO",PROCESSOS!P827="VENCE EM BREVE"),OR(FiltroResp="TODOS",FiltroResp="",PROCESSOS!H827=FiltroResp)),PROCESSOS!N827+ROW()/1000000,"")</f>
        <v/>
      </c>
      <c r="BG827" t="str">
        <f>IF(AND(PROCESSOS!B827&lt;&gt;"",ISNUMBER(PROCESSOS!D827),OR(FiltroResp="TODOS",FiltroResp="",PROCESSOS!H827=FiltroResp)),PROCESSOS!D827+ROW()/1000000,"")</f>
        <v/>
      </c>
    </row>
    <row r="828">
      <c r="BF828" t="str">
        <f>IF(AND(OR(PROCESSOS!P828="NO PRAZO",PROCESSOS!P828="VENCE EM BREVE"),OR(FiltroResp="TODOS",FiltroResp="",PROCESSOS!H828=FiltroResp)),PROCESSOS!N828+ROW()/1000000,"")</f>
        <v/>
      </c>
      <c r="BG828" t="str">
        <f>IF(AND(PROCESSOS!B828&lt;&gt;"",ISNUMBER(PROCESSOS!D828),OR(FiltroResp="TODOS",FiltroResp="",PROCESSOS!H828=FiltroResp)),PROCESSOS!D828+ROW()/1000000,"")</f>
        <v/>
      </c>
    </row>
    <row r="829">
      <c r="BF829" t="str">
        <f>IF(AND(OR(PROCESSOS!P829="NO PRAZO",PROCESSOS!P829="VENCE EM BREVE"),OR(FiltroResp="TODOS",FiltroResp="",PROCESSOS!H829=FiltroResp)),PROCESSOS!N829+ROW()/1000000,"")</f>
        <v/>
      </c>
      <c r="BG829" t="str">
        <f>IF(AND(PROCESSOS!B829&lt;&gt;"",ISNUMBER(PROCESSOS!D829),OR(FiltroResp="TODOS",FiltroResp="",PROCESSOS!H829=FiltroResp)),PROCESSOS!D829+ROW()/1000000,"")</f>
        <v/>
      </c>
    </row>
    <row r="830">
      <c r="BF830" t="str">
        <f>IF(AND(OR(PROCESSOS!P830="NO PRAZO",PROCESSOS!P830="VENCE EM BREVE"),OR(FiltroResp="TODOS",FiltroResp="",PROCESSOS!H830=FiltroResp)),PROCESSOS!N830+ROW()/1000000,"")</f>
        <v/>
      </c>
      <c r="BG830" t="str">
        <f>IF(AND(PROCESSOS!B830&lt;&gt;"",ISNUMBER(PROCESSOS!D830),OR(FiltroResp="TODOS",FiltroResp="",PROCESSOS!H830=FiltroResp)),PROCESSOS!D830+ROW()/1000000,"")</f>
        <v/>
      </c>
    </row>
    <row r="831">
      <c r="BF831" t="str">
        <f>IF(AND(OR(PROCESSOS!P831="NO PRAZO",PROCESSOS!P831="VENCE EM BREVE"),OR(FiltroResp="TODOS",FiltroResp="",PROCESSOS!H831=FiltroResp)),PROCESSOS!N831+ROW()/1000000,"")</f>
        <v/>
      </c>
      <c r="BG831" t="str">
        <f>IF(AND(PROCESSOS!B831&lt;&gt;"",ISNUMBER(PROCESSOS!D831),OR(FiltroResp="TODOS",FiltroResp="",PROCESSOS!H831=FiltroResp)),PROCESSOS!D831+ROW()/1000000,"")</f>
        <v/>
      </c>
    </row>
    <row r="832">
      <c r="BF832" t="str">
        <f>IF(AND(OR(PROCESSOS!P832="NO PRAZO",PROCESSOS!P832="VENCE EM BREVE"),OR(FiltroResp="TODOS",FiltroResp="",PROCESSOS!H832=FiltroResp)),PROCESSOS!N832+ROW()/1000000,"")</f>
        <v/>
      </c>
      <c r="BG832" t="str">
        <f>IF(AND(PROCESSOS!B832&lt;&gt;"",ISNUMBER(PROCESSOS!D832),OR(FiltroResp="TODOS",FiltroResp="",PROCESSOS!H832=FiltroResp)),PROCESSOS!D832+ROW()/1000000,"")</f>
        <v/>
      </c>
    </row>
    <row r="833">
      <c r="BF833" t="str">
        <f>IF(AND(OR(PROCESSOS!P833="NO PRAZO",PROCESSOS!P833="VENCE EM BREVE"),OR(FiltroResp="TODOS",FiltroResp="",PROCESSOS!H833=FiltroResp)),PROCESSOS!N833+ROW()/1000000,"")</f>
        <v/>
      </c>
      <c r="BG833" t="str">
        <f>IF(AND(PROCESSOS!B833&lt;&gt;"",ISNUMBER(PROCESSOS!D833),OR(FiltroResp="TODOS",FiltroResp="",PROCESSOS!H833=FiltroResp)),PROCESSOS!D833+ROW()/1000000,"")</f>
        <v/>
      </c>
    </row>
    <row r="834">
      <c r="BF834" t="str">
        <f>IF(AND(OR(PROCESSOS!P834="NO PRAZO",PROCESSOS!P834="VENCE EM BREVE"),OR(FiltroResp="TODOS",FiltroResp="",PROCESSOS!H834=FiltroResp)),PROCESSOS!N834+ROW()/1000000,"")</f>
        <v/>
      </c>
      <c r="BG834" t="str">
        <f>IF(AND(PROCESSOS!B834&lt;&gt;"",ISNUMBER(PROCESSOS!D834),OR(FiltroResp="TODOS",FiltroResp="",PROCESSOS!H834=FiltroResp)),PROCESSOS!D834+ROW()/1000000,"")</f>
        <v/>
      </c>
    </row>
    <row r="835">
      <c r="BF835" t="str">
        <f>IF(AND(OR(PROCESSOS!P835="NO PRAZO",PROCESSOS!P835="VENCE EM BREVE"),OR(FiltroResp="TODOS",FiltroResp="",PROCESSOS!H835=FiltroResp)),PROCESSOS!N835+ROW()/1000000,"")</f>
        <v/>
      </c>
      <c r="BG835" t="str">
        <f>IF(AND(PROCESSOS!B835&lt;&gt;"",ISNUMBER(PROCESSOS!D835),OR(FiltroResp="TODOS",FiltroResp="",PROCESSOS!H835=FiltroResp)),PROCESSOS!D835+ROW()/1000000,"")</f>
        <v/>
      </c>
    </row>
    <row r="836">
      <c r="BF836" t="str">
        <f>IF(AND(OR(PROCESSOS!P836="NO PRAZO",PROCESSOS!P836="VENCE EM BREVE"),OR(FiltroResp="TODOS",FiltroResp="",PROCESSOS!H836=FiltroResp)),PROCESSOS!N836+ROW()/1000000,"")</f>
        <v/>
      </c>
      <c r="BG836" t="str">
        <f>IF(AND(PROCESSOS!B836&lt;&gt;"",ISNUMBER(PROCESSOS!D836),OR(FiltroResp="TODOS",FiltroResp="",PROCESSOS!H836=FiltroResp)),PROCESSOS!D836+ROW()/1000000,"")</f>
        <v/>
      </c>
    </row>
    <row r="837">
      <c r="BF837" t="str">
        <f>IF(AND(OR(PROCESSOS!P837="NO PRAZO",PROCESSOS!P837="VENCE EM BREVE"),OR(FiltroResp="TODOS",FiltroResp="",PROCESSOS!H837=FiltroResp)),PROCESSOS!N837+ROW()/1000000,"")</f>
        <v/>
      </c>
      <c r="BG837" t="str">
        <f>IF(AND(PROCESSOS!B837&lt;&gt;"",ISNUMBER(PROCESSOS!D837),OR(FiltroResp="TODOS",FiltroResp="",PROCESSOS!H837=FiltroResp)),PROCESSOS!D837+ROW()/1000000,"")</f>
        <v/>
      </c>
    </row>
    <row r="838">
      <c r="BF838" t="str">
        <f>IF(AND(OR(PROCESSOS!P838="NO PRAZO",PROCESSOS!P838="VENCE EM BREVE"),OR(FiltroResp="TODOS",FiltroResp="",PROCESSOS!H838=FiltroResp)),PROCESSOS!N838+ROW()/1000000,"")</f>
        <v/>
      </c>
      <c r="BG838" t="str">
        <f>IF(AND(PROCESSOS!B838&lt;&gt;"",ISNUMBER(PROCESSOS!D838),OR(FiltroResp="TODOS",FiltroResp="",PROCESSOS!H838=FiltroResp)),PROCESSOS!D838+ROW()/1000000,"")</f>
        <v/>
      </c>
    </row>
    <row r="839">
      <c r="BF839" t="str">
        <f>IF(AND(OR(PROCESSOS!P839="NO PRAZO",PROCESSOS!P839="VENCE EM BREVE"),OR(FiltroResp="TODOS",FiltroResp="",PROCESSOS!H839=FiltroResp)),PROCESSOS!N839+ROW()/1000000,"")</f>
        <v/>
      </c>
      <c r="BG839" t="str">
        <f>IF(AND(PROCESSOS!B839&lt;&gt;"",ISNUMBER(PROCESSOS!D839),OR(FiltroResp="TODOS",FiltroResp="",PROCESSOS!H839=FiltroResp)),PROCESSOS!D839+ROW()/1000000,"")</f>
        <v/>
      </c>
    </row>
    <row r="840">
      <c r="BF840" t="str">
        <f>IF(AND(OR(PROCESSOS!P840="NO PRAZO",PROCESSOS!P840="VENCE EM BREVE"),OR(FiltroResp="TODOS",FiltroResp="",PROCESSOS!H840=FiltroResp)),PROCESSOS!N840+ROW()/1000000,"")</f>
        <v/>
      </c>
      <c r="BG840" t="str">
        <f>IF(AND(PROCESSOS!B840&lt;&gt;"",ISNUMBER(PROCESSOS!D840),OR(FiltroResp="TODOS",FiltroResp="",PROCESSOS!H840=FiltroResp)),PROCESSOS!D840+ROW()/1000000,"")</f>
        <v/>
      </c>
    </row>
    <row r="841">
      <c r="BF841" t="str">
        <f>IF(AND(OR(PROCESSOS!P841="NO PRAZO",PROCESSOS!P841="VENCE EM BREVE"),OR(FiltroResp="TODOS",FiltroResp="",PROCESSOS!H841=FiltroResp)),PROCESSOS!N841+ROW()/1000000,"")</f>
        <v/>
      </c>
      <c r="BG841" t="str">
        <f>IF(AND(PROCESSOS!B841&lt;&gt;"",ISNUMBER(PROCESSOS!D841),OR(FiltroResp="TODOS",FiltroResp="",PROCESSOS!H841=FiltroResp)),PROCESSOS!D841+ROW()/1000000,"")</f>
        <v/>
      </c>
    </row>
    <row r="842">
      <c r="BF842" t="str">
        <f>IF(AND(OR(PROCESSOS!P842="NO PRAZO",PROCESSOS!P842="VENCE EM BREVE"),OR(FiltroResp="TODOS",FiltroResp="",PROCESSOS!H842=FiltroResp)),PROCESSOS!N842+ROW()/1000000,"")</f>
        <v/>
      </c>
      <c r="BG842" t="str">
        <f>IF(AND(PROCESSOS!B842&lt;&gt;"",ISNUMBER(PROCESSOS!D842),OR(FiltroResp="TODOS",FiltroResp="",PROCESSOS!H842=FiltroResp)),PROCESSOS!D842+ROW()/1000000,"")</f>
        <v/>
      </c>
    </row>
    <row r="843">
      <c r="BF843" t="str">
        <f>IF(AND(OR(PROCESSOS!P843="NO PRAZO",PROCESSOS!P843="VENCE EM BREVE"),OR(FiltroResp="TODOS",FiltroResp="",PROCESSOS!H843=FiltroResp)),PROCESSOS!N843+ROW()/1000000,"")</f>
        <v/>
      </c>
      <c r="BG843" t="str">
        <f>IF(AND(PROCESSOS!B843&lt;&gt;"",ISNUMBER(PROCESSOS!D843),OR(FiltroResp="TODOS",FiltroResp="",PROCESSOS!H843=FiltroResp)),PROCESSOS!D843+ROW()/1000000,"")</f>
        <v/>
      </c>
    </row>
    <row r="844">
      <c r="BF844" t="str">
        <f>IF(AND(OR(PROCESSOS!P844="NO PRAZO",PROCESSOS!P844="VENCE EM BREVE"),OR(FiltroResp="TODOS",FiltroResp="",PROCESSOS!H844=FiltroResp)),PROCESSOS!N844+ROW()/1000000,"")</f>
        <v/>
      </c>
      <c r="BG844" t="str">
        <f>IF(AND(PROCESSOS!B844&lt;&gt;"",ISNUMBER(PROCESSOS!D844),OR(FiltroResp="TODOS",FiltroResp="",PROCESSOS!H844=FiltroResp)),PROCESSOS!D844+ROW()/1000000,"")</f>
        <v/>
      </c>
    </row>
    <row r="845">
      <c r="BF845" t="str">
        <f>IF(AND(OR(PROCESSOS!P845="NO PRAZO",PROCESSOS!P845="VENCE EM BREVE"),OR(FiltroResp="TODOS",FiltroResp="",PROCESSOS!H845=FiltroResp)),PROCESSOS!N845+ROW()/1000000,"")</f>
        <v/>
      </c>
      <c r="BG845" t="str">
        <f>IF(AND(PROCESSOS!B845&lt;&gt;"",ISNUMBER(PROCESSOS!D845),OR(FiltroResp="TODOS",FiltroResp="",PROCESSOS!H845=FiltroResp)),PROCESSOS!D845+ROW()/1000000,"")</f>
        <v/>
      </c>
    </row>
    <row r="846">
      <c r="BF846" t="str">
        <f>IF(AND(OR(PROCESSOS!P846="NO PRAZO",PROCESSOS!P846="VENCE EM BREVE"),OR(FiltroResp="TODOS",FiltroResp="",PROCESSOS!H846=FiltroResp)),PROCESSOS!N846+ROW()/1000000,"")</f>
        <v/>
      </c>
      <c r="BG846" t="str">
        <f>IF(AND(PROCESSOS!B846&lt;&gt;"",ISNUMBER(PROCESSOS!D846),OR(FiltroResp="TODOS",FiltroResp="",PROCESSOS!H846=FiltroResp)),PROCESSOS!D846+ROW()/1000000,"")</f>
        <v/>
      </c>
    </row>
    <row r="847">
      <c r="BF847" t="str">
        <f>IF(AND(OR(PROCESSOS!P847="NO PRAZO",PROCESSOS!P847="VENCE EM BREVE"),OR(FiltroResp="TODOS",FiltroResp="",PROCESSOS!H847=FiltroResp)),PROCESSOS!N847+ROW()/1000000,"")</f>
        <v/>
      </c>
      <c r="BG847" t="str">
        <f>IF(AND(PROCESSOS!B847&lt;&gt;"",ISNUMBER(PROCESSOS!D847),OR(FiltroResp="TODOS",FiltroResp="",PROCESSOS!H847=FiltroResp)),PROCESSOS!D847+ROW()/1000000,"")</f>
        <v/>
      </c>
    </row>
    <row r="848">
      <c r="BF848" t="str">
        <f>IF(AND(OR(PROCESSOS!P848="NO PRAZO",PROCESSOS!P848="VENCE EM BREVE"),OR(FiltroResp="TODOS",FiltroResp="",PROCESSOS!H848=FiltroResp)),PROCESSOS!N848+ROW()/1000000,"")</f>
        <v/>
      </c>
      <c r="BG848" t="str">
        <f>IF(AND(PROCESSOS!B848&lt;&gt;"",ISNUMBER(PROCESSOS!D848),OR(FiltroResp="TODOS",FiltroResp="",PROCESSOS!H848=FiltroResp)),PROCESSOS!D848+ROW()/1000000,"")</f>
        <v/>
      </c>
    </row>
    <row r="849">
      <c r="BF849" t="str">
        <f>IF(AND(OR(PROCESSOS!P849="NO PRAZO",PROCESSOS!P849="VENCE EM BREVE"),OR(FiltroResp="TODOS",FiltroResp="",PROCESSOS!H849=FiltroResp)),PROCESSOS!N849+ROW()/1000000,"")</f>
        <v/>
      </c>
      <c r="BG849" t="str">
        <f>IF(AND(PROCESSOS!B849&lt;&gt;"",ISNUMBER(PROCESSOS!D849),OR(FiltroResp="TODOS",FiltroResp="",PROCESSOS!H849=FiltroResp)),PROCESSOS!D849+ROW()/1000000,"")</f>
        <v/>
      </c>
    </row>
    <row r="850">
      <c r="BF850" t="str">
        <f>IF(AND(OR(PROCESSOS!P850="NO PRAZO",PROCESSOS!P850="VENCE EM BREVE"),OR(FiltroResp="TODOS",FiltroResp="",PROCESSOS!H850=FiltroResp)),PROCESSOS!N850+ROW()/1000000,"")</f>
        <v/>
      </c>
      <c r="BG850" t="str">
        <f>IF(AND(PROCESSOS!B850&lt;&gt;"",ISNUMBER(PROCESSOS!D850),OR(FiltroResp="TODOS",FiltroResp="",PROCESSOS!H850=FiltroResp)),PROCESSOS!D850+ROW()/1000000,"")</f>
        <v/>
      </c>
    </row>
    <row r="851">
      <c r="BF851" t="str">
        <f>IF(AND(OR(PROCESSOS!P851="NO PRAZO",PROCESSOS!P851="VENCE EM BREVE"),OR(FiltroResp="TODOS",FiltroResp="",PROCESSOS!H851=FiltroResp)),PROCESSOS!N851+ROW()/1000000,"")</f>
        <v/>
      </c>
      <c r="BG851" t="str">
        <f>IF(AND(PROCESSOS!B851&lt;&gt;"",ISNUMBER(PROCESSOS!D851),OR(FiltroResp="TODOS",FiltroResp="",PROCESSOS!H851=FiltroResp)),PROCESSOS!D851+ROW()/1000000,"")</f>
        <v/>
      </c>
    </row>
    <row r="852">
      <c r="BF852" t="str">
        <f>IF(AND(OR(PROCESSOS!P852="NO PRAZO",PROCESSOS!P852="VENCE EM BREVE"),OR(FiltroResp="TODOS",FiltroResp="",PROCESSOS!H852=FiltroResp)),PROCESSOS!N852+ROW()/1000000,"")</f>
        <v/>
      </c>
      <c r="BG852" t="str">
        <f>IF(AND(PROCESSOS!B852&lt;&gt;"",ISNUMBER(PROCESSOS!D852),OR(FiltroResp="TODOS",FiltroResp="",PROCESSOS!H852=FiltroResp)),PROCESSOS!D852+ROW()/1000000,"")</f>
        <v/>
      </c>
    </row>
    <row r="853">
      <c r="BF853" t="str">
        <f>IF(AND(OR(PROCESSOS!P853="NO PRAZO",PROCESSOS!P853="VENCE EM BREVE"),OR(FiltroResp="TODOS",FiltroResp="",PROCESSOS!H853=FiltroResp)),PROCESSOS!N853+ROW()/1000000,"")</f>
        <v/>
      </c>
      <c r="BG853" t="str">
        <f>IF(AND(PROCESSOS!B853&lt;&gt;"",ISNUMBER(PROCESSOS!D853),OR(FiltroResp="TODOS",FiltroResp="",PROCESSOS!H853=FiltroResp)),PROCESSOS!D853+ROW()/1000000,"")</f>
        <v/>
      </c>
    </row>
    <row r="854">
      <c r="BF854" t="str">
        <f>IF(AND(OR(PROCESSOS!P854="NO PRAZO",PROCESSOS!P854="VENCE EM BREVE"),OR(FiltroResp="TODOS",FiltroResp="",PROCESSOS!H854=FiltroResp)),PROCESSOS!N854+ROW()/1000000,"")</f>
        <v/>
      </c>
      <c r="BG854" t="str">
        <f>IF(AND(PROCESSOS!B854&lt;&gt;"",ISNUMBER(PROCESSOS!D854),OR(FiltroResp="TODOS",FiltroResp="",PROCESSOS!H854=FiltroResp)),PROCESSOS!D854+ROW()/1000000,"")</f>
        <v/>
      </c>
    </row>
    <row r="855">
      <c r="BF855" t="str">
        <f>IF(AND(OR(PROCESSOS!P855="NO PRAZO",PROCESSOS!P855="VENCE EM BREVE"),OR(FiltroResp="TODOS",FiltroResp="",PROCESSOS!H855=FiltroResp)),PROCESSOS!N855+ROW()/1000000,"")</f>
        <v/>
      </c>
      <c r="BG855" t="str">
        <f>IF(AND(PROCESSOS!B855&lt;&gt;"",ISNUMBER(PROCESSOS!D855),OR(FiltroResp="TODOS",FiltroResp="",PROCESSOS!H855=FiltroResp)),PROCESSOS!D855+ROW()/1000000,"")</f>
        <v/>
      </c>
    </row>
    <row r="856">
      <c r="BF856" t="str">
        <f>IF(AND(OR(PROCESSOS!P856="NO PRAZO",PROCESSOS!P856="VENCE EM BREVE"),OR(FiltroResp="TODOS",FiltroResp="",PROCESSOS!H856=FiltroResp)),PROCESSOS!N856+ROW()/1000000,"")</f>
        <v/>
      </c>
      <c r="BG856" t="str">
        <f>IF(AND(PROCESSOS!B856&lt;&gt;"",ISNUMBER(PROCESSOS!D856),OR(FiltroResp="TODOS",FiltroResp="",PROCESSOS!H856=FiltroResp)),PROCESSOS!D856+ROW()/1000000,"")</f>
        <v/>
      </c>
    </row>
    <row r="857">
      <c r="BF857" t="str">
        <f>IF(AND(OR(PROCESSOS!P857="NO PRAZO",PROCESSOS!P857="VENCE EM BREVE"),OR(FiltroResp="TODOS",FiltroResp="",PROCESSOS!H857=FiltroResp)),PROCESSOS!N857+ROW()/1000000,"")</f>
        <v/>
      </c>
      <c r="BG857" t="str">
        <f>IF(AND(PROCESSOS!B857&lt;&gt;"",ISNUMBER(PROCESSOS!D857),OR(FiltroResp="TODOS",FiltroResp="",PROCESSOS!H857=FiltroResp)),PROCESSOS!D857+ROW()/1000000,"")</f>
        <v/>
      </c>
    </row>
    <row r="858">
      <c r="BF858" t="str">
        <f>IF(AND(OR(PROCESSOS!P858="NO PRAZO",PROCESSOS!P858="VENCE EM BREVE"),OR(FiltroResp="TODOS",FiltroResp="",PROCESSOS!H858=FiltroResp)),PROCESSOS!N858+ROW()/1000000,"")</f>
        <v/>
      </c>
      <c r="BG858" t="str">
        <f>IF(AND(PROCESSOS!B858&lt;&gt;"",ISNUMBER(PROCESSOS!D858),OR(FiltroResp="TODOS",FiltroResp="",PROCESSOS!H858=FiltroResp)),PROCESSOS!D858+ROW()/1000000,"")</f>
        <v/>
      </c>
    </row>
    <row r="859">
      <c r="BF859" t="str">
        <f>IF(AND(OR(PROCESSOS!P859="NO PRAZO",PROCESSOS!P859="VENCE EM BREVE"),OR(FiltroResp="TODOS",FiltroResp="",PROCESSOS!H859=FiltroResp)),PROCESSOS!N859+ROW()/1000000,"")</f>
        <v/>
      </c>
      <c r="BG859" t="str">
        <f>IF(AND(PROCESSOS!B859&lt;&gt;"",ISNUMBER(PROCESSOS!D859),OR(FiltroResp="TODOS",FiltroResp="",PROCESSOS!H859=FiltroResp)),PROCESSOS!D859+ROW()/1000000,"")</f>
        <v/>
      </c>
    </row>
    <row r="860">
      <c r="BF860" t="str">
        <f>IF(AND(OR(PROCESSOS!P860="NO PRAZO",PROCESSOS!P860="VENCE EM BREVE"),OR(FiltroResp="TODOS",FiltroResp="",PROCESSOS!H860=FiltroResp)),PROCESSOS!N860+ROW()/1000000,"")</f>
        <v/>
      </c>
      <c r="BG860" t="str">
        <f>IF(AND(PROCESSOS!B860&lt;&gt;"",ISNUMBER(PROCESSOS!D860),OR(FiltroResp="TODOS",FiltroResp="",PROCESSOS!H860=FiltroResp)),PROCESSOS!D860+ROW()/1000000,"")</f>
        <v/>
      </c>
    </row>
    <row r="861">
      <c r="BF861" t="str">
        <f>IF(AND(OR(PROCESSOS!P861="NO PRAZO",PROCESSOS!P861="VENCE EM BREVE"),OR(FiltroResp="TODOS",FiltroResp="",PROCESSOS!H861=FiltroResp)),PROCESSOS!N861+ROW()/1000000,"")</f>
        <v/>
      </c>
      <c r="BG861" t="str">
        <f>IF(AND(PROCESSOS!B861&lt;&gt;"",ISNUMBER(PROCESSOS!D861),OR(FiltroResp="TODOS",FiltroResp="",PROCESSOS!H861=FiltroResp)),PROCESSOS!D861+ROW()/1000000,"")</f>
        <v/>
      </c>
    </row>
    <row r="862">
      <c r="BF862" t="str">
        <f>IF(AND(OR(PROCESSOS!P862="NO PRAZO",PROCESSOS!P862="VENCE EM BREVE"),OR(FiltroResp="TODOS",FiltroResp="",PROCESSOS!H862=FiltroResp)),PROCESSOS!N862+ROW()/1000000,"")</f>
        <v/>
      </c>
      <c r="BG862" t="str">
        <f>IF(AND(PROCESSOS!B862&lt;&gt;"",ISNUMBER(PROCESSOS!D862),OR(FiltroResp="TODOS",FiltroResp="",PROCESSOS!H862=FiltroResp)),PROCESSOS!D862+ROW()/1000000,"")</f>
        <v/>
      </c>
    </row>
    <row r="863">
      <c r="BF863" t="str">
        <f>IF(AND(OR(PROCESSOS!P863="NO PRAZO",PROCESSOS!P863="VENCE EM BREVE"),OR(FiltroResp="TODOS",FiltroResp="",PROCESSOS!H863=FiltroResp)),PROCESSOS!N863+ROW()/1000000,"")</f>
        <v/>
      </c>
      <c r="BG863" t="str">
        <f>IF(AND(PROCESSOS!B863&lt;&gt;"",ISNUMBER(PROCESSOS!D863),OR(FiltroResp="TODOS",FiltroResp="",PROCESSOS!H863=FiltroResp)),PROCESSOS!D863+ROW()/1000000,"")</f>
        <v/>
      </c>
    </row>
    <row r="864">
      <c r="BF864" t="str">
        <f>IF(AND(OR(PROCESSOS!P864="NO PRAZO",PROCESSOS!P864="VENCE EM BREVE"),OR(FiltroResp="TODOS",FiltroResp="",PROCESSOS!H864=FiltroResp)),PROCESSOS!N864+ROW()/1000000,"")</f>
        <v/>
      </c>
      <c r="BG864" t="str">
        <f>IF(AND(PROCESSOS!B864&lt;&gt;"",ISNUMBER(PROCESSOS!D864),OR(FiltroResp="TODOS",FiltroResp="",PROCESSOS!H864=FiltroResp)),PROCESSOS!D864+ROW()/1000000,"")</f>
        <v/>
      </c>
    </row>
    <row r="865">
      <c r="BF865" t="str">
        <f>IF(AND(OR(PROCESSOS!P865="NO PRAZO",PROCESSOS!P865="VENCE EM BREVE"),OR(FiltroResp="TODOS",FiltroResp="",PROCESSOS!H865=FiltroResp)),PROCESSOS!N865+ROW()/1000000,"")</f>
        <v/>
      </c>
      <c r="BG865" t="str">
        <f>IF(AND(PROCESSOS!B865&lt;&gt;"",ISNUMBER(PROCESSOS!D865),OR(FiltroResp="TODOS",FiltroResp="",PROCESSOS!H865=FiltroResp)),PROCESSOS!D865+ROW()/1000000,"")</f>
        <v/>
      </c>
    </row>
    <row r="866">
      <c r="BF866" t="str">
        <f>IF(AND(OR(PROCESSOS!P866="NO PRAZO",PROCESSOS!P866="VENCE EM BREVE"),OR(FiltroResp="TODOS",FiltroResp="",PROCESSOS!H866=FiltroResp)),PROCESSOS!N866+ROW()/1000000,"")</f>
        <v/>
      </c>
      <c r="BG866" t="str">
        <f>IF(AND(PROCESSOS!B866&lt;&gt;"",ISNUMBER(PROCESSOS!D866),OR(FiltroResp="TODOS",FiltroResp="",PROCESSOS!H866=FiltroResp)),PROCESSOS!D866+ROW()/1000000,"")</f>
        <v/>
      </c>
    </row>
    <row r="867">
      <c r="BF867" t="str">
        <f>IF(AND(OR(PROCESSOS!P867="NO PRAZO",PROCESSOS!P867="VENCE EM BREVE"),OR(FiltroResp="TODOS",FiltroResp="",PROCESSOS!H867=FiltroResp)),PROCESSOS!N867+ROW()/1000000,"")</f>
        <v/>
      </c>
      <c r="BG867" t="str">
        <f>IF(AND(PROCESSOS!B867&lt;&gt;"",ISNUMBER(PROCESSOS!D867),OR(FiltroResp="TODOS",FiltroResp="",PROCESSOS!H867=FiltroResp)),PROCESSOS!D867+ROW()/1000000,"")</f>
        <v/>
      </c>
    </row>
    <row r="868">
      <c r="BF868" t="str">
        <f>IF(AND(OR(PROCESSOS!P868="NO PRAZO",PROCESSOS!P868="VENCE EM BREVE"),OR(FiltroResp="TODOS",FiltroResp="",PROCESSOS!H868=FiltroResp)),PROCESSOS!N868+ROW()/1000000,"")</f>
        <v/>
      </c>
      <c r="BG868" t="str">
        <f>IF(AND(PROCESSOS!B868&lt;&gt;"",ISNUMBER(PROCESSOS!D868),OR(FiltroResp="TODOS",FiltroResp="",PROCESSOS!H868=FiltroResp)),PROCESSOS!D868+ROW()/1000000,"")</f>
        <v/>
      </c>
    </row>
    <row r="869">
      <c r="BF869" t="str">
        <f>IF(AND(OR(PROCESSOS!P869="NO PRAZO",PROCESSOS!P869="VENCE EM BREVE"),OR(FiltroResp="TODOS",FiltroResp="",PROCESSOS!H869=FiltroResp)),PROCESSOS!N869+ROW()/1000000,"")</f>
        <v/>
      </c>
      <c r="BG869" t="str">
        <f>IF(AND(PROCESSOS!B869&lt;&gt;"",ISNUMBER(PROCESSOS!D869),OR(FiltroResp="TODOS",FiltroResp="",PROCESSOS!H869=FiltroResp)),PROCESSOS!D869+ROW()/1000000,"")</f>
        <v/>
      </c>
    </row>
    <row r="870">
      <c r="BF870" t="str">
        <f>IF(AND(OR(PROCESSOS!P870="NO PRAZO",PROCESSOS!P870="VENCE EM BREVE"),OR(FiltroResp="TODOS",FiltroResp="",PROCESSOS!H870=FiltroResp)),PROCESSOS!N870+ROW()/1000000,"")</f>
        <v/>
      </c>
      <c r="BG870" t="str">
        <f>IF(AND(PROCESSOS!B870&lt;&gt;"",ISNUMBER(PROCESSOS!D870),OR(FiltroResp="TODOS",FiltroResp="",PROCESSOS!H870=FiltroResp)),PROCESSOS!D870+ROW()/1000000,"")</f>
        <v/>
      </c>
    </row>
    <row r="871">
      <c r="BF871" t="str">
        <f>IF(AND(OR(PROCESSOS!P871="NO PRAZO",PROCESSOS!P871="VENCE EM BREVE"),OR(FiltroResp="TODOS",FiltroResp="",PROCESSOS!H871=FiltroResp)),PROCESSOS!N871+ROW()/1000000,"")</f>
        <v/>
      </c>
      <c r="BG871" t="str">
        <f>IF(AND(PROCESSOS!B871&lt;&gt;"",ISNUMBER(PROCESSOS!D871),OR(FiltroResp="TODOS",FiltroResp="",PROCESSOS!H871=FiltroResp)),PROCESSOS!D871+ROW()/1000000,"")</f>
        <v/>
      </c>
    </row>
    <row r="872">
      <c r="BF872" t="str">
        <f>IF(AND(OR(PROCESSOS!P872="NO PRAZO",PROCESSOS!P872="VENCE EM BREVE"),OR(FiltroResp="TODOS",FiltroResp="",PROCESSOS!H872=FiltroResp)),PROCESSOS!N872+ROW()/1000000,"")</f>
        <v/>
      </c>
      <c r="BG872" t="str">
        <f>IF(AND(PROCESSOS!B872&lt;&gt;"",ISNUMBER(PROCESSOS!D872),OR(FiltroResp="TODOS",FiltroResp="",PROCESSOS!H872=FiltroResp)),PROCESSOS!D872+ROW()/1000000,"")</f>
        <v/>
      </c>
    </row>
    <row r="873">
      <c r="BF873" t="str">
        <f>IF(AND(OR(PROCESSOS!P873="NO PRAZO",PROCESSOS!P873="VENCE EM BREVE"),OR(FiltroResp="TODOS",FiltroResp="",PROCESSOS!H873=FiltroResp)),PROCESSOS!N873+ROW()/1000000,"")</f>
        <v/>
      </c>
      <c r="BG873" t="str">
        <f>IF(AND(PROCESSOS!B873&lt;&gt;"",ISNUMBER(PROCESSOS!D873),OR(FiltroResp="TODOS",FiltroResp="",PROCESSOS!H873=FiltroResp)),PROCESSOS!D873+ROW()/1000000,"")</f>
        <v/>
      </c>
    </row>
    <row r="874">
      <c r="BF874" t="str">
        <f>IF(AND(OR(PROCESSOS!P874="NO PRAZO",PROCESSOS!P874="VENCE EM BREVE"),OR(FiltroResp="TODOS",FiltroResp="",PROCESSOS!H874=FiltroResp)),PROCESSOS!N874+ROW()/1000000,"")</f>
        <v/>
      </c>
      <c r="BG874" t="str">
        <f>IF(AND(PROCESSOS!B874&lt;&gt;"",ISNUMBER(PROCESSOS!D874),OR(FiltroResp="TODOS",FiltroResp="",PROCESSOS!H874=FiltroResp)),PROCESSOS!D874+ROW()/1000000,"")</f>
        <v/>
      </c>
    </row>
    <row r="875">
      <c r="BF875" t="str">
        <f>IF(AND(OR(PROCESSOS!P875="NO PRAZO",PROCESSOS!P875="VENCE EM BREVE"),OR(FiltroResp="TODOS",FiltroResp="",PROCESSOS!H875=FiltroResp)),PROCESSOS!N875+ROW()/1000000,"")</f>
        <v/>
      </c>
      <c r="BG875" t="str">
        <f>IF(AND(PROCESSOS!B875&lt;&gt;"",ISNUMBER(PROCESSOS!D875),OR(FiltroResp="TODOS",FiltroResp="",PROCESSOS!H875=FiltroResp)),PROCESSOS!D875+ROW()/1000000,"")</f>
        <v/>
      </c>
    </row>
    <row r="876">
      <c r="BF876" t="str">
        <f>IF(AND(OR(PROCESSOS!P876="NO PRAZO",PROCESSOS!P876="VENCE EM BREVE"),OR(FiltroResp="TODOS",FiltroResp="",PROCESSOS!H876=FiltroResp)),PROCESSOS!N876+ROW()/1000000,"")</f>
        <v/>
      </c>
      <c r="BG876" t="str">
        <f>IF(AND(PROCESSOS!B876&lt;&gt;"",ISNUMBER(PROCESSOS!D876),OR(FiltroResp="TODOS",FiltroResp="",PROCESSOS!H876=FiltroResp)),PROCESSOS!D876+ROW()/1000000,"")</f>
        <v/>
      </c>
    </row>
    <row r="877">
      <c r="BF877" t="str">
        <f>IF(AND(OR(PROCESSOS!P877="NO PRAZO",PROCESSOS!P877="VENCE EM BREVE"),OR(FiltroResp="TODOS",FiltroResp="",PROCESSOS!H877=FiltroResp)),PROCESSOS!N877+ROW()/1000000,"")</f>
        <v/>
      </c>
      <c r="BG877" t="str">
        <f>IF(AND(PROCESSOS!B877&lt;&gt;"",ISNUMBER(PROCESSOS!D877),OR(FiltroResp="TODOS",FiltroResp="",PROCESSOS!H877=FiltroResp)),PROCESSOS!D877+ROW()/1000000,"")</f>
        <v/>
      </c>
    </row>
    <row r="878">
      <c r="BF878" t="str">
        <f>IF(AND(OR(PROCESSOS!P878="NO PRAZO",PROCESSOS!P878="VENCE EM BREVE"),OR(FiltroResp="TODOS",FiltroResp="",PROCESSOS!H878=FiltroResp)),PROCESSOS!N878+ROW()/1000000,"")</f>
        <v/>
      </c>
      <c r="BG878" t="str">
        <f>IF(AND(PROCESSOS!B878&lt;&gt;"",ISNUMBER(PROCESSOS!D878),OR(FiltroResp="TODOS",FiltroResp="",PROCESSOS!H878=FiltroResp)),PROCESSOS!D878+ROW()/1000000,"")</f>
        <v/>
      </c>
    </row>
    <row r="879">
      <c r="BF879" t="str">
        <f>IF(AND(OR(PROCESSOS!P879="NO PRAZO",PROCESSOS!P879="VENCE EM BREVE"),OR(FiltroResp="TODOS",FiltroResp="",PROCESSOS!H879=FiltroResp)),PROCESSOS!N879+ROW()/1000000,"")</f>
        <v/>
      </c>
      <c r="BG879" t="str">
        <f>IF(AND(PROCESSOS!B879&lt;&gt;"",ISNUMBER(PROCESSOS!D879),OR(FiltroResp="TODOS",FiltroResp="",PROCESSOS!H879=FiltroResp)),PROCESSOS!D879+ROW()/1000000,"")</f>
        <v/>
      </c>
    </row>
    <row r="880">
      <c r="BF880" t="str">
        <f>IF(AND(OR(PROCESSOS!P880="NO PRAZO",PROCESSOS!P880="VENCE EM BREVE"),OR(FiltroResp="TODOS",FiltroResp="",PROCESSOS!H880=FiltroResp)),PROCESSOS!N880+ROW()/1000000,"")</f>
        <v/>
      </c>
      <c r="BG880" t="str">
        <f>IF(AND(PROCESSOS!B880&lt;&gt;"",ISNUMBER(PROCESSOS!D880),OR(FiltroResp="TODOS",FiltroResp="",PROCESSOS!H880=FiltroResp)),PROCESSOS!D880+ROW()/1000000,"")</f>
        <v/>
      </c>
    </row>
    <row r="881">
      <c r="BF881" t="str">
        <f>IF(AND(OR(PROCESSOS!P881="NO PRAZO",PROCESSOS!P881="VENCE EM BREVE"),OR(FiltroResp="TODOS",FiltroResp="",PROCESSOS!H881=FiltroResp)),PROCESSOS!N881+ROW()/1000000,"")</f>
        <v/>
      </c>
      <c r="BG881" t="str">
        <f>IF(AND(PROCESSOS!B881&lt;&gt;"",ISNUMBER(PROCESSOS!D881),OR(FiltroResp="TODOS",FiltroResp="",PROCESSOS!H881=FiltroResp)),PROCESSOS!D881+ROW()/1000000,"")</f>
        <v/>
      </c>
    </row>
    <row r="882">
      <c r="BF882" t="str">
        <f>IF(AND(OR(PROCESSOS!P882="NO PRAZO",PROCESSOS!P882="VENCE EM BREVE"),OR(FiltroResp="TODOS",FiltroResp="",PROCESSOS!H882=FiltroResp)),PROCESSOS!N882+ROW()/1000000,"")</f>
        <v/>
      </c>
      <c r="BG882" t="str">
        <f>IF(AND(PROCESSOS!B882&lt;&gt;"",ISNUMBER(PROCESSOS!D882),OR(FiltroResp="TODOS",FiltroResp="",PROCESSOS!H882=FiltroResp)),PROCESSOS!D882+ROW()/1000000,"")</f>
        <v/>
      </c>
    </row>
    <row r="883">
      <c r="BF883" t="str">
        <f>IF(AND(OR(PROCESSOS!P883="NO PRAZO",PROCESSOS!P883="VENCE EM BREVE"),OR(FiltroResp="TODOS",FiltroResp="",PROCESSOS!H883=FiltroResp)),PROCESSOS!N883+ROW()/1000000,"")</f>
        <v/>
      </c>
      <c r="BG883" t="str">
        <f>IF(AND(PROCESSOS!B883&lt;&gt;"",ISNUMBER(PROCESSOS!D883),OR(FiltroResp="TODOS",FiltroResp="",PROCESSOS!H883=FiltroResp)),PROCESSOS!D883+ROW()/1000000,"")</f>
        <v/>
      </c>
    </row>
    <row r="884">
      <c r="BF884" t="str">
        <f>IF(AND(OR(PROCESSOS!P884="NO PRAZO",PROCESSOS!P884="VENCE EM BREVE"),OR(FiltroResp="TODOS",FiltroResp="",PROCESSOS!H884=FiltroResp)),PROCESSOS!N884+ROW()/1000000,"")</f>
        <v/>
      </c>
      <c r="BG884" t="str">
        <f>IF(AND(PROCESSOS!B884&lt;&gt;"",ISNUMBER(PROCESSOS!D884),OR(FiltroResp="TODOS",FiltroResp="",PROCESSOS!H884=FiltroResp)),PROCESSOS!D884+ROW()/1000000,"")</f>
        <v/>
      </c>
    </row>
    <row r="885">
      <c r="BF885" t="str">
        <f>IF(AND(OR(PROCESSOS!P885="NO PRAZO",PROCESSOS!P885="VENCE EM BREVE"),OR(FiltroResp="TODOS",FiltroResp="",PROCESSOS!H885=FiltroResp)),PROCESSOS!N885+ROW()/1000000,"")</f>
        <v/>
      </c>
      <c r="BG885" t="str">
        <f>IF(AND(PROCESSOS!B885&lt;&gt;"",ISNUMBER(PROCESSOS!D885),OR(FiltroResp="TODOS",FiltroResp="",PROCESSOS!H885=FiltroResp)),PROCESSOS!D885+ROW()/1000000,"")</f>
        <v/>
      </c>
    </row>
    <row r="886">
      <c r="BF886" t="str">
        <f>IF(AND(OR(PROCESSOS!P886="NO PRAZO",PROCESSOS!P886="VENCE EM BREVE"),OR(FiltroResp="TODOS",FiltroResp="",PROCESSOS!H886=FiltroResp)),PROCESSOS!N886+ROW()/1000000,"")</f>
        <v/>
      </c>
      <c r="BG886" t="str">
        <f>IF(AND(PROCESSOS!B886&lt;&gt;"",ISNUMBER(PROCESSOS!D886),OR(FiltroResp="TODOS",FiltroResp="",PROCESSOS!H886=FiltroResp)),PROCESSOS!D886+ROW()/1000000,"")</f>
        <v/>
      </c>
    </row>
    <row r="887">
      <c r="BF887" t="str">
        <f>IF(AND(OR(PROCESSOS!P887="NO PRAZO",PROCESSOS!P887="VENCE EM BREVE"),OR(FiltroResp="TODOS",FiltroResp="",PROCESSOS!H887=FiltroResp)),PROCESSOS!N887+ROW()/1000000,"")</f>
        <v/>
      </c>
      <c r="BG887" t="str">
        <f>IF(AND(PROCESSOS!B887&lt;&gt;"",ISNUMBER(PROCESSOS!D887),OR(FiltroResp="TODOS",FiltroResp="",PROCESSOS!H887=FiltroResp)),PROCESSOS!D887+ROW()/1000000,"")</f>
        <v/>
      </c>
    </row>
    <row r="888">
      <c r="BF888" t="str">
        <f>IF(AND(OR(PROCESSOS!P888="NO PRAZO",PROCESSOS!P888="VENCE EM BREVE"),OR(FiltroResp="TODOS",FiltroResp="",PROCESSOS!H888=FiltroResp)),PROCESSOS!N888+ROW()/1000000,"")</f>
        <v/>
      </c>
      <c r="BG888" t="str">
        <f>IF(AND(PROCESSOS!B888&lt;&gt;"",ISNUMBER(PROCESSOS!D888),OR(FiltroResp="TODOS",FiltroResp="",PROCESSOS!H888=FiltroResp)),PROCESSOS!D888+ROW()/1000000,"")</f>
        <v/>
      </c>
    </row>
    <row r="889">
      <c r="BF889" t="str">
        <f>IF(AND(OR(PROCESSOS!P889="NO PRAZO",PROCESSOS!P889="VENCE EM BREVE"),OR(FiltroResp="TODOS",FiltroResp="",PROCESSOS!H889=FiltroResp)),PROCESSOS!N889+ROW()/1000000,"")</f>
        <v/>
      </c>
      <c r="BG889" t="str">
        <f>IF(AND(PROCESSOS!B889&lt;&gt;"",ISNUMBER(PROCESSOS!D889),OR(FiltroResp="TODOS",FiltroResp="",PROCESSOS!H889=FiltroResp)),PROCESSOS!D889+ROW()/1000000,"")</f>
        <v/>
      </c>
    </row>
    <row r="890">
      <c r="BF890" t="str">
        <f>IF(AND(OR(PROCESSOS!P890="NO PRAZO",PROCESSOS!P890="VENCE EM BREVE"),OR(FiltroResp="TODOS",FiltroResp="",PROCESSOS!H890=FiltroResp)),PROCESSOS!N890+ROW()/1000000,"")</f>
        <v/>
      </c>
      <c r="BG890" t="str">
        <f>IF(AND(PROCESSOS!B890&lt;&gt;"",ISNUMBER(PROCESSOS!D890),OR(FiltroResp="TODOS",FiltroResp="",PROCESSOS!H890=FiltroResp)),PROCESSOS!D890+ROW()/1000000,"")</f>
        <v/>
      </c>
    </row>
    <row r="891">
      <c r="BF891" t="str">
        <f>IF(AND(OR(PROCESSOS!P891="NO PRAZO",PROCESSOS!P891="VENCE EM BREVE"),OR(FiltroResp="TODOS",FiltroResp="",PROCESSOS!H891=FiltroResp)),PROCESSOS!N891+ROW()/1000000,"")</f>
        <v/>
      </c>
      <c r="BG891" t="str">
        <f>IF(AND(PROCESSOS!B891&lt;&gt;"",ISNUMBER(PROCESSOS!D891),OR(FiltroResp="TODOS",FiltroResp="",PROCESSOS!H891=FiltroResp)),PROCESSOS!D891+ROW()/1000000,"")</f>
        <v/>
      </c>
    </row>
    <row r="892">
      <c r="BF892" t="str">
        <f>IF(AND(OR(PROCESSOS!P892="NO PRAZO",PROCESSOS!P892="VENCE EM BREVE"),OR(FiltroResp="TODOS",FiltroResp="",PROCESSOS!H892=FiltroResp)),PROCESSOS!N892+ROW()/1000000,"")</f>
        <v/>
      </c>
      <c r="BG892" t="str">
        <f>IF(AND(PROCESSOS!B892&lt;&gt;"",ISNUMBER(PROCESSOS!D892),OR(FiltroResp="TODOS",FiltroResp="",PROCESSOS!H892=FiltroResp)),PROCESSOS!D892+ROW()/1000000,"")</f>
        <v/>
      </c>
    </row>
    <row r="893">
      <c r="BF893" t="str">
        <f>IF(AND(OR(PROCESSOS!P893="NO PRAZO",PROCESSOS!P893="VENCE EM BREVE"),OR(FiltroResp="TODOS",FiltroResp="",PROCESSOS!H893=FiltroResp)),PROCESSOS!N893+ROW()/1000000,"")</f>
        <v/>
      </c>
      <c r="BG893" t="str">
        <f>IF(AND(PROCESSOS!B893&lt;&gt;"",ISNUMBER(PROCESSOS!D893),OR(FiltroResp="TODOS",FiltroResp="",PROCESSOS!H893=FiltroResp)),PROCESSOS!D893+ROW()/1000000,"")</f>
        <v/>
      </c>
    </row>
    <row r="894">
      <c r="BF894" t="str">
        <f>IF(AND(OR(PROCESSOS!P894="NO PRAZO",PROCESSOS!P894="VENCE EM BREVE"),OR(FiltroResp="TODOS",FiltroResp="",PROCESSOS!H894=FiltroResp)),PROCESSOS!N894+ROW()/1000000,"")</f>
        <v/>
      </c>
      <c r="BG894" t="str">
        <f>IF(AND(PROCESSOS!B894&lt;&gt;"",ISNUMBER(PROCESSOS!D894),OR(FiltroResp="TODOS",FiltroResp="",PROCESSOS!H894=FiltroResp)),PROCESSOS!D894+ROW()/1000000,"")</f>
        <v/>
      </c>
    </row>
    <row r="895">
      <c r="BF895" t="str">
        <f>IF(AND(OR(PROCESSOS!P895="NO PRAZO",PROCESSOS!P895="VENCE EM BREVE"),OR(FiltroResp="TODOS",FiltroResp="",PROCESSOS!H895=FiltroResp)),PROCESSOS!N895+ROW()/1000000,"")</f>
        <v/>
      </c>
      <c r="BG895" t="str">
        <f>IF(AND(PROCESSOS!B895&lt;&gt;"",ISNUMBER(PROCESSOS!D895),OR(FiltroResp="TODOS",FiltroResp="",PROCESSOS!H895=FiltroResp)),PROCESSOS!D895+ROW()/1000000,"")</f>
        <v/>
      </c>
    </row>
    <row r="896">
      <c r="BF896" t="str">
        <f>IF(AND(OR(PROCESSOS!P896="NO PRAZO",PROCESSOS!P896="VENCE EM BREVE"),OR(FiltroResp="TODOS",FiltroResp="",PROCESSOS!H896=FiltroResp)),PROCESSOS!N896+ROW()/1000000,"")</f>
        <v/>
      </c>
      <c r="BG896" t="str">
        <f>IF(AND(PROCESSOS!B896&lt;&gt;"",ISNUMBER(PROCESSOS!D896),OR(FiltroResp="TODOS",FiltroResp="",PROCESSOS!H896=FiltroResp)),PROCESSOS!D896+ROW()/1000000,"")</f>
        <v/>
      </c>
    </row>
    <row r="897">
      <c r="BF897" t="str">
        <f>IF(AND(OR(PROCESSOS!P897="NO PRAZO",PROCESSOS!P897="VENCE EM BREVE"),OR(FiltroResp="TODOS",FiltroResp="",PROCESSOS!H897=FiltroResp)),PROCESSOS!N897+ROW()/1000000,"")</f>
        <v/>
      </c>
      <c r="BG897" t="str">
        <f>IF(AND(PROCESSOS!B897&lt;&gt;"",ISNUMBER(PROCESSOS!D897),OR(FiltroResp="TODOS",FiltroResp="",PROCESSOS!H897=FiltroResp)),PROCESSOS!D897+ROW()/1000000,"")</f>
        <v/>
      </c>
    </row>
    <row r="898">
      <c r="BF898" t="str">
        <f>IF(AND(OR(PROCESSOS!P898="NO PRAZO",PROCESSOS!P898="VENCE EM BREVE"),OR(FiltroResp="TODOS",FiltroResp="",PROCESSOS!H898=FiltroResp)),PROCESSOS!N898+ROW()/1000000,"")</f>
        <v/>
      </c>
      <c r="BG898" t="str">
        <f>IF(AND(PROCESSOS!B898&lt;&gt;"",ISNUMBER(PROCESSOS!D898),OR(FiltroResp="TODOS",FiltroResp="",PROCESSOS!H898=FiltroResp)),PROCESSOS!D898+ROW()/1000000,"")</f>
        <v/>
      </c>
    </row>
    <row r="899">
      <c r="BF899" t="str">
        <f>IF(AND(OR(PROCESSOS!P899="NO PRAZO",PROCESSOS!P899="VENCE EM BREVE"),OR(FiltroResp="TODOS",FiltroResp="",PROCESSOS!H899=FiltroResp)),PROCESSOS!N899+ROW()/1000000,"")</f>
        <v/>
      </c>
      <c r="BG899" t="str">
        <f>IF(AND(PROCESSOS!B899&lt;&gt;"",ISNUMBER(PROCESSOS!D899),OR(FiltroResp="TODOS",FiltroResp="",PROCESSOS!H899=FiltroResp)),PROCESSOS!D899+ROW()/1000000,"")</f>
        <v/>
      </c>
    </row>
    <row r="900">
      <c r="BF900" t="str">
        <f>IF(AND(OR(PROCESSOS!P900="NO PRAZO",PROCESSOS!P900="VENCE EM BREVE"),OR(FiltroResp="TODOS",FiltroResp="",PROCESSOS!H900=FiltroResp)),PROCESSOS!N900+ROW()/1000000,"")</f>
        <v/>
      </c>
      <c r="BG900" t="str">
        <f>IF(AND(PROCESSOS!B900&lt;&gt;"",ISNUMBER(PROCESSOS!D900),OR(FiltroResp="TODOS",FiltroResp="",PROCESSOS!H900=FiltroResp)),PROCESSOS!D900+ROW()/1000000,"")</f>
        <v/>
      </c>
    </row>
    <row r="901">
      <c r="BF901" t="str">
        <f>IF(AND(OR(PROCESSOS!P901="NO PRAZO",PROCESSOS!P901="VENCE EM BREVE"),OR(FiltroResp="TODOS",FiltroResp="",PROCESSOS!H901=FiltroResp)),PROCESSOS!N901+ROW()/1000000,"")</f>
        <v/>
      </c>
      <c r="BG901" t="str">
        <f>IF(AND(PROCESSOS!B901&lt;&gt;"",ISNUMBER(PROCESSOS!D901),OR(FiltroResp="TODOS",FiltroResp="",PROCESSOS!H901=FiltroResp)),PROCESSOS!D901+ROW()/1000000,"")</f>
        <v/>
      </c>
    </row>
    <row r="902">
      <c r="BF902" t="str">
        <f>IF(AND(OR(PROCESSOS!P902="NO PRAZO",PROCESSOS!P902="VENCE EM BREVE"),OR(FiltroResp="TODOS",FiltroResp="",PROCESSOS!H902=FiltroResp)),PROCESSOS!N902+ROW()/1000000,"")</f>
        <v/>
      </c>
      <c r="BG902" t="str">
        <f>IF(AND(PROCESSOS!B902&lt;&gt;"",ISNUMBER(PROCESSOS!D902),OR(FiltroResp="TODOS",FiltroResp="",PROCESSOS!H902=FiltroResp)),PROCESSOS!D902+ROW()/1000000,"")</f>
        <v/>
      </c>
    </row>
    <row r="903">
      <c r="BF903" t="str">
        <f>IF(AND(OR(PROCESSOS!P903="NO PRAZO",PROCESSOS!P903="VENCE EM BREVE"),OR(FiltroResp="TODOS",FiltroResp="",PROCESSOS!H903=FiltroResp)),PROCESSOS!N903+ROW()/1000000,"")</f>
        <v/>
      </c>
      <c r="BG903" t="str">
        <f>IF(AND(PROCESSOS!B903&lt;&gt;"",ISNUMBER(PROCESSOS!D903),OR(FiltroResp="TODOS",FiltroResp="",PROCESSOS!H903=FiltroResp)),PROCESSOS!D903+ROW()/1000000,"")</f>
        <v/>
      </c>
    </row>
    <row r="904">
      <c r="BF904" t="str">
        <f>IF(AND(OR(PROCESSOS!P904="NO PRAZO",PROCESSOS!P904="VENCE EM BREVE"),OR(FiltroResp="TODOS",FiltroResp="",PROCESSOS!H904=FiltroResp)),PROCESSOS!N904+ROW()/1000000,"")</f>
        <v/>
      </c>
      <c r="BG904" t="str">
        <f>IF(AND(PROCESSOS!B904&lt;&gt;"",ISNUMBER(PROCESSOS!D904),OR(FiltroResp="TODOS",FiltroResp="",PROCESSOS!H904=FiltroResp)),PROCESSOS!D904+ROW()/1000000,"")</f>
        <v/>
      </c>
    </row>
    <row r="905">
      <c r="BF905" t="str">
        <f>IF(AND(OR(PROCESSOS!P905="NO PRAZO",PROCESSOS!P905="VENCE EM BREVE"),OR(FiltroResp="TODOS",FiltroResp="",PROCESSOS!H905=FiltroResp)),PROCESSOS!N905+ROW()/1000000,"")</f>
        <v/>
      </c>
      <c r="BG905" t="str">
        <f>IF(AND(PROCESSOS!B905&lt;&gt;"",ISNUMBER(PROCESSOS!D905),OR(FiltroResp="TODOS",FiltroResp="",PROCESSOS!H905=FiltroResp)),PROCESSOS!D905+ROW()/1000000,"")</f>
        <v/>
      </c>
    </row>
    <row r="906">
      <c r="BF906" t="str">
        <f>IF(AND(OR(PROCESSOS!P906="NO PRAZO",PROCESSOS!P906="VENCE EM BREVE"),OR(FiltroResp="TODOS",FiltroResp="",PROCESSOS!H906=FiltroResp)),PROCESSOS!N906+ROW()/1000000,"")</f>
        <v/>
      </c>
      <c r="BG906" t="str">
        <f>IF(AND(PROCESSOS!B906&lt;&gt;"",ISNUMBER(PROCESSOS!D906),OR(FiltroResp="TODOS",FiltroResp="",PROCESSOS!H906=FiltroResp)),PROCESSOS!D906+ROW()/1000000,"")</f>
        <v/>
      </c>
    </row>
    <row r="907">
      <c r="BF907" t="str">
        <f>IF(AND(OR(PROCESSOS!P907="NO PRAZO",PROCESSOS!P907="VENCE EM BREVE"),OR(FiltroResp="TODOS",FiltroResp="",PROCESSOS!H907=FiltroResp)),PROCESSOS!N907+ROW()/1000000,"")</f>
        <v/>
      </c>
      <c r="BG907" t="str">
        <f>IF(AND(PROCESSOS!B907&lt;&gt;"",ISNUMBER(PROCESSOS!D907),OR(FiltroResp="TODOS",FiltroResp="",PROCESSOS!H907=FiltroResp)),PROCESSOS!D907+ROW()/1000000,"")</f>
        <v/>
      </c>
    </row>
    <row r="908">
      <c r="BF908" t="str">
        <f>IF(AND(OR(PROCESSOS!P908="NO PRAZO",PROCESSOS!P908="VENCE EM BREVE"),OR(FiltroResp="TODOS",FiltroResp="",PROCESSOS!H908=FiltroResp)),PROCESSOS!N908+ROW()/1000000,"")</f>
        <v/>
      </c>
      <c r="BG908" t="str">
        <f>IF(AND(PROCESSOS!B908&lt;&gt;"",ISNUMBER(PROCESSOS!D908),OR(FiltroResp="TODOS",FiltroResp="",PROCESSOS!H908=FiltroResp)),PROCESSOS!D908+ROW()/1000000,"")</f>
        <v/>
      </c>
    </row>
    <row r="909">
      <c r="BF909" t="str">
        <f>IF(AND(OR(PROCESSOS!P909="NO PRAZO",PROCESSOS!P909="VENCE EM BREVE"),OR(FiltroResp="TODOS",FiltroResp="",PROCESSOS!H909=FiltroResp)),PROCESSOS!N909+ROW()/1000000,"")</f>
        <v/>
      </c>
      <c r="BG909" t="str">
        <f>IF(AND(PROCESSOS!B909&lt;&gt;"",ISNUMBER(PROCESSOS!D909),OR(FiltroResp="TODOS",FiltroResp="",PROCESSOS!H909=FiltroResp)),PROCESSOS!D909+ROW()/1000000,"")</f>
        <v/>
      </c>
    </row>
    <row r="910">
      <c r="BF910" t="str">
        <f>IF(AND(OR(PROCESSOS!P910="NO PRAZO",PROCESSOS!P910="VENCE EM BREVE"),OR(FiltroResp="TODOS",FiltroResp="",PROCESSOS!H910=FiltroResp)),PROCESSOS!N910+ROW()/1000000,"")</f>
        <v/>
      </c>
      <c r="BG910" t="str">
        <f>IF(AND(PROCESSOS!B910&lt;&gt;"",ISNUMBER(PROCESSOS!D910),OR(FiltroResp="TODOS",FiltroResp="",PROCESSOS!H910=FiltroResp)),PROCESSOS!D910+ROW()/1000000,"")</f>
        <v/>
      </c>
    </row>
    <row r="911">
      <c r="BF911" t="str">
        <f>IF(AND(OR(PROCESSOS!P911="NO PRAZO",PROCESSOS!P911="VENCE EM BREVE"),OR(FiltroResp="TODOS",FiltroResp="",PROCESSOS!H911=FiltroResp)),PROCESSOS!N911+ROW()/1000000,"")</f>
        <v/>
      </c>
      <c r="BG911" t="str">
        <f>IF(AND(PROCESSOS!B911&lt;&gt;"",ISNUMBER(PROCESSOS!D911),OR(FiltroResp="TODOS",FiltroResp="",PROCESSOS!H911=FiltroResp)),PROCESSOS!D911+ROW()/1000000,"")</f>
        <v/>
      </c>
    </row>
    <row r="912">
      <c r="BF912" t="str">
        <f>IF(AND(OR(PROCESSOS!P912="NO PRAZO",PROCESSOS!P912="VENCE EM BREVE"),OR(FiltroResp="TODOS",FiltroResp="",PROCESSOS!H912=FiltroResp)),PROCESSOS!N912+ROW()/1000000,"")</f>
        <v/>
      </c>
      <c r="BG912" t="str">
        <f>IF(AND(PROCESSOS!B912&lt;&gt;"",ISNUMBER(PROCESSOS!D912),OR(FiltroResp="TODOS",FiltroResp="",PROCESSOS!H912=FiltroResp)),PROCESSOS!D912+ROW()/1000000,"")</f>
        <v/>
      </c>
    </row>
    <row r="913">
      <c r="BF913" t="str">
        <f>IF(AND(OR(PROCESSOS!P913="NO PRAZO",PROCESSOS!P913="VENCE EM BREVE"),OR(FiltroResp="TODOS",FiltroResp="",PROCESSOS!H913=FiltroResp)),PROCESSOS!N913+ROW()/1000000,"")</f>
        <v/>
      </c>
      <c r="BG913" t="str">
        <f>IF(AND(PROCESSOS!B913&lt;&gt;"",ISNUMBER(PROCESSOS!D913),OR(FiltroResp="TODOS",FiltroResp="",PROCESSOS!H913=FiltroResp)),PROCESSOS!D913+ROW()/1000000,"")</f>
        <v/>
      </c>
    </row>
    <row r="914">
      <c r="BF914" t="str">
        <f>IF(AND(OR(PROCESSOS!P914="NO PRAZO",PROCESSOS!P914="VENCE EM BREVE"),OR(FiltroResp="TODOS",FiltroResp="",PROCESSOS!H914=FiltroResp)),PROCESSOS!N914+ROW()/1000000,"")</f>
        <v/>
      </c>
      <c r="BG914" t="str">
        <f>IF(AND(PROCESSOS!B914&lt;&gt;"",ISNUMBER(PROCESSOS!D914),OR(FiltroResp="TODOS",FiltroResp="",PROCESSOS!H914=FiltroResp)),PROCESSOS!D914+ROW()/1000000,"")</f>
        <v/>
      </c>
    </row>
    <row r="915">
      <c r="BF915" t="str">
        <f>IF(AND(OR(PROCESSOS!P915="NO PRAZO",PROCESSOS!P915="VENCE EM BREVE"),OR(FiltroResp="TODOS",FiltroResp="",PROCESSOS!H915=FiltroResp)),PROCESSOS!N915+ROW()/1000000,"")</f>
        <v/>
      </c>
      <c r="BG915" t="str">
        <f>IF(AND(PROCESSOS!B915&lt;&gt;"",ISNUMBER(PROCESSOS!D915),OR(FiltroResp="TODOS",FiltroResp="",PROCESSOS!H915=FiltroResp)),PROCESSOS!D915+ROW()/1000000,"")</f>
        <v/>
      </c>
    </row>
    <row r="916">
      <c r="BF916" t="str">
        <f>IF(AND(OR(PROCESSOS!P916="NO PRAZO",PROCESSOS!P916="VENCE EM BREVE"),OR(FiltroResp="TODOS",FiltroResp="",PROCESSOS!H916=FiltroResp)),PROCESSOS!N916+ROW()/1000000,"")</f>
        <v/>
      </c>
      <c r="BG916" t="str">
        <f>IF(AND(PROCESSOS!B916&lt;&gt;"",ISNUMBER(PROCESSOS!D916),OR(FiltroResp="TODOS",FiltroResp="",PROCESSOS!H916=FiltroResp)),PROCESSOS!D916+ROW()/1000000,"")</f>
        <v/>
      </c>
    </row>
    <row r="917">
      <c r="BF917" t="str">
        <f>IF(AND(OR(PROCESSOS!P917="NO PRAZO",PROCESSOS!P917="VENCE EM BREVE"),OR(FiltroResp="TODOS",FiltroResp="",PROCESSOS!H917=FiltroResp)),PROCESSOS!N917+ROW()/1000000,"")</f>
        <v/>
      </c>
      <c r="BG917" t="str">
        <f>IF(AND(PROCESSOS!B917&lt;&gt;"",ISNUMBER(PROCESSOS!D917),OR(FiltroResp="TODOS",FiltroResp="",PROCESSOS!H917=FiltroResp)),PROCESSOS!D917+ROW()/1000000,"")</f>
        <v/>
      </c>
    </row>
    <row r="918">
      <c r="BF918" t="str">
        <f>IF(AND(OR(PROCESSOS!P918="NO PRAZO",PROCESSOS!P918="VENCE EM BREVE"),OR(FiltroResp="TODOS",FiltroResp="",PROCESSOS!H918=FiltroResp)),PROCESSOS!N918+ROW()/1000000,"")</f>
        <v/>
      </c>
      <c r="BG918" t="str">
        <f>IF(AND(PROCESSOS!B918&lt;&gt;"",ISNUMBER(PROCESSOS!D918),OR(FiltroResp="TODOS",FiltroResp="",PROCESSOS!H918=FiltroResp)),PROCESSOS!D918+ROW()/1000000,"")</f>
        <v/>
      </c>
    </row>
    <row r="919">
      <c r="BF919" t="str">
        <f>IF(AND(OR(PROCESSOS!P919="NO PRAZO",PROCESSOS!P919="VENCE EM BREVE"),OR(FiltroResp="TODOS",FiltroResp="",PROCESSOS!H919=FiltroResp)),PROCESSOS!N919+ROW()/1000000,"")</f>
        <v/>
      </c>
      <c r="BG919" t="str">
        <f>IF(AND(PROCESSOS!B919&lt;&gt;"",ISNUMBER(PROCESSOS!D919),OR(FiltroResp="TODOS",FiltroResp="",PROCESSOS!H919=FiltroResp)),PROCESSOS!D919+ROW()/1000000,"")</f>
        <v/>
      </c>
    </row>
    <row r="920">
      <c r="BF920" t="str">
        <f>IF(AND(OR(PROCESSOS!P920="NO PRAZO",PROCESSOS!P920="VENCE EM BREVE"),OR(FiltroResp="TODOS",FiltroResp="",PROCESSOS!H920=FiltroResp)),PROCESSOS!N920+ROW()/1000000,"")</f>
        <v/>
      </c>
      <c r="BG920" t="str">
        <f>IF(AND(PROCESSOS!B920&lt;&gt;"",ISNUMBER(PROCESSOS!D920),OR(FiltroResp="TODOS",FiltroResp="",PROCESSOS!H920=FiltroResp)),PROCESSOS!D920+ROW()/1000000,"")</f>
        <v/>
      </c>
    </row>
    <row r="921">
      <c r="BF921" t="str">
        <f>IF(AND(OR(PROCESSOS!P921="NO PRAZO",PROCESSOS!P921="VENCE EM BREVE"),OR(FiltroResp="TODOS",FiltroResp="",PROCESSOS!H921=FiltroResp)),PROCESSOS!N921+ROW()/1000000,"")</f>
        <v/>
      </c>
      <c r="BG921" t="str">
        <f>IF(AND(PROCESSOS!B921&lt;&gt;"",ISNUMBER(PROCESSOS!D921),OR(FiltroResp="TODOS",FiltroResp="",PROCESSOS!H921=FiltroResp)),PROCESSOS!D921+ROW()/1000000,"")</f>
        <v/>
      </c>
    </row>
    <row r="922">
      <c r="BF922" t="str">
        <f>IF(AND(OR(PROCESSOS!P922="NO PRAZO",PROCESSOS!P922="VENCE EM BREVE"),OR(FiltroResp="TODOS",FiltroResp="",PROCESSOS!H922=FiltroResp)),PROCESSOS!N922+ROW()/1000000,"")</f>
        <v/>
      </c>
      <c r="BG922" t="str">
        <f>IF(AND(PROCESSOS!B922&lt;&gt;"",ISNUMBER(PROCESSOS!D922),OR(FiltroResp="TODOS",FiltroResp="",PROCESSOS!H922=FiltroResp)),PROCESSOS!D922+ROW()/1000000,"")</f>
        <v/>
      </c>
    </row>
    <row r="923">
      <c r="BF923" t="str">
        <f>IF(AND(OR(PROCESSOS!P923="NO PRAZO",PROCESSOS!P923="VENCE EM BREVE"),OR(FiltroResp="TODOS",FiltroResp="",PROCESSOS!H923=FiltroResp)),PROCESSOS!N923+ROW()/1000000,"")</f>
        <v/>
      </c>
      <c r="BG923" t="str">
        <f>IF(AND(PROCESSOS!B923&lt;&gt;"",ISNUMBER(PROCESSOS!D923),OR(FiltroResp="TODOS",FiltroResp="",PROCESSOS!H923=FiltroResp)),PROCESSOS!D923+ROW()/1000000,"")</f>
        <v/>
      </c>
    </row>
    <row r="924">
      <c r="BF924" t="str">
        <f>IF(AND(OR(PROCESSOS!P924="NO PRAZO",PROCESSOS!P924="VENCE EM BREVE"),OR(FiltroResp="TODOS",FiltroResp="",PROCESSOS!H924=FiltroResp)),PROCESSOS!N924+ROW()/1000000,"")</f>
        <v/>
      </c>
      <c r="BG924" t="str">
        <f>IF(AND(PROCESSOS!B924&lt;&gt;"",ISNUMBER(PROCESSOS!D924),OR(FiltroResp="TODOS",FiltroResp="",PROCESSOS!H924=FiltroResp)),PROCESSOS!D924+ROW()/1000000,"")</f>
        <v/>
      </c>
    </row>
    <row r="925">
      <c r="BF925" t="str">
        <f>IF(AND(OR(PROCESSOS!P925="NO PRAZO",PROCESSOS!P925="VENCE EM BREVE"),OR(FiltroResp="TODOS",FiltroResp="",PROCESSOS!H925=FiltroResp)),PROCESSOS!N925+ROW()/1000000,"")</f>
        <v/>
      </c>
      <c r="BG925" t="str">
        <f>IF(AND(PROCESSOS!B925&lt;&gt;"",ISNUMBER(PROCESSOS!D925),OR(FiltroResp="TODOS",FiltroResp="",PROCESSOS!H925=FiltroResp)),PROCESSOS!D925+ROW()/1000000,"")</f>
        <v/>
      </c>
    </row>
    <row r="926">
      <c r="BF926" t="str">
        <f>IF(AND(OR(PROCESSOS!P926="NO PRAZO",PROCESSOS!P926="VENCE EM BREVE"),OR(FiltroResp="TODOS",FiltroResp="",PROCESSOS!H926=FiltroResp)),PROCESSOS!N926+ROW()/1000000,"")</f>
        <v/>
      </c>
      <c r="BG926" t="str">
        <f>IF(AND(PROCESSOS!B926&lt;&gt;"",ISNUMBER(PROCESSOS!D926),OR(FiltroResp="TODOS",FiltroResp="",PROCESSOS!H926=FiltroResp)),PROCESSOS!D926+ROW()/1000000,"")</f>
        <v/>
      </c>
    </row>
    <row r="927">
      <c r="BF927" t="str">
        <f>IF(AND(OR(PROCESSOS!P927="NO PRAZO",PROCESSOS!P927="VENCE EM BREVE"),OR(FiltroResp="TODOS",FiltroResp="",PROCESSOS!H927=FiltroResp)),PROCESSOS!N927+ROW()/1000000,"")</f>
        <v/>
      </c>
      <c r="BG927" t="str">
        <f>IF(AND(PROCESSOS!B927&lt;&gt;"",ISNUMBER(PROCESSOS!D927),OR(FiltroResp="TODOS",FiltroResp="",PROCESSOS!H927=FiltroResp)),PROCESSOS!D927+ROW()/1000000,"")</f>
        <v/>
      </c>
    </row>
    <row r="928">
      <c r="BF928" t="str">
        <f>IF(AND(OR(PROCESSOS!P928="NO PRAZO",PROCESSOS!P928="VENCE EM BREVE"),OR(FiltroResp="TODOS",FiltroResp="",PROCESSOS!H928=FiltroResp)),PROCESSOS!N928+ROW()/1000000,"")</f>
        <v/>
      </c>
      <c r="BG928" t="str">
        <f>IF(AND(PROCESSOS!B928&lt;&gt;"",ISNUMBER(PROCESSOS!D928),OR(FiltroResp="TODOS",FiltroResp="",PROCESSOS!H928=FiltroResp)),PROCESSOS!D928+ROW()/1000000,"")</f>
        <v/>
      </c>
    </row>
    <row r="929">
      <c r="BF929" t="str">
        <f>IF(AND(OR(PROCESSOS!P929="NO PRAZO",PROCESSOS!P929="VENCE EM BREVE"),OR(FiltroResp="TODOS",FiltroResp="",PROCESSOS!H929=FiltroResp)),PROCESSOS!N929+ROW()/1000000,"")</f>
        <v/>
      </c>
      <c r="BG929" t="str">
        <f>IF(AND(PROCESSOS!B929&lt;&gt;"",ISNUMBER(PROCESSOS!D929),OR(FiltroResp="TODOS",FiltroResp="",PROCESSOS!H929=FiltroResp)),PROCESSOS!D929+ROW()/1000000,"")</f>
        <v/>
      </c>
    </row>
    <row r="930">
      <c r="BF930" t="str">
        <f>IF(AND(OR(PROCESSOS!P930="NO PRAZO",PROCESSOS!P930="VENCE EM BREVE"),OR(FiltroResp="TODOS",FiltroResp="",PROCESSOS!H930=FiltroResp)),PROCESSOS!N930+ROW()/1000000,"")</f>
        <v/>
      </c>
      <c r="BG930" t="str">
        <f>IF(AND(PROCESSOS!B930&lt;&gt;"",ISNUMBER(PROCESSOS!D930),OR(FiltroResp="TODOS",FiltroResp="",PROCESSOS!H930=FiltroResp)),PROCESSOS!D930+ROW()/1000000,"")</f>
        <v/>
      </c>
    </row>
    <row r="931">
      <c r="BF931" t="str">
        <f>IF(AND(OR(PROCESSOS!P931="NO PRAZO",PROCESSOS!P931="VENCE EM BREVE"),OR(FiltroResp="TODOS",FiltroResp="",PROCESSOS!H931=FiltroResp)),PROCESSOS!N931+ROW()/1000000,"")</f>
        <v/>
      </c>
      <c r="BG931" t="str">
        <f>IF(AND(PROCESSOS!B931&lt;&gt;"",ISNUMBER(PROCESSOS!D931),OR(FiltroResp="TODOS",FiltroResp="",PROCESSOS!H931=FiltroResp)),PROCESSOS!D931+ROW()/1000000,"")</f>
        <v/>
      </c>
    </row>
    <row r="932">
      <c r="BF932" t="str">
        <f>IF(AND(OR(PROCESSOS!P932="NO PRAZO",PROCESSOS!P932="VENCE EM BREVE"),OR(FiltroResp="TODOS",FiltroResp="",PROCESSOS!H932=FiltroResp)),PROCESSOS!N932+ROW()/1000000,"")</f>
        <v/>
      </c>
      <c r="BG932" t="str">
        <f>IF(AND(PROCESSOS!B932&lt;&gt;"",ISNUMBER(PROCESSOS!D932),OR(FiltroResp="TODOS",FiltroResp="",PROCESSOS!H932=FiltroResp)),PROCESSOS!D932+ROW()/1000000,"")</f>
        <v/>
      </c>
    </row>
    <row r="933">
      <c r="BF933" t="str">
        <f>IF(AND(OR(PROCESSOS!P933="NO PRAZO",PROCESSOS!P933="VENCE EM BREVE"),OR(FiltroResp="TODOS",FiltroResp="",PROCESSOS!H933=FiltroResp)),PROCESSOS!N933+ROW()/1000000,"")</f>
        <v/>
      </c>
      <c r="BG933" t="str">
        <f>IF(AND(PROCESSOS!B933&lt;&gt;"",ISNUMBER(PROCESSOS!D933),OR(FiltroResp="TODOS",FiltroResp="",PROCESSOS!H933=FiltroResp)),PROCESSOS!D933+ROW()/1000000,"")</f>
        <v/>
      </c>
    </row>
    <row r="934">
      <c r="BF934" t="str">
        <f>IF(AND(OR(PROCESSOS!P934="NO PRAZO",PROCESSOS!P934="VENCE EM BREVE"),OR(FiltroResp="TODOS",FiltroResp="",PROCESSOS!H934=FiltroResp)),PROCESSOS!N934+ROW()/1000000,"")</f>
        <v/>
      </c>
      <c r="BG934" t="str">
        <f>IF(AND(PROCESSOS!B934&lt;&gt;"",ISNUMBER(PROCESSOS!D934),OR(FiltroResp="TODOS",FiltroResp="",PROCESSOS!H934=FiltroResp)),PROCESSOS!D934+ROW()/1000000,"")</f>
        <v/>
      </c>
    </row>
    <row r="935">
      <c r="BF935" t="str">
        <f>IF(AND(OR(PROCESSOS!P935="NO PRAZO",PROCESSOS!P935="VENCE EM BREVE"),OR(FiltroResp="TODOS",FiltroResp="",PROCESSOS!H935=FiltroResp)),PROCESSOS!N935+ROW()/1000000,"")</f>
        <v/>
      </c>
      <c r="BG935" t="str">
        <f>IF(AND(PROCESSOS!B935&lt;&gt;"",ISNUMBER(PROCESSOS!D935),OR(FiltroResp="TODOS",FiltroResp="",PROCESSOS!H935=FiltroResp)),PROCESSOS!D935+ROW()/1000000,"")</f>
        <v/>
      </c>
    </row>
    <row r="936">
      <c r="BF936" t="str">
        <f>IF(AND(OR(PROCESSOS!P936="NO PRAZO",PROCESSOS!P936="VENCE EM BREVE"),OR(FiltroResp="TODOS",FiltroResp="",PROCESSOS!H936=FiltroResp)),PROCESSOS!N936+ROW()/1000000,"")</f>
        <v/>
      </c>
      <c r="BG936" t="str">
        <f>IF(AND(PROCESSOS!B936&lt;&gt;"",ISNUMBER(PROCESSOS!D936),OR(FiltroResp="TODOS",FiltroResp="",PROCESSOS!H936=FiltroResp)),PROCESSOS!D936+ROW()/1000000,"")</f>
        <v/>
      </c>
    </row>
    <row r="937">
      <c r="BF937" t="str">
        <f>IF(AND(OR(PROCESSOS!P937="NO PRAZO",PROCESSOS!P937="VENCE EM BREVE"),OR(FiltroResp="TODOS",FiltroResp="",PROCESSOS!H937=FiltroResp)),PROCESSOS!N937+ROW()/1000000,"")</f>
        <v/>
      </c>
      <c r="BG937" t="str">
        <f>IF(AND(PROCESSOS!B937&lt;&gt;"",ISNUMBER(PROCESSOS!D937),OR(FiltroResp="TODOS",FiltroResp="",PROCESSOS!H937=FiltroResp)),PROCESSOS!D937+ROW()/1000000,"")</f>
        <v/>
      </c>
    </row>
    <row r="938">
      <c r="BF938" t="str">
        <f>IF(AND(OR(PROCESSOS!P938="NO PRAZO",PROCESSOS!P938="VENCE EM BREVE"),OR(FiltroResp="TODOS",FiltroResp="",PROCESSOS!H938=FiltroResp)),PROCESSOS!N938+ROW()/1000000,"")</f>
        <v/>
      </c>
      <c r="BG938" t="str">
        <f>IF(AND(PROCESSOS!B938&lt;&gt;"",ISNUMBER(PROCESSOS!D938),OR(FiltroResp="TODOS",FiltroResp="",PROCESSOS!H938=FiltroResp)),PROCESSOS!D938+ROW()/1000000,"")</f>
        <v/>
      </c>
    </row>
    <row r="939">
      <c r="BF939" t="str">
        <f>IF(AND(OR(PROCESSOS!P939="NO PRAZO",PROCESSOS!P939="VENCE EM BREVE"),OR(FiltroResp="TODOS",FiltroResp="",PROCESSOS!H939=FiltroResp)),PROCESSOS!N939+ROW()/1000000,"")</f>
        <v/>
      </c>
      <c r="BG939" t="str">
        <f>IF(AND(PROCESSOS!B939&lt;&gt;"",ISNUMBER(PROCESSOS!D939),OR(FiltroResp="TODOS",FiltroResp="",PROCESSOS!H939=FiltroResp)),PROCESSOS!D939+ROW()/1000000,"")</f>
        <v/>
      </c>
    </row>
    <row r="940">
      <c r="BF940" t="str">
        <f>IF(AND(OR(PROCESSOS!P940="NO PRAZO",PROCESSOS!P940="VENCE EM BREVE"),OR(FiltroResp="TODOS",FiltroResp="",PROCESSOS!H940=FiltroResp)),PROCESSOS!N940+ROW()/1000000,"")</f>
        <v/>
      </c>
      <c r="BG940" t="str">
        <f>IF(AND(PROCESSOS!B940&lt;&gt;"",ISNUMBER(PROCESSOS!D940),OR(FiltroResp="TODOS",FiltroResp="",PROCESSOS!H940=FiltroResp)),PROCESSOS!D940+ROW()/1000000,"")</f>
        <v/>
      </c>
    </row>
    <row r="941">
      <c r="BF941" t="str">
        <f>IF(AND(OR(PROCESSOS!P941="NO PRAZO",PROCESSOS!P941="VENCE EM BREVE"),OR(FiltroResp="TODOS",FiltroResp="",PROCESSOS!H941=FiltroResp)),PROCESSOS!N941+ROW()/1000000,"")</f>
        <v/>
      </c>
      <c r="BG941" t="str">
        <f>IF(AND(PROCESSOS!B941&lt;&gt;"",ISNUMBER(PROCESSOS!D941),OR(FiltroResp="TODOS",FiltroResp="",PROCESSOS!H941=FiltroResp)),PROCESSOS!D941+ROW()/1000000,"")</f>
        <v/>
      </c>
    </row>
    <row r="942">
      <c r="BF942" t="str">
        <f>IF(AND(OR(PROCESSOS!P942="NO PRAZO",PROCESSOS!P942="VENCE EM BREVE"),OR(FiltroResp="TODOS",FiltroResp="",PROCESSOS!H942=FiltroResp)),PROCESSOS!N942+ROW()/1000000,"")</f>
        <v/>
      </c>
      <c r="BG942" t="str">
        <f>IF(AND(PROCESSOS!B942&lt;&gt;"",ISNUMBER(PROCESSOS!D942),OR(FiltroResp="TODOS",FiltroResp="",PROCESSOS!H942=FiltroResp)),PROCESSOS!D942+ROW()/1000000,"")</f>
        <v/>
      </c>
    </row>
    <row r="943">
      <c r="BF943" t="str">
        <f>IF(AND(OR(PROCESSOS!P943="NO PRAZO",PROCESSOS!P943="VENCE EM BREVE"),OR(FiltroResp="TODOS",FiltroResp="",PROCESSOS!H943=FiltroResp)),PROCESSOS!N943+ROW()/1000000,"")</f>
        <v/>
      </c>
      <c r="BG943" t="str">
        <f>IF(AND(PROCESSOS!B943&lt;&gt;"",ISNUMBER(PROCESSOS!D943),OR(FiltroResp="TODOS",FiltroResp="",PROCESSOS!H943=FiltroResp)),PROCESSOS!D943+ROW()/1000000,"")</f>
        <v/>
      </c>
    </row>
    <row r="944">
      <c r="BF944" t="str">
        <f>IF(AND(OR(PROCESSOS!P944="NO PRAZO",PROCESSOS!P944="VENCE EM BREVE"),OR(FiltroResp="TODOS",FiltroResp="",PROCESSOS!H944=FiltroResp)),PROCESSOS!N944+ROW()/1000000,"")</f>
        <v/>
      </c>
      <c r="BG944" t="str">
        <f>IF(AND(PROCESSOS!B944&lt;&gt;"",ISNUMBER(PROCESSOS!D944),OR(FiltroResp="TODOS",FiltroResp="",PROCESSOS!H944=FiltroResp)),PROCESSOS!D944+ROW()/1000000,"")</f>
        <v/>
      </c>
    </row>
    <row r="945">
      <c r="BF945" t="str">
        <f>IF(AND(OR(PROCESSOS!P945="NO PRAZO",PROCESSOS!P945="VENCE EM BREVE"),OR(FiltroResp="TODOS",FiltroResp="",PROCESSOS!H945=FiltroResp)),PROCESSOS!N945+ROW()/1000000,"")</f>
        <v/>
      </c>
      <c r="BG945" t="str">
        <f>IF(AND(PROCESSOS!B945&lt;&gt;"",ISNUMBER(PROCESSOS!D945),OR(FiltroResp="TODOS",FiltroResp="",PROCESSOS!H945=FiltroResp)),PROCESSOS!D945+ROW()/1000000,"")</f>
        <v/>
      </c>
    </row>
    <row r="946">
      <c r="BF946" t="str">
        <f>IF(AND(OR(PROCESSOS!P946="NO PRAZO",PROCESSOS!P946="VENCE EM BREVE"),OR(FiltroResp="TODOS",FiltroResp="",PROCESSOS!H946=FiltroResp)),PROCESSOS!N946+ROW()/1000000,"")</f>
        <v/>
      </c>
      <c r="BG946" t="str">
        <f>IF(AND(PROCESSOS!B946&lt;&gt;"",ISNUMBER(PROCESSOS!D946),OR(FiltroResp="TODOS",FiltroResp="",PROCESSOS!H946=FiltroResp)),PROCESSOS!D946+ROW()/1000000,"")</f>
        <v/>
      </c>
    </row>
    <row r="947">
      <c r="BF947" t="str">
        <f>IF(AND(OR(PROCESSOS!P947="NO PRAZO",PROCESSOS!P947="VENCE EM BREVE"),OR(FiltroResp="TODOS",FiltroResp="",PROCESSOS!H947=FiltroResp)),PROCESSOS!N947+ROW()/1000000,"")</f>
        <v/>
      </c>
      <c r="BG947" t="str">
        <f>IF(AND(PROCESSOS!B947&lt;&gt;"",ISNUMBER(PROCESSOS!D947),OR(FiltroResp="TODOS",FiltroResp="",PROCESSOS!H947=FiltroResp)),PROCESSOS!D947+ROW()/1000000,"")</f>
        <v/>
      </c>
    </row>
    <row r="948">
      <c r="BF948" t="str">
        <f>IF(AND(OR(PROCESSOS!P948="NO PRAZO",PROCESSOS!P948="VENCE EM BREVE"),OR(FiltroResp="TODOS",FiltroResp="",PROCESSOS!H948=FiltroResp)),PROCESSOS!N948+ROW()/1000000,"")</f>
        <v/>
      </c>
      <c r="BG948" t="str">
        <f>IF(AND(PROCESSOS!B948&lt;&gt;"",ISNUMBER(PROCESSOS!D948),OR(FiltroResp="TODOS",FiltroResp="",PROCESSOS!H948=FiltroResp)),PROCESSOS!D948+ROW()/1000000,"")</f>
        <v/>
      </c>
    </row>
    <row r="949">
      <c r="BF949" t="str">
        <f>IF(AND(OR(PROCESSOS!P949="NO PRAZO",PROCESSOS!P949="VENCE EM BREVE"),OR(FiltroResp="TODOS",FiltroResp="",PROCESSOS!H949=FiltroResp)),PROCESSOS!N949+ROW()/1000000,"")</f>
        <v/>
      </c>
      <c r="BG949" t="str">
        <f>IF(AND(PROCESSOS!B949&lt;&gt;"",ISNUMBER(PROCESSOS!D949),OR(FiltroResp="TODOS",FiltroResp="",PROCESSOS!H949=FiltroResp)),PROCESSOS!D949+ROW()/1000000,"")</f>
        <v/>
      </c>
    </row>
    <row r="950">
      <c r="BF950" t="str">
        <f>IF(AND(OR(PROCESSOS!P950="NO PRAZO",PROCESSOS!P950="VENCE EM BREVE"),OR(FiltroResp="TODOS",FiltroResp="",PROCESSOS!H950=FiltroResp)),PROCESSOS!N950+ROW()/1000000,"")</f>
        <v/>
      </c>
      <c r="BG950" t="str">
        <f>IF(AND(PROCESSOS!B950&lt;&gt;"",ISNUMBER(PROCESSOS!D950),OR(FiltroResp="TODOS",FiltroResp="",PROCESSOS!H950=FiltroResp)),PROCESSOS!D950+ROW()/1000000,"")</f>
        <v/>
      </c>
    </row>
    <row r="951">
      <c r="BF951" t="str">
        <f>IF(AND(OR(PROCESSOS!P951="NO PRAZO",PROCESSOS!P951="VENCE EM BREVE"),OR(FiltroResp="TODOS",FiltroResp="",PROCESSOS!H951=FiltroResp)),PROCESSOS!N951+ROW()/1000000,"")</f>
        <v/>
      </c>
      <c r="BG951" t="str">
        <f>IF(AND(PROCESSOS!B951&lt;&gt;"",ISNUMBER(PROCESSOS!D951),OR(FiltroResp="TODOS",FiltroResp="",PROCESSOS!H951=FiltroResp)),PROCESSOS!D951+ROW()/1000000,"")</f>
        <v/>
      </c>
    </row>
    <row r="952">
      <c r="BF952" t="str">
        <f>IF(AND(OR(PROCESSOS!P952="NO PRAZO",PROCESSOS!P952="VENCE EM BREVE"),OR(FiltroResp="TODOS",FiltroResp="",PROCESSOS!H952=FiltroResp)),PROCESSOS!N952+ROW()/1000000,"")</f>
        <v/>
      </c>
      <c r="BG952" t="str">
        <f>IF(AND(PROCESSOS!B952&lt;&gt;"",ISNUMBER(PROCESSOS!D952),OR(FiltroResp="TODOS",FiltroResp="",PROCESSOS!H952=FiltroResp)),PROCESSOS!D952+ROW()/1000000,"")</f>
        <v/>
      </c>
    </row>
    <row r="953">
      <c r="BF953" t="str">
        <f>IF(AND(OR(PROCESSOS!P953="NO PRAZO",PROCESSOS!P953="VENCE EM BREVE"),OR(FiltroResp="TODOS",FiltroResp="",PROCESSOS!H953=FiltroResp)),PROCESSOS!N953+ROW()/1000000,"")</f>
        <v/>
      </c>
      <c r="BG953" t="str">
        <f>IF(AND(PROCESSOS!B953&lt;&gt;"",ISNUMBER(PROCESSOS!D953),OR(FiltroResp="TODOS",FiltroResp="",PROCESSOS!H953=FiltroResp)),PROCESSOS!D953+ROW()/1000000,"")</f>
        <v/>
      </c>
    </row>
    <row r="954">
      <c r="BF954" t="str">
        <f>IF(AND(OR(PROCESSOS!P954="NO PRAZO",PROCESSOS!P954="VENCE EM BREVE"),OR(FiltroResp="TODOS",FiltroResp="",PROCESSOS!H954=FiltroResp)),PROCESSOS!N954+ROW()/1000000,"")</f>
        <v/>
      </c>
      <c r="BG954" t="str">
        <f>IF(AND(PROCESSOS!B954&lt;&gt;"",ISNUMBER(PROCESSOS!D954),OR(FiltroResp="TODOS",FiltroResp="",PROCESSOS!H954=FiltroResp)),PROCESSOS!D954+ROW()/1000000,"")</f>
        <v/>
      </c>
    </row>
    <row r="955">
      <c r="BF955" t="str">
        <f>IF(AND(OR(PROCESSOS!P955="NO PRAZO",PROCESSOS!P955="VENCE EM BREVE"),OR(FiltroResp="TODOS",FiltroResp="",PROCESSOS!H955=FiltroResp)),PROCESSOS!N955+ROW()/1000000,"")</f>
        <v/>
      </c>
      <c r="BG955" t="str">
        <f>IF(AND(PROCESSOS!B955&lt;&gt;"",ISNUMBER(PROCESSOS!D955),OR(FiltroResp="TODOS",FiltroResp="",PROCESSOS!H955=FiltroResp)),PROCESSOS!D955+ROW()/1000000,"")</f>
        <v/>
      </c>
    </row>
    <row r="956">
      <c r="BF956" t="str">
        <f>IF(AND(OR(PROCESSOS!P956="NO PRAZO",PROCESSOS!P956="VENCE EM BREVE"),OR(FiltroResp="TODOS",FiltroResp="",PROCESSOS!H956=FiltroResp)),PROCESSOS!N956+ROW()/1000000,"")</f>
        <v/>
      </c>
      <c r="BG956" t="str">
        <f>IF(AND(PROCESSOS!B956&lt;&gt;"",ISNUMBER(PROCESSOS!D956),OR(FiltroResp="TODOS",FiltroResp="",PROCESSOS!H956=FiltroResp)),PROCESSOS!D956+ROW()/1000000,"")</f>
        <v/>
      </c>
    </row>
    <row r="957">
      <c r="BF957" t="str">
        <f>IF(AND(OR(PROCESSOS!P957="NO PRAZO",PROCESSOS!P957="VENCE EM BREVE"),OR(FiltroResp="TODOS",FiltroResp="",PROCESSOS!H957=FiltroResp)),PROCESSOS!N957+ROW()/1000000,"")</f>
        <v/>
      </c>
      <c r="BG957" t="str">
        <f>IF(AND(PROCESSOS!B957&lt;&gt;"",ISNUMBER(PROCESSOS!D957),OR(FiltroResp="TODOS",FiltroResp="",PROCESSOS!H957=FiltroResp)),PROCESSOS!D957+ROW()/1000000,"")</f>
        <v/>
      </c>
    </row>
    <row r="958">
      <c r="BF958" t="str">
        <f>IF(AND(OR(PROCESSOS!P958="NO PRAZO",PROCESSOS!P958="VENCE EM BREVE"),OR(FiltroResp="TODOS",FiltroResp="",PROCESSOS!H958=FiltroResp)),PROCESSOS!N958+ROW()/1000000,"")</f>
        <v/>
      </c>
      <c r="BG958" t="str">
        <f>IF(AND(PROCESSOS!B958&lt;&gt;"",ISNUMBER(PROCESSOS!D958),OR(FiltroResp="TODOS",FiltroResp="",PROCESSOS!H958=FiltroResp)),PROCESSOS!D958+ROW()/1000000,"")</f>
        <v/>
      </c>
    </row>
    <row r="959">
      <c r="BF959" t="str">
        <f>IF(AND(OR(PROCESSOS!P959="NO PRAZO",PROCESSOS!P959="VENCE EM BREVE"),OR(FiltroResp="TODOS",FiltroResp="",PROCESSOS!H959=FiltroResp)),PROCESSOS!N959+ROW()/1000000,"")</f>
        <v/>
      </c>
      <c r="BG959" t="str">
        <f>IF(AND(PROCESSOS!B959&lt;&gt;"",ISNUMBER(PROCESSOS!D959),OR(FiltroResp="TODOS",FiltroResp="",PROCESSOS!H959=FiltroResp)),PROCESSOS!D959+ROW()/1000000,"")</f>
        <v/>
      </c>
    </row>
    <row r="960">
      <c r="BF960" t="str">
        <f>IF(AND(OR(PROCESSOS!P960="NO PRAZO",PROCESSOS!P960="VENCE EM BREVE"),OR(FiltroResp="TODOS",FiltroResp="",PROCESSOS!H960=FiltroResp)),PROCESSOS!N960+ROW()/1000000,"")</f>
        <v/>
      </c>
      <c r="BG960" t="str">
        <f>IF(AND(PROCESSOS!B960&lt;&gt;"",ISNUMBER(PROCESSOS!D960),OR(FiltroResp="TODOS",FiltroResp="",PROCESSOS!H960=FiltroResp)),PROCESSOS!D960+ROW()/1000000,"")</f>
        <v/>
      </c>
    </row>
    <row r="961">
      <c r="BF961" t="str">
        <f>IF(AND(OR(PROCESSOS!P961="NO PRAZO",PROCESSOS!P961="VENCE EM BREVE"),OR(FiltroResp="TODOS",FiltroResp="",PROCESSOS!H961=FiltroResp)),PROCESSOS!N961+ROW()/1000000,"")</f>
        <v/>
      </c>
      <c r="BG961" t="str">
        <f>IF(AND(PROCESSOS!B961&lt;&gt;"",ISNUMBER(PROCESSOS!D961),OR(FiltroResp="TODOS",FiltroResp="",PROCESSOS!H961=FiltroResp)),PROCESSOS!D961+ROW()/1000000,"")</f>
        <v/>
      </c>
    </row>
    <row r="962">
      <c r="BF962" t="str">
        <f>IF(AND(OR(PROCESSOS!P962="NO PRAZO",PROCESSOS!P962="VENCE EM BREVE"),OR(FiltroResp="TODOS",FiltroResp="",PROCESSOS!H962=FiltroResp)),PROCESSOS!N962+ROW()/1000000,"")</f>
        <v/>
      </c>
      <c r="BG962" t="str">
        <f>IF(AND(PROCESSOS!B962&lt;&gt;"",ISNUMBER(PROCESSOS!D962),OR(FiltroResp="TODOS",FiltroResp="",PROCESSOS!H962=FiltroResp)),PROCESSOS!D962+ROW()/1000000,"")</f>
        <v/>
      </c>
    </row>
    <row r="963">
      <c r="BF963" t="str">
        <f>IF(AND(OR(PROCESSOS!P963="NO PRAZO",PROCESSOS!P963="VENCE EM BREVE"),OR(FiltroResp="TODOS",FiltroResp="",PROCESSOS!H963=FiltroResp)),PROCESSOS!N963+ROW()/1000000,"")</f>
        <v/>
      </c>
      <c r="BG963" t="str">
        <f>IF(AND(PROCESSOS!B963&lt;&gt;"",ISNUMBER(PROCESSOS!D963),OR(FiltroResp="TODOS",FiltroResp="",PROCESSOS!H963=FiltroResp)),PROCESSOS!D963+ROW()/1000000,"")</f>
        <v/>
      </c>
    </row>
    <row r="964">
      <c r="BF964" t="str">
        <f>IF(AND(OR(PROCESSOS!P964="NO PRAZO",PROCESSOS!P964="VENCE EM BREVE"),OR(FiltroResp="TODOS",FiltroResp="",PROCESSOS!H964=FiltroResp)),PROCESSOS!N964+ROW()/1000000,"")</f>
        <v/>
      </c>
      <c r="BG964" t="str">
        <f>IF(AND(PROCESSOS!B964&lt;&gt;"",ISNUMBER(PROCESSOS!D964),OR(FiltroResp="TODOS",FiltroResp="",PROCESSOS!H964=FiltroResp)),PROCESSOS!D964+ROW()/1000000,"")</f>
        <v/>
      </c>
    </row>
    <row r="965">
      <c r="BF965" t="str">
        <f>IF(AND(OR(PROCESSOS!P965="NO PRAZO",PROCESSOS!P965="VENCE EM BREVE"),OR(FiltroResp="TODOS",FiltroResp="",PROCESSOS!H965=FiltroResp)),PROCESSOS!N965+ROW()/1000000,"")</f>
        <v/>
      </c>
      <c r="BG965" t="str">
        <f>IF(AND(PROCESSOS!B965&lt;&gt;"",ISNUMBER(PROCESSOS!D965),OR(FiltroResp="TODOS",FiltroResp="",PROCESSOS!H965=FiltroResp)),PROCESSOS!D965+ROW()/1000000,"")</f>
        <v/>
      </c>
    </row>
    <row r="966">
      <c r="BF966" t="str">
        <f>IF(AND(OR(PROCESSOS!P966="NO PRAZO",PROCESSOS!P966="VENCE EM BREVE"),OR(FiltroResp="TODOS",FiltroResp="",PROCESSOS!H966=FiltroResp)),PROCESSOS!N966+ROW()/1000000,"")</f>
        <v/>
      </c>
      <c r="BG966" t="str">
        <f>IF(AND(PROCESSOS!B966&lt;&gt;"",ISNUMBER(PROCESSOS!D966),OR(FiltroResp="TODOS",FiltroResp="",PROCESSOS!H966=FiltroResp)),PROCESSOS!D966+ROW()/1000000,"")</f>
        <v/>
      </c>
    </row>
    <row r="967">
      <c r="BF967" t="str">
        <f>IF(AND(OR(PROCESSOS!P967="NO PRAZO",PROCESSOS!P967="VENCE EM BREVE"),OR(FiltroResp="TODOS",FiltroResp="",PROCESSOS!H967=FiltroResp)),PROCESSOS!N967+ROW()/1000000,"")</f>
        <v/>
      </c>
      <c r="BG967" t="str">
        <f>IF(AND(PROCESSOS!B967&lt;&gt;"",ISNUMBER(PROCESSOS!D967),OR(FiltroResp="TODOS",FiltroResp="",PROCESSOS!H967=FiltroResp)),PROCESSOS!D967+ROW()/1000000,"")</f>
        <v/>
      </c>
    </row>
    <row r="968">
      <c r="BF968" t="str">
        <f>IF(AND(OR(PROCESSOS!P968="NO PRAZO",PROCESSOS!P968="VENCE EM BREVE"),OR(FiltroResp="TODOS",FiltroResp="",PROCESSOS!H968=FiltroResp)),PROCESSOS!N968+ROW()/1000000,"")</f>
        <v/>
      </c>
      <c r="BG968" t="str">
        <f>IF(AND(PROCESSOS!B968&lt;&gt;"",ISNUMBER(PROCESSOS!D968),OR(FiltroResp="TODOS",FiltroResp="",PROCESSOS!H968=FiltroResp)),PROCESSOS!D968+ROW()/1000000,"")</f>
        <v/>
      </c>
    </row>
    <row r="969">
      <c r="BF969" t="str">
        <f>IF(AND(OR(PROCESSOS!P969="NO PRAZO",PROCESSOS!P969="VENCE EM BREVE"),OR(FiltroResp="TODOS",FiltroResp="",PROCESSOS!H969=FiltroResp)),PROCESSOS!N969+ROW()/1000000,"")</f>
        <v/>
      </c>
      <c r="BG969" t="str">
        <f>IF(AND(PROCESSOS!B969&lt;&gt;"",ISNUMBER(PROCESSOS!D969),OR(FiltroResp="TODOS",FiltroResp="",PROCESSOS!H969=FiltroResp)),PROCESSOS!D969+ROW()/1000000,"")</f>
        <v/>
      </c>
    </row>
    <row r="970">
      <c r="BF970" t="str">
        <f>IF(AND(OR(PROCESSOS!P970="NO PRAZO",PROCESSOS!P970="VENCE EM BREVE"),OR(FiltroResp="TODOS",FiltroResp="",PROCESSOS!H970=FiltroResp)),PROCESSOS!N970+ROW()/1000000,"")</f>
        <v/>
      </c>
      <c r="BG970" t="str">
        <f>IF(AND(PROCESSOS!B970&lt;&gt;"",ISNUMBER(PROCESSOS!D970),OR(FiltroResp="TODOS",FiltroResp="",PROCESSOS!H970=FiltroResp)),PROCESSOS!D970+ROW()/1000000,"")</f>
        <v/>
      </c>
    </row>
    <row r="971">
      <c r="BF971" t="str">
        <f>IF(AND(OR(PROCESSOS!P971="NO PRAZO",PROCESSOS!P971="VENCE EM BREVE"),OR(FiltroResp="TODOS",FiltroResp="",PROCESSOS!H971=FiltroResp)),PROCESSOS!N971+ROW()/1000000,"")</f>
        <v/>
      </c>
      <c r="BG971" t="str">
        <f>IF(AND(PROCESSOS!B971&lt;&gt;"",ISNUMBER(PROCESSOS!D971),OR(FiltroResp="TODOS",FiltroResp="",PROCESSOS!H971=FiltroResp)),PROCESSOS!D971+ROW()/1000000,"")</f>
        <v/>
      </c>
    </row>
    <row r="972">
      <c r="BF972" t="str">
        <f>IF(AND(OR(PROCESSOS!P972="NO PRAZO",PROCESSOS!P972="VENCE EM BREVE"),OR(FiltroResp="TODOS",FiltroResp="",PROCESSOS!H972=FiltroResp)),PROCESSOS!N972+ROW()/1000000,"")</f>
        <v/>
      </c>
      <c r="BG972" t="str">
        <f>IF(AND(PROCESSOS!B972&lt;&gt;"",ISNUMBER(PROCESSOS!D972),OR(FiltroResp="TODOS",FiltroResp="",PROCESSOS!H972=FiltroResp)),PROCESSOS!D972+ROW()/1000000,"")</f>
        <v/>
      </c>
    </row>
    <row r="973">
      <c r="BF973" t="str">
        <f>IF(AND(OR(PROCESSOS!P973="NO PRAZO",PROCESSOS!P973="VENCE EM BREVE"),OR(FiltroResp="TODOS",FiltroResp="",PROCESSOS!H973=FiltroResp)),PROCESSOS!N973+ROW()/1000000,"")</f>
        <v/>
      </c>
      <c r="BG973" t="str">
        <f>IF(AND(PROCESSOS!B973&lt;&gt;"",ISNUMBER(PROCESSOS!D973),OR(FiltroResp="TODOS",FiltroResp="",PROCESSOS!H973=FiltroResp)),PROCESSOS!D973+ROW()/1000000,"")</f>
        <v/>
      </c>
    </row>
    <row r="974">
      <c r="BF974" t="str">
        <f>IF(AND(OR(PROCESSOS!P974="NO PRAZO",PROCESSOS!P974="VENCE EM BREVE"),OR(FiltroResp="TODOS",FiltroResp="",PROCESSOS!H974=FiltroResp)),PROCESSOS!N974+ROW()/1000000,"")</f>
        <v/>
      </c>
      <c r="BG974" t="str">
        <f>IF(AND(PROCESSOS!B974&lt;&gt;"",ISNUMBER(PROCESSOS!D974),OR(FiltroResp="TODOS",FiltroResp="",PROCESSOS!H974=FiltroResp)),PROCESSOS!D974+ROW()/1000000,"")</f>
        <v/>
      </c>
    </row>
    <row r="975">
      <c r="BF975" t="str">
        <f>IF(AND(OR(PROCESSOS!P975="NO PRAZO",PROCESSOS!P975="VENCE EM BREVE"),OR(FiltroResp="TODOS",FiltroResp="",PROCESSOS!H975=FiltroResp)),PROCESSOS!N975+ROW()/1000000,"")</f>
        <v/>
      </c>
      <c r="BG975" t="str">
        <f>IF(AND(PROCESSOS!B975&lt;&gt;"",ISNUMBER(PROCESSOS!D975),OR(FiltroResp="TODOS",FiltroResp="",PROCESSOS!H975=FiltroResp)),PROCESSOS!D975+ROW()/1000000,"")</f>
        <v/>
      </c>
    </row>
    <row r="976">
      <c r="BF976" t="str">
        <f>IF(AND(OR(PROCESSOS!P976="NO PRAZO",PROCESSOS!P976="VENCE EM BREVE"),OR(FiltroResp="TODOS",FiltroResp="",PROCESSOS!H976=FiltroResp)),PROCESSOS!N976+ROW()/1000000,"")</f>
        <v/>
      </c>
      <c r="BG976" t="str">
        <f>IF(AND(PROCESSOS!B976&lt;&gt;"",ISNUMBER(PROCESSOS!D976),OR(FiltroResp="TODOS",FiltroResp="",PROCESSOS!H976=FiltroResp)),PROCESSOS!D976+ROW()/1000000,"")</f>
        <v/>
      </c>
    </row>
    <row r="977">
      <c r="BF977" t="str">
        <f>IF(AND(OR(PROCESSOS!P977="NO PRAZO",PROCESSOS!P977="VENCE EM BREVE"),OR(FiltroResp="TODOS",FiltroResp="",PROCESSOS!H977=FiltroResp)),PROCESSOS!N977+ROW()/1000000,"")</f>
        <v/>
      </c>
      <c r="BG977" t="str">
        <f>IF(AND(PROCESSOS!B977&lt;&gt;"",ISNUMBER(PROCESSOS!D977),OR(FiltroResp="TODOS",FiltroResp="",PROCESSOS!H977=FiltroResp)),PROCESSOS!D977+ROW()/1000000,"")</f>
        <v/>
      </c>
    </row>
    <row r="978">
      <c r="BF978" t="str">
        <f>IF(AND(OR(PROCESSOS!P978="NO PRAZO",PROCESSOS!P978="VENCE EM BREVE"),OR(FiltroResp="TODOS",FiltroResp="",PROCESSOS!H978=FiltroResp)),PROCESSOS!N978+ROW()/1000000,"")</f>
        <v/>
      </c>
      <c r="BG978" t="str">
        <f>IF(AND(PROCESSOS!B978&lt;&gt;"",ISNUMBER(PROCESSOS!D978),OR(FiltroResp="TODOS",FiltroResp="",PROCESSOS!H978=FiltroResp)),PROCESSOS!D978+ROW()/1000000,"")</f>
        <v/>
      </c>
    </row>
    <row r="979">
      <c r="BF979" t="str">
        <f>IF(AND(OR(PROCESSOS!P979="NO PRAZO",PROCESSOS!P979="VENCE EM BREVE"),OR(FiltroResp="TODOS",FiltroResp="",PROCESSOS!H979=FiltroResp)),PROCESSOS!N979+ROW()/1000000,"")</f>
        <v/>
      </c>
      <c r="BG979" t="str">
        <f>IF(AND(PROCESSOS!B979&lt;&gt;"",ISNUMBER(PROCESSOS!D979),OR(FiltroResp="TODOS",FiltroResp="",PROCESSOS!H979=FiltroResp)),PROCESSOS!D979+ROW()/1000000,"")</f>
        <v/>
      </c>
    </row>
    <row r="980">
      <c r="BF980" t="str">
        <f>IF(AND(OR(PROCESSOS!P980="NO PRAZO",PROCESSOS!P980="VENCE EM BREVE"),OR(FiltroResp="TODOS",FiltroResp="",PROCESSOS!H980=FiltroResp)),PROCESSOS!N980+ROW()/1000000,"")</f>
        <v/>
      </c>
      <c r="BG980" t="str">
        <f>IF(AND(PROCESSOS!B980&lt;&gt;"",ISNUMBER(PROCESSOS!D980),OR(FiltroResp="TODOS",FiltroResp="",PROCESSOS!H980=FiltroResp)),PROCESSOS!D980+ROW()/1000000,"")</f>
        <v/>
      </c>
    </row>
    <row r="981">
      <c r="BF981" t="str">
        <f>IF(AND(OR(PROCESSOS!P981="NO PRAZO",PROCESSOS!P981="VENCE EM BREVE"),OR(FiltroResp="TODOS",FiltroResp="",PROCESSOS!H981=FiltroResp)),PROCESSOS!N981+ROW()/1000000,"")</f>
        <v/>
      </c>
      <c r="BG981" t="str">
        <f>IF(AND(PROCESSOS!B981&lt;&gt;"",ISNUMBER(PROCESSOS!D981),OR(FiltroResp="TODOS",FiltroResp="",PROCESSOS!H981=FiltroResp)),PROCESSOS!D981+ROW()/1000000,"")</f>
        <v/>
      </c>
    </row>
    <row r="982">
      <c r="BF982" t="str">
        <f>IF(AND(OR(PROCESSOS!P982="NO PRAZO",PROCESSOS!P982="VENCE EM BREVE"),OR(FiltroResp="TODOS",FiltroResp="",PROCESSOS!H982=FiltroResp)),PROCESSOS!N982+ROW()/1000000,"")</f>
        <v/>
      </c>
      <c r="BG982" t="str">
        <f>IF(AND(PROCESSOS!B982&lt;&gt;"",ISNUMBER(PROCESSOS!D982),OR(FiltroResp="TODOS",FiltroResp="",PROCESSOS!H982=FiltroResp)),PROCESSOS!D982+ROW()/1000000,"")</f>
        <v/>
      </c>
    </row>
    <row r="983">
      <c r="BF983" t="str">
        <f>IF(AND(OR(PROCESSOS!P983="NO PRAZO",PROCESSOS!P983="VENCE EM BREVE"),OR(FiltroResp="TODOS",FiltroResp="",PROCESSOS!H983=FiltroResp)),PROCESSOS!N983+ROW()/1000000,"")</f>
        <v/>
      </c>
      <c r="BG983" t="str">
        <f>IF(AND(PROCESSOS!B983&lt;&gt;"",ISNUMBER(PROCESSOS!D983),OR(FiltroResp="TODOS",FiltroResp="",PROCESSOS!H983=FiltroResp)),PROCESSOS!D983+ROW()/1000000,"")</f>
        <v/>
      </c>
    </row>
    <row r="984">
      <c r="BF984" t="str">
        <f>IF(AND(OR(PROCESSOS!P984="NO PRAZO",PROCESSOS!P984="VENCE EM BREVE"),OR(FiltroResp="TODOS",FiltroResp="",PROCESSOS!H984=FiltroResp)),PROCESSOS!N984+ROW()/1000000,"")</f>
        <v/>
      </c>
      <c r="BG984" t="str">
        <f>IF(AND(PROCESSOS!B984&lt;&gt;"",ISNUMBER(PROCESSOS!D984),OR(FiltroResp="TODOS",FiltroResp="",PROCESSOS!H984=FiltroResp)),PROCESSOS!D984+ROW()/1000000,"")</f>
        <v/>
      </c>
    </row>
    <row r="985">
      <c r="BF985" t="str">
        <f>IF(AND(OR(PROCESSOS!P985="NO PRAZO",PROCESSOS!P985="VENCE EM BREVE"),OR(FiltroResp="TODOS",FiltroResp="",PROCESSOS!H985=FiltroResp)),PROCESSOS!N985+ROW()/1000000,"")</f>
        <v/>
      </c>
      <c r="BG985" t="str">
        <f>IF(AND(PROCESSOS!B985&lt;&gt;"",ISNUMBER(PROCESSOS!D985),OR(FiltroResp="TODOS",FiltroResp="",PROCESSOS!H985=FiltroResp)),PROCESSOS!D985+ROW()/1000000,"")</f>
        <v/>
      </c>
    </row>
    <row r="986">
      <c r="BF986" t="str">
        <f>IF(AND(OR(PROCESSOS!P986="NO PRAZO",PROCESSOS!P986="VENCE EM BREVE"),OR(FiltroResp="TODOS",FiltroResp="",PROCESSOS!H986=FiltroResp)),PROCESSOS!N986+ROW()/1000000,"")</f>
        <v/>
      </c>
      <c r="BG986" t="str">
        <f>IF(AND(PROCESSOS!B986&lt;&gt;"",ISNUMBER(PROCESSOS!D986),OR(FiltroResp="TODOS",FiltroResp="",PROCESSOS!H986=FiltroResp)),PROCESSOS!D986+ROW()/1000000,"")</f>
        <v/>
      </c>
    </row>
    <row r="987">
      <c r="BF987" t="str">
        <f>IF(AND(OR(PROCESSOS!P987="NO PRAZO",PROCESSOS!P987="VENCE EM BREVE"),OR(FiltroResp="TODOS",FiltroResp="",PROCESSOS!H987=FiltroResp)),PROCESSOS!N987+ROW()/1000000,"")</f>
        <v/>
      </c>
      <c r="BG987" t="str">
        <f>IF(AND(PROCESSOS!B987&lt;&gt;"",ISNUMBER(PROCESSOS!D987),OR(FiltroResp="TODOS",FiltroResp="",PROCESSOS!H987=FiltroResp)),PROCESSOS!D987+ROW()/1000000,"")</f>
        <v/>
      </c>
    </row>
    <row r="988">
      <c r="BF988" t="str">
        <f>IF(AND(OR(PROCESSOS!P988="NO PRAZO",PROCESSOS!P988="VENCE EM BREVE"),OR(FiltroResp="TODOS",FiltroResp="",PROCESSOS!H988=FiltroResp)),PROCESSOS!N988+ROW()/1000000,"")</f>
        <v/>
      </c>
      <c r="BG988" t="str">
        <f>IF(AND(PROCESSOS!B988&lt;&gt;"",ISNUMBER(PROCESSOS!D988),OR(FiltroResp="TODOS",FiltroResp="",PROCESSOS!H988=FiltroResp)),PROCESSOS!D988+ROW()/1000000,"")</f>
        <v/>
      </c>
    </row>
    <row r="989">
      <c r="BF989" t="str">
        <f>IF(AND(OR(PROCESSOS!P989="NO PRAZO",PROCESSOS!P989="VENCE EM BREVE"),OR(FiltroResp="TODOS",FiltroResp="",PROCESSOS!H989=FiltroResp)),PROCESSOS!N989+ROW()/1000000,"")</f>
        <v/>
      </c>
      <c r="BG989" t="str">
        <f>IF(AND(PROCESSOS!B989&lt;&gt;"",ISNUMBER(PROCESSOS!D989),OR(FiltroResp="TODOS",FiltroResp="",PROCESSOS!H989=FiltroResp)),PROCESSOS!D989+ROW()/1000000,"")</f>
        <v/>
      </c>
    </row>
    <row r="990">
      <c r="BF990" t="str">
        <f>IF(AND(OR(PROCESSOS!P990="NO PRAZO",PROCESSOS!P990="VENCE EM BREVE"),OR(FiltroResp="TODOS",FiltroResp="",PROCESSOS!H990=FiltroResp)),PROCESSOS!N990+ROW()/1000000,"")</f>
        <v/>
      </c>
      <c r="BG990" t="str">
        <f>IF(AND(PROCESSOS!B990&lt;&gt;"",ISNUMBER(PROCESSOS!D990),OR(FiltroResp="TODOS",FiltroResp="",PROCESSOS!H990=FiltroResp)),PROCESSOS!D990+ROW()/1000000,"")</f>
        <v/>
      </c>
    </row>
    <row r="991">
      <c r="BF991" t="str">
        <f>IF(AND(OR(PROCESSOS!P991="NO PRAZO",PROCESSOS!P991="VENCE EM BREVE"),OR(FiltroResp="TODOS",FiltroResp="",PROCESSOS!H991=FiltroResp)),PROCESSOS!N991+ROW()/1000000,"")</f>
        <v/>
      </c>
      <c r="BG991" t="str">
        <f>IF(AND(PROCESSOS!B991&lt;&gt;"",ISNUMBER(PROCESSOS!D991),OR(FiltroResp="TODOS",FiltroResp="",PROCESSOS!H991=FiltroResp)),PROCESSOS!D991+ROW()/1000000,"")</f>
        <v/>
      </c>
    </row>
    <row r="992">
      <c r="BF992" t="str">
        <f>IF(AND(OR(PROCESSOS!P992="NO PRAZO",PROCESSOS!P992="VENCE EM BREVE"),OR(FiltroResp="TODOS",FiltroResp="",PROCESSOS!H992=FiltroResp)),PROCESSOS!N992+ROW()/1000000,"")</f>
        <v/>
      </c>
      <c r="BG992" t="str">
        <f>IF(AND(PROCESSOS!B992&lt;&gt;"",ISNUMBER(PROCESSOS!D992),OR(FiltroResp="TODOS",FiltroResp="",PROCESSOS!H992=FiltroResp)),PROCESSOS!D992+ROW()/1000000,"")</f>
        <v/>
      </c>
    </row>
    <row r="993">
      <c r="BF993" t="str">
        <f>IF(AND(OR(PROCESSOS!P993="NO PRAZO",PROCESSOS!P993="VENCE EM BREVE"),OR(FiltroResp="TODOS",FiltroResp="",PROCESSOS!H993=FiltroResp)),PROCESSOS!N993+ROW()/1000000,"")</f>
        <v/>
      </c>
      <c r="BG993" t="str">
        <f>IF(AND(PROCESSOS!B993&lt;&gt;"",ISNUMBER(PROCESSOS!D993),OR(FiltroResp="TODOS",FiltroResp="",PROCESSOS!H993=FiltroResp)),PROCESSOS!D993+ROW()/1000000,"")</f>
        <v/>
      </c>
    </row>
    <row r="994">
      <c r="BF994" t="str">
        <f>IF(AND(OR(PROCESSOS!P994="NO PRAZO",PROCESSOS!P994="VENCE EM BREVE"),OR(FiltroResp="TODOS",FiltroResp="",PROCESSOS!H994=FiltroResp)),PROCESSOS!N994+ROW()/1000000,"")</f>
        <v/>
      </c>
      <c r="BG994" t="str">
        <f>IF(AND(PROCESSOS!B994&lt;&gt;"",ISNUMBER(PROCESSOS!D994),OR(FiltroResp="TODOS",FiltroResp="",PROCESSOS!H994=FiltroResp)),PROCESSOS!D994+ROW()/1000000,"")</f>
        <v/>
      </c>
    </row>
    <row r="995">
      <c r="BF995" t="str">
        <f>IF(AND(OR(PROCESSOS!P995="NO PRAZO",PROCESSOS!P995="VENCE EM BREVE"),OR(FiltroResp="TODOS",FiltroResp="",PROCESSOS!H995=FiltroResp)),PROCESSOS!N995+ROW()/1000000,"")</f>
        <v/>
      </c>
      <c r="BG995" t="str">
        <f>IF(AND(PROCESSOS!B995&lt;&gt;"",ISNUMBER(PROCESSOS!D995),OR(FiltroResp="TODOS",FiltroResp="",PROCESSOS!H995=FiltroResp)),PROCESSOS!D995+ROW()/1000000,"")</f>
        <v/>
      </c>
    </row>
    <row r="996">
      <c r="BF996" t="str">
        <f>IF(AND(OR(PROCESSOS!P996="NO PRAZO",PROCESSOS!P996="VENCE EM BREVE"),OR(FiltroResp="TODOS",FiltroResp="",PROCESSOS!H996=FiltroResp)),PROCESSOS!N996+ROW()/1000000,"")</f>
        <v/>
      </c>
      <c r="BG996" t="str">
        <f>IF(AND(PROCESSOS!B996&lt;&gt;"",ISNUMBER(PROCESSOS!D996),OR(FiltroResp="TODOS",FiltroResp="",PROCESSOS!H996=FiltroResp)),PROCESSOS!D996+ROW()/1000000,"")</f>
        <v/>
      </c>
    </row>
    <row r="997">
      <c r="BF997" t="str">
        <f>IF(AND(OR(PROCESSOS!P997="NO PRAZO",PROCESSOS!P997="VENCE EM BREVE"),OR(FiltroResp="TODOS",FiltroResp="",PROCESSOS!H997=FiltroResp)),PROCESSOS!N997+ROW()/1000000,"")</f>
        <v/>
      </c>
      <c r="BG997" t="str">
        <f>IF(AND(PROCESSOS!B997&lt;&gt;"",ISNUMBER(PROCESSOS!D997),OR(FiltroResp="TODOS",FiltroResp="",PROCESSOS!H997=FiltroResp)),PROCESSOS!D997+ROW()/1000000,"")</f>
        <v/>
      </c>
    </row>
    <row r="998">
      <c r="BF998" t="str">
        <f>IF(AND(OR(PROCESSOS!P998="NO PRAZO",PROCESSOS!P998="VENCE EM BREVE"),OR(FiltroResp="TODOS",FiltroResp="",PROCESSOS!H998=FiltroResp)),PROCESSOS!N998+ROW()/1000000,"")</f>
        <v/>
      </c>
      <c r="BG998" t="str">
        <f>IF(AND(PROCESSOS!B998&lt;&gt;"",ISNUMBER(PROCESSOS!D998),OR(FiltroResp="TODOS",FiltroResp="",PROCESSOS!H998=FiltroResp)),PROCESSOS!D998+ROW()/1000000,"")</f>
        <v/>
      </c>
    </row>
    <row r="999">
      <c r="BF999" t="str">
        <f>IF(AND(OR(PROCESSOS!P999="NO PRAZO",PROCESSOS!P999="VENCE EM BREVE"),OR(FiltroResp="TODOS",FiltroResp="",PROCESSOS!H999=FiltroResp)),PROCESSOS!N999+ROW()/1000000,"")</f>
        <v/>
      </c>
      <c r="BG999" t="str">
        <f>IF(AND(PROCESSOS!B999&lt;&gt;"",ISNUMBER(PROCESSOS!D999),OR(FiltroResp="TODOS",FiltroResp="",PROCESSOS!H999=FiltroResp)),PROCESSOS!D999+ROW()/1000000,"")</f>
        <v/>
      </c>
    </row>
    <row r="1000">
      <c r="BF1000" t="str">
        <f>IF(AND(OR(PROCESSOS!P1000="NO PRAZO",PROCESSOS!P1000="VENCE EM BREVE"),OR(FiltroResp="TODOS",FiltroResp="",PROCESSOS!H1000=FiltroResp)),PROCESSOS!N1000+ROW()/1000000,"")</f>
        <v/>
      </c>
      <c r="BG1000" t="str">
        <f>IF(AND(PROCESSOS!B1000&lt;&gt;"",ISNUMBER(PROCESSOS!D1000),OR(FiltroResp="TODOS",FiltroResp="",PROCESSOS!H1000=FiltroResp)),PROCESSOS!D1000+ROW()/1000000,"")</f>
        <v/>
      </c>
    </row>
    <row r="1001">
      <c r="BF1001" t="str">
        <f>IF(AND(OR(PROCESSOS!P1001="NO PRAZO",PROCESSOS!P1001="VENCE EM BREVE"),OR(FiltroResp="TODOS",FiltroResp="",PROCESSOS!H1001=FiltroResp)),PROCESSOS!N1001+ROW()/1000000,"")</f>
        <v/>
      </c>
      <c r="BG1001" t="str">
        <f>IF(AND(PROCESSOS!B1001&lt;&gt;"",ISNUMBER(PROCESSOS!D1001),OR(FiltroResp="TODOS",FiltroResp="",PROCESSOS!H1001=FiltroResp)),PROCESSOS!D1001+ROW()/1000000,"")</f>
        <v/>
      </c>
    </row>
    <row r="1002">
      <c r="BF1002" t="str">
        <f>IF(AND(OR(PROCESSOS!P1002="NO PRAZO",PROCESSOS!P1002="VENCE EM BREVE"),OR(FiltroResp="TODOS",FiltroResp="",PROCESSOS!H1002=FiltroResp)),PROCESSOS!N1002+ROW()/1000000,"")</f>
        <v/>
      </c>
      <c r="BG1002" t="str">
        <f>IF(AND(PROCESSOS!B1002&lt;&gt;"",ISNUMBER(PROCESSOS!D1002),OR(FiltroResp="TODOS",FiltroResp="",PROCESSOS!H1002=FiltroResp)),PROCESSOS!D1002+ROW()/1000000,"")</f>
        <v/>
      </c>
    </row>
    <row r="1003">
      <c r="BF1003" t="str">
        <f>IF(AND(OR(PROCESSOS!P1003="NO PRAZO",PROCESSOS!P1003="VENCE EM BREVE"),OR(FiltroResp="TODOS",FiltroResp="",PROCESSOS!H1003=FiltroResp)),PROCESSOS!N1003+ROW()/1000000,"")</f>
        <v/>
      </c>
      <c r="BG1003" t="str">
        <f>IF(AND(PROCESSOS!B1003&lt;&gt;"",ISNUMBER(PROCESSOS!D1003),OR(FiltroResp="TODOS",FiltroResp="",PROCESSOS!H1003=FiltroResp)),PROCESSOS!D1003+ROW()/1000000,"")</f>
        <v/>
      </c>
    </row>
    <row r="1004">
      <c r="BF1004" t="str">
        <f>IF(AND(OR(PROCESSOS!P1004="NO PRAZO",PROCESSOS!P1004="VENCE EM BREVE"),OR(FiltroResp="TODOS",FiltroResp="",PROCESSOS!H1004=FiltroResp)),PROCESSOS!N1004+ROW()/1000000,"")</f>
        <v/>
      </c>
      <c r="BG1004" t="str">
        <f>IF(AND(PROCESSOS!B1004&lt;&gt;"",ISNUMBER(PROCESSOS!D1004),OR(FiltroResp="TODOS",FiltroResp="",PROCESSOS!H1004=FiltroResp)),PROCESSOS!D1004+ROW()/1000000,"")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2026-10-09T13:34:20Z</dcterms:created>
  <dcterms:modified xmlns:dcterms="http://purl.org/dc/terms/" xmlns:xsi="http://www.w3.org/2001/XMLSchema-instance" xsi:type="dcterms:W3CDTF">2026-10-09T13:34:24Z</dcterms:modified>
</cp:coreProperties>
</file>